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III Ratios" sheetId="1" state="visible" r:id="rId1"/>
    <sheet xmlns:r="http://schemas.openxmlformats.org/officeDocument/2006/relationships" name="Assumptions &amp; Disclo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0">
    <font>
      <name val="Calibri"/>
      <family val="2"/>
      <color theme="1"/>
      <sz val="11"/>
      <scheme val="minor"/>
    </font>
    <font>
      <name val="Segoe UI"/>
      <b val="1"/>
      <color rgb="00073763"/>
      <sz val="14"/>
    </font>
    <font>
      <name val="Segoe UI"/>
      <color rgb="001A2330"/>
      <sz val="11"/>
    </font>
    <font>
      <name val="Segoe UI"/>
      <b val="1"/>
      <color rgb="000B4F8C"/>
      <sz val="11"/>
    </font>
    <font>
      <name val="Segoe UI"/>
      <i val="1"/>
      <color rgb="005B6B7F"/>
      <sz val="8.5"/>
    </font>
    <font>
      <name val="Segoe UI"/>
      <b val="1"/>
      <color rgb="00FFFFFF"/>
      <sz val="10"/>
    </font>
    <font>
      <name val="Segoe UI"/>
      <b val="1"/>
      <color rgb="00C0392B"/>
      <sz val="9.5"/>
    </font>
    <font>
      <name val="Segoe UI"/>
      <b val="1"/>
      <color rgb="001E8E5A"/>
      <sz val="9.5"/>
    </font>
    <font>
      <name val="Segoe UI"/>
      <b val="1"/>
      <color rgb="001A2330"/>
      <sz val="9.5"/>
    </font>
    <font>
      <name val="Segoe UI"/>
      <color rgb="001A2330"/>
      <sz val="9.5"/>
    </font>
  </fonts>
  <fills count="5">
    <fill>
      <patternFill/>
    </fill>
    <fill>
      <patternFill patternType="gray125"/>
    </fill>
    <fill>
      <patternFill patternType="solid">
        <fgColor rgb="000B4F8C"/>
        <bgColor rgb="000B4F8C"/>
      </patternFill>
    </fill>
    <fill>
      <patternFill patternType="solid">
        <fgColor rgb="00FFFFFF"/>
        <bgColor rgb="00FFFFFF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>
        <color rgb="00D6DEE7"/>
      </left>
      <right style="thin">
        <color rgb="00D6DEE7"/>
      </right>
      <top style="thin">
        <color rgb="00D6DEE7"/>
      </top>
      <bottom style="thin">
        <color rgb="00D6DE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right" vertical="center"/>
    </xf>
    <xf numFmtId="164" fontId="0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164" fontId="6" fillId="4" borderId="1" pivotButton="0" quotePrefix="0" xfId="0"/>
    <xf numFmtId="0" fontId="0" fillId="4" borderId="1" applyAlignment="1" pivotButton="0" quotePrefix="0" xfId="0">
      <alignment horizontal="left" vertical="center" wrapText="1"/>
    </xf>
    <xf numFmtId="164" fontId="7" fillId="3" borderId="1" pivotButton="0" quotePrefix="0" xfId="0"/>
    <xf numFmtId="10" fontId="0" fillId="4" borderId="1" applyAlignment="1" pivotButton="0" quotePrefix="0" xfId="0">
      <alignment horizontal="right" vertical="center"/>
    </xf>
    <xf numFmtId="164" fontId="7" fillId="4" borderId="1" pivotButton="0" quotePrefix="0" xfId="0"/>
    <xf numFmtId="164" fontId="0" fillId="4" borderId="1" pivotButton="0" quotePrefix="0" xfId="0"/>
    <xf numFmtId="1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8" customWidth="1" min="4" max="4"/>
    <col width="16" customWidth="1" min="5" max="5"/>
    <col width="16" customWidth="1" min="6" max="6"/>
    <col width="16" customWidth="1" min="7" max="7"/>
    <col width="45" customWidth="1" min="8" max="8"/>
  </cols>
  <sheetData>
    <row r="1">
      <c r="A1" s="1" t="inlineStr">
        <is>
          <t>ABC PRIVATE LIMITED</t>
        </is>
      </c>
    </row>
    <row r="2">
      <c r="A2" s="2" t="inlineStr">
        <is>
          <t>Notes forming part of the Financial Statements for the year ended 31 March 2026</t>
        </is>
      </c>
    </row>
    <row r="4">
      <c r="A4" s="3" t="inlineStr">
        <is>
          <t>Note: Analytical Ratios</t>
        </is>
      </c>
      <c r="H4" s="4" t="inlineStr">
        <is>
          <t>(Rs. in Lacs)</t>
        </is>
      </c>
    </row>
    <row r="6" ht="28" customHeight="1">
      <c r="A6" s="5" t="inlineStr">
        <is>
          <t>S. No.</t>
        </is>
      </c>
      <c r="B6" s="6" t="inlineStr">
        <is>
          <t>Ratio</t>
        </is>
      </c>
      <c r="C6" s="6" t="inlineStr">
        <is>
          <t>Numerator</t>
        </is>
      </c>
      <c r="D6" s="6" t="inlineStr">
        <is>
          <t>Denominator</t>
        </is>
      </c>
      <c r="E6" s="7" t="inlineStr">
        <is>
          <t>Current Year (FY 2026)</t>
        </is>
      </c>
      <c r="F6" s="7" t="inlineStr">
        <is>
          <t>Previous Year (FY 2025)</t>
        </is>
      </c>
      <c r="G6" s="7" t="inlineStr">
        <is>
          <t>% Variance</t>
        </is>
      </c>
      <c r="H6" s="6" t="inlineStr">
        <is>
          <t>Reason for variance (where 25% or more)</t>
        </is>
      </c>
    </row>
    <row r="7" ht="24" customHeight="1">
      <c r="A7" s="8" t="n">
        <v>1</v>
      </c>
      <c r="B7" s="9" t="inlineStr">
        <is>
          <t>Current Ratio</t>
        </is>
      </c>
      <c r="C7" s="9" t="inlineStr">
        <is>
          <t>Current Assets</t>
        </is>
      </c>
      <c r="D7" s="9" t="inlineStr">
        <is>
          <t>Current Liabilities</t>
        </is>
      </c>
      <c r="E7" s="10" t="n">
        <v>1.551724137931034</v>
      </c>
      <c r="F7" s="10" t="n">
        <v>1.259005145797599</v>
      </c>
      <c r="G7" s="11">
        <f>(E7-F7)/ABS(F7)</f>
        <v/>
      </c>
      <c r="H7" s="12" t="inlineStr">
        <is>
          <t>—</t>
        </is>
      </c>
    </row>
    <row r="8" ht="24" customHeight="1">
      <c r="A8" s="13" t="n">
        <v>2</v>
      </c>
      <c r="B8" s="14" t="inlineStr">
        <is>
          <t>Debt-Equity Ratio</t>
        </is>
      </c>
      <c r="C8" s="14" t="inlineStr">
        <is>
          <t>Total Debt</t>
        </is>
      </c>
      <c r="D8" s="14" t="inlineStr">
        <is>
          <t>Shareholders' Equity</t>
        </is>
      </c>
      <c r="E8" s="15" t="n">
        <v>0.3659849300322928</v>
      </c>
      <c r="F8" s="15" t="n">
        <v>0.9394313967861557</v>
      </c>
      <c r="G8" s="16">
        <f>(E8-F8)/ABS(F8)</f>
        <v/>
      </c>
      <c r="H8" s="17" t="inlineStr">
        <is>
          <t>The ratio has decreased by 61.0% (from 0.94 to 0.37) driven by changes in total debt relative to shareholders' equity.</t>
        </is>
      </c>
    </row>
    <row r="9" ht="24" customHeight="1">
      <c r="A9" s="8" t="n">
        <v>3</v>
      </c>
      <c r="B9" s="9" t="inlineStr">
        <is>
          <t>Debt Service Coverage Ratio</t>
        </is>
      </c>
      <c r="C9" s="9" t="inlineStr">
        <is>
          <t>Earnings Available for Debt Service</t>
        </is>
      </c>
      <c r="D9" s="9" t="inlineStr">
        <is>
          <t>Debt Service</t>
        </is>
      </c>
      <c r="E9" s="10" t="n">
        <v>4.066666666666666</v>
      </c>
      <c r="F9" s="10" t="n">
        <v>1.739583333333333</v>
      </c>
      <c r="G9" s="18">
        <f>(E9-F9)/ABS(F9)</f>
        <v/>
      </c>
      <c r="H9" s="12" t="inlineStr">
        <is>
          <t>The ratio has increased by 133.8% (from 1.74 to 4.07) driven by changes in earnings available for debt service relative to debt service.</t>
        </is>
      </c>
    </row>
    <row r="10" ht="24" customHeight="1">
      <c r="A10" s="13" t="n">
        <v>4</v>
      </c>
      <c r="B10" s="14" t="inlineStr">
        <is>
          <t>Return on Equity Ratio</t>
        </is>
      </c>
      <c r="C10" s="14" t="inlineStr">
        <is>
          <t>Net Profit after Tax − Preference Dividend</t>
        </is>
      </c>
      <c r="D10" s="14" t="inlineStr">
        <is>
          <t>Average Shareholders' Equity</t>
        </is>
      </c>
      <c r="E10" s="19" t="n">
        <v>0.1380897583429229</v>
      </c>
      <c r="F10" s="19" t="n">
        <v>0.01118707271597266</v>
      </c>
      <c r="G10" s="20">
        <f>(E10-F10)/ABS(F10)</f>
        <v/>
      </c>
      <c r="H10" s="17" t="inlineStr">
        <is>
          <t>The ratio has increased by 1134.4% (from 1.12% to 13.81%). Profit after tax rose 1233.3% (from 45.00 to 600.00 Rs. Lacs) while average net worth remained largely stable (expanded 8.0%). Profit expansion directly drove the higher return on equity.</t>
        </is>
      </c>
    </row>
    <row r="11" ht="24" customHeight="1">
      <c r="A11" s="8" t="n">
        <v>5</v>
      </c>
      <c r="B11" s="9" t="inlineStr">
        <is>
          <t>Inventory Turnover Ratio</t>
        </is>
      </c>
      <c r="C11" s="9" t="inlineStr">
        <is>
          <t>Cost of Goods Sold</t>
        </is>
      </c>
      <c r="D11" s="9" t="inlineStr">
        <is>
          <t>Average Inventory</t>
        </is>
      </c>
      <c r="E11" s="10" t="n">
        <v>4</v>
      </c>
      <c r="F11" s="10" t="n">
        <v>2.271186440677966</v>
      </c>
      <c r="G11" s="18">
        <f>(E11-F11)/ABS(F11)</f>
        <v/>
      </c>
      <c r="H11" s="12" t="inlineStr">
        <is>
          <t>The ratio has increased by 76.1% (from 2.27 to 4.00). Cost of goods sold rose 55.2% (from 6,700.00 to 10,400.00 Rs. Lacs) against average inventory reducing 11.9% (from 2,950.00 to 2,600.00 Rs. Lacs), reflecting higher sales throughput and leaner inventory holding.</t>
        </is>
      </c>
    </row>
    <row r="12" ht="24" customHeight="1">
      <c r="A12" s="13" t="n">
        <v>6</v>
      </c>
      <c r="B12" s="14" t="inlineStr">
        <is>
          <t>Trade Receivables Turnover Ratio</t>
        </is>
      </c>
      <c r="C12" s="14" t="inlineStr">
        <is>
          <t>Net Credit Sales</t>
        </is>
      </c>
      <c r="D12" s="14" t="inlineStr">
        <is>
          <t>Average Trade Receivables</t>
        </is>
      </c>
      <c r="E12" s="15" t="n">
        <v>6.304347826086956</v>
      </c>
      <c r="F12" s="15" t="n">
        <v>4.081632653061225</v>
      </c>
      <c r="G12" s="20">
        <f>(E12-F12)/ABS(F12)</f>
        <v/>
      </c>
      <c r="H12" s="17" t="inlineStr">
        <is>
          <t>The ratio has increased by 54.5% (from 4.08 to 6.30) driven by changes in net credit sales relative to average trade receivables.</t>
        </is>
      </c>
    </row>
    <row r="13" ht="24" customHeight="1">
      <c r="A13" s="8" t="n">
        <v>7</v>
      </c>
      <c r="B13" s="9" t="inlineStr">
        <is>
          <t>Trade Payables Turnover Ratio</t>
        </is>
      </c>
      <c r="C13" s="9" t="inlineStr">
        <is>
          <t>Net Credit Purchases</t>
        </is>
      </c>
      <c r="D13" s="9" t="inlineStr">
        <is>
          <t>Average Trade Payables</t>
        </is>
      </c>
      <c r="E13" s="10" t="n">
        <v>4.181818181818182</v>
      </c>
      <c r="F13" s="10" t="n">
        <v>3.130434782608696</v>
      </c>
      <c r="G13" s="18">
        <f>(E13-F13)/ABS(F13)</f>
        <v/>
      </c>
      <c r="H13" s="12" t="inlineStr">
        <is>
          <t>The ratio has increased by 33.6% (from 3.13 to 4.18) driven by changes in net credit purchases relative to average trade payables.</t>
        </is>
      </c>
    </row>
    <row r="14" ht="24" customHeight="1">
      <c r="A14" s="13" t="n">
        <v>8</v>
      </c>
      <c r="B14" s="14" t="inlineStr">
        <is>
          <t>Net Capital Turnover Ratio</t>
        </is>
      </c>
      <c r="C14" s="14" t="inlineStr">
        <is>
          <t>Net Revenue</t>
        </is>
      </c>
      <c r="D14" s="14" t="inlineStr">
        <is>
          <t>Average Working Capital</t>
        </is>
      </c>
      <c r="E14" s="15" t="n">
        <v>8.454810495626822</v>
      </c>
      <c r="F14" s="15" t="n">
        <v>7.017543859649122</v>
      </c>
      <c r="G14" s="21">
        <f>(E14-F14)/ABS(F14)</f>
        <v/>
      </c>
      <c r="H14" s="17" t="inlineStr">
        <is>
          <t>—</t>
        </is>
      </c>
    </row>
    <row r="15" ht="24" customHeight="1">
      <c r="A15" s="8" t="n">
        <v>9</v>
      </c>
      <c r="B15" s="9" t="inlineStr">
        <is>
          <t>Net Profit Ratio</t>
        </is>
      </c>
      <c r="C15" s="9" t="inlineStr">
        <is>
          <t>Profit After Tax</t>
        </is>
      </c>
      <c r="D15" s="9" t="inlineStr">
        <is>
          <t>Net Revenue</t>
        </is>
      </c>
      <c r="E15" s="22" t="n">
        <v>0.04137931034482759</v>
      </c>
      <c r="F15" s="22" t="n">
        <v>0.0045</v>
      </c>
      <c r="G15" s="18">
        <f>(E15-F15)/ABS(F15)</f>
        <v/>
      </c>
      <c r="H15" s="12" t="inlineStr">
        <is>
          <t>The ratio has increased by 819.5% (from 0.45% to 4.14%). Profit after tax rose 1233.3% against net sales up only 45.0%, reflecting operating leverage: employee benefit expenses and depreciation both reduced in absolute terms despite higher revenue.</t>
        </is>
      </c>
    </row>
    <row r="16" ht="24" customHeight="1">
      <c r="A16" s="13" t="n">
        <v>10</v>
      </c>
      <c r="B16" s="14" t="inlineStr">
        <is>
          <t>Return on Capital Employed</t>
        </is>
      </c>
      <c r="C16" s="14" t="inlineStr">
        <is>
          <t>Earnings Before Interest &amp; Tax</t>
        </is>
      </c>
      <c r="D16" s="14" t="inlineStr">
        <is>
          <t>Capital Employed</t>
        </is>
      </c>
      <c r="E16" s="19" t="n">
        <v>0.1708074534161491</v>
      </c>
      <c r="F16" s="19" t="n">
        <v>0.06944444444444445</v>
      </c>
      <c r="G16" s="20">
        <f>(E16-F16)/ABS(F16)</f>
        <v/>
      </c>
      <c r="H16" s="17" t="inlineStr">
        <is>
          <t>The ratio has increased by 146.0% (from 6.94% to 17.08%). Earnings before interest and tax increased 100.0% (from 550.00 to 1,100.00 Rs. Lacs) on a relatively stable capital employed base (down 18.7% from 7,920.00 to 6,440.00 Rs. Lacs).</t>
        </is>
      </c>
    </row>
    <row r="17" ht="24" customHeight="1">
      <c r="A17" s="8" t="n">
        <v>11</v>
      </c>
      <c r="B17" s="9" t="inlineStr">
        <is>
          <t>Return on Investment</t>
        </is>
      </c>
      <c r="C17" s="9" t="inlineStr">
        <is>
          <t>Income from Investments</t>
        </is>
      </c>
      <c r="D17" s="9" t="inlineStr">
        <is>
          <t>Average Total Investments</t>
        </is>
      </c>
      <c r="E17" s="23" t="inlineStr">
        <is>
          <t>Not meaningful</t>
        </is>
      </c>
      <c r="F17" s="23" t="inlineStr">
        <is>
          <t>Not meaningful</t>
        </is>
      </c>
      <c r="G17" s="23" t="inlineStr">
        <is>
          <t>NM</t>
        </is>
      </c>
      <c r="H17" s="12" t="inlineStr">
        <is>
          <t>—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24" t="inlineStr">
        <is>
          <t>Assumptions and Basis of Preparation</t>
        </is>
      </c>
    </row>
    <row r="3">
      <c r="A3" s="25" t="inlineStr">
        <is>
          <t>Credit Sales Proportion</t>
        </is>
      </c>
      <c r="B3" s="26" t="inlineStr">
        <is>
          <t>The split between cash and credit sales is not disclosed in the financial statements. All sales have been treated as credit sales.</t>
        </is>
      </c>
    </row>
    <row r="4">
      <c r="A4" s="25" t="inlineStr">
        <is>
          <t>Credit Purchases Proportion</t>
        </is>
      </c>
      <c r="B4" s="26" t="inlineStr">
        <is>
          <t>The split between cash and credit purchases is not disclosed. All purchases have been treated as credit purchases.</t>
        </is>
      </c>
    </row>
    <row r="5">
      <c r="A5" s="25" t="inlineStr">
        <is>
          <t>Lease Payments</t>
        </is>
      </c>
      <c r="B5" s="26" t="inlineStr">
        <is>
          <t>Lease payments falling due during the year are not separately disclosed and have been taken as nil.</t>
        </is>
      </c>
    </row>
    <row r="6">
      <c r="A6" s="25" t="inlineStr">
        <is>
          <t>Preference Dividend</t>
        </is>
      </c>
      <c r="B6" s="26" t="inlineStr">
        <is>
          <t>No preference share capital is in issue; preference dividend is nil.</t>
        </is>
      </c>
    </row>
    <row r="7">
      <c r="A7" s="25" t="inlineStr">
        <is>
          <t>Income from Investments</t>
        </is>
      </c>
      <c r="B7" s="26" t="inlineStr">
        <is>
          <t>The entity holds no investments; income from investments is nil.</t>
        </is>
      </c>
    </row>
    <row r="8">
      <c r="A8" s="25" t="inlineStr">
        <is>
          <t>Include Short-Term Repayment in DSCR</t>
        </is>
      </c>
      <c r="B8" s="26" t="inlineStr">
        <is>
          <t>Repayment of short-term borrowings represents revolving working capital facilities and has been excluded from debt service.</t>
        </is>
      </c>
    </row>
    <row r="9">
      <c r="A9" s="25" t="inlineStr">
        <is>
          <t>Variance Flagging Threshold</t>
        </is>
      </c>
      <c r="B9" s="26" t="inlineStr">
        <is>
          <t>Variance threshold set to 25.0% per Schedule III guidelines.</t>
        </is>
      </c>
    </row>
    <row r="10">
      <c r="A10" s="25" t="inlineStr">
        <is>
          <t>Integrity Check Materiality Tolerance</t>
        </is>
      </c>
      <c r="B10" s="26" t="inlineStr">
        <is>
          <t>Materiality tolerance for rounding and integrity checks is 0.05.</t>
        </is>
      </c>
    </row>
    <row r="11">
      <c r="A11" s="25" t="inlineStr">
        <is>
          <t>Principal Repayment of Long-Term Borrowings</t>
        </is>
      </c>
      <c r="B11" s="26" t="inlineStr">
        <is>
          <t>CY: Principal repayment of long-term borrowings derived from movement in borrowings and cash flow proceeds. | PY: Principal repayment of long-term borrowings derived from movement in borrowings and cash flow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2026-09-03T23:36:19Z</dcterms:created>
  <dcterms:modified xmlns:dcterms="http://purl.org/dc/terms/" xmlns:xsi="http://www.w3.org/2001/XMLSchema-instance" xsi:type="dcterms:W3CDTF">2026-09-03T23:36:19Z</dcterms:modified>
</cp:coreProperties>
</file>