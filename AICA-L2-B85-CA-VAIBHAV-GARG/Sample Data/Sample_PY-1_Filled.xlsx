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7PIN\Desktop\Sample Data\"/>
    </mc:Choice>
  </mc:AlternateContent>
  <xr:revisionPtr revIDLastSave="0" documentId="8_{4F1F3157-9E5E-4DF6-BE0D-62474A3CC62E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BS" sheetId="1" r:id="rId1"/>
    <sheet name="PL " sheetId="2" r:id="rId2"/>
    <sheet name="CF" sheetId="3" r:id="rId3"/>
  </sheets>
  <externalReferences>
    <externalReference r:id="rId4"/>
    <externalReference r:id="rId5"/>
  </externalReferences>
  <definedNames>
    <definedName name="\FUNREMP" localSheetId="1">#N/A</definedName>
    <definedName name="\FUNREMP">#N/A</definedName>
    <definedName name="\VEHICLES" localSheetId="1">#N/A</definedName>
    <definedName name="\VEHICLES">#N/A</definedName>
    <definedName name="____________________DAT2" localSheetId="1">#REF!</definedName>
    <definedName name="____________________DAT2">#REF!</definedName>
    <definedName name="____________________DAT6" localSheetId="1">#REF!</definedName>
    <definedName name="____________________DAT6">#REF!</definedName>
    <definedName name="____________________DAT7" localSheetId="1">#REF!</definedName>
    <definedName name="____________________DAT7">#REF!</definedName>
    <definedName name="____________________DAT8" localSheetId="1">#REF!</definedName>
    <definedName name="____________________DAT8">#REF!</definedName>
    <definedName name="__________________DAT2" localSheetId="1">#REF!</definedName>
    <definedName name="__________________DAT2">#REF!</definedName>
    <definedName name="__________________DAT6" localSheetId="1">#REF!</definedName>
    <definedName name="__________________DAT6">#REF!</definedName>
    <definedName name="__________________DAT7" localSheetId="1">#REF!</definedName>
    <definedName name="__________________DAT7">#REF!</definedName>
    <definedName name="__________________DAT8" localSheetId="1">#REF!</definedName>
    <definedName name="__________________DAT8">#REF!</definedName>
    <definedName name="_________________DAT2" localSheetId="1">#REF!</definedName>
    <definedName name="_________________DAT2">#REF!</definedName>
    <definedName name="_________________DAT6" localSheetId="1">#REF!</definedName>
    <definedName name="_________________DAT6">#REF!</definedName>
    <definedName name="_________________DAT7" localSheetId="1">#REF!</definedName>
    <definedName name="_________________DAT7">#REF!</definedName>
    <definedName name="_________________DAT8" localSheetId="1">#REF!</definedName>
    <definedName name="_________________DAT8">#REF!</definedName>
    <definedName name="________________DAT2">#REF!</definedName>
    <definedName name="________________DAT6">#REF!</definedName>
    <definedName name="________________DAT7">#REF!</definedName>
    <definedName name="________________DAT8">#REF!</definedName>
    <definedName name="_______________DAT2">#REF!</definedName>
    <definedName name="_______________DAT6">#REF!</definedName>
    <definedName name="_______________DAT7">#REF!</definedName>
    <definedName name="_______________DAT8">#REF!</definedName>
    <definedName name="______________DAT2">#REF!</definedName>
    <definedName name="______________DAT6">#REF!</definedName>
    <definedName name="______________DAT7">#REF!</definedName>
    <definedName name="______________DAT8">#REF!</definedName>
    <definedName name="_____________DAT2" localSheetId="1">#REF!</definedName>
    <definedName name="_____________DAT2">#REF!</definedName>
    <definedName name="_____________DAT6" localSheetId="1">#REF!</definedName>
    <definedName name="_____________DAT6">#REF!</definedName>
    <definedName name="_____________DAT7" localSheetId="1">#REF!</definedName>
    <definedName name="_____________DAT7">#REF!</definedName>
    <definedName name="_____________DAT8" localSheetId="1">#REF!</definedName>
    <definedName name="_____________DAT8">#REF!</definedName>
    <definedName name="___________DAT2" localSheetId="1">#REF!</definedName>
    <definedName name="___________DAT2">#REF!</definedName>
    <definedName name="___________DAT6" localSheetId="1">#REF!</definedName>
    <definedName name="___________DAT6">#REF!</definedName>
    <definedName name="___________DAT7" localSheetId="1">#REF!</definedName>
    <definedName name="___________DAT7">#REF!</definedName>
    <definedName name="___________DAT8" localSheetId="1">#REF!</definedName>
    <definedName name="___________DAT8">#REF!</definedName>
    <definedName name="__________DAT2" localSheetId="1">#REF!</definedName>
    <definedName name="__________DAT2">#REF!</definedName>
    <definedName name="__________DAT6" localSheetId="1">#REF!</definedName>
    <definedName name="__________DAT6">#REF!</definedName>
    <definedName name="__________DAT7" localSheetId="1">#REF!</definedName>
    <definedName name="__________DAT7">#REF!</definedName>
    <definedName name="__________DAT8" localSheetId="1">#REF!</definedName>
    <definedName name="__________DAT8">#REF!</definedName>
    <definedName name="_________DAT2" localSheetId="1">#REF!</definedName>
    <definedName name="_________DAT2">#REF!</definedName>
    <definedName name="_________DAT6" localSheetId="1">#REF!</definedName>
    <definedName name="_________DAT6">#REF!</definedName>
    <definedName name="_________DAT7" localSheetId="1">#REF!</definedName>
    <definedName name="_________DAT7">#REF!</definedName>
    <definedName name="_________DAT8" localSheetId="1">#REF!</definedName>
    <definedName name="_________DAT8">#REF!</definedName>
    <definedName name="________DAT2" localSheetId="1">#REF!</definedName>
    <definedName name="________DAT2">#REF!</definedName>
    <definedName name="________DAT6" localSheetId="1">#REF!</definedName>
    <definedName name="________DAT6">#REF!</definedName>
    <definedName name="________DAT7" localSheetId="1">#REF!</definedName>
    <definedName name="________DAT7">#REF!</definedName>
    <definedName name="________DAT8" localSheetId="1">#REF!</definedName>
    <definedName name="________DAT8">#REF!</definedName>
    <definedName name="_______DAT2" localSheetId="1">#REF!</definedName>
    <definedName name="_______DAT2">#REF!</definedName>
    <definedName name="_______DAT6" localSheetId="1">#REF!</definedName>
    <definedName name="_______DAT6">#REF!</definedName>
    <definedName name="_______DAT7" localSheetId="1">#REF!</definedName>
    <definedName name="_______DAT7">#REF!</definedName>
    <definedName name="_______DAT8" localSheetId="1">#REF!</definedName>
    <definedName name="_______DAT8">#REF!</definedName>
    <definedName name="______DAT2" localSheetId="1">#REF!</definedName>
    <definedName name="______DAT2">#REF!</definedName>
    <definedName name="______DAT6" localSheetId="1">#REF!</definedName>
    <definedName name="______DAT6">#REF!</definedName>
    <definedName name="______DAT7" localSheetId="1">#REF!</definedName>
    <definedName name="______DAT7">#REF!</definedName>
    <definedName name="______DAT8" localSheetId="1">#REF!</definedName>
    <definedName name="______DAT8">#REF!</definedName>
    <definedName name="_____DAT2" localSheetId="1">#REF!</definedName>
    <definedName name="_____DAT2">#REF!</definedName>
    <definedName name="_____DAT6" localSheetId="1">#REF!</definedName>
    <definedName name="_____DAT6">#REF!</definedName>
    <definedName name="_____DAT7" localSheetId="1">#REF!</definedName>
    <definedName name="_____DAT7">#REF!</definedName>
    <definedName name="_____DAT8" localSheetId="1">#REF!</definedName>
    <definedName name="_____DAT8">#REF!</definedName>
    <definedName name="____DAT2" localSheetId="1">#REF!</definedName>
    <definedName name="____DAT2">#REF!</definedName>
    <definedName name="____DAT6" localSheetId="1">#REF!</definedName>
    <definedName name="____DAT6">#REF!</definedName>
    <definedName name="____DAT7" localSheetId="1">#REF!</definedName>
    <definedName name="____DAT7">#REF!</definedName>
    <definedName name="____DAT8" localSheetId="1">#REF!</definedName>
    <definedName name="____DAT8">#REF!</definedName>
    <definedName name="___DAT2" localSheetId="1">#REF!</definedName>
    <definedName name="___DAT2">#REF!</definedName>
    <definedName name="___DAT6" localSheetId="1">#REF!</definedName>
    <definedName name="___DAT6">#REF!</definedName>
    <definedName name="___DAT7" localSheetId="1">#REF!</definedName>
    <definedName name="___DAT7">#REF!</definedName>
    <definedName name="___DAT8" localSheetId="1">#REF!</definedName>
    <definedName name="___DAT8">#REF!</definedName>
    <definedName name="__123Graph_B" localSheetId="1" hidden="1">#REF!</definedName>
    <definedName name="__123Graph_B" hidden="1">#REF!</definedName>
    <definedName name="__123Graph_D" localSheetId="1" hidden="1">#REF!</definedName>
    <definedName name="__123Graph_D" hidden="1">#REF!</definedName>
    <definedName name="__123Graph_F" localSheetId="1" hidden="1">#REF!</definedName>
    <definedName name="__123Graph_F" hidden="1">#REF!</definedName>
    <definedName name="__123Graph_X" localSheetId="1" hidden="1">#REF!</definedName>
    <definedName name="__123Graph_X" hidden="1">#REF!</definedName>
    <definedName name="__DAT2" localSheetId="1">'[1]cwip-detl-auc'!#REF!</definedName>
    <definedName name="__DAT2">'[1]cwip-detl-auc'!#REF!</definedName>
    <definedName name="__DAT6" localSheetId="1">'[1]cwip-detl-auc'!#REF!</definedName>
    <definedName name="__DAT6">'[1]cwip-detl-auc'!#REF!</definedName>
    <definedName name="__DAT7" localSheetId="1">'[1]cwip-detl-auc'!#REF!</definedName>
    <definedName name="__DAT7">'[1]cwip-detl-auc'!#REF!</definedName>
    <definedName name="__DAT8" localSheetId="1">'[1]cwip-detl-auc'!#REF!</definedName>
    <definedName name="__DAT8">'[1]cwip-detl-auc'!#REF!</definedName>
    <definedName name="_1_100000" localSheetId="1">#N/A</definedName>
    <definedName name="_1_100000">#N/A</definedName>
    <definedName name="_DAT2" localSheetId="1">'[1]cwip-detl-auc'!#REF!</definedName>
    <definedName name="_DAT2">'[1]cwip-detl-auc'!#REF!</definedName>
    <definedName name="_DAT6" localSheetId="1">'[1]cwip-detl-auc'!#REF!</definedName>
    <definedName name="_DAT6">'[1]cwip-detl-auc'!#REF!</definedName>
    <definedName name="_DAT7" localSheetId="1">'[1]cwip-detl-auc'!#REF!</definedName>
    <definedName name="_DAT7">'[1]cwip-detl-auc'!#REF!</definedName>
    <definedName name="_DAT8" localSheetId="1">'[1]cwip-detl-auc'!#REF!</definedName>
    <definedName name="_DAT8">'[1]cwip-detl-auc'!#REF!</definedName>
    <definedName name="_Key1" localSheetId="1" hidden="1">'[2]SALE OF ASSETS'!#REF!</definedName>
    <definedName name="_Key1" hidden="1">'[2]SALE OF ASSETS'!#REF!</definedName>
    <definedName name="_Key2" localSheetId="1" hidden="1">'[2]SALE OF ASSETS'!#REF!</definedName>
    <definedName name="_Key2" hidden="1">'[2]SALE OF ASSETS'!#REF!</definedName>
    <definedName name="_Order1" hidden="1">255</definedName>
    <definedName name="_Sort" localSheetId="1" hidden="1">'[2]SALE OF ASSETS'!#REF!</definedName>
    <definedName name="_Sort" hidden="1">'[2]SALE OF ASSETS'!#REF!</definedName>
    <definedName name="A">NA()</definedName>
    <definedName name="aa" localSheetId="1">#N/A</definedName>
    <definedName name="aa">#N/A</definedName>
    <definedName name="AAA" localSheetId="1">#N/A</definedName>
    <definedName name="AAA">#N/A</definedName>
    <definedName name="ab" localSheetId="1">#REF!</definedName>
    <definedName name="ab">#REF!</definedName>
    <definedName name="AdminCon" localSheetId="1">[1]e!#REF!</definedName>
    <definedName name="AdminCon">[1]e!#REF!</definedName>
    <definedName name="Aunconsidered" localSheetId="1">#N/A</definedName>
    <definedName name="Aunconsidered">#N/A</definedName>
    <definedName name="AWB">NA()</definedName>
    <definedName name="b" localSheetId="1">#N/A</definedName>
    <definedName name="b">#N/A</definedName>
    <definedName name="BACK" localSheetId="1">[1]e!#REF!</definedName>
    <definedName name="BACK">[1]e!#REF!</definedName>
    <definedName name="BE">NA()</definedName>
    <definedName name="BSCCPL">NA()</definedName>
    <definedName name="BuiltIn_Print_Area" localSheetId="1">#N/A</definedName>
    <definedName name="BuiltIn_Print_Area">#N/A</definedName>
    <definedName name="BuiltIn_Print_Area___0" localSheetId="1">#N/A</definedName>
    <definedName name="BuiltIn_Print_Area___0">#N/A</definedName>
    <definedName name="BuiltIn_Print_Area___0___0" localSheetId="1">#N/A</definedName>
    <definedName name="BuiltIn_Print_Area___0___0">#N/A</definedName>
    <definedName name="BuiltIn_Print_Area___0___0___0" localSheetId="1">#N/A</definedName>
    <definedName name="BuiltIn_Print_Area___0___0___0">#N/A</definedName>
    <definedName name="BuiltIn_Print_Area___0___0___0___0" localSheetId="1">#N/A</definedName>
    <definedName name="BuiltIn_Print_Area___0___0___0___0">#N/A</definedName>
    <definedName name="BuiltIn_Print_Titles" localSheetId="1">#N/A</definedName>
    <definedName name="BuiltIn_Print_Titles">#N/A</definedName>
    <definedName name="BuiltIn_Print_Titles___0" localSheetId="1">#N/A</definedName>
    <definedName name="BuiltIn_Print_Titles___0">#N/A</definedName>
    <definedName name="BuiltIn_Print_Titles___0___0" localSheetId="1">#N/A</definedName>
    <definedName name="BuiltIn_Print_Titles___0___0">#N/A</definedName>
    <definedName name="BuiltIn_Print_Titles___0___0___0" localSheetId="1">#N/A</definedName>
    <definedName name="BuiltIn_Print_Titles___0___0___0">#N/A</definedName>
    <definedName name="BuiltIn_Print_Titles___0___0___0___0" localSheetId="1">#N/A</definedName>
    <definedName name="BuiltIn_Print_Titles___0___0___0___0">#N/A</definedName>
    <definedName name="CHFES" localSheetId="1">#REF!</definedName>
    <definedName name="CHFES">#REF!</definedName>
    <definedName name="FsheetRrep" localSheetId="1">[1]f!#REF!</definedName>
    <definedName name="FsheetRrep">[1]f!#REF!</definedName>
    <definedName name="GSheetCAL" localSheetId="1">[1]g!#REF!</definedName>
    <definedName name="GSheetCAL">[1]g!#REF!</definedName>
    <definedName name="IIL">NA()</definedName>
    <definedName name="l">100000</definedName>
    <definedName name="lacs" localSheetId="1">#N/A</definedName>
    <definedName name="lacs">#N/A</definedName>
    <definedName name="OFFAPPL" localSheetId="1">#N/A</definedName>
    <definedName name="OFFAPPL">#N/A</definedName>
    <definedName name="_xlnm.Print_Area" localSheetId="0">BS!$A$1:$E$52</definedName>
    <definedName name="_xlnm.Print_Area" localSheetId="2">CF!$A$1:$G$48</definedName>
    <definedName name="_xlnm.Print_Area" localSheetId="1">'PL '!$A$1:$E$32</definedName>
    <definedName name="PRINT_AREA_MI" localSheetId="1">#N/A</definedName>
    <definedName name="PRINT_AREA_MI">#N/A</definedName>
    <definedName name="RS">#N/A</definedName>
    <definedName name="SCH">#REF!</definedName>
    <definedName name="Sch3Fixed" localSheetId="1" hidden="1">#REF!</definedName>
    <definedName name="Sch3Fixed" hidden="1">#REF!</definedName>
    <definedName name="sdgws" localSheetId="1" hidden="1">#REF!</definedName>
    <definedName name="sdgws" hidden="1">#REF!</definedName>
    <definedName name="tr" localSheetId="1">#N/A</definedName>
    <definedName name="tr">#N/A</definedName>
    <definedName name="unnamed" localSheetId="1">#N/A</definedName>
    <definedName name="unnamed">#N/A</definedName>
    <definedName name="unnamed_0" localSheetId="1">#N/A</definedName>
    <definedName name="unnamed_0">#N/A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8" i="3" l="1"/>
  <c r="E48" i="3"/>
  <c r="G38" i="3"/>
  <c r="E38" i="3"/>
  <c r="G32" i="3"/>
  <c r="E32" i="3"/>
  <c r="E24" i="3"/>
  <c r="E26" i="3" s="1"/>
  <c r="E40" i="3" s="1"/>
  <c r="E42" i="3" s="1"/>
  <c r="J48" i="3" s="1"/>
  <c r="G13" i="3"/>
  <c r="G24" i="3" s="1"/>
  <c r="G26" i="3" s="1"/>
  <c r="E13" i="3"/>
  <c r="E21" i="2"/>
  <c r="D21" i="2"/>
  <c r="D23" i="2" s="1"/>
  <c r="D30" i="2" s="1"/>
  <c r="E12" i="2"/>
  <c r="E23" i="2" s="1"/>
  <c r="E30" i="2" s="1"/>
  <c r="D12" i="2"/>
  <c r="E48" i="1"/>
  <c r="E50" i="1" s="1"/>
  <c r="D48" i="1"/>
  <c r="D50" i="1" s="1"/>
  <c r="E41" i="1"/>
  <c r="D41" i="1"/>
  <c r="E28" i="1"/>
  <c r="E26" i="1"/>
  <c r="D26" i="1"/>
  <c r="D28" i="1" s="1"/>
  <c r="E20" i="1"/>
  <c r="D20" i="1"/>
  <c r="E13" i="1"/>
  <c r="D13" i="1"/>
  <c r="G40" i="3" l="1"/>
  <c r="G42" i="3" s="1"/>
</calcChain>
</file>

<file path=xl/sharedStrings.xml><?xml version="1.0" encoding="utf-8"?>
<sst xmlns="http://schemas.openxmlformats.org/spreadsheetml/2006/main" count="142" uniqueCount="126">
  <si>
    <t>Balance Sheet as at 31 March 2025</t>
  </si>
  <si>
    <t>(Rs. in Lacs)</t>
  </si>
  <si>
    <t>Particulars</t>
  </si>
  <si>
    <t>Note No.</t>
  </si>
  <si>
    <t>As at March 31 2025</t>
  </si>
  <si>
    <t>As at March 31 2024</t>
  </si>
  <si>
    <t>EQUITY AND LIABILITIES</t>
  </si>
  <si>
    <t>Shareholders’ Funds</t>
  </si>
  <si>
    <t>(a)</t>
  </si>
  <si>
    <t>Share Capital</t>
  </si>
  <si>
    <t>(b)</t>
  </si>
  <si>
    <t>Reserves and Surplus</t>
  </si>
  <si>
    <t>Non-Current Liabilities</t>
  </si>
  <si>
    <t xml:space="preserve">(a) </t>
  </si>
  <si>
    <t>Long-term Borrowings</t>
  </si>
  <si>
    <t xml:space="preserve">(b) </t>
  </si>
  <si>
    <t>Deferred Tax Liabilities (Net)</t>
  </si>
  <si>
    <t xml:space="preserve">(c) </t>
  </si>
  <si>
    <t>Other Long Term Liabilities (Net)</t>
  </si>
  <si>
    <t>(d)</t>
  </si>
  <si>
    <t>Long Term Provisions</t>
  </si>
  <si>
    <t>Current Liabilities</t>
  </si>
  <si>
    <t>Short-Term Borrowings</t>
  </si>
  <si>
    <t>Trade Payables</t>
  </si>
  <si>
    <t>Other Current Liabilities</t>
  </si>
  <si>
    <t>Short-Term Provisions</t>
  </si>
  <si>
    <t>TOTAL EQUITY AND LIABILITIES</t>
  </si>
  <si>
    <t>ASSETS</t>
  </si>
  <si>
    <t>Non-Current Assets</t>
  </si>
  <si>
    <t>Fixed Assets</t>
  </si>
  <si>
    <t xml:space="preserve">(i) </t>
  </si>
  <si>
    <t>Tangible Assets</t>
  </si>
  <si>
    <t xml:space="preserve">(ii) </t>
  </si>
  <si>
    <t>Intangible Assets</t>
  </si>
  <si>
    <t xml:space="preserve">(iii) </t>
  </si>
  <si>
    <t>Capital Work-in-Progress</t>
  </si>
  <si>
    <t>(b) Non-Current Investments</t>
  </si>
  <si>
    <t>Deferred tax assets (Net)</t>
  </si>
  <si>
    <t>Other non current assets</t>
  </si>
  <si>
    <t>Other Non-current Assets</t>
  </si>
  <si>
    <t>Current Assets</t>
  </si>
  <si>
    <t>Inventories</t>
  </si>
  <si>
    <t>Trade Receivables</t>
  </si>
  <si>
    <t>Cash and Cash Equivalents</t>
  </si>
  <si>
    <t>Short-Term Loans and Advances</t>
  </si>
  <si>
    <t>(e)</t>
  </si>
  <si>
    <t>Other Current Assets</t>
  </si>
  <si>
    <t>TOTAL ASSETS</t>
  </si>
  <si>
    <t>Statement of Profit and Loss for the year ended 31 March 2025</t>
  </si>
  <si>
    <t>(Rs. In lacs)</t>
  </si>
  <si>
    <t>For the year ended  31.03.2025</t>
  </si>
  <si>
    <t>For the year ended  31.03.2024</t>
  </si>
  <si>
    <t>I.</t>
  </si>
  <si>
    <t>Revenue from Operations (Gross)</t>
  </si>
  <si>
    <t>Less : GST</t>
  </si>
  <si>
    <t>Revenue from Operations (Net)</t>
  </si>
  <si>
    <t>II.</t>
  </si>
  <si>
    <t>Other Income</t>
  </si>
  <si>
    <t>III.</t>
  </si>
  <si>
    <t>Total Revenue (I + II)</t>
  </si>
  <si>
    <t>IV</t>
  </si>
  <si>
    <t>Expenses:</t>
  </si>
  <si>
    <t>(a) Cost of Materials Consumed</t>
  </si>
  <si>
    <t>(b) Changes in Inventories of finished goods , Work-in-progress and Stock-in-Trade</t>
  </si>
  <si>
    <t>(c) Employee Benefit Expenses</t>
  </si>
  <si>
    <t>(d) Finance Costs</t>
  </si>
  <si>
    <t>(e) Depreciation and Amortisation Expenses</t>
  </si>
  <si>
    <t>(f) Other Expenses</t>
  </si>
  <si>
    <t>Total Expenses</t>
  </si>
  <si>
    <t>V.</t>
  </si>
  <si>
    <t>Profit/(Loss) Before Tax</t>
  </si>
  <si>
    <t>VI.</t>
  </si>
  <si>
    <t>Tax Expense:</t>
  </si>
  <si>
    <t>Current tax</t>
  </si>
  <si>
    <t>Deferred tax</t>
  </si>
  <si>
    <t>Tax Adjustment Earlier Years</t>
  </si>
  <si>
    <t>VII.</t>
  </si>
  <si>
    <t>Profit/(Loss)  for the Year</t>
  </si>
  <si>
    <t>Cash Flow Statement for the year ended 31 March 2025</t>
  </si>
  <si>
    <t>(Rs. In Lacs)</t>
  </si>
  <si>
    <t>For the year ended 31 March 2025</t>
  </si>
  <si>
    <t>For the year ended 31 March 2024</t>
  </si>
  <si>
    <t>A.</t>
  </si>
  <si>
    <t>Cash flows from Operating Activities</t>
  </si>
  <si>
    <t>Profit/(Loss) before tax</t>
  </si>
  <si>
    <t>Adjustments for :</t>
  </si>
  <si>
    <t>Depreciation</t>
  </si>
  <si>
    <t xml:space="preserve">Interest income </t>
  </si>
  <si>
    <t>Misc expenses w/off</t>
  </si>
  <si>
    <t>Interest expenses</t>
  </si>
  <si>
    <t>Operating profit/ (loss) before changes in working capital</t>
  </si>
  <si>
    <t xml:space="preserve">Adjustments for changes in Working Capital </t>
  </si>
  <si>
    <t>(Increase)/Decrease in Trade Receivable</t>
  </si>
  <si>
    <t>(Increase)/Decrease in Short Term Loans and Advances</t>
  </si>
  <si>
    <t>(Increase)/Decrease in Long Term Loans and Advances</t>
  </si>
  <si>
    <t>(Increase)/Decrease in Other Current Assets</t>
  </si>
  <si>
    <t>(Increase)/Decrease in Inventories</t>
  </si>
  <si>
    <t>Increase/(Decrease) in Trade Payable</t>
  </si>
  <si>
    <t>Increase/(Decrease) in Non Current Liabilities</t>
  </si>
  <si>
    <t>Increase/(Decrease) in Other Current Liabilities</t>
  </si>
  <si>
    <t>Increase/(Decrease) in Short Term Provisions</t>
  </si>
  <si>
    <t>Cash generated from Operations</t>
  </si>
  <si>
    <t>Income tax paid (net of refunds)/Tax Adjustments</t>
  </si>
  <si>
    <t>Net Cash flow from Operating activities</t>
  </si>
  <si>
    <t>A</t>
  </si>
  <si>
    <t>B.</t>
  </si>
  <si>
    <t>Cash flows from Investing Activities</t>
  </si>
  <si>
    <t>Purchases of fixed assets</t>
  </si>
  <si>
    <t>(Increase)/Decrease in capital work-in-progress</t>
  </si>
  <si>
    <t>Net Cash flow used in Investing activities</t>
  </si>
  <si>
    <t>B</t>
  </si>
  <si>
    <t>C.</t>
  </si>
  <si>
    <t>Cash flows from Financing Activities</t>
  </si>
  <si>
    <t>Proceeds from long-term borrowings</t>
  </si>
  <si>
    <t>Repayments of short term borrowings</t>
  </si>
  <si>
    <t>Interest paid</t>
  </si>
  <si>
    <t>Net Cash flow generated from Financing Activities</t>
  </si>
  <si>
    <t>C</t>
  </si>
  <si>
    <t>Net Increase/(decrease) in cash and cash equivalents (A+B+C)</t>
  </si>
  <si>
    <t>Cash and cash Equivalents at the beginning of the year</t>
  </si>
  <si>
    <t>Cash and cash Equivalents at the end of the year</t>
  </si>
  <si>
    <t>Cash and cash equivalents include :</t>
  </si>
  <si>
    <t>Cash in hand</t>
  </si>
  <si>
    <t>Balance with banks :</t>
  </si>
  <si>
    <t>(i) In current accounts</t>
  </si>
  <si>
    <t>(ii) In margin money with maturity less than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</si>
</sst>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\ ?/1000"/>
    <numFmt numFmtId="165" formatCode="General_)"/>
    <numFmt numFmtId="166" formatCode="0.000"/>
    <numFmt numFmtId="167" formatCode="#,##0.000"/>
    <numFmt numFmtId="168" formatCode="_ * #,##0.00_)\£_ ;_ * \(#,##0.00&quot;)£&quot;_ ;_ * \-??_)\£_ ;_ @_ "/>
    <numFmt numFmtId="169" formatCode="_ * #,##0.00_)_£_ ;_ * \(#,##0.00\)_£_ ;_ * \-??_)_£_ ;_ @_ "/>
    <numFmt numFmtId="170" formatCode="_(* #,##0.00_);_(* \(#,##0.00\);_(* \-??_);_(@_)"/>
    <numFmt numFmtId="171" formatCode="_ * #,##0.00_ ;_ * \-#,##0.00_ ;_ * \-??_ ;_ @_ "/>
    <numFmt numFmtId="172" formatCode="#,##0;\(#,##0\)"/>
    <numFmt numFmtId="173" formatCode="_-* #,##0.00&quot; DM&quot;_-;\-* #,##0.00&quot; DM&quot;_-;_-* \-??&quot; DM&quot;_-;_-@_-"/>
    <numFmt numFmtId="174" formatCode="m/d/yyyy"/>
    <numFmt numFmtId="175" formatCode="#,##0_);[Red]\(#,##0\)"/>
    <numFmt numFmtId="176" formatCode="_ [$€]* #,##0.00_ ;_ [$€]* \-#,##0.00_ ;_ [$€]* \-??_ ;_ @_ "/>
    <numFmt numFmtId="177" formatCode="#,##0.00&quot; DM&quot;;[Red]\-#,##0.00&quot; DM&quot;"/>
    <numFmt numFmtId="178" formatCode="_-* #,##0\ _D_M_-;\-* #,##0\ _D_M_-;_-* &quot;- &quot;_D_M_-;_-@_-"/>
    <numFmt numFmtId="179" formatCode="0.0"/>
    <numFmt numFmtId="180" formatCode="#,##0_);\(#,##0\)"/>
    <numFmt numFmtId="181" formatCode="0.00_)"/>
    <numFmt numFmtId="182" formatCode="_-* #,##0\ _F_-;\-* #,##0\ _F_-;_-* &quot;- &quot;_F_-;_-@_-"/>
    <numFmt numFmtId="183" formatCode="_ * #,##0_ ;_ * \-#,##0_ ;_ * \-_ ;_ @_ "/>
    <numFmt numFmtId="184" formatCode="#,##0&quot; F&quot;;[Red]\-#,##0&quot; F&quot;"/>
    <numFmt numFmtId="185" formatCode="#,##0.00&quot; F&quot;;\-#,##0.00&quot; F&quot;"/>
    <numFmt numFmtId="186" formatCode="#,##0.00_);[Red]\(#,##0.00\)"/>
    <numFmt numFmtId="187" formatCode="0_);\(0\)"/>
    <numFmt numFmtId="188" formatCode="_(* #,##0.0000_);_(* \(#,##0.0000\);_(* \-??_);_(@_)"/>
    <numFmt numFmtId="189" formatCode="_(* #,##0.00000_);_(* \(#,##0.00000\);_(* \-??_);_(@_)"/>
    <numFmt numFmtId="190" formatCode="_(* #,##0_);_(* \(#,##0\);_(* \-??_);_(@_)"/>
    <numFmt numFmtId="191" formatCode="_-* #,##0.00_-;\-* #,##0.00_-;_-* \-??_-;_-@_-"/>
    <numFmt numFmtId="192" formatCode="_-* #,##0_-;\-* #,##0_-;_-* \-??_-;_-@_-"/>
    <numFmt numFmtId="193" formatCode="#,##0.00_);\(#,##0.00\)"/>
    <numFmt numFmtId="194" formatCode="_(* #,##0.00_);_(* \(#,##0.00\);_(* \-_);_(@_)"/>
  </numFmts>
  <fonts count="3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sz val="10"/>
      <color rgb="FF000000"/>
      <name val="Arial"/>
      <family val="2"/>
      <charset val="1"/>
    </font>
    <font>
      <sz val="12"/>
      <name val="Arial"/>
      <charset val="1"/>
    </font>
    <font>
      <sz val="9"/>
      <name val="Times New Roman"/>
      <family val="1"/>
      <charset val="1"/>
    </font>
    <font>
      <b/>
      <sz val="10"/>
      <color rgb="FF3366FF"/>
      <name val="Arial"/>
      <family val="2"/>
      <charset val="1"/>
    </font>
    <font>
      <sz val="10"/>
      <name val="MS Sans Serif"/>
      <family val="2"/>
      <charset val="1"/>
    </font>
    <font>
      <b/>
      <sz val="10"/>
      <color rgb="FFFF0000"/>
      <name val="Arial"/>
      <family val="2"/>
      <charset val="1"/>
    </font>
    <font>
      <sz val="8"/>
      <name val="Arial"/>
      <family val="2"/>
      <charset val="1"/>
    </font>
    <font>
      <b/>
      <sz val="12"/>
      <name val="Arial"/>
      <family val="2"/>
      <charset val="1"/>
    </font>
    <font>
      <u/>
      <sz val="8"/>
      <color rgb="FF0000FF"/>
      <name val="Times New Roman"/>
      <family val="1"/>
      <charset val="1"/>
    </font>
    <font>
      <b/>
      <sz val="10"/>
      <name val="Times New Roman"/>
      <family val="1"/>
      <charset val="1"/>
    </font>
    <font>
      <sz val="7"/>
      <name val="Small Fonts"/>
      <family val="2"/>
      <charset val="1"/>
    </font>
    <font>
      <b/>
      <i/>
      <sz val="16"/>
      <name val="Arial"/>
      <charset val="1"/>
    </font>
    <font>
      <sz val="11"/>
      <color theme="1"/>
      <name val="Book Antiqua"/>
      <family val="2"/>
      <charset val="1"/>
    </font>
    <font>
      <sz val="12"/>
      <name val="Arial"/>
      <family val="2"/>
      <charset val="1"/>
    </font>
    <font>
      <b/>
      <sz val="10"/>
      <name val="Arial"/>
      <family val="2"/>
      <charset val="1"/>
    </font>
    <font>
      <b/>
      <sz val="11"/>
      <name val="Times New Roman"/>
      <family val="1"/>
      <charset val="1"/>
    </font>
    <font>
      <sz val="10"/>
      <color rgb="FF808000"/>
      <name val="Arial"/>
      <family val="2"/>
      <charset val="1"/>
    </font>
    <font>
      <sz val="11"/>
      <name val="ＭＳ Ｐゴシック"/>
      <family val="3"/>
      <charset val="128"/>
    </font>
    <font>
      <sz val="11"/>
      <color theme="1"/>
      <name val="Times New Roman"/>
      <family val="1"/>
      <charset val="1"/>
    </font>
    <font>
      <b/>
      <i/>
      <sz val="1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b/>
      <i/>
      <sz val="11"/>
      <color theme="1"/>
      <name val="Times New Roman"/>
      <family val="1"/>
      <charset val="1"/>
    </font>
    <font>
      <sz val="11"/>
      <name val="Times New Roman"/>
      <family val="1"/>
      <charset val="1"/>
    </font>
    <font>
      <u/>
      <sz val="10"/>
      <color rgb="FF0000FF"/>
      <name val="Arial"/>
      <family val="2"/>
      <charset val="1"/>
    </font>
    <font>
      <b/>
      <u/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9"/>
      <color rgb="FF111111"/>
      <name val="Arial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</fills>
  <borders count="18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185">
    <xf numFmtId="0" fontId="0" fillId="0" borderId="0"/>
    <xf numFmtId="170" fontId="30" fillId="0" borderId="0"/>
    <xf numFmtId="0" fontId="26" fillId="0" borderId="0">
      <alignment vertical="top"/>
      <protection locked="0"/>
    </xf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" fillId="0" borderId="0"/>
    <xf numFmtId="0" fontId="1" fillId="0" borderId="0"/>
    <xf numFmtId="164" fontId="4" fillId="0" borderId="0"/>
    <xf numFmtId="165" fontId="5" fillId="0" borderId="0"/>
    <xf numFmtId="166" fontId="5" fillId="0" borderId="0"/>
    <xf numFmtId="167" fontId="4" fillId="0" borderId="0"/>
    <xf numFmtId="168" fontId="1" fillId="0" borderId="0"/>
    <xf numFmtId="168" fontId="1" fillId="0" borderId="0"/>
    <xf numFmtId="164" fontId="4" fillId="0" borderId="0"/>
    <xf numFmtId="169" fontId="1" fillId="0" borderId="0"/>
    <xf numFmtId="169" fontId="1" fillId="0" borderId="0"/>
    <xf numFmtId="165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30" fillId="0" borderId="0"/>
    <xf numFmtId="170" fontId="30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" fillId="0" borderId="0"/>
    <xf numFmtId="170" fontId="2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2" fillId="0" borderId="0"/>
    <xf numFmtId="170" fontId="1" fillId="0" borderId="0"/>
    <xf numFmtId="170" fontId="30" fillId="0" borderId="0"/>
    <xf numFmtId="170" fontId="30" fillId="0" borderId="0"/>
    <xf numFmtId="170" fontId="30" fillId="0" borderId="0"/>
    <xf numFmtId="171" fontId="30" fillId="0" borderId="0"/>
    <xf numFmtId="170" fontId="30" fillId="0" borderId="0"/>
    <xf numFmtId="170" fontId="30" fillId="0" borderId="0"/>
    <xf numFmtId="170" fontId="30" fillId="0" borderId="0"/>
    <xf numFmtId="170" fontId="30" fillId="0" borderId="0"/>
    <xf numFmtId="164" fontId="4" fillId="0" borderId="0"/>
    <xf numFmtId="165" fontId="5" fillId="0" borderId="0"/>
    <xf numFmtId="172" fontId="6" fillId="0" borderId="0">
      <protection locked="0"/>
    </xf>
    <xf numFmtId="173" fontId="1" fillId="0" borderId="0">
      <protection locked="0"/>
    </xf>
    <xf numFmtId="173" fontId="1" fillId="0" borderId="0">
      <protection locked="0"/>
    </xf>
    <xf numFmtId="174" fontId="3" fillId="0" borderId="0"/>
    <xf numFmtId="173" fontId="1" fillId="0" borderId="0">
      <protection locked="0"/>
    </xf>
    <xf numFmtId="175" fontId="7" fillId="0" borderId="1">
      <alignment vertical="center"/>
    </xf>
    <xf numFmtId="172" fontId="8" fillId="0" borderId="2"/>
    <xf numFmtId="164" fontId="4" fillId="0" borderId="0"/>
    <xf numFmtId="165" fontId="5" fillId="0" borderId="0"/>
    <xf numFmtId="164" fontId="4" fillId="0" borderId="0"/>
    <xf numFmtId="169" fontId="1" fillId="0" borderId="0"/>
    <xf numFmtId="169" fontId="1" fillId="0" borderId="0"/>
    <xf numFmtId="165" fontId="5" fillId="0" borderId="0"/>
    <xf numFmtId="176" fontId="1" fillId="0" borderId="0"/>
    <xf numFmtId="176" fontId="1" fillId="0" borderId="0"/>
    <xf numFmtId="177" fontId="1" fillId="0" borderId="0">
      <protection locked="0"/>
    </xf>
    <xf numFmtId="177" fontId="1" fillId="0" borderId="0">
      <protection locked="0"/>
    </xf>
    <xf numFmtId="175" fontId="9" fillId="2" borderId="0"/>
    <xf numFmtId="175" fontId="9" fillId="2" borderId="0"/>
    <xf numFmtId="0" fontId="10" fillId="0" borderId="3">
      <alignment horizontal="left" vertical="center"/>
    </xf>
    <xf numFmtId="0" fontId="10" fillId="0" borderId="4">
      <alignment horizontal="left" vertical="center"/>
    </xf>
    <xf numFmtId="178" fontId="1" fillId="0" borderId="0">
      <protection locked="0"/>
    </xf>
    <xf numFmtId="178" fontId="1" fillId="0" borderId="0">
      <protection locked="0"/>
    </xf>
    <xf numFmtId="178" fontId="1" fillId="0" borderId="0">
      <protection locked="0"/>
    </xf>
    <xf numFmtId="178" fontId="1" fillId="0" borderId="0"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10" fontId="9" fillId="3" borderId="5"/>
    <xf numFmtId="10" fontId="9" fillId="3" borderId="5"/>
    <xf numFmtId="0" fontId="1" fillId="0" borderId="6">
      <alignment horizontal="center"/>
    </xf>
    <xf numFmtId="0" fontId="1" fillId="0" borderId="6">
      <alignment horizontal="center"/>
    </xf>
    <xf numFmtId="164" fontId="4" fillId="0" borderId="0"/>
    <xf numFmtId="165" fontId="5" fillId="0" borderId="0"/>
    <xf numFmtId="164" fontId="4" fillId="0" borderId="0"/>
    <xf numFmtId="169" fontId="1" fillId="0" borderId="0"/>
    <xf numFmtId="169" fontId="1" fillId="0" borderId="0"/>
    <xf numFmtId="165" fontId="5" fillId="0" borderId="0"/>
    <xf numFmtId="179" fontId="12" fillId="0" borderId="7">
      <alignment horizontal="right"/>
    </xf>
    <xf numFmtId="180" fontId="13" fillId="0" borderId="0"/>
    <xf numFmtId="181" fontId="14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>
      <alignment readingOrder="1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2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5" fillId="0" borderId="0"/>
    <xf numFmtId="0" fontId="1" fillId="0" borderId="0"/>
    <xf numFmtId="0" fontId="16" fillId="0" borderId="0"/>
    <xf numFmtId="0" fontId="16" fillId="0" borderId="0"/>
    <xf numFmtId="1" fontId="17" fillId="0" borderId="5">
      <alignment horizontal="center" vertical="top" wrapText="1"/>
    </xf>
    <xf numFmtId="1" fontId="17" fillId="0" borderId="5">
      <alignment horizontal="center" vertical="top" wrapText="1"/>
    </xf>
    <xf numFmtId="1" fontId="17" fillId="0" borderId="5">
      <alignment horizontal="center" vertical="top" wrapText="1"/>
    </xf>
    <xf numFmtId="9" fontId="1" fillId="0" borderId="0"/>
    <xf numFmtId="9" fontId="1" fillId="0" borderId="0"/>
    <xf numFmtId="182" fontId="1" fillId="0" borderId="0"/>
    <xf numFmtId="182" fontId="1" fillId="0" borderId="0"/>
    <xf numFmtId="168" fontId="1" fillId="0" borderId="0"/>
    <xf numFmtId="168" fontId="1" fillId="0" borderId="0"/>
    <xf numFmtId="10" fontId="1" fillId="0" borderId="0"/>
    <xf numFmtId="10" fontId="1" fillId="0" borderId="0"/>
    <xf numFmtId="164" fontId="4" fillId="0" borderId="0"/>
    <xf numFmtId="165" fontId="5" fillId="0" borderId="0"/>
    <xf numFmtId="164" fontId="4" fillId="0" borderId="0"/>
    <xf numFmtId="169" fontId="1" fillId="0" borderId="0"/>
    <xf numFmtId="169" fontId="1" fillId="0" borderId="0"/>
    <xf numFmtId="165" fontId="5" fillId="0" borderId="0"/>
    <xf numFmtId="1" fontId="1" fillId="0" borderId="6">
      <alignment horizontal="center" vertical="center"/>
    </xf>
    <xf numFmtId="1" fontId="1" fillId="0" borderId="6">
      <alignment horizontal="center" vertical="center"/>
    </xf>
    <xf numFmtId="183" fontId="1" fillId="0" borderId="0"/>
    <xf numFmtId="0" fontId="1" fillId="0" borderId="0"/>
    <xf numFmtId="0" fontId="1" fillId="0" borderId="0"/>
    <xf numFmtId="49" fontId="3" fillId="0" borderId="0"/>
    <xf numFmtId="184" fontId="1" fillId="0" borderId="0"/>
    <xf numFmtId="184" fontId="1" fillId="0" borderId="0"/>
    <xf numFmtId="185" fontId="1" fillId="0" borderId="0"/>
    <xf numFmtId="185" fontId="1" fillId="0" borderId="0"/>
    <xf numFmtId="186" fontId="18" fillId="0" borderId="0"/>
    <xf numFmtId="1" fontId="17" fillId="0" borderId="8">
      <alignment horizontal="left" vertical="center"/>
    </xf>
    <xf numFmtId="1" fontId="17" fillId="0" borderId="8">
      <alignment horizontal="left" vertical="center"/>
    </xf>
    <xf numFmtId="1" fontId="17" fillId="0" borderId="8">
      <alignment horizontal="left" vertical="center"/>
    </xf>
    <xf numFmtId="1" fontId="17" fillId="0" borderId="6">
      <alignment horizontal="left" vertical="center"/>
    </xf>
    <xf numFmtId="1" fontId="17" fillId="0" borderId="6">
      <alignment horizontal="left" vertical="center"/>
    </xf>
    <xf numFmtId="1" fontId="17" fillId="0" borderId="6">
      <alignment horizontal="left" vertical="center"/>
    </xf>
    <xf numFmtId="178" fontId="1" fillId="0" borderId="9">
      <protection locked="0"/>
    </xf>
    <xf numFmtId="1" fontId="19" fillId="0" borderId="6">
      <alignment horizontal="left"/>
    </xf>
    <xf numFmtId="0" fontId="20" fillId="0" borderId="0"/>
  </cellStyleXfs>
  <cellXfs count="151">
    <xf numFmtId="0" fontId="0" fillId="0" borderId="0" xfId="0"/>
    <xf numFmtId="193" fontId="23" fillId="0" borderId="4" xfId="0" applyNumberFormat="1" applyFont="1" applyBorder="1" applyAlignment="1">
      <alignment horizontal="right" vertical="center" wrapText="1"/>
    </xf>
    <xf numFmtId="193" fontId="23" fillId="0" borderId="12" xfId="0" applyNumberFormat="1" applyFont="1" applyBorder="1" applyAlignment="1">
      <alignment horizontal="left" vertical="center"/>
    </xf>
    <xf numFmtId="193" fontId="23" fillId="0" borderId="6" xfId="0" applyNumberFormat="1" applyFont="1" applyBorder="1" applyAlignment="1">
      <alignment horizontal="center"/>
    </xf>
    <xf numFmtId="193" fontId="23" fillId="0" borderId="10" xfId="0" applyNumberFormat="1" applyFont="1" applyBorder="1" applyAlignment="1">
      <alignment horizontal="center"/>
    </xf>
    <xf numFmtId="2" fontId="23" fillId="0" borderId="0" xfId="0" applyNumberFormat="1" applyFont="1" applyAlignment="1">
      <alignment horizontal="center"/>
    </xf>
    <xf numFmtId="0" fontId="23" fillId="0" borderId="6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70" fontId="18" fillId="0" borderId="5" xfId="1" applyFont="1" applyBorder="1" applyAlignment="1">
      <alignment horizontal="center"/>
    </xf>
    <xf numFmtId="170" fontId="23" fillId="0" borderId="13" xfId="1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21" fillId="0" borderId="0" xfId="0" applyFont="1"/>
    <xf numFmtId="0" fontId="18" fillId="0" borderId="0" xfId="0" applyFont="1" applyAlignment="1">
      <alignment horizontal="center"/>
    </xf>
    <xf numFmtId="170" fontId="21" fillId="0" borderId="0" xfId="1" applyFont="1"/>
    <xf numFmtId="0" fontId="22" fillId="0" borderId="1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7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170" fontId="18" fillId="0" borderId="0" xfId="1" applyFont="1"/>
    <xf numFmtId="170" fontId="23" fillId="0" borderId="0" xfId="1" applyFont="1"/>
    <xf numFmtId="170" fontId="24" fillId="0" borderId="7" xfId="1" applyFont="1" applyBorder="1" applyAlignment="1">
      <alignment horizontal="right"/>
    </xf>
    <xf numFmtId="170" fontId="18" fillId="0" borderId="0" xfId="1" applyFont="1" applyAlignment="1">
      <alignment horizontal="center" vertical="top" wrapText="1"/>
    </xf>
    <xf numFmtId="0" fontId="18" fillId="0" borderId="0" xfId="0" applyFont="1" applyAlignment="1">
      <alignment horizontal="center" vertical="top" wrapText="1"/>
    </xf>
    <xf numFmtId="0" fontId="18" fillId="0" borderId="0" xfId="0" applyFont="1"/>
    <xf numFmtId="0" fontId="18" fillId="0" borderId="11" xfId="0" applyFont="1" applyBorder="1"/>
    <xf numFmtId="170" fontId="23" fillId="0" borderId="7" xfId="1" applyFont="1" applyBorder="1"/>
    <xf numFmtId="170" fontId="18" fillId="0" borderId="11" xfId="1" applyFont="1" applyBorder="1" applyAlignment="1">
      <alignment horizontal="left"/>
    </xf>
    <xf numFmtId="170" fontId="18" fillId="0" borderId="7" xfId="1" applyFont="1" applyBorder="1"/>
    <xf numFmtId="0" fontId="21" fillId="0" borderId="11" xfId="0" applyFont="1" applyBorder="1" applyAlignment="1">
      <alignment horizontal="center"/>
    </xf>
    <xf numFmtId="170" fontId="25" fillId="0" borderId="0" xfId="1" applyFont="1"/>
    <xf numFmtId="0" fontId="18" fillId="0" borderId="6" xfId="2" applyFont="1" applyBorder="1" applyAlignment="1" applyProtection="1">
      <alignment horizontal="center"/>
    </xf>
    <xf numFmtId="4" fontId="25" fillId="0" borderId="7" xfId="1" applyNumberFormat="1" applyFont="1" applyBorder="1"/>
    <xf numFmtId="2" fontId="21" fillId="0" borderId="0" xfId="0" applyNumberFormat="1" applyFont="1"/>
    <xf numFmtId="187" fontId="25" fillId="0" borderId="11" xfId="0" applyNumberFormat="1" applyFont="1" applyBorder="1" applyAlignment="1">
      <alignment horizontal="center"/>
    </xf>
    <xf numFmtId="0" fontId="25" fillId="0" borderId="0" xfId="0" applyFont="1"/>
    <xf numFmtId="170" fontId="18" fillId="0" borderId="13" xfId="1" applyFont="1" applyBorder="1"/>
    <xf numFmtId="170" fontId="18" fillId="0" borderId="11" xfId="1" applyFont="1" applyBorder="1"/>
    <xf numFmtId="2" fontId="18" fillId="0" borderId="0" xfId="0" applyNumberFormat="1" applyFont="1"/>
    <xf numFmtId="0" fontId="25" fillId="0" borderId="11" xfId="0" applyFont="1" applyBorder="1" applyAlignment="1">
      <alignment horizontal="center"/>
    </xf>
    <xf numFmtId="0" fontId="25" fillId="0" borderId="11" xfId="0" applyFont="1" applyBorder="1"/>
    <xf numFmtId="4" fontId="18" fillId="0" borderId="13" xfId="1" applyNumberFormat="1" applyFont="1" applyBorder="1"/>
    <xf numFmtId="4" fontId="25" fillId="0" borderId="6" xfId="1" applyNumberFormat="1" applyFont="1" applyBorder="1"/>
    <xf numFmtId="170" fontId="18" fillId="0" borderId="5" xfId="1" applyFont="1" applyBorder="1"/>
    <xf numFmtId="0" fontId="18" fillId="0" borderId="5" xfId="0" applyFont="1" applyBorder="1" applyAlignment="1">
      <alignment horizontal="center"/>
    </xf>
    <xf numFmtId="166" fontId="21" fillId="0" borderId="0" xfId="0" applyNumberFormat="1" applyFont="1"/>
    <xf numFmtId="170" fontId="18" fillId="0" borderId="6" xfId="1" applyFont="1" applyBorder="1"/>
    <xf numFmtId="2" fontId="25" fillId="0" borderId="0" xfId="0" applyNumberFormat="1" applyFont="1"/>
    <xf numFmtId="170" fontId="25" fillId="0" borderId="7" xfId="1" applyFont="1" applyBorder="1"/>
    <xf numFmtId="170" fontId="25" fillId="0" borderId="11" xfId="1" applyFont="1" applyBorder="1" applyAlignment="1">
      <alignment horizontal="center"/>
    </xf>
    <xf numFmtId="0" fontId="27" fillId="0" borderId="6" xfId="2" applyFont="1" applyBorder="1" applyAlignment="1" applyProtection="1">
      <alignment horizontal="center"/>
    </xf>
    <xf numFmtId="170" fontId="25" fillId="0" borderId="11" xfId="1" applyFont="1" applyBorder="1"/>
    <xf numFmtId="0" fontId="28" fillId="0" borderId="0" xfId="0" applyFont="1"/>
    <xf numFmtId="170" fontId="25" fillId="0" borderId="0" xfId="0" applyNumberFormat="1" applyFont="1"/>
    <xf numFmtId="4" fontId="25" fillId="0" borderId="7" xfId="0" applyNumberFormat="1" applyFont="1" applyBorder="1"/>
    <xf numFmtId="170" fontId="21" fillId="0" borderId="0" xfId="0" applyNumberFormat="1" applyFont="1"/>
    <xf numFmtId="170" fontId="18" fillId="0" borderId="0" xfId="0" applyNumberFormat="1" applyFont="1"/>
    <xf numFmtId="170" fontId="18" fillId="0" borderId="12" xfId="1" applyFont="1" applyBorder="1"/>
    <xf numFmtId="0" fontId="25" fillId="0" borderId="7" xfId="0" applyFont="1" applyBorder="1"/>
    <xf numFmtId="0" fontId="25" fillId="0" borderId="14" xfId="0" applyFont="1" applyBorder="1"/>
    <xf numFmtId="0" fontId="25" fillId="0" borderId="15" xfId="0" applyFont="1" applyBorder="1"/>
    <xf numFmtId="0" fontId="18" fillId="0" borderId="15" xfId="0" applyFont="1" applyBorder="1" applyAlignment="1">
      <alignment horizontal="center"/>
    </xf>
    <xf numFmtId="170" fontId="21" fillId="0" borderId="15" xfId="1" applyFont="1" applyBorder="1"/>
    <xf numFmtId="170" fontId="25" fillId="0" borderId="16" xfId="1" applyFont="1" applyBorder="1"/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6" xfId="0" applyFont="1" applyBorder="1" applyAlignment="1">
      <alignment horizontal="center"/>
    </xf>
    <xf numFmtId="0" fontId="23" fillId="0" borderId="14" xfId="0" applyFont="1" applyBorder="1"/>
    <xf numFmtId="0" fontId="23" fillId="0" borderId="15" xfId="0" applyFont="1" applyBorder="1"/>
    <xf numFmtId="0" fontId="24" fillId="0" borderId="16" xfId="0" applyFont="1" applyBorder="1" applyAlignment="1">
      <alignment horizontal="right"/>
    </xf>
    <xf numFmtId="0" fontId="24" fillId="0" borderId="0" xfId="0" applyFont="1" applyAlignment="1">
      <alignment horizontal="right"/>
    </xf>
    <xf numFmtId="0" fontId="23" fillId="0" borderId="12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center" vertical="center" wrapText="1"/>
    </xf>
    <xf numFmtId="170" fontId="23" fillId="0" borderId="5" xfId="1" applyFont="1" applyBorder="1" applyAlignment="1">
      <alignment horizontal="center" vertical="center" wrapText="1"/>
    </xf>
    <xf numFmtId="170" fontId="23" fillId="0" borderId="0" xfId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9" fillId="0" borderId="0" xfId="0" applyFont="1"/>
    <xf numFmtId="0" fontId="21" fillId="0" borderId="10" xfId="0" applyFont="1" applyBorder="1" applyAlignment="1">
      <alignment horizontal="center"/>
    </xf>
    <xf numFmtId="4" fontId="21" fillId="0" borderId="6" xfId="0" applyNumberFormat="1" applyFont="1" applyBorder="1" applyAlignment="1">
      <alignment horizontal="center"/>
    </xf>
    <xf numFmtId="4" fontId="21" fillId="0" borderId="7" xfId="0" applyNumberFormat="1" applyFont="1" applyBorder="1" applyAlignment="1">
      <alignment horizontal="center"/>
    </xf>
    <xf numFmtId="170" fontId="21" fillId="0" borderId="0" xfId="0" applyNumberFormat="1" applyFont="1" applyAlignment="1">
      <alignment horizontal="center"/>
    </xf>
    <xf numFmtId="188" fontId="21" fillId="0" borderId="0" xfId="0" applyNumberFormat="1" applyFont="1"/>
    <xf numFmtId="0" fontId="21" fillId="0" borderId="6" xfId="0" applyFont="1" applyBorder="1" applyAlignment="1">
      <alignment horizontal="center"/>
    </xf>
    <xf numFmtId="4" fontId="23" fillId="0" borderId="6" xfId="0" applyNumberFormat="1" applyFont="1" applyBorder="1" applyAlignment="1">
      <alignment horizontal="center"/>
    </xf>
    <xf numFmtId="170" fontId="23" fillId="0" borderId="6" xfId="0" applyNumberFormat="1" applyFont="1" applyBorder="1" applyAlignment="1">
      <alignment horizontal="center"/>
    </xf>
    <xf numFmtId="170" fontId="21" fillId="0" borderId="7" xfId="0" applyNumberFormat="1" applyFont="1" applyBorder="1" applyAlignment="1">
      <alignment horizontal="center"/>
    </xf>
    <xf numFmtId="4" fontId="21" fillId="0" borderId="7" xfId="1" applyNumberFormat="1" applyFont="1" applyBorder="1"/>
    <xf numFmtId="189" fontId="21" fillId="0" borderId="0" xfId="0" applyNumberFormat="1" applyFont="1"/>
    <xf numFmtId="170" fontId="21" fillId="0" borderId="7" xfId="1" applyFont="1" applyBorder="1"/>
    <xf numFmtId="170" fontId="23" fillId="0" borderId="5" xfId="1" applyFont="1" applyBorder="1"/>
    <xf numFmtId="170" fontId="23" fillId="0" borderId="0" xfId="0" applyNumberFormat="1" applyFont="1"/>
    <xf numFmtId="0" fontId="23" fillId="0" borderId="0" xfId="0" applyFont="1"/>
    <xf numFmtId="170" fontId="21" fillId="0" borderId="0" xfId="0" applyNumberFormat="1" applyFont="1" applyAlignment="1">
      <alignment horizontal="right"/>
    </xf>
    <xf numFmtId="170" fontId="23" fillId="0" borderId="0" xfId="0" applyNumberFormat="1" applyFont="1" applyAlignment="1">
      <alignment horizontal="right"/>
    </xf>
    <xf numFmtId="0" fontId="23" fillId="0" borderId="0" xfId="0" applyFont="1" applyAlignment="1">
      <alignment horizontal="right"/>
    </xf>
    <xf numFmtId="2" fontId="23" fillId="0" borderId="0" xfId="0" applyNumberFormat="1" applyFont="1"/>
    <xf numFmtId="170" fontId="21" fillId="0" borderId="0" xfId="1" applyFont="1" applyAlignment="1">
      <alignment horizontal="left" vertical="top" wrapText="1"/>
    </xf>
    <xf numFmtId="0" fontId="23" fillId="0" borderId="6" xfId="0" applyFont="1" applyBorder="1" applyAlignment="1">
      <alignment horizontal="center" vertical="top"/>
    </xf>
    <xf numFmtId="4" fontId="25" fillId="0" borderId="6" xfId="0" applyNumberFormat="1" applyFont="1" applyBorder="1" applyAlignment="1">
      <alignment vertical="top"/>
    </xf>
    <xf numFmtId="4" fontId="25" fillId="0" borderId="7" xfId="1" applyNumberFormat="1" applyFont="1" applyBorder="1" applyAlignment="1">
      <alignment vertical="top"/>
    </xf>
    <xf numFmtId="170" fontId="25" fillId="0" borderId="0" xfId="1" applyFont="1" applyAlignment="1">
      <alignment vertical="top"/>
    </xf>
    <xf numFmtId="170" fontId="28" fillId="0" borderId="0" xfId="1" applyFont="1"/>
    <xf numFmtId="0" fontId="23" fillId="0" borderId="6" xfId="0" applyFont="1" applyBorder="1" applyAlignment="1">
      <alignment horizontal="center" vertical="center"/>
    </xf>
    <xf numFmtId="4" fontId="25" fillId="0" borderId="6" xfId="0" applyNumberFormat="1" applyFont="1" applyBorder="1" applyAlignment="1">
      <alignment horizontal="right" vertical="center"/>
    </xf>
    <xf numFmtId="4" fontId="25" fillId="0" borderId="7" xfId="1" applyNumberFormat="1" applyFont="1" applyBorder="1" applyAlignment="1">
      <alignment horizontal="right" vertical="center"/>
    </xf>
    <xf numFmtId="170" fontId="25" fillId="0" borderId="0" xfId="1" applyFont="1" applyAlignment="1">
      <alignment horizontal="right" vertical="center"/>
    </xf>
    <xf numFmtId="190" fontId="21" fillId="0" borderId="0" xfId="0" applyNumberFormat="1" applyFont="1"/>
    <xf numFmtId="170" fontId="23" fillId="0" borderId="0" xfId="1" applyFont="1" applyAlignment="1">
      <alignment horizontal="left"/>
    </xf>
    <xf numFmtId="170" fontId="23" fillId="0" borderId="6" xfId="1" applyFont="1" applyBorder="1"/>
    <xf numFmtId="191" fontId="23" fillId="0" borderId="0" xfId="0" applyNumberFormat="1" applyFont="1"/>
    <xf numFmtId="192" fontId="21" fillId="0" borderId="0" xfId="1" applyNumberFormat="1" applyFont="1"/>
    <xf numFmtId="171" fontId="21" fillId="0" borderId="0" xfId="0" applyNumberFormat="1" applyFont="1"/>
    <xf numFmtId="170" fontId="21" fillId="0" borderId="0" xfId="1" applyFont="1" applyAlignment="1">
      <alignment horizontal="left" indent="1"/>
    </xf>
    <xf numFmtId="4" fontId="21" fillId="0" borderId="6" xfId="1" applyNumberFormat="1" applyFont="1" applyBorder="1" applyAlignment="1">
      <alignment horizontal="center"/>
    </xf>
    <xf numFmtId="170" fontId="21" fillId="0" borderId="6" xfId="1" applyFont="1" applyBorder="1" applyAlignment="1">
      <alignment horizontal="center"/>
    </xf>
    <xf numFmtId="170" fontId="23" fillId="0" borderId="17" xfId="1" applyFont="1" applyBorder="1"/>
    <xf numFmtId="170" fontId="18" fillId="0" borderId="14" xfId="1" applyFont="1" applyBorder="1"/>
    <xf numFmtId="0" fontId="18" fillId="0" borderId="15" xfId="0" applyFont="1" applyBorder="1"/>
    <xf numFmtId="0" fontId="25" fillId="0" borderId="16" xfId="0" applyFont="1" applyBorder="1"/>
    <xf numFmtId="170" fontId="18" fillId="0" borderId="0" xfId="1" applyFont="1" applyAlignment="1">
      <alignment horizontal="left"/>
    </xf>
    <xf numFmtId="0" fontId="18" fillId="0" borderId="0" xfId="0" applyFont="1" applyAlignment="1">
      <alignment vertical="center"/>
    </xf>
    <xf numFmtId="170" fontId="18" fillId="0" borderId="0" xfId="1" applyFont="1" applyAlignment="1">
      <alignment vertical="center"/>
    </xf>
    <xf numFmtId="193" fontId="23" fillId="0" borderId="0" xfId="0" applyNumberFormat="1" applyFont="1" applyAlignment="1">
      <alignment horizontal="center"/>
    </xf>
    <xf numFmtId="193" fontId="21" fillId="0" borderId="0" xfId="0" applyNumberFormat="1" applyFont="1"/>
    <xf numFmtId="193" fontId="23" fillId="0" borderId="11" xfId="0" applyNumberFormat="1" applyFont="1" applyBorder="1" applyAlignment="1">
      <alignment horizontal="center"/>
    </xf>
    <xf numFmtId="193" fontId="21" fillId="0" borderId="0" xfId="0" applyNumberFormat="1" applyFont="1" applyAlignment="1">
      <alignment horizontal="center"/>
    </xf>
    <xf numFmtId="193" fontId="24" fillId="0" borderId="7" xfId="0" applyNumberFormat="1" applyFont="1" applyBorder="1" applyAlignment="1">
      <alignment horizontal="right"/>
    </xf>
    <xf numFmtId="193" fontId="23" fillId="0" borderId="2" xfId="0" applyNumberFormat="1" applyFont="1" applyBorder="1" applyAlignment="1">
      <alignment horizontal="center" vertical="center"/>
    </xf>
    <xf numFmtId="193" fontId="23" fillId="0" borderId="2" xfId="0" applyNumberFormat="1" applyFont="1" applyBorder="1" applyAlignment="1">
      <alignment horizontal="right" vertical="center" wrapText="1"/>
    </xf>
    <xf numFmtId="193" fontId="23" fillId="0" borderId="15" xfId="0" applyNumberFormat="1" applyFont="1" applyBorder="1" applyAlignment="1">
      <alignment horizontal="center" vertical="center"/>
    </xf>
    <xf numFmtId="193" fontId="23" fillId="0" borderId="15" xfId="0" applyNumberFormat="1" applyFont="1" applyBorder="1" applyAlignment="1">
      <alignment horizontal="right" vertical="center" wrapText="1"/>
    </xf>
    <xf numFmtId="193" fontId="23" fillId="0" borderId="0" xfId="0" applyNumberFormat="1" applyFont="1"/>
    <xf numFmtId="193" fontId="21" fillId="0" borderId="7" xfId="0" applyNumberFormat="1" applyFont="1" applyBorder="1"/>
    <xf numFmtId="4" fontId="23" fillId="0" borderId="0" xfId="0" applyNumberFormat="1" applyFont="1"/>
    <xf numFmtId="4" fontId="21" fillId="0" borderId="7" xfId="0" applyNumberFormat="1" applyFont="1" applyBorder="1"/>
    <xf numFmtId="4" fontId="0" fillId="0" borderId="0" xfId="0" applyNumberFormat="1"/>
    <xf numFmtId="4" fontId="21" fillId="0" borderId="0" xfId="0" applyNumberFormat="1" applyFont="1"/>
    <xf numFmtId="4" fontId="21" fillId="0" borderId="0" xfId="1" applyNumberFormat="1" applyFont="1"/>
    <xf numFmtId="4" fontId="23" fillId="0" borderId="7" xfId="0" applyNumberFormat="1" applyFont="1" applyBorder="1"/>
    <xf numFmtId="194" fontId="21" fillId="0" borderId="0" xfId="0" applyNumberFormat="1" applyFont="1"/>
    <xf numFmtId="193" fontId="23" fillId="0" borderId="4" xfId="0" applyNumberFormat="1" applyFont="1" applyBorder="1"/>
    <xf numFmtId="193" fontId="23" fillId="0" borderId="13" xfId="0" applyNumberFormat="1" applyFont="1" applyBorder="1"/>
    <xf numFmtId="194" fontId="23" fillId="0" borderId="4" xfId="0" applyNumberFormat="1" applyFont="1" applyBorder="1"/>
    <xf numFmtId="194" fontId="23" fillId="0" borderId="13" xfId="0" applyNumberFormat="1" applyFont="1" applyBorder="1"/>
    <xf numFmtId="193" fontId="21" fillId="0" borderId="0" xfId="0" applyNumberFormat="1" applyFont="1" applyAlignment="1">
      <alignment horizontal="left"/>
    </xf>
    <xf numFmtId="193" fontId="23" fillId="0" borderId="13" xfId="0" applyNumberFormat="1" applyFont="1" applyBorder="1" applyAlignment="1">
      <alignment horizontal="right" vertical="center" wrapText="1"/>
    </xf>
  </cellXfs>
  <cellStyles count="185">
    <cellStyle name="%" xfId="3" xr:uid="{00000000-0005-0000-0000-000006000000}"/>
    <cellStyle name="% 2" xfId="4" xr:uid="{00000000-0005-0000-0000-000007000000}"/>
    <cellStyle name="_Closing Stock" xfId="6" xr:uid="{00000000-0005-0000-0000-000009000000}"/>
    <cellStyle name="_PBC for LR - Dec '07 (MMS)- pending items 25.2.08" xfId="7" xr:uid="{00000000-0005-0000-0000-00000A000000}"/>
    <cellStyle name="_PBC for LR - Dec '07 (MMS)- pending items 25.2.08 2" xfId="8" xr:uid="{00000000-0005-0000-0000-00000B000000}"/>
    <cellStyle name="_PBC for stat audit- March 2008" xfId="9" xr:uid="{00000000-0005-0000-0000-00000C000000}"/>
    <cellStyle name="_PBC for stat audit- March 2008 2" xfId="10" xr:uid="{00000000-0005-0000-0000-00000D000000}"/>
    <cellStyle name="_Respondez to Telecom" xfId="11" xr:uid="{00000000-0005-0000-0000-00000E000000}"/>
    <cellStyle name="_Respondez to Telecom 2" xfId="12" xr:uid="{00000000-0005-0000-0000-00000F000000}"/>
    <cellStyle name="_Result  31.03.08" xfId="13" xr:uid="{00000000-0005-0000-0000-000010000000}"/>
    <cellStyle name="_Result  31.03.08 2" xfId="14" xr:uid="{00000000-0005-0000-0000-000011000000}"/>
    <cellStyle name="_Result - 31.12.2007" xfId="15" xr:uid="{00000000-0005-0000-0000-000012000000}"/>
    <cellStyle name="_Result - 31.12.2007 2" xfId="16" xr:uid="{00000000-0005-0000-0000-000013000000}"/>
    <cellStyle name="_Result 31.12.07" xfId="17" xr:uid="{00000000-0005-0000-0000-000014000000}"/>
    <cellStyle name="_Result 31.12.07 2" xfId="18" xr:uid="{00000000-0005-0000-0000-000015000000}"/>
    <cellStyle name="_salary Details" xfId="19" xr:uid="{00000000-0005-0000-0000-000016000000}"/>
    <cellStyle name="_salary Details 2" xfId="20" xr:uid="{00000000-0005-0000-0000-000017000000}"/>
    <cellStyle name="_salary Details 3" xfId="21" xr:uid="{00000000-0005-0000-0000-000018000000}"/>
    <cellStyle name="_Tax audit annexures" xfId="22" xr:uid="{00000000-0005-0000-0000-000019000000}"/>
    <cellStyle name="_Tax audit annexures 2" xfId="23" xr:uid="{00000000-0005-0000-0000-00001A000000}"/>
    <cellStyle name="=C:\WINNT\SYSTEM32\COMMAND.COM" xfId="5" xr:uid="{00000000-0005-0000-0000-000008000000}"/>
    <cellStyle name="Calc Currency (0)" xfId="24" xr:uid="{00000000-0005-0000-0000-00001B000000}"/>
    <cellStyle name="Calc Currency (2)" xfId="25" xr:uid="{00000000-0005-0000-0000-00001C000000}"/>
    <cellStyle name="Calc Percent (0)" xfId="26" xr:uid="{00000000-0005-0000-0000-00001D000000}"/>
    <cellStyle name="Calc Percent (1)" xfId="27" xr:uid="{00000000-0005-0000-0000-00001E000000}"/>
    <cellStyle name="Calc Percent (2)" xfId="28" xr:uid="{00000000-0005-0000-0000-00001F000000}"/>
    <cellStyle name="Calc Percent (2) 2" xfId="29" xr:uid="{00000000-0005-0000-0000-000020000000}"/>
    <cellStyle name="Calc Units (0)" xfId="30" xr:uid="{00000000-0005-0000-0000-000021000000}"/>
    <cellStyle name="Calc Units (1)" xfId="31" xr:uid="{00000000-0005-0000-0000-000022000000}"/>
    <cellStyle name="Calc Units (1) 2" xfId="32" xr:uid="{00000000-0005-0000-0000-000023000000}"/>
    <cellStyle name="Calc Units (2)" xfId="33" xr:uid="{00000000-0005-0000-0000-000024000000}"/>
    <cellStyle name="Comma" xfId="1" builtinId="3"/>
    <cellStyle name="Comma  - Style1" xfId="34" xr:uid="{00000000-0005-0000-0000-000025000000}"/>
    <cellStyle name="Comma  - Style2" xfId="35" xr:uid="{00000000-0005-0000-0000-000026000000}"/>
    <cellStyle name="Comma  - Style3" xfId="36" xr:uid="{00000000-0005-0000-0000-000027000000}"/>
    <cellStyle name="Comma  - Style4" xfId="37" xr:uid="{00000000-0005-0000-0000-000028000000}"/>
    <cellStyle name="Comma  - Style5" xfId="38" xr:uid="{00000000-0005-0000-0000-000029000000}"/>
    <cellStyle name="Comma  - Style6" xfId="39" xr:uid="{00000000-0005-0000-0000-00002A000000}"/>
    <cellStyle name="Comma  - Style7" xfId="40" xr:uid="{00000000-0005-0000-0000-00002B000000}"/>
    <cellStyle name="Comma  - Style8" xfId="41" xr:uid="{00000000-0005-0000-0000-00002C000000}"/>
    <cellStyle name="Comma [00]" xfId="64" xr:uid="{00000000-0005-0000-0000-000043000000}"/>
    <cellStyle name="Comma 10" xfId="42" xr:uid="{00000000-0005-0000-0000-00002D000000}"/>
    <cellStyle name="Comma 11" xfId="43" xr:uid="{00000000-0005-0000-0000-00002E000000}"/>
    <cellStyle name="Comma 2" xfId="44" xr:uid="{00000000-0005-0000-0000-00002F000000}"/>
    <cellStyle name="Comma 2 2" xfId="45" xr:uid="{00000000-0005-0000-0000-000030000000}"/>
    <cellStyle name="Comma 2 3" xfId="46" xr:uid="{00000000-0005-0000-0000-000031000000}"/>
    <cellStyle name="Comma 3" xfId="47" xr:uid="{00000000-0005-0000-0000-000032000000}"/>
    <cellStyle name="Comma 3 2" xfId="48" xr:uid="{00000000-0005-0000-0000-000033000000}"/>
    <cellStyle name="Comma 3 2 2" xfId="49" xr:uid="{00000000-0005-0000-0000-000034000000}"/>
    <cellStyle name="Comma 3 3" xfId="50" xr:uid="{00000000-0005-0000-0000-000035000000}"/>
    <cellStyle name="Comma 3 4" xfId="51" xr:uid="{00000000-0005-0000-0000-000036000000}"/>
    <cellStyle name="Comma 3 5" xfId="52" xr:uid="{00000000-0005-0000-0000-000037000000}"/>
    <cellStyle name="Comma 4" xfId="53" xr:uid="{00000000-0005-0000-0000-000038000000}"/>
    <cellStyle name="Comma 4 2" xfId="54" xr:uid="{00000000-0005-0000-0000-000039000000}"/>
    <cellStyle name="Comma 5" xfId="55" xr:uid="{00000000-0005-0000-0000-00003A000000}"/>
    <cellStyle name="Comma 5 2" xfId="56" xr:uid="{00000000-0005-0000-0000-00003B000000}"/>
    <cellStyle name="Comma 6" xfId="57" xr:uid="{00000000-0005-0000-0000-00003C000000}"/>
    <cellStyle name="Comma 6 2" xfId="58" xr:uid="{00000000-0005-0000-0000-00003D000000}"/>
    <cellStyle name="Comma 7" xfId="59" xr:uid="{00000000-0005-0000-0000-00003E000000}"/>
    <cellStyle name="Comma 8" xfId="60" xr:uid="{00000000-0005-0000-0000-00003F000000}"/>
    <cellStyle name="Comma 8 2" xfId="61" xr:uid="{00000000-0005-0000-0000-000040000000}"/>
    <cellStyle name="Comma 9" xfId="62" xr:uid="{00000000-0005-0000-0000-000041000000}"/>
    <cellStyle name="Comma 9 2" xfId="63" xr:uid="{00000000-0005-0000-0000-000042000000}"/>
    <cellStyle name="Currency [00]" xfId="65" xr:uid="{00000000-0005-0000-0000-000044000000}"/>
    <cellStyle name="DATA_ENT" xfId="66" xr:uid="{00000000-0005-0000-0000-000045000000}"/>
    <cellStyle name="Date" xfId="67" xr:uid="{00000000-0005-0000-0000-000046000000}"/>
    <cellStyle name="Date 2" xfId="68" xr:uid="{00000000-0005-0000-0000-000047000000}"/>
    <cellStyle name="Date Short" xfId="69" xr:uid="{00000000-0005-0000-0000-000048000000}"/>
    <cellStyle name="Date_~0536098" xfId="70" xr:uid="{00000000-0005-0000-0000-000049000000}"/>
    <cellStyle name="DELTA" xfId="71" xr:uid="{00000000-0005-0000-0000-00004A000000}"/>
    <cellStyle name="DOWNFOOT" xfId="72" xr:uid="{00000000-0005-0000-0000-00004B000000}"/>
    <cellStyle name="Enter Currency (0)" xfId="73" xr:uid="{00000000-0005-0000-0000-00004C000000}"/>
    <cellStyle name="Enter Currency (2)" xfId="74" xr:uid="{00000000-0005-0000-0000-00004D000000}"/>
    <cellStyle name="Enter Units (0)" xfId="75" xr:uid="{00000000-0005-0000-0000-00004E000000}"/>
    <cellStyle name="Enter Units (1)" xfId="76" xr:uid="{00000000-0005-0000-0000-00004F000000}"/>
    <cellStyle name="Enter Units (1) 2" xfId="77" xr:uid="{00000000-0005-0000-0000-000050000000}"/>
    <cellStyle name="Enter Units (2)" xfId="78" xr:uid="{00000000-0005-0000-0000-000051000000}"/>
    <cellStyle name="Euro" xfId="79" xr:uid="{00000000-0005-0000-0000-000052000000}"/>
    <cellStyle name="Euro 2" xfId="80" xr:uid="{00000000-0005-0000-0000-000053000000}"/>
    <cellStyle name="Fixed" xfId="81" xr:uid="{00000000-0005-0000-0000-000054000000}"/>
    <cellStyle name="Fixed 2" xfId="82" xr:uid="{00000000-0005-0000-0000-000055000000}"/>
    <cellStyle name="Grey" xfId="83" xr:uid="{00000000-0005-0000-0000-000056000000}"/>
    <cellStyle name="Grey 2" xfId="84" xr:uid="{00000000-0005-0000-0000-000057000000}"/>
    <cellStyle name="Header1" xfId="85" xr:uid="{00000000-0005-0000-0000-000058000000}"/>
    <cellStyle name="Header2" xfId="86" xr:uid="{00000000-0005-0000-0000-000059000000}"/>
    <cellStyle name="Heading 1" xfId="87" xr:uid="{00000000-0005-0000-0000-00005A000000}"/>
    <cellStyle name="Heading1 2" xfId="88" xr:uid="{00000000-0005-0000-0000-00005B000000}"/>
    <cellStyle name="Heading2" xfId="89" xr:uid="{00000000-0005-0000-0000-00005C000000}"/>
    <cellStyle name="Heading2 2" xfId="90" xr:uid="{00000000-0005-0000-0000-00005D000000}"/>
    <cellStyle name="Hyperlink" xfId="2" builtinId="8"/>
    <cellStyle name="Hyperlink 2" xfId="91" xr:uid="{00000000-0005-0000-0000-00005E000000}"/>
    <cellStyle name="Hyperlink 2 2" xfId="92" xr:uid="{00000000-0005-0000-0000-00005F000000}"/>
    <cellStyle name="Hyperlink 2 3" xfId="93" xr:uid="{00000000-0005-0000-0000-000060000000}"/>
    <cellStyle name="Hyperlink 2 4" xfId="94" xr:uid="{00000000-0005-0000-0000-000061000000}"/>
    <cellStyle name="Input [yellow]" xfId="95" xr:uid="{00000000-0005-0000-0000-000062000000}"/>
    <cellStyle name="Input [yellow] 2" xfId="96" xr:uid="{00000000-0005-0000-0000-000063000000}"/>
    <cellStyle name="item2" xfId="97" xr:uid="{00000000-0005-0000-0000-000064000000}"/>
    <cellStyle name="item2 2" xfId="98" xr:uid="{00000000-0005-0000-0000-000065000000}"/>
    <cellStyle name="Link Currency (0)" xfId="99" xr:uid="{00000000-0005-0000-0000-000066000000}"/>
    <cellStyle name="Link Currency (2)" xfId="100" xr:uid="{00000000-0005-0000-0000-000067000000}"/>
    <cellStyle name="Link Units (0)" xfId="101" xr:uid="{00000000-0005-0000-0000-000068000000}"/>
    <cellStyle name="Link Units (1)" xfId="102" xr:uid="{00000000-0005-0000-0000-000069000000}"/>
    <cellStyle name="Link Units (1) 2" xfId="103" xr:uid="{00000000-0005-0000-0000-00006A000000}"/>
    <cellStyle name="Link Units (2)" xfId="104" xr:uid="{00000000-0005-0000-0000-00006B000000}"/>
    <cellStyle name="MANKAD" xfId="105" xr:uid="{00000000-0005-0000-0000-00006C000000}"/>
    <cellStyle name="no dec" xfId="106" xr:uid="{00000000-0005-0000-0000-00006D000000}"/>
    <cellStyle name="Normal" xfId="0" builtinId="0"/>
    <cellStyle name="Normal - Style1" xfId="107" xr:uid="{00000000-0005-0000-0000-00006E000000}"/>
    <cellStyle name="Normal 10 2" xfId="108" xr:uid="{00000000-0005-0000-0000-00006F000000}"/>
    <cellStyle name="Normal 11" xfId="109" xr:uid="{00000000-0005-0000-0000-000070000000}"/>
    <cellStyle name="Normal 11 2" xfId="110" xr:uid="{00000000-0005-0000-0000-000071000000}"/>
    <cellStyle name="Normal 12" xfId="111" xr:uid="{00000000-0005-0000-0000-000072000000}"/>
    <cellStyle name="Normal 12 2" xfId="112" xr:uid="{00000000-0005-0000-0000-000073000000}"/>
    <cellStyle name="Normal 12 3" xfId="113" xr:uid="{00000000-0005-0000-0000-000074000000}"/>
    <cellStyle name="Normal 13" xfId="114" xr:uid="{00000000-0005-0000-0000-000075000000}"/>
    <cellStyle name="Normal 13 2" xfId="115" xr:uid="{00000000-0005-0000-0000-000076000000}"/>
    <cellStyle name="Normal 14" xfId="116" xr:uid="{00000000-0005-0000-0000-000077000000}"/>
    <cellStyle name="Normal 14 2" xfId="117" xr:uid="{00000000-0005-0000-0000-000078000000}"/>
    <cellStyle name="Normal 15" xfId="118" xr:uid="{00000000-0005-0000-0000-000079000000}"/>
    <cellStyle name="Normal 15 2" xfId="119" xr:uid="{00000000-0005-0000-0000-00007A000000}"/>
    <cellStyle name="Normal 18" xfId="120" xr:uid="{00000000-0005-0000-0000-00007B000000}"/>
    <cellStyle name="Normal 18 2" xfId="121" xr:uid="{00000000-0005-0000-0000-00007C000000}"/>
    <cellStyle name="Normal 2" xfId="122" xr:uid="{00000000-0005-0000-0000-00007D000000}"/>
    <cellStyle name="Normal 2 2" xfId="123" xr:uid="{00000000-0005-0000-0000-00007E000000}"/>
    <cellStyle name="Normal 2 2 2" xfId="124" xr:uid="{00000000-0005-0000-0000-00007F000000}"/>
    <cellStyle name="Normal 2 2 3" xfId="125" xr:uid="{00000000-0005-0000-0000-000080000000}"/>
    <cellStyle name="Normal 2 2 4" xfId="126" xr:uid="{00000000-0005-0000-0000-000081000000}"/>
    <cellStyle name="Normal 2 3" xfId="127" xr:uid="{00000000-0005-0000-0000-000082000000}"/>
    <cellStyle name="Normal 2 4" xfId="128" xr:uid="{00000000-0005-0000-0000-000083000000}"/>
    <cellStyle name="Normal 2 5" xfId="129" xr:uid="{00000000-0005-0000-0000-000084000000}"/>
    <cellStyle name="Normal 2 6" xfId="130" xr:uid="{00000000-0005-0000-0000-000085000000}"/>
    <cellStyle name="Normal 3" xfId="131" xr:uid="{00000000-0005-0000-0000-000086000000}"/>
    <cellStyle name="Normal 3 2" xfId="132" xr:uid="{00000000-0005-0000-0000-000087000000}"/>
    <cellStyle name="Normal 3 3" xfId="133" xr:uid="{00000000-0005-0000-0000-000088000000}"/>
    <cellStyle name="Normal 3 4" xfId="134" xr:uid="{00000000-0005-0000-0000-000089000000}"/>
    <cellStyle name="Normal 3 5" xfId="135" xr:uid="{00000000-0005-0000-0000-00008A000000}"/>
    <cellStyle name="Normal 3 6" xfId="136" xr:uid="{00000000-0005-0000-0000-00008B000000}"/>
    <cellStyle name="Normal 3 7" xfId="137" xr:uid="{00000000-0005-0000-0000-00008C000000}"/>
    <cellStyle name="Normal 4" xfId="138" xr:uid="{00000000-0005-0000-0000-00008D000000}"/>
    <cellStyle name="Normal 4 2" xfId="139" xr:uid="{00000000-0005-0000-0000-00008E000000}"/>
    <cellStyle name="Normal 48" xfId="140" xr:uid="{00000000-0005-0000-0000-00008F000000}"/>
    <cellStyle name="Normal 5" xfId="141" xr:uid="{00000000-0005-0000-0000-000090000000}"/>
    <cellStyle name="Normal 6" xfId="142" xr:uid="{00000000-0005-0000-0000-000091000000}"/>
    <cellStyle name="Normal 6 2" xfId="143" xr:uid="{00000000-0005-0000-0000-000092000000}"/>
    <cellStyle name="Normal 63" xfId="144" xr:uid="{00000000-0005-0000-0000-000093000000}"/>
    <cellStyle name="Normal 7" xfId="145" xr:uid="{00000000-0005-0000-0000-000094000000}"/>
    <cellStyle name="Normal 8" xfId="146" xr:uid="{00000000-0005-0000-0000-000095000000}"/>
    <cellStyle name="Normal 8 2" xfId="147" xr:uid="{00000000-0005-0000-0000-000096000000}"/>
    <cellStyle name="OverHead" xfId="148" xr:uid="{00000000-0005-0000-0000-000097000000}"/>
    <cellStyle name="OverHead 2" xfId="149" xr:uid="{00000000-0005-0000-0000-000098000000}"/>
    <cellStyle name="OverHead 3" xfId="150" xr:uid="{00000000-0005-0000-0000-000099000000}"/>
    <cellStyle name="Percent [0]" xfId="155" xr:uid="{00000000-0005-0000-0000-00009E000000}"/>
    <cellStyle name="Percent [0] 2" xfId="156" xr:uid="{00000000-0005-0000-0000-00009F000000}"/>
    <cellStyle name="Percent [00]" xfId="153" xr:uid="{00000000-0005-0000-0000-00009C000000}"/>
    <cellStyle name="Percent [00] 2" xfId="154" xr:uid="{00000000-0005-0000-0000-00009D000000}"/>
    <cellStyle name="Percent [2]" xfId="157" xr:uid="{00000000-0005-0000-0000-0000A0000000}"/>
    <cellStyle name="Percent [2] 2" xfId="158" xr:uid="{00000000-0005-0000-0000-0000A1000000}"/>
    <cellStyle name="Percent 2" xfId="151" xr:uid="{00000000-0005-0000-0000-00009A000000}"/>
    <cellStyle name="Percent 2 2" xfId="152" xr:uid="{00000000-0005-0000-0000-00009B000000}"/>
    <cellStyle name="PrePop Currency (0)" xfId="159" xr:uid="{00000000-0005-0000-0000-0000A2000000}"/>
    <cellStyle name="PrePop Currency (2)" xfId="160" xr:uid="{00000000-0005-0000-0000-0000A3000000}"/>
    <cellStyle name="PrePop Units (0)" xfId="161" xr:uid="{00000000-0005-0000-0000-0000A4000000}"/>
    <cellStyle name="PrePop Units (1)" xfId="162" xr:uid="{00000000-0005-0000-0000-0000A5000000}"/>
    <cellStyle name="PrePop Units (1) 2" xfId="163" xr:uid="{00000000-0005-0000-0000-0000A6000000}"/>
    <cellStyle name="PrePop Units (2)" xfId="164" xr:uid="{00000000-0005-0000-0000-0000A7000000}"/>
    <cellStyle name="Quantity" xfId="165" xr:uid="{00000000-0005-0000-0000-0000A8000000}"/>
    <cellStyle name="Quantity 2" xfId="166" xr:uid="{00000000-0005-0000-0000-0000A9000000}"/>
    <cellStyle name="Somma [0]_laroux_2_laroux" xfId="167" xr:uid="{00000000-0005-0000-0000-0000AA000000}"/>
    <cellStyle name="Style 1" xfId="168" xr:uid="{00000000-0005-0000-0000-0000AB000000}"/>
    <cellStyle name="Style 1 2" xfId="169" xr:uid="{00000000-0005-0000-0000-0000AC000000}"/>
    <cellStyle name="Text Indent A" xfId="170" xr:uid="{00000000-0005-0000-0000-0000AD000000}"/>
    <cellStyle name="Text Indent B" xfId="171" xr:uid="{00000000-0005-0000-0000-0000AE000000}"/>
    <cellStyle name="Text Indent B 2" xfId="172" xr:uid="{00000000-0005-0000-0000-0000AF000000}"/>
    <cellStyle name="Text Indent C" xfId="173" xr:uid="{00000000-0005-0000-0000-0000B0000000}"/>
    <cellStyle name="Text Indent C 2" xfId="174" xr:uid="{00000000-0005-0000-0000-0000B1000000}"/>
    <cellStyle name="Times New Roman" xfId="175" xr:uid="{00000000-0005-0000-0000-0000B2000000}"/>
    <cellStyle name="Titre1" xfId="176" xr:uid="{00000000-0005-0000-0000-0000B3000000}"/>
    <cellStyle name="Titre1 2" xfId="177" xr:uid="{00000000-0005-0000-0000-0000B4000000}"/>
    <cellStyle name="Titre1 3" xfId="178" xr:uid="{00000000-0005-0000-0000-0000B5000000}"/>
    <cellStyle name="Titre2" xfId="179" xr:uid="{00000000-0005-0000-0000-0000B6000000}"/>
    <cellStyle name="Titre2 2" xfId="180" xr:uid="{00000000-0005-0000-0000-0000B7000000}"/>
    <cellStyle name="Titre2 3" xfId="181" xr:uid="{00000000-0005-0000-0000-0000B8000000}"/>
    <cellStyle name="Total 2" xfId="182" xr:uid="{00000000-0005-0000-0000-0000B9000000}"/>
    <cellStyle name="Vide" xfId="183" xr:uid="{00000000-0005-0000-0000-0000BA000000}"/>
    <cellStyle name="標準_四半期_該当会社_Mapping" xfId="184" xr:uid="{00000000-0005-0000-0000-0000B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harekhan.com/My%20Documents/derivative%20reading%20material/barrier-up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:/Users/MPIL/AppData/Local/Microsoft/Windows/Temporary%20Internet%20Files/Content.Outlook/H39KZ3L7/Common%20Account%201/GAAP%20300610/R113003.10A.xls" TargetMode="External"/><Relationship Id="rId1" Type="http://schemas.openxmlformats.org/officeDocument/2006/relationships/externalLinkPath" Target="/Users/F:/Users/MPIL/AppData/Local/Microsoft/Windows/Temporary%20Internet%20Files/Content.Outlook/H39KZ3L7/Common%20Account%201/GAAP%20300610/R113003.10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rrier-Up"/>
      <sheetName val="Sheet2"/>
      <sheetName val="Sheet3"/>
      <sheetName val="e"/>
      <sheetName val="f"/>
      <sheetName val="g"/>
      <sheetName val="cwip-detl-auc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nter_Defaults"/>
      <sheetName val="InterCo"/>
      <sheetName val="Ref"/>
      <sheetName val="Checks"/>
      <sheetName val="Index"/>
      <sheetName val="R1000"/>
      <sheetName val="R1010"/>
      <sheetName val="R1020"/>
      <sheetName val="R1022"/>
      <sheetName val="R1030"/>
      <sheetName val="R1040"/>
      <sheetName val="R1050"/>
      <sheetName val="R1060"/>
      <sheetName val="R1070"/>
      <sheetName val="R1080"/>
      <sheetName val="R1090"/>
      <sheetName val="R1110"/>
      <sheetName val="R1120"/>
      <sheetName val="R1130"/>
      <sheetName val="R1140"/>
      <sheetName val="R1150"/>
      <sheetName val="R1160"/>
      <sheetName val="R1162"/>
      <sheetName val="R1170"/>
      <sheetName val="R1180"/>
      <sheetName val="R1190"/>
      <sheetName val="R1210"/>
      <sheetName val="R1220"/>
      <sheetName val="SALE OF ASSETS"/>
      <sheetName val="RPB"/>
      <sheetName val="RPT"/>
      <sheetName val="Groupings-IS"/>
      <sheetName val="Groupings-BS"/>
      <sheetName val="3-R1690"/>
      <sheetName val="3-R1680"/>
      <sheetName val="3-R1670"/>
      <sheetName val="3-R1660"/>
      <sheetName val="3-R1650"/>
      <sheetName val="3-R1640"/>
      <sheetName val="3-R1630"/>
      <sheetName val="3-R1620"/>
      <sheetName val="3-R1610"/>
      <sheetName val="3-R1600"/>
      <sheetName val="3-R1590"/>
      <sheetName val="3-R1580"/>
      <sheetName val="3-R1570"/>
      <sheetName val="3-R1560"/>
      <sheetName val="3-R1550"/>
      <sheetName val="3-R1540"/>
      <sheetName val="3-R1520"/>
      <sheetName val="3-R1510"/>
      <sheetName val="3-R150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I58"/>
  <sheetViews>
    <sheetView showGridLines="0" view="pageBreakPreview" zoomScaleNormal="100" workbookViewId="0">
      <selection activeCell="C10" sqref="C10"/>
    </sheetView>
  </sheetViews>
  <sheetFormatPr defaultColWidth="9.109375" defaultRowHeight="13.8"/>
  <cols>
    <col min="1" max="1" width="4.44140625" style="15" customWidth="1"/>
    <col min="2" max="2" width="42" style="15" customWidth="1"/>
    <col min="3" max="3" width="8.109375" style="16" customWidth="1"/>
    <col min="4" max="4" width="22.88671875" style="17" customWidth="1"/>
    <col min="5" max="5" width="23" style="17" customWidth="1"/>
    <col min="6" max="6" width="19" style="17" customWidth="1"/>
    <col min="7" max="7" width="21.88671875" style="15" customWidth="1"/>
    <col min="8" max="8" width="15.109375" style="15" customWidth="1"/>
    <col min="9" max="9" width="11" style="15" customWidth="1"/>
    <col min="10" max="16384" width="9.109375" style="15"/>
  </cols>
  <sheetData>
    <row r="1" spans="1:8">
      <c r="A1" s="14"/>
      <c r="B1" s="14"/>
      <c r="C1" s="14"/>
      <c r="D1" s="14"/>
      <c r="E1" s="14"/>
    </row>
    <row r="2" spans="1:8" ht="14.25" customHeight="1">
      <c r="A2" s="13"/>
      <c r="B2" s="13"/>
      <c r="C2" s="13"/>
      <c r="D2" s="13"/>
      <c r="E2" s="13"/>
    </row>
    <row r="3" spans="1:8" ht="14.25" customHeight="1">
      <c r="A3" s="18"/>
      <c r="B3" s="19"/>
      <c r="C3" s="19"/>
      <c r="D3" s="19"/>
      <c r="E3" s="20"/>
    </row>
    <row r="4" spans="1:8" ht="15" customHeight="1">
      <c r="A4" s="12" t="s">
        <v>0</v>
      </c>
      <c r="B4" s="12"/>
      <c r="C4" s="12"/>
      <c r="D4" s="12"/>
      <c r="E4" s="12"/>
    </row>
    <row r="5" spans="1:8" ht="14.25" customHeight="1">
      <c r="A5" s="22"/>
      <c r="B5" s="16"/>
      <c r="C5" s="23"/>
      <c r="D5" s="24"/>
      <c r="E5" s="25" t="s">
        <v>1</v>
      </c>
    </row>
    <row r="6" spans="1:8" s="27" customFormat="1" ht="16.5" customHeight="1">
      <c r="A6" s="11" t="s">
        <v>2</v>
      </c>
      <c r="B6" s="11"/>
      <c r="C6" s="10" t="s">
        <v>3</v>
      </c>
      <c r="D6" s="9" t="s">
        <v>4</v>
      </c>
      <c r="E6" s="9" t="s">
        <v>5</v>
      </c>
      <c r="F6" s="26"/>
    </row>
    <row r="7" spans="1:8" s="28" customFormat="1" ht="15.75" customHeight="1">
      <c r="A7" s="11"/>
      <c r="B7" s="11"/>
      <c r="C7" s="10"/>
      <c r="D7" s="9"/>
      <c r="E7" s="9"/>
      <c r="F7" s="23"/>
    </row>
    <row r="8" spans="1:8" s="28" customFormat="1">
      <c r="A8" s="29" t="s">
        <v>6</v>
      </c>
      <c r="C8" s="21"/>
      <c r="D8" s="30"/>
      <c r="E8" s="30"/>
      <c r="F8" s="23"/>
    </row>
    <row r="9" spans="1:8" s="28" customFormat="1">
      <c r="A9" s="29"/>
      <c r="C9" s="21"/>
      <c r="D9" s="30"/>
      <c r="E9" s="30"/>
      <c r="F9" s="23"/>
    </row>
    <row r="10" spans="1:8" s="28" customFormat="1">
      <c r="A10" s="31" t="s">
        <v>7</v>
      </c>
      <c r="C10" s="21"/>
      <c r="D10" s="32"/>
      <c r="E10" s="32"/>
      <c r="F10" s="23"/>
    </row>
    <row r="11" spans="1:8">
      <c r="A11" s="33" t="s">
        <v>8</v>
      </c>
      <c r="B11" s="34" t="s">
        <v>9</v>
      </c>
      <c r="C11" s="35"/>
      <c r="D11" s="36">
        <v>1200</v>
      </c>
      <c r="E11" s="36">
        <v>1200</v>
      </c>
      <c r="G11" s="37"/>
      <c r="H11" s="28"/>
    </row>
    <row r="12" spans="1:8">
      <c r="A12" s="33" t="s">
        <v>10</v>
      </c>
      <c r="B12" s="34" t="s">
        <v>11</v>
      </c>
      <c r="C12" s="35"/>
      <c r="D12" s="36">
        <v>2845</v>
      </c>
      <c r="E12" s="36">
        <v>2800</v>
      </c>
      <c r="G12" s="37"/>
    </row>
    <row r="13" spans="1:8">
      <c r="A13" s="38"/>
      <c r="B13" s="39"/>
      <c r="C13" s="21"/>
      <c r="D13" s="40">
        <f>SUM(D11:D12)</f>
        <v>4045</v>
      </c>
      <c r="E13" s="40">
        <f>SUM(E11:E12)</f>
        <v>4000</v>
      </c>
      <c r="G13" s="37"/>
    </row>
    <row r="14" spans="1:8">
      <c r="A14" s="38"/>
      <c r="B14" s="39"/>
      <c r="C14" s="21"/>
      <c r="D14" s="32"/>
      <c r="E14" s="32"/>
      <c r="G14" s="37"/>
    </row>
    <row r="15" spans="1:8" s="28" customFormat="1">
      <c r="A15" s="41" t="s">
        <v>12</v>
      </c>
      <c r="C15" s="21"/>
      <c r="D15" s="32"/>
      <c r="E15" s="32"/>
      <c r="F15" s="17"/>
      <c r="G15" s="42"/>
      <c r="H15" s="15"/>
    </row>
    <row r="16" spans="1:8">
      <c r="A16" s="43" t="s">
        <v>13</v>
      </c>
      <c r="B16" s="34" t="s">
        <v>14</v>
      </c>
      <c r="C16" s="35"/>
      <c r="D16" s="36">
        <v>1000</v>
      </c>
      <c r="E16" s="36">
        <v>900</v>
      </c>
      <c r="G16" s="37"/>
      <c r="H16" s="28"/>
    </row>
    <row r="17" spans="1:8" s="39" customFormat="1">
      <c r="A17" s="43" t="s">
        <v>15</v>
      </c>
      <c r="B17" s="34" t="s">
        <v>16</v>
      </c>
      <c r="C17" s="35"/>
      <c r="D17" s="36">
        <v>130</v>
      </c>
      <c r="E17" s="36">
        <v>120</v>
      </c>
      <c r="F17" s="17"/>
      <c r="G17" s="37"/>
      <c r="H17" s="15"/>
    </row>
    <row r="18" spans="1:8" hidden="1">
      <c r="A18" s="43" t="s">
        <v>17</v>
      </c>
      <c r="B18" s="34" t="s">
        <v>18</v>
      </c>
      <c r="C18" s="35"/>
      <c r="D18" s="36">
        <v>0</v>
      </c>
      <c r="E18" s="36">
        <v>0</v>
      </c>
      <c r="H18" s="39"/>
    </row>
    <row r="19" spans="1:8" hidden="1">
      <c r="A19" s="33" t="s">
        <v>19</v>
      </c>
      <c r="B19" s="34" t="s">
        <v>20</v>
      </c>
      <c r="C19" s="35"/>
      <c r="D19" s="36">
        <v>0</v>
      </c>
      <c r="E19" s="36">
        <v>0</v>
      </c>
    </row>
    <row r="20" spans="1:8">
      <c r="A20" s="44"/>
      <c r="C20" s="21"/>
      <c r="D20" s="45">
        <f>SUM(D16:D19)</f>
        <v>1130</v>
      </c>
      <c r="E20" s="45">
        <f>SUM(E16:E19)</f>
        <v>1020</v>
      </c>
      <c r="G20" s="37"/>
    </row>
    <row r="21" spans="1:8" s="28" customFormat="1">
      <c r="A21" s="41" t="s">
        <v>21</v>
      </c>
      <c r="C21" s="21"/>
      <c r="D21" s="32"/>
      <c r="E21" s="32"/>
      <c r="F21" s="17"/>
      <c r="H21" s="15"/>
    </row>
    <row r="22" spans="1:8">
      <c r="A22" s="43" t="s">
        <v>13</v>
      </c>
      <c r="B22" s="34" t="s">
        <v>22</v>
      </c>
      <c r="C22" s="35"/>
      <c r="D22" s="36">
        <v>2800</v>
      </c>
      <c r="E22" s="36">
        <v>2400</v>
      </c>
      <c r="G22" s="37"/>
      <c r="H22" s="28"/>
    </row>
    <row r="23" spans="1:8">
      <c r="A23" s="43" t="s">
        <v>15</v>
      </c>
      <c r="B23" s="34" t="s">
        <v>23</v>
      </c>
      <c r="C23" s="21"/>
      <c r="D23" s="46">
        <v>2400</v>
      </c>
      <c r="E23" s="46">
        <v>2200</v>
      </c>
      <c r="G23" s="37"/>
    </row>
    <row r="24" spans="1:8">
      <c r="A24" s="43" t="s">
        <v>17</v>
      </c>
      <c r="B24" s="34" t="s">
        <v>24</v>
      </c>
      <c r="C24" s="35"/>
      <c r="D24" s="46">
        <v>550</v>
      </c>
      <c r="E24" s="46">
        <v>500</v>
      </c>
      <c r="G24" s="37"/>
    </row>
    <row r="25" spans="1:8">
      <c r="A25" s="33" t="s">
        <v>19</v>
      </c>
      <c r="B25" s="34" t="s">
        <v>25</v>
      </c>
      <c r="C25" s="35"/>
      <c r="D25" s="46">
        <v>80</v>
      </c>
      <c r="E25" s="46">
        <v>70</v>
      </c>
      <c r="G25" s="37"/>
    </row>
    <row r="26" spans="1:8">
      <c r="A26" s="44"/>
      <c r="B26" s="39"/>
      <c r="C26" s="21"/>
      <c r="D26" s="47">
        <f>SUM(D22:D25)</f>
        <v>5830</v>
      </c>
      <c r="E26" s="47">
        <f>SUM(E22:E25)</f>
        <v>5170</v>
      </c>
      <c r="G26" s="37"/>
    </row>
    <row r="27" spans="1:8">
      <c r="A27" s="44"/>
      <c r="B27" s="39"/>
      <c r="C27" s="21"/>
      <c r="D27" s="8"/>
      <c r="E27" s="8"/>
      <c r="G27" s="37"/>
    </row>
    <row r="28" spans="1:8">
      <c r="A28" s="7" t="s">
        <v>26</v>
      </c>
      <c r="B28" s="7"/>
      <c r="C28" s="48"/>
      <c r="D28" s="47">
        <f>D26+D20+D13</f>
        <v>11005</v>
      </c>
      <c r="E28" s="47">
        <f>E26+E20+E13</f>
        <v>10190</v>
      </c>
      <c r="G28" s="49"/>
    </row>
    <row r="29" spans="1:8" s="28" customFormat="1">
      <c r="A29" s="29" t="s">
        <v>27</v>
      </c>
      <c r="C29" s="21"/>
      <c r="D29" s="50"/>
      <c r="E29" s="32"/>
      <c r="F29" s="17"/>
      <c r="G29" s="51"/>
      <c r="H29" s="49"/>
    </row>
    <row r="30" spans="1:8" s="28" customFormat="1">
      <c r="A30" s="29"/>
      <c r="C30" s="21"/>
      <c r="D30" s="50"/>
      <c r="E30" s="32"/>
      <c r="F30" s="17"/>
      <c r="G30" s="51"/>
    </row>
    <row r="31" spans="1:8" s="28" customFormat="1">
      <c r="A31" s="41" t="s">
        <v>28</v>
      </c>
      <c r="C31" s="21"/>
      <c r="D31" s="50"/>
      <c r="E31" s="32"/>
      <c r="F31" s="17"/>
      <c r="G31" s="39"/>
    </row>
    <row r="32" spans="1:8">
      <c r="A32" s="43" t="s">
        <v>13</v>
      </c>
      <c r="B32" s="34" t="s">
        <v>29</v>
      </c>
      <c r="C32" s="21"/>
      <c r="D32" s="52"/>
      <c r="E32" s="52"/>
      <c r="H32" s="28"/>
    </row>
    <row r="33" spans="1:9">
      <c r="A33" s="53" t="s">
        <v>30</v>
      </c>
      <c r="B33" s="15" t="s">
        <v>31</v>
      </c>
      <c r="C33" s="54"/>
      <c r="D33" s="36">
        <v>3300</v>
      </c>
      <c r="E33" s="36">
        <v>3400</v>
      </c>
      <c r="G33" s="37"/>
    </row>
    <row r="34" spans="1:9">
      <c r="A34" s="53" t="s">
        <v>32</v>
      </c>
      <c r="B34" s="15" t="s">
        <v>33</v>
      </c>
      <c r="C34" s="54"/>
      <c r="D34" s="36">
        <v>55</v>
      </c>
      <c r="E34" s="36">
        <v>60</v>
      </c>
      <c r="G34" s="37"/>
    </row>
    <row r="35" spans="1:9">
      <c r="A35" s="53" t="s">
        <v>34</v>
      </c>
      <c r="B35" s="15" t="s">
        <v>35</v>
      </c>
      <c r="C35" s="21"/>
      <c r="D35" s="36">
        <v>200</v>
      </c>
      <c r="E35" s="36">
        <v>120</v>
      </c>
      <c r="G35" s="37"/>
      <c r="I35" s="37"/>
    </row>
    <row r="36" spans="1:9" hidden="1">
      <c r="A36" s="55" t="s">
        <v>36</v>
      </c>
      <c r="C36" s="35"/>
      <c r="D36" s="36">
        <v>0</v>
      </c>
      <c r="E36" s="36">
        <v>0</v>
      </c>
      <c r="G36" s="56"/>
      <c r="H36" s="37"/>
    </row>
    <row r="37" spans="1:9">
      <c r="A37" s="55"/>
      <c r="C37" s="35"/>
      <c r="D37" s="36">
        <v>0</v>
      </c>
      <c r="E37" s="36">
        <v>0</v>
      </c>
      <c r="G37" s="57"/>
    </row>
    <row r="38" spans="1:9" hidden="1">
      <c r="A38" s="43" t="s">
        <v>15</v>
      </c>
      <c r="B38" s="34" t="s">
        <v>37</v>
      </c>
      <c r="C38" s="35"/>
      <c r="D38" s="36">
        <v>0</v>
      </c>
      <c r="E38" s="36">
        <v>0</v>
      </c>
    </row>
    <row r="39" spans="1:9">
      <c r="A39" s="43" t="s">
        <v>15</v>
      </c>
      <c r="B39" s="34" t="s">
        <v>38</v>
      </c>
      <c r="C39" s="35"/>
      <c r="D39" s="36">
        <v>110</v>
      </c>
      <c r="E39" s="36">
        <v>100</v>
      </c>
      <c r="G39" s="37"/>
    </row>
    <row r="40" spans="1:9" hidden="1">
      <c r="A40" s="33" t="s">
        <v>19</v>
      </c>
      <c r="B40" s="34" t="s">
        <v>39</v>
      </c>
      <c r="C40" s="35"/>
      <c r="D40" s="58">
        <v>0</v>
      </c>
      <c r="E40" s="58">
        <v>0</v>
      </c>
      <c r="G40" s="37"/>
    </row>
    <row r="41" spans="1:9">
      <c r="A41" s="55"/>
      <c r="C41" s="21"/>
      <c r="D41" s="40">
        <f>SUM(D33:D39)</f>
        <v>3665</v>
      </c>
      <c r="E41" s="40">
        <f>SUM(E33:E39)</f>
        <v>3680</v>
      </c>
      <c r="G41" s="59"/>
    </row>
    <row r="42" spans="1:9" s="28" customFormat="1">
      <c r="A42" s="41" t="s">
        <v>40</v>
      </c>
      <c r="C42" s="21"/>
      <c r="D42" s="32"/>
      <c r="E42" s="32"/>
      <c r="F42" s="17"/>
      <c r="H42" s="15"/>
    </row>
    <row r="43" spans="1:9">
      <c r="A43" s="43" t="s">
        <v>13</v>
      </c>
      <c r="B43" s="34" t="s">
        <v>41</v>
      </c>
      <c r="C43" s="35"/>
      <c r="D43" s="36">
        <v>3200</v>
      </c>
      <c r="E43" s="36">
        <v>2700</v>
      </c>
      <c r="G43" s="60"/>
      <c r="H43" s="60"/>
    </row>
    <row r="44" spans="1:9">
      <c r="A44" s="43" t="s">
        <v>15</v>
      </c>
      <c r="B44" s="34" t="s">
        <v>42</v>
      </c>
      <c r="C44" s="35"/>
      <c r="D44" s="36">
        <v>2600</v>
      </c>
      <c r="E44" s="36">
        <v>2300</v>
      </c>
      <c r="G44" s="37"/>
      <c r="H44" s="59"/>
    </row>
    <row r="45" spans="1:9">
      <c r="A45" s="43" t="s">
        <v>17</v>
      </c>
      <c r="B45" s="34" t="s">
        <v>43</v>
      </c>
      <c r="C45" s="35"/>
      <c r="D45" s="36">
        <v>240</v>
      </c>
      <c r="E45" s="36">
        <v>310</v>
      </c>
      <c r="G45" s="37"/>
    </row>
    <row r="46" spans="1:9">
      <c r="A46" s="43" t="s">
        <v>19</v>
      </c>
      <c r="B46" s="34" t="s">
        <v>44</v>
      </c>
      <c r="C46" s="35"/>
      <c r="D46" s="36">
        <v>800</v>
      </c>
      <c r="E46" s="36">
        <v>700</v>
      </c>
      <c r="G46" s="37"/>
    </row>
    <row r="47" spans="1:9">
      <c r="A47" s="43" t="s">
        <v>45</v>
      </c>
      <c r="B47" s="34" t="s">
        <v>46</v>
      </c>
      <c r="C47" s="35"/>
      <c r="D47" s="36">
        <v>500</v>
      </c>
      <c r="E47" s="36">
        <v>500</v>
      </c>
      <c r="G47" s="37"/>
    </row>
    <row r="48" spans="1:9">
      <c r="A48" s="44"/>
      <c r="B48" s="34"/>
      <c r="C48" s="21"/>
      <c r="D48" s="40">
        <f>SUM(D43:D47)</f>
        <v>7340</v>
      </c>
      <c r="E48" s="40">
        <f>SUM(E43:E47)</f>
        <v>6510</v>
      </c>
    </row>
    <row r="49" spans="1:8">
      <c r="A49" s="44"/>
      <c r="B49" s="34"/>
      <c r="C49" s="21"/>
      <c r="D49" s="61"/>
      <c r="E49" s="40"/>
    </row>
    <row r="50" spans="1:8">
      <c r="A50" s="7" t="s">
        <v>47</v>
      </c>
      <c r="B50" s="7"/>
      <c r="C50" s="48"/>
      <c r="D50" s="40">
        <f>+D48+D41</f>
        <v>11005</v>
      </c>
      <c r="E50" s="40">
        <f>+E48+E41</f>
        <v>10190</v>
      </c>
      <c r="G50" s="37"/>
    </row>
    <row r="51" spans="1:8" s="39" customFormat="1">
      <c r="A51" s="31"/>
      <c r="C51" s="16"/>
      <c r="E51" s="62"/>
      <c r="F51" s="34"/>
    </row>
    <row r="52" spans="1:8">
      <c r="A52" s="63"/>
      <c r="B52" s="64"/>
      <c r="C52" s="65"/>
      <c r="D52" s="66"/>
      <c r="E52" s="67"/>
      <c r="H52" s="39"/>
    </row>
    <row r="53" spans="1:8">
      <c r="A53" s="39"/>
      <c r="B53" s="39"/>
      <c r="D53" s="34"/>
      <c r="E53" s="34"/>
    </row>
    <row r="54" spans="1:8">
      <c r="A54" s="39"/>
      <c r="B54" s="39"/>
      <c r="D54" s="34"/>
      <c r="E54" s="34"/>
    </row>
    <row r="55" spans="1:8">
      <c r="A55" s="39"/>
      <c r="B55" s="39"/>
      <c r="D55" s="34"/>
      <c r="E55" s="34"/>
    </row>
    <row r="56" spans="1:8">
      <c r="A56" s="39"/>
      <c r="B56" s="39"/>
      <c r="D56" s="34"/>
      <c r="E56" s="34"/>
    </row>
    <row r="57" spans="1:8">
      <c r="A57" s="39"/>
      <c r="B57" s="39"/>
      <c r="D57" s="34"/>
      <c r="E57" s="34"/>
    </row>
    <row r="58" spans="1:8">
      <c r="A58" s="39"/>
      <c r="B58" s="39"/>
      <c r="D58" s="34"/>
      <c r="E58" s="34"/>
    </row>
  </sheetData>
  <mergeCells count="10">
    <mergeCell ref="D27:E27"/>
    <mergeCell ref="A28:B28"/>
    <mergeCell ref="A50:B50"/>
    <mergeCell ref="A1:E1"/>
    <mergeCell ref="A2:E2"/>
    <mergeCell ref="A4:E4"/>
    <mergeCell ref="A6:B7"/>
    <mergeCell ref="C6:C7"/>
    <mergeCell ref="D6:D7"/>
    <mergeCell ref="E6:E7"/>
  </mergeCells>
  <printOptions horizontalCentered="1"/>
  <pageMargins left="0.196527777777778" right="0.196527777777778" top="0.51180555555555596" bottom="0.51180555555555596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L33"/>
  <sheetViews>
    <sheetView showGridLines="0" view="pageBreakPreview" zoomScaleNormal="100" workbookViewId="0">
      <selection activeCell="B20" sqref="B20"/>
    </sheetView>
  </sheetViews>
  <sheetFormatPr defaultColWidth="9.109375" defaultRowHeight="13.8"/>
  <cols>
    <col min="1" max="1" width="4.5546875" style="68" customWidth="1"/>
    <col min="2" max="2" width="50.44140625" style="15" customWidth="1"/>
    <col min="3" max="3" width="9.33203125" style="69" customWidth="1"/>
    <col min="4" max="4" width="21.109375" style="69" customWidth="1"/>
    <col min="5" max="5" width="21.88671875" style="17" customWidth="1"/>
    <col min="6" max="6" width="20" style="17" customWidth="1"/>
    <col min="7" max="7" width="16.6640625" style="17" customWidth="1"/>
    <col min="8" max="8" width="25.6640625" style="15" customWidth="1"/>
    <col min="9" max="9" width="17.5546875" style="15" customWidth="1"/>
    <col min="10" max="10" width="22.5546875" style="15" customWidth="1"/>
    <col min="11" max="11" width="20.109375" style="15" customWidth="1"/>
    <col min="12" max="12" width="11" style="15" customWidth="1"/>
    <col min="13" max="16384" width="9.109375" style="15"/>
  </cols>
  <sheetData>
    <row r="1" spans="1:12" ht="14.25" customHeight="1">
      <c r="A1" s="13"/>
      <c r="B1" s="13"/>
      <c r="C1" s="13"/>
      <c r="D1" s="13"/>
      <c r="E1" s="13"/>
      <c r="F1" s="19"/>
      <c r="G1" s="69"/>
    </row>
    <row r="2" spans="1:12" ht="14.25" customHeight="1">
      <c r="A2" s="18"/>
      <c r="B2" s="19"/>
      <c r="C2" s="19"/>
      <c r="D2" s="19"/>
      <c r="E2" s="20"/>
      <c r="F2" s="19"/>
      <c r="G2" s="69"/>
    </row>
    <row r="3" spans="1:12">
      <c r="A3" s="6" t="s">
        <v>48</v>
      </c>
      <c r="B3" s="6"/>
      <c r="C3" s="6"/>
      <c r="D3" s="6"/>
      <c r="E3" s="6"/>
      <c r="F3" s="69"/>
      <c r="G3" s="69"/>
    </row>
    <row r="4" spans="1:12" ht="14.25" customHeight="1">
      <c r="A4" s="71"/>
      <c r="B4" s="72"/>
      <c r="C4" s="72"/>
      <c r="D4" s="72"/>
      <c r="E4" s="73" t="s">
        <v>49</v>
      </c>
      <c r="F4" s="74"/>
    </row>
    <row r="5" spans="1:12" s="80" customFormat="1" ht="40.5" customHeight="1">
      <c r="A5" s="75"/>
      <c r="B5" s="76" t="s">
        <v>2</v>
      </c>
      <c r="C5" s="77" t="s">
        <v>3</v>
      </c>
      <c r="D5" s="78" t="s">
        <v>50</v>
      </c>
      <c r="E5" s="78" t="s">
        <v>51</v>
      </c>
      <c r="F5" s="79"/>
      <c r="G5" s="79"/>
      <c r="I5" s="81"/>
    </row>
    <row r="6" spans="1:12">
      <c r="A6" s="82" t="s">
        <v>52</v>
      </c>
      <c r="B6" s="17" t="s">
        <v>53</v>
      </c>
      <c r="C6" s="70">
        <v>17</v>
      </c>
      <c r="D6" s="83">
        <v>11800</v>
      </c>
      <c r="E6" s="84">
        <v>13000</v>
      </c>
      <c r="F6" s="85"/>
      <c r="H6" s="59"/>
      <c r="I6" s="59"/>
      <c r="J6" s="59"/>
      <c r="K6" s="86"/>
    </row>
    <row r="7" spans="1:12">
      <c r="A7" s="87"/>
      <c r="B7" s="17" t="s">
        <v>54</v>
      </c>
      <c r="C7" s="70"/>
      <c r="D7" s="83">
        <v>1800</v>
      </c>
      <c r="E7" s="84">
        <v>2000</v>
      </c>
      <c r="F7" s="85"/>
      <c r="H7" s="59"/>
      <c r="J7" s="59"/>
      <c r="K7" s="86"/>
    </row>
    <row r="8" spans="1:12">
      <c r="A8" s="87"/>
      <c r="B8" s="24" t="s">
        <v>55</v>
      </c>
      <c r="C8" s="70"/>
      <c r="D8" s="88">
        <v>10000</v>
      </c>
      <c r="E8" s="83">
        <v>11000</v>
      </c>
      <c r="H8" s="59"/>
      <c r="J8" s="59"/>
      <c r="K8" s="86"/>
    </row>
    <row r="9" spans="1:12">
      <c r="A9" s="87"/>
      <c r="B9" s="24"/>
      <c r="C9" s="70"/>
      <c r="D9" s="89"/>
      <c r="E9" s="90"/>
      <c r="F9" s="85"/>
      <c r="J9" s="59"/>
      <c r="K9" s="86"/>
    </row>
    <row r="10" spans="1:12">
      <c r="A10" s="87" t="s">
        <v>56</v>
      </c>
      <c r="B10" s="17" t="s">
        <v>57</v>
      </c>
      <c r="C10" s="70">
        <v>18</v>
      </c>
      <c r="D10" s="83">
        <v>50</v>
      </c>
      <c r="E10" s="91">
        <v>60</v>
      </c>
      <c r="H10" s="59"/>
      <c r="I10" s="59"/>
      <c r="J10" s="59"/>
      <c r="K10" s="92"/>
    </row>
    <row r="11" spans="1:12">
      <c r="A11" s="87"/>
      <c r="B11" s="17"/>
      <c r="C11" s="70"/>
      <c r="D11" s="70"/>
      <c r="E11" s="93"/>
    </row>
    <row r="12" spans="1:12" s="96" customFormat="1">
      <c r="A12" s="87" t="s">
        <v>58</v>
      </c>
      <c r="B12" s="24" t="s">
        <v>59</v>
      </c>
      <c r="C12" s="70"/>
      <c r="D12" s="94">
        <f>+D8+D10</f>
        <v>10050</v>
      </c>
      <c r="E12" s="94">
        <f>+E8+E10</f>
        <v>11060</v>
      </c>
      <c r="F12" s="24"/>
      <c r="G12" s="24"/>
      <c r="H12" s="59"/>
      <c r="I12" s="95"/>
      <c r="J12" s="95"/>
      <c r="K12" s="95"/>
    </row>
    <row r="13" spans="1:12">
      <c r="A13" s="87"/>
      <c r="B13" s="17"/>
      <c r="C13" s="70"/>
      <c r="D13" s="70"/>
      <c r="E13" s="93"/>
      <c r="H13" s="97"/>
    </row>
    <row r="14" spans="1:12" s="96" customFormat="1">
      <c r="A14" s="87" t="s">
        <v>60</v>
      </c>
      <c r="B14" s="24" t="s">
        <v>61</v>
      </c>
      <c r="C14" s="70"/>
      <c r="D14" s="70"/>
      <c r="E14" s="93"/>
      <c r="F14" s="17"/>
      <c r="G14" s="24"/>
      <c r="H14" s="98"/>
      <c r="I14" s="99"/>
      <c r="J14" s="99"/>
    </row>
    <row r="15" spans="1:12" s="96" customFormat="1">
      <c r="A15" s="87"/>
      <c r="B15" s="17" t="s">
        <v>62</v>
      </c>
      <c r="C15" s="70">
        <v>19</v>
      </c>
      <c r="D15" s="83">
        <v>7200</v>
      </c>
      <c r="E15" s="91">
        <v>7500</v>
      </c>
      <c r="F15" s="59"/>
      <c r="G15" s="59"/>
      <c r="H15" s="59"/>
      <c r="I15" s="59"/>
      <c r="J15" s="37"/>
      <c r="K15" s="100"/>
      <c r="L15" s="100"/>
    </row>
    <row r="16" spans="1:12" s="96" customFormat="1" ht="30" customHeight="1">
      <c r="A16" s="87"/>
      <c r="B16" s="101" t="s">
        <v>63</v>
      </c>
      <c r="C16" s="102">
        <v>20</v>
      </c>
      <c r="D16" s="103">
        <v>-500</v>
      </c>
      <c r="E16" s="104">
        <v>200</v>
      </c>
      <c r="F16" s="105"/>
      <c r="G16" s="106"/>
      <c r="H16" s="59"/>
      <c r="I16" s="95"/>
      <c r="J16" s="37"/>
      <c r="K16" s="100"/>
      <c r="L16" s="100"/>
    </row>
    <row r="17" spans="1:12" s="96" customFormat="1" ht="16.5" customHeight="1">
      <c r="A17" s="87"/>
      <c r="B17" s="101" t="s">
        <v>64</v>
      </c>
      <c r="C17" s="107">
        <v>21</v>
      </c>
      <c r="D17" s="108">
        <v>950</v>
      </c>
      <c r="E17" s="109">
        <v>900</v>
      </c>
      <c r="F17" s="110"/>
      <c r="G17" s="106"/>
      <c r="H17" s="59"/>
      <c r="I17" s="95"/>
      <c r="J17" s="37"/>
      <c r="K17" s="100"/>
      <c r="L17" s="100"/>
    </row>
    <row r="18" spans="1:12" s="96" customFormat="1" ht="16.5" customHeight="1">
      <c r="A18" s="87"/>
      <c r="B18" s="17" t="s">
        <v>65</v>
      </c>
      <c r="C18" s="70">
        <v>22</v>
      </c>
      <c r="D18" s="83">
        <v>480</v>
      </c>
      <c r="E18" s="91">
        <v>340</v>
      </c>
      <c r="F18" s="17"/>
      <c r="G18" s="106"/>
      <c r="H18" s="59"/>
      <c r="I18" s="95"/>
      <c r="J18" s="37"/>
      <c r="K18" s="100"/>
      <c r="L18" s="100"/>
    </row>
    <row r="19" spans="1:12" s="96" customFormat="1" ht="16.5" customHeight="1">
      <c r="A19" s="87"/>
      <c r="B19" s="17" t="s">
        <v>66</v>
      </c>
      <c r="C19" s="70">
        <v>10</v>
      </c>
      <c r="D19" s="83">
        <v>310</v>
      </c>
      <c r="E19" s="91">
        <v>300</v>
      </c>
      <c r="F19" s="17"/>
      <c r="G19" s="24"/>
      <c r="H19" s="17"/>
      <c r="I19" s="95"/>
      <c r="J19" s="17"/>
      <c r="K19" s="100"/>
      <c r="L19" s="100"/>
    </row>
    <row r="20" spans="1:12">
      <c r="A20" s="87"/>
      <c r="B20" s="17" t="s">
        <v>67</v>
      </c>
      <c r="C20" s="70">
        <v>23</v>
      </c>
      <c r="D20" s="83">
        <v>1540</v>
      </c>
      <c r="E20" s="91">
        <v>1620</v>
      </c>
      <c r="H20" s="59"/>
      <c r="I20" s="95"/>
      <c r="J20" s="37"/>
      <c r="K20" s="111"/>
    </row>
    <row r="21" spans="1:12" ht="15" customHeight="1">
      <c r="A21" s="87"/>
      <c r="B21" s="112" t="s">
        <v>68</v>
      </c>
      <c r="C21" s="70"/>
      <c r="D21" s="94">
        <f>SUM(D15:D20)</f>
        <v>9980</v>
      </c>
      <c r="E21" s="94">
        <f>SUM(E15:E20)</f>
        <v>10860</v>
      </c>
      <c r="F21" s="24"/>
      <c r="G21" s="24"/>
      <c r="H21" s="59"/>
      <c r="I21" s="95"/>
      <c r="J21" s="5"/>
      <c r="K21" s="5"/>
      <c r="L21" s="37"/>
    </row>
    <row r="22" spans="1:12" ht="15" customHeight="1">
      <c r="A22" s="87"/>
      <c r="B22" s="17"/>
      <c r="C22" s="70"/>
      <c r="D22" s="70"/>
      <c r="E22" s="93"/>
      <c r="H22" s="59"/>
      <c r="I22" s="17"/>
      <c r="L22" s="37"/>
    </row>
    <row r="23" spans="1:12">
      <c r="A23" s="87" t="s">
        <v>69</v>
      </c>
      <c r="B23" s="17" t="s">
        <v>70</v>
      </c>
      <c r="C23" s="70"/>
      <c r="D23" s="113">
        <f>D12-D21</f>
        <v>70</v>
      </c>
      <c r="E23" s="113">
        <f>E12-E21</f>
        <v>200</v>
      </c>
      <c r="G23" s="106"/>
      <c r="H23" s="59"/>
      <c r="I23" s="114"/>
      <c r="J23" s="95"/>
      <c r="K23" s="95"/>
      <c r="L23" s="37"/>
    </row>
    <row r="24" spans="1:12" ht="15" customHeight="1">
      <c r="A24" s="87"/>
      <c r="B24" s="17"/>
      <c r="C24" s="70"/>
      <c r="D24" s="70"/>
      <c r="E24" s="93"/>
      <c r="H24" s="24"/>
      <c r="I24" s="59"/>
      <c r="J24" s="24"/>
    </row>
    <row r="25" spans="1:12">
      <c r="A25" s="87" t="s">
        <v>71</v>
      </c>
      <c r="B25" s="17" t="s">
        <v>72</v>
      </c>
      <c r="C25" s="70"/>
      <c r="D25" s="70"/>
      <c r="E25" s="93"/>
      <c r="H25" s="115"/>
      <c r="I25" s="114"/>
      <c r="J25" s="116"/>
    </row>
    <row r="26" spans="1:12">
      <c r="A26" s="87"/>
      <c r="B26" s="117" t="s">
        <v>73</v>
      </c>
      <c r="C26" s="70"/>
      <c r="D26" s="118">
        <v>15</v>
      </c>
      <c r="E26" s="91">
        <v>45</v>
      </c>
      <c r="H26" s="95"/>
      <c r="I26" s="17"/>
      <c r="J26" s="59"/>
    </row>
    <row r="27" spans="1:12">
      <c r="A27" s="87"/>
      <c r="B27" s="117" t="s">
        <v>74</v>
      </c>
      <c r="C27" s="70"/>
      <c r="D27" s="83">
        <v>10</v>
      </c>
      <c r="E27" s="91">
        <v>15</v>
      </c>
      <c r="H27" s="59"/>
      <c r="I27" s="17"/>
      <c r="J27" s="59"/>
    </row>
    <row r="28" spans="1:12">
      <c r="A28" s="87"/>
      <c r="B28" s="117" t="s">
        <v>75</v>
      </c>
      <c r="C28" s="70"/>
      <c r="D28" s="118">
        <v>0</v>
      </c>
      <c r="E28" s="91">
        <v>5</v>
      </c>
      <c r="H28" s="59"/>
      <c r="I28" s="17"/>
    </row>
    <row r="29" spans="1:12">
      <c r="A29" s="87"/>
      <c r="B29" s="117"/>
      <c r="C29" s="70"/>
      <c r="D29" s="119"/>
      <c r="E29" s="93"/>
      <c r="H29" s="95"/>
      <c r="I29" s="24"/>
    </row>
    <row r="30" spans="1:12" ht="14.25" customHeight="1">
      <c r="A30" s="87" t="s">
        <v>76</v>
      </c>
      <c r="B30" s="24" t="s">
        <v>77</v>
      </c>
      <c r="C30" s="70"/>
      <c r="D30" s="120">
        <f>+D23-D26-D27-D28</f>
        <v>45</v>
      </c>
      <c r="E30" s="120">
        <f>+E23-E26-E27-E28</f>
        <v>135</v>
      </c>
      <c r="G30" s="24"/>
      <c r="H30" s="95"/>
      <c r="I30" s="24"/>
      <c r="J30" s="59"/>
      <c r="K30" s="59"/>
      <c r="L30" s="59"/>
    </row>
    <row r="31" spans="1:12" ht="3.75" customHeight="1">
      <c r="A31" s="87"/>
      <c r="B31" s="17"/>
      <c r="C31" s="70"/>
      <c r="D31" s="70"/>
      <c r="E31" s="93"/>
    </row>
    <row r="32" spans="1:12" s="39" customFormat="1">
      <c r="A32" s="121"/>
      <c r="B32" s="64"/>
      <c r="C32" s="122"/>
      <c r="D32" s="64"/>
      <c r="E32" s="123"/>
      <c r="G32" s="34"/>
    </row>
    <row r="33" spans="1:6">
      <c r="A33" s="124"/>
      <c r="C33" s="125"/>
      <c r="D33" s="126"/>
      <c r="E33" s="15"/>
      <c r="F33" s="15"/>
    </row>
  </sheetData>
  <mergeCells count="3">
    <mergeCell ref="A1:E1"/>
    <mergeCell ref="A3:E3"/>
    <mergeCell ref="J21:K21"/>
  </mergeCells>
  <printOptions horizontalCentered="1"/>
  <pageMargins left="0.3" right="0.3" top="0.53611111111111098" bottom="0.15" header="0.511811023622047" footer="0.511811023622047"/>
  <pageSetup paperSize="9" scale="92" fitToHeight="10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J48"/>
  <sheetViews>
    <sheetView showGridLines="0" tabSelected="1" view="pageBreakPreview" topLeftCell="A23" zoomScaleNormal="100" workbookViewId="0">
      <selection activeCell="E38" sqref="E38"/>
    </sheetView>
  </sheetViews>
  <sheetFormatPr defaultColWidth="9.109375" defaultRowHeight="13.8"/>
  <cols>
    <col min="1" max="1" width="3" style="127" customWidth="1"/>
    <col min="2" max="2" width="35.88671875" style="128" customWidth="1"/>
    <col min="3" max="3" width="30.109375" style="128" customWidth="1"/>
    <col min="4" max="4" width="4" style="127" customWidth="1"/>
    <col min="5" max="5" width="19.88671875" style="128" customWidth="1"/>
    <col min="6" max="6" width="0.6640625" style="128" customWidth="1"/>
    <col min="7" max="7" width="19.44140625" style="128" customWidth="1"/>
    <col min="8" max="8" width="5.33203125" style="128" customWidth="1"/>
    <col min="9" max="9" width="11.44140625" style="128" customWidth="1"/>
    <col min="10" max="10" width="11.109375" style="128" customWidth="1"/>
    <col min="11" max="16384" width="9.109375" style="128"/>
  </cols>
  <sheetData>
    <row r="1" spans="1:8">
      <c r="A1" s="4"/>
      <c r="B1" s="4"/>
      <c r="C1" s="4"/>
      <c r="D1" s="4"/>
      <c r="E1" s="4"/>
      <c r="F1" s="4"/>
      <c r="G1" s="4"/>
    </row>
    <row r="2" spans="1:8">
      <c r="A2" s="3" t="s">
        <v>78</v>
      </c>
      <c r="B2" s="3"/>
      <c r="C2" s="3"/>
      <c r="D2" s="3"/>
      <c r="E2" s="3"/>
      <c r="F2" s="3"/>
      <c r="G2" s="3"/>
    </row>
    <row r="3" spans="1:8" ht="14.25" customHeight="1">
      <c r="A3" s="129"/>
      <c r="B3" s="130"/>
      <c r="C3" s="130"/>
      <c r="G3" s="131" t="s">
        <v>79</v>
      </c>
    </row>
    <row r="4" spans="1:8" ht="15" customHeight="1">
      <c r="A4" s="2" t="s">
        <v>2</v>
      </c>
      <c r="B4" s="2"/>
      <c r="C4" s="2"/>
      <c r="D4" s="132"/>
      <c r="E4" s="1" t="s">
        <v>80</v>
      </c>
      <c r="F4" s="133"/>
      <c r="G4" s="150" t="s">
        <v>81</v>
      </c>
    </row>
    <row r="5" spans="1:8">
      <c r="A5" s="2"/>
      <c r="B5" s="2"/>
      <c r="C5" s="2"/>
      <c r="D5" s="134"/>
      <c r="E5" s="1"/>
      <c r="F5" s="135"/>
      <c r="G5" s="150"/>
    </row>
    <row r="6" spans="1:8">
      <c r="A6" s="129" t="s">
        <v>82</v>
      </c>
      <c r="B6" s="136" t="s">
        <v>83</v>
      </c>
      <c r="G6" s="137"/>
    </row>
    <row r="7" spans="1:8">
      <c r="A7" s="129"/>
      <c r="B7" s="136" t="s">
        <v>84</v>
      </c>
      <c r="E7" s="138">
        <v>70</v>
      </c>
      <c r="G7" s="139">
        <v>200</v>
      </c>
    </row>
    <row r="8" spans="1:8">
      <c r="A8" s="129"/>
      <c r="B8" s="128" t="s">
        <v>85</v>
      </c>
      <c r="G8" s="137"/>
    </row>
    <row r="9" spans="1:8" ht="14.4">
      <c r="A9" s="129"/>
      <c r="B9" s="128" t="s">
        <v>86</v>
      </c>
      <c r="E9" s="140">
        <v>310</v>
      </c>
      <c r="G9" s="139">
        <v>300</v>
      </c>
    </row>
    <row r="10" spans="1:8">
      <c r="A10" s="129"/>
      <c r="B10" s="128" t="s">
        <v>87</v>
      </c>
      <c r="E10" s="141">
        <v>-25</v>
      </c>
      <c r="G10" s="139">
        <v>-30</v>
      </c>
    </row>
    <row r="11" spans="1:8" hidden="1">
      <c r="A11" s="129"/>
      <c r="B11" s="128" t="s">
        <v>88</v>
      </c>
      <c r="E11" s="142">
        <v>0</v>
      </c>
      <c r="G11" s="91">
        <v>0</v>
      </c>
    </row>
    <row r="12" spans="1:8" ht="14.4">
      <c r="A12" s="129"/>
      <c r="B12" s="128" t="s">
        <v>89</v>
      </c>
      <c r="E12" s="140">
        <v>480</v>
      </c>
      <c r="G12" s="139">
        <v>340</v>
      </c>
    </row>
    <row r="13" spans="1:8">
      <c r="A13" s="129"/>
      <c r="B13" s="136" t="s">
        <v>90</v>
      </c>
      <c r="E13" s="138">
        <f>E7+E9+E10+E11+E12</f>
        <v>835</v>
      </c>
      <c r="G13" s="143">
        <f>G7+G9+G10+G11+G12</f>
        <v>810</v>
      </c>
    </row>
    <row r="14" spans="1:8">
      <c r="A14" s="129"/>
      <c r="B14" s="128" t="s">
        <v>91</v>
      </c>
      <c r="G14" s="137"/>
    </row>
    <row r="15" spans="1:8">
      <c r="A15" s="129"/>
      <c r="B15" s="128" t="s">
        <v>92</v>
      </c>
      <c r="E15" s="141">
        <v>-300</v>
      </c>
      <c r="G15" s="139">
        <v>-200</v>
      </c>
      <c r="H15" s="136"/>
    </row>
    <row r="16" spans="1:8">
      <c r="A16" s="129"/>
      <c r="B16" s="128" t="s">
        <v>93</v>
      </c>
      <c r="E16" s="141">
        <v>-100</v>
      </c>
      <c r="G16" s="139">
        <v>-50</v>
      </c>
    </row>
    <row r="17" spans="1:7">
      <c r="A17" s="129"/>
      <c r="B17" s="128" t="s">
        <v>94</v>
      </c>
      <c r="E17" s="141">
        <v>-10</v>
      </c>
      <c r="G17" s="139">
        <v>-5</v>
      </c>
    </row>
    <row r="18" spans="1:7">
      <c r="A18" s="129"/>
      <c r="B18" s="128" t="s">
        <v>95</v>
      </c>
      <c r="E18" s="141">
        <v>0</v>
      </c>
      <c r="G18" s="139">
        <v>-375</v>
      </c>
    </row>
    <row r="19" spans="1:7">
      <c r="A19" s="129"/>
      <c r="B19" s="128" t="s">
        <v>96</v>
      </c>
      <c r="E19" s="141">
        <v>-500</v>
      </c>
      <c r="G19" s="139">
        <v>200</v>
      </c>
    </row>
    <row r="20" spans="1:7">
      <c r="A20" s="129"/>
      <c r="B20" s="128" t="s">
        <v>97</v>
      </c>
      <c r="E20" s="141">
        <v>200</v>
      </c>
      <c r="G20" s="139">
        <v>100</v>
      </c>
    </row>
    <row r="21" spans="1:7">
      <c r="A21" s="129"/>
      <c r="B21" s="128" t="s">
        <v>98</v>
      </c>
      <c r="E21" s="141">
        <v>0</v>
      </c>
      <c r="G21" s="139">
        <v>0</v>
      </c>
    </row>
    <row r="22" spans="1:7">
      <c r="A22" s="129"/>
      <c r="B22" s="128" t="s">
        <v>99</v>
      </c>
      <c r="E22" s="141">
        <v>50</v>
      </c>
      <c r="G22" s="139">
        <v>30</v>
      </c>
    </row>
    <row r="23" spans="1:7">
      <c r="A23" s="129"/>
      <c r="B23" s="128" t="s">
        <v>100</v>
      </c>
      <c r="E23" s="141">
        <v>10</v>
      </c>
      <c r="G23" s="139">
        <v>5</v>
      </c>
    </row>
    <row r="24" spans="1:7">
      <c r="A24" s="129"/>
      <c r="B24" s="136" t="s">
        <v>101</v>
      </c>
      <c r="E24" s="138">
        <f>E13+SUM(E15:E23)</f>
        <v>185</v>
      </c>
      <c r="F24" s="144"/>
      <c r="G24" s="143">
        <f>G13+SUM(G15:G23)</f>
        <v>515</v>
      </c>
    </row>
    <row r="25" spans="1:7">
      <c r="A25" s="129"/>
      <c r="B25" s="128" t="s">
        <v>102</v>
      </c>
      <c r="E25" s="141">
        <v>-15</v>
      </c>
      <c r="F25" s="144"/>
      <c r="G25" s="139">
        <v>-50</v>
      </c>
    </row>
    <row r="26" spans="1:7">
      <c r="A26" s="129"/>
      <c r="B26" s="136" t="s">
        <v>103</v>
      </c>
      <c r="D26" s="127" t="s">
        <v>104</v>
      </c>
      <c r="E26" s="145">
        <f>E24+E25</f>
        <v>170</v>
      </c>
      <c r="G26" s="146">
        <f>G24+G25</f>
        <v>465</v>
      </c>
    </row>
    <row r="27" spans="1:7">
      <c r="A27" s="129"/>
      <c r="B27" s="136"/>
      <c r="G27" s="137"/>
    </row>
    <row r="28" spans="1:7">
      <c r="A28" s="129" t="s">
        <v>105</v>
      </c>
      <c r="B28" s="136" t="s">
        <v>106</v>
      </c>
      <c r="G28" s="137"/>
    </row>
    <row r="29" spans="1:7">
      <c r="A29" s="129"/>
      <c r="B29" s="128" t="s">
        <v>107</v>
      </c>
      <c r="E29" s="141">
        <v>-205</v>
      </c>
      <c r="F29" s="144"/>
      <c r="G29" s="139">
        <v>-245</v>
      </c>
    </row>
    <row r="30" spans="1:7">
      <c r="A30" s="129"/>
      <c r="B30" s="128" t="s">
        <v>108</v>
      </c>
      <c r="E30" s="141">
        <v>-80</v>
      </c>
      <c r="G30" s="91">
        <v>-30</v>
      </c>
    </row>
    <row r="31" spans="1:7" ht="14.4">
      <c r="A31" s="129"/>
      <c r="B31" s="128" t="s">
        <v>87</v>
      </c>
      <c r="E31" s="140">
        <v>25</v>
      </c>
      <c r="G31" s="139">
        <v>30</v>
      </c>
    </row>
    <row r="32" spans="1:7">
      <c r="A32" s="129"/>
      <c r="B32" s="136" t="s">
        <v>109</v>
      </c>
      <c r="D32" s="127" t="s">
        <v>110</v>
      </c>
      <c r="E32" s="147">
        <f>SUM(E29:E31)</f>
        <v>-260</v>
      </c>
      <c r="F32" s="144"/>
      <c r="G32" s="148">
        <f>SUM(G29:G31)</f>
        <v>-245</v>
      </c>
    </row>
    <row r="33" spans="1:10">
      <c r="A33" s="129"/>
      <c r="B33" s="136"/>
      <c r="G33" s="137"/>
    </row>
    <row r="34" spans="1:10">
      <c r="A34" s="129" t="s">
        <v>111</v>
      </c>
      <c r="B34" s="136" t="s">
        <v>112</v>
      </c>
      <c r="G34" s="137"/>
    </row>
    <row r="35" spans="1:10">
      <c r="A35" s="129"/>
      <c r="B35" s="128" t="s">
        <v>113</v>
      </c>
      <c r="E35" s="141">
        <v>100</v>
      </c>
      <c r="F35" s="144"/>
      <c r="G35" s="139">
        <v>50</v>
      </c>
    </row>
    <row r="36" spans="1:10">
      <c r="A36" s="129"/>
      <c r="B36" s="128" t="s">
        <v>114</v>
      </c>
      <c r="E36" s="141">
        <v>400</v>
      </c>
      <c r="G36" s="139">
        <v>100</v>
      </c>
    </row>
    <row r="37" spans="1:10">
      <c r="A37" s="129"/>
      <c r="B37" s="128" t="s">
        <v>115</v>
      </c>
      <c r="E37" s="141">
        <v>-480</v>
      </c>
      <c r="F37" s="144"/>
      <c r="G37" s="139">
        <v>-340</v>
      </c>
    </row>
    <row r="38" spans="1:10">
      <c r="A38" s="129"/>
      <c r="B38" s="136" t="s">
        <v>116</v>
      </c>
      <c r="D38" s="127" t="s">
        <v>117</v>
      </c>
      <c r="E38" s="147">
        <f>SUM(E35:E37)</f>
        <v>20</v>
      </c>
      <c r="F38" s="144"/>
      <c r="G38" s="148">
        <f>SUM(G35:G37)</f>
        <v>-190</v>
      </c>
    </row>
    <row r="39" spans="1:10">
      <c r="A39" s="129"/>
      <c r="G39" s="137"/>
    </row>
    <row r="40" spans="1:10">
      <c r="A40" s="129"/>
      <c r="B40" s="136" t="s">
        <v>118</v>
      </c>
      <c r="E40" s="138">
        <f>E26+E32+E38</f>
        <v>-70</v>
      </c>
      <c r="G40" s="143">
        <f>G26+G32+G38</f>
        <v>30</v>
      </c>
    </row>
    <row r="41" spans="1:10" ht="14.4">
      <c r="A41" s="129"/>
      <c r="B41" s="128" t="s">
        <v>119</v>
      </c>
      <c r="E41" s="140">
        <v>310</v>
      </c>
      <c r="G41" s="139">
        <v>280</v>
      </c>
    </row>
    <row r="42" spans="1:10">
      <c r="A42" s="129"/>
      <c r="B42" s="136" t="s">
        <v>120</v>
      </c>
      <c r="E42" s="145">
        <f>SUM(E40:E41)</f>
        <v>240</v>
      </c>
      <c r="G42" s="146">
        <f>SUM(G40:G41)</f>
        <v>310</v>
      </c>
    </row>
    <row r="43" spans="1:10">
      <c r="A43" s="129"/>
      <c r="B43" s="136" t="s">
        <v>121</v>
      </c>
      <c r="G43" s="137"/>
    </row>
    <row r="44" spans="1:10" ht="14.4">
      <c r="A44" s="129"/>
      <c r="B44" s="128" t="s">
        <v>122</v>
      </c>
      <c r="E44" s="140">
        <v>15</v>
      </c>
      <c r="G44" s="139">
        <v>20</v>
      </c>
    </row>
    <row r="45" spans="1:10">
      <c r="A45" s="129"/>
      <c r="B45" s="128" t="s">
        <v>123</v>
      </c>
      <c r="G45" s="137"/>
    </row>
    <row r="46" spans="1:10" ht="14.4">
      <c r="A46" s="129"/>
      <c r="B46" s="128" t="s">
        <v>124</v>
      </c>
      <c r="E46" s="140">
        <v>75</v>
      </c>
      <c r="G46" s="139">
        <v>90</v>
      </c>
    </row>
    <row r="47" spans="1:10" ht="14.4">
      <c r="A47" s="129"/>
      <c r="B47" s="128" t="s">
        <v>125</v>
      </c>
      <c r="E47" s="140">
        <v>150</v>
      </c>
      <c r="G47" s="139">
        <v>200</v>
      </c>
    </row>
    <row r="48" spans="1:10">
      <c r="A48" s="129"/>
      <c r="E48" s="145">
        <f>SUM(E44:E47)</f>
        <v>240</v>
      </c>
      <c r="G48" s="146">
        <f>SUM(G44:G47)</f>
        <v>310</v>
      </c>
      <c r="H48" s="149"/>
      <c r="J48" s="128">
        <f>+E42-E48</f>
        <v>0</v>
      </c>
    </row>
  </sheetData>
  <mergeCells count="5">
    <mergeCell ref="A1:G1"/>
    <mergeCell ref="A2:G2"/>
    <mergeCell ref="A4:C5"/>
    <mergeCell ref="E4:E5"/>
    <mergeCell ref="G4:G5"/>
  </mergeCells>
  <pageMargins left="0.70833333333333304" right="0.905555555555556" top="0.74791666666666701" bottom="0.35416666666666702" header="0.511811023622047" footer="0.511811023622047"/>
  <pageSetup paperSize="9" scale="76" fitToHeight="10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BS</vt:lpstr>
      <vt:lpstr>PL </vt:lpstr>
      <vt:lpstr>CF</vt:lpstr>
      <vt:lpstr>BS!Print_Area</vt:lpstr>
      <vt:lpstr>CF!Print_Area</vt:lpstr>
      <vt:lpstr>'PL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rajeevan</dc:creator>
  <dc:description/>
  <cp:lastModifiedBy>RAVINDER KUMAR GARG</cp:lastModifiedBy>
  <cp:revision>0</cp:revision>
  <cp:lastPrinted>2021-09-02T09:36:15Z</cp:lastPrinted>
  <dcterms:created xsi:type="dcterms:W3CDTF">2013-04-27T05:25:36Z</dcterms:created>
  <dcterms:modified xsi:type="dcterms:W3CDTF">2026-09-03T13:38:33Z</dcterms:modified>
  <dc:language>en-US</dc:language>
</cp:coreProperties>
</file>