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Professional\A I\ICAI Batch 76 Aug 8 to 13\Capstone\Claude Code\"/>
    </mc:Choice>
  </mc:AlternateContent>
  <xr:revisionPtr revIDLastSave="0" documentId="13_ncr:1_{31334683-48DA-47D5-9DD6-03451A156F3D}" xr6:coauthVersionLast="47" xr6:coauthVersionMax="47" xr10:uidLastSave="{00000000-0000-0000-0000-000000000000}"/>
  <bookViews>
    <workbookView xWindow="2340" yWindow="2340" windowWidth="21600" windowHeight="11235" tabRatio="666" firstSheet="5" activeTab="5" xr2:uid="{00000000-000D-0000-FFFF-FFFF00000000}"/>
  </bookViews>
  <sheets>
    <sheet name="Points to check" sheetId="42" state="hidden" r:id="rId1"/>
    <sheet name="Quarterly call" sheetId="43" state="hidden" r:id="rId2"/>
    <sheet name="Summary" sheetId="1" r:id="rId3"/>
    <sheet name="SWOT" sheetId="46" r:id="rId4"/>
    <sheet name="Quarterly reporting" sheetId="47" r:id="rId5"/>
    <sheet name="Financials_Standalone" sheetId="26" r:id="rId6"/>
    <sheet name="Standalone bs" sheetId="48" state="hidden" r:id="rId7"/>
    <sheet name="Sheet2" sheetId="49" state="hidden" r:id="rId8"/>
    <sheet name="Financials_Consol" sheetId="32" r:id="rId9"/>
    <sheet name="Sheet3" sheetId="50" state="hidden" r:id="rId10"/>
    <sheet name="Common Size Analysis - PL_Conso" sheetId="34" r:id="rId11"/>
    <sheet name="Common Size Analysis - PL" sheetId="25" r:id="rId12"/>
    <sheet name="Common Size Analysis - BS_conso" sheetId="35" r:id="rId13"/>
    <sheet name="Common Size Analysis - BS" sheetId="24" r:id="rId14"/>
    <sheet name="Common Size Analysis - CFS_Cons" sheetId="36" r:id="rId15"/>
    <sheet name="Common Size Analysis - CFS" sheetId="31" r:id="rId16"/>
    <sheet name="Ratio Analysis_Conso" sheetId="37" r:id="rId17"/>
    <sheet name="Ratio Analysis" sheetId="6" r:id="rId18"/>
    <sheet name="Valuation Models DCF_Conso" sheetId="38" r:id="rId19"/>
    <sheet name="Valuation Models DCF" sheetId="12" r:id="rId20"/>
    <sheet name="Val Mod_Residual earnings_conso" sheetId="21" r:id="rId21"/>
    <sheet name="Valuation Models Residual" sheetId="39" r:id="rId22"/>
    <sheet name="Valuation Models EPV_conso" sheetId="40" r:id="rId23"/>
    <sheet name="Valuation Models EPV" sheetId="22" r:id="rId24"/>
    <sheet name="Relative valuation Models" sheetId="23" r:id="rId25"/>
    <sheet name="Business Qualitative Assessment" sheetId="7" state="hidden" r:id="rId26"/>
    <sheet name="Michael Porters - 5 Pt analysis" sheetId="11" state="hidden" r:id="rId27"/>
    <sheet name="Moat Study" sheetId="10" state="hidden" r:id="rId28"/>
    <sheet name="Financial Shenanigans checklist" sheetId="9" state="hidden" r:id="rId29"/>
    <sheet name="Great Business Checklist" sheetId="13" state="hidden" r:id="rId30"/>
    <sheet name="Business Quality Checklist" sheetId="14" state="hidden" r:id="rId31"/>
    <sheet name="Management Qualitiy Checklist" sheetId="15" state="hidden" r:id="rId32"/>
    <sheet name="Behavioral Checklist" sheetId="8" state="hidden" r:id="rId33"/>
    <sheet name="Investing Sin Checklist" sheetId="20" state="hidden" r:id="rId34"/>
    <sheet name="Less is more checklist" sheetId="19" state="hidden" r:id="rId35"/>
    <sheet name="Philip Fischer " sheetId="41" state="hidden" r:id="rId36"/>
    <sheet name="Segment revenue" sheetId="45" state="hidden" r:id="rId3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5" i="32" l="1"/>
  <c r="K117" i="26"/>
  <c r="J115" i="32"/>
  <c r="J117" i="26"/>
  <c r="I115" i="32"/>
  <c r="I117" i="26"/>
  <c r="H115" i="32"/>
  <c r="H117" i="26"/>
  <c r="G115" i="32"/>
  <c r="G117" i="26"/>
  <c r="F115" i="32"/>
  <c r="F117" i="26"/>
  <c r="E115" i="32"/>
  <c r="E117" i="26"/>
  <c r="D115" i="32"/>
  <c r="D117" i="26"/>
  <c r="C115" i="32"/>
  <c r="C117" i="26"/>
  <c r="B115" i="32"/>
  <c r="B117" i="26"/>
  <c r="F88" i="36"/>
  <c r="E88" i="36"/>
  <c r="B8" i="24"/>
  <c r="C8" i="24"/>
  <c r="D8" i="24"/>
  <c r="E8" i="24"/>
  <c r="F8" i="24"/>
  <c r="G8" i="24"/>
  <c r="B9" i="24"/>
  <c r="C9" i="24"/>
  <c r="D9" i="24"/>
  <c r="E9" i="24"/>
  <c r="F9" i="24"/>
  <c r="G9" i="24"/>
  <c r="B10" i="24"/>
  <c r="C10" i="24"/>
  <c r="D10" i="24"/>
  <c r="E10" i="24"/>
  <c r="F10" i="24"/>
  <c r="G10" i="24"/>
  <c r="B11" i="24"/>
  <c r="C11" i="24"/>
  <c r="D11" i="24"/>
  <c r="E11" i="24"/>
  <c r="F11" i="24"/>
  <c r="G11" i="24"/>
  <c r="B8" i="35"/>
  <c r="C8" i="35"/>
  <c r="D8" i="35"/>
  <c r="E8" i="35"/>
  <c r="F8" i="35"/>
  <c r="G8" i="35"/>
  <c r="B9" i="35"/>
  <c r="C9" i="35"/>
  <c r="D9" i="35"/>
  <c r="E9" i="35"/>
  <c r="F9" i="35"/>
  <c r="G9" i="35"/>
  <c r="B10" i="35"/>
  <c r="C10" i="35"/>
  <c r="D10" i="35"/>
  <c r="E10" i="35"/>
  <c r="F10" i="35"/>
  <c r="G10" i="35"/>
  <c r="B14" i="34"/>
  <c r="C14" i="34"/>
  <c r="D14" i="34"/>
  <c r="E14" i="34"/>
  <c r="F14" i="34"/>
  <c r="G14" i="34"/>
  <c r="B15" i="34"/>
  <c r="C15" i="34"/>
  <c r="D15" i="34"/>
  <c r="E15" i="34"/>
  <c r="F15" i="34"/>
  <c r="G15" i="34"/>
  <c r="B16" i="34"/>
  <c r="C16" i="34"/>
  <c r="D16" i="34"/>
  <c r="E16" i="34"/>
  <c r="F16" i="34"/>
  <c r="G16" i="34"/>
  <c r="B17" i="34"/>
  <c r="C17" i="34"/>
  <c r="D17" i="34"/>
  <c r="E17" i="34"/>
  <c r="F17" i="34"/>
  <c r="G17" i="34"/>
  <c r="B18" i="34"/>
  <c r="C18" i="34"/>
  <c r="D18" i="34"/>
  <c r="E18" i="34"/>
  <c r="F18" i="34"/>
  <c r="G18" i="34"/>
  <c r="B19" i="34"/>
  <c r="C19" i="34"/>
  <c r="D19" i="34"/>
  <c r="E19" i="34"/>
  <c r="F19" i="34"/>
  <c r="G19" i="34"/>
  <c r="B20" i="34"/>
  <c r="C20" i="34"/>
  <c r="D20" i="34"/>
  <c r="E20" i="34"/>
  <c r="F20" i="34"/>
  <c r="G20" i="34"/>
  <c r="B20" i="25"/>
  <c r="C20" i="25"/>
  <c r="D20" i="25"/>
  <c r="E20" i="25"/>
  <c r="F20" i="25"/>
  <c r="G20" i="25"/>
  <c r="L89" i="26"/>
  <c r="K89" i="26"/>
  <c r="J89" i="26"/>
  <c r="I89" i="26"/>
  <c r="H89" i="26"/>
  <c r="G89" i="26"/>
  <c r="F89" i="26"/>
  <c r="E89" i="26"/>
  <c r="D89" i="26"/>
  <c r="C89" i="26"/>
  <c r="B89" i="26"/>
  <c r="C14" i="46" l="1"/>
  <c r="C15" i="46" s="1"/>
  <c r="C16" i="46" s="1"/>
  <c r="C17" i="46" s="1"/>
  <c r="H8" i="23"/>
  <c r="F5" i="23"/>
  <c r="F6" i="23" s="1"/>
  <c r="F7" i="23" s="1"/>
  <c r="F4" i="23"/>
  <c r="C6" i="23"/>
  <c r="A20" i="47"/>
  <c r="A21" i="47" s="1"/>
  <c r="A23" i="47" s="1"/>
  <c r="A24" i="47" s="1"/>
  <c r="A19" i="47"/>
  <c r="D29" i="9"/>
  <c r="D24" i="9"/>
  <c r="D15" i="9"/>
  <c r="D9" i="9"/>
  <c r="A7" i="46"/>
  <c r="A8" i="46" s="1"/>
  <c r="E8" i="46"/>
  <c r="E9" i="46" s="1"/>
  <c r="E10" i="46" s="1"/>
  <c r="E11" i="46" s="1"/>
  <c r="E12" i="46" s="1"/>
  <c r="A14" i="46"/>
  <c r="A15" i="46" s="1"/>
  <c r="A5" i="47"/>
  <c r="A7" i="47" s="1"/>
  <c r="A8" i="47" s="1"/>
  <c r="A9" i="47" s="1"/>
  <c r="D85" i="31"/>
  <c r="D88" i="36"/>
  <c r="C19" i="23"/>
  <c r="D6" i="23"/>
  <c r="D7" i="40"/>
  <c r="B3" i="21"/>
  <c r="E5" i="46"/>
  <c r="E6" i="46" s="1"/>
  <c r="B12" i="38"/>
  <c r="E3" i="46"/>
  <c r="A5" i="46"/>
  <c r="B85" i="31"/>
  <c r="C133" i="6"/>
  <c r="C88" i="36"/>
  <c r="B88" i="36"/>
  <c r="J88" i="36" s="1"/>
  <c r="J87" i="36"/>
  <c r="J45" i="36"/>
  <c r="B13" i="12"/>
  <c r="B13" i="38"/>
  <c r="C140" i="6"/>
  <c r="C139" i="6"/>
  <c r="C134" i="6"/>
  <c r="C131" i="6"/>
  <c r="C88" i="6"/>
  <c r="C79" i="6"/>
  <c r="C75" i="6"/>
  <c r="C71" i="6"/>
  <c r="C67" i="6"/>
  <c r="C26" i="6"/>
  <c r="C18" i="6"/>
  <c r="C10" i="6"/>
  <c r="C9" i="6"/>
  <c r="C142" i="37"/>
  <c r="C141" i="37"/>
  <c r="C136" i="37"/>
  <c r="C135" i="37"/>
  <c r="C88" i="37"/>
  <c r="C71" i="37"/>
  <c r="C67" i="37"/>
  <c r="C75" i="37" s="1"/>
  <c r="C26" i="37"/>
  <c r="C18" i="37"/>
  <c r="C10" i="37"/>
  <c r="C9" i="37"/>
  <c r="C25" i="37" s="1"/>
  <c r="J86" i="36"/>
  <c r="J85" i="36"/>
  <c r="J84" i="36"/>
  <c r="J83" i="36"/>
  <c r="J82" i="36"/>
  <c r="J81" i="36"/>
  <c r="J80" i="36"/>
  <c r="J79" i="36"/>
  <c r="J78" i="36"/>
  <c r="J77" i="36"/>
  <c r="J76" i="36"/>
  <c r="J75" i="36"/>
  <c r="J74" i="36"/>
  <c r="J73" i="36"/>
  <c r="J70" i="36"/>
  <c r="J69" i="36"/>
  <c r="J68" i="36"/>
  <c r="J67" i="36"/>
  <c r="J66" i="36"/>
  <c r="J65" i="36"/>
  <c r="J64" i="36"/>
  <c r="J63" i="36"/>
  <c r="J62" i="36"/>
  <c r="J61" i="36"/>
  <c r="J60" i="36"/>
  <c r="J59" i="36"/>
  <c r="J58" i="36"/>
  <c r="J57" i="36"/>
  <c r="J56" i="36"/>
  <c r="J55" i="36"/>
  <c r="J54" i="36"/>
  <c r="J53" i="36"/>
  <c r="J52" i="36"/>
  <c r="J51" i="36"/>
  <c r="J50" i="36"/>
  <c r="J49" i="36"/>
  <c r="J48" i="36"/>
  <c r="J44" i="36"/>
  <c r="J43" i="36"/>
  <c r="J42" i="36"/>
  <c r="J41" i="36"/>
  <c r="J40" i="36"/>
  <c r="J39" i="36"/>
  <c r="J38" i="36"/>
  <c r="J37" i="36"/>
  <c r="J36" i="36"/>
  <c r="J35" i="36"/>
  <c r="J34" i="36"/>
  <c r="J33" i="36"/>
  <c r="J32" i="36"/>
  <c r="J29" i="36"/>
  <c r="J28" i="36"/>
  <c r="J27" i="36"/>
  <c r="J26" i="36"/>
  <c r="J25" i="36"/>
  <c r="J24" i="36"/>
  <c r="J23" i="36"/>
  <c r="J22" i="36"/>
  <c r="J21" i="36"/>
  <c r="J20" i="36"/>
  <c r="J19" i="36"/>
  <c r="J18" i="36"/>
  <c r="J17" i="36"/>
  <c r="J16" i="36"/>
  <c r="J15" i="36"/>
  <c r="J13" i="36"/>
  <c r="J12" i="36"/>
  <c r="J11" i="36"/>
  <c r="J10" i="36"/>
  <c r="J9" i="36"/>
  <c r="J8" i="36"/>
  <c r="J7" i="36"/>
  <c r="B37" i="24"/>
  <c r="B36" i="24"/>
  <c r="B35" i="24"/>
  <c r="B34" i="24"/>
  <c r="B32" i="24"/>
  <c r="B31" i="24"/>
  <c r="B30" i="24"/>
  <c r="B29" i="24"/>
  <c r="B27" i="24"/>
  <c r="B26" i="24"/>
  <c r="B25" i="24"/>
  <c r="B21" i="24"/>
  <c r="B20" i="24"/>
  <c r="B19" i="24"/>
  <c r="B18" i="24"/>
  <c r="B17" i="24"/>
  <c r="B16" i="24"/>
  <c r="B14" i="24"/>
  <c r="B13" i="24"/>
  <c r="B12" i="24"/>
  <c r="B7" i="24"/>
  <c r="B40" i="35"/>
  <c r="B39" i="35"/>
  <c r="B38" i="35"/>
  <c r="B37" i="35"/>
  <c r="B35" i="35"/>
  <c r="B34" i="35"/>
  <c r="B33" i="35"/>
  <c r="B32" i="35"/>
  <c r="B31" i="35"/>
  <c r="B29" i="35"/>
  <c r="B28" i="35"/>
  <c r="B27" i="35"/>
  <c r="B23" i="35"/>
  <c r="B22" i="35"/>
  <c r="B21" i="35"/>
  <c r="B20" i="35"/>
  <c r="B19" i="35"/>
  <c r="B18" i="35"/>
  <c r="B16" i="35"/>
  <c r="B15" i="35"/>
  <c r="B14" i="35"/>
  <c r="B13" i="35"/>
  <c r="B12" i="35"/>
  <c r="B11" i="35"/>
  <c r="B7" i="35"/>
  <c r="B26" i="25"/>
  <c r="B19" i="25"/>
  <c r="B18" i="25"/>
  <c r="B17" i="25"/>
  <c r="B16" i="25"/>
  <c r="B15" i="25"/>
  <c r="B14" i="25"/>
  <c r="B13" i="25"/>
  <c r="B10" i="25"/>
  <c r="B7" i="25"/>
  <c r="B6" i="25"/>
  <c r="B5" i="25"/>
  <c r="B26" i="34"/>
  <c r="B25" i="34"/>
  <c r="B13" i="34"/>
  <c r="B21" i="34" s="1"/>
  <c r="B10" i="34"/>
  <c r="B7" i="34"/>
  <c r="B6" i="34"/>
  <c r="B5" i="34"/>
  <c r="B124" i="26"/>
  <c r="B138" i="26" s="1"/>
  <c r="B140" i="26" s="1"/>
  <c r="B142" i="26" s="1"/>
  <c r="B144" i="26" s="1"/>
  <c r="B146" i="26" s="1"/>
  <c r="B149" i="26" s="1"/>
  <c r="B98" i="26"/>
  <c r="B25" i="25" s="1"/>
  <c r="B75" i="26"/>
  <c r="B77" i="26" s="1"/>
  <c r="B79" i="26" s="1"/>
  <c r="B46" i="26"/>
  <c r="C56" i="6" s="1"/>
  <c r="B38" i="26"/>
  <c r="B33" i="26"/>
  <c r="B24" i="26"/>
  <c r="B18" i="26"/>
  <c r="B10" i="26"/>
  <c r="B8" i="26"/>
  <c r="B121" i="32"/>
  <c r="B135" i="32" s="1"/>
  <c r="B137" i="32" s="1"/>
  <c r="B139" i="32" s="1"/>
  <c r="B141" i="32" s="1"/>
  <c r="B143" i="32" s="1"/>
  <c r="B146" i="32" s="1"/>
  <c r="B89" i="32"/>
  <c r="B75" i="32"/>
  <c r="B77" i="32" s="1"/>
  <c r="B79" i="32" s="1"/>
  <c r="B48" i="32"/>
  <c r="C48" i="37" s="1"/>
  <c r="B34" i="32"/>
  <c r="B40" i="32" s="1"/>
  <c r="B25" i="32"/>
  <c r="C49" i="37" s="1"/>
  <c r="B19" i="32"/>
  <c r="B8" i="32"/>
  <c r="B10" i="32" s="1"/>
  <c r="B12" i="32" s="1"/>
  <c r="B6" i="21" s="1"/>
  <c r="E12" i="45"/>
  <c r="E13" i="45" s="1"/>
  <c r="F21" i="45"/>
  <c r="F20" i="45"/>
  <c r="F19" i="45"/>
  <c r="F18" i="45"/>
  <c r="E25" i="45"/>
  <c r="E26" i="45" s="1"/>
  <c r="E22" i="45"/>
  <c r="E9" i="45"/>
  <c r="B21" i="25" l="1"/>
  <c r="B49" i="32"/>
  <c r="M50" i="32" s="1"/>
  <c r="J6" i="25"/>
  <c r="B26" i="35"/>
  <c r="C8" i="6"/>
  <c r="C14" i="6" s="1"/>
  <c r="C12" i="6" s="1"/>
  <c r="C60" i="6" s="1"/>
  <c r="D7" i="9"/>
  <c r="C18" i="23"/>
  <c r="D13" i="9"/>
  <c r="J7" i="34"/>
  <c r="D18" i="23"/>
  <c r="D4" i="40"/>
  <c r="C79" i="37"/>
  <c r="A10" i="47"/>
  <c r="A11" i="47" s="1"/>
  <c r="A12" i="47" s="1"/>
  <c r="A13" i="47" s="1"/>
  <c r="C130" i="6"/>
  <c r="C138" i="6" s="1"/>
  <c r="C137" i="6" s="1"/>
  <c r="C133" i="37"/>
  <c r="C132" i="37" s="1"/>
  <c r="B6" i="35"/>
  <c r="B5" i="35" s="1"/>
  <c r="C52" i="37"/>
  <c r="C56" i="37"/>
  <c r="C47" i="37"/>
  <c r="C34" i="37"/>
  <c r="C24" i="37"/>
  <c r="C30" i="37" s="1"/>
  <c r="C28" i="37" s="1"/>
  <c r="C62" i="37" s="1"/>
  <c r="C53" i="37"/>
  <c r="C57" i="37"/>
  <c r="C76" i="37"/>
  <c r="C74" i="37" s="1"/>
  <c r="C80" i="37"/>
  <c r="C115" i="37"/>
  <c r="C8" i="37"/>
  <c r="C14" i="37" s="1"/>
  <c r="C12" i="37" s="1"/>
  <c r="J10" i="34"/>
  <c r="C100" i="37"/>
  <c r="C104" i="37" s="1"/>
  <c r="B8" i="34"/>
  <c r="J6" i="34"/>
  <c r="C94" i="37"/>
  <c r="C17" i="37"/>
  <c r="C95" i="37"/>
  <c r="B15" i="24"/>
  <c r="C48" i="6"/>
  <c r="C52" i="6"/>
  <c r="B6" i="24"/>
  <c r="B5" i="24" s="1"/>
  <c r="C49" i="6"/>
  <c r="C53" i="6"/>
  <c r="C57" i="6"/>
  <c r="C55" i="6" s="1"/>
  <c r="B24" i="24"/>
  <c r="C25" i="6"/>
  <c r="C24" i="6" s="1"/>
  <c r="C30" i="6" s="1"/>
  <c r="C28" i="6" s="1"/>
  <c r="C62" i="6" s="1"/>
  <c r="J10" i="25"/>
  <c r="J7" i="25"/>
  <c r="C99" i="6"/>
  <c r="C103" i="6"/>
  <c r="B8" i="25"/>
  <c r="J20" i="25" s="1"/>
  <c r="C94" i="6"/>
  <c r="C17" i="6"/>
  <c r="C16" i="6" s="1"/>
  <c r="C22" i="6" s="1"/>
  <c r="C20" i="6" s="1"/>
  <c r="C95" i="6"/>
  <c r="B33" i="24"/>
  <c r="B28" i="24"/>
  <c r="B36" i="35"/>
  <c r="B17" i="35"/>
  <c r="B30" i="35"/>
  <c r="B91" i="26"/>
  <c r="B93" i="26" s="1"/>
  <c r="B39" i="26"/>
  <c r="B47" i="26" s="1"/>
  <c r="B12" i="26"/>
  <c r="B91" i="32"/>
  <c r="C99" i="37" s="1"/>
  <c r="D30" i="9" s="1"/>
  <c r="B26" i="32"/>
  <c r="F22" i="45"/>
  <c r="C55" i="37" l="1"/>
  <c r="C93" i="6"/>
  <c r="C61" i="6"/>
  <c r="D19" i="9"/>
  <c r="C78" i="37"/>
  <c r="B5" i="12"/>
  <c r="C140" i="37"/>
  <c r="C139" i="37" s="1"/>
  <c r="B5" i="38"/>
  <c r="C51" i="37"/>
  <c r="B41" i="35"/>
  <c r="J34" i="35" s="1"/>
  <c r="B24" i="35"/>
  <c r="J5" i="35" s="1"/>
  <c r="C68" i="37"/>
  <c r="C66" i="37" s="1"/>
  <c r="B43" i="35"/>
  <c r="C72" i="37"/>
  <c r="C70" i="37" s="1"/>
  <c r="C93" i="37"/>
  <c r="B23" i="34"/>
  <c r="J26" i="34"/>
  <c r="J15" i="34"/>
  <c r="J13" i="34"/>
  <c r="J21" i="34"/>
  <c r="J14" i="34"/>
  <c r="J19" i="34"/>
  <c r="J8" i="34"/>
  <c r="J18" i="34"/>
  <c r="J17" i="34"/>
  <c r="J16" i="34"/>
  <c r="J25" i="34"/>
  <c r="B93" i="32"/>
  <c r="C110" i="37"/>
  <c r="C87" i="37"/>
  <c r="C41" i="37"/>
  <c r="C37" i="37"/>
  <c r="C33" i="37"/>
  <c r="C32" i="37" s="1"/>
  <c r="C16" i="37"/>
  <c r="C22" i="37" s="1"/>
  <c r="C20" i="37" s="1"/>
  <c r="C47" i="6"/>
  <c r="C51" i="6"/>
  <c r="B22" i="24"/>
  <c r="J6" i="24" s="1"/>
  <c r="B38" i="24"/>
  <c r="J24" i="24" s="1"/>
  <c r="B25" i="26"/>
  <c r="C80" i="6"/>
  <c r="C78" i="6" s="1"/>
  <c r="C113" i="6"/>
  <c r="C76" i="6"/>
  <c r="C74" i="6" s="1"/>
  <c r="C59" i="6"/>
  <c r="C37" i="6"/>
  <c r="C33" i="6"/>
  <c r="J16" i="25"/>
  <c r="B4" i="31"/>
  <c r="J26" i="25"/>
  <c r="J15" i="25"/>
  <c r="J25" i="25"/>
  <c r="J19" i="25"/>
  <c r="J18" i="25"/>
  <c r="J14" i="25"/>
  <c r="J13" i="25"/>
  <c r="J21" i="25"/>
  <c r="J8" i="25"/>
  <c r="J17" i="25"/>
  <c r="C41" i="6"/>
  <c r="C112" i="6"/>
  <c r="C108" i="6"/>
  <c r="C98" i="6"/>
  <c r="C116" i="6"/>
  <c r="C87" i="6"/>
  <c r="C86" i="6" s="1"/>
  <c r="B23" i="25"/>
  <c r="C97" i="6" l="1"/>
  <c r="D25" i="9"/>
  <c r="J36" i="24"/>
  <c r="J33" i="24"/>
  <c r="J37" i="24"/>
  <c r="J28" i="24"/>
  <c r="C61" i="37"/>
  <c r="C59" i="37" s="1"/>
  <c r="D20" i="9"/>
  <c r="J35" i="35"/>
  <c r="J30" i="35"/>
  <c r="J31" i="35"/>
  <c r="J39" i="35"/>
  <c r="B45" i="35"/>
  <c r="J26" i="35"/>
  <c r="J27" i="35"/>
  <c r="J32" i="35"/>
  <c r="J33" i="35"/>
  <c r="J29" i="35"/>
  <c r="J37" i="35"/>
  <c r="J38" i="35"/>
  <c r="J28" i="35"/>
  <c r="J40" i="35"/>
  <c r="J36" i="35"/>
  <c r="J23" i="35"/>
  <c r="J15" i="35"/>
  <c r="J22" i="35"/>
  <c r="J14" i="35"/>
  <c r="J12" i="35"/>
  <c r="J11" i="35"/>
  <c r="J18" i="35"/>
  <c r="J9" i="35"/>
  <c r="J16" i="35"/>
  <c r="J21" i="35"/>
  <c r="J13" i="35"/>
  <c r="J20" i="35"/>
  <c r="J19" i="35"/>
  <c r="J10" i="35"/>
  <c r="J17" i="35"/>
  <c r="J24" i="35" s="1"/>
  <c r="J8" i="35"/>
  <c r="J7" i="35"/>
  <c r="J6" i="35"/>
  <c r="B47" i="35"/>
  <c r="B44" i="35"/>
  <c r="C86" i="37"/>
  <c r="C114" i="37"/>
  <c r="C113" i="37" s="1"/>
  <c r="B98" i="32"/>
  <c r="B99" i="32" s="1"/>
  <c r="B6" i="36"/>
  <c r="C118" i="37"/>
  <c r="B28" i="34"/>
  <c r="J23" i="34"/>
  <c r="B44" i="24"/>
  <c r="J5" i="24"/>
  <c r="J15" i="24"/>
  <c r="J12" i="24"/>
  <c r="J10" i="24"/>
  <c r="J17" i="24"/>
  <c r="J16" i="24"/>
  <c r="J14" i="24"/>
  <c r="J21" i="24"/>
  <c r="J13" i="24"/>
  <c r="J20" i="24"/>
  <c r="J8" i="24"/>
  <c r="J19" i="24"/>
  <c r="J11" i="24"/>
  <c r="J18" i="24"/>
  <c r="J9" i="24"/>
  <c r="J7" i="24"/>
  <c r="J26" i="24"/>
  <c r="J30" i="24"/>
  <c r="J34" i="24"/>
  <c r="J29" i="24"/>
  <c r="J32" i="24"/>
  <c r="J25" i="24"/>
  <c r="J31" i="24"/>
  <c r="J27" i="24"/>
  <c r="J35" i="24"/>
  <c r="C111" i="6"/>
  <c r="B40" i="24"/>
  <c r="C68" i="6"/>
  <c r="C66" i="6" s="1"/>
  <c r="C72" i="6"/>
  <c r="C70" i="6" s="1"/>
  <c r="B99" i="26"/>
  <c r="C102" i="6" s="1"/>
  <c r="D26" i="9" s="1"/>
  <c r="B6" i="31"/>
  <c r="B45" i="31" s="1"/>
  <c r="B28" i="25"/>
  <c r="J23" i="25"/>
  <c r="C8" i="45"/>
  <c r="C6" i="45"/>
  <c r="C5" i="45"/>
  <c r="B12" i="45"/>
  <c r="B13" i="45" s="1"/>
  <c r="B9" i="45"/>
  <c r="C7" i="45" s="1"/>
  <c r="H9" i="6"/>
  <c r="D9" i="6"/>
  <c r="B25" i="45"/>
  <c r="B26" i="45" s="1"/>
  <c r="B22" i="45"/>
  <c r="A29" i="42"/>
  <c r="A30" i="42" s="1"/>
  <c r="A31" i="42" s="1"/>
  <c r="A32" i="42" s="1"/>
  <c r="A19" i="42"/>
  <c r="F8" i="45" l="1"/>
  <c r="F6" i="45"/>
  <c r="F7" i="45"/>
  <c r="F5" i="45"/>
  <c r="J38" i="24"/>
  <c r="J6" i="36"/>
  <c r="B46" i="36"/>
  <c r="J41" i="35"/>
  <c r="J28" i="34"/>
  <c r="B101" i="32"/>
  <c r="C122" i="37"/>
  <c r="J22" i="24"/>
  <c r="B41" i="24"/>
  <c r="B42" i="24"/>
  <c r="B101" i="26"/>
  <c r="C101" i="6"/>
  <c r="C124" i="6" s="1"/>
  <c r="J28" i="25"/>
  <c r="C18" i="45"/>
  <c r="C19" i="45"/>
  <c r="C20" i="45"/>
  <c r="C21" i="45"/>
  <c r="F9" i="45" l="1"/>
  <c r="B102" i="32"/>
  <c r="B30" i="34"/>
  <c r="B31" i="34" s="1"/>
  <c r="B102" i="26"/>
  <c r="B30" i="25"/>
  <c r="B31" i="25" s="1"/>
  <c r="C120" i="6"/>
  <c r="C9" i="45"/>
  <c r="C22" i="45"/>
  <c r="B105" i="32" l="1"/>
  <c r="C103" i="37"/>
  <c r="D31" i="9" s="1"/>
  <c r="I17" i="40"/>
  <c r="D12" i="35"/>
  <c r="E12" i="35"/>
  <c r="F12" i="35"/>
  <c r="G12" i="35"/>
  <c r="C12" i="35"/>
  <c r="H41" i="31"/>
  <c r="A22" i="43"/>
  <c r="A23" i="43" s="1"/>
  <c r="A24" i="43" s="1"/>
  <c r="A25" i="43" s="1"/>
  <c r="A16" i="43"/>
  <c r="A17" i="43" s="1"/>
  <c r="A9" i="43"/>
  <c r="A10" i="43" s="1"/>
  <c r="A11" i="43" s="1"/>
  <c r="A8" i="43"/>
  <c r="A7" i="43"/>
  <c r="J15" i="9"/>
  <c r="J9" i="9"/>
  <c r="I9" i="9"/>
  <c r="A30" i="11"/>
  <c r="A31" i="11" s="1"/>
  <c r="A32" i="11" s="1"/>
  <c r="A26" i="11"/>
  <c r="A19" i="11"/>
  <c r="A20" i="11" s="1"/>
  <c r="A21" i="11" s="1"/>
  <c r="A22" i="11" s="1"/>
  <c r="A12" i="11"/>
  <c r="A13" i="11" s="1"/>
  <c r="A14" i="11" s="1"/>
  <c r="A15" i="11" s="1"/>
  <c r="A5" i="11"/>
  <c r="A6" i="11" s="1"/>
  <c r="A7" i="11" s="1"/>
  <c r="A8" i="11" s="1"/>
  <c r="C102" i="37" l="1"/>
  <c r="C126" i="37" s="1"/>
  <c r="D14" i="42"/>
  <c r="D15" i="42" s="1"/>
  <c r="D16" i="42" s="1"/>
  <c r="K5" i="42" l="1"/>
  <c r="K4" i="42"/>
  <c r="K1" i="42"/>
  <c r="A12" i="42"/>
  <c r="A13" i="42" s="1"/>
  <c r="A14" i="42" s="1"/>
  <c r="A15" i="42" s="1"/>
  <c r="D12" i="42"/>
  <c r="D7" i="42"/>
  <c r="D8" i="42" s="1"/>
  <c r="A33" i="1"/>
  <c r="A42" i="1" s="1"/>
  <c r="A49" i="1" s="1"/>
  <c r="D20" i="22"/>
  <c r="D20" i="40"/>
  <c r="D5" i="42"/>
  <c r="A5" i="42"/>
  <c r="A6" i="42" s="1"/>
  <c r="A7" i="42" s="1"/>
  <c r="A8" i="42" s="1"/>
  <c r="H135" i="37"/>
  <c r="G136" i="37"/>
  <c r="F136" i="37"/>
  <c r="G135" i="37"/>
  <c r="E141" i="37"/>
  <c r="F141" i="37"/>
  <c r="G141" i="37"/>
  <c r="H141" i="37"/>
  <c r="D141" i="37"/>
  <c r="E136" i="37"/>
  <c r="H136" i="37"/>
  <c r="D136" i="37"/>
  <c r="E135" i="37"/>
  <c r="F135" i="37"/>
  <c r="D135" i="37"/>
  <c r="I67" i="6"/>
  <c r="J67" i="6"/>
  <c r="K67" i="6"/>
  <c r="L67" i="6"/>
  <c r="M67" i="6"/>
  <c r="I71" i="6"/>
  <c r="J71" i="6"/>
  <c r="K71" i="6"/>
  <c r="L71" i="6"/>
  <c r="M71" i="6"/>
  <c r="I75" i="6"/>
  <c r="J75" i="6"/>
  <c r="K75" i="6"/>
  <c r="L75" i="6"/>
  <c r="M75" i="6"/>
  <c r="I79" i="6"/>
  <c r="J79" i="6"/>
  <c r="K79" i="6"/>
  <c r="L79" i="6"/>
  <c r="M79" i="6"/>
  <c r="I88" i="6"/>
  <c r="J88" i="6"/>
  <c r="K88" i="6"/>
  <c r="L88" i="6"/>
  <c r="M88" i="6"/>
  <c r="I9" i="6"/>
  <c r="J9" i="6"/>
  <c r="K9" i="6"/>
  <c r="L9" i="6"/>
  <c r="L25" i="6" s="1"/>
  <c r="M9" i="6"/>
  <c r="M25" i="6" s="1"/>
  <c r="I10" i="6"/>
  <c r="J10" i="6"/>
  <c r="K10" i="6"/>
  <c r="L10" i="6"/>
  <c r="M10" i="6"/>
  <c r="I18" i="6"/>
  <c r="J18" i="6"/>
  <c r="K18" i="6"/>
  <c r="L18" i="6"/>
  <c r="M18" i="6"/>
  <c r="I26" i="6"/>
  <c r="J26" i="6"/>
  <c r="K26" i="6"/>
  <c r="L26" i="6"/>
  <c r="M26" i="6"/>
  <c r="I88" i="37"/>
  <c r="J88" i="37"/>
  <c r="K88" i="37"/>
  <c r="L88" i="37"/>
  <c r="M88" i="37"/>
  <c r="I71" i="37"/>
  <c r="I79" i="37" s="1"/>
  <c r="J71" i="37"/>
  <c r="J79" i="37" s="1"/>
  <c r="K71" i="37"/>
  <c r="K79" i="37" s="1"/>
  <c r="L71" i="37"/>
  <c r="M71" i="37"/>
  <c r="I67" i="37"/>
  <c r="I75" i="37" s="1"/>
  <c r="J67" i="37"/>
  <c r="K67" i="37"/>
  <c r="L67" i="37"/>
  <c r="L75" i="37" s="1"/>
  <c r="M67" i="37"/>
  <c r="M75" i="37" s="1"/>
  <c r="I26" i="37"/>
  <c r="J26" i="37"/>
  <c r="K26" i="37"/>
  <c r="L26" i="37"/>
  <c r="M26" i="37"/>
  <c r="I18" i="37"/>
  <c r="J18" i="37"/>
  <c r="K18" i="37"/>
  <c r="L18" i="37"/>
  <c r="M18" i="37"/>
  <c r="M10" i="37"/>
  <c r="L10" i="37"/>
  <c r="K10" i="37"/>
  <c r="J10" i="37"/>
  <c r="I10" i="37"/>
  <c r="M9" i="37"/>
  <c r="M25" i="37" s="1"/>
  <c r="L9" i="37"/>
  <c r="K9" i="37"/>
  <c r="K25" i="37" s="1"/>
  <c r="J9" i="37"/>
  <c r="J25" i="37" s="1"/>
  <c r="I9" i="37"/>
  <c r="I25" i="37" s="1"/>
  <c r="F124" i="26"/>
  <c r="E124" i="26"/>
  <c r="D124" i="26"/>
  <c r="D138" i="26" s="1"/>
  <c r="D140" i="26" s="1"/>
  <c r="D142" i="26" s="1"/>
  <c r="D144" i="26" s="1"/>
  <c r="D146" i="26" s="1"/>
  <c r="D149" i="26" s="1"/>
  <c r="C124" i="26"/>
  <c r="C138" i="26" s="1"/>
  <c r="C140" i="26" s="1"/>
  <c r="C142" i="26" s="1"/>
  <c r="C144" i="26" s="1"/>
  <c r="C146" i="26" s="1"/>
  <c r="C149" i="26" s="1"/>
  <c r="I98" i="26"/>
  <c r="J98" i="26"/>
  <c r="K98" i="26"/>
  <c r="L98" i="26"/>
  <c r="I75" i="26"/>
  <c r="I77" i="26" s="1"/>
  <c r="J95" i="6" s="1"/>
  <c r="J75" i="26"/>
  <c r="J77" i="26" s="1"/>
  <c r="K95" i="6" s="1"/>
  <c r="K75" i="26"/>
  <c r="K77" i="26" s="1"/>
  <c r="L75" i="26"/>
  <c r="L77" i="26" s="1"/>
  <c r="I46" i="26"/>
  <c r="J48" i="6" s="1"/>
  <c r="J46" i="26"/>
  <c r="K48" i="6" s="1"/>
  <c r="K46" i="26"/>
  <c r="L56" i="6" s="1"/>
  <c r="L46" i="26"/>
  <c r="M56" i="6" s="1"/>
  <c r="I38" i="26"/>
  <c r="J38" i="26"/>
  <c r="K38" i="26"/>
  <c r="L38" i="26"/>
  <c r="I33" i="26"/>
  <c r="J33" i="26"/>
  <c r="K33" i="26"/>
  <c r="L33" i="26"/>
  <c r="M38" i="6" s="1"/>
  <c r="I24" i="26"/>
  <c r="J57" i="6" s="1"/>
  <c r="J24" i="26"/>
  <c r="K57" i="6" s="1"/>
  <c r="K24" i="26"/>
  <c r="L53" i="6" s="1"/>
  <c r="L24" i="26"/>
  <c r="M53" i="6" s="1"/>
  <c r="I18" i="26"/>
  <c r="J18" i="26"/>
  <c r="K18" i="26"/>
  <c r="L18" i="26"/>
  <c r="I10" i="26"/>
  <c r="J10" i="26"/>
  <c r="K10" i="26"/>
  <c r="L10" i="26"/>
  <c r="I8" i="26"/>
  <c r="J8" i="26"/>
  <c r="K8" i="26"/>
  <c r="L8" i="26"/>
  <c r="I48" i="32"/>
  <c r="J48" i="32"/>
  <c r="K48" i="32"/>
  <c r="L52" i="37" s="1"/>
  <c r="L48" i="32"/>
  <c r="M52" i="37" s="1"/>
  <c r="H48" i="32"/>
  <c r="I52" i="37" s="1"/>
  <c r="I34" i="32"/>
  <c r="I40" i="32" s="1"/>
  <c r="J34" i="32"/>
  <c r="J40" i="32" s="1"/>
  <c r="K34" i="32"/>
  <c r="K40" i="32" s="1"/>
  <c r="L34" i="32"/>
  <c r="I25" i="32"/>
  <c r="J57" i="37" s="1"/>
  <c r="J25" i="32"/>
  <c r="K49" i="37" s="1"/>
  <c r="K25" i="32"/>
  <c r="L49" i="37" s="1"/>
  <c r="L25" i="32"/>
  <c r="M49" i="37" s="1"/>
  <c r="I19" i="32"/>
  <c r="J19" i="32"/>
  <c r="K19" i="32"/>
  <c r="L19" i="32"/>
  <c r="I8" i="32"/>
  <c r="I10" i="32" s="1"/>
  <c r="J115" i="37" s="1"/>
  <c r="J8" i="32"/>
  <c r="J10" i="32" s="1"/>
  <c r="K8" i="32"/>
  <c r="K10" i="32" s="1"/>
  <c r="K12" i="32" s="1"/>
  <c r="L8" i="32"/>
  <c r="L10" i="32" s="1"/>
  <c r="H89" i="32"/>
  <c r="I89" i="32"/>
  <c r="J89" i="32"/>
  <c r="K89" i="32"/>
  <c r="L89" i="32"/>
  <c r="I75" i="32"/>
  <c r="I77" i="32" s="1"/>
  <c r="J17" i="37" s="1"/>
  <c r="J75" i="32"/>
  <c r="J77" i="32" s="1"/>
  <c r="J79" i="32" s="1"/>
  <c r="K75" i="32"/>
  <c r="K77" i="32" s="1"/>
  <c r="L100" i="37" s="1"/>
  <c r="L75" i="32"/>
  <c r="L77" i="32" s="1"/>
  <c r="M100" i="37" s="1"/>
  <c r="J38" i="6" l="1"/>
  <c r="J12" i="26"/>
  <c r="K113" i="6" s="1"/>
  <c r="I12" i="26"/>
  <c r="I25" i="26" s="1"/>
  <c r="L52" i="6"/>
  <c r="L51" i="6" s="1"/>
  <c r="K52" i="6"/>
  <c r="L48" i="6"/>
  <c r="M52" i="6"/>
  <c r="M48" i="6"/>
  <c r="I39" i="26"/>
  <c r="I47" i="26" s="1"/>
  <c r="L38" i="6"/>
  <c r="K38" i="6"/>
  <c r="K39" i="26"/>
  <c r="K47" i="26" s="1"/>
  <c r="J39" i="26"/>
  <c r="J47" i="26" s="1"/>
  <c r="L49" i="6"/>
  <c r="M34" i="6"/>
  <c r="K53" i="6"/>
  <c r="J53" i="6"/>
  <c r="J49" i="6"/>
  <c r="J47" i="6" s="1"/>
  <c r="K49" i="6"/>
  <c r="K47" i="6" s="1"/>
  <c r="M49" i="6"/>
  <c r="K49" i="32"/>
  <c r="I48" i="37"/>
  <c r="J49" i="37"/>
  <c r="M56" i="37"/>
  <c r="K53" i="37"/>
  <c r="L56" i="37"/>
  <c r="L38" i="37"/>
  <c r="L40" i="32"/>
  <c r="J91" i="32"/>
  <c r="K110" i="37" s="1"/>
  <c r="J17" i="6"/>
  <c r="J37" i="6" s="1"/>
  <c r="M99" i="6"/>
  <c r="M103" i="6"/>
  <c r="M17" i="6"/>
  <c r="M16" i="6" s="1"/>
  <c r="M22" i="6" s="1"/>
  <c r="M20" i="6" s="1"/>
  <c r="M61" i="6" s="1"/>
  <c r="M95" i="6"/>
  <c r="L79" i="26"/>
  <c r="L91" i="26" s="1"/>
  <c r="L93" i="26" s="1"/>
  <c r="L17" i="6"/>
  <c r="L37" i="6" s="1"/>
  <c r="L99" i="6"/>
  <c r="K79" i="26"/>
  <c r="K91" i="26" s="1"/>
  <c r="K93" i="26" s="1"/>
  <c r="L103" i="6"/>
  <c r="L95" i="6"/>
  <c r="M94" i="6"/>
  <c r="K99" i="6"/>
  <c r="K103" i="6"/>
  <c r="J79" i="26"/>
  <c r="J91" i="26" s="1"/>
  <c r="J93" i="26" s="1"/>
  <c r="J103" i="6"/>
  <c r="K17" i="6"/>
  <c r="K37" i="6" s="1"/>
  <c r="L94" i="6"/>
  <c r="I79" i="26"/>
  <c r="I91" i="26" s="1"/>
  <c r="I93" i="26" s="1"/>
  <c r="J99" i="6"/>
  <c r="K56" i="6"/>
  <c r="K55" i="6" s="1"/>
  <c r="J52" i="6"/>
  <c r="J56" i="6"/>
  <c r="J55" i="6" s="1"/>
  <c r="L39" i="26"/>
  <c r="L47" i="26" s="1"/>
  <c r="L34" i="6"/>
  <c r="M51" i="6"/>
  <c r="K34" i="6"/>
  <c r="M57" i="6"/>
  <c r="M55" i="6" s="1"/>
  <c r="J34" i="6"/>
  <c r="M24" i="6"/>
  <c r="M30" i="6" s="1"/>
  <c r="M28" i="6" s="1"/>
  <c r="M62" i="6" s="1"/>
  <c r="L57" i="6"/>
  <c r="L55" i="6" s="1"/>
  <c r="L12" i="26"/>
  <c r="L25" i="26" s="1"/>
  <c r="K12" i="26"/>
  <c r="K25" i="26" s="1"/>
  <c r="J25" i="26"/>
  <c r="I79" i="32"/>
  <c r="I91" i="32" s="1"/>
  <c r="J87" i="37" s="1"/>
  <c r="I56" i="37"/>
  <c r="M48" i="37"/>
  <c r="M47" i="37" s="1"/>
  <c r="L48" i="37"/>
  <c r="L47" i="37" s="1"/>
  <c r="K38" i="37"/>
  <c r="M38" i="37"/>
  <c r="J38" i="37"/>
  <c r="L53" i="37"/>
  <c r="L51" i="37" s="1"/>
  <c r="L57" i="37"/>
  <c r="K57" i="37"/>
  <c r="J34" i="37"/>
  <c r="M53" i="37"/>
  <c r="M51" i="37" s="1"/>
  <c r="J53" i="37"/>
  <c r="M57" i="37"/>
  <c r="K26" i="32"/>
  <c r="L68" i="37" s="1"/>
  <c r="L66" i="37" s="1"/>
  <c r="L115" i="37"/>
  <c r="L119" i="37"/>
  <c r="L123" i="37" s="1"/>
  <c r="M8" i="6"/>
  <c r="M14" i="6" s="1"/>
  <c r="M12" i="6" s="1"/>
  <c r="M60" i="6" s="1"/>
  <c r="L8" i="6"/>
  <c r="L14" i="6" s="1"/>
  <c r="L12" i="6" s="1"/>
  <c r="L60" i="6" s="1"/>
  <c r="I8" i="6"/>
  <c r="I14" i="6" s="1"/>
  <c r="I12" i="6" s="1"/>
  <c r="I60" i="6" s="1"/>
  <c r="K25" i="6"/>
  <c r="K24" i="6" s="1"/>
  <c r="K30" i="6" s="1"/>
  <c r="K28" i="6" s="1"/>
  <c r="K62" i="6" s="1"/>
  <c r="K94" i="6"/>
  <c r="K93" i="6" s="1"/>
  <c r="J25" i="6"/>
  <c r="J24" i="6" s="1"/>
  <c r="J30" i="6" s="1"/>
  <c r="J28" i="6" s="1"/>
  <c r="J62" i="6" s="1"/>
  <c r="J94" i="6"/>
  <c r="J93" i="6" s="1"/>
  <c r="I25" i="6"/>
  <c r="I24" i="6" s="1"/>
  <c r="I30" i="6" s="1"/>
  <c r="I28" i="6" s="1"/>
  <c r="I62" i="6" s="1"/>
  <c r="L47" i="6"/>
  <c r="L24" i="6"/>
  <c r="L30" i="6" s="1"/>
  <c r="L28" i="6" s="1"/>
  <c r="L62" i="6" s="1"/>
  <c r="M24" i="37"/>
  <c r="M30" i="37" s="1"/>
  <c r="M28" i="37" s="1"/>
  <c r="M62" i="37" s="1"/>
  <c r="K6" i="42"/>
  <c r="L94" i="37"/>
  <c r="I8" i="37"/>
  <c r="I14" i="37" s="1"/>
  <c r="I12" i="37" s="1"/>
  <c r="J24" i="37"/>
  <c r="J30" i="37" s="1"/>
  <c r="J28" i="37" s="1"/>
  <c r="J62" i="37" s="1"/>
  <c r="M8" i="37"/>
  <c r="M14" i="37" s="1"/>
  <c r="M12" i="37" s="1"/>
  <c r="I24" i="37"/>
  <c r="I30" i="37" s="1"/>
  <c r="I28" i="37" s="1"/>
  <c r="I62" i="37" s="1"/>
  <c r="J75" i="37"/>
  <c r="M95" i="37"/>
  <c r="M17" i="37"/>
  <c r="M16" i="37" s="1"/>
  <c r="M22" i="37" s="1"/>
  <c r="M20" i="37" s="1"/>
  <c r="M61" i="37" s="1"/>
  <c r="M94" i="37"/>
  <c r="M79" i="37"/>
  <c r="K94" i="37"/>
  <c r="K100" i="37"/>
  <c r="K104" i="37" s="1"/>
  <c r="L95" i="37"/>
  <c r="J94" i="37"/>
  <c r="J100" i="37"/>
  <c r="J104" i="37" s="1"/>
  <c r="K95" i="37"/>
  <c r="J12" i="32"/>
  <c r="K119" i="37"/>
  <c r="K123" i="37" s="1"/>
  <c r="L104" i="37"/>
  <c r="K48" i="37"/>
  <c r="K47" i="37" s="1"/>
  <c r="J49" i="32"/>
  <c r="L8" i="37"/>
  <c r="L14" i="37" s="1"/>
  <c r="L12" i="37" s="1"/>
  <c r="L25" i="37"/>
  <c r="L24" i="37" s="1"/>
  <c r="L30" i="37" s="1"/>
  <c r="L28" i="37" s="1"/>
  <c r="L62" i="37" s="1"/>
  <c r="L17" i="37"/>
  <c r="L16" i="37" s="1"/>
  <c r="L22" i="37" s="1"/>
  <c r="L20" i="37" s="1"/>
  <c r="L61" i="37" s="1"/>
  <c r="K52" i="37"/>
  <c r="K56" i="37"/>
  <c r="J95" i="37"/>
  <c r="J16" i="37"/>
  <c r="J22" i="37" s="1"/>
  <c r="J20" i="37" s="1"/>
  <c r="J61" i="37" s="1"/>
  <c r="J41" i="37"/>
  <c r="J37" i="37"/>
  <c r="J33" i="37"/>
  <c r="K75" i="37"/>
  <c r="M104" i="37"/>
  <c r="I12" i="32"/>
  <c r="J119" i="37"/>
  <c r="J123" i="37" s="1"/>
  <c r="J48" i="37"/>
  <c r="I49" i="32"/>
  <c r="J56" i="37"/>
  <c r="J55" i="37" s="1"/>
  <c r="L79" i="37"/>
  <c r="K115" i="37"/>
  <c r="L79" i="32"/>
  <c r="L91" i="32" s="1"/>
  <c r="N91" i="32" s="1"/>
  <c r="M115" i="37"/>
  <c r="L12" i="32"/>
  <c r="L84" i="37" s="1"/>
  <c r="K79" i="32"/>
  <c r="K91" i="32" s="1"/>
  <c r="L76" i="37"/>
  <c r="L74" i="37" s="1"/>
  <c r="K17" i="37"/>
  <c r="K34" i="37"/>
  <c r="J52" i="37"/>
  <c r="L80" i="37"/>
  <c r="M119" i="37"/>
  <c r="K8" i="37"/>
  <c r="K14" i="37" s="1"/>
  <c r="K12" i="37" s="1"/>
  <c r="M34" i="37"/>
  <c r="K24" i="37"/>
  <c r="K30" i="37" s="1"/>
  <c r="K28" i="37" s="1"/>
  <c r="K62" i="37" s="1"/>
  <c r="L34" i="37"/>
  <c r="K8" i="6"/>
  <c r="K14" i="6" s="1"/>
  <c r="K12" i="6" s="1"/>
  <c r="K60" i="6" s="1"/>
  <c r="J8" i="6"/>
  <c r="J14" i="6" s="1"/>
  <c r="J12" i="6" s="1"/>
  <c r="J60" i="6" s="1"/>
  <c r="J8" i="37"/>
  <c r="J14" i="37" s="1"/>
  <c r="J12" i="37" s="1"/>
  <c r="G22" i="12"/>
  <c r="K51" i="6" l="1"/>
  <c r="K76" i="6"/>
  <c r="K74" i="6" s="1"/>
  <c r="J76" i="6"/>
  <c r="J74" i="6" s="1"/>
  <c r="L36" i="6"/>
  <c r="L33" i="6"/>
  <c r="L109" i="6"/>
  <c r="K80" i="6"/>
  <c r="K78" i="6" s="1"/>
  <c r="L55" i="37"/>
  <c r="J84" i="6"/>
  <c r="J80" i="6"/>
  <c r="J78" i="6" s="1"/>
  <c r="J117" i="6"/>
  <c r="J113" i="6"/>
  <c r="J121" i="6"/>
  <c r="J47" i="37"/>
  <c r="K51" i="37"/>
  <c r="J33" i="6"/>
  <c r="J32" i="6" s="1"/>
  <c r="J41" i="6"/>
  <c r="K36" i="6"/>
  <c r="J36" i="6"/>
  <c r="J16" i="6"/>
  <c r="J22" i="6" s="1"/>
  <c r="J20" i="6" s="1"/>
  <c r="J61" i="6" s="1"/>
  <c r="J59" i="6" s="1"/>
  <c r="K109" i="6"/>
  <c r="K83" i="37"/>
  <c r="K111" i="37" s="1"/>
  <c r="K109" i="37" s="1"/>
  <c r="K55" i="37"/>
  <c r="K83" i="6"/>
  <c r="M47" i="6"/>
  <c r="L42" i="6"/>
  <c r="J51" i="6"/>
  <c r="K42" i="6"/>
  <c r="J83" i="6"/>
  <c r="J42" i="6"/>
  <c r="J109" i="6"/>
  <c r="M121" i="6"/>
  <c r="L76" i="6"/>
  <c r="L74" i="6" s="1"/>
  <c r="M80" i="6"/>
  <c r="M78" i="6" s="1"/>
  <c r="L117" i="6"/>
  <c r="L113" i="6"/>
  <c r="M76" i="6"/>
  <c r="M74" i="6" s="1"/>
  <c r="M117" i="6"/>
  <c r="K117" i="6"/>
  <c r="K84" i="6"/>
  <c r="K121" i="6"/>
  <c r="M113" i="6"/>
  <c r="L121" i="6"/>
  <c r="M84" i="6"/>
  <c r="K87" i="37"/>
  <c r="K86" i="37" s="1"/>
  <c r="M55" i="37"/>
  <c r="J32" i="37"/>
  <c r="J93" i="32"/>
  <c r="J98" i="32" s="1"/>
  <c r="J99" i="32" s="1"/>
  <c r="K99" i="37"/>
  <c r="K98" i="37" s="1"/>
  <c r="L49" i="32"/>
  <c r="L93" i="6"/>
  <c r="J99" i="26"/>
  <c r="K98" i="6"/>
  <c r="K97" i="6" s="1"/>
  <c r="K108" i="6"/>
  <c r="K116" i="6"/>
  <c r="K112" i="6"/>
  <c r="K111" i="6" s="1"/>
  <c r="K87" i="6"/>
  <c r="K86" i="6" s="1"/>
  <c r="M112" i="6"/>
  <c r="M108" i="6"/>
  <c r="M116" i="6"/>
  <c r="L99" i="26"/>
  <c r="M98" i="6"/>
  <c r="M97" i="6" s="1"/>
  <c r="M87" i="6"/>
  <c r="M86" i="6" s="1"/>
  <c r="K41" i="6"/>
  <c r="L16" i="6"/>
  <c r="L22" i="6" s="1"/>
  <c r="L20" i="6" s="1"/>
  <c r="L61" i="6" s="1"/>
  <c r="L59" i="6" s="1"/>
  <c r="J98" i="6"/>
  <c r="J97" i="6" s="1"/>
  <c r="J108" i="6"/>
  <c r="J87" i="6"/>
  <c r="J86" i="6" s="1"/>
  <c r="J112" i="6"/>
  <c r="I99" i="26"/>
  <c r="J116" i="6"/>
  <c r="M93" i="6"/>
  <c r="M41" i="6"/>
  <c r="M37" i="6"/>
  <c r="M36" i="6" s="1"/>
  <c r="M33" i="6"/>
  <c r="M32" i="6" s="1"/>
  <c r="L41" i="6"/>
  <c r="K99" i="26"/>
  <c r="L116" i="6"/>
  <c r="L87" i="6"/>
  <c r="L86" i="6" s="1"/>
  <c r="L98" i="6"/>
  <c r="L97" i="6" s="1"/>
  <c r="L108" i="6"/>
  <c r="L112" i="6"/>
  <c r="K16" i="6"/>
  <c r="K22" i="6" s="1"/>
  <c r="K20" i="6" s="1"/>
  <c r="K61" i="6" s="1"/>
  <c r="K59" i="6" s="1"/>
  <c r="K33" i="6"/>
  <c r="K32" i="6" s="1"/>
  <c r="M59" i="6"/>
  <c r="L32" i="6"/>
  <c r="M83" i="6"/>
  <c r="M42" i="6"/>
  <c r="M109" i="6"/>
  <c r="L83" i="6"/>
  <c r="L72" i="6"/>
  <c r="L70" i="6" s="1"/>
  <c r="L68" i="6"/>
  <c r="L66" i="6" s="1"/>
  <c r="L80" i="6"/>
  <c r="L78" i="6" s="1"/>
  <c r="L84" i="6"/>
  <c r="K72" i="6"/>
  <c r="K70" i="6" s="1"/>
  <c r="K68" i="6"/>
  <c r="K66" i="6" s="1"/>
  <c r="J72" i="6"/>
  <c r="J70" i="6" s="1"/>
  <c r="J68" i="6"/>
  <c r="J66" i="6" s="1"/>
  <c r="M72" i="6"/>
  <c r="M70" i="6" s="1"/>
  <c r="M68" i="6"/>
  <c r="M66" i="6" s="1"/>
  <c r="J110" i="37"/>
  <c r="I93" i="32"/>
  <c r="J118" i="37" s="1"/>
  <c r="J117" i="37" s="1"/>
  <c r="J99" i="37"/>
  <c r="J98" i="37" s="1"/>
  <c r="K96" i="37"/>
  <c r="L96" i="37"/>
  <c r="J96" i="37"/>
  <c r="J36" i="37"/>
  <c r="L72" i="37"/>
  <c r="L70" i="37" s="1"/>
  <c r="M59" i="37"/>
  <c r="J51" i="37"/>
  <c r="J59" i="37"/>
  <c r="L93" i="37"/>
  <c r="K93" i="37"/>
  <c r="L78" i="37"/>
  <c r="L59" i="37"/>
  <c r="K76" i="37"/>
  <c r="K74" i="37" s="1"/>
  <c r="A61" i="1"/>
  <c r="M123" i="37"/>
  <c r="J76" i="37"/>
  <c r="J74" i="37" s="1"/>
  <c r="M84" i="37"/>
  <c r="M80" i="37"/>
  <c r="M78" i="37" s="1"/>
  <c r="M76" i="37"/>
  <c r="M74" i="37" s="1"/>
  <c r="L26" i="32"/>
  <c r="K16" i="37"/>
  <c r="K22" i="37" s="1"/>
  <c r="K20" i="37" s="1"/>
  <c r="K61" i="37" s="1"/>
  <c r="K59" i="37" s="1"/>
  <c r="K41" i="37"/>
  <c r="K33" i="37"/>
  <c r="K32" i="37" s="1"/>
  <c r="K37" i="37"/>
  <c r="K36" i="37" s="1"/>
  <c r="L33" i="37"/>
  <c r="L32" i="37" s="1"/>
  <c r="L41" i="37"/>
  <c r="L37" i="37"/>
  <c r="L36" i="37" s="1"/>
  <c r="M93" i="37"/>
  <c r="J83" i="37"/>
  <c r="M33" i="37"/>
  <c r="M32" i="37" s="1"/>
  <c r="M41" i="37"/>
  <c r="M37" i="37"/>
  <c r="M36" i="37" s="1"/>
  <c r="J84" i="37"/>
  <c r="J80" i="37"/>
  <c r="J78" i="37" s="1"/>
  <c r="I26" i="32"/>
  <c r="K84" i="37"/>
  <c r="K80" i="37"/>
  <c r="K78" i="37" s="1"/>
  <c r="J26" i="32"/>
  <c r="L99" i="37"/>
  <c r="L98" i="37" s="1"/>
  <c r="K93" i="32"/>
  <c r="L110" i="37"/>
  <c r="L87" i="37"/>
  <c r="L93" i="32"/>
  <c r="M99" i="37"/>
  <c r="M98" i="37" s="1"/>
  <c r="M110" i="37"/>
  <c r="M87" i="37"/>
  <c r="J93" i="37"/>
  <c r="J86" i="37"/>
  <c r="J114" i="37"/>
  <c r="J113" i="37" s="1"/>
  <c r="B12" i="12"/>
  <c r="D142" i="37"/>
  <c r="E142" i="37"/>
  <c r="L107" i="6" l="1"/>
  <c r="K82" i="6"/>
  <c r="K126" i="6" s="1"/>
  <c r="J115" i="6"/>
  <c r="J111" i="6"/>
  <c r="J82" i="6"/>
  <c r="J126" i="6" s="1"/>
  <c r="K107" i="6"/>
  <c r="J40" i="6"/>
  <c r="J125" i="6" s="1"/>
  <c r="M111" i="6"/>
  <c r="M82" i="6"/>
  <c r="M126" i="6" s="1"/>
  <c r="L40" i="6"/>
  <c r="L125" i="6" s="1"/>
  <c r="K114" i="37"/>
  <c r="K113" i="37" s="1"/>
  <c r="K82" i="37"/>
  <c r="K128" i="37" s="1"/>
  <c r="L111" i="6"/>
  <c r="K40" i="6"/>
  <c r="K125" i="6" s="1"/>
  <c r="J107" i="6"/>
  <c r="M115" i="6"/>
  <c r="L115" i="6"/>
  <c r="K115" i="6"/>
  <c r="I98" i="32"/>
  <c r="I99" i="32" s="1"/>
  <c r="J122" i="37" s="1"/>
  <c r="J121" i="37" s="1"/>
  <c r="K118" i="37"/>
  <c r="K117" i="37" s="1"/>
  <c r="L83" i="37"/>
  <c r="M83" i="37"/>
  <c r="M111" i="37" s="1"/>
  <c r="M109" i="37" s="1"/>
  <c r="M107" i="6"/>
  <c r="L102" i="6"/>
  <c r="L101" i="6" s="1"/>
  <c r="L124" i="6" s="1"/>
  <c r="K101" i="26"/>
  <c r="M102" i="6"/>
  <c r="M101" i="6" s="1"/>
  <c r="M124" i="6" s="1"/>
  <c r="L101" i="26"/>
  <c r="M40" i="6"/>
  <c r="M125" i="6" s="1"/>
  <c r="J102" i="6"/>
  <c r="J101" i="6" s="1"/>
  <c r="J124" i="6" s="1"/>
  <c r="I101" i="26"/>
  <c r="K102" i="6"/>
  <c r="K101" i="6" s="1"/>
  <c r="K124" i="6" s="1"/>
  <c r="J101" i="26"/>
  <c r="L82" i="6"/>
  <c r="L126" i="6" s="1"/>
  <c r="K42" i="37"/>
  <c r="K40" i="37" s="1"/>
  <c r="K127" i="37" s="1"/>
  <c r="K72" i="37"/>
  <c r="K70" i="37" s="1"/>
  <c r="K68" i="37"/>
  <c r="K66" i="37" s="1"/>
  <c r="M42" i="37"/>
  <c r="M40" i="37" s="1"/>
  <c r="M127" i="37" s="1"/>
  <c r="M72" i="37"/>
  <c r="M70" i="37" s="1"/>
  <c r="M68" i="37"/>
  <c r="M66" i="37" s="1"/>
  <c r="L42" i="37"/>
  <c r="L40" i="37" s="1"/>
  <c r="L127" i="37" s="1"/>
  <c r="J72" i="37"/>
  <c r="J70" i="37" s="1"/>
  <c r="J68" i="37"/>
  <c r="J66" i="37" s="1"/>
  <c r="J42" i="37"/>
  <c r="J40" i="37" s="1"/>
  <c r="J127" i="37" s="1"/>
  <c r="M114" i="37"/>
  <c r="M113" i="37" s="1"/>
  <c r="M86" i="37"/>
  <c r="J101" i="32"/>
  <c r="J102" i="32" s="1"/>
  <c r="K122" i="37"/>
  <c r="K121" i="37" s="1"/>
  <c r="L118" i="37"/>
  <c r="L117" i="37" s="1"/>
  <c r="K98" i="32"/>
  <c r="K99" i="32" s="1"/>
  <c r="M118" i="37"/>
  <c r="M117" i="37" s="1"/>
  <c r="L98" i="32"/>
  <c r="L99" i="32" s="1"/>
  <c r="L114" i="37"/>
  <c r="L113" i="37" s="1"/>
  <c r="L86" i="37"/>
  <c r="J82" i="37"/>
  <c r="J128" i="37" s="1"/>
  <c r="J111" i="37"/>
  <c r="J109" i="37" s="1"/>
  <c r="A62" i="1"/>
  <c r="G11" i="35"/>
  <c r="F11" i="35"/>
  <c r="E11" i="35"/>
  <c r="D11" i="35"/>
  <c r="C11" i="35"/>
  <c r="G25" i="34"/>
  <c r="F25" i="34"/>
  <c r="E25" i="34"/>
  <c r="D25" i="34"/>
  <c r="C25" i="34"/>
  <c r="G135" i="32"/>
  <c r="G137" i="32" s="1"/>
  <c r="G139" i="32" s="1"/>
  <c r="D121" i="32"/>
  <c r="E121" i="32"/>
  <c r="E135" i="32" s="1"/>
  <c r="E137" i="32" s="1"/>
  <c r="E139" i="32" s="1"/>
  <c r="F121" i="32"/>
  <c r="C121" i="32"/>
  <c r="D89" i="32"/>
  <c r="E89" i="32"/>
  <c r="F89" i="32"/>
  <c r="G89" i="32"/>
  <c r="C89" i="32"/>
  <c r="D75" i="32"/>
  <c r="D77" i="32" s="1"/>
  <c r="D79" i="32" s="1"/>
  <c r="E75" i="32"/>
  <c r="E77" i="32" s="1"/>
  <c r="E79" i="32" s="1"/>
  <c r="F75" i="32"/>
  <c r="F77" i="32" s="1"/>
  <c r="F79" i="32" s="1"/>
  <c r="G75" i="32"/>
  <c r="G77" i="32" s="1"/>
  <c r="G79" i="32" s="1"/>
  <c r="H75" i="32"/>
  <c r="H77" i="32" s="1"/>
  <c r="J13" i="9" s="1"/>
  <c r="C75" i="32"/>
  <c r="C77" i="32" s="1"/>
  <c r="C79" i="32" s="1"/>
  <c r="D48" i="32"/>
  <c r="E48" i="32"/>
  <c r="F48" i="32"/>
  <c r="G48" i="32"/>
  <c r="C48" i="32"/>
  <c r="D34" i="32"/>
  <c r="D40" i="32" s="1"/>
  <c r="E34" i="32"/>
  <c r="E40" i="32" s="1"/>
  <c r="F34" i="32"/>
  <c r="G34" i="32"/>
  <c r="G40" i="32" s="1"/>
  <c r="H34" i="32"/>
  <c r="C34" i="32"/>
  <c r="D25" i="32"/>
  <c r="E25" i="32"/>
  <c r="F25" i="32"/>
  <c r="G25" i="32"/>
  <c r="H25" i="32"/>
  <c r="C25" i="32"/>
  <c r="D19" i="32"/>
  <c r="E19" i="32"/>
  <c r="F19" i="32"/>
  <c r="G19" i="32"/>
  <c r="H19" i="32"/>
  <c r="C19" i="32"/>
  <c r="H8" i="32"/>
  <c r="H10" i="32" s="1"/>
  <c r="D8" i="32"/>
  <c r="D10" i="32" s="1"/>
  <c r="D12" i="32" s="1"/>
  <c r="E8" i="32"/>
  <c r="E10" i="32" s="1"/>
  <c r="E12" i="32" s="1"/>
  <c r="F8" i="32"/>
  <c r="F10" i="32" s="1"/>
  <c r="F12" i="32" s="1"/>
  <c r="G8" i="32"/>
  <c r="G10" i="32" s="1"/>
  <c r="G12" i="32" s="1"/>
  <c r="C8" i="32"/>
  <c r="C10" i="32" s="1"/>
  <c r="D38" i="26"/>
  <c r="E38" i="26"/>
  <c r="F38" i="26"/>
  <c r="G38" i="26"/>
  <c r="H38" i="26"/>
  <c r="C38" i="26"/>
  <c r="D33" i="26"/>
  <c r="E33" i="26"/>
  <c r="F33" i="26"/>
  <c r="G33" i="26"/>
  <c r="H33" i="26"/>
  <c r="I38" i="6" s="1"/>
  <c r="C33" i="26"/>
  <c r="C38" i="6" s="1"/>
  <c r="C36" i="6" s="1"/>
  <c r="D24" i="26"/>
  <c r="E24" i="26"/>
  <c r="F24" i="26"/>
  <c r="G24" i="26"/>
  <c r="H24" i="26"/>
  <c r="C24" i="26"/>
  <c r="A4" i="41"/>
  <c r="A6" i="41" s="1"/>
  <c r="A9" i="41" s="1"/>
  <c r="A12" i="41" s="1"/>
  <c r="A15" i="41" s="1"/>
  <c r="A18" i="41" s="1"/>
  <c r="A21" i="41" s="1"/>
  <c r="A24" i="41" s="1"/>
  <c r="A27" i="41" s="1"/>
  <c r="A30" i="41" s="1"/>
  <c r="A33" i="41" s="1"/>
  <c r="A36" i="41" s="1"/>
  <c r="A39" i="41" s="1"/>
  <c r="A42" i="41" s="1"/>
  <c r="D140" i="6"/>
  <c r="D133" i="6"/>
  <c r="K123" i="6" l="1"/>
  <c r="J123" i="6"/>
  <c r="C40" i="32"/>
  <c r="C38" i="37"/>
  <c r="C36" i="37" s="1"/>
  <c r="C12" i="32"/>
  <c r="C84" i="37" s="1"/>
  <c r="C119" i="37"/>
  <c r="F135" i="32"/>
  <c r="F137" i="32" s="1"/>
  <c r="F139" i="32" s="1"/>
  <c r="I101" i="32"/>
  <c r="I102" i="32" s="1"/>
  <c r="I105" i="32" s="1"/>
  <c r="M82" i="37"/>
  <c r="M128" i="37" s="1"/>
  <c r="L111" i="37"/>
  <c r="L109" i="37" s="1"/>
  <c r="L82" i="37"/>
  <c r="L128" i="37" s="1"/>
  <c r="I38" i="37"/>
  <c r="H40" i="32"/>
  <c r="F40" i="32"/>
  <c r="M123" i="6"/>
  <c r="K120" i="6"/>
  <c r="K119" i="6" s="1"/>
  <c r="J102" i="26"/>
  <c r="I102" i="26"/>
  <c r="J120" i="6"/>
  <c r="J119" i="6" s="1"/>
  <c r="L102" i="26"/>
  <c r="M120" i="6"/>
  <c r="M119" i="6" s="1"/>
  <c r="L123" i="6"/>
  <c r="K102" i="26"/>
  <c r="L120" i="6"/>
  <c r="L119" i="6" s="1"/>
  <c r="I57" i="6"/>
  <c r="I49" i="6"/>
  <c r="I53" i="6"/>
  <c r="D135" i="32"/>
  <c r="D137" i="32" s="1"/>
  <c r="J105" i="32"/>
  <c r="K103" i="37"/>
  <c r="H12" i="32"/>
  <c r="H26" i="32" s="1"/>
  <c r="I115" i="37"/>
  <c r="I119" i="37"/>
  <c r="I123" i="37" s="1"/>
  <c r="I57" i="37"/>
  <c r="I55" i="37" s="1"/>
  <c r="I53" i="37"/>
  <c r="I51" i="37" s="1"/>
  <c r="I49" i="37"/>
  <c r="I47" i="37" s="1"/>
  <c r="I34" i="37"/>
  <c r="H79" i="32"/>
  <c r="H91" i="32" s="1"/>
  <c r="I95" i="37"/>
  <c r="I96" i="37" s="1"/>
  <c r="I17" i="37"/>
  <c r="I100" i="37"/>
  <c r="I104" i="37" s="1"/>
  <c r="I94" i="37"/>
  <c r="L101" i="32"/>
  <c r="L102" i="32" s="1"/>
  <c r="M122" i="37"/>
  <c r="M121" i="37" s="1"/>
  <c r="C135" i="32"/>
  <c r="C137" i="32" s="1"/>
  <c r="K101" i="32"/>
  <c r="K102" i="32" s="1"/>
  <c r="L122" i="37"/>
  <c r="L121" i="37" s="1"/>
  <c r="E49" i="32"/>
  <c r="D49" i="32"/>
  <c r="O50" i="32" s="1"/>
  <c r="F26" i="32"/>
  <c r="C91" i="32"/>
  <c r="G91" i="32"/>
  <c r="G93" i="32" s="1"/>
  <c r="F91" i="32"/>
  <c r="F93" i="32" s="1"/>
  <c r="E91" i="32"/>
  <c r="E93" i="32" s="1"/>
  <c r="D91" i="32"/>
  <c r="E87" i="37" s="1"/>
  <c r="G49" i="32"/>
  <c r="A63" i="1"/>
  <c r="A64" i="1" s="1"/>
  <c r="A65" i="1" s="1"/>
  <c r="A66" i="1" s="1"/>
  <c r="D26" i="32"/>
  <c r="E26" i="32"/>
  <c r="G26" i="32"/>
  <c r="C75" i="26"/>
  <c r="A67" i="1" l="1"/>
  <c r="A68" i="1" s="1"/>
  <c r="A69" i="1" s="1"/>
  <c r="A71" i="1" s="1"/>
  <c r="A79" i="1" s="1"/>
  <c r="A80" i="1" s="1"/>
  <c r="A81" i="1" s="1"/>
  <c r="A83" i="1" s="1"/>
  <c r="C26" i="32"/>
  <c r="C42" i="37" s="1"/>
  <c r="C40" i="37" s="1"/>
  <c r="C127" i="37" s="1"/>
  <c r="C49" i="32"/>
  <c r="N50" i="32" s="1"/>
  <c r="C123" i="37"/>
  <c r="C121" i="37" s="1"/>
  <c r="C117" i="37"/>
  <c r="J103" i="37"/>
  <c r="J102" i="37" s="1"/>
  <c r="J126" i="37" s="1"/>
  <c r="J125" i="37" s="1"/>
  <c r="H49" i="32"/>
  <c r="I83" i="37" s="1"/>
  <c r="I111" i="37" s="1"/>
  <c r="I93" i="37"/>
  <c r="F49" i="32"/>
  <c r="D139" i="32"/>
  <c r="D141" i="32" s="1"/>
  <c r="D99" i="37"/>
  <c r="M91" i="32"/>
  <c r="L105" i="32"/>
  <c r="M103" i="37"/>
  <c r="M102" i="37" s="1"/>
  <c r="M126" i="37" s="1"/>
  <c r="M125" i="37" s="1"/>
  <c r="K102" i="37"/>
  <c r="K126" i="37" s="1"/>
  <c r="K125" i="37" s="1"/>
  <c r="E98" i="32"/>
  <c r="E99" i="32" s="1"/>
  <c r="E101" i="32" s="1"/>
  <c r="E102" i="32" s="1"/>
  <c r="E6" i="36"/>
  <c r="F98" i="32"/>
  <c r="F99" i="32" s="1"/>
  <c r="F101" i="32" s="1"/>
  <c r="F102" i="32" s="1"/>
  <c r="F6" i="36"/>
  <c r="K105" i="32"/>
  <c r="L103" i="37"/>
  <c r="C139" i="32"/>
  <c r="C141" i="32" s="1"/>
  <c r="G98" i="32"/>
  <c r="G99" i="32" s="1"/>
  <c r="G101" i="32" s="1"/>
  <c r="G102" i="32" s="1"/>
  <c r="G6" i="36"/>
  <c r="I72" i="37"/>
  <c r="I70" i="37" s="1"/>
  <c r="I68" i="37"/>
  <c r="I66" i="37" s="1"/>
  <c r="I42" i="37"/>
  <c r="I16" i="37"/>
  <c r="I22" i="37" s="1"/>
  <c r="I20" i="37" s="1"/>
  <c r="I61" i="37" s="1"/>
  <c r="I59" i="37" s="1"/>
  <c r="I33" i="37"/>
  <c r="I32" i="37" s="1"/>
  <c r="I41" i="37"/>
  <c r="I37" i="37"/>
  <c r="I36" i="37" s="1"/>
  <c r="I110" i="37"/>
  <c r="I87" i="37"/>
  <c r="I99" i="37"/>
  <c r="I98" i="37" s="1"/>
  <c r="H93" i="32"/>
  <c r="I84" i="37"/>
  <c r="I80" i="37"/>
  <c r="I78" i="37" s="1"/>
  <c r="I76" i="37"/>
  <c r="I74" i="37" s="1"/>
  <c r="D110" i="37"/>
  <c r="F87" i="37"/>
  <c r="H87" i="37"/>
  <c r="D87" i="37"/>
  <c r="C93" i="32"/>
  <c r="D93" i="32"/>
  <c r="G87" i="37"/>
  <c r="I17" i="22"/>
  <c r="I16" i="22"/>
  <c r="D134" i="6"/>
  <c r="H84" i="31"/>
  <c r="H69" i="31"/>
  <c r="H27" i="31"/>
  <c r="H42" i="31" s="1"/>
  <c r="H44" i="31" s="1"/>
  <c r="D98" i="26"/>
  <c r="E98" i="26"/>
  <c r="F98" i="26"/>
  <c r="G98" i="26"/>
  <c r="H98" i="26"/>
  <c r="C98" i="26"/>
  <c r="A92" i="1" l="1"/>
  <c r="A93" i="1" s="1"/>
  <c r="A94" i="1" s="1"/>
  <c r="A95" i="1" s="1"/>
  <c r="A96" i="1" s="1"/>
  <c r="A89" i="1"/>
  <c r="C83" i="37"/>
  <c r="C111" i="37" s="1"/>
  <c r="C109" i="37" s="1"/>
  <c r="J105" i="37"/>
  <c r="I82" i="37"/>
  <c r="I128" i="37" s="1"/>
  <c r="I109" i="37"/>
  <c r="D143" i="32"/>
  <c r="D146" i="32" s="1"/>
  <c r="C143" i="32"/>
  <c r="C146" i="32" s="1"/>
  <c r="F30" i="34"/>
  <c r="D98" i="32"/>
  <c r="D99" i="32" s="1"/>
  <c r="D101" i="32" s="1"/>
  <c r="D102" i="32" s="1"/>
  <c r="D6" i="36"/>
  <c r="L102" i="37"/>
  <c r="L126" i="37" s="1"/>
  <c r="L125" i="37" s="1"/>
  <c r="L105" i="37"/>
  <c r="C98" i="32"/>
  <c r="C99" i="32" s="1"/>
  <c r="C101" i="32" s="1"/>
  <c r="C102" i="32" s="1"/>
  <c r="C6" i="36"/>
  <c r="K105" i="37"/>
  <c r="E105" i="32"/>
  <c r="F103" i="37"/>
  <c r="E30" i="34"/>
  <c r="G105" i="32"/>
  <c r="H103" i="37"/>
  <c r="F105" i="32"/>
  <c r="G103" i="37"/>
  <c r="I40" i="37"/>
  <c r="I127" i="37" s="1"/>
  <c r="G30" i="34"/>
  <c r="I86" i="37"/>
  <c r="I114" i="37"/>
  <c r="I113" i="37" s="1"/>
  <c r="H98" i="32"/>
  <c r="H99" i="32" s="1"/>
  <c r="I118" i="37"/>
  <c r="I117" i="37" s="1"/>
  <c r="A97" i="1"/>
  <c r="A98" i="1" s="1"/>
  <c r="A99" i="1" s="1"/>
  <c r="A100" i="1" s="1"/>
  <c r="H85" i="31"/>
  <c r="C82" i="37" l="1"/>
  <c r="C128" i="37" s="1"/>
  <c r="C125" i="37" s="1"/>
  <c r="D30" i="34"/>
  <c r="D105" i="32"/>
  <c r="E103" i="37"/>
  <c r="C105" i="32"/>
  <c r="M105" i="32" s="1"/>
  <c r="D103" i="37"/>
  <c r="C105" i="37" s="1"/>
  <c r="C30" i="34"/>
  <c r="I122" i="37"/>
  <c r="I121" i="37" s="1"/>
  <c r="H101" i="32"/>
  <c r="H102" i="32" s="1"/>
  <c r="A101" i="1"/>
  <c r="A102" i="1" s="1"/>
  <c r="C77" i="26"/>
  <c r="D75" i="26"/>
  <c r="D77" i="26" s="1"/>
  <c r="D79" i="26" s="1"/>
  <c r="D91" i="26" s="1"/>
  <c r="D93" i="26" s="1"/>
  <c r="E75" i="26"/>
  <c r="E77" i="26" s="1"/>
  <c r="E79" i="26" s="1"/>
  <c r="E91" i="26" s="1"/>
  <c r="E93" i="26" s="1"/>
  <c r="F75" i="26"/>
  <c r="F77" i="26" s="1"/>
  <c r="F79" i="26" s="1"/>
  <c r="F91" i="26" s="1"/>
  <c r="F93" i="26" s="1"/>
  <c r="H75" i="26"/>
  <c r="H77" i="26" s="1"/>
  <c r="H79" i="26" l="1"/>
  <c r="H91" i="26" s="1"/>
  <c r="J7" i="9"/>
  <c r="I99" i="6"/>
  <c r="I17" i="6"/>
  <c r="I95" i="6"/>
  <c r="I103" i="6"/>
  <c r="I94" i="6"/>
  <c r="D4" i="22"/>
  <c r="E7" i="9"/>
  <c r="D8" i="9" s="1"/>
  <c r="H105" i="32"/>
  <c r="I103" i="37"/>
  <c r="C79" i="26"/>
  <c r="C91" i="26" s="1"/>
  <c r="C93" i="26" s="1"/>
  <c r="D46" i="26"/>
  <c r="E46" i="26"/>
  <c r="F46" i="26"/>
  <c r="G46" i="26"/>
  <c r="H46" i="26"/>
  <c r="C46" i="26"/>
  <c r="C34" i="6" s="1"/>
  <c r="C32" i="6" s="1"/>
  <c r="H93" i="26" l="1"/>
  <c r="H99" i="26" s="1"/>
  <c r="I93" i="6"/>
  <c r="C99" i="26"/>
  <c r="D102" i="6" s="1"/>
  <c r="C6" i="31"/>
  <c r="D99" i="26"/>
  <c r="D6" i="31"/>
  <c r="E99" i="26"/>
  <c r="E6" i="31"/>
  <c r="F99" i="26"/>
  <c r="F6" i="31"/>
  <c r="I41" i="6"/>
  <c r="I16" i="6"/>
  <c r="I22" i="6" s="1"/>
  <c r="I20" i="6" s="1"/>
  <c r="I61" i="6" s="1"/>
  <c r="I59" i="6" s="1"/>
  <c r="I33" i="6"/>
  <c r="I37" i="6"/>
  <c r="I36" i="6" s="1"/>
  <c r="I87" i="6"/>
  <c r="I86" i="6" s="1"/>
  <c r="I116" i="6"/>
  <c r="I98" i="6"/>
  <c r="I97" i="6" s="1"/>
  <c r="I112" i="6"/>
  <c r="I108" i="6"/>
  <c r="I52" i="6"/>
  <c r="I51" i="6" s="1"/>
  <c r="I48" i="6"/>
  <c r="I47" i="6" s="1"/>
  <c r="I56" i="6"/>
  <c r="I55" i="6" s="1"/>
  <c r="I34" i="6"/>
  <c r="I102" i="37"/>
  <c r="I126" i="37" s="1"/>
  <c r="I125" i="37" s="1"/>
  <c r="I105" i="37"/>
  <c r="D108" i="6"/>
  <c r="D39" i="26"/>
  <c r="D47" i="26" s="1"/>
  <c r="E39" i="26"/>
  <c r="E47" i="26" s="1"/>
  <c r="F39" i="26"/>
  <c r="F47" i="26" s="1"/>
  <c r="G39" i="26"/>
  <c r="G47" i="26" s="1"/>
  <c r="H39" i="26"/>
  <c r="H47" i="26" s="1"/>
  <c r="C39" i="26"/>
  <c r="C47" i="26" s="1"/>
  <c r="D18" i="26"/>
  <c r="E18" i="26"/>
  <c r="F18" i="26"/>
  <c r="G18" i="26"/>
  <c r="H18" i="26"/>
  <c r="C18" i="26"/>
  <c r="I102" i="6" l="1"/>
  <c r="I101" i="6" s="1"/>
  <c r="I124" i="6" s="1"/>
  <c r="H101" i="26"/>
  <c r="H102" i="26" s="1"/>
  <c r="N105" i="26" s="1"/>
  <c r="I32" i="6"/>
  <c r="C109" i="6"/>
  <c r="C107" i="6" s="1"/>
  <c r="C83" i="6"/>
  <c r="C42" i="6"/>
  <c r="C40" i="6" s="1"/>
  <c r="C125" i="6" s="1"/>
  <c r="C101" i="26"/>
  <c r="C102" i="26" s="1"/>
  <c r="E101" i="26"/>
  <c r="E102" i="26" s="1"/>
  <c r="F102" i="6"/>
  <c r="D101" i="26"/>
  <c r="D102" i="26" s="1"/>
  <c r="E102" i="6"/>
  <c r="F101" i="26"/>
  <c r="F102" i="26" s="1"/>
  <c r="G102" i="6"/>
  <c r="I83" i="6"/>
  <c r="I42" i="6"/>
  <c r="I40" i="6" s="1"/>
  <c r="I125" i="6" s="1"/>
  <c r="I109" i="6"/>
  <c r="I107" i="6" s="1"/>
  <c r="D10" i="26"/>
  <c r="E10" i="26"/>
  <c r="F10" i="26"/>
  <c r="G10" i="26"/>
  <c r="H10" i="26"/>
  <c r="C10" i="26"/>
  <c r="D8" i="26"/>
  <c r="E8" i="26"/>
  <c r="F8" i="26"/>
  <c r="G8" i="26"/>
  <c r="H8" i="26"/>
  <c r="C8" i="26"/>
  <c r="I120" i="6" l="1"/>
  <c r="F12" i="26"/>
  <c r="F25" i="26" s="1"/>
  <c r="C12" i="26"/>
  <c r="E12" i="26"/>
  <c r="E25" i="26" s="1"/>
  <c r="H12" i="26"/>
  <c r="D12" i="26"/>
  <c r="D25" i="26" s="1"/>
  <c r="G12" i="26"/>
  <c r="G25" i="26" s="1"/>
  <c r="D112" i="6"/>
  <c r="D116" i="6"/>
  <c r="D118" i="37"/>
  <c r="D122" i="37"/>
  <c r="H122" i="37"/>
  <c r="G122" i="37"/>
  <c r="F122" i="37"/>
  <c r="E122" i="37"/>
  <c r="B6" i="39" l="1"/>
  <c r="C84" i="6"/>
  <c r="C82" i="6" s="1"/>
  <c r="C126" i="6" s="1"/>
  <c r="C123" i="6" s="1"/>
  <c r="C121" i="6"/>
  <c r="C119" i="6" s="1"/>
  <c r="C117" i="6"/>
  <c r="C115" i="6" s="1"/>
  <c r="H25" i="26"/>
  <c r="I117" i="6"/>
  <c r="I115" i="6" s="1"/>
  <c r="I113" i="6"/>
  <c r="I111" i="6" s="1"/>
  <c r="I80" i="6"/>
  <c r="I78" i="6" s="1"/>
  <c r="I121" i="6"/>
  <c r="I119" i="6" s="1"/>
  <c r="I84" i="6"/>
  <c r="I82" i="6" s="1"/>
  <c r="I126" i="6" s="1"/>
  <c r="I123" i="6" s="1"/>
  <c r="I76" i="6"/>
  <c r="I74" i="6" s="1"/>
  <c r="C25" i="26"/>
  <c r="E140" i="6"/>
  <c r="F140" i="6"/>
  <c r="G140" i="6"/>
  <c r="H140" i="6"/>
  <c r="D139" i="6"/>
  <c r="E139" i="6"/>
  <c r="F139" i="6"/>
  <c r="G139" i="6"/>
  <c r="H139" i="6"/>
  <c r="G116" i="6"/>
  <c r="F116" i="6"/>
  <c r="E116" i="6"/>
  <c r="G112" i="6"/>
  <c r="F112" i="6"/>
  <c r="E112" i="6"/>
  <c r="E98" i="6"/>
  <c r="F98" i="6"/>
  <c r="G98" i="6"/>
  <c r="D98" i="6"/>
  <c r="G87" i="6"/>
  <c r="F87" i="6"/>
  <c r="E87" i="6"/>
  <c r="D87" i="6"/>
  <c r="F142" i="37"/>
  <c r="G142" i="37"/>
  <c r="H142" i="37"/>
  <c r="D114" i="37"/>
  <c r="H110" i="37"/>
  <c r="G110" i="37"/>
  <c r="F110" i="37"/>
  <c r="E110" i="37"/>
  <c r="F105" i="37"/>
  <c r="H105" i="37"/>
  <c r="D105" i="37"/>
  <c r="E99" i="37"/>
  <c r="F99" i="37"/>
  <c r="G99" i="37"/>
  <c r="H99" i="37"/>
  <c r="E118" i="37"/>
  <c r="F118" i="37"/>
  <c r="G118" i="37"/>
  <c r="H118" i="37"/>
  <c r="C26" i="25"/>
  <c r="D26" i="25"/>
  <c r="E26" i="25"/>
  <c r="F26" i="25"/>
  <c r="G26" i="25"/>
  <c r="D26" i="34"/>
  <c r="E26" i="34"/>
  <c r="F26" i="34"/>
  <c r="G26" i="34"/>
  <c r="C26" i="34"/>
  <c r="I68" i="6" l="1"/>
  <c r="I66" i="6" s="1"/>
  <c r="I72" i="6"/>
  <c r="I70" i="6" s="1"/>
  <c r="G105" i="37"/>
  <c r="E105" i="37"/>
  <c r="C38" i="21"/>
  <c r="G9" i="6"/>
  <c r="F9" i="6"/>
  <c r="E9" i="6"/>
  <c r="H9" i="37"/>
  <c r="G9" i="37"/>
  <c r="F9" i="37"/>
  <c r="E9" i="37"/>
  <c r="D9" i="37"/>
  <c r="B18" i="21" l="1"/>
  <c r="D22" i="40" s="1"/>
  <c r="B18" i="39" l="1"/>
  <c r="D22" i="22" s="1"/>
  <c r="H42" i="6"/>
  <c r="G42" i="6"/>
  <c r="F42" i="6"/>
  <c r="E42" i="6"/>
  <c r="D42" i="6"/>
  <c r="C38" i="39" l="1"/>
  <c r="D5" i="23" l="1"/>
  <c r="C5" i="23"/>
  <c r="H34" i="6" l="1"/>
  <c r="G34" i="6"/>
  <c r="F34" i="6"/>
  <c r="E34" i="6"/>
  <c r="D34" i="6"/>
  <c r="C30" i="24" l="1"/>
  <c r="D30" i="24"/>
  <c r="E30" i="24"/>
  <c r="F30" i="24"/>
  <c r="G30" i="24"/>
  <c r="C32" i="24"/>
  <c r="D32" i="24"/>
  <c r="E32" i="24"/>
  <c r="F32" i="24"/>
  <c r="G32" i="24"/>
  <c r="C17" i="38" l="1"/>
  <c r="C18" i="38"/>
  <c r="C19" i="38"/>
  <c r="C20" i="38"/>
  <c r="C21" i="38"/>
  <c r="C22" i="38"/>
  <c r="C23" i="38"/>
  <c r="C24" i="38"/>
  <c r="C25" i="38"/>
  <c r="E15" i="9" l="1"/>
  <c r="D16" i="9" s="1"/>
  <c r="F15" i="9"/>
  <c r="G15" i="9"/>
  <c r="H15" i="9"/>
  <c r="I15" i="9"/>
  <c r="I16" i="9" s="1"/>
  <c r="I13" i="9"/>
  <c r="I14" i="9" s="1"/>
  <c r="H13" i="9"/>
  <c r="G13" i="9"/>
  <c r="F13" i="9"/>
  <c r="E13" i="9"/>
  <c r="D14" i="9" s="1"/>
  <c r="D17" i="23"/>
  <c r="C17" i="23"/>
  <c r="D13" i="23"/>
  <c r="C13" i="23"/>
  <c r="D4" i="23"/>
  <c r="D18" i="40"/>
  <c r="I16" i="40"/>
  <c r="D19" i="23"/>
  <c r="D14" i="23"/>
  <c r="E119" i="37"/>
  <c r="E123" i="37" s="1"/>
  <c r="F119" i="37"/>
  <c r="F123" i="37" s="1"/>
  <c r="G119" i="37"/>
  <c r="G123" i="37" s="1"/>
  <c r="H119" i="37"/>
  <c r="H123" i="37" s="1"/>
  <c r="D119" i="37"/>
  <c r="D123" i="37" s="1"/>
  <c r="E115" i="37"/>
  <c r="F115" i="37"/>
  <c r="G115" i="37"/>
  <c r="H115" i="37"/>
  <c r="D115" i="37"/>
  <c r="E30" i="9"/>
  <c r="D100" i="37"/>
  <c r="D104" i="37" s="1"/>
  <c r="F31" i="9"/>
  <c r="G31" i="9"/>
  <c r="H31" i="9"/>
  <c r="I31" i="9"/>
  <c r="E31" i="9"/>
  <c r="E100" i="37"/>
  <c r="E104" i="37" s="1"/>
  <c r="F100" i="37"/>
  <c r="F104" i="37" s="1"/>
  <c r="G100" i="37"/>
  <c r="G104" i="37" s="1"/>
  <c r="H100" i="37"/>
  <c r="H104" i="37" s="1"/>
  <c r="D95" i="37"/>
  <c r="F30" i="9"/>
  <c r="G30" i="9"/>
  <c r="H30" i="9"/>
  <c r="I30" i="9"/>
  <c r="E95" i="37"/>
  <c r="F95" i="37"/>
  <c r="G95" i="37"/>
  <c r="H95" i="37"/>
  <c r="H96" i="37" s="1"/>
  <c r="E88" i="37"/>
  <c r="F88" i="37"/>
  <c r="G88" i="37"/>
  <c r="H88" i="37"/>
  <c r="D88" i="37"/>
  <c r="E114" i="37"/>
  <c r="F114" i="37"/>
  <c r="G114" i="37"/>
  <c r="H114" i="37"/>
  <c r="H84" i="37"/>
  <c r="G84" i="37"/>
  <c r="F84" i="37"/>
  <c r="E84" i="37"/>
  <c r="D84" i="37"/>
  <c r="H83" i="37"/>
  <c r="H111" i="37" s="1"/>
  <c r="G83" i="37"/>
  <c r="G111" i="37" s="1"/>
  <c r="F83" i="37"/>
  <c r="F111" i="37" s="1"/>
  <c r="E83" i="37"/>
  <c r="E111" i="37" s="1"/>
  <c r="D83" i="37"/>
  <c r="D111" i="37" s="1"/>
  <c r="E80" i="37"/>
  <c r="F80" i="37"/>
  <c r="G80" i="37"/>
  <c r="H80" i="37"/>
  <c r="D80" i="37"/>
  <c r="E72" i="37"/>
  <c r="F72" i="37"/>
  <c r="G72" i="37"/>
  <c r="H72" i="37"/>
  <c r="D72" i="37"/>
  <c r="D68" i="37"/>
  <c r="E71" i="37"/>
  <c r="F71" i="37"/>
  <c r="F79" i="37" s="1"/>
  <c r="G71" i="37"/>
  <c r="G79" i="37" s="1"/>
  <c r="H71" i="37"/>
  <c r="H79" i="37" s="1"/>
  <c r="D71" i="37"/>
  <c r="E68" i="37"/>
  <c r="F68" i="37"/>
  <c r="G68" i="37"/>
  <c r="H68" i="37"/>
  <c r="E67" i="37"/>
  <c r="F67" i="37"/>
  <c r="F75" i="37" s="1"/>
  <c r="F76" i="37" s="1"/>
  <c r="G67" i="37"/>
  <c r="G75" i="37" s="1"/>
  <c r="G76" i="37" s="1"/>
  <c r="H67" i="37"/>
  <c r="H75" i="37" s="1"/>
  <c r="H76" i="37" s="1"/>
  <c r="D67" i="37"/>
  <c r="E57" i="37"/>
  <c r="F57" i="37"/>
  <c r="G57" i="37"/>
  <c r="H57" i="37"/>
  <c r="D57" i="37"/>
  <c r="D53" i="37"/>
  <c r="E56" i="37"/>
  <c r="F56" i="37"/>
  <c r="G56" i="37"/>
  <c r="H56" i="37"/>
  <c r="D56" i="37"/>
  <c r="D52" i="37"/>
  <c r="E53" i="37"/>
  <c r="F53" i="37"/>
  <c r="G53" i="37"/>
  <c r="H53" i="37"/>
  <c r="D49" i="37"/>
  <c r="E52" i="37"/>
  <c r="F52" i="37"/>
  <c r="G52" i="37"/>
  <c r="H52" i="37"/>
  <c r="D48" i="37"/>
  <c r="E49" i="37"/>
  <c r="F49" i="37"/>
  <c r="G49" i="37"/>
  <c r="H49" i="37"/>
  <c r="E48" i="37"/>
  <c r="F48" i="37"/>
  <c r="G48" i="37"/>
  <c r="H48" i="37"/>
  <c r="E42" i="37"/>
  <c r="F42" i="37"/>
  <c r="G42" i="37"/>
  <c r="H42" i="37"/>
  <c r="D42" i="37"/>
  <c r="E38" i="37"/>
  <c r="F38" i="37"/>
  <c r="G38" i="37"/>
  <c r="H38" i="37"/>
  <c r="D38" i="37"/>
  <c r="E34" i="37"/>
  <c r="F34" i="37"/>
  <c r="G34" i="37"/>
  <c r="H34" i="37"/>
  <c r="D34" i="37"/>
  <c r="H26" i="37"/>
  <c r="G26" i="37"/>
  <c r="F26" i="37"/>
  <c r="E26" i="37"/>
  <c r="D26" i="37"/>
  <c r="E18" i="37"/>
  <c r="F18" i="37"/>
  <c r="G18" i="37"/>
  <c r="H18" i="37"/>
  <c r="D18" i="37"/>
  <c r="E17" i="37"/>
  <c r="F17" i="37"/>
  <c r="G17" i="37"/>
  <c r="H17" i="37"/>
  <c r="D17" i="37"/>
  <c r="E10" i="37"/>
  <c r="F10" i="37"/>
  <c r="G10" i="37"/>
  <c r="H10" i="37"/>
  <c r="D10" i="37"/>
  <c r="E94" i="37"/>
  <c r="F94" i="37"/>
  <c r="G94" i="37"/>
  <c r="H94" i="37"/>
  <c r="D94" i="37"/>
  <c r="D75" i="37" l="1"/>
  <c r="D76" i="37" s="1"/>
  <c r="D79" i="37"/>
  <c r="E75" i="37"/>
  <c r="E76" i="37" s="1"/>
  <c r="E79" i="37"/>
  <c r="D96" i="37"/>
  <c r="C96" i="37"/>
  <c r="F96" i="37"/>
  <c r="G96" i="37"/>
  <c r="E96" i="37"/>
  <c r="G16" i="9"/>
  <c r="D9" i="23"/>
  <c r="D8" i="23" s="1"/>
  <c r="C20" i="23"/>
  <c r="C16" i="23" s="1"/>
  <c r="F16" i="9"/>
  <c r="E14" i="9"/>
  <c r="E16" i="9"/>
  <c r="G14" i="9"/>
  <c r="H14" i="9"/>
  <c r="H16" i="9"/>
  <c r="F14" i="9"/>
  <c r="D20" i="23"/>
  <c r="D16" i="23" s="1"/>
  <c r="D12" i="23"/>
  <c r="C43" i="35" l="1"/>
  <c r="D43" i="35"/>
  <c r="E43" i="35"/>
  <c r="F43" i="35"/>
  <c r="G43" i="35"/>
  <c r="C40" i="35"/>
  <c r="D40" i="35"/>
  <c r="E40" i="35"/>
  <c r="F40" i="35"/>
  <c r="G40" i="35"/>
  <c r="C39" i="35"/>
  <c r="D39" i="35"/>
  <c r="E39" i="35"/>
  <c r="F39" i="35"/>
  <c r="G39" i="35"/>
  <c r="C37" i="35"/>
  <c r="D37" i="35"/>
  <c r="E37" i="35"/>
  <c r="F37" i="35"/>
  <c r="G37" i="35"/>
  <c r="C38" i="35"/>
  <c r="D38" i="35"/>
  <c r="E38" i="35"/>
  <c r="F38" i="35"/>
  <c r="G38" i="35"/>
  <c r="C33" i="35"/>
  <c r="D33" i="35"/>
  <c r="E33" i="35"/>
  <c r="F33" i="35"/>
  <c r="G33" i="35"/>
  <c r="C35" i="35"/>
  <c r="D35" i="35"/>
  <c r="E35" i="35"/>
  <c r="F35" i="35"/>
  <c r="G35" i="35"/>
  <c r="C31" i="35"/>
  <c r="D31" i="35"/>
  <c r="E31" i="35"/>
  <c r="F31" i="35"/>
  <c r="G31" i="35"/>
  <c r="C34" i="35"/>
  <c r="D34" i="35"/>
  <c r="E34" i="35"/>
  <c r="F34" i="35"/>
  <c r="G34" i="35"/>
  <c r="C32" i="35"/>
  <c r="D32" i="35"/>
  <c r="E32" i="35"/>
  <c r="F32" i="35"/>
  <c r="G32" i="35"/>
  <c r="C29" i="35"/>
  <c r="D29" i="35"/>
  <c r="E29" i="35"/>
  <c r="F29" i="35"/>
  <c r="G29" i="35"/>
  <c r="C28" i="35"/>
  <c r="D28" i="35"/>
  <c r="E28" i="35"/>
  <c r="F28" i="35"/>
  <c r="G28" i="35"/>
  <c r="C27" i="35"/>
  <c r="D27" i="35"/>
  <c r="E27" i="35"/>
  <c r="F27" i="35"/>
  <c r="G27" i="35"/>
  <c r="C23" i="35"/>
  <c r="D23" i="35"/>
  <c r="E23" i="35"/>
  <c r="F23" i="35"/>
  <c r="G23" i="35"/>
  <c r="C22" i="35"/>
  <c r="D22" i="35"/>
  <c r="E22" i="35"/>
  <c r="F22" i="35"/>
  <c r="G22" i="35"/>
  <c r="C21" i="35"/>
  <c r="D21" i="35"/>
  <c r="E21" i="35"/>
  <c r="F21" i="35"/>
  <c r="G21" i="35"/>
  <c r="C20" i="35"/>
  <c r="D20" i="35"/>
  <c r="E20" i="35"/>
  <c r="F20" i="35"/>
  <c r="G20" i="35"/>
  <c r="C19" i="35"/>
  <c r="D19" i="35"/>
  <c r="E19" i="35"/>
  <c r="F19" i="35"/>
  <c r="G19" i="35"/>
  <c r="C18" i="35"/>
  <c r="D18" i="35"/>
  <c r="E18" i="35"/>
  <c r="F18" i="35"/>
  <c r="G18" i="35"/>
  <c r="C16" i="35"/>
  <c r="D16" i="35"/>
  <c r="E16" i="35"/>
  <c r="F16" i="35"/>
  <c r="G16" i="35"/>
  <c r="C15" i="35"/>
  <c r="D15" i="35"/>
  <c r="E15" i="35"/>
  <c r="F15" i="35"/>
  <c r="G15" i="35"/>
  <c r="C14" i="35"/>
  <c r="D14" i="35"/>
  <c r="E14" i="35"/>
  <c r="F14" i="35"/>
  <c r="G14" i="35"/>
  <c r="C13" i="35"/>
  <c r="D13" i="35"/>
  <c r="E13" i="35"/>
  <c r="F13" i="35"/>
  <c r="G13" i="35"/>
  <c r="C7" i="35"/>
  <c r="D7" i="35"/>
  <c r="E7" i="35"/>
  <c r="F7" i="35"/>
  <c r="G7" i="35"/>
  <c r="C13" i="34"/>
  <c r="C21" i="34" s="1"/>
  <c r="D13" i="34"/>
  <c r="D21" i="34" s="1"/>
  <c r="E13" i="34"/>
  <c r="E21" i="34" s="1"/>
  <c r="F13" i="34"/>
  <c r="F21" i="34" s="1"/>
  <c r="G13" i="34"/>
  <c r="G21" i="34" s="1"/>
  <c r="C10" i="34"/>
  <c r="D10" i="34"/>
  <c r="E10" i="34"/>
  <c r="F10" i="34"/>
  <c r="G10" i="34"/>
  <c r="C6" i="34"/>
  <c r="D6" i="34"/>
  <c r="E6" i="34"/>
  <c r="F6" i="34"/>
  <c r="G6" i="34"/>
  <c r="C7" i="34"/>
  <c r="D7" i="34"/>
  <c r="E7" i="34"/>
  <c r="F7" i="34"/>
  <c r="G7" i="34"/>
  <c r="D5" i="34"/>
  <c r="E5" i="34"/>
  <c r="F5" i="34"/>
  <c r="G5" i="34"/>
  <c r="C5" i="34"/>
  <c r="C35" i="39" l="1"/>
  <c r="B35" i="39"/>
  <c r="C32" i="39"/>
  <c r="B32" i="39"/>
  <c r="E9" i="39"/>
  <c r="F9" i="39" s="1"/>
  <c r="G9" i="39" s="1"/>
  <c r="H9" i="39" s="1"/>
  <c r="I9" i="39" s="1"/>
  <c r="J9" i="39" s="1"/>
  <c r="B3" i="39"/>
  <c r="C3" i="39" s="1"/>
  <c r="C26" i="38"/>
  <c r="G20" i="38"/>
  <c r="G23" i="38" s="1"/>
  <c r="A139" i="37"/>
  <c r="H121" i="37"/>
  <c r="G121" i="37"/>
  <c r="F121" i="37"/>
  <c r="E121" i="37"/>
  <c r="D121" i="37"/>
  <c r="F117" i="37"/>
  <c r="H117" i="37"/>
  <c r="G117" i="37"/>
  <c r="E117" i="37"/>
  <c r="D117" i="37"/>
  <c r="H113" i="37"/>
  <c r="G113" i="37"/>
  <c r="F113" i="37"/>
  <c r="E113" i="37"/>
  <c r="D113" i="37"/>
  <c r="A113" i="37"/>
  <c r="A117" i="37" s="1"/>
  <c r="A121" i="37" s="1"/>
  <c r="A125" i="37" s="1"/>
  <c r="H109" i="37"/>
  <c r="G109" i="37"/>
  <c r="F109" i="37"/>
  <c r="E109" i="37"/>
  <c r="D109" i="37"/>
  <c r="H102" i="37"/>
  <c r="H126" i="37" s="1"/>
  <c r="G102" i="37"/>
  <c r="G126" i="37" s="1"/>
  <c r="F102" i="37"/>
  <c r="F126" i="37" s="1"/>
  <c r="E102" i="37"/>
  <c r="E126" i="37" s="1"/>
  <c r="D102" i="37"/>
  <c r="H98" i="37"/>
  <c r="G98" i="37"/>
  <c r="F98" i="37"/>
  <c r="E98" i="37"/>
  <c r="D98" i="37"/>
  <c r="A98" i="37"/>
  <c r="A102" i="37" s="1"/>
  <c r="H86" i="37"/>
  <c r="G86" i="37"/>
  <c r="F86" i="37"/>
  <c r="E86" i="37"/>
  <c r="D86" i="37"/>
  <c r="H82" i="37"/>
  <c r="H128" i="37" s="1"/>
  <c r="G82" i="37"/>
  <c r="G128" i="37" s="1"/>
  <c r="F82" i="37"/>
  <c r="F128" i="37" s="1"/>
  <c r="E82" i="37"/>
  <c r="E128" i="37" s="1"/>
  <c r="D82" i="37"/>
  <c r="D128" i="37" s="1"/>
  <c r="H78" i="37"/>
  <c r="G78" i="37"/>
  <c r="F78" i="37"/>
  <c r="E78" i="37"/>
  <c r="D78" i="37"/>
  <c r="H74" i="37"/>
  <c r="G74" i="37"/>
  <c r="F74" i="37"/>
  <c r="E74" i="37"/>
  <c r="D74" i="37"/>
  <c r="E70" i="37"/>
  <c r="F70" i="37"/>
  <c r="H70" i="37"/>
  <c r="G70" i="37"/>
  <c r="D70" i="37"/>
  <c r="A70" i="37"/>
  <c r="A74" i="37" s="1"/>
  <c r="A78" i="37" s="1"/>
  <c r="A82" i="37" s="1"/>
  <c r="A86" i="37" s="1"/>
  <c r="E66" i="37"/>
  <c r="F66" i="37"/>
  <c r="H66" i="37"/>
  <c r="G66" i="37"/>
  <c r="D66" i="37"/>
  <c r="H55" i="37"/>
  <c r="G55" i="37"/>
  <c r="F55" i="37"/>
  <c r="E55" i="37"/>
  <c r="D55" i="37"/>
  <c r="H51" i="37"/>
  <c r="G51" i="37"/>
  <c r="F51" i="37"/>
  <c r="E51" i="37"/>
  <c r="D51" i="37"/>
  <c r="A51" i="37"/>
  <c r="A55" i="37" s="1"/>
  <c r="A59" i="37" s="1"/>
  <c r="H47" i="37"/>
  <c r="G47" i="37"/>
  <c r="F47" i="37"/>
  <c r="E47" i="37"/>
  <c r="D47" i="37"/>
  <c r="A20" i="37"/>
  <c r="A24" i="37" s="1"/>
  <c r="H41" i="37"/>
  <c r="H40" i="37" s="1"/>
  <c r="H127" i="37" s="1"/>
  <c r="G16" i="37"/>
  <c r="G22" i="37" s="1"/>
  <c r="G20" i="37" s="1"/>
  <c r="F41" i="37"/>
  <c r="F40" i="37" s="1"/>
  <c r="F127" i="37" s="1"/>
  <c r="E16" i="37"/>
  <c r="E22" i="37" s="1"/>
  <c r="E20" i="37" s="1"/>
  <c r="D41" i="37"/>
  <c r="D40" i="37" s="1"/>
  <c r="D127" i="37" s="1"/>
  <c r="H16" i="37"/>
  <c r="H22" i="37" s="1"/>
  <c r="H20" i="37" s="1"/>
  <c r="F16" i="37"/>
  <c r="F22" i="37" s="1"/>
  <c r="F20" i="37" s="1"/>
  <c r="D16" i="37"/>
  <c r="D22" i="37" s="1"/>
  <c r="D20" i="37" s="1"/>
  <c r="A12" i="37"/>
  <c r="H93" i="37"/>
  <c r="G25" i="37"/>
  <c r="G24" i="37" s="1"/>
  <c r="G30" i="37" s="1"/>
  <c r="G28" i="37" s="1"/>
  <c r="G62" i="37" s="1"/>
  <c r="F93" i="37"/>
  <c r="E93" i="37"/>
  <c r="D93" i="37"/>
  <c r="H8" i="37"/>
  <c r="H14" i="37" s="1"/>
  <c r="H12" i="37" s="1"/>
  <c r="F8" i="37"/>
  <c r="F14" i="37" s="1"/>
  <c r="F12" i="37" s="1"/>
  <c r="E8" i="37"/>
  <c r="E14" i="37" s="1"/>
  <c r="E12" i="37" s="1"/>
  <c r="D8" i="37"/>
  <c r="D14" i="37" s="1"/>
  <c r="D12" i="37" s="1"/>
  <c r="G36" i="35"/>
  <c r="F36" i="35"/>
  <c r="E36" i="35"/>
  <c r="D36" i="35"/>
  <c r="C36" i="35"/>
  <c r="F30" i="35"/>
  <c r="G30" i="35"/>
  <c r="E30" i="35"/>
  <c r="D30" i="35"/>
  <c r="C30" i="35"/>
  <c r="A29" i="35"/>
  <c r="D26" i="35"/>
  <c r="G26" i="35"/>
  <c r="C26" i="35"/>
  <c r="F26" i="35"/>
  <c r="E26" i="35"/>
  <c r="D17" i="35"/>
  <c r="G17" i="35"/>
  <c r="F17" i="35"/>
  <c r="E17" i="35"/>
  <c r="C17" i="35"/>
  <c r="E6" i="35"/>
  <c r="E5" i="35" s="1"/>
  <c r="G6" i="35"/>
  <c r="G5" i="35" s="1"/>
  <c r="F6" i="35"/>
  <c r="F5" i="35" s="1"/>
  <c r="D6" i="35"/>
  <c r="D5" i="35" s="1"/>
  <c r="C6" i="35"/>
  <c r="C5" i="35" s="1"/>
  <c r="O10" i="34"/>
  <c r="M10" i="34"/>
  <c r="L10" i="34"/>
  <c r="K10" i="34"/>
  <c r="O7" i="34"/>
  <c r="M7" i="34"/>
  <c r="L7" i="34"/>
  <c r="K7" i="34"/>
  <c r="O6" i="34"/>
  <c r="N6" i="34"/>
  <c r="M6" i="34"/>
  <c r="K6" i="34"/>
  <c r="G8" i="34"/>
  <c r="F8" i="34"/>
  <c r="E8" i="34"/>
  <c r="L6" i="34"/>
  <c r="C8" i="34"/>
  <c r="C4" i="36" s="1"/>
  <c r="E4" i="36" l="1"/>
  <c r="M67" i="36" s="1"/>
  <c r="M26" i="34"/>
  <c r="F4" i="36"/>
  <c r="N42" i="36" s="1"/>
  <c r="N26" i="34"/>
  <c r="K87" i="36"/>
  <c r="K26" i="34"/>
  <c r="G4" i="36"/>
  <c r="O75" i="36" s="1"/>
  <c r="O26" i="34"/>
  <c r="D126" i="37"/>
  <c r="D125" i="37" s="1"/>
  <c r="B26" i="39"/>
  <c r="B30" i="39" s="1"/>
  <c r="C14" i="23"/>
  <c r="C12" i="23" s="1"/>
  <c r="H61" i="37"/>
  <c r="I20" i="9"/>
  <c r="G61" i="37"/>
  <c r="H20" i="9"/>
  <c r="D61" i="37"/>
  <c r="E20" i="9"/>
  <c r="E61" i="37"/>
  <c r="F20" i="9"/>
  <c r="F61" i="37"/>
  <c r="G20" i="9"/>
  <c r="E41" i="35"/>
  <c r="M31" i="35" s="1"/>
  <c r="D41" i="35"/>
  <c r="L34" i="35" s="1"/>
  <c r="F41" i="35"/>
  <c r="N35" i="35" s="1"/>
  <c r="F24" i="35"/>
  <c r="D24" i="35"/>
  <c r="C7" i="39"/>
  <c r="C8" i="39" s="1"/>
  <c r="B23" i="39"/>
  <c r="B31" i="39" s="1"/>
  <c r="D3" i="39"/>
  <c r="B14" i="39"/>
  <c r="C6" i="39"/>
  <c r="F125" i="37"/>
  <c r="A28" i="37"/>
  <c r="A32" i="37"/>
  <c r="A36" i="37" s="1"/>
  <c r="A40" i="37" s="1"/>
  <c r="H125" i="37"/>
  <c r="D25" i="37"/>
  <c r="D24" i="37" s="1"/>
  <c r="D30" i="37" s="1"/>
  <c r="D28" i="37" s="1"/>
  <c r="D62" i="37" s="1"/>
  <c r="H25" i="37"/>
  <c r="H24" i="37" s="1"/>
  <c r="H30" i="37" s="1"/>
  <c r="H28" i="37" s="1"/>
  <c r="H62" i="37" s="1"/>
  <c r="E33" i="37"/>
  <c r="E32" i="37" s="1"/>
  <c r="E37" i="37"/>
  <c r="E36" i="37" s="1"/>
  <c r="E41" i="37"/>
  <c r="E40" i="37" s="1"/>
  <c r="E127" i="37" s="1"/>
  <c r="E125" i="37" s="1"/>
  <c r="G93" i="37"/>
  <c r="G8" i="37"/>
  <c r="G14" i="37" s="1"/>
  <c r="G12" i="37" s="1"/>
  <c r="E25" i="37"/>
  <c r="E24" i="37" s="1"/>
  <c r="E30" i="37" s="1"/>
  <c r="E28" i="37" s="1"/>
  <c r="F33" i="37"/>
  <c r="F32" i="37" s="1"/>
  <c r="F37" i="37"/>
  <c r="F36" i="37" s="1"/>
  <c r="F25" i="37"/>
  <c r="F24" i="37" s="1"/>
  <c r="F30" i="37" s="1"/>
  <c r="F28" i="37" s="1"/>
  <c r="F62" i="37" s="1"/>
  <c r="G33" i="37"/>
  <c r="G32" i="37" s="1"/>
  <c r="G37" i="37"/>
  <c r="G36" i="37" s="1"/>
  <c r="G41" i="37"/>
  <c r="G40" i="37" s="1"/>
  <c r="G127" i="37" s="1"/>
  <c r="G125" i="37" s="1"/>
  <c r="D33" i="37"/>
  <c r="D32" i="37" s="1"/>
  <c r="H33" i="37"/>
  <c r="H32" i="37" s="1"/>
  <c r="D37" i="37"/>
  <c r="D36" i="37" s="1"/>
  <c r="I15" i="40" s="1"/>
  <c r="I18" i="40" s="1"/>
  <c r="I19" i="40" s="1"/>
  <c r="D14" i="40" s="1"/>
  <c r="H37" i="37"/>
  <c r="H36" i="37" s="1"/>
  <c r="G24" i="35"/>
  <c r="O11" i="35" s="1"/>
  <c r="C24" i="35"/>
  <c r="K11" i="35" s="1"/>
  <c r="C41" i="35"/>
  <c r="G41" i="35"/>
  <c r="M8" i="34"/>
  <c r="E23" i="34"/>
  <c r="M21" i="34"/>
  <c r="K15" i="34"/>
  <c r="O15" i="34"/>
  <c r="N16" i="34"/>
  <c r="M17" i="34"/>
  <c r="K19" i="34"/>
  <c r="O19" i="34"/>
  <c r="N25" i="34"/>
  <c r="N13" i="34"/>
  <c r="M14" i="34"/>
  <c r="K16" i="34"/>
  <c r="O16" i="34"/>
  <c r="N17" i="34"/>
  <c r="M18" i="34"/>
  <c r="K25" i="34"/>
  <c r="O25" i="34"/>
  <c r="N8" i="34"/>
  <c r="N14" i="34"/>
  <c r="C23" i="34"/>
  <c r="K8" i="34"/>
  <c r="G23" i="34"/>
  <c r="O8" i="34"/>
  <c r="K21" i="34"/>
  <c r="O21" i="34"/>
  <c r="M15" i="34"/>
  <c r="K17" i="34"/>
  <c r="O17" i="34"/>
  <c r="N18" i="34"/>
  <c r="M19" i="34"/>
  <c r="K14" i="34"/>
  <c r="O14" i="34"/>
  <c r="N15" i="34"/>
  <c r="M16" i="34"/>
  <c r="K18" i="34"/>
  <c r="O18" i="34"/>
  <c r="N19" i="34"/>
  <c r="M25" i="34"/>
  <c r="D8" i="34"/>
  <c r="K13" i="34"/>
  <c r="O13" i="34"/>
  <c r="N21" i="34"/>
  <c r="N7" i="34"/>
  <c r="N10" i="34"/>
  <c r="M13" i="34"/>
  <c r="A27" i="24"/>
  <c r="C31" i="24"/>
  <c r="D31" i="24"/>
  <c r="E31" i="24"/>
  <c r="F31" i="24"/>
  <c r="G31" i="24"/>
  <c r="D13" i="24"/>
  <c r="E13" i="24"/>
  <c r="F13" i="24"/>
  <c r="G13" i="24"/>
  <c r="C13" i="24"/>
  <c r="L26" i="34" l="1"/>
  <c r="D4" i="36"/>
  <c r="D63" i="1"/>
  <c r="D8" i="15"/>
  <c r="M73" i="36"/>
  <c r="N29" i="36"/>
  <c r="M29" i="36"/>
  <c r="M38" i="36"/>
  <c r="M6" i="36"/>
  <c r="M34" i="36"/>
  <c r="M87" i="36"/>
  <c r="M86" i="36"/>
  <c r="M41" i="36"/>
  <c r="M44" i="36"/>
  <c r="M70" i="36"/>
  <c r="M48" i="36"/>
  <c r="M37" i="36"/>
  <c r="M39" i="36"/>
  <c r="M36" i="36"/>
  <c r="M35" i="36"/>
  <c r="M32" i="36"/>
  <c r="M42" i="36"/>
  <c r="M69" i="36"/>
  <c r="L21" i="35"/>
  <c r="L11" i="35"/>
  <c r="N21" i="35"/>
  <c r="N11" i="35"/>
  <c r="K41" i="36"/>
  <c r="K75" i="36"/>
  <c r="K39" i="36"/>
  <c r="N59" i="36"/>
  <c r="N75" i="36"/>
  <c r="K38" i="36"/>
  <c r="M59" i="36"/>
  <c r="M75" i="36"/>
  <c r="M65" i="36"/>
  <c r="O62" i="36"/>
  <c r="O12" i="36"/>
  <c r="M64" i="36"/>
  <c r="M60" i="36"/>
  <c r="K60" i="36"/>
  <c r="K12" i="36"/>
  <c r="M33" i="36"/>
  <c r="M63" i="36"/>
  <c r="N86" i="36"/>
  <c r="N12" i="36"/>
  <c r="M40" i="36"/>
  <c r="K62" i="36"/>
  <c r="M62" i="36"/>
  <c r="M12" i="36"/>
  <c r="M7" i="36"/>
  <c r="K73" i="36"/>
  <c r="K34" i="36"/>
  <c r="K66" i="36"/>
  <c r="K65" i="36"/>
  <c r="K48" i="36"/>
  <c r="K69" i="36"/>
  <c r="K70" i="36"/>
  <c r="N65" i="36"/>
  <c r="K32" i="36"/>
  <c r="K42" i="36"/>
  <c r="K37" i="36"/>
  <c r="K67" i="36"/>
  <c r="K61" i="36"/>
  <c r="M61" i="36"/>
  <c r="M66" i="36"/>
  <c r="K6" i="36"/>
  <c r="K40" i="36"/>
  <c r="K33" i="36"/>
  <c r="K63" i="36"/>
  <c r="K68" i="36"/>
  <c r="M68" i="36"/>
  <c r="K36" i="36"/>
  <c r="K59" i="36"/>
  <c r="K64" i="36"/>
  <c r="K86" i="36"/>
  <c r="K44" i="36"/>
  <c r="K35" i="36"/>
  <c r="K7" i="36"/>
  <c r="N44" i="36"/>
  <c r="O63" i="36"/>
  <c r="O87" i="36"/>
  <c r="N34" i="36"/>
  <c r="O69" i="36"/>
  <c r="O68" i="36"/>
  <c r="N6" i="36"/>
  <c r="O39" i="36"/>
  <c r="N48" i="36"/>
  <c r="N41" i="36"/>
  <c r="O34" i="36"/>
  <c r="N38" i="36"/>
  <c r="N87" i="36"/>
  <c r="N60" i="36"/>
  <c r="O86" i="36"/>
  <c r="O73" i="36"/>
  <c r="O37" i="36"/>
  <c r="N36" i="36"/>
  <c r="O59" i="36"/>
  <c r="O64" i="36"/>
  <c r="N7" i="36"/>
  <c r="O48" i="36"/>
  <c r="O36" i="36"/>
  <c r="N40" i="36"/>
  <c r="N64" i="36"/>
  <c r="N69" i="36"/>
  <c r="L36" i="35"/>
  <c r="M34" i="35"/>
  <c r="O78" i="36"/>
  <c r="O82" i="36"/>
  <c r="O49" i="36"/>
  <c r="O53" i="36"/>
  <c r="O57" i="36"/>
  <c r="O10" i="36"/>
  <c r="O16" i="36"/>
  <c r="O20" i="36"/>
  <c r="O24" i="36"/>
  <c r="O28" i="36"/>
  <c r="O74" i="36"/>
  <c r="O76" i="36"/>
  <c r="O77" i="36"/>
  <c r="O54" i="36"/>
  <c r="O55" i="36"/>
  <c r="O56" i="36"/>
  <c r="O21" i="36"/>
  <c r="O22" i="36"/>
  <c r="O23" i="36"/>
  <c r="O50" i="36"/>
  <c r="O51" i="36"/>
  <c r="O52" i="36"/>
  <c r="O17" i="36"/>
  <c r="O18" i="36"/>
  <c r="O19" i="36"/>
  <c r="O80" i="36"/>
  <c r="O58" i="36"/>
  <c r="O9" i="36"/>
  <c r="O26" i="36"/>
  <c r="O79" i="36"/>
  <c r="O81" i="36"/>
  <c r="O8" i="36"/>
  <c r="O25" i="36"/>
  <c r="O27" i="36"/>
  <c r="O84" i="36"/>
  <c r="O11" i="36"/>
  <c r="O15" i="36"/>
  <c r="O83" i="36"/>
  <c r="O85" i="36"/>
  <c r="O13" i="36"/>
  <c r="O42" i="36"/>
  <c r="N32" i="36"/>
  <c r="O41" i="36"/>
  <c r="O35" i="36"/>
  <c r="O33" i="36"/>
  <c r="N37" i="36"/>
  <c r="N39" i="36"/>
  <c r="O70" i="36"/>
  <c r="O7" i="36"/>
  <c r="O65" i="36"/>
  <c r="O60" i="36"/>
  <c r="N67" i="36"/>
  <c r="N66" i="36"/>
  <c r="N61" i="36"/>
  <c r="N74" i="36"/>
  <c r="N79" i="36"/>
  <c r="N83" i="36"/>
  <c r="N50" i="36"/>
  <c r="N54" i="36"/>
  <c r="N58" i="36"/>
  <c r="N11" i="36"/>
  <c r="N17" i="36"/>
  <c r="N21" i="36"/>
  <c r="N25" i="36"/>
  <c r="N51" i="36"/>
  <c r="N52" i="36"/>
  <c r="N53" i="36"/>
  <c r="N18" i="36"/>
  <c r="N19" i="36"/>
  <c r="N20" i="36"/>
  <c r="N84" i="36"/>
  <c r="N85" i="36"/>
  <c r="N49" i="36"/>
  <c r="N13" i="36"/>
  <c r="N15" i="36"/>
  <c r="N16" i="36"/>
  <c r="N76" i="36"/>
  <c r="N78" i="36"/>
  <c r="N56" i="36"/>
  <c r="N22" i="36"/>
  <c r="N24" i="36"/>
  <c r="N77" i="36"/>
  <c r="N55" i="36"/>
  <c r="N57" i="36"/>
  <c r="N23" i="36"/>
  <c r="N80" i="36"/>
  <c r="N82" i="36"/>
  <c r="N9" i="36"/>
  <c r="N26" i="36"/>
  <c r="N28" i="36"/>
  <c r="N81" i="36"/>
  <c r="N8" i="36"/>
  <c r="N10" i="36"/>
  <c r="N27" i="36"/>
  <c r="L31" i="35"/>
  <c r="O29" i="36"/>
  <c r="O32" i="36"/>
  <c r="N73" i="36"/>
  <c r="O44" i="36"/>
  <c r="O40" i="36"/>
  <c r="O38" i="36"/>
  <c r="N33" i="36"/>
  <c r="N35" i="36"/>
  <c r="N70" i="36"/>
  <c r="O67" i="36"/>
  <c r="O66" i="36"/>
  <c r="O61" i="36"/>
  <c r="O6" i="36"/>
  <c r="N63" i="36"/>
  <c r="N62" i="36"/>
  <c r="N68" i="36"/>
  <c r="K78" i="36"/>
  <c r="K82" i="36"/>
  <c r="K49" i="36"/>
  <c r="K53" i="36"/>
  <c r="K57" i="36"/>
  <c r="K10" i="36"/>
  <c r="K16" i="36"/>
  <c r="K20" i="36"/>
  <c r="K24" i="36"/>
  <c r="K28" i="36"/>
  <c r="K79" i="36"/>
  <c r="K80" i="36"/>
  <c r="K81" i="36"/>
  <c r="K58" i="36"/>
  <c r="K8" i="36"/>
  <c r="K9" i="36"/>
  <c r="K25" i="36"/>
  <c r="K26" i="36"/>
  <c r="K27" i="36"/>
  <c r="K74" i="36"/>
  <c r="K76" i="36"/>
  <c r="K77" i="36"/>
  <c r="K54" i="36"/>
  <c r="K55" i="36"/>
  <c r="K56" i="36"/>
  <c r="K21" i="36"/>
  <c r="K22" i="36"/>
  <c r="K23" i="36"/>
  <c r="K83" i="36"/>
  <c r="K85" i="36"/>
  <c r="K13" i="36"/>
  <c r="K84" i="36"/>
  <c r="K11" i="36"/>
  <c r="K15" i="36"/>
  <c r="K50" i="36"/>
  <c r="K52" i="36"/>
  <c r="K18" i="36"/>
  <c r="K51" i="36"/>
  <c r="K17" i="36"/>
  <c r="K19" i="36"/>
  <c r="M76" i="36"/>
  <c r="M80" i="36"/>
  <c r="M84" i="36"/>
  <c r="M51" i="36"/>
  <c r="M55" i="36"/>
  <c r="M8" i="36"/>
  <c r="M13" i="36"/>
  <c r="M18" i="36"/>
  <c r="M22" i="36"/>
  <c r="M26" i="36"/>
  <c r="M85" i="36"/>
  <c r="M49" i="36"/>
  <c r="M50" i="36"/>
  <c r="M15" i="36"/>
  <c r="M16" i="36"/>
  <c r="M17" i="36"/>
  <c r="M81" i="36"/>
  <c r="M82" i="36"/>
  <c r="M83" i="36"/>
  <c r="M9" i="36"/>
  <c r="M10" i="36"/>
  <c r="M11" i="36"/>
  <c r="M27" i="36"/>
  <c r="M28" i="36"/>
  <c r="M52" i="36"/>
  <c r="M54" i="36"/>
  <c r="M20" i="36"/>
  <c r="M74" i="36"/>
  <c r="M53" i="36"/>
  <c r="M19" i="36"/>
  <c r="M21" i="36"/>
  <c r="M78" i="36"/>
  <c r="M56" i="36"/>
  <c r="M58" i="36"/>
  <c r="M24" i="36"/>
  <c r="M77" i="36"/>
  <c r="M79" i="36"/>
  <c r="M57" i="36"/>
  <c r="M23" i="36"/>
  <c r="M25" i="36"/>
  <c r="D44" i="35"/>
  <c r="L40" i="35"/>
  <c r="L39" i="35"/>
  <c r="L35" i="35"/>
  <c r="D47" i="35"/>
  <c r="L30" i="35"/>
  <c r="L28" i="35"/>
  <c r="D45" i="35"/>
  <c r="L38" i="35"/>
  <c r="N36" i="35"/>
  <c r="L27" i="35"/>
  <c r="M28" i="35"/>
  <c r="L26" i="35"/>
  <c r="D59" i="37"/>
  <c r="F59" i="37"/>
  <c r="B15" i="39"/>
  <c r="D6" i="39"/>
  <c r="H59" i="37"/>
  <c r="L19" i="35"/>
  <c r="L18" i="35"/>
  <c r="L22" i="35"/>
  <c r="N40" i="35"/>
  <c r="N34" i="35"/>
  <c r="N39" i="35"/>
  <c r="N27" i="35"/>
  <c r="N28" i="35"/>
  <c r="M27" i="35"/>
  <c r="M35" i="35"/>
  <c r="M26" i="35"/>
  <c r="N31" i="35"/>
  <c r="M37" i="35"/>
  <c r="L37" i="35"/>
  <c r="M36" i="35"/>
  <c r="M39" i="35"/>
  <c r="M38" i="35"/>
  <c r="M30" i="35"/>
  <c r="M40" i="35"/>
  <c r="C45" i="35"/>
  <c r="K33" i="35"/>
  <c r="K32" i="35"/>
  <c r="E62" i="37"/>
  <c r="E59" i="37" s="1"/>
  <c r="L6" i="35"/>
  <c r="L14" i="35"/>
  <c r="L9" i="35"/>
  <c r="L12" i="35"/>
  <c r="L15" i="35"/>
  <c r="L10" i="35"/>
  <c r="L13" i="35"/>
  <c r="L8" i="35"/>
  <c r="N32" i="35"/>
  <c r="N33" i="35"/>
  <c r="E45" i="35"/>
  <c r="M33" i="35"/>
  <c r="M32" i="35"/>
  <c r="L25" i="34"/>
  <c r="G59" i="37"/>
  <c r="N18" i="35"/>
  <c r="N12" i="35"/>
  <c r="N8" i="35"/>
  <c r="N15" i="35"/>
  <c r="N14" i="35"/>
  <c r="N10" i="35"/>
  <c r="N9" i="35"/>
  <c r="N13" i="35"/>
  <c r="L32" i="35"/>
  <c r="L33" i="35"/>
  <c r="O5" i="35"/>
  <c r="O12" i="35"/>
  <c r="O10" i="35"/>
  <c r="O9" i="35"/>
  <c r="O8" i="35"/>
  <c r="O14" i="35"/>
  <c r="O15" i="35"/>
  <c r="O13" i="35"/>
  <c r="G45" i="35"/>
  <c r="O33" i="35"/>
  <c r="O32" i="35"/>
  <c r="K8" i="35"/>
  <c r="K14" i="35"/>
  <c r="K10" i="35"/>
  <c r="K9" i="35"/>
  <c r="K12" i="35"/>
  <c r="K15" i="35"/>
  <c r="K13" i="35"/>
  <c r="N43" i="36"/>
  <c r="O43" i="36"/>
  <c r="K36" i="35"/>
  <c r="K31" i="35"/>
  <c r="K40" i="35"/>
  <c r="K27" i="35"/>
  <c r="K37" i="35"/>
  <c r="K28" i="35"/>
  <c r="O27" i="35"/>
  <c r="O37" i="35"/>
  <c r="O36" i="35"/>
  <c r="O28" i="35"/>
  <c r="O31" i="35"/>
  <c r="K30" i="35"/>
  <c r="K35" i="35"/>
  <c r="K6" i="35"/>
  <c r="N20" i="35"/>
  <c r="N23" i="35"/>
  <c r="N5" i="35"/>
  <c r="K18" i="35"/>
  <c r="N19" i="35"/>
  <c r="F44" i="35"/>
  <c r="N22" i="35"/>
  <c r="N17" i="35"/>
  <c r="N6" i="35"/>
  <c r="N16" i="35"/>
  <c r="N7" i="35"/>
  <c r="F47" i="35"/>
  <c r="N26" i="35"/>
  <c r="L20" i="35"/>
  <c r="L5" i="35"/>
  <c r="L23" i="35"/>
  <c r="K39" i="35"/>
  <c r="O35" i="35"/>
  <c r="O30" i="35"/>
  <c r="K26" i="35"/>
  <c r="L16" i="35"/>
  <c r="N30" i="35"/>
  <c r="N38" i="35"/>
  <c r="L7" i="35"/>
  <c r="L17" i="35"/>
  <c r="O40" i="35"/>
  <c r="N37" i="35"/>
  <c r="F45" i="35"/>
  <c r="K20" i="35"/>
  <c r="K19" i="35"/>
  <c r="O16" i="35"/>
  <c r="K21" i="35"/>
  <c r="O23" i="35"/>
  <c r="O6" i="35"/>
  <c r="K23" i="35"/>
  <c r="O20" i="35"/>
  <c r="O7" i="35"/>
  <c r="O22" i="35"/>
  <c r="O18" i="35"/>
  <c r="O21" i="35"/>
  <c r="O19" i="35"/>
  <c r="O17" i="35"/>
  <c r="K7" i="35"/>
  <c r="K5" i="35"/>
  <c r="L17" i="34"/>
  <c r="B33" i="39"/>
  <c r="C30" i="39" s="1"/>
  <c r="B34" i="39"/>
  <c r="B36" i="39" s="1"/>
  <c r="D7" i="39"/>
  <c r="D8" i="39" s="1"/>
  <c r="C23" i="39"/>
  <c r="C31" i="39" s="1"/>
  <c r="D10" i="39"/>
  <c r="M43" i="36"/>
  <c r="K29" i="36"/>
  <c r="E24" i="35"/>
  <c r="M11" i="35" s="1"/>
  <c r="O38" i="35"/>
  <c r="K16" i="35"/>
  <c r="G47" i="35"/>
  <c r="G44" i="35"/>
  <c r="C47" i="35"/>
  <c r="C44" i="35"/>
  <c r="K38" i="35"/>
  <c r="O34" i="35"/>
  <c r="K29" i="35"/>
  <c r="O39" i="35"/>
  <c r="O26" i="35"/>
  <c r="K34" i="35"/>
  <c r="K22" i="35"/>
  <c r="K17" i="35"/>
  <c r="L15" i="34"/>
  <c r="L13" i="34"/>
  <c r="L8" i="34"/>
  <c r="D23" i="34"/>
  <c r="L16" i="34"/>
  <c r="L14" i="34"/>
  <c r="G28" i="34"/>
  <c r="O23" i="34"/>
  <c r="F23" i="34"/>
  <c r="L19" i="34"/>
  <c r="L21" i="34"/>
  <c r="E28" i="34"/>
  <c r="M23" i="34"/>
  <c r="C28" i="34"/>
  <c r="K23" i="34"/>
  <c r="L18" i="34"/>
  <c r="C7" i="25"/>
  <c r="D7" i="25"/>
  <c r="E7" i="25"/>
  <c r="F7" i="25"/>
  <c r="G7" i="25"/>
  <c r="C5" i="25"/>
  <c r="P5" i="25" s="1"/>
  <c r="D5" i="25"/>
  <c r="E5" i="25"/>
  <c r="F5" i="25"/>
  <c r="G5" i="25"/>
  <c r="G29" i="9" l="1"/>
  <c r="E46" i="36"/>
  <c r="H29" i="9"/>
  <c r="F46" i="36"/>
  <c r="F29" i="9"/>
  <c r="E133" i="37"/>
  <c r="E132" i="37" s="1"/>
  <c r="D46" i="36"/>
  <c r="I29" i="9"/>
  <c r="G46" i="36"/>
  <c r="O45" i="36"/>
  <c r="H133" i="37"/>
  <c r="H132" i="37" s="1"/>
  <c r="H140" i="37" s="1"/>
  <c r="H139" i="37" s="1"/>
  <c r="G133" i="37"/>
  <c r="G132" i="37" s="1"/>
  <c r="F133" i="37"/>
  <c r="F132" i="37" s="1"/>
  <c r="F140" i="37" s="1"/>
  <c r="F139" i="37" s="1"/>
  <c r="L12" i="36"/>
  <c r="L75" i="36"/>
  <c r="M41" i="35"/>
  <c r="Q5" i="25"/>
  <c r="L77" i="36"/>
  <c r="L81" i="36"/>
  <c r="L85" i="36"/>
  <c r="L52" i="36"/>
  <c r="L56" i="36"/>
  <c r="L9" i="36"/>
  <c r="L15" i="36"/>
  <c r="L19" i="36"/>
  <c r="L23" i="36"/>
  <c r="L27" i="36"/>
  <c r="L82" i="36"/>
  <c r="L83" i="36"/>
  <c r="L84" i="36"/>
  <c r="L10" i="36"/>
  <c r="L11" i="36"/>
  <c r="L13" i="36"/>
  <c r="L28" i="36"/>
  <c r="L78" i="36"/>
  <c r="L79" i="36"/>
  <c r="L80" i="36"/>
  <c r="L57" i="36"/>
  <c r="L58" i="36"/>
  <c r="L8" i="36"/>
  <c r="L24" i="36"/>
  <c r="L25" i="36"/>
  <c r="L26" i="36"/>
  <c r="L50" i="36"/>
  <c r="L16" i="36"/>
  <c r="L18" i="36"/>
  <c r="L49" i="36"/>
  <c r="L51" i="36"/>
  <c r="L17" i="36"/>
  <c r="L76" i="36"/>
  <c r="L54" i="36"/>
  <c r="L20" i="36"/>
  <c r="L22" i="36"/>
  <c r="L74" i="36"/>
  <c r="L53" i="36"/>
  <c r="L55" i="36"/>
  <c r="L21" i="36"/>
  <c r="L86" i="36"/>
  <c r="L41" i="35"/>
  <c r="L43" i="36"/>
  <c r="L66" i="36"/>
  <c r="L7" i="36"/>
  <c r="L59" i="36"/>
  <c r="L63" i="36"/>
  <c r="L67" i="36"/>
  <c r="L60" i="36"/>
  <c r="L64" i="36"/>
  <c r="L68" i="36"/>
  <c r="L61" i="36"/>
  <c r="L65" i="36"/>
  <c r="L69" i="36"/>
  <c r="L62" i="36"/>
  <c r="N88" i="36"/>
  <c r="N45" i="36"/>
  <c r="O88" i="36"/>
  <c r="O24" i="35"/>
  <c r="L70" i="36"/>
  <c r="L45" i="36"/>
  <c r="L36" i="36"/>
  <c r="L40" i="36"/>
  <c r="L33" i="36"/>
  <c r="L37" i="36"/>
  <c r="L41" i="36"/>
  <c r="L34" i="36"/>
  <c r="L38" i="36"/>
  <c r="L35" i="36"/>
  <c r="L39" i="36"/>
  <c r="L48" i="36"/>
  <c r="L44" i="36"/>
  <c r="L6" i="36"/>
  <c r="L73" i="36"/>
  <c r="L32" i="36"/>
  <c r="L42" i="36"/>
  <c r="L87" i="36"/>
  <c r="L29" i="36"/>
  <c r="M5" i="35"/>
  <c r="M13" i="35"/>
  <c r="M12" i="35"/>
  <c r="M9" i="35"/>
  <c r="M15" i="35"/>
  <c r="M14" i="35"/>
  <c r="M10" i="35"/>
  <c r="M8" i="35"/>
  <c r="L88" i="36"/>
  <c r="K41" i="35"/>
  <c r="O41" i="35"/>
  <c r="N24" i="35"/>
  <c r="L24" i="35"/>
  <c r="N41" i="35"/>
  <c r="K24" i="35"/>
  <c r="C33" i="39"/>
  <c r="C34" i="39"/>
  <c r="C36" i="39" s="1"/>
  <c r="C37" i="39" s="1"/>
  <c r="C39" i="39" s="1"/>
  <c r="B16" i="39"/>
  <c r="B17" i="39" s="1"/>
  <c r="B19" i="39" s="1"/>
  <c r="D9" i="39"/>
  <c r="E8" i="39"/>
  <c r="K43" i="36"/>
  <c r="M88" i="36"/>
  <c r="M45" i="36"/>
  <c r="E44" i="35"/>
  <c r="E47" i="35"/>
  <c r="M19" i="35"/>
  <c r="M23" i="35"/>
  <c r="M7" i="35"/>
  <c r="M21" i="35"/>
  <c r="M16" i="35"/>
  <c r="M17" i="35"/>
  <c r="M20" i="35"/>
  <c r="M18" i="35"/>
  <c r="M22" i="35"/>
  <c r="M6" i="35"/>
  <c r="M28" i="34"/>
  <c r="E31" i="34"/>
  <c r="D28" i="34"/>
  <c r="L23" i="34"/>
  <c r="G31" i="34"/>
  <c r="O28" i="34"/>
  <c r="C31" i="34"/>
  <c r="K28" i="34"/>
  <c r="F28" i="34"/>
  <c r="N23" i="34"/>
  <c r="C26" i="12"/>
  <c r="C23" i="12"/>
  <c r="C24" i="12"/>
  <c r="C25" i="12"/>
  <c r="C22" i="12"/>
  <c r="C18" i="12"/>
  <c r="C19" i="12"/>
  <c r="C20" i="12"/>
  <c r="C21" i="12"/>
  <c r="C17" i="12"/>
  <c r="E29" i="9" l="1"/>
  <c r="D133" i="37"/>
  <c r="D132" i="37" s="1"/>
  <c r="C137" i="37" s="1"/>
  <c r="C46" i="36"/>
  <c r="A46" i="36" s="1"/>
  <c r="E23" i="7" s="1"/>
  <c r="F137" i="37"/>
  <c r="G140" i="37"/>
  <c r="G139" i="37" s="1"/>
  <c r="E137" i="37"/>
  <c r="E140" i="37"/>
  <c r="E139" i="37" s="1"/>
  <c r="G137" i="37"/>
  <c r="M24" i="35"/>
  <c r="F8" i="39"/>
  <c r="G8" i="39" s="1"/>
  <c r="H8" i="39" s="1"/>
  <c r="I8" i="39" s="1"/>
  <c r="J8" i="39" s="1"/>
  <c r="E3" i="39"/>
  <c r="E5" i="39" s="1"/>
  <c r="K88" i="36"/>
  <c r="K45" i="36"/>
  <c r="L28" i="34"/>
  <c r="D31" i="34"/>
  <c r="F31" i="34"/>
  <c r="N28" i="34"/>
  <c r="B17" i="38" l="1"/>
  <c r="D58" i="1"/>
  <c r="D137" i="37"/>
  <c r="D140" i="37"/>
  <c r="D139" i="37" s="1"/>
  <c r="E6" i="39"/>
  <c r="E10" i="39"/>
  <c r="E7" i="39"/>
  <c r="D17" i="38" l="1"/>
  <c r="B18" i="38"/>
  <c r="B19" i="38" s="1"/>
  <c r="F3" i="39"/>
  <c r="F5" i="39" s="1"/>
  <c r="D18" i="22"/>
  <c r="D18" i="38" l="1"/>
  <c r="B20" i="38"/>
  <c r="D19" i="38"/>
  <c r="F10" i="39"/>
  <c r="F7" i="39"/>
  <c r="F6" i="39"/>
  <c r="B21" i="38" l="1"/>
  <c r="D20" i="38"/>
  <c r="G3" i="39"/>
  <c r="G5" i="39" s="1"/>
  <c r="G14" i="24"/>
  <c r="F14" i="24"/>
  <c r="E14" i="24"/>
  <c r="D14" i="24"/>
  <c r="C14" i="24"/>
  <c r="G21" i="24"/>
  <c r="F21" i="24"/>
  <c r="E21" i="24"/>
  <c r="D21" i="24"/>
  <c r="C21" i="24"/>
  <c r="D16" i="24"/>
  <c r="E16" i="24"/>
  <c r="F16" i="24"/>
  <c r="G16" i="24"/>
  <c r="C16" i="24"/>
  <c r="B22" i="38" l="1"/>
  <c r="D21" i="38"/>
  <c r="G7" i="39"/>
  <c r="G6" i="39"/>
  <c r="G10" i="39"/>
  <c r="D7" i="22"/>
  <c r="B23" i="38" l="1"/>
  <c r="D22" i="38"/>
  <c r="H3" i="39"/>
  <c r="H5" i="39" s="1"/>
  <c r="E134" i="6"/>
  <c r="F134" i="6"/>
  <c r="G134" i="6"/>
  <c r="H134" i="6"/>
  <c r="E133" i="6"/>
  <c r="F133" i="6"/>
  <c r="G133" i="6"/>
  <c r="H133" i="6"/>
  <c r="B24" i="38" l="1"/>
  <c r="D23" i="38"/>
  <c r="H7" i="39"/>
  <c r="H6" i="39"/>
  <c r="H10" i="39"/>
  <c r="C35" i="21"/>
  <c r="B35" i="21"/>
  <c r="C32" i="21"/>
  <c r="B32" i="21"/>
  <c r="B26" i="21"/>
  <c r="B30" i="21" s="1"/>
  <c r="B14" i="21"/>
  <c r="E9" i="21"/>
  <c r="F9" i="21" s="1"/>
  <c r="G9" i="21" s="1"/>
  <c r="H9" i="21" s="1"/>
  <c r="I9" i="21" s="1"/>
  <c r="J9" i="21" s="1"/>
  <c r="C3" i="21"/>
  <c r="D3" i="21" s="1"/>
  <c r="B25" i="38" l="1"/>
  <c r="D24" i="38"/>
  <c r="I3" i="39"/>
  <c r="I5" i="39" s="1"/>
  <c r="C23" i="21"/>
  <c r="C31" i="21" s="1"/>
  <c r="D10" i="21"/>
  <c r="B23" i="21"/>
  <c r="B31" i="21" s="1"/>
  <c r="C6" i="21"/>
  <c r="C7" i="21"/>
  <c r="E24" i="9" l="1"/>
  <c r="C45" i="31"/>
  <c r="B26" i="38"/>
  <c r="G16" i="38" s="1"/>
  <c r="G18" i="38" s="1"/>
  <c r="D25" i="38"/>
  <c r="I6" i="39"/>
  <c r="I10" i="39"/>
  <c r="I7" i="39"/>
  <c r="C8" i="21"/>
  <c r="B15" i="21" s="1"/>
  <c r="D6" i="21"/>
  <c r="D7" i="21"/>
  <c r="D8" i="21" s="1"/>
  <c r="C33" i="21"/>
  <c r="B33" i="21"/>
  <c r="C30" i="21" s="1"/>
  <c r="C34" i="21" s="1"/>
  <c r="C36" i="21" s="1"/>
  <c r="B34" i="21"/>
  <c r="B36" i="21" s="1"/>
  <c r="G131" i="6" l="1"/>
  <c r="H24" i="9"/>
  <c r="F45" i="31"/>
  <c r="H131" i="6"/>
  <c r="I24" i="9"/>
  <c r="E131" i="6"/>
  <c r="F24" i="9"/>
  <c r="D45" i="31"/>
  <c r="F131" i="6"/>
  <c r="G24" i="9"/>
  <c r="E45" i="31"/>
  <c r="D131" i="6"/>
  <c r="D130" i="6" s="1"/>
  <c r="C135" i="6" s="1"/>
  <c r="D26" i="38"/>
  <c r="G17" i="38" s="1"/>
  <c r="J3" i="39"/>
  <c r="J5" i="39" s="1"/>
  <c r="F85" i="31"/>
  <c r="C85" i="31"/>
  <c r="E85" i="31"/>
  <c r="G85" i="31"/>
  <c r="B16" i="21"/>
  <c r="D9" i="21"/>
  <c r="E8" i="21"/>
  <c r="F8" i="21" s="1"/>
  <c r="G8" i="21" s="1"/>
  <c r="H8" i="21" s="1"/>
  <c r="I8" i="21" s="1"/>
  <c r="J8" i="21" s="1"/>
  <c r="C37" i="21"/>
  <c r="C39" i="21" s="1"/>
  <c r="D59" i="1" l="1"/>
  <c r="G19" i="38"/>
  <c r="G21" i="38" s="1"/>
  <c r="G24" i="38" s="1"/>
  <c r="D27" i="1" s="1"/>
  <c r="J10" i="39"/>
  <c r="J7" i="39"/>
  <c r="J6" i="39"/>
  <c r="B17" i="21"/>
  <c r="B19" i="21" s="1"/>
  <c r="E3" i="21"/>
  <c r="E5" i="21" s="1"/>
  <c r="E7" i="21" l="1"/>
  <c r="E6" i="21"/>
  <c r="F3" i="21" s="1"/>
  <c r="F5" i="21" s="1"/>
  <c r="E10" i="21"/>
  <c r="F10" i="21" l="1"/>
  <c r="F7" i="21"/>
  <c r="F6" i="21"/>
  <c r="G3" i="21" l="1"/>
  <c r="G5" i="21" s="1"/>
  <c r="G10" i="21" l="1"/>
  <c r="G7" i="21"/>
  <c r="G6" i="21"/>
  <c r="H3" i="21" l="1"/>
  <c r="H5" i="21" s="1"/>
  <c r="H7" i="21" l="1"/>
  <c r="H6" i="21"/>
  <c r="H10" i="21"/>
  <c r="I3" i="21" l="1"/>
  <c r="I5" i="21" s="1"/>
  <c r="I7" i="21" l="1"/>
  <c r="I10" i="21"/>
  <c r="I6" i="21"/>
  <c r="J3" i="21" l="1"/>
  <c r="J5" i="21" s="1"/>
  <c r="J10" i="21" l="1"/>
  <c r="J7" i="21"/>
  <c r="J6" i="21"/>
  <c r="G20" i="12" l="1"/>
  <c r="A137" i="6" l="1"/>
  <c r="A18" i="9" l="1"/>
  <c r="A22" i="9" s="1"/>
  <c r="A33" i="9" s="1"/>
  <c r="A35" i="9" s="1"/>
  <c r="A37" i="9" s="1"/>
  <c r="A39" i="9" s="1"/>
  <c r="A41" i="9" s="1"/>
  <c r="A43" i="9" s="1"/>
  <c r="A45" i="9" s="1"/>
  <c r="A47" i="9" s="1"/>
  <c r="A49" i="9" s="1"/>
  <c r="A51" i="9" s="1"/>
  <c r="A53" i="9" s="1"/>
  <c r="A55" i="9" s="1"/>
  <c r="A57" i="9" s="1"/>
  <c r="A59" i="9" s="1"/>
  <c r="A61" i="9" s="1"/>
  <c r="A63" i="9" s="1"/>
  <c r="A65" i="9" s="1"/>
  <c r="A67" i="9" s="1"/>
  <c r="A69" i="9" s="1"/>
  <c r="A71" i="9" s="1"/>
  <c r="A73" i="9" s="1"/>
  <c r="A75" i="9" s="1"/>
  <c r="A77" i="9" s="1"/>
  <c r="A79" i="9" s="1"/>
  <c r="A81" i="9" s="1"/>
  <c r="A83" i="9" s="1"/>
  <c r="A85" i="9" s="1"/>
  <c r="A87" i="9" s="1"/>
  <c r="A91" i="9" s="1"/>
  <c r="A92" i="9" s="1"/>
  <c r="A95" i="9" s="1"/>
  <c r="A96" i="9" s="1"/>
  <c r="A99" i="9" s="1"/>
  <c r="A100" i="9" s="1"/>
  <c r="I10" i="9"/>
  <c r="F9" i="9"/>
  <c r="G9" i="9"/>
  <c r="H9" i="9"/>
  <c r="E9" i="9"/>
  <c r="D10" i="9" s="1"/>
  <c r="F7" i="9"/>
  <c r="G7" i="9"/>
  <c r="H7" i="9"/>
  <c r="E120" i="6"/>
  <c r="F120" i="6"/>
  <c r="G120" i="6"/>
  <c r="D120" i="6"/>
  <c r="E121" i="6"/>
  <c r="F121" i="6"/>
  <c r="G121" i="6"/>
  <c r="H121" i="6"/>
  <c r="D121" i="6"/>
  <c r="D117" i="6"/>
  <c r="E117" i="6"/>
  <c r="F117" i="6"/>
  <c r="G117" i="6"/>
  <c r="H117" i="6"/>
  <c r="E8" i="9" l="1"/>
  <c r="E119" i="6"/>
  <c r="E10" i="9"/>
  <c r="H10" i="9"/>
  <c r="F119" i="6"/>
  <c r="G119" i="6"/>
  <c r="G10" i="9"/>
  <c r="F8" i="9"/>
  <c r="F10" i="9"/>
  <c r="G8" i="9"/>
  <c r="D119" i="6"/>
  <c r="E115" i="6" l="1"/>
  <c r="F115" i="6"/>
  <c r="G115" i="6"/>
  <c r="D115" i="6"/>
  <c r="E113" i="6"/>
  <c r="F113" i="6"/>
  <c r="G113" i="6"/>
  <c r="H113" i="6"/>
  <c r="D113" i="6"/>
  <c r="A111" i="6"/>
  <c r="A115" i="6" s="1"/>
  <c r="A119" i="6" s="1"/>
  <c r="A123" i="6" s="1"/>
  <c r="E109" i="6"/>
  <c r="F109" i="6"/>
  <c r="G109" i="6"/>
  <c r="H109" i="6"/>
  <c r="D109" i="6"/>
  <c r="D107" i="6" s="1"/>
  <c r="E108" i="6"/>
  <c r="F108" i="6"/>
  <c r="G108" i="6"/>
  <c r="E103" i="6"/>
  <c r="F103" i="6"/>
  <c r="G103" i="6"/>
  <c r="D103" i="6"/>
  <c r="D99" i="6"/>
  <c r="G26" i="9"/>
  <c r="E99" i="6"/>
  <c r="F99" i="6"/>
  <c r="G99" i="6"/>
  <c r="E25" i="9"/>
  <c r="A97" i="6"/>
  <c r="A101" i="6" s="1"/>
  <c r="E95" i="6"/>
  <c r="F95" i="6"/>
  <c r="G95" i="6"/>
  <c r="D95" i="6"/>
  <c r="E107" i="6" l="1"/>
  <c r="G111" i="6"/>
  <c r="F107" i="6"/>
  <c r="G107" i="6"/>
  <c r="E97" i="6"/>
  <c r="F25" i="9"/>
  <c r="F111" i="6"/>
  <c r="F97" i="6"/>
  <c r="G25" i="9"/>
  <c r="G101" i="6"/>
  <c r="G124" i="6" s="1"/>
  <c r="H26" i="9"/>
  <c r="D101" i="6"/>
  <c r="E26" i="9"/>
  <c r="E101" i="6"/>
  <c r="E124" i="6" s="1"/>
  <c r="F26" i="9"/>
  <c r="G97" i="6"/>
  <c r="H25" i="9"/>
  <c r="E111" i="6"/>
  <c r="D111" i="6"/>
  <c r="F101" i="6"/>
  <c r="F124" i="6" s="1"/>
  <c r="D97" i="6"/>
  <c r="D5" i="22" s="1"/>
  <c r="E88" i="6"/>
  <c r="F88" i="6"/>
  <c r="G88" i="6"/>
  <c r="H88" i="6"/>
  <c r="D88" i="6"/>
  <c r="E84" i="6"/>
  <c r="F84" i="6"/>
  <c r="G84" i="6"/>
  <c r="H84" i="6"/>
  <c r="D84" i="6"/>
  <c r="E83" i="6"/>
  <c r="F83" i="6"/>
  <c r="G83" i="6"/>
  <c r="H83" i="6"/>
  <c r="D83" i="6"/>
  <c r="E80" i="6"/>
  <c r="F80" i="6"/>
  <c r="G80" i="6"/>
  <c r="H80" i="6"/>
  <c r="D80" i="6"/>
  <c r="E79" i="6"/>
  <c r="F79" i="6"/>
  <c r="G79" i="6"/>
  <c r="H79" i="6"/>
  <c r="D79" i="6"/>
  <c r="D75" i="6"/>
  <c r="D76" i="6" s="1"/>
  <c r="E75" i="6"/>
  <c r="F75" i="6"/>
  <c r="F76" i="6" s="1"/>
  <c r="G75" i="6"/>
  <c r="G76" i="6" s="1"/>
  <c r="G74" i="6" s="1"/>
  <c r="H75" i="6"/>
  <c r="H76" i="6" s="1"/>
  <c r="H74" i="6" s="1"/>
  <c r="D67" i="6"/>
  <c r="E71" i="6"/>
  <c r="F71" i="6"/>
  <c r="G71" i="6"/>
  <c r="H71" i="6"/>
  <c r="E72" i="6"/>
  <c r="F72" i="6"/>
  <c r="G72" i="6"/>
  <c r="H72" i="6"/>
  <c r="D72" i="6"/>
  <c r="D68" i="6"/>
  <c r="D71" i="6"/>
  <c r="A70" i="6"/>
  <c r="A74" i="6" s="1"/>
  <c r="A78" i="6" s="1"/>
  <c r="A82" i="6" s="1"/>
  <c r="A86" i="6" s="1"/>
  <c r="E68" i="6"/>
  <c r="F68" i="6"/>
  <c r="G68" i="6"/>
  <c r="H68" i="6"/>
  <c r="H67" i="6"/>
  <c r="G67" i="6"/>
  <c r="F67" i="6"/>
  <c r="E67" i="6"/>
  <c r="E57" i="6"/>
  <c r="F57" i="6"/>
  <c r="G57" i="6"/>
  <c r="H57" i="6"/>
  <c r="D57" i="6"/>
  <c r="D53" i="6"/>
  <c r="E56" i="6"/>
  <c r="F56" i="6"/>
  <c r="G56" i="6"/>
  <c r="H56" i="6"/>
  <c r="D56" i="6"/>
  <c r="D52" i="6"/>
  <c r="E53" i="6"/>
  <c r="F53" i="6"/>
  <c r="G53" i="6"/>
  <c r="H53" i="6"/>
  <c r="D49" i="6"/>
  <c r="H52" i="6"/>
  <c r="G52" i="6"/>
  <c r="F52" i="6"/>
  <c r="E52" i="6"/>
  <c r="E51" i="6" s="1"/>
  <c r="D48" i="6"/>
  <c r="A51" i="6"/>
  <c r="A55" i="6" s="1"/>
  <c r="A59" i="6" s="1"/>
  <c r="E49" i="6"/>
  <c r="F49" i="6"/>
  <c r="G49" i="6"/>
  <c r="H49" i="6"/>
  <c r="E48" i="6"/>
  <c r="F48" i="6"/>
  <c r="G48" i="6"/>
  <c r="H48" i="6"/>
  <c r="H47" i="6" l="1"/>
  <c r="G47" i="6"/>
  <c r="E47" i="6"/>
  <c r="G51" i="6"/>
  <c r="D124" i="6"/>
  <c r="F47" i="6"/>
  <c r="G78" i="6"/>
  <c r="D82" i="6"/>
  <c r="D126" i="6" s="1"/>
  <c r="E82" i="6"/>
  <c r="E126" i="6" s="1"/>
  <c r="F86" i="6"/>
  <c r="D55" i="6"/>
  <c r="F66" i="6"/>
  <c r="E78" i="6"/>
  <c r="G82" i="6"/>
  <c r="G126" i="6" s="1"/>
  <c r="G86" i="6"/>
  <c r="F51" i="6"/>
  <c r="F55" i="6"/>
  <c r="G66" i="6"/>
  <c r="E70" i="6"/>
  <c r="E86" i="6"/>
  <c r="H70" i="6"/>
  <c r="F82" i="6"/>
  <c r="F126" i="6" s="1"/>
  <c r="D86" i="6"/>
  <c r="F78" i="6"/>
  <c r="E76" i="6"/>
  <c r="E74" i="6" s="1"/>
  <c r="E66" i="6"/>
  <c r="H66" i="6"/>
  <c r="E55" i="6"/>
  <c r="D70" i="6"/>
  <c r="G70" i="6"/>
  <c r="D78" i="6"/>
  <c r="F70" i="6"/>
  <c r="H82" i="6"/>
  <c r="H126" i="6" s="1"/>
  <c r="H55" i="6"/>
  <c r="H78" i="6"/>
  <c r="G55" i="6"/>
  <c r="F74" i="6"/>
  <c r="D74" i="6"/>
  <c r="D66" i="6"/>
  <c r="H51" i="6"/>
  <c r="D51" i="6"/>
  <c r="D47" i="6"/>
  <c r="H38" i="6"/>
  <c r="G38" i="6"/>
  <c r="F38" i="6"/>
  <c r="E38" i="6"/>
  <c r="D38" i="6"/>
  <c r="E26" i="6"/>
  <c r="F26" i="6"/>
  <c r="G26" i="6"/>
  <c r="H26" i="6"/>
  <c r="D26" i="6"/>
  <c r="G18" i="6"/>
  <c r="H18" i="6"/>
  <c r="F18" i="6"/>
  <c r="E18" i="6"/>
  <c r="D18" i="6"/>
  <c r="E17" i="6"/>
  <c r="E33" i="6" s="1"/>
  <c r="F17" i="6"/>
  <c r="F41" i="6" s="1"/>
  <c r="G17" i="6"/>
  <c r="G37" i="6" s="1"/>
  <c r="D17" i="6"/>
  <c r="D33" i="6" s="1"/>
  <c r="G36" i="6" l="1"/>
  <c r="D32" i="6"/>
  <c r="E32" i="6"/>
  <c r="F40" i="6"/>
  <c r="F125" i="6" s="1"/>
  <c r="F123" i="6" s="1"/>
  <c r="F37" i="6"/>
  <c r="F36" i="6" s="1"/>
  <c r="D41" i="6"/>
  <c r="D40" i="6" s="1"/>
  <c r="D125" i="6" s="1"/>
  <c r="D123" i="6" s="1"/>
  <c r="E41" i="6"/>
  <c r="E40" i="6" s="1"/>
  <c r="E125" i="6" s="1"/>
  <c r="E123" i="6" s="1"/>
  <c r="G33" i="6"/>
  <c r="G32" i="6" s="1"/>
  <c r="D37" i="6"/>
  <c r="D36" i="6" s="1"/>
  <c r="I15" i="22" s="1"/>
  <c r="I18" i="22" s="1"/>
  <c r="I19" i="22" s="1"/>
  <c r="D14" i="22" s="1"/>
  <c r="E37" i="6"/>
  <c r="E36" i="6" s="1"/>
  <c r="F33" i="6"/>
  <c r="F32" i="6" s="1"/>
  <c r="G41" i="6"/>
  <c r="G40" i="6" s="1"/>
  <c r="G125" i="6" s="1"/>
  <c r="G123" i="6" s="1"/>
  <c r="F16" i="6"/>
  <c r="F22" i="6" s="1"/>
  <c r="F20" i="6" s="1"/>
  <c r="G19" i="9" s="1"/>
  <c r="D16" i="6"/>
  <c r="D22" i="6" s="1"/>
  <c r="D20" i="6" s="1"/>
  <c r="E19" i="9" s="1"/>
  <c r="E16" i="6"/>
  <c r="E22" i="6" s="1"/>
  <c r="E20" i="6" s="1"/>
  <c r="F19" i="9" s="1"/>
  <c r="G16" i="6"/>
  <c r="G22" i="6" s="1"/>
  <c r="G20" i="6" s="1"/>
  <c r="H19" i="9" s="1"/>
  <c r="G94" i="6"/>
  <c r="G93" i="6" s="1"/>
  <c r="F94" i="6"/>
  <c r="F93" i="6" s="1"/>
  <c r="E94" i="6"/>
  <c r="E93" i="6" s="1"/>
  <c r="D94" i="6"/>
  <c r="D93" i="6" s="1"/>
  <c r="H10" i="6"/>
  <c r="G10" i="6"/>
  <c r="F10" i="6"/>
  <c r="E10" i="6"/>
  <c r="D10" i="6"/>
  <c r="A20" i="6"/>
  <c r="A24" i="6" s="1"/>
  <c r="A12" i="6"/>
  <c r="F63" i="1" l="1"/>
  <c r="G61" i="6"/>
  <c r="F61" i="6"/>
  <c r="E61" i="6"/>
  <c r="D61" i="6"/>
  <c r="A28" i="6"/>
  <c r="A32" i="6"/>
  <c r="A36" i="6" s="1"/>
  <c r="A40" i="6" s="1"/>
  <c r="D8" i="6"/>
  <c r="D14" i="6" s="1"/>
  <c r="D12" i="6" s="1"/>
  <c r="D60" i="6" s="1"/>
  <c r="D25" i="6"/>
  <c r="D24" i="6" s="1"/>
  <c r="D30" i="6" s="1"/>
  <c r="D28" i="6" s="1"/>
  <c r="D62" i="6" s="1"/>
  <c r="H8" i="6"/>
  <c r="H14" i="6" s="1"/>
  <c r="H12" i="6" s="1"/>
  <c r="H60" i="6" s="1"/>
  <c r="H25" i="6"/>
  <c r="H24" i="6" s="1"/>
  <c r="H30" i="6" s="1"/>
  <c r="H28" i="6" s="1"/>
  <c r="H62" i="6" s="1"/>
  <c r="E8" i="6"/>
  <c r="E14" i="6" s="1"/>
  <c r="E12" i="6" s="1"/>
  <c r="E60" i="6" s="1"/>
  <c r="E25" i="6"/>
  <c r="E24" i="6" s="1"/>
  <c r="E30" i="6" s="1"/>
  <c r="E28" i="6" s="1"/>
  <c r="E62" i="6" s="1"/>
  <c r="F8" i="6"/>
  <c r="F14" i="6" s="1"/>
  <c r="F12" i="6" s="1"/>
  <c r="F60" i="6" s="1"/>
  <c r="F25" i="6"/>
  <c r="F24" i="6" s="1"/>
  <c r="F30" i="6" s="1"/>
  <c r="F28" i="6" s="1"/>
  <c r="F62" i="6" s="1"/>
  <c r="G8" i="6"/>
  <c r="G14" i="6" s="1"/>
  <c r="G12" i="6" s="1"/>
  <c r="G60" i="6" s="1"/>
  <c r="G25" i="6"/>
  <c r="G24" i="6" s="1"/>
  <c r="G30" i="6" s="1"/>
  <c r="G28" i="6" s="1"/>
  <c r="G62" i="6" s="1"/>
  <c r="F59" i="6" l="1"/>
  <c r="D59" i="6"/>
  <c r="E59" i="6"/>
  <c r="G59" i="6"/>
  <c r="G130" i="6" l="1"/>
  <c r="G138" i="6" l="1"/>
  <c r="G137" i="6" s="1"/>
  <c r="H130" i="6"/>
  <c r="H138" i="6" s="1"/>
  <c r="H137" i="6" s="1"/>
  <c r="C30" i="25"/>
  <c r="D30" i="25"/>
  <c r="E30" i="25"/>
  <c r="F30" i="25"/>
  <c r="C25" i="25"/>
  <c r="D25" i="25"/>
  <c r="E25" i="25"/>
  <c r="F25" i="25"/>
  <c r="G25" i="25"/>
  <c r="C19" i="25"/>
  <c r="D19" i="25"/>
  <c r="E19" i="25"/>
  <c r="F19" i="25"/>
  <c r="G19" i="25"/>
  <c r="C18" i="25"/>
  <c r="D18" i="25"/>
  <c r="E18" i="25"/>
  <c r="F18" i="25"/>
  <c r="G18" i="25"/>
  <c r="C17" i="25"/>
  <c r="D17" i="25"/>
  <c r="E17" i="25"/>
  <c r="F17" i="25"/>
  <c r="G17" i="25"/>
  <c r="C16" i="25"/>
  <c r="D16" i="25"/>
  <c r="E16" i="25"/>
  <c r="F16" i="25"/>
  <c r="G16" i="25"/>
  <c r="C15" i="25"/>
  <c r="D15" i="25"/>
  <c r="E15" i="25"/>
  <c r="F15" i="25"/>
  <c r="G15" i="25"/>
  <c r="C14" i="25"/>
  <c r="D14" i="25"/>
  <c r="E14" i="25"/>
  <c r="F14" i="25"/>
  <c r="G14" i="25"/>
  <c r="C13" i="25"/>
  <c r="D13" i="25"/>
  <c r="E13" i="25"/>
  <c r="F13" i="25"/>
  <c r="G13" i="25"/>
  <c r="C10" i="25"/>
  <c r="D10" i="25"/>
  <c r="E10" i="25"/>
  <c r="F10" i="25"/>
  <c r="G10" i="25"/>
  <c r="M7" i="25"/>
  <c r="C6" i="25"/>
  <c r="D6" i="25"/>
  <c r="E6" i="25"/>
  <c r="F6" i="25"/>
  <c r="C40" i="24"/>
  <c r="D40" i="24"/>
  <c r="E40" i="24"/>
  <c r="F40" i="24"/>
  <c r="G40" i="24"/>
  <c r="C12" i="24"/>
  <c r="D12" i="24"/>
  <c r="E12" i="24"/>
  <c r="F12" i="24"/>
  <c r="G12" i="24"/>
  <c r="C27" i="24"/>
  <c r="D27" i="24"/>
  <c r="E27" i="24"/>
  <c r="F27" i="24"/>
  <c r="G27" i="24"/>
  <c r="C37" i="24"/>
  <c r="D37" i="24"/>
  <c r="E37" i="24"/>
  <c r="F37" i="24"/>
  <c r="G37" i="24"/>
  <c r="C36" i="24"/>
  <c r="D36" i="24"/>
  <c r="E36" i="24"/>
  <c r="F36" i="24"/>
  <c r="G36" i="24"/>
  <c r="C34" i="24"/>
  <c r="D34" i="24"/>
  <c r="E34" i="24"/>
  <c r="F34" i="24"/>
  <c r="G34" i="24"/>
  <c r="C35" i="24"/>
  <c r="D35" i="24"/>
  <c r="E35" i="24"/>
  <c r="F35" i="24"/>
  <c r="G35" i="24"/>
  <c r="C29" i="24"/>
  <c r="D29" i="24"/>
  <c r="E29" i="24"/>
  <c r="F29" i="24"/>
  <c r="G29" i="24"/>
  <c r="C26" i="24"/>
  <c r="D26" i="24"/>
  <c r="E26" i="24"/>
  <c r="F26" i="24"/>
  <c r="G26" i="24"/>
  <c r="C25" i="24"/>
  <c r="D25" i="24"/>
  <c r="E25" i="24"/>
  <c r="F25" i="24"/>
  <c r="G25" i="24"/>
  <c r="C20" i="24"/>
  <c r="D20" i="24"/>
  <c r="E20" i="24"/>
  <c r="F20" i="24"/>
  <c r="G20" i="24"/>
  <c r="C19" i="24"/>
  <c r="D19" i="24"/>
  <c r="E19" i="24"/>
  <c r="F19" i="24"/>
  <c r="G19" i="24"/>
  <c r="C18" i="24"/>
  <c r="D18" i="24"/>
  <c r="E18" i="24"/>
  <c r="F18" i="24"/>
  <c r="G18" i="24"/>
  <c r="C17" i="24"/>
  <c r="D17" i="24"/>
  <c r="E17" i="24"/>
  <c r="F17" i="24"/>
  <c r="G17" i="24"/>
  <c r="D7" i="24"/>
  <c r="E7" i="24"/>
  <c r="F7" i="24"/>
  <c r="G7" i="24"/>
  <c r="C7" i="24"/>
  <c r="G21" i="25" l="1"/>
  <c r="C21" i="25"/>
  <c r="F21" i="25"/>
  <c r="E21" i="25"/>
  <c r="D21" i="25"/>
  <c r="G135" i="6"/>
  <c r="F130" i="6"/>
  <c r="E130" i="6"/>
  <c r="G24" i="24"/>
  <c r="L10" i="25"/>
  <c r="D24" i="24"/>
  <c r="E24" i="24"/>
  <c r="O10" i="25"/>
  <c r="M6" i="25"/>
  <c r="C24" i="24"/>
  <c r="L7" i="25"/>
  <c r="F24" i="24"/>
  <c r="L6" i="25"/>
  <c r="N10" i="25"/>
  <c r="D8" i="25"/>
  <c r="M10" i="25"/>
  <c r="E8" i="25"/>
  <c r="E33" i="24"/>
  <c r="F33" i="24"/>
  <c r="E28" i="24"/>
  <c r="F28" i="24"/>
  <c r="E15" i="24"/>
  <c r="F15" i="24"/>
  <c r="E4" i="31" l="1"/>
  <c r="L41" i="31" s="1"/>
  <c r="M20" i="25"/>
  <c r="D4" i="31"/>
  <c r="K41" i="31" s="1"/>
  <c r="L20" i="25"/>
  <c r="L8" i="25"/>
  <c r="L26" i="25"/>
  <c r="M8" i="25"/>
  <c r="M26" i="25"/>
  <c r="B17" i="12"/>
  <c r="B18" i="12" s="1"/>
  <c r="B19" i="12" s="1"/>
  <c r="B20" i="12" s="1"/>
  <c r="B21" i="12" s="1"/>
  <c r="B22" i="12" s="1"/>
  <c r="B23" i="12" s="1"/>
  <c r="B24" i="12" s="1"/>
  <c r="B25" i="12" s="1"/>
  <c r="B26" i="12" s="1"/>
  <c r="D135" i="6"/>
  <c r="E138" i="6"/>
  <c r="E137" i="6" s="1"/>
  <c r="E135" i="6"/>
  <c r="F138" i="6"/>
  <c r="F137" i="6" s="1"/>
  <c r="F135" i="6"/>
  <c r="L25" i="25"/>
  <c r="M17" i="25"/>
  <c r="L15" i="25"/>
  <c r="M19" i="25"/>
  <c r="L21" i="25"/>
  <c r="L16" i="25"/>
  <c r="M13" i="25"/>
  <c r="M14" i="25"/>
  <c r="L18" i="25"/>
  <c r="M15" i="25"/>
  <c r="M25" i="25"/>
  <c r="L13" i="25"/>
  <c r="L14" i="25"/>
  <c r="L17" i="25"/>
  <c r="M21" i="25"/>
  <c r="M18" i="25"/>
  <c r="L19" i="25"/>
  <c r="M16" i="25"/>
  <c r="D138" i="6"/>
  <c r="D137" i="6" s="1"/>
  <c r="D23" i="25"/>
  <c r="E38" i="24"/>
  <c r="M27" i="24" s="1"/>
  <c r="E23" i="25"/>
  <c r="F38" i="24"/>
  <c r="G6" i="24"/>
  <c r="G5" i="24" s="1"/>
  <c r="F6" i="24"/>
  <c r="F5" i="24" s="1"/>
  <c r="E6" i="24"/>
  <c r="E5" i="24" s="1"/>
  <c r="D6" i="24"/>
  <c r="D5" i="24" s="1"/>
  <c r="C6" i="24"/>
  <c r="C5" i="24" s="1"/>
  <c r="K10" i="25"/>
  <c r="F8" i="25"/>
  <c r="N20" i="25" s="1"/>
  <c r="C8" i="25"/>
  <c r="K20" i="25" s="1"/>
  <c r="O7" i="25"/>
  <c r="N7" i="25"/>
  <c r="K7" i="25"/>
  <c r="N6" i="25"/>
  <c r="K6" i="25"/>
  <c r="K26" i="25" l="1"/>
  <c r="C4" i="31"/>
  <c r="J41" i="31" s="1"/>
  <c r="N26" i="25"/>
  <c r="F4" i="31"/>
  <c r="M41" i="31" s="1"/>
  <c r="K75" i="31"/>
  <c r="K79" i="31"/>
  <c r="K83" i="31"/>
  <c r="K53" i="31"/>
  <c r="K57" i="31"/>
  <c r="K61" i="31"/>
  <c r="K65" i="31"/>
  <c r="K73" i="31"/>
  <c r="K74" i="31"/>
  <c r="K54" i="31"/>
  <c r="K55" i="31"/>
  <c r="K56" i="31"/>
  <c r="K12" i="31"/>
  <c r="K16" i="31"/>
  <c r="K20" i="31"/>
  <c r="K66" i="31"/>
  <c r="K67" i="31"/>
  <c r="K52" i="31"/>
  <c r="K8" i="31"/>
  <c r="K9" i="31"/>
  <c r="K13" i="31"/>
  <c r="K17" i="31"/>
  <c r="K21" i="31"/>
  <c r="K77" i="31"/>
  <c r="K58" i="31"/>
  <c r="K60" i="31"/>
  <c r="K15" i="31"/>
  <c r="K23" i="31"/>
  <c r="K76" i="31"/>
  <c r="K78" i="31"/>
  <c r="K59" i="31"/>
  <c r="K11" i="31"/>
  <c r="K19" i="31"/>
  <c r="K81" i="31"/>
  <c r="K62" i="31"/>
  <c r="K64" i="31"/>
  <c r="K10" i="31"/>
  <c r="K18" i="31"/>
  <c r="K80" i="31"/>
  <c r="K82" i="31"/>
  <c r="K63" i="31"/>
  <c r="K14" i="31"/>
  <c r="K22" i="31"/>
  <c r="L74" i="31"/>
  <c r="L78" i="31"/>
  <c r="L82" i="31"/>
  <c r="L52" i="31"/>
  <c r="L56" i="31"/>
  <c r="L60" i="31"/>
  <c r="L64" i="31"/>
  <c r="L75" i="31"/>
  <c r="L76" i="31"/>
  <c r="L77" i="31"/>
  <c r="L57" i="31"/>
  <c r="L58" i="31"/>
  <c r="L59" i="31"/>
  <c r="L11" i="31"/>
  <c r="L15" i="31"/>
  <c r="L19" i="31"/>
  <c r="L23" i="31"/>
  <c r="L73" i="31"/>
  <c r="L53" i="31"/>
  <c r="L54" i="31"/>
  <c r="L55" i="31"/>
  <c r="L12" i="31"/>
  <c r="L16" i="31"/>
  <c r="L20" i="31"/>
  <c r="L79" i="31"/>
  <c r="L81" i="31"/>
  <c r="L62" i="31"/>
  <c r="L10" i="31"/>
  <c r="L18" i="31"/>
  <c r="L80" i="31"/>
  <c r="L61" i="31"/>
  <c r="L63" i="31"/>
  <c r="L14" i="31"/>
  <c r="L22" i="31"/>
  <c r="L83" i="31"/>
  <c r="L67" i="31"/>
  <c r="L8" i="31"/>
  <c r="L13" i="31"/>
  <c r="L21" i="31"/>
  <c r="L66" i="31"/>
  <c r="L65" i="31"/>
  <c r="L9" i="31"/>
  <c r="L17" i="31"/>
  <c r="L51" i="31"/>
  <c r="L68" i="31"/>
  <c r="L24" i="31"/>
  <c r="L48" i="31"/>
  <c r="L7" i="31"/>
  <c r="L25" i="31"/>
  <c r="L49" i="31"/>
  <c r="L26" i="31"/>
  <c r="L50" i="31"/>
  <c r="K48" i="31"/>
  <c r="K7" i="31"/>
  <c r="K25" i="31"/>
  <c r="K51" i="31"/>
  <c r="K49" i="31"/>
  <c r="K26" i="31"/>
  <c r="K68" i="31"/>
  <c r="K50" i="31"/>
  <c r="K24" i="31"/>
  <c r="F42" i="24"/>
  <c r="N27" i="24"/>
  <c r="L32" i="31"/>
  <c r="L36" i="31"/>
  <c r="L40" i="31"/>
  <c r="L34" i="31"/>
  <c r="L35" i="31"/>
  <c r="L33" i="31"/>
  <c r="L37" i="31"/>
  <c r="L38" i="31"/>
  <c r="L31" i="31"/>
  <c r="L39" i="31"/>
  <c r="K33" i="31"/>
  <c r="K37" i="31"/>
  <c r="K31" i="31"/>
  <c r="K39" i="31"/>
  <c r="K32" i="31"/>
  <c r="K40" i="31"/>
  <c r="K34" i="31"/>
  <c r="K38" i="31"/>
  <c r="K35" i="31"/>
  <c r="K36" i="31"/>
  <c r="N8" i="25"/>
  <c r="N15" i="25"/>
  <c r="N25" i="25"/>
  <c r="N13" i="25"/>
  <c r="N18" i="25"/>
  <c r="N16" i="25"/>
  <c r="N17" i="25"/>
  <c r="N19" i="25"/>
  <c r="N14" i="25"/>
  <c r="D28" i="25"/>
  <c r="L23" i="25"/>
  <c r="N21" i="25"/>
  <c r="E28" i="25"/>
  <c r="M23" i="25"/>
  <c r="K8" i="25"/>
  <c r="K13" i="25"/>
  <c r="K17" i="25"/>
  <c r="K15" i="25"/>
  <c r="K16" i="25"/>
  <c r="K14" i="25"/>
  <c r="K19" i="25"/>
  <c r="K25" i="25"/>
  <c r="K18" i="25"/>
  <c r="K21" i="25"/>
  <c r="M24" i="24"/>
  <c r="E42" i="24"/>
  <c r="K72" i="31"/>
  <c r="K6" i="31"/>
  <c r="K30" i="31"/>
  <c r="K43" i="31"/>
  <c r="K69" i="31"/>
  <c r="K47" i="31"/>
  <c r="K84" i="31"/>
  <c r="K42" i="31"/>
  <c r="K27" i="31"/>
  <c r="K44" i="31"/>
  <c r="K85" i="31"/>
  <c r="L6" i="31"/>
  <c r="L69" i="31"/>
  <c r="L43" i="31"/>
  <c r="L30" i="31"/>
  <c r="L47" i="31"/>
  <c r="L84" i="31"/>
  <c r="L42" i="31"/>
  <c r="L72" i="31"/>
  <c r="L27" i="31"/>
  <c r="L44" i="31"/>
  <c r="L85" i="31"/>
  <c r="D17" i="12"/>
  <c r="M32" i="24"/>
  <c r="M33" i="24"/>
  <c r="M25" i="24"/>
  <c r="M29" i="24"/>
  <c r="M36" i="24"/>
  <c r="M34" i="24"/>
  <c r="M30" i="24"/>
  <c r="M35" i="24"/>
  <c r="M31" i="24"/>
  <c r="M37" i="24"/>
  <c r="N35" i="24"/>
  <c r="N30" i="24"/>
  <c r="M28" i="24"/>
  <c r="M26" i="24"/>
  <c r="F23" i="25"/>
  <c r="N24" i="24"/>
  <c r="N26" i="24"/>
  <c r="N29" i="24"/>
  <c r="N32" i="24"/>
  <c r="N34" i="24"/>
  <c r="N37" i="24"/>
  <c r="N25" i="24"/>
  <c r="N28" i="24"/>
  <c r="N31" i="24"/>
  <c r="N33" i="24"/>
  <c r="N36" i="24"/>
  <c r="C23" i="25"/>
  <c r="G33" i="24"/>
  <c r="D33" i="24"/>
  <c r="C33" i="24"/>
  <c r="G28" i="24"/>
  <c r="D28" i="24"/>
  <c r="C28" i="24"/>
  <c r="G15" i="24"/>
  <c r="D15" i="24"/>
  <c r="C15" i="24"/>
  <c r="J76" i="31" l="1"/>
  <c r="J80" i="31"/>
  <c r="J66" i="31"/>
  <c r="J54" i="31"/>
  <c r="J58" i="31"/>
  <c r="J62" i="31"/>
  <c r="J8" i="31"/>
  <c r="J67" i="31"/>
  <c r="J52" i="31"/>
  <c r="J53" i="31"/>
  <c r="J9" i="31"/>
  <c r="J13" i="31"/>
  <c r="J17" i="31"/>
  <c r="J21" i="31"/>
  <c r="J81" i="31"/>
  <c r="J82" i="31"/>
  <c r="J83" i="31"/>
  <c r="J63" i="31"/>
  <c r="J64" i="31"/>
  <c r="J65" i="31"/>
  <c r="J10" i="31"/>
  <c r="J14" i="31"/>
  <c r="J18" i="31"/>
  <c r="J22" i="31"/>
  <c r="J73" i="31"/>
  <c r="J75" i="31"/>
  <c r="J56" i="31"/>
  <c r="J12" i="31"/>
  <c r="J20" i="31"/>
  <c r="J74" i="31"/>
  <c r="J55" i="31"/>
  <c r="J57" i="31"/>
  <c r="J16" i="31"/>
  <c r="J77" i="31"/>
  <c r="J79" i="31"/>
  <c r="J60" i="31"/>
  <c r="J15" i="31"/>
  <c r="J23" i="31"/>
  <c r="J78" i="31"/>
  <c r="J59" i="31"/>
  <c r="J61" i="31"/>
  <c r="J11" i="31"/>
  <c r="J19" i="31"/>
  <c r="M73" i="31"/>
  <c r="M77" i="31"/>
  <c r="M81" i="31"/>
  <c r="M67" i="31"/>
  <c r="M55" i="31"/>
  <c r="M59" i="31"/>
  <c r="M63" i="31"/>
  <c r="M78" i="31"/>
  <c r="M79" i="31"/>
  <c r="M80" i="31"/>
  <c r="M60" i="31"/>
  <c r="M61" i="31"/>
  <c r="M62" i="31"/>
  <c r="M10" i="31"/>
  <c r="M14" i="31"/>
  <c r="M18" i="31"/>
  <c r="M22" i="31"/>
  <c r="M74" i="31"/>
  <c r="M75" i="31"/>
  <c r="M76" i="31"/>
  <c r="M56" i="31"/>
  <c r="M57" i="31"/>
  <c r="M58" i="31"/>
  <c r="M11" i="31"/>
  <c r="M15" i="31"/>
  <c r="M19" i="31"/>
  <c r="M23" i="31"/>
  <c r="M83" i="31"/>
  <c r="M64" i="31"/>
  <c r="M8" i="31"/>
  <c r="M13" i="31"/>
  <c r="M21" i="31"/>
  <c r="M82" i="31"/>
  <c r="M66" i="31"/>
  <c r="M65" i="31"/>
  <c r="M9" i="31"/>
  <c r="M17" i="31"/>
  <c r="M53" i="31"/>
  <c r="M16" i="31"/>
  <c r="M52" i="31"/>
  <c r="M54" i="31"/>
  <c r="M12" i="31"/>
  <c r="M20" i="31"/>
  <c r="J49" i="31"/>
  <c r="J26" i="31"/>
  <c r="J48" i="31"/>
  <c r="J25" i="31"/>
  <c r="J50" i="31"/>
  <c r="J51" i="31"/>
  <c r="J68" i="31"/>
  <c r="J24" i="31"/>
  <c r="J7" i="31"/>
  <c r="M47" i="31"/>
  <c r="M50" i="31"/>
  <c r="M49" i="31"/>
  <c r="M51" i="31"/>
  <c r="M68" i="31"/>
  <c r="M24" i="31"/>
  <c r="M48" i="31"/>
  <c r="M7" i="31"/>
  <c r="M25" i="31"/>
  <c r="M26" i="31"/>
  <c r="M27" i="31"/>
  <c r="M31" i="31"/>
  <c r="M35" i="31"/>
  <c r="M39" i="31"/>
  <c r="M37" i="31"/>
  <c r="M38" i="31"/>
  <c r="M32" i="31"/>
  <c r="M36" i="31"/>
  <c r="M40" i="31"/>
  <c r="M33" i="31"/>
  <c r="M34" i="31"/>
  <c r="J34" i="31"/>
  <c r="J38" i="31"/>
  <c r="J36" i="31"/>
  <c r="J37" i="31"/>
  <c r="J31" i="31"/>
  <c r="J35" i="31"/>
  <c r="J39" i="31"/>
  <c r="J32" i="31"/>
  <c r="J40" i="31"/>
  <c r="J33" i="31"/>
  <c r="M85" i="31"/>
  <c r="M69" i="31"/>
  <c r="M72" i="31"/>
  <c r="M43" i="31"/>
  <c r="M30" i="31"/>
  <c r="M44" i="31"/>
  <c r="M6" i="31"/>
  <c r="M42" i="31"/>
  <c r="M84" i="31"/>
  <c r="C28" i="25"/>
  <c r="K23" i="25"/>
  <c r="D31" i="25"/>
  <c r="L28" i="25"/>
  <c r="E31" i="25"/>
  <c r="M28" i="25"/>
  <c r="F28" i="25"/>
  <c r="N23" i="25"/>
  <c r="J6" i="31"/>
  <c r="J27" i="31"/>
  <c r="J30" i="31"/>
  <c r="J42" i="31"/>
  <c r="J47" i="31"/>
  <c r="J84" i="31"/>
  <c r="J69" i="31"/>
  <c r="J43" i="31"/>
  <c r="J72" i="31"/>
  <c r="J44" i="31"/>
  <c r="J85" i="31"/>
  <c r="D18" i="12"/>
  <c r="M38" i="24"/>
  <c r="N38" i="24"/>
  <c r="G38" i="24"/>
  <c r="F22" i="24"/>
  <c r="E22" i="24"/>
  <c r="C38" i="24"/>
  <c r="K27" i="24" s="1"/>
  <c r="G22" i="24"/>
  <c r="C22" i="24"/>
  <c r="D22" i="24"/>
  <c r="D38" i="24"/>
  <c r="G42" i="24" l="1"/>
  <c r="O27" i="24"/>
  <c r="D42" i="24"/>
  <c r="L27" i="24"/>
  <c r="F31" i="25"/>
  <c r="N28" i="25"/>
  <c r="C31" i="25"/>
  <c r="K28" i="25"/>
  <c r="C41" i="24"/>
  <c r="K9" i="24"/>
  <c r="K13" i="24"/>
  <c r="K14" i="24"/>
  <c r="K10" i="24"/>
  <c r="K12" i="24"/>
  <c r="K8" i="24"/>
  <c r="K7" i="24"/>
  <c r="K11" i="24"/>
  <c r="G41" i="24"/>
  <c r="O13" i="24"/>
  <c r="O9" i="24"/>
  <c r="O10" i="24"/>
  <c r="O14" i="24"/>
  <c r="O11" i="24"/>
  <c r="O7" i="24"/>
  <c r="O12" i="24"/>
  <c r="O8" i="24"/>
  <c r="D41" i="24"/>
  <c r="L13" i="24"/>
  <c r="L9" i="24"/>
  <c r="L14" i="24"/>
  <c r="L10" i="24"/>
  <c r="L11" i="24"/>
  <c r="L12" i="24"/>
  <c r="L8" i="24"/>
  <c r="L7" i="24"/>
  <c r="E41" i="24"/>
  <c r="M13" i="24"/>
  <c r="M9" i="24"/>
  <c r="M10" i="24"/>
  <c r="M14" i="24"/>
  <c r="M7" i="24"/>
  <c r="M12" i="24"/>
  <c r="M8" i="24"/>
  <c r="M11" i="24"/>
  <c r="F41" i="24"/>
  <c r="N9" i="24"/>
  <c r="N13" i="24"/>
  <c r="N10" i="24"/>
  <c r="N14" i="24"/>
  <c r="N12" i="24"/>
  <c r="N8" i="24"/>
  <c r="N11" i="24"/>
  <c r="N7" i="24"/>
  <c r="D19" i="12"/>
  <c r="C44" i="24"/>
  <c r="C42" i="24"/>
  <c r="K35" i="24"/>
  <c r="K30" i="24"/>
  <c r="E44" i="24"/>
  <c r="M15" i="24"/>
  <c r="L30" i="24"/>
  <c r="L35" i="24"/>
  <c r="F44" i="24"/>
  <c r="N15" i="24"/>
  <c r="D44" i="24"/>
  <c r="G44" i="24"/>
  <c r="O30" i="24"/>
  <c r="O35" i="24"/>
  <c r="O28" i="24"/>
  <c r="O21" i="24"/>
  <c r="K5" i="24"/>
  <c r="O29" i="24"/>
  <c r="O31" i="24"/>
  <c r="M5" i="24"/>
  <c r="L24" i="24"/>
  <c r="K36" i="24"/>
  <c r="K24" i="24"/>
  <c r="O37" i="24"/>
  <c r="O26" i="24"/>
  <c r="K32" i="24"/>
  <c r="O32" i="24"/>
  <c r="O34" i="24"/>
  <c r="O33" i="24"/>
  <c r="K37" i="24"/>
  <c r="O36" i="24"/>
  <c r="O25" i="24"/>
  <c r="O24" i="24"/>
  <c r="K33" i="24"/>
  <c r="K25" i="24"/>
  <c r="N17" i="24"/>
  <c r="N19" i="24"/>
  <c r="N21" i="24"/>
  <c r="N16" i="24"/>
  <c r="N18" i="24"/>
  <c r="N20" i="24"/>
  <c r="N6" i="24"/>
  <c r="N5" i="24"/>
  <c r="M16" i="24"/>
  <c r="M18" i="24"/>
  <c r="M20" i="24"/>
  <c r="M17" i="24"/>
  <c r="M19" i="24"/>
  <c r="M21" i="24"/>
  <c r="M6" i="24"/>
  <c r="K29" i="24"/>
  <c r="K28" i="24"/>
  <c r="K31" i="24"/>
  <c r="K26" i="24"/>
  <c r="K34" i="24"/>
  <c r="O5" i="24"/>
  <c r="O20" i="24"/>
  <c r="O19" i="24"/>
  <c r="O18" i="24"/>
  <c r="O16" i="24"/>
  <c r="O15" i="24"/>
  <c r="O6" i="24"/>
  <c r="O17" i="24"/>
  <c r="L20" i="24"/>
  <c r="L16" i="24"/>
  <c r="L21" i="24"/>
  <c r="L17" i="24"/>
  <c r="L18" i="24"/>
  <c r="L19" i="24"/>
  <c r="L15" i="24"/>
  <c r="L6" i="24"/>
  <c r="L5" i="24"/>
  <c r="L36" i="24"/>
  <c r="L32" i="24"/>
  <c r="L37" i="24"/>
  <c r="L33" i="24"/>
  <c r="L29" i="24"/>
  <c r="L25" i="24"/>
  <c r="L34" i="24"/>
  <c r="L31" i="24"/>
  <c r="L26" i="24"/>
  <c r="L28" i="24"/>
  <c r="K19" i="24"/>
  <c r="K15" i="24"/>
  <c r="K20" i="24"/>
  <c r="K16" i="24"/>
  <c r="K21" i="24"/>
  <c r="K17" i="24"/>
  <c r="K18" i="24"/>
  <c r="K6" i="24"/>
  <c r="M22" i="24" l="1"/>
  <c r="D20" i="12"/>
  <c r="O38" i="24"/>
  <c r="N22" i="24"/>
  <c r="K22" i="24"/>
  <c r="K38" i="24"/>
  <c r="L38" i="24"/>
  <c r="O22" i="24"/>
  <c r="L22" i="24"/>
  <c r="D21" i="12" l="1"/>
  <c r="A5" i="7"/>
  <c r="A6" i="7" s="1"/>
  <c r="A7" i="7" s="1"/>
  <c r="D22" i="12" l="1"/>
  <c r="A8" i="23"/>
  <c r="A12" i="23" s="1"/>
  <c r="A16" i="23" s="1"/>
  <c r="D23" i="12" l="1"/>
  <c r="A5" i="20"/>
  <c r="A6" i="20" s="1"/>
  <c r="A7" i="20" s="1"/>
  <c r="A6" i="19"/>
  <c r="A7" i="19" s="1"/>
  <c r="A8" i="19" s="1"/>
  <c r="A9" i="19" s="1"/>
  <c r="A10" i="19" s="1"/>
  <c r="A11" i="19" s="1"/>
  <c r="D24" i="12" l="1"/>
  <c r="A5" i="15"/>
  <c r="A6" i="15" s="1"/>
  <c r="A7"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D25" i="12" l="1"/>
  <c r="A8" i="7"/>
  <c r="A9" i="7" s="1"/>
  <c r="A103" i="1" l="1"/>
  <c r="A104" i="1" s="1"/>
  <c r="D26" i="12"/>
  <c r="G17" i="12" s="1"/>
  <c r="G16" i="12"/>
  <c r="G18" i="12" s="1"/>
  <c r="A10" i="7"/>
  <c r="A11" i="7" s="1"/>
  <c r="A12" i="7" s="1"/>
  <c r="A13" i="7" s="1"/>
  <c r="A14" i="7" s="1"/>
  <c r="A15" i="7" s="1"/>
  <c r="A16" i="7" s="1"/>
  <c r="A17" i="7" s="1"/>
  <c r="A18" i="7" s="1"/>
  <c r="A19" i="7" s="1"/>
  <c r="A20" i="7" s="1"/>
  <c r="A21" i="7" s="1"/>
  <c r="A22" i="7" s="1"/>
  <c r="A105" i="1" l="1"/>
  <c r="A106" i="1" s="1"/>
  <c r="A107" i="1" s="1"/>
  <c r="G19" i="12"/>
  <c r="G21" i="12" s="1"/>
  <c r="G23" i="12" l="1"/>
  <c r="D28" i="1" s="1"/>
  <c r="G6" i="25"/>
  <c r="G8" i="25" s="1"/>
  <c r="G75" i="26"/>
  <c r="G77" i="26" s="1"/>
  <c r="I7" i="9" s="1"/>
  <c r="O16" i="25" l="1"/>
  <c r="O20" i="25"/>
  <c r="C79" i="1"/>
  <c r="O6" i="25"/>
  <c r="O25" i="25"/>
  <c r="O21" i="25"/>
  <c r="H8" i="9"/>
  <c r="I8" i="9"/>
  <c r="H17" i="6"/>
  <c r="O14" i="25"/>
  <c r="O18" i="25"/>
  <c r="O26" i="25"/>
  <c r="H103" i="6"/>
  <c r="G4" i="31"/>
  <c r="N41" i="31" s="1"/>
  <c r="O17" i="25"/>
  <c r="O8" i="25"/>
  <c r="O13" i="25"/>
  <c r="H99" i="6"/>
  <c r="H94" i="6"/>
  <c r="H95" i="6"/>
  <c r="G79" i="26"/>
  <c r="G91" i="26" s="1"/>
  <c r="G93" i="26" s="1"/>
  <c r="G23" i="25"/>
  <c r="G28" i="25" s="1"/>
  <c r="O15" i="25"/>
  <c r="O19" i="25"/>
  <c r="G99" i="26" l="1"/>
  <c r="G6" i="31"/>
  <c r="G45" i="31" s="1"/>
  <c r="A45" i="31" s="1"/>
  <c r="H93" i="6"/>
  <c r="H33" i="6"/>
  <c r="H32" i="6" s="1"/>
  <c r="H41" i="6"/>
  <c r="H40" i="6" s="1"/>
  <c r="H125" i="6" s="1"/>
  <c r="H16" i="6"/>
  <c r="H22" i="6" s="1"/>
  <c r="H20" i="6" s="1"/>
  <c r="H37" i="6"/>
  <c r="H36" i="6" s="1"/>
  <c r="H112" i="6"/>
  <c r="H111" i="6" s="1"/>
  <c r="H108" i="6"/>
  <c r="H107" i="6" s="1"/>
  <c r="H116" i="6"/>
  <c r="H115" i="6" s="1"/>
  <c r="H98" i="6"/>
  <c r="H87" i="6"/>
  <c r="H86" i="6" s="1"/>
  <c r="O23" i="25"/>
  <c r="N42" i="31"/>
  <c r="N68" i="31"/>
  <c r="N73" i="31"/>
  <c r="N83" i="31"/>
  <c r="N44" i="31"/>
  <c r="N13" i="31"/>
  <c r="N39" i="31"/>
  <c r="N79" i="31"/>
  <c r="N40" i="31"/>
  <c r="N27" i="31"/>
  <c r="N56" i="31"/>
  <c r="N19" i="31"/>
  <c r="N15" i="31"/>
  <c r="N67" i="31"/>
  <c r="N31" i="31"/>
  <c r="N22" i="31"/>
  <c r="N62" i="31"/>
  <c r="N53" i="31"/>
  <c r="N24" i="31"/>
  <c r="N48" i="31"/>
  <c r="N34" i="31"/>
  <c r="N77" i="31"/>
  <c r="N47" i="31"/>
  <c r="N17" i="31"/>
  <c r="N9" i="31"/>
  <c r="N61" i="31"/>
  <c r="N80" i="31"/>
  <c r="N35" i="31"/>
  <c r="N74" i="31"/>
  <c r="N60" i="31"/>
  <c r="N52" i="31"/>
  <c r="N11" i="31"/>
  <c r="N57" i="31"/>
  <c r="N18" i="31"/>
  <c r="N20" i="31"/>
  <c r="N14" i="31"/>
  <c r="N65" i="31"/>
  <c r="N43" i="31"/>
  <c r="N84" i="31"/>
  <c r="N63" i="31"/>
  <c r="N50" i="31"/>
  <c r="N81" i="31"/>
  <c r="N75" i="31"/>
  <c r="N66" i="31"/>
  <c r="N37" i="31"/>
  <c r="N16" i="31"/>
  <c r="N12" i="31"/>
  <c r="N54" i="31"/>
  <c r="N58" i="31"/>
  <c r="N51" i="31"/>
  <c r="N69" i="31"/>
  <c r="N76" i="31"/>
  <c r="N38" i="31"/>
  <c r="N10" i="31"/>
  <c r="N33" i="31"/>
  <c r="N23" i="31"/>
  <c r="N32" i="31"/>
  <c r="N82" i="31"/>
  <c r="N85" i="31"/>
  <c r="N72" i="31"/>
  <c r="N25" i="31"/>
  <c r="N7" i="31"/>
  <c r="N59" i="31"/>
  <c r="N30" i="31"/>
  <c r="N8" i="31"/>
  <c r="N21" i="31"/>
  <c r="N26" i="31"/>
  <c r="N49" i="31"/>
  <c r="N55" i="31"/>
  <c r="N78" i="31"/>
  <c r="N36" i="31"/>
  <c r="N64" i="31"/>
  <c r="D55" i="1" l="1"/>
  <c r="E22" i="7"/>
  <c r="N6" i="31"/>
  <c r="G101" i="26"/>
  <c r="H102" i="6"/>
  <c r="I26" i="9" s="1"/>
  <c r="I19" i="9"/>
  <c r="H61" i="6"/>
  <c r="H59" i="6" s="1"/>
  <c r="I25" i="9"/>
  <c r="H97" i="6"/>
  <c r="D6" i="22" s="1"/>
  <c r="D10" i="22" s="1"/>
  <c r="G34" i="25"/>
  <c r="O28" i="25"/>
  <c r="G30" i="25" l="1"/>
  <c r="G31" i="25" s="1"/>
  <c r="G102" i="26"/>
  <c r="H120" i="6"/>
  <c r="H119" i="6" s="1"/>
  <c r="H101" i="6"/>
  <c r="H124" i="6" s="1"/>
  <c r="H123" i="6" s="1"/>
  <c r="D9" i="15" s="1"/>
  <c r="C4" i="23"/>
  <c r="C9" i="23" s="1"/>
  <c r="C8" i="23" s="1"/>
  <c r="D11" i="22"/>
  <c r="D12" i="22" s="1"/>
  <c r="D15" i="22" s="1"/>
  <c r="D17" i="22" s="1"/>
  <c r="D19" i="22" s="1"/>
  <c r="D21" i="22" s="1"/>
  <c r="C98" i="37"/>
  <c r="D5" i="40" s="1"/>
  <c r="D6" i="40" s="1"/>
  <c r="D10" i="40" s="1"/>
  <c r="D11" i="40" s="1"/>
  <c r="D12" i="40" s="1"/>
  <c r="D15" i="40" s="1"/>
  <c r="D17" i="40" s="1"/>
  <c r="D19" i="40" s="1"/>
  <c r="D21" i="4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 Parashar</author>
  </authors>
  <commentList>
    <comment ref="A117" authorId="0" shapeId="0" xr:uid="{2A1E4BB1-B56E-44A4-95C1-0321F67DEAC0}">
      <text>
        <r>
          <rPr>
            <b/>
            <sz val="9"/>
            <color indexed="81"/>
            <rFont val="Tahoma"/>
            <charset val="1"/>
          </rPr>
          <t>Face value = Rs 10/share (constant since IPO; source: company dividend filings / NSE-BSE disclosures, e.g. "per equity share of face value of Rs.10 each"). Shares = Equity Share Capital (row 7, Rs cr) x 1,00,00,000 / 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Rahul Parashar</author>
  </authors>
  <commentList>
    <comment ref="A115" authorId="0" shapeId="0" xr:uid="{E3E80FBE-FDFE-446B-8D3F-7796CC7008DF}">
      <text>
        <r>
          <rPr>
            <b/>
            <sz val="9"/>
            <color indexed="81"/>
            <rFont val="Tahoma"/>
            <charset val="1"/>
          </rPr>
          <t>Face value = Rs 10/share (constant since IPO; source: company dividend filings / NSE-BSE disclosures, e.g. "per equity share of face value of Rs.10 each"). Shares = Equity Share Capital (row 7, Rs cr) x 1,00,00,000 / 10.</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<sst xmlns="http://schemas.openxmlformats.org/spreadsheetml/2006/main" count="2255" uniqueCount="949">
  <si>
    <t>S.No.</t>
  </si>
  <si>
    <t>Particulars</t>
  </si>
  <si>
    <t>Quantitative Analysis</t>
  </si>
  <si>
    <t>What are the major sources and uses of cash flow</t>
  </si>
  <si>
    <t>Is operating cash flow positive and sufficient to cover capital expenditure</t>
  </si>
  <si>
    <t>Major components of operating cash flow</t>
  </si>
  <si>
    <t>Comparison of operating cash flow Vs net Income</t>
  </si>
  <si>
    <t>Ratio Analysis</t>
  </si>
  <si>
    <t xml:space="preserve">B) </t>
  </si>
  <si>
    <t>Qualitative Analysis</t>
  </si>
  <si>
    <t>Qualitative Assessment Checklists</t>
  </si>
  <si>
    <t>Question</t>
  </si>
  <si>
    <t>Is this industry good for quality business</t>
  </si>
  <si>
    <t>Is the industry but has exceptionally good companies</t>
  </si>
  <si>
    <t>What does the industry make and whether there will be demand for there products one decade or two decades from now</t>
  </si>
  <si>
    <t>Challenges to be faced by the industry</t>
  </si>
  <si>
    <t>Dominant players in the industry</t>
  </si>
  <si>
    <t>Behavioral Checklist</t>
  </si>
  <si>
    <t>Michael Porters - 5 Pt analysis</t>
  </si>
  <si>
    <t>Financial Shenanigans checklist</t>
  </si>
  <si>
    <t>Management Qualitiy Checklist</t>
  </si>
  <si>
    <t>Answers</t>
  </si>
  <si>
    <t>Company performance - Sales and profit growth - Over a 10 year period</t>
  </si>
  <si>
    <t>Balance sheet - Hygiene ( Debt to equity ratio etc)</t>
  </si>
  <si>
    <t>Capital Allocation decisions (How to invest Free Cash flows)</t>
  </si>
  <si>
    <t>Return on Equity</t>
  </si>
  <si>
    <t>Longevity of Management in current business</t>
  </si>
  <si>
    <t>Compensation of manager - ESOPs / cash payments</t>
  </si>
  <si>
    <t>Are senior managers continually  increasing/ reducing their ownership interest in the business</t>
  </si>
  <si>
    <t>Does senior management issue guidance on earnings</t>
  </si>
  <si>
    <t>Does the management team focus on cutting unnecesary costs</t>
  </si>
  <si>
    <t>Does the management Emphasis only good news in its communications</t>
  </si>
  <si>
    <t>Does management have independent thinking/ Contrarian view or gets swayed by what others are doing in industry Eg , Mergers and takeovers</t>
  </si>
  <si>
    <t>Is CEO self promoting Eg : Vijay Mallaya, Anil Ambani</t>
  </si>
  <si>
    <t>Investor Sin Checklist</t>
  </si>
  <si>
    <t>Less is more checklist</t>
  </si>
  <si>
    <t>Is the business simple to understand and run</t>
  </si>
  <si>
    <t>Has the company grown its sales and EPS consistently over the past 5-10 years
(Consistency is more important than speed of growth)</t>
  </si>
  <si>
    <t>Will the company be around and profitably better in 10 years
(Continuity in demand for the company's products/ services)</t>
  </si>
  <si>
    <t>Does the company have a sustainable competitive moat
(Pricing power, gross margins, lead over competitors, entry barrier for players)</t>
  </si>
  <si>
    <t>Management quality (ROE, Capital allocation, corporate governance, performance against competition)</t>
  </si>
  <si>
    <t xml:space="preserve">Does the company require consitent capex and working capital expenditure to grow its business
</t>
  </si>
  <si>
    <t>Does the company generate more cash than its consumes</t>
  </si>
  <si>
    <t>Am I trying to forecast the company 's stock price and is my view on the business biased due 
to that</t>
  </si>
  <si>
    <t>Do I believe I can control my investment results just because  I have learnt too much about this business</t>
  </si>
  <si>
    <t>Am I indulging in first- level thinking,? Have I believed whatever I have read about this business</t>
  </si>
  <si>
    <t>Do I believe that I can outsmart other investors due to my knowledge of this specific business</t>
  </si>
  <si>
    <t>Investing Sin Checklist</t>
  </si>
  <si>
    <t>Initial Cash Flow</t>
  </si>
  <si>
    <t>Years</t>
  </si>
  <si>
    <t>1-5</t>
  </si>
  <si>
    <t>6-10</t>
  </si>
  <si>
    <t>FCF Growth Rate</t>
  </si>
  <si>
    <t>Discount Rate</t>
  </si>
  <si>
    <t>Terminal Growth Rate</t>
  </si>
  <si>
    <t>Net Debt Level</t>
  </si>
  <si>
    <t>Present Value Calculations</t>
  </si>
  <si>
    <t>Final Calculations</t>
  </si>
  <si>
    <t>Year</t>
  </si>
  <si>
    <t>FCF</t>
  </si>
  <si>
    <t>Growth</t>
  </si>
  <si>
    <t>Present Value</t>
  </si>
  <si>
    <t>Terminal Year</t>
  </si>
  <si>
    <t>PV of Year 1-10 Cash Flows</t>
  </si>
  <si>
    <t>Terminal Value</t>
  </si>
  <si>
    <t>Total PV of Cash Flows</t>
  </si>
  <si>
    <t>Number of Shares</t>
  </si>
  <si>
    <t>DCF Value / Share (Rs)</t>
  </si>
  <si>
    <t>Earnings Per Share (EPS)</t>
  </si>
  <si>
    <t>Expected EPS Growth</t>
  </si>
  <si>
    <t>Dividend Per Share (DPS)</t>
  </si>
  <si>
    <t>Book Value Per Share (BVPS)</t>
  </si>
  <si>
    <t>ROCE/ROE</t>
  </si>
  <si>
    <t>Residual Earnings</t>
  </si>
  <si>
    <t>Growth in Residual Earnings</t>
  </si>
  <si>
    <t>Long-Term Growth in EPS</t>
  </si>
  <si>
    <t>Calculation of Speculation in CMP</t>
  </si>
  <si>
    <t>Value of Equity</t>
  </si>
  <si>
    <t>Latest BVPS</t>
  </si>
  <si>
    <t>Value from Short-Term Accounting (Year 1)</t>
  </si>
  <si>
    <t>Value from Short-Term Accounting (Year 2)</t>
  </si>
  <si>
    <t>Total Value excl. Speculative Value</t>
  </si>
  <si>
    <t>Current Stock Price</t>
  </si>
  <si>
    <t>Speculative Value</t>
  </si>
  <si>
    <t>Calculation of Growth Forecast Implicit in CMP</t>
  </si>
  <si>
    <t>Infosys</t>
  </si>
  <si>
    <t>Forecasted EPS</t>
  </si>
  <si>
    <t>Mr. Market's Implied EPS Growth Rate</t>
  </si>
  <si>
    <t>Dividend Payout Ratio</t>
  </si>
  <si>
    <t>Reqd. Rate of Return ( r )</t>
  </si>
  <si>
    <t>Beginning Book Value / Share</t>
  </si>
  <si>
    <t>Dividend payout ratio</t>
  </si>
  <si>
    <t>Dividend / share (Rs)</t>
  </si>
  <si>
    <t>Forecasted ROE</t>
  </si>
  <si>
    <t>Required rate ( r )</t>
  </si>
  <si>
    <t>Forecasted Residual Income</t>
  </si>
  <si>
    <t>CMP</t>
  </si>
  <si>
    <t>Variation</t>
  </si>
  <si>
    <t>Valuation Models Residual eanin</t>
  </si>
  <si>
    <t>Valuation Models EPV</t>
  </si>
  <si>
    <t>Net Sales</t>
  </si>
  <si>
    <t>Latest</t>
  </si>
  <si>
    <t>Avg. PBIT Margin</t>
  </si>
  <si>
    <t>7-Years Avg.</t>
  </si>
  <si>
    <t>Adjusted PBIT</t>
  </si>
  <si>
    <t>Add</t>
  </si>
  <si>
    <t>Extraordinary Expenses</t>
  </si>
  <si>
    <t>25% of SG&amp;A</t>
  </si>
  <si>
    <t>25% of 7-Years Avg.</t>
  </si>
  <si>
    <t>25% of R&amp;D</t>
  </si>
  <si>
    <t>Less</t>
  </si>
  <si>
    <t>Tax @ 30%</t>
  </si>
  <si>
    <t>Latest Tax Rate</t>
  </si>
  <si>
    <t>Adjusted PAT</t>
  </si>
  <si>
    <t>20% Depreciation</t>
  </si>
  <si>
    <t>Maintenance Capex</t>
  </si>
  <si>
    <t>Calculating Maintenance Capex</t>
  </si>
  <si>
    <t>Adjusted Income</t>
  </si>
  <si>
    <t>Avg. FA/Sales for 7 Years</t>
  </si>
  <si>
    <t>A</t>
  </si>
  <si>
    <t>Cost of Capital</t>
  </si>
  <si>
    <t>Change in Net Sales over previous Year</t>
  </si>
  <si>
    <t>B</t>
  </si>
  <si>
    <t>EPV</t>
  </si>
  <si>
    <t>Capex from CFS</t>
  </si>
  <si>
    <t>C</t>
  </si>
  <si>
    <t>Net Cash</t>
  </si>
  <si>
    <t>Growth Capex</t>
  </si>
  <si>
    <t>A x B = D</t>
  </si>
  <si>
    <t>Final EPV</t>
  </si>
  <si>
    <t>C - D</t>
  </si>
  <si>
    <t>No. of Shares (Cr.)</t>
  </si>
  <si>
    <t>EPV/Share</t>
  </si>
  <si>
    <t>P/ E Ratio</t>
  </si>
  <si>
    <t>P/ EG Ratio</t>
  </si>
  <si>
    <t>P/ Book Value</t>
  </si>
  <si>
    <t>P/ Sales</t>
  </si>
  <si>
    <t>Is the price paid has margin of safety based on valuation</t>
  </si>
  <si>
    <t>Do I understand this Industry (circle of competence)</t>
  </si>
  <si>
    <t>Do I understand this business (circle of competence)</t>
  </si>
  <si>
    <t>How does the business make money</t>
  </si>
  <si>
    <t>How has the business evolved over time</t>
  </si>
  <si>
    <t>Does the business have high degree of Change and obsolescence</t>
  </si>
  <si>
    <t>What are the growth drivers of the industry
(Can the company grow its business over a period of 10 years @ 15% p.a.)</t>
  </si>
  <si>
    <t>Does the company have moat.</t>
  </si>
  <si>
    <t>Is the recent good performance due to cyclical upturn in the industry or is it sustainable
(Eg Dwarikesh sugar , Sugar Industry)</t>
  </si>
  <si>
    <t>Does the company have good financial strength</t>
  </si>
  <si>
    <t>Does the management share both positive and negative view points about the company</t>
  </si>
  <si>
    <t>Has the management used aggressive accounting policies in the past</t>
  </si>
  <si>
    <t>Has the management been reprimanded by SEBI etc or has a history of bad governance
(watchoutinvestors.com)</t>
  </si>
  <si>
    <t>Does the company have opaque transactions with subsidaries (Check RPT note)</t>
  </si>
  <si>
    <t xml:space="preserve">How many members are a part of board of directors of the company </t>
  </si>
  <si>
    <t>has the management pledged shares</t>
  </si>
  <si>
    <t>Are the promoters/ managers selling or buying stock</t>
  </si>
  <si>
    <t>Is the management paying more dividend then its operating income</t>
  </si>
  <si>
    <t>Total Share Capital</t>
  </si>
  <si>
    <t>Equity Share Capital</t>
  </si>
  <si>
    <t>Inventories</t>
  </si>
  <si>
    <t>Total Current Assets</t>
  </si>
  <si>
    <t>Current Liabilities</t>
  </si>
  <si>
    <t>Total Assets</t>
  </si>
  <si>
    <t>Contingent Liabilities</t>
  </si>
  <si>
    <t>Balance Sheet</t>
  </si>
  <si>
    <t>Excise Duty</t>
  </si>
  <si>
    <t>Other Income</t>
  </si>
  <si>
    <t>Total Expenses</t>
  </si>
  <si>
    <t>Interest</t>
  </si>
  <si>
    <t>Depreciation</t>
  </si>
  <si>
    <t>Tax</t>
  </si>
  <si>
    <t>Net Sales/Income from operations</t>
  </si>
  <si>
    <t>Other Operating Income</t>
  </si>
  <si>
    <t>Total Income From Operations</t>
  </si>
  <si>
    <t>EXPENDITURE</t>
  </si>
  <si>
    <t>Consumption of Raw Materials</t>
  </si>
  <si>
    <t>Purchase of Traded Goods</t>
  </si>
  <si>
    <t>Increase/Decrease in Stocks</t>
  </si>
  <si>
    <t>Power &amp; Fuel</t>
  </si>
  <si>
    <t>Employees Cost</t>
  </si>
  <si>
    <t>Admin. And Selling Expenses</t>
  </si>
  <si>
    <t>R &amp; D Expenses</t>
  </si>
  <si>
    <t>Provisions And Contingencies</t>
  </si>
  <si>
    <t>Exp. Capitalised</t>
  </si>
  <si>
    <t>Other Expenses</t>
  </si>
  <si>
    <t>P/L Before Other Inc. , Int., Excpt. Items &amp; Tax</t>
  </si>
  <si>
    <t>P/L Before Int., Excpt. Items &amp; Tax</t>
  </si>
  <si>
    <t>P/L Before Exceptional Items &amp; Tax</t>
  </si>
  <si>
    <t>Exceptional Items</t>
  </si>
  <si>
    <t>P/L Before Tax</t>
  </si>
  <si>
    <t>P/L After Tax from Ordinary Activities</t>
  </si>
  <si>
    <t>Prior Year Adjustments</t>
  </si>
  <si>
    <t>Extra Ordinary Items</t>
  </si>
  <si>
    <t>Net Profit/(Loss) For the Period</t>
  </si>
  <si>
    <t>Reserves Excluding Revaluation Reserves</t>
  </si>
  <si>
    <t>Equity Dividend Rate (%)</t>
  </si>
  <si>
    <t>EPS Before Extra Ordinary</t>
  </si>
  <si>
    <t>Basic EPS</t>
  </si>
  <si>
    <t>Diluted EPS</t>
  </si>
  <si>
    <t>EPS After Extra Ordinary</t>
  </si>
  <si>
    <t>Public Share Holding</t>
  </si>
  <si>
    <t>No Of Shares (Crores)</t>
  </si>
  <si>
    <t>Share Holding (%)</t>
  </si>
  <si>
    <t>Promoters and Promoter Group Shareholding</t>
  </si>
  <si>
    <t>a) Pledged/Encumbered</t>
  </si>
  <si>
    <t>- Number of shares (Crores)</t>
  </si>
  <si>
    <t>- Per. of shares (as a % of the total sh. of prom. and promoter group)</t>
  </si>
  <si>
    <t>- Per. of shares (as a % of the total Share Cap. of the company)</t>
  </si>
  <si>
    <t>b) Non-encumbered</t>
  </si>
  <si>
    <t>Common-Size Balance Sheet</t>
  </si>
  <si>
    <t>Assets</t>
  </si>
  <si>
    <t>Non-Current Assets</t>
  </si>
  <si>
    <t>Fixed Assets</t>
  </si>
  <si>
    <t>Tangible Assets</t>
  </si>
  <si>
    <t>Intangible Assets</t>
  </si>
  <si>
    <t>Capital Work-in-Progress</t>
  </si>
  <si>
    <t>Long-Term Investments</t>
  </si>
  <si>
    <t>Long-Term Loans &amp; Advances</t>
  </si>
  <si>
    <t>Other Non-Current Assets</t>
  </si>
  <si>
    <t>Current Assets</t>
  </si>
  <si>
    <t>Current Investments</t>
  </si>
  <si>
    <t>Trade Receivables</t>
  </si>
  <si>
    <t>Cash and Cash Equivalents</t>
  </si>
  <si>
    <t>Short-Term Loans &amp; Advances</t>
  </si>
  <si>
    <t>Other Current Assets</t>
  </si>
  <si>
    <t>Equity and Liabilities</t>
  </si>
  <si>
    <t>Shareholders' Funds</t>
  </si>
  <si>
    <t>Share Capital</t>
  </si>
  <si>
    <t>Reserves &amp; Surplus</t>
  </si>
  <si>
    <t>Non-Current Liabilities</t>
  </si>
  <si>
    <t>Long-Term Liabilities</t>
  </si>
  <si>
    <t>Defered Tax Liabilities (Net)</t>
  </si>
  <si>
    <t>Long-Term Provisions</t>
  </si>
  <si>
    <t>Trade Payables</t>
  </si>
  <si>
    <t>Other Current Liabilities</t>
  </si>
  <si>
    <t>Short-Term Provisions</t>
  </si>
  <si>
    <t>Total Equity and Liabilities</t>
  </si>
  <si>
    <t>Income Statement</t>
  </si>
  <si>
    <t>Common-Size Income Statement</t>
  </si>
  <si>
    <t>(Rs Crore)</t>
  </si>
  <si>
    <t>Revenue from Operations</t>
  </si>
  <si>
    <t>Gross Sales of Products</t>
  </si>
  <si>
    <t>Less - Excise Duty</t>
  </si>
  <si>
    <t>Other Operating Revenue</t>
  </si>
  <si>
    <t>Net Revenue from Operations (A)</t>
  </si>
  <si>
    <t>Other Income (B)</t>
  </si>
  <si>
    <t>Less: Expenses</t>
  </si>
  <si>
    <t>Cost of Materials Consumed</t>
  </si>
  <si>
    <t>Changes in Inventories</t>
  </si>
  <si>
    <t>Employee Benefits Expenses</t>
  </si>
  <si>
    <t>Finance costs</t>
  </si>
  <si>
    <t>Depreciation and Amortisation Expenses</t>
  </si>
  <si>
    <t>Other expenses</t>
  </si>
  <si>
    <t>Total Expenses (C)</t>
  </si>
  <si>
    <t>Profit before Taxes (D = A+B-C)</t>
  </si>
  <si>
    <t>Less: Taxes (E)</t>
  </si>
  <si>
    <t>Profit for the Year / Net Profit (D-E)</t>
  </si>
  <si>
    <t>EQUITIES AND LIABILITIES</t>
  </si>
  <si>
    <t>SHAREHOLDER'S FUNDS</t>
  </si>
  <si>
    <t>Reserves and Surplus</t>
  </si>
  <si>
    <t>Total Reserves and Surplus</t>
  </si>
  <si>
    <t>Total Shareholders Funds</t>
  </si>
  <si>
    <t>NON-CURRENT LIABILITIES</t>
  </si>
  <si>
    <t>Long Term Borrowings</t>
  </si>
  <si>
    <t>Other Long Term Liabilities</t>
  </si>
  <si>
    <t>Long Term Provisions</t>
  </si>
  <si>
    <t>Total Non-Current Liabilities</t>
  </si>
  <si>
    <t>CURRENT LIABILITIES</t>
  </si>
  <si>
    <t>Short Term Borrowings</t>
  </si>
  <si>
    <t>Short Term Provisions</t>
  </si>
  <si>
    <t>Total Current Liabilities</t>
  </si>
  <si>
    <t>Total Capital And Liabilities</t>
  </si>
  <si>
    <t>ASSETS</t>
  </si>
  <si>
    <t>NON-CURRENT ASSETS</t>
  </si>
  <si>
    <t>Non-Current Investments</t>
  </si>
  <si>
    <t>Deferred Tax Assets [Net]</t>
  </si>
  <si>
    <t>Total Non-Current Assets</t>
  </si>
  <si>
    <t>CURRENT ASSETS</t>
  </si>
  <si>
    <t>Cash And Cash Equivalents</t>
  </si>
  <si>
    <t>Short Term Loans And Advances</t>
  </si>
  <si>
    <t>OTHER ADDITIONAL INFORMATION</t>
  </si>
  <si>
    <t>CONTINGENT LIABILITIES, COMMITMENTS</t>
  </si>
  <si>
    <t>BONUS DETAILS</t>
  </si>
  <si>
    <t>NON-CURRENT INVESTMENTS</t>
  </si>
  <si>
    <t>Non-Current Investments Quoted Market Value</t>
  </si>
  <si>
    <t>Non-Current Investments Unquoted Book Value</t>
  </si>
  <si>
    <t>CURRENT INVESTMENTS</t>
  </si>
  <si>
    <t>INCOME</t>
  </si>
  <si>
    <t>Revenue From Operations [Gross]</t>
  </si>
  <si>
    <t>Less: Excise/Sevice Tax/Other Levies</t>
  </si>
  <si>
    <t>Revenue From Operations [Net]</t>
  </si>
  <si>
    <t>Total Operating Revenues</t>
  </si>
  <si>
    <t>Total Revenue</t>
  </si>
  <si>
    <t>EXPENSES</t>
  </si>
  <si>
    <t>Purchase Of Stock-In Trade</t>
  </si>
  <si>
    <t>Changes In Inventories Of FG,WIP And Stock-In Trade</t>
  </si>
  <si>
    <t>Employee Benefit Expenses</t>
  </si>
  <si>
    <t>Finance Costs</t>
  </si>
  <si>
    <t>Depreciation And Amortisation Expenses</t>
  </si>
  <si>
    <t>Profit/Loss Before Exceptional, ExtraOrdinary Items And Tax</t>
  </si>
  <si>
    <t>Profit/Loss Before Tax</t>
  </si>
  <si>
    <t>Current Tax</t>
  </si>
  <si>
    <t>Deferred Tax</t>
  </si>
  <si>
    <t>Total Tax Expenses</t>
  </si>
  <si>
    <t>Profit/Loss After Tax And Before ExtraOrdinary Items</t>
  </si>
  <si>
    <t>Extraordinary Items</t>
  </si>
  <si>
    <t>Profit/Loss From Continuing Operations</t>
  </si>
  <si>
    <t>Profit/Loss For The Period</t>
  </si>
  <si>
    <t>EARNINGS PER SHARE</t>
  </si>
  <si>
    <t>Basic EPS (Rs.)</t>
  </si>
  <si>
    <t>Diluted EPS (Rs.)</t>
  </si>
  <si>
    <t>DIVIDEND AND DIVIDEND PERCENTAGE</t>
  </si>
  <si>
    <t>Standalone Balance Sheet</t>
  </si>
  <si>
    <t>CIF VALUE OF IMPORTS</t>
  </si>
  <si>
    <t>EXPENDITURE IN FOREIGN EXCHANGE</t>
  </si>
  <si>
    <t>REMITTANCES IN FOREIGN CURRENCIES FOR DIVIDENDS</t>
  </si>
  <si>
    <t>Dividend Remittance In Foreign Currency</t>
  </si>
  <si>
    <t>EARNINGS IN FOREIGN EXCHANGE</t>
  </si>
  <si>
    <t>FOB Value Of Goods</t>
  </si>
  <si>
    <t>Other Earnings</t>
  </si>
  <si>
    <t>Bonus Equity Share Capital</t>
  </si>
  <si>
    <t>Current Investments Quoted Market Value</t>
  </si>
  <si>
    <t>Current Investments Unquoted Book Value</t>
  </si>
  <si>
    <t>Standalone Profit &amp; Loss account</t>
  </si>
  <si>
    <t>VALUE OF IMPORTED AND INDIGENIOUS RAW MATERIALS</t>
  </si>
  <si>
    <t>STORES, SPARES AND LOOSE TOOLS</t>
  </si>
  <si>
    <t>Notes</t>
  </si>
  <si>
    <t>Cash Flow Statement</t>
  </si>
  <si>
    <t>Common-Size Cash Flow Statement</t>
  </si>
  <si>
    <t>Cash Flow from Operating Activities</t>
  </si>
  <si>
    <t>Net Profit Before Tax</t>
  </si>
  <si>
    <t>Add: Depreciation &amp; Amortization</t>
  </si>
  <si>
    <t>Operating Profit before Working Capital Changes</t>
  </si>
  <si>
    <t>Changes in Working Capital:</t>
  </si>
  <si>
    <t>Other Long-Term Liabilities</t>
  </si>
  <si>
    <t>Total Changes in Working Capital</t>
  </si>
  <si>
    <t>Cash Generated from Operations</t>
  </si>
  <si>
    <t>Less: Direct Taxes Paid</t>
  </si>
  <si>
    <t>Net Cash from Operating Activities</t>
  </si>
  <si>
    <t>Cash Flow from Investing Activities</t>
  </si>
  <si>
    <t>Add: Proceeds from Sale of Fixed Assets</t>
  </si>
  <si>
    <t>Net Cash (used) in Investing Activities</t>
  </si>
  <si>
    <t>Cash Flow from Financing Activities</t>
  </si>
  <si>
    <t>Interest Paid</t>
  </si>
  <si>
    <t>Net Cash (used) in Financing Activities</t>
  </si>
  <si>
    <t>Increase/Decrease in Cash and Cash Equivalents</t>
  </si>
  <si>
    <t>Interest received</t>
  </si>
  <si>
    <t>Profit on sale of fixed assets</t>
  </si>
  <si>
    <t>Dividend received</t>
  </si>
  <si>
    <t>Add: Interest received</t>
  </si>
  <si>
    <t>Cash flow statement</t>
  </si>
  <si>
    <t>I</t>
  </si>
  <si>
    <t>Activity Ratios</t>
  </si>
  <si>
    <t>Inventory Turnover ratio</t>
  </si>
  <si>
    <t>Cost of goods sold</t>
  </si>
  <si>
    <t>Average Inventory</t>
  </si>
  <si>
    <t>Inventory Days</t>
  </si>
  <si>
    <t>Number of Days</t>
  </si>
  <si>
    <t>Receivables Turnover</t>
  </si>
  <si>
    <t>Revenue</t>
  </si>
  <si>
    <t>Average Receivables</t>
  </si>
  <si>
    <t>Days of sales outstanding</t>
  </si>
  <si>
    <t>Payables Turnover</t>
  </si>
  <si>
    <t>Cost of Goods Sold</t>
  </si>
  <si>
    <t>Average trade payables</t>
  </si>
  <si>
    <t>Working Capital Turnover</t>
  </si>
  <si>
    <t>Average working capital</t>
  </si>
  <si>
    <t>Fixed Asset Turnover</t>
  </si>
  <si>
    <t>Average Net fixed assets</t>
  </si>
  <si>
    <t>Total Asset turnover</t>
  </si>
  <si>
    <t>Average total assets</t>
  </si>
  <si>
    <t>Payables days</t>
  </si>
  <si>
    <t>II</t>
  </si>
  <si>
    <t>Liquidity  Ratios</t>
  </si>
  <si>
    <t>Current ratio</t>
  </si>
  <si>
    <t>Current assets</t>
  </si>
  <si>
    <t>Current liabilities</t>
  </si>
  <si>
    <t>Quick Ratio</t>
  </si>
  <si>
    <t>Cash Ratio</t>
  </si>
  <si>
    <t>Current assets - Inventory</t>
  </si>
  <si>
    <t>Current assets - Inventory - receivables</t>
  </si>
  <si>
    <t>Cash conversion cycle</t>
  </si>
  <si>
    <r>
      <rPr>
        <b/>
        <sz val="8"/>
        <color theme="1"/>
        <rFont val="Georgia"/>
        <family val="1"/>
      </rPr>
      <t xml:space="preserve">Are managers clear and consistent in their communications  and actions with stakeholders
</t>
    </r>
    <r>
      <rPr>
        <sz val="8"/>
        <color theme="1"/>
        <rFont val="Georgia"/>
        <family val="1"/>
      </rPr>
      <t xml:space="preserve">a) Read shareholders
b) Conference call transcripts on company websites
</t>
    </r>
  </si>
  <si>
    <t>Receivable Days</t>
  </si>
  <si>
    <t>Payable days</t>
  </si>
  <si>
    <t>III</t>
  </si>
  <si>
    <t>Solvency Ratios</t>
  </si>
  <si>
    <t>Total Debt (Short- term and long term)</t>
  </si>
  <si>
    <t>Debts- asset ratio ( Both short term and long term)</t>
  </si>
  <si>
    <t>Debts- asset ratio (long term)</t>
  </si>
  <si>
    <t>Total Debt (long term)</t>
  </si>
  <si>
    <t>Debt to capital</t>
  </si>
  <si>
    <t>Total Equity</t>
  </si>
  <si>
    <t>Total Capital</t>
  </si>
  <si>
    <t>Debt to Equity</t>
  </si>
  <si>
    <t>Average total Equity</t>
  </si>
  <si>
    <t>Interest coverage ratio</t>
  </si>
  <si>
    <t>EBIT</t>
  </si>
  <si>
    <t>Interest Cost</t>
  </si>
  <si>
    <t>IV</t>
  </si>
  <si>
    <t>Gross Profit Ratio</t>
  </si>
  <si>
    <t xml:space="preserve">Gross Profit </t>
  </si>
  <si>
    <t>Sales</t>
  </si>
  <si>
    <t>Operating profit ratio</t>
  </si>
  <si>
    <t>Operating Profit</t>
  </si>
  <si>
    <t>Net profit ratio</t>
  </si>
  <si>
    <t>Net Profit</t>
  </si>
  <si>
    <t>Profitability Ratios (Return on Sales)</t>
  </si>
  <si>
    <t>V</t>
  </si>
  <si>
    <t>Profitability Ratios (Return on investment)</t>
  </si>
  <si>
    <t>Return on assets</t>
  </si>
  <si>
    <t>Net profit + Post tax interest</t>
  </si>
  <si>
    <t>Return on capital employed</t>
  </si>
  <si>
    <t>PBIT</t>
  </si>
  <si>
    <t>DEBT + EQUITY</t>
  </si>
  <si>
    <t>Average equity</t>
  </si>
  <si>
    <t>Net profit before tax</t>
  </si>
  <si>
    <t>Return on equity (PBT)</t>
  </si>
  <si>
    <t>Return on equity (PAT)</t>
  </si>
  <si>
    <t>Du Pont model</t>
  </si>
  <si>
    <t>Net profit Margin</t>
  </si>
  <si>
    <t>Asset turnover</t>
  </si>
  <si>
    <t>Financial leverage Ratio</t>
  </si>
  <si>
    <t>Management Quality Checklists</t>
  </si>
  <si>
    <t>Receivables rising faster than sales or receivables rising faster</t>
  </si>
  <si>
    <t>% Increase</t>
  </si>
  <si>
    <t>Debtors</t>
  </si>
  <si>
    <t>Yes</t>
  </si>
  <si>
    <t>No</t>
  </si>
  <si>
    <t>Cash flow from operations lower then operating profit/ Net profit</t>
  </si>
  <si>
    <t>CFO</t>
  </si>
  <si>
    <t>Capitalisation of high portion of R&amp; D Costs</t>
  </si>
  <si>
    <t>Read annual report</t>
  </si>
  <si>
    <t>Depreciation policy of the company with peers</t>
  </si>
  <si>
    <t>Rising receivable days - may be credit period relaxed</t>
  </si>
  <si>
    <t>Remarks</t>
  </si>
  <si>
    <t>Boost in income from one time activity</t>
  </si>
  <si>
    <t>Sharp rise in profits just after bad year (Company may have used big bath accounting</t>
  </si>
  <si>
    <t>Company turning proceeds from sale of business into revenue stream</t>
  </si>
  <si>
    <t>Shift in normal operating expenses below the line</t>
  </si>
  <si>
    <t>Company routinely recording restructuring charges</t>
  </si>
  <si>
    <t>Company turning proceeds from sale of subsidary into revenue stream</t>
  </si>
  <si>
    <t>Company creating reserves and releasing them in later periods</t>
  </si>
  <si>
    <t>Sudden decline in deferred revenue</t>
  </si>
  <si>
    <t>Unexpectedly consistent earnings during a volatile time</t>
  </si>
  <si>
    <t>Signs being revenue being held by target just before acquisition closes</t>
  </si>
  <si>
    <t>IPOs</t>
  </si>
  <si>
    <t>Business difficult to understand</t>
  </si>
  <si>
    <t>Business with lot of regulations</t>
  </si>
  <si>
    <t>Company making lot of acquisitions</t>
  </si>
  <si>
    <t>Company frequently merging / demerging its departments</t>
  </si>
  <si>
    <t>Real estate/ engineering / construction companies</t>
  </si>
  <si>
    <t>Banks / NBFCs/ Financial institutions</t>
  </si>
  <si>
    <t>Companies from groups like reliance/ adani/ sterilte</t>
  </si>
  <si>
    <t>Unexplained increase in Fixed assets</t>
  </si>
  <si>
    <t>Unusual large sales to certain customers with no history of sales</t>
  </si>
  <si>
    <t>Unexpected increase in transactions with RPT/ JVs</t>
  </si>
  <si>
    <t>Companies using percentage of completion normally use aggressive assumptions</t>
  </si>
  <si>
    <t>Non-Recurring / extra ordinary expenses  have been occuring on regular basis</t>
  </si>
  <si>
    <t>Do not get excited by results of few good quarters</t>
  </si>
  <si>
    <t>Increase in capex without subsequent increase in sales (Company might be capitalisating normal operating expenses)</t>
  </si>
  <si>
    <t>Auditors qualifications if any</t>
  </si>
  <si>
    <t>VI</t>
  </si>
  <si>
    <t>Calculation of cash flows</t>
  </si>
  <si>
    <t>Cash flow from operating activities</t>
  </si>
  <si>
    <t>Net Capital Expenditure</t>
  </si>
  <si>
    <t>Purchase of Fixed assets</t>
  </si>
  <si>
    <t>Free Cash flows to Firm (FCFF)</t>
  </si>
  <si>
    <t>Free Cash flows to equity (FCFE)</t>
  </si>
  <si>
    <t>Sale of fixed assets</t>
  </si>
  <si>
    <t>FCFF</t>
  </si>
  <si>
    <t>Net borrowing</t>
  </si>
  <si>
    <t>Net Repayment</t>
  </si>
  <si>
    <t>DCF</t>
  </si>
  <si>
    <t>Residual Earnings Valuation</t>
  </si>
  <si>
    <t>Closing Book Value / Share (FY17)</t>
  </si>
  <si>
    <t>FY18E</t>
  </si>
  <si>
    <t>FY19E</t>
  </si>
  <si>
    <t>FY17E</t>
  </si>
  <si>
    <t>Operating margin has been considered hence depreciation already considered</t>
  </si>
  <si>
    <t>Capital Work-In-Progress</t>
  </si>
  <si>
    <t>Other Current assets</t>
  </si>
  <si>
    <t>Tax For Earlier Years</t>
  </si>
  <si>
    <t>Interest expense</t>
  </si>
  <si>
    <t>Non-current assets</t>
  </si>
  <si>
    <t>Increase in Fixed deposits</t>
  </si>
  <si>
    <t>Dividend Paid</t>
  </si>
  <si>
    <t>Tax on dividend paid</t>
  </si>
  <si>
    <t>Divided received</t>
  </si>
  <si>
    <t>Number of shares</t>
  </si>
  <si>
    <t>Employees Stock Options</t>
  </si>
  <si>
    <t>Deferred Tax Liabilities [Net]</t>
  </si>
  <si>
    <t>Intangible Assets Under Development</t>
  </si>
  <si>
    <t>Long Term Loans And Advances</t>
  </si>
  <si>
    <t>Other Operating Revenues</t>
  </si>
  <si>
    <t>With Assets</t>
  </si>
  <si>
    <t>With Liabilities</t>
  </si>
  <si>
    <t>Intangible Assets under development</t>
  </si>
  <si>
    <t>Foreign exchange gain / loss</t>
  </si>
  <si>
    <t>Expense regcognised in respect of equity based payments</t>
  </si>
  <si>
    <t>Repayment of borrowings</t>
  </si>
  <si>
    <t>Bad Debts</t>
  </si>
  <si>
    <t>Consol Balance Sheet</t>
  </si>
  <si>
    <t>Consol Profit &amp; Loss account</t>
  </si>
  <si>
    <t>Minority Interest</t>
  </si>
  <si>
    <t>Share Of Profit/Loss Of Associates</t>
  </si>
  <si>
    <t>Consolidated Profit/Loss After MI And Associates</t>
  </si>
  <si>
    <t>Equity Share Dividend</t>
  </si>
  <si>
    <t>Tax On Dividend</t>
  </si>
  <si>
    <t>Goodwill on consolidation</t>
  </si>
  <si>
    <t xml:space="preserve">EPV Calculation </t>
  </si>
  <si>
    <t>EPV Calculation</t>
  </si>
  <si>
    <t>Price</t>
  </si>
  <si>
    <t>EPS</t>
  </si>
  <si>
    <t>Standalone</t>
  </si>
  <si>
    <t>Consol</t>
  </si>
  <si>
    <t>Expected Growth %</t>
  </si>
  <si>
    <t>Book Value</t>
  </si>
  <si>
    <t>Sales per Share</t>
  </si>
  <si>
    <t>Raw Materials</t>
  </si>
  <si>
    <t>Capital Goods</t>
  </si>
  <si>
    <t>Less: MAT Credit Entitlement</t>
  </si>
  <si>
    <t>Imported Raw Materials</t>
  </si>
  <si>
    <t>Indigenous Raw Materials</t>
  </si>
  <si>
    <t>Imported Stores And Spares</t>
  </si>
  <si>
    <t>Indigenous Stores And Spares</t>
  </si>
  <si>
    <t>Sundry balance written off</t>
  </si>
  <si>
    <t>Impairment loss recognised in Fixed assets</t>
  </si>
  <si>
    <t>Growth in FCF</t>
  </si>
  <si>
    <t>Trade/Other Goods</t>
  </si>
  <si>
    <t>Inventory</t>
  </si>
  <si>
    <t>Short term loans and advances</t>
  </si>
  <si>
    <t>Other current assets</t>
  </si>
  <si>
    <t>Other non- current assets</t>
  </si>
  <si>
    <t>Inter-corporate deposits</t>
  </si>
  <si>
    <t>Add: Interest Subsidy</t>
  </si>
  <si>
    <t>P/L Before Other Inc., Int., Excpt. Items &amp; Tax</t>
  </si>
  <si>
    <t>Share Of P/L Of Associates</t>
  </si>
  <si>
    <t>Net P/L After M.I &amp; Associates</t>
  </si>
  <si>
    <t>Income from investment activity</t>
  </si>
  <si>
    <t>Other payables</t>
  </si>
  <si>
    <t>Security deposit for acqusition of rights</t>
  </si>
  <si>
    <t>Share application money paid</t>
  </si>
  <si>
    <t>Loan from / repayment subsidaries</t>
  </si>
  <si>
    <t>Repayment of borrowings/ non- covertible debentures</t>
  </si>
  <si>
    <t>Issue of non-convertible debentures</t>
  </si>
  <si>
    <t>Proceeds from Borrowings</t>
  </si>
  <si>
    <t>Repayment of Long term and other borrowings</t>
  </si>
  <si>
    <t>Other advances and receivables</t>
  </si>
  <si>
    <t>Share in minority interest</t>
  </si>
  <si>
    <t>Share of minority interest</t>
  </si>
  <si>
    <t>Issue of share warrants/ shares</t>
  </si>
  <si>
    <t>Repayment of borrowings/ NCDs</t>
  </si>
  <si>
    <t>Proceeds from borrowings</t>
  </si>
  <si>
    <t>Dividend tax</t>
  </si>
  <si>
    <t>Investment in subsidary</t>
  </si>
  <si>
    <t>QIP/ Debenture issue expenses</t>
  </si>
  <si>
    <t>NCD Interest</t>
  </si>
  <si>
    <t>Interest income</t>
  </si>
  <si>
    <t>Receipt of borrowings/ NCDs</t>
  </si>
  <si>
    <t>Proceeds from issue of Share warrants/ Shares/ QIP</t>
  </si>
  <si>
    <t>QIB/ Debenture issue expenses</t>
  </si>
  <si>
    <t>ESOP expenses</t>
  </si>
  <si>
    <t>Provision for diminution in the value of investments</t>
  </si>
  <si>
    <t>Profit from sale of mutual funds</t>
  </si>
  <si>
    <t>Profit from sale of subsidary</t>
  </si>
  <si>
    <t>Profit from sale of investments</t>
  </si>
  <si>
    <t>Profit from sale of undertaking</t>
  </si>
  <si>
    <t>Deferred compensation payable</t>
  </si>
  <si>
    <t>Unrealised gain/loss from derivative instruements</t>
  </si>
  <si>
    <t>Rental income from investment property</t>
  </si>
  <si>
    <t>Liability no longer required written back</t>
  </si>
  <si>
    <t>Interest on Income tax</t>
  </si>
  <si>
    <t>Less: Capital Expenditure/ Purchase of fixed assets</t>
  </si>
  <si>
    <t>Proceeds from sale of Mutual funds</t>
  </si>
  <si>
    <t>Proceeds from sale of Debentures</t>
  </si>
  <si>
    <t>Proceeds from sale of subsidaries</t>
  </si>
  <si>
    <t>Proceeds from sale of investments</t>
  </si>
  <si>
    <t>Rental Income from investment property</t>
  </si>
  <si>
    <t>Investment in FDs with banks</t>
  </si>
  <si>
    <t>Proceeds from FDs with banks</t>
  </si>
  <si>
    <t>Proceeds from other non-current assets</t>
  </si>
  <si>
    <t>Amount used in Buy back of Shares</t>
  </si>
  <si>
    <t>Dividend paid</t>
  </si>
  <si>
    <t>Profit on redemtion of mutual funds</t>
  </si>
  <si>
    <t>Profit from sale of subsidaries</t>
  </si>
  <si>
    <t>Rental income</t>
  </si>
  <si>
    <t>Currency translation reserve released</t>
  </si>
  <si>
    <t>Unrealised loss/ gain from derivative instruements</t>
  </si>
  <si>
    <t>Less: Capital Expenditure/ purchase of fixed assets</t>
  </si>
  <si>
    <t>Proceeds from redemption of debentures</t>
  </si>
  <si>
    <t>Acquisition of subsidary</t>
  </si>
  <si>
    <t>Sale of subsidary</t>
  </si>
  <si>
    <t>Payment of deferred consideration</t>
  </si>
  <si>
    <t>Purchase of long term Investments</t>
  </si>
  <si>
    <t>Sale of long term Investments</t>
  </si>
  <si>
    <t>Amount used in Buy back</t>
  </si>
  <si>
    <t>Provision for doubtful receivables</t>
  </si>
  <si>
    <t>Provision for doubtful advances</t>
  </si>
  <si>
    <t>Dividend received from subsidary</t>
  </si>
  <si>
    <t>Investment in Mutual fund</t>
  </si>
  <si>
    <t>Proceeds from buyback of subsidary share</t>
  </si>
  <si>
    <t>Investment in Long term FDs</t>
  </si>
  <si>
    <t>Proceeds from Long term FDs</t>
  </si>
  <si>
    <t>Proceeds from mutual fund</t>
  </si>
  <si>
    <t>Investment in Long term FDs with Bank</t>
  </si>
  <si>
    <t>Proceeds from Long term Fds with bank</t>
  </si>
  <si>
    <t>Margin money deposits</t>
  </si>
  <si>
    <t>Increase in Non-current investments</t>
  </si>
  <si>
    <t>Deferred compensation payable to shareholds of subsidaries</t>
  </si>
  <si>
    <t>Provisions/ Liability no longer required written back</t>
  </si>
  <si>
    <t>Margin money</t>
  </si>
  <si>
    <t xml:space="preserve">Current market price </t>
  </si>
  <si>
    <t xml:space="preserve">No Of Shares </t>
  </si>
  <si>
    <t>- Number of shares (lakhs)</t>
  </si>
  <si>
    <t>(Rs lakhs)</t>
  </si>
  <si>
    <t>Figures in Rs lakhs | Enter values only in red cells</t>
  </si>
  <si>
    <t>(All figures in Rs lakhs)</t>
  </si>
  <si>
    <t>Employees Stock Options/ share application money pending allotment</t>
  </si>
  <si>
    <t>Other non-current liabilities</t>
  </si>
  <si>
    <t>Security premium</t>
  </si>
  <si>
    <t>15 point analysis of philips fischer</t>
  </si>
  <si>
    <t>Does the company have products or services with sufficient market potential to make possible a sizable increase in sales for at least several years?</t>
  </si>
  <si>
    <t>Does the management have a determination to continue to develop products or processes that will still further increase total sales when the growth potentials of currently attractive product lines have largely been exploited?</t>
  </si>
  <si>
    <t>When to sell</t>
  </si>
  <si>
    <t>Stop loss</t>
  </si>
  <si>
    <t>How effective are the company's research and development efforts in relation to its size?</t>
  </si>
  <si>
    <t>Does the company have an above-average sales organization?</t>
  </si>
  <si>
    <t>Does the company have a worthwhile profit margin?</t>
  </si>
  <si>
    <t>What is the company doing to maintain or improve profit margins?</t>
  </si>
  <si>
    <t>Does the company have outstanding labor and personnel relations?</t>
  </si>
  <si>
    <t>Does the company have outstanding executive relations?</t>
  </si>
  <si>
    <t>Does the company have depth to its management?</t>
  </si>
  <si>
    <t>How good are the company’s cost analysis and accounting controls?</t>
  </si>
  <si>
    <t>Are there other aspects of the business, somewhat peculiar to the industry involved, which will give the investor important clues as to how outstanding the company may be in relation to its competition?</t>
  </si>
  <si>
    <t>Does the company have a short-range or long-range outlook in regard to profits?</t>
  </si>
  <si>
    <t>In the foreseeable future, will the growth of the company require sufficient equity financing so that the larger number of shares then outstanding will largely cancel the existing shareholders' benefit from this anticipated growth?</t>
  </si>
  <si>
    <t>Does the management talk freely to investors about its affairs when things are going well but "clam up" when troubles and disappointments occur?</t>
  </si>
  <si>
    <t>Does the company have a management of unquestionable integrity?</t>
  </si>
  <si>
    <t>Mar 24</t>
  </si>
  <si>
    <t>Other assets</t>
  </si>
  <si>
    <t>Mar '25</t>
  </si>
  <si>
    <t>Total Capital empployed</t>
  </si>
  <si>
    <t>Share of Profit of associate</t>
  </si>
  <si>
    <t>Government incentive scheme</t>
  </si>
  <si>
    <t>Gratuity</t>
  </si>
  <si>
    <t>leave encashment</t>
  </si>
  <si>
    <t>Litigations</t>
  </si>
  <si>
    <t>Payment towards reduction of outstanding lease liability</t>
  </si>
  <si>
    <t>Repayment of Short term borrowings</t>
  </si>
  <si>
    <t>Shares Outstanding (crores)</t>
  </si>
  <si>
    <t>Number of shares  (in numbers)</t>
  </si>
  <si>
    <t>FY27</t>
  </si>
  <si>
    <t>FY28</t>
  </si>
  <si>
    <t>FY29</t>
  </si>
  <si>
    <t>FY30</t>
  </si>
  <si>
    <t>FY31</t>
  </si>
  <si>
    <t>FY32</t>
  </si>
  <si>
    <t>FY24E</t>
  </si>
  <si>
    <t>FY25E</t>
  </si>
  <si>
    <t>FY26E</t>
  </si>
  <si>
    <t>Cash flow shenanigans</t>
  </si>
  <si>
    <t>Whether the company does securitisation of trade receivables</t>
  </si>
  <si>
    <t>Recording bogus CFO from a normal bank borrowing</t>
  </si>
  <si>
    <t>Shifting cash inflow from financing to operating activities</t>
  </si>
  <si>
    <t>Shifting Normal Operating Cash Outflows to Investing Section</t>
  </si>
  <si>
    <t>Incorrectly capitalisation of operating costs (checking growing soft assets, cwip and intangible assets)</t>
  </si>
  <si>
    <t>Recording the purchase of Inventory as an investing outflow</t>
  </si>
  <si>
    <t>Inflating Operating Cash Flow using Acquisitions</t>
  </si>
  <si>
    <t>Companies that make numerous acquisitions</t>
  </si>
  <si>
    <t>Declining free cash flow while CFO appears to be strong</t>
  </si>
  <si>
    <t>a)</t>
  </si>
  <si>
    <t>b)</t>
  </si>
  <si>
    <t>c)</t>
  </si>
  <si>
    <t>d)</t>
  </si>
  <si>
    <t>e)</t>
  </si>
  <si>
    <t>f)</t>
  </si>
  <si>
    <t>g)</t>
  </si>
  <si>
    <t>h)</t>
  </si>
  <si>
    <t>i)</t>
  </si>
  <si>
    <t xml:space="preserve">Financials along with ratios  and quantitative </t>
  </si>
  <si>
    <t>Financial results and highlights</t>
  </si>
  <si>
    <t>Segment revenue</t>
  </si>
  <si>
    <t>Director report</t>
  </si>
  <si>
    <t>Management discussion and analysis</t>
  </si>
  <si>
    <t>Chairman letter</t>
  </si>
  <si>
    <t>Read 5 years annual reports (module 21)</t>
  </si>
  <si>
    <t>Competitors annual reports for 3-5 years Excel analysis</t>
  </si>
  <si>
    <t>Understanding of the revenue model</t>
  </si>
  <si>
    <t>Contrarian views on the stock</t>
  </si>
  <si>
    <t>SWOT Analysis of the company</t>
  </si>
  <si>
    <t>What is the total industry size (check competitors annual reports also)</t>
  </si>
  <si>
    <t>4 qtrs investors concall</t>
  </si>
  <si>
    <t>Write a note on why you want to invest in the company</t>
  </si>
  <si>
    <t>Scuttlebutt approach of getting information</t>
  </si>
  <si>
    <t>Competitors</t>
  </si>
  <si>
    <t>Employees (linkedin, glassdoor)</t>
  </si>
  <si>
    <t>Vendors</t>
  </si>
  <si>
    <t>Customers (Online reviews)</t>
  </si>
  <si>
    <t>Government</t>
  </si>
  <si>
    <t>Analyse if the investment goes wrong</t>
  </si>
  <si>
    <t>Define margin of safety</t>
  </si>
  <si>
    <t>Call with the management</t>
  </si>
  <si>
    <t>Is that company/industry in my circle of competence</t>
  </si>
  <si>
    <t>What are the key companies</t>
  </si>
  <si>
    <t>What drives their growth and profits</t>
  </si>
  <si>
    <t>Challenges they face</t>
  </si>
  <si>
    <t>Will this industry survive the nezxt 10 years in its current format</t>
  </si>
  <si>
    <t>Cash flow analysis</t>
  </si>
  <si>
    <t>Analyse where cash is generated and used in last 3-5 years</t>
  </si>
  <si>
    <t>Under each head observe major sources of cash generation and utlisation</t>
  </si>
  <si>
    <t>If cash inflow from operation activities then how is it consumed</t>
  </si>
  <si>
    <t>Is cash flow from operating activities enough to cover capex</t>
  </si>
  <si>
    <t>Is cash flow from operations Greater than net income</t>
  </si>
  <si>
    <t>Consistency of cash flows</t>
  </si>
  <si>
    <t>Cash flow from investing activities where is it coming from operating or financing</t>
  </si>
  <si>
    <t>Financing nature of capital sources</t>
  </si>
  <si>
    <t>Calculate FCFF and FCFE</t>
  </si>
  <si>
    <t>Notes inconsistencies in ratios - Module 26, 27 , 28</t>
  </si>
  <si>
    <t>Inventory high or low reason</t>
  </si>
  <si>
    <t>DTR- high or low reason</t>
  </si>
  <si>
    <t>Check current and quick ratio with inventory turnover ratio</t>
  </si>
  <si>
    <t>Compare ratio with competitors</t>
  </si>
  <si>
    <t>Page 6 - Module 27</t>
  </si>
  <si>
    <t>Analysis of ROE, Growth rate and cost of equity</t>
  </si>
  <si>
    <t>DU pont analysis, growth rate &gt; ROE, PE ratio, ROE and Growth rate cost of equity</t>
  </si>
  <si>
    <t>Financial Shenanigans checklist (module 29 and 30)</t>
  </si>
  <si>
    <t>Same auditor for many years, audit fees comparison vs industry</t>
  </si>
  <si>
    <t>Michael Porters - 5 Pt analysis (Module 31, 32 and 33)</t>
  </si>
  <si>
    <t>Revenue growth</t>
  </si>
  <si>
    <t>Turnover ratios eg , Asset turnover ratio</t>
  </si>
  <si>
    <t>Profit margings - Du pont model</t>
  </si>
  <si>
    <t>Return on equity</t>
  </si>
  <si>
    <t>Positive FCF</t>
  </si>
  <si>
    <t>Do reverse DCF to understand how stock market is valuing the company</t>
  </si>
  <si>
    <t>Growth rate not above 20% in first 5 years and 10% for next 5 years</t>
  </si>
  <si>
    <t>Terminal growth rate not above 2%</t>
  </si>
  <si>
    <t>Discount rate 12 % for stable companies and 15% for growth companies</t>
  </si>
  <si>
    <t>Intrinsic value - share price should be 50-60% of Intrinsic value (MOS)</t>
  </si>
  <si>
    <t>Quarterly reading of financials (Checklist to prepare)</t>
  </si>
  <si>
    <t>Relative valuation Models (page 3, page 11 of module 41)</t>
  </si>
  <si>
    <t>Investor Checklist (Page 4, 43)</t>
  </si>
  <si>
    <t>Is the company a value trap</t>
  </si>
  <si>
    <t>Is it a bruised blue chip or relatively unpopular large company</t>
  </si>
  <si>
    <t>Issues</t>
  </si>
  <si>
    <t>Strength</t>
  </si>
  <si>
    <t>Investment in FDs with banks/Investments/MF</t>
  </si>
  <si>
    <t>Others</t>
  </si>
  <si>
    <t/>
  </si>
  <si>
    <t>Questions</t>
  </si>
  <si>
    <t>Reserves reconciliation</t>
  </si>
  <si>
    <t>Revenue model</t>
  </si>
  <si>
    <t>Is Managements salary more then 3% of net profits ?? (Check year wise</t>
  </si>
  <si>
    <t>Opportunities</t>
  </si>
  <si>
    <t>Threats</t>
  </si>
  <si>
    <t>% growth</t>
  </si>
  <si>
    <t>Sales growth</t>
  </si>
  <si>
    <t>Ratio Analysis_Conso'!A1</t>
  </si>
  <si>
    <t>yes</t>
  </si>
  <si>
    <t>Conso</t>
  </si>
  <si>
    <t>Service centres</t>
  </si>
  <si>
    <t>Threat of new entry</t>
  </si>
  <si>
    <t>Time and cost of entry</t>
  </si>
  <si>
    <t>Specialist knowledge</t>
  </si>
  <si>
    <t>Economies of scale</t>
  </si>
  <si>
    <t>Cost advantages</t>
  </si>
  <si>
    <t>Technology protection</t>
  </si>
  <si>
    <t>Competitive rivalry</t>
  </si>
  <si>
    <t>Number of competitors</t>
  </si>
  <si>
    <t>Differences in product quality</t>
  </si>
  <si>
    <t>Cost of switiching products</t>
  </si>
  <si>
    <t>Customer loyalty</t>
  </si>
  <si>
    <t>Cost of exiting the market</t>
  </si>
  <si>
    <t>Supplier power</t>
  </si>
  <si>
    <t>Number of suppliers</t>
  </si>
  <si>
    <t>Size of suppliers</t>
  </si>
  <si>
    <t>Uniqueness of service</t>
  </si>
  <si>
    <t>Ability to substitute</t>
  </si>
  <si>
    <t>Cost of substituting</t>
  </si>
  <si>
    <t>Threat of substitution</t>
  </si>
  <si>
    <t>Performance substitution</t>
  </si>
  <si>
    <t>Cost of substitution</t>
  </si>
  <si>
    <t>Buyer power</t>
  </si>
  <si>
    <t>Number of buyers / customers</t>
  </si>
  <si>
    <t>Size of buyers/ orders</t>
  </si>
  <si>
    <t>Cost of substituiting</t>
  </si>
  <si>
    <r>
      <rPr>
        <b/>
        <sz val="8"/>
        <color theme="1"/>
        <rFont val="Georgia"/>
        <family val="1"/>
      </rPr>
      <t xml:space="preserve">a) As per Chat GPT
</t>
    </r>
    <r>
      <rPr>
        <sz val="8"/>
        <color theme="1"/>
        <rFont val="Georgia"/>
        <family val="1"/>
      </rPr>
      <t>Buyers in the consumer and enterprise segments might have moderate power, especially given the availability of competing products.</t>
    </r>
  </si>
  <si>
    <r>
      <rPr>
        <b/>
        <sz val="8"/>
        <color theme="1"/>
        <rFont val="Georgia"/>
        <family val="1"/>
      </rPr>
      <t>a) As per Chat Gpt</t>
    </r>
    <r>
      <rPr>
        <sz val="8"/>
        <color theme="1"/>
        <rFont val="Georgia"/>
        <family val="1"/>
      </rPr>
      <t xml:space="preserve">
High threat if competitors innovate faster or offer superior price-performance ratios in networking hardware.</t>
    </r>
  </si>
  <si>
    <r>
      <rPr>
        <b/>
        <sz val="8"/>
        <color theme="1"/>
        <rFont val="Georgia"/>
        <family val="1"/>
      </rPr>
      <t xml:space="preserve">a) As per Chat GPT
</t>
    </r>
    <r>
      <rPr>
        <sz val="8"/>
        <color theme="1"/>
        <rFont val="Georgia"/>
        <family val="1"/>
      </rPr>
      <t>Intense rivalry with global competitors like Cisco, TP-Link, and Netgear, as well as emerging local players.</t>
    </r>
  </si>
  <si>
    <t>Answer : Moderate</t>
  </si>
  <si>
    <r>
      <rPr>
        <b/>
        <sz val="8"/>
        <color theme="1"/>
        <rFont val="Georgia"/>
        <family val="1"/>
      </rPr>
      <t xml:space="preserve">a) As per Chat GPT
</t>
    </r>
    <r>
      <rPr>
        <sz val="8"/>
        <color theme="1"/>
        <rFont val="Georgia"/>
        <family val="1"/>
      </rPr>
      <t>High barriers might exist due to established distribution networks and brand loyalty, but the tech industry often sees disruptive entrants.
D Link has established brand in SME sectors but , not able to scale up beyond that and technology changes can make it obsolete</t>
    </r>
  </si>
  <si>
    <t>Answer : Weak</t>
  </si>
  <si>
    <r>
      <rPr>
        <b/>
        <sz val="8"/>
        <color theme="1"/>
        <rFont val="Georgia"/>
        <family val="1"/>
      </rPr>
      <t xml:space="preserve">a) As per Chat GPT 
</t>
    </r>
    <r>
      <rPr>
        <sz val="8"/>
        <color theme="1"/>
        <rFont val="Georgia"/>
        <family val="1"/>
      </rPr>
      <t>Dependence on specific OEMs or chip manufacturers could impact costs, especially in the context of global chip shortages.
D Link relies on its holding company in taiwan. Switching to different manufacturers may be tough. Though the company has started outsourcing these to indian manufacturers but developing it will require time and effort</t>
    </r>
  </si>
  <si>
    <t>Answer: Weak</t>
  </si>
  <si>
    <t>Answer ; Weak</t>
  </si>
  <si>
    <t>Not applicable</t>
  </si>
  <si>
    <t>Marginal increase</t>
  </si>
  <si>
    <t>Trading of goods</t>
  </si>
  <si>
    <t>Producing new products</t>
  </si>
  <si>
    <t>Technological obsolecence</t>
  </si>
  <si>
    <t>Cisco, Netgear</t>
  </si>
  <si>
    <t>No its expensive</t>
  </si>
  <si>
    <t>Moderate</t>
  </si>
  <si>
    <t>In India investment in data centres is increasing, small and medium scale businesses are investing in cloud technology hence the market will increase</t>
  </si>
  <si>
    <t>Sources is operating activities and used for investment in mutual funds, dividends etc</t>
  </si>
  <si>
    <t>Cash generated from operations</t>
  </si>
  <si>
    <t>Consolidated</t>
  </si>
  <si>
    <t>7% growth, the company's management does not appear aggressive</t>
  </si>
  <si>
    <t>Company is comfortably liquid</t>
  </si>
  <si>
    <t>Company is paying of dividend, and investment in MF , But does not invest in building factory, or R&amp;D facility in India</t>
  </si>
  <si>
    <t>Consolidated - average of last 5 years</t>
  </si>
  <si>
    <t>Standalone - average of last 5 years</t>
  </si>
  <si>
    <t>Current management is in the business for the past decade or more</t>
  </si>
  <si>
    <t>Cash payments</t>
  </si>
  <si>
    <t>Its remaining stable</t>
  </si>
  <si>
    <t>Not available on internet</t>
  </si>
  <si>
    <t>The management has increased profit 4 times but sales have not doubled substantially. The increase has happened due to shifting manufacturing in India</t>
  </si>
  <si>
    <t>Not communication available on internet</t>
  </si>
  <si>
    <t>Management appears stable</t>
  </si>
  <si>
    <t>Within limits</t>
  </si>
  <si>
    <t>Stable</t>
  </si>
  <si>
    <t>No, but yes it is paying dividend to its holding company and not investing back to business</t>
  </si>
  <si>
    <t>Weak moat</t>
  </si>
  <si>
    <t>It sells product developed by its holding company</t>
  </si>
  <si>
    <t>Average</t>
  </si>
  <si>
    <t>Developing contract manufacturers in India</t>
  </si>
  <si>
    <t>Its a trading company</t>
  </si>
  <si>
    <t>Yes, but the management does not appear aggressive</t>
  </si>
  <si>
    <t>No communication available on internet</t>
  </si>
  <si>
    <t>The company appears profitable and has been consistently increasing its sales and profits.</t>
  </si>
  <si>
    <t>Its return on equity is also good and does not have any debt</t>
  </si>
  <si>
    <t>It appears that the holding company has appointed it as a distributor in india for its products and ensuring profit margins are maintained</t>
  </si>
  <si>
    <t>The mangement and its holding company do not appear aggressive enough to indian market are content on the growth they are achieving</t>
  </si>
  <si>
    <t>Further it is facing competition from its rivals and not able to scale up its business</t>
  </si>
  <si>
    <t>Business Qualitative Assessment (Module 4, lesson 34)</t>
  </si>
  <si>
    <t>Royal Orchid</t>
  </si>
  <si>
    <t>Q-2 - FY 2023-24</t>
  </si>
  <si>
    <t>Decrease in profits due to incresae in 
a) payroll cost, 
b) electrcity and gas expenses</t>
  </si>
  <si>
    <t>10-15% increase inn food and beverages business</t>
  </si>
  <si>
    <t>Check quarterly</t>
  </si>
  <si>
    <t>a) Average room rate (JLO)  - Rs 5,087 , average occupancy : 73%
b) Average room rate (managed)  - Rs 3,747, average occupancy : 54%</t>
  </si>
  <si>
    <t>Revenue guidance of around 375 crores in FY 2023-24</t>
  </si>
  <si>
    <t>Revenue increase of 25 to 30% per annum</t>
  </si>
  <si>
    <t>Negative point related to debentures and related party loan @ 14%</t>
  </si>
  <si>
    <t>Q-3 - FY 2023-24</t>
  </si>
  <si>
    <t>a) Average room rate (JLO)  - Rs 5,656 , average occupancy : 76%
b) Average room rate (managed)  - Rs 4,184, average occupancy : 63%</t>
  </si>
  <si>
    <t>Total Keys : 5795</t>
  </si>
  <si>
    <t>Actual</t>
  </si>
  <si>
    <t>313 crores, 340 crores including jaipur</t>
  </si>
  <si>
    <t>Q-1 - FY 2024-25</t>
  </si>
  <si>
    <t>Revenue guidance of around 375 crores in FY 2024-25
Rs 500 crores in fy 2025-26</t>
  </si>
  <si>
    <t>Room renovations to continue till December 2024</t>
  </si>
  <si>
    <t xml:space="preserve">Target to hit 200 hotels by Feb 2026, 100 crores PAT </t>
  </si>
  <si>
    <t>Mumbai will be 300 room hotel and surat 288 room hotel</t>
  </si>
  <si>
    <t>Renovation in Bangalore and goa</t>
  </si>
  <si>
    <t>Goodwill</t>
  </si>
  <si>
    <t>Financials_Consol</t>
  </si>
  <si>
    <t>Financials_Standalone!A1</t>
  </si>
  <si>
    <t>Common Size Analysis - BS Conso</t>
  </si>
  <si>
    <t>Common Size Analysis - BS'!A1</t>
  </si>
  <si>
    <t>Common Size Analysis - PL Conso</t>
  </si>
  <si>
    <t>Common Size Analysis - PL'!A1</t>
  </si>
  <si>
    <t>Common Size Analysis - CFS Conso</t>
  </si>
  <si>
    <t>Common Size Analysis - CFS'!A1</t>
  </si>
  <si>
    <t>Ratio Analysis Conso</t>
  </si>
  <si>
    <t>Ratio Analysis'!A1</t>
  </si>
  <si>
    <t>Valuation Models DCF Conso</t>
  </si>
  <si>
    <t>Valuation Models DCF'!A1</t>
  </si>
  <si>
    <t>Net profit after tax</t>
  </si>
  <si>
    <t>Indian domestic tourism to touch 2.8 bn by 2022 (AR 2019-20)</t>
  </si>
  <si>
    <t>JV, leased and owned</t>
  </si>
  <si>
    <t>Mangement contracts</t>
  </si>
  <si>
    <t>Hotel growth</t>
  </si>
  <si>
    <t>FY 2019-20</t>
  </si>
  <si>
    <t>Hotels</t>
  </si>
  <si>
    <t>Keys</t>
  </si>
  <si>
    <t>Market capitalisation</t>
  </si>
  <si>
    <t>Share holding of promoter group</t>
  </si>
  <si>
    <t>Women family member in board of directors</t>
  </si>
  <si>
    <t>a) Sunita Baljee retired in FY 2019-20 ( November 2019)</t>
  </si>
  <si>
    <t>Case filed by Kamat hotels for use of its Brand name</t>
  </si>
  <si>
    <t>Other points</t>
  </si>
  <si>
    <t>Total employees  1079 and contractual : 287</t>
  </si>
  <si>
    <t>Check subsidiaries balance sheet for any potential dimmuniation in value of investment and also loans given to subsidiaries</t>
  </si>
  <si>
    <t>Loan from related party of Rs 1.05 crores @18% (AR 2019-20)</t>
  </si>
  <si>
    <t>Increase in salary of chairmand by 15% despite no major performance of the company (AR 2019-20)- Salary Rs 2.73 crores</t>
  </si>
  <si>
    <t>AR -19-20</t>
  </si>
  <si>
    <t>Room Nights</t>
  </si>
  <si>
    <t>Amount</t>
  </si>
  <si>
    <t>%</t>
  </si>
  <si>
    <t>F&amp;B</t>
  </si>
  <si>
    <t>other Services</t>
  </si>
  <si>
    <t>Hotel management and consultancy</t>
  </si>
  <si>
    <t>F&amp;B consumed</t>
  </si>
  <si>
    <t>GP on F&amp;B consumed</t>
  </si>
  <si>
    <t>GP %</t>
  </si>
  <si>
    <t>Cost of goods sold (Add power and fuel)</t>
  </si>
  <si>
    <t>Recheck - other expenses details growth year on year</t>
  </si>
  <si>
    <t>What is FD held for trade payable in FY 2019-20</t>
  </si>
  <si>
    <t>Understand note 50 related to bifurcation of total assets in consolidated FS ( AR 2019-20)</t>
  </si>
  <si>
    <t>FY 2020-21</t>
  </si>
  <si>
    <t>a) Impairment of Rs 6 crores in subsidiaries in AR 2020-21</t>
  </si>
  <si>
    <t>Complex ownership structure with multiple subsidiaries and risk in impairment in valueof investments</t>
  </si>
  <si>
    <t>Age of promoter CK Baljee ( around 74), though younger family members have joined</t>
  </si>
  <si>
    <t>Net profit after tax excluding exceptional items</t>
  </si>
  <si>
    <t>Tourism sector to touch USD 460 bn by 2028</t>
  </si>
  <si>
    <t>FY 2021-22</t>
  </si>
  <si>
    <t xml:space="preserve">a) AR 2019-20 : 69.44%
b) AR 2020-21 : 69.43%
c) AR 2021-22 : 64.02%
</t>
  </si>
  <si>
    <t>AR -21-22</t>
  </si>
  <si>
    <t>Check status of "Ksheer Sagar Developers Private Limited" which has accumulated losses of around 60 crores as on March 31, 2022</t>
  </si>
  <si>
    <t>FY 2022-23</t>
  </si>
  <si>
    <t>Mar 25</t>
  </si>
  <si>
    <t>Jun '25</t>
  </si>
  <si>
    <t>Sep '25</t>
  </si>
  <si>
    <t>Dec '25</t>
  </si>
  <si>
    <t>Mar '26</t>
  </si>
  <si>
    <t>June 25</t>
  </si>
  <si>
    <t>Sep 25</t>
  </si>
  <si>
    <t>Dec 25</t>
  </si>
  <si>
    <t>March 26</t>
  </si>
  <si>
    <t>FY33</t>
  </si>
  <si>
    <t>-</t>
  </si>
  <si>
    <t>Weakness</t>
  </si>
  <si>
    <t>Q-4 Fy 2024-25</t>
  </si>
  <si>
    <t>Q-1 Fy 2025-26</t>
  </si>
  <si>
    <t>To check</t>
  </si>
  <si>
    <t>As on Feb 20, 2026</t>
  </si>
  <si>
    <t>Taken only for Fy 2024-25</t>
  </si>
  <si>
    <t>Technical Analysis</t>
  </si>
  <si>
    <t>Recent fillings with NSE</t>
  </si>
  <si>
    <t>Average PE of competitors</t>
  </si>
  <si>
    <t>Titagarh Rail systems</t>
  </si>
  <si>
    <t>Jupiter Wagons limited</t>
  </si>
  <si>
    <t>Texmaco Rail and engineering limited</t>
  </si>
  <si>
    <t>AIA enginnering limited</t>
  </si>
  <si>
    <t>Steelcast Limited</t>
  </si>
  <si>
    <t>Studds Accessories</t>
  </si>
  <si>
    <t>COGS</t>
  </si>
  <si>
    <t>Endurance Technologies</t>
  </si>
  <si>
    <t>Previous Years �</t>
  </si>
  <si>
    <t>------------------- in Rs. Cr. -------------------</t>
  </si>
  <si>
    <t>12 mths</t>
  </si>
  <si>
    <t>OtherCurrentAssets</t>
  </si>
  <si>
    <t>Expenditure In Foreign Currency</t>
  </si>
  <si>
    <r>
      <t>� Next Years</t>
    </r>
    <r>
      <rPr>
        <sz val="11"/>
        <color theme="1"/>
        <rFont val="Arial"/>
        <family val="2"/>
      </rPr>
      <t> </t>
    </r>
    <r>
      <rPr>
        <b/>
        <sz val="8"/>
        <color rgb="FF0000FF"/>
        <rFont val="Arial"/>
        <family val="2"/>
      </rPr>
      <t>Previous Years �</t>
    </r>
  </si>
  <si>
    <t>Mar 20</t>
  </si>
  <si>
    <t>Cost Of Materials Consumed</t>
  </si>
  <si>
    <t>Tax Expenses-Continued Operations</t>
  </si>
  <si>
    <t>Less: Amounts Transfer To Capital Accounts</t>
  </si>
  <si>
    <t>Consolidated Balance Sheet</t>
  </si>
  <si>
    <t>Consolidated Profit &amp; Loss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</si>
</sst>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quot;£&quot;#,##0.00;[Red]\-&quot;£&quot;#,##0.00"/>
    <numFmt numFmtId="165" formatCode="&quot;$&quot;#,##0_);[Red]\(&quot;$&quot;#,##0\)"/>
    <numFmt numFmtId="166" formatCode="_(* #,##0.00_);_(* \(#,##0.00\);_(* &quot;-&quot;??_);_(@_)"/>
    <numFmt numFmtId="167" formatCode="_(* #,##0_);_(* \(#,##0\);_(* &quot;-&quot;??_);_(@_)"/>
    <numFmt numFmtId="168" formatCode="#,##0.000_);[Red]\(#,##0.000\)"/>
    <numFmt numFmtId="169" formatCode="_ * #,##0.0_ ;_ * \-#,##0.0_ ;_ * &quot;-&quot;??_ ;_ @_ "/>
    <numFmt numFmtId="170" formatCode="0.0%"/>
    <numFmt numFmtId="171" formatCode="_ * #,##0_ ;_ * \-#,##0_ ;_ * &quot;-&quot;??_ ;_ @_ "/>
    <numFmt numFmtId="172" formatCode="_(* #,##0.0_);_(* \(#,##0.0\);_(* &quot;-&quot;??_);_(@_)"/>
  </numFmts>
  <fonts count="39" x14ac:knownFonts="1">
    <font>
      <sz val="11"/>
      <color theme="1"/>
      <name val="Calibri"/>
      <family val="2"/>
      <scheme val="minor"/>
    </font>
    <font>
      <u/>
      <sz val="11"/>
      <color theme="10"/>
      <name val="Calibri"/>
      <family val="2"/>
      <scheme val="minor"/>
    </font>
    <font>
      <sz val="11"/>
      <color theme="1"/>
      <name val="Calibri"/>
      <family val="2"/>
      <scheme val="minor"/>
    </font>
    <font>
      <sz val="11"/>
      <name val="Times New Roman"/>
      <family val="1"/>
    </font>
    <font>
      <b/>
      <sz val="8"/>
      <color theme="1"/>
      <name val="Georgia"/>
      <family val="1"/>
    </font>
    <font>
      <sz val="8"/>
      <color theme="1"/>
      <name val="Georgia"/>
      <family val="1"/>
    </font>
    <font>
      <b/>
      <sz val="8"/>
      <name val="Georgia"/>
      <family val="1"/>
    </font>
    <font>
      <b/>
      <u/>
      <sz val="8"/>
      <color theme="1"/>
      <name val="Georgia"/>
      <family val="1"/>
    </font>
    <font>
      <b/>
      <sz val="8"/>
      <color rgb="FF0070C0"/>
      <name val="Georgia"/>
      <family val="1"/>
    </font>
    <font>
      <i/>
      <sz val="8"/>
      <color theme="1"/>
      <name val="Georgia"/>
      <family val="1"/>
    </font>
    <font>
      <b/>
      <sz val="8"/>
      <color rgb="FFC00000"/>
      <name val="Georgia"/>
      <family val="1"/>
    </font>
    <font>
      <sz val="8"/>
      <color theme="0"/>
      <name val="Georgia"/>
      <family val="1"/>
    </font>
    <font>
      <b/>
      <sz val="8"/>
      <color theme="0"/>
      <name val="Georgia"/>
      <family val="1"/>
    </font>
    <font>
      <b/>
      <sz val="8"/>
      <color rgb="FFFFC000"/>
      <name val="Georgia"/>
      <family val="1"/>
    </font>
    <font>
      <sz val="8"/>
      <color rgb="FFC00000"/>
      <name val="Georgia"/>
      <family val="1"/>
    </font>
    <font>
      <sz val="8"/>
      <name val="Georgia"/>
      <family val="1"/>
    </font>
    <font>
      <u/>
      <sz val="8"/>
      <name val="Georgia"/>
      <family val="1"/>
    </font>
    <font>
      <i/>
      <sz val="8"/>
      <color rgb="FFC00000"/>
      <name val="Georgia"/>
      <family val="1"/>
    </font>
    <font>
      <sz val="8"/>
      <color rgb="FF0070C0"/>
      <name val="Georgia"/>
      <family val="1"/>
    </font>
    <font>
      <i/>
      <sz val="8"/>
      <name val="Georgia"/>
      <family val="1"/>
    </font>
    <font>
      <sz val="8"/>
      <color rgb="FFFF0000"/>
      <name val="Georgia"/>
      <family val="1"/>
    </font>
    <font>
      <u/>
      <sz val="8"/>
      <color theme="10"/>
      <name val="Georgia"/>
      <family val="1"/>
    </font>
    <font>
      <b/>
      <i/>
      <sz val="8"/>
      <color theme="1"/>
      <name val="Georgia"/>
      <family val="1"/>
    </font>
    <font>
      <b/>
      <sz val="10"/>
      <color theme="1"/>
      <name val="Calibri"/>
      <family val="2"/>
      <scheme val="minor"/>
    </font>
    <font>
      <sz val="10"/>
      <color theme="1"/>
      <name val="Calibri"/>
      <family val="2"/>
      <scheme val="minor"/>
    </font>
    <font>
      <b/>
      <sz val="10"/>
      <color theme="1"/>
      <name val="Georgia"/>
      <family val="1"/>
    </font>
    <font>
      <sz val="10"/>
      <color theme="1"/>
      <name val="Georgia"/>
      <family val="1"/>
    </font>
    <font>
      <b/>
      <i/>
      <u/>
      <sz val="10"/>
      <color theme="1"/>
      <name val="Georgia"/>
      <family val="1"/>
    </font>
    <font>
      <b/>
      <sz val="11"/>
      <color theme="1"/>
      <name val="Calibri"/>
      <family val="2"/>
      <scheme val="minor"/>
    </font>
    <font>
      <b/>
      <u/>
      <sz val="9"/>
      <color theme="1"/>
      <name val="Georgia"/>
      <family val="1"/>
    </font>
    <font>
      <sz val="9"/>
      <color theme="1"/>
      <name val="Georgia"/>
      <family val="1"/>
    </font>
    <font>
      <b/>
      <sz val="9"/>
      <color theme="1"/>
      <name val="Georgia"/>
      <family val="1"/>
    </font>
    <font>
      <sz val="11"/>
      <color theme="1"/>
      <name val="Arial"/>
      <family val="2"/>
    </font>
    <font>
      <b/>
      <sz val="11"/>
      <color theme="1"/>
      <name val="Arial"/>
      <family val="2"/>
    </font>
    <font>
      <b/>
      <sz val="8"/>
      <color rgb="FF0000FF"/>
      <name val="Arial"/>
      <family val="2"/>
    </font>
    <font>
      <b/>
      <sz val="9"/>
      <color theme="1"/>
      <name val="Arial"/>
      <family val="2"/>
    </font>
    <font>
      <sz val="9"/>
      <color theme="1"/>
      <name val="Arial"/>
      <family val="2"/>
    </font>
    <font>
      <b/>
      <sz val="8"/>
      <color rgb="FF000000"/>
      <name val="Tahoma"/>
      <family val="2"/>
    </font>
    <font>
      <b/>
      <sz val="9"/>
      <color indexed="81"/>
      <name val="Tahoma"/>
      <charset val="1"/>
    </font>
  </fonts>
  <fills count="16">
    <fill>
      <patternFill patternType="none"/>
    </fill>
    <fill>
      <patternFill patternType="gray125"/>
    </fill>
    <fill>
      <patternFill patternType="solid">
        <fgColor theme="2" tint="-9.9978637043366805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rgb="FF80000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E8EBEF"/>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EEEEEE"/>
      </left>
      <right style="medium">
        <color rgb="FFEEEEEE"/>
      </right>
      <top/>
      <bottom/>
      <diagonal/>
    </border>
    <border>
      <left style="medium">
        <color rgb="FFEEEEEE"/>
      </left>
      <right/>
      <top/>
      <bottom/>
      <diagonal/>
    </border>
    <border>
      <left/>
      <right style="medium">
        <color rgb="FFEEEEEE"/>
      </right>
      <top/>
      <bottom/>
      <diagonal/>
    </border>
    <border>
      <left/>
      <right/>
      <top/>
      <bottom style="medium">
        <color rgb="FFEEEEEE"/>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applyNumberForma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3" fillId="0" borderId="0"/>
  </cellStyleXfs>
  <cellXfs count="397">
    <xf numFmtId="0" fontId="0" fillId="0" borderId="0" xfId="0"/>
    <xf numFmtId="0" fontId="4" fillId="0" borderId="0" xfId="0" applyFont="1" applyAlignment="1">
      <alignment vertical="center"/>
    </xf>
    <xf numFmtId="0" fontId="5" fillId="0" borderId="0" xfId="0" applyFont="1"/>
    <xf numFmtId="0" fontId="4" fillId="0" borderId="0" xfId="0" applyFont="1"/>
    <xf numFmtId="0" fontId="4" fillId="0" borderId="0" xfId="0" applyFont="1" applyAlignment="1">
      <alignment horizontal="center"/>
    </xf>
    <xf numFmtId="4" fontId="4" fillId="0" borderId="0" xfId="0" applyNumberFormat="1" applyFont="1"/>
    <xf numFmtId="4" fontId="5" fillId="0" borderId="0" xfId="0" applyNumberFormat="1" applyFont="1"/>
    <xf numFmtId="0" fontId="7" fillId="0" borderId="0" xfId="0" applyFont="1"/>
    <xf numFmtId="0" fontId="4" fillId="2"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0" fontId="5" fillId="0" borderId="1" xfId="0" applyFont="1" applyBorder="1" applyAlignment="1">
      <alignment vertical="top" wrapText="1"/>
    </xf>
    <xf numFmtId="0" fontId="5" fillId="0" borderId="0" xfId="0" applyFont="1" applyAlignment="1">
      <alignment horizontal="center"/>
    </xf>
    <xf numFmtId="0" fontId="5" fillId="0" borderId="1" xfId="0" applyFont="1" applyBorder="1" applyAlignment="1">
      <alignment horizontal="center" vertical="top"/>
    </xf>
    <xf numFmtId="9" fontId="5" fillId="0" borderId="0" xfId="0" applyNumberFormat="1" applyFont="1"/>
    <xf numFmtId="0" fontId="4" fillId="0" borderId="1" xfId="0" applyFont="1" applyBorder="1" applyAlignment="1">
      <alignment horizontal="center"/>
    </xf>
    <xf numFmtId="0" fontId="5" fillId="6" borderId="0" xfId="0" applyFont="1" applyFill="1"/>
    <xf numFmtId="0" fontId="4" fillId="0" borderId="17" xfId="0" applyFont="1" applyBorder="1" applyAlignment="1">
      <alignment horizontal="center"/>
    </xf>
    <xf numFmtId="171" fontId="5" fillId="0" borderId="1" xfId="4" applyNumberFormat="1" applyFont="1" applyFill="1" applyBorder="1"/>
    <xf numFmtId="0" fontId="9" fillId="0" borderId="18" xfId="0" applyFont="1" applyBorder="1"/>
    <xf numFmtId="170" fontId="5" fillId="0" borderId="1" xfId="3" applyNumberFormat="1" applyFont="1" applyFill="1" applyBorder="1"/>
    <xf numFmtId="0" fontId="5" fillId="0" borderId="17" xfId="0" applyFont="1" applyBorder="1"/>
    <xf numFmtId="0" fontId="9" fillId="0" borderId="1" xfId="0" applyFont="1" applyBorder="1"/>
    <xf numFmtId="0" fontId="5" fillId="3" borderId="19" xfId="0" applyFont="1" applyFill="1" applyBorder="1"/>
    <xf numFmtId="0" fontId="5" fillId="3" borderId="20" xfId="0" applyFont="1" applyFill="1" applyBorder="1"/>
    <xf numFmtId="170" fontId="5" fillId="0" borderId="0" xfId="3" applyNumberFormat="1" applyFont="1"/>
    <xf numFmtId="170" fontId="9" fillId="0" borderId="1" xfId="3" applyNumberFormat="1" applyFont="1" applyFill="1" applyBorder="1"/>
    <xf numFmtId="0" fontId="5" fillId="3" borderId="17" xfId="0" applyFont="1" applyFill="1" applyBorder="1"/>
    <xf numFmtId="0" fontId="5" fillId="3" borderId="18" xfId="0" applyFont="1" applyFill="1" applyBorder="1"/>
    <xf numFmtId="171" fontId="5" fillId="0" borderId="0" xfId="4" applyNumberFormat="1" applyFont="1"/>
    <xf numFmtId="0" fontId="4" fillId="0" borderId="1" xfId="0" applyFont="1" applyBorder="1"/>
    <xf numFmtId="171" fontId="4" fillId="0" borderId="1" xfId="4" applyNumberFormat="1" applyFont="1" applyFill="1" applyBorder="1"/>
    <xf numFmtId="0" fontId="5" fillId="0" borderId="18" xfId="0" applyFont="1" applyBorder="1"/>
    <xf numFmtId="0" fontId="4" fillId="3" borderId="5" xfId="0" applyFont="1" applyFill="1" applyBorder="1"/>
    <xf numFmtId="0" fontId="4" fillId="3" borderId="7" xfId="0" applyFont="1" applyFill="1" applyBorder="1"/>
    <xf numFmtId="171" fontId="4" fillId="0" borderId="0" xfId="4" applyNumberFormat="1" applyFont="1"/>
    <xf numFmtId="169" fontId="9" fillId="0" borderId="1" xfId="4" applyNumberFormat="1" applyFont="1" applyFill="1" applyBorder="1"/>
    <xf numFmtId="0" fontId="5" fillId="0" borderId="5" xfId="0" applyFont="1" applyBorder="1"/>
    <xf numFmtId="0" fontId="4" fillId="0" borderId="6" xfId="0" applyFont="1" applyBorder="1"/>
    <xf numFmtId="0" fontId="5" fillId="0" borderId="7" xfId="0" applyFont="1" applyBorder="1"/>
    <xf numFmtId="0" fontId="9" fillId="0" borderId="0" xfId="0" applyFont="1"/>
    <xf numFmtId="0" fontId="4" fillId="0" borderId="0" xfId="0" applyFont="1" applyAlignment="1">
      <alignment horizontal="right"/>
    </xf>
    <xf numFmtId="0" fontId="9" fillId="4" borderId="17" xfId="0" applyFont="1" applyFill="1" applyBorder="1"/>
    <xf numFmtId="170" fontId="5" fillId="3" borderId="1" xfId="0" applyNumberFormat="1" applyFont="1" applyFill="1" applyBorder="1"/>
    <xf numFmtId="170" fontId="5" fillId="4" borderId="1" xfId="3" applyNumberFormat="1" applyFont="1" applyFill="1" applyBorder="1"/>
    <xf numFmtId="170" fontId="5" fillId="3" borderId="1" xfId="3" applyNumberFormat="1" applyFont="1" applyFill="1" applyBorder="1"/>
    <xf numFmtId="170" fontId="14" fillId="3" borderId="1" xfId="3" applyNumberFormat="1" applyFont="1" applyFill="1" applyBorder="1"/>
    <xf numFmtId="9" fontId="5" fillId="0" borderId="0" xfId="3" applyFont="1"/>
    <xf numFmtId="0" fontId="4" fillId="0" borderId="2" xfId="0" applyFont="1" applyBorder="1"/>
    <xf numFmtId="0" fontId="5" fillId="0" borderId="4" xfId="0" applyFont="1" applyBorder="1"/>
    <xf numFmtId="0" fontId="9" fillId="0" borderId="17" xfId="0" applyFont="1" applyBorder="1"/>
    <xf numFmtId="0" fontId="4" fillId="0" borderId="5" xfId="0" applyFont="1" applyBorder="1"/>
    <xf numFmtId="9" fontId="15" fillId="0" borderId="1" xfId="3" applyFont="1" applyFill="1" applyBorder="1"/>
    <xf numFmtId="0" fontId="17" fillId="0" borderId="0" xfId="0" applyFont="1" applyAlignment="1">
      <alignment horizontal="center"/>
    </xf>
    <xf numFmtId="167" fontId="5" fillId="0" borderId="8" xfId="2" applyNumberFormat="1" applyFont="1" applyFill="1" applyBorder="1" applyAlignment="1">
      <alignment horizontal="center"/>
    </xf>
    <xf numFmtId="0" fontId="5" fillId="0" borderId="0" xfId="0" applyFont="1" applyAlignment="1">
      <alignment horizontal="left"/>
    </xf>
    <xf numFmtId="49" fontId="6" fillId="4" borderId="9" xfId="0" applyNumberFormat="1" applyFont="1" applyFill="1" applyBorder="1" applyAlignment="1">
      <alignment horizontal="center"/>
    </xf>
    <xf numFmtId="49" fontId="6" fillId="4" borderId="10" xfId="0" applyNumberFormat="1" applyFont="1" applyFill="1" applyBorder="1" applyAlignment="1">
      <alignment horizontal="center"/>
    </xf>
    <xf numFmtId="49" fontId="15" fillId="0" borderId="0" xfId="0" applyNumberFormat="1" applyFont="1" applyAlignment="1">
      <alignment horizontal="center"/>
    </xf>
    <xf numFmtId="9" fontId="10" fillId="0" borderId="11" xfId="0" applyNumberFormat="1" applyFont="1" applyBorder="1" applyAlignment="1">
      <alignment horizontal="center"/>
    </xf>
    <xf numFmtId="9" fontId="5" fillId="0" borderId="12" xfId="0" applyNumberFormat="1" applyFont="1" applyBorder="1" applyAlignment="1">
      <alignment horizontal="center"/>
    </xf>
    <xf numFmtId="9" fontId="10" fillId="0" borderId="8" xfId="0" applyNumberFormat="1" applyFont="1" applyBorder="1" applyAlignment="1">
      <alignment horizontal="center"/>
    </xf>
    <xf numFmtId="0" fontId="10" fillId="0" borderId="0" xfId="0" applyFont="1"/>
    <xf numFmtId="9" fontId="10" fillId="0" borderId="0" xfId="0" applyNumberFormat="1" applyFont="1" applyAlignment="1">
      <alignment horizontal="center"/>
    </xf>
    <xf numFmtId="0" fontId="15" fillId="0" borderId="0" xfId="0" applyFont="1"/>
    <xf numFmtId="167" fontId="5" fillId="0" borderId="0" xfId="2" applyNumberFormat="1" applyFont="1"/>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4" xfId="0" applyFont="1" applyFill="1" applyBorder="1" applyAlignment="1">
      <alignment horizontal="center"/>
    </xf>
    <xf numFmtId="0" fontId="15" fillId="0" borderId="17" xfId="0" applyFont="1" applyBorder="1" applyAlignment="1">
      <alignment horizontal="left"/>
    </xf>
    <xf numFmtId="0" fontId="15" fillId="0" borderId="17" xfId="0" applyFont="1" applyBorder="1" applyAlignment="1">
      <alignment horizontal="center"/>
    </xf>
    <xf numFmtId="9" fontId="15" fillId="0" borderId="1" xfId="0" applyNumberFormat="1" applyFont="1" applyBorder="1" applyAlignment="1">
      <alignment horizontal="center"/>
    </xf>
    <xf numFmtId="0" fontId="15" fillId="0" borderId="17" xfId="0" quotePrefix="1" applyFont="1" applyBorder="1" applyAlignment="1">
      <alignment horizontal="left"/>
    </xf>
    <xf numFmtId="0" fontId="12" fillId="5" borderId="5" xfId="0" applyFont="1" applyFill="1" applyBorder="1" applyAlignment="1">
      <alignment horizontal="left"/>
    </xf>
    <xf numFmtId="167" fontId="12" fillId="5" borderId="7" xfId="0" applyNumberFormat="1" applyFont="1" applyFill="1" applyBorder="1" applyAlignment="1">
      <alignment horizontal="center"/>
    </xf>
    <xf numFmtId="0" fontId="15" fillId="0" borderId="5" xfId="0" applyFont="1" applyBorder="1" applyAlignment="1">
      <alignment horizontal="center"/>
    </xf>
    <xf numFmtId="0" fontId="15" fillId="0" borderId="0" xfId="0" applyFont="1" applyAlignment="1">
      <alignment horizontal="center"/>
    </xf>
    <xf numFmtId="168" fontId="15" fillId="0" borderId="0" xfId="0" applyNumberFormat="1" applyFont="1" applyAlignment="1">
      <alignment horizontal="center"/>
    </xf>
    <xf numFmtId="9" fontId="15" fillId="0" borderId="0" xfId="0" applyNumberFormat="1" applyFont="1" applyAlignment="1">
      <alignment horizontal="center"/>
    </xf>
    <xf numFmtId="165" fontId="15" fillId="0" borderId="0" xfId="0" applyNumberFormat="1" applyFont="1" applyAlignment="1">
      <alignment horizontal="center"/>
    </xf>
    <xf numFmtId="0" fontId="15" fillId="0" borderId="0" xfId="0" applyFont="1" applyAlignment="1">
      <alignment horizontal="right"/>
    </xf>
    <xf numFmtId="0" fontId="15" fillId="0" borderId="0" xfId="0" quotePrefix="1" applyFont="1" applyAlignment="1">
      <alignment horizontal="left"/>
    </xf>
    <xf numFmtId="9" fontId="15" fillId="0" borderId="0" xfId="0" applyNumberFormat="1" applyFont="1" applyAlignment="1">
      <alignment horizontal="right"/>
    </xf>
    <xf numFmtId="0" fontId="15" fillId="0" borderId="0" xfId="0" quotePrefix="1" applyFont="1" applyAlignment="1">
      <alignment horizontal="center"/>
    </xf>
    <xf numFmtId="0" fontId="15" fillId="0" borderId="0" xfId="5" applyFont="1"/>
    <xf numFmtId="0" fontId="6" fillId="4" borderId="1" xfId="5" applyFont="1" applyFill="1" applyBorder="1"/>
    <xf numFmtId="0" fontId="8" fillId="4" borderId="1" xfId="5" applyFont="1" applyFill="1" applyBorder="1"/>
    <xf numFmtId="171" fontId="8" fillId="4" borderId="1" xfId="4" applyNumberFormat="1" applyFont="1" applyFill="1" applyBorder="1"/>
    <xf numFmtId="0" fontId="18" fillId="0" borderId="0" xfId="5" applyFont="1"/>
    <xf numFmtId="9" fontId="8" fillId="4" borderId="1" xfId="3" applyFont="1" applyFill="1" applyBorder="1"/>
    <xf numFmtId="0" fontId="10" fillId="0" borderId="1" xfId="5" applyFont="1" applyBorder="1"/>
    <xf numFmtId="171" fontId="10" fillId="0" borderId="1" xfId="4" applyNumberFormat="1" applyFont="1" applyFill="1" applyBorder="1"/>
    <xf numFmtId="9" fontId="10" fillId="0" borderId="1" xfId="3" applyFont="1" applyFill="1" applyBorder="1"/>
    <xf numFmtId="0" fontId="15" fillId="0" borderId="1" xfId="5" applyFont="1" applyBorder="1"/>
    <xf numFmtId="9" fontId="15" fillId="0" borderId="1" xfId="3" applyFont="1" applyBorder="1"/>
    <xf numFmtId="9" fontId="15" fillId="0" borderId="1" xfId="3" applyFont="1" applyFill="1" applyBorder="1" applyAlignment="1">
      <alignment horizontal="left"/>
    </xf>
    <xf numFmtId="171" fontId="15" fillId="0" borderId="1" xfId="4" applyNumberFormat="1" applyFont="1" applyFill="1" applyBorder="1"/>
    <xf numFmtId="9" fontId="6" fillId="0" borderId="1" xfId="3" applyFont="1" applyFill="1" applyBorder="1"/>
    <xf numFmtId="171" fontId="6" fillId="0" borderId="1" xfId="4" applyNumberFormat="1" applyFont="1" applyFill="1" applyBorder="1"/>
    <xf numFmtId="9" fontId="6" fillId="0" borderId="1" xfId="3" applyFont="1" applyBorder="1"/>
    <xf numFmtId="9" fontId="15" fillId="0" borderId="1" xfId="3" applyFont="1" applyFill="1" applyBorder="1" applyAlignment="1">
      <alignment wrapText="1"/>
    </xf>
    <xf numFmtId="9" fontId="6" fillId="7" borderId="1" xfId="3" applyFont="1" applyFill="1" applyBorder="1"/>
    <xf numFmtId="171" fontId="6" fillId="7" borderId="1" xfId="4" applyNumberFormat="1" applyFont="1" applyFill="1" applyBorder="1"/>
    <xf numFmtId="0" fontId="6" fillId="7" borderId="1" xfId="5" applyFont="1" applyFill="1" applyBorder="1"/>
    <xf numFmtId="171" fontId="6" fillId="7" borderId="1" xfId="5" applyNumberFormat="1" applyFont="1" applyFill="1" applyBorder="1"/>
    <xf numFmtId="170" fontId="6" fillId="7" borderId="1" xfId="3" applyNumberFormat="1" applyFont="1" applyFill="1" applyBorder="1"/>
    <xf numFmtId="0" fontId="15" fillId="4" borderId="1" xfId="5" applyFont="1" applyFill="1" applyBorder="1"/>
    <xf numFmtId="4" fontId="6" fillId="7" borderId="1" xfId="4" applyNumberFormat="1" applyFont="1" applyFill="1" applyBorder="1"/>
    <xf numFmtId="4" fontId="6" fillId="0" borderId="1" xfId="4" applyNumberFormat="1" applyFont="1" applyBorder="1"/>
    <xf numFmtId="0" fontId="19" fillId="0" borderId="1" xfId="5" applyFont="1" applyBorder="1" applyAlignment="1">
      <alignment horizontal="left" indent="1"/>
    </xf>
    <xf numFmtId="4" fontId="19" fillId="0" borderId="1" xfId="4" applyNumberFormat="1" applyFont="1" applyBorder="1"/>
    <xf numFmtId="4" fontId="15" fillId="0" borderId="1" xfId="4" applyNumberFormat="1" applyFont="1" applyBorder="1"/>
    <xf numFmtId="0" fontId="20" fillId="0" borderId="1" xfId="5" applyFont="1" applyBorder="1"/>
    <xf numFmtId="9" fontId="20" fillId="0" borderId="1" xfId="3" applyFont="1" applyFill="1" applyBorder="1"/>
    <xf numFmtId="0" fontId="6" fillId="8" borderId="1" xfId="5" applyFont="1" applyFill="1" applyBorder="1"/>
    <xf numFmtId="4" fontId="6" fillId="8" borderId="1" xfId="4" applyNumberFormat="1" applyFont="1" applyFill="1" applyBorder="1"/>
    <xf numFmtId="9" fontId="6" fillId="8" borderId="1" xfId="3" applyFont="1" applyFill="1" applyBorder="1"/>
    <xf numFmtId="171" fontId="15" fillId="0" borderId="0" xfId="4" applyNumberFormat="1" applyFont="1"/>
    <xf numFmtId="4" fontId="15" fillId="0" borderId="0" xfId="5" applyNumberFormat="1" applyFont="1"/>
    <xf numFmtId="166" fontId="15" fillId="0" borderId="0" xfId="5" applyNumberFormat="1" applyFont="1"/>
    <xf numFmtId="0" fontId="6" fillId="0" borderId="1" xfId="5" applyFont="1" applyBorder="1"/>
    <xf numFmtId="9" fontId="19" fillId="0" borderId="1" xfId="3" applyFont="1" applyFill="1" applyBorder="1" applyAlignment="1">
      <alignment horizontal="left"/>
    </xf>
    <xf numFmtId="4" fontId="15" fillId="0" borderId="1" xfId="4" applyNumberFormat="1" applyFont="1" applyFill="1" applyBorder="1"/>
    <xf numFmtId="9" fontId="6" fillId="3" borderId="1" xfId="3" applyFont="1" applyFill="1" applyBorder="1"/>
    <xf numFmtId="171" fontId="6" fillId="3" borderId="1" xfId="4" applyNumberFormat="1" applyFont="1" applyFill="1" applyBorder="1"/>
    <xf numFmtId="4" fontId="6" fillId="3" borderId="1" xfId="4" applyNumberFormat="1" applyFont="1" applyFill="1" applyBorder="1"/>
    <xf numFmtId="9" fontId="15" fillId="0" borderId="0" xfId="3" applyFont="1"/>
    <xf numFmtId="4" fontId="15" fillId="0" borderId="0" xfId="4" applyNumberFormat="1" applyFont="1"/>
    <xf numFmtId="0" fontId="21" fillId="0" borderId="0" xfId="1" applyFont="1" applyFill="1" applyAlignment="1">
      <alignment horizontal="right" vertical="center"/>
    </xf>
    <xf numFmtId="0" fontId="4" fillId="0" borderId="23" xfId="0" applyFont="1" applyBorder="1" applyAlignment="1">
      <alignment vertical="center"/>
    </xf>
    <xf numFmtId="0" fontId="4" fillId="0" borderId="23" xfId="0" applyFont="1" applyBorder="1" applyAlignment="1">
      <alignment horizontal="center"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3" xfId="0" applyFont="1" applyBorder="1" applyAlignment="1">
      <alignment horizontal="right" vertical="center"/>
    </xf>
    <xf numFmtId="0" fontId="5" fillId="0" borderId="23" xfId="0" applyFont="1" applyBorder="1" applyAlignment="1">
      <alignment vertical="center"/>
    </xf>
    <xf numFmtId="0" fontId="5" fillId="0" borderId="23" xfId="0" applyFont="1" applyBorder="1" applyAlignment="1">
      <alignment horizontal="right" vertical="center"/>
    </xf>
    <xf numFmtId="0" fontId="5" fillId="0" borderId="0" xfId="0" applyFont="1" applyAlignment="1">
      <alignment vertical="center"/>
    </xf>
    <xf numFmtId="0" fontId="5" fillId="0" borderId="26" xfId="0" applyFont="1" applyBorder="1" applyAlignment="1">
      <alignment vertical="center"/>
    </xf>
    <xf numFmtId="0" fontId="4" fillId="0" borderId="0" xfId="0" applyFont="1" applyAlignment="1">
      <alignment wrapText="1"/>
    </xf>
    <xf numFmtId="9" fontId="4" fillId="0" borderId="0" xfId="0" applyNumberFormat="1" applyFont="1"/>
    <xf numFmtId="10" fontId="4" fillId="0" borderId="0" xfId="0" applyNumberFormat="1" applyFont="1"/>
    <xf numFmtId="0" fontId="6" fillId="2" borderId="1" xfId="5" applyFont="1" applyFill="1" applyBorder="1" applyAlignment="1">
      <alignment horizontal="right"/>
    </xf>
    <xf numFmtId="9" fontId="4" fillId="0" borderId="1" xfId="0" applyNumberFormat="1" applyFont="1" applyBorder="1"/>
    <xf numFmtId="4" fontId="5" fillId="0" borderId="1" xfId="0" applyNumberFormat="1" applyFont="1" applyBorder="1"/>
    <xf numFmtId="167" fontId="5" fillId="0" borderId="0" xfId="0" applyNumberFormat="1" applyFont="1"/>
    <xf numFmtId="4" fontId="5" fillId="0" borderId="8" xfId="2" applyNumberFormat="1" applyFont="1" applyFill="1" applyBorder="1" applyAlignment="1">
      <alignment horizontal="center"/>
    </xf>
    <xf numFmtId="4" fontId="15" fillId="0" borderId="18" xfId="0" applyNumberFormat="1" applyFont="1" applyBorder="1" applyAlignment="1">
      <alignment horizontal="center"/>
    </xf>
    <xf numFmtId="4" fontId="15" fillId="0" borderId="7" xfId="0" applyNumberFormat="1" applyFont="1" applyBorder="1" applyAlignment="1">
      <alignment horizontal="center"/>
    </xf>
    <xf numFmtId="4" fontId="15" fillId="0" borderId="1" xfId="0" applyNumberFormat="1" applyFont="1" applyBorder="1" applyAlignment="1">
      <alignment horizontal="center"/>
    </xf>
    <xf numFmtId="4" fontId="15" fillId="0" borderId="6" xfId="0" applyNumberFormat="1" applyFont="1" applyBorder="1" applyAlignment="1">
      <alignment horizontal="center"/>
    </xf>
    <xf numFmtId="0" fontId="11" fillId="5" borderId="1" xfId="0" applyFont="1" applyFill="1" applyBorder="1"/>
    <xf numFmtId="0" fontId="12" fillId="5" borderId="1" xfId="0" applyFont="1" applyFill="1" applyBorder="1" applyAlignment="1">
      <alignment horizontal="right"/>
    </xf>
    <xf numFmtId="0" fontId="13" fillId="5" borderId="1" xfId="0" applyFont="1" applyFill="1" applyBorder="1" applyAlignment="1">
      <alignment horizontal="right"/>
    </xf>
    <xf numFmtId="0" fontId="5" fillId="4" borderId="1" xfId="0" applyFont="1" applyFill="1" applyBorder="1"/>
    <xf numFmtId="169" fontId="5" fillId="4" borderId="1" xfId="4" applyNumberFormat="1" applyFont="1" applyFill="1" applyBorder="1"/>
    <xf numFmtId="169" fontId="14" fillId="3" borderId="1" xfId="4" applyNumberFormat="1" applyFont="1" applyFill="1" applyBorder="1"/>
    <xf numFmtId="169" fontId="9" fillId="4" borderId="1" xfId="4" applyNumberFormat="1" applyFont="1" applyFill="1" applyBorder="1"/>
    <xf numFmtId="170" fontId="9" fillId="4" borderId="1" xfId="0" applyNumberFormat="1" applyFont="1" applyFill="1" applyBorder="1"/>
    <xf numFmtId="169" fontId="5" fillId="3" borderId="1" xfId="4" applyNumberFormat="1" applyFont="1" applyFill="1" applyBorder="1"/>
    <xf numFmtId="43" fontId="5" fillId="4" borderId="1" xfId="4" applyFont="1" applyFill="1" applyBorder="1"/>
    <xf numFmtId="43" fontId="5" fillId="0" borderId="0" xfId="4" applyFont="1"/>
    <xf numFmtId="171" fontId="5" fillId="0" borderId="18" xfId="4" applyNumberFormat="1" applyFont="1" applyBorder="1"/>
    <xf numFmtId="171" fontId="4" fillId="0" borderId="18" xfId="4" applyNumberFormat="1" applyFont="1" applyBorder="1"/>
    <xf numFmtId="171" fontId="9" fillId="0" borderId="18" xfId="4" applyNumberFormat="1" applyFont="1" applyBorder="1"/>
    <xf numFmtId="171" fontId="4" fillId="0" borderId="7" xfId="4" applyNumberFormat="1" applyFont="1" applyBorder="1"/>
    <xf numFmtId="0" fontId="12" fillId="5" borderId="0" xfId="0" applyFont="1" applyFill="1"/>
    <xf numFmtId="0" fontId="12" fillId="5" borderId="0" xfId="0" applyFont="1" applyFill="1" applyAlignment="1">
      <alignment horizontal="right"/>
    </xf>
    <xf numFmtId="169" fontId="5" fillId="3" borderId="0" xfId="4" applyNumberFormat="1" applyFont="1" applyFill="1"/>
    <xf numFmtId="170" fontId="11" fillId="9" borderId="0" xfId="0" applyNumberFormat="1" applyFont="1" applyFill="1"/>
    <xf numFmtId="170" fontId="5" fillId="3" borderId="0" xfId="0" applyNumberFormat="1" applyFont="1" applyFill="1"/>
    <xf numFmtId="1" fontId="12" fillId="5" borderId="0" xfId="0" applyNumberFormat="1" applyFont="1" applyFill="1" applyAlignment="1">
      <alignment horizontal="right"/>
    </xf>
    <xf numFmtId="172" fontId="15" fillId="0" borderId="0" xfId="4" applyNumberFormat="1" applyFont="1" applyFill="1" applyBorder="1"/>
    <xf numFmtId="9" fontId="15" fillId="0" borderId="0" xfId="3" applyFont="1" applyFill="1" applyBorder="1"/>
    <xf numFmtId="170" fontId="15" fillId="0" borderId="0" xfId="3" applyNumberFormat="1" applyFont="1" applyFill="1" applyBorder="1"/>
    <xf numFmtId="170" fontId="16" fillId="0" borderId="0" xfId="3" applyNumberFormat="1" applyFont="1" applyFill="1" applyBorder="1"/>
    <xf numFmtId="171" fontId="12" fillId="5" borderId="0" xfId="4" applyNumberFormat="1" applyFont="1" applyFill="1" applyBorder="1"/>
    <xf numFmtId="171" fontId="9" fillId="0" borderId="0" xfId="4" applyNumberFormat="1" applyFont="1"/>
    <xf numFmtId="9" fontId="9" fillId="0" borderId="0" xfId="3" applyFont="1"/>
    <xf numFmtId="4" fontId="5" fillId="0" borderId="23" xfId="0" applyNumberFormat="1" applyFont="1" applyBorder="1" applyAlignment="1">
      <alignment horizontal="right" vertical="center"/>
    </xf>
    <xf numFmtId="4" fontId="5" fillId="0" borderId="18" xfId="4" applyNumberFormat="1" applyFont="1" applyBorder="1"/>
    <xf numFmtId="4" fontId="5" fillId="0" borderId="1" xfId="4" applyNumberFormat="1" applyFont="1" applyFill="1" applyBorder="1"/>
    <xf numFmtId="0" fontId="4" fillId="0" borderId="17" xfId="0" applyFont="1" applyBorder="1"/>
    <xf numFmtId="0" fontId="22" fillId="0" borderId="1" xfId="0" applyFont="1" applyBorder="1"/>
    <xf numFmtId="0" fontId="22" fillId="0" borderId="18" xfId="0" applyFont="1" applyBorder="1"/>
    <xf numFmtId="43" fontId="22" fillId="0" borderId="18" xfId="0" applyNumberFormat="1" applyFont="1" applyBorder="1"/>
    <xf numFmtId="4" fontId="5" fillId="0" borderId="0" xfId="4" applyNumberFormat="1" applyFont="1"/>
    <xf numFmtId="171" fontId="22" fillId="0" borderId="1" xfId="0" applyNumberFormat="1" applyFont="1" applyBorder="1"/>
    <xf numFmtId="4" fontId="22" fillId="0" borderId="1" xfId="4" applyNumberFormat="1" applyFont="1" applyFill="1" applyBorder="1"/>
    <xf numFmtId="0" fontId="5" fillId="0" borderId="24" xfId="0" applyFont="1" applyBorder="1" applyAlignment="1">
      <alignment vertical="center"/>
    </xf>
    <xf numFmtId="0" fontId="5" fillId="0" borderId="25" xfId="0" applyFont="1" applyBorder="1" applyAlignment="1">
      <alignment vertical="center"/>
    </xf>
    <xf numFmtId="4" fontId="9" fillId="6" borderId="1" xfId="4" applyNumberFormat="1" applyFont="1" applyFill="1" applyBorder="1"/>
    <xf numFmtId="4" fontId="4" fillId="0" borderId="6" xfId="4" applyNumberFormat="1" applyFont="1" applyFill="1" applyBorder="1"/>
    <xf numFmtId="10" fontId="10" fillId="0" borderId="8" xfId="0" applyNumberFormat="1" applyFont="1" applyBorder="1" applyAlignment="1">
      <alignment horizontal="center"/>
    </xf>
    <xf numFmtId="166" fontId="5" fillId="0" borderId="0" xfId="0" applyNumberFormat="1" applyFont="1"/>
    <xf numFmtId="167" fontId="5" fillId="0" borderId="23" xfId="2" applyNumberFormat="1" applyFont="1" applyFill="1" applyBorder="1" applyAlignment="1">
      <alignment horizontal="right" vertical="center"/>
    </xf>
    <xf numFmtId="0" fontId="6" fillId="0" borderId="0" xfId="5" applyFont="1"/>
    <xf numFmtId="9" fontId="15" fillId="0" borderId="6" xfId="0" applyNumberFormat="1" applyFont="1" applyBorder="1" applyAlignment="1">
      <alignment horizontal="center"/>
    </xf>
    <xf numFmtId="4" fontId="4" fillId="0" borderId="23" xfId="0" applyNumberFormat="1" applyFont="1" applyBorder="1" applyAlignment="1">
      <alignment horizontal="right" vertical="center"/>
    </xf>
    <xf numFmtId="10" fontId="5" fillId="0" borderId="0" xfId="0" applyNumberFormat="1" applyFont="1"/>
    <xf numFmtId="4" fontId="4" fillId="0" borderId="1" xfId="0" applyNumberFormat="1" applyFont="1" applyBorder="1"/>
    <xf numFmtId="167" fontId="4" fillId="0" borderId="0" xfId="2" applyNumberFormat="1" applyFont="1"/>
    <xf numFmtId="9" fontId="4" fillId="0" borderId="23" xfId="0" applyNumberFormat="1" applyFont="1" applyBorder="1" applyAlignment="1">
      <alignment horizontal="right" vertical="center"/>
    </xf>
    <xf numFmtId="9" fontId="4" fillId="0" borderId="0" xfId="2" applyNumberFormat="1" applyFont="1"/>
    <xf numFmtId="166" fontId="5" fillId="0" borderId="23" xfId="2" applyFont="1" applyFill="1" applyBorder="1" applyAlignment="1">
      <alignment horizontal="right" vertical="center"/>
    </xf>
    <xf numFmtId="4" fontId="5" fillId="0" borderId="0" xfId="0" applyNumberFormat="1" applyFont="1" applyAlignment="1">
      <alignment vertical="center"/>
    </xf>
    <xf numFmtId="4" fontId="4" fillId="0" borderId="25" xfId="0" applyNumberFormat="1" applyFont="1" applyBorder="1" applyAlignment="1">
      <alignment vertical="center"/>
    </xf>
    <xf numFmtId="9" fontId="15" fillId="0" borderId="30" xfId="3" applyFont="1" applyFill="1" applyBorder="1"/>
    <xf numFmtId="9" fontId="15" fillId="3" borderId="1" xfId="3" applyFont="1" applyFill="1" applyBorder="1"/>
    <xf numFmtId="171" fontId="15" fillId="3" borderId="1" xfId="4" applyNumberFormat="1" applyFont="1" applyFill="1" applyBorder="1"/>
    <xf numFmtId="166" fontId="4" fillId="0" borderId="23" xfId="0" applyNumberFormat="1" applyFont="1" applyBorder="1" applyAlignment="1">
      <alignment horizontal="right" vertical="center"/>
    </xf>
    <xf numFmtId="4" fontId="4" fillId="0" borderId="25" xfId="0" applyNumberFormat="1" applyFont="1" applyBorder="1" applyAlignment="1">
      <alignment horizontal="right" vertical="center"/>
    </xf>
    <xf numFmtId="166" fontId="4" fillId="0" borderId="25" xfId="0" applyNumberFormat="1" applyFont="1" applyBorder="1" applyAlignment="1">
      <alignment vertical="center"/>
    </xf>
    <xf numFmtId="167" fontId="4" fillId="0" borderId="23" xfId="2" applyNumberFormat="1" applyFont="1" applyFill="1" applyBorder="1" applyAlignment="1">
      <alignment horizontal="right" vertical="center"/>
    </xf>
    <xf numFmtId="4" fontId="6" fillId="0" borderId="1" xfId="4" applyNumberFormat="1" applyFont="1" applyFill="1" applyBorder="1"/>
    <xf numFmtId="4" fontId="18" fillId="0" borderId="0" xfId="5" applyNumberFormat="1" applyFont="1"/>
    <xf numFmtId="166" fontId="5" fillId="0" borderId="16" xfId="2" applyFont="1" applyFill="1" applyBorder="1" applyAlignment="1">
      <alignment horizontal="center"/>
    </xf>
    <xf numFmtId="166" fontId="5" fillId="0" borderId="23" xfId="0" applyNumberFormat="1" applyFont="1" applyBorder="1" applyAlignment="1">
      <alignment horizontal="right" vertical="center"/>
    </xf>
    <xf numFmtId="0" fontId="23" fillId="0" borderId="0" xfId="0" applyFont="1"/>
    <xf numFmtId="0" fontId="24" fillId="0" borderId="0" xfId="0" applyFont="1"/>
    <xf numFmtId="0" fontId="24" fillId="0" borderId="0" xfId="0" applyFont="1" applyAlignment="1">
      <alignment horizontal="center" vertical="top"/>
    </xf>
    <xf numFmtId="0" fontId="24" fillId="0" borderId="0" xfId="0" applyFont="1" applyAlignment="1">
      <alignment wrapText="1"/>
    </xf>
    <xf numFmtId="0" fontId="24" fillId="0" borderId="0" xfId="0" applyFont="1" applyAlignment="1">
      <alignment vertical="top" wrapText="1"/>
    </xf>
    <xf numFmtId="15" fontId="4" fillId="0" borderId="23" xfId="0" quotePrefix="1" applyNumberFormat="1" applyFont="1" applyBorder="1" applyAlignment="1">
      <alignment horizontal="right" vertical="center"/>
    </xf>
    <xf numFmtId="166" fontId="5" fillId="0" borderId="0" xfId="2" applyFont="1" applyFill="1" applyBorder="1" applyAlignment="1">
      <alignment horizontal="right" vertical="center"/>
    </xf>
    <xf numFmtId="166" fontId="5" fillId="0" borderId="0" xfId="2" applyFont="1" applyFill="1" applyBorder="1" applyAlignment="1"/>
    <xf numFmtId="0" fontId="5" fillId="0" borderId="0" xfId="0" applyFont="1" applyAlignment="1">
      <alignment horizontal="right" vertical="center"/>
    </xf>
    <xf numFmtId="166" fontId="4" fillId="0" borderId="0" xfId="0" applyNumberFormat="1" applyFont="1" applyAlignment="1">
      <alignment horizontal="right" vertical="center"/>
    </xf>
    <xf numFmtId="17" fontId="6" fillId="4" borderId="1" xfId="5" applyNumberFormat="1" applyFont="1" applyFill="1" applyBorder="1" applyAlignment="1">
      <alignment horizontal="right"/>
    </xf>
    <xf numFmtId="10" fontId="15" fillId="0" borderId="1" xfId="3" applyNumberFormat="1" applyFont="1" applyBorder="1"/>
    <xf numFmtId="10" fontId="15" fillId="0" borderId="1" xfId="3" applyNumberFormat="1" applyFont="1" applyFill="1" applyBorder="1"/>
    <xf numFmtId="10" fontId="6" fillId="3" borderId="1" xfId="3" applyNumberFormat="1" applyFont="1" applyFill="1" applyBorder="1"/>
    <xf numFmtId="17" fontId="6" fillId="10" borderId="1" xfId="5" applyNumberFormat="1" applyFont="1" applyFill="1" applyBorder="1" applyAlignment="1">
      <alignment horizontal="center"/>
    </xf>
    <xf numFmtId="4" fontId="6" fillId="7" borderId="1" xfId="5" applyNumberFormat="1" applyFont="1" applyFill="1" applyBorder="1"/>
    <xf numFmtId="172" fontId="15" fillId="0" borderId="18" xfId="2" applyNumberFormat="1" applyFont="1" applyBorder="1" applyAlignment="1">
      <alignment horizontal="center"/>
    </xf>
    <xf numFmtId="172" fontId="12" fillId="5" borderId="7" xfId="2" applyNumberFormat="1" applyFont="1" applyFill="1" applyBorder="1" applyAlignment="1">
      <alignment horizontal="center"/>
    </xf>
    <xf numFmtId="17" fontId="12" fillId="5" borderId="1" xfId="0" applyNumberFormat="1" applyFont="1" applyFill="1" applyBorder="1" applyAlignment="1">
      <alignment horizontal="right"/>
    </xf>
    <xf numFmtId="4" fontId="4" fillId="0" borderId="1" xfId="4" applyNumberFormat="1" applyFont="1" applyFill="1" applyBorder="1"/>
    <xf numFmtId="4" fontId="22" fillId="6" borderId="1" xfId="4" applyNumberFormat="1" applyFont="1" applyFill="1" applyBorder="1"/>
    <xf numFmtId="164" fontId="12" fillId="5" borderId="1" xfId="0" applyNumberFormat="1" applyFont="1" applyFill="1" applyBorder="1" applyAlignment="1">
      <alignment horizontal="right"/>
    </xf>
    <xf numFmtId="15" fontId="12" fillId="5" borderId="1" xfId="0" applyNumberFormat="1" applyFont="1" applyFill="1" applyBorder="1" applyAlignment="1">
      <alignment horizontal="right"/>
    </xf>
    <xf numFmtId="15" fontId="13" fillId="5" borderId="1" xfId="0" applyNumberFormat="1" applyFont="1" applyFill="1" applyBorder="1" applyAlignment="1">
      <alignment horizontal="right"/>
    </xf>
    <xf numFmtId="15" fontId="4" fillId="0" borderId="0" xfId="0" applyNumberFormat="1" applyFont="1" applyAlignment="1">
      <alignment horizontal="right"/>
    </xf>
    <xf numFmtId="0" fontId="5" fillId="0" borderId="0" xfId="0" applyFont="1" applyAlignment="1">
      <alignment wrapText="1"/>
    </xf>
    <xf numFmtId="0" fontId="5" fillId="0" borderId="0" xfId="0" applyFont="1" applyAlignment="1">
      <alignment vertical="top" wrapText="1"/>
    </xf>
    <xf numFmtId="170" fontId="15" fillId="0" borderId="1" xfId="4" applyNumberFormat="1" applyFont="1" applyFill="1" applyBorder="1"/>
    <xf numFmtId="0" fontId="0" fillId="0" borderId="0" xfId="0" applyAlignment="1">
      <alignment wrapText="1"/>
    </xf>
    <xf numFmtId="0" fontId="0" fillId="0" borderId="0" xfId="0" applyAlignment="1">
      <alignment vertical="top" wrapText="1"/>
    </xf>
    <xf numFmtId="15" fontId="6" fillId="2" borderId="1" xfId="5" applyNumberFormat="1" applyFont="1" applyFill="1" applyBorder="1" applyAlignment="1">
      <alignment horizontal="right"/>
    </xf>
    <xf numFmtId="0" fontId="4" fillId="11" borderId="1" xfId="0" applyFont="1" applyFill="1" applyBorder="1" applyAlignment="1">
      <alignment horizontal="center"/>
    </xf>
    <xf numFmtId="0" fontId="5" fillId="11" borderId="1" xfId="0" applyFont="1" applyFill="1" applyBorder="1"/>
    <xf numFmtId="0" fontId="5" fillId="11" borderId="1" xfId="0" applyFont="1" applyFill="1" applyBorder="1" applyAlignment="1">
      <alignment horizontal="center" vertical="top"/>
    </xf>
    <xf numFmtId="0" fontId="5" fillId="11" borderId="1" xfId="0" applyFont="1" applyFill="1" applyBorder="1" applyAlignment="1">
      <alignment wrapText="1"/>
    </xf>
    <xf numFmtId="0" fontId="5" fillId="11" borderId="1" xfId="0" applyFont="1" applyFill="1" applyBorder="1" applyAlignment="1">
      <alignment horizontal="center"/>
    </xf>
    <xf numFmtId="0" fontId="25" fillId="0" borderId="0" xfId="0" applyFont="1"/>
    <xf numFmtId="0" fontId="26" fillId="0" borderId="0" xfId="0" applyFont="1"/>
    <xf numFmtId="0" fontId="26" fillId="0" borderId="0" xfId="0" applyFont="1" applyAlignment="1">
      <alignment wrapText="1"/>
    </xf>
    <xf numFmtId="10" fontId="26" fillId="0" borderId="0" xfId="0" applyNumberFormat="1" applyFont="1"/>
    <xf numFmtId="0" fontId="25" fillId="0" borderId="0" xfId="0" applyFont="1" applyAlignment="1">
      <alignment horizontal="center"/>
    </xf>
    <xf numFmtId="0" fontId="27" fillId="0" borderId="0" xfId="0" applyFont="1"/>
    <xf numFmtId="0" fontId="26" fillId="0" borderId="0" xfId="0" applyFont="1" applyAlignment="1">
      <alignment horizontal="center"/>
    </xf>
    <xf numFmtId="0" fontId="26" fillId="0" borderId="0" xfId="0" applyFont="1" applyAlignment="1">
      <alignment horizontal="center" vertical="top"/>
    </xf>
    <xf numFmtId="0" fontId="26" fillId="0" borderId="0" xfId="0" applyFont="1" applyAlignment="1">
      <alignment horizontal="center" vertical="center"/>
    </xf>
    <xf numFmtId="0" fontId="26" fillId="12" borderId="0" xfId="0" applyFont="1" applyFill="1"/>
    <xf numFmtId="0" fontId="26" fillId="12" borderId="0" xfId="0" applyFont="1" applyFill="1" applyAlignment="1">
      <alignment horizontal="center" vertical="center"/>
    </xf>
    <xf numFmtId="0" fontId="15" fillId="0" borderId="0" xfId="1" applyFont="1" applyFill="1"/>
    <xf numFmtId="4" fontId="5" fillId="0" borderId="0" xfId="2" applyNumberFormat="1" applyFont="1"/>
    <xf numFmtId="10" fontId="24" fillId="0" borderId="0" xfId="0" applyNumberFormat="1" applyFont="1"/>
    <xf numFmtId="167" fontId="24" fillId="0" borderId="0" xfId="2" applyNumberFormat="1" applyFont="1"/>
    <xf numFmtId="0" fontId="23" fillId="0" borderId="0" xfId="0" applyFont="1" applyAlignment="1">
      <alignment horizontal="center"/>
    </xf>
    <xf numFmtId="0" fontId="23" fillId="0" borderId="0" xfId="0" applyFont="1" applyAlignment="1">
      <alignment horizontal="center" vertical="top"/>
    </xf>
    <xf numFmtId="0" fontId="23" fillId="0" borderId="0" xfId="0" applyFont="1" applyAlignment="1">
      <alignment vertical="top"/>
    </xf>
    <xf numFmtId="0" fontId="24" fillId="0" borderId="0" xfId="0" applyFont="1" applyAlignment="1">
      <alignment horizontal="center"/>
    </xf>
    <xf numFmtId="4" fontId="26" fillId="0" borderId="0" xfId="0" applyNumberFormat="1" applyFont="1"/>
    <xf numFmtId="4" fontId="25" fillId="0" borderId="0" xfId="0" applyNumberFormat="1" applyFont="1"/>
    <xf numFmtId="10" fontId="25" fillId="0" borderId="0" xfId="0" applyNumberFormat="1" applyFont="1"/>
    <xf numFmtId="4" fontId="15" fillId="0" borderId="0" xfId="0" applyNumberFormat="1" applyFont="1" applyAlignment="1">
      <alignment horizontal="center"/>
    </xf>
    <xf numFmtId="4" fontId="5" fillId="0" borderId="12" xfId="0" applyNumberFormat="1" applyFont="1" applyBorder="1" applyAlignment="1">
      <alignment horizontal="center"/>
    </xf>
    <xf numFmtId="0" fontId="21" fillId="0" borderId="0" xfId="1" applyFont="1" applyFill="1"/>
    <xf numFmtId="0" fontId="1" fillId="0" borderId="0" xfId="1" quotePrefix="1" applyFill="1"/>
    <xf numFmtId="0" fontId="6" fillId="0" borderId="0" xfId="1" applyFont="1" applyFill="1"/>
    <xf numFmtId="0" fontId="6" fillId="0" borderId="0" xfId="1" applyFont="1" applyFill="1" applyBorder="1"/>
    <xf numFmtId="0" fontId="15" fillId="0" borderId="0" xfId="1" applyFont="1" applyFill="1" applyBorder="1"/>
    <xf numFmtId="0" fontId="15" fillId="0" borderId="0" xfId="1" applyFont="1" applyFill="1" applyAlignment="1">
      <alignment vertical="top"/>
    </xf>
    <xf numFmtId="0" fontId="21" fillId="0" borderId="0" xfId="1" applyFont="1" applyFill="1" applyBorder="1"/>
    <xf numFmtId="0" fontId="5" fillId="0" borderId="25" xfId="0" applyFont="1" applyBorder="1" applyAlignment="1">
      <alignment horizontal="right" vertical="center"/>
    </xf>
    <xf numFmtId="0" fontId="4" fillId="0" borderId="25" xfId="0" applyFont="1" applyBorder="1" applyAlignment="1">
      <alignment horizontal="right" vertical="center"/>
    </xf>
    <xf numFmtId="4" fontId="5" fillId="0" borderId="25" xfId="0" applyNumberFormat="1" applyFont="1" applyBorder="1" applyAlignment="1">
      <alignment vertical="center"/>
    </xf>
    <xf numFmtId="4" fontId="15" fillId="0" borderId="18" xfId="2" applyNumberFormat="1" applyFont="1" applyBorder="1" applyAlignment="1">
      <alignment horizontal="center"/>
    </xf>
    <xf numFmtId="4" fontId="4" fillId="0" borderId="23" xfId="2" applyNumberFormat="1" applyFont="1" applyFill="1" applyBorder="1" applyAlignment="1">
      <alignment horizontal="right" vertical="center"/>
    </xf>
    <xf numFmtId="4" fontId="4" fillId="0" borderId="23" xfId="0" applyNumberFormat="1" applyFont="1" applyBorder="1" applyAlignment="1">
      <alignment vertical="center"/>
    </xf>
    <xf numFmtId="4" fontId="5" fillId="0" borderId="23" xfId="0" applyNumberFormat="1" applyFont="1" applyBorder="1" applyAlignment="1">
      <alignment vertical="center"/>
    </xf>
    <xf numFmtId="4" fontId="5" fillId="0" borderId="23" xfId="2" applyNumberFormat="1" applyFont="1" applyFill="1" applyBorder="1" applyAlignment="1">
      <alignment horizontal="right" vertical="center"/>
    </xf>
    <xf numFmtId="0" fontId="29" fillId="0" borderId="0" xfId="0" applyFont="1"/>
    <xf numFmtId="0" fontId="30" fillId="0" borderId="0" xfId="0" applyFont="1"/>
    <xf numFmtId="0" fontId="31" fillId="0" borderId="0" xfId="0" applyFont="1"/>
    <xf numFmtId="4" fontId="6" fillId="7" borderId="1" xfId="3" applyNumberFormat="1" applyFont="1" applyFill="1" applyBorder="1"/>
    <xf numFmtId="9" fontId="15" fillId="0" borderId="1" xfId="4" applyNumberFormat="1" applyFont="1" applyFill="1" applyBorder="1"/>
    <xf numFmtId="4" fontId="6" fillId="7" borderId="1" xfId="2" applyNumberFormat="1" applyFont="1" applyFill="1" applyBorder="1"/>
    <xf numFmtId="170" fontId="4" fillId="0" borderId="0" xfId="0" applyNumberFormat="1" applyFont="1"/>
    <xf numFmtId="4" fontId="5" fillId="0" borderId="16" xfId="2" applyNumberFormat="1" applyFont="1" applyFill="1" applyBorder="1" applyAlignment="1">
      <alignment horizontal="right"/>
    </xf>
    <xf numFmtId="4" fontId="9" fillId="0" borderId="1" xfId="4" applyNumberFormat="1" applyFont="1" applyFill="1" applyBorder="1"/>
    <xf numFmtId="0" fontId="30" fillId="0" borderId="0" xfId="0" applyFont="1" applyAlignment="1">
      <alignment horizontal="center"/>
    </xf>
    <xf numFmtId="0" fontId="5" fillId="0" borderId="0" xfId="0" applyFont="1" applyAlignment="1">
      <alignment horizontal="center" vertical="top"/>
    </xf>
    <xf numFmtId="4" fontId="30" fillId="0" borderId="0" xfId="0" applyNumberFormat="1" applyFont="1"/>
    <xf numFmtId="0" fontId="1" fillId="0" borderId="0" xfId="1"/>
    <xf numFmtId="0" fontId="1" fillId="0" borderId="0" xfId="1" applyAlignment="1"/>
    <xf numFmtId="170" fontId="4" fillId="0" borderId="0" xfId="0" applyNumberFormat="1" applyFont="1" applyAlignment="1">
      <alignment vertical="center"/>
    </xf>
    <xf numFmtId="9" fontId="5" fillId="0" borderId="0" xfId="0" applyNumberFormat="1" applyFont="1" applyAlignment="1">
      <alignment horizontal="center"/>
    </xf>
    <xf numFmtId="0" fontId="5" fillId="0" borderId="0" xfId="0" applyFont="1" applyAlignment="1">
      <alignment vertical="top"/>
    </xf>
    <xf numFmtId="0" fontId="0" fillId="0" borderId="0" xfId="0" applyAlignment="1">
      <alignment vertical="top"/>
    </xf>
    <xf numFmtId="0" fontId="4" fillId="0" borderId="0" xfId="0" applyFont="1" applyAlignment="1">
      <alignment horizontal="center" vertical="top"/>
    </xf>
    <xf numFmtId="0" fontId="4" fillId="0" borderId="0" xfId="0" applyFont="1" applyAlignment="1">
      <alignment horizontal="left" vertical="top" wrapText="1"/>
    </xf>
    <xf numFmtId="0" fontId="30" fillId="0" borderId="0" xfId="0" applyFont="1" applyAlignment="1">
      <alignment wrapText="1"/>
    </xf>
    <xf numFmtId="172" fontId="5" fillId="11" borderId="0" xfId="2" applyNumberFormat="1" applyFont="1" applyFill="1"/>
    <xf numFmtId="0" fontId="21" fillId="13" borderId="0" xfId="1" applyFont="1" applyFill="1"/>
    <xf numFmtId="4" fontId="5" fillId="0" borderId="0" xfId="0" applyNumberFormat="1" applyFont="1" applyAlignment="1">
      <alignment horizontal="center"/>
    </xf>
    <xf numFmtId="9" fontId="15" fillId="12" borderId="1" xfId="3" applyFont="1" applyFill="1" applyBorder="1"/>
    <xf numFmtId="4" fontId="15" fillId="12" borderId="1" xfId="3" applyNumberFormat="1" applyFont="1" applyFill="1" applyBorder="1"/>
    <xf numFmtId="4" fontId="15" fillId="12" borderId="1" xfId="4" applyNumberFormat="1" applyFont="1" applyFill="1" applyBorder="1"/>
    <xf numFmtId="0" fontId="15" fillId="12" borderId="0" xfId="5" applyFont="1" applyFill="1"/>
    <xf numFmtId="9" fontId="6" fillId="12" borderId="1" xfId="3" applyFont="1" applyFill="1" applyBorder="1"/>
    <xf numFmtId="4" fontId="6" fillId="12" borderId="1" xfId="4" applyNumberFormat="1" applyFont="1" applyFill="1" applyBorder="1"/>
    <xf numFmtId="0" fontId="6" fillId="12" borderId="0" xfId="5" applyFont="1" applyFill="1"/>
    <xf numFmtId="0" fontId="0" fillId="14" borderId="0" xfId="0" applyFill="1"/>
    <xf numFmtId="0" fontId="33" fillId="14" borderId="0" xfId="0" applyFont="1" applyFill="1" applyAlignment="1">
      <alignment vertical="center" wrapText="1"/>
    </xf>
    <xf numFmtId="0" fontId="35" fillId="15" borderId="23" xfId="0" applyFont="1" applyFill="1" applyBorder="1" applyAlignment="1">
      <alignment vertical="center" wrapText="1"/>
    </xf>
    <xf numFmtId="0" fontId="35" fillId="14" borderId="23" xfId="0" applyFont="1" applyFill="1" applyBorder="1" applyAlignment="1">
      <alignment vertical="center" wrapText="1"/>
    </xf>
    <xf numFmtId="0" fontId="35" fillId="15" borderId="0" xfId="0" applyFont="1" applyFill="1" applyAlignment="1">
      <alignment vertical="center" wrapText="1"/>
    </xf>
    <xf numFmtId="0" fontId="36" fillId="14" borderId="23" xfId="0" applyFont="1" applyFill="1" applyBorder="1" applyAlignment="1">
      <alignment vertical="center" wrapText="1"/>
    </xf>
    <xf numFmtId="0" fontId="35" fillId="14" borderId="24" xfId="0" applyFont="1" applyFill="1" applyBorder="1" applyAlignment="1">
      <alignment vertical="center" wrapText="1"/>
    </xf>
    <xf numFmtId="0" fontId="32" fillId="14" borderId="23" xfId="0" applyFont="1" applyFill="1" applyBorder="1" applyAlignment="1">
      <alignment horizontal="right" vertical="center" wrapText="1"/>
    </xf>
    <xf numFmtId="0" fontId="35" fillId="14" borderId="25" xfId="0" applyFont="1" applyFill="1" applyBorder="1" applyAlignment="1">
      <alignment vertical="center" wrapText="1"/>
    </xf>
    <xf numFmtId="0" fontId="33" fillId="14" borderId="0" xfId="0" applyFont="1" applyFill="1" applyAlignment="1">
      <alignment vertical="center"/>
    </xf>
    <xf numFmtId="0" fontId="1" fillId="14" borderId="0" xfId="1" applyFill="1" applyAlignment="1">
      <alignment horizontal="right" vertical="center"/>
    </xf>
    <xf numFmtId="0" fontId="34" fillId="14" borderId="0" xfId="0" applyFont="1" applyFill="1" applyAlignment="1">
      <alignment horizontal="right" vertical="center"/>
    </xf>
    <xf numFmtId="0" fontId="35" fillId="15" borderId="23" xfId="0" applyFont="1" applyFill="1" applyBorder="1" applyAlignment="1">
      <alignment vertical="center"/>
    </xf>
    <xf numFmtId="0" fontId="35" fillId="15" borderId="23" xfId="0" applyFont="1" applyFill="1" applyBorder="1" applyAlignment="1">
      <alignment horizontal="center" vertical="center"/>
    </xf>
    <xf numFmtId="0" fontId="35" fillId="14" borderId="23" xfId="0" applyFont="1" applyFill="1" applyBorder="1" applyAlignment="1">
      <alignment vertical="center"/>
    </xf>
    <xf numFmtId="0" fontId="35" fillId="14" borderId="23" xfId="0" applyFont="1" applyFill="1" applyBorder="1" applyAlignment="1">
      <alignment horizontal="right" vertical="center"/>
    </xf>
    <xf numFmtId="17" fontId="35" fillId="14" borderId="23" xfId="0" applyNumberFormat="1" applyFont="1" applyFill="1" applyBorder="1" applyAlignment="1">
      <alignment horizontal="right" vertical="center"/>
    </xf>
    <xf numFmtId="0" fontId="35" fillId="15" borderId="0" xfId="0" applyFont="1" applyFill="1" applyAlignment="1">
      <alignment vertical="center"/>
    </xf>
    <xf numFmtId="0" fontId="36" fillId="14" borderId="23" xfId="0" applyFont="1" applyFill="1" applyBorder="1" applyAlignment="1">
      <alignment vertical="center"/>
    </xf>
    <xf numFmtId="0" fontId="36" fillId="14" borderId="23" xfId="0" applyFont="1" applyFill="1" applyBorder="1" applyAlignment="1">
      <alignment horizontal="right" vertical="center"/>
    </xf>
    <xf numFmtId="0" fontId="35" fillId="14" borderId="24" xfId="0" applyFont="1" applyFill="1" applyBorder="1" applyAlignment="1">
      <alignment vertical="center"/>
    </xf>
    <xf numFmtId="0" fontId="35" fillId="14" borderId="25" xfId="0" applyFont="1" applyFill="1" applyBorder="1" applyAlignment="1">
      <alignment vertical="center"/>
    </xf>
    <xf numFmtId="0" fontId="35" fillId="15" borderId="23" xfId="0" applyFont="1" applyFill="1" applyBorder="1" applyAlignment="1">
      <alignment horizontal="right" vertical="center"/>
    </xf>
    <xf numFmtId="4" fontId="36" fillId="14" borderId="23" xfId="0" applyNumberFormat="1" applyFont="1" applyFill="1" applyBorder="1" applyAlignment="1">
      <alignment horizontal="right" vertical="center"/>
    </xf>
    <xf numFmtId="4" fontId="35" fillId="15" borderId="23" xfId="0" applyNumberFormat="1" applyFont="1" applyFill="1" applyBorder="1" applyAlignment="1">
      <alignment horizontal="right" vertical="center"/>
    </xf>
    <xf numFmtId="0" fontId="32" fillId="14" borderId="23" xfId="0" applyFont="1" applyFill="1" applyBorder="1" applyAlignment="1">
      <alignment vertical="center"/>
    </xf>
    <xf numFmtId="0" fontId="32" fillId="14" borderId="23" xfId="0" applyFont="1" applyFill="1" applyBorder="1" applyAlignment="1">
      <alignment horizontal="right" vertical="center"/>
    </xf>
    <xf numFmtId="0" fontId="36" fillId="14" borderId="0" xfId="0" applyFont="1" applyFill="1" applyAlignment="1">
      <alignment vertical="center"/>
    </xf>
    <xf numFmtId="0" fontId="32" fillId="14" borderId="0" xfId="0" applyFont="1" applyFill="1" applyAlignment="1">
      <alignment vertical="center"/>
    </xf>
    <xf numFmtId="4" fontId="35" fillId="14" borderId="23" xfId="0" applyNumberFormat="1" applyFont="1" applyFill="1" applyBorder="1" applyAlignment="1">
      <alignment horizontal="right" vertical="center"/>
    </xf>
    <xf numFmtId="0" fontId="34" fillId="14" borderId="0" xfId="0" applyFont="1" applyFill="1" applyAlignment="1">
      <alignment vertical="center"/>
    </xf>
    <xf numFmtId="0" fontId="1" fillId="14" borderId="0" xfId="1" applyFill="1" applyAlignment="1">
      <alignment vertical="center" wrapText="1"/>
    </xf>
    <xf numFmtId="17" fontId="35" fillId="14" borderId="23" xfId="0" applyNumberFormat="1" applyFont="1" applyFill="1" applyBorder="1" applyAlignment="1">
      <alignment vertical="center" wrapText="1"/>
    </xf>
    <xf numFmtId="0" fontId="0" fillId="14" borderId="0" xfId="0" applyFill="1" applyAlignment="1">
      <alignment wrapText="1"/>
    </xf>
    <xf numFmtId="4" fontId="36" fillId="14" borderId="23" xfId="0" applyNumberFormat="1" applyFont="1" applyFill="1" applyBorder="1" applyAlignment="1">
      <alignment vertical="center" wrapText="1"/>
    </xf>
    <xf numFmtId="4" fontId="35" fillId="15" borderId="23" xfId="0" applyNumberFormat="1" applyFont="1" applyFill="1" applyBorder="1" applyAlignment="1">
      <alignment vertical="center" wrapText="1"/>
    </xf>
    <xf numFmtId="3" fontId="4" fillId="0" borderId="0" xfId="0" applyNumberFormat="1" applyFont="1"/>
    <xf numFmtId="0" fontId="36" fillId="14" borderId="0" xfId="0" applyFont="1" applyFill="1" applyAlignment="1">
      <alignment vertical="center" wrapText="1"/>
    </xf>
    <xf numFmtId="0" fontId="32" fillId="14" borderId="0" xfId="0" applyFont="1" applyFill="1" applyAlignment="1">
      <alignment vertical="center" wrapText="1"/>
    </xf>
    <xf numFmtId="0" fontId="37" fillId="14" borderId="0" xfId="0" applyFont="1" applyFill="1" applyAlignment="1">
      <alignment horizontal="left" vertical="center" wrapText="1"/>
    </xf>
    <xf numFmtId="0" fontId="13" fillId="5" borderId="0" xfId="5" applyFont="1" applyFill="1" applyAlignment="1">
      <alignment horizontal="center"/>
    </xf>
    <xf numFmtId="0" fontId="6" fillId="4" borderId="1" xfId="5" applyFont="1" applyFill="1" applyBorder="1" applyAlignment="1">
      <alignment horizontal="center"/>
    </xf>
    <xf numFmtId="0" fontId="6" fillId="3" borderId="2" xfId="0" quotePrefix="1"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17" fillId="0" borderId="0" xfId="0" applyFont="1" applyAlignment="1">
      <alignment horizontal="center"/>
    </xf>
    <xf numFmtId="0" fontId="6" fillId="4" borderId="13" xfId="0" applyFont="1" applyFill="1" applyBorder="1" applyAlignment="1">
      <alignment horizontal="center"/>
    </xf>
    <xf numFmtId="0" fontId="6" fillId="4" borderId="14" xfId="0" applyFont="1" applyFill="1" applyBorder="1" applyAlignment="1">
      <alignment horizontal="center"/>
    </xf>
    <xf numFmtId="0" fontId="6" fillId="4" borderId="15" xfId="0" applyFont="1" applyFill="1" applyBorder="1" applyAlignment="1">
      <alignment horizontal="center"/>
    </xf>
    <xf numFmtId="0" fontId="6" fillId="4" borderId="27" xfId="0" applyFont="1" applyFill="1" applyBorder="1" applyAlignment="1">
      <alignment horizontal="center"/>
    </xf>
    <xf numFmtId="0" fontId="6" fillId="4" borderId="28" xfId="0" applyFont="1" applyFill="1" applyBorder="1" applyAlignment="1">
      <alignment horizontal="center"/>
    </xf>
    <xf numFmtId="0" fontId="6" fillId="3" borderId="2" xfId="0" applyFont="1" applyFill="1" applyBorder="1" applyAlignment="1">
      <alignment horizontal="center" vertical="center"/>
    </xf>
    <xf numFmtId="0" fontId="4" fillId="0" borderId="29" xfId="0" applyFont="1" applyBorder="1" applyAlignment="1">
      <alignment horizontal="center"/>
    </xf>
    <xf numFmtId="0" fontId="4" fillId="0" borderId="0" xfId="0" applyFont="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9" fillId="0" borderId="17" xfId="0" applyFont="1" applyBorder="1" applyAlignment="1">
      <alignment horizontal="center"/>
    </xf>
    <xf numFmtId="0" fontId="9" fillId="0" borderId="1" xfId="0" applyFont="1" applyBorder="1" applyAlignment="1">
      <alignment horizontal="center"/>
    </xf>
    <xf numFmtId="0" fontId="9" fillId="0" borderId="18" xfId="0" applyFont="1" applyBorder="1" applyAlignment="1">
      <alignment horizontal="center"/>
    </xf>
    <xf numFmtId="0" fontId="4" fillId="3" borderId="21" xfId="0" applyFont="1" applyFill="1" applyBorder="1" applyAlignment="1">
      <alignment horizontal="center"/>
    </xf>
    <xf numFmtId="0" fontId="4" fillId="3" borderId="22" xfId="0" applyFont="1" applyFill="1" applyBorder="1" applyAlignment="1">
      <alignment horizontal="center"/>
    </xf>
    <xf numFmtId="0" fontId="5" fillId="0" borderId="0" xfId="0" applyFont="1" applyAlignment="1">
      <alignment vertical="top" wrapText="1"/>
    </xf>
    <xf numFmtId="0" fontId="0" fillId="0" borderId="0" xfId="0" applyAlignment="1">
      <alignment vertical="top" wrapText="1"/>
    </xf>
    <xf numFmtId="0" fontId="5" fillId="0" borderId="0" xfId="0" applyFont="1" applyAlignment="1">
      <alignment wrapText="1"/>
    </xf>
    <xf numFmtId="0" fontId="0" fillId="0" borderId="0" xfId="0" applyAlignment="1">
      <alignment wrapText="1"/>
    </xf>
    <xf numFmtId="4" fontId="25" fillId="0" borderId="29" xfId="0" applyNumberFormat="1" applyFont="1" applyBorder="1" applyAlignment="1">
      <alignment horizontal="center" wrapText="1"/>
    </xf>
    <xf numFmtId="0" fontId="28" fillId="0" borderId="29" xfId="0" applyFont="1" applyBorder="1" applyAlignment="1">
      <alignment horizontal="center" wrapText="1"/>
    </xf>
    <xf numFmtId="4" fontId="25" fillId="0" borderId="1" xfId="0" applyNumberFormat="1" applyFont="1" applyBorder="1" applyAlignment="1">
      <alignment horizontal="center" wrapText="1"/>
    </xf>
    <xf numFmtId="0" fontId="0" fillId="0" borderId="1" xfId="0" applyBorder="1" applyAlignment="1">
      <alignment horizontal="center" wrapText="1"/>
    </xf>
  </cellXfs>
  <cellStyles count="6">
    <cellStyle name="Comma" xfId="2" builtinId="3"/>
    <cellStyle name="Comma 2" xfId="4" xr:uid="{00000000-0005-0000-0000-000001000000}"/>
    <cellStyle name="Hyperlink" xfId="1" builtinId="8"/>
    <cellStyle name="Normal" xfId="0" builtinId="0"/>
    <cellStyle name="Normal_Chapter 2 and 4 and 5 Worksheets"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3.gif"/></Relationships>
</file>

<file path=xl/drawings/_rels/drawing2.xml.rels><?xml version="1.0" encoding="UTF-8" standalone="yes"?>
<Relationships xmlns="http://schemas.openxmlformats.org/package/2006/relationships"><Relationship Id="rId1"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76200</xdr:colOff>
      <xdr:row>4</xdr:row>
      <xdr:rowOff>76200</xdr:rowOff>
    </xdr:to>
    <xdr:pic>
      <xdr:nvPicPr>
        <xdr:cNvPr id="2" name="Picture 1" descr="http://img1.moneycontrol.com/images/blank.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32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0</xdr:col>
      <xdr:colOff>76200</xdr:colOff>
      <xdr:row>4</xdr:row>
      <xdr:rowOff>76200</xdr:rowOff>
    </xdr:to>
    <xdr:pic>
      <xdr:nvPicPr>
        <xdr:cNvPr id="3" name="Picture 2" descr="http://img1.moneycontrol.com/images/blank.gif">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242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76200</xdr:colOff>
      <xdr:row>69</xdr:row>
      <xdr:rowOff>76200</xdr:rowOff>
    </xdr:to>
    <xdr:pic>
      <xdr:nvPicPr>
        <xdr:cNvPr id="4" name="Picture 3" descr="http://img1.moneycontrol.com/images/blank.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756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76200</xdr:colOff>
      <xdr:row>69</xdr:row>
      <xdr:rowOff>76200</xdr:rowOff>
    </xdr:to>
    <xdr:pic>
      <xdr:nvPicPr>
        <xdr:cNvPr id="5" name="Picture 4" descr="http://img1.moneycontrol.com/images/blank.gif">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137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76200</xdr:colOff>
      <xdr:row>71</xdr:row>
      <xdr:rowOff>76200</xdr:rowOff>
    </xdr:to>
    <xdr:pic>
      <xdr:nvPicPr>
        <xdr:cNvPr id="14" name="Picture 13" descr="http://img1.moneycontrol.com/images/blank.gif">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858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76200</xdr:colOff>
      <xdr:row>71</xdr:row>
      <xdr:rowOff>76200</xdr:rowOff>
    </xdr:to>
    <xdr:pic>
      <xdr:nvPicPr>
        <xdr:cNvPr id="15" name="Picture 14" descr="http://img1.moneycontrol.com/images/blank.gif">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2014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76200</xdr:colOff>
      <xdr:row>89</xdr:row>
      <xdr:rowOff>76200</xdr:rowOff>
    </xdr:to>
    <xdr:pic>
      <xdr:nvPicPr>
        <xdr:cNvPr id="16" name="Picture 15" descr="http://img1.moneycontrol.com/images/blank.gif">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5923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76200</xdr:colOff>
      <xdr:row>89</xdr:row>
      <xdr:rowOff>76200</xdr:rowOff>
    </xdr:to>
    <xdr:pic>
      <xdr:nvPicPr>
        <xdr:cNvPr id="17" name="Picture 16" descr="http://img1.moneycontrol.com/images/blank.gif">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9352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xdr:row>
      <xdr:rowOff>0</xdr:rowOff>
    </xdr:from>
    <xdr:to>
      <xdr:col>0</xdr:col>
      <xdr:colOff>76200</xdr:colOff>
      <xdr:row>102</xdr:row>
      <xdr:rowOff>76200</xdr:rowOff>
    </xdr:to>
    <xdr:pic>
      <xdr:nvPicPr>
        <xdr:cNvPr id="18" name="Picture 17" descr="http://img1.moneycontrol.com/images/blank.gif">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3736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xdr:row>
      <xdr:rowOff>0</xdr:rowOff>
    </xdr:from>
    <xdr:to>
      <xdr:col>0</xdr:col>
      <xdr:colOff>76200</xdr:colOff>
      <xdr:row>102</xdr:row>
      <xdr:rowOff>76200</xdr:rowOff>
    </xdr:to>
    <xdr:pic>
      <xdr:nvPicPr>
        <xdr:cNvPr id="19" name="Picture 18" descr="http://img1.moneycontrol.com/images/blank.gif">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716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76200</xdr:colOff>
      <xdr:row>117</xdr:row>
      <xdr:rowOff>76200</xdr:rowOff>
    </xdr:to>
    <xdr:pic>
      <xdr:nvPicPr>
        <xdr:cNvPr id="20" name="Picture 19" descr="http://img1.moneycontrol.com/images/blank.gif">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5834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76200</xdr:colOff>
      <xdr:row>117</xdr:row>
      <xdr:rowOff>76200</xdr:rowOff>
    </xdr:to>
    <xdr:pic>
      <xdr:nvPicPr>
        <xdr:cNvPr id="21" name="Picture 20" descr="http://img1.moneycontrol.com/images/blank.gif">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9644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0</xdr:rowOff>
    </xdr:from>
    <xdr:to>
      <xdr:col>0</xdr:col>
      <xdr:colOff>47625</xdr:colOff>
      <xdr:row>119</xdr:row>
      <xdr:rowOff>47625</xdr:rowOff>
    </xdr:to>
    <xdr:pic>
      <xdr:nvPicPr>
        <xdr:cNvPr id="22" name="Picture 21" descr="http://img1.moneycontrol.com/images/blank.gif">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61160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0</xdr:rowOff>
    </xdr:from>
    <xdr:to>
      <xdr:col>0</xdr:col>
      <xdr:colOff>76200</xdr:colOff>
      <xdr:row>119</xdr:row>
      <xdr:rowOff>76200</xdr:rowOff>
    </xdr:to>
    <xdr:pic>
      <xdr:nvPicPr>
        <xdr:cNvPr id="23" name="Picture 22" descr="http://img1.moneycontrol.com/images/blank.gif">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7925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0</xdr:rowOff>
    </xdr:from>
    <xdr:to>
      <xdr:col>0</xdr:col>
      <xdr:colOff>76200</xdr:colOff>
      <xdr:row>119</xdr:row>
      <xdr:rowOff>76200</xdr:rowOff>
    </xdr:to>
    <xdr:pic>
      <xdr:nvPicPr>
        <xdr:cNvPr id="24" name="Picture 23" descr="http://img1.moneycontrol.com/images/blank.gif">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735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25" name="Picture 24" descr="http://img1.moneycontrol.com/images/blank.gif">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2700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26" name="Picture 25" descr="http://img1.moneycontrol.com/images/blank.gif">
          <a:extLst>
            <a:ext uri="{FF2B5EF4-FFF2-40B4-BE49-F238E27FC236}">
              <a16:creationId xmlns:a16="http://schemas.microsoft.com/office/drawing/2014/main" id="{00000000-0008-0000-02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6510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47625</xdr:colOff>
      <xdr:row>121</xdr:row>
      <xdr:rowOff>47625</xdr:rowOff>
    </xdr:to>
    <xdr:pic>
      <xdr:nvPicPr>
        <xdr:cNvPr id="27" name="Picture 26" descr="http://img1.moneycontrol.com/images/blank.gif">
          <a:extLst>
            <a:ext uri="{FF2B5EF4-FFF2-40B4-BE49-F238E27FC236}">
              <a16:creationId xmlns:a16="http://schemas.microsoft.com/office/drawing/2014/main" id="{00000000-0008-0000-02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12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28" name="Picture 27" descr="http://img1.moneycontrol.com/images/blank.gif">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1936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29" name="Picture 28" descr="http://img1.moneycontrol.com/images/blank.gif">
          <a:extLst>
            <a:ext uri="{FF2B5EF4-FFF2-40B4-BE49-F238E27FC236}">
              <a16:creationId xmlns:a16="http://schemas.microsoft.com/office/drawing/2014/main" id="{00000000-0008-0000-02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5746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30" name="Picture 29" descr="http://img1.moneycontrol.com/images/blank.gif">
          <a:extLst>
            <a:ext uri="{FF2B5EF4-FFF2-40B4-BE49-F238E27FC236}">
              <a16:creationId xmlns:a16="http://schemas.microsoft.com/office/drawing/2014/main" id="{00000000-0008-0000-02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6711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31" name="Picture 30" descr="http://img1.moneycontrol.com/images/blank.gif">
          <a:extLst>
            <a:ext uri="{FF2B5EF4-FFF2-40B4-BE49-F238E27FC236}">
              <a16:creationId xmlns:a16="http://schemas.microsoft.com/office/drawing/2014/main" id="{00000000-0008-0000-02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0521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32" name="Picture 31" descr="http://img1.moneycontrol.com/images/blank.gif">
          <a:extLst>
            <a:ext uri="{FF2B5EF4-FFF2-40B4-BE49-F238E27FC236}">
              <a16:creationId xmlns:a16="http://schemas.microsoft.com/office/drawing/2014/main" id="{00000000-0008-0000-02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6994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33" name="Picture 32" descr="http://img1.moneycontrol.com/images/blank.gif">
          <a:extLst>
            <a:ext uri="{FF2B5EF4-FFF2-40B4-BE49-F238E27FC236}">
              <a16:creationId xmlns:a16="http://schemas.microsoft.com/office/drawing/2014/main" id="{00000000-0008-0000-02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0423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34" name="Picture 33" descr="http://img1.moneycontrol.com/images/blank.gif">
          <a:extLst>
            <a:ext uri="{FF2B5EF4-FFF2-40B4-BE49-F238E27FC236}">
              <a16:creationId xmlns:a16="http://schemas.microsoft.com/office/drawing/2014/main" id="{00000000-0008-0000-02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9092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76200</xdr:colOff>
      <xdr:row>121</xdr:row>
      <xdr:rowOff>76200</xdr:rowOff>
    </xdr:to>
    <xdr:pic>
      <xdr:nvPicPr>
        <xdr:cNvPr id="35" name="Picture 34" descr="http://img1.moneycontrol.com/images/blank.gif">
          <a:extLst>
            <a:ext uri="{FF2B5EF4-FFF2-40B4-BE49-F238E27FC236}">
              <a16:creationId xmlns:a16="http://schemas.microsoft.com/office/drawing/2014/main" id="{00000000-0008-0000-02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2902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76200</xdr:colOff>
      <xdr:row>4</xdr:row>
      <xdr:rowOff>76200</xdr:rowOff>
    </xdr:to>
    <xdr:pic>
      <xdr:nvPicPr>
        <xdr:cNvPr id="2" name="Picture 1" descr="http://img1.moneycontrol.com/images/blank.gif">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0</xdr:col>
      <xdr:colOff>76200</xdr:colOff>
      <xdr:row>4</xdr:row>
      <xdr:rowOff>76200</xdr:rowOff>
    </xdr:to>
    <xdr:pic>
      <xdr:nvPicPr>
        <xdr:cNvPr id="3" name="Picture 2" descr="http://img1.moneycontrol.com/images/blank.gif">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76200</xdr:colOff>
      <xdr:row>69</xdr:row>
      <xdr:rowOff>76200</xdr:rowOff>
    </xdr:to>
    <xdr:pic>
      <xdr:nvPicPr>
        <xdr:cNvPr id="4" name="Picture 3" descr="http://img1.moneycontrol.com/images/blank.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4297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76200</xdr:colOff>
      <xdr:row>69</xdr:row>
      <xdr:rowOff>76200</xdr:rowOff>
    </xdr:to>
    <xdr:pic>
      <xdr:nvPicPr>
        <xdr:cNvPr id="5" name="Picture 4" descr="http://img1.moneycontrol.com/images/blank.gif">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4297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76200</xdr:colOff>
      <xdr:row>71</xdr:row>
      <xdr:rowOff>76200</xdr:rowOff>
    </xdr:to>
    <xdr:pic>
      <xdr:nvPicPr>
        <xdr:cNvPr id="6" name="Picture 5" descr="http://img1.moneycontrol.com/images/blank.gif">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715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76200</xdr:colOff>
      <xdr:row>71</xdr:row>
      <xdr:rowOff>76200</xdr:rowOff>
    </xdr:to>
    <xdr:pic>
      <xdr:nvPicPr>
        <xdr:cNvPr id="7" name="Picture 6" descr="http://img1.moneycontrol.com/images/blank.gif">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715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76200</xdr:colOff>
      <xdr:row>89</xdr:row>
      <xdr:rowOff>76200</xdr:rowOff>
    </xdr:to>
    <xdr:pic>
      <xdr:nvPicPr>
        <xdr:cNvPr id="8" name="Picture 7" descr="http://img1.moneycontrol.com/images/blank.gif">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1443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76200</xdr:colOff>
      <xdr:row>89</xdr:row>
      <xdr:rowOff>76200</xdr:rowOff>
    </xdr:to>
    <xdr:pic>
      <xdr:nvPicPr>
        <xdr:cNvPr id="9" name="Picture 8" descr="http://img1.moneycontrol.com/images/blank.gif">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1443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76200</xdr:colOff>
      <xdr:row>105</xdr:row>
      <xdr:rowOff>76200</xdr:rowOff>
    </xdr:to>
    <xdr:pic>
      <xdr:nvPicPr>
        <xdr:cNvPr id="10" name="Picture 9" descr="http://img1.moneycontrol.com/images/blank.gif">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8588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76200</xdr:colOff>
      <xdr:row>105</xdr:row>
      <xdr:rowOff>76200</xdr:rowOff>
    </xdr:to>
    <xdr:pic>
      <xdr:nvPicPr>
        <xdr:cNvPr id="11" name="Picture 10" descr="http://img1.moneycontrol.com/images/blank.gif">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8588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0</xdr:rowOff>
    </xdr:from>
    <xdr:to>
      <xdr:col>0</xdr:col>
      <xdr:colOff>76200</xdr:colOff>
      <xdr:row>115</xdr:row>
      <xdr:rowOff>76200</xdr:rowOff>
    </xdr:to>
    <xdr:pic>
      <xdr:nvPicPr>
        <xdr:cNvPr id="12" name="Picture 11" descr="http://img1.moneycontrol.com/images/blank.gif">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0018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0</xdr:rowOff>
    </xdr:from>
    <xdr:to>
      <xdr:col>0</xdr:col>
      <xdr:colOff>76200</xdr:colOff>
      <xdr:row>115</xdr:row>
      <xdr:rowOff>76200</xdr:rowOff>
    </xdr:to>
    <xdr:pic>
      <xdr:nvPicPr>
        <xdr:cNvPr id="13" name="Picture 12" descr="http://img1.moneycontrol.com/images/blank.gif">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0018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47625</xdr:colOff>
      <xdr:row>117</xdr:row>
      <xdr:rowOff>47625</xdr:rowOff>
    </xdr:to>
    <xdr:pic>
      <xdr:nvPicPr>
        <xdr:cNvPr id="14" name="Picture 13" descr="http://img1.moneycontrol.com/images/blank.gif">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876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76200</xdr:colOff>
      <xdr:row>117</xdr:row>
      <xdr:rowOff>76200</xdr:rowOff>
    </xdr:to>
    <xdr:pic>
      <xdr:nvPicPr>
        <xdr:cNvPr id="15" name="Picture 14" descr="http://img1.moneycontrol.com/images/blank.gif">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876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76200</xdr:colOff>
      <xdr:row>117</xdr:row>
      <xdr:rowOff>76200</xdr:rowOff>
    </xdr:to>
    <xdr:pic>
      <xdr:nvPicPr>
        <xdr:cNvPr id="16" name="Picture 15" descr="http://img1.moneycontrol.com/images/blank.gif">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876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17" name="Picture 16" descr="http://img1.moneycontrol.com/images/blank.gif">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7266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18" name="Picture 17" descr="http://img1.moneycontrol.com/images/blank.gif">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7266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47625</xdr:colOff>
      <xdr:row>118</xdr:row>
      <xdr:rowOff>47625</xdr:rowOff>
    </xdr:to>
    <xdr:pic>
      <xdr:nvPicPr>
        <xdr:cNvPr id="19" name="Picture 18" descr="http://img1.moneycontrol.com/images/blank.gif">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0" name="Picture 19" descr="http://img1.moneycontrol.com/images/blank.gif">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1" name="Picture 20" descr="http://img1.moneycontrol.com/images/blank.gif">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2" name="Picture 21" descr="http://img1.moneycontrol.com/images/blank.gif">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3" name="Picture 22" descr="http://img1.moneycontrol.com/images/blank.gif">
          <a:extLst>
            <a:ext uri="{FF2B5EF4-FFF2-40B4-BE49-F238E27FC236}">
              <a16:creationId xmlns:a16="http://schemas.microsoft.com/office/drawing/2014/main" id="{00000000-0008-0000-0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4" name="Picture 23" descr="http://img1.moneycontrol.com/images/blank.gif">
          <a:extLst>
            <a:ext uri="{FF2B5EF4-FFF2-40B4-BE49-F238E27FC236}">
              <a16:creationId xmlns:a16="http://schemas.microsoft.com/office/drawing/2014/main" id="{00000000-0008-0000-01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5" name="Picture 24" descr="http://img1.moneycontrol.com/images/blank.gif">
          <a:extLst>
            <a:ext uri="{FF2B5EF4-FFF2-40B4-BE49-F238E27FC236}">
              <a16:creationId xmlns:a16="http://schemas.microsoft.com/office/drawing/2014/main" id="{00000000-0008-0000-01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95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6" name="Picture 25" descr="http://img1.moneycontrol.com/images/blank.gif">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1552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76200</xdr:colOff>
      <xdr:row>118</xdr:row>
      <xdr:rowOff>76200</xdr:rowOff>
    </xdr:to>
    <xdr:pic>
      <xdr:nvPicPr>
        <xdr:cNvPr id="27" name="Picture 26" descr="http://img1.moneycontrol.com/images/blank.gif">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29815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295275</xdr:colOff>
      <xdr:row>29</xdr:row>
      <xdr:rowOff>66675</xdr:rowOff>
    </xdr:from>
    <xdr:to>
      <xdr:col>5</xdr:col>
      <xdr:colOff>485775</xdr:colOff>
      <xdr:row>38</xdr:row>
      <xdr:rowOff>1</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flipV="1">
          <a:off x="3638550" y="6067425"/>
          <a:ext cx="2609850" cy="1743076"/>
        </a:xfrm>
        <a:prstGeom prst="straightConnector1">
          <a:avLst/>
        </a:prstGeom>
        <a:ln w="28575">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hyperlink" Target="javascript:void(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javascript:void(0);"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C08BA-68A2-4AB3-92FC-DB8B23A56235}">
  <dimension ref="A1:K33"/>
  <sheetViews>
    <sheetView zoomScale="80" zoomScaleNormal="80" workbookViewId="0"/>
  </sheetViews>
  <sheetFormatPr defaultColWidth="8.7109375" defaultRowHeight="12.75" x14ac:dyDescent="0.2"/>
  <cols>
    <col min="1" max="1" width="2.7109375" style="219" bestFit="1" customWidth="1"/>
    <col min="2" max="2" width="101.85546875" style="219" bestFit="1" customWidth="1"/>
    <col min="3" max="3" width="0.42578125" style="219" customWidth="1"/>
    <col min="4" max="4" width="7.42578125" style="219" bestFit="1" customWidth="1"/>
    <col min="5" max="5" width="80" style="221" bestFit="1" customWidth="1"/>
    <col min="6" max="10" width="8.7109375" style="219"/>
    <col min="11" max="11" width="16" style="219" bestFit="1" customWidth="1"/>
    <col min="12" max="16384" width="8.7109375" style="219"/>
  </cols>
  <sheetData>
    <row r="1" spans="1:11" x14ac:dyDescent="0.2">
      <c r="A1" s="218" t="s">
        <v>833</v>
      </c>
      <c r="K1" s="267">
        <f>35/2000</f>
        <v>1.7500000000000002E-2</v>
      </c>
    </row>
    <row r="3" spans="1:11" x14ac:dyDescent="0.2">
      <c r="A3" s="218" t="s">
        <v>742</v>
      </c>
      <c r="D3" s="218" t="s">
        <v>743</v>
      </c>
      <c r="K3" s="268">
        <v>35000000</v>
      </c>
    </row>
    <row r="4" spans="1:11" x14ac:dyDescent="0.2">
      <c r="A4" s="269">
        <v>1</v>
      </c>
      <c r="B4" s="219" t="s">
        <v>878</v>
      </c>
      <c r="D4" s="270">
        <v>1</v>
      </c>
      <c r="K4" s="268">
        <f>K3*13</f>
        <v>455000000</v>
      </c>
    </row>
    <row r="5" spans="1:11" x14ac:dyDescent="0.2">
      <c r="A5" s="269">
        <f>A4+1</f>
        <v>2</v>
      </c>
      <c r="B5" s="219" t="s">
        <v>883</v>
      </c>
      <c r="D5" s="270">
        <f>D4+1</f>
        <v>2</v>
      </c>
      <c r="K5" s="268">
        <f>K3*600</f>
        <v>21000000000</v>
      </c>
    </row>
    <row r="6" spans="1:11" x14ac:dyDescent="0.2">
      <c r="A6" s="269">
        <f>A5+1</f>
        <v>3</v>
      </c>
      <c r="B6" s="219" t="s">
        <v>882</v>
      </c>
      <c r="D6" s="270">
        <v>3</v>
      </c>
      <c r="K6" s="267">
        <f>K4/K5</f>
        <v>2.1666666666666667E-2</v>
      </c>
    </row>
    <row r="7" spans="1:11" x14ac:dyDescent="0.2">
      <c r="A7" s="269">
        <f>A6+1</f>
        <v>4</v>
      </c>
      <c r="B7" s="219" t="s">
        <v>900</v>
      </c>
      <c r="D7" s="270">
        <f>D6+1</f>
        <v>4</v>
      </c>
    </row>
    <row r="8" spans="1:11" x14ac:dyDescent="0.2">
      <c r="A8" s="269">
        <f>A7+1</f>
        <v>5</v>
      </c>
      <c r="D8" s="270">
        <f>D7+1</f>
        <v>5</v>
      </c>
    </row>
    <row r="10" spans="1:11" x14ac:dyDescent="0.2">
      <c r="A10" s="218" t="s">
        <v>752</v>
      </c>
      <c r="D10" s="218" t="s">
        <v>751</v>
      </c>
    </row>
    <row r="11" spans="1:11" x14ac:dyDescent="0.2">
      <c r="A11" s="271">
        <v>1</v>
      </c>
      <c r="B11" s="219" t="s">
        <v>878</v>
      </c>
      <c r="D11" s="269">
        <v>1</v>
      </c>
      <c r="E11" s="221" t="s">
        <v>867</v>
      </c>
    </row>
    <row r="12" spans="1:11" x14ac:dyDescent="0.2">
      <c r="A12" s="218">
        <f>A11+1</f>
        <v>2</v>
      </c>
      <c r="B12" s="221" t="s">
        <v>901</v>
      </c>
      <c r="D12" s="269">
        <f>D11+1</f>
        <v>2</v>
      </c>
      <c r="E12" s="221" t="s">
        <v>903</v>
      </c>
    </row>
    <row r="13" spans="1:11" x14ac:dyDescent="0.2">
      <c r="A13" s="218">
        <f>A12+1</f>
        <v>3</v>
      </c>
      <c r="D13" s="269">
        <v>3</v>
      </c>
    </row>
    <row r="14" spans="1:11" x14ac:dyDescent="0.2">
      <c r="A14" s="218">
        <f>A13+1</f>
        <v>4</v>
      </c>
      <c r="D14" s="269">
        <f>D13+1</f>
        <v>4</v>
      </c>
    </row>
    <row r="15" spans="1:11" x14ac:dyDescent="0.2">
      <c r="A15" s="218">
        <f>A14+1</f>
        <v>5</v>
      </c>
      <c r="D15" s="269">
        <f>D14+1</f>
        <v>5</v>
      </c>
    </row>
    <row r="16" spans="1:11" x14ac:dyDescent="0.2">
      <c r="D16" s="270">
        <f>D15+1</f>
        <v>6</v>
      </c>
    </row>
    <row r="17" spans="1:2" x14ac:dyDescent="0.2">
      <c r="A17" s="218" t="s">
        <v>749</v>
      </c>
    </row>
    <row r="18" spans="1:2" x14ac:dyDescent="0.2">
      <c r="A18" s="269">
        <v>1</v>
      </c>
      <c r="B18" s="219" t="s">
        <v>868</v>
      </c>
    </row>
    <row r="19" spans="1:2" x14ac:dyDescent="0.2">
      <c r="A19" s="269">
        <f>A18+1</f>
        <v>2</v>
      </c>
      <c r="B19" s="219" t="s">
        <v>869</v>
      </c>
    </row>
    <row r="23" spans="1:2" x14ac:dyDescent="0.2">
      <c r="A23" s="218" t="s">
        <v>879</v>
      </c>
      <c r="B23" s="218"/>
    </row>
    <row r="24" spans="1:2" x14ac:dyDescent="0.2">
      <c r="A24" s="272">
        <v>1</v>
      </c>
      <c r="B24" s="219" t="s">
        <v>880</v>
      </c>
    </row>
    <row r="26" spans="1:2" x14ac:dyDescent="0.2">
      <c r="A26" s="218" t="s">
        <v>747</v>
      </c>
    </row>
    <row r="27" spans="1:2" x14ac:dyDescent="0.2">
      <c r="A27" s="272">
        <v>1</v>
      </c>
      <c r="B27" s="219" t="s">
        <v>881</v>
      </c>
    </row>
    <row r="28" spans="1:2" x14ac:dyDescent="0.2">
      <c r="A28" s="272"/>
      <c r="B28" s="219" t="s">
        <v>899</v>
      </c>
    </row>
    <row r="29" spans="1:2" x14ac:dyDescent="0.2">
      <c r="A29" s="272">
        <f>A27+1</f>
        <v>2</v>
      </c>
      <c r="B29" s="219" t="s">
        <v>895</v>
      </c>
    </row>
    <row r="30" spans="1:2" x14ac:dyDescent="0.2">
      <c r="A30" s="272">
        <f>A29+1</f>
        <v>3</v>
      </c>
      <c r="B30" s="219" t="s">
        <v>896</v>
      </c>
    </row>
    <row r="31" spans="1:2" x14ac:dyDescent="0.2">
      <c r="A31" s="272">
        <f>A30+1</f>
        <v>4</v>
      </c>
      <c r="B31" s="219" t="s">
        <v>897</v>
      </c>
    </row>
    <row r="32" spans="1:2" x14ac:dyDescent="0.2">
      <c r="A32" s="272">
        <f>A31+1</f>
        <v>5</v>
      </c>
      <c r="B32" s="219" t="s">
        <v>907</v>
      </c>
    </row>
    <row r="33" spans="1:1" x14ac:dyDescent="0.2">
      <c r="A33" s="27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67B8-E93C-4CCD-B1C3-CC2D05F90D45}">
  <dimension ref="A1:G25"/>
  <sheetViews>
    <sheetView zoomScale="80" zoomScaleNormal="80" workbookViewId="0">
      <selection activeCell="F7" sqref="F7"/>
    </sheetView>
  </sheetViews>
  <sheetFormatPr defaultColWidth="8.7109375" defaultRowHeight="12.75" x14ac:dyDescent="0.2"/>
  <cols>
    <col min="1" max="1" width="6.140625" style="255" bestFit="1" customWidth="1"/>
    <col min="2" max="2" width="62.5703125" style="255" customWidth="1"/>
    <col min="3" max="3" width="32.42578125" style="255" bestFit="1" customWidth="1"/>
    <col min="4" max="4" width="8.7109375" style="255"/>
    <col min="5" max="5" width="13.42578125" style="255" bestFit="1" customWidth="1"/>
    <col min="6" max="16384" width="8.7109375" style="255"/>
  </cols>
  <sheetData>
    <row r="1" spans="1:7" x14ac:dyDescent="0.2">
      <c r="A1" s="254" t="s">
        <v>833</v>
      </c>
      <c r="D1" s="263" t="s">
        <v>837</v>
      </c>
    </row>
    <row r="3" spans="1:7" x14ac:dyDescent="0.2">
      <c r="A3" s="259" t="s">
        <v>834</v>
      </c>
      <c r="E3" s="254" t="s">
        <v>870</v>
      </c>
      <c r="F3" s="255" t="s">
        <v>872</v>
      </c>
      <c r="G3" s="255" t="s">
        <v>873</v>
      </c>
    </row>
    <row r="4" spans="1:7" x14ac:dyDescent="0.2">
      <c r="E4" s="255" t="s">
        <v>871</v>
      </c>
      <c r="F4" s="255">
        <v>60</v>
      </c>
      <c r="G4" s="255">
        <v>4000</v>
      </c>
    </row>
    <row r="5" spans="1:7" x14ac:dyDescent="0.2">
      <c r="A5" s="254" t="s">
        <v>0</v>
      </c>
      <c r="C5" s="255" t="s">
        <v>845</v>
      </c>
      <c r="E5" s="255" t="s">
        <v>898</v>
      </c>
      <c r="F5" s="255">
        <v>70</v>
      </c>
    </row>
    <row r="6" spans="1:7" ht="38.25" x14ac:dyDescent="0.2">
      <c r="A6" s="261">
        <v>1</v>
      </c>
      <c r="B6" s="256" t="s">
        <v>835</v>
      </c>
      <c r="E6" s="255" t="s">
        <v>904</v>
      </c>
      <c r="F6" s="255">
        <v>75</v>
      </c>
      <c r="G6" s="255">
        <v>4600</v>
      </c>
    </row>
    <row r="7" spans="1:7" x14ac:dyDescent="0.2">
      <c r="A7" s="262">
        <f>A6+1</f>
        <v>2</v>
      </c>
      <c r="B7" s="263" t="s">
        <v>836</v>
      </c>
      <c r="E7" s="255" t="s">
        <v>908</v>
      </c>
      <c r="F7" s="255">
        <v>95</v>
      </c>
      <c r="G7" s="255">
        <v>5600</v>
      </c>
    </row>
    <row r="8" spans="1:7" ht="38.25" x14ac:dyDescent="0.2">
      <c r="A8" s="262">
        <f>A7+1</f>
        <v>3</v>
      </c>
      <c r="B8" s="256" t="s">
        <v>838</v>
      </c>
    </row>
    <row r="9" spans="1:7" x14ac:dyDescent="0.2">
      <c r="A9" s="262">
        <f>A8+1</f>
        <v>4</v>
      </c>
      <c r="B9" s="263" t="s">
        <v>839</v>
      </c>
      <c r="C9" s="255" t="s">
        <v>846</v>
      </c>
    </row>
    <row r="10" spans="1:7" x14ac:dyDescent="0.2">
      <c r="A10" s="262">
        <f>A9+1</f>
        <v>5</v>
      </c>
      <c r="B10" s="255" t="s">
        <v>840</v>
      </c>
    </row>
    <row r="11" spans="1:7" x14ac:dyDescent="0.2">
      <c r="A11" s="264">
        <f>A10+1</f>
        <v>6</v>
      </c>
      <c r="B11" s="263" t="s">
        <v>841</v>
      </c>
    </row>
    <row r="13" spans="1:7" x14ac:dyDescent="0.2">
      <c r="A13" s="259" t="s">
        <v>842</v>
      </c>
    </row>
    <row r="15" spans="1:7" ht="38.25" x14ac:dyDescent="0.2">
      <c r="A15" s="260">
        <v>1</v>
      </c>
      <c r="B15" s="256" t="s">
        <v>843</v>
      </c>
    </row>
    <row r="16" spans="1:7" x14ac:dyDescent="0.2">
      <c r="A16" s="260">
        <f>A15+1</f>
        <v>2</v>
      </c>
      <c r="B16" s="255" t="s">
        <v>844</v>
      </c>
    </row>
    <row r="17" spans="1:2" x14ac:dyDescent="0.2">
      <c r="A17" s="260">
        <f>A16+1</f>
        <v>3</v>
      </c>
      <c r="B17" s="255" t="s">
        <v>852</v>
      </c>
    </row>
    <row r="20" spans="1:2" x14ac:dyDescent="0.2">
      <c r="A20" s="259" t="s">
        <v>847</v>
      </c>
    </row>
    <row r="21" spans="1:2" ht="25.5" x14ac:dyDescent="0.2">
      <c r="A21" s="261">
        <v>1</v>
      </c>
      <c r="B21" s="256" t="s">
        <v>848</v>
      </c>
    </row>
    <row r="22" spans="1:2" x14ac:dyDescent="0.2">
      <c r="A22" s="261">
        <f>A21+1</f>
        <v>2</v>
      </c>
      <c r="B22" s="255" t="s">
        <v>849</v>
      </c>
    </row>
    <row r="23" spans="1:2" x14ac:dyDescent="0.2">
      <c r="A23" s="261">
        <f>A22+1</f>
        <v>3</v>
      </c>
      <c r="B23" s="255" t="s">
        <v>850</v>
      </c>
    </row>
    <row r="24" spans="1:2" x14ac:dyDescent="0.2">
      <c r="A24" s="261">
        <f>A23+1</f>
        <v>4</v>
      </c>
      <c r="B24" s="255" t="s">
        <v>851</v>
      </c>
    </row>
    <row r="25" spans="1:2" x14ac:dyDescent="0.2">
      <c r="A25" s="261">
        <f>A24+1</f>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
  <sheetViews>
    <sheetView workbookViewId="0"/>
  </sheetViews>
  <sheetFormatPr defaultColWidth="9.140625" defaultRowHeight="11.25" x14ac:dyDescent="0.2"/>
  <cols>
    <col min="1" max="1" width="5" style="2" customWidth="1"/>
    <col min="2" max="2" width="59.140625" style="2" bestFit="1" customWidth="1"/>
    <col min="3" max="3" width="45.7109375" style="2" bestFit="1" customWidth="1"/>
    <col min="4" max="4" width="17.28515625" style="2" bestFit="1" customWidth="1"/>
    <col min="5" max="5" width="29.42578125" style="2" bestFit="1" customWidth="1"/>
    <col min="6" max="16384" width="9.140625" style="2"/>
  </cols>
  <sheetData>
    <row r="1" spans="1:4" x14ac:dyDescent="0.2">
      <c r="A1" s="7" t="s">
        <v>936</v>
      </c>
      <c r="D1" s="3"/>
    </row>
    <row r="2" spans="1:4" x14ac:dyDescent="0.2">
      <c r="D2" s="13"/>
    </row>
    <row r="3" spans="1:4" x14ac:dyDescent="0.2">
      <c r="A3" s="3" t="s">
        <v>0</v>
      </c>
      <c r="B3" s="3" t="s">
        <v>1</v>
      </c>
      <c r="D3" s="13"/>
    </row>
    <row r="4" spans="1:4" x14ac:dyDescent="0.2">
      <c r="A4" s="4">
        <v>1</v>
      </c>
      <c r="B4" s="3" t="s">
        <v>2</v>
      </c>
      <c r="D4" s="13"/>
    </row>
    <row r="5" spans="1:4" x14ac:dyDescent="0.2">
      <c r="A5" s="4" t="s">
        <v>669</v>
      </c>
      <c r="B5" s="315" t="s">
        <v>854</v>
      </c>
      <c r="D5" s="13"/>
    </row>
    <row r="6" spans="1:4" x14ac:dyDescent="0.2">
      <c r="A6" s="4"/>
      <c r="B6" s="315" t="s">
        <v>855</v>
      </c>
      <c r="D6" s="13"/>
    </row>
    <row r="7" spans="1:4" x14ac:dyDescent="0.2">
      <c r="A7" s="4"/>
      <c r="B7" s="278"/>
      <c r="D7" s="13"/>
    </row>
    <row r="8" spans="1:4" x14ac:dyDescent="0.2">
      <c r="A8" s="4" t="s">
        <v>670</v>
      </c>
      <c r="B8" s="315" t="s">
        <v>856</v>
      </c>
      <c r="D8" s="316"/>
    </row>
    <row r="9" spans="1:4" x14ac:dyDescent="0.2">
      <c r="A9" s="4"/>
      <c r="B9" s="315" t="s">
        <v>857</v>
      </c>
      <c r="D9" s="316"/>
    </row>
    <row r="10" spans="1:4" x14ac:dyDescent="0.2">
      <c r="A10" s="4"/>
      <c r="B10" s="278"/>
      <c r="D10" s="13"/>
    </row>
    <row r="11" spans="1:4" x14ac:dyDescent="0.2">
      <c r="A11" s="4" t="s">
        <v>671</v>
      </c>
      <c r="B11" s="278" t="s">
        <v>858</v>
      </c>
      <c r="D11" s="13"/>
    </row>
    <row r="12" spans="1:4" x14ac:dyDescent="0.2">
      <c r="A12" s="4"/>
      <c r="B12" s="278" t="s">
        <v>859</v>
      </c>
      <c r="D12" s="13"/>
    </row>
    <row r="13" spans="1:4" x14ac:dyDescent="0.2">
      <c r="A13" s="4"/>
      <c r="B13" s="278"/>
      <c r="D13" s="13"/>
    </row>
    <row r="14" spans="1:4" x14ac:dyDescent="0.2">
      <c r="A14" s="4" t="s">
        <v>672</v>
      </c>
      <c r="B14" s="278" t="s">
        <v>860</v>
      </c>
      <c r="D14" s="13"/>
    </row>
    <row r="15" spans="1:4" x14ac:dyDescent="0.2">
      <c r="A15" s="4"/>
      <c r="B15" s="278" t="s">
        <v>861</v>
      </c>
      <c r="D15" s="13"/>
    </row>
    <row r="16" spans="1:4" ht="15" x14ac:dyDescent="0.25">
      <c r="A16" s="4"/>
      <c r="B16" s="279"/>
      <c r="D16" s="13"/>
    </row>
    <row r="17" spans="1:4" x14ac:dyDescent="0.2">
      <c r="A17" s="4" t="s">
        <v>673</v>
      </c>
      <c r="B17" s="278" t="s">
        <v>862</v>
      </c>
      <c r="D17" s="13"/>
    </row>
    <row r="18" spans="1:4" x14ac:dyDescent="0.2">
      <c r="A18" s="4"/>
      <c r="B18" s="278" t="s">
        <v>863</v>
      </c>
      <c r="D18" s="13"/>
    </row>
    <row r="19" spans="1:4" x14ac:dyDescent="0.2">
      <c r="A19" s="13"/>
      <c r="B19" s="278"/>
      <c r="D19" s="13"/>
    </row>
    <row r="20" spans="1:4" x14ac:dyDescent="0.2">
      <c r="A20" s="4" t="s">
        <v>674</v>
      </c>
      <c r="B20" s="278" t="s">
        <v>864</v>
      </c>
      <c r="D20" s="13"/>
    </row>
    <row r="21" spans="1:4" x14ac:dyDescent="0.2">
      <c r="A21" s="4"/>
      <c r="B21" s="278" t="s">
        <v>865</v>
      </c>
      <c r="D21" s="13"/>
    </row>
    <row r="22" spans="1:4" x14ac:dyDescent="0.2">
      <c r="A22" s="4"/>
      <c r="B22" s="278"/>
      <c r="D22" s="13"/>
    </row>
    <row r="23" spans="1:4" x14ac:dyDescent="0.2">
      <c r="A23" s="13" t="s">
        <v>349</v>
      </c>
      <c r="B23" s="2" t="s">
        <v>732</v>
      </c>
    </row>
    <row r="24" spans="1:4" x14ac:dyDescent="0.2">
      <c r="A24" s="13" t="s">
        <v>370</v>
      </c>
      <c r="B24" s="2" t="s">
        <v>733</v>
      </c>
      <c r="D24" s="13"/>
    </row>
    <row r="25" spans="1:4" x14ac:dyDescent="0.2">
      <c r="A25" s="13" t="s">
        <v>383</v>
      </c>
      <c r="B25" s="2" t="s">
        <v>734</v>
      </c>
      <c r="D25" s="13"/>
    </row>
    <row r="26" spans="1:4" x14ac:dyDescent="0.2">
      <c r="A26" s="13" t="s">
        <v>397</v>
      </c>
      <c r="B26" s="2" t="s">
        <v>735</v>
      </c>
      <c r="D26" s="13"/>
    </row>
    <row r="27" spans="1:4" x14ac:dyDescent="0.2">
      <c r="A27" s="13" t="s">
        <v>406</v>
      </c>
      <c r="B27" s="2" t="s">
        <v>736</v>
      </c>
      <c r="C27" s="2" t="s">
        <v>757</v>
      </c>
      <c r="D27" s="308">
        <f>'Valuation Models DCF_Conso'!$G$24</f>
        <v>0.23959941435981721</v>
      </c>
    </row>
    <row r="28" spans="1:4" x14ac:dyDescent="0.2">
      <c r="A28" s="13"/>
      <c r="B28" s="278"/>
      <c r="C28" s="2" t="s">
        <v>512</v>
      </c>
      <c r="D28" s="308">
        <f>'Valuation Models DCF'!$G$23</f>
        <v>0.42987018586202458</v>
      </c>
    </row>
    <row r="29" spans="1:4" x14ac:dyDescent="0.2">
      <c r="A29" s="4" t="s">
        <v>675</v>
      </c>
      <c r="B29" s="278" t="s">
        <v>98</v>
      </c>
    </row>
    <row r="30" spans="1:4" x14ac:dyDescent="0.2">
      <c r="A30" s="4" t="s">
        <v>676</v>
      </c>
      <c r="B30" s="278" t="s">
        <v>99</v>
      </c>
    </row>
    <row r="31" spans="1:4" x14ac:dyDescent="0.2">
      <c r="A31" s="4" t="s">
        <v>677</v>
      </c>
      <c r="B31" s="278" t="s">
        <v>738</v>
      </c>
    </row>
    <row r="32" spans="1:4" x14ac:dyDescent="0.2">
      <c r="A32" s="4"/>
      <c r="B32" s="278"/>
    </row>
    <row r="33" spans="1:3" x14ac:dyDescent="0.2">
      <c r="A33" s="4">
        <f>A4+1</f>
        <v>2</v>
      </c>
      <c r="B33" s="280" t="s">
        <v>684</v>
      </c>
    </row>
    <row r="34" spans="1:3" x14ac:dyDescent="0.2">
      <c r="A34" s="4" t="s">
        <v>669</v>
      </c>
      <c r="B34" s="265" t="s">
        <v>678</v>
      </c>
      <c r="C34" s="309"/>
    </row>
    <row r="35" spans="1:3" ht="15" x14ac:dyDescent="0.2">
      <c r="A35" s="4" t="s">
        <v>670</v>
      </c>
      <c r="B35" s="265" t="s">
        <v>683</v>
      </c>
      <c r="C35" s="310"/>
    </row>
    <row r="36" spans="1:3" ht="15" x14ac:dyDescent="0.2">
      <c r="A36" s="4" t="s">
        <v>671</v>
      </c>
      <c r="B36" s="265" t="s">
        <v>679</v>
      </c>
      <c r="C36" s="310"/>
    </row>
    <row r="37" spans="1:3" ht="15" x14ac:dyDescent="0.2">
      <c r="A37" s="4" t="s">
        <v>672</v>
      </c>
      <c r="B37" s="265" t="s">
        <v>680</v>
      </c>
      <c r="C37" s="310"/>
    </row>
    <row r="38" spans="1:3" ht="15" x14ac:dyDescent="0.2">
      <c r="A38" s="4" t="s">
        <v>673</v>
      </c>
      <c r="B38" s="265" t="s">
        <v>681</v>
      </c>
      <c r="C38" s="310"/>
    </row>
    <row r="39" spans="1:3" ht="15" x14ac:dyDescent="0.2">
      <c r="A39" s="4" t="s">
        <v>674</v>
      </c>
      <c r="B39" s="265" t="s">
        <v>682</v>
      </c>
      <c r="C39" s="310"/>
    </row>
    <row r="40" spans="1:3" ht="15" x14ac:dyDescent="0.2">
      <c r="A40" s="4" t="s">
        <v>675</v>
      </c>
      <c r="B40" s="265" t="s">
        <v>748</v>
      </c>
      <c r="C40" s="310"/>
    </row>
    <row r="41" spans="1:3" x14ac:dyDescent="0.2">
      <c r="A41" s="4"/>
      <c r="B41" s="278"/>
    </row>
    <row r="42" spans="1:3" x14ac:dyDescent="0.2">
      <c r="A42" s="4">
        <f>A33+1</f>
        <v>3</v>
      </c>
      <c r="B42" s="280" t="s">
        <v>716</v>
      </c>
    </row>
    <row r="43" spans="1:3" x14ac:dyDescent="0.2">
      <c r="A43" s="13" t="s">
        <v>669</v>
      </c>
      <c r="B43" s="265" t="s">
        <v>717</v>
      </c>
      <c r="C43" s="278" t="s">
        <v>755</v>
      </c>
    </row>
    <row r="44" spans="1:3" x14ac:dyDescent="0.2">
      <c r="A44" s="13" t="s">
        <v>670</v>
      </c>
      <c r="B44" s="265" t="s">
        <v>718</v>
      </c>
      <c r="C44" s="278" t="s">
        <v>863</v>
      </c>
    </row>
    <row r="45" spans="1:3" x14ac:dyDescent="0.2">
      <c r="A45" s="13" t="s">
        <v>671</v>
      </c>
      <c r="B45" s="265" t="s">
        <v>719</v>
      </c>
    </row>
    <row r="46" spans="1:3" x14ac:dyDescent="0.2">
      <c r="A46" s="13" t="s">
        <v>672</v>
      </c>
      <c r="B46" s="265" t="s">
        <v>720</v>
      </c>
    </row>
    <row r="47" spans="1:3" x14ac:dyDescent="0.2">
      <c r="A47" s="13" t="s">
        <v>673</v>
      </c>
      <c r="B47" s="265" t="s">
        <v>721</v>
      </c>
    </row>
    <row r="48" spans="1:3" x14ac:dyDescent="0.2">
      <c r="A48" s="13"/>
      <c r="B48" s="265"/>
    </row>
    <row r="49" spans="1:6" x14ac:dyDescent="0.2">
      <c r="A49" s="4">
        <f>A42+1</f>
        <v>4</v>
      </c>
      <c r="B49" s="281" t="s">
        <v>706</v>
      </c>
    </row>
    <row r="50" spans="1:6" x14ac:dyDescent="0.2">
      <c r="A50" s="13" t="s">
        <v>669</v>
      </c>
      <c r="B50" s="282" t="s">
        <v>707</v>
      </c>
      <c r="C50" s="243"/>
    </row>
    <row r="51" spans="1:6" x14ac:dyDescent="0.2">
      <c r="A51" s="13" t="s">
        <v>670</v>
      </c>
      <c r="B51" s="282" t="s">
        <v>708</v>
      </c>
    </row>
    <row r="52" spans="1:6" x14ac:dyDescent="0.2">
      <c r="A52" s="13" t="s">
        <v>671</v>
      </c>
      <c r="B52" s="282" t="s">
        <v>709</v>
      </c>
    </row>
    <row r="53" spans="1:6" x14ac:dyDescent="0.2">
      <c r="A53" s="13" t="s">
        <v>672</v>
      </c>
      <c r="B53" s="282" t="s">
        <v>710</v>
      </c>
    </row>
    <row r="54" spans="1:6" x14ac:dyDescent="0.2">
      <c r="A54" s="13" t="s">
        <v>673</v>
      </c>
      <c r="B54" s="282" t="s">
        <v>711</v>
      </c>
    </row>
    <row r="55" spans="1:6" x14ac:dyDescent="0.2">
      <c r="A55" s="13" t="s">
        <v>674</v>
      </c>
      <c r="B55" s="282" t="s">
        <v>712</v>
      </c>
      <c r="D55" s="15">
        <f>'Common Size Analysis - CFS'!$A$45</f>
        <v>0.70452986316285648</v>
      </c>
    </row>
    <row r="56" spans="1:6" x14ac:dyDescent="0.2">
      <c r="A56" s="13" t="s">
        <v>675</v>
      </c>
      <c r="B56" s="282" t="s">
        <v>713</v>
      </c>
    </row>
    <row r="57" spans="1:6" x14ac:dyDescent="0.2">
      <c r="A57" s="13" t="s">
        <v>676</v>
      </c>
      <c r="B57" s="282" t="s">
        <v>714</v>
      </c>
    </row>
    <row r="58" spans="1:6" x14ac:dyDescent="0.2">
      <c r="A58" s="13" t="s">
        <v>677</v>
      </c>
      <c r="B58" s="282" t="s">
        <v>715</v>
      </c>
      <c r="D58" s="6">
        <f>'Ratio Analysis_Conso'!$D$132</f>
        <v>237</v>
      </c>
    </row>
    <row r="59" spans="1:6" x14ac:dyDescent="0.2">
      <c r="A59" s="13"/>
      <c r="B59" s="282"/>
      <c r="D59" s="6">
        <f>'Ratio Analysis'!$D$130</f>
        <v>238</v>
      </c>
    </row>
    <row r="60" spans="1:6" x14ac:dyDescent="0.2">
      <c r="A60" s="4"/>
      <c r="B60" s="265"/>
      <c r="D60" s="6"/>
    </row>
    <row r="61" spans="1:6" x14ac:dyDescent="0.2">
      <c r="A61" s="4">
        <f>A49+1</f>
        <v>5</v>
      </c>
      <c r="B61" s="265" t="s">
        <v>685</v>
      </c>
      <c r="D61" s="6"/>
    </row>
    <row r="62" spans="1:6" x14ac:dyDescent="0.2">
      <c r="A62" s="4">
        <f t="shared" ref="A62:A69" si="0">A61+1</f>
        <v>6</v>
      </c>
      <c r="B62" s="265" t="s">
        <v>722</v>
      </c>
    </row>
    <row r="63" spans="1:6" x14ac:dyDescent="0.2">
      <c r="A63" s="4">
        <f t="shared" si="0"/>
        <v>7</v>
      </c>
      <c r="B63" s="265" t="s">
        <v>723</v>
      </c>
      <c r="C63" s="2" t="s">
        <v>757</v>
      </c>
      <c r="D63" s="199">
        <f>'Ratio Analysis_Conso'!D125</f>
        <v>0.13722372199597588</v>
      </c>
      <c r="E63" s="2" t="s">
        <v>512</v>
      </c>
      <c r="F63" s="199">
        <f>'Ratio Analysis'!$D$123</f>
        <v>0.16473895289689577</v>
      </c>
    </row>
    <row r="64" spans="1:6" x14ac:dyDescent="0.2">
      <c r="A64" s="311">
        <f t="shared" si="0"/>
        <v>8</v>
      </c>
      <c r="B64" s="283" t="s">
        <v>686</v>
      </c>
      <c r="C64" s="243"/>
      <c r="D64" s="312"/>
    </row>
    <row r="65" spans="1:3" x14ac:dyDescent="0.2">
      <c r="A65" s="4">
        <f t="shared" si="0"/>
        <v>9</v>
      </c>
      <c r="B65" s="265" t="s">
        <v>687</v>
      </c>
    </row>
    <row r="66" spans="1:3" x14ac:dyDescent="0.2">
      <c r="A66" s="4">
        <f t="shared" si="0"/>
        <v>10</v>
      </c>
      <c r="B66" s="265" t="s">
        <v>688</v>
      </c>
    </row>
    <row r="67" spans="1:3" x14ac:dyDescent="0.2">
      <c r="A67" s="4">
        <f t="shared" si="0"/>
        <v>11</v>
      </c>
      <c r="B67" s="265" t="s">
        <v>927</v>
      </c>
    </row>
    <row r="68" spans="1:3" x14ac:dyDescent="0.2">
      <c r="A68" s="4">
        <f t="shared" si="0"/>
        <v>12</v>
      </c>
      <c r="B68" s="283" t="s">
        <v>689</v>
      </c>
      <c r="C68" s="244"/>
    </row>
    <row r="69" spans="1:3" x14ac:dyDescent="0.2">
      <c r="A69" s="4">
        <f t="shared" si="0"/>
        <v>13</v>
      </c>
      <c r="B69" s="265" t="s">
        <v>690</v>
      </c>
    </row>
    <row r="70" spans="1:3" x14ac:dyDescent="0.2">
      <c r="A70" s="4"/>
      <c r="B70" s="280"/>
    </row>
    <row r="71" spans="1:3" x14ac:dyDescent="0.2">
      <c r="A71" s="4">
        <f>A69+1</f>
        <v>14</v>
      </c>
      <c r="B71" s="280" t="s">
        <v>692</v>
      </c>
    </row>
    <row r="72" spans="1:3" x14ac:dyDescent="0.2">
      <c r="A72" s="4" t="s">
        <v>669</v>
      </c>
      <c r="B72" s="265" t="s">
        <v>694</v>
      </c>
    </row>
    <row r="73" spans="1:3" x14ac:dyDescent="0.2">
      <c r="A73" s="4" t="s">
        <v>670</v>
      </c>
      <c r="B73" s="265" t="s">
        <v>693</v>
      </c>
    </row>
    <row r="74" spans="1:3" x14ac:dyDescent="0.2">
      <c r="A74" s="4" t="s">
        <v>671</v>
      </c>
      <c r="B74" s="265" t="s">
        <v>695</v>
      </c>
    </row>
    <row r="75" spans="1:3" x14ac:dyDescent="0.2">
      <c r="A75" s="4" t="s">
        <v>672</v>
      </c>
      <c r="B75" s="265" t="s">
        <v>696</v>
      </c>
    </row>
    <row r="76" spans="1:3" x14ac:dyDescent="0.2">
      <c r="A76" s="4" t="s">
        <v>673</v>
      </c>
      <c r="B76" s="265" t="s">
        <v>697</v>
      </c>
    </row>
    <row r="77" spans="1:3" x14ac:dyDescent="0.2">
      <c r="A77" s="4" t="s">
        <v>674</v>
      </c>
      <c r="B77" s="265" t="s">
        <v>758</v>
      </c>
    </row>
    <row r="78" spans="1:3" x14ac:dyDescent="0.2">
      <c r="A78" s="4"/>
      <c r="B78" s="284"/>
    </row>
    <row r="79" spans="1:3" x14ac:dyDescent="0.2">
      <c r="A79" s="4">
        <f>A71+1</f>
        <v>15</v>
      </c>
      <c r="B79" s="2" t="s">
        <v>699</v>
      </c>
      <c r="C79" s="199">
        <f>'Valuation Models DCF'!$G$23</f>
        <v>0.42987018586202458</v>
      </c>
    </row>
    <row r="80" spans="1:3" x14ac:dyDescent="0.2">
      <c r="A80" s="4">
        <f>A79+1</f>
        <v>16</v>
      </c>
      <c r="B80" s="2" t="s">
        <v>737</v>
      </c>
    </row>
    <row r="81" spans="1:3" x14ac:dyDescent="0.2">
      <c r="A81" s="4">
        <f>A80+1</f>
        <v>17</v>
      </c>
      <c r="B81" s="2" t="s">
        <v>700</v>
      </c>
    </row>
    <row r="82" spans="1:3" x14ac:dyDescent="0.2">
      <c r="A82" s="4"/>
    </row>
    <row r="83" spans="1:3" x14ac:dyDescent="0.2">
      <c r="A83" s="4">
        <f>A81+1</f>
        <v>18</v>
      </c>
      <c r="B83" s="3" t="s">
        <v>701</v>
      </c>
    </row>
    <row r="84" spans="1:3" x14ac:dyDescent="0.2">
      <c r="A84" s="4" t="s">
        <v>669</v>
      </c>
      <c r="B84" s="2" t="s">
        <v>702</v>
      </c>
    </row>
    <row r="85" spans="1:3" x14ac:dyDescent="0.2">
      <c r="A85" s="4" t="s">
        <v>671</v>
      </c>
      <c r="B85" s="2" t="s">
        <v>703</v>
      </c>
    </row>
    <row r="86" spans="1:3" x14ac:dyDescent="0.2">
      <c r="A86" s="4" t="s">
        <v>672</v>
      </c>
      <c r="B86" s="2" t="s">
        <v>704</v>
      </c>
    </row>
    <row r="87" spans="1:3" x14ac:dyDescent="0.2">
      <c r="A87" s="4" t="s">
        <v>673</v>
      </c>
      <c r="B87" s="2" t="s">
        <v>705</v>
      </c>
      <c r="C87" s="2" t="s">
        <v>425</v>
      </c>
    </row>
    <row r="88" spans="1:3" x14ac:dyDescent="0.2">
      <c r="A88" s="4"/>
    </row>
    <row r="89" spans="1:3" x14ac:dyDescent="0.2">
      <c r="A89" s="4">
        <f>A83+1</f>
        <v>19</v>
      </c>
      <c r="B89" s="2" t="s">
        <v>926</v>
      </c>
    </row>
    <row r="90" spans="1:3" x14ac:dyDescent="0.2">
      <c r="A90" s="4"/>
    </row>
    <row r="91" spans="1:3" x14ac:dyDescent="0.2">
      <c r="A91" s="3" t="s">
        <v>8</v>
      </c>
      <c r="B91" s="3" t="s">
        <v>9</v>
      </c>
    </row>
    <row r="92" spans="1:3" x14ac:dyDescent="0.2">
      <c r="A92" s="4">
        <f>A83+1</f>
        <v>19</v>
      </c>
      <c r="B92" s="278" t="s">
        <v>726</v>
      </c>
    </row>
    <row r="93" spans="1:3" x14ac:dyDescent="0.2">
      <c r="A93" s="4">
        <f>A92+1</f>
        <v>20</v>
      </c>
      <c r="B93" s="278" t="s">
        <v>724</v>
      </c>
    </row>
    <row r="94" spans="1:3" x14ac:dyDescent="0.2">
      <c r="A94" s="4">
        <f>A93+1</f>
        <v>21</v>
      </c>
      <c r="B94" s="278" t="s">
        <v>725</v>
      </c>
    </row>
    <row r="95" spans="1:3" x14ac:dyDescent="0.2">
      <c r="A95" s="4">
        <f>A94+1</f>
        <v>22</v>
      </c>
      <c r="B95" s="278" t="s">
        <v>832</v>
      </c>
    </row>
    <row r="96" spans="1:3" x14ac:dyDescent="0.2">
      <c r="A96" s="4">
        <f>A95+1</f>
        <v>23</v>
      </c>
      <c r="B96" s="278" t="s">
        <v>20</v>
      </c>
    </row>
    <row r="97" spans="1:2" x14ac:dyDescent="0.2">
      <c r="A97" s="4">
        <f t="shared" ref="A97:A102" si="1">A96+1</f>
        <v>24</v>
      </c>
      <c r="B97" s="278" t="s">
        <v>17</v>
      </c>
    </row>
    <row r="98" spans="1:2" x14ac:dyDescent="0.2">
      <c r="A98" s="4">
        <f t="shared" si="1"/>
        <v>25</v>
      </c>
      <c r="B98" s="278" t="s">
        <v>34</v>
      </c>
    </row>
    <row r="99" spans="1:2" x14ac:dyDescent="0.2">
      <c r="A99" s="4">
        <f t="shared" si="1"/>
        <v>26</v>
      </c>
      <c r="B99" s="278" t="s">
        <v>35</v>
      </c>
    </row>
    <row r="100" spans="1:2" x14ac:dyDescent="0.2">
      <c r="A100" s="4">
        <f t="shared" si="1"/>
        <v>27</v>
      </c>
      <c r="B100" s="278" t="s">
        <v>619</v>
      </c>
    </row>
    <row r="101" spans="1:2" x14ac:dyDescent="0.2">
      <c r="A101" s="4">
        <f t="shared" si="1"/>
        <v>28</v>
      </c>
      <c r="B101" s="2" t="s">
        <v>739</v>
      </c>
    </row>
    <row r="102" spans="1:2" x14ac:dyDescent="0.2">
      <c r="A102" s="4">
        <f t="shared" si="1"/>
        <v>29</v>
      </c>
      <c r="B102" s="2" t="s">
        <v>623</v>
      </c>
    </row>
    <row r="103" spans="1:2" x14ac:dyDescent="0.2">
      <c r="A103" s="4">
        <f>A102+1</f>
        <v>30</v>
      </c>
      <c r="B103" s="2" t="s">
        <v>622</v>
      </c>
    </row>
    <row r="104" spans="1:2" x14ac:dyDescent="0.2">
      <c r="A104" s="4">
        <f>A103+1</f>
        <v>31</v>
      </c>
      <c r="B104" s="2" t="s">
        <v>740</v>
      </c>
    </row>
    <row r="105" spans="1:2" x14ac:dyDescent="0.2">
      <c r="A105" s="4">
        <f>A104+1</f>
        <v>32</v>
      </c>
      <c r="B105" s="2" t="s">
        <v>741</v>
      </c>
    </row>
    <row r="106" spans="1:2" x14ac:dyDescent="0.2">
      <c r="A106" s="4">
        <f>A105+1</f>
        <v>33</v>
      </c>
      <c r="B106" s="2" t="s">
        <v>698</v>
      </c>
    </row>
    <row r="107" spans="1:2" x14ac:dyDescent="0.2">
      <c r="A107" s="13">
        <f>A106+1</f>
        <v>34</v>
      </c>
      <c r="B107" s="3" t="s">
        <v>691</v>
      </c>
    </row>
    <row r="108" spans="1:2" x14ac:dyDescent="0.2">
      <c r="A108" s="13" t="s">
        <v>669</v>
      </c>
      <c r="B108" s="2" t="s">
        <v>827</v>
      </c>
    </row>
    <row r="109" spans="1:2" x14ac:dyDescent="0.2">
      <c r="A109" s="13" t="s">
        <v>670</v>
      </c>
      <c r="B109" s="2" t="s">
        <v>828</v>
      </c>
    </row>
    <row r="110" spans="1:2" ht="33.75" x14ac:dyDescent="0.2">
      <c r="A110" s="13" t="s">
        <v>671</v>
      </c>
      <c r="B110" s="243" t="s">
        <v>829</v>
      </c>
    </row>
    <row r="111" spans="1:2" ht="33.75" x14ac:dyDescent="0.2">
      <c r="A111" s="13" t="s">
        <v>672</v>
      </c>
      <c r="B111" s="243" t="s">
        <v>830</v>
      </c>
    </row>
    <row r="112" spans="1:2" x14ac:dyDescent="0.2">
      <c r="A112" s="13" t="s">
        <v>673</v>
      </c>
      <c r="B112" s="2" t="s">
        <v>831</v>
      </c>
    </row>
  </sheetData>
  <hyperlinks>
    <hyperlink ref="B5" location="Financials_Consol!A1" display="Financials_Standalone" xr:uid="{00000000-0004-0000-0000-000000000000}"/>
    <hyperlink ref="B8" location="'Common Size Analysis - BS_conso'!A1" display="Common Size Analysis - BS" xr:uid="{00000000-0004-0000-0000-000001000000}"/>
    <hyperlink ref="B14" location="'Common Size Analysis - CFS_Cons'!A1" display="Common Size Analysis - CFS" xr:uid="{00000000-0004-0000-0000-000002000000}"/>
    <hyperlink ref="B17" location="'Ratio Analysis_Conso'!A1" display="Ratio Analysis" xr:uid="{00000000-0004-0000-0000-000003000000}"/>
    <hyperlink ref="B95" location="'Basic Qualitative Assessment'!A1" display="Basic Qualitative Assessment" xr:uid="{00000000-0004-0000-0000-000004000000}"/>
    <hyperlink ref="B92" location="'Michael Porters - 5 Pt analysis'!A1" display="Michael Porters - 5 Pt analysis" xr:uid="{00000000-0004-0000-0000-000005000000}"/>
    <hyperlink ref="B97" location="'Behavioral Checklist'!A1" display="Behavioral Checklist" xr:uid="{00000000-0004-0000-0000-000007000000}"/>
    <hyperlink ref="B93" location="'Financial Shenanigans checklist'!A1" display="Financial Shenanigans checklist" xr:uid="{00000000-0004-0000-0000-000008000000}"/>
    <hyperlink ref="B20" location="'Valuation Models DCF_Conso'!A1" display="Valuation Models DCF" xr:uid="{00000000-0004-0000-0000-000009000000}"/>
    <hyperlink ref="B96" location="'Management Qualitiy Checklist'!A1" display="Management Qualitiy Checklist" xr:uid="{00000000-0004-0000-0000-00000C000000}"/>
    <hyperlink ref="B98" location="'Investing Sin Checklist'!A1" display="Investor Sin Checklist" xr:uid="{00000000-0004-0000-0000-00000D000000}"/>
    <hyperlink ref="B99" location="'Less is more checklist'!A1" display="Less is more checklist" xr:uid="{00000000-0004-0000-0000-00000E000000}"/>
    <hyperlink ref="B29" location="'Valuation Models Residual'!A1" display="Valuation Models Residual eanin" xr:uid="{00000000-0004-0000-0000-00000F000000}"/>
    <hyperlink ref="B30" location="'Valuation Models EPV'!A1" display="Valuation Models EPV" xr:uid="{00000000-0004-0000-0000-000010000000}"/>
    <hyperlink ref="B31" location="'Relative valuation Models'!A1" display="Relative valuation Models" xr:uid="{00000000-0004-0000-0000-000011000000}"/>
    <hyperlink ref="B11" location="'Common Size Analysis - PL_Conso'!A1" display="Common Size Analysis - FS" xr:uid="{00000000-0004-0000-0000-000012000000}"/>
    <hyperlink ref="B100" location="'Philip Fischer '!A1" display="15 point analysis of philips fischer" xr:uid="{0BA03C1A-FF2B-4290-A173-B237F30321C9}"/>
    <hyperlink ref="C43" location="'Ratio Analysis_Conso'!A1" display="'Ratio Analysis_Conso'!A1" xr:uid="{551D3EF6-30B4-4952-B083-789096F9F2C9}"/>
    <hyperlink ref="B6" location="Financials_Standalone!A1" display="Financials_Standalone!A1" xr:uid="{C4DED3B2-11FF-415D-BA73-6E75B0C45B3B}"/>
    <hyperlink ref="B9" location="'Common Size Analysis - BS'!A1" display="'Common Size Analysis - BS'!A1" xr:uid="{27701194-9364-4708-8576-A42A4EB508EA}"/>
    <hyperlink ref="B12" location="'Common Size Analysis - PL'!A1" display="'Common Size Analysis - PL'!A1" xr:uid="{446292C6-45C6-43AB-B46F-1FB62C6BFB55}"/>
    <hyperlink ref="B15" location="'Common Size Analysis - CFS'!A1" display="'Common Size Analysis - CFS'!A1" xr:uid="{ACB4BC44-5D00-4D51-8AA6-7052C9959332}"/>
    <hyperlink ref="B18" location="'Ratio Analysis'!A1" display="'Ratio Analysis'!A1" xr:uid="{F9AFDAF4-6D2F-4937-B2F6-D56C2C9AFB72}"/>
    <hyperlink ref="B21" location="'Valuation Models DCF'!A1" display="'Valuation Models DCF'!A1" xr:uid="{5B5C04C1-6F1C-4282-B06B-C75A3A6DC07B}"/>
    <hyperlink ref="C44" location="'Ratio Analysis'!A1" display="'Ratio Analysis'!A1" xr:uid="{D04E06D4-4AF0-4E82-8CE3-BB165E5947C4}"/>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4678-B647-4882-A44D-462C79A63A00}">
  <dimension ref="A1:G37"/>
  <sheetViews>
    <sheetView workbookViewId="0">
      <selection activeCell="E1" sqref="E1"/>
    </sheetView>
  </sheetViews>
  <sheetFormatPr defaultColWidth="8.7109375" defaultRowHeight="11.25" x14ac:dyDescent="0.2"/>
  <cols>
    <col min="1" max="1" width="2.5703125" style="2" customWidth="1"/>
    <col min="2" max="2" width="58.5703125" style="2" customWidth="1"/>
    <col min="3" max="3" width="2.5703125" style="2" customWidth="1"/>
    <col min="4" max="4" width="31.85546875" style="2" bestFit="1" customWidth="1"/>
    <col min="5" max="5" width="2.5703125" style="2" customWidth="1"/>
    <col min="6" max="6" width="48.5703125" style="2" bestFit="1" customWidth="1"/>
    <col min="7" max="7" width="44.140625" style="2" bestFit="1" customWidth="1"/>
    <col min="8" max="16384" width="8.7109375" style="2"/>
  </cols>
  <sheetData>
    <row r="1" spans="1:7" x14ac:dyDescent="0.2">
      <c r="A1" s="7" t="s">
        <v>936</v>
      </c>
      <c r="E1" s="3" t="s">
        <v>923</v>
      </c>
    </row>
    <row r="2" spans="1:7" x14ac:dyDescent="0.2">
      <c r="E2" s="13">
        <v>1</v>
      </c>
    </row>
    <row r="3" spans="1:7" x14ac:dyDescent="0.2">
      <c r="A3" s="3" t="s">
        <v>743</v>
      </c>
      <c r="C3" s="3" t="s">
        <v>920</v>
      </c>
      <c r="E3" s="13">
        <f>E2+1</f>
        <v>2</v>
      </c>
    </row>
    <row r="4" spans="1:7" x14ac:dyDescent="0.2">
      <c r="A4" s="303">
        <v>1</v>
      </c>
      <c r="C4" s="13">
        <v>1</v>
      </c>
      <c r="E4" s="13">
        <v>3</v>
      </c>
    </row>
    <row r="5" spans="1:7" x14ac:dyDescent="0.2">
      <c r="A5" s="303">
        <f>A4+1</f>
        <v>2</v>
      </c>
      <c r="C5" s="13"/>
      <c r="E5" s="13">
        <f>E4+1</f>
        <v>4</v>
      </c>
    </row>
    <row r="6" spans="1:7" x14ac:dyDescent="0.2">
      <c r="A6" s="303">
        <v>3</v>
      </c>
      <c r="B6" s="243"/>
      <c r="C6" s="13"/>
      <c r="E6" s="13">
        <f>E5+1</f>
        <v>5</v>
      </c>
    </row>
    <row r="7" spans="1:7" x14ac:dyDescent="0.2">
      <c r="A7" s="303">
        <f>A6+1</f>
        <v>4</v>
      </c>
      <c r="C7" s="13"/>
      <c r="E7" s="13">
        <v>6</v>
      </c>
    </row>
    <row r="8" spans="1:7" x14ac:dyDescent="0.2">
      <c r="A8" s="303">
        <f>A7+1</f>
        <v>5</v>
      </c>
      <c r="C8" s="13"/>
      <c r="E8" s="13">
        <f>E7+1</f>
        <v>7</v>
      </c>
    </row>
    <row r="9" spans="1:7" ht="15" x14ac:dyDescent="0.25">
      <c r="A9" s="303"/>
      <c r="C9" s="13"/>
      <c r="E9" s="13">
        <f>E8+1</f>
        <v>8</v>
      </c>
      <c r="F9" s="243"/>
      <c r="G9" s="306"/>
    </row>
    <row r="10" spans="1:7" x14ac:dyDescent="0.2">
      <c r="E10" s="13">
        <f>E9+1</f>
        <v>9</v>
      </c>
    </row>
    <row r="11" spans="1:7" x14ac:dyDescent="0.2">
      <c r="E11" s="13">
        <f>E10+1</f>
        <v>10</v>
      </c>
    </row>
    <row r="12" spans="1:7" x14ac:dyDescent="0.2">
      <c r="A12" s="3" t="s">
        <v>751</v>
      </c>
      <c r="C12" s="3" t="s">
        <v>752</v>
      </c>
      <c r="E12" s="13">
        <f>E11+1</f>
        <v>11</v>
      </c>
    </row>
    <row r="13" spans="1:7" x14ac:dyDescent="0.2">
      <c r="A13" s="303">
        <v>1</v>
      </c>
      <c r="C13" s="13">
        <v>1</v>
      </c>
      <c r="E13" s="13"/>
    </row>
    <row r="14" spans="1:7" x14ac:dyDescent="0.2">
      <c r="A14" s="303">
        <f>A13+1</f>
        <v>2</v>
      </c>
      <c r="C14" s="13">
        <f>C13+1</f>
        <v>2</v>
      </c>
      <c r="E14" s="13"/>
    </row>
    <row r="15" spans="1:7" ht="15" x14ac:dyDescent="0.25">
      <c r="A15" s="303">
        <f>A14+1</f>
        <v>3</v>
      </c>
      <c r="B15" s="305"/>
      <c r="C15" s="13">
        <f>C14+1</f>
        <v>3</v>
      </c>
      <c r="E15" s="13"/>
    </row>
    <row r="16" spans="1:7" x14ac:dyDescent="0.2">
      <c r="A16" s="303"/>
      <c r="C16" s="13">
        <f>C15+1</f>
        <v>4</v>
      </c>
      <c r="E16" s="13"/>
    </row>
    <row r="17" spans="1:5" x14ac:dyDescent="0.2">
      <c r="A17" s="303"/>
      <c r="C17" s="13">
        <f>C16+1</f>
        <v>5</v>
      </c>
      <c r="E17" s="13"/>
    </row>
    <row r="18" spans="1:5" x14ac:dyDescent="0.2">
      <c r="A18" s="303"/>
      <c r="D18" s="6"/>
      <c r="E18" s="13"/>
    </row>
    <row r="19" spans="1:5" x14ac:dyDescent="0.2">
      <c r="A19" s="303"/>
      <c r="D19" s="6"/>
      <c r="E19" s="13"/>
    </row>
    <row r="20" spans="1:5" x14ac:dyDescent="0.2">
      <c r="A20" s="303"/>
      <c r="D20" s="6"/>
      <c r="E20" s="13"/>
    </row>
    <row r="21" spans="1:5" x14ac:dyDescent="0.2">
      <c r="A21" s="303"/>
      <c r="E21" s="13"/>
    </row>
    <row r="22" spans="1:5" x14ac:dyDescent="0.2">
      <c r="A22" s="303"/>
      <c r="E22" s="13"/>
    </row>
    <row r="23" spans="1:5" x14ac:dyDescent="0.2">
      <c r="A23" s="303"/>
      <c r="E23" s="13"/>
    </row>
    <row r="24" spans="1:5" x14ac:dyDescent="0.2">
      <c r="A24" s="303"/>
      <c r="E24" s="13"/>
    </row>
    <row r="25" spans="1:5" x14ac:dyDescent="0.2">
      <c r="A25" s="303"/>
    </row>
    <row r="26" spans="1:5" x14ac:dyDescent="0.2">
      <c r="A26" s="303"/>
    </row>
    <row r="27" spans="1:5" x14ac:dyDescent="0.2">
      <c r="A27" s="303"/>
    </row>
    <row r="28" spans="1:5" x14ac:dyDescent="0.2">
      <c r="A28" s="303"/>
    </row>
    <row r="29" spans="1:5" x14ac:dyDescent="0.2">
      <c r="A29" s="303"/>
    </row>
    <row r="30" spans="1:5" x14ac:dyDescent="0.2">
      <c r="A30" s="303"/>
    </row>
    <row r="31" spans="1:5" x14ac:dyDescent="0.2">
      <c r="A31" s="303"/>
    </row>
    <row r="32" spans="1:5" x14ac:dyDescent="0.2">
      <c r="A32" s="303"/>
    </row>
    <row r="33" spans="1:1" x14ac:dyDescent="0.2">
      <c r="A33" s="303"/>
    </row>
    <row r="34" spans="1:1" x14ac:dyDescent="0.2">
      <c r="A34" s="303"/>
    </row>
    <row r="35" spans="1:1" x14ac:dyDescent="0.2">
      <c r="A35" s="303"/>
    </row>
    <row r="36" spans="1:1" x14ac:dyDescent="0.2">
      <c r="A36" s="303"/>
    </row>
    <row r="37" spans="1:1" x14ac:dyDescent="0.2">
      <c r="A37" s="30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098C-498D-42FA-BDC1-78F38E9CA9DC}">
  <dimension ref="A1:D24"/>
  <sheetViews>
    <sheetView zoomScaleNormal="100" workbookViewId="0"/>
  </sheetViews>
  <sheetFormatPr defaultColWidth="8.7109375" defaultRowHeight="12" x14ac:dyDescent="0.2"/>
  <cols>
    <col min="1" max="1" width="4.5703125" style="294" customWidth="1"/>
    <col min="2" max="2" width="83.5703125" style="294" bestFit="1" customWidth="1"/>
    <col min="3" max="3" width="8.7109375" style="294"/>
    <col min="4" max="4" width="15.5703125" style="294" bestFit="1" customWidth="1"/>
    <col min="5" max="16384" width="8.7109375" style="294"/>
  </cols>
  <sheetData>
    <row r="1" spans="1:4" x14ac:dyDescent="0.2">
      <c r="A1" s="293" t="s">
        <v>936</v>
      </c>
    </row>
    <row r="3" spans="1:4" x14ac:dyDescent="0.2">
      <c r="A3" s="295" t="s">
        <v>921</v>
      </c>
    </row>
    <row r="4" spans="1:4" x14ac:dyDescent="0.2">
      <c r="A4" s="302">
        <v>1</v>
      </c>
    </row>
    <row r="5" spans="1:4" x14ac:dyDescent="0.2">
      <c r="A5" s="302">
        <f>A4+1</f>
        <v>2</v>
      </c>
    </row>
    <row r="7" spans="1:4" x14ac:dyDescent="0.2">
      <c r="A7" s="302">
        <f>A5+1</f>
        <v>3</v>
      </c>
    </row>
    <row r="8" spans="1:4" x14ac:dyDescent="0.2">
      <c r="A8" s="302">
        <f t="shared" ref="A8:A13" si="0">A7+1</f>
        <v>4</v>
      </c>
      <c r="B8" s="313"/>
    </row>
    <row r="9" spans="1:4" x14ac:dyDescent="0.2">
      <c r="A9" s="302">
        <f t="shared" si="0"/>
        <v>5</v>
      </c>
    </row>
    <row r="10" spans="1:4" x14ac:dyDescent="0.2">
      <c r="A10" s="302">
        <f t="shared" si="0"/>
        <v>6</v>
      </c>
    </row>
    <row r="11" spans="1:4" x14ac:dyDescent="0.2">
      <c r="A11" s="302">
        <f t="shared" si="0"/>
        <v>7</v>
      </c>
      <c r="D11" s="304"/>
    </row>
    <row r="12" spans="1:4" x14ac:dyDescent="0.2">
      <c r="A12" s="302">
        <f t="shared" si="0"/>
        <v>8</v>
      </c>
      <c r="D12" s="304"/>
    </row>
    <row r="13" spans="1:4" x14ac:dyDescent="0.2">
      <c r="A13" s="302">
        <f t="shared" si="0"/>
        <v>9</v>
      </c>
      <c r="D13" s="304"/>
    </row>
    <row r="14" spans="1:4" x14ac:dyDescent="0.2">
      <c r="A14" s="302"/>
      <c r="D14" s="304"/>
    </row>
    <row r="15" spans="1:4" x14ac:dyDescent="0.2">
      <c r="A15" s="302"/>
      <c r="D15" s="304"/>
    </row>
    <row r="17" spans="1:2" x14ac:dyDescent="0.2">
      <c r="A17" s="295" t="s">
        <v>922</v>
      </c>
    </row>
    <row r="18" spans="1:2" x14ac:dyDescent="0.2">
      <c r="A18" s="302">
        <v>1</v>
      </c>
      <c r="B18" s="313"/>
    </row>
    <row r="19" spans="1:2" x14ac:dyDescent="0.2">
      <c r="A19" s="302">
        <f>A18+1</f>
        <v>2</v>
      </c>
    </row>
    <row r="20" spans="1:2" x14ac:dyDescent="0.2">
      <c r="A20" s="302">
        <f>A19+1</f>
        <v>3</v>
      </c>
    </row>
    <row r="21" spans="1:2" x14ac:dyDescent="0.2">
      <c r="A21" s="302">
        <f>A20+1</f>
        <v>4</v>
      </c>
      <c r="B21" s="313"/>
    </row>
    <row r="23" spans="1:2" x14ac:dyDescent="0.2">
      <c r="A23" s="302">
        <f>A21+1</f>
        <v>5</v>
      </c>
    </row>
    <row r="24" spans="1:2" x14ac:dyDescent="0.2">
      <c r="A24" s="302">
        <f>A23+1</f>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N171"/>
  <sheetViews>
    <sheetView tabSelected="1" workbookViewId="0">
      <pane xSplit="1" ySplit="6" topLeftCell="B134" activePane="bottomRight" state="frozen"/>
      <selection activeCell="B37" sqref="B37"/>
      <selection pane="topRight" activeCell="B37" sqref="B37"/>
      <selection pane="bottomLeft" activeCell="B37" sqref="B37"/>
      <selection pane="bottomRight" activeCell="D122" sqref="D122"/>
    </sheetView>
  </sheetViews>
  <sheetFormatPr defaultColWidth="9.140625" defaultRowHeight="11.25" x14ac:dyDescent="0.2"/>
  <cols>
    <col min="1" max="1" width="48.140625" style="2" bestFit="1" customWidth="1"/>
    <col min="2" max="2" width="8" style="2" bestFit="1" customWidth="1"/>
    <col min="3" max="3" width="7.140625" style="2" bestFit="1" customWidth="1"/>
    <col min="4" max="5" width="9.7109375" style="2" bestFit="1" customWidth="1"/>
    <col min="6" max="6" width="9.5703125" style="2" bestFit="1" customWidth="1"/>
    <col min="7" max="7" width="9.85546875" style="2" bestFit="1" customWidth="1"/>
    <col min="8" max="12" width="9.5703125" style="2" bestFit="1" customWidth="1"/>
    <col min="13" max="16384" width="9.140625" style="2"/>
  </cols>
  <sheetData>
    <row r="1" spans="1:12" x14ac:dyDescent="0.2">
      <c r="A1" s="1" t="s">
        <v>936</v>
      </c>
      <c r="B1" s="129"/>
      <c r="C1" s="129"/>
    </row>
    <row r="2" spans="1:12" x14ac:dyDescent="0.2">
      <c r="A2" s="1"/>
      <c r="B2" s="129"/>
      <c r="C2" s="129"/>
    </row>
    <row r="3" spans="1:12" x14ac:dyDescent="0.2">
      <c r="A3" s="130" t="s">
        <v>310</v>
      </c>
      <c r="B3" s="131"/>
      <c r="C3" s="131"/>
      <c r="E3" s="6"/>
      <c r="F3" s="6"/>
    </row>
    <row r="4" spans="1:12" x14ac:dyDescent="0.2">
      <c r="A4" s="130"/>
    </row>
    <row r="5" spans="1:12" x14ac:dyDescent="0.2">
      <c r="A5" s="132" t="s">
        <v>255</v>
      </c>
      <c r="B5" s="133"/>
      <c r="C5" s="133"/>
      <c r="D5" s="134"/>
      <c r="E5" s="134"/>
      <c r="F5" s="134"/>
      <c r="G5" s="134"/>
    </row>
    <row r="6" spans="1:12" x14ac:dyDescent="0.2">
      <c r="A6" s="132" t="s">
        <v>256</v>
      </c>
      <c r="B6" s="223" t="s">
        <v>909</v>
      </c>
      <c r="C6" s="223" t="s">
        <v>637</v>
      </c>
      <c r="D6" s="223">
        <v>45016</v>
      </c>
      <c r="E6" s="223">
        <v>44651</v>
      </c>
      <c r="F6" s="223">
        <v>44286</v>
      </c>
      <c r="G6" s="223">
        <v>43921</v>
      </c>
      <c r="H6" s="223">
        <v>43555</v>
      </c>
      <c r="I6" s="223">
        <v>43190</v>
      </c>
      <c r="J6" s="223">
        <v>42825</v>
      </c>
      <c r="K6" s="223">
        <v>42460</v>
      </c>
      <c r="L6" s="223">
        <v>42094</v>
      </c>
    </row>
    <row r="7" spans="1:12" x14ac:dyDescent="0.2">
      <c r="A7" s="135" t="s">
        <v>156</v>
      </c>
      <c r="B7" s="136">
        <v>140.66</v>
      </c>
      <c r="C7" s="136">
        <v>140.66</v>
      </c>
      <c r="D7" s="136">
        <v>140.66</v>
      </c>
      <c r="E7" s="136">
        <v>140.66</v>
      </c>
      <c r="F7" s="136">
        <v>140.66</v>
      </c>
      <c r="G7" s="136">
        <v>140.66</v>
      </c>
      <c r="H7" s="2">
        <v>140.66</v>
      </c>
      <c r="I7" s="2">
        <v>140.66</v>
      </c>
      <c r="J7" s="2">
        <v>140.66</v>
      </c>
      <c r="K7" s="2">
        <v>17.579999999999998</v>
      </c>
    </row>
    <row r="8" spans="1:12" x14ac:dyDescent="0.2">
      <c r="A8" s="130" t="s">
        <v>155</v>
      </c>
      <c r="B8" s="134">
        <f>SUM(B7)</f>
        <v>140.66</v>
      </c>
      <c r="C8" s="134">
        <f>SUM(C7)</f>
        <v>140.66</v>
      </c>
      <c r="D8" s="134">
        <f t="shared" ref="D8:L8" si="0">SUM(D7)</f>
        <v>140.66</v>
      </c>
      <c r="E8" s="134">
        <f t="shared" si="0"/>
        <v>140.66</v>
      </c>
      <c r="F8" s="134">
        <f t="shared" si="0"/>
        <v>140.66</v>
      </c>
      <c r="G8" s="134">
        <f t="shared" si="0"/>
        <v>140.66</v>
      </c>
      <c r="H8" s="134">
        <f t="shared" si="0"/>
        <v>140.66</v>
      </c>
      <c r="I8" s="134">
        <f t="shared" si="0"/>
        <v>140.66</v>
      </c>
      <c r="J8" s="134">
        <f t="shared" si="0"/>
        <v>140.66</v>
      </c>
      <c r="K8" s="134">
        <f t="shared" si="0"/>
        <v>17.579999999999998</v>
      </c>
      <c r="L8" s="134">
        <f t="shared" si="0"/>
        <v>0</v>
      </c>
    </row>
    <row r="9" spans="1:12" x14ac:dyDescent="0.2">
      <c r="A9" s="135" t="s">
        <v>257</v>
      </c>
      <c r="B9" s="136">
        <v>4207.3500000000004</v>
      </c>
      <c r="C9" s="136">
        <v>3664.66</v>
      </c>
      <c r="D9" s="136">
        <v>3190.28</v>
      </c>
      <c r="E9" s="136">
        <v>2866.19</v>
      </c>
      <c r="F9" s="136">
        <v>2567.59</v>
      </c>
      <c r="G9" s="136">
        <v>2176.1</v>
      </c>
      <c r="H9" s="2">
        <v>1939.29</v>
      </c>
      <c r="I9" s="2">
        <v>1651.6</v>
      </c>
      <c r="J9" s="2">
        <v>1422.4</v>
      </c>
      <c r="K9" s="2">
        <v>1324.88</v>
      </c>
    </row>
    <row r="10" spans="1:12" x14ac:dyDescent="0.2">
      <c r="A10" s="130" t="s">
        <v>258</v>
      </c>
      <c r="B10" s="134">
        <f>SUM(B9)</f>
        <v>4207.3500000000004</v>
      </c>
      <c r="C10" s="134">
        <f>SUM(C9)</f>
        <v>3664.66</v>
      </c>
      <c r="D10" s="134">
        <f t="shared" ref="D10:L10" si="1">SUM(D9)</f>
        <v>3190.28</v>
      </c>
      <c r="E10" s="134">
        <f t="shared" si="1"/>
        <v>2866.19</v>
      </c>
      <c r="F10" s="134">
        <f t="shared" si="1"/>
        <v>2567.59</v>
      </c>
      <c r="G10" s="134">
        <f t="shared" si="1"/>
        <v>2176.1</v>
      </c>
      <c r="H10" s="134">
        <f t="shared" si="1"/>
        <v>1939.29</v>
      </c>
      <c r="I10" s="134">
        <f t="shared" si="1"/>
        <v>1651.6</v>
      </c>
      <c r="J10" s="134">
        <f t="shared" si="1"/>
        <v>1422.4</v>
      </c>
      <c r="K10" s="134">
        <f t="shared" si="1"/>
        <v>1324.88</v>
      </c>
      <c r="L10" s="134">
        <f t="shared" si="1"/>
        <v>0</v>
      </c>
    </row>
    <row r="11" spans="1:12" x14ac:dyDescent="0.2">
      <c r="A11" s="135" t="s">
        <v>616</v>
      </c>
      <c r="B11" s="136"/>
      <c r="C11" s="136"/>
      <c r="D11" s="136"/>
      <c r="E11" s="136"/>
      <c r="F11" s="136"/>
      <c r="G11" s="136"/>
    </row>
    <row r="12" spans="1:12" x14ac:dyDescent="0.2">
      <c r="A12" s="130" t="s">
        <v>259</v>
      </c>
      <c r="B12" s="198">
        <f>SUM(B10,B8)</f>
        <v>4348.01</v>
      </c>
      <c r="C12" s="198">
        <f>SUM(C10,C8)</f>
        <v>3805.3199999999997</v>
      </c>
      <c r="D12" s="198">
        <f t="shared" ref="D12:G12" si="2">SUM(D10,D8)</f>
        <v>3330.94</v>
      </c>
      <c r="E12" s="198">
        <f t="shared" si="2"/>
        <v>3006.85</v>
      </c>
      <c r="F12" s="198">
        <f t="shared" si="2"/>
        <v>2708.25</v>
      </c>
      <c r="G12" s="198">
        <f t="shared" si="2"/>
        <v>2316.7599999999998</v>
      </c>
      <c r="H12" s="198">
        <f>SUM(H10,H8)+H11</f>
        <v>2079.9499999999998</v>
      </c>
      <c r="I12" s="198">
        <f t="shared" ref="I12:L12" si="3">SUM(I10,I8)+I11</f>
        <v>1792.26</v>
      </c>
      <c r="J12" s="198">
        <f t="shared" si="3"/>
        <v>1563.0600000000002</v>
      </c>
      <c r="K12" s="198">
        <f t="shared" si="3"/>
        <v>1342.46</v>
      </c>
      <c r="L12" s="198">
        <f t="shared" si="3"/>
        <v>0</v>
      </c>
    </row>
    <row r="13" spans="1:12" x14ac:dyDescent="0.2">
      <c r="A13" s="132" t="s">
        <v>260</v>
      </c>
      <c r="B13" s="133"/>
      <c r="C13" s="133"/>
      <c r="D13" s="134"/>
      <c r="E13" s="134"/>
      <c r="F13" s="134"/>
      <c r="G13" s="134"/>
    </row>
    <row r="14" spans="1:12" x14ac:dyDescent="0.2">
      <c r="A14" s="189" t="s">
        <v>261</v>
      </c>
      <c r="B14" s="224">
        <v>0</v>
      </c>
      <c r="C14" s="224">
        <v>0</v>
      </c>
      <c r="D14" s="224">
        <v>0</v>
      </c>
      <c r="E14" s="224">
        <v>0</v>
      </c>
      <c r="F14" s="224">
        <v>2.73</v>
      </c>
      <c r="G14" s="224">
        <v>4.28</v>
      </c>
      <c r="H14" s="224">
        <v>2.98</v>
      </c>
      <c r="I14" s="2">
        <v>4.96</v>
      </c>
      <c r="J14" s="2">
        <v>19.850000000000001</v>
      </c>
      <c r="K14" s="194">
        <v>78.02</v>
      </c>
    </row>
    <row r="15" spans="1:12" x14ac:dyDescent="0.2">
      <c r="A15" s="189" t="s">
        <v>489</v>
      </c>
      <c r="B15" s="224">
        <v>13.35</v>
      </c>
      <c r="C15" s="224">
        <v>13.8</v>
      </c>
      <c r="D15" s="224">
        <v>0</v>
      </c>
      <c r="E15" s="224">
        <v>0</v>
      </c>
      <c r="F15" s="224">
        <v>0</v>
      </c>
      <c r="G15" s="224">
        <v>7.37</v>
      </c>
      <c r="H15" s="225">
        <v>15.61</v>
      </c>
      <c r="I15" s="2">
        <v>1.08</v>
      </c>
      <c r="J15" s="2">
        <v>0</v>
      </c>
      <c r="K15" s="2">
        <v>0</v>
      </c>
    </row>
    <row r="16" spans="1:12" x14ac:dyDescent="0.2">
      <c r="A16" s="189" t="s">
        <v>262</v>
      </c>
      <c r="B16" s="224">
        <v>32.770000000000003</v>
      </c>
      <c r="C16" s="224">
        <v>18.79</v>
      </c>
      <c r="D16" s="224">
        <v>31.94</v>
      </c>
      <c r="E16" s="224">
        <v>29.94</v>
      </c>
      <c r="F16" s="224">
        <v>8.9600000000000009</v>
      </c>
      <c r="G16" s="224">
        <v>10.75</v>
      </c>
      <c r="H16" s="2">
        <v>4.68</v>
      </c>
      <c r="I16" s="2">
        <v>3.08</v>
      </c>
      <c r="J16" s="2">
        <v>2.2599999999999998</v>
      </c>
      <c r="K16" s="2">
        <v>2.79</v>
      </c>
    </row>
    <row r="17" spans="1:12" x14ac:dyDescent="0.2">
      <c r="A17" s="189" t="s">
        <v>263</v>
      </c>
      <c r="B17" s="226">
        <v>3.6</v>
      </c>
      <c r="C17" s="226">
        <v>4.07</v>
      </c>
      <c r="D17" s="226">
        <v>6.04</v>
      </c>
      <c r="E17" s="226">
        <v>8.85</v>
      </c>
      <c r="F17" s="226">
        <v>21.07</v>
      </c>
      <c r="G17" s="226">
        <v>15.82</v>
      </c>
      <c r="H17" s="2">
        <v>6.28</v>
      </c>
      <c r="I17" s="2">
        <v>2.16</v>
      </c>
      <c r="J17" s="2">
        <v>16.54</v>
      </c>
      <c r="K17" s="2">
        <v>22.65</v>
      </c>
    </row>
    <row r="18" spans="1:12" x14ac:dyDescent="0.2">
      <c r="A18" s="132" t="s">
        <v>264</v>
      </c>
      <c r="B18" s="227">
        <f>SUM(B14:B17)</f>
        <v>49.720000000000006</v>
      </c>
      <c r="C18" s="227">
        <f>SUM(C14:C17)</f>
        <v>36.660000000000004</v>
      </c>
      <c r="D18" s="227">
        <f t="shared" ref="D18:L18" si="4">SUM(D14:D17)</f>
        <v>37.980000000000004</v>
      </c>
      <c r="E18" s="227">
        <f t="shared" si="4"/>
        <v>38.79</v>
      </c>
      <c r="F18" s="227">
        <f t="shared" si="4"/>
        <v>32.760000000000005</v>
      </c>
      <c r="G18" s="227">
        <f t="shared" si="4"/>
        <v>38.22</v>
      </c>
      <c r="H18" s="227">
        <f t="shared" si="4"/>
        <v>29.55</v>
      </c>
      <c r="I18" s="227">
        <f t="shared" si="4"/>
        <v>11.280000000000001</v>
      </c>
      <c r="J18" s="227">
        <f t="shared" si="4"/>
        <v>38.65</v>
      </c>
      <c r="K18" s="227">
        <f t="shared" si="4"/>
        <v>103.46000000000001</v>
      </c>
      <c r="L18" s="227">
        <f t="shared" si="4"/>
        <v>0</v>
      </c>
    </row>
    <row r="19" spans="1:12" x14ac:dyDescent="0.2">
      <c r="A19" s="132" t="s">
        <v>265</v>
      </c>
      <c r="B19" s="133"/>
      <c r="C19" s="133"/>
      <c r="D19" s="134"/>
      <c r="E19" s="134"/>
      <c r="F19" s="134"/>
      <c r="G19" s="134"/>
    </row>
    <row r="20" spans="1:12" x14ac:dyDescent="0.2">
      <c r="A20" s="135" t="s">
        <v>266</v>
      </c>
      <c r="B20" s="136">
        <v>0</v>
      </c>
      <c r="C20" s="136">
        <v>0</v>
      </c>
      <c r="D20" s="136">
        <v>20</v>
      </c>
      <c r="E20" s="136">
        <v>31.7</v>
      </c>
      <c r="F20" s="136">
        <v>45</v>
      </c>
      <c r="G20" s="136">
        <v>146.1</v>
      </c>
      <c r="H20" s="2">
        <v>212</v>
      </c>
      <c r="I20" s="2">
        <v>178.27</v>
      </c>
      <c r="J20" s="2">
        <v>142.49</v>
      </c>
      <c r="K20" s="2">
        <v>68.78</v>
      </c>
    </row>
    <row r="21" spans="1:12" x14ac:dyDescent="0.2">
      <c r="A21" s="135" t="s">
        <v>231</v>
      </c>
      <c r="B21" s="136">
        <v>815.01</v>
      </c>
      <c r="C21" s="136">
        <v>676.21</v>
      </c>
      <c r="D21" s="136">
        <v>566.45000000000005</v>
      </c>
      <c r="E21" s="136">
        <v>529.92999999999995</v>
      </c>
      <c r="F21" s="136">
        <v>526.84</v>
      </c>
      <c r="G21" s="136">
        <v>395.6</v>
      </c>
      <c r="H21" s="2">
        <v>520.76</v>
      </c>
      <c r="I21" s="2">
        <v>483.23</v>
      </c>
      <c r="J21" s="2">
        <v>347.95</v>
      </c>
      <c r="K21" s="2">
        <v>312.10000000000002</v>
      </c>
    </row>
    <row r="22" spans="1:12" x14ac:dyDescent="0.2">
      <c r="A22" s="135" t="s">
        <v>232</v>
      </c>
      <c r="B22" s="136">
        <v>157.15</v>
      </c>
      <c r="C22" s="136">
        <v>142.91</v>
      </c>
      <c r="D22" s="136">
        <v>121.04</v>
      </c>
      <c r="E22" s="136">
        <v>103.83</v>
      </c>
      <c r="F22" s="136">
        <v>94.9</v>
      </c>
      <c r="G22" s="136">
        <v>56.93</v>
      </c>
      <c r="H22" s="2">
        <v>91.27</v>
      </c>
      <c r="I22" s="2">
        <v>121.43</v>
      </c>
      <c r="J22" s="2">
        <v>135.66999999999999</v>
      </c>
      <c r="K22" s="2">
        <v>148.43</v>
      </c>
    </row>
    <row r="23" spans="1:12" x14ac:dyDescent="0.2">
      <c r="A23" s="135" t="s">
        <v>267</v>
      </c>
      <c r="B23" s="136">
        <v>26.01</v>
      </c>
      <c r="C23" s="136">
        <v>24.21</v>
      </c>
      <c r="D23" s="136">
        <v>32.64</v>
      </c>
      <c r="E23" s="136">
        <v>28.25</v>
      </c>
      <c r="F23" s="136">
        <v>29.89</v>
      </c>
      <c r="G23" s="136">
        <v>29.25</v>
      </c>
      <c r="H23" s="2">
        <v>25.03</v>
      </c>
      <c r="I23" s="2">
        <v>19.04</v>
      </c>
      <c r="J23" s="2">
        <v>22.28</v>
      </c>
      <c r="K23" s="2">
        <v>16.5</v>
      </c>
    </row>
    <row r="24" spans="1:12" x14ac:dyDescent="0.2">
      <c r="A24" s="130" t="s">
        <v>268</v>
      </c>
      <c r="B24" s="134">
        <f>SUM(B20:B23)</f>
        <v>998.17</v>
      </c>
      <c r="C24" s="134">
        <f>SUM(C20:C23)</f>
        <v>843.33</v>
      </c>
      <c r="D24" s="134">
        <f t="shared" ref="D24:L24" si="5">SUM(D20:D23)</f>
        <v>740.13</v>
      </c>
      <c r="E24" s="134">
        <f t="shared" si="5"/>
        <v>693.71</v>
      </c>
      <c r="F24" s="134">
        <f t="shared" si="5"/>
        <v>696.63</v>
      </c>
      <c r="G24" s="134">
        <f t="shared" si="5"/>
        <v>627.88</v>
      </c>
      <c r="H24" s="134">
        <f t="shared" si="5"/>
        <v>849.06</v>
      </c>
      <c r="I24" s="134">
        <f t="shared" si="5"/>
        <v>801.97</v>
      </c>
      <c r="J24" s="134">
        <f t="shared" si="5"/>
        <v>648.39</v>
      </c>
      <c r="K24" s="134">
        <f t="shared" si="5"/>
        <v>545.80999999999995</v>
      </c>
      <c r="L24" s="134">
        <f t="shared" si="5"/>
        <v>0</v>
      </c>
    </row>
    <row r="25" spans="1:12" x14ac:dyDescent="0.2">
      <c r="A25" s="130" t="s">
        <v>269</v>
      </c>
      <c r="B25" s="210">
        <f>B12+B18+B24</f>
        <v>5395.9000000000005</v>
      </c>
      <c r="C25" s="210">
        <f>C12+C18+C24</f>
        <v>4685.3099999999995</v>
      </c>
      <c r="D25" s="210">
        <f t="shared" ref="D25:L25" si="6">D12+D18+D24</f>
        <v>4109.05</v>
      </c>
      <c r="E25" s="210">
        <f t="shared" si="6"/>
        <v>3739.35</v>
      </c>
      <c r="F25" s="210">
        <f t="shared" si="6"/>
        <v>3437.6400000000003</v>
      </c>
      <c r="G25" s="210">
        <f t="shared" si="6"/>
        <v>2982.8599999999997</v>
      </c>
      <c r="H25" s="210">
        <f t="shared" si="6"/>
        <v>2958.56</v>
      </c>
      <c r="I25" s="210">
        <f t="shared" si="6"/>
        <v>2605.5100000000002</v>
      </c>
      <c r="J25" s="210">
        <f t="shared" si="6"/>
        <v>2250.1000000000004</v>
      </c>
      <c r="K25" s="210">
        <f t="shared" si="6"/>
        <v>1991.73</v>
      </c>
      <c r="L25" s="210">
        <f t="shared" si="6"/>
        <v>0</v>
      </c>
    </row>
    <row r="26" spans="1:12" x14ac:dyDescent="0.2">
      <c r="A26" s="132"/>
      <c r="B26" s="211"/>
      <c r="C26" s="211"/>
      <c r="D26" s="198"/>
      <c r="E26" s="198"/>
      <c r="F26" s="198"/>
      <c r="G26" s="198"/>
      <c r="H26" s="6"/>
    </row>
    <row r="27" spans="1:12" x14ac:dyDescent="0.2">
      <c r="A27" s="132" t="s">
        <v>270</v>
      </c>
      <c r="B27" s="212"/>
      <c r="C27" s="212"/>
      <c r="D27" s="212"/>
      <c r="E27" s="212"/>
      <c r="F27" s="212"/>
      <c r="G27" s="212"/>
      <c r="H27" s="212"/>
    </row>
    <row r="28" spans="1:12" x14ac:dyDescent="0.2">
      <c r="A28" s="132" t="s">
        <v>271</v>
      </c>
      <c r="B28" s="133"/>
      <c r="C28" s="133"/>
      <c r="D28" s="134"/>
      <c r="E28" s="134"/>
      <c r="F28" s="134"/>
      <c r="G28" s="134"/>
    </row>
    <row r="29" spans="1:12" x14ac:dyDescent="0.2">
      <c r="A29" s="135" t="s">
        <v>211</v>
      </c>
      <c r="B29" s="179">
        <v>1964.46</v>
      </c>
      <c r="C29" s="179">
        <v>1756.7</v>
      </c>
      <c r="D29" s="179">
        <v>1624.85</v>
      </c>
      <c r="E29" s="179">
        <v>1508.39</v>
      </c>
      <c r="F29" s="179">
        <v>1368.37</v>
      </c>
      <c r="G29" s="179">
        <v>1455.65</v>
      </c>
      <c r="H29" s="6">
        <v>1157.49</v>
      </c>
      <c r="I29" s="2">
        <v>957.13</v>
      </c>
      <c r="J29" s="2">
        <v>838.81</v>
      </c>
      <c r="K29" s="2">
        <v>916.52</v>
      </c>
    </row>
    <row r="30" spans="1:12" x14ac:dyDescent="0.2">
      <c r="A30" s="135" t="s">
        <v>212</v>
      </c>
      <c r="B30" s="136">
        <v>60.85</v>
      </c>
      <c r="C30" s="136">
        <v>44.45</v>
      </c>
      <c r="D30" s="136">
        <v>51.47</v>
      </c>
      <c r="E30" s="136">
        <v>56.56</v>
      </c>
      <c r="F30" s="136">
        <v>26.67</v>
      </c>
      <c r="G30" s="136">
        <v>3.25</v>
      </c>
      <c r="H30" s="2">
        <v>4.16</v>
      </c>
      <c r="I30" s="2">
        <v>5.7</v>
      </c>
      <c r="J30" s="2">
        <v>7.45</v>
      </c>
      <c r="K30" s="2">
        <v>6.83</v>
      </c>
    </row>
    <row r="31" spans="1:12" x14ac:dyDescent="0.2">
      <c r="A31" s="135" t="s">
        <v>478</v>
      </c>
      <c r="B31" s="136">
        <v>206.97</v>
      </c>
      <c r="C31" s="136">
        <v>102.27</v>
      </c>
      <c r="D31" s="136">
        <v>119.11</v>
      </c>
      <c r="E31" s="136">
        <v>83.78</v>
      </c>
      <c r="F31" s="136">
        <v>88.92</v>
      </c>
      <c r="G31" s="136">
        <v>61.22</v>
      </c>
      <c r="H31" s="2">
        <v>89.78</v>
      </c>
      <c r="I31" s="2">
        <v>50.52</v>
      </c>
      <c r="J31" s="2">
        <v>33.22</v>
      </c>
      <c r="K31" s="2">
        <v>46.39</v>
      </c>
    </row>
    <row r="32" spans="1:12" x14ac:dyDescent="0.2">
      <c r="A32" s="135" t="s">
        <v>490</v>
      </c>
      <c r="B32" s="136">
        <v>2.82</v>
      </c>
      <c r="C32" s="136">
        <v>17.690000000000001</v>
      </c>
      <c r="D32" s="136">
        <v>12.38</v>
      </c>
      <c r="E32" s="136">
        <v>5.4</v>
      </c>
      <c r="F32" s="136">
        <v>3.17</v>
      </c>
      <c r="G32" s="136">
        <v>19.5</v>
      </c>
      <c r="H32" s="2">
        <v>11.5</v>
      </c>
      <c r="I32" s="2">
        <v>4.78</v>
      </c>
      <c r="J32" s="2">
        <v>0.4</v>
      </c>
      <c r="K32" s="2">
        <v>0.55000000000000004</v>
      </c>
    </row>
    <row r="33" spans="1:12" x14ac:dyDescent="0.2">
      <c r="A33" s="130" t="s">
        <v>210</v>
      </c>
      <c r="B33" s="198">
        <f t="shared" ref="B33:L33" si="7">SUM(B29:B32)</f>
        <v>2235.1</v>
      </c>
      <c r="C33" s="198">
        <f t="shared" si="7"/>
        <v>1921.1100000000001</v>
      </c>
      <c r="D33" s="198">
        <f t="shared" si="7"/>
        <v>1807.81</v>
      </c>
      <c r="E33" s="198">
        <f t="shared" si="7"/>
        <v>1654.13</v>
      </c>
      <c r="F33" s="198">
        <f t="shared" si="7"/>
        <v>1487.13</v>
      </c>
      <c r="G33" s="198">
        <f t="shared" si="7"/>
        <v>1539.6200000000001</v>
      </c>
      <c r="H33" s="198">
        <f t="shared" si="7"/>
        <v>1262.93</v>
      </c>
      <c r="I33" s="198">
        <f t="shared" si="7"/>
        <v>1018.13</v>
      </c>
      <c r="J33" s="198">
        <f t="shared" si="7"/>
        <v>879.88</v>
      </c>
      <c r="K33" s="198">
        <f t="shared" si="7"/>
        <v>970.29</v>
      </c>
      <c r="L33" s="198">
        <f t="shared" si="7"/>
        <v>0</v>
      </c>
    </row>
    <row r="34" spans="1:12" x14ac:dyDescent="0.2">
      <c r="A34" s="135" t="s">
        <v>272</v>
      </c>
      <c r="B34" s="179">
        <v>521.97</v>
      </c>
      <c r="C34" s="179">
        <v>533.82000000000005</v>
      </c>
      <c r="D34" s="179">
        <v>524.82000000000005</v>
      </c>
      <c r="E34" s="179">
        <v>364.91</v>
      </c>
      <c r="F34" s="179">
        <v>364.91</v>
      </c>
      <c r="G34" s="179">
        <v>364.91</v>
      </c>
      <c r="H34" s="2">
        <v>365</v>
      </c>
      <c r="I34" s="2">
        <v>364.77</v>
      </c>
      <c r="J34" s="2">
        <v>364.71</v>
      </c>
      <c r="K34" s="2">
        <v>364.67</v>
      </c>
    </row>
    <row r="35" spans="1:12" x14ac:dyDescent="0.2">
      <c r="A35" s="135" t="s">
        <v>273</v>
      </c>
      <c r="B35" s="136">
        <v>0</v>
      </c>
      <c r="C35" s="136">
        <v>0</v>
      </c>
      <c r="D35" s="136">
        <v>1.1100000000000001</v>
      </c>
      <c r="E35" s="136">
        <v>3.82</v>
      </c>
      <c r="F35" s="136">
        <v>1.96</v>
      </c>
      <c r="G35" s="136">
        <v>0</v>
      </c>
      <c r="H35" s="2">
        <v>0</v>
      </c>
      <c r="I35" s="2">
        <v>0</v>
      </c>
      <c r="J35" s="2">
        <v>9.5399999999999991</v>
      </c>
      <c r="K35" s="2">
        <v>10.53</v>
      </c>
    </row>
    <row r="36" spans="1:12" x14ac:dyDescent="0.2">
      <c r="A36" s="135" t="s">
        <v>491</v>
      </c>
      <c r="B36" s="136">
        <v>13.7</v>
      </c>
      <c r="C36" s="136">
        <v>10</v>
      </c>
      <c r="D36" s="136">
        <v>0</v>
      </c>
      <c r="E36" s="136">
        <v>0</v>
      </c>
      <c r="F36" s="136">
        <v>0</v>
      </c>
      <c r="G36" s="136">
        <v>0</v>
      </c>
      <c r="H36" s="2">
        <v>0</v>
      </c>
      <c r="I36" s="2">
        <v>0</v>
      </c>
      <c r="J36" s="2">
        <v>0</v>
      </c>
      <c r="K36" s="2">
        <v>26.09</v>
      </c>
    </row>
    <row r="37" spans="1:12" x14ac:dyDescent="0.2">
      <c r="A37" s="135" t="s">
        <v>216</v>
      </c>
      <c r="B37" s="136">
        <v>76.06</v>
      </c>
      <c r="C37" s="136">
        <v>53.31</v>
      </c>
      <c r="D37" s="136">
        <v>48.67</v>
      </c>
      <c r="E37" s="136">
        <v>50.08</v>
      </c>
      <c r="F37" s="136">
        <v>37.25</v>
      </c>
      <c r="G37" s="136">
        <v>117.76</v>
      </c>
      <c r="H37" s="2">
        <v>225</v>
      </c>
      <c r="I37" s="2">
        <v>190.26</v>
      </c>
      <c r="J37" s="2">
        <v>171.41</v>
      </c>
      <c r="K37" s="2">
        <v>0.64</v>
      </c>
    </row>
    <row r="38" spans="1:12" x14ac:dyDescent="0.2">
      <c r="A38" s="130" t="s">
        <v>274</v>
      </c>
      <c r="B38" s="198">
        <f>SUM(B34:B37)</f>
        <v>611.73</v>
      </c>
      <c r="C38" s="198">
        <f>SUM(C34:C37)</f>
        <v>597.13000000000011</v>
      </c>
      <c r="D38" s="198">
        <f t="shared" ref="D38:L38" si="8">SUM(D34:D37)</f>
        <v>574.6</v>
      </c>
      <c r="E38" s="198">
        <f t="shared" si="8"/>
        <v>418.81</v>
      </c>
      <c r="F38" s="198">
        <f t="shared" si="8"/>
        <v>404.12</v>
      </c>
      <c r="G38" s="198">
        <f t="shared" si="8"/>
        <v>482.67</v>
      </c>
      <c r="H38" s="198">
        <f t="shared" si="8"/>
        <v>590</v>
      </c>
      <c r="I38" s="198">
        <f t="shared" si="8"/>
        <v>555.03</v>
      </c>
      <c r="J38" s="198">
        <f t="shared" si="8"/>
        <v>545.66</v>
      </c>
      <c r="K38" s="198">
        <f t="shared" si="8"/>
        <v>401.92999999999995</v>
      </c>
      <c r="L38" s="198">
        <f t="shared" si="8"/>
        <v>0</v>
      </c>
    </row>
    <row r="39" spans="1:12" x14ac:dyDescent="0.2">
      <c r="A39" s="132" t="s">
        <v>275</v>
      </c>
      <c r="B39" s="206">
        <f>B33+B38</f>
        <v>2846.83</v>
      </c>
      <c r="C39" s="206">
        <f>C33+C38</f>
        <v>2518.2400000000002</v>
      </c>
      <c r="D39" s="206">
        <f t="shared" ref="D39:L39" si="9">D33+D38</f>
        <v>2382.41</v>
      </c>
      <c r="E39" s="206">
        <f t="shared" si="9"/>
        <v>2072.94</v>
      </c>
      <c r="F39" s="206">
        <f t="shared" si="9"/>
        <v>1891.25</v>
      </c>
      <c r="G39" s="206">
        <f t="shared" si="9"/>
        <v>2022.2900000000002</v>
      </c>
      <c r="H39" s="206">
        <f t="shared" si="9"/>
        <v>1852.93</v>
      </c>
      <c r="I39" s="206">
        <f t="shared" si="9"/>
        <v>1573.1599999999999</v>
      </c>
      <c r="J39" s="206">
        <f t="shared" si="9"/>
        <v>1425.54</v>
      </c>
      <c r="K39" s="206">
        <f t="shared" si="9"/>
        <v>1372.2199999999998</v>
      </c>
      <c r="L39" s="206">
        <f t="shared" si="9"/>
        <v>0</v>
      </c>
    </row>
    <row r="40" spans="1:12" x14ac:dyDescent="0.2">
      <c r="A40" s="189" t="s">
        <v>218</v>
      </c>
      <c r="B40" s="190">
        <v>518.37</v>
      </c>
      <c r="C40" s="190">
        <v>402.22</v>
      </c>
      <c r="D40" s="136">
        <v>267.87</v>
      </c>
      <c r="E40" s="136">
        <v>209.45</v>
      </c>
      <c r="F40" s="136">
        <v>169.93</v>
      </c>
      <c r="G40" s="136">
        <v>37.32</v>
      </c>
      <c r="H40" s="2">
        <v>34.82</v>
      </c>
      <c r="I40" s="2">
        <v>44.91</v>
      </c>
      <c r="J40" s="6">
        <v>31.64</v>
      </c>
      <c r="K40" s="2">
        <v>45.58</v>
      </c>
    </row>
    <row r="41" spans="1:12" x14ac:dyDescent="0.2">
      <c r="A41" s="135" t="s">
        <v>157</v>
      </c>
      <c r="B41" s="136">
        <v>562.08000000000004</v>
      </c>
      <c r="C41" s="136">
        <v>481.71</v>
      </c>
      <c r="D41" s="136">
        <v>428.92</v>
      </c>
      <c r="E41" s="136">
        <v>366.68</v>
      </c>
      <c r="F41" s="136">
        <v>329.53</v>
      </c>
      <c r="G41" s="136">
        <v>265.83</v>
      </c>
      <c r="H41" s="2">
        <v>282.98</v>
      </c>
      <c r="I41" s="2">
        <v>246.62</v>
      </c>
      <c r="J41" s="2">
        <v>249.07</v>
      </c>
      <c r="K41" s="2">
        <v>195.31</v>
      </c>
    </row>
    <row r="42" spans="1:12" x14ac:dyDescent="0.2">
      <c r="A42" s="135" t="s">
        <v>219</v>
      </c>
      <c r="B42" s="179">
        <v>1132.25</v>
      </c>
      <c r="C42" s="179">
        <v>1068.44</v>
      </c>
      <c r="D42" s="179">
        <v>848.8</v>
      </c>
      <c r="E42" s="179">
        <v>801.09</v>
      </c>
      <c r="F42" s="179">
        <v>812.51</v>
      </c>
      <c r="G42" s="179">
        <v>473.76</v>
      </c>
      <c r="H42" s="6">
        <v>694.76</v>
      </c>
      <c r="I42" s="2">
        <v>706.57</v>
      </c>
      <c r="J42" s="2">
        <v>484.64</v>
      </c>
      <c r="K42" s="2">
        <v>316.51</v>
      </c>
    </row>
    <row r="43" spans="1:12" x14ac:dyDescent="0.2">
      <c r="A43" s="135" t="s">
        <v>276</v>
      </c>
      <c r="B43" s="136">
        <v>92.19</v>
      </c>
      <c r="C43" s="136">
        <v>15.74</v>
      </c>
      <c r="D43" s="136">
        <v>42.73</v>
      </c>
      <c r="E43" s="136">
        <v>103.14</v>
      </c>
      <c r="F43" s="136">
        <v>34.29</v>
      </c>
      <c r="G43" s="136">
        <v>125.33</v>
      </c>
      <c r="H43" s="2">
        <v>30.43</v>
      </c>
      <c r="I43" s="2">
        <v>8.69</v>
      </c>
      <c r="J43" s="2">
        <v>2.98</v>
      </c>
      <c r="K43" s="2">
        <v>7.58</v>
      </c>
    </row>
    <row r="44" spans="1:12" x14ac:dyDescent="0.2">
      <c r="A44" s="135" t="s">
        <v>277</v>
      </c>
      <c r="B44" s="136">
        <v>3.36</v>
      </c>
      <c r="C44" s="136">
        <v>2</v>
      </c>
      <c r="D44" s="136">
        <v>1.48</v>
      </c>
      <c r="E44" s="136">
        <v>1.1000000000000001</v>
      </c>
      <c r="F44" s="136">
        <v>1.26</v>
      </c>
      <c r="G44" s="136">
        <v>2.0099999999999998</v>
      </c>
      <c r="H44" s="2">
        <v>2.1</v>
      </c>
      <c r="I44" s="2">
        <v>1.3</v>
      </c>
      <c r="J44" s="2">
        <v>1.62</v>
      </c>
      <c r="K44" s="2">
        <v>41.25</v>
      </c>
    </row>
    <row r="45" spans="1:12" x14ac:dyDescent="0.2">
      <c r="A45" s="135" t="s">
        <v>479</v>
      </c>
      <c r="B45" s="136">
        <v>240.83</v>
      </c>
      <c r="C45" s="136">
        <v>196.96</v>
      </c>
      <c r="D45" s="136">
        <v>136.84</v>
      </c>
      <c r="E45" s="136">
        <v>184.93</v>
      </c>
      <c r="F45" s="136">
        <v>198.89</v>
      </c>
      <c r="G45" s="136">
        <v>56.35</v>
      </c>
      <c r="H45" s="2">
        <v>60.53</v>
      </c>
      <c r="I45" s="2">
        <v>24.26</v>
      </c>
      <c r="J45" s="2">
        <v>54.61</v>
      </c>
      <c r="K45" s="2">
        <v>13.3</v>
      </c>
    </row>
    <row r="46" spans="1:12" x14ac:dyDescent="0.2">
      <c r="A46" s="130" t="s">
        <v>158</v>
      </c>
      <c r="B46" s="198">
        <f>SUM(B40:B45)</f>
        <v>2549.08</v>
      </c>
      <c r="C46" s="198">
        <f>SUM(C40:C45)</f>
        <v>2167.0700000000002</v>
      </c>
      <c r="D46" s="198">
        <f t="shared" ref="D46:L46" si="10">SUM(D40:D45)</f>
        <v>1726.6399999999999</v>
      </c>
      <c r="E46" s="198">
        <f t="shared" si="10"/>
        <v>1666.39</v>
      </c>
      <c r="F46" s="198">
        <f t="shared" si="10"/>
        <v>1546.4099999999999</v>
      </c>
      <c r="G46" s="198">
        <f t="shared" si="10"/>
        <v>960.6</v>
      </c>
      <c r="H46" s="198">
        <f t="shared" si="10"/>
        <v>1105.6199999999999</v>
      </c>
      <c r="I46" s="198">
        <f t="shared" si="10"/>
        <v>1032.3500000000001</v>
      </c>
      <c r="J46" s="198">
        <f t="shared" si="10"/>
        <v>824.56</v>
      </c>
      <c r="K46" s="198">
        <f t="shared" si="10"/>
        <v>619.53</v>
      </c>
      <c r="L46" s="198">
        <f t="shared" si="10"/>
        <v>0</v>
      </c>
    </row>
    <row r="47" spans="1:12" x14ac:dyDescent="0.2">
      <c r="A47" s="130" t="s">
        <v>160</v>
      </c>
      <c r="B47" s="198">
        <f>B39+B46</f>
        <v>5395.91</v>
      </c>
      <c r="C47" s="198">
        <f>C39+C46</f>
        <v>4685.3100000000004</v>
      </c>
      <c r="D47" s="198">
        <f t="shared" ref="D47:L47" si="11">D39+D46</f>
        <v>4109.0499999999993</v>
      </c>
      <c r="E47" s="198">
        <f t="shared" si="11"/>
        <v>3739.33</v>
      </c>
      <c r="F47" s="198">
        <f t="shared" si="11"/>
        <v>3437.66</v>
      </c>
      <c r="G47" s="198">
        <f t="shared" si="11"/>
        <v>2982.8900000000003</v>
      </c>
      <c r="H47" s="198">
        <f t="shared" si="11"/>
        <v>2958.55</v>
      </c>
      <c r="I47" s="198">
        <f t="shared" si="11"/>
        <v>2605.5100000000002</v>
      </c>
      <c r="J47" s="198">
        <f t="shared" si="11"/>
        <v>2250.1</v>
      </c>
      <c r="K47" s="198">
        <f t="shared" si="11"/>
        <v>1991.7499999999998</v>
      </c>
      <c r="L47" s="198">
        <f t="shared" si="11"/>
        <v>0</v>
      </c>
    </row>
    <row r="48" spans="1:12" x14ac:dyDescent="0.2">
      <c r="A48" s="132" t="s">
        <v>278</v>
      </c>
      <c r="B48" s="133"/>
      <c r="C48" s="133"/>
      <c r="D48" s="134"/>
      <c r="E48" s="134"/>
      <c r="F48" s="134"/>
      <c r="G48" s="134"/>
    </row>
    <row r="49" spans="1:11" x14ac:dyDescent="0.2">
      <c r="A49" s="132" t="s">
        <v>279</v>
      </c>
      <c r="B49" s="133"/>
      <c r="C49" s="133"/>
      <c r="D49" s="134"/>
      <c r="E49" s="134"/>
      <c r="F49" s="134"/>
      <c r="G49" s="134"/>
    </row>
    <row r="50" spans="1:11" x14ac:dyDescent="0.2">
      <c r="A50" s="135" t="s">
        <v>161</v>
      </c>
      <c r="B50" s="136">
        <v>230.05</v>
      </c>
      <c r="C50" s="136">
        <v>125.18</v>
      </c>
      <c r="D50" s="136">
        <v>541.61</v>
      </c>
      <c r="E50" s="136">
        <v>705.9</v>
      </c>
      <c r="F50" s="136">
        <v>331.52</v>
      </c>
      <c r="G50" s="136">
        <v>252.24</v>
      </c>
      <c r="H50" s="2">
        <v>312.23</v>
      </c>
      <c r="I50" s="2">
        <v>356.98</v>
      </c>
      <c r="J50" s="2">
        <v>236.7</v>
      </c>
      <c r="K50" s="2">
        <v>258.22000000000003</v>
      </c>
    </row>
    <row r="51" spans="1:11" x14ac:dyDescent="0.2">
      <c r="A51" s="132" t="s">
        <v>311</v>
      </c>
      <c r="B51" s="133"/>
      <c r="C51" s="133"/>
      <c r="D51" s="134"/>
      <c r="E51" s="134"/>
      <c r="F51" s="134"/>
      <c r="G51" s="134"/>
    </row>
    <row r="52" spans="1:11" x14ac:dyDescent="0.2">
      <c r="A52" s="189" t="s">
        <v>517</v>
      </c>
      <c r="B52" s="190"/>
      <c r="C52" s="190"/>
      <c r="D52" s="136"/>
      <c r="E52" s="136"/>
      <c r="F52" s="136"/>
      <c r="G52" s="136">
        <v>0</v>
      </c>
      <c r="H52" s="2">
        <v>0</v>
      </c>
      <c r="I52" s="2">
        <v>0</v>
      </c>
      <c r="J52" s="2">
        <v>0</v>
      </c>
      <c r="K52" s="2">
        <v>289.35000000000002</v>
      </c>
    </row>
    <row r="53" spans="1:11" x14ac:dyDescent="0.2">
      <c r="A53" s="189" t="s">
        <v>527</v>
      </c>
      <c r="B53" s="190"/>
      <c r="C53" s="190"/>
      <c r="D53" s="136"/>
      <c r="E53" s="136"/>
      <c r="F53" s="136"/>
      <c r="G53" s="136">
        <v>0</v>
      </c>
      <c r="H53" s="2">
        <v>0</v>
      </c>
      <c r="I53" s="2">
        <v>0</v>
      </c>
      <c r="J53" s="2">
        <v>0</v>
      </c>
      <c r="K53" s="2">
        <v>13.37</v>
      </c>
    </row>
    <row r="54" spans="1:11" x14ac:dyDescent="0.2">
      <c r="A54" s="189" t="s">
        <v>518</v>
      </c>
      <c r="B54" s="190"/>
      <c r="C54" s="190"/>
      <c r="D54" s="136"/>
      <c r="E54" s="136"/>
      <c r="F54" s="136"/>
      <c r="G54" s="136">
        <v>0</v>
      </c>
      <c r="H54" s="2">
        <v>0</v>
      </c>
      <c r="I54" s="2">
        <v>0</v>
      </c>
      <c r="J54" s="2">
        <v>0</v>
      </c>
      <c r="K54" s="2">
        <v>43.1</v>
      </c>
    </row>
    <row r="55" spans="1:11" x14ac:dyDescent="0.2">
      <c r="A55" s="132" t="s">
        <v>312</v>
      </c>
      <c r="B55" s="190">
        <v>679.87</v>
      </c>
      <c r="C55" s="190">
        <v>368.2</v>
      </c>
      <c r="D55" s="136">
        <v>346.13</v>
      </c>
      <c r="E55" s="136">
        <v>318</v>
      </c>
      <c r="F55" s="136">
        <v>279.23</v>
      </c>
      <c r="G55" s="136">
        <v>328.53</v>
      </c>
      <c r="H55" s="2">
        <v>434.2</v>
      </c>
      <c r="I55" s="2">
        <v>417.12</v>
      </c>
      <c r="J55" s="2">
        <v>0</v>
      </c>
      <c r="K55" s="2">
        <v>11.52</v>
      </c>
    </row>
    <row r="56" spans="1:11" x14ac:dyDescent="0.2">
      <c r="A56" s="132" t="s">
        <v>313</v>
      </c>
      <c r="B56" s="133"/>
      <c r="C56" s="133"/>
      <c r="D56" s="134"/>
      <c r="E56" s="134"/>
      <c r="F56" s="134"/>
      <c r="G56" s="134"/>
    </row>
    <row r="57" spans="1:11" x14ac:dyDescent="0.2">
      <c r="A57" s="135" t="s">
        <v>314</v>
      </c>
      <c r="B57" s="136"/>
      <c r="C57" s="136"/>
      <c r="D57" s="136"/>
      <c r="E57" s="136"/>
      <c r="F57" s="136"/>
      <c r="G57" s="136"/>
    </row>
    <row r="58" spans="1:11" x14ac:dyDescent="0.2">
      <c r="A58" s="132" t="s">
        <v>315</v>
      </c>
      <c r="B58" s="133"/>
      <c r="C58" s="133"/>
      <c r="D58" s="134"/>
      <c r="E58" s="134"/>
      <c r="F58" s="134"/>
      <c r="G58" s="134"/>
    </row>
    <row r="59" spans="1:11" x14ac:dyDescent="0.2">
      <c r="A59" s="135" t="s">
        <v>316</v>
      </c>
      <c r="B59" s="136" t="s">
        <v>919</v>
      </c>
      <c r="C59" s="136" t="s">
        <v>919</v>
      </c>
      <c r="D59" s="136" t="s">
        <v>919</v>
      </c>
      <c r="E59" s="136" t="s">
        <v>919</v>
      </c>
      <c r="F59" s="136" t="s">
        <v>919</v>
      </c>
      <c r="G59" s="136" t="s">
        <v>919</v>
      </c>
      <c r="H59" s="2" t="s">
        <v>919</v>
      </c>
      <c r="I59" s="2" t="s">
        <v>919</v>
      </c>
      <c r="J59" s="2" t="s">
        <v>919</v>
      </c>
      <c r="K59" s="2">
        <v>139.52000000000001</v>
      </c>
    </row>
    <row r="60" spans="1:11" x14ac:dyDescent="0.2">
      <c r="A60" s="135" t="s">
        <v>317</v>
      </c>
      <c r="B60" s="136">
        <v>171.02</v>
      </c>
      <c r="C60" s="136">
        <v>177.5</v>
      </c>
      <c r="D60" s="136">
        <v>140.38999999999999</v>
      </c>
      <c r="E60" s="136">
        <v>162.35</v>
      </c>
      <c r="F60" s="136">
        <v>114.05</v>
      </c>
      <c r="G60" s="136">
        <v>120.58</v>
      </c>
      <c r="H60" s="2">
        <v>143.56</v>
      </c>
      <c r="I60" s="2">
        <v>170.51</v>
      </c>
      <c r="J60" s="2" t="s">
        <v>919</v>
      </c>
      <c r="K60" s="2">
        <v>7.0000000000000007E-2</v>
      </c>
    </row>
    <row r="61" spans="1:11" x14ac:dyDescent="0.2">
      <c r="A61" s="132" t="s">
        <v>280</v>
      </c>
      <c r="B61" s="133"/>
      <c r="C61" s="133"/>
      <c r="D61" s="134"/>
      <c r="E61" s="134"/>
      <c r="F61" s="134"/>
      <c r="G61" s="134"/>
    </row>
    <row r="62" spans="1:11" x14ac:dyDescent="0.2">
      <c r="A62" s="135" t="s">
        <v>318</v>
      </c>
      <c r="B62" s="136">
        <v>123.66</v>
      </c>
      <c r="C62" s="136">
        <v>123.66</v>
      </c>
      <c r="D62" s="136">
        <v>123.66</v>
      </c>
      <c r="E62" s="136">
        <v>123.66</v>
      </c>
      <c r="F62" s="136">
        <v>123.66</v>
      </c>
      <c r="G62" s="136">
        <v>123.66</v>
      </c>
      <c r="H62" s="2">
        <v>123.66</v>
      </c>
      <c r="I62" s="2">
        <v>123.66</v>
      </c>
      <c r="J62" s="2">
        <v>123.66</v>
      </c>
      <c r="K62" s="2">
        <v>0.57999999999999996</v>
      </c>
    </row>
    <row r="63" spans="1:11" x14ac:dyDescent="0.2">
      <c r="A63" s="132" t="s">
        <v>281</v>
      </c>
      <c r="B63" s="133"/>
      <c r="C63" s="133"/>
      <c r="D63" s="134"/>
      <c r="E63" s="134"/>
      <c r="F63" s="134"/>
      <c r="G63" s="134"/>
    </row>
    <row r="64" spans="1:11" x14ac:dyDescent="0.2">
      <c r="A64" s="135" t="s">
        <v>282</v>
      </c>
      <c r="B64" s="179" t="s">
        <v>919</v>
      </c>
      <c r="C64" s="179" t="s">
        <v>919</v>
      </c>
      <c r="D64" s="179" t="s">
        <v>919</v>
      </c>
      <c r="E64" s="179" t="s">
        <v>919</v>
      </c>
      <c r="F64" s="179">
        <v>0</v>
      </c>
      <c r="G64" s="179">
        <v>0</v>
      </c>
      <c r="H64" s="2">
        <v>0</v>
      </c>
      <c r="I64" s="2">
        <v>0</v>
      </c>
      <c r="J64" s="2">
        <v>0.01</v>
      </c>
      <c r="K64" s="2">
        <v>0.01</v>
      </c>
    </row>
    <row r="65" spans="1:12" x14ac:dyDescent="0.2">
      <c r="A65" s="135" t="s">
        <v>283</v>
      </c>
      <c r="B65" s="179">
        <v>5.88</v>
      </c>
      <c r="C65" s="179">
        <v>3.36</v>
      </c>
      <c r="D65" s="179">
        <v>3.19</v>
      </c>
      <c r="E65" s="179">
        <v>1.1499999999999999</v>
      </c>
      <c r="F65" s="179">
        <v>1.1499999999999999</v>
      </c>
      <c r="G65" s="179">
        <v>1.1499999999999999</v>
      </c>
      <c r="H65" s="2">
        <v>1.24</v>
      </c>
      <c r="I65" s="2">
        <v>364.77</v>
      </c>
      <c r="J65" s="2">
        <v>364.7</v>
      </c>
      <c r="K65" s="2">
        <v>364.66</v>
      </c>
    </row>
    <row r="66" spans="1:12" x14ac:dyDescent="0.2">
      <c r="A66" s="132" t="s">
        <v>284</v>
      </c>
      <c r="B66" s="133"/>
      <c r="C66" s="133"/>
      <c r="D66" s="134"/>
      <c r="E66" s="134"/>
      <c r="F66" s="134"/>
      <c r="G66" s="134"/>
    </row>
    <row r="67" spans="1:12" x14ac:dyDescent="0.2">
      <c r="A67" s="135" t="s">
        <v>319</v>
      </c>
      <c r="B67" s="136" t="s">
        <v>919</v>
      </c>
      <c r="C67" s="136" t="s">
        <v>919</v>
      </c>
      <c r="D67" s="136" t="s">
        <v>919</v>
      </c>
      <c r="E67" s="136" t="s">
        <v>919</v>
      </c>
      <c r="F67" s="136" t="s">
        <v>919</v>
      </c>
      <c r="G67" s="136" t="s">
        <v>919</v>
      </c>
      <c r="H67" s="2" t="s">
        <v>919</v>
      </c>
      <c r="I67" s="2" t="s">
        <v>919</v>
      </c>
      <c r="J67" s="2" t="s">
        <v>919</v>
      </c>
      <c r="K67" s="2" t="s">
        <v>919</v>
      </c>
    </row>
    <row r="68" spans="1:12" x14ac:dyDescent="0.2">
      <c r="A68" s="135" t="s">
        <v>320</v>
      </c>
      <c r="B68" s="136" t="s">
        <v>919</v>
      </c>
      <c r="C68" s="136" t="s">
        <v>919</v>
      </c>
      <c r="D68" s="136" t="s">
        <v>919</v>
      </c>
      <c r="E68" s="136" t="s">
        <v>919</v>
      </c>
      <c r="F68" s="136">
        <v>169.93</v>
      </c>
      <c r="G68" s="136">
        <v>37.32</v>
      </c>
      <c r="H68" s="2">
        <v>34.82</v>
      </c>
      <c r="I68" s="2">
        <v>44.91</v>
      </c>
      <c r="J68" s="2">
        <v>31.64</v>
      </c>
      <c r="K68" s="2">
        <v>45.58</v>
      </c>
    </row>
    <row r="69" spans="1:12" x14ac:dyDescent="0.2">
      <c r="A69" s="135"/>
      <c r="B69" s="136"/>
      <c r="C69" s="136"/>
    </row>
    <row r="70" spans="1:12" x14ac:dyDescent="0.2">
      <c r="A70" s="130" t="s">
        <v>321</v>
      </c>
      <c r="B70" s="131"/>
      <c r="C70" s="131"/>
    </row>
    <row r="71" spans="1:12" x14ac:dyDescent="0.2">
      <c r="A71" s="130"/>
    </row>
    <row r="72" spans="1:12" x14ac:dyDescent="0.2">
      <c r="A72" s="132" t="s">
        <v>285</v>
      </c>
      <c r="B72" s="223" t="s">
        <v>909</v>
      </c>
      <c r="C72" s="223" t="s">
        <v>637</v>
      </c>
      <c r="D72" s="223">
        <v>45016</v>
      </c>
      <c r="E72" s="223">
        <v>44651</v>
      </c>
      <c r="F72" s="223">
        <v>44286</v>
      </c>
      <c r="G72" s="223">
        <v>43921</v>
      </c>
      <c r="H72" s="223">
        <v>43555</v>
      </c>
      <c r="I72" s="223">
        <v>43190</v>
      </c>
      <c r="J72" s="223">
        <v>42825</v>
      </c>
      <c r="K72" s="223">
        <v>42460</v>
      </c>
      <c r="L72" s="223">
        <v>42094</v>
      </c>
    </row>
    <row r="73" spans="1:12" x14ac:dyDescent="0.2">
      <c r="A73" s="130" t="s">
        <v>286</v>
      </c>
      <c r="B73" s="289">
        <v>8730.32</v>
      </c>
      <c r="C73" s="289">
        <v>7757.77</v>
      </c>
      <c r="D73" s="289">
        <v>6674.81</v>
      </c>
      <c r="E73" s="289">
        <v>5604.43</v>
      </c>
      <c r="F73" s="289">
        <v>4658.97</v>
      </c>
      <c r="G73" s="213">
        <v>4820.16</v>
      </c>
      <c r="H73" s="6">
        <v>5341.43</v>
      </c>
      <c r="I73" s="2">
        <v>4680.17</v>
      </c>
      <c r="J73" s="2">
        <v>4194.28</v>
      </c>
      <c r="K73" s="2">
        <v>3987.37</v>
      </c>
    </row>
    <row r="74" spans="1:12" x14ac:dyDescent="0.2">
      <c r="A74" s="135" t="s">
        <v>287</v>
      </c>
      <c r="B74" s="195"/>
      <c r="C74" s="195"/>
      <c r="D74" s="195"/>
      <c r="E74" s="195"/>
      <c r="F74" s="195"/>
      <c r="G74" s="195">
        <v>0</v>
      </c>
      <c r="H74" s="2">
        <v>0</v>
      </c>
      <c r="I74" s="2">
        <v>127.91</v>
      </c>
      <c r="J74" s="2">
        <v>400.33</v>
      </c>
      <c r="K74" s="2">
        <v>387.25</v>
      </c>
    </row>
    <row r="75" spans="1:12" x14ac:dyDescent="0.2">
      <c r="A75" s="290" t="s">
        <v>288</v>
      </c>
      <c r="B75" s="289">
        <f>(B73-B74)</f>
        <v>8730.32</v>
      </c>
      <c r="C75" s="289">
        <f>(C73-C74)</f>
        <v>7757.77</v>
      </c>
      <c r="D75" s="289">
        <f t="shared" ref="D75:L75" si="12">D73-D74</f>
        <v>6674.81</v>
      </c>
      <c r="E75" s="289">
        <f t="shared" si="12"/>
        <v>5604.43</v>
      </c>
      <c r="F75" s="289">
        <f t="shared" si="12"/>
        <v>4658.97</v>
      </c>
      <c r="G75" s="213">
        <f t="shared" si="12"/>
        <v>4820.16</v>
      </c>
      <c r="H75" s="198">
        <f t="shared" si="12"/>
        <v>5341.43</v>
      </c>
      <c r="I75" s="198">
        <f t="shared" si="12"/>
        <v>4552.26</v>
      </c>
      <c r="J75" s="198">
        <f t="shared" si="12"/>
        <v>3793.95</v>
      </c>
      <c r="K75" s="198">
        <f t="shared" si="12"/>
        <v>3600.12</v>
      </c>
      <c r="L75" s="198">
        <f t="shared" si="12"/>
        <v>0</v>
      </c>
    </row>
    <row r="76" spans="1:12" x14ac:dyDescent="0.2">
      <c r="A76" s="291" t="s">
        <v>492</v>
      </c>
      <c r="B76" s="179">
        <v>115.83</v>
      </c>
      <c r="C76" s="179">
        <v>113.23</v>
      </c>
      <c r="D76" s="179">
        <v>92.7</v>
      </c>
      <c r="E76" s="179">
        <v>92.66</v>
      </c>
      <c r="F76" s="179">
        <v>114.07</v>
      </c>
      <c r="G76" s="179">
        <v>118.41</v>
      </c>
      <c r="H76" s="2">
        <v>76.03</v>
      </c>
      <c r="I76" s="2">
        <v>88.85</v>
      </c>
      <c r="J76" s="2">
        <v>85.87</v>
      </c>
      <c r="K76" s="2">
        <v>73.78</v>
      </c>
    </row>
    <row r="77" spans="1:12" x14ac:dyDescent="0.2">
      <c r="A77" s="290" t="s">
        <v>289</v>
      </c>
      <c r="B77" s="198">
        <f>SUM(B75:B76)</f>
        <v>8846.15</v>
      </c>
      <c r="C77" s="198">
        <f>SUM(C75:C76)</f>
        <v>7871</v>
      </c>
      <c r="D77" s="198">
        <f t="shared" ref="D77:L77" si="13">SUM(D75:D76)</f>
        <v>6767.51</v>
      </c>
      <c r="E77" s="198">
        <f t="shared" si="13"/>
        <v>5697.09</v>
      </c>
      <c r="F77" s="198">
        <f t="shared" si="13"/>
        <v>4773.04</v>
      </c>
      <c r="G77" s="198">
        <f t="shared" si="13"/>
        <v>4938.57</v>
      </c>
      <c r="H77" s="198">
        <f t="shared" si="13"/>
        <v>5417.46</v>
      </c>
      <c r="I77" s="198">
        <f t="shared" si="13"/>
        <v>4641.1100000000006</v>
      </c>
      <c r="J77" s="198">
        <f t="shared" si="13"/>
        <v>3879.8199999999997</v>
      </c>
      <c r="K77" s="198">
        <f t="shared" si="13"/>
        <v>3673.9</v>
      </c>
      <c r="L77" s="198">
        <f t="shared" si="13"/>
        <v>0</v>
      </c>
    </row>
    <row r="78" spans="1:12" x14ac:dyDescent="0.2">
      <c r="A78" s="135" t="s">
        <v>164</v>
      </c>
      <c r="B78" s="136">
        <v>66.58</v>
      </c>
      <c r="C78" s="136">
        <v>49.47</v>
      </c>
      <c r="D78" s="136">
        <v>28.2</v>
      </c>
      <c r="E78" s="136">
        <v>24.39</v>
      </c>
      <c r="F78" s="136">
        <v>13.55</v>
      </c>
      <c r="G78" s="136">
        <v>36.19</v>
      </c>
      <c r="H78" s="2">
        <v>16.22</v>
      </c>
      <c r="I78" s="2">
        <v>18.39</v>
      </c>
      <c r="J78" s="2">
        <v>12.55</v>
      </c>
      <c r="K78" s="2">
        <v>21.98</v>
      </c>
    </row>
    <row r="79" spans="1:12" x14ac:dyDescent="0.2">
      <c r="A79" s="130" t="s">
        <v>290</v>
      </c>
      <c r="B79" s="198">
        <f>B77+B78</f>
        <v>8912.73</v>
      </c>
      <c r="C79" s="198">
        <f>C77+C78</f>
        <v>7920.47</v>
      </c>
      <c r="D79" s="198">
        <f t="shared" ref="D79:L79" si="14">D77+D78</f>
        <v>6795.71</v>
      </c>
      <c r="E79" s="198">
        <f t="shared" si="14"/>
        <v>5721.4800000000005</v>
      </c>
      <c r="F79" s="198">
        <f t="shared" si="14"/>
        <v>4786.59</v>
      </c>
      <c r="G79" s="198">
        <f t="shared" si="14"/>
        <v>4974.7599999999993</v>
      </c>
      <c r="H79" s="198">
        <f t="shared" si="14"/>
        <v>5433.68</v>
      </c>
      <c r="I79" s="198">
        <f t="shared" si="14"/>
        <v>4659.5000000000009</v>
      </c>
      <c r="J79" s="198">
        <f t="shared" si="14"/>
        <v>3892.37</v>
      </c>
      <c r="K79" s="198">
        <f t="shared" si="14"/>
        <v>3695.88</v>
      </c>
      <c r="L79" s="198">
        <f t="shared" si="14"/>
        <v>0</v>
      </c>
    </row>
    <row r="80" spans="1:12" x14ac:dyDescent="0.2">
      <c r="A80" s="132" t="s">
        <v>291</v>
      </c>
      <c r="B80" s="133"/>
      <c r="C80" s="133"/>
      <c r="D80" s="134"/>
      <c r="E80" s="134"/>
      <c r="F80" s="134"/>
      <c r="G80" s="134"/>
    </row>
    <row r="81" spans="1:12" x14ac:dyDescent="0.2">
      <c r="A81" s="135" t="s">
        <v>935</v>
      </c>
      <c r="B81" s="179">
        <v>5686.35</v>
      </c>
      <c r="C81" s="179">
        <v>5086.76</v>
      </c>
      <c r="D81" s="136">
        <v>4511.09</v>
      </c>
      <c r="E81" s="136">
        <v>3745.18</v>
      </c>
      <c r="F81" s="136">
        <v>2969.19</v>
      </c>
      <c r="G81" s="136">
        <v>3000.67</v>
      </c>
      <c r="H81" s="2">
        <v>3508.03</v>
      </c>
      <c r="I81" s="2">
        <v>3011.06</v>
      </c>
      <c r="J81" s="2">
        <v>2511.41</v>
      </c>
      <c r="K81" s="2">
        <v>2392.5</v>
      </c>
    </row>
    <row r="82" spans="1:12" x14ac:dyDescent="0.2">
      <c r="A82" s="135" t="s">
        <v>292</v>
      </c>
      <c r="B82" s="204">
        <v>70.67</v>
      </c>
      <c r="C82" s="204">
        <v>60.38</v>
      </c>
      <c r="D82" s="204">
        <v>63.91</v>
      </c>
      <c r="E82" s="204">
        <v>54.07</v>
      </c>
      <c r="F82" s="204">
        <v>44.6</v>
      </c>
      <c r="G82" s="204">
        <v>27.84</v>
      </c>
      <c r="H82" s="204">
        <v>23.08</v>
      </c>
      <c r="I82" s="2">
        <v>9.09</v>
      </c>
      <c r="J82" s="2">
        <v>9.81</v>
      </c>
      <c r="K82" s="2">
        <v>7.86</v>
      </c>
    </row>
    <row r="83" spans="1:12" x14ac:dyDescent="0.2">
      <c r="A83" s="135" t="s">
        <v>293</v>
      </c>
      <c r="B83" s="195">
        <v>-28.57</v>
      </c>
      <c r="C83" s="195">
        <v>-6.44</v>
      </c>
      <c r="D83" s="195">
        <v>-42.4</v>
      </c>
      <c r="E83" s="195">
        <v>-40.93</v>
      </c>
      <c r="F83" s="195">
        <v>-44.43</v>
      </c>
      <c r="G83" s="195">
        <v>18.809999999999999</v>
      </c>
      <c r="H83" s="195">
        <v>-7.38</v>
      </c>
      <c r="I83" s="2">
        <v>9.43</v>
      </c>
      <c r="J83" s="2">
        <v>-43.22</v>
      </c>
      <c r="K83" s="2">
        <v>-16.2</v>
      </c>
    </row>
    <row r="84" spans="1:12" x14ac:dyDescent="0.2">
      <c r="A84" s="135" t="s">
        <v>294</v>
      </c>
      <c r="B84" s="136">
        <v>435.78</v>
      </c>
      <c r="C84" s="136">
        <v>380.12</v>
      </c>
      <c r="D84" s="136">
        <v>324.18</v>
      </c>
      <c r="E84" s="136">
        <v>290.31</v>
      </c>
      <c r="F84" s="136">
        <v>286.56</v>
      </c>
      <c r="G84" s="136">
        <v>296.13</v>
      </c>
      <c r="H84" s="2">
        <v>277.74</v>
      </c>
      <c r="I84" s="2">
        <v>254.7</v>
      </c>
      <c r="J84" s="2">
        <v>242.18</v>
      </c>
      <c r="K84" s="2">
        <v>207.71</v>
      </c>
    </row>
    <row r="85" spans="1:12" x14ac:dyDescent="0.2">
      <c r="A85" s="135" t="s">
        <v>295</v>
      </c>
      <c r="B85" s="136">
        <v>2.56</v>
      </c>
      <c r="C85" s="136">
        <v>2.99</v>
      </c>
      <c r="D85" s="136">
        <v>4.2699999999999996</v>
      </c>
      <c r="E85" s="136">
        <v>1.82</v>
      </c>
      <c r="F85" s="136">
        <v>4.8</v>
      </c>
      <c r="G85" s="136">
        <v>10.82</v>
      </c>
      <c r="H85" s="2">
        <v>17.07</v>
      </c>
      <c r="I85" s="2">
        <v>10.25</v>
      </c>
      <c r="J85" s="2">
        <v>17.86</v>
      </c>
      <c r="K85" s="2">
        <v>32.549999999999997</v>
      </c>
    </row>
    <row r="86" spans="1:12" x14ac:dyDescent="0.2">
      <c r="A86" s="135" t="s">
        <v>296</v>
      </c>
      <c r="B86" s="136">
        <v>289.64999999999998</v>
      </c>
      <c r="C86" s="136">
        <v>262.52</v>
      </c>
      <c r="D86" s="136">
        <v>240.71</v>
      </c>
      <c r="E86" s="136">
        <v>203.74</v>
      </c>
      <c r="F86" s="136">
        <v>203.42</v>
      </c>
      <c r="G86" s="136">
        <v>199.25</v>
      </c>
      <c r="H86" s="2">
        <v>175.7</v>
      </c>
      <c r="I86" s="2">
        <v>169.63</v>
      </c>
      <c r="J86" s="2">
        <v>166.86</v>
      </c>
      <c r="K86" s="2">
        <v>150.47999999999999</v>
      </c>
    </row>
    <row r="87" spans="1:12" x14ac:dyDescent="0.2">
      <c r="A87" s="135" t="s">
        <v>182</v>
      </c>
      <c r="B87" s="136">
        <v>1530.87</v>
      </c>
      <c r="C87" s="136">
        <v>1343.86</v>
      </c>
      <c r="D87" s="136">
        <v>1131.49</v>
      </c>
      <c r="E87" s="136">
        <v>919.79</v>
      </c>
      <c r="F87" s="136">
        <v>785.53</v>
      </c>
      <c r="G87" s="136">
        <v>861.06</v>
      </c>
      <c r="H87" s="2">
        <v>895.9</v>
      </c>
      <c r="I87" s="2">
        <v>766.46</v>
      </c>
      <c r="J87" s="2">
        <v>688.6</v>
      </c>
      <c r="K87" s="2">
        <v>639.78</v>
      </c>
    </row>
    <row r="88" spans="1:12" x14ac:dyDescent="0.2">
      <c r="A88" s="135" t="s">
        <v>946</v>
      </c>
      <c r="B88" s="136"/>
      <c r="C88" s="136"/>
      <c r="D88" s="136"/>
      <c r="E88" s="136"/>
      <c r="F88" s="136"/>
      <c r="G88" s="136">
        <v>-8.26</v>
      </c>
      <c r="H88" s="2">
        <v>-11.92</v>
      </c>
      <c r="I88" s="2">
        <v>0</v>
      </c>
      <c r="J88" s="2">
        <v>0</v>
      </c>
      <c r="K88" s="2">
        <v>0</v>
      </c>
    </row>
    <row r="89" spans="1:12" x14ac:dyDescent="0.2">
      <c r="A89" s="130" t="s">
        <v>165</v>
      </c>
      <c r="B89" s="198">
        <f>SUM(B81:B88)</f>
        <v>7987.31</v>
      </c>
      <c r="C89" s="198">
        <f t="shared" ref="C89:L89" si="15">SUM(C81:C88)</f>
        <v>7130.19</v>
      </c>
      <c r="D89" s="198">
        <f t="shared" si="15"/>
        <v>6233.2500000000009</v>
      </c>
      <c r="E89" s="198">
        <f t="shared" si="15"/>
        <v>5173.9800000000005</v>
      </c>
      <c r="F89" s="198">
        <f t="shared" si="15"/>
        <v>4249.67</v>
      </c>
      <c r="G89" s="198">
        <f t="shared" si="15"/>
        <v>4406.32</v>
      </c>
      <c r="H89" s="198">
        <f t="shared" si="15"/>
        <v>4878.22</v>
      </c>
      <c r="I89" s="198">
        <f t="shared" si="15"/>
        <v>4230.62</v>
      </c>
      <c r="J89" s="198">
        <f t="shared" si="15"/>
        <v>3593.5</v>
      </c>
      <c r="K89" s="198">
        <f t="shared" si="15"/>
        <v>3414.6800000000003</v>
      </c>
      <c r="L89" s="198">
        <f t="shared" si="15"/>
        <v>0</v>
      </c>
    </row>
    <row r="90" spans="1:12" x14ac:dyDescent="0.2">
      <c r="A90" s="1"/>
      <c r="B90" s="1"/>
      <c r="C90" s="1"/>
      <c r="D90" s="1"/>
      <c r="E90" s="1"/>
      <c r="F90" s="1"/>
      <c r="G90" s="1"/>
      <c r="H90" s="1"/>
      <c r="I90" s="1"/>
      <c r="J90" s="1"/>
      <c r="K90" s="1"/>
      <c r="L90" s="1"/>
    </row>
    <row r="91" spans="1:12" x14ac:dyDescent="0.2">
      <c r="A91" s="130" t="s">
        <v>297</v>
      </c>
      <c r="B91" s="198">
        <f>B79-B89</f>
        <v>925.41999999999916</v>
      </c>
      <c r="C91" s="198">
        <f>C79-C89</f>
        <v>790.28000000000065</v>
      </c>
      <c r="D91" s="198">
        <f t="shared" ref="D91:L91" si="16">D79-D89</f>
        <v>562.45999999999913</v>
      </c>
      <c r="E91" s="198">
        <f t="shared" si="16"/>
        <v>547.5</v>
      </c>
      <c r="F91" s="198">
        <f t="shared" si="16"/>
        <v>536.92000000000007</v>
      </c>
      <c r="G91" s="198">
        <f t="shared" si="16"/>
        <v>568.4399999999996</v>
      </c>
      <c r="H91" s="198">
        <f t="shared" si="16"/>
        <v>555.46</v>
      </c>
      <c r="I91" s="198">
        <f t="shared" si="16"/>
        <v>428.88000000000102</v>
      </c>
      <c r="J91" s="198">
        <f t="shared" si="16"/>
        <v>298.86999999999989</v>
      </c>
      <c r="K91" s="198">
        <f t="shared" si="16"/>
        <v>281.19999999999982</v>
      </c>
      <c r="L91" s="198">
        <f t="shared" si="16"/>
        <v>0</v>
      </c>
    </row>
    <row r="92" spans="1:12" x14ac:dyDescent="0.2">
      <c r="A92" s="135" t="s">
        <v>186</v>
      </c>
      <c r="B92" s="136">
        <v>-17.36</v>
      </c>
      <c r="C92" s="136">
        <v>0</v>
      </c>
      <c r="D92" s="136">
        <v>-10.29</v>
      </c>
      <c r="E92" s="136">
        <v>-31.45</v>
      </c>
      <c r="F92" s="136">
        <v>-11.23</v>
      </c>
      <c r="G92" s="136">
        <v>0</v>
      </c>
      <c r="H92" s="136">
        <v>-20.8</v>
      </c>
      <c r="I92" s="2">
        <v>-26.88</v>
      </c>
      <c r="J92" s="2">
        <v>0</v>
      </c>
      <c r="K92" s="2">
        <v>0</v>
      </c>
    </row>
    <row r="93" spans="1:12" s="3" customFormat="1" x14ac:dyDescent="0.2">
      <c r="A93" s="132" t="s">
        <v>298</v>
      </c>
      <c r="B93" s="198">
        <f>B91+B92</f>
        <v>908.05999999999915</v>
      </c>
      <c r="C93" s="198">
        <f t="shared" ref="C93:L93" si="17">C91+C92</f>
        <v>790.28000000000065</v>
      </c>
      <c r="D93" s="198">
        <f t="shared" si="17"/>
        <v>552.16999999999916</v>
      </c>
      <c r="E93" s="198">
        <f t="shared" si="17"/>
        <v>516.04999999999995</v>
      </c>
      <c r="F93" s="198">
        <f t="shared" si="17"/>
        <v>525.69000000000005</v>
      </c>
      <c r="G93" s="198">
        <f t="shared" si="17"/>
        <v>568.4399999999996</v>
      </c>
      <c r="H93" s="198">
        <f t="shared" si="17"/>
        <v>534.66000000000008</v>
      </c>
      <c r="I93" s="198">
        <f t="shared" si="17"/>
        <v>402.00000000000102</v>
      </c>
      <c r="J93" s="198">
        <f t="shared" si="17"/>
        <v>298.86999999999989</v>
      </c>
      <c r="K93" s="198">
        <f t="shared" si="17"/>
        <v>281.19999999999982</v>
      </c>
      <c r="L93" s="198">
        <f t="shared" si="17"/>
        <v>0</v>
      </c>
    </row>
    <row r="94" spans="1:12" x14ac:dyDescent="0.2">
      <c r="A94" s="135" t="s">
        <v>299</v>
      </c>
      <c r="B94" s="136">
        <v>229.68</v>
      </c>
      <c r="C94" s="136">
        <v>194.76</v>
      </c>
      <c r="D94" s="136">
        <v>141.4</v>
      </c>
      <c r="E94" s="136">
        <v>136.59</v>
      </c>
      <c r="F94" s="136">
        <v>142.59</v>
      </c>
      <c r="G94" s="136">
        <v>147.53</v>
      </c>
      <c r="H94" s="2">
        <v>159.5</v>
      </c>
      <c r="I94" s="2">
        <v>126.12</v>
      </c>
      <c r="J94" s="2">
        <v>75.78</v>
      </c>
      <c r="K94" s="2">
        <v>71.3</v>
      </c>
    </row>
    <row r="95" spans="1:12" x14ac:dyDescent="0.2">
      <c r="A95" s="135" t="s">
        <v>519</v>
      </c>
      <c r="B95" s="195"/>
      <c r="C95" s="195"/>
      <c r="D95" s="195"/>
      <c r="E95" s="195"/>
      <c r="F95" s="136"/>
      <c r="G95" s="195"/>
      <c r="H95" s="195"/>
    </row>
    <row r="96" spans="1:12" x14ac:dyDescent="0.2">
      <c r="A96" s="135" t="s">
        <v>480</v>
      </c>
      <c r="B96" s="136">
        <v>-2.16</v>
      </c>
      <c r="C96" s="136">
        <v>-11.75</v>
      </c>
      <c r="D96" s="136">
        <v>0</v>
      </c>
      <c r="E96" s="136">
        <v>0</v>
      </c>
      <c r="F96" s="136">
        <v>0</v>
      </c>
      <c r="G96" s="136">
        <v>0</v>
      </c>
      <c r="H96" s="2">
        <v>1.51</v>
      </c>
      <c r="I96" s="2">
        <v>-6.4</v>
      </c>
      <c r="J96" s="2">
        <v>0.13</v>
      </c>
      <c r="K96" s="2">
        <v>0</v>
      </c>
    </row>
    <row r="97" spans="1:14" x14ac:dyDescent="0.2">
      <c r="A97" s="135" t="s">
        <v>300</v>
      </c>
      <c r="B97" s="136">
        <v>1.88</v>
      </c>
      <c r="C97" s="136">
        <v>19.46</v>
      </c>
      <c r="D97" s="136">
        <v>1.86</v>
      </c>
      <c r="E97" s="136">
        <v>-2.29</v>
      </c>
      <c r="F97" s="136">
        <v>-9.09</v>
      </c>
      <c r="G97" s="136">
        <v>-6.78</v>
      </c>
      <c r="H97" s="2">
        <v>15.79</v>
      </c>
      <c r="I97" s="2">
        <v>10.67</v>
      </c>
      <c r="J97" s="2">
        <v>1.48</v>
      </c>
      <c r="K97" s="2">
        <v>4.33</v>
      </c>
    </row>
    <row r="98" spans="1:14" x14ac:dyDescent="0.2">
      <c r="A98" s="130" t="s">
        <v>301</v>
      </c>
      <c r="B98" s="134">
        <f>SUM(B94:B97)</f>
        <v>229.4</v>
      </c>
      <c r="C98" s="134">
        <f>SUM(C94:C97)</f>
        <v>202.47</v>
      </c>
      <c r="D98" s="134">
        <f t="shared" ref="D98:L98" si="18">SUM(D94:D97)</f>
        <v>143.26000000000002</v>
      </c>
      <c r="E98" s="134">
        <f t="shared" si="18"/>
        <v>134.30000000000001</v>
      </c>
      <c r="F98" s="134">
        <f t="shared" si="18"/>
        <v>133.5</v>
      </c>
      <c r="G98" s="134">
        <f t="shared" si="18"/>
        <v>140.75</v>
      </c>
      <c r="H98" s="134">
        <f t="shared" si="18"/>
        <v>176.79999999999998</v>
      </c>
      <c r="I98" s="134">
        <f t="shared" si="18"/>
        <v>130.38999999999999</v>
      </c>
      <c r="J98" s="134">
        <f t="shared" si="18"/>
        <v>77.39</v>
      </c>
      <c r="K98" s="134">
        <f t="shared" si="18"/>
        <v>75.63</v>
      </c>
      <c r="L98" s="134">
        <f t="shared" si="18"/>
        <v>0</v>
      </c>
    </row>
    <row r="99" spans="1:14" x14ac:dyDescent="0.2">
      <c r="A99" s="130" t="s">
        <v>302</v>
      </c>
      <c r="B99" s="198">
        <f>B93-B98</f>
        <v>678.65999999999917</v>
      </c>
      <c r="C99" s="198">
        <f>C93-C98</f>
        <v>587.81000000000063</v>
      </c>
      <c r="D99" s="198">
        <f t="shared" ref="D99:L99" si="19">D93-D98</f>
        <v>408.90999999999917</v>
      </c>
      <c r="E99" s="198">
        <f t="shared" si="19"/>
        <v>381.74999999999994</v>
      </c>
      <c r="F99" s="198">
        <f t="shared" si="19"/>
        <v>392.19000000000005</v>
      </c>
      <c r="G99" s="198">
        <f t="shared" si="19"/>
        <v>427.6899999999996</v>
      </c>
      <c r="H99" s="198">
        <f t="shared" si="19"/>
        <v>357.86000000000013</v>
      </c>
      <c r="I99" s="198">
        <f t="shared" si="19"/>
        <v>271.61000000000104</v>
      </c>
      <c r="J99" s="198">
        <f t="shared" si="19"/>
        <v>221.4799999999999</v>
      </c>
      <c r="K99" s="198">
        <f t="shared" si="19"/>
        <v>205.56999999999982</v>
      </c>
      <c r="L99" s="198">
        <f t="shared" si="19"/>
        <v>0</v>
      </c>
    </row>
    <row r="100" spans="1:14" x14ac:dyDescent="0.2">
      <c r="A100" s="135" t="s">
        <v>303</v>
      </c>
      <c r="B100" s="136"/>
      <c r="C100" s="136"/>
      <c r="D100" s="136"/>
      <c r="E100" s="136"/>
      <c r="F100" s="136"/>
      <c r="G100" s="136"/>
    </row>
    <row r="101" spans="1:14" x14ac:dyDescent="0.2">
      <c r="A101" s="130" t="s">
        <v>304</v>
      </c>
      <c r="B101" s="198">
        <f>B99</f>
        <v>678.65999999999917</v>
      </c>
      <c r="C101" s="198">
        <f>C99</f>
        <v>587.81000000000063</v>
      </c>
      <c r="D101" s="198">
        <f t="shared" ref="D101:L101" si="20">D99</f>
        <v>408.90999999999917</v>
      </c>
      <c r="E101" s="198">
        <f t="shared" si="20"/>
        <v>381.74999999999994</v>
      </c>
      <c r="F101" s="198">
        <f t="shared" si="20"/>
        <v>392.19000000000005</v>
      </c>
      <c r="G101" s="198">
        <f t="shared" si="20"/>
        <v>427.6899999999996</v>
      </c>
      <c r="H101" s="198">
        <f t="shared" si="20"/>
        <v>357.86000000000013</v>
      </c>
      <c r="I101" s="198">
        <f t="shared" si="20"/>
        <v>271.61000000000104</v>
      </c>
      <c r="J101" s="198">
        <f t="shared" si="20"/>
        <v>221.4799999999999</v>
      </c>
      <c r="K101" s="198">
        <f t="shared" si="20"/>
        <v>205.56999999999982</v>
      </c>
      <c r="L101" s="198">
        <f t="shared" si="20"/>
        <v>0</v>
      </c>
    </row>
    <row r="102" spans="1:14" x14ac:dyDescent="0.2">
      <c r="A102" s="130" t="s">
        <v>305</v>
      </c>
      <c r="B102" s="198">
        <f>B101</f>
        <v>678.65999999999917</v>
      </c>
      <c r="C102" s="198">
        <f>C101</f>
        <v>587.81000000000063</v>
      </c>
      <c r="D102" s="198">
        <f t="shared" ref="D102:L102" si="21">D101</f>
        <v>408.90999999999917</v>
      </c>
      <c r="E102" s="198">
        <f t="shared" si="21"/>
        <v>381.74999999999994</v>
      </c>
      <c r="F102" s="198">
        <f t="shared" si="21"/>
        <v>392.19000000000005</v>
      </c>
      <c r="G102" s="198">
        <f t="shared" si="21"/>
        <v>427.6899999999996</v>
      </c>
      <c r="H102" s="198">
        <f t="shared" si="21"/>
        <v>357.86000000000013</v>
      </c>
      <c r="I102" s="198">
        <f t="shared" si="21"/>
        <v>271.61000000000104</v>
      </c>
      <c r="J102" s="198">
        <f t="shared" si="21"/>
        <v>221.4799999999999</v>
      </c>
      <c r="K102" s="198">
        <f t="shared" si="21"/>
        <v>205.56999999999982</v>
      </c>
      <c r="L102" s="198">
        <f t="shared" si="21"/>
        <v>0</v>
      </c>
    </row>
    <row r="103" spans="1:14" x14ac:dyDescent="0.2">
      <c r="A103" s="132" t="s">
        <v>278</v>
      </c>
      <c r="B103" s="202"/>
      <c r="C103" s="202"/>
      <c r="D103" s="202"/>
      <c r="E103" s="202"/>
      <c r="F103" s="202"/>
      <c r="G103" s="134"/>
    </row>
    <row r="104" spans="1:14" x14ac:dyDescent="0.2">
      <c r="A104" s="132" t="s">
        <v>306</v>
      </c>
      <c r="B104" s="133"/>
      <c r="C104" s="133"/>
      <c r="D104" s="134"/>
      <c r="E104" s="134"/>
      <c r="F104" s="134"/>
      <c r="G104" s="134"/>
    </row>
    <row r="105" spans="1:14" x14ac:dyDescent="0.2">
      <c r="A105" s="135" t="s">
        <v>307</v>
      </c>
      <c r="B105" s="217">
        <v>48.25</v>
      </c>
      <c r="C105" s="217">
        <v>41.79</v>
      </c>
      <c r="D105" s="217">
        <v>29.07</v>
      </c>
      <c r="E105" s="217">
        <v>27.14</v>
      </c>
      <c r="F105" s="217">
        <v>27.88</v>
      </c>
      <c r="G105" s="217">
        <v>30.41</v>
      </c>
      <c r="H105" s="2">
        <v>25.44</v>
      </c>
      <c r="I105" s="2">
        <v>19.309999999999999</v>
      </c>
      <c r="J105" s="2">
        <v>15.75</v>
      </c>
      <c r="K105" s="2">
        <v>14.62</v>
      </c>
      <c r="M105" s="217"/>
      <c r="N105" s="217">
        <f>H102*10000000/H117</f>
        <v>25.441490118015082</v>
      </c>
    </row>
    <row r="106" spans="1:14" x14ac:dyDescent="0.2">
      <c r="A106" s="135" t="s">
        <v>308</v>
      </c>
      <c r="B106" s="136">
        <v>48.25</v>
      </c>
      <c r="C106" s="136">
        <v>41.79</v>
      </c>
      <c r="D106" s="136">
        <v>29.07</v>
      </c>
      <c r="E106" s="136">
        <v>27.14</v>
      </c>
      <c r="F106" s="136">
        <v>27.88</v>
      </c>
      <c r="G106" s="136">
        <v>30.41</v>
      </c>
      <c r="H106" s="6">
        <v>25.44</v>
      </c>
      <c r="I106" s="2">
        <v>19.309999999999999</v>
      </c>
      <c r="J106" s="2">
        <v>15.75</v>
      </c>
      <c r="K106" s="2">
        <v>14.62</v>
      </c>
    </row>
    <row r="107" spans="1:14" x14ac:dyDescent="0.2">
      <c r="A107" s="132" t="s">
        <v>322</v>
      </c>
      <c r="B107" s="206"/>
      <c r="C107" s="206"/>
      <c r="D107" s="134"/>
      <c r="E107" s="134"/>
      <c r="F107" s="134"/>
      <c r="G107" s="134"/>
    </row>
    <row r="108" spans="1:14" x14ac:dyDescent="0.2">
      <c r="A108" s="189" t="s">
        <v>520</v>
      </c>
      <c r="B108" s="190"/>
      <c r="C108" s="190"/>
      <c r="D108" s="136"/>
      <c r="E108" s="136"/>
      <c r="F108" s="136"/>
      <c r="G108" s="136">
        <v>0</v>
      </c>
      <c r="H108" s="2">
        <v>0</v>
      </c>
      <c r="I108" s="2">
        <v>0</v>
      </c>
      <c r="J108" s="2">
        <v>0</v>
      </c>
      <c r="K108" s="2">
        <v>314.82</v>
      </c>
    </row>
    <row r="109" spans="1:14" x14ac:dyDescent="0.2">
      <c r="A109" s="189" t="s">
        <v>521</v>
      </c>
      <c r="B109" s="190"/>
      <c r="C109" s="190"/>
      <c r="D109" s="136"/>
      <c r="E109" s="136"/>
      <c r="F109" s="136"/>
      <c r="G109" s="136">
        <v>0</v>
      </c>
      <c r="H109" s="2">
        <v>0</v>
      </c>
      <c r="I109" s="2">
        <v>0</v>
      </c>
      <c r="J109" s="2">
        <v>0</v>
      </c>
      <c r="K109" s="2">
        <v>2087.09</v>
      </c>
    </row>
    <row r="110" spans="1:14" x14ac:dyDescent="0.2">
      <c r="A110" s="132" t="s">
        <v>323</v>
      </c>
      <c r="B110" s="133"/>
      <c r="C110" s="133"/>
      <c r="D110" s="134"/>
      <c r="E110" s="134"/>
      <c r="F110" s="134"/>
      <c r="G110" s="134"/>
    </row>
    <row r="111" spans="1:14" x14ac:dyDescent="0.2">
      <c r="A111" s="189" t="s">
        <v>522</v>
      </c>
      <c r="B111" s="190"/>
      <c r="C111" s="190"/>
      <c r="D111" s="136"/>
      <c r="E111" s="136"/>
      <c r="F111" s="136"/>
      <c r="G111" s="136">
        <v>0</v>
      </c>
      <c r="H111" s="2">
        <v>0</v>
      </c>
      <c r="I111" s="2">
        <v>0</v>
      </c>
      <c r="J111" s="2">
        <v>0</v>
      </c>
      <c r="K111" s="2">
        <v>17.600000000000001</v>
      </c>
    </row>
    <row r="112" spans="1:14" x14ac:dyDescent="0.2">
      <c r="A112" s="189" t="s">
        <v>523</v>
      </c>
      <c r="B112" s="190"/>
      <c r="C112" s="190"/>
      <c r="D112" s="136"/>
      <c r="E112" s="136"/>
      <c r="F112" s="136"/>
      <c r="G112" s="136">
        <v>0</v>
      </c>
      <c r="H112" s="2">
        <v>0</v>
      </c>
      <c r="I112" s="2">
        <v>0</v>
      </c>
      <c r="J112" s="2">
        <v>0</v>
      </c>
      <c r="K112" s="2">
        <v>56.24</v>
      </c>
    </row>
    <row r="113" spans="1:12" x14ac:dyDescent="0.2">
      <c r="A113" s="132" t="s">
        <v>309</v>
      </c>
      <c r="B113" s="133"/>
      <c r="C113" s="133"/>
      <c r="D113" s="134"/>
      <c r="E113" s="134"/>
      <c r="F113" s="134"/>
      <c r="G113" s="134"/>
    </row>
    <row r="114" spans="1:12" x14ac:dyDescent="0.2">
      <c r="A114" s="189" t="s">
        <v>505</v>
      </c>
      <c r="B114" s="190">
        <v>119.56</v>
      </c>
      <c r="C114" s="190">
        <v>98.46</v>
      </c>
      <c r="D114" s="136">
        <v>87.91</v>
      </c>
      <c r="E114" s="136">
        <v>84.4</v>
      </c>
      <c r="F114" s="136">
        <v>0</v>
      </c>
      <c r="G114" s="136">
        <v>154.72999999999999</v>
      </c>
      <c r="H114" s="2">
        <v>56.27</v>
      </c>
      <c r="I114" s="2">
        <v>35.17</v>
      </c>
      <c r="J114" s="2">
        <v>5.28</v>
      </c>
      <c r="K114" s="2">
        <v>17.579999999999998</v>
      </c>
    </row>
    <row r="115" spans="1:12" x14ac:dyDescent="0.2">
      <c r="A115" s="189" t="s">
        <v>506</v>
      </c>
      <c r="B115" s="190"/>
      <c r="C115" s="190"/>
      <c r="D115" s="136"/>
      <c r="E115" s="136"/>
      <c r="F115" s="136"/>
      <c r="G115" s="136">
        <v>31.81</v>
      </c>
      <c r="H115" s="2">
        <v>11.57</v>
      </c>
      <c r="I115" s="2">
        <v>7.16</v>
      </c>
      <c r="J115" s="2">
        <v>1.07</v>
      </c>
      <c r="K115" s="2">
        <v>3.58</v>
      </c>
    </row>
    <row r="116" spans="1:12" x14ac:dyDescent="0.2">
      <c r="A116" s="189" t="s">
        <v>193</v>
      </c>
      <c r="B116" s="190">
        <v>100</v>
      </c>
      <c r="C116" s="190">
        <v>85</v>
      </c>
      <c r="D116" s="136">
        <v>70</v>
      </c>
      <c r="E116" s="136">
        <v>63</v>
      </c>
      <c r="F116" s="136">
        <v>60</v>
      </c>
      <c r="G116" s="136">
        <v>55</v>
      </c>
      <c r="H116" s="15">
        <v>55</v>
      </c>
      <c r="I116" s="15">
        <v>40</v>
      </c>
      <c r="J116" s="15">
        <v>25</v>
      </c>
      <c r="K116" s="15">
        <v>74</v>
      </c>
      <c r="L116" s="15"/>
    </row>
    <row r="117" spans="1:12" x14ac:dyDescent="0.2">
      <c r="A117" s="135" t="s">
        <v>649</v>
      </c>
      <c r="B117" s="195">
        <f>B7*10000000/10</f>
        <v>140660000</v>
      </c>
      <c r="C117" s="195">
        <f>C7*10000000/10</f>
        <v>140660000</v>
      </c>
      <c r="D117" s="195">
        <f>D7*10000000/10</f>
        <v>140660000</v>
      </c>
      <c r="E117" s="195">
        <f>E7*10000000/10</f>
        <v>140660000</v>
      </c>
      <c r="F117" s="195">
        <f>F7*10000000/10</f>
        <v>140660000</v>
      </c>
      <c r="G117" s="195">
        <f>G7*10000000/10</f>
        <v>140660000</v>
      </c>
      <c r="H117" s="195">
        <f>H7*10000000/10</f>
        <v>140660000</v>
      </c>
      <c r="I117" s="2">
        <f>I7*10000000/10</f>
        <v>140660000</v>
      </c>
      <c r="J117" s="2">
        <f>J7*10000000/10</f>
        <v>140660000</v>
      </c>
      <c r="K117" s="2">
        <f>K7*10000000/10</f>
        <v>17579999.999999996</v>
      </c>
    </row>
    <row r="118" spans="1:12" x14ac:dyDescent="0.2">
      <c r="A118" s="137"/>
      <c r="B118" s="205"/>
      <c r="C118" s="205"/>
      <c r="D118" s="205"/>
      <c r="E118" s="137"/>
      <c r="F118" s="137"/>
      <c r="G118" s="137"/>
    </row>
    <row r="119" spans="1:12" x14ac:dyDescent="0.2">
      <c r="A119" s="1" t="s">
        <v>936</v>
      </c>
      <c r="B119" s="129"/>
      <c r="C119" s="129"/>
    </row>
    <row r="120" spans="1:12" ht="12" thickBot="1" x14ac:dyDescent="0.25">
      <c r="A120" s="138"/>
      <c r="B120" s="134"/>
      <c r="C120" s="134"/>
      <c r="D120" s="134"/>
      <c r="E120" s="134"/>
      <c r="F120" s="134"/>
      <c r="G120" s="134"/>
      <c r="H120" s="138"/>
      <c r="I120" s="138"/>
      <c r="J120" s="138"/>
      <c r="K120" s="138"/>
      <c r="L120" s="138"/>
    </row>
    <row r="121" spans="1:12" s="3" customFormat="1" x14ac:dyDescent="0.2">
      <c r="A121" s="130"/>
      <c r="B121" s="223" t="s">
        <v>914</v>
      </c>
      <c r="C121" s="223" t="s">
        <v>915</v>
      </c>
      <c r="D121" s="223" t="s">
        <v>916</v>
      </c>
      <c r="E121" s="223" t="s">
        <v>917</v>
      </c>
      <c r="F121" s="223"/>
      <c r="G121" s="134"/>
    </row>
    <row r="122" spans="1:12" s="3" customFormat="1" x14ac:dyDescent="0.2">
      <c r="A122" s="3" t="s">
        <v>169</v>
      </c>
      <c r="B122" s="360">
        <v>2335</v>
      </c>
      <c r="C122" s="360">
        <v>2678</v>
      </c>
      <c r="D122" s="360">
        <v>2669</v>
      </c>
    </row>
    <row r="123" spans="1:12" x14ac:dyDescent="0.2">
      <c r="A123" s="2" t="s">
        <v>170</v>
      </c>
    </row>
    <row r="124" spans="1:12" s="3" customFormat="1" x14ac:dyDescent="0.2">
      <c r="A124" s="3" t="s">
        <v>171</v>
      </c>
      <c r="B124" s="3">
        <f>SUM(B122:B123)</f>
        <v>2335</v>
      </c>
      <c r="C124" s="3">
        <f>SUM(C122:C123)</f>
        <v>2678</v>
      </c>
      <c r="D124" s="3">
        <f>SUM(D122:D123)</f>
        <v>2669</v>
      </c>
      <c r="E124" s="3">
        <f>SUM(E122:E123)</f>
        <v>0</v>
      </c>
      <c r="F124" s="3">
        <f>SUM(F122:F123)</f>
        <v>0</v>
      </c>
    </row>
    <row r="125" spans="1:12" s="3" customFormat="1" x14ac:dyDescent="0.2">
      <c r="A125" s="3" t="s">
        <v>172</v>
      </c>
    </row>
    <row r="126" spans="1:12" x14ac:dyDescent="0.2">
      <c r="A126" s="2" t="s">
        <v>173</v>
      </c>
    </row>
    <row r="127" spans="1:12" x14ac:dyDescent="0.2">
      <c r="A127" s="2" t="s">
        <v>174</v>
      </c>
    </row>
    <row r="128" spans="1:12" x14ac:dyDescent="0.2">
      <c r="A128" s="2" t="s">
        <v>175</v>
      </c>
    </row>
    <row r="129" spans="1:4" x14ac:dyDescent="0.2">
      <c r="A129" s="2" t="s">
        <v>176</v>
      </c>
    </row>
    <row r="130" spans="1:4" x14ac:dyDescent="0.2">
      <c r="A130" s="2" t="s">
        <v>177</v>
      </c>
    </row>
    <row r="131" spans="1:4" x14ac:dyDescent="0.2">
      <c r="A131" s="2" t="s">
        <v>167</v>
      </c>
      <c r="B131" s="2">
        <v>81</v>
      </c>
      <c r="C131" s="2">
        <v>82</v>
      </c>
      <c r="D131" s="2">
        <v>86</v>
      </c>
    </row>
    <row r="132" spans="1:4" x14ac:dyDescent="0.2">
      <c r="A132" s="2" t="s">
        <v>163</v>
      </c>
    </row>
    <row r="133" spans="1:4" x14ac:dyDescent="0.2">
      <c r="A133" s="2" t="s">
        <v>178</v>
      </c>
    </row>
    <row r="134" spans="1:4" x14ac:dyDescent="0.2">
      <c r="A134" s="2" t="s">
        <v>179</v>
      </c>
    </row>
    <row r="135" spans="1:4" x14ac:dyDescent="0.2">
      <c r="A135" s="2" t="s">
        <v>180</v>
      </c>
    </row>
    <row r="136" spans="1:4" x14ac:dyDescent="0.2">
      <c r="A136" s="2" t="s">
        <v>181</v>
      </c>
    </row>
    <row r="137" spans="1:4" x14ac:dyDescent="0.2">
      <c r="A137" s="2" t="s">
        <v>182</v>
      </c>
      <c r="B137" s="2">
        <v>2045</v>
      </c>
      <c r="C137" s="2">
        <v>2356</v>
      </c>
      <c r="D137" s="2">
        <v>2339</v>
      </c>
    </row>
    <row r="138" spans="1:4" s="3" customFormat="1" x14ac:dyDescent="0.2">
      <c r="A138" s="3" t="s">
        <v>183</v>
      </c>
      <c r="B138" s="3">
        <f>B124-SUM(B125:B137)</f>
        <v>209</v>
      </c>
      <c r="C138" s="3">
        <f>C124-SUM(C125:C137)</f>
        <v>240</v>
      </c>
      <c r="D138" s="3">
        <f>D124-SUM(D125:D137)</f>
        <v>244</v>
      </c>
    </row>
    <row r="139" spans="1:4" x14ac:dyDescent="0.2">
      <c r="A139" s="2" t="s">
        <v>164</v>
      </c>
      <c r="B139" s="2">
        <v>16</v>
      </c>
      <c r="C139" s="2">
        <v>14</v>
      </c>
      <c r="D139" s="2">
        <v>-12</v>
      </c>
    </row>
    <row r="140" spans="1:4" s="3" customFormat="1" x14ac:dyDescent="0.2">
      <c r="A140" s="3" t="s">
        <v>184</v>
      </c>
      <c r="B140" s="3">
        <f>SUM(B138:B139)</f>
        <v>225</v>
      </c>
      <c r="C140" s="3">
        <f>SUM(C138:C139)</f>
        <v>254</v>
      </c>
      <c r="D140" s="3">
        <f>SUM(D138:D139)</f>
        <v>232</v>
      </c>
    </row>
    <row r="141" spans="1:4" x14ac:dyDescent="0.2">
      <c r="A141" s="2" t="s">
        <v>166</v>
      </c>
      <c r="B141" s="2">
        <v>2</v>
      </c>
      <c r="C141" s="2">
        <v>2</v>
      </c>
      <c r="D141" s="2">
        <v>3</v>
      </c>
    </row>
    <row r="142" spans="1:4" s="3" customFormat="1" x14ac:dyDescent="0.2">
      <c r="A142" s="3" t="s">
        <v>185</v>
      </c>
      <c r="B142" s="5">
        <f>B140-B141</f>
        <v>223</v>
      </c>
      <c r="C142" s="5">
        <f>C140-C141</f>
        <v>252</v>
      </c>
      <c r="D142" s="5">
        <f>D140-D141</f>
        <v>229</v>
      </c>
    </row>
    <row r="143" spans="1:4" x14ac:dyDescent="0.2">
      <c r="A143" s="2" t="s">
        <v>186</v>
      </c>
      <c r="B143" s="6">
        <v>0</v>
      </c>
      <c r="C143" s="6">
        <v>0</v>
      </c>
      <c r="D143" s="6">
        <v>0</v>
      </c>
    </row>
    <row r="144" spans="1:4" s="3" customFormat="1" x14ac:dyDescent="0.2">
      <c r="A144" s="3" t="s">
        <v>187</v>
      </c>
      <c r="B144" s="5">
        <f>B142+B143</f>
        <v>223</v>
      </c>
      <c r="C144" s="5">
        <f>C142+C143</f>
        <v>252</v>
      </c>
      <c r="D144" s="5">
        <f>D142+D143</f>
        <v>229</v>
      </c>
    </row>
    <row r="145" spans="1:4" x14ac:dyDescent="0.2">
      <c r="A145" s="2" t="s">
        <v>168</v>
      </c>
      <c r="B145" s="6">
        <v>57.980000000000004</v>
      </c>
      <c r="C145" s="6">
        <v>63</v>
      </c>
      <c r="D145" s="6">
        <v>59.54</v>
      </c>
    </row>
    <row r="146" spans="1:4" s="3" customFormat="1" x14ac:dyDescent="0.2">
      <c r="A146" s="3" t="s">
        <v>188</v>
      </c>
      <c r="B146" s="3">
        <f>B144-B145</f>
        <v>165.01999999999998</v>
      </c>
      <c r="C146" s="3">
        <f>C144-C145</f>
        <v>189</v>
      </c>
      <c r="D146" s="3">
        <f>D144-D145</f>
        <v>169.46</v>
      </c>
    </row>
    <row r="147" spans="1:4" x14ac:dyDescent="0.2">
      <c r="A147" s="2" t="s">
        <v>189</v>
      </c>
      <c r="B147" s="2">
        <v>0</v>
      </c>
      <c r="C147" s="2">
        <v>0</v>
      </c>
      <c r="D147" s="2">
        <v>0</v>
      </c>
    </row>
    <row r="148" spans="1:4" x14ac:dyDescent="0.2">
      <c r="A148" s="2" t="s">
        <v>190</v>
      </c>
      <c r="B148" s="2">
        <v>0</v>
      </c>
      <c r="C148" s="2">
        <v>0</v>
      </c>
      <c r="D148" s="2">
        <v>0</v>
      </c>
    </row>
    <row r="149" spans="1:4" s="3" customFormat="1" x14ac:dyDescent="0.2">
      <c r="A149" s="3" t="s">
        <v>191</v>
      </c>
      <c r="B149" s="3">
        <f>SUM(B146:B148)</f>
        <v>165.01999999999998</v>
      </c>
      <c r="C149" s="3">
        <f>SUM(C146:C148)</f>
        <v>189</v>
      </c>
      <c r="D149" s="3">
        <f>SUM(D146:D148)</f>
        <v>169.46</v>
      </c>
    </row>
    <row r="150" spans="1:4" x14ac:dyDescent="0.2">
      <c r="A150" s="2" t="s">
        <v>156</v>
      </c>
    </row>
    <row r="151" spans="1:4" x14ac:dyDescent="0.2">
      <c r="A151" s="2" t="s">
        <v>192</v>
      </c>
    </row>
    <row r="152" spans="1:4" x14ac:dyDescent="0.2">
      <c r="A152" s="2" t="s">
        <v>193</v>
      </c>
    </row>
    <row r="153" spans="1:4" s="3" customFormat="1" x14ac:dyDescent="0.2">
      <c r="A153" s="3" t="s">
        <v>194</v>
      </c>
    </row>
    <row r="154" spans="1:4" x14ac:dyDescent="0.2">
      <c r="A154" s="2" t="s">
        <v>195</v>
      </c>
    </row>
    <row r="155" spans="1:4" x14ac:dyDescent="0.2">
      <c r="A155" s="2" t="s">
        <v>196</v>
      </c>
    </row>
    <row r="156" spans="1:4" s="3" customFormat="1" x14ac:dyDescent="0.2">
      <c r="A156" s="3" t="s">
        <v>197</v>
      </c>
    </row>
    <row r="157" spans="1:4" x14ac:dyDescent="0.2">
      <c r="A157" s="2" t="s">
        <v>195</v>
      </c>
    </row>
    <row r="158" spans="1:4" x14ac:dyDescent="0.2">
      <c r="A158" s="2" t="s">
        <v>196</v>
      </c>
    </row>
    <row r="159" spans="1:4" x14ac:dyDescent="0.2">
      <c r="A159" s="2" t="s">
        <v>198</v>
      </c>
    </row>
    <row r="160" spans="1:4" x14ac:dyDescent="0.2">
      <c r="A160" s="2" t="s">
        <v>611</v>
      </c>
    </row>
    <row r="161" spans="1:1" x14ac:dyDescent="0.2">
      <c r="A161" s="2" t="s">
        <v>200</v>
      </c>
    </row>
    <row r="162" spans="1:1" x14ac:dyDescent="0.2">
      <c r="A162" s="2" t="s">
        <v>201</v>
      </c>
    </row>
    <row r="163" spans="1:1" x14ac:dyDescent="0.2">
      <c r="A163" s="2" t="s">
        <v>202</v>
      </c>
    </row>
    <row r="164" spans="1:1" x14ac:dyDescent="0.2">
      <c r="A164" s="2" t="s">
        <v>612</v>
      </c>
    </row>
    <row r="165" spans="1:1" x14ac:dyDescent="0.2">
      <c r="A165" s="2" t="s">
        <v>204</v>
      </c>
    </row>
    <row r="166" spans="1:1" x14ac:dyDescent="0.2">
      <c r="A166" s="2" t="s">
        <v>205</v>
      </c>
    </row>
    <row r="167" spans="1:1" x14ac:dyDescent="0.2">
      <c r="A167" s="2" t="s">
        <v>206</v>
      </c>
    </row>
    <row r="168" spans="1:1" x14ac:dyDescent="0.2">
      <c r="A168" s="2" t="s">
        <v>612</v>
      </c>
    </row>
    <row r="169" spans="1:1" x14ac:dyDescent="0.2">
      <c r="A169" s="2" t="s">
        <v>204</v>
      </c>
    </row>
    <row r="170" spans="1:1" x14ac:dyDescent="0.2">
      <c r="A170" s="2" t="s">
        <v>205</v>
      </c>
    </row>
    <row r="171" spans="1:1" x14ac:dyDescent="0.2">
      <c r="A171" s="2" t="s">
        <v>324</v>
      </c>
    </row>
  </sheetData>
  <pageMargins left="0.7" right="0.7" top="0.75" bottom="0.75" header="0.3" footer="0.3"/>
  <pageSetup paperSize="9" orientation="portrait" verticalDpi="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48818-5DA5-4D52-8B24-23ED11BDA1D5}">
  <sheetPr>
    <tabColor rgb="FFFFFF00"/>
  </sheetPr>
  <dimension ref="A1:P89"/>
  <sheetViews>
    <sheetView topLeftCell="A55" workbookViewId="0">
      <selection activeCell="B68" sqref="B68:K69"/>
    </sheetView>
  </sheetViews>
  <sheetFormatPr defaultRowHeight="15" x14ac:dyDescent="0.25"/>
  <cols>
    <col min="1" max="1" width="47" bestFit="1" customWidth="1"/>
    <col min="2" max="11" width="7.85546875" bestFit="1" customWidth="1"/>
  </cols>
  <sheetData>
    <row r="1" spans="1:16" x14ac:dyDescent="0.25">
      <c r="A1" s="333" t="s">
        <v>936</v>
      </c>
      <c r="B1" s="334" t="s">
        <v>937</v>
      </c>
      <c r="G1" s="335" t="s">
        <v>942</v>
      </c>
    </row>
    <row r="2" spans="1:16" x14ac:dyDescent="0.25">
      <c r="A2" s="336" t="s">
        <v>310</v>
      </c>
      <c r="B2" s="337" t="s">
        <v>938</v>
      </c>
      <c r="G2" s="337" t="s">
        <v>938</v>
      </c>
    </row>
    <row r="3" spans="1:16" x14ac:dyDescent="0.25">
      <c r="A3" s="338"/>
      <c r="B3" s="339" t="s">
        <v>909</v>
      </c>
      <c r="C3" s="340">
        <v>45352</v>
      </c>
      <c r="D3" s="340">
        <v>44986</v>
      </c>
      <c r="E3" s="340">
        <v>44621</v>
      </c>
      <c r="F3" s="340">
        <v>44256</v>
      </c>
      <c r="G3" s="339" t="s">
        <v>943</v>
      </c>
      <c r="H3" s="340">
        <v>43525</v>
      </c>
      <c r="I3" s="340">
        <v>43160</v>
      </c>
      <c r="J3" s="340">
        <v>42795</v>
      </c>
      <c r="K3" s="340">
        <v>42430</v>
      </c>
      <c r="L3" s="324"/>
      <c r="M3" s="324"/>
      <c r="N3" s="324"/>
      <c r="O3" s="324"/>
      <c r="P3" s="324"/>
    </row>
    <row r="4" spans="1:16" x14ac:dyDescent="0.25">
      <c r="A4" s="341" t="e" vm="1">
        <v>#VALUE!</v>
      </c>
      <c r="B4" s="341"/>
      <c r="C4" s="341"/>
      <c r="D4" s="341"/>
      <c r="E4" s="341"/>
      <c r="F4" s="341"/>
      <c r="G4" s="341"/>
      <c r="H4" s="341"/>
      <c r="I4" s="341"/>
      <c r="J4" s="341"/>
      <c r="K4" s="341"/>
      <c r="L4" s="341"/>
      <c r="M4" s="341"/>
      <c r="N4" s="341"/>
      <c r="O4" s="341"/>
      <c r="P4" s="341"/>
    </row>
    <row r="5" spans="1:16" x14ac:dyDescent="0.25">
      <c r="A5" s="342"/>
      <c r="B5" s="343" t="s">
        <v>939</v>
      </c>
      <c r="C5" s="343" t="s">
        <v>939</v>
      </c>
      <c r="D5" s="343" t="s">
        <v>939</v>
      </c>
      <c r="E5" s="343" t="s">
        <v>939</v>
      </c>
      <c r="F5" s="343" t="s">
        <v>939</v>
      </c>
      <c r="G5" s="343" t="s">
        <v>939</v>
      </c>
      <c r="H5" s="343" t="s">
        <v>939</v>
      </c>
      <c r="I5" s="343" t="s">
        <v>939</v>
      </c>
      <c r="J5" s="343" t="s">
        <v>939</v>
      </c>
      <c r="K5" s="343" t="s">
        <v>939</v>
      </c>
      <c r="L5" s="324"/>
      <c r="M5" s="324"/>
      <c r="N5" s="324"/>
      <c r="O5" s="324"/>
      <c r="P5" s="324"/>
    </row>
    <row r="6" spans="1:16" x14ac:dyDescent="0.25">
      <c r="A6" s="341" t="e" vm="1">
        <v>#VALUE!</v>
      </c>
      <c r="B6" s="341"/>
      <c r="C6" s="341"/>
      <c r="D6" s="341"/>
      <c r="E6" s="341"/>
      <c r="F6" s="341"/>
      <c r="G6" s="341"/>
      <c r="H6" s="341"/>
      <c r="I6" s="341"/>
      <c r="J6" s="341"/>
      <c r="K6" s="341"/>
      <c r="L6" s="341"/>
      <c r="M6" s="341"/>
      <c r="N6" s="341"/>
      <c r="O6" s="341"/>
      <c r="P6" s="341"/>
    </row>
    <row r="7" spans="1:16" ht="24" customHeight="1" x14ac:dyDescent="0.25">
      <c r="A7" s="344" t="s">
        <v>255</v>
      </c>
      <c r="B7" s="345"/>
      <c r="C7" s="339"/>
      <c r="D7" s="339"/>
      <c r="E7" s="339"/>
      <c r="F7" s="339"/>
      <c r="G7" s="345"/>
      <c r="H7" s="339"/>
      <c r="I7" s="339"/>
      <c r="J7" s="339"/>
      <c r="K7" s="339"/>
      <c r="L7" s="324"/>
      <c r="M7" s="324"/>
      <c r="N7" s="324"/>
      <c r="O7" s="324"/>
      <c r="P7" s="324"/>
    </row>
    <row r="8" spans="1:16" ht="24" customHeight="1" x14ac:dyDescent="0.25">
      <c r="A8" s="344" t="s">
        <v>256</v>
      </c>
      <c r="B8" s="345"/>
      <c r="C8" s="339"/>
      <c r="D8" s="339"/>
      <c r="E8" s="339"/>
      <c r="F8" s="339"/>
      <c r="G8" s="345"/>
      <c r="H8" s="339"/>
      <c r="I8" s="339"/>
      <c r="J8" s="339"/>
      <c r="K8" s="339"/>
      <c r="L8" s="324"/>
      <c r="M8" s="324"/>
      <c r="N8" s="324"/>
      <c r="O8" s="324"/>
      <c r="P8" s="324"/>
    </row>
    <row r="9" spans="1:16" x14ac:dyDescent="0.25">
      <c r="A9" s="342" t="s">
        <v>156</v>
      </c>
      <c r="B9" s="343">
        <v>140.66</v>
      </c>
      <c r="C9" s="343">
        <v>140.66</v>
      </c>
      <c r="D9" s="343">
        <v>140.66</v>
      </c>
      <c r="E9" s="343">
        <v>140.66</v>
      </c>
      <c r="F9" s="343">
        <v>140.66</v>
      </c>
      <c r="G9" s="343">
        <v>140.66</v>
      </c>
      <c r="H9" s="343">
        <v>140.66</v>
      </c>
      <c r="I9" s="343">
        <v>140.66</v>
      </c>
      <c r="J9" s="343">
        <v>140.66</v>
      </c>
      <c r="K9" s="343">
        <v>17.579999999999998</v>
      </c>
      <c r="L9" s="324"/>
      <c r="M9" s="324"/>
      <c r="N9" s="324"/>
      <c r="O9" s="324"/>
      <c r="P9" s="324"/>
    </row>
    <row r="10" spans="1:16" x14ac:dyDescent="0.25">
      <c r="A10" s="336" t="s">
        <v>155</v>
      </c>
      <c r="B10" s="346">
        <v>140.66</v>
      </c>
      <c r="C10" s="346">
        <v>140.66</v>
      </c>
      <c r="D10" s="346">
        <v>140.66</v>
      </c>
      <c r="E10" s="346">
        <v>140.66</v>
      </c>
      <c r="F10" s="346">
        <v>140.66</v>
      </c>
      <c r="G10" s="346">
        <v>140.66</v>
      </c>
      <c r="H10" s="346">
        <v>140.66</v>
      </c>
      <c r="I10" s="346">
        <v>140.66</v>
      </c>
      <c r="J10" s="346">
        <v>140.66</v>
      </c>
      <c r="K10" s="346">
        <v>17.579999999999998</v>
      </c>
      <c r="L10" s="324"/>
      <c r="M10" s="324"/>
      <c r="N10" s="324"/>
      <c r="O10" s="324"/>
      <c r="P10" s="324"/>
    </row>
    <row r="11" spans="1:16" x14ac:dyDescent="0.25">
      <c r="A11" s="342" t="s">
        <v>257</v>
      </c>
      <c r="B11" s="347">
        <v>4207.3500000000004</v>
      </c>
      <c r="C11" s="347">
        <v>3664.66</v>
      </c>
      <c r="D11" s="347">
        <v>3190.28</v>
      </c>
      <c r="E11" s="347">
        <v>2866.19</v>
      </c>
      <c r="F11" s="347">
        <v>2567.59</v>
      </c>
      <c r="G11" s="347">
        <v>2176.1</v>
      </c>
      <c r="H11" s="347">
        <v>1939.29</v>
      </c>
      <c r="I11" s="347">
        <v>1651.6</v>
      </c>
      <c r="J11" s="347">
        <v>1422.4</v>
      </c>
      <c r="K11" s="347">
        <v>1324.88</v>
      </c>
      <c r="L11" s="324"/>
      <c r="M11" s="324"/>
      <c r="N11" s="324"/>
      <c r="O11" s="324"/>
      <c r="P11" s="324"/>
    </row>
    <row r="12" spans="1:16" x14ac:dyDescent="0.25">
      <c r="A12" s="336" t="s">
        <v>258</v>
      </c>
      <c r="B12" s="348">
        <v>4207.3500000000004</v>
      </c>
      <c r="C12" s="348">
        <v>3664.66</v>
      </c>
      <c r="D12" s="348">
        <v>3190.28</v>
      </c>
      <c r="E12" s="348">
        <v>2866.19</v>
      </c>
      <c r="F12" s="348">
        <v>2567.59</v>
      </c>
      <c r="G12" s="348">
        <v>2176.1</v>
      </c>
      <c r="H12" s="348">
        <v>1939.29</v>
      </c>
      <c r="I12" s="348">
        <v>1651.6</v>
      </c>
      <c r="J12" s="348">
        <v>1422.4</v>
      </c>
      <c r="K12" s="348">
        <v>1324.88</v>
      </c>
      <c r="L12" s="324"/>
      <c r="M12" s="324"/>
      <c r="N12" s="324"/>
      <c r="O12" s="324"/>
      <c r="P12" s="324"/>
    </row>
    <row r="13" spans="1:16" x14ac:dyDescent="0.25">
      <c r="A13" s="336" t="s">
        <v>259</v>
      </c>
      <c r="B13" s="348">
        <v>4348.01</v>
      </c>
      <c r="C13" s="348">
        <v>3805.32</v>
      </c>
      <c r="D13" s="348">
        <v>3330.94</v>
      </c>
      <c r="E13" s="348">
        <v>3006.85</v>
      </c>
      <c r="F13" s="348">
        <v>2708.26</v>
      </c>
      <c r="G13" s="348">
        <v>2316.7600000000002</v>
      </c>
      <c r="H13" s="348">
        <v>2079.9499999999998</v>
      </c>
      <c r="I13" s="348">
        <v>1792.26</v>
      </c>
      <c r="J13" s="348">
        <v>1563.06</v>
      </c>
      <c r="K13" s="348">
        <v>1342.46</v>
      </c>
      <c r="L13" s="324"/>
      <c r="M13" s="324"/>
      <c r="N13" s="324"/>
      <c r="O13" s="324"/>
      <c r="P13" s="324"/>
    </row>
    <row r="14" spans="1:16" ht="24" customHeight="1" x14ac:dyDescent="0.25">
      <c r="A14" s="344" t="s">
        <v>260</v>
      </c>
      <c r="B14" s="345"/>
      <c r="C14" s="339"/>
      <c r="D14" s="339"/>
      <c r="E14" s="339"/>
      <c r="F14" s="339"/>
      <c r="G14" s="345"/>
      <c r="H14" s="339"/>
      <c r="I14" s="339"/>
      <c r="J14" s="339"/>
      <c r="K14" s="339"/>
      <c r="L14" s="324"/>
      <c r="M14" s="324"/>
      <c r="N14" s="324"/>
      <c r="O14" s="324"/>
      <c r="P14" s="324"/>
    </row>
    <row r="15" spans="1:16" x14ac:dyDescent="0.25">
      <c r="A15" s="342" t="s">
        <v>261</v>
      </c>
      <c r="B15" s="343">
        <v>0</v>
      </c>
      <c r="C15" s="343">
        <v>0</v>
      </c>
      <c r="D15" s="343">
        <v>0</v>
      </c>
      <c r="E15" s="343">
        <v>0</v>
      </c>
      <c r="F15" s="343">
        <v>2.73</v>
      </c>
      <c r="G15" s="343">
        <v>4.28</v>
      </c>
      <c r="H15" s="343">
        <v>2.98</v>
      </c>
      <c r="I15" s="343">
        <v>4.96</v>
      </c>
      <c r="J15" s="343">
        <v>19.850000000000001</v>
      </c>
      <c r="K15" s="343">
        <v>78.02</v>
      </c>
      <c r="L15" s="324"/>
      <c r="M15" s="324"/>
      <c r="N15" s="324"/>
      <c r="O15" s="324"/>
      <c r="P15" s="324"/>
    </row>
    <row r="16" spans="1:16" x14ac:dyDescent="0.25">
      <c r="A16" s="342" t="s">
        <v>489</v>
      </c>
      <c r="B16" s="343">
        <v>13.35</v>
      </c>
      <c r="C16" s="343">
        <v>13.8</v>
      </c>
      <c r="D16" s="343">
        <v>0</v>
      </c>
      <c r="E16" s="343">
        <v>0</v>
      </c>
      <c r="F16" s="343">
        <v>0</v>
      </c>
      <c r="G16" s="343">
        <v>7.37</v>
      </c>
      <c r="H16" s="343">
        <v>15.61</v>
      </c>
      <c r="I16" s="343">
        <v>1.08</v>
      </c>
      <c r="J16" s="343">
        <v>0</v>
      </c>
      <c r="K16" s="343">
        <v>0</v>
      </c>
      <c r="L16" s="324"/>
      <c r="M16" s="324"/>
      <c r="N16" s="324"/>
      <c r="O16" s="324"/>
      <c r="P16" s="324"/>
    </row>
    <row r="17" spans="1:16" x14ac:dyDescent="0.25">
      <c r="A17" s="342" t="s">
        <v>262</v>
      </c>
      <c r="B17" s="343">
        <v>32.770000000000003</v>
      </c>
      <c r="C17" s="343">
        <v>18.79</v>
      </c>
      <c r="D17" s="343">
        <v>31.94</v>
      </c>
      <c r="E17" s="343">
        <v>29.94</v>
      </c>
      <c r="F17" s="343">
        <v>8.9600000000000009</v>
      </c>
      <c r="G17" s="343">
        <v>10.75</v>
      </c>
      <c r="H17" s="343">
        <v>4.68</v>
      </c>
      <c r="I17" s="343">
        <v>3.08</v>
      </c>
      <c r="J17" s="343">
        <v>2.2599999999999998</v>
      </c>
      <c r="K17" s="343">
        <v>2.79</v>
      </c>
      <c r="L17" s="324"/>
      <c r="M17" s="324"/>
      <c r="N17" s="324"/>
      <c r="O17" s="324"/>
      <c r="P17" s="324"/>
    </row>
    <row r="18" spans="1:16" x14ac:dyDescent="0.25">
      <c r="A18" s="342" t="s">
        <v>263</v>
      </c>
      <c r="B18" s="343">
        <v>3.6</v>
      </c>
      <c r="C18" s="343">
        <v>4.07</v>
      </c>
      <c r="D18" s="343">
        <v>6.04</v>
      </c>
      <c r="E18" s="343">
        <v>8.85</v>
      </c>
      <c r="F18" s="343">
        <v>21.07</v>
      </c>
      <c r="G18" s="343">
        <v>15.82</v>
      </c>
      <c r="H18" s="343">
        <v>6.28</v>
      </c>
      <c r="I18" s="343">
        <v>2.16</v>
      </c>
      <c r="J18" s="343">
        <v>16.54</v>
      </c>
      <c r="K18" s="343">
        <v>22.65</v>
      </c>
      <c r="L18" s="324"/>
      <c r="M18" s="324"/>
      <c r="N18" s="324"/>
      <c r="O18" s="324"/>
      <c r="P18" s="324"/>
    </row>
    <row r="19" spans="1:16" x14ac:dyDescent="0.25">
      <c r="A19" s="336" t="s">
        <v>264</v>
      </c>
      <c r="B19" s="346">
        <v>49.72</v>
      </c>
      <c r="C19" s="346">
        <v>36.67</v>
      </c>
      <c r="D19" s="346">
        <v>37.979999999999997</v>
      </c>
      <c r="E19" s="346">
        <v>38.78</v>
      </c>
      <c r="F19" s="346">
        <v>32.76</v>
      </c>
      <c r="G19" s="346">
        <v>38.22</v>
      </c>
      <c r="H19" s="346">
        <v>29.54</v>
      </c>
      <c r="I19" s="346">
        <v>11.28</v>
      </c>
      <c r="J19" s="346">
        <v>38.64</v>
      </c>
      <c r="K19" s="346">
        <v>103.46</v>
      </c>
      <c r="L19" s="324"/>
      <c r="M19" s="324"/>
      <c r="N19" s="324"/>
      <c r="O19" s="324"/>
      <c r="P19" s="324"/>
    </row>
    <row r="20" spans="1:16" x14ac:dyDescent="0.25">
      <c r="A20" s="344" t="s">
        <v>265</v>
      </c>
      <c r="B20" s="345"/>
      <c r="C20" s="339"/>
      <c r="D20" s="339"/>
      <c r="E20" s="339"/>
      <c r="F20" s="339"/>
      <c r="G20" s="345"/>
      <c r="H20" s="339"/>
      <c r="I20" s="339"/>
      <c r="J20" s="339"/>
      <c r="K20" s="339"/>
      <c r="L20" s="324"/>
      <c r="M20" s="324"/>
      <c r="N20" s="324"/>
      <c r="O20" s="324"/>
      <c r="P20" s="324"/>
    </row>
    <row r="21" spans="1:16" x14ac:dyDescent="0.25">
      <c r="A21" s="342" t="s">
        <v>266</v>
      </c>
      <c r="B21" s="343">
        <v>0</v>
      </c>
      <c r="C21" s="343">
        <v>0</v>
      </c>
      <c r="D21" s="343">
        <v>20</v>
      </c>
      <c r="E21" s="343">
        <v>31.7</v>
      </c>
      <c r="F21" s="343">
        <v>45</v>
      </c>
      <c r="G21" s="343">
        <v>146.1</v>
      </c>
      <c r="H21" s="343">
        <v>212</v>
      </c>
      <c r="I21" s="343">
        <v>178.27</v>
      </c>
      <c r="J21" s="343">
        <v>142.49</v>
      </c>
      <c r="K21" s="343">
        <v>68.78</v>
      </c>
      <c r="L21" s="324"/>
      <c r="M21" s="324"/>
      <c r="N21" s="324"/>
      <c r="O21" s="324"/>
      <c r="P21" s="324"/>
    </row>
    <row r="22" spans="1:16" x14ac:dyDescent="0.25">
      <c r="A22" s="342" t="s">
        <v>231</v>
      </c>
      <c r="B22" s="343">
        <v>815.01</v>
      </c>
      <c r="C22" s="343">
        <v>676.21</v>
      </c>
      <c r="D22" s="343">
        <v>566.45000000000005</v>
      </c>
      <c r="E22" s="343">
        <v>529.92999999999995</v>
      </c>
      <c r="F22" s="343">
        <v>526.84</v>
      </c>
      <c r="G22" s="343">
        <v>395.6</v>
      </c>
      <c r="H22" s="343">
        <v>520.76</v>
      </c>
      <c r="I22" s="343">
        <v>483.23</v>
      </c>
      <c r="J22" s="343">
        <v>347.95</v>
      </c>
      <c r="K22" s="343">
        <v>312.10000000000002</v>
      </c>
      <c r="L22" s="324"/>
      <c r="M22" s="324"/>
      <c r="N22" s="324"/>
      <c r="O22" s="324"/>
      <c r="P22" s="324"/>
    </row>
    <row r="23" spans="1:16" x14ac:dyDescent="0.25">
      <c r="A23" s="342" t="s">
        <v>232</v>
      </c>
      <c r="B23" s="343">
        <v>157.15</v>
      </c>
      <c r="C23" s="343">
        <v>142.91</v>
      </c>
      <c r="D23" s="343">
        <v>121.04</v>
      </c>
      <c r="E23" s="343">
        <v>103.83</v>
      </c>
      <c r="F23" s="343">
        <v>94.9</v>
      </c>
      <c r="G23" s="343">
        <v>56.93</v>
      </c>
      <c r="H23" s="343">
        <v>91.27</v>
      </c>
      <c r="I23" s="343">
        <v>121.43</v>
      </c>
      <c r="J23" s="343">
        <v>135.66999999999999</v>
      </c>
      <c r="K23" s="343">
        <v>148.43</v>
      </c>
      <c r="L23" s="324"/>
      <c r="M23" s="324"/>
      <c r="N23" s="324"/>
      <c r="O23" s="324"/>
      <c r="P23" s="324"/>
    </row>
    <row r="24" spans="1:16" x14ac:dyDescent="0.25">
      <c r="A24" s="342" t="s">
        <v>267</v>
      </c>
      <c r="B24" s="343">
        <v>26.01</v>
      </c>
      <c r="C24" s="343">
        <v>24.21</v>
      </c>
      <c r="D24" s="343">
        <v>32.64</v>
      </c>
      <c r="E24" s="343">
        <v>28.25</v>
      </c>
      <c r="F24" s="343">
        <v>29.89</v>
      </c>
      <c r="G24" s="343">
        <v>29.25</v>
      </c>
      <c r="H24" s="343">
        <v>25.03</v>
      </c>
      <c r="I24" s="343">
        <v>19.04</v>
      </c>
      <c r="J24" s="343">
        <v>22.28</v>
      </c>
      <c r="K24" s="343">
        <v>16.5</v>
      </c>
      <c r="L24" s="324"/>
      <c r="M24" s="324"/>
      <c r="N24" s="324"/>
      <c r="O24" s="324"/>
      <c r="P24" s="324"/>
    </row>
    <row r="25" spans="1:16" x14ac:dyDescent="0.25">
      <c r="A25" s="336" t="s">
        <v>268</v>
      </c>
      <c r="B25" s="346">
        <v>998.17</v>
      </c>
      <c r="C25" s="346">
        <v>843.32</v>
      </c>
      <c r="D25" s="346">
        <v>740.13</v>
      </c>
      <c r="E25" s="346">
        <v>693.71</v>
      </c>
      <c r="F25" s="346">
        <v>696.63</v>
      </c>
      <c r="G25" s="346">
        <v>627.88</v>
      </c>
      <c r="H25" s="346">
        <v>849.06</v>
      </c>
      <c r="I25" s="346">
        <v>801.97</v>
      </c>
      <c r="J25" s="346">
        <v>648.39</v>
      </c>
      <c r="K25" s="346">
        <v>545.80999999999995</v>
      </c>
      <c r="L25" s="324"/>
      <c r="M25" s="324"/>
      <c r="N25" s="324"/>
      <c r="O25" s="324"/>
      <c r="P25" s="324"/>
    </row>
    <row r="26" spans="1:16" x14ac:dyDescent="0.25">
      <c r="A26" s="336" t="s">
        <v>269</v>
      </c>
      <c r="B26" s="348">
        <v>5395.9</v>
      </c>
      <c r="C26" s="348">
        <v>4685.3</v>
      </c>
      <c r="D26" s="348">
        <v>4109.05</v>
      </c>
      <c r="E26" s="348">
        <v>3739.34</v>
      </c>
      <c r="F26" s="348">
        <v>3437.65</v>
      </c>
      <c r="G26" s="348">
        <v>2982.87</v>
      </c>
      <c r="H26" s="348">
        <v>2958.55</v>
      </c>
      <c r="I26" s="348">
        <v>2605.5100000000002</v>
      </c>
      <c r="J26" s="348">
        <v>2250.1</v>
      </c>
      <c r="K26" s="348">
        <v>1991.73</v>
      </c>
      <c r="L26" s="324"/>
      <c r="M26" s="324"/>
      <c r="N26" s="324"/>
      <c r="O26" s="324"/>
      <c r="P26" s="324"/>
    </row>
    <row r="27" spans="1:16" x14ac:dyDescent="0.25">
      <c r="A27" s="344" t="s">
        <v>270</v>
      </c>
      <c r="B27" s="345"/>
      <c r="C27" s="339"/>
      <c r="D27" s="339"/>
      <c r="E27" s="339"/>
      <c r="F27" s="339"/>
      <c r="G27" s="345"/>
      <c r="H27" s="339"/>
      <c r="I27" s="339"/>
      <c r="J27" s="339"/>
      <c r="K27" s="339"/>
      <c r="L27" s="324"/>
      <c r="M27" s="324"/>
      <c r="N27" s="324"/>
      <c r="O27" s="324"/>
      <c r="P27" s="324"/>
    </row>
    <row r="28" spans="1:16" ht="24" customHeight="1" x14ac:dyDescent="0.25">
      <c r="A28" s="344" t="s">
        <v>271</v>
      </c>
      <c r="B28" s="345"/>
      <c r="C28" s="339"/>
      <c r="D28" s="339"/>
      <c r="E28" s="339"/>
      <c r="F28" s="339"/>
      <c r="G28" s="345"/>
      <c r="H28" s="339"/>
      <c r="I28" s="339"/>
      <c r="J28" s="339"/>
      <c r="K28" s="339"/>
      <c r="L28" s="324"/>
      <c r="M28" s="324"/>
      <c r="N28" s="324"/>
      <c r="O28" s="324"/>
      <c r="P28" s="324"/>
    </row>
    <row r="29" spans="1:16" x14ac:dyDescent="0.25">
      <c r="A29" s="342" t="s">
        <v>211</v>
      </c>
      <c r="B29" s="347">
        <v>1964.46</v>
      </c>
      <c r="C29" s="347">
        <v>1756.7</v>
      </c>
      <c r="D29" s="347">
        <v>1624.85</v>
      </c>
      <c r="E29" s="347">
        <v>1508.39</v>
      </c>
      <c r="F29" s="347">
        <v>1368.37</v>
      </c>
      <c r="G29" s="347">
        <v>1455.65</v>
      </c>
      <c r="H29" s="347">
        <v>1157.49</v>
      </c>
      <c r="I29" s="343">
        <v>957.13</v>
      </c>
      <c r="J29" s="343">
        <v>838.81</v>
      </c>
      <c r="K29" s="343">
        <v>916.52</v>
      </c>
      <c r="L29" s="324"/>
      <c r="M29" s="324"/>
      <c r="N29" s="324"/>
      <c r="O29" s="324"/>
      <c r="P29" s="324"/>
    </row>
    <row r="30" spans="1:16" x14ac:dyDescent="0.25">
      <c r="A30" s="342" t="s">
        <v>212</v>
      </c>
      <c r="B30" s="343">
        <v>60.85</v>
      </c>
      <c r="C30" s="343">
        <v>44.45</v>
      </c>
      <c r="D30" s="343">
        <v>51.47</v>
      </c>
      <c r="E30" s="343">
        <v>56.56</v>
      </c>
      <c r="F30" s="343">
        <v>26.67</v>
      </c>
      <c r="G30" s="343">
        <v>3.25</v>
      </c>
      <c r="H30" s="343">
        <v>4.16</v>
      </c>
      <c r="I30" s="343">
        <v>5.7</v>
      </c>
      <c r="J30" s="343">
        <v>7.45</v>
      </c>
      <c r="K30" s="343">
        <v>6.83</v>
      </c>
      <c r="L30" s="324"/>
      <c r="M30" s="324"/>
      <c r="N30" s="324"/>
      <c r="O30" s="324"/>
      <c r="P30" s="324"/>
    </row>
    <row r="31" spans="1:16" x14ac:dyDescent="0.25">
      <c r="A31" s="342" t="s">
        <v>478</v>
      </c>
      <c r="B31" s="343">
        <v>206.97</v>
      </c>
      <c r="C31" s="343">
        <v>102.27</v>
      </c>
      <c r="D31" s="343">
        <v>119.11</v>
      </c>
      <c r="E31" s="343">
        <v>83.78</v>
      </c>
      <c r="F31" s="343">
        <v>88.92</v>
      </c>
      <c r="G31" s="343">
        <v>61.22</v>
      </c>
      <c r="H31" s="343">
        <v>89.78</v>
      </c>
      <c r="I31" s="343">
        <v>50.52</v>
      </c>
      <c r="J31" s="343">
        <v>33.22</v>
      </c>
      <c r="K31" s="343">
        <v>46.39</v>
      </c>
      <c r="L31" s="324"/>
      <c r="M31" s="324"/>
      <c r="N31" s="324"/>
      <c r="O31" s="324"/>
      <c r="P31" s="324"/>
    </row>
    <row r="32" spans="1:16" x14ac:dyDescent="0.25">
      <c r="A32" s="342" t="s">
        <v>490</v>
      </c>
      <c r="B32" s="343">
        <v>2.82</v>
      </c>
      <c r="C32" s="343">
        <v>17.690000000000001</v>
      </c>
      <c r="D32" s="343">
        <v>12.38</v>
      </c>
      <c r="E32" s="343">
        <v>5.4</v>
      </c>
      <c r="F32" s="343">
        <v>3.17</v>
      </c>
      <c r="G32" s="343">
        <v>19.5</v>
      </c>
      <c r="H32" s="343">
        <v>11.5</v>
      </c>
      <c r="I32" s="343">
        <v>4.78</v>
      </c>
      <c r="J32" s="343">
        <v>0.4</v>
      </c>
      <c r="K32" s="343">
        <v>0.55000000000000004</v>
      </c>
      <c r="L32" s="324"/>
      <c r="M32" s="324"/>
      <c r="N32" s="324"/>
      <c r="O32" s="324"/>
      <c r="P32" s="324"/>
    </row>
    <row r="33" spans="1:16" ht="24" customHeight="1" x14ac:dyDescent="0.25">
      <c r="A33" s="336" t="s">
        <v>210</v>
      </c>
      <c r="B33" s="348">
        <v>2235.09</v>
      </c>
      <c r="C33" s="348">
        <v>1921.11</v>
      </c>
      <c r="D33" s="348">
        <v>1807.81</v>
      </c>
      <c r="E33" s="348">
        <v>1654.14</v>
      </c>
      <c r="F33" s="348">
        <v>1487.12</v>
      </c>
      <c r="G33" s="348">
        <v>1539.61</v>
      </c>
      <c r="H33" s="348">
        <v>1262.94</v>
      </c>
      <c r="I33" s="348">
        <v>1018.13</v>
      </c>
      <c r="J33" s="346">
        <v>879.88</v>
      </c>
      <c r="K33" s="346">
        <v>970.28</v>
      </c>
      <c r="L33" s="324"/>
      <c r="M33" s="324"/>
      <c r="N33" s="324"/>
      <c r="O33" s="324"/>
      <c r="P33" s="324"/>
    </row>
    <row r="34" spans="1:16" x14ac:dyDescent="0.25">
      <c r="A34" s="342" t="s">
        <v>272</v>
      </c>
      <c r="B34" s="343">
        <v>521.97</v>
      </c>
      <c r="C34" s="343">
        <v>533.82000000000005</v>
      </c>
      <c r="D34" s="343">
        <v>524.82000000000005</v>
      </c>
      <c r="E34" s="343">
        <v>364.91</v>
      </c>
      <c r="F34" s="343">
        <v>364.91</v>
      </c>
      <c r="G34" s="343">
        <v>364.91</v>
      </c>
      <c r="H34" s="343">
        <v>365</v>
      </c>
      <c r="I34" s="343">
        <v>364.77</v>
      </c>
      <c r="J34" s="343">
        <v>364.71</v>
      </c>
      <c r="K34" s="343">
        <v>364.67</v>
      </c>
      <c r="L34" s="324"/>
      <c r="M34" s="324"/>
      <c r="N34" s="324"/>
      <c r="O34" s="324"/>
      <c r="P34" s="324"/>
    </row>
    <row r="35" spans="1:16" x14ac:dyDescent="0.25">
      <c r="A35" s="342" t="s">
        <v>273</v>
      </c>
      <c r="B35" s="343">
        <v>0</v>
      </c>
      <c r="C35" s="343">
        <v>0</v>
      </c>
      <c r="D35" s="343">
        <v>1.1100000000000001</v>
      </c>
      <c r="E35" s="343">
        <v>3.82</v>
      </c>
      <c r="F35" s="343">
        <v>1.96</v>
      </c>
      <c r="G35" s="343">
        <v>0</v>
      </c>
      <c r="H35" s="343">
        <v>0</v>
      </c>
      <c r="I35" s="343">
        <v>0</v>
      </c>
      <c r="J35" s="343">
        <v>9.5399999999999991</v>
      </c>
      <c r="K35" s="343">
        <v>10.53</v>
      </c>
      <c r="L35" s="324"/>
      <c r="M35" s="324"/>
      <c r="N35" s="324"/>
      <c r="O35" s="324"/>
      <c r="P35" s="324"/>
    </row>
    <row r="36" spans="1:16" x14ac:dyDescent="0.25">
      <c r="A36" s="342" t="s">
        <v>491</v>
      </c>
      <c r="B36" s="343">
        <v>13.7</v>
      </c>
      <c r="C36" s="343">
        <v>10</v>
      </c>
      <c r="D36" s="343">
        <v>0</v>
      </c>
      <c r="E36" s="343">
        <v>0</v>
      </c>
      <c r="F36" s="343">
        <v>0</v>
      </c>
      <c r="G36" s="343">
        <v>0</v>
      </c>
      <c r="H36" s="343">
        <v>0</v>
      </c>
      <c r="I36" s="343">
        <v>0</v>
      </c>
      <c r="J36" s="343">
        <v>0</v>
      </c>
      <c r="K36" s="343">
        <v>26.09</v>
      </c>
      <c r="L36" s="324"/>
      <c r="M36" s="324"/>
      <c r="N36" s="324"/>
      <c r="O36" s="324"/>
      <c r="P36" s="324"/>
    </row>
    <row r="37" spans="1:16" x14ac:dyDescent="0.25">
      <c r="A37" s="342" t="s">
        <v>216</v>
      </c>
      <c r="B37" s="343">
        <v>76.06</v>
      </c>
      <c r="C37" s="343">
        <v>53.31</v>
      </c>
      <c r="D37" s="343">
        <v>48.67</v>
      </c>
      <c r="E37" s="343">
        <v>50.08</v>
      </c>
      <c r="F37" s="343">
        <v>37.25</v>
      </c>
      <c r="G37" s="343">
        <v>117.76</v>
      </c>
      <c r="H37" s="343">
        <v>225</v>
      </c>
      <c r="I37" s="343">
        <v>190.26</v>
      </c>
      <c r="J37" s="343">
        <v>171.41</v>
      </c>
      <c r="K37" s="343">
        <v>0.64</v>
      </c>
      <c r="L37" s="324"/>
      <c r="M37" s="324"/>
      <c r="N37" s="324"/>
      <c r="O37" s="324"/>
      <c r="P37" s="324"/>
    </row>
    <row r="38" spans="1:16" x14ac:dyDescent="0.25">
      <c r="A38" s="336" t="s">
        <v>274</v>
      </c>
      <c r="B38" s="348">
        <v>2846.82</v>
      </c>
      <c r="C38" s="348">
        <v>2518.2399999999998</v>
      </c>
      <c r="D38" s="348">
        <v>2382.41</v>
      </c>
      <c r="E38" s="348">
        <v>2072.9499999999998</v>
      </c>
      <c r="F38" s="348">
        <v>1891.23</v>
      </c>
      <c r="G38" s="348">
        <v>2022.28</v>
      </c>
      <c r="H38" s="348">
        <v>1852.94</v>
      </c>
      <c r="I38" s="348">
        <v>1573.15</v>
      </c>
      <c r="J38" s="348">
        <v>1425.54</v>
      </c>
      <c r="K38" s="348">
        <v>1372.21</v>
      </c>
      <c r="L38" s="324"/>
      <c r="M38" s="324"/>
      <c r="N38" s="324"/>
      <c r="O38" s="324"/>
      <c r="P38" s="324"/>
    </row>
    <row r="39" spans="1:16" x14ac:dyDescent="0.25">
      <c r="A39" s="344" t="s">
        <v>275</v>
      </c>
      <c r="B39" s="345"/>
      <c r="C39" s="339"/>
      <c r="D39" s="339"/>
      <c r="E39" s="339"/>
      <c r="F39" s="339"/>
      <c r="G39" s="345"/>
      <c r="H39" s="339"/>
      <c r="I39" s="339"/>
      <c r="J39" s="339"/>
      <c r="K39" s="339"/>
      <c r="L39" s="324"/>
      <c r="M39" s="324"/>
      <c r="N39" s="324"/>
      <c r="O39" s="324"/>
      <c r="P39" s="324"/>
    </row>
    <row r="40" spans="1:16" x14ac:dyDescent="0.25">
      <c r="A40" s="342" t="s">
        <v>218</v>
      </c>
      <c r="B40" s="343">
        <v>518.37</v>
      </c>
      <c r="C40" s="343">
        <v>402.22</v>
      </c>
      <c r="D40" s="343">
        <v>267.87</v>
      </c>
      <c r="E40" s="343">
        <v>209.45</v>
      </c>
      <c r="F40" s="343">
        <v>169.93</v>
      </c>
      <c r="G40" s="343">
        <v>37.32</v>
      </c>
      <c r="H40" s="343">
        <v>34.82</v>
      </c>
      <c r="I40" s="343">
        <v>44.91</v>
      </c>
      <c r="J40" s="343">
        <v>31.64</v>
      </c>
      <c r="K40" s="343">
        <v>45.58</v>
      </c>
      <c r="L40" s="324"/>
      <c r="M40" s="324"/>
      <c r="N40" s="324"/>
      <c r="O40" s="324"/>
      <c r="P40" s="324"/>
    </row>
    <row r="41" spans="1:16" ht="24" customHeight="1" x14ac:dyDescent="0.25">
      <c r="A41" s="342" t="s">
        <v>157</v>
      </c>
      <c r="B41" s="343">
        <v>562.08000000000004</v>
      </c>
      <c r="C41" s="343">
        <v>481.71</v>
      </c>
      <c r="D41" s="343">
        <v>428.92</v>
      </c>
      <c r="E41" s="343">
        <v>366.68</v>
      </c>
      <c r="F41" s="343">
        <v>329.53</v>
      </c>
      <c r="G41" s="343">
        <v>265.83</v>
      </c>
      <c r="H41" s="343">
        <v>282.98</v>
      </c>
      <c r="I41" s="343">
        <v>246.62</v>
      </c>
      <c r="J41" s="343">
        <v>249.07</v>
      </c>
      <c r="K41" s="343">
        <v>195.31</v>
      </c>
      <c r="L41" s="324"/>
      <c r="M41" s="324"/>
      <c r="N41" s="324"/>
      <c r="O41" s="324"/>
      <c r="P41" s="324"/>
    </row>
    <row r="42" spans="1:16" x14ac:dyDescent="0.25">
      <c r="A42" s="342" t="s">
        <v>219</v>
      </c>
      <c r="B42" s="347">
        <v>1132.25</v>
      </c>
      <c r="C42" s="347">
        <v>1068.44</v>
      </c>
      <c r="D42" s="343">
        <v>848.8</v>
      </c>
      <c r="E42" s="343">
        <v>801.09</v>
      </c>
      <c r="F42" s="343">
        <v>812.51</v>
      </c>
      <c r="G42" s="343">
        <v>473.76</v>
      </c>
      <c r="H42" s="343">
        <v>694.76</v>
      </c>
      <c r="I42" s="343">
        <v>706.57</v>
      </c>
      <c r="J42" s="343">
        <v>484.64</v>
      </c>
      <c r="K42" s="343">
        <v>316.51</v>
      </c>
      <c r="L42" s="324"/>
      <c r="M42" s="324"/>
      <c r="N42" s="324"/>
      <c r="O42" s="324"/>
      <c r="P42" s="324"/>
    </row>
    <row r="43" spans="1:16" x14ac:dyDescent="0.25">
      <c r="A43" s="342" t="s">
        <v>276</v>
      </c>
      <c r="B43" s="343">
        <v>92.19</v>
      </c>
      <c r="C43" s="343">
        <v>15.74</v>
      </c>
      <c r="D43" s="343">
        <v>42.73</v>
      </c>
      <c r="E43" s="343">
        <v>103.14</v>
      </c>
      <c r="F43" s="343">
        <v>34.29</v>
      </c>
      <c r="G43" s="343">
        <v>125.33</v>
      </c>
      <c r="H43" s="343">
        <v>30.43</v>
      </c>
      <c r="I43" s="343">
        <v>8.69</v>
      </c>
      <c r="J43" s="343">
        <v>2.98</v>
      </c>
      <c r="K43" s="343">
        <v>7.58</v>
      </c>
      <c r="L43" s="324"/>
      <c r="M43" s="324"/>
      <c r="N43" s="324"/>
      <c r="O43" s="324"/>
      <c r="P43" s="324"/>
    </row>
    <row r="44" spans="1:16" x14ac:dyDescent="0.25">
      <c r="A44" s="342" t="s">
        <v>277</v>
      </c>
      <c r="B44" s="343">
        <v>3.36</v>
      </c>
      <c r="C44" s="343">
        <v>2</v>
      </c>
      <c r="D44" s="343">
        <v>1.48</v>
      </c>
      <c r="E44" s="343">
        <v>1.1000000000000001</v>
      </c>
      <c r="F44" s="343">
        <v>1.26</v>
      </c>
      <c r="G44" s="343">
        <v>2.0099999999999998</v>
      </c>
      <c r="H44" s="343">
        <v>2.1</v>
      </c>
      <c r="I44" s="343">
        <v>1.3</v>
      </c>
      <c r="J44" s="343">
        <v>1.62</v>
      </c>
      <c r="K44" s="343">
        <v>41.25</v>
      </c>
      <c r="L44" s="324"/>
      <c r="M44" s="324"/>
      <c r="N44" s="324"/>
      <c r="O44" s="324"/>
      <c r="P44" s="324"/>
    </row>
    <row r="45" spans="1:16" x14ac:dyDescent="0.25">
      <c r="A45" s="342" t="s">
        <v>940</v>
      </c>
      <c r="B45" s="343">
        <v>240.83</v>
      </c>
      <c r="C45" s="343">
        <v>196.96</v>
      </c>
      <c r="D45" s="343">
        <v>136.84</v>
      </c>
      <c r="E45" s="343">
        <v>184.93</v>
      </c>
      <c r="F45" s="343">
        <v>198.89</v>
      </c>
      <c r="G45" s="343">
        <v>56.35</v>
      </c>
      <c r="H45" s="343">
        <v>60.53</v>
      </c>
      <c r="I45" s="343">
        <v>24.26</v>
      </c>
      <c r="J45" s="343">
        <v>54.61</v>
      </c>
      <c r="K45" s="343">
        <v>13.3</v>
      </c>
      <c r="L45" s="324"/>
      <c r="M45" s="324"/>
      <c r="N45" s="324"/>
      <c r="O45" s="324"/>
      <c r="P45" s="324"/>
    </row>
    <row r="46" spans="1:16" x14ac:dyDescent="0.25">
      <c r="A46" s="336" t="s">
        <v>158</v>
      </c>
      <c r="B46" s="348">
        <v>2549.08</v>
      </c>
      <c r="C46" s="348">
        <v>2167.0700000000002</v>
      </c>
      <c r="D46" s="348">
        <v>1726.64</v>
      </c>
      <c r="E46" s="348">
        <v>1666.39</v>
      </c>
      <c r="F46" s="348">
        <v>1546.41</v>
      </c>
      <c r="G46" s="346">
        <v>960.59</v>
      </c>
      <c r="H46" s="348">
        <v>1105.6099999999999</v>
      </c>
      <c r="I46" s="348">
        <v>1032.3599999999999</v>
      </c>
      <c r="J46" s="346">
        <v>824.56</v>
      </c>
      <c r="K46" s="346">
        <v>619.52</v>
      </c>
      <c r="L46" s="324"/>
      <c r="M46" s="324"/>
      <c r="N46" s="324"/>
      <c r="O46" s="324"/>
      <c r="P46" s="324"/>
    </row>
    <row r="47" spans="1:16" x14ac:dyDescent="0.25">
      <c r="A47" s="336" t="s">
        <v>160</v>
      </c>
      <c r="B47" s="348">
        <v>5395.9</v>
      </c>
      <c r="C47" s="348">
        <v>4685.3</v>
      </c>
      <c r="D47" s="348">
        <v>4109.05</v>
      </c>
      <c r="E47" s="348">
        <v>3739.34</v>
      </c>
      <c r="F47" s="348">
        <v>3437.65</v>
      </c>
      <c r="G47" s="348">
        <v>2982.87</v>
      </c>
      <c r="H47" s="348">
        <v>2958.55</v>
      </c>
      <c r="I47" s="348">
        <v>2605.5100000000002</v>
      </c>
      <c r="J47" s="348">
        <v>2250.1</v>
      </c>
      <c r="K47" s="348">
        <v>1991.73</v>
      </c>
      <c r="L47" s="324"/>
      <c r="M47" s="324"/>
      <c r="N47" s="324"/>
      <c r="O47" s="324"/>
      <c r="P47" s="324"/>
    </row>
    <row r="48" spans="1:16" ht="24" customHeight="1" x14ac:dyDescent="0.25">
      <c r="A48" s="344" t="s">
        <v>278</v>
      </c>
      <c r="B48" s="345"/>
      <c r="C48" s="339"/>
      <c r="D48" s="339"/>
      <c r="E48" s="339"/>
      <c r="F48" s="339"/>
      <c r="G48" s="345"/>
      <c r="H48" s="339"/>
      <c r="I48" s="339"/>
      <c r="J48" s="339"/>
      <c r="K48" s="339"/>
      <c r="L48" s="324"/>
      <c r="M48" s="324"/>
      <c r="N48" s="324"/>
      <c r="O48" s="324"/>
      <c r="P48" s="324"/>
    </row>
    <row r="49" spans="1:16" ht="36" customHeight="1" x14ac:dyDescent="0.25">
      <c r="A49" s="344" t="s">
        <v>279</v>
      </c>
      <c r="B49" s="345"/>
      <c r="C49" s="339"/>
      <c r="D49" s="339"/>
      <c r="E49" s="339"/>
      <c r="F49" s="339"/>
      <c r="G49" s="345"/>
      <c r="H49" s="339"/>
      <c r="I49" s="339"/>
      <c r="J49" s="339"/>
      <c r="K49" s="339"/>
      <c r="L49" s="324"/>
      <c r="M49" s="324"/>
      <c r="N49" s="324"/>
      <c r="O49" s="324"/>
      <c r="P49" s="324"/>
    </row>
    <row r="50" spans="1:16" x14ac:dyDescent="0.25">
      <c r="A50" s="342" t="s">
        <v>161</v>
      </c>
      <c r="B50" s="343">
        <v>230.05</v>
      </c>
      <c r="C50" s="343">
        <v>125.18</v>
      </c>
      <c r="D50" s="343">
        <v>541.61</v>
      </c>
      <c r="E50" s="343">
        <v>705.9</v>
      </c>
      <c r="F50" s="343">
        <v>331.52</v>
      </c>
      <c r="G50" s="343">
        <v>252.24</v>
      </c>
      <c r="H50" s="343">
        <v>312.23</v>
      </c>
      <c r="I50" s="343">
        <v>356.98</v>
      </c>
      <c r="J50" s="343">
        <v>236.7</v>
      </c>
      <c r="K50" s="343">
        <v>258.22000000000003</v>
      </c>
      <c r="L50" s="324"/>
      <c r="M50" s="324"/>
      <c r="N50" s="324"/>
      <c r="O50" s="324"/>
      <c r="P50" s="324"/>
    </row>
    <row r="51" spans="1:16" ht="24" customHeight="1" x14ac:dyDescent="0.25">
      <c r="A51" s="344" t="s">
        <v>311</v>
      </c>
      <c r="B51" s="345"/>
      <c r="C51" s="339"/>
      <c r="D51" s="339"/>
      <c r="E51" s="339"/>
      <c r="F51" s="339"/>
      <c r="G51" s="345"/>
      <c r="H51" s="339"/>
      <c r="I51" s="339"/>
      <c r="J51" s="339"/>
      <c r="K51" s="339"/>
      <c r="L51" s="324"/>
      <c r="M51" s="324"/>
      <c r="N51" s="324"/>
      <c r="O51" s="324"/>
      <c r="P51" s="324"/>
    </row>
    <row r="52" spans="1:16" ht="24" customHeight="1" x14ac:dyDescent="0.25">
      <c r="A52" s="344"/>
      <c r="B52" s="345"/>
      <c r="C52" s="339"/>
      <c r="D52" s="339"/>
      <c r="E52" s="339"/>
      <c r="F52" s="339"/>
      <c r="G52" s="343">
        <v>0</v>
      </c>
      <c r="H52" s="343">
        <v>0</v>
      </c>
      <c r="I52" s="343">
        <v>0</v>
      </c>
      <c r="J52" s="343">
        <v>0</v>
      </c>
      <c r="K52" s="343">
        <v>289.35000000000002</v>
      </c>
      <c r="L52" s="324"/>
      <c r="M52" s="324"/>
      <c r="N52" s="324"/>
      <c r="O52" s="324"/>
      <c r="P52" s="324"/>
    </row>
    <row r="53" spans="1:16" x14ac:dyDescent="0.25">
      <c r="A53" s="344"/>
      <c r="B53" s="345"/>
      <c r="C53" s="339"/>
      <c r="D53" s="339"/>
      <c r="E53" s="339"/>
      <c r="F53" s="339"/>
      <c r="G53" s="343">
        <v>0</v>
      </c>
      <c r="H53" s="343">
        <v>0</v>
      </c>
      <c r="I53" s="343">
        <v>0</v>
      </c>
      <c r="J53" s="343">
        <v>0</v>
      </c>
      <c r="K53" s="343">
        <v>13.37</v>
      </c>
      <c r="L53" s="324"/>
      <c r="M53" s="324"/>
      <c r="N53" s="324"/>
      <c r="O53" s="324"/>
      <c r="P53" s="324"/>
    </row>
    <row r="54" spans="1:16" ht="48" customHeight="1" x14ac:dyDescent="0.25">
      <c r="A54" s="344"/>
      <c r="B54" s="345"/>
      <c r="C54" s="339"/>
      <c r="D54" s="339"/>
      <c r="E54" s="339"/>
      <c r="F54" s="339"/>
      <c r="G54" s="343">
        <v>0</v>
      </c>
      <c r="H54" s="343">
        <v>0</v>
      </c>
      <c r="I54" s="343">
        <v>0</v>
      </c>
      <c r="J54" s="343">
        <v>0</v>
      </c>
      <c r="K54" s="343">
        <v>43.1</v>
      </c>
      <c r="L54" s="324"/>
      <c r="M54" s="324"/>
      <c r="N54" s="324"/>
      <c r="O54" s="324"/>
      <c r="P54" s="324"/>
    </row>
    <row r="55" spans="1:16" x14ac:dyDescent="0.25">
      <c r="A55" s="344" t="s">
        <v>312</v>
      </c>
      <c r="B55" s="345"/>
      <c r="C55" s="339"/>
      <c r="D55" s="339"/>
      <c r="E55" s="339"/>
      <c r="F55" s="339"/>
      <c r="G55" s="345"/>
      <c r="H55" s="339"/>
      <c r="I55" s="339"/>
      <c r="J55" s="339"/>
      <c r="K55" s="339"/>
      <c r="L55" s="324"/>
      <c r="M55" s="324"/>
      <c r="N55" s="324"/>
      <c r="O55" s="324"/>
      <c r="P55" s="324"/>
    </row>
    <row r="56" spans="1:16" ht="24" customHeight="1" x14ac:dyDescent="0.25">
      <c r="A56" s="342" t="s">
        <v>941</v>
      </c>
      <c r="B56" s="343">
        <v>679.87</v>
      </c>
      <c r="C56" s="343">
        <v>368.2</v>
      </c>
      <c r="D56" s="343">
        <v>346.13</v>
      </c>
      <c r="E56" s="343">
        <v>318</v>
      </c>
      <c r="F56" s="343">
        <v>279.23</v>
      </c>
      <c r="G56" s="343">
        <v>328.53</v>
      </c>
      <c r="H56" s="343">
        <v>434.2</v>
      </c>
      <c r="I56" s="343">
        <v>417.12</v>
      </c>
      <c r="J56" s="343">
        <v>0</v>
      </c>
      <c r="K56" s="343">
        <v>11.52</v>
      </c>
      <c r="L56" s="324"/>
      <c r="M56" s="324"/>
      <c r="N56" s="324"/>
      <c r="O56" s="324"/>
      <c r="P56" s="324"/>
    </row>
    <row r="57" spans="1:16" ht="48" customHeight="1" x14ac:dyDescent="0.25">
      <c r="A57" s="344" t="s">
        <v>313</v>
      </c>
      <c r="B57" s="345"/>
      <c r="C57" s="339"/>
      <c r="D57" s="339"/>
      <c r="E57" s="339"/>
      <c r="F57" s="339"/>
      <c r="G57" s="345"/>
      <c r="H57" s="339"/>
      <c r="I57" s="339"/>
      <c r="J57" s="339"/>
      <c r="K57" s="339"/>
      <c r="L57" s="324"/>
      <c r="M57" s="324"/>
      <c r="N57" s="324"/>
      <c r="O57" s="324"/>
      <c r="P57" s="324"/>
    </row>
    <row r="58" spans="1:16" x14ac:dyDescent="0.25">
      <c r="A58" s="342" t="s">
        <v>314</v>
      </c>
      <c r="B58" s="343" t="s">
        <v>919</v>
      </c>
      <c r="C58" s="343" t="s">
        <v>919</v>
      </c>
      <c r="D58" s="343" t="s">
        <v>919</v>
      </c>
      <c r="E58" s="343" t="s">
        <v>919</v>
      </c>
      <c r="F58" s="343" t="s">
        <v>919</v>
      </c>
      <c r="G58" s="343" t="s">
        <v>919</v>
      </c>
      <c r="H58" s="343" t="s">
        <v>919</v>
      </c>
      <c r="I58" s="343" t="s">
        <v>919</v>
      </c>
      <c r="J58" s="343" t="s">
        <v>919</v>
      </c>
      <c r="K58" s="343" t="s">
        <v>919</v>
      </c>
      <c r="L58" s="324"/>
      <c r="M58" s="324"/>
      <c r="N58" s="324"/>
      <c r="O58" s="324"/>
      <c r="P58" s="324"/>
    </row>
    <row r="59" spans="1:16" ht="24" customHeight="1" x14ac:dyDescent="0.25">
      <c r="A59" s="344" t="s">
        <v>315</v>
      </c>
      <c r="B59" s="345"/>
      <c r="C59" s="339"/>
      <c r="D59" s="339"/>
      <c r="E59" s="339"/>
      <c r="F59" s="339"/>
      <c r="G59" s="345"/>
      <c r="H59" s="339"/>
      <c r="I59" s="339"/>
      <c r="J59" s="339"/>
      <c r="K59" s="339"/>
      <c r="L59" s="324"/>
      <c r="M59" s="324"/>
      <c r="N59" s="324"/>
      <c r="O59" s="324"/>
      <c r="P59" s="324"/>
    </row>
    <row r="60" spans="1:16" x14ac:dyDescent="0.25">
      <c r="A60" s="342" t="s">
        <v>316</v>
      </c>
      <c r="B60" s="343" t="s">
        <v>919</v>
      </c>
      <c r="C60" s="343" t="s">
        <v>919</v>
      </c>
      <c r="D60" s="343" t="s">
        <v>919</v>
      </c>
      <c r="E60" s="343" t="s">
        <v>919</v>
      </c>
      <c r="F60" s="343" t="s">
        <v>919</v>
      </c>
      <c r="G60" s="343" t="s">
        <v>919</v>
      </c>
      <c r="H60" s="343" t="s">
        <v>919</v>
      </c>
      <c r="I60" s="343" t="s">
        <v>919</v>
      </c>
      <c r="J60" s="343" t="s">
        <v>919</v>
      </c>
      <c r="K60" s="343">
        <v>139.52000000000001</v>
      </c>
      <c r="L60" s="324"/>
      <c r="M60" s="324"/>
      <c r="N60" s="324"/>
      <c r="O60" s="324"/>
      <c r="P60" s="324"/>
    </row>
    <row r="61" spans="1:16" ht="24" customHeight="1" x14ac:dyDescent="0.25">
      <c r="A61" s="342" t="s">
        <v>317</v>
      </c>
      <c r="B61" s="343">
        <v>171.02</v>
      </c>
      <c r="C61" s="343">
        <v>177.5</v>
      </c>
      <c r="D61" s="343">
        <v>140.38999999999999</v>
      </c>
      <c r="E61" s="343">
        <v>162.35</v>
      </c>
      <c r="F61" s="343">
        <v>114.05</v>
      </c>
      <c r="G61" s="343">
        <v>120.58</v>
      </c>
      <c r="H61" s="343">
        <v>143.56</v>
      </c>
      <c r="I61" s="343">
        <v>170.51</v>
      </c>
      <c r="J61" s="343" t="s">
        <v>919</v>
      </c>
      <c r="K61" s="343">
        <v>7.0000000000000007E-2</v>
      </c>
      <c r="L61" s="324"/>
      <c r="M61" s="324"/>
      <c r="N61" s="324"/>
      <c r="O61" s="324"/>
      <c r="P61" s="324"/>
    </row>
    <row r="62" spans="1:16" x14ac:dyDescent="0.25">
      <c r="A62" s="344" t="s">
        <v>280</v>
      </c>
      <c r="B62" s="345"/>
      <c r="C62" s="339"/>
      <c r="D62" s="339"/>
      <c r="E62" s="339"/>
      <c r="F62" s="339"/>
      <c r="G62" s="345"/>
      <c r="H62" s="339"/>
      <c r="I62" s="339"/>
      <c r="J62" s="339"/>
      <c r="K62" s="339"/>
      <c r="L62" s="324"/>
      <c r="M62" s="324"/>
      <c r="N62" s="324"/>
      <c r="O62" s="324"/>
      <c r="P62" s="324"/>
    </row>
    <row r="63" spans="1:16" x14ac:dyDescent="0.25">
      <c r="A63" s="342" t="s">
        <v>318</v>
      </c>
      <c r="B63" s="343">
        <v>123.66</v>
      </c>
      <c r="C63" s="343">
        <v>123.66</v>
      </c>
      <c r="D63" s="343">
        <v>123.66</v>
      </c>
      <c r="E63" s="343">
        <v>123.66</v>
      </c>
      <c r="F63" s="343">
        <v>123.66</v>
      </c>
      <c r="G63" s="343">
        <v>123.66</v>
      </c>
      <c r="H63" s="343">
        <v>123.66</v>
      </c>
      <c r="I63" s="343">
        <v>123.66</v>
      </c>
      <c r="J63" s="343">
        <v>123.66</v>
      </c>
      <c r="K63" s="343">
        <v>0.57999999999999996</v>
      </c>
      <c r="L63" s="324"/>
      <c r="M63" s="324"/>
      <c r="N63" s="324"/>
      <c r="O63" s="324"/>
      <c r="P63" s="324"/>
    </row>
    <row r="64" spans="1:16" ht="24" customHeight="1" x14ac:dyDescent="0.25">
      <c r="A64" s="344" t="s">
        <v>281</v>
      </c>
      <c r="B64" s="345"/>
      <c r="C64" s="339"/>
      <c r="D64" s="339"/>
      <c r="E64" s="339"/>
      <c r="F64" s="339"/>
      <c r="G64" s="345"/>
      <c r="H64" s="339"/>
      <c r="I64" s="339"/>
      <c r="J64" s="339"/>
      <c r="K64" s="339"/>
      <c r="L64" s="324"/>
      <c r="M64" s="324"/>
      <c r="N64" s="324"/>
      <c r="O64" s="324"/>
      <c r="P64" s="324"/>
    </row>
    <row r="65" spans="1:16" x14ac:dyDescent="0.25">
      <c r="A65" s="342" t="s">
        <v>282</v>
      </c>
      <c r="B65" s="343" t="s">
        <v>919</v>
      </c>
      <c r="C65" s="343" t="s">
        <v>919</v>
      </c>
      <c r="D65" s="343" t="s">
        <v>919</v>
      </c>
      <c r="E65" s="343" t="s">
        <v>919</v>
      </c>
      <c r="F65" s="343">
        <v>0</v>
      </c>
      <c r="G65" s="343">
        <v>0</v>
      </c>
      <c r="H65" s="343">
        <v>0</v>
      </c>
      <c r="I65" s="343">
        <v>0</v>
      </c>
      <c r="J65" s="343">
        <v>0.01</v>
      </c>
      <c r="K65" s="343">
        <v>0.01</v>
      </c>
      <c r="L65" s="324"/>
      <c r="M65" s="324"/>
      <c r="N65" s="324"/>
      <c r="O65" s="324"/>
      <c r="P65" s="324"/>
    </row>
    <row r="66" spans="1:16" x14ac:dyDescent="0.25">
      <c r="A66" s="342" t="s">
        <v>283</v>
      </c>
      <c r="B66" s="343">
        <v>5.88</v>
      </c>
      <c r="C66" s="343">
        <v>3.36</v>
      </c>
      <c r="D66" s="343">
        <v>3.19</v>
      </c>
      <c r="E66" s="343">
        <v>1.1499999999999999</v>
      </c>
      <c r="F66" s="343">
        <v>1.1499999999999999</v>
      </c>
      <c r="G66" s="343">
        <v>1.1499999999999999</v>
      </c>
      <c r="H66" s="343">
        <v>1.24</v>
      </c>
      <c r="I66" s="343">
        <v>364.77</v>
      </c>
      <c r="J66" s="343">
        <v>364.7</v>
      </c>
      <c r="K66" s="343">
        <v>364.66</v>
      </c>
      <c r="L66" s="324"/>
      <c r="M66" s="324"/>
      <c r="N66" s="324"/>
      <c r="O66" s="324"/>
      <c r="P66" s="324"/>
    </row>
    <row r="67" spans="1:16" ht="36" customHeight="1" x14ac:dyDescent="0.25">
      <c r="A67" s="344" t="s">
        <v>284</v>
      </c>
      <c r="B67" s="345"/>
      <c r="C67" s="339"/>
      <c r="D67" s="339"/>
      <c r="E67" s="339"/>
      <c r="F67" s="339"/>
      <c r="G67" s="345"/>
      <c r="H67" s="339"/>
      <c r="I67" s="339"/>
      <c r="J67" s="339"/>
      <c r="K67" s="339"/>
      <c r="L67" s="324"/>
      <c r="M67" s="324"/>
      <c r="N67" s="324"/>
      <c r="O67" s="324"/>
      <c r="P67" s="324"/>
    </row>
    <row r="68" spans="1:16" x14ac:dyDescent="0.25">
      <c r="A68" s="342" t="s">
        <v>319</v>
      </c>
      <c r="B68" s="343" t="s">
        <v>919</v>
      </c>
      <c r="C68" s="343" t="s">
        <v>919</v>
      </c>
      <c r="D68" s="343" t="s">
        <v>919</v>
      </c>
      <c r="E68" s="343" t="s">
        <v>919</v>
      </c>
      <c r="F68" s="343" t="s">
        <v>919</v>
      </c>
      <c r="G68" s="343" t="s">
        <v>919</v>
      </c>
      <c r="H68" s="343" t="s">
        <v>919</v>
      </c>
      <c r="I68" s="343" t="s">
        <v>919</v>
      </c>
      <c r="J68" s="343" t="s">
        <v>919</v>
      </c>
      <c r="K68" s="343" t="s">
        <v>919</v>
      </c>
      <c r="L68" s="324"/>
      <c r="M68" s="324"/>
      <c r="N68" s="324"/>
      <c r="O68" s="324"/>
      <c r="P68" s="324"/>
    </row>
    <row r="69" spans="1:16" x14ac:dyDescent="0.25">
      <c r="A69" s="342" t="s">
        <v>320</v>
      </c>
      <c r="B69" s="343" t="s">
        <v>919</v>
      </c>
      <c r="C69" s="343" t="s">
        <v>919</v>
      </c>
      <c r="D69" s="343" t="s">
        <v>919</v>
      </c>
      <c r="E69" s="343" t="s">
        <v>919</v>
      </c>
      <c r="F69" s="343">
        <v>169.93</v>
      </c>
      <c r="G69" s="343">
        <v>37.32</v>
      </c>
      <c r="H69" s="343">
        <v>34.82</v>
      </c>
      <c r="I69" s="343">
        <v>44.91</v>
      </c>
      <c r="J69" s="343">
        <v>31.64</v>
      </c>
      <c r="K69" s="343">
        <v>45.58</v>
      </c>
      <c r="L69" s="324"/>
      <c r="M69" s="324"/>
      <c r="N69" s="324"/>
      <c r="O69" s="324"/>
      <c r="P69" s="324"/>
    </row>
    <row r="70" spans="1:16" ht="24" customHeight="1" x14ac:dyDescent="0.25">
      <c r="A70" s="349"/>
      <c r="B70" s="350"/>
      <c r="C70" s="324"/>
      <c r="D70" s="324"/>
      <c r="E70" s="324"/>
      <c r="F70" s="324"/>
      <c r="L70" s="324"/>
      <c r="M70" s="324"/>
      <c r="N70" s="324"/>
      <c r="O70" s="324"/>
      <c r="P70" s="324"/>
    </row>
    <row r="71" spans="1:16" x14ac:dyDescent="0.25">
      <c r="A71" s="351"/>
      <c r="B71" s="351"/>
      <c r="C71" s="351"/>
      <c r="D71" s="351"/>
      <c r="E71" s="351"/>
      <c r="F71" s="351"/>
      <c r="L71" s="324"/>
      <c r="M71" s="324"/>
      <c r="N71" s="324"/>
      <c r="O71" s="324"/>
      <c r="P71" s="324"/>
    </row>
    <row r="72" spans="1:16" x14ac:dyDescent="0.25">
      <c r="A72" s="352" t="e" vm="2">
        <v>#VALUE!</v>
      </c>
      <c r="B72" s="352"/>
      <c r="C72" s="352"/>
      <c r="D72" s="352"/>
      <c r="E72" s="352"/>
      <c r="F72" s="352"/>
      <c r="L72" s="324"/>
      <c r="M72" s="324"/>
      <c r="N72" s="324"/>
      <c r="O72" s="324"/>
      <c r="P72" s="324"/>
    </row>
    <row r="73" spans="1:16" ht="24" customHeight="1" x14ac:dyDescent="0.25">
      <c r="A73" s="352" t="e" vm="2">
        <v>#VALUE!</v>
      </c>
      <c r="B73" s="352"/>
      <c r="C73" s="352"/>
      <c r="D73" s="352"/>
      <c r="E73" s="352"/>
      <c r="F73" s="352"/>
      <c r="L73" s="324"/>
      <c r="M73" s="324"/>
      <c r="N73" s="324"/>
      <c r="O73" s="324"/>
      <c r="P73" s="324"/>
    </row>
    <row r="74" spans="1:16" x14ac:dyDescent="0.25">
      <c r="L74" s="324"/>
      <c r="M74" s="324"/>
      <c r="N74" s="324"/>
      <c r="O74" s="324"/>
      <c r="P74" s="324"/>
    </row>
    <row r="75" spans="1:16" ht="48" customHeight="1" x14ac:dyDescent="0.25">
      <c r="L75" s="324"/>
      <c r="M75" s="324"/>
      <c r="N75" s="324"/>
      <c r="O75" s="324"/>
      <c r="P75" s="324"/>
    </row>
    <row r="76" spans="1:16" x14ac:dyDescent="0.25">
      <c r="L76" s="324"/>
      <c r="M76" s="324"/>
      <c r="N76" s="324"/>
      <c r="O76" s="324"/>
      <c r="P76" s="324"/>
    </row>
    <row r="77" spans="1:16" ht="24" customHeight="1" x14ac:dyDescent="0.25">
      <c r="L77" s="324"/>
      <c r="M77" s="324"/>
      <c r="N77" s="324"/>
      <c r="O77" s="324"/>
      <c r="P77" s="324"/>
    </row>
    <row r="78" spans="1:16" x14ac:dyDescent="0.25">
      <c r="L78" s="324"/>
      <c r="M78" s="324"/>
      <c r="N78" s="324"/>
      <c r="O78" s="324"/>
      <c r="P78" s="324"/>
    </row>
    <row r="79" spans="1:16" x14ac:dyDescent="0.25">
      <c r="L79" s="324"/>
      <c r="M79" s="324"/>
      <c r="N79" s="324"/>
      <c r="O79" s="324"/>
      <c r="P79" s="324"/>
    </row>
    <row r="80" spans="1:16" ht="15" customHeight="1" x14ac:dyDescent="0.25">
      <c r="L80" s="324"/>
      <c r="M80" s="324"/>
      <c r="N80" s="324"/>
      <c r="O80" s="324"/>
      <c r="P80" s="324"/>
    </row>
    <row r="81" spans="12:16" x14ac:dyDescent="0.25">
      <c r="L81" s="324"/>
      <c r="M81" s="324"/>
      <c r="N81" s="324"/>
      <c r="O81" s="324"/>
      <c r="P81" s="324"/>
    </row>
    <row r="82" spans="12:16" ht="24" customHeight="1" x14ac:dyDescent="0.25">
      <c r="L82" s="324"/>
      <c r="M82" s="324"/>
      <c r="N82" s="324"/>
      <c r="O82" s="324"/>
      <c r="P82" s="324"/>
    </row>
    <row r="83" spans="12:16" x14ac:dyDescent="0.25">
      <c r="L83" s="324"/>
      <c r="M83" s="324"/>
      <c r="N83" s="324"/>
      <c r="O83" s="324"/>
      <c r="P83" s="324"/>
    </row>
    <row r="84" spans="12:16" x14ac:dyDescent="0.25">
      <c r="L84" s="324"/>
      <c r="M84" s="324"/>
      <c r="N84" s="324"/>
      <c r="O84" s="324"/>
      <c r="P84" s="324"/>
    </row>
    <row r="85" spans="12:16" ht="24" customHeight="1" x14ac:dyDescent="0.25">
      <c r="L85" s="324"/>
      <c r="M85" s="324"/>
      <c r="N85" s="324"/>
      <c r="O85" s="324"/>
      <c r="P85" s="324"/>
    </row>
    <row r="86" spans="12:16" x14ac:dyDescent="0.25">
      <c r="L86" s="324"/>
      <c r="M86" s="324"/>
      <c r="N86" s="324"/>
      <c r="O86" s="324"/>
      <c r="P86" s="324"/>
    </row>
    <row r="87" spans="12:16" x14ac:dyDescent="0.25">
      <c r="L87" s="324"/>
      <c r="M87" s="324"/>
      <c r="N87" s="324"/>
      <c r="O87" s="324"/>
      <c r="P87" s="324"/>
    </row>
    <row r="88" spans="12:16" x14ac:dyDescent="0.25">
      <c r="L88" s="324"/>
      <c r="M88" s="324"/>
      <c r="N88" s="324"/>
      <c r="O88" s="324"/>
      <c r="P88" s="324"/>
    </row>
    <row r="89" spans="12:16" x14ac:dyDescent="0.25">
      <c r="L89" s="351"/>
      <c r="M89" s="324"/>
      <c r="N89" s="324"/>
      <c r="O89" s="324"/>
      <c r="P89" s="324"/>
    </row>
  </sheetData>
  <hyperlinks>
    <hyperlink ref="B1" r:id="rId1" display="javascript:void(0);" xr:uid="{7B279FF7-6D13-4330-B9D9-A64FB82E6CC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8873-C96F-49DB-9E0F-F60F33B2106D}">
  <dimension ref="A1:P62"/>
  <sheetViews>
    <sheetView topLeftCell="A20" workbookViewId="0">
      <selection activeCell="G24" sqref="G24"/>
    </sheetView>
  </sheetViews>
  <sheetFormatPr defaultRowHeight="15" x14ac:dyDescent="0.25"/>
  <cols>
    <col min="1" max="1" width="51.140625" bestFit="1" customWidth="1"/>
    <col min="2" max="11" width="7.85546875" bestFit="1" customWidth="1"/>
  </cols>
  <sheetData>
    <row r="1" spans="1:16" x14ac:dyDescent="0.25">
      <c r="A1" s="333" t="s">
        <v>936</v>
      </c>
      <c r="B1" s="334" t="s">
        <v>937</v>
      </c>
      <c r="G1" s="335" t="s">
        <v>942</v>
      </c>
    </row>
    <row r="2" spans="1:16" x14ac:dyDescent="0.25">
      <c r="A2" s="336" t="s">
        <v>321</v>
      </c>
      <c r="B2" s="337" t="s">
        <v>938</v>
      </c>
      <c r="G2" s="337" t="s">
        <v>938</v>
      </c>
    </row>
    <row r="3" spans="1:16" x14ac:dyDescent="0.25">
      <c r="A3" s="338"/>
      <c r="B3" s="339" t="s">
        <v>909</v>
      </c>
      <c r="C3" s="340">
        <v>45352</v>
      </c>
      <c r="D3" s="340">
        <v>44986</v>
      </c>
      <c r="E3" s="340">
        <v>44621</v>
      </c>
      <c r="F3" s="340">
        <v>44256</v>
      </c>
      <c r="G3" s="339" t="s">
        <v>943</v>
      </c>
      <c r="H3" s="340">
        <v>43525</v>
      </c>
      <c r="I3" s="340">
        <v>43160</v>
      </c>
      <c r="J3" s="340">
        <v>42795</v>
      </c>
      <c r="K3" s="340">
        <v>42430</v>
      </c>
      <c r="L3" s="324"/>
      <c r="M3" s="324"/>
      <c r="N3" s="324"/>
      <c r="O3" s="324"/>
      <c r="P3" s="324"/>
    </row>
    <row r="4" spans="1:16" x14ac:dyDescent="0.25">
      <c r="A4" s="341" t="e" vm="1">
        <v>#VALUE!</v>
      </c>
      <c r="B4" s="341"/>
      <c r="C4" s="341"/>
      <c r="D4" s="341"/>
      <c r="E4" s="341"/>
      <c r="F4" s="341"/>
      <c r="G4" s="341"/>
      <c r="H4" s="341"/>
      <c r="I4" s="341"/>
      <c r="J4" s="341"/>
      <c r="K4" s="341"/>
      <c r="L4" s="341"/>
      <c r="M4" s="341"/>
      <c r="N4" s="341"/>
      <c r="O4" s="341"/>
      <c r="P4" s="341"/>
    </row>
    <row r="5" spans="1:16" x14ac:dyDescent="0.25">
      <c r="A5" s="342"/>
      <c r="B5" s="343" t="s">
        <v>939</v>
      </c>
      <c r="C5" s="343" t="s">
        <v>939</v>
      </c>
      <c r="D5" s="343" t="s">
        <v>939</v>
      </c>
      <c r="E5" s="343" t="s">
        <v>939</v>
      </c>
      <c r="F5" s="343" t="s">
        <v>939</v>
      </c>
      <c r="G5" s="343" t="s">
        <v>939</v>
      </c>
      <c r="H5" s="343" t="s">
        <v>939</v>
      </c>
      <c r="I5" s="343" t="s">
        <v>939</v>
      </c>
      <c r="J5" s="343" t="s">
        <v>939</v>
      </c>
      <c r="K5" s="343" t="s">
        <v>939</v>
      </c>
      <c r="L5" s="324"/>
      <c r="M5" s="324"/>
      <c r="N5" s="324"/>
      <c r="O5" s="324"/>
      <c r="P5" s="324"/>
    </row>
    <row r="6" spans="1:16" x14ac:dyDescent="0.25">
      <c r="A6" s="341" t="e" vm="1">
        <v>#VALUE!</v>
      </c>
      <c r="B6" s="341"/>
      <c r="C6" s="341"/>
      <c r="D6" s="341"/>
      <c r="E6" s="341"/>
      <c r="F6" s="341"/>
      <c r="G6" s="341"/>
      <c r="H6" s="341"/>
      <c r="I6" s="341"/>
      <c r="J6" s="341"/>
      <c r="K6" s="341"/>
      <c r="L6" s="341"/>
      <c r="M6" s="341"/>
      <c r="N6" s="341"/>
      <c r="O6" s="341"/>
      <c r="P6" s="341"/>
    </row>
    <row r="7" spans="1:16" x14ac:dyDescent="0.25">
      <c r="A7" s="344" t="s">
        <v>285</v>
      </c>
      <c r="B7" s="345"/>
      <c r="C7" s="339"/>
      <c r="D7" s="339"/>
      <c r="E7" s="339"/>
      <c r="F7" s="339"/>
      <c r="G7" s="345"/>
      <c r="H7" s="339"/>
      <c r="I7" s="339"/>
      <c r="J7" s="339"/>
      <c r="K7" s="339"/>
      <c r="L7" s="324"/>
      <c r="M7" s="324"/>
      <c r="N7" s="324"/>
      <c r="O7" s="324"/>
      <c r="P7" s="324"/>
    </row>
    <row r="8" spans="1:16" x14ac:dyDescent="0.25">
      <c r="A8" s="338" t="s">
        <v>286</v>
      </c>
      <c r="B8" s="353">
        <v>8730.32</v>
      </c>
      <c r="C8" s="353">
        <v>7757.77</v>
      </c>
      <c r="D8" s="353">
        <v>6674.81</v>
      </c>
      <c r="E8" s="353">
        <v>5604.43</v>
      </c>
      <c r="F8" s="353">
        <v>4658.97</v>
      </c>
      <c r="G8" s="353">
        <v>4820.16</v>
      </c>
      <c r="H8" s="353">
        <v>5341.43</v>
      </c>
      <c r="I8" s="353">
        <v>4680.17</v>
      </c>
      <c r="J8" s="353">
        <v>4194.28</v>
      </c>
      <c r="K8" s="353">
        <v>3987.37</v>
      </c>
      <c r="L8" s="324"/>
      <c r="M8" s="324"/>
      <c r="N8" s="324"/>
      <c r="O8" s="324"/>
      <c r="P8" s="324"/>
    </row>
    <row r="9" spans="1:16" x14ac:dyDescent="0.25">
      <c r="A9" s="342" t="s">
        <v>287</v>
      </c>
      <c r="B9" s="353"/>
      <c r="C9" s="353"/>
      <c r="D9" s="353"/>
      <c r="E9" s="353"/>
      <c r="F9" s="353"/>
      <c r="G9" s="343">
        <v>0</v>
      </c>
      <c r="H9" s="343">
        <v>0</v>
      </c>
      <c r="I9" s="343">
        <v>127.91</v>
      </c>
      <c r="J9" s="343">
        <v>400.33</v>
      </c>
      <c r="K9" s="343">
        <v>387.25</v>
      </c>
      <c r="L9" s="324"/>
      <c r="M9" s="324"/>
      <c r="N9" s="324"/>
      <c r="O9" s="324"/>
      <c r="P9" s="324"/>
    </row>
    <row r="10" spans="1:16" x14ac:dyDescent="0.25">
      <c r="A10" s="338" t="s">
        <v>288</v>
      </c>
      <c r="B10" s="353">
        <v>8730.32</v>
      </c>
      <c r="C10" s="353">
        <v>7757.77</v>
      </c>
      <c r="D10" s="353">
        <v>6674.81</v>
      </c>
      <c r="E10" s="353">
        <v>5604.43</v>
      </c>
      <c r="F10" s="353">
        <v>4658.97</v>
      </c>
      <c r="G10" s="353">
        <v>4820.16</v>
      </c>
      <c r="H10" s="353">
        <v>5341.43</v>
      </c>
      <c r="I10" s="353">
        <v>4552.25</v>
      </c>
      <c r="J10" s="353">
        <v>3793.95</v>
      </c>
      <c r="K10" s="353">
        <v>3600.13</v>
      </c>
      <c r="L10" s="324"/>
      <c r="M10" s="324"/>
      <c r="N10" s="324"/>
      <c r="O10" s="324"/>
      <c r="P10" s="324"/>
    </row>
    <row r="11" spans="1:16" x14ac:dyDescent="0.25">
      <c r="A11" s="342" t="s">
        <v>492</v>
      </c>
      <c r="B11" s="343">
        <v>115.83</v>
      </c>
      <c r="C11" s="343">
        <v>113.23</v>
      </c>
      <c r="D11" s="343">
        <v>92.7</v>
      </c>
      <c r="E11" s="343">
        <v>92.66</v>
      </c>
      <c r="F11" s="343">
        <v>114.07</v>
      </c>
      <c r="G11" s="343">
        <v>118.41</v>
      </c>
      <c r="H11" s="343">
        <v>76.03</v>
      </c>
      <c r="I11" s="343">
        <v>88.85</v>
      </c>
      <c r="J11" s="343">
        <v>85.87</v>
      </c>
      <c r="K11" s="343">
        <v>73.78</v>
      </c>
      <c r="L11" s="324"/>
      <c r="M11" s="324"/>
      <c r="N11" s="324"/>
      <c r="O11" s="324"/>
      <c r="P11" s="324"/>
    </row>
    <row r="12" spans="1:16" x14ac:dyDescent="0.25">
      <c r="A12" s="338" t="s">
        <v>289</v>
      </c>
      <c r="B12" s="353">
        <v>8846.15</v>
      </c>
      <c r="C12" s="353">
        <v>7871</v>
      </c>
      <c r="D12" s="353">
        <v>6767.51</v>
      </c>
      <c r="E12" s="353">
        <v>5697.09</v>
      </c>
      <c r="F12" s="353">
        <v>4773.03</v>
      </c>
      <c r="G12" s="353">
        <v>4938.57</v>
      </c>
      <c r="H12" s="353">
        <v>5417.46</v>
      </c>
      <c r="I12" s="353">
        <v>4641.1000000000004</v>
      </c>
      <c r="J12" s="353">
        <v>3879.82</v>
      </c>
      <c r="K12" s="353">
        <v>3673.91</v>
      </c>
      <c r="L12" s="324"/>
      <c r="M12" s="324"/>
      <c r="N12" s="324"/>
      <c r="O12" s="324"/>
      <c r="P12" s="324"/>
    </row>
    <row r="13" spans="1:16" x14ac:dyDescent="0.25">
      <c r="A13" s="342" t="s">
        <v>164</v>
      </c>
      <c r="B13" s="343">
        <v>66.58</v>
      </c>
      <c r="C13" s="343">
        <v>49.47</v>
      </c>
      <c r="D13" s="343">
        <v>28.2</v>
      </c>
      <c r="E13" s="343">
        <v>24.39</v>
      </c>
      <c r="F13" s="343">
        <v>13.55</v>
      </c>
      <c r="G13" s="343">
        <v>36.19</v>
      </c>
      <c r="H13" s="343">
        <v>16.22</v>
      </c>
      <c r="I13" s="343">
        <v>18.39</v>
      </c>
      <c r="J13" s="343">
        <v>12.55</v>
      </c>
      <c r="K13" s="343">
        <v>21.98</v>
      </c>
      <c r="L13" s="324"/>
      <c r="M13" s="324"/>
      <c r="N13" s="324"/>
      <c r="O13" s="324"/>
      <c r="P13" s="324"/>
    </row>
    <row r="14" spans="1:16" x14ac:dyDescent="0.25">
      <c r="A14" s="336" t="s">
        <v>290</v>
      </c>
      <c r="B14" s="348">
        <v>8912.73</v>
      </c>
      <c r="C14" s="348">
        <v>7920.47</v>
      </c>
      <c r="D14" s="348">
        <v>6795.71</v>
      </c>
      <c r="E14" s="348">
        <v>5721.48</v>
      </c>
      <c r="F14" s="348">
        <v>4786.58</v>
      </c>
      <c r="G14" s="348">
        <v>4974.76</v>
      </c>
      <c r="H14" s="348">
        <v>5433.68</v>
      </c>
      <c r="I14" s="348">
        <v>4659.49</v>
      </c>
      <c r="J14" s="348">
        <v>3892.37</v>
      </c>
      <c r="K14" s="348">
        <v>3695.89</v>
      </c>
      <c r="L14" s="324"/>
      <c r="M14" s="324"/>
      <c r="N14" s="324"/>
      <c r="O14" s="324"/>
      <c r="P14" s="324"/>
    </row>
    <row r="15" spans="1:16" x14ac:dyDescent="0.25">
      <c r="A15" s="344" t="s">
        <v>291</v>
      </c>
      <c r="B15" s="345"/>
      <c r="C15" s="339"/>
      <c r="D15" s="339"/>
      <c r="E15" s="339"/>
      <c r="F15" s="339"/>
      <c r="G15" s="345"/>
      <c r="H15" s="339"/>
      <c r="I15" s="339"/>
      <c r="J15" s="339"/>
      <c r="K15" s="339"/>
      <c r="L15" s="324"/>
      <c r="M15" s="324"/>
      <c r="N15" s="324"/>
      <c r="O15" s="324"/>
      <c r="P15" s="324"/>
    </row>
    <row r="16" spans="1:16" x14ac:dyDescent="0.25">
      <c r="A16" s="342" t="s">
        <v>944</v>
      </c>
      <c r="B16" s="347">
        <v>5686.35</v>
      </c>
      <c r="C16" s="347">
        <v>5086.76</v>
      </c>
      <c r="D16" s="347">
        <v>4511.09</v>
      </c>
      <c r="E16" s="347">
        <v>3745.18</v>
      </c>
      <c r="F16" s="347">
        <v>2969.19</v>
      </c>
      <c r="G16" s="347">
        <v>3000.67</v>
      </c>
      <c r="H16" s="347">
        <v>3508.03</v>
      </c>
      <c r="I16" s="347">
        <v>3011.06</v>
      </c>
      <c r="J16" s="347">
        <v>2511.41</v>
      </c>
      <c r="K16" s="347">
        <v>2392.5</v>
      </c>
      <c r="L16" s="324"/>
      <c r="M16" s="324"/>
      <c r="N16" s="324"/>
      <c r="O16" s="324"/>
      <c r="P16" s="324"/>
    </row>
    <row r="17" spans="1:16" x14ac:dyDescent="0.25">
      <c r="A17" s="342" t="s">
        <v>292</v>
      </c>
      <c r="B17" s="343">
        <v>70.67</v>
      </c>
      <c r="C17" s="343">
        <v>60.38</v>
      </c>
      <c r="D17" s="343">
        <v>63.91</v>
      </c>
      <c r="E17" s="343">
        <v>54.07</v>
      </c>
      <c r="F17" s="343">
        <v>44.6</v>
      </c>
      <c r="G17" s="343">
        <v>27.84</v>
      </c>
      <c r="H17" s="343">
        <v>23.08</v>
      </c>
      <c r="I17" s="343">
        <v>9.09</v>
      </c>
      <c r="J17" s="343">
        <v>9.81</v>
      </c>
      <c r="K17" s="343">
        <v>7.86</v>
      </c>
      <c r="L17" s="324"/>
      <c r="M17" s="324"/>
      <c r="N17" s="324"/>
      <c r="O17" s="324"/>
      <c r="P17" s="324"/>
    </row>
    <row r="18" spans="1:16" x14ac:dyDescent="0.25">
      <c r="A18" s="342" t="s">
        <v>293</v>
      </c>
      <c r="B18" s="343">
        <v>-28.57</v>
      </c>
      <c r="C18" s="343">
        <v>-6.44</v>
      </c>
      <c r="D18" s="343">
        <v>-42.4</v>
      </c>
      <c r="E18" s="343">
        <v>-40.93</v>
      </c>
      <c r="F18" s="343">
        <v>-44.43</v>
      </c>
      <c r="G18" s="343">
        <v>18.809999999999999</v>
      </c>
      <c r="H18" s="343">
        <v>-7.38</v>
      </c>
      <c r="I18" s="343">
        <v>9.43</v>
      </c>
      <c r="J18" s="343">
        <v>-43.22</v>
      </c>
      <c r="K18" s="343">
        <v>-16.2</v>
      </c>
      <c r="L18" s="324"/>
      <c r="M18" s="324"/>
      <c r="N18" s="324"/>
      <c r="O18" s="324"/>
      <c r="P18" s="324"/>
    </row>
    <row r="19" spans="1:16" x14ac:dyDescent="0.25">
      <c r="A19" s="342" t="s">
        <v>294</v>
      </c>
      <c r="B19" s="343">
        <v>435.78</v>
      </c>
      <c r="C19" s="343">
        <v>380.12</v>
      </c>
      <c r="D19" s="343">
        <v>324.18</v>
      </c>
      <c r="E19" s="343">
        <v>290.31</v>
      </c>
      <c r="F19" s="343">
        <v>286.56</v>
      </c>
      <c r="G19" s="343">
        <v>296.13</v>
      </c>
      <c r="H19" s="343">
        <v>277.74</v>
      </c>
      <c r="I19" s="343">
        <v>254.7</v>
      </c>
      <c r="J19" s="343">
        <v>242.18</v>
      </c>
      <c r="K19" s="343">
        <v>207.71</v>
      </c>
      <c r="L19" s="324"/>
      <c r="M19" s="324"/>
      <c r="N19" s="324"/>
      <c r="O19" s="324"/>
      <c r="P19" s="324"/>
    </row>
    <row r="20" spans="1:16" x14ac:dyDescent="0.25">
      <c r="A20" s="342" t="s">
        <v>295</v>
      </c>
      <c r="B20" s="343">
        <v>2.56</v>
      </c>
      <c r="C20" s="343">
        <v>2.99</v>
      </c>
      <c r="D20" s="343">
        <v>4.2699999999999996</v>
      </c>
      <c r="E20" s="343">
        <v>1.82</v>
      </c>
      <c r="F20" s="343">
        <v>4.8</v>
      </c>
      <c r="G20" s="343">
        <v>10.82</v>
      </c>
      <c r="H20" s="343">
        <v>17.07</v>
      </c>
      <c r="I20" s="343">
        <v>10.25</v>
      </c>
      <c r="J20" s="343">
        <v>17.86</v>
      </c>
      <c r="K20" s="343">
        <v>32.549999999999997</v>
      </c>
      <c r="L20" s="324"/>
      <c r="M20" s="324"/>
      <c r="N20" s="324"/>
      <c r="O20" s="324"/>
      <c r="P20" s="324"/>
    </row>
    <row r="21" spans="1:16" x14ac:dyDescent="0.25">
      <c r="A21" s="342" t="s">
        <v>296</v>
      </c>
      <c r="B21" s="343">
        <v>289.64999999999998</v>
      </c>
      <c r="C21" s="343">
        <v>262.52</v>
      </c>
      <c r="D21" s="343">
        <v>240.71</v>
      </c>
      <c r="E21" s="343">
        <v>203.74</v>
      </c>
      <c r="F21" s="343">
        <v>203.42</v>
      </c>
      <c r="G21" s="343">
        <v>199.25</v>
      </c>
      <c r="H21" s="343">
        <v>175.7</v>
      </c>
      <c r="I21" s="343">
        <v>169.63</v>
      </c>
      <c r="J21" s="343">
        <v>166.86</v>
      </c>
      <c r="K21" s="343">
        <v>150.47999999999999</v>
      </c>
      <c r="L21" s="324"/>
      <c r="M21" s="324"/>
      <c r="N21" s="324"/>
      <c r="O21" s="324"/>
      <c r="P21" s="324"/>
    </row>
    <row r="22" spans="1:16" x14ac:dyDescent="0.25">
      <c r="A22" s="342" t="s">
        <v>182</v>
      </c>
      <c r="B22" s="347">
        <v>1530.87</v>
      </c>
      <c r="C22" s="347">
        <v>1343.86</v>
      </c>
      <c r="D22" s="347">
        <v>1131.49</v>
      </c>
      <c r="E22" s="343">
        <v>919.79</v>
      </c>
      <c r="F22" s="343">
        <v>785.53</v>
      </c>
      <c r="G22" s="343">
        <v>861.06</v>
      </c>
      <c r="H22" s="343">
        <v>895.9</v>
      </c>
      <c r="I22" s="343">
        <v>766.46</v>
      </c>
      <c r="J22" s="343">
        <v>688.6</v>
      </c>
      <c r="K22" s="343">
        <v>639.78</v>
      </c>
      <c r="L22" s="324"/>
      <c r="M22" s="324"/>
      <c r="N22" s="324"/>
      <c r="O22" s="324"/>
      <c r="P22" s="324"/>
    </row>
    <row r="23" spans="1:16" x14ac:dyDescent="0.25">
      <c r="A23" s="342" t="s">
        <v>946</v>
      </c>
      <c r="B23" s="347"/>
      <c r="C23" s="347"/>
      <c r="D23" s="347"/>
      <c r="E23" s="343"/>
      <c r="F23" s="343"/>
      <c r="G23" s="343">
        <v>8.26</v>
      </c>
      <c r="H23" s="343">
        <v>11.92</v>
      </c>
      <c r="I23" s="343">
        <v>0</v>
      </c>
      <c r="J23" s="343">
        <v>0</v>
      </c>
      <c r="K23" s="343">
        <v>0</v>
      </c>
      <c r="L23" s="324"/>
      <c r="M23" s="324"/>
      <c r="N23" s="324"/>
      <c r="O23" s="324"/>
      <c r="P23" s="324"/>
    </row>
    <row r="24" spans="1:16" x14ac:dyDescent="0.25">
      <c r="A24" s="336" t="s">
        <v>165</v>
      </c>
      <c r="B24" s="348">
        <v>7987.31</v>
      </c>
      <c r="C24" s="348">
        <v>7130.2</v>
      </c>
      <c r="D24" s="348">
        <v>6233.25</v>
      </c>
      <c r="E24" s="348">
        <v>5173.99</v>
      </c>
      <c r="F24" s="348">
        <v>4249.66</v>
      </c>
      <c r="G24" s="348">
        <v>4406.32</v>
      </c>
      <c r="H24" s="348">
        <v>4878.22</v>
      </c>
      <c r="I24" s="348">
        <v>4230.6099999999997</v>
      </c>
      <c r="J24" s="348">
        <v>3593.49</v>
      </c>
      <c r="K24" s="348">
        <v>3414.66</v>
      </c>
      <c r="L24" s="324"/>
      <c r="M24" s="324"/>
      <c r="N24" s="324"/>
      <c r="O24" s="324"/>
      <c r="P24" s="324"/>
    </row>
    <row r="25" spans="1:16" x14ac:dyDescent="0.25">
      <c r="A25" s="338"/>
      <c r="B25" s="340">
        <v>45717</v>
      </c>
      <c r="C25" s="340">
        <v>45352</v>
      </c>
      <c r="D25" s="340">
        <v>44986</v>
      </c>
      <c r="E25" s="340">
        <v>44621</v>
      </c>
      <c r="F25" s="340">
        <v>44256</v>
      </c>
      <c r="G25" s="340">
        <v>43891</v>
      </c>
      <c r="H25" s="340">
        <v>43525</v>
      </c>
      <c r="I25" s="340">
        <v>43160</v>
      </c>
      <c r="J25" s="340">
        <v>42795</v>
      </c>
      <c r="K25" s="340">
        <v>42430</v>
      </c>
      <c r="L25" s="324"/>
      <c r="M25" s="324"/>
      <c r="N25" s="324"/>
      <c r="O25" s="324"/>
      <c r="P25" s="324"/>
    </row>
    <row r="26" spans="1:16" x14ac:dyDescent="0.25">
      <c r="A26" s="341" t="e" vm="1">
        <v>#VALUE!</v>
      </c>
      <c r="B26" s="341"/>
      <c r="C26" s="341"/>
      <c r="D26" s="341"/>
      <c r="E26" s="341"/>
      <c r="F26" s="341"/>
      <c r="G26" s="341"/>
      <c r="H26" s="341"/>
      <c r="I26" s="341"/>
      <c r="J26" s="341"/>
      <c r="K26" s="341"/>
      <c r="L26" s="341"/>
      <c r="M26" s="341"/>
      <c r="N26" s="341"/>
      <c r="O26" s="341"/>
      <c r="P26" s="341"/>
    </row>
    <row r="27" spans="1:16" x14ac:dyDescent="0.25">
      <c r="A27" s="342"/>
      <c r="B27" s="343" t="s">
        <v>939</v>
      </c>
      <c r="C27" s="343" t="s">
        <v>939</v>
      </c>
      <c r="D27" s="343" t="s">
        <v>939</v>
      </c>
      <c r="E27" s="343" t="s">
        <v>939</v>
      </c>
      <c r="F27" s="343" t="s">
        <v>939</v>
      </c>
      <c r="G27" s="343" t="s">
        <v>939</v>
      </c>
      <c r="H27" s="343" t="s">
        <v>939</v>
      </c>
      <c r="I27" s="343" t="s">
        <v>939</v>
      </c>
      <c r="J27" s="343" t="s">
        <v>939</v>
      </c>
      <c r="K27" s="343" t="s">
        <v>939</v>
      </c>
      <c r="L27" s="324"/>
      <c r="M27" s="324"/>
      <c r="N27" s="324"/>
      <c r="O27" s="324"/>
      <c r="P27" s="324"/>
    </row>
    <row r="28" spans="1:16" x14ac:dyDescent="0.25">
      <c r="A28" s="341" t="e" vm="1">
        <v>#VALUE!</v>
      </c>
      <c r="B28" s="341"/>
      <c r="C28" s="341"/>
      <c r="D28" s="341"/>
      <c r="E28" s="341"/>
      <c r="F28" s="341"/>
      <c r="G28" s="341"/>
      <c r="H28" s="341"/>
      <c r="I28" s="341"/>
      <c r="J28" s="341"/>
      <c r="K28" s="341"/>
      <c r="L28" s="341"/>
      <c r="M28" s="341"/>
      <c r="N28" s="341"/>
      <c r="O28" s="341"/>
      <c r="P28" s="341"/>
    </row>
    <row r="29" spans="1:16" x14ac:dyDescent="0.25">
      <c r="A29" s="336" t="s">
        <v>297</v>
      </c>
      <c r="B29" s="346">
        <v>925.42</v>
      </c>
      <c r="C29" s="346">
        <v>790.27</v>
      </c>
      <c r="D29" s="346">
        <v>562.46</v>
      </c>
      <c r="E29" s="346">
        <v>547.49</v>
      </c>
      <c r="F29" s="346">
        <v>536.91999999999996</v>
      </c>
      <c r="G29" s="346">
        <v>568.44000000000005</v>
      </c>
      <c r="H29" s="346">
        <v>555.46</v>
      </c>
      <c r="I29" s="346">
        <v>428.88</v>
      </c>
      <c r="J29" s="346">
        <v>298.88</v>
      </c>
      <c r="K29" s="346">
        <v>281.22000000000003</v>
      </c>
      <c r="L29" s="324"/>
      <c r="M29" s="324"/>
      <c r="N29" s="324"/>
      <c r="O29" s="324"/>
      <c r="P29" s="324"/>
    </row>
    <row r="30" spans="1:16" ht="24" customHeight="1" x14ac:dyDescent="0.25">
      <c r="A30" s="342" t="s">
        <v>186</v>
      </c>
      <c r="B30" s="343">
        <v>-17.36</v>
      </c>
      <c r="C30" s="343">
        <v>0</v>
      </c>
      <c r="D30" s="343">
        <v>-10.29</v>
      </c>
      <c r="E30" s="343">
        <v>-31.45</v>
      </c>
      <c r="F30" s="343">
        <v>-11.23</v>
      </c>
      <c r="G30" s="343">
        <v>0</v>
      </c>
      <c r="H30" s="343">
        <v>-20.8</v>
      </c>
      <c r="I30" s="343">
        <v>-26.88</v>
      </c>
      <c r="J30" s="343">
        <v>0</v>
      </c>
      <c r="K30" s="343">
        <v>0</v>
      </c>
      <c r="L30" s="324"/>
      <c r="M30" s="324"/>
      <c r="N30" s="324"/>
      <c r="O30" s="324"/>
      <c r="P30" s="324"/>
    </row>
    <row r="31" spans="1:16" x14ac:dyDescent="0.25">
      <c r="A31" s="338" t="s">
        <v>298</v>
      </c>
      <c r="B31" s="339">
        <v>908.06</v>
      </c>
      <c r="C31" s="339">
        <v>790.27</v>
      </c>
      <c r="D31" s="339">
        <v>552.16999999999996</v>
      </c>
      <c r="E31" s="339">
        <v>516.04</v>
      </c>
      <c r="F31" s="339">
        <v>525.70000000000005</v>
      </c>
      <c r="G31" s="339">
        <v>568.44000000000005</v>
      </c>
      <c r="H31" s="339">
        <v>534.66</v>
      </c>
      <c r="I31" s="339">
        <v>402</v>
      </c>
      <c r="J31" s="339">
        <v>298.88</v>
      </c>
      <c r="K31" s="339">
        <v>281.22000000000003</v>
      </c>
      <c r="L31" s="324"/>
      <c r="M31" s="324"/>
      <c r="N31" s="324"/>
      <c r="O31" s="324"/>
      <c r="P31" s="324"/>
    </row>
    <row r="32" spans="1:16" ht="24" customHeight="1" x14ac:dyDescent="0.25">
      <c r="A32" s="344" t="s">
        <v>945</v>
      </c>
      <c r="B32" s="345"/>
      <c r="C32" s="339"/>
      <c r="D32" s="339"/>
      <c r="E32" s="339"/>
      <c r="F32" s="339"/>
      <c r="G32" s="345"/>
      <c r="H32" s="339"/>
      <c r="I32" s="339"/>
      <c r="J32" s="339"/>
      <c r="K32" s="339"/>
      <c r="L32" s="324"/>
      <c r="M32" s="324"/>
      <c r="N32" s="324"/>
      <c r="O32" s="324"/>
      <c r="P32" s="324"/>
    </row>
    <row r="33" spans="1:16" x14ac:dyDescent="0.25">
      <c r="A33" s="342" t="s">
        <v>299</v>
      </c>
      <c r="B33" s="343">
        <v>229.68</v>
      </c>
      <c r="C33" s="343">
        <v>194.76</v>
      </c>
      <c r="D33" s="343">
        <v>141.4</v>
      </c>
      <c r="E33" s="343">
        <v>136.59</v>
      </c>
      <c r="F33" s="343">
        <v>142.59</v>
      </c>
      <c r="G33" s="343">
        <v>147.53</v>
      </c>
      <c r="H33" s="343">
        <v>159.5</v>
      </c>
      <c r="I33" s="343">
        <v>126.12</v>
      </c>
      <c r="J33" s="343">
        <v>75.78</v>
      </c>
      <c r="K33" s="343">
        <v>71.3</v>
      </c>
      <c r="L33" s="324"/>
      <c r="M33" s="324"/>
      <c r="N33" s="324"/>
      <c r="O33" s="324"/>
      <c r="P33" s="324"/>
    </row>
    <row r="34" spans="1:16" x14ac:dyDescent="0.25">
      <c r="A34" s="342" t="s">
        <v>300</v>
      </c>
      <c r="B34" s="343">
        <v>1.88</v>
      </c>
      <c r="C34" s="343">
        <v>19.46</v>
      </c>
      <c r="D34" s="343">
        <v>1.86</v>
      </c>
      <c r="E34" s="343">
        <v>-2.29</v>
      </c>
      <c r="F34" s="343">
        <v>-9.09</v>
      </c>
      <c r="G34" s="343">
        <v>-6.78</v>
      </c>
      <c r="H34" s="343">
        <v>15.79</v>
      </c>
      <c r="I34" s="343">
        <v>10.67</v>
      </c>
      <c r="J34" s="343">
        <v>1.48</v>
      </c>
      <c r="K34" s="343">
        <v>4.33</v>
      </c>
      <c r="L34" s="324"/>
      <c r="M34" s="324"/>
      <c r="N34" s="324"/>
      <c r="O34" s="324"/>
      <c r="P34" s="324"/>
    </row>
    <row r="35" spans="1:16" x14ac:dyDescent="0.25">
      <c r="A35" s="342" t="s">
        <v>480</v>
      </c>
      <c r="B35" s="343">
        <v>-2.16</v>
      </c>
      <c r="C35" s="343">
        <v>-11.75</v>
      </c>
      <c r="D35" s="343">
        <v>0</v>
      </c>
      <c r="E35" s="343">
        <v>0</v>
      </c>
      <c r="F35" s="343">
        <v>0</v>
      </c>
      <c r="G35" s="343">
        <v>0</v>
      </c>
      <c r="H35" s="343">
        <v>1.51</v>
      </c>
      <c r="I35" s="343">
        <v>-6.4</v>
      </c>
      <c r="J35" s="343">
        <v>0.13</v>
      </c>
      <c r="K35" s="343">
        <v>0</v>
      </c>
      <c r="L35" s="324"/>
      <c r="M35" s="324"/>
      <c r="N35" s="324"/>
      <c r="O35" s="324"/>
      <c r="P35" s="324"/>
    </row>
    <row r="36" spans="1:16" x14ac:dyDescent="0.25">
      <c r="A36" s="338" t="s">
        <v>301</v>
      </c>
      <c r="B36" s="339">
        <v>229.4</v>
      </c>
      <c r="C36" s="339">
        <v>202.48</v>
      </c>
      <c r="D36" s="339">
        <v>143.25</v>
      </c>
      <c r="E36" s="339">
        <v>134.30000000000001</v>
      </c>
      <c r="F36" s="339">
        <v>133.5</v>
      </c>
      <c r="G36" s="339">
        <v>140.75</v>
      </c>
      <c r="H36" s="339">
        <v>176.8</v>
      </c>
      <c r="I36" s="339">
        <v>130.4</v>
      </c>
      <c r="J36" s="339">
        <v>77.38</v>
      </c>
      <c r="K36" s="339">
        <v>75.63</v>
      </c>
      <c r="L36" s="324"/>
      <c r="M36" s="324"/>
      <c r="N36" s="324"/>
      <c r="O36" s="324"/>
      <c r="P36" s="324"/>
    </row>
    <row r="37" spans="1:16" x14ac:dyDescent="0.25">
      <c r="A37" s="338" t="s">
        <v>302</v>
      </c>
      <c r="B37" s="339">
        <v>678.66</v>
      </c>
      <c r="C37" s="339">
        <v>587.79</v>
      </c>
      <c r="D37" s="339">
        <v>408.92</v>
      </c>
      <c r="E37" s="339">
        <v>381.74</v>
      </c>
      <c r="F37" s="339">
        <v>392.2</v>
      </c>
      <c r="G37" s="339">
        <v>427.69</v>
      </c>
      <c r="H37" s="339">
        <v>357.86</v>
      </c>
      <c r="I37" s="339">
        <v>271.60000000000002</v>
      </c>
      <c r="J37" s="339">
        <v>221.5</v>
      </c>
      <c r="K37" s="339">
        <v>205.6</v>
      </c>
      <c r="L37" s="324"/>
      <c r="M37" s="324"/>
      <c r="N37" s="324"/>
      <c r="O37" s="324"/>
      <c r="P37" s="324"/>
    </row>
    <row r="38" spans="1:16" x14ac:dyDescent="0.25">
      <c r="A38" s="338" t="s">
        <v>304</v>
      </c>
      <c r="B38" s="339">
        <v>678.66</v>
      </c>
      <c r="C38" s="339">
        <v>587.79</v>
      </c>
      <c r="D38" s="339">
        <v>408.92</v>
      </c>
      <c r="E38" s="339">
        <v>381.74</v>
      </c>
      <c r="F38" s="339">
        <v>392.2</v>
      </c>
      <c r="G38" s="339">
        <v>427.69</v>
      </c>
      <c r="H38" s="339">
        <v>357.86</v>
      </c>
      <c r="I38" s="339">
        <v>271.60000000000002</v>
      </c>
      <c r="J38" s="339">
        <v>221.5</v>
      </c>
      <c r="K38" s="339">
        <v>205.6</v>
      </c>
      <c r="L38" s="324"/>
      <c r="M38" s="324"/>
      <c r="N38" s="324"/>
      <c r="O38" s="324"/>
      <c r="P38" s="324"/>
    </row>
    <row r="39" spans="1:16" x14ac:dyDescent="0.25">
      <c r="A39" s="336" t="s">
        <v>305</v>
      </c>
      <c r="B39" s="346">
        <v>678.66</v>
      </c>
      <c r="C39" s="346">
        <v>587.79</v>
      </c>
      <c r="D39" s="346">
        <v>408.92</v>
      </c>
      <c r="E39" s="346">
        <v>381.74</v>
      </c>
      <c r="F39" s="346">
        <v>392.2</v>
      </c>
      <c r="G39" s="346">
        <v>427.69</v>
      </c>
      <c r="H39" s="346">
        <v>357.86</v>
      </c>
      <c r="I39" s="346">
        <v>271.60000000000002</v>
      </c>
      <c r="J39" s="346">
        <v>221.5</v>
      </c>
      <c r="K39" s="346">
        <v>205.6</v>
      </c>
      <c r="L39" s="324"/>
      <c r="M39" s="324"/>
      <c r="N39" s="324"/>
      <c r="O39" s="324"/>
      <c r="P39" s="324"/>
    </row>
    <row r="40" spans="1:16" x14ac:dyDescent="0.25">
      <c r="A40" s="338"/>
      <c r="B40" s="340">
        <v>45717</v>
      </c>
      <c r="C40" s="340">
        <v>45352</v>
      </c>
      <c r="D40" s="340">
        <v>44986</v>
      </c>
      <c r="E40" s="340">
        <v>44621</v>
      </c>
      <c r="F40" s="340">
        <v>44256</v>
      </c>
      <c r="G40" s="340">
        <v>43891</v>
      </c>
      <c r="H40" s="340">
        <v>43525</v>
      </c>
      <c r="I40" s="340">
        <v>43160</v>
      </c>
      <c r="J40" s="340">
        <v>42795</v>
      </c>
      <c r="K40" s="340">
        <v>42430</v>
      </c>
      <c r="L40" s="324"/>
      <c r="M40" s="324"/>
      <c r="N40" s="324"/>
      <c r="O40" s="324"/>
      <c r="P40" s="324"/>
    </row>
    <row r="41" spans="1:16" x14ac:dyDescent="0.25">
      <c r="A41" s="341" t="e" vm="1">
        <v>#VALUE!</v>
      </c>
      <c r="B41" s="341"/>
      <c r="C41" s="341"/>
      <c r="D41" s="341"/>
      <c r="E41" s="341"/>
      <c r="F41" s="341"/>
      <c r="G41" s="341"/>
      <c r="H41" s="341"/>
      <c r="I41" s="341"/>
      <c r="J41" s="341"/>
      <c r="K41" s="341"/>
      <c r="L41" s="341"/>
      <c r="M41" s="341"/>
      <c r="N41" s="341"/>
      <c r="O41" s="341"/>
      <c r="P41" s="341"/>
    </row>
    <row r="42" spans="1:16" ht="24" customHeight="1" x14ac:dyDescent="0.25">
      <c r="A42" s="342"/>
      <c r="B42" s="343" t="s">
        <v>939</v>
      </c>
      <c r="C42" s="343" t="s">
        <v>939</v>
      </c>
      <c r="D42" s="343" t="s">
        <v>939</v>
      </c>
      <c r="E42" s="343" t="s">
        <v>939</v>
      </c>
      <c r="F42" s="343" t="s">
        <v>939</v>
      </c>
      <c r="G42" s="343" t="s">
        <v>939</v>
      </c>
      <c r="H42" s="343" t="s">
        <v>939</v>
      </c>
      <c r="I42" s="343" t="s">
        <v>939</v>
      </c>
      <c r="J42" s="343" t="s">
        <v>939</v>
      </c>
      <c r="K42" s="343" t="s">
        <v>939</v>
      </c>
      <c r="L42" s="324"/>
      <c r="M42" s="324"/>
      <c r="N42" s="324"/>
      <c r="O42" s="324"/>
      <c r="P42" s="324"/>
    </row>
    <row r="43" spans="1:16" ht="24" customHeight="1" x14ac:dyDescent="0.25">
      <c r="A43" s="341" t="e" vm="1">
        <v>#VALUE!</v>
      </c>
      <c r="B43" s="341"/>
      <c r="C43" s="341"/>
      <c r="D43" s="341"/>
      <c r="E43" s="341"/>
      <c r="F43" s="341"/>
      <c r="G43" s="341"/>
      <c r="H43" s="341"/>
      <c r="I43" s="341"/>
      <c r="J43" s="341"/>
      <c r="K43" s="341"/>
      <c r="L43" s="341"/>
      <c r="M43" s="341"/>
      <c r="N43" s="341"/>
      <c r="O43" s="341"/>
      <c r="P43" s="341"/>
    </row>
    <row r="44" spans="1:16" ht="24" customHeight="1" x14ac:dyDescent="0.25">
      <c r="A44" s="344" t="s">
        <v>278</v>
      </c>
      <c r="B44" s="345"/>
      <c r="C44" s="339"/>
      <c r="D44" s="339"/>
      <c r="E44" s="339"/>
      <c r="F44" s="339"/>
      <c r="G44" s="345"/>
      <c r="H44" s="339"/>
      <c r="I44" s="339"/>
      <c r="J44" s="339"/>
      <c r="K44" s="339"/>
      <c r="L44" s="324"/>
      <c r="M44" s="324"/>
      <c r="N44" s="324"/>
      <c r="O44" s="324"/>
      <c r="P44" s="324"/>
    </row>
    <row r="45" spans="1:16" ht="24" customHeight="1" x14ac:dyDescent="0.25">
      <c r="A45" s="344" t="s">
        <v>306</v>
      </c>
      <c r="B45" s="345"/>
      <c r="C45" s="339"/>
      <c r="D45" s="339"/>
      <c r="E45" s="339"/>
      <c r="F45" s="339"/>
      <c r="G45" s="345"/>
      <c r="H45" s="339"/>
      <c r="I45" s="339"/>
      <c r="J45" s="339"/>
      <c r="K45" s="339"/>
      <c r="L45" s="324"/>
      <c r="M45" s="324"/>
      <c r="N45" s="324"/>
      <c r="O45" s="324"/>
      <c r="P45" s="324"/>
    </row>
    <row r="46" spans="1:16" ht="36" customHeight="1" x14ac:dyDescent="0.25">
      <c r="A46" s="342" t="s">
        <v>307</v>
      </c>
      <c r="B46" s="343">
        <v>48.25</v>
      </c>
      <c r="C46" s="343">
        <v>41.79</v>
      </c>
      <c r="D46" s="343">
        <v>29.07</v>
      </c>
      <c r="E46" s="343">
        <v>27.14</v>
      </c>
      <c r="F46" s="343">
        <v>27.88</v>
      </c>
      <c r="G46" s="343">
        <v>30.41</v>
      </c>
      <c r="H46" s="343">
        <v>25.44</v>
      </c>
      <c r="I46" s="343">
        <v>19.309999999999999</v>
      </c>
      <c r="J46" s="343">
        <v>15.75</v>
      </c>
      <c r="K46" s="343">
        <v>14.62</v>
      </c>
      <c r="L46" s="324"/>
      <c r="M46" s="324"/>
      <c r="N46" s="324"/>
      <c r="O46" s="324"/>
      <c r="P46" s="324"/>
    </row>
    <row r="47" spans="1:16" ht="24" customHeight="1" x14ac:dyDescent="0.25">
      <c r="A47" s="342" t="s">
        <v>308</v>
      </c>
      <c r="B47" s="343">
        <v>48.25</v>
      </c>
      <c r="C47" s="343">
        <v>41.79</v>
      </c>
      <c r="D47" s="343">
        <v>29.07</v>
      </c>
      <c r="E47" s="343">
        <v>27.14</v>
      </c>
      <c r="F47" s="343">
        <v>27.88</v>
      </c>
      <c r="G47" s="343">
        <v>30.41</v>
      </c>
      <c r="H47" s="343">
        <v>25.44</v>
      </c>
      <c r="I47" s="343">
        <v>19.309999999999999</v>
      </c>
      <c r="J47" s="343">
        <v>15.75</v>
      </c>
      <c r="K47" s="343">
        <v>14.62</v>
      </c>
      <c r="L47" s="324"/>
      <c r="M47" s="324"/>
      <c r="N47" s="324"/>
      <c r="O47" s="324"/>
      <c r="P47" s="324"/>
    </row>
    <row r="48" spans="1:16" ht="36" customHeight="1" x14ac:dyDescent="0.25">
      <c r="A48" s="344" t="s">
        <v>322</v>
      </c>
      <c r="B48" s="345"/>
      <c r="C48" s="339"/>
      <c r="D48" s="339"/>
      <c r="E48" s="339"/>
      <c r="F48" s="339"/>
      <c r="G48" s="345"/>
      <c r="H48" s="339"/>
      <c r="I48" s="339"/>
      <c r="J48" s="339"/>
      <c r="K48" s="339"/>
      <c r="L48" s="324"/>
      <c r="M48" s="324"/>
      <c r="N48" s="324"/>
      <c r="O48" s="324"/>
      <c r="P48" s="324"/>
    </row>
    <row r="49" spans="1:16" x14ac:dyDescent="0.25">
      <c r="A49" s="342" t="s">
        <v>520</v>
      </c>
      <c r="B49" s="345"/>
      <c r="C49" s="339"/>
      <c r="D49" s="339"/>
      <c r="E49" s="339"/>
      <c r="F49" s="339"/>
      <c r="G49" s="343">
        <v>0</v>
      </c>
      <c r="H49" s="343">
        <v>0</v>
      </c>
      <c r="I49" s="343">
        <v>0</v>
      </c>
      <c r="J49" s="343">
        <v>0</v>
      </c>
      <c r="K49" s="343">
        <v>314.82</v>
      </c>
      <c r="L49" s="324"/>
      <c r="M49" s="324"/>
      <c r="N49" s="324"/>
      <c r="O49" s="324"/>
      <c r="P49" s="324"/>
    </row>
    <row r="50" spans="1:16" x14ac:dyDescent="0.25">
      <c r="A50" s="342" t="s">
        <v>521</v>
      </c>
      <c r="B50" s="345"/>
      <c r="C50" s="339"/>
      <c r="D50" s="339"/>
      <c r="E50" s="339"/>
      <c r="F50" s="339"/>
      <c r="G50" s="343">
        <v>0</v>
      </c>
      <c r="H50" s="343">
        <v>0</v>
      </c>
      <c r="I50" s="343">
        <v>0</v>
      </c>
      <c r="J50" s="343">
        <v>0</v>
      </c>
      <c r="K50" s="347">
        <v>2087.09</v>
      </c>
      <c r="L50" s="324"/>
      <c r="M50" s="324"/>
      <c r="N50" s="324"/>
      <c r="O50" s="324"/>
      <c r="P50" s="324"/>
    </row>
    <row r="51" spans="1:16" ht="24" customHeight="1" x14ac:dyDescent="0.25">
      <c r="A51" s="344" t="s">
        <v>323</v>
      </c>
      <c r="B51" s="345"/>
      <c r="C51" s="339"/>
      <c r="D51" s="339"/>
      <c r="E51" s="339"/>
      <c r="F51" s="339"/>
      <c r="G51" s="345"/>
      <c r="H51" s="339"/>
      <c r="I51" s="339"/>
      <c r="J51" s="339"/>
      <c r="K51" s="339"/>
      <c r="L51" s="324"/>
      <c r="M51" s="324"/>
      <c r="N51" s="324"/>
      <c r="O51" s="324"/>
      <c r="P51" s="324"/>
    </row>
    <row r="52" spans="1:16" x14ac:dyDescent="0.25">
      <c r="A52" s="342" t="s">
        <v>522</v>
      </c>
      <c r="B52" s="345"/>
      <c r="C52" s="339"/>
      <c r="D52" s="339"/>
      <c r="E52" s="339"/>
      <c r="F52" s="339"/>
      <c r="G52" s="343">
        <v>0</v>
      </c>
      <c r="H52" s="343">
        <v>0</v>
      </c>
      <c r="I52" s="343">
        <v>0</v>
      </c>
      <c r="J52" s="343">
        <v>0</v>
      </c>
      <c r="K52" s="343">
        <v>17.600000000000001</v>
      </c>
      <c r="L52" s="324"/>
      <c r="M52" s="324"/>
      <c r="N52" s="324"/>
      <c r="O52" s="324"/>
      <c r="P52" s="324"/>
    </row>
    <row r="53" spans="1:16" x14ac:dyDescent="0.25">
      <c r="A53" s="342" t="s">
        <v>523</v>
      </c>
      <c r="B53" s="345"/>
      <c r="C53" s="339"/>
      <c r="D53" s="339"/>
      <c r="E53" s="339"/>
      <c r="F53" s="339"/>
      <c r="G53" s="343">
        <v>0</v>
      </c>
      <c r="H53" s="343">
        <v>0</v>
      </c>
      <c r="I53" s="343">
        <v>0</v>
      </c>
      <c r="J53" s="343">
        <v>0</v>
      </c>
      <c r="K53" s="343">
        <v>56.24</v>
      </c>
      <c r="L53" s="324"/>
      <c r="M53" s="324"/>
      <c r="N53" s="324"/>
      <c r="O53" s="324"/>
      <c r="P53" s="324"/>
    </row>
    <row r="54" spans="1:16" ht="36" customHeight="1" x14ac:dyDescent="0.25">
      <c r="A54" s="344" t="s">
        <v>309</v>
      </c>
      <c r="B54" s="345"/>
      <c r="C54" s="339"/>
      <c r="D54" s="339"/>
      <c r="E54" s="339"/>
      <c r="F54" s="339"/>
      <c r="G54" s="345"/>
      <c r="H54" s="339"/>
      <c r="I54" s="339"/>
      <c r="J54" s="339"/>
      <c r="K54" s="339"/>
      <c r="L54" s="324"/>
      <c r="M54" s="324"/>
      <c r="N54" s="324"/>
      <c r="O54" s="324"/>
      <c r="P54" s="324"/>
    </row>
    <row r="55" spans="1:16" x14ac:dyDescent="0.25">
      <c r="A55" s="342" t="s">
        <v>505</v>
      </c>
      <c r="B55" s="343">
        <v>119.56</v>
      </c>
      <c r="C55" s="343">
        <v>98.46</v>
      </c>
      <c r="D55" s="343">
        <v>87.91</v>
      </c>
      <c r="E55" s="343">
        <v>84.4</v>
      </c>
      <c r="F55" s="343">
        <v>0</v>
      </c>
      <c r="G55" s="343">
        <v>154.72999999999999</v>
      </c>
      <c r="H55" s="343">
        <v>56.27</v>
      </c>
      <c r="I55" s="343">
        <v>35.17</v>
      </c>
      <c r="J55" s="343">
        <v>5.28</v>
      </c>
      <c r="K55" s="343">
        <v>17.579999999999998</v>
      </c>
      <c r="L55" s="324"/>
      <c r="M55" s="324"/>
      <c r="N55" s="324"/>
      <c r="O55" s="324"/>
      <c r="P55" s="324"/>
    </row>
    <row r="56" spans="1:16" x14ac:dyDescent="0.25">
      <c r="A56" s="342" t="s">
        <v>506</v>
      </c>
      <c r="B56" s="343"/>
      <c r="C56" s="343"/>
      <c r="D56" s="343"/>
      <c r="E56" s="343"/>
      <c r="F56" s="343"/>
      <c r="G56" s="343">
        <v>31.81</v>
      </c>
      <c r="H56" s="343">
        <v>11.57</v>
      </c>
      <c r="I56" s="343">
        <v>7.16</v>
      </c>
      <c r="J56" s="343">
        <v>1.07</v>
      </c>
      <c r="K56" s="343">
        <v>3.58</v>
      </c>
      <c r="L56" s="324"/>
      <c r="M56" s="324"/>
      <c r="N56" s="324"/>
      <c r="O56" s="324"/>
      <c r="P56" s="324"/>
    </row>
    <row r="57" spans="1:16" x14ac:dyDescent="0.25">
      <c r="A57" s="342" t="s">
        <v>193</v>
      </c>
      <c r="B57" s="343">
        <v>100</v>
      </c>
      <c r="C57" s="343">
        <v>85</v>
      </c>
      <c r="D57" s="343">
        <v>70</v>
      </c>
      <c r="E57" s="343">
        <v>63</v>
      </c>
      <c r="F57" s="343">
        <v>60</v>
      </c>
      <c r="G57" s="343">
        <v>55</v>
      </c>
      <c r="H57" s="343">
        <v>55</v>
      </c>
      <c r="I57" s="343">
        <v>40</v>
      </c>
      <c r="J57" s="343">
        <v>25</v>
      </c>
      <c r="K57" s="343">
        <v>74</v>
      </c>
      <c r="L57" s="324"/>
      <c r="M57" s="324"/>
      <c r="N57" s="324"/>
      <c r="O57" s="324"/>
      <c r="P57" s="324"/>
    </row>
    <row r="58" spans="1:16" x14ac:dyDescent="0.25">
      <c r="G58" s="331"/>
      <c r="H58" s="324"/>
      <c r="I58" s="324"/>
      <c r="J58" s="324"/>
      <c r="K58" s="324"/>
      <c r="L58" s="324"/>
      <c r="M58" s="324"/>
      <c r="N58" s="324"/>
      <c r="O58" s="324"/>
      <c r="P58" s="324"/>
    </row>
    <row r="59" spans="1:16" x14ac:dyDescent="0.25">
      <c r="G59" s="361"/>
      <c r="H59" s="361"/>
      <c r="I59" s="361"/>
      <c r="J59" s="361"/>
      <c r="K59" s="361"/>
      <c r="L59" s="324"/>
      <c r="M59" s="324"/>
      <c r="N59" s="324"/>
      <c r="O59" s="324"/>
      <c r="P59" s="324"/>
    </row>
    <row r="60" spans="1:16" x14ac:dyDescent="0.25">
      <c r="G60" s="362"/>
      <c r="H60" s="362"/>
      <c r="I60" s="362"/>
      <c r="J60" s="362"/>
      <c r="K60" s="362"/>
      <c r="L60" s="324"/>
      <c r="M60" s="324"/>
      <c r="N60" s="324"/>
      <c r="O60" s="324"/>
      <c r="P60" s="324"/>
    </row>
    <row r="61" spans="1:16" x14ac:dyDescent="0.25">
      <c r="G61" s="363"/>
      <c r="H61" s="363"/>
      <c r="I61" s="363"/>
      <c r="J61" s="363"/>
      <c r="K61" s="363"/>
      <c r="L61" s="324"/>
      <c r="M61" s="324"/>
      <c r="N61" s="324"/>
      <c r="O61" s="324"/>
      <c r="P61" s="324"/>
    </row>
    <row r="62" spans="1:16" x14ac:dyDescent="0.25">
      <c r="G62" s="362"/>
      <c r="H62" s="362"/>
      <c r="I62" s="362"/>
      <c r="J62" s="362"/>
      <c r="K62" s="362"/>
      <c r="L62" s="324"/>
      <c r="M62" s="324"/>
      <c r="N62" s="324"/>
      <c r="O62" s="324"/>
      <c r="P62" s="324"/>
    </row>
  </sheetData>
  <mergeCells count="4">
    <mergeCell ref="G59:K59"/>
    <mergeCell ref="G60:K60"/>
    <mergeCell ref="G61:K61"/>
    <mergeCell ref="G62:K62"/>
  </mergeCells>
  <hyperlinks>
    <hyperlink ref="B1" r:id="rId1" display="javascript:void(0);" xr:uid="{B00E4880-3531-4DD7-AE24-63497FD5E7C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W171"/>
  <sheetViews>
    <sheetView workbookViewId="0">
      <pane xSplit="1" ySplit="6" topLeftCell="B136" activePane="bottomRight" state="frozen"/>
      <selection pane="topRight" activeCell="B1" sqref="B1"/>
      <selection pane="bottomLeft" activeCell="A7" sqref="A7"/>
      <selection pane="bottomRight" activeCell="B144" sqref="B144"/>
    </sheetView>
  </sheetViews>
  <sheetFormatPr defaultColWidth="9.140625" defaultRowHeight="11.25" x14ac:dyDescent="0.2"/>
  <cols>
    <col min="1" max="1" width="48.140625" style="2" bestFit="1" customWidth="1"/>
    <col min="2" max="7" width="10.140625" style="2" bestFit="1" customWidth="1"/>
    <col min="8" max="12" width="9.5703125" style="2" bestFit="1" customWidth="1"/>
    <col min="13" max="16384" width="9.140625" style="2"/>
  </cols>
  <sheetData>
    <row r="1" spans="1:13" x14ac:dyDescent="0.2">
      <c r="A1" s="1" t="s">
        <v>936</v>
      </c>
      <c r="B1" s="129"/>
      <c r="C1" s="129"/>
    </row>
    <row r="2" spans="1:13" x14ac:dyDescent="0.2">
      <c r="A2" s="1"/>
      <c r="B2" s="129"/>
      <c r="C2" s="129"/>
    </row>
    <row r="3" spans="1:13" x14ac:dyDescent="0.2">
      <c r="A3" s="130" t="s">
        <v>500</v>
      </c>
      <c r="B3" s="131"/>
      <c r="C3" s="131"/>
    </row>
    <row r="4" spans="1:13" x14ac:dyDescent="0.2">
      <c r="A4" s="130"/>
    </row>
    <row r="5" spans="1:13" x14ac:dyDescent="0.2">
      <c r="A5" s="132" t="s">
        <v>255</v>
      </c>
      <c r="B5" s="133"/>
      <c r="C5" s="133"/>
      <c r="D5" s="134"/>
      <c r="E5" s="134"/>
      <c r="F5" s="134"/>
      <c r="G5" s="134"/>
    </row>
    <row r="6" spans="1:13" x14ac:dyDescent="0.2">
      <c r="A6" s="132" t="s">
        <v>256</v>
      </c>
      <c r="B6" s="223" t="s">
        <v>909</v>
      </c>
      <c r="C6" s="223" t="s">
        <v>637</v>
      </c>
      <c r="D6" s="223">
        <v>45016</v>
      </c>
      <c r="E6" s="223">
        <v>44651</v>
      </c>
      <c r="F6" s="223">
        <v>44286</v>
      </c>
      <c r="G6" s="223">
        <v>43921</v>
      </c>
      <c r="H6" s="223">
        <v>43555</v>
      </c>
      <c r="I6" s="223">
        <v>43190</v>
      </c>
      <c r="J6" s="223">
        <v>42825</v>
      </c>
      <c r="K6" s="223">
        <v>42460</v>
      </c>
      <c r="L6" s="223">
        <v>42094</v>
      </c>
      <c r="M6" s="223"/>
    </row>
    <row r="7" spans="1:13" x14ac:dyDescent="0.2">
      <c r="A7" s="135" t="s">
        <v>156</v>
      </c>
      <c r="B7" s="136">
        <v>140.66</v>
      </c>
      <c r="C7" s="136">
        <v>140.66</v>
      </c>
      <c r="D7" s="136">
        <v>140.66</v>
      </c>
      <c r="E7" s="136">
        <v>140.66</v>
      </c>
      <c r="F7" s="136">
        <v>140.66</v>
      </c>
      <c r="G7" s="136">
        <v>140.66</v>
      </c>
      <c r="H7" s="2">
        <v>140.66</v>
      </c>
      <c r="I7" s="2">
        <v>140.66</v>
      </c>
      <c r="J7" s="2">
        <v>140.66</v>
      </c>
      <c r="K7" s="2">
        <v>17.579999999999998</v>
      </c>
    </row>
    <row r="8" spans="1:13" x14ac:dyDescent="0.2">
      <c r="A8" s="130" t="s">
        <v>155</v>
      </c>
      <c r="B8" s="134">
        <f>SUM(B7)</f>
        <v>140.66</v>
      </c>
      <c r="C8" s="134">
        <f>SUM(C7)</f>
        <v>140.66</v>
      </c>
      <c r="D8" s="134">
        <f t="shared" ref="D8:L8" si="0">SUM(D7)</f>
        <v>140.66</v>
      </c>
      <c r="E8" s="134">
        <f t="shared" si="0"/>
        <v>140.66</v>
      </c>
      <c r="F8" s="134">
        <f t="shared" si="0"/>
        <v>140.66</v>
      </c>
      <c r="G8" s="134">
        <f t="shared" si="0"/>
        <v>140.66</v>
      </c>
      <c r="H8" s="134">
        <f t="shared" si="0"/>
        <v>140.66</v>
      </c>
      <c r="I8" s="134">
        <f t="shared" si="0"/>
        <v>140.66</v>
      </c>
      <c r="J8" s="134">
        <f t="shared" si="0"/>
        <v>140.66</v>
      </c>
      <c r="K8" s="134">
        <f t="shared" si="0"/>
        <v>17.579999999999998</v>
      </c>
      <c r="L8" s="134">
        <f t="shared" si="0"/>
        <v>0</v>
      </c>
    </row>
    <row r="9" spans="1:13" x14ac:dyDescent="0.2">
      <c r="A9" s="135" t="s">
        <v>257</v>
      </c>
      <c r="B9" s="136">
        <v>5576.75</v>
      </c>
      <c r="C9" s="136">
        <v>4836.78</v>
      </c>
      <c r="D9" s="136">
        <v>4271.47</v>
      </c>
      <c r="E9" s="136">
        <v>3779.33</v>
      </c>
      <c r="F9" s="136">
        <v>3421.45</v>
      </c>
      <c r="G9" s="136">
        <v>2865.38</v>
      </c>
      <c r="H9" s="2">
        <v>2424.02</v>
      </c>
      <c r="I9" s="2">
        <v>2032.19</v>
      </c>
      <c r="J9" s="2">
        <v>1588.67</v>
      </c>
      <c r="K9" s="2">
        <v>1432.23</v>
      </c>
    </row>
    <row r="10" spans="1:13" x14ac:dyDescent="0.2">
      <c r="A10" s="130" t="s">
        <v>258</v>
      </c>
      <c r="B10" s="134">
        <f>SUM(B8:B9)</f>
        <v>5717.41</v>
      </c>
      <c r="C10" s="134">
        <f>SUM(C8:C9)</f>
        <v>4977.4399999999996</v>
      </c>
      <c r="D10" s="134">
        <f t="shared" ref="D10:L10" si="1">SUM(D8:D9)</f>
        <v>4412.13</v>
      </c>
      <c r="E10" s="134">
        <f t="shared" si="1"/>
        <v>3919.99</v>
      </c>
      <c r="F10" s="134">
        <f t="shared" si="1"/>
        <v>3562.1099999999997</v>
      </c>
      <c r="G10" s="134">
        <f t="shared" si="1"/>
        <v>3006.04</v>
      </c>
      <c r="H10" s="134">
        <f t="shared" si="1"/>
        <v>2564.6799999999998</v>
      </c>
      <c r="I10" s="134">
        <f t="shared" si="1"/>
        <v>2172.85</v>
      </c>
      <c r="J10" s="134">
        <f t="shared" si="1"/>
        <v>1729.3300000000002</v>
      </c>
      <c r="K10" s="134">
        <f t="shared" si="1"/>
        <v>1449.81</v>
      </c>
      <c r="L10" s="134">
        <f t="shared" si="1"/>
        <v>0</v>
      </c>
    </row>
    <row r="11" spans="1:13" x14ac:dyDescent="0.2">
      <c r="A11" s="135" t="s">
        <v>488</v>
      </c>
      <c r="B11" s="136"/>
      <c r="C11" s="136"/>
      <c r="D11" s="136"/>
      <c r="E11" s="136"/>
      <c r="F11" s="136"/>
      <c r="G11" s="136"/>
    </row>
    <row r="12" spans="1:13" x14ac:dyDescent="0.2">
      <c r="A12" s="130" t="s">
        <v>259</v>
      </c>
      <c r="B12" s="134">
        <f>SUM(B10:B11)</f>
        <v>5717.41</v>
      </c>
      <c r="C12" s="134">
        <f>SUM(C10:C11)</f>
        <v>4977.4399999999996</v>
      </c>
      <c r="D12" s="134">
        <f t="shared" ref="D12:L12" si="2">SUM(D10:D11)</f>
        <v>4412.13</v>
      </c>
      <c r="E12" s="134">
        <f t="shared" si="2"/>
        <v>3919.99</v>
      </c>
      <c r="F12" s="134">
        <f t="shared" si="2"/>
        <v>3562.1099999999997</v>
      </c>
      <c r="G12" s="134">
        <f t="shared" si="2"/>
        <v>3006.04</v>
      </c>
      <c r="H12" s="134">
        <f t="shared" si="2"/>
        <v>2564.6799999999998</v>
      </c>
      <c r="I12" s="134">
        <f t="shared" si="2"/>
        <v>2172.85</v>
      </c>
      <c r="J12" s="134">
        <f t="shared" si="2"/>
        <v>1729.3300000000002</v>
      </c>
      <c r="K12" s="134">
        <f t="shared" si="2"/>
        <v>1449.81</v>
      </c>
      <c r="L12" s="134">
        <f t="shared" si="2"/>
        <v>0</v>
      </c>
    </row>
    <row r="13" spans="1:13" x14ac:dyDescent="0.2">
      <c r="A13" s="189" t="s">
        <v>502</v>
      </c>
      <c r="B13" s="285">
        <v>0</v>
      </c>
      <c r="C13" s="285">
        <v>0</v>
      </c>
      <c r="D13" s="136">
        <v>0</v>
      </c>
      <c r="E13" s="136">
        <v>0</v>
      </c>
      <c r="F13" s="136">
        <v>0.02</v>
      </c>
      <c r="G13" s="136"/>
    </row>
    <row r="14" spans="1:13" x14ac:dyDescent="0.2">
      <c r="A14" s="132" t="s">
        <v>260</v>
      </c>
      <c r="B14" s="133"/>
      <c r="C14" s="133"/>
      <c r="D14" s="134"/>
      <c r="E14" s="134"/>
      <c r="F14" s="134"/>
      <c r="G14" s="134"/>
    </row>
    <row r="15" spans="1:13" x14ac:dyDescent="0.2">
      <c r="A15" s="135" t="s">
        <v>261</v>
      </c>
      <c r="B15" s="179">
        <v>594.64</v>
      </c>
      <c r="C15" s="179">
        <v>480.25</v>
      </c>
      <c r="D15" s="179">
        <v>278.14999999999998</v>
      </c>
      <c r="E15" s="179">
        <v>193.92</v>
      </c>
      <c r="F15" s="179">
        <v>379.18</v>
      </c>
      <c r="G15" s="179">
        <v>402.09</v>
      </c>
      <c r="H15" s="2">
        <v>346.4</v>
      </c>
      <c r="I15" s="2">
        <v>380.33</v>
      </c>
      <c r="J15" s="2">
        <v>342.23</v>
      </c>
      <c r="K15" s="2">
        <v>416.27</v>
      </c>
    </row>
    <row r="16" spans="1:13" x14ac:dyDescent="0.2">
      <c r="A16" s="135" t="s">
        <v>489</v>
      </c>
      <c r="B16" s="136">
        <v>13.35</v>
      </c>
      <c r="C16" s="136">
        <v>14.43</v>
      </c>
      <c r="D16" s="136">
        <v>0.52</v>
      </c>
      <c r="E16" s="136">
        <v>0.63</v>
      </c>
      <c r="F16" s="136">
        <v>0.51</v>
      </c>
      <c r="G16" s="136">
        <v>7.87</v>
      </c>
      <c r="H16" s="2">
        <v>16.13</v>
      </c>
      <c r="I16" s="2">
        <v>1.73</v>
      </c>
      <c r="J16" s="2">
        <v>0.78</v>
      </c>
      <c r="K16" s="2">
        <v>1.1000000000000001</v>
      </c>
    </row>
    <row r="17" spans="1:12" x14ac:dyDescent="0.2">
      <c r="A17" s="135" t="s">
        <v>262</v>
      </c>
      <c r="B17" s="136">
        <v>48.6</v>
      </c>
      <c r="C17" s="136">
        <v>115.97</v>
      </c>
      <c r="D17" s="136">
        <v>116.4</v>
      </c>
      <c r="E17" s="136">
        <v>26.73</v>
      </c>
      <c r="F17" s="136">
        <v>8.98</v>
      </c>
      <c r="G17" s="136">
        <v>11.82</v>
      </c>
      <c r="H17" s="2">
        <v>8.42</v>
      </c>
      <c r="I17" s="2">
        <v>9.58</v>
      </c>
      <c r="J17" s="2">
        <v>6.35</v>
      </c>
      <c r="K17" s="2">
        <v>8.48</v>
      </c>
    </row>
    <row r="18" spans="1:12" x14ac:dyDescent="0.2">
      <c r="A18" s="135" t="s">
        <v>263</v>
      </c>
      <c r="B18" s="179">
        <v>73.459999999999994</v>
      </c>
      <c r="C18" s="179">
        <v>60.18</v>
      </c>
      <c r="D18" s="179">
        <v>64.53</v>
      </c>
      <c r="E18" s="179">
        <v>59.15</v>
      </c>
      <c r="F18" s="179">
        <v>73.36</v>
      </c>
      <c r="G18" s="179">
        <v>77.67</v>
      </c>
      <c r="H18" s="2">
        <v>66.11</v>
      </c>
      <c r="I18" s="2">
        <v>19.649999999999999</v>
      </c>
      <c r="J18" s="2">
        <v>30.7</v>
      </c>
      <c r="K18" s="2">
        <v>30.31</v>
      </c>
    </row>
    <row r="19" spans="1:12" x14ac:dyDescent="0.2">
      <c r="A19" s="130" t="s">
        <v>264</v>
      </c>
      <c r="B19" s="198">
        <f>SUM(B15:B18)</f>
        <v>730.05000000000007</v>
      </c>
      <c r="C19" s="198">
        <f>SUM(C15:C18)</f>
        <v>670.82999999999993</v>
      </c>
      <c r="D19" s="198">
        <f t="shared" ref="D19:L19" si="3">SUM(D15:D18)</f>
        <v>459.59999999999991</v>
      </c>
      <c r="E19" s="198">
        <f t="shared" si="3"/>
        <v>280.42999999999995</v>
      </c>
      <c r="F19" s="198">
        <f t="shared" si="3"/>
        <v>462.03000000000003</v>
      </c>
      <c r="G19" s="198">
        <f t="shared" si="3"/>
        <v>499.45</v>
      </c>
      <c r="H19" s="198">
        <f t="shared" si="3"/>
        <v>437.06</v>
      </c>
      <c r="I19" s="198">
        <f t="shared" si="3"/>
        <v>411.28999999999996</v>
      </c>
      <c r="J19" s="198">
        <f t="shared" si="3"/>
        <v>380.06</v>
      </c>
      <c r="K19" s="198">
        <f t="shared" si="3"/>
        <v>456.16</v>
      </c>
      <c r="L19" s="198">
        <f t="shared" si="3"/>
        <v>0</v>
      </c>
    </row>
    <row r="20" spans="1:12" x14ac:dyDescent="0.2">
      <c r="A20" s="132" t="s">
        <v>265</v>
      </c>
      <c r="B20" s="133"/>
      <c r="C20" s="133"/>
      <c r="D20" s="134"/>
      <c r="E20" s="134"/>
      <c r="F20" s="134"/>
      <c r="G20" s="134"/>
    </row>
    <row r="21" spans="1:12" x14ac:dyDescent="0.2">
      <c r="A21" s="135" t="s">
        <v>266</v>
      </c>
      <c r="B21" s="136">
        <v>309.22000000000003</v>
      </c>
      <c r="C21" s="136">
        <v>259.52999999999997</v>
      </c>
      <c r="D21" s="136">
        <v>205.18</v>
      </c>
      <c r="E21" s="136">
        <v>205.53</v>
      </c>
      <c r="F21" s="136">
        <v>45</v>
      </c>
      <c r="G21" s="136">
        <v>146.1</v>
      </c>
      <c r="H21" s="2">
        <v>212</v>
      </c>
      <c r="I21" s="2">
        <v>178.27</v>
      </c>
      <c r="J21" s="2">
        <v>173.59</v>
      </c>
      <c r="K21" s="2">
        <v>186.91</v>
      </c>
    </row>
    <row r="22" spans="1:12" x14ac:dyDescent="0.2">
      <c r="A22" s="135" t="s">
        <v>231</v>
      </c>
      <c r="B22" s="136">
        <v>1974.26</v>
      </c>
      <c r="C22" s="136">
        <v>1604.47</v>
      </c>
      <c r="D22" s="136">
        <v>1425.74</v>
      </c>
      <c r="E22" s="136">
        <v>1241.3499999999999</v>
      </c>
      <c r="F22" s="136">
        <v>1278.33</v>
      </c>
      <c r="G22" s="136">
        <v>1066.23</v>
      </c>
      <c r="H22" s="2">
        <v>1173.46</v>
      </c>
      <c r="I22" s="2">
        <v>1128.42</v>
      </c>
      <c r="J22" s="2">
        <v>864.19</v>
      </c>
      <c r="K22" s="2">
        <v>738.53</v>
      </c>
    </row>
    <row r="23" spans="1:12" x14ac:dyDescent="0.2">
      <c r="A23" s="135" t="s">
        <v>232</v>
      </c>
      <c r="B23" s="136">
        <v>381.98</v>
      </c>
      <c r="C23" s="136">
        <v>348.98</v>
      </c>
      <c r="D23" s="136">
        <v>267.08</v>
      </c>
      <c r="E23" s="136">
        <v>182.07</v>
      </c>
      <c r="F23" s="136">
        <v>370.16</v>
      </c>
      <c r="G23" s="136">
        <v>318.69</v>
      </c>
      <c r="H23" s="2">
        <v>369.92</v>
      </c>
      <c r="I23" s="2">
        <v>431.35</v>
      </c>
      <c r="J23" s="2">
        <v>341.7</v>
      </c>
      <c r="K23" s="2">
        <v>434.38</v>
      </c>
    </row>
    <row r="24" spans="1:12" x14ac:dyDescent="0.2">
      <c r="A24" s="135" t="s">
        <v>267</v>
      </c>
      <c r="B24" s="136">
        <v>26.35</v>
      </c>
      <c r="C24" s="136">
        <v>24.45</v>
      </c>
      <c r="D24" s="136">
        <v>32.74</v>
      </c>
      <c r="E24" s="136">
        <v>28.25</v>
      </c>
      <c r="F24" s="136">
        <v>29.89</v>
      </c>
      <c r="G24" s="136">
        <v>33.409999999999997</v>
      </c>
      <c r="H24" s="2">
        <v>28.92</v>
      </c>
      <c r="I24" s="2">
        <v>19.100000000000001</v>
      </c>
      <c r="J24" s="2">
        <v>22.38</v>
      </c>
      <c r="K24" s="2">
        <v>16.079999999999998</v>
      </c>
    </row>
    <row r="25" spans="1:12" x14ac:dyDescent="0.2">
      <c r="A25" s="130" t="s">
        <v>268</v>
      </c>
      <c r="B25" s="134">
        <f>SUM(B21:B24)</f>
        <v>2691.81</v>
      </c>
      <c r="C25" s="134">
        <f>SUM(C21:C24)</f>
        <v>2237.4299999999998</v>
      </c>
      <c r="D25" s="134">
        <f t="shared" ref="D25:L25" si="4">SUM(D21:D24)</f>
        <v>1930.74</v>
      </c>
      <c r="E25" s="134">
        <f t="shared" si="4"/>
        <v>1657.1999999999998</v>
      </c>
      <c r="F25" s="134">
        <f t="shared" si="4"/>
        <v>1723.38</v>
      </c>
      <c r="G25" s="134">
        <f t="shared" si="4"/>
        <v>1564.43</v>
      </c>
      <c r="H25" s="134">
        <f t="shared" si="4"/>
        <v>1784.3000000000002</v>
      </c>
      <c r="I25" s="134">
        <f t="shared" si="4"/>
        <v>1757.1399999999999</v>
      </c>
      <c r="J25" s="134">
        <f t="shared" si="4"/>
        <v>1401.8600000000001</v>
      </c>
      <c r="K25" s="134">
        <f t="shared" si="4"/>
        <v>1375.8999999999999</v>
      </c>
      <c r="L25" s="134">
        <f t="shared" si="4"/>
        <v>0</v>
      </c>
    </row>
    <row r="26" spans="1:12" x14ac:dyDescent="0.2">
      <c r="A26" s="130" t="s">
        <v>269</v>
      </c>
      <c r="B26" s="198">
        <f>B12+B13+B19+B25</f>
        <v>9139.27</v>
      </c>
      <c r="C26" s="198">
        <f>C12+C13+C19+C25</f>
        <v>7885.6999999999989</v>
      </c>
      <c r="D26" s="198">
        <f t="shared" ref="D26:L26" si="5">D12+D13+D19+D25</f>
        <v>6802.4699999999993</v>
      </c>
      <c r="E26" s="198">
        <f t="shared" si="5"/>
        <v>5857.62</v>
      </c>
      <c r="F26" s="198">
        <f t="shared" si="5"/>
        <v>5747.54</v>
      </c>
      <c r="G26" s="198">
        <f t="shared" si="5"/>
        <v>5069.92</v>
      </c>
      <c r="H26" s="198">
        <f t="shared" si="5"/>
        <v>4786.04</v>
      </c>
      <c r="I26" s="198">
        <f t="shared" si="5"/>
        <v>4341.28</v>
      </c>
      <c r="J26" s="198">
        <f t="shared" si="5"/>
        <v>3511.2500000000005</v>
      </c>
      <c r="K26" s="198">
        <f t="shared" si="5"/>
        <v>3281.87</v>
      </c>
      <c r="L26" s="198">
        <f t="shared" si="5"/>
        <v>0</v>
      </c>
    </row>
    <row r="27" spans="1:12" x14ac:dyDescent="0.2">
      <c r="A27" s="132"/>
      <c r="B27" s="286"/>
      <c r="C27" s="286"/>
      <c r="D27" s="134"/>
      <c r="E27" s="134"/>
      <c r="F27" s="134"/>
      <c r="G27" s="134"/>
    </row>
    <row r="28" spans="1:12" x14ac:dyDescent="0.2">
      <c r="A28" s="132" t="s">
        <v>270</v>
      </c>
      <c r="B28" s="133"/>
      <c r="C28" s="133"/>
      <c r="D28" s="134"/>
      <c r="E28" s="134"/>
      <c r="F28" s="134"/>
      <c r="G28" s="134"/>
    </row>
    <row r="29" spans="1:12" x14ac:dyDescent="0.2">
      <c r="A29" s="132" t="s">
        <v>271</v>
      </c>
      <c r="B29" s="133"/>
      <c r="C29" s="133"/>
      <c r="D29" s="134"/>
      <c r="E29" s="134"/>
      <c r="F29" s="134"/>
      <c r="G29" s="134"/>
    </row>
    <row r="30" spans="1:12" x14ac:dyDescent="0.2">
      <c r="A30" s="135" t="s">
        <v>211</v>
      </c>
      <c r="B30" s="179">
        <v>3612.46</v>
      </c>
      <c r="C30" s="179">
        <v>3133.65</v>
      </c>
      <c r="D30" s="136">
        <v>2634.68</v>
      </c>
      <c r="E30" s="136">
        <v>2455.8200000000002</v>
      </c>
      <c r="F30" s="136">
        <v>2350.9299999999998</v>
      </c>
      <c r="G30" s="136">
        <v>2410.42</v>
      </c>
      <c r="H30" s="2">
        <v>1994.58</v>
      </c>
      <c r="I30" s="2">
        <v>1670.62</v>
      </c>
      <c r="J30" s="2">
        <v>1473.43</v>
      </c>
      <c r="K30" s="2">
        <v>1432.27</v>
      </c>
    </row>
    <row r="31" spans="1:12" x14ac:dyDescent="0.2">
      <c r="A31" s="135" t="s">
        <v>212</v>
      </c>
      <c r="B31" s="179">
        <v>105.18</v>
      </c>
      <c r="C31" s="179">
        <v>104.29</v>
      </c>
      <c r="D31" s="136">
        <v>118.16</v>
      </c>
      <c r="E31" s="136">
        <v>83.18</v>
      </c>
      <c r="F31" s="136">
        <v>77.66</v>
      </c>
      <c r="G31" s="136">
        <v>33.44</v>
      </c>
      <c r="H31" s="2">
        <v>16.57</v>
      </c>
      <c r="I31" s="2">
        <v>22.62</v>
      </c>
      <c r="J31" s="2">
        <v>24.78</v>
      </c>
      <c r="K31" s="2">
        <v>7.67</v>
      </c>
    </row>
    <row r="32" spans="1:12" x14ac:dyDescent="0.2">
      <c r="A32" s="135" t="s">
        <v>478</v>
      </c>
      <c r="B32" s="179">
        <v>290.14999999999998</v>
      </c>
      <c r="C32" s="179">
        <v>156.72</v>
      </c>
      <c r="D32" s="136">
        <v>168.36</v>
      </c>
      <c r="E32" s="136">
        <v>119.05</v>
      </c>
      <c r="F32" s="136">
        <v>92.99</v>
      </c>
      <c r="G32" s="136">
        <v>106.45</v>
      </c>
      <c r="H32" s="2">
        <v>106.29</v>
      </c>
      <c r="I32" s="2">
        <v>54.39</v>
      </c>
      <c r="J32" s="2">
        <v>43.42</v>
      </c>
      <c r="K32" s="2">
        <v>93.48</v>
      </c>
    </row>
    <row r="33" spans="1:23" x14ac:dyDescent="0.2">
      <c r="A33" s="135" t="s">
        <v>490</v>
      </c>
      <c r="B33" s="179">
        <v>2.82</v>
      </c>
      <c r="C33" s="179">
        <v>2.5499999999999998</v>
      </c>
      <c r="D33" s="136">
        <v>2.5299999999999998</v>
      </c>
      <c r="E33" s="136">
        <v>0.26</v>
      </c>
      <c r="F33" s="136">
        <v>3.17</v>
      </c>
      <c r="G33" s="136">
        <v>19.5</v>
      </c>
      <c r="H33" s="2">
        <v>11.51</v>
      </c>
      <c r="I33" s="2">
        <v>4.78</v>
      </c>
      <c r="J33" s="2">
        <v>0.4</v>
      </c>
      <c r="K33" s="2">
        <v>9.92</v>
      </c>
    </row>
    <row r="34" spans="1:23" x14ac:dyDescent="0.2">
      <c r="A34" s="130" t="s">
        <v>210</v>
      </c>
      <c r="B34" s="198">
        <f t="shared" ref="B34:L34" si="6">SUM(B30:B33)</f>
        <v>4010.61</v>
      </c>
      <c r="C34" s="198">
        <f t="shared" si="6"/>
        <v>3397.21</v>
      </c>
      <c r="D34" s="198">
        <f t="shared" si="6"/>
        <v>2923.73</v>
      </c>
      <c r="E34" s="198">
        <f t="shared" si="6"/>
        <v>2658.3100000000004</v>
      </c>
      <c r="F34" s="198">
        <f t="shared" si="6"/>
        <v>2524.7499999999995</v>
      </c>
      <c r="G34" s="198">
        <f t="shared" si="6"/>
        <v>2569.81</v>
      </c>
      <c r="H34" s="198">
        <f t="shared" si="6"/>
        <v>2128.9500000000003</v>
      </c>
      <c r="I34" s="198">
        <f t="shared" si="6"/>
        <v>1752.4099999999999</v>
      </c>
      <c r="J34" s="198">
        <f t="shared" si="6"/>
        <v>1542.0300000000002</v>
      </c>
      <c r="K34" s="198">
        <f t="shared" si="6"/>
        <v>1543.3400000000001</v>
      </c>
      <c r="L34" s="198">
        <f t="shared" si="6"/>
        <v>0</v>
      </c>
    </row>
    <row r="35" spans="1:23" x14ac:dyDescent="0.2">
      <c r="A35" s="135" t="s">
        <v>853</v>
      </c>
      <c r="B35" s="179"/>
      <c r="C35" s="179"/>
      <c r="D35" s="179"/>
      <c r="E35" s="179"/>
      <c r="F35" s="179"/>
      <c r="G35" s="179"/>
      <c r="H35" s="179"/>
      <c r="I35" s="179"/>
      <c r="J35" s="179"/>
      <c r="K35" s="179"/>
      <c r="L35" s="179"/>
    </row>
    <row r="36" spans="1:23" x14ac:dyDescent="0.2">
      <c r="A36" s="135" t="s">
        <v>272</v>
      </c>
      <c r="B36" s="179">
        <v>15.68</v>
      </c>
      <c r="C36" s="179">
        <v>27.52</v>
      </c>
      <c r="D36" s="136">
        <v>25.47</v>
      </c>
      <c r="E36" s="136">
        <v>1.19</v>
      </c>
      <c r="F36" s="136">
        <v>1.2</v>
      </c>
      <c r="G36" s="136">
        <v>1.19</v>
      </c>
      <c r="H36" s="2">
        <v>1.28</v>
      </c>
      <c r="I36" s="2">
        <v>1.01</v>
      </c>
      <c r="J36" s="2">
        <v>1.02</v>
      </c>
      <c r="K36" s="2">
        <v>1.02</v>
      </c>
    </row>
    <row r="37" spans="1:23" x14ac:dyDescent="0.2">
      <c r="A37" s="135" t="s">
        <v>273</v>
      </c>
      <c r="B37" s="179">
        <v>69.510000000000005</v>
      </c>
      <c r="C37" s="179">
        <v>78.27</v>
      </c>
      <c r="D37" s="136">
        <v>71.98</v>
      </c>
      <c r="E37" s="136">
        <v>75.14</v>
      </c>
      <c r="F37" s="136">
        <v>60.24</v>
      </c>
      <c r="G37" s="136">
        <v>32.08</v>
      </c>
      <c r="H37" s="2">
        <v>31.13</v>
      </c>
      <c r="I37" s="2">
        <v>11.99</v>
      </c>
      <c r="J37" s="2">
        <v>18.95</v>
      </c>
      <c r="K37" s="2">
        <v>19.649999999999999</v>
      </c>
    </row>
    <row r="38" spans="1:23" x14ac:dyDescent="0.2">
      <c r="A38" s="135" t="s">
        <v>491</v>
      </c>
      <c r="B38" s="179">
        <v>0</v>
      </c>
      <c r="C38" s="179">
        <v>0</v>
      </c>
      <c r="D38" s="136">
        <v>0</v>
      </c>
      <c r="E38" s="136">
        <v>0</v>
      </c>
      <c r="F38" s="136">
        <v>2.68</v>
      </c>
      <c r="G38" s="136">
        <v>156.83000000000001</v>
      </c>
      <c r="H38" s="2">
        <v>307.19</v>
      </c>
      <c r="I38" s="2">
        <v>268.02999999999997</v>
      </c>
      <c r="J38" s="2">
        <v>212.15</v>
      </c>
      <c r="K38" s="2">
        <v>228.76</v>
      </c>
    </row>
    <row r="39" spans="1:23" x14ac:dyDescent="0.2">
      <c r="A39" s="135" t="s">
        <v>216</v>
      </c>
      <c r="B39" s="179">
        <v>109.07</v>
      </c>
      <c r="C39" s="179">
        <v>200.47</v>
      </c>
      <c r="D39" s="136">
        <v>199.38</v>
      </c>
      <c r="E39" s="136">
        <v>97.92</v>
      </c>
      <c r="F39" s="136">
        <v>80.5</v>
      </c>
      <c r="G39" s="136"/>
    </row>
    <row r="40" spans="1:23" x14ac:dyDescent="0.2">
      <c r="A40" s="130" t="s">
        <v>274</v>
      </c>
      <c r="B40" s="198">
        <f>SUM(B34:B39)</f>
        <v>4204.87</v>
      </c>
      <c r="C40" s="198">
        <f>SUM(C34:C39)</f>
        <v>3703.47</v>
      </c>
      <c r="D40" s="198">
        <f t="shared" ref="D40:L40" si="7">SUM(D34:D39)</f>
        <v>3220.56</v>
      </c>
      <c r="E40" s="198">
        <f t="shared" si="7"/>
        <v>2832.5600000000004</v>
      </c>
      <c r="F40" s="198">
        <f t="shared" si="7"/>
        <v>2669.369999999999</v>
      </c>
      <c r="G40" s="198">
        <f t="shared" si="7"/>
        <v>2759.91</v>
      </c>
      <c r="H40" s="198">
        <f t="shared" si="7"/>
        <v>2468.5500000000006</v>
      </c>
      <c r="I40" s="198">
        <f t="shared" si="7"/>
        <v>2033.4399999999998</v>
      </c>
      <c r="J40" s="198">
        <f t="shared" si="7"/>
        <v>1774.1500000000003</v>
      </c>
      <c r="K40" s="198">
        <f t="shared" si="7"/>
        <v>1792.7700000000002</v>
      </c>
      <c r="L40" s="198">
        <f t="shared" si="7"/>
        <v>0</v>
      </c>
      <c r="N40" s="6"/>
      <c r="O40" s="6"/>
      <c r="P40" s="6"/>
      <c r="Q40" s="6"/>
      <c r="R40" s="6"/>
    </row>
    <row r="41" spans="1:23" x14ac:dyDescent="0.2">
      <c r="A41" s="132" t="s">
        <v>275</v>
      </c>
      <c r="B41" s="133"/>
      <c r="C41" s="133"/>
      <c r="D41" s="134"/>
      <c r="E41" s="134"/>
      <c r="F41" s="134"/>
      <c r="G41" s="134"/>
      <c r="N41" s="6"/>
      <c r="O41" s="6"/>
      <c r="P41" s="6"/>
      <c r="Q41" s="6"/>
      <c r="R41" s="6"/>
      <c r="S41" s="6"/>
      <c r="T41" s="6"/>
      <c r="U41" s="6"/>
      <c r="V41" s="6"/>
      <c r="W41" s="6"/>
    </row>
    <row r="42" spans="1:23" x14ac:dyDescent="0.2">
      <c r="A42" s="189" t="s">
        <v>218</v>
      </c>
      <c r="B42" s="287">
        <v>787.93</v>
      </c>
      <c r="C42" s="287">
        <v>765.07</v>
      </c>
      <c r="D42" s="136">
        <v>646.37</v>
      </c>
      <c r="E42" s="136">
        <v>485.59</v>
      </c>
      <c r="F42" s="179">
        <v>443.14</v>
      </c>
      <c r="G42" s="136">
        <v>164.83</v>
      </c>
      <c r="H42" s="2">
        <v>34.82</v>
      </c>
      <c r="I42" s="2">
        <v>44.91</v>
      </c>
      <c r="J42" s="2">
        <v>31.64</v>
      </c>
      <c r="K42" s="2">
        <v>47.16</v>
      </c>
    </row>
    <row r="43" spans="1:23" x14ac:dyDescent="0.2">
      <c r="A43" s="135" t="s">
        <v>157</v>
      </c>
      <c r="B43" s="136">
        <v>936.37</v>
      </c>
      <c r="C43" s="136">
        <v>872.21</v>
      </c>
      <c r="D43" s="136">
        <v>820.58</v>
      </c>
      <c r="E43" s="136">
        <v>701.14</v>
      </c>
      <c r="F43" s="179">
        <v>611.85</v>
      </c>
      <c r="G43" s="136">
        <v>550.1</v>
      </c>
      <c r="H43" s="2">
        <v>540.01</v>
      </c>
      <c r="I43" s="2">
        <v>493.85</v>
      </c>
      <c r="J43" s="2">
        <v>443.83</v>
      </c>
      <c r="K43" s="2">
        <v>409.86</v>
      </c>
    </row>
    <row r="44" spans="1:23" x14ac:dyDescent="0.2">
      <c r="A44" s="135" t="s">
        <v>219</v>
      </c>
      <c r="B44" s="136">
        <v>1418.58</v>
      </c>
      <c r="C44" s="136">
        <v>1262.3800000000001</v>
      </c>
      <c r="D44" s="136">
        <v>1162.03</v>
      </c>
      <c r="E44" s="136">
        <v>970.37</v>
      </c>
      <c r="F44" s="179">
        <v>1040.98</v>
      </c>
      <c r="G44" s="136">
        <v>672.74</v>
      </c>
      <c r="H44" s="2">
        <v>925.14</v>
      </c>
      <c r="I44" s="2">
        <v>968.82</v>
      </c>
      <c r="J44" s="2">
        <v>760.87</v>
      </c>
      <c r="K44" s="2">
        <v>592.79</v>
      </c>
    </row>
    <row r="45" spans="1:23" x14ac:dyDescent="0.2">
      <c r="A45" s="135" t="s">
        <v>276</v>
      </c>
      <c r="B45" s="136">
        <v>1018.9</v>
      </c>
      <c r="C45" s="136">
        <v>504.68</v>
      </c>
      <c r="D45" s="136">
        <v>287.70999999999998</v>
      </c>
      <c r="E45" s="136">
        <v>402.64</v>
      </c>
      <c r="F45" s="179">
        <v>513.33000000000004</v>
      </c>
      <c r="G45" s="136">
        <v>620.95000000000005</v>
      </c>
      <c r="H45" s="2">
        <v>537.9</v>
      </c>
      <c r="I45" s="2">
        <v>502.72</v>
      </c>
      <c r="J45" s="2">
        <v>219.93</v>
      </c>
      <c r="K45" s="2">
        <v>167.42</v>
      </c>
    </row>
    <row r="46" spans="1:23" x14ac:dyDescent="0.2">
      <c r="A46" s="135" t="s">
        <v>277</v>
      </c>
      <c r="B46" s="136">
        <v>3.36</v>
      </c>
      <c r="C46" s="136">
        <v>2</v>
      </c>
      <c r="D46" s="136">
        <v>1.65</v>
      </c>
      <c r="E46" s="136">
        <v>3.72</v>
      </c>
      <c r="F46" s="179">
        <v>5.32</v>
      </c>
      <c r="G46" s="136">
        <v>2.0099999999999998</v>
      </c>
      <c r="H46" s="2">
        <v>2.1</v>
      </c>
      <c r="I46" s="2">
        <v>1.3</v>
      </c>
      <c r="J46" s="2">
        <v>1.62</v>
      </c>
      <c r="K46" s="2">
        <v>0</v>
      </c>
    </row>
    <row r="47" spans="1:23" x14ac:dyDescent="0.2">
      <c r="A47" s="135" t="s">
        <v>479</v>
      </c>
      <c r="B47" s="136">
        <v>428.77</v>
      </c>
      <c r="C47" s="136">
        <v>383.6</v>
      </c>
      <c r="D47" s="136">
        <v>273.52999999999997</v>
      </c>
      <c r="E47" s="136">
        <v>285.89999999999998</v>
      </c>
      <c r="F47" s="179">
        <v>289.61</v>
      </c>
      <c r="G47" s="136">
        <v>136.93</v>
      </c>
      <c r="H47" s="2">
        <v>125.56</v>
      </c>
      <c r="I47" s="2">
        <v>138.51</v>
      </c>
      <c r="J47" s="2">
        <v>143.72</v>
      </c>
      <c r="K47" s="2">
        <v>124.94</v>
      </c>
    </row>
    <row r="48" spans="1:23" x14ac:dyDescent="0.2">
      <c r="A48" s="130" t="s">
        <v>158</v>
      </c>
      <c r="B48" s="198">
        <f>SUM(B42:B47)</f>
        <v>4593.91</v>
      </c>
      <c r="C48" s="198">
        <f>SUM(C42:C47)</f>
        <v>3789.94</v>
      </c>
      <c r="D48" s="198">
        <f t="shared" ref="D48:L48" si="8">SUM(D42:D47)</f>
        <v>3191.87</v>
      </c>
      <c r="E48" s="198">
        <f t="shared" si="8"/>
        <v>2849.3599999999997</v>
      </c>
      <c r="F48" s="198">
        <f t="shared" si="8"/>
        <v>2904.2300000000005</v>
      </c>
      <c r="G48" s="198">
        <f t="shared" si="8"/>
        <v>2147.56</v>
      </c>
      <c r="H48" s="198">
        <f t="shared" si="8"/>
        <v>2165.5299999999997</v>
      </c>
      <c r="I48" s="198">
        <f t="shared" si="8"/>
        <v>2150.1099999999997</v>
      </c>
      <c r="J48" s="198">
        <f t="shared" si="8"/>
        <v>1601.61</v>
      </c>
      <c r="K48" s="198">
        <f t="shared" si="8"/>
        <v>1342.17</v>
      </c>
      <c r="L48" s="198">
        <f t="shared" si="8"/>
        <v>0</v>
      </c>
    </row>
    <row r="49" spans="1:18" x14ac:dyDescent="0.2">
      <c r="A49" s="130" t="s">
        <v>160</v>
      </c>
      <c r="B49" s="198">
        <f>B40+B48</f>
        <v>8798.7799999999988</v>
      </c>
      <c r="C49" s="198">
        <f>C40+C48</f>
        <v>7493.41</v>
      </c>
      <c r="D49" s="198">
        <f t="shared" ref="D49:L49" si="9">D40+D48</f>
        <v>6412.43</v>
      </c>
      <c r="E49" s="198">
        <f t="shared" si="9"/>
        <v>5681.92</v>
      </c>
      <c r="F49" s="198">
        <f t="shared" si="9"/>
        <v>5573.5999999999995</v>
      </c>
      <c r="G49" s="198">
        <f t="shared" si="9"/>
        <v>4907.4699999999993</v>
      </c>
      <c r="H49" s="198">
        <f t="shared" si="9"/>
        <v>4634.08</v>
      </c>
      <c r="I49" s="198">
        <f t="shared" si="9"/>
        <v>4183.5499999999993</v>
      </c>
      <c r="J49" s="198">
        <f t="shared" si="9"/>
        <v>3375.76</v>
      </c>
      <c r="K49" s="198">
        <f t="shared" si="9"/>
        <v>3134.9400000000005</v>
      </c>
      <c r="L49" s="198">
        <f t="shared" si="9"/>
        <v>0</v>
      </c>
      <c r="M49" s="6">
        <v>556.71</v>
      </c>
      <c r="N49" s="2">
        <v>485.56</v>
      </c>
      <c r="O49" s="2">
        <v>461.07</v>
      </c>
    </row>
    <row r="50" spans="1:18" x14ac:dyDescent="0.2">
      <c r="A50" s="132"/>
      <c r="B50" s="286"/>
      <c r="C50" s="286"/>
      <c r="D50" s="134"/>
      <c r="E50" s="134"/>
      <c r="F50" s="198"/>
      <c r="G50" s="134"/>
      <c r="J50" s="6"/>
      <c r="K50" s="6"/>
      <c r="L50" s="6"/>
      <c r="M50" s="6">
        <f>B49-M49</f>
        <v>8242.07</v>
      </c>
      <c r="N50" s="6">
        <f>C49-N49</f>
        <v>7007.8499999999995</v>
      </c>
      <c r="O50" s="6">
        <f t="shared" ref="O50" si="10">D49-O49</f>
        <v>5951.3600000000006</v>
      </c>
      <c r="P50" s="6"/>
      <c r="Q50" s="6"/>
      <c r="R50" s="6"/>
    </row>
    <row r="51" spans="1:18" x14ac:dyDescent="0.2">
      <c r="A51" s="132" t="s">
        <v>278</v>
      </c>
      <c r="B51" s="133"/>
      <c r="C51" s="133"/>
      <c r="D51" s="134"/>
      <c r="E51" s="134"/>
      <c r="F51" s="134"/>
      <c r="G51" s="134"/>
    </row>
    <row r="52" spans="1:18" x14ac:dyDescent="0.2">
      <c r="A52" s="132" t="s">
        <v>279</v>
      </c>
      <c r="B52" s="133"/>
      <c r="C52" s="133"/>
      <c r="D52" s="134"/>
      <c r="E52" s="134"/>
      <c r="F52" s="134"/>
      <c r="G52" s="134"/>
    </row>
    <row r="53" spans="1:18" x14ac:dyDescent="0.2">
      <c r="A53" s="135" t="s">
        <v>161</v>
      </c>
      <c r="B53" s="136">
        <v>401.04</v>
      </c>
      <c r="C53" s="136">
        <v>331.99</v>
      </c>
      <c r="D53" s="136">
        <v>837.19</v>
      </c>
      <c r="E53" s="136">
        <v>830.71</v>
      </c>
      <c r="F53" s="136">
        <v>480.42</v>
      </c>
      <c r="G53" s="136">
        <v>321.54000000000002</v>
      </c>
      <c r="H53" s="2">
        <v>448.36</v>
      </c>
      <c r="I53" s="2">
        <v>420.01</v>
      </c>
      <c r="J53" s="2">
        <v>188.83</v>
      </c>
      <c r="K53" s="2">
        <v>359.94</v>
      </c>
    </row>
    <row r="54" spans="1:18" x14ac:dyDescent="0.2">
      <c r="A54" s="132" t="s">
        <v>311</v>
      </c>
      <c r="E54" s="134"/>
      <c r="F54" s="134"/>
      <c r="G54" s="134"/>
    </row>
    <row r="55" spans="1:18" x14ac:dyDescent="0.2">
      <c r="A55" s="132" t="s">
        <v>312</v>
      </c>
      <c r="B55" s="133"/>
      <c r="C55" s="133"/>
      <c r="D55" s="134"/>
      <c r="E55" s="134"/>
      <c r="F55" s="134"/>
      <c r="G55" s="134"/>
    </row>
    <row r="56" spans="1:18" x14ac:dyDescent="0.2">
      <c r="A56" s="132" t="s">
        <v>313</v>
      </c>
      <c r="B56" s="133"/>
      <c r="C56" s="133"/>
      <c r="D56" s="134"/>
      <c r="E56" s="134"/>
      <c r="F56" s="134"/>
      <c r="G56" s="134"/>
    </row>
    <row r="57" spans="1:18" x14ac:dyDescent="0.2">
      <c r="A57" s="135" t="s">
        <v>314</v>
      </c>
      <c r="B57" s="136"/>
      <c r="C57" s="136"/>
      <c r="D57" s="136"/>
      <c r="E57" s="136"/>
      <c r="F57" s="136"/>
      <c r="G57" s="136"/>
    </row>
    <row r="58" spans="1:18" x14ac:dyDescent="0.2">
      <c r="A58" s="132" t="s">
        <v>315</v>
      </c>
      <c r="B58" s="133"/>
      <c r="C58" s="133"/>
      <c r="D58" s="134"/>
      <c r="E58" s="134"/>
      <c r="F58" s="134"/>
      <c r="G58" s="134"/>
    </row>
    <row r="59" spans="1:18" x14ac:dyDescent="0.2">
      <c r="A59" s="135" t="s">
        <v>316</v>
      </c>
      <c r="B59" s="136"/>
      <c r="C59" s="136"/>
      <c r="D59" s="136"/>
      <c r="E59" s="136"/>
      <c r="F59" s="136"/>
      <c r="G59" s="136"/>
    </row>
    <row r="60" spans="1:18" x14ac:dyDescent="0.2">
      <c r="A60" s="135" t="s">
        <v>317</v>
      </c>
      <c r="B60" s="190"/>
      <c r="C60" s="190"/>
      <c r="D60" s="136"/>
      <c r="E60" s="136"/>
      <c r="F60" s="136"/>
      <c r="G60" s="136"/>
    </row>
    <row r="61" spans="1:18" x14ac:dyDescent="0.2">
      <c r="A61" s="132" t="s">
        <v>280</v>
      </c>
      <c r="B61" s="133"/>
      <c r="C61" s="133"/>
      <c r="D61" s="134"/>
      <c r="E61" s="134"/>
      <c r="F61" s="134"/>
      <c r="G61" s="134"/>
    </row>
    <row r="62" spans="1:18" x14ac:dyDescent="0.2">
      <c r="A62" s="135" t="s">
        <v>318</v>
      </c>
      <c r="B62" s="136">
        <v>123.66</v>
      </c>
      <c r="C62" s="136">
        <v>123.66</v>
      </c>
      <c r="D62" s="136">
        <v>123.66</v>
      </c>
      <c r="E62" s="136">
        <v>123.66</v>
      </c>
      <c r="F62" s="136">
        <v>123.66</v>
      </c>
      <c r="G62" s="136">
        <v>123.66</v>
      </c>
      <c r="H62" s="2">
        <v>123.66</v>
      </c>
      <c r="I62" s="2">
        <v>123.66</v>
      </c>
      <c r="J62" s="2">
        <v>123.66</v>
      </c>
      <c r="K62" s="2">
        <v>0.57999999999999996</v>
      </c>
    </row>
    <row r="63" spans="1:18" x14ac:dyDescent="0.2">
      <c r="A63" s="132" t="s">
        <v>281</v>
      </c>
      <c r="B63" s="133"/>
      <c r="C63" s="133"/>
      <c r="D63" s="134"/>
      <c r="E63" s="134"/>
      <c r="F63" s="134"/>
      <c r="G63" s="134"/>
    </row>
    <row r="64" spans="1:18" x14ac:dyDescent="0.2">
      <c r="A64" s="135" t="s">
        <v>282</v>
      </c>
      <c r="B64" s="2">
        <v>9.77</v>
      </c>
      <c r="C64" s="2">
        <v>24.13</v>
      </c>
      <c r="D64" s="2">
        <v>0</v>
      </c>
      <c r="E64" s="2">
        <v>0</v>
      </c>
      <c r="F64" s="2">
        <v>0</v>
      </c>
      <c r="G64" s="2">
        <v>0</v>
      </c>
      <c r="H64" s="2">
        <v>0</v>
      </c>
      <c r="I64" s="2">
        <v>0</v>
      </c>
      <c r="J64" s="2">
        <v>0.01</v>
      </c>
      <c r="K64" s="2">
        <v>0.01</v>
      </c>
    </row>
    <row r="65" spans="1:15" x14ac:dyDescent="0.2">
      <c r="A65" s="135" t="s">
        <v>283</v>
      </c>
      <c r="B65" s="136">
        <v>5.91</v>
      </c>
      <c r="C65" s="136">
        <v>3.39</v>
      </c>
      <c r="D65" s="136">
        <v>3.22</v>
      </c>
      <c r="E65" s="136">
        <v>1.19</v>
      </c>
      <c r="F65" s="136">
        <v>1.19</v>
      </c>
      <c r="G65" s="136">
        <v>1.19</v>
      </c>
      <c r="H65" s="2">
        <v>1.28</v>
      </c>
      <c r="I65" s="2">
        <v>1.01</v>
      </c>
      <c r="J65" s="2">
        <v>1.01</v>
      </c>
      <c r="K65" s="2">
        <v>1.01</v>
      </c>
    </row>
    <row r="66" spans="1:15" x14ac:dyDescent="0.2">
      <c r="A66" s="132" t="s">
        <v>284</v>
      </c>
      <c r="B66" s="133"/>
      <c r="C66" s="133"/>
      <c r="D66" s="134"/>
      <c r="E66" s="134"/>
      <c r="F66" s="134"/>
      <c r="G66" s="134"/>
    </row>
    <row r="67" spans="1:15" x14ac:dyDescent="0.2">
      <c r="A67" s="135" t="s">
        <v>319</v>
      </c>
      <c r="B67" s="136"/>
      <c r="C67" s="136"/>
      <c r="D67" s="136"/>
      <c r="E67" s="136"/>
      <c r="F67" s="136"/>
      <c r="G67" s="136"/>
    </row>
    <row r="68" spans="1:15" x14ac:dyDescent="0.2">
      <c r="A68" s="135" t="s">
        <v>320</v>
      </c>
      <c r="B68" s="136">
        <v>53.7</v>
      </c>
      <c r="C68" s="136">
        <v>0</v>
      </c>
      <c r="D68" s="136">
        <v>0</v>
      </c>
      <c r="E68" s="136">
        <v>0</v>
      </c>
      <c r="F68" s="136">
        <v>443.14</v>
      </c>
      <c r="G68" s="136">
        <v>164.83</v>
      </c>
      <c r="H68" s="2">
        <v>34.82</v>
      </c>
      <c r="I68" s="2">
        <v>44.91</v>
      </c>
      <c r="J68" s="2">
        <v>31.64</v>
      </c>
      <c r="K68" s="2">
        <v>47.16</v>
      </c>
    </row>
    <row r="69" spans="1:15" x14ac:dyDescent="0.2">
      <c r="A69" s="135"/>
      <c r="B69" s="136"/>
      <c r="C69" s="136"/>
    </row>
    <row r="70" spans="1:15" x14ac:dyDescent="0.2">
      <c r="A70" s="130" t="s">
        <v>501</v>
      </c>
      <c r="B70" s="131"/>
      <c r="C70" s="131"/>
    </row>
    <row r="71" spans="1:15" x14ac:dyDescent="0.2">
      <c r="A71" s="130"/>
    </row>
    <row r="72" spans="1:15" x14ac:dyDescent="0.2">
      <c r="A72" s="132" t="s">
        <v>285</v>
      </c>
      <c r="B72" s="223" t="s">
        <v>909</v>
      </c>
      <c r="C72" s="223" t="s">
        <v>637</v>
      </c>
      <c r="D72" s="223">
        <v>45016</v>
      </c>
      <c r="E72" s="223">
        <v>44651</v>
      </c>
      <c r="F72" s="223">
        <v>44286</v>
      </c>
      <c r="G72" s="223">
        <v>43921</v>
      </c>
      <c r="H72" s="223">
        <v>43555</v>
      </c>
      <c r="I72" s="223">
        <v>43190</v>
      </c>
      <c r="J72" s="223">
        <v>42825</v>
      </c>
      <c r="K72" s="223">
        <v>42460</v>
      </c>
      <c r="L72" s="223">
        <v>42094</v>
      </c>
    </row>
    <row r="73" spans="1:15" x14ac:dyDescent="0.2">
      <c r="A73" s="130" t="s">
        <v>286</v>
      </c>
      <c r="B73" s="179">
        <v>11371.37</v>
      </c>
      <c r="C73" s="179">
        <v>10082.5</v>
      </c>
      <c r="D73" s="179">
        <v>8676.06</v>
      </c>
      <c r="E73" s="179">
        <v>7424.4</v>
      </c>
      <c r="F73" s="179">
        <v>6405.48</v>
      </c>
      <c r="G73" s="179">
        <v>6775.39</v>
      </c>
      <c r="H73" s="179">
        <v>7411.06</v>
      </c>
      <c r="I73" s="6">
        <v>6422.92</v>
      </c>
      <c r="J73" s="6">
        <v>5887.65</v>
      </c>
      <c r="K73" s="6">
        <v>5528.94</v>
      </c>
      <c r="L73" s="6"/>
      <c r="M73" s="6"/>
      <c r="N73" s="6"/>
      <c r="O73" s="15"/>
    </row>
    <row r="74" spans="1:15" x14ac:dyDescent="0.2">
      <c r="A74" s="135" t="s">
        <v>287</v>
      </c>
      <c r="B74" s="136"/>
      <c r="C74" s="136"/>
      <c r="D74" s="136"/>
      <c r="E74" s="136"/>
      <c r="F74" s="136"/>
      <c r="G74" s="136">
        <v>0</v>
      </c>
      <c r="H74" s="2">
        <v>0</v>
      </c>
      <c r="I74" s="2">
        <v>-127.91</v>
      </c>
      <c r="J74" s="2">
        <v>-400.33</v>
      </c>
      <c r="K74" s="2">
        <v>-387.25</v>
      </c>
    </row>
    <row r="75" spans="1:15" x14ac:dyDescent="0.2">
      <c r="A75" s="130" t="s">
        <v>288</v>
      </c>
      <c r="B75" s="198">
        <f>SUM(B73:B74)</f>
        <v>11371.37</v>
      </c>
      <c r="C75" s="198">
        <f>SUM(C73:C74)</f>
        <v>10082.5</v>
      </c>
      <c r="D75" s="198">
        <f t="shared" ref="D75:L75" si="11">SUM(D73:D74)</f>
        <v>8676.06</v>
      </c>
      <c r="E75" s="198">
        <f t="shared" si="11"/>
        <v>7424.4</v>
      </c>
      <c r="F75" s="198">
        <f t="shared" si="11"/>
        <v>6405.48</v>
      </c>
      <c r="G75" s="198">
        <f t="shared" si="11"/>
        <v>6775.39</v>
      </c>
      <c r="H75" s="198">
        <f t="shared" si="11"/>
        <v>7411.06</v>
      </c>
      <c r="I75" s="198">
        <f t="shared" si="11"/>
        <v>6295.01</v>
      </c>
      <c r="J75" s="198">
        <f t="shared" si="11"/>
        <v>5487.32</v>
      </c>
      <c r="K75" s="198">
        <f t="shared" si="11"/>
        <v>5141.6899999999996</v>
      </c>
      <c r="L75" s="198">
        <f t="shared" si="11"/>
        <v>0</v>
      </c>
    </row>
    <row r="76" spans="1:15" x14ac:dyDescent="0.2">
      <c r="A76" s="135" t="s">
        <v>492</v>
      </c>
      <c r="B76" s="136">
        <v>189.44</v>
      </c>
      <c r="C76" s="136">
        <v>158.37</v>
      </c>
      <c r="D76" s="136">
        <v>127.99</v>
      </c>
      <c r="E76" s="136">
        <v>124.75</v>
      </c>
      <c r="F76" s="136">
        <v>141.54</v>
      </c>
      <c r="G76" s="136">
        <v>142.31</v>
      </c>
      <c r="H76" s="2">
        <v>99.44</v>
      </c>
      <c r="I76" s="2">
        <v>56.37</v>
      </c>
      <c r="J76" s="2">
        <v>103.55</v>
      </c>
      <c r="K76" s="2">
        <v>88.68</v>
      </c>
    </row>
    <row r="77" spans="1:15" x14ac:dyDescent="0.2">
      <c r="A77" s="130" t="s">
        <v>289</v>
      </c>
      <c r="B77" s="198">
        <f>SUM(B75:B76)</f>
        <v>11560.810000000001</v>
      </c>
      <c r="C77" s="198">
        <f>SUM(C75:C76)</f>
        <v>10240.870000000001</v>
      </c>
      <c r="D77" s="198">
        <f t="shared" ref="D77:L77" si="12">SUM(D75:D76)</f>
        <v>8804.0499999999993</v>
      </c>
      <c r="E77" s="198">
        <f t="shared" si="12"/>
        <v>7549.15</v>
      </c>
      <c r="F77" s="198">
        <f t="shared" si="12"/>
        <v>6547.0199999999995</v>
      </c>
      <c r="G77" s="198">
        <f t="shared" si="12"/>
        <v>6917.7000000000007</v>
      </c>
      <c r="H77" s="198">
        <f t="shared" si="12"/>
        <v>7510.5</v>
      </c>
      <c r="I77" s="198">
        <f t="shared" si="12"/>
        <v>6351.38</v>
      </c>
      <c r="J77" s="198">
        <f t="shared" si="12"/>
        <v>5590.87</v>
      </c>
      <c r="K77" s="198">
        <f t="shared" si="12"/>
        <v>5230.37</v>
      </c>
      <c r="L77" s="198">
        <f t="shared" si="12"/>
        <v>0</v>
      </c>
    </row>
    <row r="78" spans="1:15" x14ac:dyDescent="0.2">
      <c r="A78" s="135" t="s">
        <v>164</v>
      </c>
      <c r="B78" s="136">
        <v>116.97</v>
      </c>
      <c r="C78" s="136">
        <v>85.62</v>
      </c>
      <c r="D78" s="136">
        <v>45.43</v>
      </c>
      <c r="E78" s="136">
        <v>41.04</v>
      </c>
      <c r="F78" s="136">
        <v>30.71</v>
      </c>
      <c r="G78" s="136">
        <v>47.6</v>
      </c>
      <c r="H78" s="2">
        <v>27.05</v>
      </c>
      <c r="I78" s="2">
        <v>23.47</v>
      </c>
      <c r="J78" s="2">
        <v>29.07</v>
      </c>
      <c r="K78" s="2">
        <v>32.96</v>
      </c>
    </row>
    <row r="79" spans="1:15" x14ac:dyDescent="0.2">
      <c r="A79" s="130" t="s">
        <v>290</v>
      </c>
      <c r="B79" s="198">
        <f>SUM(B77:B78)</f>
        <v>11677.78</v>
      </c>
      <c r="C79" s="198">
        <f>SUM(C77:C78)</f>
        <v>10326.490000000002</v>
      </c>
      <c r="D79" s="198">
        <f t="shared" ref="D79:L79" si="13">SUM(D77:D78)</f>
        <v>8849.48</v>
      </c>
      <c r="E79" s="198">
        <f t="shared" si="13"/>
        <v>7590.19</v>
      </c>
      <c r="F79" s="198">
        <f t="shared" si="13"/>
        <v>6577.73</v>
      </c>
      <c r="G79" s="198">
        <f t="shared" si="13"/>
        <v>6965.3000000000011</v>
      </c>
      <c r="H79" s="198">
        <f t="shared" si="13"/>
        <v>7537.55</v>
      </c>
      <c r="I79" s="198">
        <f t="shared" si="13"/>
        <v>6374.85</v>
      </c>
      <c r="J79" s="198">
        <f t="shared" si="13"/>
        <v>5619.94</v>
      </c>
      <c r="K79" s="198">
        <f t="shared" si="13"/>
        <v>5263.33</v>
      </c>
      <c r="L79" s="198">
        <f t="shared" si="13"/>
        <v>0</v>
      </c>
    </row>
    <row r="80" spans="1:15" x14ac:dyDescent="0.2">
      <c r="A80" s="132" t="s">
        <v>291</v>
      </c>
      <c r="B80" s="202"/>
      <c r="C80" s="202"/>
      <c r="D80" s="202"/>
      <c r="E80" s="202"/>
      <c r="F80" s="202"/>
      <c r="G80" s="134"/>
    </row>
    <row r="81" spans="1:14" x14ac:dyDescent="0.2">
      <c r="A81" s="135" t="s">
        <v>935</v>
      </c>
      <c r="B81" s="179">
        <v>6504.87</v>
      </c>
      <c r="C81" s="179">
        <v>5922.96</v>
      </c>
      <c r="D81" s="179">
        <v>5320.19</v>
      </c>
      <c r="E81" s="179">
        <v>4428.43</v>
      </c>
      <c r="F81" s="179">
        <v>3497.65</v>
      </c>
      <c r="G81" s="179">
        <v>3704.52</v>
      </c>
      <c r="H81" s="6">
        <v>4327.84</v>
      </c>
      <c r="I81" s="6">
        <v>3669.95</v>
      </c>
      <c r="J81" s="6">
        <v>3257.16</v>
      </c>
      <c r="K81" s="6">
        <v>3139.97</v>
      </c>
      <c r="L81" s="6"/>
    </row>
    <row r="82" spans="1:14" x14ac:dyDescent="0.2">
      <c r="A82" s="135" t="s">
        <v>292</v>
      </c>
      <c r="B82" s="179">
        <v>111.75</v>
      </c>
      <c r="C82" s="179">
        <v>140.91</v>
      </c>
      <c r="D82" s="179">
        <v>103.97</v>
      </c>
      <c r="E82" s="179">
        <v>86.38</v>
      </c>
      <c r="F82" s="179">
        <v>89.62</v>
      </c>
      <c r="G82" s="179">
        <v>27.84</v>
      </c>
      <c r="H82" s="6">
        <v>23.08</v>
      </c>
      <c r="I82" s="6">
        <v>9.09</v>
      </c>
      <c r="J82" s="6">
        <v>9.81</v>
      </c>
      <c r="K82" s="6">
        <v>7.86</v>
      </c>
      <c r="L82" s="6"/>
    </row>
    <row r="83" spans="1:14" x14ac:dyDescent="0.2">
      <c r="A83" s="135" t="s">
        <v>293</v>
      </c>
      <c r="B83" s="179">
        <v>-13.51</v>
      </c>
      <c r="C83" s="179">
        <v>-13.29</v>
      </c>
      <c r="D83" s="179">
        <v>-94.64</v>
      </c>
      <c r="E83" s="179">
        <v>-94.66</v>
      </c>
      <c r="F83" s="179">
        <v>-16.71</v>
      </c>
      <c r="G83" s="179">
        <v>2.85</v>
      </c>
      <c r="H83" s="6">
        <v>-1.47</v>
      </c>
      <c r="I83" s="6">
        <v>-18.13</v>
      </c>
      <c r="J83" s="6">
        <v>-41.02</v>
      </c>
      <c r="K83" s="6">
        <v>-33.700000000000003</v>
      </c>
      <c r="L83" s="6"/>
    </row>
    <row r="84" spans="1:14" x14ac:dyDescent="0.2">
      <c r="A84" s="135" t="s">
        <v>294</v>
      </c>
      <c r="B84" s="136">
        <v>1007.35</v>
      </c>
      <c r="C84" s="136">
        <v>879.9</v>
      </c>
      <c r="D84" s="136">
        <v>763.61</v>
      </c>
      <c r="E84" s="136">
        <v>694.36</v>
      </c>
      <c r="F84" s="136">
        <v>676.06</v>
      </c>
      <c r="G84" s="136">
        <v>677.33</v>
      </c>
      <c r="H84" s="2">
        <v>652.74</v>
      </c>
      <c r="I84" s="2">
        <v>580.92999999999995</v>
      </c>
      <c r="J84" s="2">
        <v>545.52</v>
      </c>
      <c r="K84" s="2">
        <v>482.3</v>
      </c>
    </row>
    <row r="85" spans="1:14" x14ac:dyDescent="0.2">
      <c r="A85" s="135" t="s">
        <v>295</v>
      </c>
      <c r="B85" s="136">
        <v>46.81</v>
      </c>
      <c r="C85" s="136">
        <v>42.66</v>
      </c>
      <c r="D85" s="136">
        <v>20.58</v>
      </c>
      <c r="E85" s="136">
        <v>6.35</v>
      </c>
      <c r="F85" s="136">
        <v>13.76</v>
      </c>
      <c r="G85" s="136">
        <v>17.54</v>
      </c>
      <c r="H85" s="2">
        <v>25.73</v>
      </c>
      <c r="I85" s="2">
        <v>23.52</v>
      </c>
      <c r="J85" s="2">
        <v>32.25</v>
      </c>
      <c r="K85" s="2">
        <v>48.96</v>
      </c>
    </row>
    <row r="86" spans="1:14" x14ac:dyDescent="0.2">
      <c r="A86" s="135" t="s">
        <v>296</v>
      </c>
      <c r="B86" s="136">
        <v>538.71</v>
      </c>
      <c r="C86" s="136">
        <v>473.99</v>
      </c>
      <c r="D86" s="136">
        <v>421.58</v>
      </c>
      <c r="E86" s="136">
        <v>381.73</v>
      </c>
      <c r="F86" s="136">
        <v>399.14</v>
      </c>
      <c r="G86" s="136">
        <v>414.28</v>
      </c>
      <c r="H86" s="2">
        <v>376.21</v>
      </c>
      <c r="I86" s="2">
        <v>321.58999999999997</v>
      </c>
      <c r="J86" s="2">
        <v>290.51</v>
      </c>
      <c r="K86" s="2">
        <v>243.17</v>
      </c>
    </row>
    <row r="87" spans="1:14" x14ac:dyDescent="0.2">
      <c r="A87" s="135" t="s">
        <v>182</v>
      </c>
      <c r="B87" s="136">
        <v>2399.27</v>
      </c>
      <c r="C87" s="136">
        <v>1982.42</v>
      </c>
      <c r="D87" s="136">
        <v>1674.65</v>
      </c>
      <c r="E87" s="136">
        <v>1470</v>
      </c>
      <c r="F87" s="136">
        <v>1260.19</v>
      </c>
      <c r="G87" s="136">
        <v>1382.66</v>
      </c>
      <c r="H87" s="2">
        <v>1391.45</v>
      </c>
      <c r="I87" s="2">
        <v>1181.68</v>
      </c>
      <c r="J87" s="2">
        <v>1061.08</v>
      </c>
      <c r="K87" s="2">
        <v>954.43</v>
      </c>
    </row>
    <row r="88" spans="1:14" x14ac:dyDescent="0.2">
      <c r="A88" s="135" t="s">
        <v>946</v>
      </c>
      <c r="B88" s="136"/>
      <c r="C88" s="136"/>
      <c r="D88" s="136"/>
      <c r="E88" s="136"/>
      <c r="F88" s="136"/>
      <c r="G88" s="136">
        <v>-8.26</v>
      </c>
      <c r="H88" s="2">
        <v>-11.92</v>
      </c>
      <c r="I88" s="2">
        <v>0</v>
      </c>
      <c r="J88" s="2">
        <v>0</v>
      </c>
      <c r="K88" s="2">
        <v>0</v>
      </c>
    </row>
    <row r="89" spans="1:14" x14ac:dyDescent="0.2">
      <c r="A89" s="130" t="s">
        <v>165</v>
      </c>
      <c r="B89" s="134">
        <f>SUM(B81:B88)</f>
        <v>10595.25</v>
      </c>
      <c r="C89" s="134">
        <f>SUM(C81:C88)</f>
        <v>9429.5499999999993</v>
      </c>
      <c r="D89" s="134">
        <f t="shared" ref="D89:L89" si="14">SUM(D81:D88)</f>
        <v>8209.9399999999987</v>
      </c>
      <c r="E89" s="134">
        <f t="shared" si="14"/>
        <v>6972.59</v>
      </c>
      <c r="F89" s="134">
        <f t="shared" si="14"/>
        <v>5919.7100000000009</v>
      </c>
      <c r="G89" s="134">
        <f t="shared" si="14"/>
        <v>6218.7599999999993</v>
      </c>
      <c r="H89" s="134">
        <f t="shared" si="14"/>
        <v>6783.6599999999989</v>
      </c>
      <c r="I89" s="134">
        <f t="shared" si="14"/>
        <v>5768.630000000001</v>
      </c>
      <c r="J89" s="134">
        <f t="shared" si="14"/>
        <v>5155.3099999999995</v>
      </c>
      <c r="K89" s="134">
        <f t="shared" si="14"/>
        <v>4842.9900000000007</v>
      </c>
      <c r="L89" s="134">
        <f t="shared" si="14"/>
        <v>0</v>
      </c>
    </row>
    <row r="90" spans="1:14" x14ac:dyDescent="0.2">
      <c r="A90" s="1"/>
      <c r="B90" s="307"/>
      <c r="C90" s="307"/>
      <c r="D90" s="307"/>
      <c r="E90" s="1"/>
      <c r="F90" s="1"/>
      <c r="G90" s="1"/>
      <c r="H90" s="1"/>
      <c r="I90" s="1"/>
      <c r="J90" s="1"/>
      <c r="K90" s="1"/>
      <c r="N90" s="199">
        <v>0.14136699999999999</v>
      </c>
    </row>
    <row r="91" spans="1:14" x14ac:dyDescent="0.2">
      <c r="A91" s="130" t="s">
        <v>297</v>
      </c>
      <c r="B91" s="198">
        <f>B79-B89</f>
        <v>1082.5300000000007</v>
      </c>
      <c r="C91" s="198">
        <f>C79-C89</f>
        <v>896.94000000000233</v>
      </c>
      <c r="D91" s="198">
        <f t="shared" ref="D91:L91" si="15">D79-D89</f>
        <v>639.54000000000087</v>
      </c>
      <c r="E91" s="198">
        <f t="shared" si="15"/>
        <v>617.59999999999945</v>
      </c>
      <c r="F91" s="198">
        <f t="shared" si="15"/>
        <v>658.01999999999862</v>
      </c>
      <c r="G91" s="198">
        <f t="shared" si="15"/>
        <v>746.54000000000178</v>
      </c>
      <c r="H91" s="198">
        <f t="shared" si="15"/>
        <v>753.89000000000124</v>
      </c>
      <c r="I91" s="198">
        <f t="shared" si="15"/>
        <v>606.21999999999935</v>
      </c>
      <c r="J91" s="198">
        <f t="shared" si="15"/>
        <v>464.63000000000011</v>
      </c>
      <c r="K91" s="198">
        <f t="shared" si="15"/>
        <v>420.33999999999924</v>
      </c>
      <c r="L91" s="198">
        <f t="shared" si="15"/>
        <v>0</v>
      </c>
      <c r="M91" s="6" t="e">
        <f>C91/L91*100</f>
        <v>#DIV/0!</v>
      </c>
      <c r="N91" s="6">
        <f>L91*(1+N90)^10</f>
        <v>0</v>
      </c>
    </row>
    <row r="92" spans="1:14" x14ac:dyDescent="0.2">
      <c r="A92" s="135" t="s">
        <v>186</v>
      </c>
      <c r="B92" s="136">
        <v>12.18</v>
      </c>
      <c r="C92" s="136">
        <v>0</v>
      </c>
      <c r="D92" s="136">
        <v>-10.29</v>
      </c>
      <c r="E92" s="136">
        <v>-31.45</v>
      </c>
      <c r="F92" s="136">
        <v>-11.23</v>
      </c>
      <c r="G92" s="136">
        <v>0</v>
      </c>
      <c r="H92" s="2">
        <v>-20.8</v>
      </c>
      <c r="I92" s="2">
        <v>-26.88</v>
      </c>
      <c r="J92" s="2">
        <v>0</v>
      </c>
      <c r="K92" s="2">
        <v>0</v>
      </c>
    </row>
    <row r="93" spans="1:14" x14ac:dyDescent="0.2">
      <c r="A93" s="132" t="s">
        <v>298</v>
      </c>
      <c r="B93" s="206">
        <f>SUM(B91:B92)</f>
        <v>1094.7100000000007</v>
      </c>
      <c r="C93" s="206">
        <f>SUM(C91:C92)</f>
        <v>896.94000000000233</v>
      </c>
      <c r="D93" s="206">
        <f t="shared" ref="D93:L93" si="16">SUM(D91:D92)</f>
        <v>629.25000000000091</v>
      </c>
      <c r="E93" s="206">
        <f t="shared" si="16"/>
        <v>586.14999999999941</v>
      </c>
      <c r="F93" s="206">
        <f t="shared" si="16"/>
        <v>646.7899999999986</v>
      </c>
      <c r="G93" s="206">
        <f t="shared" si="16"/>
        <v>746.54000000000178</v>
      </c>
      <c r="H93" s="206">
        <f t="shared" si="16"/>
        <v>733.09000000000128</v>
      </c>
      <c r="I93" s="206">
        <f t="shared" si="16"/>
        <v>579.33999999999935</v>
      </c>
      <c r="J93" s="206">
        <f t="shared" si="16"/>
        <v>464.63000000000011</v>
      </c>
      <c r="K93" s="206">
        <f t="shared" si="16"/>
        <v>420.33999999999924</v>
      </c>
      <c r="L93" s="206">
        <f t="shared" si="16"/>
        <v>0</v>
      </c>
    </row>
    <row r="94" spans="1:14" x14ac:dyDescent="0.2">
      <c r="A94" s="135" t="s">
        <v>299</v>
      </c>
      <c r="B94" s="136">
        <v>247.49</v>
      </c>
      <c r="C94" s="136">
        <v>209.68</v>
      </c>
      <c r="D94" s="136">
        <v>153.55000000000001</v>
      </c>
      <c r="E94" s="136">
        <v>147.4</v>
      </c>
      <c r="F94" s="136">
        <v>156.30000000000001</v>
      </c>
      <c r="G94" s="136">
        <v>188.31</v>
      </c>
      <c r="H94" s="2">
        <v>233.94</v>
      </c>
      <c r="I94" s="2">
        <v>186.53</v>
      </c>
      <c r="J94" s="2">
        <v>135.5</v>
      </c>
      <c r="K94" s="6">
        <v>116.9</v>
      </c>
      <c r="L94" s="6"/>
    </row>
    <row r="95" spans="1:14" x14ac:dyDescent="0.2">
      <c r="A95" s="135" t="s">
        <v>519</v>
      </c>
      <c r="B95" s="136"/>
      <c r="C95" s="136"/>
      <c r="D95" s="136"/>
      <c r="E95" s="136"/>
      <c r="F95" s="136"/>
      <c r="G95" s="136"/>
      <c r="K95" s="6"/>
      <c r="L95" s="6"/>
    </row>
    <row r="96" spans="1:14" x14ac:dyDescent="0.2">
      <c r="A96" s="135" t="s">
        <v>480</v>
      </c>
      <c r="B96" s="136">
        <v>-2.16</v>
      </c>
      <c r="C96" s="136">
        <v>-12.51</v>
      </c>
      <c r="D96" s="136">
        <v>-3.27</v>
      </c>
      <c r="E96" s="136">
        <v>0.05</v>
      </c>
      <c r="F96" s="136">
        <v>0</v>
      </c>
      <c r="G96" s="136">
        <v>-1.28</v>
      </c>
      <c r="H96" s="2">
        <v>0.82</v>
      </c>
      <c r="I96" s="2">
        <v>-7.47</v>
      </c>
      <c r="J96" s="2">
        <v>-1.78</v>
      </c>
      <c r="K96" s="6">
        <v>0</v>
      </c>
      <c r="L96" s="6"/>
    </row>
    <row r="97" spans="1:14" x14ac:dyDescent="0.2">
      <c r="A97" s="135" t="s">
        <v>300</v>
      </c>
      <c r="B97" s="136">
        <v>13.03</v>
      </c>
      <c r="C97" s="136">
        <v>19.29</v>
      </c>
      <c r="D97" s="136">
        <v>-0.61</v>
      </c>
      <c r="E97" s="136">
        <v>-22.01</v>
      </c>
      <c r="F97" s="136">
        <v>-29.07</v>
      </c>
      <c r="G97" s="136">
        <v>-6.02</v>
      </c>
      <c r="H97" s="2">
        <v>3.32</v>
      </c>
      <c r="I97" s="2">
        <v>9.52</v>
      </c>
      <c r="J97" s="2">
        <v>0.62</v>
      </c>
      <c r="K97" s="6">
        <v>2.98</v>
      </c>
      <c r="L97" s="6"/>
    </row>
    <row r="98" spans="1:14" x14ac:dyDescent="0.2">
      <c r="A98" s="130" t="s">
        <v>301</v>
      </c>
      <c r="B98" s="198">
        <f>B93-SUM(B94:B97)</f>
        <v>836.3500000000007</v>
      </c>
      <c r="C98" s="198">
        <f>C93-SUM(C94:C97)</f>
        <v>680.48000000000229</v>
      </c>
      <c r="D98" s="198">
        <f t="shared" ref="D98:L98" si="17">D93-SUM(D94:D97)</f>
        <v>479.58000000000095</v>
      </c>
      <c r="E98" s="198">
        <f t="shared" si="17"/>
        <v>460.70999999999941</v>
      </c>
      <c r="F98" s="198">
        <f t="shared" si="17"/>
        <v>519.55999999999858</v>
      </c>
      <c r="G98" s="198">
        <f t="shared" si="17"/>
        <v>565.53000000000179</v>
      </c>
      <c r="H98" s="198">
        <f t="shared" si="17"/>
        <v>495.0100000000013</v>
      </c>
      <c r="I98" s="198">
        <f t="shared" si="17"/>
        <v>390.75999999999931</v>
      </c>
      <c r="J98" s="198">
        <f t="shared" si="17"/>
        <v>330.29000000000008</v>
      </c>
      <c r="K98" s="198">
        <f t="shared" si="17"/>
        <v>300.45999999999924</v>
      </c>
      <c r="L98" s="198">
        <f t="shared" si="17"/>
        <v>0</v>
      </c>
    </row>
    <row r="99" spans="1:14" x14ac:dyDescent="0.2">
      <c r="A99" s="130" t="s">
        <v>302</v>
      </c>
      <c r="B99" s="198">
        <f>B98</f>
        <v>836.3500000000007</v>
      </c>
      <c r="C99" s="198">
        <f>C98</f>
        <v>680.48000000000229</v>
      </c>
      <c r="D99" s="198">
        <f t="shared" ref="D99:L99" si="18">D98</f>
        <v>479.58000000000095</v>
      </c>
      <c r="E99" s="198">
        <f t="shared" si="18"/>
        <v>460.70999999999941</v>
      </c>
      <c r="F99" s="198">
        <f t="shared" si="18"/>
        <v>519.55999999999858</v>
      </c>
      <c r="G99" s="198">
        <f t="shared" si="18"/>
        <v>565.53000000000179</v>
      </c>
      <c r="H99" s="198">
        <f t="shared" si="18"/>
        <v>495.0100000000013</v>
      </c>
      <c r="I99" s="198">
        <f t="shared" si="18"/>
        <v>390.75999999999931</v>
      </c>
      <c r="J99" s="198">
        <f t="shared" si="18"/>
        <v>330.29000000000008</v>
      </c>
      <c r="K99" s="198">
        <f t="shared" si="18"/>
        <v>300.45999999999924</v>
      </c>
      <c r="L99" s="198">
        <f t="shared" si="18"/>
        <v>0</v>
      </c>
    </row>
    <row r="100" spans="1:14" x14ac:dyDescent="0.2">
      <c r="A100" s="135" t="s">
        <v>303</v>
      </c>
      <c r="B100" s="136"/>
      <c r="C100" s="136"/>
      <c r="D100" s="136"/>
      <c r="E100" s="136"/>
      <c r="F100" s="136"/>
      <c r="G100" s="136"/>
    </row>
    <row r="101" spans="1:14" x14ac:dyDescent="0.2">
      <c r="A101" s="130" t="s">
        <v>304</v>
      </c>
      <c r="B101" s="198">
        <f>SUM(B99:B100)</f>
        <v>836.3500000000007</v>
      </c>
      <c r="C101" s="198">
        <f>SUM(C99:C100)</f>
        <v>680.48000000000229</v>
      </c>
      <c r="D101" s="198">
        <f t="shared" ref="D101:L101" si="19">SUM(D99:D100)</f>
        <v>479.58000000000095</v>
      </c>
      <c r="E101" s="198">
        <f t="shared" si="19"/>
        <v>460.70999999999941</v>
      </c>
      <c r="F101" s="198">
        <f t="shared" si="19"/>
        <v>519.55999999999858</v>
      </c>
      <c r="G101" s="198">
        <f t="shared" si="19"/>
        <v>565.53000000000179</v>
      </c>
      <c r="H101" s="198">
        <f t="shared" si="19"/>
        <v>495.0100000000013</v>
      </c>
      <c r="I101" s="198">
        <f t="shared" si="19"/>
        <v>390.75999999999931</v>
      </c>
      <c r="J101" s="198">
        <f t="shared" si="19"/>
        <v>330.29000000000008</v>
      </c>
      <c r="K101" s="198">
        <f t="shared" si="19"/>
        <v>300.45999999999924</v>
      </c>
      <c r="L101" s="198">
        <f t="shared" si="19"/>
        <v>0</v>
      </c>
    </row>
    <row r="102" spans="1:14" x14ac:dyDescent="0.2">
      <c r="A102" s="130" t="s">
        <v>305</v>
      </c>
      <c r="B102" s="198">
        <f>SUM(B101)</f>
        <v>836.3500000000007</v>
      </c>
      <c r="C102" s="198">
        <f>SUM(C101)</f>
        <v>680.48000000000229</v>
      </c>
      <c r="D102" s="198">
        <f t="shared" ref="D102:G102" si="20">SUM(D101)</f>
        <v>479.58000000000095</v>
      </c>
      <c r="E102" s="198">
        <f t="shared" si="20"/>
        <v>460.70999999999941</v>
      </c>
      <c r="F102" s="198">
        <f t="shared" si="20"/>
        <v>519.55999999999858</v>
      </c>
      <c r="G102" s="198">
        <f t="shared" si="20"/>
        <v>565.53000000000179</v>
      </c>
      <c r="H102" s="198">
        <f t="shared" ref="H102" si="21">SUM(H101)</f>
        <v>495.0100000000013</v>
      </c>
      <c r="I102" s="198">
        <f t="shared" ref="I102" si="22">SUM(I101)</f>
        <v>390.75999999999931</v>
      </c>
      <c r="J102" s="198">
        <f t="shared" ref="J102" si="23">SUM(J101)</f>
        <v>330.29000000000008</v>
      </c>
      <c r="K102" s="198">
        <f t="shared" ref="K102" si="24">SUM(K101)</f>
        <v>300.45999999999924</v>
      </c>
      <c r="L102" s="198">
        <f t="shared" ref="L102" si="25">SUM(L101)</f>
        <v>0</v>
      </c>
    </row>
    <row r="103" spans="1:14" x14ac:dyDescent="0.2">
      <c r="A103" s="189" t="s">
        <v>502</v>
      </c>
      <c r="B103" s="285">
        <v>0</v>
      </c>
      <c r="C103" s="285">
        <v>0</v>
      </c>
      <c r="D103" s="136">
        <v>0</v>
      </c>
      <c r="E103" s="136">
        <v>0</v>
      </c>
      <c r="F103" s="136">
        <v>0.14000000000000001</v>
      </c>
      <c r="G103" s="136">
        <v>0</v>
      </c>
      <c r="H103" s="2">
        <v>0</v>
      </c>
      <c r="I103" s="2">
        <v>0</v>
      </c>
      <c r="J103" s="2">
        <v>0</v>
      </c>
      <c r="K103" s="2">
        <v>-1.0900000000000001</v>
      </c>
    </row>
    <row r="104" spans="1:14" x14ac:dyDescent="0.2">
      <c r="A104" s="189" t="s">
        <v>503</v>
      </c>
      <c r="B104" s="285"/>
      <c r="C104" s="285"/>
      <c r="D104" s="136"/>
      <c r="E104" s="136"/>
      <c r="F104" s="136"/>
      <c r="G104" s="136"/>
      <c r="N104" s="199"/>
    </row>
    <row r="105" spans="1:14" x14ac:dyDescent="0.2">
      <c r="A105" s="132" t="s">
        <v>504</v>
      </c>
      <c r="B105" s="211">
        <f>SUM(B102:B104)</f>
        <v>836.3500000000007</v>
      </c>
      <c r="C105" s="211">
        <f>SUM(C102:C104)</f>
        <v>680.48000000000229</v>
      </c>
      <c r="D105" s="211">
        <f t="shared" ref="D105:G105" si="26">SUM(D102:D104)</f>
        <v>479.58000000000095</v>
      </c>
      <c r="E105" s="211">
        <f t="shared" si="26"/>
        <v>460.70999999999941</v>
      </c>
      <c r="F105" s="211">
        <f t="shared" si="26"/>
        <v>519.69999999999857</v>
      </c>
      <c r="G105" s="211">
        <f t="shared" si="26"/>
        <v>565.53000000000179</v>
      </c>
      <c r="H105" s="211">
        <f t="shared" ref="H105" si="27">SUM(H102:H104)</f>
        <v>495.0100000000013</v>
      </c>
      <c r="I105" s="211">
        <f t="shared" ref="I105" si="28">SUM(I102:I104)</f>
        <v>390.75999999999931</v>
      </c>
      <c r="J105" s="211">
        <f t="shared" ref="J105" si="29">SUM(J102:J104)</f>
        <v>330.29000000000008</v>
      </c>
      <c r="K105" s="211">
        <f t="shared" ref="K105" si="30">SUM(K102:K104)</f>
        <v>299.36999999999927</v>
      </c>
      <c r="L105" s="211">
        <f t="shared" ref="L105" si="31">SUM(L102:L104)</f>
        <v>0</v>
      </c>
      <c r="M105" s="6" t="e">
        <f>C105/L105*100</f>
        <v>#DIV/0!</v>
      </c>
      <c r="N105" s="6"/>
    </row>
    <row r="106" spans="1:14" x14ac:dyDescent="0.2">
      <c r="A106" s="132" t="s">
        <v>278</v>
      </c>
      <c r="B106" s="133"/>
      <c r="C106" s="133"/>
      <c r="D106" s="134"/>
      <c r="E106" s="134"/>
      <c r="F106" s="134"/>
      <c r="G106" s="134"/>
    </row>
    <row r="107" spans="1:14" x14ac:dyDescent="0.2">
      <c r="A107" s="132" t="s">
        <v>306</v>
      </c>
      <c r="B107" s="133"/>
      <c r="C107" s="133"/>
      <c r="D107" s="134"/>
      <c r="E107" s="134"/>
      <c r="F107" s="134"/>
      <c r="G107" s="134"/>
    </row>
    <row r="108" spans="1:14" x14ac:dyDescent="0.2">
      <c r="A108" s="135" t="s">
        <v>307</v>
      </c>
      <c r="B108" s="179">
        <v>59</v>
      </c>
      <c r="C108" s="179">
        <v>48</v>
      </c>
      <c r="D108" s="179">
        <v>34</v>
      </c>
      <c r="E108" s="179">
        <v>33</v>
      </c>
      <c r="F108" s="179">
        <v>37</v>
      </c>
      <c r="G108" s="179">
        <v>40</v>
      </c>
      <c r="H108" s="6">
        <v>35</v>
      </c>
      <c r="I108" s="6">
        <v>28</v>
      </c>
      <c r="J108" s="6">
        <v>23</v>
      </c>
      <c r="K108" s="6">
        <v>21</v>
      </c>
      <c r="L108" s="6"/>
    </row>
    <row r="109" spans="1:14" x14ac:dyDescent="0.2">
      <c r="A109" s="135" t="s">
        <v>308</v>
      </c>
      <c r="B109" s="179">
        <v>59</v>
      </c>
      <c r="C109" s="179">
        <v>48</v>
      </c>
      <c r="D109" s="179">
        <v>34</v>
      </c>
      <c r="E109" s="179">
        <v>33</v>
      </c>
      <c r="F109" s="179">
        <v>37</v>
      </c>
      <c r="G109" s="179">
        <v>40</v>
      </c>
      <c r="H109" s="6">
        <v>35</v>
      </c>
      <c r="I109" s="6">
        <v>28</v>
      </c>
      <c r="J109" s="6">
        <v>23</v>
      </c>
      <c r="K109" s="6">
        <v>21</v>
      </c>
      <c r="L109" s="6"/>
    </row>
    <row r="110" spans="1:14" x14ac:dyDescent="0.2">
      <c r="A110" s="132" t="s">
        <v>309</v>
      </c>
      <c r="B110" s="133"/>
      <c r="C110" s="133"/>
      <c r="D110" s="134"/>
      <c r="E110" s="134"/>
      <c r="F110" s="134"/>
      <c r="G110" s="134"/>
      <c r="J110" s="6"/>
    </row>
    <row r="111" spans="1:14" x14ac:dyDescent="0.2">
      <c r="A111" s="189" t="s">
        <v>505</v>
      </c>
      <c r="B111" s="190">
        <v>119.56</v>
      </c>
      <c r="C111" s="190">
        <v>98.46</v>
      </c>
      <c r="D111" s="136">
        <v>87.91</v>
      </c>
      <c r="E111" s="136">
        <v>84.4</v>
      </c>
      <c r="F111" s="136">
        <v>0</v>
      </c>
      <c r="G111" s="136">
        <v>154.72999999999999</v>
      </c>
      <c r="H111" s="2">
        <v>56.27</v>
      </c>
      <c r="I111" s="2">
        <v>35.17</v>
      </c>
      <c r="J111" s="6">
        <v>5.28</v>
      </c>
      <c r="K111" s="2">
        <v>24.62</v>
      </c>
    </row>
    <row r="112" spans="1:14" x14ac:dyDescent="0.2">
      <c r="A112" s="189" t="s">
        <v>506</v>
      </c>
      <c r="B112" s="190"/>
      <c r="C112" s="190"/>
      <c r="D112" s="136"/>
      <c r="E112" s="136"/>
      <c r="F112" s="136"/>
      <c r="G112" s="136">
        <v>31.81</v>
      </c>
      <c r="H112" s="2">
        <v>11.57</v>
      </c>
      <c r="I112" s="2">
        <v>7.16</v>
      </c>
      <c r="J112" s="6">
        <v>1.07</v>
      </c>
      <c r="K112" s="2">
        <v>5.01</v>
      </c>
    </row>
    <row r="113" spans="1:11" x14ac:dyDescent="0.2">
      <c r="A113" s="132" t="s">
        <v>505</v>
      </c>
      <c r="B113" s="133"/>
      <c r="C113" s="133"/>
      <c r="D113" s="134"/>
      <c r="E113" s="134"/>
      <c r="F113" s="134"/>
      <c r="G113" s="134"/>
    </row>
    <row r="114" spans="1:11" x14ac:dyDescent="0.2">
      <c r="A114" s="132" t="s">
        <v>506</v>
      </c>
      <c r="B114" s="133"/>
      <c r="C114" s="133"/>
      <c r="D114" s="198"/>
      <c r="E114" s="134"/>
      <c r="F114" s="134"/>
      <c r="G114" s="134"/>
    </row>
    <row r="115" spans="1:11" x14ac:dyDescent="0.2">
      <c r="A115" s="135" t="s">
        <v>487</v>
      </c>
      <c r="B115" s="195">
        <f>B7*10000000/10</f>
        <v>140660000</v>
      </c>
      <c r="C115" s="195">
        <f>C7*10000000/10</f>
        <v>140660000</v>
      </c>
      <c r="D115" s="292">
        <f>D7*10000000/10</f>
        <v>140660000</v>
      </c>
      <c r="E115" s="195">
        <f>E7*10000000/10</f>
        <v>140660000</v>
      </c>
      <c r="F115" s="195">
        <f>F7*10000000/10</f>
        <v>140660000</v>
      </c>
      <c r="G115" s="195">
        <f>G7*10000000/10</f>
        <v>140660000</v>
      </c>
      <c r="H115" s="2">
        <f>H7*10000000/10</f>
        <v>140660000</v>
      </c>
      <c r="I115" s="2">
        <f>I7*10000000/10</f>
        <v>140660000</v>
      </c>
      <c r="J115" s="2">
        <f>J7*10000000/10</f>
        <v>140660000</v>
      </c>
      <c r="K115" s="2">
        <f>K7*10000000/10</f>
        <v>17579999.999999996</v>
      </c>
    </row>
    <row r="116" spans="1:11" x14ac:dyDescent="0.2">
      <c r="A116" s="137"/>
      <c r="B116" s="137"/>
      <c r="C116" s="137"/>
      <c r="D116" s="137"/>
      <c r="E116" s="137"/>
      <c r="F116" s="137"/>
      <c r="G116" s="137"/>
    </row>
    <row r="117" spans="1:11" x14ac:dyDescent="0.2">
      <c r="A117" s="1" t="s">
        <v>936</v>
      </c>
      <c r="B117" s="129"/>
      <c r="C117" s="129"/>
    </row>
    <row r="118" spans="1:11" ht="12" thickBot="1" x14ac:dyDescent="0.25">
      <c r="A118" s="138"/>
      <c r="B118" s="134" t="s">
        <v>910</v>
      </c>
      <c r="C118" s="134" t="s">
        <v>911</v>
      </c>
      <c r="D118" s="134" t="s">
        <v>912</v>
      </c>
      <c r="E118" s="134" t="s">
        <v>913</v>
      </c>
      <c r="F118" s="134" t="s">
        <v>639</v>
      </c>
      <c r="G118" s="134"/>
      <c r="H118" s="138"/>
      <c r="I118" s="138"/>
      <c r="J118" s="138"/>
      <c r="K118" s="138"/>
    </row>
    <row r="119" spans="1:11" s="3" customFormat="1" x14ac:dyDescent="0.2">
      <c r="A119" s="3" t="s">
        <v>169</v>
      </c>
      <c r="B119" s="3">
        <v>3319</v>
      </c>
      <c r="C119" s="3">
        <v>3583</v>
      </c>
      <c r="D119" s="3">
        <v>3608</v>
      </c>
    </row>
    <row r="120" spans="1:11" x14ac:dyDescent="0.2">
      <c r="A120" s="2" t="s">
        <v>170</v>
      </c>
    </row>
    <row r="121" spans="1:11" s="3" customFormat="1" x14ac:dyDescent="0.2">
      <c r="A121" s="3" t="s">
        <v>171</v>
      </c>
      <c r="B121" s="3">
        <f>SUM(B119:B120)</f>
        <v>3319</v>
      </c>
      <c r="C121" s="3">
        <f>SUM(C119:C120)</f>
        <v>3583</v>
      </c>
      <c r="D121" s="3">
        <f t="shared" ref="D121:F121" si="32">SUM(D119:D120)</f>
        <v>3608</v>
      </c>
      <c r="E121" s="3">
        <f t="shared" si="32"/>
        <v>0</v>
      </c>
      <c r="F121" s="3">
        <f t="shared" si="32"/>
        <v>0</v>
      </c>
    </row>
    <row r="122" spans="1:11" s="3" customFormat="1" x14ac:dyDescent="0.2">
      <c r="A122" s="3" t="s">
        <v>172</v>
      </c>
    </row>
    <row r="123" spans="1:11" x14ac:dyDescent="0.2">
      <c r="A123" s="2" t="s">
        <v>173</v>
      </c>
    </row>
    <row r="124" spans="1:11" x14ac:dyDescent="0.2">
      <c r="A124" s="2" t="s">
        <v>174</v>
      </c>
    </row>
    <row r="125" spans="1:11" x14ac:dyDescent="0.2">
      <c r="A125" s="2" t="s">
        <v>175</v>
      </c>
    </row>
    <row r="126" spans="1:11" x14ac:dyDescent="0.2">
      <c r="A126" s="2" t="s">
        <v>176</v>
      </c>
    </row>
    <row r="127" spans="1:11" x14ac:dyDescent="0.2">
      <c r="A127" s="2" t="s">
        <v>177</v>
      </c>
    </row>
    <row r="128" spans="1:11" x14ac:dyDescent="0.2">
      <c r="A128" s="2" t="s">
        <v>167</v>
      </c>
      <c r="B128" s="2">
        <v>164</v>
      </c>
      <c r="C128" s="2">
        <v>180</v>
      </c>
      <c r="D128" s="2">
        <v>178</v>
      </c>
    </row>
    <row r="129" spans="1:7" x14ac:dyDescent="0.2">
      <c r="A129" s="2" t="s">
        <v>163</v>
      </c>
    </row>
    <row r="130" spans="1:7" x14ac:dyDescent="0.2">
      <c r="A130" s="2" t="s">
        <v>178</v>
      </c>
    </row>
    <row r="131" spans="1:7" x14ac:dyDescent="0.2">
      <c r="A131" s="2" t="s">
        <v>179</v>
      </c>
    </row>
    <row r="132" spans="1:7" x14ac:dyDescent="0.2">
      <c r="A132" s="2" t="s">
        <v>180</v>
      </c>
    </row>
    <row r="133" spans="1:7" x14ac:dyDescent="0.2">
      <c r="A133" s="2" t="s">
        <v>181</v>
      </c>
    </row>
    <row r="134" spans="1:7" x14ac:dyDescent="0.2">
      <c r="A134" s="2" t="s">
        <v>182</v>
      </c>
      <c r="B134" s="2">
        <v>2875</v>
      </c>
      <c r="C134" s="2">
        <v>3106</v>
      </c>
      <c r="D134" s="2">
        <v>3131</v>
      </c>
    </row>
    <row r="135" spans="1:7" s="3" customFormat="1" x14ac:dyDescent="0.2">
      <c r="A135" s="3" t="s">
        <v>534</v>
      </c>
      <c r="B135" s="3">
        <f>B121-SUM(B122:B134)</f>
        <v>280</v>
      </c>
      <c r="C135" s="3">
        <f>C121-SUM(C122:C134)</f>
        <v>297</v>
      </c>
      <c r="D135" s="3">
        <f>D121-SUM(D122:D134)</f>
        <v>299</v>
      </c>
      <c r="E135" s="3">
        <f t="shared" ref="E135:G135" si="33">E121-E134</f>
        <v>0</v>
      </c>
      <c r="F135" s="3">
        <f t="shared" si="33"/>
        <v>0</v>
      </c>
      <c r="G135" s="3">
        <f t="shared" si="33"/>
        <v>0</v>
      </c>
    </row>
    <row r="136" spans="1:7" x14ac:dyDescent="0.2">
      <c r="A136" s="2" t="s">
        <v>164</v>
      </c>
      <c r="B136" s="2">
        <v>36</v>
      </c>
      <c r="C136" s="2">
        <v>21</v>
      </c>
      <c r="D136" s="2">
        <v>16</v>
      </c>
    </row>
    <row r="137" spans="1:7" s="3" customFormat="1" x14ac:dyDescent="0.2">
      <c r="A137" s="3" t="s">
        <v>184</v>
      </c>
      <c r="B137" s="3">
        <f>SUM(B135:B136)</f>
        <v>316</v>
      </c>
      <c r="C137" s="3">
        <f>SUM(C135:C136)</f>
        <v>318</v>
      </c>
      <c r="D137" s="3">
        <f t="shared" ref="D137:G137" si="34">SUM(D135:D136)</f>
        <v>315</v>
      </c>
      <c r="E137" s="3">
        <f t="shared" si="34"/>
        <v>0</v>
      </c>
      <c r="F137" s="3">
        <f t="shared" si="34"/>
        <v>0</v>
      </c>
      <c r="G137" s="3">
        <f t="shared" si="34"/>
        <v>0</v>
      </c>
    </row>
    <row r="138" spans="1:7" x14ac:dyDescent="0.2">
      <c r="A138" s="2" t="s">
        <v>166</v>
      </c>
      <c r="B138" s="2">
        <v>14</v>
      </c>
      <c r="C138" s="2">
        <v>14</v>
      </c>
      <c r="D138" s="2">
        <v>15</v>
      </c>
    </row>
    <row r="139" spans="1:7" s="3" customFormat="1" x14ac:dyDescent="0.2">
      <c r="A139" s="3" t="s">
        <v>185</v>
      </c>
      <c r="B139" s="3">
        <f>B137-B138</f>
        <v>302</v>
      </c>
      <c r="C139" s="3">
        <f>C137-C138</f>
        <v>304</v>
      </c>
      <c r="D139" s="3">
        <f t="shared" ref="D139:G139" si="35">D137-D138</f>
        <v>300</v>
      </c>
      <c r="E139" s="3">
        <f t="shared" si="35"/>
        <v>0</v>
      </c>
      <c r="F139" s="3">
        <f t="shared" si="35"/>
        <v>0</v>
      </c>
      <c r="G139" s="3">
        <f t="shared" si="35"/>
        <v>0</v>
      </c>
    </row>
    <row r="140" spans="1:7" x14ac:dyDescent="0.2">
      <c r="A140" s="2" t="s">
        <v>186</v>
      </c>
    </row>
    <row r="141" spans="1:7" s="3" customFormat="1" x14ac:dyDescent="0.2">
      <c r="A141" s="3" t="s">
        <v>187</v>
      </c>
      <c r="B141" s="5">
        <f>SUM(B139:B140)</f>
        <v>302</v>
      </c>
      <c r="C141" s="5">
        <f>SUM(C139:C140)</f>
        <v>304</v>
      </c>
      <c r="D141" s="5">
        <f>SUM(D139:D140)</f>
        <v>300</v>
      </c>
    </row>
    <row r="142" spans="1:7" x14ac:dyDescent="0.2">
      <c r="A142" s="2" t="s">
        <v>168</v>
      </c>
      <c r="B142" s="6">
        <v>75.5</v>
      </c>
      <c r="C142" s="6">
        <v>76</v>
      </c>
      <c r="D142" s="6">
        <v>78.260000000000005</v>
      </c>
    </row>
    <row r="143" spans="1:7" s="3" customFormat="1" x14ac:dyDescent="0.2">
      <c r="A143" s="3" t="s">
        <v>188</v>
      </c>
      <c r="B143" s="5">
        <f>B141-B142</f>
        <v>226.5</v>
      </c>
      <c r="C143" s="5">
        <f>C141-C142</f>
        <v>228</v>
      </c>
      <c r="D143" s="5">
        <f>D141-D142</f>
        <v>221.74</v>
      </c>
    </row>
    <row r="144" spans="1:7" x14ac:dyDescent="0.2">
      <c r="A144" s="2" t="s">
        <v>189</v>
      </c>
    </row>
    <row r="145" spans="1:4" x14ac:dyDescent="0.2">
      <c r="A145" s="2" t="s">
        <v>190</v>
      </c>
    </row>
    <row r="146" spans="1:4" s="3" customFormat="1" x14ac:dyDescent="0.2">
      <c r="A146" s="3" t="s">
        <v>191</v>
      </c>
      <c r="B146" s="5">
        <f>SUM(B143:B145)</f>
        <v>226.5</v>
      </c>
      <c r="C146" s="5">
        <f>SUM(C143:C145)</f>
        <v>228</v>
      </c>
      <c r="D146" s="5">
        <f>SUM(D143:D145)</f>
        <v>221.74</v>
      </c>
    </row>
    <row r="147" spans="1:4" x14ac:dyDescent="0.2">
      <c r="A147" s="2" t="s">
        <v>502</v>
      </c>
    </row>
    <row r="148" spans="1:4" x14ac:dyDescent="0.2">
      <c r="A148" s="2" t="s">
        <v>535</v>
      </c>
    </row>
    <row r="149" spans="1:4" x14ac:dyDescent="0.2">
      <c r="A149" s="2" t="s">
        <v>536</v>
      </c>
    </row>
    <row r="150" spans="1:4" x14ac:dyDescent="0.2">
      <c r="A150" s="2" t="s">
        <v>156</v>
      </c>
    </row>
    <row r="151" spans="1:4" x14ac:dyDescent="0.2">
      <c r="A151" s="2" t="s">
        <v>192</v>
      </c>
    </row>
    <row r="152" spans="1:4" x14ac:dyDescent="0.2">
      <c r="A152" s="2" t="s">
        <v>193</v>
      </c>
    </row>
    <row r="153" spans="1:4" s="3" customFormat="1" x14ac:dyDescent="0.2">
      <c r="A153" s="3" t="s">
        <v>194</v>
      </c>
    </row>
    <row r="154" spans="1:4" x14ac:dyDescent="0.2">
      <c r="A154" s="2" t="s">
        <v>195</v>
      </c>
    </row>
    <row r="155" spans="1:4" x14ac:dyDescent="0.2">
      <c r="A155" s="2" t="s">
        <v>196</v>
      </c>
    </row>
    <row r="156" spans="1:4" s="3" customFormat="1" x14ac:dyDescent="0.2">
      <c r="A156" s="3" t="s">
        <v>197</v>
      </c>
    </row>
    <row r="157" spans="1:4" x14ac:dyDescent="0.2">
      <c r="A157" s="2" t="s">
        <v>195</v>
      </c>
    </row>
    <row r="158" spans="1:4" x14ac:dyDescent="0.2">
      <c r="A158" s="2" t="s">
        <v>196</v>
      </c>
    </row>
    <row r="159" spans="1:4" x14ac:dyDescent="0.2">
      <c r="A159" s="2" t="s">
        <v>198</v>
      </c>
    </row>
    <row r="160" spans="1:4" x14ac:dyDescent="0.2">
      <c r="A160" s="2" t="s">
        <v>199</v>
      </c>
    </row>
    <row r="161" spans="1:1" x14ac:dyDescent="0.2">
      <c r="A161" s="2" t="s">
        <v>200</v>
      </c>
    </row>
    <row r="162" spans="1:1" x14ac:dyDescent="0.2">
      <c r="A162" s="2" t="s">
        <v>201</v>
      </c>
    </row>
    <row r="163" spans="1:1" x14ac:dyDescent="0.2">
      <c r="A163" s="2" t="s">
        <v>202</v>
      </c>
    </row>
    <row r="164" spans="1:1" x14ac:dyDescent="0.2">
      <c r="A164" s="2" t="s">
        <v>203</v>
      </c>
    </row>
    <row r="165" spans="1:1" x14ac:dyDescent="0.2">
      <c r="A165" s="2" t="s">
        <v>204</v>
      </c>
    </row>
    <row r="166" spans="1:1" x14ac:dyDescent="0.2">
      <c r="A166" s="2" t="s">
        <v>205</v>
      </c>
    </row>
    <row r="167" spans="1:1" x14ac:dyDescent="0.2">
      <c r="A167" s="2" t="s">
        <v>206</v>
      </c>
    </row>
    <row r="168" spans="1:1" x14ac:dyDescent="0.2">
      <c r="A168" s="2" t="s">
        <v>203</v>
      </c>
    </row>
    <row r="169" spans="1:1" x14ac:dyDescent="0.2">
      <c r="A169" s="2" t="s">
        <v>204</v>
      </c>
    </row>
    <row r="170" spans="1:1" x14ac:dyDescent="0.2">
      <c r="A170" s="2" t="s">
        <v>205</v>
      </c>
    </row>
    <row r="171" spans="1:1" x14ac:dyDescent="0.2">
      <c r="A171" s="2" t="s">
        <v>324</v>
      </c>
    </row>
  </sheetData>
  <pageMargins left="0.7" right="0.7" top="0.75" bottom="0.75" header="0.3" footer="0.3"/>
  <pageSetup paperSize="9" orientation="portrait" verticalDpi="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4F47-1B64-47FB-9165-60477BB538DF}">
  <dimension ref="A1:P107"/>
  <sheetViews>
    <sheetView topLeftCell="A88" workbookViewId="0">
      <selection activeCell="B103" sqref="B103:K104"/>
    </sheetView>
  </sheetViews>
  <sheetFormatPr defaultRowHeight="15" x14ac:dyDescent="0.25"/>
  <cols>
    <col min="1" max="1" width="51.140625" style="246" bestFit="1" customWidth="1"/>
    <col min="2" max="2" width="31.42578125" style="246" bestFit="1" customWidth="1"/>
    <col min="3" max="3" width="8.85546875" style="246" bestFit="1" customWidth="1"/>
    <col min="4" max="11" width="7.85546875" style="246" bestFit="1" customWidth="1"/>
    <col min="12" max="16384" width="9.140625" style="246"/>
  </cols>
  <sheetData>
    <row r="1" spans="1:10" x14ac:dyDescent="0.25">
      <c r="A1" s="325" t="s">
        <v>936</v>
      </c>
      <c r="B1" s="355" t="s">
        <v>937</v>
      </c>
    </row>
    <row r="2" spans="1:10" x14ac:dyDescent="0.25">
      <c r="A2" s="326" t="s">
        <v>947</v>
      </c>
      <c r="B2" s="326" t="s">
        <v>938</v>
      </c>
    </row>
    <row r="3" spans="1:10" x14ac:dyDescent="0.25">
      <c r="A3" s="327"/>
      <c r="B3" s="327" t="s">
        <v>909</v>
      </c>
      <c r="C3" s="356">
        <v>45352</v>
      </c>
      <c r="D3" s="356">
        <v>44986</v>
      </c>
      <c r="E3" s="356">
        <v>44621</v>
      </c>
      <c r="F3" s="356">
        <v>44256</v>
      </c>
      <c r="G3" s="357"/>
      <c r="H3" s="357"/>
      <c r="I3" s="357"/>
      <c r="J3" s="357"/>
    </row>
    <row r="4" spans="1:10" x14ac:dyDescent="0.25">
      <c r="A4" s="328" t="e" vm="1">
        <v>#VALUE!</v>
      </c>
      <c r="B4" s="328"/>
      <c r="C4" s="328"/>
      <c r="D4" s="328"/>
      <c r="E4" s="328"/>
      <c r="F4" s="328"/>
      <c r="G4" s="328"/>
      <c r="H4" s="328"/>
      <c r="I4" s="328"/>
      <c r="J4" s="328"/>
    </row>
    <row r="5" spans="1:10" x14ac:dyDescent="0.25">
      <c r="A5" s="329"/>
      <c r="B5" s="329" t="s">
        <v>939</v>
      </c>
      <c r="C5" s="329" t="s">
        <v>939</v>
      </c>
      <c r="D5" s="329" t="s">
        <v>939</v>
      </c>
      <c r="E5" s="329" t="s">
        <v>939</v>
      </c>
      <c r="F5" s="329" t="s">
        <v>939</v>
      </c>
      <c r="G5" s="357"/>
      <c r="H5" s="357"/>
      <c r="I5" s="357"/>
      <c r="J5" s="357"/>
    </row>
    <row r="6" spans="1:10" x14ac:dyDescent="0.25">
      <c r="A6" s="328" t="e" vm="1">
        <v>#VALUE!</v>
      </c>
      <c r="B6" s="328"/>
      <c r="C6" s="328"/>
      <c r="D6" s="328"/>
      <c r="E6" s="328"/>
      <c r="F6" s="328"/>
      <c r="G6" s="328"/>
      <c r="H6" s="328"/>
      <c r="I6" s="328"/>
      <c r="J6" s="328"/>
    </row>
    <row r="7" spans="1:10" ht="24" customHeight="1" x14ac:dyDescent="0.25">
      <c r="A7" s="330" t="s">
        <v>255</v>
      </c>
      <c r="B7" s="332"/>
      <c r="C7" s="327"/>
      <c r="D7" s="327"/>
      <c r="E7" s="327"/>
      <c r="F7" s="327"/>
      <c r="G7" s="357"/>
      <c r="H7" s="357"/>
      <c r="I7" s="357"/>
      <c r="J7" s="357"/>
    </row>
    <row r="8" spans="1:10" ht="24" customHeight="1" x14ac:dyDescent="0.25">
      <c r="A8" s="330" t="s">
        <v>256</v>
      </c>
      <c r="B8" s="332"/>
      <c r="C8" s="327"/>
      <c r="D8" s="327"/>
      <c r="E8" s="327"/>
      <c r="F8" s="327"/>
      <c r="G8" s="357"/>
      <c r="H8" s="357"/>
      <c r="I8" s="357"/>
      <c r="J8" s="357"/>
    </row>
    <row r="9" spans="1:10" x14ac:dyDescent="0.25">
      <c r="A9" s="329" t="s">
        <v>156</v>
      </c>
      <c r="B9" s="329">
        <v>140.66</v>
      </c>
      <c r="C9" s="329">
        <v>140.66</v>
      </c>
      <c r="D9" s="329">
        <v>140.66</v>
      </c>
      <c r="E9" s="329">
        <v>140.66</v>
      </c>
      <c r="F9" s="329">
        <v>140.66</v>
      </c>
      <c r="G9" s="357"/>
      <c r="H9" s="357"/>
      <c r="I9" s="357"/>
      <c r="J9" s="357"/>
    </row>
    <row r="10" spans="1:10" x14ac:dyDescent="0.25">
      <c r="A10" s="326" t="s">
        <v>155</v>
      </c>
      <c r="B10" s="326">
        <v>140.66</v>
      </c>
      <c r="C10" s="326">
        <v>140.66</v>
      </c>
      <c r="D10" s="326">
        <v>140.66</v>
      </c>
      <c r="E10" s="326">
        <v>140.66</v>
      </c>
      <c r="F10" s="326">
        <v>140.66</v>
      </c>
      <c r="G10" s="357"/>
      <c r="H10" s="357"/>
      <c r="I10" s="357"/>
      <c r="J10" s="357"/>
    </row>
    <row r="11" spans="1:10" x14ac:dyDescent="0.25">
      <c r="A11" s="329" t="s">
        <v>257</v>
      </c>
      <c r="B11" s="358">
        <v>5576.75</v>
      </c>
      <c r="C11" s="358">
        <v>4836.78</v>
      </c>
      <c r="D11" s="358">
        <v>4271.47</v>
      </c>
      <c r="E11" s="358">
        <v>3779.33</v>
      </c>
      <c r="F11" s="358">
        <v>3421.45</v>
      </c>
      <c r="G11" s="357"/>
      <c r="H11" s="357"/>
      <c r="I11" s="357"/>
      <c r="J11" s="357"/>
    </row>
    <row r="12" spans="1:10" x14ac:dyDescent="0.25">
      <c r="A12" s="326" t="s">
        <v>258</v>
      </c>
      <c r="B12" s="359">
        <v>5576.75</v>
      </c>
      <c r="C12" s="359">
        <v>4836.78</v>
      </c>
      <c r="D12" s="359">
        <v>4271.47</v>
      </c>
      <c r="E12" s="359">
        <v>3779.33</v>
      </c>
      <c r="F12" s="359">
        <v>3421.45</v>
      </c>
      <c r="G12" s="357"/>
      <c r="H12" s="357"/>
      <c r="I12" s="357"/>
      <c r="J12" s="357"/>
    </row>
    <row r="13" spans="1:10" x14ac:dyDescent="0.25">
      <c r="A13" s="326" t="s">
        <v>259</v>
      </c>
      <c r="B13" s="359">
        <v>5717.42</v>
      </c>
      <c r="C13" s="359">
        <v>4977.4399999999996</v>
      </c>
      <c r="D13" s="359">
        <v>4412.13</v>
      </c>
      <c r="E13" s="359">
        <v>3919.99</v>
      </c>
      <c r="F13" s="359">
        <v>3562.12</v>
      </c>
      <c r="G13" s="357"/>
      <c r="H13" s="357"/>
      <c r="I13" s="357"/>
      <c r="J13" s="357"/>
    </row>
    <row r="14" spans="1:10" ht="24" customHeight="1" x14ac:dyDescent="0.25">
      <c r="A14" s="329" t="s">
        <v>502</v>
      </c>
      <c r="B14" s="329">
        <v>0</v>
      </c>
      <c r="C14" s="329">
        <v>0</v>
      </c>
      <c r="D14" s="329">
        <v>0</v>
      </c>
      <c r="E14" s="329">
        <v>0</v>
      </c>
      <c r="F14" s="329">
        <v>0.02</v>
      </c>
      <c r="G14" s="357"/>
      <c r="H14" s="357"/>
      <c r="I14" s="357"/>
      <c r="J14" s="357"/>
    </row>
    <row r="15" spans="1:10" ht="24" customHeight="1" x14ac:dyDescent="0.25">
      <c r="A15" s="330" t="s">
        <v>260</v>
      </c>
      <c r="B15" s="332"/>
      <c r="C15" s="327"/>
      <c r="D15" s="327"/>
      <c r="E15" s="327"/>
      <c r="F15" s="327"/>
      <c r="G15" s="357"/>
      <c r="H15" s="357"/>
      <c r="I15" s="357"/>
      <c r="J15" s="357"/>
    </row>
    <row r="16" spans="1:10" x14ac:dyDescent="0.25">
      <c r="A16" s="329" t="s">
        <v>261</v>
      </c>
      <c r="B16" s="329">
        <v>594.64</v>
      </c>
      <c r="C16" s="329">
        <v>480.25</v>
      </c>
      <c r="D16" s="329">
        <v>278.14999999999998</v>
      </c>
      <c r="E16" s="329">
        <v>193.92</v>
      </c>
      <c r="F16" s="329">
        <v>379.18</v>
      </c>
      <c r="G16" s="357"/>
      <c r="H16" s="357"/>
      <c r="I16" s="357"/>
      <c r="J16" s="357"/>
    </row>
    <row r="17" spans="1:10" x14ac:dyDescent="0.25">
      <c r="A17" s="329" t="s">
        <v>489</v>
      </c>
      <c r="B17" s="329">
        <v>13.35</v>
      </c>
      <c r="C17" s="329">
        <v>14.43</v>
      </c>
      <c r="D17" s="329">
        <v>0.52</v>
      </c>
      <c r="E17" s="329">
        <v>0.63</v>
      </c>
      <c r="F17" s="329">
        <v>0.51</v>
      </c>
      <c r="G17" s="357"/>
      <c r="H17" s="357"/>
      <c r="I17" s="357"/>
      <c r="J17" s="357"/>
    </row>
    <row r="18" spans="1:10" x14ac:dyDescent="0.25">
      <c r="A18" s="329" t="s">
        <v>262</v>
      </c>
      <c r="B18" s="329">
        <v>48.6</v>
      </c>
      <c r="C18" s="329">
        <v>115.97</v>
      </c>
      <c r="D18" s="329">
        <v>116.4</v>
      </c>
      <c r="E18" s="329">
        <v>26.73</v>
      </c>
      <c r="F18" s="329">
        <v>8.98</v>
      </c>
      <c r="G18" s="357"/>
      <c r="H18" s="357"/>
      <c r="I18" s="357"/>
      <c r="J18" s="357"/>
    </row>
    <row r="19" spans="1:10" x14ac:dyDescent="0.25">
      <c r="A19" s="329" t="s">
        <v>263</v>
      </c>
      <c r="B19" s="329">
        <v>73.459999999999994</v>
      </c>
      <c r="C19" s="329">
        <v>60.18</v>
      </c>
      <c r="D19" s="329">
        <v>64.53</v>
      </c>
      <c r="E19" s="329">
        <v>59.15</v>
      </c>
      <c r="F19" s="329">
        <v>73.36</v>
      </c>
      <c r="G19" s="357"/>
      <c r="H19" s="357"/>
      <c r="I19" s="357"/>
      <c r="J19" s="357"/>
    </row>
    <row r="20" spans="1:10" x14ac:dyDescent="0.25">
      <c r="A20" s="326" t="s">
        <v>264</v>
      </c>
      <c r="B20" s="326">
        <v>730.05</v>
      </c>
      <c r="C20" s="326">
        <v>670.83</v>
      </c>
      <c r="D20" s="326">
        <v>459.59</v>
      </c>
      <c r="E20" s="326">
        <v>280.43</v>
      </c>
      <c r="F20" s="326">
        <v>462.03</v>
      </c>
      <c r="G20" s="357"/>
      <c r="H20" s="357"/>
      <c r="I20" s="357"/>
      <c r="J20" s="357"/>
    </row>
    <row r="21" spans="1:10" x14ac:dyDescent="0.25">
      <c r="A21" s="330" t="s">
        <v>265</v>
      </c>
      <c r="B21" s="332"/>
      <c r="C21" s="327"/>
      <c r="D21" s="327"/>
      <c r="E21" s="327"/>
      <c r="F21" s="327"/>
      <c r="G21" s="357"/>
      <c r="H21" s="357"/>
      <c r="I21" s="357"/>
      <c r="J21" s="357"/>
    </row>
    <row r="22" spans="1:10" x14ac:dyDescent="0.25">
      <c r="A22" s="329" t="s">
        <v>266</v>
      </c>
      <c r="B22" s="329">
        <v>309.22000000000003</v>
      </c>
      <c r="C22" s="329">
        <v>259.52999999999997</v>
      </c>
      <c r="D22" s="329">
        <v>205.18</v>
      </c>
      <c r="E22" s="329">
        <v>205.53</v>
      </c>
      <c r="F22" s="329">
        <v>45</v>
      </c>
      <c r="G22" s="357"/>
      <c r="H22" s="357"/>
      <c r="I22" s="357"/>
      <c r="J22" s="357"/>
    </row>
    <row r="23" spans="1:10" x14ac:dyDescent="0.25">
      <c r="A23" s="329" t="s">
        <v>231</v>
      </c>
      <c r="B23" s="358">
        <v>1974.26</v>
      </c>
      <c r="C23" s="358">
        <v>1604.47</v>
      </c>
      <c r="D23" s="358">
        <v>1425.74</v>
      </c>
      <c r="E23" s="358">
        <v>1241.3499999999999</v>
      </c>
      <c r="F23" s="358">
        <v>1278.33</v>
      </c>
      <c r="G23" s="357"/>
      <c r="H23" s="357"/>
      <c r="I23" s="357"/>
      <c r="J23" s="357"/>
    </row>
    <row r="24" spans="1:10" x14ac:dyDescent="0.25">
      <c r="A24" s="329" t="s">
        <v>232</v>
      </c>
      <c r="B24" s="329">
        <v>381.98</v>
      </c>
      <c r="C24" s="329">
        <v>348.98</v>
      </c>
      <c r="D24" s="329">
        <v>267.08</v>
      </c>
      <c r="E24" s="329">
        <v>182.07</v>
      </c>
      <c r="F24" s="329">
        <v>370.16</v>
      </c>
      <c r="G24" s="357"/>
      <c r="H24" s="357"/>
      <c r="I24" s="357"/>
      <c r="J24" s="357"/>
    </row>
    <row r="25" spans="1:10" x14ac:dyDescent="0.25">
      <c r="A25" s="329" t="s">
        <v>267</v>
      </c>
      <c r="B25" s="329">
        <v>26.35</v>
      </c>
      <c r="C25" s="329">
        <v>24.45</v>
      </c>
      <c r="D25" s="329">
        <v>32.74</v>
      </c>
      <c r="E25" s="329">
        <v>28.25</v>
      </c>
      <c r="F25" s="329">
        <v>29.89</v>
      </c>
      <c r="G25" s="357"/>
      <c r="H25" s="357"/>
      <c r="I25" s="357"/>
      <c r="J25" s="357"/>
    </row>
    <row r="26" spans="1:10" x14ac:dyDescent="0.25">
      <c r="A26" s="326" t="s">
        <v>268</v>
      </c>
      <c r="B26" s="359">
        <v>2691.81</v>
      </c>
      <c r="C26" s="359">
        <v>2237.4299999999998</v>
      </c>
      <c r="D26" s="359">
        <v>1930.73</v>
      </c>
      <c r="E26" s="359">
        <v>1657.19</v>
      </c>
      <c r="F26" s="359">
        <v>1723.38</v>
      </c>
      <c r="G26" s="357"/>
      <c r="H26" s="357"/>
      <c r="I26" s="357"/>
      <c r="J26" s="357"/>
    </row>
    <row r="27" spans="1:10" x14ac:dyDescent="0.25">
      <c r="A27" s="326" t="s">
        <v>269</v>
      </c>
      <c r="B27" s="359">
        <v>9139.2800000000007</v>
      </c>
      <c r="C27" s="359">
        <v>7885.69</v>
      </c>
      <c r="D27" s="359">
        <v>6802.45</v>
      </c>
      <c r="E27" s="359">
        <v>5857.62</v>
      </c>
      <c r="F27" s="359">
        <v>5747.55</v>
      </c>
      <c r="G27" s="357"/>
      <c r="H27" s="357"/>
      <c r="I27" s="357"/>
      <c r="J27" s="357"/>
    </row>
    <row r="28" spans="1:10" ht="24" customHeight="1" x14ac:dyDescent="0.25">
      <c r="A28" s="330" t="s">
        <v>270</v>
      </c>
      <c r="B28" s="332"/>
      <c r="C28" s="327"/>
      <c r="D28" s="327"/>
      <c r="E28" s="327"/>
      <c r="F28" s="327"/>
      <c r="G28" s="357"/>
      <c r="H28" s="357"/>
      <c r="I28" s="357"/>
      <c r="J28" s="357"/>
    </row>
    <row r="29" spans="1:10" ht="24" customHeight="1" x14ac:dyDescent="0.25">
      <c r="A29" s="330" t="s">
        <v>271</v>
      </c>
      <c r="B29" s="332"/>
      <c r="C29" s="327"/>
      <c r="D29" s="327"/>
      <c r="E29" s="327"/>
      <c r="F29" s="327"/>
      <c r="G29" s="357"/>
      <c r="H29" s="357"/>
      <c r="I29" s="357"/>
      <c r="J29" s="357"/>
    </row>
    <row r="30" spans="1:10" x14ac:dyDescent="0.25">
      <c r="A30" s="329" t="s">
        <v>211</v>
      </c>
      <c r="B30" s="358">
        <v>3612.46</v>
      </c>
      <c r="C30" s="358">
        <v>3133.65</v>
      </c>
      <c r="D30" s="358">
        <v>2634.68</v>
      </c>
      <c r="E30" s="358">
        <v>2455.8200000000002</v>
      </c>
      <c r="F30" s="358">
        <v>2350.9299999999998</v>
      </c>
      <c r="G30" s="357"/>
      <c r="H30" s="357"/>
      <c r="I30" s="357"/>
      <c r="J30" s="357"/>
    </row>
    <row r="31" spans="1:10" x14ac:dyDescent="0.25">
      <c r="A31" s="329" t="s">
        <v>212</v>
      </c>
      <c r="B31" s="329">
        <v>105.18</v>
      </c>
      <c r="C31" s="329">
        <v>104.29</v>
      </c>
      <c r="D31" s="329">
        <v>118.16</v>
      </c>
      <c r="E31" s="329">
        <v>83.18</v>
      </c>
      <c r="F31" s="329">
        <v>77.66</v>
      </c>
      <c r="G31" s="357"/>
      <c r="H31" s="357"/>
      <c r="I31" s="357"/>
      <c r="J31" s="357"/>
    </row>
    <row r="32" spans="1:10" x14ac:dyDescent="0.25">
      <c r="A32" s="329" t="s">
        <v>478</v>
      </c>
      <c r="B32" s="329">
        <v>290.14999999999998</v>
      </c>
      <c r="C32" s="329">
        <v>156.72</v>
      </c>
      <c r="D32" s="329">
        <v>168.36</v>
      </c>
      <c r="E32" s="329">
        <v>119.05</v>
      </c>
      <c r="F32" s="329">
        <v>92.99</v>
      </c>
      <c r="G32" s="357"/>
      <c r="H32" s="357"/>
      <c r="I32" s="357"/>
      <c r="J32" s="357"/>
    </row>
    <row r="33" spans="1:10" x14ac:dyDescent="0.25">
      <c r="A33" s="329" t="s">
        <v>490</v>
      </c>
      <c r="B33" s="329">
        <v>2.82</v>
      </c>
      <c r="C33" s="329">
        <v>2.5499999999999998</v>
      </c>
      <c r="D33" s="329">
        <v>2.5299999999999998</v>
      </c>
      <c r="E33" s="329">
        <v>0.26</v>
      </c>
      <c r="F33" s="329">
        <v>3.17</v>
      </c>
      <c r="G33" s="357"/>
      <c r="H33" s="357"/>
      <c r="I33" s="357"/>
      <c r="J33" s="357"/>
    </row>
    <row r="34" spans="1:10" x14ac:dyDescent="0.25">
      <c r="A34" s="326" t="s">
        <v>210</v>
      </c>
      <c r="B34" s="359">
        <v>4010.6</v>
      </c>
      <c r="C34" s="359">
        <v>3397.21</v>
      </c>
      <c r="D34" s="359">
        <v>2923.74</v>
      </c>
      <c r="E34" s="359">
        <v>2658.32</v>
      </c>
      <c r="F34" s="359">
        <v>2524.7399999999998</v>
      </c>
      <c r="G34" s="357"/>
      <c r="H34" s="357"/>
      <c r="I34" s="357"/>
      <c r="J34" s="357"/>
    </row>
    <row r="35" spans="1:10" x14ac:dyDescent="0.25">
      <c r="A35" s="329" t="s">
        <v>272</v>
      </c>
      <c r="B35" s="329">
        <v>15.68</v>
      </c>
      <c r="C35" s="329">
        <v>27.52</v>
      </c>
      <c r="D35" s="329">
        <v>25.47</v>
      </c>
      <c r="E35" s="329">
        <v>1.19</v>
      </c>
      <c r="F35" s="329">
        <v>1.2</v>
      </c>
      <c r="G35" s="357"/>
      <c r="H35" s="357"/>
      <c r="I35" s="357"/>
      <c r="J35" s="357"/>
    </row>
    <row r="36" spans="1:10" x14ac:dyDescent="0.25">
      <c r="A36" s="329" t="s">
        <v>273</v>
      </c>
      <c r="B36" s="329">
        <v>69.510000000000005</v>
      </c>
      <c r="C36" s="329">
        <v>78.27</v>
      </c>
      <c r="D36" s="329">
        <v>71.98</v>
      </c>
      <c r="E36" s="329">
        <v>75.14</v>
      </c>
      <c r="F36" s="329">
        <v>60.24</v>
      </c>
      <c r="G36" s="357"/>
      <c r="H36" s="357"/>
      <c r="I36" s="357"/>
      <c r="J36" s="357"/>
    </row>
    <row r="37" spans="1:10" x14ac:dyDescent="0.25">
      <c r="A37" s="329" t="s">
        <v>491</v>
      </c>
      <c r="B37" s="329">
        <v>0</v>
      </c>
      <c r="C37" s="329">
        <v>0</v>
      </c>
      <c r="D37" s="329">
        <v>0</v>
      </c>
      <c r="E37" s="329">
        <v>0</v>
      </c>
      <c r="F37" s="329">
        <v>2.68</v>
      </c>
      <c r="G37" s="357"/>
      <c r="H37" s="357"/>
      <c r="I37" s="357"/>
      <c r="J37" s="357"/>
    </row>
    <row r="38" spans="1:10" x14ac:dyDescent="0.25">
      <c r="A38" s="329" t="s">
        <v>216</v>
      </c>
      <c r="B38" s="329">
        <v>109.07</v>
      </c>
      <c r="C38" s="329">
        <v>200.47</v>
      </c>
      <c r="D38" s="329">
        <v>199.38</v>
      </c>
      <c r="E38" s="329">
        <v>97.92</v>
      </c>
      <c r="F38" s="329">
        <v>80.5</v>
      </c>
      <c r="G38" s="357"/>
      <c r="H38" s="357"/>
      <c r="I38" s="357"/>
      <c r="J38" s="357"/>
    </row>
    <row r="39" spans="1:10" x14ac:dyDescent="0.25">
      <c r="A39" s="326" t="s">
        <v>274</v>
      </c>
      <c r="B39" s="359">
        <v>4545.38</v>
      </c>
      <c r="C39" s="359">
        <v>4095.76</v>
      </c>
      <c r="D39" s="359">
        <v>3610.58</v>
      </c>
      <c r="E39" s="359">
        <v>3008.26</v>
      </c>
      <c r="F39" s="359">
        <v>2843.34</v>
      </c>
      <c r="G39" s="357"/>
      <c r="H39" s="357"/>
      <c r="I39" s="357"/>
      <c r="J39" s="357"/>
    </row>
    <row r="40" spans="1:10" x14ac:dyDescent="0.25">
      <c r="A40" s="330" t="s">
        <v>275</v>
      </c>
      <c r="B40" s="332"/>
      <c r="C40" s="327"/>
      <c r="D40" s="327"/>
      <c r="E40" s="327"/>
      <c r="F40" s="327"/>
      <c r="G40" s="357"/>
      <c r="H40" s="357"/>
      <c r="I40" s="357"/>
      <c r="J40" s="357"/>
    </row>
    <row r="41" spans="1:10" x14ac:dyDescent="0.25">
      <c r="A41" s="329" t="s">
        <v>218</v>
      </c>
      <c r="B41" s="329">
        <v>787.93</v>
      </c>
      <c r="C41" s="329">
        <v>765.07</v>
      </c>
      <c r="D41" s="329">
        <v>646.37</v>
      </c>
      <c r="E41" s="329">
        <v>485.59</v>
      </c>
      <c r="F41" s="329">
        <v>443.14</v>
      </c>
      <c r="G41" s="357"/>
      <c r="H41" s="357"/>
      <c r="I41" s="357"/>
      <c r="J41" s="357"/>
    </row>
    <row r="42" spans="1:10" x14ac:dyDescent="0.25">
      <c r="A42" s="329" t="s">
        <v>157</v>
      </c>
      <c r="B42" s="329">
        <v>936.37</v>
      </c>
      <c r="C42" s="329">
        <v>872.21</v>
      </c>
      <c r="D42" s="329">
        <v>820.58</v>
      </c>
      <c r="E42" s="329">
        <v>701.14</v>
      </c>
      <c r="F42" s="329">
        <v>611.85</v>
      </c>
      <c r="G42" s="357"/>
      <c r="H42" s="357"/>
      <c r="I42" s="357"/>
      <c r="J42" s="357"/>
    </row>
    <row r="43" spans="1:10" x14ac:dyDescent="0.25">
      <c r="A43" s="329" t="s">
        <v>219</v>
      </c>
      <c r="B43" s="358">
        <v>1418.58</v>
      </c>
      <c r="C43" s="358">
        <v>1262.3800000000001</v>
      </c>
      <c r="D43" s="358">
        <v>1162.03</v>
      </c>
      <c r="E43" s="329">
        <v>970.37</v>
      </c>
      <c r="F43" s="358">
        <v>1040.98</v>
      </c>
      <c r="G43" s="357"/>
      <c r="H43" s="357"/>
      <c r="I43" s="357"/>
      <c r="J43" s="357"/>
    </row>
    <row r="44" spans="1:10" x14ac:dyDescent="0.25">
      <c r="A44" s="329" t="s">
        <v>276</v>
      </c>
      <c r="B44" s="358">
        <v>1018.9</v>
      </c>
      <c r="C44" s="329">
        <v>504.68</v>
      </c>
      <c r="D44" s="329">
        <v>287.70999999999998</v>
      </c>
      <c r="E44" s="329">
        <v>402.64</v>
      </c>
      <c r="F44" s="329">
        <v>513.33000000000004</v>
      </c>
      <c r="G44" s="357"/>
      <c r="H44" s="357"/>
      <c r="I44" s="357"/>
      <c r="J44" s="357"/>
    </row>
    <row r="45" spans="1:10" x14ac:dyDescent="0.25">
      <c r="A45" s="329" t="s">
        <v>277</v>
      </c>
      <c r="B45" s="329">
        <v>3.36</v>
      </c>
      <c r="C45" s="329">
        <v>2</v>
      </c>
      <c r="D45" s="329">
        <v>1.65</v>
      </c>
      <c r="E45" s="329">
        <v>3.72</v>
      </c>
      <c r="F45" s="329">
        <v>5.32</v>
      </c>
      <c r="G45" s="357"/>
      <c r="H45" s="357"/>
      <c r="I45" s="357"/>
      <c r="J45" s="357"/>
    </row>
    <row r="46" spans="1:10" x14ac:dyDescent="0.25">
      <c r="A46" s="329" t="s">
        <v>940</v>
      </c>
      <c r="B46" s="329">
        <v>428.77</v>
      </c>
      <c r="C46" s="329">
        <v>383.6</v>
      </c>
      <c r="D46" s="329">
        <v>273.52999999999997</v>
      </c>
      <c r="E46" s="329">
        <v>285.89999999999998</v>
      </c>
      <c r="F46" s="329">
        <v>289.61</v>
      </c>
      <c r="G46" s="357"/>
      <c r="H46" s="357"/>
      <c r="I46" s="357"/>
      <c r="J46" s="357"/>
    </row>
    <row r="47" spans="1:10" ht="36" customHeight="1" x14ac:dyDescent="0.25">
      <c r="A47" s="326" t="s">
        <v>158</v>
      </c>
      <c r="B47" s="359">
        <v>4593.8999999999996</v>
      </c>
      <c r="C47" s="359">
        <v>3789.93</v>
      </c>
      <c r="D47" s="359">
        <v>3191.88</v>
      </c>
      <c r="E47" s="359">
        <v>2849.36</v>
      </c>
      <c r="F47" s="359">
        <v>2904.21</v>
      </c>
      <c r="G47" s="357"/>
      <c r="H47" s="357"/>
      <c r="I47" s="357"/>
      <c r="J47" s="357"/>
    </row>
    <row r="48" spans="1:10" ht="36" customHeight="1" x14ac:dyDescent="0.25">
      <c r="A48" s="326" t="s">
        <v>160</v>
      </c>
      <c r="B48" s="359">
        <v>9139.2800000000007</v>
      </c>
      <c r="C48" s="359">
        <v>7885.69</v>
      </c>
      <c r="D48" s="359">
        <v>6802.45</v>
      </c>
      <c r="E48" s="359">
        <v>5857.62</v>
      </c>
      <c r="F48" s="359">
        <v>5747.55</v>
      </c>
      <c r="G48" s="357"/>
      <c r="H48" s="357"/>
      <c r="I48" s="357"/>
      <c r="J48" s="357"/>
    </row>
    <row r="49" spans="1:16" ht="24" customHeight="1" x14ac:dyDescent="0.25">
      <c r="A49" s="330" t="s">
        <v>278</v>
      </c>
      <c r="B49" s="332"/>
      <c r="C49" s="327"/>
      <c r="D49" s="327"/>
      <c r="E49" s="327"/>
      <c r="F49" s="327"/>
      <c r="G49" s="357"/>
      <c r="H49" s="357"/>
      <c r="I49" s="357"/>
      <c r="J49" s="357"/>
    </row>
    <row r="50" spans="1:16" ht="36" customHeight="1" x14ac:dyDescent="0.25">
      <c r="A50" s="330" t="s">
        <v>279</v>
      </c>
      <c r="B50" s="332"/>
      <c r="C50" s="327"/>
      <c r="D50" s="327"/>
      <c r="E50" s="327"/>
      <c r="F50" s="327"/>
      <c r="G50" s="357"/>
      <c r="H50" s="357"/>
      <c r="I50" s="357"/>
      <c r="J50" s="357"/>
    </row>
    <row r="51" spans="1:16" x14ac:dyDescent="0.25">
      <c r="A51" s="329" t="s">
        <v>161</v>
      </c>
      <c r="B51" s="329">
        <v>401.04</v>
      </c>
      <c r="C51" s="329">
        <v>331.99</v>
      </c>
      <c r="D51" s="329">
        <v>837.19</v>
      </c>
      <c r="E51" s="329">
        <v>830.71</v>
      </c>
      <c r="F51" s="329">
        <v>480.42</v>
      </c>
      <c r="G51" s="357"/>
      <c r="H51" s="357"/>
      <c r="I51" s="357"/>
      <c r="J51" s="357"/>
    </row>
    <row r="52" spans="1:16" ht="24" customHeight="1" x14ac:dyDescent="0.25">
      <c r="A52" s="330" t="s">
        <v>280</v>
      </c>
      <c r="B52" s="332"/>
      <c r="C52" s="327"/>
      <c r="D52" s="327"/>
      <c r="E52" s="327"/>
      <c r="F52" s="327"/>
      <c r="G52" s="357"/>
      <c r="H52" s="357"/>
      <c r="I52" s="357"/>
      <c r="J52" s="357"/>
    </row>
    <row r="53" spans="1:16" x14ac:dyDescent="0.25">
      <c r="A53" s="329" t="s">
        <v>318</v>
      </c>
      <c r="B53" s="329">
        <v>123.66</v>
      </c>
      <c r="C53" s="329">
        <v>123.66</v>
      </c>
      <c r="D53" s="329">
        <v>123.66</v>
      </c>
      <c r="E53" s="329">
        <v>123.66</v>
      </c>
      <c r="F53" s="329">
        <v>123.66</v>
      </c>
      <c r="G53" s="357"/>
      <c r="H53" s="357"/>
      <c r="I53" s="357"/>
      <c r="J53" s="357"/>
    </row>
    <row r="54" spans="1:16" ht="24" customHeight="1" x14ac:dyDescent="0.25">
      <c r="A54" s="330" t="s">
        <v>281</v>
      </c>
      <c r="B54" s="332"/>
      <c r="C54" s="327"/>
      <c r="D54" s="327"/>
      <c r="E54" s="327"/>
      <c r="F54" s="327"/>
      <c r="G54" s="357"/>
      <c r="H54" s="357"/>
      <c r="I54" s="357"/>
      <c r="J54" s="357"/>
    </row>
    <row r="55" spans="1:16" x14ac:dyDescent="0.25">
      <c r="A55" s="329" t="s">
        <v>282</v>
      </c>
      <c r="B55" s="329">
        <v>9.77</v>
      </c>
      <c r="C55" s="329">
        <v>24.13</v>
      </c>
      <c r="D55" s="329">
        <v>0</v>
      </c>
      <c r="E55" s="329">
        <v>0</v>
      </c>
      <c r="F55" s="329">
        <v>0</v>
      </c>
      <c r="G55" s="357"/>
      <c r="H55" s="357"/>
      <c r="I55" s="357"/>
      <c r="J55" s="357"/>
    </row>
    <row r="56" spans="1:16" x14ac:dyDescent="0.25">
      <c r="A56" s="329" t="s">
        <v>283</v>
      </c>
      <c r="B56" s="329">
        <v>5.91</v>
      </c>
      <c r="C56" s="329">
        <v>3.39</v>
      </c>
      <c r="D56" s="329">
        <v>3.22</v>
      </c>
      <c r="E56" s="329">
        <v>1.19</v>
      </c>
      <c r="F56" s="329">
        <v>1.19</v>
      </c>
      <c r="G56" s="357"/>
      <c r="H56" s="357"/>
      <c r="I56" s="357"/>
      <c r="J56" s="357"/>
    </row>
    <row r="57" spans="1:16" ht="24" customHeight="1" x14ac:dyDescent="0.25">
      <c r="A57" s="330" t="s">
        <v>284</v>
      </c>
      <c r="B57" s="332"/>
      <c r="C57" s="327"/>
      <c r="D57" s="327"/>
      <c r="E57" s="327"/>
      <c r="F57" s="327"/>
      <c r="G57" s="357"/>
      <c r="H57" s="357"/>
      <c r="I57" s="357"/>
      <c r="J57" s="357"/>
    </row>
    <row r="58" spans="1:16" x14ac:dyDescent="0.25">
      <c r="A58" s="329" t="s">
        <v>320</v>
      </c>
      <c r="B58" s="329">
        <v>53.7</v>
      </c>
      <c r="C58" s="329">
        <v>0</v>
      </c>
      <c r="D58" s="329">
        <v>0</v>
      </c>
      <c r="E58" s="329">
        <v>0</v>
      </c>
      <c r="F58" s="329">
        <v>443.14</v>
      </c>
      <c r="G58" s="357"/>
      <c r="H58" s="357"/>
      <c r="I58" s="357"/>
      <c r="J58" s="357"/>
    </row>
    <row r="59" spans="1:16" x14ac:dyDescent="0.25">
      <c r="G59" s="357"/>
      <c r="H59" s="357"/>
      <c r="I59" s="357"/>
      <c r="J59" s="357"/>
    </row>
    <row r="60" spans="1:16" x14ac:dyDescent="0.25">
      <c r="G60" s="357"/>
      <c r="H60" s="357"/>
      <c r="I60" s="357"/>
      <c r="J60" s="357"/>
    </row>
    <row r="61" spans="1:16" x14ac:dyDescent="0.25">
      <c r="A61" s="333" t="s">
        <v>936</v>
      </c>
      <c r="B61" s="334" t="s">
        <v>937</v>
      </c>
      <c r="C61"/>
      <c r="D61"/>
      <c r="E61"/>
      <c r="F61"/>
      <c r="G61" s="354" t="s">
        <v>942</v>
      </c>
      <c r="H61"/>
      <c r="I61"/>
      <c r="J61"/>
      <c r="K61"/>
      <c r="L61"/>
      <c r="M61"/>
      <c r="N61"/>
      <c r="O61"/>
      <c r="P61"/>
    </row>
    <row r="62" spans="1:16" x14ac:dyDescent="0.25">
      <c r="A62" s="336" t="s">
        <v>948</v>
      </c>
      <c r="B62" s="337" t="s">
        <v>938</v>
      </c>
      <c r="C62"/>
      <c r="D62"/>
      <c r="E62"/>
      <c r="F62"/>
      <c r="G62" s="337" t="s">
        <v>938</v>
      </c>
      <c r="H62"/>
      <c r="I62"/>
      <c r="J62"/>
      <c r="K62"/>
      <c r="L62"/>
      <c r="M62"/>
      <c r="N62"/>
      <c r="O62"/>
      <c r="P62"/>
    </row>
    <row r="63" spans="1:16" x14ac:dyDescent="0.25">
      <c r="A63" s="338"/>
      <c r="B63" s="339" t="s">
        <v>909</v>
      </c>
      <c r="C63" s="340">
        <v>45352</v>
      </c>
      <c r="D63" s="340">
        <v>44986</v>
      </c>
      <c r="E63" s="340">
        <v>44621</v>
      </c>
      <c r="F63" s="340">
        <v>44256</v>
      </c>
      <c r="G63" s="339" t="s">
        <v>943</v>
      </c>
      <c r="H63" s="340">
        <v>43525</v>
      </c>
      <c r="I63" s="340">
        <v>43160</v>
      </c>
      <c r="J63" s="340">
        <v>42795</v>
      </c>
      <c r="K63" s="340">
        <v>42430</v>
      </c>
      <c r="L63" s="324"/>
      <c r="M63" s="324"/>
      <c r="N63" s="324"/>
      <c r="O63" s="324"/>
      <c r="P63" s="324"/>
    </row>
    <row r="64" spans="1:16" x14ac:dyDescent="0.25">
      <c r="A64" s="341" t="e" vm="1">
        <v>#VALUE!</v>
      </c>
      <c r="B64" s="341"/>
      <c r="C64" s="341"/>
      <c r="D64" s="341"/>
      <c r="E64" s="341"/>
      <c r="F64" s="341"/>
      <c r="G64" s="341"/>
      <c r="H64" s="341"/>
      <c r="I64" s="341"/>
      <c r="J64" s="341"/>
      <c r="K64" s="341"/>
      <c r="L64" s="341"/>
      <c r="M64" s="341"/>
      <c r="N64" s="341"/>
      <c r="O64" s="341"/>
      <c r="P64" s="341"/>
    </row>
    <row r="65" spans="1:16" x14ac:dyDescent="0.25">
      <c r="A65" s="342"/>
      <c r="B65" s="343" t="s">
        <v>939</v>
      </c>
      <c r="C65" s="343" t="s">
        <v>939</v>
      </c>
      <c r="D65" s="343" t="s">
        <v>939</v>
      </c>
      <c r="E65" s="343" t="s">
        <v>939</v>
      </c>
      <c r="F65" s="343" t="s">
        <v>939</v>
      </c>
      <c r="G65" s="343" t="s">
        <v>939</v>
      </c>
      <c r="H65" s="343" t="s">
        <v>939</v>
      </c>
      <c r="I65" s="343" t="s">
        <v>939</v>
      </c>
      <c r="J65" s="343" t="s">
        <v>939</v>
      </c>
      <c r="K65" s="343" t="s">
        <v>939</v>
      </c>
      <c r="L65" s="324"/>
      <c r="M65" s="324"/>
      <c r="N65" s="324"/>
      <c r="O65" s="324"/>
      <c r="P65" s="324"/>
    </row>
    <row r="66" spans="1:16" x14ac:dyDescent="0.25">
      <c r="A66" s="341" t="e" vm="1">
        <v>#VALUE!</v>
      </c>
      <c r="B66" s="341"/>
      <c r="C66" s="341"/>
      <c r="D66" s="341"/>
      <c r="E66" s="341"/>
      <c r="F66" s="341"/>
      <c r="G66" s="341"/>
      <c r="H66" s="341"/>
      <c r="I66" s="341"/>
      <c r="J66" s="341"/>
      <c r="K66" s="341"/>
      <c r="L66" s="341"/>
      <c r="M66" s="341"/>
      <c r="N66" s="341"/>
      <c r="O66" s="341"/>
      <c r="P66" s="341"/>
    </row>
    <row r="67" spans="1:16" x14ac:dyDescent="0.25">
      <c r="A67" s="344" t="s">
        <v>285</v>
      </c>
      <c r="B67" s="345"/>
      <c r="C67" s="339"/>
      <c r="D67" s="339"/>
      <c r="E67" s="339"/>
      <c r="F67" s="339"/>
      <c r="G67" s="345"/>
      <c r="H67" s="339"/>
      <c r="I67" s="339"/>
      <c r="J67" s="339"/>
      <c r="K67" s="339"/>
      <c r="L67" s="324"/>
      <c r="M67" s="324"/>
      <c r="N67" s="324"/>
      <c r="O67" s="324"/>
      <c r="P67" s="324"/>
    </row>
    <row r="68" spans="1:16" x14ac:dyDescent="0.25">
      <c r="A68" s="338" t="s">
        <v>286</v>
      </c>
      <c r="B68" s="353">
        <v>11371.37</v>
      </c>
      <c r="C68" s="353">
        <v>10082.5</v>
      </c>
      <c r="D68" s="353">
        <v>8676.06</v>
      </c>
      <c r="E68" s="353">
        <v>7424.4</v>
      </c>
      <c r="F68" s="353">
        <v>6405.48</v>
      </c>
      <c r="G68" s="353">
        <v>6775.39</v>
      </c>
      <c r="H68" s="353">
        <v>7411.06</v>
      </c>
      <c r="I68" s="353">
        <v>6422.92</v>
      </c>
      <c r="J68" s="353">
        <v>5887.65</v>
      </c>
      <c r="K68" s="353">
        <v>5528.94</v>
      </c>
      <c r="L68" s="324"/>
      <c r="M68" s="324"/>
      <c r="N68" s="324"/>
      <c r="O68" s="324"/>
      <c r="P68" s="324"/>
    </row>
    <row r="69" spans="1:16" x14ac:dyDescent="0.25">
      <c r="A69" s="342" t="s">
        <v>287</v>
      </c>
      <c r="B69" s="353"/>
      <c r="C69" s="353"/>
      <c r="D69" s="353"/>
      <c r="E69" s="353"/>
      <c r="F69" s="353"/>
      <c r="G69" s="343">
        <v>0</v>
      </c>
      <c r="H69" s="343">
        <v>0</v>
      </c>
      <c r="I69" s="343">
        <v>127.91</v>
      </c>
      <c r="J69" s="343">
        <v>400.33</v>
      </c>
      <c r="K69" s="343">
        <v>387.25</v>
      </c>
      <c r="L69" s="324"/>
      <c r="M69" s="324"/>
      <c r="N69" s="324"/>
      <c r="O69" s="324"/>
      <c r="P69" s="324"/>
    </row>
    <row r="70" spans="1:16" x14ac:dyDescent="0.25">
      <c r="A70" s="338" t="s">
        <v>288</v>
      </c>
      <c r="B70" s="353">
        <v>11371.37</v>
      </c>
      <c r="C70" s="353">
        <v>10082.5</v>
      </c>
      <c r="D70" s="353">
        <v>8676.06</v>
      </c>
      <c r="E70" s="353">
        <v>7424.4</v>
      </c>
      <c r="F70" s="353">
        <v>6405.48</v>
      </c>
      <c r="G70" s="353">
        <v>6775.39</v>
      </c>
      <c r="H70" s="353">
        <v>7411.06</v>
      </c>
      <c r="I70" s="353">
        <v>6295.01</v>
      </c>
      <c r="J70" s="353">
        <v>5487.32</v>
      </c>
      <c r="K70" s="353">
        <v>5141.7</v>
      </c>
      <c r="L70" s="324"/>
      <c r="M70" s="324"/>
      <c r="N70" s="324"/>
      <c r="O70" s="324"/>
      <c r="P70" s="324"/>
    </row>
    <row r="71" spans="1:16" x14ac:dyDescent="0.25">
      <c r="A71" s="342" t="s">
        <v>492</v>
      </c>
      <c r="B71" s="343">
        <v>189.44</v>
      </c>
      <c r="C71" s="343">
        <v>158.37</v>
      </c>
      <c r="D71" s="343">
        <v>127.99</v>
      </c>
      <c r="E71" s="343">
        <v>124.75</v>
      </c>
      <c r="F71" s="343">
        <v>141.54</v>
      </c>
      <c r="G71" s="343">
        <v>142.31</v>
      </c>
      <c r="H71" s="343">
        <v>99.44</v>
      </c>
      <c r="I71" s="343">
        <v>56.37</v>
      </c>
      <c r="J71" s="343">
        <v>103.55</v>
      </c>
      <c r="K71" s="343">
        <v>88.68</v>
      </c>
      <c r="L71" s="324"/>
      <c r="M71" s="324"/>
      <c r="N71" s="324"/>
      <c r="O71" s="324"/>
      <c r="P71" s="324"/>
    </row>
    <row r="72" spans="1:16" x14ac:dyDescent="0.25">
      <c r="A72" s="338" t="s">
        <v>289</v>
      </c>
      <c r="B72" s="353">
        <v>11560.81</v>
      </c>
      <c r="C72" s="353">
        <v>10240.870000000001</v>
      </c>
      <c r="D72" s="353">
        <v>8804.0499999999993</v>
      </c>
      <c r="E72" s="353">
        <v>7549.14</v>
      </c>
      <c r="F72" s="353">
        <v>6547.02</v>
      </c>
      <c r="G72" s="353">
        <v>6917.71</v>
      </c>
      <c r="H72" s="353">
        <v>7510.5</v>
      </c>
      <c r="I72" s="353">
        <v>6351.38</v>
      </c>
      <c r="J72" s="353">
        <v>5590.87</v>
      </c>
      <c r="K72" s="353">
        <v>5230.37</v>
      </c>
      <c r="L72" s="324"/>
      <c r="M72" s="324"/>
      <c r="N72" s="324"/>
      <c r="O72" s="324"/>
      <c r="P72" s="324"/>
    </row>
    <row r="73" spans="1:16" x14ac:dyDescent="0.25">
      <c r="A73" s="342" t="s">
        <v>164</v>
      </c>
      <c r="B73" s="343">
        <v>116.97</v>
      </c>
      <c r="C73" s="343">
        <v>85.62</v>
      </c>
      <c r="D73" s="343">
        <v>45.43</v>
      </c>
      <c r="E73" s="343">
        <v>41.04</v>
      </c>
      <c r="F73" s="343">
        <v>30.71</v>
      </c>
      <c r="G73" s="343">
        <v>47.6</v>
      </c>
      <c r="H73" s="343">
        <v>27.05</v>
      </c>
      <c r="I73" s="343">
        <v>23.47</v>
      </c>
      <c r="J73" s="343">
        <v>29.07</v>
      </c>
      <c r="K73" s="343">
        <v>32.96</v>
      </c>
      <c r="L73" s="324"/>
      <c r="M73" s="324"/>
      <c r="N73" s="324"/>
      <c r="O73" s="324"/>
      <c r="P73" s="324"/>
    </row>
    <row r="74" spans="1:16" x14ac:dyDescent="0.25">
      <c r="A74" s="336" t="s">
        <v>290</v>
      </c>
      <c r="B74" s="348">
        <v>11677.78</v>
      </c>
      <c r="C74" s="348">
        <v>10326.49</v>
      </c>
      <c r="D74" s="348">
        <v>8849.4699999999993</v>
      </c>
      <c r="E74" s="348">
        <v>7590.18</v>
      </c>
      <c r="F74" s="348">
        <v>6577.73</v>
      </c>
      <c r="G74" s="348">
        <v>6965.3</v>
      </c>
      <c r="H74" s="348">
        <v>7537.55</v>
      </c>
      <c r="I74" s="348">
        <v>6374.85</v>
      </c>
      <c r="J74" s="348">
        <v>5619.94</v>
      </c>
      <c r="K74" s="348">
        <v>5263.33</v>
      </c>
      <c r="L74" s="324"/>
      <c r="M74" s="324"/>
      <c r="N74" s="324"/>
      <c r="O74" s="324"/>
      <c r="P74" s="324"/>
    </row>
    <row r="75" spans="1:16" x14ac:dyDescent="0.25">
      <c r="A75" s="344" t="s">
        <v>291</v>
      </c>
      <c r="B75" s="345"/>
      <c r="C75" s="339"/>
      <c r="D75" s="339"/>
      <c r="E75" s="339"/>
      <c r="F75" s="339"/>
      <c r="G75" s="345"/>
      <c r="H75" s="339"/>
      <c r="I75" s="339"/>
      <c r="J75" s="339"/>
      <c r="K75" s="339"/>
      <c r="L75" s="324"/>
      <c r="M75" s="324"/>
      <c r="N75" s="324"/>
      <c r="O75" s="324"/>
      <c r="P75" s="324"/>
    </row>
    <row r="76" spans="1:16" x14ac:dyDescent="0.25">
      <c r="A76" s="342" t="s">
        <v>944</v>
      </c>
      <c r="B76" s="347">
        <v>6504.87</v>
      </c>
      <c r="C76" s="347">
        <v>5922.96</v>
      </c>
      <c r="D76" s="347">
        <v>5320.19</v>
      </c>
      <c r="E76" s="347">
        <v>4428.43</v>
      </c>
      <c r="F76" s="347">
        <v>3497.65</v>
      </c>
      <c r="G76" s="347">
        <v>3704.52</v>
      </c>
      <c r="H76" s="347">
        <v>4327.84</v>
      </c>
      <c r="I76" s="347">
        <v>3669.95</v>
      </c>
      <c r="J76" s="347">
        <v>3257.16</v>
      </c>
      <c r="K76" s="347">
        <v>3139.97</v>
      </c>
      <c r="L76" s="324"/>
      <c r="M76" s="324"/>
      <c r="N76" s="324"/>
      <c r="O76" s="324"/>
      <c r="P76" s="324"/>
    </row>
    <row r="77" spans="1:16" x14ac:dyDescent="0.25">
      <c r="A77" s="342" t="s">
        <v>292</v>
      </c>
      <c r="B77" s="343">
        <v>111.75</v>
      </c>
      <c r="C77" s="343">
        <v>140.91</v>
      </c>
      <c r="D77" s="343">
        <v>103.97</v>
      </c>
      <c r="E77" s="343">
        <v>86.38</v>
      </c>
      <c r="F77" s="343">
        <v>89.62</v>
      </c>
      <c r="G77" s="343">
        <v>27.84</v>
      </c>
      <c r="H77" s="343">
        <v>23.08</v>
      </c>
      <c r="I77" s="343">
        <v>9.09</v>
      </c>
      <c r="J77" s="343">
        <v>9.81</v>
      </c>
      <c r="K77" s="343">
        <v>7.86</v>
      </c>
      <c r="L77" s="324"/>
      <c r="M77" s="324"/>
      <c r="N77" s="324"/>
      <c r="O77" s="324"/>
      <c r="P77" s="324"/>
    </row>
    <row r="78" spans="1:16" x14ac:dyDescent="0.25">
      <c r="A78" s="342" t="s">
        <v>293</v>
      </c>
      <c r="B78" s="343">
        <v>-13.51</v>
      </c>
      <c r="C78" s="343">
        <v>-13.29</v>
      </c>
      <c r="D78" s="343">
        <v>-94.64</v>
      </c>
      <c r="E78" s="343">
        <v>-94.66</v>
      </c>
      <c r="F78" s="343">
        <v>-16.71</v>
      </c>
      <c r="G78" s="343">
        <v>2.85</v>
      </c>
      <c r="H78" s="343">
        <v>-1.47</v>
      </c>
      <c r="I78" s="343">
        <v>-18.13</v>
      </c>
      <c r="J78" s="343">
        <v>-41.02</v>
      </c>
      <c r="K78" s="343">
        <v>-33.700000000000003</v>
      </c>
      <c r="L78" s="324"/>
      <c r="M78" s="324"/>
      <c r="N78" s="324"/>
      <c r="O78" s="324"/>
      <c r="P78" s="324"/>
    </row>
    <row r="79" spans="1:16" x14ac:dyDescent="0.25">
      <c r="A79" s="342" t="s">
        <v>294</v>
      </c>
      <c r="B79" s="347">
        <v>1007.35</v>
      </c>
      <c r="C79" s="343">
        <v>879.9</v>
      </c>
      <c r="D79" s="343">
        <v>763.61</v>
      </c>
      <c r="E79" s="343">
        <v>694.36</v>
      </c>
      <c r="F79" s="343">
        <v>676.06</v>
      </c>
      <c r="G79" s="343">
        <v>677.33</v>
      </c>
      <c r="H79" s="343">
        <v>652.74</v>
      </c>
      <c r="I79" s="343">
        <v>580.92999999999995</v>
      </c>
      <c r="J79" s="343">
        <v>545.52</v>
      </c>
      <c r="K79" s="343">
        <v>482.3</v>
      </c>
      <c r="L79" s="324"/>
      <c r="M79" s="324"/>
      <c r="N79" s="324"/>
      <c r="O79" s="324"/>
      <c r="P79" s="324"/>
    </row>
    <row r="80" spans="1:16" x14ac:dyDescent="0.25">
      <c r="A80" s="342" t="s">
        <v>295</v>
      </c>
      <c r="B80" s="343">
        <v>46.81</v>
      </c>
      <c r="C80" s="343">
        <v>42.66</v>
      </c>
      <c r="D80" s="343">
        <v>20.58</v>
      </c>
      <c r="E80" s="343">
        <v>6.35</v>
      </c>
      <c r="F80" s="343">
        <v>13.76</v>
      </c>
      <c r="G80" s="343">
        <v>17.54</v>
      </c>
      <c r="H80" s="343">
        <v>25.73</v>
      </c>
      <c r="I80" s="343">
        <v>23.52</v>
      </c>
      <c r="J80" s="343">
        <v>32.25</v>
      </c>
      <c r="K80" s="343">
        <v>48.96</v>
      </c>
      <c r="L80" s="324"/>
      <c r="M80" s="324"/>
      <c r="N80" s="324"/>
      <c r="O80" s="324"/>
      <c r="P80" s="324"/>
    </row>
    <row r="81" spans="1:16" x14ac:dyDescent="0.25">
      <c r="A81" s="342" t="s">
        <v>296</v>
      </c>
      <c r="B81" s="343">
        <v>538.71</v>
      </c>
      <c r="C81" s="343">
        <v>473.99</v>
      </c>
      <c r="D81" s="343">
        <v>421.58</v>
      </c>
      <c r="E81" s="343">
        <v>381.73</v>
      </c>
      <c r="F81" s="343">
        <v>399.14</v>
      </c>
      <c r="G81" s="343">
        <v>414.28</v>
      </c>
      <c r="H81" s="343">
        <v>376.21</v>
      </c>
      <c r="I81" s="343">
        <v>321.58999999999997</v>
      </c>
      <c r="J81" s="343">
        <v>290.51</v>
      </c>
      <c r="K81" s="343">
        <v>243.17</v>
      </c>
      <c r="L81" s="324"/>
      <c r="M81" s="324"/>
      <c r="N81" s="324"/>
      <c r="O81" s="324"/>
      <c r="P81" s="324"/>
    </row>
    <row r="82" spans="1:16" x14ac:dyDescent="0.25">
      <c r="A82" s="342" t="s">
        <v>182</v>
      </c>
      <c r="B82" s="347">
        <v>2399.27</v>
      </c>
      <c r="C82" s="347">
        <v>1982.42</v>
      </c>
      <c r="D82" s="347">
        <v>1674.65</v>
      </c>
      <c r="E82" s="347">
        <v>1470</v>
      </c>
      <c r="F82" s="347">
        <v>1260.19</v>
      </c>
      <c r="G82" s="347">
        <v>1382.66</v>
      </c>
      <c r="H82" s="347">
        <v>1391.45</v>
      </c>
      <c r="I82" s="347">
        <v>1181.68</v>
      </c>
      <c r="J82" s="347">
        <v>1061.08</v>
      </c>
      <c r="K82" s="343">
        <v>954.43</v>
      </c>
      <c r="L82" s="324"/>
      <c r="M82" s="324"/>
      <c r="N82" s="324"/>
      <c r="O82" s="324"/>
      <c r="P82" s="324"/>
    </row>
    <row r="83" spans="1:16" x14ac:dyDescent="0.25">
      <c r="A83" s="342" t="s">
        <v>946</v>
      </c>
      <c r="B83" s="347"/>
      <c r="C83" s="347"/>
      <c r="D83" s="347"/>
      <c r="E83" s="347"/>
      <c r="F83" s="347"/>
      <c r="G83" s="343">
        <v>-8.26</v>
      </c>
      <c r="H83" s="343">
        <v>-11.92</v>
      </c>
      <c r="I83" s="343">
        <v>0</v>
      </c>
      <c r="J83" s="343">
        <v>0</v>
      </c>
      <c r="K83" s="343">
        <v>0</v>
      </c>
      <c r="L83" s="324"/>
      <c r="M83" s="324"/>
      <c r="N83" s="324"/>
      <c r="O83" s="324"/>
      <c r="P83" s="324"/>
    </row>
    <row r="84" spans="1:16" x14ac:dyDescent="0.25">
      <c r="A84" s="336" t="s">
        <v>165</v>
      </c>
      <c r="B84" s="348">
        <v>10595.25</v>
      </c>
      <c r="C84" s="348">
        <v>9429.5400000000009</v>
      </c>
      <c r="D84" s="348">
        <v>8209.94</v>
      </c>
      <c r="E84" s="348">
        <v>6972.58</v>
      </c>
      <c r="F84" s="348">
        <v>5919.7</v>
      </c>
      <c r="G84" s="348">
        <v>6218.76</v>
      </c>
      <c r="H84" s="348">
        <v>6783.67</v>
      </c>
      <c r="I84" s="348">
        <v>5768.63</v>
      </c>
      <c r="J84" s="348">
        <v>5155.29</v>
      </c>
      <c r="K84" s="348">
        <v>4843.01</v>
      </c>
      <c r="L84" s="324"/>
      <c r="M84" s="324"/>
      <c r="N84" s="324"/>
      <c r="O84" s="324"/>
      <c r="P84" s="324"/>
    </row>
    <row r="85" spans="1:16" x14ac:dyDescent="0.25">
      <c r="A85" s="336" t="s">
        <v>297</v>
      </c>
      <c r="B85" s="348">
        <v>1082.53</v>
      </c>
      <c r="C85" s="346">
        <v>896.95</v>
      </c>
      <c r="D85" s="346">
        <v>639.54</v>
      </c>
      <c r="E85" s="346">
        <v>617.6</v>
      </c>
      <c r="F85" s="346">
        <v>658.03</v>
      </c>
      <c r="G85" s="346">
        <v>746.55</v>
      </c>
      <c r="H85" s="346">
        <v>753.88</v>
      </c>
      <c r="I85" s="346">
        <v>606.22</v>
      </c>
      <c r="J85" s="346">
        <v>464.65</v>
      </c>
      <c r="K85" s="346">
        <v>420.33</v>
      </c>
      <c r="L85" s="324"/>
      <c r="M85" s="324"/>
      <c r="N85" s="324"/>
      <c r="O85" s="324"/>
      <c r="P85" s="324"/>
    </row>
    <row r="86" spans="1:16" ht="24" customHeight="1" x14ac:dyDescent="0.25">
      <c r="A86" s="342" t="s">
        <v>186</v>
      </c>
      <c r="B86" s="343">
        <v>12.18</v>
      </c>
      <c r="C86" s="343">
        <v>0</v>
      </c>
      <c r="D86" s="343">
        <v>-10.29</v>
      </c>
      <c r="E86" s="343">
        <v>-31.45</v>
      </c>
      <c r="F86" s="343">
        <v>-11.23</v>
      </c>
      <c r="G86" s="343">
        <v>0</v>
      </c>
      <c r="H86" s="343">
        <v>-20.8</v>
      </c>
      <c r="I86" s="343">
        <v>-26.88</v>
      </c>
      <c r="J86" s="343">
        <v>0</v>
      </c>
      <c r="K86" s="343">
        <v>0</v>
      </c>
      <c r="L86" s="324"/>
      <c r="M86" s="324"/>
      <c r="N86" s="324"/>
      <c r="O86" s="324"/>
      <c r="P86" s="324"/>
    </row>
    <row r="87" spans="1:16" x14ac:dyDescent="0.25">
      <c r="A87" s="338" t="s">
        <v>298</v>
      </c>
      <c r="B87" s="353">
        <v>1094.71</v>
      </c>
      <c r="C87" s="339">
        <v>896.95</v>
      </c>
      <c r="D87" s="339">
        <v>629.25</v>
      </c>
      <c r="E87" s="339">
        <v>586.15</v>
      </c>
      <c r="F87" s="339">
        <v>646.79999999999995</v>
      </c>
      <c r="G87" s="339">
        <v>746.55</v>
      </c>
      <c r="H87" s="339">
        <v>733.08</v>
      </c>
      <c r="I87" s="339">
        <v>579.34</v>
      </c>
      <c r="J87" s="339">
        <v>464.65</v>
      </c>
      <c r="K87" s="339">
        <v>420.33</v>
      </c>
      <c r="L87" s="324"/>
      <c r="M87" s="324"/>
      <c r="N87" s="324"/>
      <c r="O87" s="324"/>
      <c r="P87" s="324"/>
    </row>
    <row r="88" spans="1:16" ht="24" customHeight="1" x14ac:dyDescent="0.25">
      <c r="A88" s="344" t="s">
        <v>945</v>
      </c>
      <c r="B88" s="345"/>
      <c r="C88" s="339"/>
      <c r="D88" s="339"/>
      <c r="E88" s="339"/>
      <c r="F88" s="339"/>
      <c r="G88" s="345"/>
      <c r="H88" s="339"/>
      <c r="I88" s="339"/>
      <c r="J88" s="339"/>
      <c r="K88" s="339"/>
      <c r="L88" s="324"/>
      <c r="M88" s="324"/>
      <c r="N88" s="324"/>
      <c r="O88" s="324"/>
      <c r="P88" s="324"/>
    </row>
    <row r="89" spans="1:16" x14ac:dyDescent="0.25">
      <c r="A89" s="342" t="s">
        <v>299</v>
      </c>
      <c r="B89" s="343">
        <v>247.49</v>
      </c>
      <c r="C89" s="343">
        <v>209.68</v>
      </c>
      <c r="D89" s="343">
        <v>153.55000000000001</v>
      </c>
      <c r="E89" s="343">
        <v>147.4</v>
      </c>
      <c r="F89" s="343">
        <v>156.30000000000001</v>
      </c>
      <c r="G89" s="343">
        <v>188.31</v>
      </c>
      <c r="H89" s="343">
        <v>233.94</v>
      </c>
      <c r="I89" s="343">
        <v>186.53</v>
      </c>
      <c r="J89" s="343">
        <v>135.5</v>
      </c>
      <c r="K89" s="343">
        <v>116.9</v>
      </c>
      <c r="L89" s="324"/>
      <c r="M89" s="324"/>
      <c r="N89" s="324"/>
      <c r="O89" s="324"/>
      <c r="P89" s="324"/>
    </row>
    <row r="90" spans="1:16" x14ac:dyDescent="0.25">
      <c r="A90" s="342" t="s">
        <v>300</v>
      </c>
      <c r="B90" s="343">
        <v>13.03</v>
      </c>
      <c r="C90" s="343">
        <v>19.29</v>
      </c>
      <c r="D90" s="343">
        <v>-0.61</v>
      </c>
      <c r="E90" s="343">
        <v>-22.01</v>
      </c>
      <c r="F90" s="343">
        <v>-29.07</v>
      </c>
      <c r="G90" s="343">
        <v>-6.02</v>
      </c>
      <c r="H90" s="343">
        <v>3.32</v>
      </c>
      <c r="I90" s="343">
        <v>9.52</v>
      </c>
      <c r="J90" s="343">
        <v>0.62</v>
      </c>
      <c r="K90" s="343">
        <v>2.98</v>
      </c>
      <c r="L90" s="324"/>
      <c r="M90" s="324"/>
      <c r="N90" s="324"/>
      <c r="O90" s="324"/>
      <c r="P90" s="324"/>
    </row>
    <row r="91" spans="1:16" x14ac:dyDescent="0.25">
      <c r="A91" s="342" t="s">
        <v>480</v>
      </c>
      <c r="B91" s="343">
        <v>-2.16</v>
      </c>
      <c r="C91" s="343">
        <v>-12.51</v>
      </c>
      <c r="D91" s="343">
        <v>-3.27</v>
      </c>
      <c r="E91" s="343">
        <v>0.05</v>
      </c>
      <c r="F91" s="343">
        <v>0</v>
      </c>
      <c r="G91" s="343">
        <v>-1.28</v>
      </c>
      <c r="H91" s="343">
        <v>0.82</v>
      </c>
      <c r="I91" s="343">
        <v>-7.47</v>
      </c>
      <c r="J91" s="343">
        <v>-1.78</v>
      </c>
      <c r="K91" s="343">
        <v>0</v>
      </c>
      <c r="L91" s="324"/>
      <c r="M91" s="324"/>
      <c r="N91" s="324"/>
      <c r="O91" s="324"/>
      <c r="P91" s="324"/>
    </row>
    <row r="92" spans="1:16" x14ac:dyDescent="0.25">
      <c r="A92" s="338" t="s">
        <v>301</v>
      </c>
      <c r="B92" s="339">
        <v>258.36</v>
      </c>
      <c r="C92" s="339">
        <v>216.46</v>
      </c>
      <c r="D92" s="339">
        <v>149.68</v>
      </c>
      <c r="E92" s="339">
        <v>125.44</v>
      </c>
      <c r="F92" s="339">
        <v>127.23</v>
      </c>
      <c r="G92" s="339">
        <v>181.01</v>
      </c>
      <c r="H92" s="339">
        <v>238.07</v>
      </c>
      <c r="I92" s="339">
        <v>188.58</v>
      </c>
      <c r="J92" s="339">
        <v>134.34</v>
      </c>
      <c r="K92" s="339">
        <v>119.88</v>
      </c>
      <c r="L92" s="324"/>
      <c r="M92" s="324"/>
      <c r="N92" s="324"/>
      <c r="O92" s="324"/>
      <c r="P92" s="324"/>
    </row>
    <row r="93" spans="1:16" x14ac:dyDescent="0.25">
      <c r="A93" s="338" t="s">
        <v>302</v>
      </c>
      <c r="B93" s="339">
        <v>836.35</v>
      </c>
      <c r="C93" s="339">
        <v>680.49</v>
      </c>
      <c r="D93" s="339">
        <v>479.58</v>
      </c>
      <c r="E93" s="339">
        <v>460.71</v>
      </c>
      <c r="F93" s="339">
        <v>519.57000000000005</v>
      </c>
      <c r="G93" s="339">
        <v>565.53</v>
      </c>
      <c r="H93" s="339">
        <v>495.01</v>
      </c>
      <c r="I93" s="339">
        <v>390.76</v>
      </c>
      <c r="J93" s="339">
        <v>330.31</v>
      </c>
      <c r="K93" s="339">
        <v>300.45</v>
      </c>
      <c r="L93" s="324"/>
      <c r="M93" s="324"/>
      <c r="N93" s="324"/>
      <c r="O93" s="324"/>
      <c r="P93" s="324"/>
    </row>
    <row r="94" spans="1:16" x14ac:dyDescent="0.25">
      <c r="A94" s="338" t="s">
        <v>304</v>
      </c>
      <c r="B94" s="339">
        <v>836.35</v>
      </c>
      <c r="C94" s="339">
        <v>680.49</v>
      </c>
      <c r="D94" s="339">
        <v>479.58</v>
      </c>
      <c r="E94" s="339">
        <v>460.71</v>
      </c>
      <c r="F94" s="339">
        <v>519.57000000000005</v>
      </c>
      <c r="G94" s="339">
        <v>565.53</v>
      </c>
      <c r="H94" s="339">
        <v>495.01</v>
      </c>
      <c r="I94" s="339">
        <v>390.76</v>
      </c>
      <c r="J94" s="339">
        <v>330.31</v>
      </c>
      <c r="K94" s="339">
        <v>300.45</v>
      </c>
      <c r="L94" s="324"/>
      <c r="M94" s="324"/>
      <c r="N94" s="324"/>
      <c r="O94" s="324"/>
      <c r="P94" s="324"/>
    </row>
    <row r="95" spans="1:16" x14ac:dyDescent="0.25">
      <c r="A95" s="336" t="s">
        <v>305</v>
      </c>
      <c r="B95" s="346">
        <v>836.35</v>
      </c>
      <c r="C95" s="346">
        <v>680.49</v>
      </c>
      <c r="D95" s="346">
        <v>479.58</v>
      </c>
      <c r="E95" s="346">
        <v>460.71</v>
      </c>
      <c r="F95" s="346">
        <v>519.57000000000005</v>
      </c>
      <c r="G95" s="346">
        <v>565.53</v>
      </c>
      <c r="H95" s="346">
        <v>495.01</v>
      </c>
      <c r="I95" s="346">
        <v>390.76</v>
      </c>
      <c r="J95" s="346">
        <v>330.31</v>
      </c>
      <c r="K95" s="346">
        <v>300.45</v>
      </c>
      <c r="L95" s="324"/>
      <c r="M95" s="324"/>
      <c r="N95" s="324"/>
      <c r="O95" s="324"/>
      <c r="P95" s="324"/>
    </row>
    <row r="96" spans="1:16" ht="24" customHeight="1" x14ac:dyDescent="0.25">
      <c r="A96" s="342" t="s">
        <v>502</v>
      </c>
      <c r="B96" s="343">
        <v>0</v>
      </c>
      <c r="C96" s="343">
        <v>0</v>
      </c>
      <c r="D96" s="343">
        <v>0</v>
      </c>
      <c r="E96" s="343">
        <v>0</v>
      </c>
      <c r="F96" s="343">
        <v>0.14000000000000001</v>
      </c>
      <c r="G96" s="343">
        <v>0</v>
      </c>
      <c r="H96" s="343">
        <v>0</v>
      </c>
      <c r="I96" s="343">
        <v>0</v>
      </c>
      <c r="J96" s="343">
        <v>0</v>
      </c>
      <c r="K96" s="343">
        <v>-1.0900000000000001</v>
      </c>
      <c r="L96" s="324"/>
      <c r="M96" s="324"/>
      <c r="N96" s="324"/>
      <c r="O96" s="324"/>
      <c r="P96" s="324"/>
    </row>
    <row r="97" spans="1:16" x14ac:dyDescent="0.25">
      <c r="A97" s="338" t="s">
        <v>504</v>
      </c>
      <c r="B97" s="339">
        <v>836.35</v>
      </c>
      <c r="C97" s="339">
        <v>680.49</v>
      </c>
      <c r="D97" s="339">
        <v>479.58</v>
      </c>
      <c r="E97" s="339">
        <v>460.71</v>
      </c>
      <c r="F97" s="339">
        <v>519.71</v>
      </c>
      <c r="G97" s="339">
        <v>565.53</v>
      </c>
      <c r="H97" s="339">
        <v>495.01</v>
      </c>
      <c r="I97" s="339">
        <v>390.76</v>
      </c>
      <c r="J97" s="339">
        <v>330.31</v>
      </c>
      <c r="K97" s="339">
        <v>299.36</v>
      </c>
      <c r="L97" s="324"/>
      <c r="M97" s="324"/>
      <c r="N97" s="324"/>
      <c r="O97" s="324"/>
      <c r="P97" s="324"/>
    </row>
    <row r="98" spans="1:16" ht="24" customHeight="1" x14ac:dyDescent="0.25">
      <c r="A98" s="344" t="s">
        <v>278</v>
      </c>
      <c r="B98" s="345"/>
      <c r="C98" s="339"/>
      <c r="D98" s="339"/>
      <c r="E98" s="339"/>
      <c r="F98" s="339"/>
      <c r="G98" s="345"/>
      <c r="H98" s="339"/>
      <c r="I98" s="339"/>
      <c r="J98" s="339"/>
      <c r="K98" s="339"/>
      <c r="L98" s="324"/>
      <c r="M98" s="324"/>
      <c r="N98" s="324"/>
      <c r="O98" s="324"/>
      <c r="P98" s="324"/>
    </row>
    <row r="99" spans="1:16" ht="24" customHeight="1" x14ac:dyDescent="0.25">
      <c r="A99" s="344" t="s">
        <v>306</v>
      </c>
      <c r="B99" s="345"/>
      <c r="C99" s="339"/>
      <c r="D99" s="339"/>
      <c r="E99" s="339"/>
      <c r="F99" s="339"/>
      <c r="G99" s="345"/>
      <c r="H99" s="339"/>
      <c r="I99" s="339"/>
      <c r="J99" s="339"/>
      <c r="K99" s="339"/>
      <c r="L99" s="324"/>
      <c r="M99" s="324"/>
      <c r="N99" s="324"/>
      <c r="O99" s="324"/>
      <c r="P99" s="324"/>
    </row>
    <row r="100" spans="1:16" ht="24" customHeight="1" x14ac:dyDescent="0.25">
      <c r="A100" s="342" t="s">
        <v>307</v>
      </c>
      <c r="B100" s="343">
        <v>59</v>
      </c>
      <c r="C100" s="343">
        <v>48</v>
      </c>
      <c r="D100" s="343">
        <v>34</v>
      </c>
      <c r="E100" s="343">
        <v>33</v>
      </c>
      <c r="F100" s="343">
        <v>37</v>
      </c>
      <c r="G100" s="343">
        <v>40</v>
      </c>
      <c r="H100" s="343">
        <v>35</v>
      </c>
      <c r="I100" s="343">
        <v>28</v>
      </c>
      <c r="J100" s="343">
        <v>23</v>
      </c>
      <c r="K100" s="343">
        <v>21</v>
      </c>
      <c r="L100" s="324"/>
      <c r="M100" s="324"/>
      <c r="N100" s="324"/>
      <c r="O100" s="324"/>
      <c r="P100" s="324"/>
    </row>
    <row r="101" spans="1:16" x14ac:dyDescent="0.25">
      <c r="A101" s="342" t="s">
        <v>308</v>
      </c>
      <c r="B101" s="343">
        <v>59</v>
      </c>
      <c r="C101" s="343">
        <v>48</v>
      </c>
      <c r="D101" s="343">
        <v>34</v>
      </c>
      <c r="E101" s="343">
        <v>33</v>
      </c>
      <c r="F101" s="343">
        <v>37</v>
      </c>
      <c r="G101" s="343">
        <v>40</v>
      </c>
      <c r="H101" s="343">
        <v>35</v>
      </c>
      <c r="I101" s="343">
        <v>28</v>
      </c>
      <c r="J101" s="343">
        <v>23</v>
      </c>
      <c r="K101" s="343">
        <v>21</v>
      </c>
      <c r="L101" s="324"/>
      <c r="M101" s="324"/>
      <c r="N101" s="324"/>
      <c r="O101" s="324"/>
      <c r="P101" s="324"/>
    </row>
    <row r="102" spans="1:16" ht="36" customHeight="1" x14ac:dyDescent="0.25">
      <c r="A102" s="344" t="s">
        <v>309</v>
      </c>
      <c r="B102" s="345"/>
      <c r="C102" s="339"/>
      <c r="D102" s="339"/>
      <c r="E102" s="339"/>
      <c r="F102" s="339"/>
      <c r="G102" s="345"/>
      <c r="H102" s="339"/>
      <c r="I102" s="339"/>
      <c r="J102" s="339"/>
      <c r="K102" s="339"/>
      <c r="L102" s="324"/>
      <c r="M102" s="324"/>
      <c r="N102" s="324"/>
      <c r="O102" s="324"/>
      <c r="P102" s="324"/>
    </row>
    <row r="103" spans="1:16" x14ac:dyDescent="0.25">
      <c r="A103" s="342" t="s">
        <v>505</v>
      </c>
      <c r="B103" s="343">
        <v>119.56</v>
      </c>
      <c r="C103" s="343">
        <v>98.46</v>
      </c>
      <c r="D103" s="343">
        <v>87.91</v>
      </c>
      <c r="E103" s="343">
        <v>84.4</v>
      </c>
      <c r="F103" s="343">
        <v>0</v>
      </c>
      <c r="G103" s="343">
        <v>154.72999999999999</v>
      </c>
      <c r="H103" s="343">
        <v>56.27</v>
      </c>
      <c r="I103" s="343">
        <v>35.17</v>
      </c>
      <c r="J103" s="343">
        <v>5.28</v>
      </c>
      <c r="K103" s="343">
        <v>24.62</v>
      </c>
      <c r="L103" s="324"/>
      <c r="M103" s="324"/>
      <c r="N103" s="324"/>
      <c r="O103" s="324"/>
      <c r="P103" s="324"/>
    </row>
    <row r="104" spans="1:16" x14ac:dyDescent="0.25">
      <c r="A104"/>
      <c r="B104"/>
      <c r="C104"/>
      <c r="D104"/>
      <c r="E104"/>
      <c r="F104"/>
      <c r="G104" s="343">
        <v>31.81</v>
      </c>
      <c r="H104" s="343">
        <v>11.57</v>
      </c>
      <c r="I104" s="343">
        <v>7.16</v>
      </c>
      <c r="J104" s="343">
        <v>1.07</v>
      </c>
      <c r="K104" s="343">
        <v>5.01</v>
      </c>
      <c r="L104" s="324"/>
      <c r="M104" s="324"/>
      <c r="N104" s="324"/>
      <c r="O104" s="324"/>
      <c r="P104" s="324"/>
    </row>
    <row r="105" spans="1:16" x14ac:dyDescent="0.25">
      <c r="A105"/>
      <c r="B105"/>
      <c r="C105"/>
      <c r="D105"/>
      <c r="E105"/>
      <c r="F105"/>
      <c r="G105"/>
      <c r="H105"/>
      <c r="I105"/>
      <c r="J105"/>
      <c r="K105"/>
      <c r="L105"/>
      <c r="M105"/>
      <c r="N105"/>
      <c r="O105"/>
      <c r="P105"/>
    </row>
    <row r="106" spans="1:16" x14ac:dyDescent="0.25">
      <c r="A106"/>
      <c r="B106"/>
      <c r="C106"/>
      <c r="D106"/>
      <c r="E106"/>
      <c r="F106"/>
    </row>
    <row r="107" spans="1:16" x14ac:dyDescent="0.25">
      <c r="A107"/>
      <c r="B107"/>
      <c r="C107"/>
      <c r="D107"/>
      <c r="E107"/>
      <c r="F107"/>
    </row>
  </sheetData>
  <hyperlinks>
    <hyperlink ref="B1" r:id="rId1" display="javascript:void(0);" xr:uid="{C3F541FF-B95D-4BEC-A9E0-5AFAE3A41CA8}"/>
    <hyperlink ref="B61" r:id="rId2" display="javascript:void(0);" xr:uid="{7C79BCC2-EC37-438E-B548-BC126AC1602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
  <sheetViews>
    <sheetView workbookViewId="0">
      <pane xSplit="1" ySplit="3" topLeftCell="B5" activePane="bottomRight" state="frozen"/>
      <selection pane="topRight" activeCell="B1" sqref="B1"/>
      <selection pane="bottomLeft" activeCell="A4" sqref="A4"/>
      <selection pane="bottomRight" sqref="A1:G1"/>
    </sheetView>
  </sheetViews>
  <sheetFormatPr defaultRowHeight="11.25" x14ac:dyDescent="0.2"/>
  <cols>
    <col min="1" max="1" width="35" style="85" customWidth="1"/>
    <col min="2" max="2" width="9.7109375" style="85" bestFit="1" customWidth="1"/>
    <col min="3" max="3" width="12.28515625" style="85" bestFit="1" customWidth="1"/>
    <col min="4" max="5" width="12.28515625" style="85" customWidth="1"/>
    <col min="6" max="6" width="12.28515625" style="85" bestFit="1" customWidth="1"/>
    <col min="7" max="7" width="12.28515625" style="85" customWidth="1"/>
    <col min="8" max="8" width="2.7109375" style="85" customWidth="1"/>
    <col min="9" max="9" width="35" style="85" customWidth="1"/>
    <col min="10" max="10" width="7.140625" style="85" bestFit="1" customWidth="1"/>
    <col min="11" max="11" width="12.28515625" style="85" bestFit="1" customWidth="1"/>
    <col min="12" max="13" width="12.28515625" style="85" customWidth="1"/>
    <col min="14" max="14" width="12.28515625" style="85" bestFit="1" customWidth="1"/>
    <col min="15" max="15" width="12.28515625" style="85" customWidth="1"/>
    <col min="16" max="264" width="9.140625" style="85"/>
    <col min="265" max="265" width="34.7109375" style="85" bestFit="1" customWidth="1"/>
    <col min="266" max="267" width="10.7109375" style="85" bestFit="1" customWidth="1"/>
    <col min="268" max="268" width="9.140625" style="85"/>
    <col min="269" max="269" width="34.7109375" style="85" bestFit="1" customWidth="1"/>
    <col min="270" max="271" width="9.42578125" style="85" bestFit="1" customWidth="1"/>
    <col min="272" max="520" width="9.140625" style="85"/>
    <col min="521" max="521" width="34.7109375" style="85" bestFit="1" customWidth="1"/>
    <col min="522" max="523" width="10.7109375" style="85" bestFit="1" customWidth="1"/>
    <col min="524" max="524" width="9.140625" style="85"/>
    <col min="525" max="525" width="34.7109375" style="85" bestFit="1" customWidth="1"/>
    <col min="526" max="527" width="9.42578125" style="85" bestFit="1" customWidth="1"/>
    <col min="528" max="776" width="9.140625" style="85"/>
    <col min="777" max="777" width="34.7109375" style="85" bestFit="1" customWidth="1"/>
    <col min="778" max="779" width="10.7109375" style="85" bestFit="1" customWidth="1"/>
    <col min="780" max="780" width="9.140625" style="85"/>
    <col min="781" max="781" width="34.7109375" style="85" bestFit="1" customWidth="1"/>
    <col min="782" max="783" width="9.42578125" style="85" bestFit="1" customWidth="1"/>
    <col min="784" max="1032" width="9.140625" style="85"/>
    <col min="1033" max="1033" width="34.7109375" style="85" bestFit="1" customWidth="1"/>
    <col min="1034" max="1035" width="10.7109375" style="85" bestFit="1" customWidth="1"/>
    <col min="1036" max="1036" width="9.140625" style="85"/>
    <col min="1037" max="1037" width="34.7109375" style="85" bestFit="1" customWidth="1"/>
    <col min="1038" max="1039" width="9.42578125" style="85" bestFit="1" customWidth="1"/>
    <col min="1040" max="1288" width="9.140625" style="85"/>
    <col min="1289" max="1289" width="34.7109375" style="85" bestFit="1" customWidth="1"/>
    <col min="1290" max="1291" width="10.7109375" style="85" bestFit="1" customWidth="1"/>
    <col min="1292" max="1292" width="9.140625" style="85"/>
    <col min="1293" max="1293" width="34.7109375" style="85" bestFit="1" customWidth="1"/>
    <col min="1294" max="1295" width="9.42578125" style="85" bestFit="1" customWidth="1"/>
    <col min="1296" max="1544" width="9.140625" style="85"/>
    <col min="1545" max="1545" width="34.7109375" style="85" bestFit="1" customWidth="1"/>
    <col min="1546" max="1547" width="10.7109375" style="85" bestFit="1" customWidth="1"/>
    <col min="1548" max="1548" width="9.140625" style="85"/>
    <col min="1549" max="1549" width="34.7109375" style="85" bestFit="1" customWidth="1"/>
    <col min="1550" max="1551" width="9.42578125" style="85" bestFit="1" customWidth="1"/>
    <col min="1552" max="1800" width="9.140625" style="85"/>
    <col min="1801" max="1801" width="34.7109375" style="85" bestFit="1" customWidth="1"/>
    <col min="1802" max="1803" width="10.7109375" style="85" bestFit="1" customWidth="1"/>
    <col min="1804" max="1804" width="9.140625" style="85"/>
    <col min="1805" max="1805" width="34.7109375" style="85" bestFit="1" customWidth="1"/>
    <col min="1806" max="1807" width="9.42578125" style="85" bestFit="1" customWidth="1"/>
    <col min="1808" max="2056" width="9.140625" style="85"/>
    <col min="2057" max="2057" width="34.7109375" style="85" bestFit="1" customWidth="1"/>
    <col min="2058" max="2059" width="10.7109375" style="85" bestFit="1" customWidth="1"/>
    <col min="2060" max="2060" width="9.140625" style="85"/>
    <col min="2061" max="2061" width="34.7109375" style="85" bestFit="1" customWidth="1"/>
    <col min="2062" max="2063" width="9.42578125" style="85" bestFit="1" customWidth="1"/>
    <col min="2064" max="2312" width="9.140625" style="85"/>
    <col min="2313" max="2313" width="34.7109375" style="85" bestFit="1" customWidth="1"/>
    <col min="2314" max="2315" width="10.7109375" style="85" bestFit="1" customWidth="1"/>
    <col min="2316" max="2316" width="9.140625" style="85"/>
    <col min="2317" max="2317" width="34.7109375" style="85" bestFit="1" customWidth="1"/>
    <col min="2318" max="2319" width="9.42578125" style="85" bestFit="1" customWidth="1"/>
    <col min="2320" max="2568" width="9.140625" style="85"/>
    <col min="2569" max="2569" width="34.7109375" style="85" bestFit="1" customWidth="1"/>
    <col min="2570" max="2571" width="10.7109375" style="85" bestFit="1" customWidth="1"/>
    <col min="2572" max="2572" width="9.140625" style="85"/>
    <col min="2573" max="2573" width="34.7109375" style="85" bestFit="1" customWidth="1"/>
    <col min="2574" max="2575" width="9.42578125" style="85" bestFit="1" customWidth="1"/>
    <col min="2576" max="2824" width="9.140625" style="85"/>
    <col min="2825" max="2825" width="34.7109375" style="85" bestFit="1" customWidth="1"/>
    <col min="2826" max="2827" width="10.7109375" style="85" bestFit="1" customWidth="1"/>
    <col min="2828" max="2828" width="9.140625" style="85"/>
    <col min="2829" max="2829" width="34.7109375" style="85" bestFit="1" customWidth="1"/>
    <col min="2830" max="2831" width="9.42578125" style="85" bestFit="1" customWidth="1"/>
    <col min="2832" max="3080" width="9.140625" style="85"/>
    <col min="3081" max="3081" width="34.7109375" style="85" bestFit="1" customWidth="1"/>
    <col min="3082" max="3083" width="10.7109375" style="85" bestFit="1" customWidth="1"/>
    <col min="3084" max="3084" width="9.140625" style="85"/>
    <col min="3085" max="3085" width="34.7109375" style="85" bestFit="1" customWidth="1"/>
    <col min="3086" max="3087" width="9.42578125" style="85" bestFit="1" customWidth="1"/>
    <col min="3088" max="3336" width="9.140625" style="85"/>
    <col min="3337" max="3337" width="34.7109375" style="85" bestFit="1" customWidth="1"/>
    <col min="3338" max="3339" width="10.7109375" style="85" bestFit="1" customWidth="1"/>
    <col min="3340" max="3340" width="9.140625" style="85"/>
    <col min="3341" max="3341" width="34.7109375" style="85" bestFit="1" customWidth="1"/>
    <col min="3342" max="3343" width="9.42578125" style="85" bestFit="1" customWidth="1"/>
    <col min="3344" max="3592" width="9.140625" style="85"/>
    <col min="3593" max="3593" width="34.7109375" style="85" bestFit="1" customWidth="1"/>
    <col min="3594" max="3595" width="10.7109375" style="85" bestFit="1" customWidth="1"/>
    <col min="3596" max="3596" width="9.140625" style="85"/>
    <col min="3597" max="3597" width="34.7109375" style="85" bestFit="1" customWidth="1"/>
    <col min="3598" max="3599" width="9.42578125" style="85" bestFit="1" customWidth="1"/>
    <col min="3600" max="3848" width="9.140625" style="85"/>
    <col min="3849" max="3849" width="34.7109375" style="85" bestFit="1" customWidth="1"/>
    <col min="3850" max="3851" width="10.7109375" style="85" bestFit="1" customWidth="1"/>
    <col min="3852" max="3852" width="9.140625" style="85"/>
    <col min="3853" max="3853" width="34.7109375" style="85" bestFit="1" customWidth="1"/>
    <col min="3854" max="3855" width="9.42578125" style="85" bestFit="1" customWidth="1"/>
    <col min="3856" max="4104" width="9.140625" style="85"/>
    <col min="4105" max="4105" width="34.7109375" style="85" bestFit="1" customWidth="1"/>
    <col min="4106" max="4107" width="10.7109375" style="85" bestFit="1" customWidth="1"/>
    <col min="4108" max="4108" width="9.140625" style="85"/>
    <col min="4109" max="4109" width="34.7109375" style="85" bestFit="1" customWidth="1"/>
    <col min="4110" max="4111" width="9.42578125" style="85" bestFit="1" customWidth="1"/>
    <col min="4112" max="4360" width="9.140625" style="85"/>
    <col min="4361" max="4361" width="34.7109375" style="85" bestFit="1" customWidth="1"/>
    <col min="4362" max="4363" width="10.7109375" style="85" bestFit="1" customWidth="1"/>
    <col min="4364" max="4364" width="9.140625" style="85"/>
    <col min="4365" max="4365" width="34.7109375" style="85" bestFit="1" customWidth="1"/>
    <col min="4366" max="4367" width="9.42578125" style="85" bestFit="1" customWidth="1"/>
    <col min="4368" max="4616" width="9.140625" style="85"/>
    <col min="4617" max="4617" width="34.7109375" style="85" bestFit="1" customWidth="1"/>
    <col min="4618" max="4619" width="10.7109375" style="85" bestFit="1" customWidth="1"/>
    <col min="4620" max="4620" width="9.140625" style="85"/>
    <col min="4621" max="4621" width="34.7109375" style="85" bestFit="1" customWidth="1"/>
    <col min="4622" max="4623" width="9.42578125" style="85" bestFit="1" customWidth="1"/>
    <col min="4624" max="4872" width="9.140625" style="85"/>
    <col min="4873" max="4873" width="34.7109375" style="85" bestFit="1" customWidth="1"/>
    <col min="4874" max="4875" width="10.7109375" style="85" bestFit="1" customWidth="1"/>
    <col min="4876" max="4876" width="9.140625" style="85"/>
    <col min="4877" max="4877" width="34.7109375" style="85" bestFit="1" customWidth="1"/>
    <col min="4878" max="4879" width="9.42578125" style="85" bestFit="1" customWidth="1"/>
    <col min="4880" max="5128" width="9.140625" style="85"/>
    <col min="5129" max="5129" width="34.7109375" style="85" bestFit="1" customWidth="1"/>
    <col min="5130" max="5131" width="10.7109375" style="85" bestFit="1" customWidth="1"/>
    <col min="5132" max="5132" width="9.140625" style="85"/>
    <col min="5133" max="5133" width="34.7109375" style="85" bestFit="1" customWidth="1"/>
    <col min="5134" max="5135" width="9.42578125" style="85" bestFit="1" customWidth="1"/>
    <col min="5136" max="5384" width="9.140625" style="85"/>
    <col min="5385" max="5385" width="34.7109375" style="85" bestFit="1" customWidth="1"/>
    <col min="5386" max="5387" width="10.7109375" style="85" bestFit="1" customWidth="1"/>
    <col min="5388" max="5388" width="9.140625" style="85"/>
    <col min="5389" max="5389" width="34.7109375" style="85" bestFit="1" customWidth="1"/>
    <col min="5390" max="5391" width="9.42578125" style="85" bestFit="1" customWidth="1"/>
    <col min="5392" max="5640" width="9.140625" style="85"/>
    <col min="5641" max="5641" width="34.7109375" style="85" bestFit="1" customWidth="1"/>
    <col min="5642" max="5643" width="10.7109375" style="85" bestFit="1" customWidth="1"/>
    <col min="5644" max="5644" width="9.140625" style="85"/>
    <col min="5645" max="5645" width="34.7109375" style="85" bestFit="1" customWidth="1"/>
    <col min="5646" max="5647" width="9.42578125" style="85" bestFit="1" customWidth="1"/>
    <col min="5648" max="5896" width="9.140625" style="85"/>
    <col min="5897" max="5897" width="34.7109375" style="85" bestFit="1" customWidth="1"/>
    <col min="5898" max="5899" width="10.7109375" style="85" bestFit="1" customWidth="1"/>
    <col min="5900" max="5900" width="9.140625" style="85"/>
    <col min="5901" max="5901" width="34.7109375" style="85" bestFit="1" customWidth="1"/>
    <col min="5902" max="5903" width="9.42578125" style="85" bestFit="1" customWidth="1"/>
    <col min="5904" max="6152" width="9.140625" style="85"/>
    <col min="6153" max="6153" width="34.7109375" style="85" bestFit="1" customWidth="1"/>
    <col min="6154" max="6155" width="10.7109375" style="85" bestFit="1" customWidth="1"/>
    <col min="6156" max="6156" width="9.140625" style="85"/>
    <col min="6157" max="6157" width="34.7109375" style="85" bestFit="1" customWidth="1"/>
    <col min="6158" max="6159" width="9.42578125" style="85" bestFit="1" customWidth="1"/>
    <col min="6160" max="6408" width="9.140625" style="85"/>
    <col min="6409" max="6409" width="34.7109375" style="85" bestFit="1" customWidth="1"/>
    <col min="6410" max="6411" width="10.7109375" style="85" bestFit="1" customWidth="1"/>
    <col min="6412" max="6412" width="9.140625" style="85"/>
    <col min="6413" max="6413" width="34.7109375" style="85" bestFit="1" customWidth="1"/>
    <col min="6414" max="6415" width="9.42578125" style="85" bestFit="1" customWidth="1"/>
    <col min="6416" max="6664" width="9.140625" style="85"/>
    <col min="6665" max="6665" width="34.7109375" style="85" bestFit="1" customWidth="1"/>
    <col min="6666" max="6667" width="10.7109375" style="85" bestFit="1" customWidth="1"/>
    <col min="6668" max="6668" width="9.140625" style="85"/>
    <col min="6669" max="6669" width="34.7109375" style="85" bestFit="1" customWidth="1"/>
    <col min="6670" max="6671" width="9.42578125" style="85" bestFit="1" customWidth="1"/>
    <col min="6672" max="6920" width="9.140625" style="85"/>
    <col min="6921" max="6921" width="34.7109375" style="85" bestFit="1" customWidth="1"/>
    <col min="6922" max="6923" width="10.7109375" style="85" bestFit="1" customWidth="1"/>
    <col min="6924" max="6924" width="9.140625" style="85"/>
    <col min="6925" max="6925" width="34.7109375" style="85" bestFit="1" customWidth="1"/>
    <col min="6926" max="6927" width="9.42578125" style="85" bestFit="1" customWidth="1"/>
    <col min="6928" max="7176" width="9.140625" style="85"/>
    <col min="7177" max="7177" width="34.7109375" style="85" bestFit="1" customWidth="1"/>
    <col min="7178" max="7179" width="10.7109375" style="85" bestFit="1" customWidth="1"/>
    <col min="7180" max="7180" width="9.140625" style="85"/>
    <col min="7181" max="7181" width="34.7109375" style="85" bestFit="1" customWidth="1"/>
    <col min="7182" max="7183" width="9.42578125" style="85" bestFit="1" customWidth="1"/>
    <col min="7184" max="7432" width="9.140625" style="85"/>
    <col min="7433" max="7433" width="34.7109375" style="85" bestFit="1" customWidth="1"/>
    <col min="7434" max="7435" width="10.7109375" style="85" bestFit="1" customWidth="1"/>
    <col min="7436" max="7436" width="9.140625" style="85"/>
    <col min="7437" max="7437" width="34.7109375" style="85" bestFit="1" customWidth="1"/>
    <col min="7438" max="7439" width="9.42578125" style="85" bestFit="1" customWidth="1"/>
    <col min="7440" max="7688" width="9.140625" style="85"/>
    <col min="7689" max="7689" width="34.7109375" style="85" bestFit="1" customWidth="1"/>
    <col min="7690" max="7691" width="10.7109375" style="85" bestFit="1" customWidth="1"/>
    <col min="7692" max="7692" width="9.140625" style="85"/>
    <col min="7693" max="7693" width="34.7109375" style="85" bestFit="1" customWidth="1"/>
    <col min="7694" max="7695" width="9.42578125" style="85" bestFit="1" customWidth="1"/>
    <col min="7696" max="7944" width="9.140625" style="85"/>
    <col min="7945" max="7945" width="34.7109375" style="85" bestFit="1" customWidth="1"/>
    <col min="7946" max="7947" width="10.7109375" style="85" bestFit="1" customWidth="1"/>
    <col min="7948" max="7948" width="9.140625" style="85"/>
    <col min="7949" max="7949" width="34.7109375" style="85" bestFit="1" customWidth="1"/>
    <col min="7950" max="7951" width="9.42578125" style="85" bestFit="1" customWidth="1"/>
    <col min="7952" max="8200" width="9.140625" style="85"/>
    <col min="8201" max="8201" width="34.7109375" style="85" bestFit="1" customWidth="1"/>
    <col min="8202" max="8203" width="10.7109375" style="85" bestFit="1" customWidth="1"/>
    <col min="8204" max="8204" width="9.140625" style="85"/>
    <col min="8205" max="8205" width="34.7109375" style="85" bestFit="1" customWidth="1"/>
    <col min="8206" max="8207" width="9.42578125" style="85" bestFit="1" customWidth="1"/>
    <col min="8208" max="8456" width="9.140625" style="85"/>
    <col min="8457" max="8457" width="34.7109375" style="85" bestFit="1" customWidth="1"/>
    <col min="8458" max="8459" width="10.7109375" style="85" bestFit="1" customWidth="1"/>
    <col min="8460" max="8460" width="9.140625" style="85"/>
    <col min="8461" max="8461" width="34.7109375" style="85" bestFit="1" customWidth="1"/>
    <col min="8462" max="8463" width="9.42578125" style="85" bestFit="1" customWidth="1"/>
    <col min="8464" max="8712" width="9.140625" style="85"/>
    <col min="8713" max="8713" width="34.7109375" style="85" bestFit="1" customWidth="1"/>
    <col min="8714" max="8715" width="10.7109375" style="85" bestFit="1" customWidth="1"/>
    <col min="8716" max="8716" width="9.140625" style="85"/>
    <col min="8717" max="8717" width="34.7109375" style="85" bestFit="1" customWidth="1"/>
    <col min="8718" max="8719" width="9.42578125" style="85" bestFit="1" customWidth="1"/>
    <col min="8720" max="8968" width="9.140625" style="85"/>
    <col min="8969" max="8969" width="34.7109375" style="85" bestFit="1" customWidth="1"/>
    <col min="8970" max="8971" width="10.7109375" style="85" bestFit="1" customWidth="1"/>
    <col min="8972" max="8972" width="9.140625" style="85"/>
    <col min="8973" max="8973" width="34.7109375" style="85" bestFit="1" customWidth="1"/>
    <col min="8974" max="8975" width="9.42578125" style="85" bestFit="1" customWidth="1"/>
    <col min="8976" max="9224" width="9.140625" style="85"/>
    <col min="9225" max="9225" width="34.7109375" style="85" bestFit="1" customWidth="1"/>
    <col min="9226" max="9227" width="10.7109375" style="85" bestFit="1" customWidth="1"/>
    <col min="9228" max="9228" width="9.140625" style="85"/>
    <col min="9229" max="9229" width="34.7109375" style="85" bestFit="1" customWidth="1"/>
    <col min="9230" max="9231" width="9.42578125" style="85" bestFit="1" customWidth="1"/>
    <col min="9232" max="9480" width="9.140625" style="85"/>
    <col min="9481" max="9481" width="34.7109375" style="85" bestFit="1" customWidth="1"/>
    <col min="9482" max="9483" width="10.7109375" style="85" bestFit="1" customWidth="1"/>
    <col min="9484" max="9484" width="9.140625" style="85"/>
    <col min="9485" max="9485" width="34.7109375" style="85" bestFit="1" customWidth="1"/>
    <col min="9486" max="9487" width="9.42578125" style="85" bestFit="1" customWidth="1"/>
    <col min="9488" max="9736" width="9.140625" style="85"/>
    <col min="9737" max="9737" width="34.7109375" style="85" bestFit="1" customWidth="1"/>
    <col min="9738" max="9739" width="10.7109375" style="85" bestFit="1" customWidth="1"/>
    <col min="9740" max="9740" width="9.140625" style="85"/>
    <col min="9741" max="9741" width="34.7109375" style="85" bestFit="1" customWidth="1"/>
    <col min="9742" max="9743" width="9.42578125" style="85" bestFit="1" customWidth="1"/>
    <col min="9744" max="9992" width="9.140625" style="85"/>
    <col min="9993" max="9993" width="34.7109375" style="85" bestFit="1" customWidth="1"/>
    <col min="9994" max="9995" width="10.7109375" style="85" bestFit="1" customWidth="1"/>
    <col min="9996" max="9996" width="9.140625" style="85"/>
    <col min="9997" max="9997" width="34.7109375" style="85" bestFit="1" customWidth="1"/>
    <col min="9998" max="9999" width="9.42578125" style="85" bestFit="1" customWidth="1"/>
    <col min="10000" max="10248" width="9.140625" style="85"/>
    <col min="10249" max="10249" width="34.7109375" style="85" bestFit="1" customWidth="1"/>
    <col min="10250" max="10251" width="10.7109375" style="85" bestFit="1" customWidth="1"/>
    <col min="10252" max="10252" width="9.140625" style="85"/>
    <col min="10253" max="10253" width="34.7109375" style="85" bestFit="1" customWidth="1"/>
    <col min="10254" max="10255" width="9.42578125" style="85" bestFit="1" customWidth="1"/>
    <col min="10256" max="10504" width="9.140625" style="85"/>
    <col min="10505" max="10505" width="34.7109375" style="85" bestFit="1" customWidth="1"/>
    <col min="10506" max="10507" width="10.7109375" style="85" bestFit="1" customWidth="1"/>
    <col min="10508" max="10508" width="9.140625" style="85"/>
    <col min="10509" max="10509" width="34.7109375" style="85" bestFit="1" customWidth="1"/>
    <col min="10510" max="10511" width="9.42578125" style="85" bestFit="1" customWidth="1"/>
    <col min="10512" max="10760" width="9.140625" style="85"/>
    <col min="10761" max="10761" width="34.7109375" style="85" bestFit="1" customWidth="1"/>
    <col min="10762" max="10763" width="10.7109375" style="85" bestFit="1" customWidth="1"/>
    <col min="10764" max="10764" width="9.140625" style="85"/>
    <col min="10765" max="10765" width="34.7109375" style="85" bestFit="1" customWidth="1"/>
    <col min="10766" max="10767" width="9.42578125" style="85" bestFit="1" customWidth="1"/>
    <col min="10768" max="11016" width="9.140625" style="85"/>
    <col min="11017" max="11017" width="34.7109375" style="85" bestFit="1" customWidth="1"/>
    <col min="11018" max="11019" width="10.7109375" style="85" bestFit="1" customWidth="1"/>
    <col min="11020" max="11020" width="9.140625" style="85"/>
    <col min="11021" max="11021" width="34.7109375" style="85" bestFit="1" customWidth="1"/>
    <col min="11022" max="11023" width="9.42578125" style="85" bestFit="1" customWidth="1"/>
    <col min="11024" max="11272" width="9.140625" style="85"/>
    <col min="11273" max="11273" width="34.7109375" style="85" bestFit="1" customWidth="1"/>
    <col min="11274" max="11275" width="10.7109375" style="85" bestFit="1" customWidth="1"/>
    <col min="11276" max="11276" width="9.140625" style="85"/>
    <col min="11277" max="11277" width="34.7109375" style="85" bestFit="1" customWidth="1"/>
    <col min="11278" max="11279" width="9.42578125" style="85" bestFit="1" customWidth="1"/>
    <col min="11280" max="11528" width="9.140625" style="85"/>
    <col min="11529" max="11529" width="34.7109375" style="85" bestFit="1" customWidth="1"/>
    <col min="11530" max="11531" width="10.7109375" style="85" bestFit="1" customWidth="1"/>
    <col min="11532" max="11532" width="9.140625" style="85"/>
    <col min="11533" max="11533" width="34.7109375" style="85" bestFit="1" customWidth="1"/>
    <col min="11534" max="11535" width="9.42578125" style="85" bestFit="1" customWidth="1"/>
    <col min="11536" max="11784" width="9.140625" style="85"/>
    <col min="11785" max="11785" width="34.7109375" style="85" bestFit="1" customWidth="1"/>
    <col min="11786" max="11787" width="10.7109375" style="85" bestFit="1" customWidth="1"/>
    <col min="11788" max="11788" width="9.140625" style="85"/>
    <col min="11789" max="11789" width="34.7109375" style="85" bestFit="1" customWidth="1"/>
    <col min="11790" max="11791" width="9.42578125" style="85" bestFit="1" customWidth="1"/>
    <col min="11792" max="12040" width="9.140625" style="85"/>
    <col min="12041" max="12041" width="34.7109375" style="85" bestFit="1" customWidth="1"/>
    <col min="12042" max="12043" width="10.7109375" style="85" bestFit="1" customWidth="1"/>
    <col min="12044" max="12044" width="9.140625" style="85"/>
    <col min="12045" max="12045" width="34.7109375" style="85" bestFit="1" customWidth="1"/>
    <col min="12046" max="12047" width="9.42578125" style="85" bestFit="1" customWidth="1"/>
    <col min="12048" max="12296" width="9.140625" style="85"/>
    <col min="12297" max="12297" width="34.7109375" style="85" bestFit="1" customWidth="1"/>
    <col min="12298" max="12299" width="10.7109375" style="85" bestFit="1" customWidth="1"/>
    <col min="12300" max="12300" width="9.140625" style="85"/>
    <col min="12301" max="12301" width="34.7109375" style="85" bestFit="1" customWidth="1"/>
    <col min="12302" max="12303" width="9.42578125" style="85" bestFit="1" customWidth="1"/>
    <col min="12304" max="12552" width="9.140625" style="85"/>
    <col min="12553" max="12553" width="34.7109375" style="85" bestFit="1" customWidth="1"/>
    <col min="12554" max="12555" width="10.7109375" style="85" bestFit="1" customWidth="1"/>
    <col min="12556" max="12556" width="9.140625" style="85"/>
    <col min="12557" max="12557" width="34.7109375" style="85" bestFit="1" customWidth="1"/>
    <col min="12558" max="12559" width="9.42578125" style="85" bestFit="1" customWidth="1"/>
    <col min="12560" max="12808" width="9.140625" style="85"/>
    <col min="12809" max="12809" width="34.7109375" style="85" bestFit="1" customWidth="1"/>
    <col min="12810" max="12811" width="10.7109375" style="85" bestFit="1" customWidth="1"/>
    <col min="12812" max="12812" width="9.140625" style="85"/>
    <col min="12813" max="12813" width="34.7109375" style="85" bestFit="1" customWidth="1"/>
    <col min="12814" max="12815" width="9.42578125" style="85" bestFit="1" customWidth="1"/>
    <col min="12816" max="13064" width="9.140625" style="85"/>
    <col min="13065" max="13065" width="34.7109375" style="85" bestFit="1" customWidth="1"/>
    <col min="13066" max="13067" width="10.7109375" style="85" bestFit="1" customWidth="1"/>
    <col min="13068" max="13068" width="9.140625" style="85"/>
    <col min="13069" max="13069" width="34.7109375" style="85" bestFit="1" customWidth="1"/>
    <col min="13070" max="13071" width="9.42578125" style="85" bestFit="1" customWidth="1"/>
    <col min="13072" max="13320" width="9.140625" style="85"/>
    <col min="13321" max="13321" width="34.7109375" style="85" bestFit="1" customWidth="1"/>
    <col min="13322" max="13323" width="10.7109375" style="85" bestFit="1" customWidth="1"/>
    <col min="13324" max="13324" width="9.140625" style="85"/>
    <col min="13325" max="13325" width="34.7109375" style="85" bestFit="1" customWidth="1"/>
    <col min="13326" max="13327" width="9.42578125" style="85" bestFit="1" customWidth="1"/>
    <col min="13328" max="13576" width="9.140625" style="85"/>
    <col min="13577" max="13577" width="34.7109375" style="85" bestFit="1" customWidth="1"/>
    <col min="13578" max="13579" width="10.7109375" style="85" bestFit="1" customWidth="1"/>
    <col min="13580" max="13580" width="9.140625" style="85"/>
    <col min="13581" max="13581" width="34.7109375" style="85" bestFit="1" customWidth="1"/>
    <col min="13582" max="13583" width="9.42578125" style="85" bestFit="1" customWidth="1"/>
    <col min="13584" max="13832" width="9.140625" style="85"/>
    <col min="13833" max="13833" width="34.7109375" style="85" bestFit="1" customWidth="1"/>
    <col min="13834" max="13835" width="10.7109375" style="85" bestFit="1" customWidth="1"/>
    <col min="13836" max="13836" width="9.140625" style="85"/>
    <col min="13837" max="13837" width="34.7109375" style="85" bestFit="1" customWidth="1"/>
    <col min="13838" max="13839" width="9.42578125" style="85" bestFit="1" customWidth="1"/>
    <col min="13840" max="14088" width="9.140625" style="85"/>
    <col min="14089" max="14089" width="34.7109375" style="85" bestFit="1" customWidth="1"/>
    <col min="14090" max="14091" width="10.7109375" style="85" bestFit="1" customWidth="1"/>
    <col min="14092" max="14092" width="9.140625" style="85"/>
    <col min="14093" max="14093" width="34.7109375" style="85" bestFit="1" customWidth="1"/>
    <col min="14094" max="14095" width="9.42578125" style="85" bestFit="1" customWidth="1"/>
    <col min="14096" max="14344" width="9.140625" style="85"/>
    <col min="14345" max="14345" width="34.7109375" style="85" bestFit="1" customWidth="1"/>
    <col min="14346" max="14347" width="10.7109375" style="85" bestFit="1" customWidth="1"/>
    <col min="14348" max="14348" width="9.140625" style="85"/>
    <col min="14349" max="14349" width="34.7109375" style="85" bestFit="1" customWidth="1"/>
    <col min="14350" max="14351" width="9.42578125" style="85" bestFit="1" customWidth="1"/>
    <col min="14352" max="14600" width="9.140625" style="85"/>
    <col min="14601" max="14601" width="34.7109375" style="85" bestFit="1" customWidth="1"/>
    <col min="14602" max="14603" width="10.7109375" style="85" bestFit="1" customWidth="1"/>
    <col min="14604" max="14604" width="9.140625" style="85"/>
    <col min="14605" max="14605" width="34.7109375" style="85" bestFit="1" customWidth="1"/>
    <col min="14606" max="14607" width="9.42578125" style="85" bestFit="1" customWidth="1"/>
    <col min="14608" max="14856" width="9.140625" style="85"/>
    <col min="14857" max="14857" width="34.7109375" style="85" bestFit="1" customWidth="1"/>
    <col min="14858" max="14859" width="10.7109375" style="85" bestFit="1" customWidth="1"/>
    <col min="14860" max="14860" width="9.140625" style="85"/>
    <col min="14861" max="14861" width="34.7109375" style="85" bestFit="1" customWidth="1"/>
    <col min="14862" max="14863" width="9.42578125" style="85" bestFit="1" customWidth="1"/>
    <col min="14864" max="15112" width="9.140625" style="85"/>
    <col min="15113" max="15113" width="34.7109375" style="85" bestFit="1" customWidth="1"/>
    <col min="15114" max="15115" width="10.7109375" style="85" bestFit="1" customWidth="1"/>
    <col min="15116" max="15116" width="9.140625" style="85"/>
    <col min="15117" max="15117" width="34.7109375" style="85" bestFit="1" customWidth="1"/>
    <col min="15118" max="15119" width="9.42578125" style="85" bestFit="1" customWidth="1"/>
    <col min="15120" max="15368" width="9.140625" style="85"/>
    <col min="15369" max="15369" width="34.7109375" style="85" bestFit="1" customWidth="1"/>
    <col min="15370" max="15371" width="10.7109375" style="85" bestFit="1" customWidth="1"/>
    <col min="15372" max="15372" width="9.140625" style="85"/>
    <col min="15373" max="15373" width="34.7109375" style="85" bestFit="1" customWidth="1"/>
    <col min="15374" max="15375" width="9.42578125" style="85" bestFit="1" customWidth="1"/>
    <col min="15376" max="15624" width="9.140625" style="85"/>
    <col min="15625" max="15625" width="34.7109375" style="85" bestFit="1" customWidth="1"/>
    <col min="15626" max="15627" width="10.7109375" style="85" bestFit="1" customWidth="1"/>
    <col min="15628" max="15628" width="9.140625" style="85"/>
    <col min="15629" max="15629" width="34.7109375" style="85" bestFit="1" customWidth="1"/>
    <col min="15630" max="15631" width="9.42578125" style="85" bestFit="1" customWidth="1"/>
    <col min="15632" max="15880" width="9.140625" style="85"/>
    <col min="15881" max="15881" width="34.7109375" style="85" bestFit="1" customWidth="1"/>
    <col min="15882" max="15883" width="10.7109375" style="85" bestFit="1" customWidth="1"/>
    <col min="15884" max="15884" width="9.140625" style="85"/>
    <col min="15885" max="15885" width="34.7109375" style="85" bestFit="1" customWidth="1"/>
    <col min="15886" max="15887" width="9.42578125" style="85" bestFit="1" customWidth="1"/>
    <col min="15888" max="16136" width="9.140625" style="85"/>
    <col min="16137" max="16137" width="34.7109375" style="85" bestFit="1" customWidth="1"/>
    <col min="16138" max="16139" width="10.7109375" style="85" bestFit="1" customWidth="1"/>
    <col min="16140" max="16140" width="9.140625" style="85"/>
    <col min="16141" max="16141" width="34.7109375" style="85" bestFit="1" customWidth="1"/>
    <col min="16142" max="16143" width="9.42578125" style="85" bestFit="1" customWidth="1"/>
    <col min="16144" max="16384" width="9.140625" style="85"/>
  </cols>
  <sheetData>
    <row r="1" spans="1:15" x14ac:dyDescent="0.2">
      <c r="A1" s="364" t="s">
        <v>936</v>
      </c>
      <c r="B1" s="364"/>
      <c r="C1" s="364"/>
      <c r="D1" s="364"/>
      <c r="E1" s="364"/>
      <c r="F1" s="364"/>
      <c r="G1" s="364"/>
      <c r="I1" s="364" t="s">
        <v>936</v>
      </c>
      <c r="J1" s="364"/>
      <c r="K1" s="364"/>
      <c r="L1" s="364"/>
      <c r="M1" s="364"/>
      <c r="N1" s="364"/>
      <c r="O1" s="364"/>
    </row>
    <row r="2" spans="1:15" x14ac:dyDescent="0.2">
      <c r="A2" s="364" t="s">
        <v>235</v>
      </c>
      <c r="B2" s="364"/>
      <c r="C2" s="364"/>
      <c r="D2" s="364"/>
      <c r="E2" s="364"/>
      <c r="F2" s="364"/>
      <c r="G2" s="364"/>
      <c r="I2" s="364" t="s">
        <v>236</v>
      </c>
      <c r="J2" s="364"/>
      <c r="K2" s="364"/>
      <c r="L2" s="364"/>
      <c r="M2" s="364"/>
      <c r="N2" s="364"/>
      <c r="O2" s="364"/>
    </row>
    <row r="3" spans="1:15" x14ac:dyDescent="0.2">
      <c r="A3" s="86" t="s">
        <v>237</v>
      </c>
      <c r="B3" s="228">
        <v>45717</v>
      </c>
      <c r="C3" s="228">
        <v>45352</v>
      </c>
      <c r="D3" s="228">
        <v>44986</v>
      </c>
      <c r="E3" s="228">
        <v>44621</v>
      </c>
      <c r="F3" s="228">
        <v>44256</v>
      </c>
      <c r="G3" s="228">
        <v>43891</v>
      </c>
      <c r="I3" s="86"/>
      <c r="J3" s="228">
        <v>45717</v>
      </c>
      <c r="K3" s="228">
        <v>45352</v>
      </c>
      <c r="L3" s="228">
        <v>44986</v>
      </c>
      <c r="M3" s="228">
        <v>44621</v>
      </c>
      <c r="N3" s="228">
        <v>44256</v>
      </c>
      <c r="O3" s="228">
        <v>43891</v>
      </c>
    </row>
    <row r="4" spans="1:15" x14ac:dyDescent="0.2">
      <c r="A4" s="121" t="s">
        <v>238</v>
      </c>
      <c r="B4" s="121"/>
      <c r="C4" s="99"/>
      <c r="D4" s="214"/>
      <c r="E4" s="99"/>
      <c r="F4" s="99"/>
      <c r="G4" s="99"/>
      <c r="I4" s="121" t="s">
        <v>238</v>
      </c>
      <c r="J4" s="121"/>
      <c r="K4" s="99"/>
      <c r="L4" s="99"/>
      <c r="M4" s="99"/>
      <c r="N4" s="99"/>
      <c r="O4" s="99"/>
    </row>
    <row r="5" spans="1:15" x14ac:dyDescent="0.2">
      <c r="A5" s="94" t="s">
        <v>239</v>
      </c>
      <c r="B5" s="112">
        <f>Financials_Consol!B73</f>
        <v>11371.37</v>
      </c>
      <c r="C5" s="112">
        <f>Financials_Consol!C73</f>
        <v>10082.5</v>
      </c>
      <c r="D5" s="112">
        <f>Financials_Consol!D73</f>
        <v>8676.06</v>
      </c>
      <c r="E5" s="112">
        <f>Financials_Consol!E73</f>
        <v>7424.4</v>
      </c>
      <c r="F5" s="112">
        <f>Financials_Consol!F73</f>
        <v>6405.48</v>
      </c>
      <c r="G5" s="112">
        <f>Financials_Consol!G73</f>
        <v>6775.39</v>
      </c>
      <c r="I5" s="94" t="s">
        <v>239</v>
      </c>
      <c r="J5" s="229">
        <v>1</v>
      </c>
      <c r="K5" s="229">
        <v>1</v>
      </c>
      <c r="L5" s="229">
        <v>1</v>
      </c>
      <c r="M5" s="229">
        <v>1</v>
      </c>
      <c r="N5" s="229">
        <v>1</v>
      </c>
      <c r="O5" s="229">
        <v>1</v>
      </c>
    </row>
    <row r="6" spans="1:15" x14ac:dyDescent="0.2">
      <c r="A6" s="122" t="s">
        <v>240</v>
      </c>
      <c r="B6" s="123">
        <f>Financials_Consol!B74</f>
        <v>0</v>
      </c>
      <c r="C6" s="123">
        <f>Financials_Consol!C74</f>
        <v>0</v>
      </c>
      <c r="D6" s="123">
        <f>Financials_Consol!D74</f>
        <v>0</v>
      </c>
      <c r="E6" s="123">
        <f>Financials_Consol!E74</f>
        <v>0</v>
      </c>
      <c r="F6" s="123">
        <f>Financials_Consol!F74</f>
        <v>0</v>
      </c>
      <c r="G6" s="123">
        <f>Financials_Consol!G74</f>
        <v>0</v>
      </c>
      <c r="I6" s="122" t="s">
        <v>240</v>
      </c>
      <c r="J6" s="230">
        <f t="shared" ref="J6:O7" si="0">B6/B$5</f>
        <v>0</v>
      </c>
      <c r="K6" s="230">
        <f t="shared" si="0"/>
        <v>0</v>
      </c>
      <c r="L6" s="230">
        <f t="shared" si="0"/>
        <v>0</v>
      </c>
      <c r="M6" s="230">
        <f t="shared" si="0"/>
        <v>0</v>
      </c>
      <c r="N6" s="230">
        <f t="shared" si="0"/>
        <v>0</v>
      </c>
      <c r="O6" s="230">
        <f>G6/G$5</f>
        <v>0</v>
      </c>
    </row>
    <row r="7" spans="1:15" x14ac:dyDescent="0.2">
      <c r="A7" s="53" t="s">
        <v>241</v>
      </c>
      <c r="B7" s="97">
        <f>Financials_Consol!B76</f>
        <v>189.44</v>
      </c>
      <c r="C7" s="97">
        <f>Financials_Consol!C76</f>
        <v>158.37</v>
      </c>
      <c r="D7" s="97">
        <f>Financials_Consol!D76</f>
        <v>127.99</v>
      </c>
      <c r="E7" s="97">
        <f>Financials_Consol!E76</f>
        <v>124.75</v>
      </c>
      <c r="F7" s="97">
        <f>Financials_Consol!F76</f>
        <v>141.54</v>
      </c>
      <c r="G7" s="97">
        <f>Financials_Consol!G76</f>
        <v>142.31</v>
      </c>
      <c r="I7" s="53" t="s">
        <v>241</v>
      </c>
      <c r="J7" s="230">
        <f t="shared" si="0"/>
        <v>1.6659382290788179E-2</v>
      </c>
      <c r="K7" s="230">
        <f t="shared" si="0"/>
        <v>1.5707413835854202E-2</v>
      </c>
      <c r="L7" s="230">
        <f t="shared" si="0"/>
        <v>1.4752087929313536E-2</v>
      </c>
      <c r="M7" s="230">
        <f t="shared" si="0"/>
        <v>1.6802704595657563E-2</v>
      </c>
      <c r="N7" s="230">
        <f t="shared" si="0"/>
        <v>2.2096704696603534E-2</v>
      </c>
      <c r="O7" s="230">
        <f t="shared" si="0"/>
        <v>2.1003956967790782E-2</v>
      </c>
    </row>
    <row r="8" spans="1:15" x14ac:dyDescent="0.2">
      <c r="A8" s="124" t="s">
        <v>242</v>
      </c>
      <c r="B8" s="125">
        <f t="shared" ref="B8:G8" si="1">B5-B6+B7</f>
        <v>11560.810000000001</v>
      </c>
      <c r="C8" s="125">
        <f t="shared" si="1"/>
        <v>10240.870000000001</v>
      </c>
      <c r="D8" s="125">
        <f t="shared" si="1"/>
        <v>8804.0499999999993</v>
      </c>
      <c r="E8" s="125">
        <f t="shared" si="1"/>
        <v>7549.15</v>
      </c>
      <c r="F8" s="125">
        <f t="shared" si="1"/>
        <v>6547.0199999999995</v>
      </c>
      <c r="G8" s="125">
        <f t="shared" si="1"/>
        <v>6917.7000000000007</v>
      </c>
      <c r="I8" s="124" t="s">
        <v>242</v>
      </c>
      <c r="J8" s="231">
        <f t="shared" ref="J8:O8" si="2">B8/B$8</f>
        <v>1</v>
      </c>
      <c r="K8" s="231">
        <f t="shared" si="2"/>
        <v>1</v>
      </c>
      <c r="L8" s="231">
        <f t="shared" si="2"/>
        <v>1</v>
      </c>
      <c r="M8" s="231">
        <f t="shared" si="2"/>
        <v>1</v>
      </c>
      <c r="N8" s="231">
        <f t="shared" si="2"/>
        <v>1</v>
      </c>
      <c r="O8" s="231">
        <f t="shared" si="2"/>
        <v>1</v>
      </c>
    </row>
    <row r="9" spans="1:15" x14ac:dyDescent="0.2">
      <c r="A9" s="53"/>
      <c r="B9" s="53"/>
      <c r="C9" s="97"/>
      <c r="D9" s="97"/>
      <c r="E9" s="97"/>
      <c r="F9" s="97"/>
      <c r="G9" s="97"/>
      <c r="I9" s="53"/>
      <c r="J9" s="53"/>
      <c r="K9" s="53"/>
      <c r="L9" s="53"/>
      <c r="M9" s="53"/>
      <c r="N9" s="53"/>
      <c r="O9" s="53"/>
    </row>
    <row r="10" spans="1:15" x14ac:dyDescent="0.2">
      <c r="A10" s="124" t="s">
        <v>243</v>
      </c>
      <c r="B10" s="125">
        <f>Financials_Consol!B78</f>
        <v>116.97</v>
      </c>
      <c r="C10" s="125">
        <f>Financials_Consol!C78</f>
        <v>85.62</v>
      </c>
      <c r="D10" s="125">
        <f>Financials_Consol!D78</f>
        <v>45.43</v>
      </c>
      <c r="E10" s="125">
        <f>Financials_Consol!E78</f>
        <v>41.04</v>
      </c>
      <c r="F10" s="125">
        <f>Financials_Consol!F78</f>
        <v>30.71</v>
      </c>
      <c r="G10" s="125">
        <f>Financials_Consol!G78</f>
        <v>47.6</v>
      </c>
      <c r="I10" s="124" t="s">
        <v>243</v>
      </c>
      <c r="J10" s="124">
        <f>B10/B$5</f>
        <v>1.0286359515168356E-2</v>
      </c>
      <c r="K10" s="124">
        <f>C10/C$5</f>
        <v>8.4919414827671711E-3</v>
      </c>
      <c r="L10" s="124">
        <f t="shared" ref="L10:O10" si="3">D10/D$5</f>
        <v>5.2362477898954133E-3</v>
      </c>
      <c r="M10" s="124">
        <f t="shared" si="3"/>
        <v>5.5277194116696302E-3</v>
      </c>
      <c r="N10" s="124">
        <f t="shared" si="3"/>
        <v>4.79433235292281E-3</v>
      </c>
      <c r="O10" s="124">
        <f t="shared" si="3"/>
        <v>7.0254258426452202E-3</v>
      </c>
    </row>
    <row r="11" spans="1:15" x14ac:dyDescent="0.2">
      <c r="A11" s="53"/>
      <c r="B11" s="53"/>
      <c r="C11" s="97"/>
      <c r="D11" s="97"/>
      <c r="E11" s="97"/>
      <c r="F11" s="97"/>
      <c r="G11" s="97"/>
      <c r="I11" s="53"/>
      <c r="J11" s="53"/>
      <c r="K11" s="53"/>
      <c r="L11" s="53"/>
      <c r="M11" s="53"/>
      <c r="N11" s="53"/>
      <c r="O11" s="53"/>
    </row>
    <row r="12" spans="1:15" x14ac:dyDescent="0.2">
      <c r="A12" s="98" t="s">
        <v>244</v>
      </c>
      <c r="B12" s="98"/>
      <c r="C12" s="99"/>
      <c r="D12" s="99"/>
      <c r="E12" s="99"/>
      <c r="F12" s="99"/>
      <c r="G12" s="99"/>
      <c r="I12" s="98" t="s">
        <v>244</v>
      </c>
      <c r="J12" s="98"/>
      <c r="K12" s="53"/>
      <c r="L12" s="53"/>
      <c r="M12" s="53"/>
      <c r="N12" s="53"/>
      <c r="O12" s="53"/>
    </row>
    <row r="13" spans="1:15" x14ac:dyDescent="0.2">
      <c r="A13" s="53" t="s">
        <v>935</v>
      </c>
      <c r="B13" s="123">
        <f>Financials_Consol!B81</f>
        <v>6504.87</v>
      </c>
      <c r="C13" s="123">
        <f>Financials_Consol!C81</f>
        <v>5922.96</v>
      </c>
      <c r="D13" s="123">
        <f>Financials_Consol!D81</f>
        <v>5320.19</v>
      </c>
      <c r="E13" s="123">
        <f>Financials_Consol!E81</f>
        <v>4428.43</v>
      </c>
      <c r="F13" s="123">
        <f>Financials_Consol!F81</f>
        <v>3497.65</v>
      </c>
      <c r="G13" s="123">
        <f>Financials_Consol!G81</f>
        <v>3704.52</v>
      </c>
      <c r="I13" s="53" t="s">
        <v>245</v>
      </c>
      <c r="J13" s="53">
        <f t="shared" ref="J13:O21" si="4">B13/B$8</f>
        <v>0.56266559177081876</v>
      </c>
      <c r="K13" s="53">
        <f t="shared" si="4"/>
        <v>0.57836492407383355</v>
      </c>
      <c r="L13" s="53">
        <f t="shared" si="4"/>
        <v>0.60428893520595639</v>
      </c>
      <c r="M13" s="53">
        <f t="shared" si="4"/>
        <v>0.58661306239775346</v>
      </c>
      <c r="N13" s="53">
        <f t="shared" si="4"/>
        <v>0.53423542313907701</v>
      </c>
      <c r="O13" s="53">
        <f t="shared" si="4"/>
        <v>0.53551324862309724</v>
      </c>
    </row>
    <row r="14" spans="1:15" x14ac:dyDescent="0.2">
      <c r="A14" s="53" t="s">
        <v>292</v>
      </c>
      <c r="B14" s="123">
        <f>Financials_Consol!B82</f>
        <v>111.75</v>
      </c>
      <c r="C14" s="123">
        <f>Financials_Consol!C82</f>
        <v>140.91</v>
      </c>
      <c r="D14" s="123">
        <f>Financials_Consol!D82</f>
        <v>103.97</v>
      </c>
      <c r="E14" s="123">
        <f>Financials_Consol!E82</f>
        <v>86.38</v>
      </c>
      <c r="F14" s="123">
        <f>Financials_Consol!F82</f>
        <v>89.62</v>
      </c>
      <c r="G14" s="123">
        <f>Financials_Consol!G82</f>
        <v>27.84</v>
      </c>
      <c r="I14" s="53" t="s">
        <v>292</v>
      </c>
      <c r="J14" s="53">
        <f t="shared" si="4"/>
        <v>9.6662777089148583E-3</v>
      </c>
      <c r="K14" s="53">
        <f t="shared" si="4"/>
        <v>1.3759573161264617E-2</v>
      </c>
      <c r="L14" s="53">
        <f t="shared" si="4"/>
        <v>1.1809337747968265E-2</v>
      </c>
      <c r="M14" s="53">
        <f t="shared" si="4"/>
        <v>1.1442347813992304E-2</v>
      </c>
      <c r="N14" s="53">
        <f t="shared" si="4"/>
        <v>1.3688670570732945E-2</v>
      </c>
      <c r="O14" s="53">
        <f t="shared" si="4"/>
        <v>4.024458996487271E-3</v>
      </c>
    </row>
    <row r="15" spans="1:15" ht="22.5" x14ac:dyDescent="0.2">
      <c r="A15" s="101" t="s">
        <v>293</v>
      </c>
      <c r="B15" s="123">
        <f>Financials_Consol!B83</f>
        <v>-13.51</v>
      </c>
      <c r="C15" s="123">
        <f>Financials_Consol!C83</f>
        <v>-13.29</v>
      </c>
      <c r="D15" s="123">
        <f>Financials_Consol!D83</f>
        <v>-94.64</v>
      </c>
      <c r="E15" s="123">
        <f>Financials_Consol!E83</f>
        <v>-94.66</v>
      </c>
      <c r="F15" s="123">
        <f>Financials_Consol!F83</f>
        <v>-16.71</v>
      </c>
      <c r="G15" s="123">
        <f>Financials_Consol!G83</f>
        <v>2.85</v>
      </c>
      <c r="I15" s="101" t="s">
        <v>246</v>
      </c>
      <c r="J15" s="53">
        <f t="shared" si="4"/>
        <v>-1.1686032380084093E-3</v>
      </c>
      <c r="K15" s="53">
        <f t="shared" si="4"/>
        <v>-1.2977413051820791E-3</v>
      </c>
      <c r="L15" s="53">
        <f t="shared" si="4"/>
        <v>-1.0749598196284665E-2</v>
      </c>
      <c r="M15" s="53">
        <f t="shared" si="4"/>
        <v>-1.253916003788506E-2</v>
      </c>
      <c r="N15" s="53">
        <f t="shared" si="4"/>
        <v>-2.5523062400909118E-3</v>
      </c>
      <c r="O15" s="53">
        <f t="shared" si="4"/>
        <v>4.1198664295936509E-4</v>
      </c>
    </row>
    <row r="16" spans="1:15" x14ac:dyDescent="0.2">
      <c r="A16" s="53" t="s">
        <v>294</v>
      </c>
      <c r="B16" s="123">
        <f>Financials_Consol!B84</f>
        <v>1007.35</v>
      </c>
      <c r="C16" s="123">
        <f>Financials_Consol!C84</f>
        <v>879.9</v>
      </c>
      <c r="D16" s="123">
        <f>Financials_Consol!D84</f>
        <v>763.61</v>
      </c>
      <c r="E16" s="123">
        <f>Financials_Consol!E84</f>
        <v>694.36</v>
      </c>
      <c r="F16" s="123">
        <f>Financials_Consol!F84</f>
        <v>676.06</v>
      </c>
      <c r="G16" s="123">
        <f>Financials_Consol!G84</f>
        <v>677.33</v>
      </c>
      <c r="I16" s="53" t="s">
        <v>247</v>
      </c>
      <c r="J16" s="53">
        <f t="shared" si="4"/>
        <v>8.7134897987251755E-2</v>
      </c>
      <c r="K16" s="53">
        <f t="shared" si="4"/>
        <v>8.5920434494334952E-2</v>
      </c>
      <c r="L16" s="53">
        <f t="shared" si="4"/>
        <v>8.6733946308801074E-2</v>
      </c>
      <c r="M16" s="53">
        <f t="shared" si="4"/>
        <v>9.1978567123450997E-2</v>
      </c>
      <c r="N16" s="53">
        <f t="shared" si="4"/>
        <v>0.10326224755690375</v>
      </c>
      <c r="O16" s="53">
        <f t="shared" si="4"/>
        <v>9.7912601009005881E-2</v>
      </c>
    </row>
    <row r="17" spans="1:15" x14ac:dyDescent="0.2">
      <c r="A17" s="53" t="s">
        <v>295</v>
      </c>
      <c r="B17" s="123">
        <f>Financials_Consol!B85</f>
        <v>46.81</v>
      </c>
      <c r="C17" s="123">
        <f>Financials_Consol!C85</f>
        <v>42.66</v>
      </c>
      <c r="D17" s="123">
        <f>Financials_Consol!D85</f>
        <v>20.58</v>
      </c>
      <c r="E17" s="123">
        <f>Financials_Consol!E85</f>
        <v>6.35</v>
      </c>
      <c r="F17" s="123">
        <f>Financials_Consol!F85</f>
        <v>13.76</v>
      </c>
      <c r="G17" s="123">
        <f>Financials_Consol!G85</f>
        <v>17.54</v>
      </c>
      <c r="I17" s="53" t="s">
        <v>248</v>
      </c>
      <c r="J17" s="53">
        <f t="shared" si="4"/>
        <v>4.0490242465709581E-3</v>
      </c>
      <c r="K17" s="53">
        <f t="shared" si="4"/>
        <v>4.1656617064761096E-3</v>
      </c>
      <c r="L17" s="53">
        <f t="shared" si="4"/>
        <v>2.3375605545175233E-3</v>
      </c>
      <c r="M17" s="53">
        <f t="shared" si="4"/>
        <v>8.4115430213997601E-4</v>
      </c>
      <c r="N17" s="53">
        <f t="shared" si="4"/>
        <v>2.1017195609605594E-3</v>
      </c>
      <c r="O17" s="53">
        <f t="shared" si="4"/>
        <v>2.535524813160443E-3</v>
      </c>
    </row>
    <row r="18" spans="1:15" x14ac:dyDescent="0.2">
      <c r="A18" s="53" t="s">
        <v>296</v>
      </c>
      <c r="B18" s="123">
        <f>Financials_Consol!B86</f>
        <v>538.71</v>
      </c>
      <c r="C18" s="123">
        <f>Financials_Consol!C86</f>
        <v>473.99</v>
      </c>
      <c r="D18" s="123">
        <f>Financials_Consol!D86</f>
        <v>421.58</v>
      </c>
      <c r="E18" s="123">
        <f>Financials_Consol!E86</f>
        <v>381.73</v>
      </c>
      <c r="F18" s="123">
        <f>Financials_Consol!F86</f>
        <v>399.14</v>
      </c>
      <c r="G18" s="123">
        <f>Financials_Consol!G86</f>
        <v>414.28</v>
      </c>
      <c r="I18" s="53" t="s">
        <v>249</v>
      </c>
      <c r="J18" s="53">
        <f t="shared" si="4"/>
        <v>4.6597945991673592E-2</v>
      </c>
      <c r="K18" s="53">
        <f t="shared" si="4"/>
        <v>4.6284153592419393E-2</v>
      </c>
      <c r="L18" s="53">
        <f t="shared" si="4"/>
        <v>4.7884780299975581E-2</v>
      </c>
      <c r="M18" s="53">
        <f t="shared" si="4"/>
        <v>5.0565957756833556E-2</v>
      </c>
      <c r="N18" s="53">
        <f t="shared" si="4"/>
        <v>6.0965141392572503E-2</v>
      </c>
      <c r="O18" s="53">
        <f t="shared" si="4"/>
        <v>5.9886956647440613E-2</v>
      </c>
    </row>
    <row r="19" spans="1:15" x14ac:dyDescent="0.2">
      <c r="A19" s="53" t="s">
        <v>182</v>
      </c>
      <c r="B19" s="123">
        <f>Financials_Consol!B87</f>
        <v>2399.27</v>
      </c>
      <c r="C19" s="123">
        <f>Financials_Consol!C87</f>
        <v>1982.42</v>
      </c>
      <c r="D19" s="123">
        <f>Financials_Consol!D87</f>
        <v>1674.65</v>
      </c>
      <c r="E19" s="123">
        <f>Financials_Consol!E87</f>
        <v>1470</v>
      </c>
      <c r="F19" s="123">
        <f>Financials_Consol!F87</f>
        <v>1260.19</v>
      </c>
      <c r="G19" s="123">
        <f>Financials_Consol!G87</f>
        <v>1382.66</v>
      </c>
      <c r="I19" s="53" t="s">
        <v>250</v>
      </c>
      <c r="J19" s="53">
        <f t="shared" si="4"/>
        <v>0.20753476616257854</v>
      </c>
      <c r="K19" s="53">
        <f t="shared" si="4"/>
        <v>0.19357925644989146</v>
      </c>
      <c r="L19" s="53">
        <f t="shared" si="4"/>
        <v>0.1902135948796293</v>
      </c>
      <c r="M19" s="53">
        <f t="shared" si="4"/>
        <v>0.19472390931429367</v>
      </c>
      <c r="N19" s="53">
        <f t="shared" si="4"/>
        <v>0.19248299226212845</v>
      </c>
      <c r="O19" s="53">
        <f t="shared" si="4"/>
        <v>0.19987279008919148</v>
      </c>
    </row>
    <row r="20" spans="1:15" x14ac:dyDescent="0.2">
      <c r="A20" s="53" t="s">
        <v>946</v>
      </c>
      <c r="B20" s="123">
        <f>Financials_Consol!B88</f>
        <v>0</v>
      </c>
      <c r="C20" s="123">
        <f>Financials_Consol!C88</f>
        <v>0</v>
      </c>
      <c r="D20" s="123">
        <f>Financials_Consol!D88</f>
        <v>0</v>
      </c>
      <c r="E20" s="123">
        <f>Financials_Consol!E88</f>
        <v>0</v>
      </c>
      <c r="F20" s="123">
        <f>Financials_Consol!F88</f>
        <v>0</v>
      </c>
      <c r="G20" s="123">
        <f>Financials_Consol!G88</f>
        <v>-8.26</v>
      </c>
      <c r="I20" s="53"/>
      <c r="J20" s="53"/>
      <c r="K20" s="53"/>
      <c r="L20" s="53"/>
      <c r="M20" s="53"/>
      <c r="N20" s="53"/>
      <c r="O20" s="53"/>
    </row>
    <row r="21" spans="1:15" x14ac:dyDescent="0.2">
      <c r="A21" s="124" t="s">
        <v>251</v>
      </c>
      <c r="B21" s="126">
        <f>SUM(B13:B20)</f>
        <v>10595.25</v>
      </c>
      <c r="C21" s="126">
        <f t="shared" ref="C21:G21" si="5">SUM(C13:C20)</f>
        <v>9429.5499999999993</v>
      </c>
      <c r="D21" s="126">
        <f t="shared" si="5"/>
        <v>8209.9399999999987</v>
      </c>
      <c r="E21" s="126">
        <f t="shared" si="5"/>
        <v>6972.59</v>
      </c>
      <c r="F21" s="126">
        <f t="shared" si="5"/>
        <v>5919.7100000000009</v>
      </c>
      <c r="G21" s="126">
        <f t="shared" si="5"/>
        <v>6218.7599999999993</v>
      </c>
      <c r="I21" s="124" t="s">
        <v>251</v>
      </c>
      <c r="J21" s="124">
        <f t="shared" si="4"/>
        <v>0.9164799006298</v>
      </c>
      <c r="K21" s="124">
        <f t="shared" si="4"/>
        <v>0.92077626217303787</v>
      </c>
      <c r="L21" s="124">
        <f t="shared" si="4"/>
        <v>0.93251855680056328</v>
      </c>
      <c r="M21" s="124">
        <f t="shared" si="4"/>
        <v>0.9236258386705789</v>
      </c>
      <c r="N21" s="124">
        <f t="shared" si="4"/>
        <v>0.90418388824228446</v>
      </c>
      <c r="O21" s="124">
        <f t="shared" si="4"/>
        <v>0.8989635283403441</v>
      </c>
    </row>
    <row r="22" spans="1:15" x14ac:dyDescent="0.2">
      <c r="A22" s="98"/>
      <c r="B22" s="98"/>
      <c r="C22" s="99"/>
      <c r="D22" s="99"/>
      <c r="E22" s="99"/>
      <c r="F22" s="99"/>
      <c r="G22" s="99"/>
      <c r="I22" s="98"/>
      <c r="J22" s="53"/>
      <c r="K22" s="53"/>
      <c r="L22" s="53"/>
      <c r="M22" s="53"/>
      <c r="N22" s="53"/>
      <c r="O22" s="53"/>
    </row>
    <row r="23" spans="1:15" x14ac:dyDescent="0.2">
      <c r="A23" s="124" t="s">
        <v>252</v>
      </c>
      <c r="B23" s="126">
        <f t="shared" ref="B23:G23" si="6">B8+B10-B21</f>
        <v>1082.5300000000007</v>
      </c>
      <c r="C23" s="126">
        <f t="shared" si="6"/>
        <v>896.94000000000233</v>
      </c>
      <c r="D23" s="126">
        <f t="shared" si="6"/>
        <v>639.54000000000087</v>
      </c>
      <c r="E23" s="126">
        <f t="shared" si="6"/>
        <v>617.59999999999945</v>
      </c>
      <c r="F23" s="126">
        <f t="shared" si="6"/>
        <v>658.01999999999862</v>
      </c>
      <c r="G23" s="126">
        <f t="shared" si="6"/>
        <v>746.54000000000178</v>
      </c>
      <c r="I23" s="124" t="s">
        <v>252</v>
      </c>
      <c r="J23" s="124">
        <f t="shared" ref="J23:O23" si="7">B23/B$8</f>
        <v>9.3637902534511042E-2</v>
      </c>
      <c r="K23" s="124">
        <f t="shared" si="7"/>
        <v>8.7584355626035892E-2</v>
      </c>
      <c r="L23" s="124">
        <f t="shared" si="7"/>
        <v>7.264156836910296E-2</v>
      </c>
      <c r="M23" s="124">
        <f t="shared" si="7"/>
        <v>8.1810534960889567E-2</v>
      </c>
      <c r="N23" s="124">
        <f t="shared" si="7"/>
        <v>0.10050679545808607</v>
      </c>
      <c r="O23" s="124">
        <f t="shared" si="7"/>
        <v>0.10791737138066144</v>
      </c>
    </row>
    <row r="24" spans="1:15" x14ac:dyDescent="0.2">
      <c r="A24" s="53"/>
      <c r="B24" s="53"/>
      <c r="C24" s="97"/>
      <c r="D24" s="97"/>
      <c r="E24" s="97"/>
      <c r="F24" s="97"/>
      <c r="G24" s="97"/>
      <c r="I24" s="53"/>
      <c r="J24" s="98"/>
      <c r="K24" s="98"/>
      <c r="L24" s="98"/>
      <c r="M24" s="98"/>
      <c r="N24" s="98"/>
      <c r="O24" s="98"/>
    </row>
    <row r="25" spans="1:15" x14ac:dyDescent="0.2">
      <c r="A25" s="124" t="s">
        <v>253</v>
      </c>
      <c r="B25" s="125">
        <f>SUM(Financials_Consol!B94:B97)</f>
        <v>258.36</v>
      </c>
      <c r="C25" s="125">
        <f>SUM(Financials_Consol!C94:C97)</f>
        <v>216.46</v>
      </c>
      <c r="D25" s="125">
        <f>SUM(Financials_Consol!D94:D97)</f>
        <v>149.66999999999999</v>
      </c>
      <c r="E25" s="125">
        <f>SUM(Financials_Consol!E94:E97)</f>
        <v>125.44000000000001</v>
      </c>
      <c r="F25" s="125">
        <f>SUM(Financials_Consol!F94:F97)</f>
        <v>127.23000000000002</v>
      </c>
      <c r="G25" s="125">
        <f>SUM(Financials_Consol!G94:G97)</f>
        <v>181.01</v>
      </c>
      <c r="I25" s="124" t="s">
        <v>253</v>
      </c>
      <c r="J25" s="124">
        <f t="shared" ref="J25:O26" si="8">B25/B$8</f>
        <v>2.2347915068234837E-2</v>
      </c>
      <c r="K25" s="124">
        <f t="shared" si="8"/>
        <v>2.1136876066193595E-2</v>
      </c>
      <c r="L25" s="124">
        <f t="shared" si="8"/>
        <v>1.7000130621702511E-2</v>
      </c>
      <c r="M25" s="124">
        <f t="shared" si="8"/>
        <v>1.6616440261486395E-2</v>
      </c>
      <c r="N25" s="124">
        <f t="shared" si="8"/>
        <v>1.9433268876527035E-2</v>
      </c>
      <c r="O25" s="124">
        <f t="shared" si="8"/>
        <v>2.6166211313008655E-2</v>
      </c>
    </row>
    <row r="26" spans="1:15" x14ac:dyDescent="0.2">
      <c r="A26" s="208" t="s">
        <v>303</v>
      </c>
      <c r="B26" s="209">
        <f>Financials_Consol!B92</f>
        <v>12.18</v>
      </c>
      <c r="C26" s="209">
        <f>Financials_Consol!C92</f>
        <v>0</v>
      </c>
      <c r="D26" s="209">
        <f>Financials_Consol!D92</f>
        <v>-10.29</v>
      </c>
      <c r="E26" s="209">
        <f>Financials_Consol!E92</f>
        <v>-31.45</v>
      </c>
      <c r="F26" s="209">
        <f>Financials_Consol!F92</f>
        <v>-11.23</v>
      </c>
      <c r="G26" s="209">
        <f>Financials_Consol!G92</f>
        <v>0</v>
      </c>
      <c r="I26" s="208" t="s">
        <v>303</v>
      </c>
      <c r="J26" s="124">
        <f t="shared" si="8"/>
        <v>1.0535593959246799E-3</v>
      </c>
      <c r="K26" s="124">
        <f t="shared" si="8"/>
        <v>0</v>
      </c>
      <c r="L26" s="124">
        <f t="shared" si="8"/>
        <v>-1.1687802772587616E-3</v>
      </c>
      <c r="M26" s="124">
        <f t="shared" si="8"/>
        <v>-4.1660319373704327E-3</v>
      </c>
      <c r="N26" s="124">
        <f t="shared" si="8"/>
        <v>-1.7152842056385961E-3</v>
      </c>
      <c r="O26" s="124">
        <f t="shared" si="8"/>
        <v>0</v>
      </c>
    </row>
    <row r="27" spans="1:15" x14ac:dyDescent="0.2">
      <c r="A27" s="53"/>
      <c r="B27" s="53"/>
      <c r="C27" s="97"/>
      <c r="D27" s="97"/>
      <c r="E27" s="97"/>
      <c r="F27" s="97"/>
      <c r="G27" s="97"/>
      <c r="I27" s="53"/>
      <c r="J27" s="98"/>
      <c r="K27" s="98"/>
      <c r="L27" s="98"/>
      <c r="M27" s="98"/>
      <c r="N27" s="98"/>
      <c r="O27" s="98"/>
    </row>
    <row r="28" spans="1:15" x14ac:dyDescent="0.2">
      <c r="A28" s="124" t="s">
        <v>254</v>
      </c>
      <c r="B28" s="126">
        <f>B23-B25+B26</f>
        <v>836.35000000000059</v>
      </c>
      <c r="C28" s="126">
        <f>C23-C25+C26</f>
        <v>680.48000000000229</v>
      </c>
      <c r="D28" s="126">
        <f t="shared" ref="D28:G28" si="9">D23-D25+D26</f>
        <v>479.58000000000089</v>
      </c>
      <c r="E28" s="126">
        <f t="shared" si="9"/>
        <v>460.70999999999947</v>
      </c>
      <c r="F28" s="126">
        <f t="shared" si="9"/>
        <v>519.55999999999858</v>
      </c>
      <c r="G28" s="126">
        <f t="shared" si="9"/>
        <v>565.53000000000179</v>
      </c>
      <c r="I28" s="124" t="s">
        <v>254</v>
      </c>
      <c r="J28" s="124">
        <f>B28/B$8</f>
        <v>7.2343546862200875E-2</v>
      </c>
      <c r="K28" s="124">
        <f>C28/C$8</f>
        <v>6.6447479559842301E-2</v>
      </c>
      <c r="L28" s="124">
        <f t="shared" ref="L28:O28" si="10">D28/D$8</f>
        <v>5.447265747014169E-2</v>
      </c>
      <c r="M28" s="124">
        <f t="shared" si="10"/>
        <v>6.1028062762032743E-2</v>
      </c>
      <c r="N28" s="124">
        <f t="shared" si="10"/>
        <v>7.9358242375920443E-2</v>
      </c>
      <c r="O28" s="124">
        <f t="shared" si="10"/>
        <v>8.1751160067652789E-2</v>
      </c>
    </row>
    <row r="29" spans="1:15" x14ac:dyDescent="0.2">
      <c r="A29" s="127"/>
      <c r="B29" s="127"/>
    </row>
    <row r="30" spans="1:15" x14ac:dyDescent="0.2">
      <c r="B30" s="128">
        <f>Financials_Consol!B101</f>
        <v>836.3500000000007</v>
      </c>
      <c r="C30" s="128">
        <f>Financials_Consol!C101</f>
        <v>680.48000000000229</v>
      </c>
      <c r="D30" s="128">
        <f>Financials_Consol!D101</f>
        <v>479.58000000000095</v>
      </c>
      <c r="E30" s="128">
        <f>Financials_Consol!E101</f>
        <v>460.70999999999941</v>
      </c>
      <c r="F30" s="128">
        <f>Financials_Consol!F101</f>
        <v>519.55999999999858</v>
      </c>
      <c r="G30" s="128">
        <f>Financials_Consol!G101</f>
        <v>565.53000000000179</v>
      </c>
    </row>
    <row r="31" spans="1:15" x14ac:dyDescent="0.2">
      <c r="B31" s="119">
        <f>B28-B30</f>
        <v>0</v>
      </c>
      <c r="C31" s="119">
        <f>C28-C30</f>
        <v>0</v>
      </c>
      <c r="D31" s="119">
        <f t="shared" ref="D31:G31" si="11">D28-D30</f>
        <v>0</v>
      </c>
      <c r="E31" s="119">
        <f t="shared" si="11"/>
        <v>0</v>
      </c>
      <c r="F31" s="119">
        <f t="shared" si="11"/>
        <v>0</v>
      </c>
      <c r="G31" s="119">
        <f t="shared" si="11"/>
        <v>0</v>
      </c>
    </row>
  </sheetData>
  <mergeCells count="4">
    <mergeCell ref="A1:G1"/>
    <mergeCell ref="I1:O1"/>
    <mergeCell ref="A2:G2"/>
    <mergeCell ref="I2:O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4"/>
  <sheetViews>
    <sheetView workbookViewId="0">
      <pane xSplit="1" ySplit="3" topLeftCell="B4" activePane="bottomRight" state="frozen"/>
      <selection pane="topRight" activeCell="B1" sqref="B1"/>
      <selection pane="bottomLeft" activeCell="A4" sqref="A4"/>
      <selection pane="bottomRight" activeCell="B17" sqref="B17"/>
    </sheetView>
  </sheetViews>
  <sheetFormatPr defaultRowHeight="11.25" x14ac:dyDescent="0.2"/>
  <cols>
    <col min="1" max="1" width="35" style="85" customWidth="1"/>
    <col min="2" max="3" width="9" style="85" bestFit="1" customWidth="1"/>
    <col min="4" max="5" width="12.28515625" style="85" customWidth="1"/>
    <col min="6" max="6" width="12.28515625" style="85" bestFit="1" customWidth="1"/>
    <col min="7" max="7" width="12.28515625" style="85" customWidth="1"/>
    <col min="8" max="8" width="2.7109375" style="85" customWidth="1"/>
    <col min="9" max="9" width="35" style="85" customWidth="1"/>
    <col min="10" max="10" width="6.85546875" style="85" bestFit="1" customWidth="1"/>
    <col min="11" max="11" width="12.28515625" style="85" bestFit="1" customWidth="1"/>
    <col min="12" max="13" width="12.28515625" style="85" customWidth="1"/>
    <col min="14" max="14" width="12.28515625" style="85" bestFit="1" customWidth="1"/>
    <col min="15" max="15" width="12.28515625" style="85" customWidth="1"/>
    <col min="16" max="264" width="9.140625" style="85"/>
    <col min="265" max="265" width="34.7109375" style="85" bestFit="1" customWidth="1"/>
    <col min="266" max="267" width="10.7109375" style="85" bestFit="1" customWidth="1"/>
    <col min="268" max="268" width="9.140625" style="85"/>
    <col min="269" max="269" width="34.7109375" style="85" bestFit="1" customWidth="1"/>
    <col min="270" max="271" width="9.42578125" style="85" bestFit="1" customWidth="1"/>
    <col min="272" max="520" width="9.140625" style="85"/>
    <col min="521" max="521" width="34.7109375" style="85" bestFit="1" customWidth="1"/>
    <col min="522" max="523" width="10.7109375" style="85" bestFit="1" customWidth="1"/>
    <col min="524" max="524" width="9.140625" style="85"/>
    <col min="525" max="525" width="34.7109375" style="85" bestFit="1" customWidth="1"/>
    <col min="526" max="527" width="9.42578125" style="85" bestFit="1" customWidth="1"/>
    <col min="528" max="776" width="9.140625" style="85"/>
    <col min="777" max="777" width="34.7109375" style="85" bestFit="1" customWidth="1"/>
    <col min="778" max="779" width="10.7109375" style="85" bestFit="1" customWidth="1"/>
    <col min="780" max="780" width="9.140625" style="85"/>
    <col min="781" max="781" width="34.7109375" style="85" bestFit="1" customWidth="1"/>
    <col min="782" max="783" width="9.42578125" style="85" bestFit="1" customWidth="1"/>
    <col min="784" max="1032" width="9.140625" style="85"/>
    <col min="1033" max="1033" width="34.7109375" style="85" bestFit="1" customWidth="1"/>
    <col min="1034" max="1035" width="10.7109375" style="85" bestFit="1" customWidth="1"/>
    <col min="1036" max="1036" width="9.140625" style="85"/>
    <col min="1037" max="1037" width="34.7109375" style="85" bestFit="1" customWidth="1"/>
    <col min="1038" max="1039" width="9.42578125" style="85" bestFit="1" customWidth="1"/>
    <col min="1040" max="1288" width="9.140625" style="85"/>
    <col min="1289" max="1289" width="34.7109375" style="85" bestFit="1" customWidth="1"/>
    <col min="1290" max="1291" width="10.7109375" style="85" bestFit="1" customWidth="1"/>
    <col min="1292" max="1292" width="9.140625" style="85"/>
    <col min="1293" max="1293" width="34.7109375" style="85" bestFit="1" customWidth="1"/>
    <col min="1294" max="1295" width="9.42578125" style="85" bestFit="1" customWidth="1"/>
    <col min="1296" max="1544" width="9.140625" style="85"/>
    <col min="1545" max="1545" width="34.7109375" style="85" bestFit="1" customWidth="1"/>
    <col min="1546" max="1547" width="10.7109375" style="85" bestFit="1" customWidth="1"/>
    <col min="1548" max="1548" width="9.140625" style="85"/>
    <col min="1549" max="1549" width="34.7109375" style="85" bestFit="1" customWidth="1"/>
    <col min="1550" max="1551" width="9.42578125" style="85" bestFit="1" customWidth="1"/>
    <col min="1552" max="1800" width="9.140625" style="85"/>
    <col min="1801" max="1801" width="34.7109375" style="85" bestFit="1" customWidth="1"/>
    <col min="1802" max="1803" width="10.7109375" style="85" bestFit="1" customWidth="1"/>
    <col min="1804" max="1804" width="9.140625" style="85"/>
    <col min="1805" max="1805" width="34.7109375" style="85" bestFit="1" customWidth="1"/>
    <col min="1806" max="1807" width="9.42578125" style="85" bestFit="1" customWidth="1"/>
    <col min="1808" max="2056" width="9.140625" style="85"/>
    <col min="2057" max="2057" width="34.7109375" style="85" bestFit="1" customWidth="1"/>
    <col min="2058" max="2059" width="10.7109375" style="85" bestFit="1" customWidth="1"/>
    <col min="2060" max="2060" width="9.140625" style="85"/>
    <col min="2061" max="2061" width="34.7109375" style="85" bestFit="1" customWidth="1"/>
    <col min="2062" max="2063" width="9.42578125" style="85" bestFit="1" customWidth="1"/>
    <col min="2064" max="2312" width="9.140625" style="85"/>
    <col min="2313" max="2313" width="34.7109375" style="85" bestFit="1" customWidth="1"/>
    <col min="2314" max="2315" width="10.7109375" style="85" bestFit="1" customWidth="1"/>
    <col min="2316" max="2316" width="9.140625" style="85"/>
    <col min="2317" max="2317" width="34.7109375" style="85" bestFit="1" customWidth="1"/>
    <col min="2318" max="2319" width="9.42578125" style="85" bestFit="1" customWidth="1"/>
    <col min="2320" max="2568" width="9.140625" style="85"/>
    <col min="2569" max="2569" width="34.7109375" style="85" bestFit="1" customWidth="1"/>
    <col min="2570" max="2571" width="10.7109375" style="85" bestFit="1" customWidth="1"/>
    <col min="2572" max="2572" width="9.140625" style="85"/>
    <col min="2573" max="2573" width="34.7109375" style="85" bestFit="1" customWidth="1"/>
    <col min="2574" max="2575" width="9.42578125" style="85" bestFit="1" customWidth="1"/>
    <col min="2576" max="2824" width="9.140625" style="85"/>
    <col min="2825" max="2825" width="34.7109375" style="85" bestFit="1" customWidth="1"/>
    <col min="2826" max="2827" width="10.7109375" style="85" bestFit="1" customWidth="1"/>
    <col min="2828" max="2828" width="9.140625" style="85"/>
    <col min="2829" max="2829" width="34.7109375" style="85" bestFit="1" customWidth="1"/>
    <col min="2830" max="2831" width="9.42578125" style="85" bestFit="1" customWidth="1"/>
    <col min="2832" max="3080" width="9.140625" style="85"/>
    <col min="3081" max="3081" width="34.7109375" style="85" bestFit="1" customWidth="1"/>
    <col min="3082" max="3083" width="10.7109375" style="85" bestFit="1" customWidth="1"/>
    <col min="3084" max="3084" width="9.140625" style="85"/>
    <col min="3085" max="3085" width="34.7109375" style="85" bestFit="1" customWidth="1"/>
    <col min="3086" max="3087" width="9.42578125" style="85" bestFit="1" customWidth="1"/>
    <col min="3088" max="3336" width="9.140625" style="85"/>
    <col min="3337" max="3337" width="34.7109375" style="85" bestFit="1" customWidth="1"/>
    <col min="3338" max="3339" width="10.7109375" style="85" bestFit="1" customWidth="1"/>
    <col min="3340" max="3340" width="9.140625" style="85"/>
    <col min="3341" max="3341" width="34.7109375" style="85" bestFit="1" customWidth="1"/>
    <col min="3342" max="3343" width="9.42578125" style="85" bestFit="1" customWidth="1"/>
    <col min="3344" max="3592" width="9.140625" style="85"/>
    <col min="3593" max="3593" width="34.7109375" style="85" bestFit="1" customWidth="1"/>
    <col min="3594" max="3595" width="10.7109375" style="85" bestFit="1" customWidth="1"/>
    <col min="3596" max="3596" width="9.140625" style="85"/>
    <col min="3597" max="3597" width="34.7109375" style="85" bestFit="1" customWidth="1"/>
    <col min="3598" max="3599" width="9.42578125" style="85" bestFit="1" customWidth="1"/>
    <col min="3600" max="3848" width="9.140625" style="85"/>
    <col min="3849" max="3849" width="34.7109375" style="85" bestFit="1" customWidth="1"/>
    <col min="3850" max="3851" width="10.7109375" style="85" bestFit="1" customWidth="1"/>
    <col min="3852" max="3852" width="9.140625" style="85"/>
    <col min="3853" max="3853" width="34.7109375" style="85" bestFit="1" customWidth="1"/>
    <col min="3854" max="3855" width="9.42578125" style="85" bestFit="1" customWidth="1"/>
    <col min="3856" max="4104" width="9.140625" style="85"/>
    <col min="4105" max="4105" width="34.7109375" style="85" bestFit="1" customWidth="1"/>
    <col min="4106" max="4107" width="10.7109375" style="85" bestFit="1" customWidth="1"/>
    <col min="4108" max="4108" width="9.140625" style="85"/>
    <col min="4109" max="4109" width="34.7109375" style="85" bestFit="1" customWidth="1"/>
    <col min="4110" max="4111" width="9.42578125" style="85" bestFit="1" customWidth="1"/>
    <col min="4112" max="4360" width="9.140625" style="85"/>
    <col min="4361" max="4361" width="34.7109375" style="85" bestFit="1" customWidth="1"/>
    <col min="4362" max="4363" width="10.7109375" style="85" bestFit="1" customWidth="1"/>
    <col min="4364" max="4364" width="9.140625" style="85"/>
    <col min="4365" max="4365" width="34.7109375" style="85" bestFit="1" customWidth="1"/>
    <col min="4366" max="4367" width="9.42578125" style="85" bestFit="1" customWidth="1"/>
    <col min="4368" max="4616" width="9.140625" style="85"/>
    <col min="4617" max="4617" width="34.7109375" style="85" bestFit="1" customWidth="1"/>
    <col min="4618" max="4619" width="10.7109375" style="85" bestFit="1" customWidth="1"/>
    <col min="4620" max="4620" width="9.140625" style="85"/>
    <col min="4621" max="4621" width="34.7109375" style="85" bestFit="1" customWidth="1"/>
    <col min="4622" max="4623" width="9.42578125" style="85" bestFit="1" customWidth="1"/>
    <col min="4624" max="4872" width="9.140625" style="85"/>
    <col min="4873" max="4873" width="34.7109375" style="85" bestFit="1" customWidth="1"/>
    <col min="4874" max="4875" width="10.7109375" style="85" bestFit="1" customWidth="1"/>
    <col min="4876" max="4876" width="9.140625" style="85"/>
    <col min="4877" max="4877" width="34.7109375" style="85" bestFit="1" customWidth="1"/>
    <col min="4878" max="4879" width="9.42578125" style="85" bestFit="1" customWidth="1"/>
    <col min="4880" max="5128" width="9.140625" style="85"/>
    <col min="5129" max="5129" width="34.7109375" style="85" bestFit="1" customWidth="1"/>
    <col min="5130" max="5131" width="10.7109375" style="85" bestFit="1" customWidth="1"/>
    <col min="5132" max="5132" width="9.140625" style="85"/>
    <col min="5133" max="5133" width="34.7109375" style="85" bestFit="1" customWidth="1"/>
    <col min="5134" max="5135" width="9.42578125" style="85" bestFit="1" customWidth="1"/>
    <col min="5136" max="5384" width="9.140625" style="85"/>
    <col min="5385" max="5385" width="34.7109375" style="85" bestFit="1" customWidth="1"/>
    <col min="5386" max="5387" width="10.7109375" style="85" bestFit="1" customWidth="1"/>
    <col min="5388" max="5388" width="9.140625" style="85"/>
    <col min="5389" max="5389" width="34.7109375" style="85" bestFit="1" customWidth="1"/>
    <col min="5390" max="5391" width="9.42578125" style="85" bestFit="1" customWidth="1"/>
    <col min="5392" max="5640" width="9.140625" style="85"/>
    <col min="5641" max="5641" width="34.7109375" style="85" bestFit="1" customWidth="1"/>
    <col min="5642" max="5643" width="10.7109375" style="85" bestFit="1" customWidth="1"/>
    <col min="5644" max="5644" width="9.140625" style="85"/>
    <col min="5645" max="5645" width="34.7109375" style="85" bestFit="1" customWidth="1"/>
    <col min="5646" max="5647" width="9.42578125" style="85" bestFit="1" customWidth="1"/>
    <col min="5648" max="5896" width="9.140625" style="85"/>
    <col min="5897" max="5897" width="34.7109375" style="85" bestFit="1" customWidth="1"/>
    <col min="5898" max="5899" width="10.7109375" style="85" bestFit="1" customWidth="1"/>
    <col min="5900" max="5900" width="9.140625" style="85"/>
    <col min="5901" max="5901" width="34.7109375" style="85" bestFit="1" customWidth="1"/>
    <col min="5902" max="5903" width="9.42578125" style="85" bestFit="1" customWidth="1"/>
    <col min="5904" max="6152" width="9.140625" style="85"/>
    <col min="6153" max="6153" width="34.7109375" style="85" bestFit="1" customWidth="1"/>
    <col min="6154" max="6155" width="10.7109375" style="85" bestFit="1" customWidth="1"/>
    <col min="6156" max="6156" width="9.140625" style="85"/>
    <col min="6157" max="6157" width="34.7109375" style="85" bestFit="1" customWidth="1"/>
    <col min="6158" max="6159" width="9.42578125" style="85" bestFit="1" customWidth="1"/>
    <col min="6160" max="6408" width="9.140625" style="85"/>
    <col min="6409" max="6409" width="34.7109375" style="85" bestFit="1" customWidth="1"/>
    <col min="6410" max="6411" width="10.7109375" style="85" bestFit="1" customWidth="1"/>
    <col min="6412" max="6412" width="9.140625" style="85"/>
    <col min="6413" max="6413" width="34.7109375" style="85" bestFit="1" customWidth="1"/>
    <col min="6414" max="6415" width="9.42578125" style="85" bestFit="1" customWidth="1"/>
    <col min="6416" max="6664" width="9.140625" style="85"/>
    <col min="6665" max="6665" width="34.7109375" style="85" bestFit="1" customWidth="1"/>
    <col min="6666" max="6667" width="10.7109375" style="85" bestFit="1" customWidth="1"/>
    <col min="6668" max="6668" width="9.140625" style="85"/>
    <col min="6669" max="6669" width="34.7109375" style="85" bestFit="1" customWidth="1"/>
    <col min="6670" max="6671" width="9.42578125" style="85" bestFit="1" customWidth="1"/>
    <col min="6672" max="6920" width="9.140625" style="85"/>
    <col min="6921" max="6921" width="34.7109375" style="85" bestFit="1" customWidth="1"/>
    <col min="6922" max="6923" width="10.7109375" style="85" bestFit="1" customWidth="1"/>
    <col min="6924" max="6924" width="9.140625" style="85"/>
    <col min="6925" max="6925" width="34.7109375" style="85" bestFit="1" customWidth="1"/>
    <col min="6926" max="6927" width="9.42578125" style="85" bestFit="1" customWidth="1"/>
    <col min="6928" max="7176" width="9.140625" style="85"/>
    <col min="7177" max="7177" width="34.7109375" style="85" bestFit="1" customWidth="1"/>
    <col min="7178" max="7179" width="10.7109375" style="85" bestFit="1" customWidth="1"/>
    <col min="7180" max="7180" width="9.140625" style="85"/>
    <col min="7181" max="7181" width="34.7109375" style="85" bestFit="1" customWidth="1"/>
    <col min="7182" max="7183" width="9.42578125" style="85" bestFit="1" customWidth="1"/>
    <col min="7184" max="7432" width="9.140625" style="85"/>
    <col min="7433" max="7433" width="34.7109375" style="85" bestFit="1" customWidth="1"/>
    <col min="7434" max="7435" width="10.7109375" style="85" bestFit="1" customWidth="1"/>
    <col min="7436" max="7436" width="9.140625" style="85"/>
    <col min="7437" max="7437" width="34.7109375" style="85" bestFit="1" customWidth="1"/>
    <col min="7438" max="7439" width="9.42578125" style="85" bestFit="1" customWidth="1"/>
    <col min="7440" max="7688" width="9.140625" style="85"/>
    <col min="7689" max="7689" width="34.7109375" style="85" bestFit="1" customWidth="1"/>
    <col min="7690" max="7691" width="10.7109375" style="85" bestFit="1" customWidth="1"/>
    <col min="7692" max="7692" width="9.140625" style="85"/>
    <col min="7693" max="7693" width="34.7109375" style="85" bestFit="1" customWidth="1"/>
    <col min="7694" max="7695" width="9.42578125" style="85" bestFit="1" customWidth="1"/>
    <col min="7696" max="7944" width="9.140625" style="85"/>
    <col min="7945" max="7945" width="34.7109375" style="85" bestFit="1" customWidth="1"/>
    <col min="7946" max="7947" width="10.7109375" style="85" bestFit="1" customWidth="1"/>
    <col min="7948" max="7948" width="9.140625" style="85"/>
    <col min="7949" max="7949" width="34.7109375" style="85" bestFit="1" customWidth="1"/>
    <col min="7950" max="7951" width="9.42578125" style="85" bestFit="1" customWidth="1"/>
    <col min="7952" max="8200" width="9.140625" style="85"/>
    <col min="8201" max="8201" width="34.7109375" style="85" bestFit="1" customWidth="1"/>
    <col min="8202" max="8203" width="10.7109375" style="85" bestFit="1" customWidth="1"/>
    <col min="8204" max="8204" width="9.140625" style="85"/>
    <col min="8205" max="8205" width="34.7109375" style="85" bestFit="1" customWidth="1"/>
    <col min="8206" max="8207" width="9.42578125" style="85" bestFit="1" customWidth="1"/>
    <col min="8208" max="8456" width="9.140625" style="85"/>
    <col min="8457" max="8457" width="34.7109375" style="85" bestFit="1" customWidth="1"/>
    <col min="8458" max="8459" width="10.7109375" style="85" bestFit="1" customWidth="1"/>
    <col min="8460" max="8460" width="9.140625" style="85"/>
    <col min="8461" max="8461" width="34.7109375" style="85" bestFit="1" customWidth="1"/>
    <col min="8462" max="8463" width="9.42578125" style="85" bestFit="1" customWidth="1"/>
    <col min="8464" max="8712" width="9.140625" style="85"/>
    <col min="8713" max="8713" width="34.7109375" style="85" bestFit="1" customWidth="1"/>
    <col min="8714" max="8715" width="10.7109375" style="85" bestFit="1" customWidth="1"/>
    <col min="8716" max="8716" width="9.140625" style="85"/>
    <col min="8717" max="8717" width="34.7109375" style="85" bestFit="1" customWidth="1"/>
    <col min="8718" max="8719" width="9.42578125" style="85" bestFit="1" customWidth="1"/>
    <col min="8720" max="8968" width="9.140625" style="85"/>
    <col min="8969" max="8969" width="34.7109375" style="85" bestFit="1" customWidth="1"/>
    <col min="8970" max="8971" width="10.7109375" style="85" bestFit="1" customWidth="1"/>
    <col min="8972" max="8972" width="9.140625" style="85"/>
    <col min="8973" max="8973" width="34.7109375" style="85" bestFit="1" customWidth="1"/>
    <col min="8974" max="8975" width="9.42578125" style="85" bestFit="1" customWidth="1"/>
    <col min="8976" max="9224" width="9.140625" style="85"/>
    <col min="9225" max="9225" width="34.7109375" style="85" bestFit="1" customWidth="1"/>
    <col min="9226" max="9227" width="10.7109375" style="85" bestFit="1" customWidth="1"/>
    <col min="9228" max="9228" width="9.140625" style="85"/>
    <col min="9229" max="9229" width="34.7109375" style="85" bestFit="1" customWidth="1"/>
    <col min="9230" max="9231" width="9.42578125" style="85" bestFit="1" customWidth="1"/>
    <col min="9232" max="9480" width="9.140625" style="85"/>
    <col min="9481" max="9481" width="34.7109375" style="85" bestFit="1" customWidth="1"/>
    <col min="9482" max="9483" width="10.7109375" style="85" bestFit="1" customWidth="1"/>
    <col min="9484" max="9484" width="9.140625" style="85"/>
    <col min="9485" max="9485" width="34.7109375" style="85" bestFit="1" customWidth="1"/>
    <col min="9486" max="9487" width="9.42578125" style="85" bestFit="1" customWidth="1"/>
    <col min="9488" max="9736" width="9.140625" style="85"/>
    <col min="9737" max="9737" width="34.7109375" style="85" bestFit="1" customWidth="1"/>
    <col min="9738" max="9739" width="10.7109375" style="85" bestFit="1" customWidth="1"/>
    <col min="9740" max="9740" width="9.140625" style="85"/>
    <col min="9741" max="9741" width="34.7109375" style="85" bestFit="1" customWidth="1"/>
    <col min="9742" max="9743" width="9.42578125" style="85" bestFit="1" customWidth="1"/>
    <col min="9744" max="9992" width="9.140625" style="85"/>
    <col min="9993" max="9993" width="34.7109375" style="85" bestFit="1" customWidth="1"/>
    <col min="9994" max="9995" width="10.7109375" style="85" bestFit="1" customWidth="1"/>
    <col min="9996" max="9996" width="9.140625" style="85"/>
    <col min="9997" max="9997" width="34.7109375" style="85" bestFit="1" customWidth="1"/>
    <col min="9998" max="9999" width="9.42578125" style="85" bestFit="1" customWidth="1"/>
    <col min="10000" max="10248" width="9.140625" style="85"/>
    <col min="10249" max="10249" width="34.7109375" style="85" bestFit="1" customWidth="1"/>
    <col min="10250" max="10251" width="10.7109375" style="85" bestFit="1" customWidth="1"/>
    <col min="10252" max="10252" width="9.140625" style="85"/>
    <col min="10253" max="10253" width="34.7109375" style="85" bestFit="1" customWidth="1"/>
    <col min="10254" max="10255" width="9.42578125" style="85" bestFit="1" customWidth="1"/>
    <col min="10256" max="10504" width="9.140625" style="85"/>
    <col min="10505" max="10505" width="34.7109375" style="85" bestFit="1" customWidth="1"/>
    <col min="10506" max="10507" width="10.7109375" style="85" bestFit="1" customWidth="1"/>
    <col min="10508" max="10508" width="9.140625" style="85"/>
    <col min="10509" max="10509" width="34.7109375" style="85" bestFit="1" customWidth="1"/>
    <col min="10510" max="10511" width="9.42578125" style="85" bestFit="1" customWidth="1"/>
    <col min="10512" max="10760" width="9.140625" style="85"/>
    <col min="10761" max="10761" width="34.7109375" style="85" bestFit="1" customWidth="1"/>
    <col min="10762" max="10763" width="10.7109375" style="85" bestFit="1" customWidth="1"/>
    <col min="10764" max="10764" width="9.140625" style="85"/>
    <col min="10765" max="10765" width="34.7109375" style="85" bestFit="1" customWidth="1"/>
    <col min="10766" max="10767" width="9.42578125" style="85" bestFit="1" customWidth="1"/>
    <col min="10768" max="11016" width="9.140625" style="85"/>
    <col min="11017" max="11017" width="34.7109375" style="85" bestFit="1" customWidth="1"/>
    <col min="11018" max="11019" width="10.7109375" style="85" bestFit="1" customWidth="1"/>
    <col min="11020" max="11020" width="9.140625" style="85"/>
    <col min="11021" max="11021" width="34.7109375" style="85" bestFit="1" customWidth="1"/>
    <col min="11022" max="11023" width="9.42578125" style="85" bestFit="1" customWidth="1"/>
    <col min="11024" max="11272" width="9.140625" style="85"/>
    <col min="11273" max="11273" width="34.7109375" style="85" bestFit="1" customWidth="1"/>
    <col min="11274" max="11275" width="10.7109375" style="85" bestFit="1" customWidth="1"/>
    <col min="11276" max="11276" width="9.140625" style="85"/>
    <col min="11277" max="11277" width="34.7109375" style="85" bestFit="1" customWidth="1"/>
    <col min="11278" max="11279" width="9.42578125" style="85" bestFit="1" customWidth="1"/>
    <col min="11280" max="11528" width="9.140625" style="85"/>
    <col min="11529" max="11529" width="34.7109375" style="85" bestFit="1" customWidth="1"/>
    <col min="11530" max="11531" width="10.7109375" style="85" bestFit="1" customWidth="1"/>
    <col min="11532" max="11532" width="9.140625" style="85"/>
    <col min="11533" max="11533" width="34.7109375" style="85" bestFit="1" customWidth="1"/>
    <col min="11534" max="11535" width="9.42578125" style="85" bestFit="1" customWidth="1"/>
    <col min="11536" max="11784" width="9.140625" style="85"/>
    <col min="11785" max="11785" width="34.7109375" style="85" bestFit="1" customWidth="1"/>
    <col min="11786" max="11787" width="10.7109375" style="85" bestFit="1" customWidth="1"/>
    <col min="11788" max="11788" width="9.140625" style="85"/>
    <col min="11789" max="11789" width="34.7109375" style="85" bestFit="1" customWidth="1"/>
    <col min="11790" max="11791" width="9.42578125" style="85" bestFit="1" customWidth="1"/>
    <col min="11792" max="12040" width="9.140625" style="85"/>
    <col min="12041" max="12041" width="34.7109375" style="85" bestFit="1" customWidth="1"/>
    <col min="12042" max="12043" width="10.7109375" style="85" bestFit="1" customWidth="1"/>
    <col min="12044" max="12044" width="9.140625" style="85"/>
    <col min="12045" max="12045" width="34.7109375" style="85" bestFit="1" customWidth="1"/>
    <col min="12046" max="12047" width="9.42578125" style="85" bestFit="1" customWidth="1"/>
    <col min="12048" max="12296" width="9.140625" style="85"/>
    <col min="12297" max="12297" width="34.7109375" style="85" bestFit="1" customWidth="1"/>
    <col min="12298" max="12299" width="10.7109375" style="85" bestFit="1" customWidth="1"/>
    <col min="12300" max="12300" width="9.140625" style="85"/>
    <col min="12301" max="12301" width="34.7109375" style="85" bestFit="1" customWidth="1"/>
    <col min="12302" max="12303" width="9.42578125" style="85" bestFit="1" customWidth="1"/>
    <col min="12304" max="12552" width="9.140625" style="85"/>
    <col min="12553" max="12553" width="34.7109375" style="85" bestFit="1" customWidth="1"/>
    <col min="12554" max="12555" width="10.7109375" style="85" bestFit="1" customWidth="1"/>
    <col min="12556" max="12556" width="9.140625" style="85"/>
    <col min="12557" max="12557" width="34.7109375" style="85" bestFit="1" customWidth="1"/>
    <col min="12558" max="12559" width="9.42578125" style="85" bestFit="1" customWidth="1"/>
    <col min="12560" max="12808" width="9.140625" style="85"/>
    <col min="12809" max="12809" width="34.7109375" style="85" bestFit="1" customWidth="1"/>
    <col min="12810" max="12811" width="10.7109375" style="85" bestFit="1" customWidth="1"/>
    <col min="12812" max="12812" width="9.140625" style="85"/>
    <col min="12813" max="12813" width="34.7109375" style="85" bestFit="1" customWidth="1"/>
    <col min="12814" max="12815" width="9.42578125" style="85" bestFit="1" customWidth="1"/>
    <col min="12816" max="13064" width="9.140625" style="85"/>
    <col min="13065" max="13065" width="34.7109375" style="85" bestFit="1" customWidth="1"/>
    <col min="13066" max="13067" width="10.7109375" style="85" bestFit="1" customWidth="1"/>
    <col min="13068" max="13068" width="9.140625" style="85"/>
    <col min="13069" max="13069" width="34.7109375" style="85" bestFit="1" customWidth="1"/>
    <col min="13070" max="13071" width="9.42578125" style="85" bestFit="1" customWidth="1"/>
    <col min="13072" max="13320" width="9.140625" style="85"/>
    <col min="13321" max="13321" width="34.7109375" style="85" bestFit="1" customWidth="1"/>
    <col min="13322" max="13323" width="10.7109375" style="85" bestFit="1" customWidth="1"/>
    <col min="13324" max="13324" width="9.140625" style="85"/>
    <col min="13325" max="13325" width="34.7109375" style="85" bestFit="1" customWidth="1"/>
    <col min="13326" max="13327" width="9.42578125" style="85" bestFit="1" customWidth="1"/>
    <col min="13328" max="13576" width="9.140625" style="85"/>
    <col min="13577" max="13577" width="34.7109375" style="85" bestFit="1" customWidth="1"/>
    <col min="13578" max="13579" width="10.7109375" style="85" bestFit="1" customWidth="1"/>
    <col min="13580" max="13580" width="9.140625" style="85"/>
    <col min="13581" max="13581" width="34.7109375" style="85" bestFit="1" customWidth="1"/>
    <col min="13582" max="13583" width="9.42578125" style="85" bestFit="1" customWidth="1"/>
    <col min="13584" max="13832" width="9.140625" style="85"/>
    <col min="13833" max="13833" width="34.7109375" style="85" bestFit="1" customWidth="1"/>
    <col min="13834" max="13835" width="10.7109375" style="85" bestFit="1" customWidth="1"/>
    <col min="13836" max="13836" width="9.140625" style="85"/>
    <col min="13837" max="13837" width="34.7109375" style="85" bestFit="1" customWidth="1"/>
    <col min="13838" max="13839" width="9.42578125" style="85" bestFit="1" customWidth="1"/>
    <col min="13840" max="14088" width="9.140625" style="85"/>
    <col min="14089" max="14089" width="34.7109375" style="85" bestFit="1" customWidth="1"/>
    <col min="14090" max="14091" width="10.7109375" style="85" bestFit="1" customWidth="1"/>
    <col min="14092" max="14092" width="9.140625" style="85"/>
    <col min="14093" max="14093" width="34.7109375" style="85" bestFit="1" customWidth="1"/>
    <col min="14094" max="14095" width="9.42578125" style="85" bestFit="1" customWidth="1"/>
    <col min="14096" max="14344" width="9.140625" style="85"/>
    <col min="14345" max="14345" width="34.7109375" style="85" bestFit="1" customWidth="1"/>
    <col min="14346" max="14347" width="10.7109375" style="85" bestFit="1" customWidth="1"/>
    <col min="14348" max="14348" width="9.140625" style="85"/>
    <col min="14349" max="14349" width="34.7109375" style="85" bestFit="1" customWidth="1"/>
    <col min="14350" max="14351" width="9.42578125" style="85" bestFit="1" customWidth="1"/>
    <col min="14352" max="14600" width="9.140625" style="85"/>
    <col min="14601" max="14601" width="34.7109375" style="85" bestFit="1" customWidth="1"/>
    <col min="14602" max="14603" width="10.7109375" style="85" bestFit="1" customWidth="1"/>
    <col min="14604" max="14604" width="9.140625" style="85"/>
    <col min="14605" max="14605" width="34.7109375" style="85" bestFit="1" customWidth="1"/>
    <col min="14606" max="14607" width="9.42578125" style="85" bestFit="1" customWidth="1"/>
    <col min="14608" max="14856" width="9.140625" style="85"/>
    <col min="14857" max="14857" width="34.7109375" style="85" bestFit="1" customWidth="1"/>
    <col min="14858" max="14859" width="10.7109375" style="85" bestFit="1" customWidth="1"/>
    <col min="14860" max="14860" width="9.140625" style="85"/>
    <col min="14861" max="14861" width="34.7109375" style="85" bestFit="1" customWidth="1"/>
    <col min="14862" max="14863" width="9.42578125" style="85" bestFit="1" customWidth="1"/>
    <col min="14864" max="15112" width="9.140625" style="85"/>
    <col min="15113" max="15113" width="34.7109375" style="85" bestFit="1" customWidth="1"/>
    <col min="15114" max="15115" width="10.7109375" style="85" bestFit="1" customWidth="1"/>
    <col min="15116" max="15116" width="9.140625" style="85"/>
    <col min="15117" max="15117" width="34.7109375" style="85" bestFit="1" customWidth="1"/>
    <col min="15118" max="15119" width="9.42578125" style="85" bestFit="1" customWidth="1"/>
    <col min="15120" max="15368" width="9.140625" style="85"/>
    <col min="15369" max="15369" width="34.7109375" style="85" bestFit="1" customWidth="1"/>
    <col min="15370" max="15371" width="10.7109375" style="85" bestFit="1" customWidth="1"/>
    <col min="15372" max="15372" width="9.140625" style="85"/>
    <col min="15373" max="15373" width="34.7109375" style="85" bestFit="1" customWidth="1"/>
    <col min="15374" max="15375" width="9.42578125" style="85" bestFit="1" customWidth="1"/>
    <col min="15376" max="15624" width="9.140625" style="85"/>
    <col min="15625" max="15625" width="34.7109375" style="85" bestFit="1" customWidth="1"/>
    <col min="15626" max="15627" width="10.7109375" style="85" bestFit="1" customWidth="1"/>
    <col min="15628" max="15628" width="9.140625" style="85"/>
    <col min="15629" max="15629" width="34.7109375" style="85" bestFit="1" customWidth="1"/>
    <col min="15630" max="15631" width="9.42578125" style="85" bestFit="1" customWidth="1"/>
    <col min="15632" max="15880" width="9.140625" style="85"/>
    <col min="15881" max="15881" width="34.7109375" style="85" bestFit="1" customWidth="1"/>
    <col min="15882" max="15883" width="10.7109375" style="85" bestFit="1" customWidth="1"/>
    <col min="15884" max="15884" width="9.140625" style="85"/>
    <col min="15885" max="15885" width="34.7109375" style="85" bestFit="1" customWidth="1"/>
    <col min="15886" max="15887" width="9.42578125" style="85" bestFit="1" customWidth="1"/>
    <col min="15888" max="16136" width="9.140625" style="85"/>
    <col min="16137" max="16137" width="34.7109375" style="85" bestFit="1" customWidth="1"/>
    <col min="16138" max="16139" width="10.7109375" style="85" bestFit="1" customWidth="1"/>
    <col min="16140" max="16140" width="9.140625" style="85"/>
    <col min="16141" max="16141" width="34.7109375" style="85" bestFit="1" customWidth="1"/>
    <col min="16142" max="16143" width="9.42578125" style="85" bestFit="1" customWidth="1"/>
    <col min="16144" max="16384" width="9.140625" style="85"/>
  </cols>
  <sheetData>
    <row r="1" spans="1:17" x14ac:dyDescent="0.2">
      <c r="A1" s="364" t="s">
        <v>936</v>
      </c>
      <c r="B1" s="364"/>
      <c r="C1" s="364"/>
      <c r="D1" s="364"/>
      <c r="E1" s="364"/>
      <c r="F1" s="364"/>
      <c r="G1" s="364"/>
      <c r="I1" s="364" t="s">
        <v>936</v>
      </c>
      <c r="J1" s="364"/>
      <c r="K1" s="364"/>
      <c r="L1" s="364"/>
      <c r="M1" s="364"/>
      <c r="N1" s="364"/>
      <c r="O1" s="364"/>
    </row>
    <row r="2" spans="1:17" x14ac:dyDescent="0.2">
      <c r="A2" s="364" t="s">
        <v>235</v>
      </c>
      <c r="B2" s="364"/>
      <c r="C2" s="364"/>
      <c r="D2" s="364"/>
      <c r="E2" s="364"/>
      <c r="F2" s="364"/>
      <c r="G2" s="364"/>
      <c r="I2" s="364" t="s">
        <v>236</v>
      </c>
      <c r="J2" s="364"/>
      <c r="K2" s="364"/>
      <c r="L2" s="364"/>
      <c r="M2" s="364"/>
      <c r="N2" s="364"/>
      <c r="O2" s="364"/>
    </row>
    <row r="3" spans="1:17" x14ac:dyDescent="0.2">
      <c r="A3" s="86" t="s">
        <v>613</v>
      </c>
      <c r="B3" s="228">
        <v>45717</v>
      </c>
      <c r="C3" s="228">
        <v>45352</v>
      </c>
      <c r="D3" s="228">
        <v>44986</v>
      </c>
      <c r="E3" s="228">
        <v>44621</v>
      </c>
      <c r="F3" s="228">
        <v>44256</v>
      </c>
      <c r="G3" s="228">
        <v>43891</v>
      </c>
      <c r="I3" s="86"/>
      <c r="J3" s="228">
        <v>45717</v>
      </c>
      <c r="K3" s="228">
        <v>45352</v>
      </c>
      <c r="L3" s="228">
        <v>44986</v>
      </c>
      <c r="M3" s="228">
        <v>44621</v>
      </c>
      <c r="N3" s="228">
        <v>44256</v>
      </c>
      <c r="O3" s="228">
        <v>43891</v>
      </c>
    </row>
    <row r="4" spans="1:17" x14ac:dyDescent="0.2">
      <c r="A4" s="121" t="s">
        <v>238</v>
      </c>
      <c r="B4" s="121"/>
      <c r="C4" s="99"/>
      <c r="D4" s="99"/>
      <c r="E4" s="99"/>
      <c r="F4" s="99"/>
      <c r="G4" s="99"/>
      <c r="I4" s="121" t="s">
        <v>238</v>
      </c>
      <c r="J4" s="121"/>
      <c r="K4" s="99"/>
      <c r="L4" s="99"/>
      <c r="M4" s="99"/>
      <c r="N4" s="99"/>
      <c r="O4" s="99"/>
    </row>
    <row r="5" spans="1:17" x14ac:dyDescent="0.2">
      <c r="A5" s="94" t="s">
        <v>239</v>
      </c>
      <c r="B5" s="112">
        <f>Financials_Standalone!B73</f>
        <v>8730.32</v>
      </c>
      <c r="C5" s="112">
        <f>Financials_Standalone!C73</f>
        <v>7757.77</v>
      </c>
      <c r="D5" s="112">
        <f>Financials_Standalone!D73</f>
        <v>6674.81</v>
      </c>
      <c r="E5" s="112">
        <f>Financials_Standalone!E73</f>
        <v>5604.43</v>
      </c>
      <c r="F5" s="112">
        <f>Financials_Standalone!F73</f>
        <v>4658.97</v>
      </c>
      <c r="G5" s="112">
        <f>Financials_Standalone!G73</f>
        <v>4820.16</v>
      </c>
      <c r="I5" s="94" t="s">
        <v>239</v>
      </c>
      <c r="J5" s="95">
        <v>1</v>
      </c>
      <c r="K5" s="95">
        <v>1</v>
      </c>
      <c r="L5" s="95">
        <v>1</v>
      </c>
      <c r="M5" s="95">
        <v>1</v>
      </c>
      <c r="N5" s="95">
        <v>1</v>
      </c>
      <c r="O5" s="95">
        <v>1</v>
      </c>
      <c r="P5" s="85">
        <f>C5*12/9</f>
        <v>10343.693333333335</v>
      </c>
      <c r="Q5" s="85">
        <f>P5/G5</f>
        <v>2.1459232335302842</v>
      </c>
    </row>
    <row r="6" spans="1:17" x14ac:dyDescent="0.2">
      <c r="A6" s="122" t="s">
        <v>240</v>
      </c>
      <c r="B6" s="123">
        <f>Financials_Standalone!B74</f>
        <v>0</v>
      </c>
      <c r="C6" s="123">
        <f>Financials_Standalone!C74</f>
        <v>0</v>
      </c>
      <c r="D6" s="123">
        <f>Financials_Standalone!D74</f>
        <v>0</v>
      </c>
      <c r="E6" s="123">
        <f>Financials_Standalone!E74</f>
        <v>0</v>
      </c>
      <c r="F6" s="123">
        <f>Financials_Standalone!F74</f>
        <v>0</v>
      </c>
      <c r="G6" s="123">
        <f>Financials_Standalone!G74</f>
        <v>0</v>
      </c>
      <c r="I6" s="122" t="s">
        <v>240</v>
      </c>
      <c r="J6" s="53">
        <f t="shared" ref="J6:M7" si="0">B6/B$5</f>
        <v>0</v>
      </c>
      <c r="K6" s="53">
        <f t="shared" si="0"/>
        <v>0</v>
      </c>
      <c r="L6" s="53">
        <f t="shared" si="0"/>
        <v>0</v>
      </c>
      <c r="M6" s="53">
        <f t="shared" si="0"/>
        <v>0</v>
      </c>
      <c r="N6" s="53">
        <f t="shared" ref="N6:O7" si="1">F6/F$5</f>
        <v>0</v>
      </c>
      <c r="O6" s="53">
        <f>G6/G$5</f>
        <v>0</v>
      </c>
      <c r="P6" s="119"/>
    </row>
    <row r="7" spans="1:17" x14ac:dyDescent="0.2">
      <c r="A7" s="53" t="s">
        <v>241</v>
      </c>
      <c r="B7" s="97">
        <f>Financials_Standalone!B76</f>
        <v>115.83</v>
      </c>
      <c r="C7" s="97">
        <f>Financials_Standalone!C76</f>
        <v>113.23</v>
      </c>
      <c r="D7" s="97">
        <f>Financials_Standalone!D76</f>
        <v>92.7</v>
      </c>
      <c r="E7" s="97">
        <f>Financials_Standalone!E76</f>
        <v>92.66</v>
      </c>
      <c r="F7" s="97">
        <f>Financials_Standalone!F76</f>
        <v>114.07</v>
      </c>
      <c r="G7" s="97">
        <f>Financials_Standalone!G76</f>
        <v>118.41</v>
      </c>
      <c r="I7" s="53" t="s">
        <v>241</v>
      </c>
      <c r="J7" s="53">
        <f t="shared" si="0"/>
        <v>1.3267554912076533E-2</v>
      </c>
      <c r="K7" s="53">
        <f t="shared" si="0"/>
        <v>1.4595689225125261E-2</v>
      </c>
      <c r="L7" s="53">
        <f t="shared" si="0"/>
        <v>1.388803576431389E-2</v>
      </c>
      <c r="M7" s="53">
        <f t="shared" si="0"/>
        <v>1.6533349511011822E-2</v>
      </c>
      <c r="N7" s="53">
        <f t="shared" si="1"/>
        <v>2.4483952461595584E-2</v>
      </c>
      <c r="O7" s="53">
        <f t="shared" si="1"/>
        <v>2.4565574586735708E-2</v>
      </c>
    </row>
    <row r="8" spans="1:17" x14ac:dyDescent="0.2">
      <c r="A8" s="124" t="s">
        <v>242</v>
      </c>
      <c r="B8" s="125">
        <f t="shared" ref="B8:G8" si="2">B5-B6+B7</f>
        <v>8846.15</v>
      </c>
      <c r="C8" s="125">
        <f t="shared" si="2"/>
        <v>7871</v>
      </c>
      <c r="D8" s="125">
        <f t="shared" si="2"/>
        <v>6767.51</v>
      </c>
      <c r="E8" s="125">
        <f t="shared" si="2"/>
        <v>5697.09</v>
      </c>
      <c r="F8" s="125">
        <f t="shared" si="2"/>
        <v>4773.04</v>
      </c>
      <c r="G8" s="125">
        <f t="shared" si="2"/>
        <v>4938.57</v>
      </c>
      <c r="I8" s="124" t="s">
        <v>242</v>
      </c>
      <c r="J8" s="124">
        <f t="shared" ref="J8:O8" si="3">B8/B$8</f>
        <v>1</v>
      </c>
      <c r="K8" s="124">
        <f t="shared" si="3"/>
        <v>1</v>
      </c>
      <c r="L8" s="124">
        <f t="shared" si="3"/>
        <v>1</v>
      </c>
      <c r="M8" s="124">
        <f t="shared" si="3"/>
        <v>1</v>
      </c>
      <c r="N8" s="124">
        <f t="shared" si="3"/>
        <v>1</v>
      </c>
      <c r="O8" s="124">
        <f t="shared" si="3"/>
        <v>1</v>
      </c>
    </row>
    <row r="9" spans="1:17" x14ac:dyDescent="0.2">
      <c r="A9" s="53"/>
      <c r="B9" s="53"/>
      <c r="C9" s="97"/>
      <c r="D9" s="97"/>
      <c r="E9" s="97"/>
      <c r="F9" s="97"/>
      <c r="G9" s="97"/>
      <c r="I9" s="53"/>
      <c r="J9" s="53"/>
      <c r="K9" s="53"/>
      <c r="L9" s="53"/>
      <c r="M9" s="53"/>
      <c r="N9" s="53"/>
      <c r="O9" s="53"/>
    </row>
    <row r="10" spans="1:17" x14ac:dyDescent="0.2">
      <c r="A10" s="124" t="s">
        <v>243</v>
      </c>
      <c r="B10" s="125">
        <f>Financials_Standalone!B78</f>
        <v>66.58</v>
      </c>
      <c r="C10" s="125">
        <f>Financials_Standalone!C78</f>
        <v>49.47</v>
      </c>
      <c r="D10" s="125">
        <f>Financials_Standalone!D78</f>
        <v>28.2</v>
      </c>
      <c r="E10" s="125">
        <f>Financials_Standalone!E78</f>
        <v>24.39</v>
      </c>
      <c r="F10" s="125">
        <f>Financials_Standalone!F78</f>
        <v>13.55</v>
      </c>
      <c r="G10" s="125">
        <f>Financials_Standalone!G78</f>
        <v>36.19</v>
      </c>
      <c r="I10" s="124" t="s">
        <v>243</v>
      </c>
      <c r="J10" s="124">
        <f>B10/B$5</f>
        <v>7.6262954851597647E-3</v>
      </c>
      <c r="K10" s="124">
        <f>C10/C$5</f>
        <v>6.3768325175920394E-3</v>
      </c>
      <c r="L10" s="124">
        <f t="shared" ref="L10:O10" si="4">D10/D$5</f>
        <v>4.2248393587233195E-3</v>
      </c>
      <c r="M10" s="124">
        <f t="shared" si="4"/>
        <v>4.3519144676621886E-3</v>
      </c>
      <c r="N10" s="124">
        <f t="shared" si="4"/>
        <v>2.9083681586273362E-3</v>
      </c>
      <c r="O10" s="124">
        <f t="shared" si="4"/>
        <v>7.50804952532696E-3</v>
      </c>
    </row>
    <row r="11" spans="1:17" x14ac:dyDescent="0.2">
      <c r="A11" s="53"/>
      <c r="B11" s="53"/>
      <c r="C11" s="97"/>
      <c r="D11" s="97"/>
      <c r="E11" s="97"/>
      <c r="F11" s="97"/>
      <c r="G11" s="97"/>
      <c r="I11" s="53"/>
      <c r="J11" s="53"/>
      <c r="K11" s="53"/>
      <c r="L11" s="53"/>
      <c r="M11" s="53"/>
      <c r="N11" s="53"/>
      <c r="O11" s="53"/>
    </row>
    <row r="12" spans="1:17" x14ac:dyDescent="0.2">
      <c r="A12" s="98" t="s">
        <v>244</v>
      </c>
      <c r="B12" s="98"/>
      <c r="C12" s="99"/>
      <c r="D12" s="99"/>
      <c r="E12" s="99"/>
      <c r="F12" s="99"/>
      <c r="G12" s="99"/>
      <c r="I12" s="98" t="s">
        <v>244</v>
      </c>
      <c r="J12" s="53"/>
      <c r="K12" s="53"/>
      <c r="L12" s="53"/>
      <c r="M12" s="53"/>
      <c r="N12" s="53"/>
      <c r="O12" s="53"/>
    </row>
    <row r="13" spans="1:17" x14ac:dyDescent="0.2">
      <c r="A13" s="53" t="s">
        <v>935</v>
      </c>
      <c r="B13" s="123">
        <f>Financials_Standalone!B81</f>
        <v>5686.35</v>
      </c>
      <c r="C13" s="123">
        <f>Financials_Standalone!C81</f>
        <v>5086.76</v>
      </c>
      <c r="D13" s="123">
        <f>Financials_Standalone!D81</f>
        <v>4511.09</v>
      </c>
      <c r="E13" s="123">
        <f>Financials_Standalone!E81</f>
        <v>3745.18</v>
      </c>
      <c r="F13" s="123">
        <f>Financials_Standalone!F81</f>
        <v>2969.19</v>
      </c>
      <c r="G13" s="123">
        <f>Financials_Standalone!G81</f>
        <v>3000.67</v>
      </c>
      <c r="I13" s="53" t="s">
        <v>245</v>
      </c>
      <c r="J13" s="53">
        <f t="shared" ref="J13:K21" si="5">B13/B$8</f>
        <v>0.64280506208915755</v>
      </c>
      <c r="K13" s="53">
        <f t="shared" si="5"/>
        <v>0.64626603989327913</v>
      </c>
      <c r="L13" s="53">
        <f t="shared" ref="L13:O21" si="6">D13/D$8</f>
        <v>0.66658047051278835</v>
      </c>
      <c r="M13" s="53">
        <f t="shared" si="6"/>
        <v>0.65738473501384032</v>
      </c>
      <c r="N13" s="53">
        <f t="shared" si="6"/>
        <v>0.62207523926051322</v>
      </c>
      <c r="O13" s="53">
        <f t="shared" si="6"/>
        <v>0.60759896083279175</v>
      </c>
    </row>
    <row r="14" spans="1:17" x14ac:dyDescent="0.2">
      <c r="A14" s="53" t="s">
        <v>292</v>
      </c>
      <c r="B14" s="123">
        <f>Financials_Standalone!B82</f>
        <v>70.67</v>
      </c>
      <c r="C14" s="123">
        <f>Financials_Standalone!C82</f>
        <v>60.38</v>
      </c>
      <c r="D14" s="123">
        <f>Financials_Standalone!D82</f>
        <v>63.91</v>
      </c>
      <c r="E14" s="123">
        <f>Financials_Standalone!E82</f>
        <v>54.07</v>
      </c>
      <c r="F14" s="123">
        <f>Financials_Standalone!F82</f>
        <v>44.6</v>
      </c>
      <c r="G14" s="123">
        <f>Financials_Standalone!G82</f>
        <v>27.84</v>
      </c>
      <c r="I14" s="53" t="s">
        <v>292</v>
      </c>
      <c r="J14" s="53">
        <f t="shared" si="5"/>
        <v>7.9887860820809058E-3</v>
      </c>
      <c r="K14" s="53">
        <f t="shared" si="5"/>
        <v>7.6711980688603737E-3</v>
      </c>
      <c r="L14" s="53">
        <f t="shared" si="6"/>
        <v>9.4436506189130107E-3</v>
      </c>
      <c r="M14" s="53">
        <f t="shared" si="6"/>
        <v>9.490810220656511E-3</v>
      </c>
      <c r="N14" s="53">
        <f t="shared" si="6"/>
        <v>9.344149640480701E-3</v>
      </c>
      <c r="O14" s="53">
        <f t="shared" si="6"/>
        <v>5.6372593686026522E-3</v>
      </c>
    </row>
    <row r="15" spans="1:17" ht="22.5" x14ac:dyDescent="0.2">
      <c r="A15" s="101" t="s">
        <v>293</v>
      </c>
      <c r="B15" s="123">
        <f>Financials_Standalone!B83</f>
        <v>-28.57</v>
      </c>
      <c r="C15" s="123">
        <f>Financials_Standalone!C83</f>
        <v>-6.44</v>
      </c>
      <c r="D15" s="123">
        <f>Financials_Standalone!D83</f>
        <v>-42.4</v>
      </c>
      <c r="E15" s="123">
        <f>Financials_Standalone!E83</f>
        <v>-40.93</v>
      </c>
      <c r="F15" s="123">
        <f>Financials_Standalone!F83</f>
        <v>-44.43</v>
      </c>
      <c r="G15" s="123">
        <f>Financials_Standalone!G83</f>
        <v>18.809999999999999</v>
      </c>
      <c r="I15" s="101" t="s">
        <v>246</v>
      </c>
      <c r="J15" s="53">
        <f t="shared" si="5"/>
        <v>-3.2296535781102514E-3</v>
      </c>
      <c r="K15" s="53">
        <f t="shared" si="5"/>
        <v>-8.1819336805996699E-4</v>
      </c>
      <c r="L15" s="53">
        <f t="shared" si="6"/>
        <v>-6.2652290133298656E-3</v>
      </c>
      <c r="M15" s="53">
        <f t="shared" si="6"/>
        <v>-7.1843695641108001E-3</v>
      </c>
      <c r="N15" s="53">
        <f t="shared" si="6"/>
        <v>-9.3085329266044282E-3</v>
      </c>
      <c r="O15" s="53">
        <f t="shared" si="6"/>
        <v>3.8087948535709729E-3</v>
      </c>
    </row>
    <row r="16" spans="1:17" x14ac:dyDescent="0.2">
      <c r="A16" s="53" t="s">
        <v>294</v>
      </c>
      <c r="B16" s="123">
        <f>Financials_Standalone!B84</f>
        <v>435.78</v>
      </c>
      <c r="C16" s="123">
        <f>Financials_Standalone!C84</f>
        <v>380.12</v>
      </c>
      <c r="D16" s="123">
        <f>Financials_Standalone!D84</f>
        <v>324.18</v>
      </c>
      <c r="E16" s="123">
        <f>Financials_Standalone!E84</f>
        <v>290.31</v>
      </c>
      <c r="F16" s="123">
        <f>Financials_Standalone!F84</f>
        <v>286.56</v>
      </c>
      <c r="G16" s="123">
        <f>Financials_Standalone!G84</f>
        <v>296.13</v>
      </c>
      <c r="I16" s="53" t="s">
        <v>247</v>
      </c>
      <c r="J16" s="53">
        <f t="shared" si="5"/>
        <v>4.9262108374829729E-2</v>
      </c>
      <c r="K16" s="53">
        <f t="shared" si="5"/>
        <v>4.8293736501079917E-2</v>
      </c>
      <c r="L16" s="53">
        <f t="shared" si="6"/>
        <v>4.7902404281633865E-2</v>
      </c>
      <c r="M16" s="53">
        <f t="shared" si="6"/>
        <v>5.0957594140166297E-2</v>
      </c>
      <c r="N16" s="53">
        <f t="shared" si="6"/>
        <v>6.0037208990496624E-2</v>
      </c>
      <c r="O16" s="53">
        <f t="shared" si="6"/>
        <v>5.9962701753746531E-2</v>
      </c>
    </row>
    <row r="17" spans="1:15" x14ac:dyDescent="0.2">
      <c r="A17" s="53" t="s">
        <v>295</v>
      </c>
      <c r="B17" s="123">
        <f>Financials_Standalone!B85</f>
        <v>2.56</v>
      </c>
      <c r="C17" s="123">
        <f>Financials_Standalone!C85</f>
        <v>2.99</v>
      </c>
      <c r="D17" s="123">
        <f>Financials_Standalone!D85</f>
        <v>4.2699999999999996</v>
      </c>
      <c r="E17" s="123">
        <f>Financials_Standalone!E85</f>
        <v>1.82</v>
      </c>
      <c r="F17" s="123">
        <f>Financials_Standalone!F85</f>
        <v>4.8</v>
      </c>
      <c r="G17" s="123">
        <f>Financials_Standalone!G85</f>
        <v>10.82</v>
      </c>
      <c r="I17" s="53" t="s">
        <v>248</v>
      </c>
      <c r="J17" s="53">
        <f t="shared" si="5"/>
        <v>2.8939143017018702E-4</v>
      </c>
      <c r="K17" s="53">
        <f t="shared" si="5"/>
        <v>3.7987549231355614E-4</v>
      </c>
      <c r="L17" s="53">
        <f t="shared" si="6"/>
        <v>6.3095584638958786E-4</v>
      </c>
      <c r="M17" s="53">
        <f t="shared" si="6"/>
        <v>3.1946133903448955E-4</v>
      </c>
      <c r="N17" s="53">
        <f t="shared" si="6"/>
        <v>1.0056483918006135E-3</v>
      </c>
      <c r="O17" s="53">
        <f t="shared" si="6"/>
        <v>2.1909176138031859E-3</v>
      </c>
    </row>
    <row r="18" spans="1:15" x14ac:dyDescent="0.2">
      <c r="A18" s="53" t="s">
        <v>296</v>
      </c>
      <c r="B18" s="123">
        <f>Financials_Standalone!B86</f>
        <v>289.64999999999998</v>
      </c>
      <c r="C18" s="123">
        <f>Financials_Standalone!C86</f>
        <v>262.52</v>
      </c>
      <c r="D18" s="123">
        <f>Financials_Standalone!D86</f>
        <v>240.71</v>
      </c>
      <c r="E18" s="123">
        <f>Financials_Standalone!E86</f>
        <v>203.74</v>
      </c>
      <c r="F18" s="123">
        <f>Financials_Standalone!F86</f>
        <v>203.42</v>
      </c>
      <c r="G18" s="123">
        <f>Financials_Standalone!G86</f>
        <v>199.25</v>
      </c>
      <c r="I18" s="53" t="s">
        <v>249</v>
      </c>
      <c r="J18" s="53">
        <f t="shared" si="5"/>
        <v>3.2743057714372921E-2</v>
      </c>
      <c r="K18" s="53">
        <f t="shared" si="5"/>
        <v>3.3352814127810951E-2</v>
      </c>
      <c r="L18" s="53">
        <f t="shared" si="6"/>
        <v>3.5568473485816793E-2</v>
      </c>
      <c r="M18" s="53">
        <f t="shared" si="6"/>
        <v>3.5762117151036756E-2</v>
      </c>
      <c r="N18" s="53">
        <f t="shared" si="6"/>
        <v>4.2618540804183494E-2</v>
      </c>
      <c r="O18" s="53">
        <f t="shared" si="6"/>
        <v>4.0345687111856265E-2</v>
      </c>
    </row>
    <row r="19" spans="1:15" x14ac:dyDescent="0.2">
      <c r="A19" s="53" t="s">
        <v>182</v>
      </c>
      <c r="B19" s="123">
        <f>Financials_Standalone!B87</f>
        <v>1530.87</v>
      </c>
      <c r="C19" s="123">
        <f>Financials_Standalone!C87</f>
        <v>1343.86</v>
      </c>
      <c r="D19" s="123">
        <f>Financials_Standalone!D87</f>
        <v>1131.49</v>
      </c>
      <c r="E19" s="123">
        <f>Financials_Standalone!E87</f>
        <v>919.79</v>
      </c>
      <c r="F19" s="123">
        <f>Financials_Standalone!F87</f>
        <v>785.53</v>
      </c>
      <c r="G19" s="123">
        <f>Financials_Standalone!G87</f>
        <v>861.06</v>
      </c>
      <c r="I19" s="53" t="s">
        <v>250</v>
      </c>
      <c r="J19" s="53">
        <f t="shared" si="5"/>
        <v>0.17305494480649775</v>
      </c>
      <c r="K19" s="53">
        <f t="shared" si="5"/>
        <v>0.17073561173929613</v>
      </c>
      <c r="L19" s="53">
        <f t="shared" si="6"/>
        <v>0.16719443340312759</v>
      </c>
      <c r="M19" s="53">
        <f t="shared" si="6"/>
        <v>0.1614490906761171</v>
      </c>
      <c r="N19" s="53">
        <f t="shared" si="6"/>
        <v>0.16457645441898663</v>
      </c>
      <c r="O19" s="53">
        <f t="shared" si="6"/>
        <v>0.17435411465262213</v>
      </c>
    </row>
    <row r="20" spans="1:15" x14ac:dyDescent="0.2">
      <c r="A20" s="53" t="s">
        <v>946</v>
      </c>
      <c r="B20" s="123">
        <f>Financials_Standalone!B88</f>
        <v>0</v>
      </c>
      <c r="C20" s="123">
        <f>Financials_Standalone!C88</f>
        <v>0</v>
      </c>
      <c r="D20" s="123">
        <f>Financials_Standalone!D88</f>
        <v>0</v>
      </c>
      <c r="E20" s="123">
        <f>Financials_Standalone!E88</f>
        <v>0</v>
      </c>
      <c r="F20" s="123">
        <f>Financials_Standalone!F88</f>
        <v>0</v>
      </c>
      <c r="G20" s="123">
        <f>Financials_Standalone!G88</f>
        <v>-8.26</v>
      </c>
      <c r="I20" s="53"/>
      <c r="J20" s="53">
        <f t="shared" ref="J20" si="7">B20/B$8</f>
        <v>0</v>
      </c>
      <c r="K20" s="53">
        <f t="shared" ref="K20" si="8">C20/C$8</f>
        <v>0</v>
      </c>
      <c r="L20" s="53">
        <f t="shared" ref="L20" si="9">D20/D$8</f>
        <v>0</v>
      </c>
      <c r="M20" s="53">
        <f t="shared" ref="M20" si="10">E20/E$8</f>
        <v>0</v>
      </c>
      <c r="N20" s="53">
        <f t="shared" ref="N20" si="11">F20/F$8</f>
        <v>0</v>
      </c>
      <c r="O20" s="53">
        <f t="shared" ref="O20" si="12">G20/G$8</f>
        <v>-1.6725489362305283E-3</v>
      </c>
    </row>
    <row r="21" spans="1:15" x14ac:dyDescent="0.2">
      <c r="A21" s="124" t="s">
        <v>251</v>
      </c>
      <c r="B21" s="126">
        <f t="shared" ref="B21:G21" si="13">SUM(B13:B20)</f>
        <v>7987.31</v>
      </c>
      <c r="C21" s="126">
        <f t="shared" si="13"/>
        <v>7130.19</v>
      </c>
      <c r="D21" s="126">
        <f t="shared" si="13"/>
        <v>6233.2500000000009</v>
      </c>
      <c r="E21" s="126">
        <f t="shared" si="13"/>
        <v>5173.9800000000005</v>
      </c>
      <c r="F21" s="126">
        <f t="shared" si="13"/>
        <v>4249.67</v>
      </c>
      <c r="G21" s="126">
        <f t="shared" si="13"/>
        <v>4406.32</v>
      </c>
      <c r="I21" s="124" t="s">
        <v>251</v>
      </c>
      <c r="J21" s="124">
        <f t="shared" si="5"/>
        <v>0.9029136969189987</v>
      </c>
      <c r="K21" s="124">
        <f t="shared" si="5"/>
        <v>0.9058810824545801</v>
      </c>
      <c r="L21" s="124">
        <f t="shared" si="6"/>
        <v>0.92105515913533942</v>
      </c>
      <c r="M21" s="124">
        <f t="shared" si="6"/>
        <v>0.9081794389767408</v>
      </c>
      <c r="N21" s="124">
        <f t="shared" si="6"/>
        <v>0.89034870857985693</v>
      </c>
      <c r="O21" s="124">
        <f t="shared" si="6"/>
        <v>0.89222588725076291</v>
      </c>
    </row>
    <row r="22" spans="1:15" x14ac:dyDescent="0.2">
      <c r="A22" s="98"/>
      <c r="B22" s="98"/>
      <c r="C22" s="99"/>
      <c r="D22" s="99"/>
      <c r="E22" s="99"/>
      <c r="F22" s="99"/>
      <c r="G22" s="99"/>
      <c r="I22" s="98"/>
      <c r="J22" s="53"/>
      <c r="K22" s="53"/>
      <c r="L22" s="53"/>
      <c r="M22" s="53"/>
      <c r="N22" s="53"/>
      <c r="O22" s="53"/>
    </row>
    <row r="23" spans="1:15" x14ac:dyDescent="0.2">
      <c r="A23" s="124" t="s">
        <v>252</v>
      </c>
      <c r="B23" s="126">
        <f t="shared" ref="B23:G23" si="14">B8+B10-B21</f>
        <v>925.41999999999916</v>
      </c>
      <c r="C23" s="126">
        <f t="shared" si="14"/>
        <v>790.28000000000065</v>
      </c>
      <c r="D23" s="126">
        <f t="shared" si="14"/>
        <v>562.45999999999913</v>
      </c>
      <c r="E23" s="126">
        <f t="shared" si="14"/>
        <v>547.5</v>
      </c>
      <c r="F23" s="126">
        <f t="shared" si="14"/>
        <v>536.92000000000007</v>
      </c>
      <c r="G23" s="126">
        <f t="shared" si="14"/>
        <v>568.4399999999996</v>
      </c>
      <c r="I23" s="124" t="s">
        <v>252</v>
      </c>
      <c r="J23" s="124">
        <f t="shared" ref="J23:O23" si="15">B23/B$8</f>
        <v>0.10461274113597431</v>
      </c>
      <c r="K23" s="124">
        <f t="shared" si="15"/>
        <v>0.1004040147376446</v>
      </c>
      <c r="L23" s="124">
        <f t="shared" si="15"/>
        <v>8.3111809217865817E-2</v>
      </c>
      <c r="M23" s="124">
        <f t="shared" si="15"/>
        <v>9.6101694022737924E-2</v>
      </c>
      <c r="N23" s="124">
        <f t="shared" si="15"/>
        <v>0.11249015302616364</v>
      </c>
      <c r="O23" s="124">
        <f t="shared" si="15"/>
        <v>0.11510214495289114</v>
      </c>
    </row>
    <row r="24" spans="1:15" x14ac:dyDescent="0.2">
      <c r="A24" s="53"/>
      <c r="B24" s="53"/>
      <c r="C24" s="97"/>
      <c r="D24" s="97"/>
      <c r="E24" s="97"/>
      <c r="F24" s="97"/>
      <c r="G24" s="97"/>
      <c r="I24" s="53"/>
      <c r="J24" s="98"/>
      <c r="K24" s="98"/>
      <c r="L24" s="98"/>
      <c r="M24" s="98"/>
      <c r="N24" s="98"/>
      <c r="O24" s="98"/>
    </row>
    <row r="25" spans="1:15" x14ac:dyDescent="0.2">
      <c r="A25" s="124" t="s">
        <v>253</v>
      </c>
      <c r="B25" s="125">
        <f>Financials_Standalone!B98</f>
        <v>229.4</v>
      </c>
      <c r="C25" s="125">
        <f>Financials_Standalone!C98</f>
        <v>202.47</v>
      </c>
      <c r="D25" s="125">
        <f>Financials_Standalone!D98</f>
        <v>143.26000000000002</v>
      </c>
      <c r="E25" s="125">
        <f>Financials_Standalone!E98</f>
        <v>134.30000000000001</v>
      </c>
      <c r="F25" s="125">
        <f>Financials_Standalone!F98</f>
        <v>133.5</v>
      </c>
      <c r="G25" s="125">
        <f>Financials_Standalone!G98</f>
        <v>140.75</v>
      </c>
      <c r="I25" s="124" t="s">
        <v>253</v>
      </c>
      <c r="J25" s="124">
        <f t="shared" ref="J25:O26" si="16">B25/B$8</f>
        <v>2.5932185187906603E-2</v>
      </c>
      <c r="K25" s="124">
        <f t="shared" si="16"/>
        <v>2.5723542116630669E-2</v>
      </c>
      <c r="L25" s="124">
        <f t="shared" si="16"/>
        <v>2.1168790293623507E-2</v>
      </c>
      <c r="M25" s="124">
        <f t="shared" si="16"/>
        <v>2.3573438369413158E-2</v>
      </c>
      <c r="N25" s="124">
        <f t="shared" si="16"/>
        <v>2.7969595896954563E-2</v>
      </c>
      <c r="O25" s="124">
        <f t="shared" si="16"/>
        <v>2.8500152878262332E-2</v>
      </c>
    </row>
    <row r="26" spans="1:15" x14ac:dyDescent="0.2">
      <c r="A26" s="208" t="s">
        <v>303</v>
      </c>
      <c r="B26" s="125">
        <f>Financials_Standalone!B92</f>
        <v>-17.36</v>
      </c>
      <c r="C26" s="125">
        <f>Financials_Standalone!C92</f>
        <v>0</v>
      </c>
      <c r="D26" s="125">
        <f>Financials_Standalone!D92</f>
        <v>-10.29</v>
      </c>
      <c r="E26" s="125">
        <f>Financials_Standalone!E92</f>
        <v>-31.45</v>
      </c>
      <c r="F26" s="125">
        <f>Financials_Standalone!F92</f>
        <v>-11.23</v>
      </c>
      <c r="G26" s="125">
        <f>Financials_Standalone!G92</f>
        <v>0</v>
      </c>
      <c r="I26" s="124" t="s">
        <v>303</v>
      </c>
      <c r="J26" s="124">
        <f t="shared" si="16"/>
        <v>-1.962435635841581E-3</v>
      </c>
      <c r="K26" s="124">
        <f t="shared" si="16"/>
        <v>0</v>
      </c>
      <c r="L26" s="124">
        <f t="shared" si="16"/>
        <v>-1.5205001544142526E-3</v>
      </c>
      <c r="M26" s="124">
        <f t="shared" si="16"/>
        <v>-5.5203621497992832E-3</v>
      </c>
      <c r="N26" s="124">
        <f t="shared" si="16"/>
        <v>-2.3527982166501853E-3</v>
      </c>
      <c r="O26" s="124">
        <f t="shared" si="16"/>
        <v>0</v>
      </c>
    </row>
    <row r="27" spans="1:15" x14ac:dyDescent="0.2">
      <c r="A27" s="53"/>
      <c r="B27" s="97"/>
      <c r="C27" s="97"/>
      <c r="D27" s="97"/>
      <c r="E27" s="97"/>
      <c r="F27" s="97"/>
      <c r="G27" s="97"/>
      <c r="I27" s="53"/>
      <c r="J27" s="98"/>
      <c r="K27" s="98"/>
      <c r="L27" s="98"/>
      <c r="M27" s="98"/>
      <c r="N27" s="98"/>
      <c r="O27" s="98"/>
    </row>
    <row r="28" spans="1:15" x14ac:dyDescent="0.2">
      <c r="A28" s="124" t="s">
        <v>254</v>
      </c>
      <c r="B28" s="126">
        <f>B23-B25+B26</f>
        <v>678.65999999999917</v>
      </c>
      <c r="C28" s="126">
        <f>C23-C25+C26</f>
        <v>587.81000000000063</v>
      </c>
      <c r="D28" s="126">
        <f t="shared" ref="D28:F28" si="17">D23-D25+D26</f>
        <v>408.90999999999912</v>
      </c>
      <c r="E28" s="126">
        <f t="shared" si="17"/>
        <v>381.75</v>
      </c>
      <c r="F28" s="126">
        <f t="shared" si="17"/>
        <v>392.19000000000005</v>
      </c>
      <c r="G28" s="126">
        <f>G23-G25+G26</f>
        <v>427.6899999999996</v>
      </c>
      <c r="I28" s="124" t="s">
        <v>254</v>
      </c>
      <c r="J28" s="124">
        <f>B28/B$8</f>
        <v>7.6718120312226135E-2</v>
      </c>
      <c r="K28" s="124">
        <f>C28/C$8</f>
        <v>7.4680472621013932E-2</v>
      </c>
      <c r="L28" s="124">
        <f t="shared" ref="L28:O28" si="18">D28/D$8</f>
        <v>6.0422518769828064E-2</v>
      </c>
      <c r="M28" s="124">
        <f t="shared" si="18"/>
        <v>6.7007893503525484E-2</v>
      </c>
      <c r="N28" s="124">
        <f t="shared" si="18"/>
        <v>8.2167758912558883E-2</v>
      </c>
      <c r="O28" s="124">
        <f t="shared" si="18"/>
        <v>8.660199207462882E-2</v>
      </c>
    </row>
    <row r="29" spans="1:15" x14ac:dyDescent="0.2">
      <c r="A29" s="127"/>
      <c r="B29" s="127"/>
    </row>
    <row r="30" spans="1:15" x14ac:dyDescent="0.2">
      <c r="B30" s="128">
        <f>Financials_Standalone!B101</f>
        <v>678.65999999999917</v>
      </c>
      <c r="C30" s="128">
        <f>Financials_Standalone!C101</f>
        <v>587.81000000000063</v>
      </c>
      <c r="D30" s="128">
        <f>Financials_Standalone!D101</f>
        <v>408.90999999999917</v>
      </c>
      <c r="E30" s="128">
        <f>Financials_Standalone!E101</f>
        <v>381.74999999999994</v>
      </c>
      <c r="F30" s="128">
        <f>Financials_Standalone!F101</f>
        <v>392.19000000000005</v>
      </c>
      <c r="G30" s="128">
        <f>Financials_Standalone!G101</f>
        <v>427.6899999999996</v>
      </c>
    </row>
    <row r="31" spans="1:15" x14ac:dyDescent="0.2">
      <c r="B31" s="119">
        <f>B28-B30</f>
        <v>0</v>
      </c>
      <c r="C31" s="119">
        <f>C28-C30</f>
        <v>0</v>
      </c>
      <c r="D31" s="119">
        <f t="shared" ref="D31:G31" si="19">D28-D30</f>
        <v>0</v>
      </c>
      <c r="E31" s="119">
        <f t="shared" si="19"/>
        <v>0</v>
      </c>
      <c r="F31" s="119">
        <f t="shared" si="19"/>
        <v>0</v>
      </c>
      <c r="G31" s="119">
        <f t="shared" si="19"/>
        <v>0</v>
      </c>
    </row>
    <row r="34" spans="7:7" x14ac:dyDescent="0.2">
      <c r="G34" s="119">
        <f>C28*1.25/G28</f>
        <v>1.7179791437723617</v>
      </c>
    </row>
  </sheetData>
  <mergeCells count="4">
    <mergeCell ref="A1:G1"/>
    <mergeCell ref="I1:O1"/>
    <mergeCell ref="A2:G2"/>
    <mergeCell ref="I2:O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7"/>
  <sheetViews>
    <sheetView zoomScaleNormal="90" workbookViewId="0">
      <pane xSplit="1" ySplit="5" topLeftCell="B27" activePane="bottomRight" state="frozen"/>
      <selection pane="topRight" activeCell="B1" sqref="B1"/>
      <selection pane="bottomLeft" activeCell="A6" sqref="A6"/>
      <selection pane="bottomRight" activeCell="A7" sqref="A7:A10"/>
    </sheetView>
  </sheetViews>
  <sheetFormatPr defaultRowHeight="11.25" x14ac:dyDescent="0.2"/>
  <cols>
    <col min="1" max="1" width="46.42578125" style="85" bestFit="1" customWidth="1"/>
    <col min="2" max="2" width="9" style="85" bestFit="1" customWidth="1"/>
    <col min="3" max="4" width="12.28515625" style="85" bestFit="1" customWidth="1"/>
    <col min="5" max="7" width="12.28515625" style="85" customWidth="1"/>
    <col min="8" max="8" width="2.7109375" style="85" customWidth="1"/>
    <col min="9" max="9" width="40.85546875" style="85" bestFit="1" customWidth="1"/>
    <col min="10" max="10" width="7.140625" style="85" bestFit="1" customWidth="1"/>
    <col min="11" max="12" width="12.28515625" style="85" bestFit="1" customWidth="1"/>
    <col min="13" max="15" width="12.28515625" style="85" customWidth="1"/>
    <col min="16" max="264" width="9.140625" style="85"/>
    <col min="265" max="265" width="34.7109375" style="85" bestFit="1" customWidth="1"/>
    <col min="266" max="267" width="10.7109375" style="85" bestFit="1" customWidth="1"/>
    <col min="268" max="268" width="9.140625" style="85"/>
    <col min="269" max="269" width="34.7109375" style="85" bestFit="1" customWidth="1"/>
    <col min="270" max="271" width="9.42578125" style="85" bestFit="1" customWidth="1"/>
    <col min="272" max="520" width="9.140625" style="85"/>
    <col min="521" max="521" width="34.7109375" style="85" bestFit="1" customWidth="1"/>
    <col min="522" max="523" width="10.7109375" style="85" bestFit="1" customWidth="1"/>
    <col min="524" max="524" width="9.140625" style="85"/>
    <col min="525" max="525" width="34.7109375" style="85" bestFit="1" customWidth="1"/>
    <col min="526" max="527" width="9.42578125" style="85" bestFit="1" customWidth="1"/>
    <col min="528" max="776" width="9.140625" style="85"/>
    <col min="777" max="777" width="34.7109375" style="85" bestFit="1" customWidth="1"/>
    <col min="778" max="779" width="10.7109375" style="85" bestFit="1" customWidth="1"/>
    <col min="780" max="780" width="9.140625" style="85"/>
    <col min="781" max="781" width="34.7109375" style="85" bestFit="1" customWidth="1"/>
    <col min="782" max="783" width="9.42578125" style="85" bestFit="1" customWidth="1"/>
    <col min="784" max="1032" width="9.140625" style="85"/>
    <col min="1033" max="1033" width="34.7109375" style="85" bestFit="1" customWidth="1"/>
    <col min="1034" max="1035" width="10.7109375" style="85" bestFit="1" customWidth="1"/>
    <col min="1036" max="1036" width="9.140625" style="85"/>
    <col min="1037" max="1037" width="34.7109375" style="85" bestFit="1" customWidth="1"/>
    <col min="1038" max="1039" width="9.42578125" style="85" bestFit="1" customWidth="1"/>
    <col min="1040" max="1288" width="9.140625" style="85"/>
    <col min="1289" max="1289" width="34.7109375" style="85" bestFit="1" customWidth="1"/>
    <col min="1290" max="1291" width="10.7109375" style="85" bestFit="1" customWidth="1"/>
    <col min="1292" max="1292" width="9.140625" style="85"/>
    <col min="1293" max="1293" width="34.7109375" style="85" bestFit="1" customWidth="1"/>
    <col min="1294" max="1295" width="9.42578125" style="85" bestFit="1" customWidth="1"/>
    <col min="1296" max="1544" width="9.140625" style="85"/>
    <col min="1545" max="1545" width="34.7109375" style="85" bestFit="1" customWidth="1"/>
    <col min="1546" max="1547" width="10.7109375" style="85" bestFit="1" customWidth="1"/>
    <col min="1548" max="1548" width="9.140625" style="85"/>
    <col min="1549" max="1549" width="34.7109375" style="85" bestFit="1" customWidth="1"/>
    <col min="1550" max="1551" width="9.42578125" style="85" bestFit="1" customWidth="1"/>
    <col min="1552" max="1800" width="9.140625" style="85"/>
    <col min="1801" max="1801" width="34.7109375" style="85" bestFit="1" customWidth="1"/>
    <col min="1802" max="1803" width="10.7109375" style="85" bestFit="1" customWidth="1"/>
    <col min="1804" max="1804" width="9.140625" style="85"/>
    <col min="1805" max="1805" width="34.7109375" style="85" bestFit="1" customWidth="1"/>
    <col min="1806" max="1807" width="9.42578125" style="85" bestFit="1" customWidth="1"/>
    <col min="1808" max="2056" width="9.140625" style="85"/>
    <col min="2057" max="2057" width="34.7109375" style="85" bestFit="1" customWidth="1"/>
    <col min="2058" max="2059" width="10.7109375" style="85" bestFit="1" customWidth="1"/>
    <col min="2060" max="2060" width="9.140625" style="85"/>
    <col min="2061" max="2061" width="34.7109375" style="85" bestFit="1" customWidth="1"/>
    <col min="2062" max="2063" width="9.42578125" style="85" bestFit="1" customWidth="1"/>
    <col min="2064" max="2312" width="9.140625" style="85"/>
    <col min="2313" max="2313" width="34.7109375" style="85" bestFit="1" customWidth="1"/>
    <col min="2314" max="2315" width="10.7109375" style="85" bestFit="1" customWidth="1"/>
    <col min="2316" max="2316" width="9.140625" style="85"/>
    <col min="2317" max="2317" width="34.7109375" style="85" bestFit="1" customWidth="1"/>
    <col min="2318" max="2319" width="9.42578125" style="85" bestFit="1" customWidth="1"/>
    <col min="2320" max="2568" width="9.140625" style="85"/>
    <col min="2569" max="2569" width="34.7109375" style="85" bestFit="1" customWidth="1"/>
    <col min="2570" max="2571" width="10.7109375" style="85" bestFit="1" customWidth="1"/>
    <col min="2572" max="2572" width="9.140625" style="85"/>
    <col min="2573" max="2573" width="34.7109375" style="85" bestFit="1" customWidth="1"/>
    <col min="2574" max="2575" width="9.42578125" style="85" bestFit="1" customWidth="1"/>
    <col min="2576" max="2824" width="9.140625" style="85"/>
    <col min="2825" max="2825" width="34.7109375" style="85" bestFit="1" customWidth="1"/>
    <col min="2826" max="2827" width="10.7109375" style="85" bestFit="1" customWidth="1"/>
    <col min="2828" max="2828" width="9.140625" style="85"/>
    <col min="2829" max="2829" width="34.7109375" style="85" bestFit="1" customWidth="1"/>
    <col min="2830" max="2831" width="9.42578125" style="85" bestFit="1" customWidth="1"/>
    <col min="2832" max="3080" width="9.140625" style="85"/>
    <col min="3081" max="3081" width="34.7109375" style="85" bestFit="1" customWidth="1"/>
    <col min="3082" max="3083" width="10.7109375" style="85" bestFit="1" customWidth="1"/>
    <col min="3084" max="3084" width="9.140625" style="85"/>
    <col min="3085" max="3085" width="34.7109375" style="85" bestFit="1" customWidth="1"/>
    <col min="3086" max="3087" width="9.42578125" style="85" bestFit="1" customWidth="1"/>
    <col min="3088" max="3336" width="9.140625" style="85"/>
    <col min="3337" max="3337" width="34.7109375" style="85" bestFit="1" customWidth="1"/>
    <col min="3338" max="3339" width="10.7109375" style="85" bestFit="1" customWidth="1"/>
    <col min="3340" max="3340" width="9.140625" style="85"/>
    <col min="3341" max="3341" width="34.7109375" style="85" bestFit="1" customWidth="1"/>
    <col min="3342" max="3343" width="9.42578125" style="85" bestFit="1" customWidth="1"/>
    <col min="3344" max="3592" width="9.140625" style="85"/>
    <col min="3593" max="3593" width="34.7109375" style="85" bestFit="1" customWidth="1"/>
    <col min="3594" max="3595" width="10.7109375" style="85" bestFit="1" customWidth="1"/>
    <col min="3596" max="3596" width="9.140625" style="85"/>
    <col min="3597" max="3597" width="34.7109375" style="85" bestFit="1" customWidth="1"/>
    <col min="3598" max="3599" width="9.42578125" style="85" bestFit="1" customWidth="1"/>
    <col min="3600" max="3848" width="9.140625" style="85"/>
    <col min="3849" max="3849" width="34.7109375" style="85" bestFit="1" customWidth="1"/>
    <col min="3850" max="3851" width="10.7109375" style="85" bestFit="1" customWidth="1"/>
    <col min="3852" max="3852" width="9.140625" style="85"/>
    <col min="3853" max="3853" width="34.7109375" style="85" bestFit="1" customWidth="1"/>
    <col min="3854" max="3855" width="9.42578125" style="85" bestFit="1" customWidth="1"/>
    <col min="3856" max="4104" width="9.140625" style="85"/>
    <col min="4105" max="4105" width="34.7109375" style="85" bestFit="1" customWidth="1"/>
    <col min="4106" max="4107" width="10.7109375" style="85" bestFit="1" customWidth="1"/>
    <col min="4108" max="4108" width="9.140625" style="85"/>
    <col min="4109" max="4109" width="34.7109375" style="85" bestFit="1" customWidth="1"/>
    <col min="4110" max="4111" width="9.42578125" style="85" bestFit="1" customWidth="1"/>
    <col min="4112" max="4360" width="9.140625" style="85"/>
    <col min="4361" max="4361" width="34.7109375" style="85" bestFit="1" customWidth="1"/>
    <col min="4362" max="4363" width="10.7109375" style="85" bestFit="1" customWidth="1"/>
    <col min="4364" max="4364" width="9.140625" style="85"/>
    <col min="4365" max="4365" width="34.7109375" style="85" bestFit="1" customWidth="1"/>
    <col min="4366" max="4367" width="9.42578125" style="85" bestFit="1" customWidth="1"/>
    <col min="4368" max="4616" width="9.140625" style="85"/>
    <col min="4617" max="4617" width="34.7109375" style="85" bestFit="1" customWidth="1"/>
    <col min="4618" max="4619" width="10.7109375" style="85" bestFit="1" customWidth="1"/>
    <col min="4620" max="4620" width="9.140625" style="85"/>
    <col min="4621" max="4621" width="34.7109375" style="85" bestFit="1" customWidth="1"/>
    <col min="4622" max="4623" width="9.42578125" style="85" bestFit="1" customWidth="1"/>
    <col min="4624" max="4872" width="9.140625" style="85"/>
    <col min="4873" max="4873" width="34.7109375" style="85" bestFit="1" customWidth="1"/>
    <col min="4874" max="4875" width="10.7109375" style="85" bestFit="1" customWidth="1"/>
    <col min="4876" max="4876" width="9.140625" style="85"/>
    <col min="4877" max="4877" width="34.7109375" style="85" bestFit="1" customWidth="1"/>
    <col min="4878" max="4879" width="9.42578125" style="85" bestFit="1" customWidth="1"/>
    <col min="4880" max="5128" width="9.140625" style="85"/>
    <col min="5129" max="5129" width="34.7109375" style="85" bestFit="1" customWidth="1"/>
    <col min="5130" max="5131" width="10.7109375" style="85" bestFit="1" customWidth="1"/>
    <col min="5132" max="5132" width="9.140625" style="85"/>
    <col min="5133" max="5133" width="34.7109375" style="85" bestFit="1" customWidth="1"/>
    <col min="5134" max="5135" width="9.42578125" style="85" bestFit="1" customWidth="1"/>
    <col min="5136" max="5384" width="9.140625" style="85"/>
    <col min="5385" max="5385" width="34.7109375" style="85" bestFit="1" customWidth="1"/>
    <col min="5386" max="5387" width="10.7109375" style="85" bestFit="1" customWidth="1"/>
    <col min="5388" max="5388" width="9.140625" style="85"/>
    <col min="5389" max="5389" width="34.7109375" style="85" bestFit="1" customWidth="1"/>
    <col min="5390" max="5391" width="9.42578125" style="85" bestFit="1" customWidth="1"/>
    <col min="5392" max="5640" width="9.140625" style="85"/>
    <col min="5641" max="5641" width="34.7109375" style="85" bestFit="1" customWidth="1"/>
    <col min="5642" max="5643" width="10.7109375" style="85" bestFit="1" customWidth="1"/>
    <col min="5644" max="5644" width="9.140625" style="85"/>
    <col min="5645" max="5645" width="34.7109375" style="85" bestFit="1" customWidth="1"/>
    <col min="5646" max="5647" width="9.42578125" style="85" bestFit="1" customWidth="1"/>
    <col min="5648" max="5896" width="9.140625" style="85"/>
    <col min="5897" max="5897" width="34.7109375" style="85" bestFit="1" customWidth="1"/>
    <col min="5898" max="5899" width="10.7109375" style="85" bestFit="1" customWidth="1"/>
    <col min="5900" max="5900" width="9.140625" style="85"/>
    <col min="5901" max="5901" width="34.7109375" style="85" bestFit="1" customWidth="1"/>
    <col min="5902" max="5903" width="9.42578125" style="85" bestFit="1" customWidth="1"/>
    <col min="5904" max="6152" width="9.140625" style="85"/>
    <col min="6153" max="6153" width="34.7109375" style="85" bestFit="1" customWidth="1"/>
    <col min="6154" max="6155" width="10.7109375" style="85" bestFit="1" customWidth="1"/>
    <col min="6156" max="6156" width="9.140625" style="85"/>
    <col min="6157" max="6157" width="34.7109375" style="85" bestFit="1" customWidth="1"/>
    <col min="6158" max="6159" width="9.42578125" style="85" bestFit="1" customWidth="1"/>
    <col min="6160" max="6408" width="9.140625" style="85"/>
    <col min="6409" max="6409" width="34.7109375" style="85" bestFit="1" customWidth="1"/>
    <col min="6410" max="6411" width="10.7109375" style="85" bestFit="1" customWidth="1"/>
    <col min="6412" max="6412" width="9.140625" style="85"/>
    <col min="6413" max="6413" width="34.7109375" style="85" bestFit="1" customWidth="1"/>
    <col min="6414" max="6415" width="9.42578125" style="85" bestFit="1" customWidth="1"/>
    <col min="6416" max="6664" width="9.140625" style="85"/>
    <col min="6665" max="6665" width="34.7109375" style="85" bestFit="1" customWidth="1"/>
    <col min="6666" max="6667" width="10.7109375" style="85" bestFit="1" customWidth="1"/>
    <col min="6668" max="6668" width="9.140625" style="85"/>
    <col min="6669" max="6669" width="34.7109375" style="85" bestFit="1" customWidth="1"/>
    <col min="6670" max="6671" width="9.42578125" style="85" bestFit="1" customWidth="1"/>
    <col min="6672" max="6920" width="9.140625" style="85"/>
    <col min="6921" max="6921" width="34.7109375" style="85" bestFit="1" customWidth="1"/>
    <col min="6922" max="6923" width="10.7109375" style="85" bestFit="1" customWidth="1"/>
    <col min="6924" max="6924" width="9.140625" style="85"/>
    <col min="6925" max="6925" width="34.7109375" style="85" bestFit="1" customWidth="1"/>
    <col min="6926" max="6927" width="9.42578125" style="85" bestFit="1" customWidth="1"/>
    <col min="6928" max="7176" width="9.140625" style="85"/>
    <col min="7177" max="7177" width="34.7109375" style="85" bestFit="1" customWidth="1"/>
    <col min="7178" max="7179" width="10.7109375" style="85" bestFit="1" customWidth="1"/>
    <col min="7180" max="7180" width="9.140625" style="85"/>
    <col min="7181" max="7181" width="34.7109375" style="85" bestFit="1" customWidth="1"/>
    <col min="7182" max="7183" width="9.42578125" style="85" bestFit="1" customWidth="1"/>
    <col min="7184" max="7432" width="9.140625" style="85"/>
    <col min="7433" max="7433" width="34.7109375" style="85" bestFit="1" customWidth="1"/>
    <col min="7434" max="7435" width="10.7109375" style="85" bestFit="1" customWidth="1"/>
    <col min="7436" max="7436" width="9.140625" style="85"/>
    <col min="7437" max="7437" width="34.7109375" style="85" bestFit="1" customWidth="1"/>
    <col min="7438" max="7439" width="9.42578125" style="85" bestFit="1" customWidth="1"/>
    <col min="7440" max="7688" width="9.140625" style="85"/>
    <col min="7689" max="7689" width="34.7109375" style="85" bestFit="1" customWidth="1"/>
    <col min="7690" max="7691" width="10.7109375" style="85" bestFit="1" customWidth="1"/>
    <col min="7692" max="7692" width="9.140625" style="85"/>
    <col min="7693" max="7693" width="34.7109375" style="85" bestFit="1" customWidth="1"/>
    <col min="7694" max="7695" width="9.42578125" style="85" bestFit="1" customWidth="1"/>
    <col min="7696" max="7944" width="9.140625" style="85"/>
    <col min="7945" max="7945" width="34.7109375" style="85" bestFit="1" customWidth="1"/>
    <col min="7946" max="7947" width="10.7109375" style="85" bestFit="1" customWidth="1"/>
    <col min="7948" max="7948" width="9.140625" style="85"/>
    <col min="7949" max="7949" width="34.7109375" style="85" bestFit="1" customWidth="1"/>
    <col min="7950" max="7951" width="9.42578125" style="85" bestFit="1" customWidth="1"/>
    <col min="7952" max="8200" width="9.140625" style="85"/>
    <col min="8201" max="8201" width="34.7109375" style="85" bestFit="1" customWidth="1"/>
    <col min="8202" max="8203" width="10.7109375" style="85" bestFit="1" customWidth="1"/>
    <col min="8204" max="8204" width="9.140625" style="85"/>
    <col min="8205" max="8205" width="34.7109375" style="85" bestFit="1" customWidth="1"/>
    <col min="8206" max="8207" width="9.42578125" style="85" bestFit="1" customWidth="1"/>
    <col min="8208" max="8456" width="9.140625" style="85"/>
    <col min="8457" max="8457" width="34.7109375" style="85" bestFit="1" customWidth="1"/>
    <col min="8458" max="8459" width="10.7109375" style="85" bestFit="1" customWidth="1"/>
    <col min="8460" max="8460" width="9.140625" style="85"/>
    <col min="8461" max="8461" width="34.7109375" style="85" bestFit="1" customWidth="1"/>
    <col min="8462" max="8463" width="9.42578125" style="85" bestFit="1" customWidth="1"/>
    <col min="8464" max="8712" width="9.140625" style="85"/>
    <col min="8713" max="8713" width="34.7109375" style="85" bestFit="1" customWidth="1"/>
    <col min="8714" max="8715" width="10.7109375" style="85" bestFit="1" customWidth="1"/>
    <col min="8716" max="8716" width="9.140625" style="85"/>
    <col min="8717" max="8717" width="34.7109375" style="85" bestFit="1" customWidth="1"/>
    <col min="8718" max="8719" width="9.42578125" style="85" bestFit="1" customWidth="1"/>
    <col min="8720" max="8968" width="9.140625" style="85"/>
    <col min="8969" max="8969" width="34.7109375" style="85" bestFit="1" customWidth="1"/>
    <col min="8970" max="8971" width="10.7109375" style="85" bestFit="1" customWidth="1"/>
    <col min="8972" max="8972" width="9.140625" style="85"/>
    <col min="8973" max="8973" width="34.7109375" style="85" bestFit="1" customWidth="1"/>
    <col min="8974" max="8975" width="9.42578125" style="85" bestFit="1" customWidth="1"/>
    <col min="8976" max="9224" width="9.140625" style="85"/>
    <col min="9225" max="9225" width="34.7109375" style="85" bestFit="1" customWidth="1"/>
    <col min="9226" max="9227" width="10.7109375" style="85" bestFit="1" customWidth="1"/>
    <col min="9228" max="9228" width="9.140625" style="85"/>
    <col min="9229" max="9229" width="34.7109375" style="85" bestFit="1" customWidth="1"/>
    <col min="9230" max="9231" width="9.42578125" style="85" bestFit="1" customWidth="1"/>
    <col min="9232" max="9480" width="9.140625" style="85"/>
    <col min="9481" max="9481" width="34.7109375" style="85" bestFit="1" customWidth="1"/>
    <col min="9482" max="9483" width="10.7109375" style="85" bestFit="1" customWidth="1"/>
    <col min="9484" max="9484" width="9.140625" style="85"/>
    <col min="9485" max="9485" width="34.7109375" style="85" bestFit="1" customWidth="1"/>
    <col min="9486" max="9487" width="9.42578125" style="85" bestFit="1" customWidth="1"/>
    <col min="9488" max="9736" width="9.140625" style="85"/>
    <col min="9737" max="9737" width="34.7109375" style="85" bestFit="1" customWidth="1"/>
    <col min="9738" max="9739" width="10.7109375" style="85" bestFit="1" customWidth="1"/>
    <col min="9740" max="9740" width="9.140625" style="85"/>
    <col min="9741" max="9741" width="34.7109375" style="85" bestFit="1" customWidth="1"/>
    <col min="9742" max="9743" width="9.42578125" style="85" bestFit="1" customWidth="1"/>
    <col min="9744" max="9992" width="9.140625" style="85"/>
    <col min="9993" max="9993" width="34.7109375" style="85" bestFit="1" customWidth="1"/>
    <col min="9994" max="9995" width="10.7109375" style="85" bestFit="1" customWidth="1"/>
    <col min="9996" max="9996" width="9.140625" style="85"/>
    <col min="9997" max="9997" width="34.7109375" style="85" bestFit="1" customWidth="1"/>
    <col min="9998" max="9999" width="9.42578125" style="85" bestFit="1" customWidth="1"/>
    <col min="10000" max="10248" width="9.140625" style="85"/>
    <col min="10249" max="10249" width="34.7109375" style="85" bestFit="1" customWidth="1"/>
    <col min="10250" max="10251" width="10.7109375" style="85" bestFit="1" customWidth="1"/>
    <col min="10252" max="10252" width="9.140625" style="85"/>
    <col min="10253" max="10253" width="34.7109375" style="85" bestFit="1" customWidth="1"/>
    <col min="10254" max="10255" width="9.42578125" style="85" bestFit="1" customWidth="1"/>
    <col min="10256" max="10504" width="9.140625" style="85"/>
    <col min="10505" max="10505" width="34.7109375" style="85" bestFit="1" customWidth="1"/>
    <col min="10506" max="10507" width="10.7109375" style="85" bestFit="1" customWidth="1"/>
    <col min="10508" max="10508" width="9.140625" style="85"/>
    <col min="10509" max="10509" width="34.7109375" style="85" bestFit="1" customWidth="1"/>
    <col min="10510" max="10511" width="9.42578125" style="85" bestFit="1" customWidth="1"/>
    <col min="10512" max="10760" width="9.140625" style="85"/>
    <col min="10761" max="10761" width="34.7109375" style="85" bestFit="1" customWidth="1"/>
    <col min="10762" max="10763" width="10.7109375" style="85" bestFit="1" customWidth="1"/>
    <col min="10764" max="10764" width="9.140625" style="85"/>
    <col min="10765" max="10765" width="34.7109375" style="85" bestFit="1" customWidth="1"/>
    <col min="10766" max="10767" width="9.42578125" style="85" bestFit="1" customWidth="1"/>
    <col min="10768" max="11016" width="9.140625" style="85"/>
    <col min="11017" max="11017" width="34.7109375" style="85" bestFit="1" customWidth="1"/>
    <col min="11018" max="11019" width="10.7109375" style="85" bestFit="1" customWidth="1"/>
    <col min="11020" max="11020" width="9.140625" style="85"/>
    <col min="11021" max="11021" width="34.7109375" style="85" bestFit="1" customWidth="1"/>
    <col min="11022" max="11023" width="9.42578125" style="85" bestFit="1" customWidth="1"/>
    <col min="11024" max="11272" width="9.140625" style="85"/>
    <col min="11273" max="11273" width="34.7109375" style="85" bestFit="1" customWidth="1"/>
    <col min="11274" max="11275" width="10.7109375" style="85" bestFit="1" customWidth="1"/>
    <col min="11276" max="11276" width="9.140625" style="85"/>
    <col min="11277" max="11277" width="34.7109375" style="85" bestFit="1" customWidth="1"/>
    <col min="11278" max="11279" width="9.42578125" style="85" bestFit="1" customWidth="1"/>
    <col min="11280" max="11528" width="9.140625" style="85"/>
    <col min="11529" max="11529" width="34.7109375" style="85" bestFit="1" customWidth="1"/>
    <col min="11530" max="11531" width="10.7109375" style="85" bestFit="1" customWidth="1"/>
    <col min="11532" max="11532" width="9.140625" style="85"/>
    <col min="11533" max="11533" width="34.7109375" style="85" bestFit="1" customWidth="1"/>
    <col min="11534" max="11535" width="9.42578125" style="85" bestFit="1" customWidth="1"/>
    <col min="11536" max="11784" width="9.140625" style="85"/>
    <col min="11785" max="11785" width="34.7109375" style="85" bestFit="1" customWidth="1"/>
    <col min="11786" max="11787" width="10.7109375" style="85" bestFit="1" customWidth="1"/>
    <col min="11788" max="11788" width="9.140625" style="85"/>
    <col min="11789" max="11789" width="34.7109375" style="85" bestFit="1" customWidth="1"/>
    <col min="11790" max="11791" width="9.42578125" style="85" bestFit="1" customWidth="1"/>
    <col min="11792" max="12040" width="9.140625" style="85"/>
    <col min="12041" max="12041" width="34.7109375" style="85" bestFit="1" customWidth="1"/>
    <col min="12042" max="12043" width="10.7109375" style="85" bestFit="1" customWidth="1"/>
    <col min="12044" max="12044" width="9.140625" style="85"/>
    <col min="12045" max="12045" width="34.7109375" style="85" bestFit="1" customWidth="1"/>
    <col min="12046" max="12047" width="9.42578125" style="85" bestFit="1" customWidth="1"/>
    <col min="12048" max="12296" width="9.140625" style="85"/>
    <col min="12297" max="12297" width="34.7109375" style="85" bestFit="1" customWidth="1"/>
    <col min="12298" max="12299" width="10.7109375" style="85" bestFit="1" customWidth="1"/>
    <col min="12300" max="12300" width="9.140625" style="85"/>
    <col min="12301" max="12301" width="34.7109375" style="85" bestFit="1" customWidth="1"/>
    <col min="12302" max="12303" width="9.42578125" style="85" bestFit="1" customWidth="1"/>
    <col min="12304" max="12552" width="9.140625" style="85"/>
    <col min="12553" max="12553" width="34.7109375" style="85" bestFit="1" customWidth="1"/>
    <col min="12554" max="12555" width="10.7109375" style="85" bestFit="1" customWidth="1"/>
    <col min="12556" max="12556" width="9.140625" style="85"/>
    <col min="12557" max="12557" width="34.7109375" style="85" bestFit="1" customWidth="1"/>
    <col min="12558" max="12559" width="9.42578125" style="85" bestFit="1" customWidth="1"/>
    <col min="12560" max="12808" width="9.140625" style="85"/>
    <col min="12809" max="12809" width="34.7109375" style="85" bestFit="1" customWidth="1"/>
    <col min="12810" max="12811" width="10.7109375" style="85" bestFit="1" customWidth="1"/>
    <col min="12812" max="12812" width="9.140625" style="85"/>
    <col min="12813" max="12813" width="34.7109375" style="85" bestFit="1" customWidth="1"/>
    <col min="12814" max="12815" width="9.42578125" style="85" bestFit="1" customWidth="1"/>
    <col min="12816" max="13064" width="9.140625" style="85"/>
    <col min="13065" max="13065" width="34.7109375" style="85" bestFit="1" customWidth="1"/>
    <col min="13066" max="13067" width="10.7109375" style="85" bestFit="1" customWidth="1"/>
    <col min="13068" max="13068" width="9.140625" style="85"/>
    <col min="13069" max="13069" width="34.7109375" style="85" bestFit="1" customWidth="1"/>
    <col min="13070" max="13071" width="9.42578125" style="85" bestFit="1" customWidth="1"/>
    <col min="13072" max="13320" width="9.140625" style="85"/>
    <col min="13321" max="13321" width="34.7109375" style="85" bestFit="1" customWidth="1"/>
    <col min="13322" max="13323" width="10.7109375" style="85" bestFit="1" customWidth="1"/>
    <col min="13324" max="13324" width="9.140625" style="85"/>
    <col min="13325" max="13325" width="34.7109375" style="85" bestFit="1" customWidth="1"/>
    <col min="13326" max="13327" width="9.42578125" style="85" bestFit="1" customWidth="1"/>
    <col min="13328" max="13576" width="9.140625" style="85"/>
    <col min="13577" max="13577" width="34.7109375" style="85" bestFit="1" customWidth="1"/>
    <col min="13578" max="13579" width="10.7109375" style="85" bestFit="1" customWidth="1"/>
    <col min="13580" max="13580" width="9.140625" style="85"/>
    <col min="13581" max="13581" width="34.7109375" style="85" bestFit="1" customWidth="1"/>
    <col min="13582" max="13583" width="9.42578125" style="85" bestFit="1" customWidth="1"/>
    <col min="13584" max="13832" width="9.140625" style="85"/>
    <col min="13833" max="13833" width="34.7109375" style="85" bestFit="1" customWidth="1"/>
    <col min="13834" max="13835" width="10.7109375" style="85" bestFit="1" customWidth="1"/>
    <col min="13836" max="13836" width="9.140625" style="85"/>
    <col min="13837" max="13837" width="34.7109375" style="85" bestFit="1" customWidth="1"/>
    <col min="13838" max="13839" width="9.42578125" style="85" bestFit="1" customWidth="1"/>
    <col min="13840" max="14088" width="9.140625" style="85"/>
    <col min="14089" max="14089" width="34.7109375" style="85" bestFit="1" customWidth="1"/>
    <col min="14090" max="14091" width="10.7109375" style="85" bestFit="1" customWidth="1"/>
    <col min="14092" max="14092" width="9.140625" style="85"/>
    <col min="14093" max="14093" width="34.7109375" style="85" bestFit="1" customWidth="1"/>
    <col min="14094" max="14095" width="9.42578125" style="85" bestFit="1" customWidth="1"/>
    <col min="14096" max="14344" width="9.140625" style="85"/>
    <col min="14345" max="14345" width="34.7109375" style="85" bestFit="1" customWidth="1"/>
    <col min="14346" max="14347" width="10.7109375" style="85" bestFit="1" customWidth="1"/>
    <col min="14348" max="14348" width="9.140625" style="85"/>
    <col min="14349" max="14349" width="34.7109375" style="85" bestFit="1" customWidth="1"/>
    <col min="14350" max="14351" width="9.42578125" style="85" bestFit="1" customWidth="1"/>
    <col min="14352" max="14600" width="9.140625" style="85"/>
    <col min="14601" max="14601" width="34.7109375" style="85" bestFit="1" customWidth="1"/>
    <col min="14602" max="14603" width="10.7109375" style="85" bestFit="1" customWidth="1"/>
    <col min="14604" max="14604" width="9.140625" style="85"/>
    <col min="14605" max="14605" width="34.7109375" style="85" bestFit="1" customWidth="1"/>
    <col min="14606" max="14607" width="9.42578125" style="85" bestFit="1" customWidth="1"/>
    <col min="14608" max="14856" width="9.140625" style="85"/>
    <col min="14857" max="14857" width="34.7109375" style="85" bestFit="1" customWidth="1"/>
    <col min="14858" max="14859" width="10.7109375" style="85" bestFit="1" customWidth="1"/>
    <col min="14860" max="14860" width="9.140625" style="85"/>
    <col min="14861" max="14861" width="34.7109375" style="85" bestFit="1" customWidth="1"/>
    <col min="14862" max="14863" width="9.42578125" style="85" bestFit="1" customWidth="1"/>
    <col min="14864" max="15112" width="9.140625" style="85"/>
    <col min="15113" max="15113" width="34.7109375" style="85" bestFit="1" customWidth="1"/>
    <col min="15114" max="15115" width="10.7109375" style="85" bestFit="1" customWidth="1"/>
    <col min="15116" max="15116" width="9.140625" style="85"/>
    <col min="15117" max="15117" width="34.7109375" style="85" bestFit="1" customWidth="1"/>
    <col min="15118" max="15119" width="9.42578125" style="85" bestFit="1" customWidth="1"/>
    <col min="15120" max="15368" width="9.140625" style="85"/>
    <col min="15369" max="15369" width="34.7109375" style="85" bestFit="1" customWidth="1"/>
    <col min="15370" max="15371" width="10.7109375" style="85" bestFit="1" customWidth="1"/>
    <col min="15372" max="15372" width="9.140625" style="85"/>
    <col min="15373" max="15373" width="34.7109375" style="85" bestFit="1" customWidth="1"/>
    <col min="15374" max="15375" width="9.42578125" style="85" bestFit="1" customWidth="1"/>
    <col min="15376" max="15624" width="9.140625" style="85"/>
    <col min="15625" max="15625" width="34.7109375" style="85" bestFit="1" customWidth="1"/>
    <col min="15626" max="15627" width="10.7109375" style="85" bestFit="1" customWidth="1"/>
    <col min="15628" max="15628" width="9.140625" style="85"/>
    <col min="15629" max="15629" width="34.7109375" style="85" bestFit="1" customWidth="1"/>
    <col min="15630" max="15631" width="9.42578125" style="85" bestFit="1" customWidth="1"/>
    <col min="15632" max="15880" width="9.140625" style="85"/>
    <col min="15881" max="15881" width="34.7109375" style="85" bestFit="1" customWidth="1"/>
    <col min="15882" max="15883" width="10.7109375" style="85" bestFit="1" customWidth="1"/>
    <col min="15884" max="15884" width="9.140625" style="85"/>
    <col min="15885" max="15885" width="34.7109375" style="85" bestFit="1" customWidth="1"/>
    <col min="15886" max="15887" width="9.42578125" style="85" bestFit="1" customWidth="1"/>
    <col min="15888" max="16136" width="9.140625" style="85"/>
    <col min="16137" max="16137" width="34.7109375" style="85" bestFit="1" customWidth="1"/>
    <col min="16138" max="16139" width="10.7109375" style="85" bestFit="1" customWidth="1"/>
    <col min="16140" max="16140" width="9.140625" style="85"/>
    <col min="16141" max="16141" width="34.7109375" style="85" bestFit="1" customWidth="1"/>
    <col min="16142" max="16143" width="9.42578125" style="85" bestFit="1" customWidth="1"/>
    <col min="16144" max="16384" width="9.140625" style="85"/>
  </cols>
  <sheetData>
    <row r="1" spans="1:15" x14ac:dyDescent="0.2">
      <c r="A1" s="364" t="s">
        <v>936</v>
      </c>
      <c r="B1" s="364"/>
      <c r="C1" s="364"/>
      <c r="D1" s="364"/>
      <c r="E1" s="364"/>
      <c r="F1" s="364"/>
      <c r="G1" s="364"/>
      <c r="I1" s="364" t="s">
        <v>936</v>
      </c>
      <c r="J1" s="364"/>
      <c r="K1" s="364"/>
      <c r="L1" s="364"/>
      <c r="M1" s="364"/>
      <c r="N1" s="364"/>
      <c r="O1" s="364"/>
    </row>
    <row r="2" spans="1:15" x14ac:dyDescent="0.2">
      <c r="A2" s="364" t="s">
        <v>162</v>
      </c>
      <c r="B2" s="364"/>
      <c r="C2" s="364"/>
      <c r="D2" s="364"/>
      <c r="E2" s="364"/>
      <c r="F2" s="364"/>
      <c r="G2" s="364"/>
      <c r="I2" s="364" t="s">
        <v>207</v>
      </c>
      <c r="J2" s="364"/>
      <c r="K2" s="364"/>
      <c r="L2" s="364"/>
      <c r="M2" s="364"/>
      <c r="N2" s="364"/>
      <c r="O2" s="364"/>
    </row>
    <row r="3" spans="1:15" x14ac:dyDescent="0.2">
      <c r="A3" s="107"/>
      <c r="B3" s="228">
        <v>45717</v>
      </c>
      <c r="C3" s="228">
        <v>45352</v>
      </c>
      <c r="D3" s="228">
        <v>44986</v>
      </c>
      <c r="E3" s="228">
        <v>44621</v>
      </c>
      <c r="F3" s="228">
        <v>44256</v>
      </c>
      <c r="G3" s="228">
        <v>43891</v>
      </c>
      <c r="I3" s="107"/>
      <c r="J3" s="228">
        <v>45717</v>
      </c>
      <c r="K3" s="228">
        <v>45352</v>
      </c>
      <c r="L3" s="228">
        <v>44986</v>
      </c>
      <c r="M3" s="228">
        <v>44621</v>
      </c>
      <c r="N3" s="228">
        <v>44256</v>
      </c>
      <c r="O3" s="228">
        <v>43891</v>
      </c>
    </row>
    <row r="4" spans="1:15" x14ac:dyDescent="0.2">
      <c r="A4" s="365" t="s">
        <v>208</v>
      </c>
      <c r="B4" s="365"/>
      <c r="C4" s="365"/>
      <c r="D4" s="365"/>
      <c r="E4" s="365"/>
      <c r="F4" s="365"/>
      <c r="G4" s="365"/>
      <c r="I4" s="365" t="s">
        <v>208</v>
      </c>
      <c r="J4" s="365"/>
      <c r="K4" s="365"/>
      <c r="L4" s="365"/>
      <c r="M4" s="365"/>
      <c r="N4" s="365"/>
      <c r="O4" s="365"/>
    </row>
    <row r="5" spans="1:15" x14ac:dyDescent="0.2">
      <c r="A5" s="104" t="s">
        <v>209</v>
      </c>
      <c r="B5" s="108">
        <f>B6+B13+B15+B16+B14+B12</f>
        <v>4204.87</v>
      </c>
      <c r="C5" s="108">
        <f>C6+C13+C15+C16+C14+C12</f>
        <v>3703.47</v>
      </c>
      <c r="D5" s="108">
        <f t="shared" ref="D5:G5" si="0">D6+D13+D15+D16+D14+D12</f>
        <v>3220.56</v>
      </c>
      <c r="E5" s="108">
        <f t="shared" si="0"/>
        <v>2832.5600000000004</v>
      </c>
      <c r="F5" s="108">
        <f t="shared" si="0"/>
        <v>2669.369999999999</v>
      </c>
      <c r="G5" s="108">
        <f t="shared" si="0"/>
        <v>2759.91</v>
      </c>
      <c r="I5" s="104" t="s">
        <v>209</v>
      </c>
      <c r="J5" s="102">
        <f t="shared" ref="J5:K15" si="1">B5/B$24</f>
        <v>0.47789238962674374</v>
      </c>
      <c r="K5" s="102">
        <f t="shared" si="1"/>
        <v>0.49423026365833445</v>
      </c>
      <c r="L5" s="102">
        <f t="shared" ref="L5:L15" si="2">D5/D$24</f>
        <v>0.50223706145720104</v>
      </c>
      <c r="M5" s="102">
        <f t="shared" ref="M5:M15" si="3">E5/E$24</f>
        <v>0.4985216264924533</v>
      </c>
      <c r="N5" s="102">
        <f t="shared" ref="N5:N15" si="4">F5/F$24</f>
        <v>0.47893103200803777</v>
      </c>
      <c r="O5" s="102">
        <f t="shared" ref="O5:O15" si="5">G5/G$24</f>
        <v>0.56238958159703478</v>
      </c>
    </row>
    <row r="6" spans="1:15" s="196" customFormat="1" x14ac:dyDescent="0.2">
      <c r="A6" s="121" t="s">
        <v>210</v>
      </c>
      <c r="B6" s="109">
        <f t="shared" ref="B6:G6" si="6">SUM(B7:B10)</f>
        <v>4010.61</v>
      </c>
      <c r="C6" s="109">
        <f t="shared" si="6"/>
        <v>3397.21</v>
      </c>
      <c r="D6" s="109">
        <f t="shared" si="6"/>
        <v>2923.73</v>
      </c>
      <c r="E6" s="109">
        <f t="shared" si="6"/>
        <v>2658.3100000000004</v>
      </c>
      <c r="F6" s="109">
        <f t="shared" si="6"/>
        <v>2524.7499999999995</v>
      </c>
      <c r="G6" s="109">
        <f t="shared" si="6"/>
        <v>2569.81</v>
      </c>
      <c r="I6" s="121" t="s">
        <v>210</v>
      </c>
      <c r="J6" s="98">
        <f t="shared" si="1"/>
        <v>0.45581432880467526</v>
      </c>
      <c r="K6" s="98">
        <f t="shared" si="1"/>
        <v>0.45335968537688448</v>
      </c>
      <c r="L6" s="98">
        <f t="shared" si="2"/>
        <v>0.45594727739718016</v>
      </c>
      <c r="M6" s="98">
        <f t="shared" si="3"/>
        <v>0.4678541760531652</v>
      </c>
      <c r="N6" s="98">
        <f t="shared" si="4"/>
        <v>0.45298370891344908</v>
      </c>
      <c r="O6" s="98">
        <f t="shared" si="5"/>
        <v>0.52365271718421103</v>
      </c>
    </row>
    <row r="7" spans="1:15" x14ac:dyDescent="0.2">
      <c r="A7" s="110" t="s">
        <v>211</v>
      </c>
      <c r="B7" s="111">
        <f>Financials_Consol!B30</f>
        <v>3612.46</v>
      </c>
      <c r="C7" s="111">
        <f>Financials_Consol!C30</f>
        <v>3133.65</v>
      </c>
      <c r="D7" s="111">
        <f>Financials_Consol!D30</f>
        <v>2634.68</v>
      </c>
      <c r="E7" s="111">
        <f>Financials_Consol!E30</f>
        <v>2455.8200000000002</v>
      </c>
      <c r="F7" s="111">
        <f>Financials_Consol!F30</f>
        <v>2350.9299999999998</v>
      </c>
      <c r="G7" s="111">
        <f>Financials_Consol!G30</f>
        <v>2410.42</v>
      </c>
      <c r="I7" s="110" t="s">
        <v>211</v>
      </c>
      <c r="J7" s="53">
        <f t="shared" si="1"/>
        <v>0.41056373724539091</v>
      </c>
      <c r="K7" s="53">
        <f t="shared" si="1"/>
        <v>0.41818744737042285</v>
      </c>
      <c r="L7" s="53">
        <f t="shared" si="2"/>
        <v>0.41087076194204064</v>
      </c>
      <c r="M7" s="53">
        <f t="shared" si="3"/>
        <v>0.43221657467898178</v>
      </c>
      <c r="N7" s="53">
        <f t="shared" si="4"/>
        <v>0.42179740203818</v>
      </c>
      <c r="O7" s="53">
        <f t="shared" si="5"/>
        <v>0.49117365974728333</v>
      </c>
    </row>
    <row r="8" spans="1:15" x14ac:dyDescent="0.2">
      <c r="A8" s="110" t="s">
        <v>212</v>
      </c>
      <c r="B8" s="111">
        <f>Financials_Consol!B31</f>
        <v>105.18</v>
      </c>
      <c r="C8" s="111">
        <f>Financials_Consol!C31</f>
        <v>104.29</v>
      </c>
      <c r="D8" s="111">
        <f>Financials_Consol!D31</f>
        <v>118.16</v>
      </c>
      <c r="E8" s="111">
        <f>Financials_Consol!E31</f>
        <v>83.18</v>
      </c>
      <c r="F8" s="111">
        <f>Financials_Consol!F31</f>
        <v>77.66</v>
      </c>
      <c r="G8" s="111">
        <f>Financials_Consol!G31</f>
        <v>33.44</v>
      </c>
      <c r="I8" s="110" t="s">
        <v>212</v>
      </c>
      <c r="J8" s="53">
        <f t="shared" si="1"/>
        <v>1.1953929976655857E-2</v>
      </c>
      <c r="K8" s="53">
        <f t="shared" si="1"/>
        <v>1.3917562231347278E-2</v>
      </c>
      <c r="L8" s="53">
        <f t="shared" si="2"/>
        <v>1.8426711870538938E-2</v>
      </c>
      <c r="M8" s="53">
        <f t="shared" si="3"/>
        <v>1.4639417661635505E-2</v>
      </c>
      <c r="N8" s="53">
        <f t="shared" si="4"/>
        <v>1.3933543849576575E-2</v>
      </c>
      <c r="O8" s="53">
        <f t="shared" si="5"/>
        <v>6.814101767305761E-3</v>
      </c>
    </row>
    <row r="9" spans="1:15" x14ac:dyDescent="0.2">
      <c r="A9" s="110" t="s">
        <v>478</v>
      </c>
      <c r="B9" s="111">
        <f>Financials_Consol!B32</f>
        <v>290.14999999999998</v>
      </c>
      <c r="C9" s="111">
        <f>Financials_Consol!C32</f>
        <v>156.72</v>
      </c>
      <c r="D9" s="111">
        <f>Financials_Consol!D32</f>
        <v>168.36</v>
      </c>
      <c r="E9" s="111">
        <f>Financials_Consol!E32</f>
        <v>119.05</v>
      </c>
      <c r="F9" s="111">
        <f>Financials_Consol!F32</f>
        <v>92.99</v>
      </c>
      <c r="G9" s="111">
        <f>Financials_Consol!G32</f>
        <v>106.45</v>
      </c>
      <c r="I9" s="110" t="s">
        <v>495</v>
      </c>
      <c r="J9" s="53">
        <f t="shared" si="1"/>
        <v>3.2976162604361058E-2</v>
      </c>
      <c r="K9" s="53">
        <f t="shared" si="1"/>
        <v>2.0914376765718144E-2</v>
      </c>
      <c r="L9" s="53">
        <f t="shared" si="2"/>
        <v>2.6255257367331888E-2</v>
      </c>
      <c r="M9" s="53">
        <f t="shared" si="3"/>
        <v>2.0952424532552374E-2</v>
      </c>
      <c r="N9" s="53">
        <f t="shared" si="4"/>
        <v>1.6684010334433761E-2</v>
      </c>
      <c r="O9" s="53">
        <f t="shared" si="5"/>
        <v>2.1691421445266097E-2</v>
      </c>
    </row>
    <row r="10" spans="1:15" x14ac:dyDescent="0.2">
      <c r="A10" s="110" t="s">
        <v>490</v>
      </c>
      <c r="B10" s="111">
        <f>Financials_Consol!B33</f>
        <v>2.82</v>
      </c>
      <c r="C10" s="111">
        <f>Financials_Consol!C33</f>
        <v>2.5499999999999998</v>
      </c>
      <c r="D10" s="111">
        <f>Financials_Consol!D33</f>
        <v>2.5299999999999998</v>
      </c>
      <c r="E10" s="111">
        <f>Financials_Consol!E33</f>
        <v>0.26</v>
      </c>
      <c r="F10" s="111">
        <f>Financials_Consol!F33</f>
        <v>3.17</v>
      </c>
      <c r="G10" s="111">
        <f>Financials_Consol!G33</f>
        <v>19.5</v>
      </c>
      <c r="I10" s="110" t="s">
        <v>213</v>
      </c>
      <c r="J10" s="53">
        <f t="shared" si="1"/>
        <v>3.2049897826744167E-4</v>
      </c>
      <c r="K10" s="53">
        <f t="shared" si="1"/>
        <v>3.4029900939625614E-4</v>
      </c>
      <c r="L10" s="53">
        <f t="shared" si="2"/>
        <v>3.9454621726864851E-4</v>
      </c>
      <c r="M10" s="53">
        <f t="shared" si="3"/>
        <v>4.5759179995494482E-5</v>
      </c>
      <c r="N10" s="53">
        <f t="shared" si="4"/>
        <v>5.6875269125879148E-4</v>
      </c>
      <c r="O10" s="53">
        <f t="shared" si="5"/>
        <v>3.9735342243559313E-3</v>
      </c>
    </row>
    <row r="11" spans="1:15" x14ac:dyDescent="0.2">
      <c r="A11" s="110" t="s">
        <v>638</v>
      </c>
      <c r="B11" s="111">
        <f>Financials_Consol!B33</f>
        <v>2.82</v>
      </c>
      <c r="C11" s="111">
        <f>Financials_Consol!C33</f>
        <v>2.5499999999999998</v>
      </c>
      <c r="D11" s="111">
        <f>Financials_Consol!D33</f>
        <v>2.5299999999999998</v>
      </c>
      <c r="E11" s="111">
        <f>Financials_Consol!E33</f>
        <v>0.26</v>
      </c>
      <c r="F11" s="111">
        <f>Financials_Consol!F33</f>
        <v>3.17</v>
      </c>
      <c r="G11" s="111">
        <f>Financials_Consol!G33</f>
        <v>19.5</v>
      </c>
      <c r="I11" s="110" t="s">
        <v>638</v>
      </c>
      <c r="J11" s="53">
        <f t="shared" si="1"/>
        <v>3.2049897826744167E-4</v>
      </c>
      <c r="K11" s="53">
        <f t="shared" si="1"/>
        <v>3.4029900939625614E-4</v>
      </c>
      <c r="L11" s="53">
        <f t="shared" si="2"/>
        <v>3.9454621726864851E-4</v>
      </c>
      <c r="M11" s="53">
        <f t="shared" si="3"/>
        <v>4.5759179995494482E-5</v>
      </c>
      <c r="N11" s="53">
        <f t="shared" si="4"/>
        <v>5.6875269125879148E-4</v>
      </c>
      <c r="O11" s="53">
        <f t="shared" si="5"/>
        <v>3.9735342243559313E-3</v>
      </c>
    </row>
    <row r="12" spans="1:15" x14ac:dyDescent="0.2">
      <c r="A12" s="94" t="s">
        <v>507</v>
      </c>
      <c r="B12" s="112">
        <f>Financials_Consol!B35</f>
        <v>0</v>
      </c>
      <c r="C12" s="112">
        <f>Financials_Consol!C35</f>
        <v>0</v>
      </c>
      <c r="D12" s="112">
        <f>Financials_Consol!D35</f>
        <v>0</v>
      </c>
      <c r="E12" s="112">
        <f>Financials_Consol!E35</f>
        <v>0</v>
      </c>
      <c r="F12" s="112">
        <f>Financials_Consol!F35</f>
        <v>0</v>
      </c>
      <c r="G12" s="112">
        <f>Financials_Consol!G35</f>
        <v>0</v>
      </c>
      <c r="I12" s="110" t="s">
        <v>507</v>
      </c>
      <c r="J12" s="53">
        <f t="shared" si="1"/>
        <v>0</v>
      </c>
      <c r="K12" s="53">
        <f t="shared" si="1"/>
        <v>0</v>
      </c>
      <c r="L12" s="53">
        <f t="shared" si="2"/>
        <v>0</v>
      </c>
      <c r="M12" s="53">
        <f t="shared" si="3"/>
        <v>0</v>
      </c>
      <c r="N12" s="53">
        <f t="shared" si="4"/>
        <v>0</v>
      </c>
      <c r="O12" s="53">
        <f t="shared" si="5"/>
        <v>0</v>
      </c>
    </row>
    <row r="13" spans="1:15" x14ac:dyDescent="0.2">
      <c r="A13" s="94" t="s">
        <v>214</v>
      </c>
      <c r="B13" s="112">
        <f>Financials_Consol!B36</f>
        <v>15.68</v>
      </c>
      <c r="C13" s="112">
        <f>Financials_Consol!C36</f>
        <v>27.52</v>
      </c>
      <c r="D13" s="112">
        <f>Financials_Consol!D36</f>
        <v>25.47</v>
      </c>
      <c r="E13" s="112">
        <f>Financials_Consol!E36</f>
        <v>1.19</v>
      </c>
      <c r="F13" s="112">
        <f>Financials_Consol!F36</f>
        <v>1.2</v>
      </c>
      <c r="G13" s="112">
        <f>Financials_Consol!G36</f>
        <v>1.19</v>
      </c>
      <c r="I13" s="94" t="s">
        <v>214</v>
      </c>
      <c r="J13" s="53">
        <f t="shared" si="1"/>
        <v>1.7820652408629381E-3</v>
      </c>
      <c r="K13" s="53">
        <f t="shared" si="1"/>
        <v>3.6725602896411648E-3</v>
      </c>
      <c r="L13" s="53">
        <f t="shared" si="2"/>
        <v>3.9719731833329948E-3</v>
      </c>
      <c r="M13" s="53">
        <f t="shared" si="3"/>
        <v>2.094362469024555E-4</v>
      </c>
      <c r="N13" s="53">
        <f t="shared" si="4"/>
        <v>2.1530070331563083E-4</v>
      </c>
      <c r="O13" s="53">
        <f t="shared" si="5"/>
        <v>2.42487473178644E-4</v>
      </c>
    </row>
    <row r="14" spans="1:15" x14ac:dyDescent="0.2">
      <c r="A14" s="94" t="s">
        <v>273</v>
      </c>
      <c r="B14" s="112">
        <f>Financials_Consol!B37</f>
        <v>69.510000000000005</v>
      </c>
      <c r="C14" s="112">
        <f>Financials_Consol!C37</f>
        <v>78.27</v>
      </c>
      <c r="D14" s="112">
        <f>Financials_Consol!D37</f>
        <v>71.98</v>
      </c>
      <c r="E14" s="112">
        <f>Financials_Consol!E37</f>
        <v>75.14</v>
      </c>
      <c r="F14" s="112">
        <f>Financials_Consol!F37</f>
        <v>60.24</v>
      </c>
      <c r="G14" s="112">
        <f>Financials_Consol!G37</f>
        <v>32.08</v>
      </c>
      <c r="I14" s="94" t="s">
        <v>273</v>
      </c>
      <c r="J14" s="53">
        <f t="shared" si="1"/>
        <v>7.8999588579325795E-3</v>
      </c>
      <c r="K14" s="53">
        <f t="shared" si="1"/>
        <v>1.0445177829586262E-2</v>
      </c>
      <c r="L14" s="53">
        <f t="shared" si="2"/>
        <v>1.1225073801975226E-2</v>
      </c>
      <c r="M14" s="53">
        <f t="shared" si="3"/>
        <v>1.3224403018697905E-2</v>
      </c>
      <c r="N14" s="53">
        <f t="shared" si="4"/>
        <v>1.0808095306444668E-2</v>
      </c>
      <c r="O14" s="53">
        <f t="shared" si="5"/>
        <v>6.5369732265301676E-3</v>
      </c>
    </row>
    <row r="15" spans="1:15" x14ac:dyDescent="0.2">
      <c r="A15" s="94" t="s">
        <v>215</v>
      </c>
      <c r="B15" s="112">
        <f>Financials_Consol!B38</f>
        <v>0</v>
      </c>
      <c r="C15" s="112">
        <f>Financials_Consol!C38</f>
        <v>0</v>
      </c>
      <c r="D15" s="112">
        <f>Financials_Consol!D38</f>
        <v>0</v>
      </c>
      <c r="E15" s="112">
        <f>Financials_Consol!E38</f>
        <v>0</v>
      </c>
      <c r="F15" s="112">
        <f>Financials_Consol!F38</f>
        <v>2.68</v>
      </c>
      <c r="G15" s="112">
        <f>Financials_Consol!G38</f>
        <v>156.83000000000001</v>
      </c>
      <c r="I15" s="94" t="s">
        <v>215</v>
      </c>
      <c r="J15" s="53">
        <f t="shared" si="1"/>
        <v>0</v>
      </c>
      <c r="K15" s="53">
        <f t="shared" si="1"/>
        <v>0</v>
      </c>
      <c r="L15" s="53">
        <f t="shared" si="2"/>
        <v>0</v>
      </c>
      <c r="M15" s="53">
        <f t="shared" si="3"/>
        <v>0</v>
      </c>
      <c r="N15" s="53">
        <f t="shared" si="4"/>
        <v>4.8083823740490892E-4</v>
      </c>
      <c r="O15" s="53">
        <f t="shared" si="5"/>
        <v>3.195740371311491E-2</v>
      </c>
    </row>
    <row r="16" spans="1:15" x14ac:dyDescent="0.2">
      <c r="A16" s="94" t="s">
        <v>216</v>
      </c>
      <c r="B16" s="112">
        <f>Financials_Consol!B39</f>
        <v>109.07</v>
      </c>
      <c r="C16" s="112">
        <f>Financials_Consol!C39</f>
        <v>200.47</v>
      </c>
      <c r="D16" s="112">
        <f>Financials_Consol!D39</f>
        <v>199.38</v>
      </c>
      <c r="E16" s="112">
        <f>Financials_Consol!E39</f>
        <v>97.92</v>
      </c>
      <c r="F16" s="112">
        <f>Financials_Consol!F39</f>
        <v>80.5</v>
      </c>
      <c r="G16" s="112">
        <f>Financials_Consol!G39</f>
        <v>0</v>
      </c>
      <c r="I16" s="94" t="s">
        <v>216</v>
      </c>
      <c r="J16" s="53">
        <f t="shared" ref="J16:O23" si="7">B16/B$24</f>
        <v>1.2396036723273E-2</v>
      </c>
      <c r="K16" s="53">
        <f t="shared" si="7"/>
        <v>2.6752840162222541E-2</v>
      </c>
      <c r="L16" s="53">
        <f t="shared" si="7"/>
        <v>3.1092737074712704E-2</v>
      </c>
      <c r="M16" s="53">
        <f t="shared" si="7"/>
        <v>1.7233611173687768E-2</v>
      </c>
      <c r="N16" s="53">
        <f t="shared" si="7"/>
        <v>1.444308884742357E-2</v>
      </c>
      <c r="O16" s="53">
        <f t="shared" si="7"/>
        <v>0</v>
      </c>
    </row>
    <row r="17" spans="1:15" x14ac:dyDescent="0.2">
      <c r="A17" s="104" t="s">
        <v>217</v>
      </c>
      <c r="B17" s="108">
        <f>SUM(B18:B23)</f>
        <v>4593.91</v>
      </c>
      <c r="C17" s="108">
        <f>SUM(C18:C23)</f>
        <v>3789.94</v>
      </c>
      <c r="D17" s="108">
        <f t="shared" ref="D17:G17" si="8">SUM(D18:D23)</f>
        <v>3191.87</v>
      </c>
      <c r="E17" s="108">
        <f t="shared" si="8"/>
        <v>2849.3599999999997</v>
      </c>
      <c r="F17" s="108">
        <f t="shared" si="8"/>
        <v>2904.2300000000005</v>
      </c>
      <c r="G17" s="108">
        <f t="shared" si="8"/>
        <v>2147.56</v>
      </c>
      <c r="I17" s="104" t="s">
        <v>217</v>
      </c>
      <c r="J17" s="102">
        <f t="shared" si="7"/>
        <v>0.52210761037325637</v>
      </c>
      <c r="K17" s="102">
        <f t="shared" si="7"/>
        <v>0.50576973634166555</v>
      </c>
      <c r="L17" s="102">
        <f t="shared" si="7"/>
        <v>0.49776293854279885</v>
      </c>
      <c r="M17" s="102">
        <f t="shared" si="7"/>
        <v>0.50147837350754665</v>
      </c>
      <c r="N17" s="102">
        <f t="shared" si="7"/>
        <v>0.52106896799196223</v>
      </c>
      <c r="O17" s="102">
        <f t="shared" si="7"/>
        <v>0.43761041840296533</v>
      </c>
    </row>
    <row r="18" spans="1:15" x14ac:dyDescent="0.2">
      <c r="A18" s="94" t="s">
        <v>218</v>
      </c>
      <c r="B18" s="112">
        <f>Financials_Consol!B42</f>
        <v>787.93</v>
      </c>
      <c r="C18" s="112">
        <f>Financials_Consol!C42</f>
        <v>765.07</v>
      </c>
      <c r="D18" s="112">
        <f>Financials_Consol!D42</f>
        <v>646.37</v>
      </c>
      <c r="E18" s="112">
        <f>Financials_Consol!E42</f>
        <v>485.59</v>
      </c>
      <c r="F18" s="112">
        <f>Financials_Consol!F42</f>
        <v>443.14</v>
      </c>
      <c r="G18" s="112">
        <f>Financials_Consol!G42</f>
        <v>164.83</v>
      </c>
      <c r="I18" s="94" t="s">
        <v>218</v>
      </c>
      <c r="J18" s="53">
        <f t="shared" si="7"/>
        <v>8.9549914874562167E-2</v>
      </c>
      <c r="K18" s="53">
        <f t="shared" si="7"/>
        <v>0.10209904436031127</v>
      </c>
      <c r="L18" s="53">
        <f t="shared" si="7"/>
        <v>0.10079954089167445</v>
      </c>
      <c r="M18" s="53">
        <f t="shared" si="7"/>
        <v>8.5462308515431393E-2</v>
      </c>
      <c r="N18" s="53">
        <f t="shared" si="7"/>
        <v>7.9506961389407216E-2</v>
      </c>
      <c r="O18" s="53">
        <f t="shared" si="7"/>
        <v>3.3587571600030168E-2</v>
      </c>
    </row>
    <row r="19" spans="1:15" x14ac:dyDescent="0.2">
      <c r="A19" s="94" t="s">
        <v>157</v>
      </c>
      <c r="B19" s="112">
        <f>Financials_Consol!B43</f>
        <v>936.37</v>
      </c>
      <c r="C19" s="112">
        <f>Financials_Consol!C43</f>
        <v>872.21</v>
      </c>
      <c r="D19" s="112">
        <f>Financials_Consol!D43</f>
        <v>820.58</v>
      </c>
      <c r="E19" s="112">
        <f>Financials_Consol!E43</f>
        <v>701.14</v>
      </c>
      <c r="F19" s="112">
        <f>Financials_Consol!F43</f>
        <v>611.85</v>
      </c>
      <c r="G19" s="112">
        <f>Financials_Consol!G43</f>
        <v>550.1</v>
      </c>
      <c r="I19" s="94" t="s">
        <v>157</v>
      </c>
      <c r="J19" s="53">
        <f t="shared" si="7"/>
        <v>0.10642043556038452</v>
      </c>
      <c r="K19" s="53">
        <f t="shared" si="7"/>
        <v>0.11639694077863083</v>
      </c>
      <c r="L19" s="53">
        <f t="shared" si="7"/>
        <v>0.12796708891948919</v>
      </c>
      <c r="M19" s="53">
        <f t="shared" si="7"/>
        <v>0.12339842870015769</v>
      </c>
      <c r="N19" s="53">
        <f t="shared" si="7"/>
        <v>0.10977644610305728</v>
      </c>
      <c r="O19" s="53">
        <f t="shared" si="7"/>
        <v>0.11209441932401015</v>
      </c>
    </row>
    <row r="20" spans="1:15" x14ac:dyDescent="0.2">
      <c r="A20" s="94" t="s">
        <v>219</v>
      </c>
      <c r="B20" s="112">
        <f>Financials_Consol!B44</f>
        <v>1418.58</v>
      </c>
      <c r="C20" s="112">
        <f>Financials_Consol!C44</f>
        <v>1262.3800000000001</v>
      </c>
      <c r="D20" s="112">
        <f>Financials_Consol!D44</f>
        <v>1162.03</v>
      </c>
      <c r="E20" s="112">
        <f>Financials_Consol!E44</f>
        <v>970.37</v>
      </c>
      <c r="F20" s="112">
        <f>Financials_Consol!F44</f>
        <v>1040.98</v>
      </c>
      <c r="G20" s="112">
        <f>Financials_Consol!G44</f>
        <v>672.74</v>
      </c>
      <c r="I20" s="113" t="s">
        <v>219</v>
      </c>
      <c r="J20" s="114">
        <f t="shared" si="7"/>
        <v>0.16122462432291751</v>
      </c>
      <c r="K20" s="114">
        <f t="shared" si="7"/>
        <v>0.16846535822809644</v>
      </c>
      <c r="L20" s="114">
        <f t="shared" si="7"/>
        <v>0.18121523353861171</v>
      </c>
      <c r="M20" s="114">
        <f t="shared" si="7"/>
        <v>0.17078205958549222</v>
      </c>
      <c r="N20" s="114">
        <f t="shared" si="7"/>
        <v>0.18676977178125451</v>
      </c>
      <c r="O20" s="114">
        <f t="shared" si="7"/>
        <v>0.13708489303042098</v>
      </c>
    </row>
    <row r="21" spans="1:15" x14ac:dyDescent="0.2">
      <c r="A21" s="94" t="s">
        <v>220</v>
      </c>
      <c r="B21" s="112">
        <f>Financials_Consol!B45</f>
        <v>1018.9</v>
      </c>
      <c r="C21" s="112">
        <f>Financials_Consol!C45</f>
        <v>504.68</v>
      </c>
      <c r="D21" s="112">
        <f>Financials_Consol!D45</f>
        <v>287.70999999999998</v>
      </c>
      <c r="E21" s="112">
        <f>Financials_Consol!E45</f>
        <v>402.64</v>
      </c>
      <c r="F21" s="112">
        <f>Financials_Consol!F45</f>
        <v>513.33000000000004</v>
      </c>
      <c r="G21" s="112">
        <f>Financials_Consol!G45</f>
        <v>620.95000000000005</v>
      </c>
      <c r="I21" s="94" t="s">
        <v>220</v>
      </c>
      <c r="J21" s="53">
        <f t="shared" si="7"/>
        <v>0.11580014502010508</v>
      </c>
      <c r="K21" s="53">
        <f t="shared" si="7"/>
        <v>6.7349844730236308E-2</v>
      </c>
      <c r="L21" s="53">
        <f t="shared" si="7"/>
        <v>4.4867546312396388E-2</v>
      </c>
      <c r="M21" s="53">
        <f t="shared" si="7"/>
        <v>7.0863370128407294E-2</v>
      </c>
      <c r="N21" s="53">
        <f t="shared" si="7"/>
        <v>9.2100258360843998E-2</v>
      </c>
      <c r="O21" s="53">
        <f t="shared" si="7"/>
        <v>0.12653159367250338</v>
      </c>
    </row>
    <row r="22" spans="1:15" x14ac:dyDescent="0.2">
      <c r="A22" s="94" t="s">
        <v>221</v>
      </c>
      <c r="B22" s="112">
        <f>Financials_Consol!B46</f>
        <v>3.36</v>
      </c>
      <c r="C22" s="112">
        <f>Financials_Consol!C46</f>
        <v>2</v>
      </c>
      <c r="D22" s="112">
        <f>Financials_Consol!D46</f>
        <v>1.65</v>
      </c>
      <c r="E22" s="112">
        <f>Financials_Consol!E46</f>
        <v>3.72</v>
      </c>
      <c r="F22" s="112">
        <f>Financials_Consol!F46</f>
        <v>5.32</v>
      </c>
      <c r="G22" s="112">
        <f>Financials_Consol!G46</f>
        <v>2.0099999999999998</v>
      </c>
      <c r="I22" s="94" t="s">
        <v>221</v>
      </c>
      <c r="J22" s="53">
        <f t="shared" si="7"/>
        <v>3.8187112304205814E-4</v>
      </c>
      <c r="K22" s="53">
        <f t="shared" si="7"/>
        <v>2.6690118384020093E-4</v>
      </c>
      <c r="L22" s="53">
        <f t="shared" si="7"/>
        <v>2.5731275039259685E-4</v>
      </c>
      <c r="M22" s="53">
        <f t="shared" si="7"/>
        <v>6.5470826762784409E-4</v>
      </c>
      <c r="N22" s="53">
        <f t="shared" si="7"/>
        <v>9.5449978469929679E-4</v>
      </c>
      <c r="O22" s="53">
        <f t="shared" si="7"/>
        <v>4.0957968158745751E-4</v>
      </c>
    </row>
    <row r="23" spans="1:15" x14ac:dyDescent="0.2">
      <c r="A23" s="94" t="s">
        <v>222</v>
      </c>
      <c r="B23" s="112">
        <f>Financials_Consol!B47</f>
        <v>428.77</v>
      </c>
      <c r="C23" s="112">
        <f>Financials_Consol!C47</f>
        <v>383.6</v>
      </c>
      <c r="D23" s="112">
        <f>Financials_Consol!D47</f>
        <v>273.52999999999997</v>
      </c>
      <c r="E23" s="112">
        <f>Financials_Consol!E47</f>
        <v>285.89999999999998</v>
      </c>
      <c r="F23" s="112">
        <f>Financials_Consol!F47</f>
        <v>289.61</v>
      </c>
      <c r="G23" s="112">
        <f>Financials_Consol!G47</f>
        <v>136.93</v>
      </c>
      <c r="I23" s="94" t="s">
        <v>222</v>
      </c>
      <c r="J23" s="53">
        <f t="shared" si="7"/>
        <v>4.8730619472245017E-2</v>
      </c>
      <c r="K23" s="53">
        <f t="shared" si="7"/>
        <v>5.1191647060550544E-2</v>
      </c>
      <c r="L23" s="53">
        <f t="shared" si="7"/>
        <v>4.2656216130234556E-2</v>
      </c>
      <c r="M23" s="53">
        <f t="shared" si="7"/>
        <v>5.0317498310430274E-2</v>
      </c>
      <c r="N23" s="53">
        <f t="shared" si="7"/>
        <v>5.1961030572699879E-2</v>
      </c>
      <c r="O23" s="53">
        <f t="shared" si="7"/>
        <v>2.7902361094413217E-2</v>
      </c>
    </row>
    <row r="24" spans="1:15" x14ac:dyDescent="0.2">
      <c r="A24" s="115" t="s">
        <v>160</v>
      </c>
      <c r="B24" s="116">
        <f>B5+B17</f>
        <v>8798.7799999999988</v>
      </c>
      <c r="C24" s="116">
        <f>C5+C17</f>
        <v>7493.41</v>
      </c>
      <c r="D24" s="116">
        <f t="shared" ref="D24:G24" si="9">D5+D17</f>
        <v>6412.43</v>
      </c>
      <c r="E24" s="116">
        <f t="shared" si="9"/>
        <v>5681.92</v>
      </c>
      <c r="F24" s="116">
        <f t="shared" si="9"/>
        <v>5573.5999999999995</v>
      </c>
      <c r="G24" s="116">
        <f t="shared" si="9"/>
        <v>4907.4699999999993</v>
      </c>
      <c r="I24" s="115" t="s">
        <v>160</v>
      </c>
      <c r="J24" s="117">
        <f>J5+J17</f>
        <v>1</v>
      </c>
      <c r="K24" s="117">
        <f>K5+K17</f>
        <v>1</v>
      </c>
      <c r="L24" s="117">
        <f t="shared" ref="L24:O24" si="10">L5+L17</f>
        <v>0.99999999999999989</v>
      </c>
      <c r="M24" s="117">
        <f t="shared" si="10"/>
        <v>1</v>
      </c>
      <c r="N24" s="117">
        <f t="shared" si="10"/>
        <v>1</v>
      </c>
      <c r="O24" s="117">
        <f t="shared" si="10"/>
        <v>1</v>
      </c>
    </row>
    <row r="25" spans="1:15" x14ac:dyDescent="0.2">
      <c r="A25" s="365" t="s">
        <v>223</v>
      </c>
      <c r="B25" s="365"/>
      <c r="C25" s="365"/>
      <c r="D25" s="365"/>
      <c r="E25" s="365"/>
      <c r="F25" s="365"/>
      <c r="G25" s="365"/>
      <c r="I25" s="365" t="s">
        <v>223</v>
      </c>
      <c r="J25" s="365"/>
      <c r="K25" s="365"/>
      <c r="L25" s="365"/>
      <c r="M25" s="365"/>
      <c r="N25" s="365"/>
      <c r="O25" s="365"/>
    </row>
    <row r="26" spans="1:15" x14ac:dyDescent="0.2">
      <c r="A26" s="104" t="s">
        <v>224</v>
      </c>
      <c r="B26" s="108">
        <f>B27+B28+B29</f>
        <v>5717.41</v>
      </c>
      <c r="C26" s="108">
        <f>C27+C28+C29</f>
        <v>4977.4399999999996</v>
      </c>
      <c r="D26" s="108">
        <f t="shared" ref="D26:G26" si="11">D27+D28+D29</f>
        <v>4412.13</v>
      </c>
      <c r="E26" s="108">
        <f t="shared" si="11"/>
        <v>3919.99</v>
      </c>
      <c r="F26" s="108">
        <f t="shared" si="11"/>
        <v>3562.1099999999997</v>
      </c>
      <c r="G26" s="108">
        <f t="shared" si="11"/>
        <v>3006.04</v>
      </c>
      <c r="I26" s="104" t="s">
        <v>224</v>
      </c>
      <c r="J26" s="102">
        <f t="shared" ref="J26:O28" si="12">B26/B$41</f>
        <v>0.62558716396386138</v>
      </c>
      <c r="K26" s="102">
        <f t="shared" si="12"/>
        <v>0.63119824492435683</v>
      </c>
      <c r="L26" s="102">
        <f t="shared" si="12"/>
        <v>0.64860705008621877</v>
      </c>
      <c r="M26" s="102">
        <f t="shared" si="12"/>
        <v>0.66921206906559316</v>
      </c>
      <c r="N26" s="102">
        <f t="shared" si="12"/>
        <v>0.6197625418874857</v>
      </c>
      <c r="O26" s="102">
        <f t="shared" si="12"/>
        <v>0.59291665351721523</v>
      </c>
    </row>
    <row r="27" spans="1:15" x14ac:dyDescent="0.2">
      <c r="A27" s="94" t="s">
        <v>225</v>
      </c>
      <c r="B27" s="112">
        <f>Financials_Consol!B7</f>
        <v>140.66</v>
      </c>
      <c r="C27" s="112">
        <f>Financials_Consol!C7</f>
        <v>140.66</v>
      </c>
      <c r="D27" s="112">
        <f>Financials_Consol!D7</f>
        <v>140.66</v>
      </c>
      <c r="E27" s="112">
        <f>Financials_Consol!E7</f>
        <v>140.66</v>
      </c>
      <c r="F27" s="112">
        <f>Financials_Consol!F7</f>
        <v>140.66</v>
      </c>
      <c r="G27" s="112">
        <f>Financials_Consol!G7</f>
        <v>140.66</v>
      </c>
      <c r="I27" s="94" t="s">
        <v>225</v>
      </c>
      <c r="J27" s="53">
        <f t="shared" si="12"/>
        <v>1.5390725955136459E-2</v>
      </c>
      <c r="K27" s="53">
        <f t="shared" si="12"/>
        <v>1.7837351154621661E-2</v>
      </c>
      <c r="L27" s="53">
        <f t="shared" si="12"/>
        <v>2.0677783216978541E-2</v>
      </c>
      <c r="M27" s="53">
        <f t="shared" si="12"/>
        <v>2.4013165756740791E-2</v>
      </c>
      <c r="N27" s="53">
        <f t="shared" si="12"/>
        <v>2.4473078917241115E-2</v>
      </c>
      <c r="O27" s="53">
        <f t="shared" si="12"/>
        <v>2.7744027519171897E-2</v>
      </c>
    </row>
    <row r="28" spans="1:15" x14ac:dyDescent="0.2">
      <c r="A28" s="94" t="s">
        <v>226</v>
      </c>
      <c r="B28" s="112">
        <f>Financials_Consol!B9</f>
        <v>5576.75</v>
      </c>
      <c r="C28" s="112">
        <f>Financials_Consol!C9</f>
        <v>4836.78</v>
      </c>
      <c r="D28" s="112">
        <f>Financials_Consol!D9</f>
        <v>4271.47</v>
      </c>
      <c r="E28" s="112">
        <f>Financials_Consol!E9</f>
        <v>3779.33</v>
      </c>
      <c r="F28" s="112">
        <f>Financials_Consol!F9</f>
        <v>3421.45</v>
      </c>
      <c r="G28" s="112">
        <f>Financials_Consol!G9</f>
        <v>2865.38</v>
      </c>
      <c r="I28" s="94" t="s">
        <v>226</v>
      </c>
      <c r="J28" s="53">
        <f t="shared" si="12"/>
        <v>0.61019643800872492</v>
      </c>
      <c r="K28" s="53">
        <f t="shared" si="12"/>
        <v>0.61336089376973513</v>
      </c>
      <c r="L28" s="53">
        <f t="shared" si="12"/>
        <v>0.62792926686924022</v>
      </c>
      <c r="M28" s="53">
        <f t="shared" si="12"/>
        <v>0.64519890330885243</v>
      </c>
      <c r="N28" s="53">
        <f t="shared" si="12"/>
        <v>0.59528946297024465</v>
      </c>
      <c r="O28" s="53">
        <f t="shared" si="12"/>
        <v>0.56517262599804341</v>
      </c>
    </row>
    <row r="29" spans="1:15" x14ac:dyDescent="0.2">
      <c r="A29" s="94" t="str">
        <f>Financials_Standalone!$A$11</f>
        <v>Employees Stock Options/ share application money pending allotment</v>
      </c>
      <c r="B29" s="112">
        <f>Financials_Consol!B11</f>
        <v>0</v>
      </c>
      <c r="C29" s="112">
        <f>Financials_Consol!C11</f>
        <v>0</v>
      </c>
      <c r="D29" s="112">
        <f>Financials_Consol!D11</f>
        <v>0</v>
      </c>
      <c r="E29" s="112">
        <f>Financials_Consol!E11</f>
        <v>0</v>
      </c>
      <c r="F29" s="112">
        <f>Financials_Consol!F11</f>
        <v>0</v>
      </c>
      <c r="G29" s="112">
        <f>Financials_Consol!G11</f>
        <v>0</v>
      </c>
      <c r="I29" s="94" t="s">
        <v>488</v>
      </c>
      <c r="J29" s="53">
        <f t="shared" ref="J29:K31" si="13">B29/B$41</f>
        <v>0</v>
      </c>
      <c r="K29" s="53">
        <f t="shared" si="13"/>
        <v>0</v>
      </c>
      <c r="L29" s="53"/>
      <c r="M29" s="53"/>
      <c r="N29" s="53"/>
      <c r="O29" s="53"/>
    </row>
    <row r="30" spans="1:15" x14ac:dyDescent="0.2">
      <c r="A30" s="104" t="s">
        <v>227</v>
      </c>
      <c r="B30" s="108">
        <f>SUM(B31:B35)</f>
        <v>730.05000000000007</v>
      </c>
      <c r="C30" s="108">
        <f>SUM(C31:C35)</f>
        <v>670.82999999999993</v>
      </c>
      <c r="D30" s="108">
        <f t="shared" ref="D30:G30" si="14">SUM(D31:D35)</f>
        <v>459.59999999999991</v>
      </c>
      <c r="E30" s="108">
        <f t="shared" si="14"/>
        <v>280.42999999999995</v>
      </c>
      <c r="F30" s="108">
        <f t="shared" si="14"/>
        <v>462.05</v>
      </c>
      <c r="G30" s="108">
        <f t="shared" si="14"/>
        <v>499.45</v>
      </c>
      <c r="I30" s="104" t="s">
        <v>227</v>
      </c>
      <c r="J30" s="102">
        <f t="shared" si="13"/>
        <v>7.9880559388222472E-2</v>
      </c>
      <c r="K30" s="102">
        <f t="shared" si="13"/>
        <v>8.5069175849956255E-2</v>
      </c>
      <c r="L30" s="102">
        <f t="shared" ref="L30:O31" si="15">D30/D$41</f>
        <v>6.7563693775937267E-2</v>
      </c>
      <c r="M30" s="102">
        <f t="shared" si="15"/>
        <v>4.787439267142627E-2</v>
      </c>
      <c r="N30" s="102">
        <f t="shared" si="15"/>
        <v>8.0390915069751587E-2</v>
      </c>
      <c r="O30" s="102">
        <f t="shared" si="15"/>
        <v>9.8512402562565091E-2</v>
      </c>
    </row>
    <row r="31" spans="1:15" x14ac:dyDescent="0.2">
      <c r="A31" s="94" t="s">
        <v>228</v>
      </c>
      <c r="B31" s="112">
        <f>Financials_Consol!B17</f>
        <v>48.6</v>
      </c>
      <c r="C31" s="112">
        <f>Financials_Consol!C17</f>
        <v>115.97</v>
      </c>
      <c r="D31" s="112">
        <f>Financials_Consol!D17</f>
        <v>116.4</v>
      </c>
      <c r="E31" s="112">
        <f>Financials_Consol!E17</f>
        <v>26.73</v>
      </c>
      <c r="F31" s="112">
        <f>Financials_Consol!F17</f>
        <v>8.98</v>
      </c>
      <c r="G31" s="112">
        <f>Financials_Consol!G17</f>
        <v>11.82</v>
      </c>
      <c r="I31" s="94" t="s">
        <v>228</v>
      </c>
      <c r="J31" s="53">
        <f t="shared" si="13"/>
        <v>5.3177113708206452E-3</v>
      </c>
      <c r="K31" s="53">
        <f t="shared" si="13"/>
        <v>1.4706367221679751E-2</v>
      </c>
      <c r="L31" s="53">
        <f t="shared" si="15"/>
        <v>1.7111431582939728E-2</v>
      </c>
      <c r="M31" s="53">
        <f t="shared" si="15"/>
        <v>4.5632867956610368E-3</v>
      </c>
      <c r="N31" s="53">
        <f t="shared" si="15"/>
        <v>1.562407569151324E-3</v>
      </c>
      <c r="O31" s="53">
        <f t="shared" si="15"/>
        <v>2.331397734086534E-3</v>
      </c>
    </row>
    <row r="32" spans="1:15" x14ac:dyDescent="0.2">
      <c r="A32" s="94" t="s">
        <v>502</v>
      </c>
      <c r="B32" s="112">
        <f>Financials_Consol!B13</f>
        <v>0</v>
      </c>
      <c r="C32" s="112">
        <f>Financials_Consol!C13</f>
        <v>0</v>
      </c>
      <c r="D32" s="112">
        <f>Financials_Consol!D13</f>
        <v>0</v>
      </c>
      <c r="E32" s="112">
        <f>Financials_Consol!E13</f>
        <v>0</v>
      </c>
      <c r="F32" s="112">
        <f>Financials_Consol!F13</f>
        <v>0.02</v>
      </c>
      <c r="G32" s="112">
        <f>Financials_Consol!G13</f>
        <v>0</v>
      </c>
      <c r="I32" s="94" t="s">
        <v>502</v>
      </c>
      <c r="J32" s="53">
        <f t="shared" ref="J32:K33" si="16">B32/B$41</f>
        <v>0</v>
      </c>
      <c r="K32" s="53">
        <f t="shared" si="16"/>
        <v>0</v>
      </c>
      <c r="L32" s="53">
        <f t="shared" ref="L32:L33" si="17">D32/D$41</f>
        <v>0</v>
      </c>
      <c r="M32" s="53">
        <f t="shared" ref="M32:M33" si="18">E32/E$41</f>
        <v>0</v>
      </c>
      <c r="N32" s="53">
        <f t="shared" ref="N32:N33" si="19">F32/F$41</f>
        <v>3.4797495972189844E-6</v>
      </c>
      <c r="O32" s="53">
        <f t="shared" ref="O32:O33" si="20">G32/G$41</f>
        <v>0</v>
      </c>
    </row>
    <row r="33" spans="1:15" x14ac:dyDescent="0.2">
      <c r="A33" s="94" t="s">
        <v>261</v>
      </c>
      <c r="B33" s="112">
        <f>Financials_Consol!B15</f>
        <v>594.64</v>
      </c>
      <c r="C33" s="112">
        <f>Financials_Consol!C15</f>
        <v>480.25</v>
      </c>
      <c r="D33" s="112">
        <f>Financials_Consol!D15</f>
        <v>278.14999999999998</v>
      </c>
      <c r="E33" s="112">
        <f>Financials_Consol!E15</f>
        <v>193.92</v>
      </c>
      <c r="F33" s="112">
        <f>Financials_Consol!F15</f>
        <v>379.18</v>
      </c>
      <c r="G33" s="112">
        <f>Financials_Consol!G15</f>
        <v>402.09</v>
      </c>
      <c r="I33" s="94" t="s">
        <v>261</v>
      </c>
      <c r="J33" s="53">
        <f t="shared" si="16"/>
        <v>6.5064277562649972E-2</v>
      </c>
      <c r="K33" s="53">
        <f t="shared" si="16"/>
        <v>6.0901378444526179E-2</v>
      </c>
      <c r="L33" s="53">
        <f t="shared" si="17"/>
        <v>4.0889559233631315E-2</v>
      </c>
      <c r="M33" s="53">
        <f t="shared" si="18"/>
        <v>3.3105595788050432E-2</v>
      </c>
      <c r="N33" s="53">
        <f t="shared" si="19"/>
        <v>6.5972572613674715E-2</v>
      </c>
      <c r="O33" s="53">
        <f t="shared" si="20"/>
        <v>7.930894373086754E-2</v>
      </c>
    </row>
    <row r="34" spans="1:15" x14ac:dyDescent="0.2">
      <c r="A34" s="94" t="s">
        <v>229</v>
      </c>
      <c r="B34" s="112">
        <f>Financials_Consol!B16</f>
        <v>13.35</v>
      </c>
      <c r="C34" s="112">
        <f>Financials_Consol!C16</f>
        <v>14.43</v>
      </c>
      <c r="D34" s="112">
        <f>Financials_Consol!D16</f>
        <v>0.52</v>
      </c>
      <c r="E34" s="112">
        <f>Financials_Consol!E16</f>
        <v>0.63</v>
      </c>
      <c r="F34" s="112">
        <f>Financials_Consol!F16</f>
        <v>0.51</v>
      </c>
      <c r="G34" s="112">
        <f>Financials_Consol!G16</f>
        <v>7.87</v>
      </c>
      <c r="I34" s="94" t="s">
        <v>229</v>
      </c>
      <c r="J34" s="53">
        <f t="shared" ref="J34:O40" si="21">B34/B$41</f>
        <v>1.4607293580340662E-3</v>
      </c>
      <c r="K34" s="53">
        <f t="shared" si="21"/>
        <v>1.8298946193743106E-3</v>
      </c>
      <c r="L34" s="53">
        <f t="shared" si="21"/>
        <v>7.6442821504541745E-5</v>
      </c>
      <c r="M34" s="53">
        <f t="shared" si="21"/>
        <v>1.0755221403914901E-4</v>
      </c>
      <c r="N34" s="53">
        <f t="shared" si="21"/>
        <v>8.8733614729084103E-5</v>
      </c>
      <c r="O34" s="53">
        <f t="shared" si="21"/>
        <v>1.5522927383469561E-3</v>
      </c>
    </row>
    <row r="35" spans="1:15" x14ac:dyDescent="0.2">
      <c r="A35" s="94" t="s">
        <v>230</v>
      </c>
      <c r="B35" s="112">
        <f>Financials_Consol!B18</f>
        <v>73.459999999999994</v>
      </c>
      <c r="C35" s="112">
        <f>Financials_Consol!C18</f>
        <v>60.18</v>
      </c>
      <c r="D35" s="112">
        <f>Financials_Consol!D18</f>
        <v>64.53</v>
      </c>
      <c r="E35" s="112">
        <f>Financials_Consol!E18</f>
        <v>59.15</v>
      </c>
      <c r="F35" s="112">
        <f>Financials_Consol!F18</f>
        <v>73.36</v>
      </c>
      <c r="G35" s="112">
        <f>Financials_Consol!G18</f>
        <v>77.67</v>
      </c>
      <c r="I35" s="94" t="s">
        <v>230</v>
      </c>
      <c r="J35" s="53">
        <f t="shared" si="21"/>
        <v>8.0378410967177887E-3</v>
      </c>
      <c r="K35" s="53">
        <f t="shared" si="21"/>
        <v>7.6315355643760234E-3</v>
      </c>
      <c r="L35" s="53">
        <f t="shared" si="21"/>
        <v>9.4862601378616889E-3</v>
      </c>
      <c r="M35" s="53">
        <f t="shared" si="21"/>
        <v>1.0097957873675657E-2</v>
      </c>
      <c r="N35" s="53">
        <f t="shared" si="21"/>
        <v>1.2763721522599233E-2</v>
      </c>
      <c r="O35" s="53">
        <f t="shared" si="21"/>
        <v>1.5319768359264052E-2</v>
      </c>
    </row>
    <row r="36" spans="1:15" x14ac:dyDescent="0.2">
      <c r="A36" s="104" t="s">
        <v>159</v>
      </c>
      <c r="B36" s="108">
        <f>SUM(B37:B40)</f>
        <v>2691.81</v>
      </c>
      <c r="C36" s="108">
        <f>SUM(C37:C40)</f>
        <v>2237.4299999999998</v>
      </c>
      <c r="D36" s="108">
        <f t="shared" ref="D36:G36" si="22">SUM(D37:D40)</f>
        <v>1930.74</v>
      </c>
      <c r="E36" s="108">
        <f t="shared" si="22"/>
        <v>1657.1999999999998</v>
      </c>
      <c r="F36" s="108">
        <f t="shared" si="22"/>
        <v>1723.38</v>
      </c>
      <c r="G36" s="108">
        <f t="shared" si="22"/>
        <v>1564.43</v>
      </c>
      <c r="I36" s="104" t="s">
        <v>159</v>
      </c>
      <c r="J36" s="102">
        <f t="shared" si="21"/>
        <v>0.29453227664791604</v>
      </c>
      <c r="K36" s="102">
        <f t="shared" si="21"/>
        <v>0.28373257922568701</v>
      </c>
      <c r="L36" s="102">
        <f t="shared" si="21"/>
        <v>0.2838292561378441</v>
      </c>
      <c r="M36" s="102">
        <f t="shared" si="21"/>
        <v>0.28291353826298049</v>
      </c>
      <c r="N36" s="102">
        <f t="shared" si="21"/>
        <v>0.29984654304276265</v>
      </c>
      <c r="O36" s="102">
        <f t="shared" si="21"/>
        <v>0.30857094392021966</v>
      </c>
    </row>
    <row r="37" spans="1:15" x14ac:dyDescent="0.2">
      <c r="A37" s="94" t="s">
        <v>231</v>
      </c>
      <c r="B37" s="112">
        <f>Financials_Consol!B22</f>
        <v>1974.26</v>
      </c>
      <c r="C37" s="112">
        <f>Financials_Consol!C22</f>
        <v>1604.47</v>
      </c>
      <c r="D37" s="112">
        <f>Financials_Consol!D22</f>
        <v>1425.74</v>
      </c>
      <c r="E37" s="112">
        <f>Financials_Consol!E22</f>
        <v>1241.3499999999999</v>
      </c>
      <c r="F37" s="112">
        <f>Financials_Consol!F22</f>
        <v>1278.33</v>
      </c>
      <c r="G37" s="112">
        <f>Financials_Consol!G22</f>
        <v>1066.23</v>
      </c>
      <c r="H37" s="118"/>
      <c r="I37" s="94" t="s">
        <v>231</v>
      </c>
      <c r="J37" s="53">
        <f t="shared" si="21"/>
        <v>0.21601944137770301</v>
      </c>
      <c r="K37" s="53">
        <f t="shared" si="21"/>
        <v>0.20346576714812892</v>
      </c>
      <c r="L37" s="53">
        <f t="shared" si="21"/>
        <v>0.20959151602285642</v>
      </c>
      <c r="M37" s="53">
        <f t="shared" si="21"/>
        <v>0.21192054110713907</v>
      </c>
      <c r="N37" s="53">
        <f t="shared" si="21"/>
        <v>0.22241341513064719</v>
      </c>
      <c r="O37" s="53">
        <f t="shared" si="21"/>
        <v>0.21030509357149621</v>
      </c>
    </row>
    <row r="38" spans="1:15" x14ac:dyDescent="0.2">
      <c r="A38" s="94" t="s">
        <v>266</v>
      </c>
      <c r="B38" s="112">
        <f>Financials_Consol!B21</f>
        <v>309.22000000000003</v>
      </c>
      <c r="C38" s="112">
        <f>Financials_Consol!C21</f>
        <v>259.52999999999997</v>
      </c>
      <c r="D38" s="112">
        <f>Financials_Consol!D21</f>
        <v>205.18</v>
      </c>
      <c r="E38" s="112">
        <f>Financials_Consol!E21</f>
        <v>205.53</v>
      </c>
      <c r="F38" s="112">
        <f>Financials_Consol!F21</f>
        <v>45</v>
      </c>
      <c r="G38" s="112">
        <f>Financials_Consol!G21</f>
        <v>146.1</v>
      </c>
      <c r="H38" s="118"/>
      <c r="I38" s="94" t="s">
        <v>266</v>
      </c>
      <c r="J38" s="53">
        <f t="shared" si="21"/>
        <v>3.3834212141669963E-2</v>
      </c>
      <c r="K38" s="53">
        <f t="shared" si="21"/>
        <v>3.2911472665711351E-2</v>
      </c>
      <c r="L38" s="53">
        <f t="shared" si="21"/>
        <v>3.0162573300580527E-2</v>
      </c>
      <c r="M38" s="53">
        <f t="shared" si="21"/>
        <v>3.5087629446771899E-2</v>
      </c>
      <c r="N38" s="53">
        <f t="shared" si="21"/>
        <v>7.8294365937427151E-3</v>
      </c>
      <c r="O38" s="53">
        <f t="shared" si="21"/>
        <v>2.8817022753810709E-2</v>
      </c>
    </row>
    <row r="39" spans="1:15" x14ac:dyDescent="0.2">
      <c r="A39" s="94" t="s">
        <v>232</v>
      </c>
      <c r="B39" s="112">
        <f>Financials_Consol!B23</f>
        <v>381.98</v>
      </c>
      <c r="C39" s="112">
        <f>Financials_Consol!C23</f>
        <v>348.98</v>
      </c>
      <c r="D39" s="112">
        <f>Financials_Consol!D23</f>
        <v>267.08</v>
      </c>
      <c r="E39" s="112">
        <f>Financials_Consol!E23</f>
        <v>182.07</v>
      </c>
      <c r="F39" s="112">
        <f>Financials_Consol!F23</f>
        <v>370.16</v>
      </c>
      <c r="G39" s="112">
        <f>Financials_Consol!G23</f>
        <v>318.69</v>
      </c>
      <c r="H39" s="118"/>
      <c r="I39" s="94" t="s">
        <v>232</v>
      </c>
      <c r="J39" s="53">
        <f t="shared" si="21"/>
        <v>4.1795460687779222E-2</v>
      </c>
      <c r="K39" s="53">
        <f t="shared" si="21"/>
        <v>4.4254790316649133E-2</v>
      </c>
      <c r="L39" s="53">
        <f t="shared" si="21"/>
        <v>3.9262209168140397E-2</v>
      </c>
      <c r="M39" s="53">
        <f t="shared" si="21"/>
        <v>3.1082589857314061E-2</v>
      </c>
      <c r="N39" s="53">
        <f t="shared" si="21"/>
        <v>6.4403205545328968E-2</v>
      </c>
      <c r="O39" s="53">
        <f t="shared" si="21"/>
        <v>6.2858980023353425E-2</v>
      </c>
    </row>
    <row r="40" spans="1:15" x14ac:dyDescent="0.2">
      <c r="A40" s="94" t="s">
        <v>233</v>
      </c>
      <c r="B40" s="112">
        <f>Financials_Consol!B24</f>
        <v>26.35</v>
      </c>
      <c r="C40" s="112">
        <f>Financials_Consol!C24</f>
        <v>24.45</v>
      </c>
      <c r="D40" s="112">
        <f>Financials_Consol!D24</f>
        <v>32.74</v>
      </c>
      <c r="E40" s="112">
        <f>Financials_Consol!E24</f>
        <v>28.25</v>
      </c>
      <c r="F40" s="112">
        <f>Financials_Consol!F24</f>
        <v>29.89</v>
      </c>
      <c r="G40" s="112">
        <f>Financials_Consol!G24</f>
        <v>33.409999999999997</v>
      </c>
      <c r="H40" s="118"/>
      <c r="I40" s="94" t="s">
        <v>233</v>
      </c>
      <c r="J40" s="53">
        <f t="shared" si="21"/>
        <v>2.8831624407638684E-3</v>
      </c>
      <c r="K40" s="53">
        <f t="shared" si="21"/>
        <v>3.1005490951976364E-3</v>
      </c>
      <c r="L40" s="53">
        <f t="shared" si="21"/>
        <v>4.8129576462667247E-3</v>
      </c>
      <c r="M40" s="53">
        <f t="shared" si="21"/>
        <v>4.8227778517554911E-3</v>
      </c>
      <c r="N40" s="53">
        <f t="shared" si="21"/>
        <v>5.2004857730437717E-3</v>
      </c>
      <c r="O40" s="53">
        <f t="shared" si="21"/>
        <v>6.589847571559314E-3</v>
      </c>
    </row>
    <row r="41" spans="1:15" x14ac:dyDescent="0.2">
      <c r="A41" s="115" t="s">
        <v>234</v>
      </c>
      <c r="B41" s="116">
        <f t="shared" ref="B41:G41" si="23">B26+B30+B36</f>
        <v>9139.27</v>
      </c>
      <c r="C41" s="116">
        <f t="shared" si="23"/>
        <v>7885.6999999999989</v>
      </c>
      <c r="D41" s="116">
        <f t="shared" si="23"/>
        <v>6802.4699999999993</v>
      </c>
      <c r="E41" s="116">
        <f t="shared" si="23"/>
        <v>5857.62</v>
      </c>
      <c r="F41" s="116">
        <f t="shared" si="23"/>
        <v>5747.54</v>
      </c>
      <c r="G41" s="116">
        <f t="shared" si="23"/>
        <v>5069.92</v>
      </c>
      <c r="H41" s="118"/>
      <c r="I41" s="115" t="s">
        <v>234</v>
      </c>
      <c r="J41" s="117">
        <f>J26+J30+J36</f>
        <v>0.99999999999999989</v>
      </c>
      <c r="K41" s="117">
        <f>K26+K30+K36</f>
        <v>1</v>
      </c>
      <c r="L41" s="117">
        <f t="shared" ref="L41:O41" si="24">L26+L30+L36</f>
        <v>1.0000000000000002</v>
      </c>
      <c r="M41" s="117">
        <f t="shared" si="24"/>
        <v>0.99999999999999989</v>
      </c>
      <c r="N41" s="117">
        <f t="shared" si="24"/>
        <v>1</v>
      </c>
      <c r="O41" s="117">
        <f t="shared" si="24"/>
        <v>1</v>
      </c>
    </row>
    <row r="42" spans="1:15" x14ac:dyDescent="0.2">
      <c r="C42" s="119"/>
      <c r="D42" s="119"/>
      <c r="E42" s="119"/>
      <c r="F42" s="119"/>
      <c r="G42" s="119"/>
    </row>
    <row r="43" spans="1:15" x14ac:dyDescent="0.2">
      <c r="B43" s="128">
        <f>Financials_Consol!B26</f>
        <v>9139.27</v>
      </c>
      <c r="C43" s="128">
        <f>Financials_Consol!C26</f>
        <v>7885.6999999999989</v>
      </c>
      <c r="D43" s="128">
        <f>Financials_Consol!D26</f>
        <v>6802.4699999999993</v>
      </c>
      <c r="E43" s="128">
        <f>Financials_Consol!E26</f>
        <v>5857.62</v>
      </c>
      <c r="F43" s="128">
        <f>Financials_Consol!F26</f>
        <v>5747.54</v>
      </c>
      <c r="G43" s="128">
        <f>Financials_Consol!G26</f>
        <v>5069.92</v>
      </c>
    </row>
    <row r="44" spans="1:15" x14ac:dyDescent="0.2">
      <c r="A44" s="85" t="s">
        <v>493</v>
      </c>
      <c r="B44" s="128">
        <f>B24-B43</f>
        <v>-340.4900000000016</v>
      </c>
      <c r="C44" s="128">
        <f>C24-C43</f>
        <v>-392.28999999999905</v>
      </c>
      <c r="D44" s="128">
        <f t="shared" ref="D44:G44" si="25">D24-D43</f>
        <v>-390.03999999999905</v>
      </c>
      <c r="E44" s="128">
        <f t="shared" si="25"/>
        <v>-175.69999999999982</v>
      </c>
      <c r="F44" s="128">
        <f t="shared" si="25"/>
        <v>-173.94000000000051</v>
      </c>
      <c r="G44" s="128">
        <f t="shared" si="25"/>
        <v>-162.45000000000073</v>
      </c>
    </row>
    <row r="45" spans="1:15" x14ac:dyDescent="0.2">
      <c r="A45" s="85" t="s">
        <v>494</v>
      </c>
      <c r="B45" s="120">
        <f>B41-B43</f>
        <v>0</v>
      </c>
      <c r="C45" s="120">
        <f>C41-C43</f>
        <v>0</v>
      </c>
      <c r="D45" s="120">
        <f t="shared" ref="D45:G45" si="26">D41-D43</f>
        <v>0</v>
      </c>
      <c r="E45" s="120">
        <f t="shared" si="26"/>
        <v>0</v>
      </c>
      <c r="F45" s="120">
        <f t="shared" si="26"/>
        <v>0</v>
      </c>
      <c r="G45" s="120">
        <f t="shared" si="26"/>
        <v>0</v>
      </c>
    </row>
    <row r="47" spans="1:15" x14ac:dyDescent="0.2">
      <c r="B47" s="119">
        <f t="shared" ref="B47:G47" si="27">B24-B41</f>
        <v>-340.4900000000016</v>
      </c>
      <c r="C47" s="119">
        <f t="shared" si="27"/>
        <v>-392.28999999999905</v>
      </c>
      <c r="D47" s="119">
        <f t="shared" si="27"/>
        <v>-390.03999999999905</v>
      </c>
      <c r="E47" s="119">
        <f t="shared" si="27"/>
        <v>-175.69999999999982</v>
      </c>
      <c r="F47" s="119">
        <f t="shared" si="27"/>
        <v>-173.94000000000051</v>
      </c>
      <c r="G47" s="119">
        <f t="shared" si="27"/>
        <v>-162.45000000000073</v>
      </c>
    </row>
  </sheetData>
  <mergeCells count="8">
    <mergeCell ref="A25:G25"/>
    <mergeCell ref="I25:O25"/>
    <mergeCell ref="A1:G1"/>
    <mergeCell ref="I1:O1"/>
    <mergeCell ref="A2:G2"/>
    <mergeCell ref="I2:O2"/>
    <mergeCell ref="A4:G4"/>
    <mergeCell ref="I4:O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4"/>
  <sheetViews>
    <sheetView zoomScale="90" zoomScaleNormal="90" workbookViewId="0">
      <pane xSplit="1" ySplit="5" topLeftCell="B26" activePane="bottomRight" state="frozen"/>
      <selection activeCell="B26" sqref="B26"/>
      <selection pane="topRight" activeCell="B26" sqref="B26"/>
      <selection pane="bottomLeft" activeCell="B26" sqref="B26"/>
      <selection pane="bottomRight" activeCell="B7" sqref="B7:G10"/>
    </sheetView>
  </sheetViews>
  <sheetFormatPr defaultRowHeight="11.25" x14ac:dyDescent="0.2"/>
  <cols>
    <col min="1" max="1" width="46.42578125" style="85" bestFit="1" customWidth="1"/>
    <col min="2" max="2" width="9" style="85" bestFit="1" customWidth="1"/>
    <col min="3" max="4" width="12.28515625" style="85" bestFit="1" customWidth="1"/>
    <col min="5" max="7" width="12.28515625" style="85" customWidth="1"/>
    <col min="8" max="8" width="2.7109375" style="85" customWidth="1"/>
    <col min="9" max="9" width="40.85546875" style="85" bestFit="1" customWidth="1"/>
    <col min="10" max="10" width="7.140625" style="85" bestFit="1" customWidth="1"/>
    <col min="11" max="12" width="12.28515625" style="85" bestFit="1" customWidth="1"/>
    <col min="13" max="15" width="12.28515625" style="85" customWidth="1"/>
    <col min="16" max="264" width="9.140625" style="85"/>
    <col min="265" max="265" width="34.7109375" style="85" bestFit="1" customWidth="1"/>
    <col min="266" max="267" width="10.7109375" style="85" bestFit="1" customWidth="1"/>
    <col min="268" max="268" width="9.140625" style="85"/>
    <col min="269" max="269" width="34.7109375" style="85" bestFit="1" customWidth="1"/>
    <col min="270" max="271" width="9.42578125" style="85" bestFit="1" customWidth="1"/>
    <col min="272" max="520" width="9.140625" style="85"/>
    <col min="521" max="521" width="34.7109375" style="85" bestFit="1" customWidth="1"/>
    <col min="522" max="523" width="10.7109375" style="85" bestFit="1" customWidth="1"/>
    <col min="524" max="524" width="9.140625" style="85"/>
    <col min="525" max="525" width="34.7109375" style="85" bestFit="1" customWidth="1"/>
    <col min="526" max="527" width="9.42578125" style="85" bestFit="1" customWidth="1"/>
    <col min="528" max="776" width="9.140625" style="85"/>
    <col min="777" max="777" width="34.7109375" style="85" bestFit="1" customWidth="1"/>
    <col min="778" max="779" width="10.7109375" style="85" bestFit="1" customWidth="1"/>
    <col min="780" max="780" width="9.140625" style="85"/>
    <col min="781" max="781" width="34.7109375" style="85" bestFit="1" customWidth="1"/>
    <col min="782" max="783" width="9.42578125" style="85" bestFit="1" customWidth="1"/>
    <col min="784" max="1032" width="9.140625" style="85"/>
    <col min="1033" max="1033" width="34.7109375" style="85" bestFit="1" customWidth="1"/>
    <col min="1034" max="1035" width="10.7109375" style="85" bestFit="1" customWidth="1"/>
    <col min="1036" max="1036" width="9.140625" style="85"/>
    <col min="1037" max="1037" width="34.7109375" style="85" bestFit="1" customWidth="1"/>
    <col min="1038" max="1039" width="9.42578125" style="85" bestFit="1" customWidth="1"/>
    <col min="1040" max="1288" width="9.140625" style="85"/>
    <col min="1289" max="1289" width="34.7109375" style="85" bestFit="1" customWidth="1"/>
    <col min="1290" max="1291" width="10.7109375" style="85" bestFit="1" customWidth="1"/>
    <col min="1292" max="1292" width="9.140625" style="85"/>
    <col min="1293" max="1293" width="34.7109375" style="85" bestFit="1" customWidth="1"/>
    <col min="1294" max="1295" width="9.42578125" style="85" bestFit="1" customWidth="1"/>
    <col min="1296" max="1544" width="9.140625" style="85"/>
    <col min="1545" max="1545" width="34.7109375" style="85" bestFit="1" customWidth="1"/>
    <col min="1546" max="1547" width="10.7109375" style="85" bestFit="1" customWidth="1"/>
    <col min="1548" max="1548" width="9.140625" style="85"/>
    <col min="1549" max="1549" width="34.7109375" style="85" bestFit="1" customWidth="1"/>
    <col min="1550" max="1551" width="9.42578125" style="85" bestFit="1" customWidth="1"/>
    <col min="1552" max="1800" width="9.140625" style="85"/>
    <col min="1801" max="1801" width="34.7109375" style="85" bestFit="1" customWidth="1"/>
    <col min="1802" max="1803" width="10.7109375" style="85" bestFit="1" customWidth="1"/>
    <col min="1804" max="1804" width="9.140625" style="85"/>
    <col min="1805" max="1805" width="34.7109375" style="85" bestFit="1" customWidth="1"/>
    <col min="1806" max="1807" width="9.42578125" style="85" bestFit="1" customWidth="1"/>
    <col min="1808" max="2056" width="9.140625" style="85"/>
    <col min="2057" max="2057" width="34.7109375" style="85" bestFit="1" customWidth="1"/>
    <col min="2058" max="2059" width="10.7109375" style="85" bestFit="1" customWidth="1"/>
    <col min="2060" max="2060" width="9.140625" style="85"/>
    <col min="2061" max="2061" width="34.7109375" style="85" bestFit="1" customWidth="1"/>
    <col min="2062" max="2063" width="9.42578125" style="85" bestFit="1" customWidth="1"/>
    <col min="2064" max="2312" width="9.140625" style="85"/>
    <col min="2313" max="2313" width="34.7109375" style="85" bestFit="1" customWidth="1"/>
    <col min="2314" max="2315" width="10.7109375" style="85" bestFit="1" customWidth="1"/>
    <col min="2316" max="2316" width="9.140625" style="85"/>
    <col min="2317" max="2317" width="34.7109375" style="85" bestFit="1" customWidth="1"/>
    <col min="2318" max="2319" width="9.42578125" style="85" bestFit="1" customWidth="1"/>
    <col min="2320" max="2568" width="9.140625" style="85"/>
    <col min="2569" max="2569" width="34.7109375" style="85" bestFit="1" customWidth="1"/>
    <col min="2570" max="2571" width="10.7109375" style="85" bestFit="1" customWidth="1"/>
    <col min="2572" max="2572" width="9.140625" style="85"/>
    <col min="2573" max="2573" width="34.7109375" style="85" bestFit="1" customWidth="1"/>
    <col min="2574" max="2575" width="9.42578125" style="85" bestFit="1" customWidth="1"/>
    <col min="2576" max="2824" width="9.140625" style="85"/>
    <col min="2825" max="2825" width="34.7109375" style="85" bestFit="1" customWidth="1"/>
    <col min="2826" max="2827" width="10.7109375" style="85" bestFit="1" customWidth="1"/>
    <col min="2828" max="2828" width="9.140625" style="85"/>
    <col min="2829" max="2829" width="34.7109375" style="85" bestFit="1" customWidth="1"/>
    <col min="2830" max="2831" width="9.42578125" style="85" bestFit="1" customWidth="1"/>
    <col min="2832" max="3080" width="9.140625" style="85"/>
    <col min="3081" max="3081" width="34.7109375" style="85" bestFit="1" customWidth="1"/>
    <col min="3082" max="3083" width="10.7109375" style="85" bestFit="1" customWidth="1"/>
    <col min="3084" max="3084" width="9.140625" style="85"/>
    <col min="3085" max="3085" width="34.7109375" style="85" bestFit="1" customWidth="1"/>
    <col min="3086" max="3087" width="9.42578125" style="85" bestFit="1" customWidth="1"/>
    <col min="3088" max="3336" width="9.140625" style="85"/>
    <col min="3337" max="3337" width="34.7109375" style="85" bestFit="1" customWidth="1"/>
    <col min="3338" max="3339" width="10.7109375" style="85" bestFit="1" customWidth="1"/>
    <col min="3340" max="3340" width="9.140625" style="85"/>
    <col min="3341" max="3341" width="34.7109375" style="85" bestFit="1" customWidth="1"/>
    <col min="3342" max="3343" width="9.42578125" style="85" bestFit="1" customWidth="1"/>
    <col min="3344" max="3592" width="9.140625" style="85"/>
    <col min="3593" max="3593" width="34.7109375" style="85" bestFit="1" customWidth="1"/>
    <col min="3594" max="3595" width="10.7109375" style="85" bestFit="1" customWidth="1"/>
    <col min="3596" max="3596" width="9.140625" style="85"/>
    <col min="3597" max="3597" width="34.7109375" style="85" bestFit="1" customWidth="1"/>
    <col min="3598" max="3599" width="9.42578125" style="85" bestFit="1" customWidth="1"/>
    <col min="3600" max="3848" width="9.140625" style="85"/>
    <col min="3849" max="3849" width="34.7109375" style="85" bestFit="1" customWidth="1"/>
    <col min="3850" max="3851" width="10.7109375" style="85" bestFit="1" customWidth="1"/>
    <col min="3852" max="3852" width="9.140625" style="85"/>
    <col min="3853" max="3853" width="34.7109375" style="85" bestFit="1" customWidth="1"/>
    <col min="3854" max="3855" width="9.42578125" style="85" bestFit="1" customWidth="1"/>
    <col min="3856" max="4104" width="9.140625" style="85"/>
    <col min="4105" max="4105" width="34.7109375" style="85" bestFit="1" customWidth="1"/>
    <col min="4106" max="4107" width="10.7109375" style="85" bestFit="1" customWidth="1"/>
    <col min="4108" max="4108" width="9.140625" style="85"/>
    <col min="4109" max="4109" width="34.7109375" style="85" bestFit="1" customWidth="1"/>
    <col min="4110" max="4111" width="9.42578125" style="85" bestFit="1" customWidth="1"/>
    <col min="4112" max="4360" width="9.140625" style="85"/>
    <col min="4361" max="4361" width="34.7109375" style="85" bestFit="1" customWidth="1"/>
    <col min="4362" max="4363" width="10.7109375" style="85" bestFit="1" customWidth="1"/>
    <col min="4364" max="4364" width="9.140625" style="85"/>
    <col min="4365" max="4365" width="34.7109375" style="85" bestFit="1" customWidth="1"/>
    <col min="4366" max="4367" width="9.42578125" style="85" bestFit="1" customWidth="1"/>
    <col min="4368" max="4616" width="9.140625" style="85"/>
    <col min="4617" max="4617" width="34.7109375" style="85" bestFit="1" customWidth="1"/>
    <col min="4618" max="4619" width="10.7109375" style="85" bestFit="1" customWidth="1"/>
    <col min="4620" max="4620" width="9.140625" style="85"/>
    <col min="4621" max="4621" width="34.7109375" style="85" bestFit="1" customWidth="1"/>
    <col min="4622" max="4623" width="9.42578125" style="85" bestFit="1" customWidth="1"/>
    <col min="4624" max="4872" width="9.140625" style="85"/>
    <col min="4873" max="4873" width="34.7109375" style="85" bestFit="1" customWidth="1"/>
    <col min="4874" max="4875" width="10.7109375" style="85" bestFit="1" customWidth="1"/>
    <col min="4876" max="4876" width="9.140625" style="85"/>
    <col min="4877" max="4877" width="34.7109375" style="85" bestFit="1" customWidth="1"/>
    <col min="4878" max="4879" width="9.42578125" style="85" bestFit="1" customWidth="1"/>
    <col min="4880" max="5128" width="9.140625" style="85"/>
    <col min="5129" max="5129" width="34.7109375" style="85" bestFit="1" customWidth="1"/>
    <col min="5130" max="5131" width="10.7109375" style="85" bestFit="1" customWidth="1"/>
    <col min="5132" max="5132" width="9.140625" style="85"/>
    <col min="5133" max="5133" width="34.7109375" style="85" bestFit="1" customWidth="1"/>
    <col min="5134" max="5135" width="9.42578125" style="85" bestFit="1" customWidth="1"/>
    <col min="5136" max="5384" width="9.140625" style="85"/>
    <col min="5385" max="5385" width="34.7109375" style="85" bestFit="1" customWidth="1"/>
    <col min="5386" max="5387" width="10.7109375" style="85" bestFit="1" customWidth="1"/>
    <col min="5388" max="5388" width="9.140625" style="85"/>
    <col min="5389" max="5389" width="34.7109375" style="85" bestFit="1" customWidth="1"/>
    <col min="5390" max="5391" width="9.42578125" style="85" bestFit="1" customWidth="1"/>
    <col min="5392" max="5640" width="9.140625" style="85"/>
    <col min="5641" max="5641" width="34.7109375" style="85" bestFit="1" customWidth="1"/>
    <col min="5642" max="5643" width="10.7109375" style="85" bestFit="1" customWidth="1"/>
    <col min="5644" max="5644" width="9.140625" style="85"/>
    <col min="5645" max="5645" width="34.7109375" style="85" bestFit="1" customWidth="1"/>
    <col min="5646" max="5647" width="9.42578125" style="85" bestFit="1" customWidth="1"/>
    <col min="5648" max="5896" width="9.140625" style="85"/>
    <col min="5897" max="5897" width="34.7109375" style="85" bestFit="1" customWidth="1"/>
    <col min="5898" max="5899" width="10.7109375" style="85" bestFit="1" customWidth="1"/>
    <col min="5900" max="5900" width="9.140625" style="85"/>
    <col min="5901" max="5901" width="34.7109375" style="85" bestFit="1" customWidth="1"/>
    <col min="5902" max="5903" width="9.42578125" style="85" bestFit="1" customWidth="1"/>
    <col min="5904" max="6152" width="9.140625" style="85"/>
    <col min="6153" max="6153" width="34.7109375" style="85" bestFit="1" customWidth="1"/>
    <col min="6154" max="6155" width="10.7109375" style="85" bestFit="1" customWidth="1"/>
    <col min="6156" max="6156" width="9.140625" style="85"/>
    <col min="6157" max="6157" width="34.7109375" style="85" bestFit="1" customWidth="1"/>
    <col min="6158" max="6159" width="9.42578125" style="85" bestFit="1" customWidth="1"/>
    <col min="6160" max="6408" width="9.140625" style="85"/>
    <col min="6409" max="6409" width="34.7109375" style="85" bestFit="1" customWidth="1"/>
    <col min="6410" max="6411" width="10.7109375" style="85" bestFit="1" customWidth="1"/>
    <col min="6412" max="6412" width="9.140625" style="85"/>
    <col min="6413" max="6413" width="34.7109375" style="85" bestFit="1" customWidth="1"/>
    <col min="6414" max="6415" width="9.42578125" style="85" bestFit="1" customWidth="1"/>
    <col min="6416" max="6664" width="9.140625" style="85"/>
    <col min="6665" max="6665" width="34.7109375" style="85" bestFit="1" customWidth="1"/>
    <col min="6666" max="6667" width="10.7109375" style="85" bestFit="1" customWidth="1"/>
    <col min="6668" max="6668" width="9.140625" style="85"/>
    <col min="6669" max="6669" width="34.7109375" style="85" bestFit="1" customWidth="1"/>
    <col min="6670" max="6671" width="9.42578125" style="85" bestFit="1" customWidth="1"/>
    <col min="6672" max="6920" width="9.140625" style="85"/>
    <col min="6921" max="6921" width="34.7109375" style="85" bestFit="1" customWidth="1"/>
    <col min="6922" max="6923" width="10.7109375" style="85" bestFit="1" customWidth="1"/>
    <col min="6924" max="6924" width="9.140625" style="85"/>
    <col min="6925" max="6925" width="34.7109375" style="85" bestFit="1" customWidth="1"/>
    <col min="6926" max="6927" width="9.42578125" style="85" bestFit="1" customWidth="1"/>
    <col min="6928" max="7176" width="9.140625" style="85"/>
    <col min="7177" max="7177" width="34.7109375" style="85" bestFit="1" customWidth="1"/>
    <col min="7178" max="7179" width="10.7109375" style="85" bestFit="1" customWidth="1"/>
    <col min="7180" max="7180" width="9.140625" style="85"/>
    <col min="7181" max="7181" width="34.7109375" style="85" bestFit="1" customWidth="1"/>
    <col min="7182" max="7183" width="9.42578125" style="85" bestFit="1" customWidth="1"/>
    <col min="7184" max="7432" width="9.140625" style="85"/>
    <col min="7433" max="7433" width="34.7109375" style="85" bestFit="1" customWidth="1"/>
    <col min="7434" max="7435" width="10.7109375" style="85" bestFit="1" customWidth="1"/>
    <col min="7436" max="7436" width="9.140625" style="85"/>
    <col min="7437" max="7437" width="34.7109375" style="85" bestFit="1" customWidth="1"/>
    <col min="7438" max="7439" width="9.42578125" style="85" bestFit="1" customWidth="1"/>
    <col min="7440" max="7688" width="9.140625" style="85"/>
    <col min="7689" max="7689" width="34.7109375" style="85" bestFit="1" customWidth="1"/>
    <col min="7690" max="7691" width="10.7109375" style="85" bestFit="1" customWidth="1"/>
    <col min="7692" max="7692" width="9.140625" style="85"/>
    <col min="7693" max="7693" width="34.7109375" style="85" bestFit="1" customWidth="1"/>
    <col min="7694" max="7695" width="9.42578125" style="85" bestFit="1" customWidth="1"/>
    <col min="7696" max="7944" width="9.140625" style="85"/>
    <col min="7945" max="7945" width="34.7109375" style="85" bestFit="1" customWidth="1"/>
    <col min="7946" max="7947" width="10.7109375" style="85" bestFit="1" customWidth="1"/>
    <col min="7948" max="7948" width="9.140625" style="85"/>
    <col min="7949" max="7949" width="34.7109375" style="85" bestFit="1" customWidth="1"/>
    <col min="7950" max="7951" width="9.42578125" style="85" bestFit="1" customWidth="1"/>
    <col min="7952" max="8200" width="9.140625" style="85"/>
    <col min="8201" max="8201" width="34.7109375" style="85" bestFit="1" customWidth="1"/>
    <col min="8202" max="8203" width="10.7109375" style="85" bestFit="1" customWidth="1"/>
    <col min="8204" max="8204" width="9.140625" style="85"/>
    <col min="8205" max="8205" width="34.7109375" style="85" bestFit="1" customWidth="1"/>
    <col min="8206" max="8207" width="9.42578125" style="85" bestFit="1" customWidth="1"/>
    <col min="8208" max="8456" width="9.140625" style="85"/>
    <col min="8457" max="8457" width="34.7109375" style="85" bestFit="1" customWidth="1"/>
    <col min="8458" max="8459" width="10.7109375" style="85" bestFit="1" customWidth="1"/>
    <col min="8460" max="8460" width="9.140625" style="85"/>
    <col min="8461" max="8461" width="34.7109375" style="85" bestFit="1" customWidth="1"/>
    <col min="8462" max="8463" width="9.42578125" style="85" bestFit="1" customWidth="1"/>
    <col min="8464" max="8712" width="9.140625" style="85"/>
    <col min="8713" max="8713" width="34.7109375" style="85" bestFit="1" customWidth="1"/>
    <col min="8714" max="8715" width="10.7109375" style="85" bestFit="1" customWidth="1"/>
    <col min="8716" max="8716" width="9.140625" style="85"/>
    <col min="8717" max="8717" width="34.7109375" style="85" bestFit="1" customWidth="1"/>
    <col min="8718" max="8719" width="9.42578125" style="85" bestFit="1" customWidth="1"/>
    <col min="8720" max="8968" width="9.140625" style="85"/>
    <col min="8969" max="8969" width="34.7109375" style="85" bestFit="1" customWidth="1"/>
    <col min="8970" max="8971" width="10.7109375" style="85" bestFit="1" customWidth="1"/>
    <col min="8972" max="8972" width="9.140625" style="85"/>
    <col min="8973" max="8973" width="34.7109375" style="85" bestFit="1" customWidth="1"/>
    <col min="8974" max="8975" width="9.42578125" style="85" bestFit="1" customWidth="1"/>
    <col min="8976" max="9224" width="9.140625" style="85"/>
    <col min="9225" max="9225" width="34.7109375" style="85" bestFit="1" customWidth="1"/>
    <col min="9226" max="9227" width="10.7109375" style="85" bestFit="1" customWidth="1"/>
    <col min="9228" max="9228" width="9.140625" style="85"/>
    <col min="9229" max="9229" width="34.7109375" style="85" bestFit="1" customWidth="1"/>
    <col min="9230" max="9231" width="9.42578125" style="85" bestFit="1" customWidth="1"/>
    <col min="9232" max="9480" width="9.140625" style="85"/>
    <col min="9481" max="9481" width="34.7109375" style="85" bestFit="1" customWidth="1"/>
    <col min="9482" max="9483" width="10.7109375" style="85" bestFit="1" customWidth="1"/>
    <col min="9484" max="9484" width="9.140625" style="85"/>
    <col min="9485" max="9485" width="34.7109375" style="85" bestFit="1" customWidth="1"/>
    <col min="9486" max="9487" width="9.42578125" style="85" bestFit="1" customWidth="1"/>
    <col min="9488" max="9736" width="9.140625" style="85"/>
    <col min="9737" max="9737" width="34.7109375" style="85" bestFit="1" customWidth="1"/>
    <col min="9738" max="9739" width="10.7109375" style="85" bestFit="1" customWidth="1"/>
    <col min="9740" max="9740" width="9.140625" style="85"/>
    <col min="9741" max="9741" width="34.7109375" style="85" bestFit="1" customWidth="1"/>
    <col min="9742" max="9743" width="9.42578125" style="85" bestFit="1" customWidth="1"/>
    <col min="9744" max="9992" width="9.140625" style="85"/>
    <col min="9993" max="9993" width="34.7109375" style="85" bestFit="1" customWidth="1"/>
    <col min="9994" max="9995" width="10.7109375" style="85" bestFit="1" customWidth="1"/>
    <col min="9996" max="9996" width="9.140625" style="85"/>
    <col min="9997" max="9997" width="34.7109375" style="85" bestFit="1" customWidth="1"/>
    <col min="9998" max="9999" width="9.42578125" style="85" bestFit="1" customWidth="1"/>
    <col min="10000" max="10248" width="9.140625" style="85"/>
    <col min="10249" max="10249" width="34.7109375" style="85" bestFit="1" customWidth="1"/>
    <col min="10250" max="10251" width="10.7109375" style="85" bestFit="1" customWidth="1"/>
    <col min="10252" max="10252" width="9.140625" style="85"/>
    <col min="10253" max="10253" width="34.7109375" style="85" bestFit="1" customWidth="1"/>
    <col min="10254" max="10255" width="9.42578125" style="85" bestFit="1" customWidth="1"/>
    <col min="10256" max="10504" width="9.140625" style="85"/>
    <col min="10505" max="10505" width="34.7109375" style="85" bestFit="1" customWidth="1"/>
    <col min="10506" max="10507" width="10.7109375" style="85" bestFit="1" customWidth="1"/>
    <col min="10508" max="10508" width="9.140625" style="85"/>
    <col min="10509" max="10509" width="34.7109375" style="85" bestFit="1" customWidth="1"/>
    <col min="10510" max="10511" width="9.42578125" style="85" bestFit="1" customWidth="1"/>
    <col min="10512" max="10760" width="9.140625" style="85"/>
    <col min="10761" max="10761" width="34.7109375" style="85" bestFit="1" customWidth="1"/>
    <col min="10762" max="10763" width="10.7109375" style="85" bestFit="1" customWidth="1"/>
    <col min="10764" max="10764" width="9.140625" style="85"/>
    <col min="10765" max="10765" width="34.7109375" style="85" bestFit="1" customWidth="1"/>
    <col min="10766" max="10767" width="9.42578125" style="85" bestFit="1" customWidth="1"/>
    <col min="10768" max="11016" width="9.140625" style="85"/>
    <col min="11017" max="11017" width="34.7109375" style="85" bestFit="1" customWidth="1"/>
    <col min="11018" max="11019" width="10.7109375" style="85" bestFit="1" customWidth="1"/>
    <col min="11020" max="11020" width="9.140625" style="85"/>
    <col min="11021" max="11021" width="34.7109375" style="85" bestFit="1" customWidth="1"/>
    <col min="11022" max="11023" width="9.42578125" style="85" bestFit="1" customWidth="1"/>
    <col min="11024" max="11272" width="9.140625" style="85"/>
    <col min="11273" max="11273" width="34.7109375" style="85" bestFit="1" customWidth="1"/>
    <col min="11274" max="11275" width="10.7109375" style="85" bestFit="1" customWidth="1"/>
    <col min="11276" max="11276" width="9.140625" style="85"/>
    <col min="11277" max="11277" width="34.7109375" style="85" bestFit="1" customWidth="1"/>
    <col min="11278" max="11279" width="9.42578125" style="85" bestFit="1" customWidth="1"/>
    <col min="11280" max="11528" width="9.140625" style="85"/>
    <col min="11529" max="11529" width="34.7109375" style="85" bestFit="1" customWidth="1"/>
    <col min="11530" max="11531" width="10.7109375" style="85" bestFit="1" customWidth="1"/>
    <col min="11532" max="11532" width="9.140625" style="85"/>
    <col min="11533" max="11533" width="34.7109375" style="85" bestFit="1" customWidth="1"/>
    <col min="11534" max="11535" width="9.42578125" style="85" bestFit="1" customWidth="1"/>
    <col min="11536" max="11784" width="9.140625" style="85"/>
    <col min="11785" max="11785" width="34.7109375" style="85" bestFit="1" customWidth="1"/>
    <col min="11786" max="11787" width="10.7109375" style="85" bestFit="1" customWidth="1"/>
    <col min="11788" max="11788" width="9.140625" style="85"/>
    <col min="11789" max="11789" width="34.7109375" style="85" bestFit="1" customWidth="1"/>
    <col min="11790" max="11791" width="9.42578125" style="85" bestFit="1" customWidth="1"/>
    <col min="11792" max="12040" width="9.140625" style="85"/>
    <col min="12041" max="12041" width="34.7109375" style="85" bestFit="1" customWidth="1"/>
    <col min="12042" max="12043" width="10.7109375" style="85" bestFit="1" customWidth="1"/>
    <col min="12044" max="12044" width="9.140625" style="85"/>
    <col min="12045" max="12045" width="34.7109375" style="85" bestFit="1" customWidth="1"/>
    <col min="12046" max="12047" width="9.42578125" style="85" bestFit="1" customWidth="1"/>
    <col min="12048" max="12296" width="9.140625" style="85"/>
    <col min="12297" max="12297" width="34.7109375" style="85" bestFit="1" customWidth="1"/>
    <col min="12298" max="12299" width="10.7109375" style="85" bestFit="1" customWidth="1"/>
    <col min="12300" max="12300" width="9.140625" style="85"/>
    <col min="12301" max="12301" width="34.7109375" style="85" bestFit="1" customWidth="1"/>
    <col min="12302" max="12303" width="9.42578125" style="85" bestFit="1" customWidth="1"/>
    <col min="12304" max="12552" width="9.140625" style="85"/>
    <col min="12553" max="12553" width="34.7109375" style="85" bestFit="1" customWidth="1"/>
    <col min="12554" max="12555" width="10.7109375" style="85" bestFit="1" customWidth="1"/>
    <col min="12556" max="12556" width="9.140625" style="85"/>
    <col min="12557" max="12557" width="34.7109375" style="85" bestFit="1" customWidth="1"/>
    <col min="12558" max="12559" width="9.42578125" style="85" bestFit="1" customWidth="1"/>
    <col min="12560" max="12808" width="9.140625" style="85"/>
    <col min="12809" max="12809" width="34.7109375" style="85" bestFit="1" customWidth="1"/>
    <col min="12810" max="12811" width="10.7109375" style="85" bestFit="1" customWidth="1"/>
    <col min="12812" max="12812" width="9.140625" style="85"/>
    <col min="12813" max="12813" width="34.7109375" style="85" bestFit="1" customWidth="1"/>
    <col min="12814" max="12815" width="9.42578125" style="85" bestFit="1" customWidth="1"/>
    <col min="12816" max="13064" width="9.140625" style="85"/>
    <col min="13065" max="13065" width="34.7109375" style="85" bestFit="1" customWidth="1"/>
    <col min="13066" max="13067" width="10.7109375" style="85" bestFit="1" customWidth="1"/>
    <col min="13068" max="13068" width="9.140625" style="85"/>
    <col min="13069" max="13069" width="34.7109375" style="85" bestFit="1" customWidth="1"/>
    <col min="13070" max="13071" width="9.42578125" style="85" bestFit="1" customWidth="1"/>
    <col min="13072" max="13320" width="9.140625" style="85"/>
    <col min="13321" max="13321" width="34.7109375" style="85" bestFit="1" customWidth="1"/>
    <col min="13322" max="13323" width="10.7109375" style="85" bestFit="1" customWidth="1"/>
    <col min="13324" max="13324" width="9.140625" style="85"/>
    <col min="13325" max="13325" width="34.7109375" style="85" bestFit="1" customWidth="1"/>
    <col min="13326" max="13327" width="9.42578125" style="85" bestFit="1" customWidth="1"/>
    <col min="13328" max="13576" width="9.140625" style="85"/>
    <col min="13577" max="13577" width="34.7109375" style="85" bestFit="1" customWidth="1"/>
    <col min="13578" max="13579" width="10.7109375" style="85" bestFit="1" customWidth="1"/>
    <col min="13580" max="13580" width="9.140625" style="85"/>
    <col min="13581" max="13581" width="34.7109375" style="85" bestFit="1" customWidth="1"/>
    <col min="13582" max="13583" width="9.42578125" style="85" bestFit="1" customWidth="1"/>
    <col min="13584" max="13832" width="9.140625" style="85"/>
    <col min="13833" max="13833" width="34.7109375" style="85" bestFit="1" customWidth="1"/>
    <col min="13834" max="13835" width="10.7109375" style="85" bestFit="1" customWidth="1"/>
    <col min="13836" max="13836" width="9.140625" style="85"/>
    <col min="13837" max="13837" width="34.7109375" style="85" bestFit="1" customWidth="1"/>
    <col min="13838" max="13839" width="9.42578125" style="85" bestFit="1" customWidth="1"/>
    <col min="13840" max="14088" width="9.140625" style="85"/>
    <col min="14089" max="14089" width="34.7109375" style="85" bestFit="1" customWidth="1"/>
    <col min="14090" max="14091" width="10.7109375" style="85" bestFit="1" customWidth="1"/>
    <col min="14092" max="14092" width="9.140625" style="85"/>
    <col min="14093" max="14093" width="34.7109375" style="85" bestFit="1" customWidth="1"/>
    <col min="14094" max="14095" width="9.42578125" style="85" bestFit="1" customWidth="1"/>
    <col min="14096" max="14344" width="9.140625" style="85"/>
    <col min="14345" max="14345" width="34.7109375" style="85" bestFit="1" customWidth="1"/>
    <col min="14346" max="14347" width="10.7109375" style="85" bestFit="1" customWidth="1"/>
    <col min="14348" max="14348" width="9.140625" style="85"/>
    <col min="14349" max="14349" width="34.7109375" style="85" bestFit="1" customWidth="1"/>
    <col min="14350" max="14351" width="9.42578125" style="85" bestFit="1" customWidth="1"/>
    <col min="14352" max="14600" width="9.140625" style="85"/>
    <col min="14601" max="14601" width="34.7109375" style="85" bestFit="1" customWidth="1"/>
    <col min="14602" max="14603" width="10.7109375" style="85" bestFit="1" customWidth="1"/>
    <col min="14604" max="14604" width="9.140625" style="85"/>
    <col min="14605" max="14605" width="34.7109375" style="85" bestFit="1" customWidth="1"/>
    <col min="14606" max="14607" width="9.42578125" style="85" bestFit="1" customWidth="1"/>
    <col min="14608" max="14856" width="9.140625" style="85"/>
    <col min="14857" max="14857" width="34.7109375" style="85" bestFit="1" customWidth="1"/>
    <col min="14858" max="14859" width="10.7109375" style="85" bestFit="1" customWidth="1"/>
    <col min="14860" max="14860" width="9.140625" style="85"/>
    <col min="14861" max="14861" width="34.7109375" style="85" bestFit="1" customWidth="1"/>
    <col min="14862" max="14863" width="9.42578125" style="85" bestFit="1" customWidth="1"/>
    <col min="14864" max="15112" width="9.140625" style="85"/>
    <col min="15113" max="15113" width="34.7109375" style="85" bestFit="1" customWidth="1"/>
    <col min="15114" max="15115" width="10.7109375" style="85" bestFit="1" customWidth="1"/>
    <col min="15116" max="15116" width="9.140625" style="85"/>
    <col min="15117" max="15117" width="34.7109375" style="85" bestFit="1" customWidth="1"/>
    <col min="15118" max="15119" width="9.42578125" style="85" bestFit="1" customWidth="1"/>
    <col min="15120" max="15368" width="9.140625" style="85"/>
    <col min="15369" max="15369" width="34.7109375" style="85" bestFit="1" customWidth="1"/>
    <col min="15370" max="15371" width="10.7109375" style="85" bestFit="1" customWidth="1"/>
    <col min="15372" max="15372" width="9.140625" style="85"/>
    <col min="15373" max="15373" width="34.7109375" style="85" bestFit="1" customWidth="1"/>
    <col min="15374" max="15375" width="9.42578125" style="85" bestFit="1" customWidth="1"/>
    <col min="15376" max="15624" width="9.140625" style="85"/>
    <col min="15625" max="15625" width="34.7109375" style="85" bestFit="1" customWidth="1"/>
    <col min="15626" max="15627" width="10.7109375" style="85" bestFit="1" customWidth="1"/>
    <col min="15628" max="15628" width="9.140625" style="85"/>
    <col min="15629" max="15629" width="34.7109375" style="85" bestFit="1" customWidth="1"/>
    <col min="15630" max="15631" width="9.42578125" style="85" bestFit="1" customWidth="1"/>
    <col min="15632" max="15880" width="9.140625" style="85"/>
    <col min="15881" max="15881" width="34.7109375" style="85" bestFit="1" customWidth="1"/>
    <col min="15882" max="15883" width="10.7109375" style="85" bestFit="1" customWidth="1"/>
    <col min="15884" max="15884" width="9.140625" style="85"/>
    <col min="15885" max="15885" width="34.7109375" style="85" bestFit="1" customWidth="1"/>
    <col min="15886" max="15887" width="9.42578125" style="85" bestFit="1" customWidth="1"/>
    <col min="15888" max="16136" width="9.140625" style="85"/>
    <col min="16137" max="16137" width="34.7109375" style="85" bestFit="1" customWidth="1"/>
    <col min="16138" max="16139" width="10.7109375" style="85" bestFit="1" customWidth="1"/>
    <col min="16140" max="16140" width="9.140625" style="85"/>
    <col min="16141" max="16141" width="34.7109375" style="85" bestFit="1" customWidth="1"/>
    <col min="16142" max="16143" width="9.42578125" style="85" bestFit="1" customWidth="1"/>
    <col min="16144" max="16384" width="9.140625" style="85"/>
  </cols>
  <sheetData>
    <row r="1" spans="1:15" x14ac:dyDescent="0.2">
      <c r="A1" s="364" t="s">
        <v>936</v>
      </c>
      <c r="B1" s="364"/>
      <c r="C1" s="364"/>
      <c r="D1" s="364"/>
      <c r="E1" s="364"/>
      <c r="F1" s="364"/>
      <c r="G1" s="364"/>
      <c r="I1" s="364" t="s">
        <v>936</v>
      </c>
      <c r="J1" s="364"/>
      <c r="K1" s="364"/>
      <c r="L1" s="364"/>
      <c r="M1" s="364"/>
      <c r="N1" s="364"/>
      <c r="O1" s="364"/>
    </row>
    <row r="2" spans="1:15" x14ac:dyDescent="0.2">
      <c r="A2" s="364" t="s">
        <v>162</v>
      </c>
      <c r="B2" s="364"/>
      <c r="C2" s="364"/>
      <c r="D2" s="364"/>
      <c r="E2" s="364"/>
      <c r="F2" s="364"/>
      <c r="G2" s="364"/>
      <c r="I2" s="364" t="s">
        <v>207</v>
      </c>
      <c r="J2" s="364"/>
      <c r="K2" s="364"/>
      <c r="L2" s="364"/>
      <c r="M2" s="364"/>
      <c r="N2" s="364"/>
      <c r="O2" s="364"/>
    </row>
    <row r="3" spans="1:15" x14ac:dyDescent="0.2">
      <c r="A3" s="107"/>
      <c r="B3" s="228">
        <v>45717</v>
      </c>
      <c r="C3" s="228">
        <v>45352</v>
      </c>
      <c r="D3" s="228">
        <v>44986</v>
      </c>
      <c r="E3" s="228">
        <v>44621</v>
      </c>
      <c r="F3" s="228">
        <v>44256</v>
      </c>
      <c r="G3" s="228">
        <v>43891</v>
      </c>
      <c r="I3" s="107"/>
      <c r="J3" s="228">
        <v>45717</v>
      </c>
      <c r="K3" s="228">
        <v>45352</v>
      </c>
      <c r="L3" s="228">
        <v>44986</v>
      </c>
      <c r="M3" s="228">
        <v>44621</v>
      </c>
      <c r="N3" s="228">
        <v>44256</v>
      </c>
      <c r="O3" s="228">
        <v>43891</v>
      </c>
    </row>
    <row r="4" spans="1:15" x14ac:dyDescent="0.2">
      <c r="A4" s="365" t="s">
        <v>208</v>
      </c>
      <c r="B4" s="365"/>
      <c r="C4" s="365"/>
      <c r="D4" s="365"/>
      <c r="E4" s="365"/>
      <c r="F4" s="365"/>
      <c r="G4" s="365"/>
      <c r="I4" s="365" t="s">
        <v>208</v>
      </c>
      <c r="J4" s="365"/>
      <c r="K4" s="365"/>
      <c r="L4" s="365"/>
      <c r="M4" s="365"/>
      <c r="N4" s="365"/>
      <c r="O4" s="365"/>
    </row>
    <row r="5" spans="1:15" x14ac:dyDescent="0.2">
      <c r="A5" s="104" t="s">
        <v>209</v>
      </c>
      <c r="B5" s="108">
        <f>B6+B11+B13+B14+B12</f>
        <v>2846.8299999999995</v>
      </c>
      <c r="C5" s="108">
        <f>C6+C11+C13+C14+C12</f>
        <v>2518.2400000000002</v>
      </c>
      <c r="D5" s="108">
        <f t="shared" ref="D5:G5" si="0">D6+D11+D13+D14+D12</f>
        <v>2382.4100000000003</v>
      </c>
      <c r="E5" s="108">
        <f t="shared" si="0"/>
        <v>2072.9400000000005</v>
      </c>
      <c r="F5" s="108">
        <f t="shared" si="0"/>
        <v>1891.2500000000002</v>
      </c>
      <c r="G5" s="108">
        <f t="shared" si="0"/>
        <v>2022.2900000000002</v>
      </c>
      <c r="I5" s="104" t="s">
        <v>209</v>
      </c>
      <c r="J5" s="102">
        <f t="shared" ref="J5:O6" si="1">B5/B$22</f>
        <v>0.52759034157352502</v>
      </c>
      <c r="K5" s="102">
        <f t="shared" si="1"/>
        <v>0.53747564195325392</v>
      </c>
      <c r="L5" s="102">
        <f t="shared" si="1"/>
        <v>0.57979581655127099</v>
      </c>
      <c r="M5" s="102">
        <f t="shared" si="1"/>
        <v>0.55436134280740135</v>
      </c>
      <c r="N5" s="102">
        <f t="shared" si="1"/>
        <v>0.55015621091091038</v>
      </c>
      <c r="O5" s="102">
        <f t="shared" si="1"/>
        <v>0.67796331745387861</v>
      </c>
    </row>
    <row r="6" spans="1:15" s="196" customFormat="1" x14ac:dyDescent="0.2">
      <c r="A6" s="121" t="s">
        <v>210</v>
      </c>
      <c r="B6" s="109">
        <f t="shared" ref="B6:G6" si="2">SUM(B7:B10)</f>
        <v>2235.1</v>
      </c>
      <c r="C6" s="109">
        <f t="shared" si="2"/>
        <v>1921.1100000000001</v>
      </c>
      <c r="D6" s="109">
        <f t="shared" si="2"/>
        <v>1807.81</v>
      </c>
      <c r="E6" s="109">
        <f t="shared" si="2"/>
        <v>1654.13</v>
      </c>
      <c r="F6" s="109">
        <f t="shared" si="2"/>
        <v>1487.13</v>
      </c>
      <c r="G6" s="109">
        <f t="shared" si="2"/>
        <v>1539.6200000000001</v>
      </c>
      <c r="I6" s="121" t="s">
        <v>210</v>
      </c>
      <c r="J6" s="98">
        <f t="shared" si="1"/>
        <v>0.414221141568336</v>
      </c>
      <c r="K6" s="98">
        <f t="shared" si="1"/>
        <v>0.41002836525224584</v>
      </c>
      <c r="L6" s="98">
        <f t="shared" si="1"/>
        <v>0.43995814117618426</v>
      </c>
      <c r="M6" s="98">
        <f t="shared" si="1"/>
        <v>0.44235999497236128</v>
      </c>
      <c r="N6" s="98">
        <f t="shared" si="1"/>
        <v>0.43259950082323445</v>
      </c>
      <c r="O6" s="98">
        <f t="shared" si="1"/>
        <v>0.51615044470295579</v>
      </c>
    </row>
    <row r="7" spans="1:15" x14ac:dyDescent="0.2">
      <c r="A7" s="110" t="s">
        <v>211</v>
      </c>
      <c r="B7" s="111">
        <f>Financials_Standalone!B29</f>
        <v>1964.46</v>
      </c>
      <c r="C7" s="111">
        <f>Financials_Standalone!C29</f>
        <v>1756.7</v>
      </c>
      <c r="D7" s="111">
        <f>Financials_Standalone!D29</f>
        <v>1624.85</v>
      </c>
      <c r="E7" s="111">
        <f>Financials_Standalone!E29</f>
        <v>1508.39</v>
      </c>
      <c r="F7" s="111">
        <f>Financials_Standalone!F29</f>
        <v>1368.37</v>
      </c>
      <c r="G7" s="111">
        <f>Financials_Standalone!G29</f>
        <v>1455.65</v>
      </c>
      <c r="I7" s="110" t="s">
        <v>211</v>
      </c>
      <c r="J7" s="53">
        <f t="shared" ref="J7:K14" si="3">B7/B$22</f>
        <v>0.36406463413956125</v>
      </c>
      <c r="K7" s="53">
        <f t="shared" si="3"/>
        <v>0.37493783762440475</v>
      </c>
      <c r="L7" s="53">
        <f t="shared" ref="L7:L14" si="4">D7/D$22</f>
        <v>0.39543203416848172</v>
      </c>
      <c r="M7" s="53">
        <f t="shared" ref="M7:M14" si="5">E7/E$22</f>
        <v>0.40338509839998066</v>
      </c>
      <c r="N7" s="53">
        <f t="shared" ref="N7:N14" si="6">F7/F$22</f>
        <v>0.39805274518131517</v>
      </c>
      <c r="O7" s="53">
        <f t="shared" ref="O7:O14" si="7">G7/G$22</f>
        <v>0.48799989272148819</v>
      </c>
    </row>
    <row r="8" spans="1:15" x14ac:dyDescent="0.2">
      <c r="A8" s="110" t="s">
        <v>212</v>
      </c>
      <c r="B8" s="111">
        <f>Financials_Standalone!B30</f>
        <v>60.85</v>
      </c>
      <c r="C8" s="111">
        <f>Financials_Standalone!C30</f>
        <v>44.45</v>
      </c>
      <c r="D8" s="111">
        <f>Financials_Standalone!D30</f>
        <v>51.47</v>
      </c>
      <c r="E8" s="111">
        <f>Financials_Standalone!E30</f>
        <v>56.56</v>
      </c>
      <c r="F8" s="111">
        <f>Financials_Standalone!F30</f>
        <v>26.67</v>
      </c>
      <c r="G8" s="111">
        <f>Financials_Standalone!G30</f>
        <v>3.25</v>
      </c>
      <c r="I8" s="110" t="s">
        <v>212</v>
      </c>
      <c r="J8" s="53">
        <f t="shared" si="3"/>
        <v>1.127705984718055E-2</v>
      </c>
      <c r="K8" s="53">
        <f t="shared" si="3"/>
        <v>9.4870990393378443E-3</v>
      </c>
      <c r="L8" s="53">
        <f t="shared" si="4"/>
        <v>1.2526009661600612E-2</v>
      </c>
      <c r="M8" s="53">
        <f t="shared" si="5"/>
        <v>1.5125704337408036E-2</v>
      </c>
      <c r="N8" s="53">
        <f t="shared" si="6"/>
        <v>7.7581843463286077E-3</v>
      </c>
      <c r="O8" s="53">
        <f t="shared" si="7"/>
        <v>1.089547385253898E-3</v>
      </c>
    </row>
    <row r="9" spans="1:15" x14ac:dyDescent="0.2">
      <c r="A9" s="110" t="s">
        <v>478</v>
      </c>
      <c r="B9" s="111">
        <f>Financials_Standalone!B31</f>
        <v>206.97</v>
      </c>
      <c r="C9" s="111">
        <f>Financials_Standalone!C31</f>
        <v>102.27</v>
      </c>
      <c r="D9" s="111">
        <f>Financials_Standalone!D31</f>
        <v>119.11</v>
      </c>
      <c r="E9" s="111">
        <f>Financials_Standalone!E31</f>
        <v>83.78</v>
      </c>
      <c r="F9" s="111">
        <f>Financials_Standalone!F31</f>
        <v>88.92</v>
      </c>
      <c r="G9" s="111">
        <f>Financials_Standalone!G31</f>
        <v>61.22</v>
      </c>
      <c r="I9" s="110" t="s">
        <v>495</v>
      </c>
      <c r="J9" s="53">
        <f t="shared" si="3"/>
        <v>3.8356829524584364E-2</v>
      </c>
      <c r="K9" s="53">
        <f t="shared" si="3"/>
        <v>2.1827797947200928E-2</v>
      </c>
      <c r="L9" s="53">
        <f t="shared" si="4"/>
        <v>2.8987235492388751E-2</v>
      </c>
      <c r="M9" s="53">
        <f t="shared" si="5"/>
        <v>2.24050832635793E-2</v>
      </c>
      <c r="N9" s="53">
        <f t="shared" si="6"/>
        <v>2.5866432398782894E-2</v>
      </c>
      <c r="O9" s="53">
        <f t="shared" si="7"/>
        <v>2.0523720284690346E-2</v>
      </c>
    </row>
    <row r="10" spans="1:15" x14ac:dyDescent="0.2">
      <c r="A10" s="110" t="s">
        <v>490</v>
      </c>
      <c r="B10" s="111">
        <f>Financials_Standalone!B32</f>
        <v>2.82</v>
      </c>
      <c r="C10" s="111">
        <f>Financials_Standalone!C32</f>
        <v>17.690000000000001</v>
      </c>
      <c r="D10" s="111">
        <f>Financials_Standalone!D32</f>
        <v>12.38</v>
      </c>
      <c r="E10" s="111">
        <f>Financials_Standalone!E32</f>
        <v>5.4</v>
      </c>
      <c r="F10" s="111">
        <f>Financials_Standalone!F32</f>
        <v>3.17</v>
      </c>
      <c r="G10" s="111">
        <f>Financials_Standalone!G32</f>
        <v>19.5</v>
      </c>
      <c r="I10" s="110" t="s">
        <v>213</v>
      </c>
      <c r="J10" s="53">
        <f t="shared" si="3"/>
        <v>5.2261805700984636E-4</v>
      </c>
      <c r="K10" s="53">
        <f t="shared" si="3"/>
        <v>3.7756306413022829E-3</v>
      </c>
      <c r="L10" s="53">
        <f t="shared" si="4"/>
        <v>3.0128618537131452E-3</v>
      </c>
      <c r="M10" s="53">
        <f t="shared" si="5"/>
        <v>1.4441089713932707E-3</v>
      </c>
      <c r="N10" s="53">
        <f t="shared" si="6"/>
        <v>9.2213889680771227E-4</v>
      </c>
      <c r="O10" s="53">
        <f t="shared" si="7"/>
        <v>6.5372843115233878E-3</v>
      </c>
    </row>
    <row r="11" spans="1:15" x14ac:dyDescent="0.2">
      <c r="A11" s="94" t="s">
        <v>214</v>
      </c>
      <c r="B11" s="112">
        <f>Financials_Standalone!B34</f>
        <v>521.97</v>
      </c>
      <c r="C11" s="112">
        <f>Financials_Standalone!C34</f>
        <v>533.82000000000005</v>
      </c>
      <c r="D11" s="112">
        <f>Financials_Standalone!D34</f>
        <v>524.82000000000005</v>
      </c>
      <c r="E11" s="112">
        <f>Financials_Standalone!E34</f>
        <v>364.91</v>
      </c>
      <c r="F11" s="112">
        <f>Financials_Standalone!F34</f>
        <v>364.91</v>
      </c>
      <c r="G11" s="112">
        <f>Financials_Standalone!G34</f>
        <v>364.91</v>
      </c>
      <c r="I11" s="94" t="s">
        <v>214</v>
      </c>
      <c r="J11" s="53">
        <f t="shared" si="3"/>
        <v>9.6734378445896996E-2</v>
      </c>
      <c r="K11" s="53">
        <f t="shared" si="3"/>
        <v>0.1139348303527408</v>
      </c>
      <c r="L11" s="53">
        <f t="shared" si="4"/>
        <v>0.12772295299400105</v>
      </c>
      <c r="M11" s="53">
        <f t="shared" si="5"/>
        <v>9.7587000879836752E-2</v>
      </c>
      <c r="N11" s="53">
        <f t="shared" si="6"/>
        <v>0.10615069553126255</v>
      </c>
      <c r="O11" s="53">
        <f t="shared" si="7"/>
        <v>0.12233438041630768</v>
      </c>
    </row>
    <row r="12" spans="1:15" x14ac:dyDescent="0.2">
      <c r="A12" s="94" t="s">
        <v>273</v>
      </c>
      <c r="B12" s="112">
        <f>Financials_Standalone!B35</f>
        <v>0</v>
      </c>
      <c r="C12" s="112">
        <f>Financials_Standalone!C35</f>
        <v>0</v>
      </c>
      <c r="D12" s="112">
        <f>Financials_Standalone!D35</f>
        <v>1.1100000000000001</v>
      </c>
      <c r="E12" s="112">
        <f>Financials_Standalone!E35</f>
        <v>3.82</v>
      </c>
      <c r="F12" s="112">
        <f>Financials_Standalone!F35</f>
        <v>1.96</v>
      </c>
      <c r="G12" s="112">
        <f>Financials_Standalone!G35</f>
        <v>0</v>
      </c>
      <c r="I12" s="94" t="s">
        <v>273</v>
      </c>
      <c r="J12" s="53">
        <f t="shared" si="3"/>
        <v>0</v>
      </c>
      <c r="K12" s="53">
        <f t="shared" si="3"/>
        <v>0</v>
      </c>
      <c r="L12" s="53">
        <f t="shared" si="4"/>
        <v>2.7013543276426427E-4</v>
      </c>
      <c r="M12" s="53">
        <f t="shared" si="5"/>
        <v>1.0215733834670914E-3</v>
      </c>
      <c r="N12" s="53">
        <f t="shared" si="6"/>
        <v>5.7015528004514704E-4</v>
      </c>
      <c r="O12" s="53">
        <f t="shared" si="7"/>
        <v>0</v>
      </c>
    </row>
    <row r="13" spans="1:15" x14ac:dyDescent="0.2">
      <c r="A13" s="94" t="s">
        <v>215</v>
      </c>
      <c r="B13" s="112">
        <f>Financials_Standalone!B36</f>
        <v>13.7</v>
      </c>
      <c r="C13" s="112">
        <f>Financials_Standalone!C36</f>
        <v>10</v>
      </c>
      <c r="D13" s="112">
        <f>Financials_Standalone!D36</f>
        <v>0</v>
      </c>
      <c r="E13" s="112">
        <f>Financials_Standalone!E36</f>
        <v>0</v>
      </c>
      <c r="F13" s="112">
        <f>Financials_Standalone!F36</f>
        <v>0</v>
      </c>
      <c r="G13" s="112">
        <f>Financials_Standalone!G36</f>
        <v>0</v>
      </c>
      <c r="I13" s="94" t="s">
        <v>215</v>
      </c>
      <c r="J13" s="53">
        <f t="shared" si="3"/>
        <v>2.538960064196771E-3</v>
      </c>
      <c r="K13" s="53">
        <f t="shared" si="3"/>
        <v>2.1343304925394474E-3</v>
      </c>
      <c r="L13" s="53">
        <f t="shared" si="4"/>
        <v>0</v>
      </c>
      <c r="M13" s="53">
        <f t="shared" si="5"/>
        <v>0</v>
      </c>
      <c r="N13" s="53">
        <f t="shared" si="6"/>
        <v>0</v>
      </c>
      <c r="O13" s="53">
        <f t="shared" si="7"/>
        <v>0</v>
      </c>
    </row>
    <row r="14" spans="1:15" x14ac:dyDescent="0.2">
      <c r="A14" s="94" t="s">
        <v>216</v>
      </c>
      <c r="B14" s="112">
        <f>Financials_Standalone!B37</f>
        <v>76.06</v>
      </c>
      <c r="C14" s="112">
        <f>Financials_Standalone!C37</f>
        <v>53.31</v>
      </c>
      <c r="D14" s="112">
        <f>Financials_Standalone!D37</f>
        <v>48.67</v>
      </c>
      <c r="E14" s="112">
        <f>Financials_Standalone!E37</f>
        <v>50.08</v>
      </c>
      <c r="F14" s="112">
        <f>Financials_Standalone!F37</f>
        <v>37.25</v>
      </c>
      <c r="G14" s="112">
        <f>Financials_Standalone!G37</f>
        <v>117.76</v>
      </c>
      <c r="I14" s="94" t="s">
        <v>216</v>
      </c>
      <c r="J14" s="53">
        <f t="shared" si="3"/>
        <v>1.409586149509536E-2</v>
      </c>
      <c r="K14" s="53">
        <f t="shared" si="3"/>
        <v>1.1378115855727795E-2</v>
      </c>
      <c r="L14" s="53">
        <f t="shared" si="4"/>
        <v>1.1844586948321387E-2</v>
      </c>
      <c r="M14" s="53">
        <f t="shared" si="5"/>
        <v>1.339277357173611E-2</v>
      </c>
      <c r="N14" s="53">
        <f t="shared" si="6"/>
        <v>1.0835859276368228E-2</v>
      </c>
      <c r="O14" s="53">
        <f t="shared" si="7"/>
        <v>3.9478492334615083E-2</v>
      </c>
    </row>
    <row r="15" spans="1:15" x14ac:dyDescent="0.2">
      <c r="A15" s="104" t="s">
        <v>217</v>
      </c>
      <c r="B15" s="108">
        <f>SUM(B16:B21)</f>
        <v>2549.08</v>
      </c>
      <c r="C15" s="108">
        <f>SUM(C16:C21)</f>
        <v>2167.0700000000002</v>
      </c>
      <c r="D15" s="108">
        <f t="shared" ref="D15:G15" si="8">SUM(D16:D21)</f>
        <v>1726.6399999999999</v>
      </c>
      <c r="E15" s="108">
        <f t="shared" si="8"/>
        <v>1666.39</v>
      </c>
      <c r="F15" s="108">
        <f t="shared" si="8"/>
        <v>1546.4099999999999</v>
      </c>
      <c r="G15" s="108">
        <f t="shared" si="8"/>
        <v>960.6</v>
      </c>
      <c r="I15" s="104" t="s">
        <v>217</v>
      </c>
      <c r="J15" s="102">
        <f t="shared" ref="J15:N21" si="9">B15/B$22</f>
        <v>0.47240965842647487</v>
      </c>
      <c r="K15" s="102">
        <f t="shared" si="9"/>
        <v>0.46252435804674608</v>
      </c>
      <c r="L15" s="102">
        <f t="shared" si="9"/>
        <v>0.42020418344872895</v>
      </c>
      <c r="M15" s="102">
        <f t="shared" si="9"/>
        <v>0.4456386571925986</v>
      </c>
      <c r="N15" s="102">
        <f t="shared" si="9"/>
        <v>0.44984378908908967</v>
      </c>
      <c r="O15" s="102">
        <f t="shared" ref="O15:O21" si="10">G15/G$22</f>
        <v>0.32203668254612133</v>
      </c>
    </row>
    <row r="16" spans="1:15" x14ac:dyDescent="0.2">
      <c r="A16" s="94" t="s">
        <v>218</v>
      </c>
      <c r="B16" s="112">
        <f>Financials_Standalone!B40</f>
        <v>518.37</v>
      </c>
      <c r="C16" s="112">
        <f>Financials_Standalone!C40</f>
        <v>402.22</v>
      </c>
      <c r="D16" s="112">
        <f>Financials_Standalone!D40</f>
        <v>267.87</v>
      </c>
      <c r="E16" s="112">
        <f>Financials_Standalone!E40</f>
        <v>209.45</v>
      </c>
      <c r="F16" s="112">
        <f>Financials_Standalone!F40</f>
        <v>169.93</v>
      </c>
      <c r="G16" s="112">
        <f>Financials_Standalone!G40</f>
        <v>37.32</v>
      </c>
      <c r="I16" s="94" t="s">
        <v>218</v>
      </c>
      <c r="J16" s="53">
        <f t="shared" si="9"/>
        <v>9.6067206458224849E-2</v>
      </c>
      <c r="K16" s="53">
        <f t="shared" si="9"/>
        <v>8.584704107092167E-2</v>
      </c>
      <c r="L16" s="53">
        <f t="shared" si="9"/>
        <v>6.5190250787895004E-2</v>
      </c>
      <c r="M16" s="53">
        <f t="shared" si="9"/>
        <v>5.6012708158948245E-2</v>
      </c>
      <c r="N16" s="53">
        <f t="shared" si="9"/>
        <v>4.9431880988812162E-2</v>
      </c>
      <c r="O16" s="53">
        <f t="shared" si="10"/>
        <v>1.2511356436207837E-2</v>
      </c>
    </row>
    <row r="17" spans="1:15" x14ac:dyDescent="0.2">
      <c r="A17" s="94" t="s">
        <v>157</v>
      </c>
      <c r="B17" s="112">
        <f>Financials_Standalone!B41</f>
        <v>562.08000000000004</v>
      </c>
      <c r="C17" s="112">
        <f>Financials_Standalone!C41</f>
        <v>481.71</v>
      </c>
      <c r="D17" s="112">
        <f>Financials_Standalone!D41</f>
        <v>428.92</v>
      </c>
      <c r="E17" s="112">
        <f>Financials_Standalone!E41</f>
        <v>366.68</v>
      </c>
      <c r="F17" s="112">
        <f>Financials_Standalone!F41</f>
        <v>329.53</v>
      </c>
      <c r="G17" s="112">
        <f>Financials_Standalone!G41</f>
        <v>265.83</v>
      </c>
      <c r="I17" s="94" t="s">
        <v>157</v>
      </c>
      <c r="J17" s="53">
        <f t="shared" si="9"/>
        <v>0.10416778634187747</v>
      </c>
      <c r="K17" s="53">
        <f t="shared" si="9"/>
        <v>0.10281283415611772</v>
      </c>
      <c r="L17" s="53">
        <f t="shared" si="9"/>
        <v>0.10438422506418758</v>
      </c>
      <c r="M17" s="53">
        <f t="shared" si="9"/>
        <v>9.8060347709348974E-2</v>
      </c>
      <c r="N17" s="53">
        <f t="shared" si="9"/>
        <v>9.5858810935345554E-2</v>
      </c>
      <c r="O17" s="53">
        <f t="shared" si="10"/>
        <v>8.9118271206782673E-2</v>
      </c>
    </row>
    <row r="18" spans="1:15" x14ac:dyDescent="0.2">
      <c r="A18" s="94" t="s">
        <v>219</v>
      </c>
      <c r="B18" s="112">
        <f>Financials_Standalone!B42</f>
        <v>1132.25</v>
      </c>
      <c r="C18" s="112">
        <f>Financials_Standalone!C42</f>
        <v>1068.44</v>
      </c>
      <c r="D18" s="112">
        <f>Financials_Standalone!D42</f>
        <v>848.8</v>
      </c>
      <c r="E18" s="112">
        <f>Financials_Standalone!E42</f>
        <v>801.09</v>
      </c>
      <c r="F18" s="112">
        <f>Financials_Standalone!F42</f>
        <v>812.51</v>
      </c>
      <c r="G18" s="112">
        <f>Financials_Standalone!G42</f>
        <v>473.76</v>
      </c>
      <c r="I18" s="113" t="s">
        <v>219</v>
      </c>
      <c r="J18" s="114">
        <f t="shared" si="9"/>
        <v>0.20983485640049593</v>
      </c>
      <c r="K18" s="114">
        <f t="shared" si="9"/>
        <v>0.22804040714488474</v>
      </c>
      <c r="L18" s="114">
        <f t="shared" si="9"/>
        <v>0.20656842822550223</v>
      </c>
      <c r="M18" s="114">
        <f t="shared" si="9"/>
        <v>0.21423356590619172</v>
      </c>
      <c r="N18" s="114">
        <f t="shared" si="9"/>
        <v>0.23635554417830734</v>
      </c>
      <c r="O18" s="114">
        <f t="shared" si="10"/>
        <v>0.15882583668858052</v>
      </c>
    </row>
    <row r="19" spans="1:15" x14ac:dyDescent="0.2">
      <c r="A19" s="94" t="s">
        <v>220</v>
      </c>
      <c r="B19" s="112">
        <f>Financials_Standalone!B43</f>
        <v>92.19</v>
      </c>
      <c r="C19" s="112">
        <f>Financials_Standalone!C43</f>
        <v>15.74</v>
      </c>
      <c r="D19" s="112">
        <f>Financials_Standalone!D43</f>
        <v>42.73</v>
      </c>
      <c r="E19" s="112">
        <f>Financials_Standalone!E43</f>
        <v>103.14</v>
      </c>
      <c r="F19" s="112">
        <f>Financials_Standalone!F43</f>
        <v>34.29</v>
      </c>
      <c r="G19" s="112">
        <f>Financials_Standalone!G43</f>
        <v>125.33</v>
      </c>
      <c r="I19" s="94" t="s">
        <v>220</v>
      </c>
      <c r="J19" s="53">
        <f t="shared" si="9"/>
        <v>1.7085162650970827E-2</v>
      </c>
      <c r="K19" s="53">
        <f t="shared" si="9"/>
        <v>3.3594361952570904E-3</v>
      </c>
      <c r="L19" s="53">
        <f t="shared" si="9"/>
        <v>1.039899733515046E-2</v>
      </c>
      <c r="M19" s="53">
        <f t="shared" si="9"/>
        <v>2.7582481353611469E-2</v>
      </c>
      <c r="N19" s="53">
        <f t="shared" si="9"/>
        <v>9.9748084452796378E-3</v>
      </c>
      <c r="O19" s="53">
        <f t="shared" si="10"/>
        <v>4.201629962888339E-2</v>
      </c>
    </row>
    <row r="20" spans="1:15" x14ac:dyDescent="0.2">
      <c r="A20" s="94" t="s">
        <v>221</v>
      </c>
      <c r="B20" s="112">
        <f>Financials_Standalone!B44</f>
        <v>3.36</v>
      </c>
      <c r="C20" s="112">
        <f>Financials_Standalone!C44</f>
        <v>2</v>
      </c>
      <c r="D20" s="112">
        <f>Financials_Standalone!D44</f>
        <v>1.48</v>
      </c>
      <c r="E20" s="112">
        <f>Financials_Standalone!E44</f>
        <v>1.1000000000000001</v>
      </c>
      <c r="F20" s="112">
        <f>Financials_Standalone!F44</f>
        <v>1.26</v>
      </c>
      <c r="G20" s="112">
        <f>Financials_Standalone!G44</f>
        <v>2.0099999999999998</v>
      </c>
      <c r="I20" s="94" t="s">
        <v>221</v>
      </c>
      <c r="J20" s="53">
        <f t="shared" si="9"/>
        <v>6.2269385516066798E-4</v>
      </c>
      <c r="K20" s="53">
        <f t="shared" si="9"/>
        <v>4.2686609850788954E-4</v>
      </c>
      <c r="L20" s="53">
        <f t="shared" si="9"/>
        <v>3.6018057701901898E-4</v>
      </c>
      <c r="M20" s="53">
        <f t="shared" si="9"/>
        <v>2.9417034602455516E-4</v>
      </c>
      <c r="N20" s="53">
        <f t="shared" si="9"/>
        <v>3.6652839431473735E-4</v>
      </c>
      <c r="O20" s="53">
        <f t="shared" si="10"/>
        <v>6.7384315211087222E-4</v>
      </c>
    </row>
    <row r="21" spans="1:15" x14ac:dyDescent="0.2">
      <c r="A21" s="94" t="s">
        <v>222</v>
      </c>
      <c r="B21" s="112">
        <f>Financials_Standalone!B45</f>
        <v>240.83</v>
      </c>
      <c r="C21" s="112">
        <f>Financials_Standalone!C45</f>
        <v>196.96</v>
      </c>
      <c r="D21" s="112">
        <f>Financials_Standalone!D45</f>
        <v>136.84</v>
      </c>
      <c r="E21" s="112">
        <f>Financials_Standalone!E45</f>
        <v>184.93</v>
      </c>
      <c r="F21" s="112">
        <f>Financials_Standalone!F45</f>
        <v>198.89</v>
      </c>
      <c r="G21" s="112">
        <f>Financials_Standalone!G45</f>
        <v>56.35</v>
      </c>
      <c r="I21" s="94" t="s">
        <v>222</v>
      </c>
      <c r="J21" s="53">
        <f t="shared" si="9"/>
        <v>4.4631952719745141E-2</v>
      </c>
      <c r="K21" s="53">
        <f t="shared" si="9"/>
        <v>4.2037773381056964E-2</v>
      </c>
      <c r="L21" s="53">
        <f t="shared" si="9"/>
        <v>3.3302101458974699E-2</v>
      </c>
      <c r="M21" s="53">
        <f t="shared" si="9"/>
        <v>4.9455383718473619E-2</v>
      </c>
      <c r="N21" s="53">
        <f t="shared" si="9"/>
        <v>5.7856216147030244E-2</v>
      </c>
      <c r="O21" s="53">
        <f t="shared" si="10"/>
        <v>1.8891075433556045E-2</v>
      </c>
    </row>
    <row r="22" spans="1:15" x14ac:dyDescent="0.2">
      <c r="A22" s="115" t="s">
        <v>160</v>
      </c>
      <c r="B22" s="116">
        <f>B5+B15</f>
        <v>5395.91</v>
      </c>
      <c r="C22" s="116">
        <f>C5+C15</f>
        <v>4685.3100000000004</v>
      </c>
      <c r="D22" s="116">
        <f t="shared" ref="D22:G22" si="11">D5+D15</f>
        <v>4109.05</v>
      </c>
      <c r="E22" s="116">
        <f t="shared" si="11"/>
        <v>3739.3300000000008</v>
      </c>
      <c r="F22" s="116">
        <f t="shared" si="11"/>
        <v>3437.66</v>
      </c>
      <c r="G22" s="116">
        <f t="shared" si="11"/>
        <v>2982.8900000000003</v>
      </c>
      <c r="I22" s="115" t="s">
        <v>160</v>
      </c>
      <c r="J22" s="117">
        <f>J5+J15</f>
        <v>0.99999999999999989</v>
      </c>
      <c r="K22" s="117">
        <f>K5+K15</f>
        <v>1</v>
      </c>
      <c r="L22" s="117">
        <f t="shared" ref="L22:O22" si="12">L5+L15</f>
        <v>1</v>
      </c>
      <c r="M22" s="117">
        <f t="shared" si="12"/>
        <v>1</v>
      </c>
      <c r="N22" s="117">
        <f t="shared" si="12"/>
        <v>1</v>
      </c>
      <c r="O22" s="117">
        <f t="shared" si="12"/>
        <v>1</v>
      </c>
    </row>
    <row r="23" spans="1:15" x14ac:dyDescent="0.2">
      <c r="A23" s="365" t="s">
        <v>223</v>
      </c>
      <c r="B23" s="365"/>
      <c r="C23" s="365"/>
      <c r="D23" s="365"/>
      <c r="E23" s="365"/>
      <c r="F23" s="365"/>
      <c r="G23" s="365"/>
      <c r="I23" s="365" t="s">
        <v>223</v>
      </c>
      <c r="J23" s="365"/>
      <c r="K23" s="365"/>
      <c r="L23" s="365"/>
      <c r="M23" s="365"/>
      <c r="N23" s="365"/>
      <c r="O23" s="365"/>
    </row>
    <row r="24" spans="1:15" x14ac:dyDescent="0.2">
      <c r="A24" s="104" t="s">
        <v>224</v>
      </c>
      <c r="B24" s="108">
        <f>B25+B26+B27</f>
        <v>4348.01</v>
      </c>
      <c r="C24" s="108">
        <f>C25+C26+C27</f>
        <v>3805.3199999999997</v>
      </c>
      <c r="D24" s="108">
        <f t="shared" ref="D24:G24" si="13">D25+D26+D27</f>
        <v>3330.94</v>
      </c>
      <c r="E24" s="108">
        <f t="shared" si="13"/>
        <v>3006.85</v>
      </c>
      <c r="F24" s="108">
        <f t="shared" si="13"/>
        <v>2708.25</v>
      </c>
      <c r="G24" s="108">
        <f t="shared" si="13"/>
        <v>2316.7599999999998</v>
      </c>
      <c r="I24" s="104" t="s">
        <v>224</v>
      </c>
      <c r="J24" s="102">
        <f t="shared" ref="J24:O24" si="14">B24/B$38</f>
        <v>0.80579884727292939</v>
      </c>
      <c r="K24" s="102">
        <f t="shared" si="14"/>
        <v>0.8121810509870212</v>
      </c>
      <c r="L24" s="102">
        <f t="shared" si="14"/>
        <v>0.81063506163225074</v>
      </c>
      <c r="M24" s="102">
        <f t="shared" si="14"/>
        <v>0.80411034003235859</v>
      </c>
      <c r="N24" s="102">
        <f t="shared" si="14"/>
        <v>0.7878224595943728</v>
      </c>
      <c r="O24" s="102">
        <f t="shared" si="14"/>
        <v>0.77669082692449531</v>
      </c>
    </row>
    <row r="25" spans="1:15" x14ac:dyDescent="0.2">
      <c r="A25" s="94" t="s">
        <v>225</v>
      </c>
      <c r="B25" s="112">
        <f>Financials_Standalone!B7</f>
        <v>140.66</v>
      </c>
      <c r="C25" s="112">
        <f>Financials_Standalone!C7</f>
        <v>140.66</v>
      </c>
      <c r="D25" s="112">
        <f>Financials_Standalone!D7</f>
        <v>140.66</v>
      </c>
      <c r="E25" s="112">
        <f>Financials_Standalone!E7</f>
        <v>140.66</v>
      </c>
      <c r="F25" s="112">
        <f>Financials_Standalone!F7</f>
        <v>140.66</v>
      </c>
      <c r="G25" s="112">
        <f>Financials_Standalone!G7</f>
        <v>140.66</v>
      </c>
      <c r="I25" s="94" t="s">
        <v>225</v>
      </c>
      <c r="J25" s="53">
        <f t="shared" ref="J25:K27" si="15">B25/B$38</f>
        <v>2.6067940473322334E-2</v>
      </c>
      <c r="K25" s="53">
        <f t="shared" si="15"/>
        <v>3.0021492708059875E-2</v>
      </c>
      <c r="L25" s="53">
        <f t="shared" ref="L25:L37" si="16">D25/D$38</f>
        <v>3.4231756732091355E-2</v>
      </c>
      <c r="M25" s="53">
        <f t="shared" ref="M25:O27" si="17">E25/E$38</f>
        <v>3.7616163236926202E-2</v>
      </c>
      <c r="N25" s="53">
        <f t="shared" si="17"/>
        <v>4.0917606264763033E-2</v>
      </c>
      <c r="O25" s="53">
        <f t="shared" si="17"/>
        <v>4.7156085099535353E-2</v>
      </c>
    </row>
    <row r="26" spans="1:15" x14ac:dyDescent="0.2">
      <c r="A26" s="94" t="s">
        <v>226</v>
      </c>
      <c r="B26" s="112">
        <f>Financials_Standalone!B9</f>
        <v>4207.3500000000004</v>
      </c>
      <c r="C26" s="112">
        <f>Financials_Standalone!C9</f>
        <v>3664.66</v>
      </c>
      <c r="D26" s="112">
        <f>Financials_Standalone!D9</f>
        <v>3190.28</v>
      </c>
      <c r="E26" s="112">
        <f>Financials_Standalone!E9</f>
        <v>2866.19</v>
      </c>
      <c r="F26" s="112">
        <f>Financials_Standalone!F9</f>
        <v>2567.59</v>
      </c>
      <c r="G26" s="112">
        <f>Financials_Standalone!G9</f>
        <v>2176.1</v>
      </c>
      <c r="I26" s="94" t="s">
        <v>226</v>
      </c>
      <c r="J26" s="53">
        <f t="shared" si="15"/>
        <v>0.7797309067996071</v>
      </c>
      <c r="K26" s="53">
        <f t="shared" si="15"/>
        <v>0.78215955827896133</v>
      </c>
      <c r="L26" s="53">
        <f t="shared" si="16"/>
        <v>0.77640330490015941</v>
      </c>
      <c r="M26" s="53">
        <f t="shared" si="17"/>
        <v>0.76649417679543241</v>
      </c>
      <c r="N26" s="53">
        <f t="shared" si="17"/>
        <v>0.74690485332960987</v>
      </c>
      <c r="O26" s="53">
        <f t="shared" si="17"/>
        <v>0.72953474182496003</v>
      </c>
    </row>
    <row r="27" spans="1:15" x14ac:dyDescent="0.2">
      <c r="A27" s="94" t="str">
        <f>Financials_Standalone!$A$11</f>
        <v>Employees Stock Options/ share application money pending allotment</v>
      </c>
      <c r="B27" s="112">
        <f>Financials_Standalone!B11</f>
        <v>0</v>
      </c>
      <c r="C27" s="112">
        <f>Financials_Standalone!C11</f>
        <v>0</v>
      </c>
      <c r="D27" s="112">
        <f>Financials_Standalone!D11</f>
        <v>0</v>
      </c>
      <c r="E27" s="112">
        <f>Financials_Standalone!E11</f>
        <v>0</v>
      </c>
      <c r="F27" s="112">
        <f>Financials_Standalone!F11</f>
        <v>0</v>
      </c>
      <c r="G27" s="112">
        <f>Financials_Standalone!G11</f>
        <v>0</v>
      </c>
      <c r="I27" s="94" t="s">
        <v>488</v>
      </c>
      <c r="J27" s="53">
        <f t="shared" si="15"/>
        <v>0</v>
      </c>
      <c r="K27" s="53">
        <f t="shared" si="15"/>
        <v>0</v>
      </c>
      <c r="L27" s="53">
        <f t="shared" si="16"/>
        <v>0</v>
      </c>
      <c r="M27" s="53">
        <f t="shared" si="17"/>
        <v>0</v>
      </c>
      <c r="N27" s="53">
        <f t="shared" si="17"/>
        <v>0</v>
      </c>
      <c r="O27" s="53">
        <f t="shared" si="17"/>
        <v>0</v>
      </c>
    </row>
    <row r="28" spans="1:15" x14ac:dyDescent="0.2">
      <c r="A28" s="104" t="s">
        <v>227</v>
      </c>
      <c r="B28" s="108">
        <f>SUM(B29:B32)</f>
        <v>49.720000000000006</v>
      </c>
      <c r="C28" s="108">
        <f>SUM(C29:C32)</f>
        <v>36.660000000000004</v>
      </c>
      <c r="D28" s="108">
        <f t="shared" ref="D28:G28" si="18">SUM(D29:D32)</f>
        <v>37.980000000000004</v>
      </c>
      <c r="E28" s="108">
        <f t="shared" si="18"/>
        <v>38.79</v>
      </c>
      <c r="F28" s="108">
        <f t="shared" si="18"/>
        <v>32.760000000000005</v>
      </c>
      <c r="G28" s="108">
        <f t="shared" si="18"/>
        <v>38.22</v>
      </c>
      <c r="I28" s="104" t="s">
        <v>227</v>
      </c>
      <c r="J28" s="102">
        <f t="shared" ref="J28:K37" si="19">B28/B$38</f>
        <v>9.2144035286050516E-3</v>
      </c>
      <c r="K28" s="102">
        <f t="shared" si="19"/>
        <v>7.8244555856496166E-3</v>
      </c>
      <c r="L28" s="102">
        <f t="shared" si="16"/>
        <v>9.2430123751232034E-3</v>
      </c>
      <c r="M28" s="102">
        <f t="shared" ref="M28:M37" si="20">E28/E$38</f>
        <v>1.0373460628184042E-2</v>
      </c>
      <c r="N28" s="102">
        <f t="shared" ref="N28:N37" si="21">F28/F$38</f>
        <v>9.5297936956749412E-3</v>
      </c>
      <c r="O28" s="102">
        <f t="shared" ref="O28:O37" si="22">G28/G$38</f>
        <v>1.2813206117618662E-2</v>
      </c>
    </row>
    <row r="29" spans="1:15" x14ac:dyDescent="0.2">
      <c r="A29" s="94" t="s">
        <v>228</v>
      </c>
      <c r="B29" s="112">
        <f>Financials_Standalone!B16</f>
        <v>32.770000000000003</v>
      </c>
      <c r="C29" s="112">
        <f>Financials_Standalone!C16</f>
        <v>18.79</v>
      </c>
      <c r="D29" s="112">
        <f>Financials_Standalone!D16</f>
        <v>31.94</v>
      </c>
      <c r="E29" s="112">
        <f>Financials_Standalone!E16</f>
        <v>29.94</v>
      </c>
      <c r="F29" s="112">
        <f>Financials_Standalone!F16</f>
        <v>8.9600000000000009</v>
      </c>
      <c r="G29" s="112">
        <f>Financials_Standalone!G16</f>
        <v>10.75</v>
      </c>
      <c r="I29" s="94" t="s">
        <v>228</v>
      </c>
      <c r="J29" s="53">
        <f t="shared" si="19"/>
        <v>6.0731295983987845E-3</v>
      </c>
      <c r="K29" s="53">
        <f t="shared" si="19"/>
        <v>4.0104069954816227E-3</v>
      </c>
      <c r="L29" s="53">
        <f t="shared" si="16"/>
        <v>7.773086236478018E-3</v>
      </c>
      <c r="M29" s="53">
        <f t="shared" si="20"/>
        <v>8.0067391391552018E-3</v>
      </c>
      <c r="N29" s="53">
        <f t="shared" si="21"/>
        <v>2.6064393013811803E-3</v>
      </c>
      <c r="O29" s="53">
        <f t="shared" si="22"/>
        <v>3.60392375103089E-3</v>
      </c>
    </row>
    <row r="30" spans="1:15" x14ac:dyDescent="0.2">
      <c r="A30" s="94" t="s">
        <v>261</v>
      </c>
      <c r="B30" s="112">
        <f>Financials_Standalone!B14</f>
        <v>0</v>
      </c>
      <c r="C30" s="112">
        <f>Financials_Standalone!C14</f>
        <v>0</v>
      </c>
      <c r="D30" s="112">
        <f>Financials_Standalone!D14</f>
        <v>0</v>
      </c>
      <c r="E30" s="112">
        <f>Financials_Standalone!E14</f>
        <v>0</v>
      </c>
      <c r="F30" s="112">
        <f>Financials_Standalone!F14</f>
        <v>2.73</v>
      </c>
      <c r="G30" s="112">
        <f>Financials_Standalone!G14</f>
        <v>4.28</v>
      </c>
      <c r="I30" s="94" t="s">
        <v>261</v>
      </c>
      <c r="J30" s="53">
        <f t="shared" si="19"/>
        <v>0</v>
      </c>
      <c r="K30" s="53">
        <f t="shared" si="19"/>
        <v>0</v>
      </c>
      <c r="L30" s="53">
        <f t="shared" si="16"/>
        <v>0</v>
      </c>
      <c r="M30" s="53">
        <f t="shared" si="20"/>
        <v>0</v>
      </c>
      <c r="N30" s="53">
        <f t="shared" si="21"/>
        <v>7.9414947463957825E-4</v>
      </c>
      <c r="O30" s="53">
        <f t="shared" si="22"/>
        <v>1.4348645259918335E-3</v>
      </c>
    </row>
    <row r="31" spans="1:15" x14ac:dyDescent="0.2">
      <c r="A31" s="94" t="s">
        <v>229</v>
      </c>
      <c r="B31" s="112">
        <f>Financials_Standalone!B15</f>
        <v>13.35</v>
      </c>
      <c r="C31" s="112">
        <f>Financials_Standalone!C15</f>
        <v>13.8</v>
      </c>
      <c r="D31" s="112">
        <f>Financials_Standalone!D15</f>
        <v>0</v>
      </c>
      <c r="E31" s="112">
        <f>Financials_Standalone!E15</f>
        <v>0</v>
      </c>
      <c r="F31" s="112">
        <f>Financials_Standalone!F15</f>
        <v>0</v>
      </c>
      <c r="G31" s="112">
        <f>Financials_Standalone!G15</f>
        <v>7.37</v>
      </c>
      <c r="I31" s="94" t="s">
        <v>229</v>
      </c>
      <c r="J31" s="53">
        <f t="shared" si="19"/>
        <v>2.474100706091662E-3</v>
      </c>
      <c r="K31" s="53">
        <f t="shared" si="19"/>
        <v>2.9453760797044383E-3</v>
      </c>
      <c r="L31" s="53">
        <f t="shared" si="16"/>
        <v>0</v>
      </c>
      <c r="M31" s="53">
        <f t="shared" si="20"/>
        <v>0</v>
      </c>
      <c r="N31" s="53">
        <f t="shared" si="21"/>
        <v>0</v>
      </c>
      <c r="O31" s="53">
        <f t="shared" si="22"/>
        <v>2.4707830739625733E-3</v>
      </c>
    </row>
    <row r="32" spans="1:15" x14ac:dyDescent="0.2">
      <c r="A32" s="94" t="s">
        <v>230</v>
      </c>
      <c r="B32" s="112">
        <f>Financials_Standalone!B17</f>
        <v>3.6</v>
      </c>
      <c r="C32" s="112">
        <f>Financials_Standalone!C17</f>
        <v>4.07</v>
      </c>
      <c r="D32" s="112">
        <f>Financials_Standalone!D17</f>
        <v>6.04</v>
      </c>
      <c r="E32" s="112">
        <f>Financials_Standalone!E17</f>
        <v>8.85</v>
      </c>
      <c r="F32" s="112">
        <f>Financials_Standalone!F17</f>
        <v>21.07</v>
      </c>
      <c r="G32" s="112">
        <f>Financials_Standalone!G17</f>
        <v>15.82</v>
      </c>
      <c r="I32" s="94" t="s">
        <v>230</v>
      </c>
      <c r="J32" s="53">
        <f t="shared" si="19"/>
        <v>6.6717322411460553E-4</v>
      </c>
      <c r="K32" s="53">
        <f t="shared" si="19"/>
        <v>8.6867251046355534E-4</v>
      </c>
      <c r="L32" s="53">
        <f t="shared" si="16"/>
        <v>1.4699261386451855E-3</v>
      </c>
      <c r="M32" s="53">
        <f t="shared" si="20"/>
        <v>2.3667214890288417E-3</v>
      </c>
      <c r="N32" s="53">
        <f t="shared" si="21"/>
        <v>6.129204919654181E-3</v>
      </c>
      <c r="O32" s="53">
        <f t="shared" si="22"/>
        <v>5.3036347666333659E-3</v>
      </c>
    </row>
    <row r="33" spans="1:15" x14ac:dyDescent="0.2">
      <c r="A33" s="104" t="s">
        <v>159</v>
      </c>
      <c r="B33" s="108">
        <f>SUM(B34:B37)</f>
        <v>998.17</v>
      </c>
      <c r="C33" s="108">
        <f>SUM(C34:C37)</f>
        <v>843.33</v>
      </c>
      <c r="D33" s="108">
        <f t="shared" ref="D33:G33" si="23">SUM(D34:D37)</f>
        <v>740.13</v>
      </c>
      <c r="E33" s="108">
        <f t="shared" si="23"/>
        <v>693.71</v>
      </c>
      <c r="F33" s="108">
        <f t="shared" si="23"/>
        <v>696.63</v>
      </c>
      <c r="G33" s="108">
        <f t="shared" si="23"/>
        <v>627.88</v>
      </c>
      <c r="I33" s="104" t="s">
        <v>159</v>
      </c>
      <c r="J33" s="102">
        <f t="shared" si="19"/>
        <v>0.18498674919846547</v>
      </c>
      <c r="K33" s="102">
        <f t="shared" si="19"/>
        <v>0.17999449342732929</v>
      </c>
      <c r="L33" s="102">
        <f t="shared" si="16"/>
        <v>0.18012192599262603</v>
      </c>
      <c r="M33" s="102">
        <f t="shared" si="20"/>
        <v>0.1855161993394574</v>
      </c>
      <c r="N33" s="102">
        <f t="shared" si="21"/>
        <v>0.20264774670995214</v>
      </c>
      <c r="O33" s="102">
        <f t="shared" si="22"/>
        <v>0.21049596695788608</v>
      </c>
    </row>
    <row r="34" spans="1:15" x14ac:dyDescent="0.2">
      <c r="A34" s="94" t="s">
        <v>231</v>
      </c>
      <c r="B34" s="112">
        <f>Financials_Standalone!B21</f>
        <v>815.01</v>
      </c>
      <c r="C34" s="112">
        <f>Financials_Standalone!C21</f>
        <v>676.21</v>
      </c>
      <c r="D34" s="112">
        <f>Financials_Standalone!D21</f>
        <v>566.45000000000005</v>
      </c>
      <c r="E34" s="112">
        <f>Financials_Standalone!E21</f>
        <v>529.92999999999995</v>
      </c>
      <c r="F34" s="112">
        <f>Financials_Standalone!F21</f>
        <v>526.84</v>
      </c>
      <c r="G34" s="112">
        <f>Financials_Standalone!G21</f>
        <v>395.6</v>
      </c>
      <c r="H34" s="118"/>
      <c r="I34" s="94" t="s">
        <v>231</v>
      </c>
      <c r="J34" s="53">
        <f t="shared" si="19"/>
        <v>0.15104245816267906</v>
      </c>
      <c r="K34" s="53">
        <f t="shared" si="19"/>
        <v>0.14432556223601001</v>
      </c>
      <c r="L34" s="53">
        <f t="shared" si="16"/>
        <v>0.13785424854893466</v>
      </c>
      <c r="M34" s="53">
        <f t="shared" si="20"/>
        <v>0.14171714335379143</v>
      </c>
      <c r="N34" s="53">
        <f t="shared" si="21"/>
        <v>0.15325630374326574</v>
      </c>
      <c r="O34" s="53">
        <f t="shared" si="22"/>
        <v>0.13262439403793677</v>
      </c>
    </row>
    <row r="35" spans="1:15" x14ac:dyDescent="0.2">
      <c r="A35" s="94" t="s">
        <v>266</v>
      </c>
      <c r="B35" s="112">
        <f>Financials_Standalone!B20</f>
        <v>0</v>
      </c>
      <c r="C35" s="112">
        <f>Financials_Standalone!C20</f>
        <v>0</v>
      </c>
      <c r="D35" s="112">
        <f>Financials_Standalone!D20</f>
        <v>20</v>
      </c>
      <c r="E35" s="112">
        <f>Financials_Standalone!E20</f>
        <v>31.7</v>
      </c>
      <c r="F35" s="112">
        <f>Financials_Standalone!F20</f>
        <v>45</v>
      </c>
      <c r="G35" s="112">
        <f>Financials_Standalone!G20</f>
        <v>146.1</v>
      </c>
      <c r="H35" s="118"/>
      <c r="I35" s="94" t="s">
        <v>266</v>
      </c>
      <c r="J35" s="53">
        <f t="shared" si="19"/>
        <v>0</v>
      </c>
      <c r="K35" s="53">
        <f t="shared" si="19"/>
        <v>0</v>
      </c>
      <c r="L35" s="53">
        <f t="shared" si="16"/>
        <v>4.8673050948516081E-3</v>
      </c>
      <c r="M35" s="53">
        <f t="shared" si="20"/>
        <v>8.4774091753914444E-3</v>
      </c>
      <c r="N35" s="53">
        <f t="shared" si="21"/>
        <v>1.3090375955597443E-2</v>
      </c>
      <c r="O35" s="53">
        <f t="shared" si="22"/>
        <v>4.8979838141917489E-2</v>
      </c>
    </row>
    <row r="36" spans="1:15" x14ac:dyDescent="0.2">
      <c r="A36" s="94" t="s">
        <v>232</v>
      </c>
      <c r="B36" s="112">
        <f>Financials_Standalone!B22</f>
        <v>157.15</v>
      </c>
      <c r="C36" s="112">
        <f>Financials_Standalone!C22</f>
        <v>142.91</v>
      </c>
      <c r="D36" s="112">
        <f>Financials_Standalone!D22</f>
        <v>121.04</v>
      </c>
      <c r="E36" s="112">
        <f>Financials_Standalone!E22</f>
        <v>103.83</v>
      </c>
      <c r="F36" s="112">
        <f>Financials_Standalone!F22</f>
        <v>94.9</v>
      </c>
      <c r="G36" s="112">
        <f>Financials_Standalone!G22</f>
        <v>56.93</v>
      </c>
      <c r="H36" s="118"/>
      <c r="I36" s="94" t="s">
        <v>232</v>
      </c>
      <c r="J36" s="53">
        <f t="shared" si="19"/>
        <v>2.9123964491558404E-2</v>
      </c>
      <c r="K36" s="53">
        <f t="shared" si="19"/>
        <v>3.0501717068881249E-2</v>
      </c>
      <c r="L36" s="53">
        <f t="shared" si="16"/>
        <v>2.9456930434041934E-2</v>
      </c>
      <c r="M36" s="53">
        <f t="shared" si="20"/>
        <v>2.7766857876368886E-2</v>
      </c>
      <c r="N36" s="53">
        <f t="shared" si="21"/>
        <v>2.760614840413772E-2</v>
      </c>
      <c r="O36" s="53">
        <f t="shared" si="22"/>
        <v>1.9085709688017542E-2</v>
      </c>
    </row>
    <row r="37" spans="1:15" x14ac:dyDescent="0.2">
      <c r="A37" s="94" t="s">
        <v>233</v>
      </c>
      <c r="B37" s="112">
        <f>Financials_Standalone!B23</f>
        <v>26.01</v>
      </c>
      <c r="C37" s="112">
        <f>Financials_Standalone!C23</f>
        <v>24.21</v>
      </c>
      <c r="D37" s="112">
        <f>Financials_Standalone!D23</f>
        <v>32.64</v>
      </c>
      <c r="E37" s="112">
        <f>Financials_Standalone!E23</f>
        <v>28.25</v>
      </c>
      <c r="F37" s="112">
        <f>Financials_Standalone!F23</f>
        <v>29.89</v>
      </c>
      <c r="G37" s="112">
        <f>Financials_Standalone!G23</f>
        <v>29.25</v>
      </c>
      <c r="H37" s="118"/>
      <c r="I37" s="94" t="s">
        <v>233</v>
      </c>
      <c r="J37" s="53">
        <f t="shared" si="19"/>
        <v>4.8203265442280244E-3</v>
      </c>
      <c r="K37" s="53">
        <f t="shared" si="19"/>
        <v>5.167214122438004E-3</v>
      </c>
      <c r="L37" s="53">
        <f t="shared" si="16"/>
        <v>7.9434419147978233E-3</v>
      </c>
      <c r="M37" s="53">
        <f t="shared" si="20"/>
        <v>7.5547889339056254E-3</v>
      </c>
      <c r="N37" s="53">
        <f t="shared" si="21"/>
        <v>8.6949186069512803E-3</v>
      </c>
      <c r="O37" s="53">
        <f t="shared" si="22"/>
        <v>9.806025090014282E-3</v>
      </c>
    </row>
    <row r="38" spans="1:15" x14ac:dyDescent="0.2">
      <c r="A38" s="115" t="s">
        <v>234</v>
      </c>
      <c r="B38" s="116">
        <f t="shared" ref="B38:G38" si="24">B24+B28+B33</f>
        <v>5395.9000000000005</v>
      </c>
      <c r="C38" s="116">
        <f t="shared" si="24"/>
        <v>4685.3099999999995</v>
      </c>
      <c r="D38" s="116">
        <f t="shared" si="24"/>
        <v>4109.05</v>
      </c>
      <c r="E38" s="116">
        <f t="shared" si="24"/>
        <v>3739.35</v>
      </c>
      <c r="F38" s="116">
        <f t="shared" si="24"/>
        <v>3437.6400000000003</v>
      </c>
      <c r="G38" s="116">
        <f t="shared" si="24"/>
        <v>2982.8599999999997</v>
      </c>
      <c r="H38" s="118"/>
      <c r="I38" s="115" t="s">
        <v>234</v>
      </c>
      <c r="J38" s="117">
        <f>J24+J28+J33</f>
        <v>0.99999999999999989</v>
      </c>
      <c r="K38" s="117">
        <f>K24+K28+K33</f>
        <v>1</v>
      </c>
      <c r="L38" s="117">
        <f t="shared" ref="L38:O38" si="25">L24+L28+L33</f>
        <v>0.99999999999999989</v>
      </c>
      <c r="M38" s="117">
        <f t="shared" ref="M38:N38" si="26">M24+M28+M33</f>
        <v>1</v>
      </c>
      <c r="N38" s="117">
        <f t="shared" si="26"/>
        <v>0.99999999999999989</v>
      </c>
      <c r="O38" s="117">
        <f t="shared" si="25"/>
        <v>1</v>
      </c>
    </row>
    <row r="39" spans="1:15" x14ac:dyDescent="0.2">
      <c r="C39" s="119"/>
      <c r="D39" s="119"/>
      <c r="E39" s="119"/>
      <c r="F39" s="119"/>
      <c r="G39" s="119"/>
    </row>
    <row r="40" spans="1:15" x14ac:dyDescent="0.2">
      <c r="B40" s="118">
        <f>Financials_Standalone!B25</f>
        <v>5395.9000000000005</v>
      </c>
      <c r="C40" s="118">
        <f>Financials_Standalone!C25</f>
        <v>4685.3099999999995</v>
      </c>
      <c r="D40" s="118">
        <f>Financials_Standalone!D25</f>
        <v>4109.05</v>
      </c>
      <c r="E40" s="118">
        <f>Financials_Standalone!E25</f>
        <v>3739.35</v>
      </c>
      <c r="F40" s="118">
        <f>Financials_Standalone!F25</f>
        <v>3437.6400000000003</v>
      </c>
      <c r="G40" s="118">
        <f>Financials_Standalone!G25</f>
        <v>2982.8599999999997</v>
      </c>
    </row>
    <row r="41" spans="1:15" x14ac:dyDescent="0.2">
      <c r="A41" s="85" t="s">
        <v>493</v>
      </c>
      <c r="B41" s="118">
        <f>B22-B40</f>
        <v>9.999999999308784E-3</v>
      </c>
      <c r="C41" s="118">
        <f>C22-C40</f>
        <v>0</v>
      </c>
      <c r="D41" s="118">
        <f t="shared" ref="D41:G41" si="27">D22-D40</f>
        <v>0</v>
      </c>
      <c r="E41" s="118">
        <f t="shared" si="27"/>
        <v>-1.9999999999072315E-2</v>
      </c>
      <c r="F41" s="118">
        <f t="shared" si="27"/>
        <v>1.9999999999527063E-2</v>
      </c>
      <c r="G41" s="118">
        <f t="shared" si="27"/>
        <v>3.0000000000654836E-2</v>
      </c>
    </row>
    <row r="42" spans="1:15" x14ac:dyDescent="0.2">
      <c r="A42" s="85" t="s">
        <v>494</v>
      </c>
      <c r="B42" s="119">
        <f>B38-B40</f>
        <v>0</v>
      </c>
      <c r="C42" s="119">
        <f>C38-C40</f>
        <v>0</v>
      </c>
      <c r="D42" s="119">
        <f t="shared" ref="D42:G42" si="28">D38-D40</f>
        <v>0</v>
      </c>
      <c r="E42" s="119">
        <f t="shared" si="28"/>
        <v>0</v>
      </c>
      <c r="F42" s="119">
        <f t="shared" si="28"/>
        <v>0</v>
      </c>
      <c r="G42" s="119">
        <f t="shared" si="28"/>
        <v>0</v>
      </c>
    </row>
    <row r="43" spans="1:15" x14ac:dyDescent="0.2">
      <c r="B43" s="119"/>
      <c r="C43" s="119"/>
      <c r="D43" s="119"/>
      <c r="E43" s="119"/>
      <c r="F43" s="119"/>
      <c r="G43" s="119"/>
    </row>
    <row r="44" spans="1:15" x14ac:dyDescent="0.2">
      <c r="B44" s="119">
        <f t="shared" ref="B44:G44" si="29">B22-B38</f>
        <v>9.999999999308784E-3</v>
      </c>
      <c r="C44" s="119">
        <f t="shared" si="29"/>
        <v>0</v>
      </c>
      <c r="D44" s="119">
        <f t="shared" si="29"/>
        <v>0</v>
      </c>
      <c r="E44" s="119">
        <f t="shared" si="29"/>
        <v>-1.9999999999072315E-2</v>
      </c>
      <c r="F44" s="119">
        <f t="shared" si="29"/>
        <v>1.9999999999527063E-2</v>
      </c>
      <c r="G44" s="119">
        <f t="shared" si="29"/>
        <v>3.0000000000654836E-2</v>
      </c>
    </row>
  </sheetData>
  <mergeCells count="8">
    <mergeCell ref="A23:G23"/>
    <mergeCell ref="I23:O23"/>
    <mergeCell ref="A1:G1"/>
    <mergeCell ref="I1:O1"/>
    <mergeCell ref="A2:G2"/>
    <mergeCell ref="I2:O2"/>
    <mergeCell ref="A4:G4"/>
    <mergeCell ref="I4:O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8"/>
  <sheetViews>
    <sheetView workbookViewId="0">
      <pane xSplit="1" ySplit="4" topLeftCell="B41" activePane="bottomRight" state="frozen"/>
      <selection sqref="A1:XFD1048576"/>
      <selection pane="topRight" sqref="A1:XFD1048576"/>
      <selection pane="bottomLeft" sqref="A1:XFD1048576"/>
      <selection pane="bottomRight" activeCell="E62" sqref="E62"/>
    </sheetView>
  </sheetViews>
  <sheetFormatPr defaultRowHeight="11.25" x14ac:dyDescent="0.2"/>
  <cols>
    <col min="1" max="1" width="62.140625" style="85" bestFit="1" customWidth="1"/>
    <col min="2" max="2" width="9.42578125" style="85" bestFit="1" customWidth="1"/>
    <col min="3" max="6" width="7.85546875" style="85" bestFit="1" customWidth="1"/>
    <col min="7" max="7" width="6.42578125" style="85" bestFit="1" customWidth="1"/>
    <col min="8" max="8" width="2.7109375" style="85" customWidth="1"/>
    <col min="9" max="9" width="48.7109375" style="85" bestFit="1" customWidth="1"/>
    <col min="10" max="15" width="6.85546875" style="85" bestFit="1" customWidth="1"/>
    <col min="16" max="257" width="9.140625" style="85"/>
    <col min="258" max="258" width="34.7109375" style="85" bestFit="1" customWidth="1"/>
    <col min="259" max="260" width="10.7109375" style="85" bestFit="1" customWidth="1"/>
    <col min="261" max="261" width="9.140625" style="85"/>
    <col min="262" max="262" width="34.7109375" style="85" bestFit="1" customWidth="1"/>
    <col min="263" max="264" width="9.42578125" style="85" bestFit="1" customWidth="1"/>
    <col min="265" max="513" width="9.140625" style="85"/>
    <col min="514" max="514" width="34.7109375" style="85" bestFit="1" customWidth="1"/>
    <col min="515" max="516" width="10.7109375" style="85" bestFit="1" customWidth="1"/>
    <col min="517" max="517" width="9.140625" style="85"/>
    <col min="518" max="518" width="34.7109375" style="85" bestFit="1" customWidth="1"/>
    <col min="519" max="520" width="9.42578125" style="85" bestFit="1" customWidth="1"/>
    <col min="521" max="769" width="9.140625" style="85"/>
    <col min="770" max="770" width="34.7109375" style="85" bestFit="1" customWidth="1"/>
    <col min="771" max="772" width="10.7109375" style="85" bestFit="1" customWidth="1"/>
    <col min="773" max="773" width="9.140625" style="85"/>
    <col min="774" max="774" width="34.7109375" style="85" bestFit="1" customWidth="1"/>
    <col min="775" max="776" width="9.42578125" style="85" bestFit="1" customWidth="1"/>
    <col min="777" max="1025" width="9.140625" style="85"/>
    <col min="1026" max="1026" width="34.7109375" style="85" bestFit="1" customWidth="1"/>
    <col min="1027" max="1028" width="10.7109375" style="85" bestFit="1" customWidth="1"/>
    <col min="1029" max="1029" width="9.140625" style="85"/>
    <col min="1030" max="1030" width="34.7109375" style="85" bestFit="1" customWidth="1"/>
    <col min="1031" max="1032" width="9.42578125" style="85" bestFit="1" customWidth="1"/>
    <col min="1033" max="1281" width="9.140625" style="85"/>
    <col min="1282" max="1282" width="34.7109375" style="85" bestFit="1" customWidth="1"/>
    <col min="1283" max="1284" width="10.7109375" style="85" bestFit="1" customWidth="1"/>
    <col min="1285" max="1285" width="9.140625" style="85"/>
    <col min="1286" max="1286" width="34.7109375" style="85" bestFit="1" customWidth="1"/>
    <col min="1287" max="1288" width="9.42578125" style="85" bestFit="1" customWidth="1"/>
    <col min="1289" max="1537" width="9.140625" style="85"/>
    <col min="1538" max="1538" width="34.7109375" style="85" bestFit="1" customWidth="1"/>
    <col min="1539" max="1540" width="10.7109375" style="85" bestFit="1" customWidth="1"/>
    <col min="1541" max="1541" width="9.140625" style="85"/>
    <col min="1542" max="1542" width="34.7109375" style="85" bestFit="1" customWidth="1"/>
    <col min="1543" max="1544" width="9.42578125" style="85" bestFit="1" customWidth="1"/>
    <col min="1545" max="1793" width="9.140625" style="85"/>
    <col min="1794" max="1794" width="34.7109375" style="85" bestFit="1" customWidth="1"/>
    <col min="1795" max="1796" width="10.7109375" style="85" bestFit="1" customWidth="1"/>
    <col min="1797" max="1797" width="9.140625" style="85"/>
    <col min="1798" max="1798" width="34.7109375" style="85" bestFit="1" customWidth="1"/>
    <col min="1799" max="1800" width="9.42578125" style="85" bestFit="1" customWidth="1"/>
    <col min="1801" max="2049" width="9.140625" style="85"/>
    <col min="2050" max="2050" width="34.7109375" style="85" bestFit="1" customWidth="1"/>
    <col min="2051" max="2052" width="10.7109375" style="85" bestFit="1" customWidth="1"/>
    <col min="2053" max="2053" width="9.140625" style="85"/>
    <col min="2054" max="2054" width="34.7109375" style="85" bestFit="1" customWidth="1"/>
    <col min="2055" max="2056" width="9.42578125" style="85" bestFit="1" customWidth="1"/>
    <col min="2057" max="2305" width="9.140625" style="85"/>
    <col min="2306" max="2306" width="34.7109375" style="85" bestFit="1" customWidth="1"/>
    <col min="2307" max="2308" width="10.7109375" style="85" bestFit="1" customWidth="1"/>
    <col min="2309" max="2309" width="9.140625" style="85"/>
    <col min="2310" max="2310" width="34.7109375" style="85" bestFit="1" customWidth="1"/>
    <col min="2311" max="2312" width="9.42578125" style="85" bestFit="1" customWidth="1"/>
    <col min="2313" max="2561" width="9.140625" style="85"/>
    <col min="2562" max="2562" width="34.7109375" style="85" bestFit="1" customWidth="1"/>
    <col min="2563" max="2564" width="10.7109375" style="85" bestFit="1" customWidth="1"/>
    <col min="2565" max="2565" width="9.140625" style="85"/>
    <col min="2566" max="2566" width="34.7109375" style="85" bestFit="1" customWidth="1"/>
    <col min="2567" max="2568" width="9.42578125" style="85" bestFit="1" customWidth="1"/>
    <col min="2569" max="2817" width="9.140625" style="85"/>
    <col min="2818" max="2818" width="34.7109375" style="85" bestFit="1" customWidth="1"/>
    <col min="2819" max="2820" width="10.7109375" style="85" bestFit="1" customWidth="1"/>
    <col min="2821" max="2821" width="9.140625" style="85"/>
    <col min="2822" max="2822" width="34.7109375" style="85" bestFit="1" customWidth="1"/>
    <col min="2823" max="2824" width="9.42578125" style="85" bestFit="1" customWidth="1"/>
    <col min="2825" max="3073" width="9.140625" style="85"/>
    <col min="3074" max="3074" width="34.7109375" style="85" bestFit="1" customWidth="1"/>
    <col min="3075" max="3076" width="10.7109375" style="85" bestFit="1" customWidth="1"/>
    <col min="3077" max="3077" width="9.140625" style="85"/>
    <col min="3078" max="3078" width="34.7109375" style="85" bestFit="1" customWidth="1"/>
    <col min="3079" max="3080" width="9.42578125" style="85" bestFit="1" customWidth="1"/>
    <col min="3081" max="3329" width="9.140625" style="85"/>
    <col min="3330" max="3330" width="34.7109375" style="85" bestFit="1" customWidth="1"/>
    <col min="3331" max="3332" width="10.7109375" style="85" bestFit="1" customWidth="1"/>
    <col min="3333" max="3333" width="9.140625" style="85"/>
    <col min="3334" max="3334" width="34.7109375" style="85" bestFit="1" customWidth="1"/>
    <col min="3335" max="3336" width="9.42578125" style="85" bestFit="1" customWidth="1"/>
    <col min="3337" max="3585" width="9.140625" style="85"/>
    <col min="3586" max="3586" width="34.7109375" style="85" bestFit="1" customWidth="1"/>
    <col min="3587" max="3588" width="10.7109375" style="85" bestFit="1" customWidth="1"/>
    <col min="3589" max="3589" width="9.140625" style="85"/>
    <col min="3590" max="3590" width="34.7109375" style="85" bestFit="1" customWidth="1"/>
    <col min="3591" max="3592" width="9.42578125" style="85" bestFit="1" customWidth="1"/>
    <col min="3593" max="3841" width="9.140625" style="85"/>
    <col min="3842" max="3842" width="34.7109375" style="85" bestFit="1" customWidth="1"/>
    <col min="3843" max="3844" width="10.7109375" style="85" bestFit="1" customWidth="1"/>
    <col min="3845" max="3845" width="9.140625" style="85"/>
    <col min="3846" max="3846" width="34.7109375" style="85" bestFit="1" customWidth="1"/>
    <col min="3847" max="3848" width="9.42578125" style="85" bestFit="1" customWidth="1"/>
    <col min="3849" max="4097" width="9.140625" style="85"/>
    <col min="4098" max="4098" width="34.7109375" style="85" bestFit="1" customWidth="1"/>
    <col min="4099" max="4100" width="10.7109375" style="85" bestFit="1" customWidth="1"/>
    <col min="4101" max="4101" width="9.140625" style="85"/>
    <col min="4102" max="4102" width="34.7109375" style="85" bestFit="1" customWidth="1"/>
    <col min="4103" max="4104" width="9.42578125" style="85" bestFit="1" customWidth="1"/>
    <col min="4105" max="4353" width="9.140625" style="85"/>
    <col min="4354" max="4354" width="34.7109375" style="85" bestFit="1" customWidth="1"/>
    <col min="4355" max="4356" width="10.7109375" style="85" bestFit="1" customWidth="1"/>
    <col min="4357" max="4357" width="9.140625" style="85"/>
    <col min="4358" max="4358" width="34.7109375" style="85" bestFit="1" customWidth="1"/>
    <col min="4359" max="4360" width="9.42578125" style="85" bestFit="1" customWidth="1"/>
    <col min="4361" max="4609" width="9.140625" style="85"/>
    <col min="4610" max="4610" width="34.7109375" style="85" bestFit="1" customWidth="1"/>
    <col min="4611" max="4612" width="10.7109375" style="85" bestFit="1" customWidth="1"/>
    <col min="4613" max="4613" width="9.140625" style="85"/>
    <col min="4614" max="4614" width="34.7109375" style="85" bestFit="1" customWidth="1"/>
    <col min="4615" max="4616" width="9.42578125" style="85" bestFit="1" customWidth="1"/>
    <col min="4617" max="4865" width="9.140625" style="85"/>
    <col min="4866" max="4866" width="34.7109375" style="85" bestFit="1" customWidth="1"/>
    <col min="4867" max="4868" width="10.7109375" style="85" bestFit="1" customWidth="1"/>
    <col min="4869" max="4869" width="9.140625" style="85"/>
    <col min="4870" max="4870" width="34.7109375" style="85" bestFit="1" customWidth="1"/>
    <col min="4871" max="4872" width="9.42578125" style="85" bestFit="1" customWidth="1"/>
    <col min="4873" max="5121" width="9.140625" style="85"/>
    <col min="5122" max="5122" width="34.7109375" style="85" bestFit="1" customWidth="1"/>
    <col min="5123" max="5124" width="10.7109375" style="85" bestFit="1" customWidth="1"/>
    <col min="5125" max="5125" width="9.140625" style="85"/>
    <col min="5126" max="5126" width="34.7109375" style="85" bestFit="1" customWidth="1"/>
    <col min="5127" max="5128" width="9.42578125" style="85" bestFit="1" customWidth="1"/>
    <col min="5129" max="5377" width="9.140625" style="85"/>
    <col min="5378" max="5378" width="34.7109375" style="85" bestFit="1" customWidth="1"/>
    <col min="5379" max="5380" width="10.7109375" style="85" bestFit="1" customWidth="1"/>
    <col min="5381" max="5381" width="9.140625" style="85"/>
    <col min="5382" max="5382" width="34.7109375" style="85" bestFit="1" customWidth="1"/>
    <col min="5383" max="5384" width="9.42578125" style="85" bestFit="1" customWidth="1"/>
    <col min="5385" max="5633" width="9.140625" style="85"/>
    <col min="5634" max="5634" width="34.7109375" style="85" bestFit="1" customWidth="1"/>
    <col min="5635" max="5636" width="10.7109375" style="85" bestFit="1" customWidth="1"/>
    <col min="5637" max="5637" width="9.140625" style="85"/>
    <col min="5638" max="5638" width="34.7109375" style="85" bestFit="1" customWidth="1"/>
    <col min="5639" max="5640" width="9.42578125" style="85" bestFit="1" customWidth="1"/>
    <col min="5641" max="5889" width="9.140625" style="85"/>
    <col min="5890" max="5890" width="34.7109375" style="85" bestFit="1" customWidth="1"/>
    <col min="5891" max="5892" width="10.7109375" style="85" bestFit="1" customWidth="1"/>
    <col min="5893" max="5893" width="9.140625" style="85"/>
    <col min="5894" max="5894" width="34.7109375" style="85" bestFit="1" customWidth="1"/>
    <col min="5895" max="5896" width="9.42578125" style="85" bestFit="1" customWidth="1"/>
    <col min="5897" max="6145" width="9.140625" style="85"/>
    <col min="6146" max="6146" width="34.7109375" style="85" bestFit="1" customWidth="1"/>
    <col min="6147" max="6148" width="10.7109375" style="85" bestFit="1" customWidth="1"/>
    <col min="6149" max="6149" width="9.140625" style="85"/>
    <col min="6150" max="6150" width="34.7109375" style="85" bestFit="1" customWidth="1"/>
    <col min="6151" max="6152" width="9.42578125" style="85" bestFit="1" customWidth="1"/>
    <col min="6153" max="6401" width="9.140625" style="85"/>
    <col min="6402" max="6402" width="34.7109375" style="85" bestFit="1" customWidth="1"/>
    <col min="6403" max="6404" width="10.7109375" style="85" bestFit="1" customWidth="1"/>
    <col min="6405" max="6405" width="9.140625" style="85"/>
    <col min="6406" max="6406" width="34.7109375" style="85" bestFit="1" customWidth="1"/>
    <col min="6407" max="6408" width="9.42578125" style="85" bestFit="1" customWidth="1"/>
    <col min="6409" max="6657" width="9.140625" style="85"/>
    <col min="6658" max="6658" width="34.7109375" style="85" bestFit="1" customWidth="1"/>
    <col min="6659" max="6660" width="10.7109375" style="85" bestFit="1" customWidth="1"/>
    <col min="6661" max="6661" width="9.140625" style="85"/>
    <col min="6662" max="6662" width="34.7109375" style="85" bestFit="1" customWidth="1"/>
    <col min="6663" max="6664" width="9.42578125" style="85" bestFit="1" customWidth="1"/>
    <col min="6665" max="6913" width="9.140625" style="85"/>
    <col min="6914" max="6914" width="34.7109375" style="85" bestFit="1" customWidth="1"/>
    <col min="6915" max="6916" width="10.7109375" style="85" bestFit="1" customWidth="1"/>
    <col min="6917" max="6917" width="9.140625" style="85"/>
    <col min="6918" max="6918" width="34.7109375" style="85" bestFit="1" customWidth="1"/>
    <col min="6919" max="6920" width="9.42578125" style="85" bestFit="1" customWidth="1"/>
    <col min="6921" max="7169" width="9.140625" style="85"/>
    <col min="7170" max="7170" width="34.7109375" style="85" bestFit="1" customWidth="1"/>
    <col min="7171" max="7172" width="10.7109375" style="85" bestFit="1" customWidth="1"/>
    <col min="7173" max="7173" width="9.140625" style="85"/>
    <col min="7174" max="7174" width="34.7109375" style="85" bestFit="1" customWidth="1"/>
    <col min="7175" max="7176" width="9.42578125" style="85" bestFit="1" customWidth="1"/>
    <col min="7177" max="7425" width="9.140625" style="85"/>
    <col min="7426" max="7426" width="34.7109375" style="85" bestFit="1" customWidth="1"/>
    <col min="7427" max="7428" width="10.7109375" style="85" bestFit="1" customWidth="1"/>
    <col min="7429" max="7429" width="9.140625" style="85"/>
    <col min="7430" max="7430" width="34.7109375" style="85" bestFit="1" customWidth="1"/>
    <col min="7431" max="7432" width="9.42578125" style="85" bestFit="1" customWidth="1"/>
    <col min="7433" max="7681" width="9.140625" style="85"/>
    <col min="7682" max="7682" width="34.7109375" style="85" bestFit="1" customWidth="1"/>
    <col min="7683" max="7684" width="10.7109375" style="85" bestFit="1" customWidth="1"/>
    <col min="7685" max="7685" width="9.140625" style="85"/>
    <col min="7686" max="7686" width="34.7109375" style="85" bestFit="1" customWidth="1"/>
    <col min="7687" max="7688" width="9.42578125" style="85" bestFit="1" customWidth="1"/>
    <col min="7689" max="7937" width="9.140625" style="85"/>
    <col min="7938" max="7938" width="34.7109375" style="85" bestFit="1" customWidth="1"/>
    <col min="7939" max="7940" width="10.7109375" style="85" bestFit="1" customWidth="1"/>
    <col min="7941" max="7941" width="9.140625" style="85"/>
    <col min="7942" max="7942" width="34.7109375" style="85" bestFit="1" customWidth="1"/>
    <col min="7943" max="7944" width="9.42578125" style="85" bestFit="1" customWidth="1"/>
    <col min="7945" max="8193" width="9.140625" style="85"/>
    <col min="8194" max="8194" width="34.7109375" style="85" bestFit="1" customWidth="1"/>
    <col min="8195" max="8196" width="10.7109375" style="85" bestFit="1" customWidth="1"/>
    <col min="8197" max="8197" width="9.140625" style="85"/>
    <col min="8198" max="8198" width="34.7109375" style="85" bestFit="1" customWidth="1"/>
    <col min="8199" max="8200" width="9.42578125" style="85" bestFit="1" customWidth="1"/>
    <col min="8201" max="8449" width="9.140625" style="85"/>
    <col min="8450" max="8450" width="34.7109375" style="85" bestFit="1" customWidth="1"/>
    <col min="8451" max="8452" width="10.7109375" style="85" bestFit="1" customWidth="1"/>
    <col min="8453" max="8453" width="9.140625" style="85"/>
    <col min="8454" max="8454" width="34.7109375" style="85" bestFit="1" customWidth="1"/>
    <col min="8455" max="8456" width="9.42578125" style="85" bestFit="1" customWidth="1"/>
    <col min="8457" max="8705" width="9.140625" style="85"/>
    <col min="8706" max="8706" width="34.7109375" style="85" bestFit="1" customWidth="1"/>
    <col min="8707" max="8708" width="10.7109375" style="85" bestFit="1" customWidth="1"/>
    <col min="8709" max="8709" width="9.140625" style="85"/>
    <col min="8710" max="8710" width="34.7109375" style="85" bestFit="1" customWidth="1"/>
    <col min="8711" max="8712" width="9.42578125" style="85" bestFit="1" customWidth="1"/>
    <col min="8713" max="8961" width="9.140625" style="85"/>
    <col min="8962" max="8962" width="34.7109375" style="85" bestFit="1" customWidth="1"/>
    <col min="8963" max="8964" width="10.7109375" style="85" bestFit="1" customWidth="1"/>
    <col min="8965" max="8965" width="9.140625" style="85"/>
    <col min="8966" max="8966" width="34.7109375" style="85" bestFit="1" customWidth="1"/>
    <col min="8967" max="8968" width="9.42578125" style="85" bestFit="1" customWidth="1"/>
    <col min="8969" max="9217" width="9.140625" style="85"/>
    <col min="9218" max="9218" width="34.7109375" style="85" bestFit="1" customWidth="1"/>
    <col min="9219" max="9220" width="10.7109375" style="85" bestFit="1" customWidth="1"/>
    <col min="9221" max="9221" width="9.140625" style="85"/>
    <col min="9222" max="9222" width="34.7109375" style="85" bestFit="1" customWidth="1"/>
    <col min="9223" max="9224" width="9.42578125" style="85" bestFit="1" customWidth="1"/>
    <col min="9225" max="9473" width="9.140625" style="85"/>
    <col min="9474" max="9474" width="34.7109375" style="85" bestFit="1" customWidth="1"/>
    <col min="9475" max="9476" width="10.7109375" style="85" bestFit="1" customWidth="1"/>
    <col min="9477" max="9477" width="9.140625" style="85"/>
    <col min="9478" max="9478" width="34.7109375" style="85" bestFit="1" customWidth="1"/>
    <col min="9479" max="9480" width="9.42578125" style="85" bestFit="1" customWidth="1"/>
    <col min="9481" max="9729" width="9.140625" style="85"/>
    <col min="9730" max="9730" width="34.7109375" style="85" bestFit="1" customWidth="1"/>
    <col min="9731" max="9732" width="10.7109375" style="85" bestFit="1" customWidth="1"/>
    <col min="9733" max="9733" width="9.140625" style="85"/>
    <col min="9734" max="9734" width="34.7109375" style="85" bestFit="1" customWidth="1"/>
    <col min="9735" max="9736" width="9.42578125" style="85" bestFit="1" customWidth="1"/>
    <col min="9737" max="9985" width="9.140625" style="85"/>
    <col min="9986" max="9986" width="34.7109375" style="85" bestFit="1" customWidth="1"/>
    <col min="9987" max="9988" width="10.7109375" style="85" bestFit="1" customWidth="1"/>
    <col min="9989" max="9989" width="9.140625" style="85"/>
    <col min="9990" max="9990" width="34.7109375" style="85" bestFit="1" customWidth="1"/>
    <col min="9991" max="9992" width="9.42578125" style="85" bestFit="1" customWidth="1"/>
    <col min="9993" max="10241" width="9.140625" style="85"/>
    <col min="10242" max="10242" width="34.7109375" style="85" bestFit="1" customWidth="1"/>
    <col min="10243" max="10244" width="10.7109375" style="85" bestFit="1" customWidth="1"/>
    <col min="10245" max="10245" width="9.140625" style="85"/>
    <col min="10246" max="10246" width="34.7109375" style="85" bestFit="1" customWidth="1"/>
    <col min="10247" max="10248" width="9.42578125" style="85" bestFit="1" customWidth="1"/>
    <col min="10249" max="10497" width="9.140625" style="85"/>
    <col min="10498" max="10498" width="34.7109375" style="85" bestFit="1" customWidth="1"/>
    <col min="10499" max="10500" width="10.7109375" style="85" bestFit="1" customWidth="1"/>
    <col min="10501" max="10501" width="9.140625" style="85"/>
    <col min="10502" max="10502" width="34.7109375" style="85" bestFit="1" customWidth="1"/>
    <col min="10503" max="10504" width="9.42578125" style="85" bestFit="1" customWidth="1"/>
    <col min="10505" max="10753" width="9.140625" style="85"/>
    <col min="10754" max="10754" width="34.7109375" style="85" bestFit="1" customWidth="1"/>
    <col min="10755" max="10756" width="10.7109375" style="85" bestFit="1" customWidth="1"/>
    <col min="10757" max="10757" width="9.140625" style="85"/>
    <col min="10758" max="10758" width="34.7109375" style="85" bestFit="1" customWidth="1"/>
    <col min="10759" max="10760" width="9.42578125" style="85" bestFit="1" customWidth="1"/>
    <col min="10761" max="11009" width="9.140625" style="85"/>
    <col min="11010" max="11010" width="34.7109375" style="85" bestFit="1" customWidth="1"/>
    <col min="11011" max="11012" width="10.7109375" style="85" bestFit="1" customWidth="1"/>
    <col min="11013" max="11013" width="9.140625" style="85"/>
    <col min="11014" max="11014" width="34.7109375" style="85" bestFit="1" customWidth="1"/>
    <col min="11015" max="11016" width="9.42578125" style="85" bestFit="1" customWidth="1"/>
    <col min="11017" max="11265" width="9.140625" style="85"/>
    <col min="11266" max="11266" width="34.7109375" style="85" bestFit="1" customWidth="1"/>
    <col min="11267" max="11268" width="10.7109375" style="85" bestFit="1" customWidth="1"/>
    <col min="11269" max="11269" width="9.140625" style="85"/>
    <col min="11270" max="11270" width="34.7109375" style="85" bestFit="1" customWidth="1"/>
    <col min="11271" max="11272" width="9.42578125" style="85" bestFit="1" customWidth="1"/>
    <col min="11273" max="11521" width="9.140625" style="85"/>
    <col min="11522" max="11522" width="34.7109375" style="85" bestFit="1" customWidth="1"/>
    <col min="11523" max="11524" width="10.7109375" style="85" bestFit="1" customWidth="1"/>
    <col min="11525" max="11525" width="9.140625" style="85"/>
    <col min="11526" max="11526" width="34.7109375" style="85" bestFit="1" customWidth="1"/>
    <col min="11527" max="11528" width="9.42578125" style="85" bestFit="1" customWidth="1"/>
    <col min="11529" max="11777" width="9.140625" style="85"/>
    <col min="11778" max="11778" width="34.7109375" style="85" bestFit="1" customWidth="1"/>
    <col min="11779" max="11780" width="10.7109375" style="85" bestFit="1" customWidth="1"/>
    <col min="11781" max="11781" width="9.140625" style="85"/>
    <col min="11782" max="11782" width="34.7109375" style="85" bestFit="1" customWidth="1"/>
    <col min="11783" max="11784" width="9.42578125" style="85" bestFit="1" customWidth="1"/>
    <col min="11785" max="12033" width="9.140625" style="85"/>
    <col min="12034" max="12034" width="34.7109375" style="85" bestFit="1" customWidth="1"/>
    <col min="12035" max="12036" width="10.7109375" style="85" bestFit="1" customWidth="1"/>
    <col min="12037" max="12037" width="9.140625" style="85"/>
    <col min="12038" max="12038" width="34.7109375" style="85" bestFit="1" customWidth="1"/>
    <col min="12039" max="12040" width="9.42578125" style="85" bestFit="1" customWidth="1"/>
    <col min="12041" max="12289" width="9.140625" style="85"/>
    <col min="12290" max="12290" width="34.7109375" style="85" bestFit="1" customWidth="1"/>
    <col min="12291" max="12292" width="10.7109375" style="85" bestFit="1" customWidth="1"/>
    <col min="12293" max="12293" width="9.140625" style="85"/>
    <col min="12294" max="12294" width="34.7109375" style="85" bestFit="1" customWidth="1"/>
    <col min="12295" max="12296" width="9.42578125" style="85" bestFit="1" customWidth="1"/>
    <col min="12297" max="12545" width="9.140625" style="85"/>
    <col min="12546" max="12546" width="34.7109375" style="85" bestFit="1" customWidth="1"/>
    <col min="12547" max="12548" width="10.7109375" style="85" bestFit="1" customWidth="1"/>
    <col min="12549" max="12549" width="9.140625" style="85"/>
    <col min="12550" max="12550" width="34.7109375" style="85" bestFit="1" customWidth="1"/>
    <col min="12551" max="12552" width="9.42578125" style="85" bestFit="1" customWidth="1"/>
    <col min="12553" max="12801" width="9.140625" style="85"/>
    <col min="12802" max="12802" width="34.7109375" style="85" bestFit="1" customWidth="1"/>
    <col min="12803" max="12804" width="10.7109375" style="85" bestFit="1" customWidth="1"/>
    <col min="12805" max="12805" width="9.140625" style="85"/>
    <col min="12806" max="12806" width="34.7109375" style="85" bestFit="1" customWidth="1"/>
    <col min="12807" max="12808" width="9.42578125" style="85" bestFit="1" customWidth="1"/>
    <col min="12809" max="13057" width="9.140625" style="85"/>
    <col min="13058" max="13058" width="34.7109375" style="85" bestFit="1" customWidth="1"/>
    <col min="13059" max="13060" width="10.7109375" style="85" bestFit="1" customWidth="1"/>
    <col min="13061" max="13061" width="9.140625" style="85"/>
    <col min="13062" max="13062" width="34.7109375" style="85" bestFit="1" customWidth="1"/>
    <col min="13063" max="13064" width="9.42578125" style="85" bestFit="1" customWidth="1"/>
    <col min="13065" max="13313" width="9.140625" style="85"/>
    <col min="13314" max="13314" width="34.7109375" style="85" bestFit="1" customWidth="1"/>
    <col min="13315" max="13316" width="10.7109375" style="85" bestFit="1" customWidth="1"/>
    <col min="13317" max="13317" width="9.140625" style="85"/>
    <col min="13318" max="13318" width="34.7109375" style="85" bestFit="1" customWidth="1"/>
    <col min="13319" max="13320" width="9.42578125" style="85" bestFit="1" customWidth="1"/>
    <col min="13321" max="13569" width="9.140625" style="85"/>
    <col min="13570" max="13570" width="34.7109375" style="85" bestFit="1" customWidth="1"/>
    <col min="13571" max="13572" width="10.7109375" style="85" bestFit="1" customWidth="1"/>
    <col min="13573" max="13573" width="9.140625" style="85"/>
    <col min="13574" max="13574" width="34.7109375" style="85" bestFit="1" customWidth="1"/>
    <col min="13575" max="13576" width="9.42578125" style="85" bestFit="1" customWidth="1"/>
    <col min="13577" max="13825" width="9.140625" style="85"/>
    <col min="13826" max="13826" width="34.7109375" style="85" bestFit="1" customWidth="1"/>
    <col min="13827" max="13828" width="10.7109375" style="85" bestFit="1" customWidth="1"/>
    <col min="13829" max="13829" width="9.140625" style="85"/>
    <col min="13830" max="13830" width="34.7109375" style="85" bestFit="1" customWidth="1"/>
    <col min="13831" max="13832" width="9.42578125" style="85" bestFit="1" customWidth="1"/>
    <col min="13833" max="14081" width="9.140625" style="85"/>
    <col min="14082" max="14082" width="34.7109375" style="85" bestFit="1" customWidth="1"/>
    <col min="14083" max="14084" width="10.7109375" style="85" bestFit="1" customWidth="1"/>
    <col min="14085" max="14085" width="9.140625" style="85"/>
    <col min="14086" max="14086" width="34.7109375" style="85" bestFit="1" customWidth="1"/>
    <col min="14087" max="14088" width="9.42578125" style="85" bestFit="1" customWidth="1"/>
    <col min="14089" max="14337" width="9.140625" style="85"/>
    <col min="14338" max="14338" width="34.7109375" style="85" bestFit="1" customWidth="1"/>
    <col min="14339" max="14340" width="10.7109375" style="85" bestFit="1" customWidth="1"/>
    <col min="14341" max="14341" width="9.140625" style="85"/>
    <col min="14342" max="14342" width="34.7109375" style="85" bestFit="1" customWidth="1"/>
    <col min="14343" max="14344" width="9.42578125" style="85" bestFit="1" customWidth="1"/>
    <col min="14345" max="14593" width="9.140625" style="85"/>
    <col min="14594" max="14594" width="34.7109375" style="85" bestFit="1" customWidth="1"/>
    <col min="14595" max="14596" width="10.7109375" style="85" bestFit="1" customWidth="1"/>
    <col min="14597" max="14597" width="9.140625" style="85"/>
    <col min="14598" max="14598" width="34.7109375" style="85" bestFit="1" customWidth="1"/>
    <col min="14599" max="14600" width="9.42578125" style="85" bestFit="1" customWidth="1"/>
    <col min="14601" max="14849" width="9.140625" style="85"/>
    <col min="14850" max="14850" width="34.7109375" style="85" bestFit="1" customWidth="1"/>
    <col min="14851" max="14852" width="10.7109375" style="85" bestFit="1" customWidth="1"/>
    <col min="14853" max="14853" width="9.140625" style="85"/>
    <col min="14854" max="14854" width="34.7109375" style="85" bestFit="1" customWidth="1"/>
    <col min="14855" max="14856" width="9.42578125" style="85" bestFit="1" customWidth="1"/>
    <col min="14857" max="15105" width="9.140625" style="85"/>
    <col min="15106" max="15106" width="34.7109375" style="85" bestFit="1" customWidth="1"/>
    <col min="15107" max="15108" width="10.7109375" style="85" bestFit="1" customWidth="1"/>
    <col min="15109" max="15109" width="9.140625" style="85"/>
    <col min="15110" max="15110" width="34.7109375" style="85" bestFit="1" customWidth="1"/>
    <col min="15111" max="15112" width="9.42578125" style="85" bestFit="1" customWidth="1"/>
    <col min="15113" max="15361" width="9.140625" style="85"/>
    <col min="15362" max="15362" width="34.7109375" style="85" bestFit="1" customWidth="1"/>
    <col min="15363" max="15364" width="10.7109375" style="85" bestFit="1" customWidth="1"/>
    <col min="15365" max="15365" width="9.140625" style="85"/>
    <col min="15366" max="15366" width="34.7109375" style="85" bestFit="1" customWidth="1"/>
    <col min="15367" max="15368" width="9.42578125" style="85" bestFit="1" customWidth="1"/>
    <col min="15369" max="15617" width="9.140625" style="85"/>
    <col min="15618" max="15618" width="34.7109375" style="85" bestFit="1" customWidth="1"/>
    <col min="15619" max="15620" width="10.7109375" style="85" bestFit="1" customWidth="1"/>
    <col min="15621" max="15621" width="9.140625" style="85"/>
    <col min="15622" max="15622" width="34.7109375" style="85" bestFit="1" customWidth="1"/>
    <col min="15623" max="15624" width="9.42578125" style="85" bestFit="1" customWidth="1"/>
    <col min="15625" max="15873" width="9.140625" style="85"/>
    <col min="15874" max="15874" width="34.7109375" style="85" bestFit="1" customWidth="1"/>
    <col min="15875" max="15876" width="10.7109375" style="85" bestFit="1" customWidth="1"/>
    <col min="15877" max="15877" width="9.140625" style="85"/>
    <col min="15878" max="15878" width="34.7109375" style="85" bestFit="1" customWidth="1"/>
    <col min="15879" max="15880" width="9.42578125" style="85" bestFit="1" customWidth="1"/>
    <col min="15881" max="16129" width="9.140625" style="85"/>
    <col min="16130" max="16130" width="34.7109375" style="85" bestFit="1" customWidth="1"/>
    <col min="16131" max="16132" width="10.7109375" style="85" bestFit="1" customWidth="1"/>
    <col min="16133" max="16133" width="9.140625" style="85"/>
    <col min="16134" max="16134" width="34.7109375" style="85" bestFit="1" customWidth="1"/>
    <col min="16135" max="16136" width="9.42578125" style="85" bestFit="1" customWidth="1"/>
    <col min="16137" max="16384" width="9.140625" style="85"/>
  </cols>
  <sheetData>
    <row r="1" spans="1:15" x14ac:dyDescent="0.2">
      <c r="A1" s="364" t="s">
        <v>936</v>
      </c>
      <c r="B1" s="364"/>
      <c r="C1" s="364"/>
      <c r="D1" s="364"/>
      <c r="E1" s="364"/>
      <c r="F1" s="364"/>
      <c r="G1" s="364"/>
      <c r="I1" s="364" t="s">
        <v>936</v>
      </c>
      <c r="J1" s="364"/>
      <c r="K1" s="364"/>
      <c r="L1" s="364"/>
      <c r="M1" s="364"/>
      <c r="N1" s="364"/>
      <c r="O1" s="364"/>
    </row>
    <row r="2" spans="1:15" x14ac:dyDescent="0.2">
      <c r="A2" s="364" t="s">
        <v>325</v>
      </c>
      <c r="B2" s="364"/>
      <c r="C2" s="364"/>
      <c r="D2" s="364"/>
      <c r="E2" s="364"/>
      <c r="F2" s="364"/>
      <c r="G2" s="364"/>
      <c r="I2" s="364" t="s">
        <v>326</v>
      </c>
      <c r="J2" s="364"/>
      <c r="K2" s="364"/>
      <c r="L2" s="364"/>
      <c r="M2" s="364"/>
      <c r="N2" s="364"/>
      <c r="O2" s="364"/>
    </row>
    <row r="3" spans="1:15" x14ac:dyDescent="0.2">
      <c r="A3" s="86"/>
      <c r="B3" s="228">
        <v>45717</v>
      </c>
      <c r="C3" s="228">
        <v>45352</v>
      </c>
      <c r="D3" s="228">
        <v>44986</v>
      </c>
      <c r="E3" s="228">
        <v>44621</v>
      </c>
      <c r="F3" s="228">
        <v>44256</v>
      </c>
      <c r="G3" s="228">
        <v>43891</v>
      </c>
      <c r="I3" s="86"/>
      <c r="J3" s="228">
        <v>45717</v>
      </c>
      <c r="K3" s="228">
        <v>45352</v>
      </c>
      <c r="L3" s="228">
        <v>44986</v>
      </c>
      <c r="M3" s="228">
        <v>44621</v>
      </c>
      <c r="N3" s="228">
        <v>44256</v>
      </c>
      <c r="O3" s="228">
        <v>43891</v>
      </c>
    </row>
    <row r="4" spans="1:15" x14ac:dyDescent="0.2">
      <c r="A4" s="87" t="s">
        <v>238</v>
      </c>
      <c r="B4" s="87"/>
      <c r="C4" s="88">
        <f>'Common Size Analysis - PL_Conso'!C8</f>
        <v>10240.870000000001</v>
      </c>
      <c r="D4" s="88">
        <f>'Common Size Analysis - PL_Conso'!D8</f>
        <v>8804.0499999999993</v>
      </c>
      <c r="E4" s="88">
        <f>'Common Size Analysis - PL_Conso'!E8*10000000</f>
        <v>75491500000</v>
      </c>
      <c r="F4" s="88">
        <f>'Common Size Analysis - PL_Conso'!F8*10000000</f>
        <v>65470199999.999992</v>
      </c>
      <c r="G4" s="88">
        <f>'Common Size Analysis - PL_Conso'!G8*10000000</f>
        <v>69177000000</v>
      </c>
      <c r="H4" s="89"/>
      <c r="I4" s="87" t="s">
        <v>238</v>
      </c>
      <c r="J4" s="90">
        <v>1</v>
      </c>
      <c r="K4" s="90">
        <v>1</v>
      </c>
      <c r="L4" s="90">
        <v>1</v>
      </c>
      <c r="M4" s="90">
        <v>1</v>
      </c>
      <c r="N4" s="90">
        <v>1</v>
      </c>
      <c r="O4" s="90">
        <v>1</v>
      </c>
    </row>
    <row r="5" spans="1:15" x14ac:dyDescent="0.2">
      <c r="A5" s="91" t="s">
        <v>327</v>
      </c>
      <c r="B5" s="91"/>
      <c r="C5" s="92"/>
      <c r="D5" s="92"/>
      <c r="E5" s="92"/>
      <c r="F5" s="92"/>
      <c r="G5" s="92"/>
      <c r="I5" s="91" t="s">
        <v>327</v>
      </c>
      <c r="J5" s="91"/>
      <c r="K5" s="93"/>
      <c r="L5" s="93"/>
      <c r="M5" s="93"/>
      <c r="N5" s="93"/>
      <c r="O5" s="93"/>
    </row>
    <row r="6" spans="1:15" x14ac:dyDescent="0.2">
      <c r="A6" s="94" t="s">
        <v>328</v>
      </c>
      <c r="B6" s="123">
        <f>Financials_Consol!B93</f>
        <v>1094.7100000000007</v>
      </c>
      <c r="C6" s="123">
        <f>Financials_Consol!C93</f>
        <v>896.94000000000233</v>
      </c>
      <c r="D6" s="123">
        <f>Financials_Consol!D93</f>
        <v>629.25000000000091</v>
      </c>
      <c r="E6" s="123">
        <f>Financials_Consol!E93</f>
        <v>586.14999999999941</v>
      </c>
      <c r="F6" s="123">
        <f>Financials_Consol!F93</f>
        <v>646.7899999999986</v>
      </c>
      <c r="G6" s="123">
        <f>Financials_Consol!G93</f>
        <v>746.54000000000178</v>
      </c>
      <c r="I6" s="94" t="s">
        <v>328</v>
      </c>
      <c r="J6" s="53" t="e">
        <f>B6/B$4</f>
        <v>#DIV/0!</v>
      </c>
      <c r="K6" s="53">
        <f>C6/C$4</f>
        <v>8.7584355626035892E-2</v>
      </c>
      <c r="L6" s="53">
        <f t="shared" ref="L6:O29" si="0">D6/D$4</f>
        <v>7.1472788091844208E-2</v>
      </c>
      <c r="M6" s="53">
        <f t="shared" si="0"/>
        <v>7.7644503023519132E-9</v>
      </c>
      <c r="N6" s="53">
        <f t="shared" si="0"/>
        <v>9.8791511252447471E-9</v>
      </c>
      <c r="O6" s="53">
        <f t="shared" si="0"/>
        <v>1.0791737138066146E-8</v>
      </c>
    </row>
    <row r="7" spans="1:15" x14ac:dyDescent="0.2">
      <c r="A7" s="96" t="s">
        <v>329</v>
      </c>
      <c r="B7" s="96"/>
      <c r="C7" s="97"/>
      <c r="D7" s="123"/>
      <c r="E7" s="97"/>
      <c r="F7" s="97"/>
      <c r="G7" s="97"/>
      <c r="I7" s="96" t="s">
        <v>329</v>
      </c>
      <c r="J7" s="53" t="e">
        <f t="shared" ref="J7:K7" si="1">B7/B$4</f>
        <v>#DIV/0!</v>
      </c>
      <c r="K7" s="53">
        <f t="shared" si="1"/>
        <v>0</v>
      </c>
      <c r="L7" s="53">
        <f t="shared" ref="L7" si="2">D7/D$4</f>
        <v>0</v>
      </c>
      <c r="M7" s="53">
        <f t="shared" ref="M7" si="3">E7/E$4</f>
        <v>0</v>
      </c>
      <c r="N7" s="53">
        <f t="shared" ref="N7" si="4">F7/F$4</f>
        <v>0</v>
      </c>
      <c r="O7" s="53">
        <f t="shared" ref="O7" si="5">G7/G$4</f>
        <v>0</v>
      </c>
    </row>
    <row r="8" spans="1:15" x14ac:dyDescent="0.2">
      <c r="A8" s="53" t="s">
        <v>344</v>
      </c>
      <c r="B8" s="53"/>
      <c r="C8" s="97"/>
      <c r="D8" s="97"/>
      <c r="E8" s="97"/>
      <c r="F8" s="97"/>
      <c r="G8" s="97"/>
      <c r="I8" s="53" t="s">
        <v>344</v>
      </c>
      <c r="J8" s="53" t="e">
        <f t="shared" ref="J8:K28" si="6">B8/B$4</f>
        <v>#DIV/0!</v>
      </c>
      <c r="K8" s="53">
        <f t="shared" si="6"/>
        <v>0</v>
      </c>
      <c r="L8" s="53">
        <f t="shared" ref="L8:L28" si="7">D8/D$4</f>
        <v>0</v>
      </c>
      <c r="M8" s="53">
        <f t="shared" ref="M8:M28" si="8">E8/E$4</f>
        <v>0</v>
      </c>
      <c r="N8" s="53">
        <f t="shared" ref="N8:N28" si="9">F8/F$4</f>
        <v>0</v>
      </c>
      <c r="O8" s="53">
        <f t="shared" ref="O8:O28" si="10">G8/G$4</f>
        <v>0</v>
      </c>
    </row>
    <row r="9" spans="1:15" x14ac:dyDescent="0.2">
      <c r="A9" s="53" t="s">
        <v>481</v>
      </c>
      <c r="B9" s="53"/>
      <c r="C9" s="97"/>
      <c r="D9" s="123"/>
      <c r="E9" s="97"/>
      <c r="F9" s="97"/>
      <c r="G9" s="97"/>
      <c r="I9" s="53" t="s">
        <v>481</v>
      </c>
      <c r="J9" s="53" t="e">
        <f t="shared" si="6"/>
        <v>#DIV/0!</v>
      </c>
      <c r="K9" s="53">
        <f t="shared" si="6"/>
        <v>0</v>
      </c>
      <c r="L9" s="53">
        <f t="shared" si="7"/>
        <v>0</v>
      </c>
      <c r="M9" s="53">
        <f t="shared" si="8"/>
        <v>0</v>
      </c>
      <c r="N9" s="53">
        <f t="shared" si="9"/>
        <v>0</v>
      </c>
      <c r="O9" s="53">
        <f t="shared" si="10"/>
        <v>0</v>
      </c>
    </row>
    <row r="10" spans="1:15" x14ac:dyDescent="0.2">
      <c r="A10" s="53" t="s">
        <v>642</v>
      </c>
      <c r="B10" s="53"/>
      <c r="C10" s="97"/>
      <c r="D10" s="123"/>
      <c r="E10" s="97"/>
      <c r="F10" s="97"/>
      <c r="G10" s="97"/>
      <c r="I10" s="53" t="s">
        <v>642</v>
      </c>
      <c r="J10" s="53" t="e">
        <f t="shared" si="6"/>
        <v>#DIV/0!</v>
      </c>
      <c r="K10" s="53">
        <f t="shared" si="6"/>
        <v>0</v>
      </c>
      <c r="L10" s="53">
        <f t="shared" si="7"/>
        <v>0</v>
      </c>
      <c r="M10" s="53">
        <f t="shared" si="8"/>
        <v>0</v>
      </c>
      <c r="N10" s="53">
        <f t="shared" si="9"/>
        <v>0</v>
      </c>
      <c r="O10" s="53">
        <f t="shared" si="10"/>
        <v>0</v>
      </c>
    </row>
    <row r="11" spans="1:15" x14ac:dyDescent="0.2">
      <c r="A11" s="53" t="s">
        <v>643</v>
      </c>
      <c r="B11" s="53"/>
      <c r="C11" s="97"/>
      <c r="D11" s="123"/>
      <c r="E11" s="97"/>
      <c r="F11" s="97"/>
      <c r="G11" s="97"/>
      <c r="I11" s="53" t="s">
        <v>643</v>
      </c>
      <c r="J11" s="53" t="e">
        <f t="shared" si="6"/>
        <v>#DIV/0!</v>
      </c>
      <c r="K11" s="53">
        <f t="shared" si="6"/>
        <v>0</v>
      </c>
      <c r="L11" s="53">
        <f t="shared" si="7"/>
        <v>0</v>
      </c>
      <c r="M11" s="53">
        <f t="shared" si="8"/>
        <v>0</v>
      </c>
      <c r="N11" s="53">
        <f t="shared" si="9"/>
        <v>0</v>
      </c>
      <c r="O11" s="53">
        <f t="shared" si="10"/>
        <v>0</v>
      </c>
    </row>
    <row r="12" spans="1:15" x14ac:dyDescent="0.2">
      <c r="A12" s="53" t="s">
        <v>644</v>
      </c>
      <c r="B12" s="53"/>
      <c r="C12" s="97"/>
      <c r="D12" s="123"/>
      <c r="E12" s="97"/>
      <c r="F12" s="97"/>
      <c r="G12" s="97"/>
      <c r="I12" s="53" t="s">
        <v>644</v>
      </c>
      <c r="J12" s="53" t="e">
        <f t="shared" si="6"/>
        <v>#DIV/0!</v>
      </c>
      <c r="K12" s="53">
        <f t="shared" si="6"/>
        <v>0</v>
      </c>
      <c r="L12" s="53">
        <f t="shared" si="7"/>
        <v>0</v>
      </c>
      <c r="M12" s="53">
        <f t="shared" si="8"/>
        <v>0</v>
      </c>
      <c r="N12" s="53">
        <f t="shared" si="9"/>
        <v>0</v>
      </c>
      <c r="O12" s="53">
        <f t="shared" si="10"/>
        <v>0</v>
      </c>
    </row>
    <row r="13" spans="1:15" x14ac:dyDescent="0.2">
      <c r="A13" s="53" t="s">
        <v>497</v>
      </c>
      <c r="B13" s="53"/>
      <c r="C13" s="97"/>
      <c r="D13" s="123"/>
      <c r="E13" s="97"/>
      <c r="F13" s="97"/>
      <c r="G13" s="97"/>
      <c r="I13" s="53" t="s">
        <v>497</v>
      </c>
      <c r="J13" s="53" t="e">
        <f t="shared" si="6"/>
        <v>#DIV/0!</v>
      </c>
      <c r="K13" s="53">
        <f t="shared" si="6"/>
        <v>0</v>
      </c>
      <c r="L13" s="53">
        <f t="shared" si="7"/>
        <v>0</v>
      </c>
      <c r="M13" s="53">
        <f t="shared" si="8"/>
        <v>0</v>
      </c>
      <c r="N13" s="53">
        <f t="shared" si="9"/>
        <v>0</v>
      </c>
      <c r="O13" s="53">
        <f t="shared" si="10"/>
        <v>0</v>
      </c>
    </row>
    <row r="14" spans="1:15" x14ac:dyDescent="0.2">
      <c r="A14" s="53" t="s">
        <v>645</v>
      </c>
      <c r="B14" s="53"/>
      <c r="C14" s="97"/>
      <c r="D14" s="123"/>
      <c r="E14" s="97"/>
      <c r="F14" s="97"/>
      <c r="G14" s="97"/>
      <c r="I14" s="53"/>
      <c r="J14" s="53"/>
      <c r="K14" s="53"/>
      <c r="L14" s="53"/>
      <c r="M14" s="53"/>
      <c r="N14" s="53"/>
      <c r="O14" s="53"/>
    </row>
    <row r="15" spans="1:15" x14ac:dyDescent="0.2">
      <c r="A15" s="53" t="s">
        <v>345</v>
      </c>
      <c r="B15" s="53"/>
      <c r="C15" s="97"/>
      <c r="D15" s="123"/>
      <c r="E15" s="97"/>
      <c r="F15" s="97"/>
      <c r="G15" s="97"/>
      <c r="I15" s="53" t="s">
        <v>345</v>
      </c>
      <c r="J15" s="53" t="e">
        <f t="shared" si="6"/>
        <v>#DIV/0!</v>
      </c>
      <c r="K15" s="53">
        <f t="shared" si="6"/>
        <v>0</v>
      </c>
      <c r="L15" s="53">
        <f t="shared" si="7"/>
        <v>0</v>
      </c>
      <c r="M15" s="53">
        <f t="shared" si="8"/>
        <v>0</v>
      </c>
      <c r="N15" s="53">
        <f t="shared" si="9"/>
        <v>0</v>
      </c>
      <c r="O15" s="53">
        <f t="shared" si="10"/>
        <v>0</v>
      </c>
    </row>
    <row r="16" spans="1:15" x14ac:dyDescent="0.2">
      <c r="A16" s="53" t="s">
        <v>346</v>
      </c>
      <c r="B16" s="53"/>
      <c r="C16" s="97"/>
      <c r="D16" s="97"/>
      <c r="E16" s="97"/>
      <c r="F16" s="97"/>
      <c r="G16" s="97"/>
      <c r="I16" s="53" t="s">
        <v>346</v>
      </c>
      <c r="J16" s="53" t="e">
        <f t="shared" si="6"/>
        <v>#DIV/0!</v>
      </c>
      <c r="K16" s="53">
        <f t="shared" si="6"/>
        <v>0</v>
      </c>
      <c r="L16" s="53">
        <f t="shared" si="7"/>
        <v>0</v>
      </c>
      <c r="M16" s="53">
        <f t="shared" si="8"/>
        <v>0</v>
      </c>
      <c r="N16" s="53">
        <f t="shared" si="9"/>
        <v>0</v>
      </c>
      <c r="O16" s="53">
        <f t="shared" si="10"/>
        <v>0</v>
      </c>
    </row>
    <row r="17" spans="1:15" x14ac:dyDescent="0.2">
      <c r="A17" s="53" t="s">
        <v>564</v>
      </c>
      <c r="B17" s="53"/>
      <c r="C17" s="97"/>
      <c r="D17" s="123"/>
      <c r="E17" s="97"/>
      <c r="F17" s="97"/>
      <c r="G17" s="97"/>
      <c r="I17" s="53" t="s">
        <v>564</v>
      </c>
      <c r="J17" s="53" t="e">
        <f t="shared" si="6"/>
        <v>#DIV/0!</v>
      </c>
      <c r="K17" s="53">
        <f t="shared" si="6"/>
        <v>0</v>
      </c>
      <c r="L17" s="53">
        <f t="shared" si="7"/>
        <v>0</v>
      </c>
      <c r="M17" s="53">
        <f t="shared" si="8"/>
        <v>0</v>
      </c>
      <c r="N17" s="53">
        <f t="shared" si="9"/>
        <v>0</v>
      </c>
      <c r="O17" s="53">
        <f t="shared" si="10"/>
        <v>0</v>
      </c>
    </row>
    <row r="18" spans="1:15" x14ac:dyDescent="0.2">
      <c r="A18" s="53" t="s">
        <v>586</v>
      </c>
      <c r="B18" s="53"/>
      <c r="C18" s="97"/>
      <c r="D18" s="97"/>
      <c r="E18" s="97"/>
      <c r="F18" s="97"/>
      <c r="G18" s="97"/>
      <c r="I18" s="53" t="s">
        <v>586</v>
      </c>
      <c r="J18" s="53" t="e">
        <f t="shared" si="6"/>
        <v>#DIV/0!</v>
      </c>
      <c r="K18" s="53">
        <f t="shared" si="6"/>
        <v>0</v>
      </c>
      <c r="L18" s="53">
        <f t="shared" si="7"/>
        <v>0</v>
      </c>
      <c r="M18" s="53">
        <f t="shared" si="8"/>
        <v>0</v>
      </c>
      <c r="N18" s="53">
        <f t="shared" si="9"/>
        <v>0</v>
      </c>
      <c r="O18" s="53">
        <f t="shared" si="10"/>
        <v>0</v>
      </c>
    </row>
    <row r="19" spans="1:15" x14ac:dyDescent="0.2">
      <c r="A19" s="53" t="s">
        <v>641</v>
      </c>
      <c r="B19" s="53"/>
      <c r="C19" s="97"/>
      <c r="D19" s="123"/>
      <c r="E19" s="97"/>
      <c r="F19" s="97"/>
      <c r="G19" s="97"/>
      <c r="I19" s="53" t="s">
        <v>641</v>
      </c>
      <c r="J19" s="53" t="e">
        <f t="shared" si="6"/>
        <v>#DIV/0!</v>
      </c>
      <c r="K19" s="53">
        <f t="shared" si="6"/>
        <v>0</v>
      </c>
      <c r="L19" s="53">
        <f t="shared" si="7"/>
        <v>0</v>
      </c>
      <c r="M19" s="53">
        <f t="shared" si="8"/>
        <v>0</v>
      </c>
      <c r="N19" s="53">
        <f t="shared" si="9"/>
        <v>0</v>
      </c>
      <c r="O19" s="53">
        <f t="shared" si="10"/>
        <v>0</v>
      </c>
    </row>
    <row r="20" spans="1:15" x14ac:dyDescent="0.2">
      <c r="A20" s="53" t="s">
        <v>582</v>
      </c>
      <c r="B20" s="53"/>
      <c r="C20" s="97"/>
      <c r="D20" s="97"/>
      <c r="E20" s="97"/>
      <c r="F20" s="97"/>
      <c r="G20" s="97"/>
      <c r="I20" s="53" t="s">
        <v>582</v>
      </c>
      <c r="J20" s="53" t="e">
        <f t="shared" si="6"/>
        <v>#DIV/0!</v>
      </c>
      <c r="K20" s="53">
        <f t="shared" si="6"/>
        <v>0</v>
      </c>
      <c r="L20" s="53">
        <f t="shared" si="7"/>
        <v>0</v>
      </c>
      <c r="M20" s="53">
        <f t="shared" si="8"/>
        <v>0</v>
      </c>
      <c r="N20" s="53">
        <f t="shared" si="9"/>
        <v>0</v>
      </c>
      <c r="O20" s="53">
        <f t="shared" si="10"/>
        <v>0</v>
      </c>
    </row>
    <row r="21" spans="1:15" x14ac:dyDescent="0.2">
      <c r="A21" s="53" t="s">
        <v>583</v>
      </c>
      <c r="B21" s="53"/>
      <c r="C21" s="97"/>
      <c r="D21" s="97"/>
      <c r="E21" s="97"/>
      <c r="F21" s="97"/>
      <c r="G21" s="97"/>
      <c r="I21" s="53" t="s">
        <v>583</v>
      </c>
      <c r="J21" s="53" t="e">
        <f t="shared" si="6"/>
        <v>#DIV/0!</v>
      </c>
      <c r="K21" s="53">
        <f t="shared" si="6"/>
        <v>0</v>
      </c>
      <c r="L21" s="53">
        <f t="shared" si="7"/>
        <v>0</v>
      </c>
      <c r="M21" s="53">
        <f t="shared" si="8"/>
        <v>0</v>
      </c>
      <c r="N21" s="53">
        <f t="shared" si="9"/>
        <v>0</v>
      </c>
      <c r="O21" s="53">
        <f t="shared" si="10"/>
        <v>0</v>
      </c>
    </row>
    <row r="22" spans="1:15" x14ac:dyDescent="0.2">
      <c r="A22" s="53" t="s">
        <v>499</v>
      </c>
      <c r="B22" s="53"/>
      <c r="C22" s="97"/>
      <c r="D22" s="123"/>
      <c r="E22" s="97"/>
      <c r="F22" s="97"/>
      <c r="G22" s="97"/>
      <c r="I22" s="53" t="s">
        <v>499</v>
      </c>
      <c r="J22" s="53" t="e">
        <f t="shared" si="6"/>
        <v>#DIV/0!</v>
      </c>
      <c r="K22" s="53">
        <f t="shared" si="6"/>
        <v>0</v>
      </c>
      <c r="L22" s="53">
        <f t="shared" si="7"/>
        <v>0</v>
      </c>
      <c r="M22" s="53">
        <f t="shared" si="8"/>
        <v>0</v>
      </c>
      <c r="N22" s="53">
        <f t="shared" si="9"/>
        <v>0</v>
      </c>
      <c r="O22" s="53">
        <f t="shared" si="10"/>
        <v>0</v>
      </c>
    </row>
    <row r="23" spans="1:15" x14ac:dyDescent="0.2">
      <c r="A23" s="53" t="s">
        <v>524</v>
      </c>
      <c r="B23" s="53"/>
      <c r="C23" s="97"/>
      <c r="D23" s="123"/>
      <c r="E23" s="97"/>
      <c r="F23" s="97"/>
      <c r="G23" s="97"/>
      <c r="I23" s="53" t="s">
        <v>524</v>
      </c>
      <c r="J23" s="53" t="e">
        <f t="shared" si="6"/>
        <v>#DIV/0!</v>
      </c>
      <c r="K23" s="53">
        <f t="shared" si="6"/>
        <v>0</v>
      </c>
      <c r="L23" s="53">
        <f t="shared" si="7"/>
        <v>0</v>
      </c>
      <c r="M23" s="53">
        <f t="shared" si="8"/>
        <v>0</v>
      </c>
      <c r="N23" s="53">
        <f t="shared" si="9"/>
        <v>0</v>
      </c>
      <c r="O23" s="53">
        <f t="shared" si="10"/>
        <v>0</v>
      </c>
    </row>
    <row r="24" spans="1:15" x14ac:dyDescent="0.2">
      <c r="A24" s="53" t="s">
        <v>525</v>
      </c>
      <c r="B24" s="53"/>
      <c r="C24" s="97"/>
      <c r="D24" s="97"/>
      <c r="E24" s="97"/>
      <c r="F24" s="97"/>
      <c r="G24" s="97"/>
      <c r="I24" s="53" t="s">
        <v>525</v>
      </c>
      <c r="J24" s="53" t="e">
        <f t="shared" si="6"/>
        <v>#DIV/0!</v>
      </c>
      <c r="K24" s="53">
        <f t="shared" si="6"/>
        <v>0</v>
      </c>
      <c r="L24" s="53">
        <f t="shared" si="7"/>
        <v>0</v>
      </c>
      <c r="M24" s="53">
        <f t="shared" si="8"/>
        <v>0</v>
      </c>
      <c r="N24" s="53">
        <f t="shared" si="9"/>
        <v>0</v>
      </c>
      <c r="O24" s="53">
        <f t="shared" si="10"/>
        <v>0</v>
      </c>
    </row>
    <row r="25" spans="1:15" x14ac:dyDescent="0.2">
      <c r="A25" s="53" t="s">
        <v>566</v>
      </c>
      <c r="B25" s="53"/>
      <c r="C25" s="97"/>
      <c r="D25" s="97"/>
      <c r="E25" s="97"/>
      <c r="F25" s="97"/>
      <c r="G25" s="97"/>
      <c r="I25" s="53" t="s">
        <v>566</v>
      </c>
      <c r="J25" s="53" t="e">
        <f t="shared" si="6"/>
        <v>#DIV/0!</v>
      </c>
      <c r="K25" s="53">
        <f t="shared" si="6"/>
        <v>0</v>
      </c>
      <c r="L25" s="53">
        <f t="shared" si="7"/>
        <v>0</v>
      </c>
      <c r="M25" s="53">
        <f t="shared" si="8"/>
        <v>0</v>
      </c>
      <c r="N25" s="53">
        <f t="shared" si="9"/>
        <v>0</v>
      </c>
      <c r="O25" s="53">
        <f t="shared" si="10"/>
        <v>0</v>
      </c>
    </row>
    <row r="26" spans="1:15" x14ac:dyDescent="0.2">
      <c r="A26" s="53" t="s">
        <v>608</v>
      </c>
      <c r="B26" s="53"/>
      <c r="C26" s="97"/>
      <c r="D26" s="123"/>
      <c r="E26" s="97"/>
      <c r="F26" s="97"/>
      <c r="G26" s="97"/>
      <c r="I26" s="53" t="s">
        <v>608</v>
      </c>
      <c r="J26" s="53" t="e">
        <f t="shared" si="6"/>
        <v>#DIV/0!</v>
      </c>
      <c r="K26" s="53">
        <f t="shared" si="6"/>
        <v>0</v>
      </c>
      <c r="L26" s="53">
        <f t="shared" si="7"/>
        <v>0</v>
      </c>
      <c r="M26" s="53">
        <f t="shared" si="8"/>
        <v>0</v>
      </c>
      <c r="N26" s="53">
        <f t="shared" si="9"/>
        <v>0</v>
      </c>
      <c r="O26" s="53">
        <f t="shared" si="10"/>
        <v>0</v>
      </c>
    </row>
    <row r="27" spans="1:15" x14ac:dyDescent="0.2">
      <c r="A27" s="53" t="s">
        <v>585</v>
      </c>
      <c r="B27" s="53"/>
      <c r="C27" s="97"/>
      <c r="D27" s="97"/>
      <c r="E27" s="97"/>
      <c r="F27" s="97"/>
      <c r="G27" s="97"/>
      <c r="I27" s="53" t="s">
        <v>585</v>
      </c>
      <c r="J27" s="53" t="e">
        <f t="shared" si="6"/>
        <v>#DIV/0!</v>
      </c>
      <c r="K27" s="53">
        <f t="shared" si="6"/>
        <v>0</v>
      </c>
      <c r="L27" s="53">
        <f t="shared" si="7"/>
        <v>0</v>
      </c>
      <c r="M27" s="53">
        <f t="shared" si="8"/>
        <v>0</v>
      </c>
      <c r="N27" s="53">
        <f t="shared" si="9"/>
        <v>0</v>
      </c>
      <c r="O27" s="53">
        <f t="shared" si="10"/>
        <v>0</v>
      </c>
    </row>
    <row r="28" spans="1:15" x14ac:dyDescent="0.2">
      <c r="A28" s="53" t="s">
        <v>496</v>
      </c>
      <c r="B28" s="53"/>
      <c r="C28" s="97"/>
      <c r="D28" s="97"/>
      <c r="E28" s="97"/>
      <c r="F28" s="97"/>
      <c r="G28" s="97"/>
      <c r="I28" s="53" t="s">
        <v>496</v>
      </c>
      <c r="J28" s="53" t="e">
        <f t="shared" si="6"/>
        <v>#DIV/0!</v>
      </c>
      <c r="K28" s="53">
        <f t="shared" si="6"/>
        <v>0</v>
      </c>
      <c r="L28" s="53">
        <f t="shared" si="7"/>
        <v>0</v>
      </c>
      <c r="M28" s="53">
        <f t="shared" si="8"/>
        <v>0</v>
      </c>
      <c r="N28" s="53">
        <f t="shared" si="9"/>
        <v>0</v>
      </c>
      <c r="O28" s="53">
        <f t="shared" si="10"/>
        <v>0</v>
      </c>
    </row>
    <row r="29" spans="1:15" x14ac:dyDescent="0.2">
      <c r="A29" s="98" t="s">
        <v>330</v>
      </c>
      <c r="B29" s="98"/>
      <c r="C29" s="214"/>
      <c r="D29" s="214"/>
      <c r="E29" s="214"/>
      <c r="F29" s="214"/>
      <c r="G29" s="214"/>
      <c r="I29" s="98" t="s">
        <v>330</v>
      </c>
      <c r="J29" s="100" t="e">
        <f>B29/B$4</f>
        <v>#DIV/0!</v>
      </c>
      <c r="K29" s="100">
        <f>C29/C$4</f>
        <v>0</v>
      </c>
      <c r="L29" s="100">
        <f>D29/D$4</f>
        <v>0</v>
      </c>
      <c r="M29" s="100">
        <f>E29/E$4</f>
        <v>0</v>
      </c>
      <c r="N29" s="100">
        <f t="shared" si="0"/>
        <v>0</v>
      </c>
      <c r="O29" s="100">
        <f t="shared" si="0"/>
        <v>0</v>
      </c>
    </row>
    <row r="30" spans="1:15" x14ac:dyDescent="0.2">
      <c r="A30" s="53"/>
      <c r="B30" s="53"/>
      <c r="C30" s="97"/>
      <c r="D30" s="97"/>
      <c r="E30" s="97"/>
      <c r="F30" s="97"/>
      <c r="G30" s="97"/>
      <c r="I30" s="53"/>
      <c r="J30" s="95"/>
      <c r="K30" s="95"/>
      <c r="L30" s="95"/>
      <c r="M30" s="95"/>
      <c r="N30" s="95"/>
      <c r="O30" s="95"/>
    </row>
    <row r="31" spans="1:15" x14ac:dyDescent="0.2">
      <c r="A31" s="98" t="s">
        <v>331</v>
      </c>
      <c r="B31" s="98"/>
      <c r="C31" s="97"/>
      <c r="D31" s="97"/>
      <c r="E31" s="97"/>
      <c r="F31" s="97"/>
      <c r="G31" s="97"/>
      <c r="I31" s="98" t="s">
        <v>331</v>
      </c>
      <c r="J31" s="95"/>
      <c r="K31" s="95"/>
      <c r="L31" s="95"/>
      <c r="M31" s="95"/>
      <c r="N31" s="95"/>
      <c r="O31" s="95"/>
    </row>
    <row r="32" spans="1:15" x14ac:dyDescent="0.2">
      <c r="A32" s="53" t="s">
        <v>546</v>
      </c>
      <c r="B32" s="53"/>
      <c r="C32" s="97"/>
      <c r="D32" s="97"/>
      <c r="E32" s="97"/>
      <c r="F32" s="97"/>
      <c r="G32" s="97"/>
      <c r="I32" s="53" t="s">
        <v>546</v>
      </c>
      <c r="J32" s="95" t="e">
        <f t="shared" ref="J32:O45" si="11">B32/B$4</f>
        <v>#DIV/0!</v>
      </c>
      <c r="K32" s="95">
        <f t="shared" si="11"/>
        <v>0</v>
      </c>
      <c r="L32" s="95">
        <f t="shared" si="11"/>
        <v>0</v>
      </c>
      <c r="M32" s="95">
        <f t="shared" si="11"/>
        <v>0</v>
      </c>
      <c r="N32" s="95">
        <f t="shared" si="11"/>
        <v>0</v>
      </c>
      <c r="O32" s="95">
        <f t="shared" si="11"/>
        <v>0</v>
      </c>
    </row>
    <row r="33" spans="1:15" x14ac:dyDescent="0.2">
      <c r="A33" s="101" t="s">
        <v>219</v>
      </c>
      <c r="B33" s="101"/>
      <c r="C33" s="97"/>
      <c r="D33" s="97"/>
      <c r="E33" s="97"/>
      <c r="F33" s="97"/>
      <c r="G33" s="97"/>
      <c r="I33" s="101" t="s">
        <v>219</v>
      </c>
      <c r="J33" s="95" t="e">
        <f t="shared" ref="J33:K41" si="12">B33/B$4</f>
        <v>#DIV/0!</v>
      </c>
      <c r="K33" s="95">
        <f t="shared" si="12"/>
        <v>0</v>
      </c>
      <c r="L33" s="95">
        <f t="shared" ref="L33:L41" si="13">D33/D$4</f>
        <v>0</v>
      </c>
      <c r="M33" s="95">
        <f t="shared" ref="M33:M41" si="14">E33/E$4</f>
        <v>0</v>
      </c>
      <c r="N33" s="95">
        <f t="shared" ref="N33:N41" si="15">F33/F$4</f>
        <v>0</v>
      </c>
      <c r="O33" s="95">
        <f t="shared" ref="O33:O41" si="16">G33/G$4</f>
        <v>0</v>
      </c>
    </row>
    <row r="34" spans="1:15" x14ac:dyDescent="0.2">
      <c r="A34" s="53" t="s">
        <v>528</v>
      </c>
      <c r="B34" s="53"/>
      <c r="C34" s="97"/>
      <c r="D34" s="97"/>
      <c r="E34" s="97"/>
      <c r="F34" s="97"/>
      <c r="G34" s="97"/>
      <c r="I34" s="53" t="s">
        <v>528</v>
      </c>
      <c r="J34" s="95" t="e">
        <f t="shared" si="12"/>
        <v>#DIV/0!</v>
      </c>
      <c r="K34" s="95">
        <f t="shared" si="12"/>
        <v>0</v>
      </c>
      <c r="L34" s="95">
        <f t="shared" si="13"/>
        <v>0</v>
      </c>
      <c r="M34" s="95">
        <f t="shared" si="14"/>
        <v>0</v>
      </c>
      <c r="N34" s="95">
        <f t="shared" si="15"/>
        <v>0</v>
      </c>
      <c r="O34" s="95">
        <f t="shared" si="16"/>
        <v>0</v>
      </c>
    </row>
    <row r="35" spans="1:15" x14ac:dyDescent="0.2">
      <c r="A35" s="53" t="s">
        <v>479</v>
      </c>
      <c r="B35" s="53"/>
      <c r="C35" s="97"/>
      <c r="D35" s="97"/>
      <c r="E35" s="97"/>
      <c r="F35" s="97"/>
      <c r="G35" s="97"/>
      <c r="I35" s="53" t="s">
        <v>479</v>
      </c>
      <c r="J35" s="95" t="e">
        <f t="shared" si="12"/>
        <v>#DIV/0!</v>
      </c>
      <c r="K35" s="95">
        <f t="shared" si="12"/>
        <v>0</v>
      </c>
      <c r="L35" s="95">
        <f t="shared" si="13"/>
        <v>0</v>
      </c>
      <c r="M35" s="95">
        <f t="shared" si="14"/>
        <v>0</v>
      </c>
      <c r="N35" s="95">
        <f t="shared" si="15"/>
        <v>0</v>
      </c>
      <c r="O35" s="95">
        <f t="shared" si="16"/>
        <v>0</v>
      </c>
    </row>
    <row r="36" spans="1:15" x14ac:dyDescent="0.2">
      <c r="A36" s="53" t="s">
        <v>482</v>
      </c>
      <c r="B36" s="53"/>
      <c r="C36" s="97"/>
      <c r="D36" s="97"/>
      <c r="E36" s="97"/>
      <c r="F36" s="97"/>
      <c r="G36" s="97"/>
      <c r="I36" s="53" t="s">
        <v>482</v>
      </c>
      <c r="J36" s="95" t="e">
        <f t="shared" si="12"/>
        <v>#DIV/0!</v>
      </c>
      <c r="K36" s="95">
        <f t="shared" si="12"/>
        <v>0</v>
      </c>
      <c r="L36" s="95">
        <f t="shared" si="13"/>
        <v>0</v>
      </c>
      <c r="M36" s="95">
        <f t="shared" si="14"/>
        <v>0</v>
      </c>
      <c r="N36" s="95">
        <f t="shared" si="15"/>
        <v>0</v>
      </c>
      <c r="O36" s="95">
        <f t="shared" si="16"/>
        <v>0</v>
      </c>
    </row>
    <row r="37" spans="1:15" x14ac:dyDescent="0.2">
      <c r="A37" s="53" t="s">
        <v>231</v>
      </c>
      <c r="B37" s="53"/>
      <c r="C37" s="97"/>
      <c r="D37" s="97"/>
      <c r="E37" s="97"/>
      <c r="F37" s="97"/>
      <c r="G37" s="97"/>
      <c r="I37" s="53" t="s">
        <v>231</v>
      </c>
      <c r="J37" s="95" t="e">
        <f t="shared" si="12"/>
        <v>#DIV/0!</v>
      </c>
      <c r="K37" s="95">
        <f t="shared" si="12"/>
        <v>0</v>
      </c>
      <c r="L37" s="95">
        <f t="shared" si="13"/>
        <v>0</v>
      </c>
      <c r="M37" s="95">
        <f t="shared" si="14"/>
        <v>0</v>
      </c>
      <c r="N37" s="95">
        <f t="shared" si="15"/>
        <v>0</v>
      </c>
      <c r="O37" s="95">
        <f t="shared" si="16"/>
        <v>0</v>
      </c>
    </row>
    <row r="38" spans="1:15" x14ac:dyDescent="0.2">
      <c r="A38" s="53" t="s">
        <v>609</v>
      </c>
      <c r="B38" s="53"/>
      <c r="C38" s="97"/>
      <c r="D38" s="97"/>
      <c r="E38" s="97"/>
      <c r="F38" s="97"/>
      <c r="G38" s="97"/>
      <c r="I38" s="53" t="s">
        <v>609</v>
      </c>
      <c r="J38" s="95" t="e">
        <f t="shared" si="12"/>
        <v>#DIV/0!</v>
      </c>
      <c r="K38" s="95">
        <f t="shared" si="12"/>
        <v>0</v>
      </c>
      <c r="L38" s="95">
        <f t="shared" si="13"/>
        <v>0</v>
      </c>
      <c r="M38" s="95">
        <f t="shared" si="14"/>
        <v>0</v>
      </c>
      <c r="N38" s="95">
        <f t="shared" si="15"/>
        <v>0</v>
      </c>
      <c r="O38" s="95">
        <f t="shared" si="16"/>
        <v>0</v>
      </c>
    </row>
    <row r="39" spans="1:15" x14ac:dyDescent="0.2">
      <c r="A39" s="53" t="s">
        <v>547</v>
      </c>
      <c r="B39" s="53"/>
      <c r="C39" s="97"/>
      <c r="D39" s="97"/>
      <c r="E39" s="97"/>
      <c r="F39" s="97"/>
      <c r="G39" s="97"/>
      <c r="I39" s="53" t="s">
        <v>547</v>
      </c>
      <c r="J39" s="95" t="e">
        <f t="shared" si="12"/>
        <v>#DIV/0!</v>
      </c>
      <c r="K39" s="95">
        <f t="shared" si="12"/>
        <v>0</v>
      </c>
      <c r="L39" s="95">
        <f t="shared" si="13"/>
        <v>0</v>
      </c>
      <c r="M39" s="95">
        <f t="shared" si="14"/>
        <v>0</v>
      </c>
      <c r="N39" s="95">
        <f t="shared" si="15"/>
        <v>0</v>
      </c>
      <c r="O39" s="95">
        <f t="shared" si="16"/>
        <v>0</v>
      </c>
    </row>
    <row r="40" spans="1:15" x14ac:dyDescent="0.2">
      <c r="A40" s="53" t="s">
        <v>233</v>
      </c>
      <c r="B40" s="53"/>
      <c r="C40" s="97"/>
      <c r="D40" s="97"/>
      <c r="E40" s="97"/>
      <c r="F40" s="97"/>
      <c r="G40" s="97"/>
      <c r="I40" s="53" t="s">
        <v>233</v>
      </c>
      <c r="J40" s="95" t="e">
        <f t="shared" si="12"/>
        <v>#DIV/0!</v>
      </c>
      <c r="K40" s="95">
        <f t="shared" si="12"/>
        <v>0</v>
      </c>
      <c r="L40" s="95">
        <f t="shared" si="13"/>
        <v>0</v>
      </c>
      <c r="M40" s="95">
        <f t="shared" si="14"/>
        <v>0</v>
      </c>
      <c r="N40" s="95">
        <f t="shared" si="15"/>
        <v>0</v>
      </c>
      <c r="O40" s="95">
        <f t="shared" si="16"/>
        <v>0</v>
      </c>
    </row>
    <row r="41" spans="1:15" x14ac:dyDescent="0.2">
      <c r="A41" s="53" t="s">
        <v>230</v>
      </c>
      <c r="B41" s="53"/>
      <c r="C41" s="97"/>
      <c r="D41" s="97"/>
      <c r="E41" s="97"/>
      <c r="F41" s="97"/>
      <c r="G41" s="97"/>
      <c r="I41" s="53" t="s">
        <v>230</v>
      </c>
      <c r="J41" s="95" t="e">
        <f t="shared" si="12"/>
        <v>#DIV/0!</v>
      </c>
      <c r="K41" s="95">
        <f t="shared" si="12"/>
        <v>0</v>
      </c>
      <c r="L41" s="95">
        <f t="shared" si="13"/>
        <v>0</v>
      </c>
      <c r="M41" s="95">
        <f t="shared" si="14"/>
        <v>0</v>
      </c>
      <c r="N41" s="95">
        <f t="shared" si="15"/>
        <v>0</v>
      </c>
      <c r="O41" s="95">
        <f t="shared" si="16"/>
        <v>0</v>
      </c>
    </row>
    <row r="42" spans="1:15" x14ac:dyDescent="0.2">
      <c r="A42" s="98" t="s">
        <v>333</v>
      </c>
      <c r="B42" s="98"/>
      <c r="C42" s="214"/>
      <c r="D42" s="214"/>
      <c r="E42" s="214"/>
      <c r="F42" s="214"/>
      <c r="G42" s="214"/>
      <c r="I42" s="98" t="s">
        <v>333</v>
      </c>
      <c r="J42" s="100" t="e">
        <f t="shared" si="11"/>
        <v>#DIV/0!</v>
      </c>
      <c r="K42" s="100">
        <f t="shared" si="11"/>
        <v>0</v>
      </c>
      <c r="L42" s="100">
        <f t="shared" si="11"/>
        <v>0</v>
      </c>
      <c r="M42" s="100">
        <f t="shared" si="11"/>
        <v>0</v>
      </c>
      <c r="N42" s="100">
        <f t="shared" si="11"/>
        <v>0</v>
      </c>
      <c r="O42" s="100">
        <f t="shared" si="11"/>
        <v>0</v>
      </c>
    </row>
    <row r="43" spans="1:15" x14ac:dyDescent="0.2">
      <c r="A43" s="98" t="s">
        <v>334</v>
      </c>
      <c r="B43" s="98"/>
      <c r="C43" s="214"/>
      <c r="D43" s="214"/>
      <c r="E43" s="214"/>
      <c r="F43" s="214"/>
      <c r="G43" s="214"/>
      <c r="I43" s="98" t="s">
        <v>334</v>
      </c>
      <c r="J43" s="100" t="e">
        <f t="shared" si="11"/>
        <v>#DIV/0!</v>
      </c>
      <c r="K43" s="100">
        <f t="shared" si="11"/>
        <v>0</v>
      </c>
      <c r="L43" s="100">
        <f t="shared" si="11"/>
        <v>0</v>
      </c>
      <c r="M43" s="100">
        <f t="shared" si="11"/>
        <v>0</v>
      </c>
      <c r="N43" s="100">
        <f t="shared" si="11"/>
        <v>0</v>
      </c>
      <c r="O43" s="100">
        <f t="shared" si="11"/>
        <v>0</v>
      </c>
    </row>
    <row r="44" spans="1:15" x14ac:dyDescent="0.2">
      <c r="A44" s="53" t="s">
        <v>335</v>
      </c>
      <c r="B44" s="53"/>
      <c r="C44" s="123"/>
      <c r="D44" s="123"/>
      <c r="E44" s="123"/>
      <c r="F44" s="123"/>
      <c r="G44" s="123"/>
      <c r="I44" s="53" t="s">
        <v>335</v>
      </c>
      <c r="J44" s="95" t="e">
        <f t="shared" si="11"/>
        <v>#DIV/0!</v>
      </c>
      <c r="K44" s="95">
        <f t="shared" si="11"/>
        <v>0</v>
      </c>
      <c r="L44" s="95">
        <f t="shared" si="11"/>
        <v>0</v>
      </c>
      <c r="M44" s="95">
        <f t="shared" si="11"/>
        <v>0</v>
      </c>
      <c r="N44" s="95">
        <f t="shared" si="11"/>
        <v>0</v>
      </c>
      <c r="O44" s="95">
        <f t="shared" si="11"/>
        <v>0</v>
      </c>
    </row>
    <row r="45" spans="1:15" x14ac:dyDescent="0.2">
      <c r="A45" s="102" t="s">
        <v>336</v>
      </c>
      <c r="B45" s="298">
        <v>1532</v>
      </c>
      <c r="C45" s="298">
        <v>1057</v>
      </c>
      <c r="D45" s="108">
        <v>862</v>
      </c>
      <c r="E45" s="108">
        <v>742</v>
      </c>
      <c r="F45" s="108">
        <v>621</v>
      </c>
      <c r="G45" s="108"/>
      <c r="I45" s="102" t="s">
        <v>336</v>
      </c>
      <c r="J45" s="102" t="e">
        <f t="shared" si="11"/>
        <v>#DIV/0!</v>
      </c>
      <c r="K45" s="102">
        <f t="shared" si="11"/>
        <v>0.10321388710138883</v>
      </c>
      <c r="L45" s="102">
        <f t="shared" si="11"/>
        <v>9.7909484839363708E-2</v>
      </c>
      <c r="M45" s="102">
        <f t="shared" si="11"/>
        <v>9.8289211368167283E-9</v>
      </c>
      <c r="N45" s="102">
        <f t="shared" si="11"/>
        <v>9.4852314488118266E-9</v>
      </c>
      <c r="O45" s="102">
        <f t="shared" si="11"/>
        <v>0</v>
      </c>
    </row>
    <row r="46" spans="1:15" x14ac:dyDescent="0.2">
      <c r="A46" s="53">
        <f>AVERAGE(C46:G46)</f>
        <v>0.95486993897392036</v>
      </c>
      <c r="B46" s="297">
        <f>B45/B6</f>
        <v>1.3994573905417864</v>
      </c>
      <c r="C46" s="297">
        <f>C45/C6</f>
        <v>1.1784511784511753</v>
      </c>
      <c r="D46" s="297">
        <f t="shared" ref="D46:G46" si="17">D45/D6</f>
        <v>1.3698847834723857</v>
      </c>
      <c r="E46" s="123">
        <f t="shared" si="17"/>
        <v>1.2658875714407587</v>
      </c>
      <c r="F46" s="123">
        <f t="shared" si="17"/>
        <v>0.96012616150528196</v>
      </c>
      <c r="G46" s="123">
        <f t="shared" si="17"/>
        <v>0</v>
      </c>
      <c r="I46" s="53"/>
      <c r="J46" s="95"/>
      <c r="K46" s="95"/>
      <c r="L46" s="95"/>
      <c r="M46" s="95"/>
      <c r="N46" s="95"/>
      <c r="O46" s="95"/>
    </row>
    <row r="47" spans="1:15" x14ac:dyDescent="0.2">
      <c r="A47" s="91" t="s">
        <v>337</v>
      </c>
      <c r="B47" s="91"/>
      <c r="C47" s="97"/>
      <c r="D47" s="97"/>
      <c r="E47" s="97"/>
      <c r="F47" s="97"/>
      <c r="G47" s="97"/>
      <c r="I47" s="91" t="s">
        <v>337</v>
      </c>
      <c r="J47" s="95"/>
      <c r="K47" s="95"/>
      <c r="L47" s="95"/>
      <c r="M47" s="95"/>
      <c r="N47" s="95"/>
      <c r="O47" s="95"/>
    </row>
    <row r="48" spans="1:15" s="323" customFormat="1" x14ac:dyDescent="0.2">
      <c r="A48" s="321" t="s">
        <v>338</v>
      </c>
      <c r="B48" s="322">
        <v>47</v>
      </c>
      <c r="C48" s="322">
        <v>15</v>
      </c>
      <c r="D48" s="322">
        <v>15</v>
      </c>
      <c r="E48" s="322">
        <v>10</v>
      </c>
      <c r="F48" s="322">
        <v>64</v>
      </c>
      <c r="G48" s="322"/>
      <c r="I48" s="321" t="s">
        <v>338</v>
      </c>
      <c r="J48" s="321" t="e">
        <f>B48/B$4</f>
        <v>#DIV/0!</v>
      </c>
      <c r="K48" s="321">
        <f>C48/C$4</f>
        <v>1.4647193060745814E-3</v>
      </c>
      <c r="L48" s="321">
        <f t="shared" ref="L48:O70" si="18">D48/D$4</f>
        <v>1.7037613371118975E-3</v>
      </c>
      <c r="M48" s="321">
        <f t="shared" si="18"/>
        <v>1.3246524443149228E-10</v>
      </c>
      <c r="N48" s="321">
        <f t="shared" si="18"/>
        <v>9.7754398184212074E-10</v>
      </c>
      <c r="O48" s="321">
        <f t="shared" si="18"/>
        <v>0</v>
      </c>
    </row>
    <row r="49" spans="1:15" x14ac:dyDescent="0.2">
      <c r="A49" s="53" t="s">
        <v>584</v>
      </c>
      <c r="B49" s="53"/>
      <c r="C49" s="97"/>
      <c r="D49" s="97"/>
      <c r="E49" s="97"/>
      <c r="F49" s="97"/>
      <c r="G49" s="97"/>
      <c r="I49" s="53" t="s">
        <v>584</v>
      </c>
      <c r="J49" s="95" t="e">
        <f t="shared" ref="J49:K58" si="19">B49/B$4</f>
        <v>#DIV/0!</v>
      </c>
      <c r="K49" s="95">
        <f t="shared" si="19"/>
        <v>0</v>
      </c>
      <c r="L49" s="95">
        <f t="shared" ref="L49:L58" si="20">D49/D$4</f>
        <v>0</v>
      </c>
      <c r="M49" s="95">
        <f t="shared" ref="M49:M58" si="21">E49/E$4</f>
        <v>0</v>
      </c>
      <c r="N49" s="95">
        <f t="shared" ref="N49:N58" si="22">F49/F$4</f>
        <v>0</v>
      </c>
      <c r="O49" s="95">
        <f t="shared" ref="O49:O58" si="23">G49/G$4</f>
        <v>0</v>
      </c>
    </row>
    <row r="50" spans="1:15" x14ac:dyDescent="0.2">
      <c r="A50" s="53" t="s">
        <v>744</v>
      </c>
      <c r="B50" s="53"/>
      <c r="C50" s="123"/>
      <c r="D50" s="123"/>
      <c r="E50" s="123"/>
      <c r="F50" s="123"/>
      <c r="G50" s="123"/>
      <c r="I50" s="53" t="s">
        <v>744</v>
      </c>
      <c r="J50" s="95" t="e">
        <f t="shared" si="19"/>
        <v>#DIV/0!</v>
      </c>
      <c r="K50" s="95">
        <f t="shared" si="19"/>
        <v>0</v>
      </c>
      <c r="L50" s="95">
        <f t="shared" si="20"/>
        <v>0</v>
      </c>
      <c r="M50" s="95">
        <f t="shared" si="21"/>
        <v>0</v>
      </c>
      <c r="N50" s="95">
        <f t="shared" si="22"/>
        <v>0</v>
      </c>
      <c r="O50" s="95">
        <f t="shared" si="23"/>
        <v>0</v>
      </c>
    </row>
    <row r="51" spans="1:15" x14ac:dyDescent="0.2">
      <c r="A51" s="53" t="s">
        <v>578</v>
      </c>
      <c r="B51" s="53"/>
      <c r="C51" s="123"/>
      <c r="D51" s="123"/>
      <c r="E51" s="123"/>
      <c r="F51" s="123"/>
      <c r="G51" s="123"/>
      <c r="I51" s="53" t="s">
        <v>578</v>
      </c>
      <c r="J51" s="95" t="e">
        <f t="shared" si="19"/>
        <v>#DIV/0!</v>
      </c>
      <c r="K51" s="95">
        <f t="shared" si="19"/>
        <v>0</v>
      </c>
      <c r="L51" s="95">
        <f t="shared" si="20"/>
        <v>0</v>
      </c>
      <c r="M51" s="95">
        <f t="shared" si="21"/>
        <v>0</v>
      </c>
      <c r="N51" s="95">
        <f t="shared" si="22"/>
        <v>0</v>
      </c>
      <c r="O51" s="95">
        <f t="shared" si="23"/>
        <v>0</v>
      </c>
    </row>
    <row r="52" spans="1:15" x14ac:dyDescent="0.2">
      <c r="A52" s="53" t="s">
        <v>588</v>
      </c>
      <c r="B52" s="53"/>
      <c r="C52" s="97"/>
      <c r="D52" s="97"/>
      <c r="E52" s="97"/>
      <c r="F52" s="97"/>
      <c r="G52" s="97"/>
      <c r="I52" s="53" t="s">
        <v>588</v>
      </c>
      <c r="J52" s="95" t="e">
        <f t="shared" si="19"/>
        <v>#DIV/0!</v>
      </c>
      <c r="K52" s="95">
        <f t="shared" si="19"/>
        <v>0</v>
      </c>
      <c r="L52" s="95">
        <f t="shared" si="20"/>
        <v>0</v>
      </c>
      <c r="M52" s="95">
        <f t="shared" si="21"/>
        <v>0</v>
      </c>
      <c r="N52" s="95">
        <f t="shared" si="22"/>
        <v>0</v>
      </c>
      <c r="O52" s="95">
        <f t="shared" si="23"/>
        <v>0</v>
      </c>
    </row>
    <row r="53" spans="1:15" x14ac:dyDescent="0.2">
      <c r="A53" s="53" t="s">
        <v>589</v>
      </c>
      <c r="B53" s="53"/>
      <c r="C53" s="97"/>
      <c r="D53" s="97"/>
      <c r="E53" s="97"/>
      <c r="F53" s="97"/>
      <c r="G53" s="97"/>
      <c r="I53" s="53" t="s">
        <v>589</v>
      </c>
      <c r="J53" s="95" t="e">
        <f t="shared" si="19"/>
        <v>#DIV/0!</v>
      </c>
      <c r="K53" s="95">
        <f t="shared" si="19"/>
        <v>0</v>
      </c>
      <c r="L53" s="95">
        <f t="shared" si="20"/>
        <v>0</v>
      </c>
      <c r="M53" s="95">
        <f t="shared" si="21"/>
        <v>0</v>
      </c>
      <c r="N53" s="95">
        <f t="shared" si="22"/>
        <v>0</v>
      </c>
      <c r="O53" s="95">
        <f t="shared" si="23"/>
        <v>0</v>
      </c>
    </row>
    <row r="54" spans="1:15" x14ac:dyDescent="0.2">
      <c r="A54" s="53" t="s">
        <v>590</v>
      </c>
      <c r="B54" s="53"/>
      <c r="C54" s="97"/>
      <c r="D54" s="97"/>
      <c r="E54" s="97"/>
      <c r="F54" s="97"/>
      <c r="G54" s="97"/>
      <c r="I54" s="53" t="s">
        <v>590</v>
      </c>
      <c r="J54" s="95" t="e">
        <f t="shared" si="19"/>
        <v>#DIV/0!</v>
      </c>
      <c r="K54" s="95">
        <f t="shared" si="19"/>
        <v>0</v>
      </c>
      <c r="L54" s="95">
        <f t="shared" si="20"/>
        <v>0</v>
      </c>
      <c r="M54" s="95">
        <f t="shared" si="21"/>
        <v>0</v>
      </c>
      <c r="N54" s="95">
        <f t="shared" si="22"/>
        <v>0</v>
      </c>
      <c r="O54" s="95">
        <f t="shared" si="23"/>
        <v>0</v>
      </c>
    </row>
    <row r="55" spans="1:15" x14ac:dyDescent="0.2">
      <c r="A55" s="53" t="s">
        <v>598</v>
      </c>
      <c r="B55" s="53"/>
      <c r="C55" s="97"/>
      <c r="D55" s="97"/>
      <c r="E55" s="97"/>
      <c r="F55" s="97"/>
      <c r="G55" s="97"/>
      <c r="I55" s="53" t="s">
        <v>598</v>
      </c>
      <c r="J55" s="95" t="e">
        <f t="shared" si="19"/>
        <v>#DIV/0!</v>
      </c>
      <c r="K55" s="95">
        <f t="shared" si="19"/>
        <v>0</v>
      </c>
      <c r="L55" s="95">
        <f t="shared" si="20"/>
        <v>0</v>
      </c>
      <c r="M55" s="95">
        <f t="shared" si="21"/>
        <v>0</v>
      </c>
      <c r="N55" s="95">
        <f t="shared" si="22"/>
        <v>0</v>
      </c>
      <c r="O55" s="95">
        <f t="shared" si="23"/>
        <v>0</v>
      </c>
    </row>
    <row r="56" spans="1:15" x14ac:dyDescent="0.2">
      <c r="A56" s="53" t="s">
        <v>602</v>
      </c>
      <c r="B56" s="53"/>
      <c r="C56" s="97"/>
      <c r="D56" s="97"/>
      <c r="E56" s="97"/>
      <c r="F56" s="97"/>
      <c r="G56" s="97"/>
      <c r="I56" s="53" t="s">
        <v>602</v>
      </c>
      <c r="J56" s="95" t="e">
        <f t="shared" si="19"/>
        <v>#DIV/0!</v>
      </c>
      <c r="K56" s="95">
        <f t="shared" si="19"/>
        <v>0</v>
      </c>
      <c r="L56" s="95">
        <f t="shared" si="20"/>
        <v>0</v>
      </c>
      <c r="M56" s="95">
        <f t="shared" si="21"/>
        <v>0</v>
      </c>
      <c r="N56" s="95">
        <f t="shared" si="22"/>
        <v>0</v>
      </c>
      <c r="O56" s="95">
        <f t="shared" si="23"/>
        <v>0</v>
      </c>
    </row>
    <row r="57" spans="1:15" x14ac:dyDescent="0.2">
      <c r="A57" s="53" t="s">
        <v>591</v>
      </c>
      <c r="B57" s="53"/>
      <c r="C57" s="97"/>
      <c r="D57" s="97"/>
      <c r="E57" s="97"/>
      <c r="F57" s="97"/>
      <c r="G57" s="97"/>
      <c r="I57" s="53" t="s">
        <v>591</v>
      </c>
      <c r="J57" s="95" t="e">
        <f t="shared" si="19"/>
        <v>#DIV/0!</v>
      </c>
      <c r="K57" s="95">
        <f t="shared" si="19"/>
        <v>0</v>
      </c>
      <c r="L57" s="95">
        <f t="shared" si="20"/>
        <v>0</v>
      </c>
      <c r="M57" s="95">
        <f t="shared" si="21"/>
        <v>0</v>
      </c>
      <c r="N57" s="95">
        <f t="shared" si="22"/>
        <v>0</v>
      </c>
      <c r="O57" s="95">
        <f t="shared" si="23"/>
        <v>0</v>
      </c>
    </row>
    <row r="58" spans="1:15" x14ac:dyDescent="0.2">
      <c r="A58" s="53" t="s">
        <v>603</v>
      </c>
      <c r="B58" s="53"/>
      <c r="C58" s="97"/>
      <c r="D58" s="123"/>
      <c r="E58" s="123"/>
      <c r="F58" s="123"/>
      <c r="G58" s="123"/>
      <c r="I58" s="53" t="s">
        <v>603</v>
      </c>
      <c r="J58" s="95" t="e">
        <f t="shared" si="19"/>
        <v>#DIV/0!</v>
      </c>
      <c r="K58" s="95">
        <f t="shared" si="19"/>
        <v>0</v>
      </c>
      <c r="L58" s="95">
        <f t="shared" si="20"/>
        <v>0</v>
      </c>
      <c r="M58" s="95">
        <f t="shared" si="21"/>
        <v>0</v>
      </c>
      <c r="N58" s="95">
        <f t="shared" si="22"/>
        <v>0</v>
      </c>
      <c r="O58" s="95">
        <f t="shared" si="23"/>
        <v>0</v>
      </c>
    </row>
    <row r="59" spans="1:15" x14ac:dyDescent="0.2">
      <c r="A59" s="53" t="s">
        <v>604</v>
      </c>
      <c r="B59" s="53"/>
      <c r="C59" s="123"/>
      <c r="D59" s="123"/>
      <c r="E59" s="97"/>
      <c r="F59" s="97"/>
      <c r="G59" s="97"/>
      <c r="I59" s="53" t="s">
        <v>604</v>
      </c>
      <c r="J59" s="95" t="e">
        <f t="shared" ref="J59:K69" si="24">B59/B$4</f>
        <v>#DIV/0!</v>
      </c>
      <c r="K59" s="95">
        <f t="shared" si="24"/>
        <v>0</v>
      </c>
      <c r="L59" s="95">
        <f t="shared" ref="L59:L69" si="25">D59/D$4</f>
        <v>0</v>
      </c>
      <c r="M59" s="95">
        <f t="shared" ref="M59:M69" si="26">E59/E$4</f>
        <v>0</v>
      </c>
      <c r="N59" s="95">
        <f t="shared" ref="N59:N69" si="27">F59/F$4</f>
        <v>0</v>
      </c>
      <c r="O59" s="95">
        <f t="shared" ref="O59:O69" si="28">G59/G$4</f>
        <v>0</v>
      </c>
    </row>
    <row r="60" spans="1:15" x14ac:dyDescent="0.2">
      <c r="A60" s="53" t="s">
        <v>483</v>
      </c>
      <c r="B60" s="53"/>
      <c r="C60" s="97"/>
      <c r="D60" s="97"/>
      <c r="E60" s="97"/>
      <c r="F60" s="97"/>
      <c r="G60" s="97"/>
      <c r="I60" s="53" t="s">
        <v>483</v>
      </c>
      <c r="J60" s="95" t="e">
        <f t="shared" si="24"/>
        <v>#DIV/0!</v>
      </c>
      <c r="K60" s="95">
        <f t="shared" si="24"/>
        <v>0</v>
      </c>
      <c r="L60" s="95">
        <f t="shared" si="25"/>
        <v>0</v>
      </c>
      <c r="M60" s="95">
        <f t="shared" si="26"/>
        <v>0</v>
      </c>
      <c r="N60" s="95">
        <f t="shared" si="27"/>
        <v>0</v>
      </c>
      <c r="O60" s="95">
        <f t="shared" si="28"/>
        <v>0</v>
      </c>
    </row>
    <row r="61" spans="1:15" x14ac:dyDescent="0.2">
      <c r="A61" s="53" t="s">
        <v>540</v>
      </c>
      <c r="B61" s="53"/>
      <c r="C61" s="97"/>
      <c r="D61" s="97"/>
      <c r="E61" s="97"/>
      <c r="F61" s="97"/>
      <c r="G61" s="97"/>
      <c r="I61" s="53" t="s">
        <v>540</v>
      </c>
      <c r="J61" s="95" t="e">
        <f t="shared" si="24"/>
        <v>#DIV/0!</v>
      </c>
      <c r="K61" s="95">
        <f t="shared" si="24"/>
        <v>0</v>
      </c>
      <c r="L61" s="95">
        <f t="shared" si="25"/>
        <v>0</v>
      </c>
      <c r="M61" s="95">
        <f t="shared" si="26"/>
        <v>0</v>
      </c>
      <c r="N61" s="95">
        <f t="shared" si="27"/>
        <v>0</v>
      </c>
      <c r="O61" s="95">
        <f t="shared" si="28"/>
        <v>0</v>
      </c>
    </row>
    <row r="62" spans="1:15" x14ac:dyDescent="0.2">
      <c r="A62" s="53" t="s">
        <v>548</v>
      </c>
      <c r="B62" s="53"/>
      <c r="C62" s="97"/>
      <c r="D62" s="123"/>
      <c r="E62" s="97"/>
      <c r="F62" s="97"/>
      <c r="G62" s="97"/>
      <c r="I62" s="53" t="s">
        <v>548</v>
      </c>
      <c r="J62" s="95" t="e">
        <f t="shared" si="24"/>
        <v>#DIV/0!</v>
      </c>
      <c r="K62" s="95">
        <f t="shared" si="24"/>
        <v>0</v>
      </c>
      <c r="L62" s="95">
        <f t="shared" si="25"/>
        <v>0</v>
      </c>
      <c r="M62" s="95">
        <f t="shared" si="26"/>
        <v>0</v>
      </c>
      <c r="N62" s="95">
        <f t="shared" si="27"/>
        <v>0</v>
      </c>
      <c r="O62" s="95">
        <f t="shared" si="28"/>
        <v>0</v>
      </c>
    </row>
    <row r="63" spans="1:15" x14ac:dyDescent="0.2">
      <c r="A63" s="53" t="s">
        <v>539</v>
      </c>
      <c r="B63" s="53"/>
      <c r="C63" s="97"/>
      <c r="D63" s="97"/>
      <c r="E63" s="97"/>
      <c r="F63" s="97"/>
      <c r="G63" s="97"/>
      <c r="I63" s="53" t="s">
        <v>539</v>
      </c>
      <c r="J63" s="95" t="e">
        <f t="shared" si="24"/>
        <v>#DIV/0!</v>
      </c>
      <c r="K63" s="95">
        <f t="shared" si="24"/>
        <v>0</v>
      </c>
      <c r="L63" s="95">
        <f t="shared" si="25"/>
        <v>0</v>
      </c>
      <c r="M63" s="95">
        <f t="shared" si="26"/>
        <v>0</v>
      </c>
      <c r="N63" s="95">
        <f t="shared" si="27"/>
        <v>0</v>
      </c>
      <c r="O63" s="95">
        <f t="shared" si="28"/>
        <v>0</v>
      </c>
    </row>
    <row r="64" spans="1:15" x14ac:dyDescent="0.2">
      <c r="A64" s="53" t="s">
        <v>486</v>
      </c>
      <c r="B64" s="53"/>
      <c r="C64" s="97"/>
      <c r="D64" s="97"/>
      <c r="E64" s="97"/>
      <c r="F64" s="97"/>
      <c r="G64" s="97"/>
      <c r="I64" s="53" t="s">
        <v>486</v>
      </c>
      <c r="J64" s="95" t="e">
        <f t="shared" si="24"/>
        <v>#DIV/0!</v>
      </c>
      <c r="K64" s="95">
        <f t="shared" si="24"/>
        <v>0</v>
      </c>
      <c r="L64" s="95">
        <f t="shared" si="25"/>
        <v>0</v>
      </c>
      <c r="M64" s="95">
        <f t="shared" si="26"/>
        <v>0</v>
      </c>
      <c r="N64" s="95">
        <f t="shared" si="27"/>
        <v>0</v>
      </c>
      <c r="O64" s="95">
        <f t="shared" si="28"/>
        <v>0</v>
      </c>
    </row>
    <row r="65" spans="1:15" s="320" customFormat="1" x14ac:dyDescent="0.2">
      <c r="A65" s="317" t="s">
        <v>587</v>
      </c>
      <c r="B65" s="318">
        <v>-1053</v>
      </c>
      <c r="C65" s="319">
        <v>-835</v>
      </c>
      <c r="D65" s="319">
        <v>-636</v>
      </c>
      <c r="E65" s="319">
        <v>-529</v>
      </c>
      <c r="F65" s="319">
        <v>-375</v>
      </c>
      <c r="G65" s="319"/>
      <c r="I65" s="317" t="s">
        <v>587</v>
      </c>
      <c r="J65" s="317" t="e">
        <f t="shared" si="24"/>
        <v>#DIV/0!</v>
      </c>
      <c r="K65" s="317">
        <f t="shared" si="24"/>
        <v>-8.1536041371485027E-2</v>
      </c>
      <c r="L65" s="317">
        <f t="shared" si="25"/>
        <v>-7.2239480693544453E-2</v>
      </c>
      <c r="M65" s="317">
        <f t="shared" si="26"/>
        <v>-7.007411430425942E-9</v>
      </c>
      <c r="N65" s="317">
        <f t="shared" si="27"/>
        <v>-5.7277967686061753E-9</v>
      </c>
      <c r="O65" s="317">
        <f t="shared" si="28"/>
        <v>0</v>
      </c>
    </row>
    <row r="66" spans="1:15" x14ac:dyDescent="0.2">
      <c r="A66" s="53" t="s">
        <v>592</v>
      </c>
      <c r="B66" s="53"/>
      <c r="C66" s="97"/>
      <c r="D66" s="97"/>
      <c r="E66" s="97"/>
      <c r="F66" s="97"/>
      <c r="G66" s="97"/>
      <c r="I66" s="53" t="s">
        <v>592</v>
      </c>
      <c r="J66" s="95" t="e">
        <f t="shared" si="24"/>
        <v>#DIV/0!</v>
      </c>
      <c r="K66" s="95">
        <f t="shared" si="24"/>
        <v>0</v>
      </c>
      <c r="L66" s="95">
        <f t="shared" si="25"/>
        <v>0</v>
      </c>
      <c r="M66" s="95">
        <f t="shared" si="26"/>
        <v>0</v>
      </c>
      <c r="N66" s="95">
        <f t="shared" si="27"/>
        <v>0</v>
      </c>
      <c r="O66" s="95">
        <f t="shared" si="28"/>
        <v>0</v>
      </c>
    </row>
    <row r="67" spans="1:15" x14ac:dyDescent="0.2">
      <c r="A67" s="53" t="s">
        <v>593</v>
      </c>
      <c r="B67" s="53"/>
      <c r="C67" s="97"/>
      <c r="D67" s="97"/>
      <c r="E67" s="97"/>
      <c r="F67" s="97"/>
      <c r="G67" s="97"/>
      <c r="I67" s="53" t="s">
        <v>593</v>
      </c>
      <c r="J67" s="95" t="e">
        <f t="shared" si="24"/>
        <v>#DIV/0!</v>
      </c>
      <c r="K67" s="95">
        <f t="shared" si="24"/>
        <v>0</v>
      </c>
      <c r="L67" s="95">
        <f t="shared" si="25"/>
        <v>0</v>
      </c>
      <c r="M67" s="95">
        <f t="shared" si="26"/>
        <v>0</v>
      </c>
      <c r="N67" s="95">
        <f t="shared" si="27"/>
        <v>0</v>
      </c>
      <c r="O67" s="95">
        <f t="shared" si="28"/>
        <v>0</v>
      </c>
    </row>
    <row r="68" spans="1:15" x14ac:dyDescent="0.2">
      <c r="A68" s="53" t="s">
        <v>537</v>
      </c>
      <c r="B68" s="53"/>
      <c r="C68" s="97"/>
      <c r="D68" s="97"/>
      <c r="E68" s="97"/>
      <c r="F68" s="97"/>
      <c r="G68" s="97"/>
      <c r="I68" s="53" t="s">
        <v>537</v>
      </c>
      <c r="J68" s="95" t="e">
        <f t="shared" si="24"/>
        <v>#DIV/0!</v>
      </c>
      <c r="K68" s="95">
        <f t="shared" si="24"/>
        <v>0</v>
      </c>
      <c r="L68" s="95">
        <f t="shared" si="25"/>
        <v>0</v>
      </c>
      <c r="M68" s="95">
        <f t="shared" si="26"/>
        <v>0</v>
      </c>
      <c r="N68" s="95">
        <f t="shared" si="27"/>
        <v>0</v>
      </c>
      <c r="O68" s="95">
        <f t="shared" si="28"/>
        <v>0</v>
      </c>
    </row>
    <row r="69" spans="1:15" x14ac:dyDescent="0.2">
      <c r="A69" s="53" t="s">
        <v>556</v>
      </c>
      <c r="B69" s="53"/>
      <c r="C69" s="123"/>
      <c r="D69" s="123"/>
      <c r="E69" s="123"/>
      <c r="F69" s="123"/>
      <c r="G69" s="123"/>
      <c r="I69" s="53" t="s">
        <v>556</v>
      </c>
      <c r="J69" s="95" t="e">
        <f t="shared" si="24"/>
        <v>#DIV/0!</v>
      </c>
      <c r="K69" s="95">
        <f t="shared" si="24"/>
        <v>0</v>
      </c>
      <c r="L69" s="95">
        <f t="shared" si="25"/>
        <v>0</v>
      </c>
      <c r="M69" s="95">
        <f t="shared" si="26"/>
        <v>0</v>
      </c>
      <c r="N69" s="95">
        <f t="shared" si="27"/>
        <v>0</v>
      </c>
      <c r="O69" s="95">
        <f t="shared" si="28"/>
        <v>0</v>
      </c>
    </row>
    <row r="70" spans="1:15" x14ac:dyDescent="0.2">
      <c r="A70" s="102" t="s">
        <v>339</v>
      </c>
      <c r="B70" s="296">
        <v>-988</v>
      </c>
      <c r="C70" s="108">
        <v>-945</v>
      </c>
      <c r="D70" s="108">
        <v>-905</v>
      </c>
      <c r="E70" s="108">
        <v>-550</v>
      </c>
      <c r="F70" s="108">
        <v>-586</v>
      </c>
      <c r="G70" s="108"/>
      <c r="I70" s="102" t="s">
        <v>339</v>
      </c>
      <c r="J70" s="102" t="e">
        <f>B70/B$4</f>
        <v>#DIV/0!</v>
      </c>
      <c r="K70" s="102">
        <f>C70/C$4</f>
        <v>-9.2277316282698627E-2</v>
      </c>
      <c r="L70" s="102">
        <f>D70/D$4</f>
        <v>-0.10279360067241781</v>
      </c>
      <c r="M70" s="102">
        <f>E70/E$4</f>
        <v>-7.2855884437320755E-9</v>
      </c>
      <c r="N70" s="102">
        <f t="shared" si="18"/>
        <v>-8.9506370837419176E-9</v>
      </c>
      <c r="O70" s="102">
        <f t="shared" si="18"/>
        <v>0</v>
      </c>
    </row>
    <row r="71" spans="1:15" x14ac:dyDescent="0.2">
      <c r="A71" s="53"/>
      <c r="B71" s="53"/>
      <c r="C71" s="97"/>
      <c r="D71" s="97"/>
      <c r="E71" s="97"/>
      <c r="F71" s="97"/>
      <c r="G71" s="97"/>
      <c r="I71" s="53"/>
      <c r="J71" s="95"/>
      <c r="K71" s="95"/>
      <c r="L71" s="95"/>
      <c r="M71" s="95"/>
      <c r="N71" s="95"/>
      <c r="O71" s="95"/>
    </row>
    <row r="72" spans="1:15" x14ac:dyDescent="0.2">
      <c r="A72" s="91" t="s">
        <v>340</v>
      </c>
      <c r="B72" s="91"/>
      <c r="C72" s="97"/>
      <c r="D72" s="97"/>
      <c r="E72" s="97"/>
      <c r="F72" s="97"/>
      <c r="G72" s="97"/>
      <c r="I72" s="91" t="s">
        <v>340</v>
      </c>
      <c r="J72" s="95"/>
      <c r="K72" s="95"/>
      <c r="L72" s="95"/>
      <c r="M72" s="95"/>
      <c r="N72" s="95"/>
      <c r="O72" s="95"/>
    </row>
    <row r="73" spans="1:15" x14ac:dyDescent="0.2">
      <c r="A73" s="53" t="s">
        <v>341</v>
      </c>
      <c r="B73" s="53"/>
      <c r="C73" s="97"/>
      <c r="D73" s="123"/>
      <c r="E73" s="97"/>
      <c r="F73" s="97"/>
      <c r="G73" s="123"/>
      <c r="I73" s="53" t="s">
        <v>341</v>
      </c>
      <c r="J73" s="95" t="e">
        <f>B73/B$4</f>
        <v>#DIV/0!</v>
      </c>
      <c r="K73" s="95">
        <f>C73/C$4</f>
        <v>0</v>
      </c>
      <c r="L73" s="95">
        <f t="shared" ref="L73:O73" si="29">D73/D$4</f>
        <v>0</v>
      </c>
      <c r="M73" s="95">
        <f t="shared" si="29"/>
        <v>0</v>
      </c>
      <c r="N73" s="95">
        <f t="shared" si="29"/>
        <v>0</v>
      </c>
      <c r="O73" s="95">
        <f t="shared" si="29"/>
        <v>0</v>
      </c>
    </row>
    <row r="74" spans="1:15" x14ac:dyDescent="0.2">
      <c r="A74" s="53" t="s">
        <v>579</v>
      </c>
      <c r="B74" s="53"/>
      <c r="C74" s="97"/>
      <c r="D74" s="97"/>
      <c r="E74" s="97"/>
      <c r="F74" s="97"/>
      <c r="G74" s="97"/>
      <c r="I74" s="53" t="s">
        <v>579</v>
      </c>
      <c r="J74" s="95" t="e">
        <f t="shared" ref="J74:K85" si="30">B74/B$4</f>
        <v>#DIV/0!</v>
      </c>
      <c r="K74" s="95">
        <f t="shared" si="30"/>
        <v>0</v>
      </c>
      <c r="L74" s="95">
        <f t="shared" ref="L74:L85" si="31">D74/D$4</f>
        <v>0</v>
      </c>
      <c r="M74" s="95">
        <f t="shared" ref="M74:M85" si="32">E74/E$4</f>
        <v>0</v>
      </c>
      <c r="N74" s="95">
        <f t="shared" ref="N74:N85" si="33">F74/F$4</f>
        <v>0</v>
      </c>
      <c r="O74" s="95">
        <f t="shared" ref="O74:O85" si="34">G74/G$4</f>
        <v>0</v>
      </c>
    </row>
    <row r="75" spans="1:15" x14ac:dyDescent="0.2">
      <c r="A75" s="53" t="s">
        <v>646</v>
      </c>
      <c r="B75" s="53"/>
      <c r="C75" s="97"/>
      <c r="D75" s="123"/>
      <c r="E75" s="97"/>
      <c r="F75" s="97"/>
      <c r="G75" s="97"/>
      <c r="I75" s="53" t="s">
        <v>646</v>
      </c>
      <c r="J75" s="95" t="e">
        <f t="shared" si="30"/>
        <v>#DIV/0!</v>
      </c>
      <c r="K75" s="95">
        <f t="shared" si="30"/>
        <v>0</v>
      </c>
      <c r="L75" s="95">
        <f t="shared" si="31"/>
        <v>0</v>
      </c>
      <c r="M75" s="95">
        <f t="shared" si="32"/>
        <v>0</v>
      </c>
      <c r="N75" s="95">
        <f t="shared" si="33"/>
        <v>0</v>
      </c>
      <c r="O75" s="95">
        <f t="shared" si="34"/>
        <v>0</v>
      </c>
    </row>
    <row r="76" spans="1:15" x14ac:dyDescent="0.2">
      <c r="A76" s="53" t="s">
        <v>555</v>
      </c>
      <c r="B76" s="53"/>
      <c r="C76" s="97"/>
      <c r="D76" s="97"/>
      <c r="E76" s="97"/>
      <c r="F76" s="97"/>
      <c r="G76" s="97"/>
      <c r="I76" s="53" t="s">
        <v>555</v>
      </c>
      <c r="J76" s="95" t="e">
        <f t="shared" si="30"/>
        <v>#DIV/0!</v>
      </c>
      <c r="K76" s="95">
        <f t="shared" si="30"/>
        <v>0</v>
      </c>
      <c r="L76" s="95">
        <f t="shared" si="31"/>
        <v>0</v>
      </c>
      <c r="M76" s="95">
        <f t="shared" si="32"/>
        <v>0</v>
      </c>
      <c r="N76" s="95">
        <f t="shared" si="33"/>
        <v>0</v>
      </c>
      <c r="O76" s="95">
        <f t="shared" si="34"/>
        <v>0</v>
      </c>
    </row>
    <row r="77" spans="1:15" x14ac:dyDescent="0.2">
      <c r="A77" s="53" t="s">
        <v>484</v>
      </c>
      <c r="B77" s="53"/>
      <c r="C77" s="97"/>
      <c r="D77" s="97"/>
      <c r="E77" s="97"/>
      <c r="F77" s="97"/>
      <c r="G77" s="97"/>
      <c r="I77" s="53" t="s">
        <v>484</v>
      </c>
      <c r="J77" s="95" t="e">
        <f t="shared" si="30"/>
        <v>#DIV/0!</v>
      </c>
      <c r="K77" s="95">
        <f t="shared" si="30"/>
        <v>0</v>
      </c>
      <c r="L77" s="95">
        <f t="shared" si="31"/>
        <v>0</v>
      </c>
      <c r="M77" s="95">
        <f t="shared" si="32"/>
        <v>0</v>
      </c>
      <c r="N77" s="95">
        <f t="shared" si="33"/>
        <v>0</v>
      </c>
      <c r="O77" s="95">
        <f t="shared" si="34"/>
        <v>0</v>
      </c>
    </row>
    <row r="78" spans="1:15" x14ac:dyDescent="0.2">
      <c r="A78" s="53" t="s">
        <v>552</v>
      </c>
      <c r="B78" s="53"/>
      <c r="C78" s="97"/>
      <c r="D78" s="97"/>
      <c r="E78" s="97"/>
      <c r="F78" s="97"/>
      <c r="G78" s="97"/>
      <c r="I78" s="53" t="s">
        <v>552</v>
      </c>
      <c r="J78" s="95" t="e">
        <f t="shared" si="30"/>
        <v>#DIV/0!</v>
      </c>
      <c r="K78" s="95">
        <f t="shared" si="30"/>
        <v>0</v>
      </c>
      <c r="L78" s="95">
        <f t="shared" si="31"/>
        <v>0</v>
      </c>
      <c r="M78" s="95">
        <f t="shared" si="32"/>
        <v>0</v>
      </c>
      <c r="N78" s="95">
        <f t="shared" si="33"/>
        <v>0</v>
      </c>
      <c r="O78" s="95">
        <f t="shared" si="34"/>
        <v>0</v>
      </c>
    </row>
    <row r="79" spans="1:15" x14ac:dyDescent="0.2">
      <c r="A79" s="53" t="s">
        <v>549</v>
      </c>
      <c r="B79" s="53"/>
      <c r="C79" s="97"/>
      <c r="D79" s="123"/>
      <c r="E79" s="97"/>
      <c r="F79" s="97"/>
      <c r="G79" s="97"/>
      <c r="I79" s="53" t="s">
        <v>549</v>
      </c>
      <c r="J79" s="95" t="e">
        <f t="shared" si="30"/>
        <v>#DIV/0!</v>
      </c>
      <c r="K79" s="95">
        <f t="shared" si="30"/>
        <v>0</v>
      </c>
      <c r="L79" s="95">
        <f t="shared" si="31"/>
        <v>0</v>
      </c>
      <c r="M79" s="95">
        <f t="shared" si="32"/>
        <v>0</v>
      </c>
      <c r="N79" s="95">
        <f t="shared" si="33"/>
        <v>0</v>
      </c>
      <c r="O79" s="95">
        <f t="shared" si="34"/>
        <v>0</v>
      </c>
    </row>
    <row r="80" spans="1:15" x14ac:dyDescent="0.2">
      <c r="A80" s="53" t="s">
        <v>594</v>
      </c>
      <c r="B80" s="53"/>
      <c r="C80" s="97"/>
      <c r="D80" s="97"/>
      <c r="E80" s="97"/>
      <c r="F80" s="97"/>
      <c r="G80" s="97"/>
      <c r="I80" s="53" t="s">
        <v>594</v>
      </c>
      <c r="J80" s="95" t="e">
        <f t="shared" si="30"/>
        <v>#DIV/0!</v>
      </c>
      <c r="K80" s="95">
        <f t="shared" si="30"/>
        <v>0</v>
      </c>
      <c r="L80" s="95">
        <f t="shared" si="31"/>
        <v>0</v>
      </c>
      <c r="M80" s="95">
        <f t="shared" si="32"/>
        <v>0</v>
      </c>
      <c r="N80" s="95">
        <f t="shared" si="33"/>
        <v>0</v>
      </c>
      <c r="O80" s="95">
        <f t="shared" si="34"/>
        <v>0</v>
      </c>
    </row>
    <row r="81" spans="1:15" x14ac:dyDescent="0.2">
      <c r="A81" s="53" t="s">
        <v>559</v>
      </c>
      <c r="B81" s="53"/>
      <c r="C81" s="97"/>
      <c r="D81" s="97"/>
      <c r="E81" s="97"/>
      <c r="F81" s="97"/>
      <c r="G81" s="97"/>
      <c r="I81" s="53" t="s">
        <v>559</v>
      </c>
      <c r="J81" s="95" t="e">
        <f t="shared" si="30"/>
        <v>#DIV/0!</v>
      </c>
      <c r="K81" s="95">
        <f t="shared" si="30"/>
        <v>0</v>
      </c>
      <c r="L81" s="95">
        <f t="shared" si="31"/>
        <v>0</v>
      </c>
      <c r="M81" s="95">
        <f t="shared" si="32"/>
        <v>0</v>
      </c>
      <c r="N81" s="95">
        <f t="shared" si="33"/>
        <v>0</v>
      </c>
      <c r="O81" s="95">
        <f t="shared" si="34"/>
        <v>0</v>
      </c>
    </row>
    <row r="82" spans="1:15" x14ac:dyDescent="0.2">
      <c r="A82" s="53" t="s">
        <v>548</v>
      </c>
      <c r="B82" s="53"/>
      <c r="C82" s="97"/>
      <c r="D82" s="97"/>
      <c r="E82" s="97"/>
      <c r="F82" s="97"/>
      <c r="G82" s="97"/>
      <c r="I82" s="53" t="s">
        <v>548</v>
      </c>
      <c r="J82" s="95" t="e">
        <f t="shared" si="30"/>
        <v>#DIV/0!</v>
      </c>
      <c r="K82" s="95">
        <f t="shared" si="30"/>
        <v>0</v>
      </c>
      <c r="L82" s="95">
        <f t="shared" si="31"/>
        <v>0</v>
      </c>
      <c r="M82" s="95">
        <f t="shared" si="32"/>
        <v>0</v>
      </c>
      <c r="N82" s="95">
        <f t="shared" si="33"/>
        <v>0</v>
      </c>
      <c r="O82" s="95">
        <f t="shared" si="34"/>
        <v>0</v>
      </c>
    </row>
    <row r="83" spans="1:15" x14ac:dyDescent="0.2">
      <c r="A83" s="53" t="s">
        <v>557</v>
      </c>
      <c r="B83" s="53"/>
      <c r="C83" s="97"/>
      <c r="D83" s="97"/>
      <c r="E83" s="97"/>
      <c r="F83" s="97"/>
      <c r="G83" s="97"/>
      <c r="I83" s="53" t="s">
        <v>557</v>
      </c>
      <c r="J83" s="95" t="e">
        <f t="shared" si="30"/>
        <v>#DIV/0!</v>
      </c>
      <c r="K83" s="95">
        <f t="shared" si="30"/>
        <v>0</v>
      </c>
      <c r="L83" s="95">
        <f t="shared" si="31"/>
        <v>0</v>
      </c>
      <c r="M83" s="95">
        <f t="shared" si="32"/>
        <v>0</v>
      </c>
      <c r="N83" s="95">
        <f t="shared" si="33"/>
        <v>0</v>
      </c>
      <c r="O83" s="95">
        <f t="shared" si="34"/>
        <v>0</v>
      </c>
    </row>
    <row r="84" spans="1:15" x14ac:dyDescent="0.2">
      <c r="A84" s="207" t="s">
        <v>551</v>
      </c>
      <c r="B84" s="207"/>
      <c r="C84" s="97"/>
      <c r="D84" s="123"/>
      <c r="E84" s="97"/>
      <c r="F84" s="97"/>
      <c r="G84" s="123"/>
      <c r="I84" s="53" t="s">
        <v>551</v>
      </c>
      <c r="J84" s="95" t="e">
        <f t="shared" si="30"/>
        <v>#DIV/0!</v>
      </c>
      <c r="K84" s="95">
        <f t="shared" si="30"/>
        <v>0</v>
      </c>
      <c r="L84" s="95">
        <f t="shared" si="31"/>
        <v>0</v>
      </c>
      <c r="M84" s="95">
        <f t="shared" si="32"/>
        <v>0</v>
      </c>
      <c r="N84" s="95">
        <f t="shared" si="33"/>
        <v>0</v>
      </c>
      <c r="O84" s="95">
        <f t="shared" si="34"/>
        <v>0</v>
      </c>
    </row>
    <row r="85" spans="1:15" x14ac:dyDescent="0.2">
      <c r="A85" s="207" t="s">
        <v>498</v>
      </c>
      <c r="B85" s="207"/>
      <c r="C85" s="97"/>
      <c r="D85" s="123"/>
      <c r="E85" s="97"/>
      <c r="F85" s="97"/>
      <c r="G85" s="97"/>
      <c r="I85" s="53" t="s">
        <v>498</v>
      </c>
      <c r="J85" s="95" t="e">
        <f t="shared" si="30"/>
        <v>#DIV/0!</v>
      </c>
      <c r="K85" s="95">
        <f t="shared" si="30"/>
        <v>0</v>
      </c>
      <c r="L85" s="95">
        <f t="shared" si="31"/>
        <v>0</v>
      </c>
      <c r="M85" s="95">
        <f t="shared" si="32"/>
        <v>0</v>
      </c>
      <c r="N85" s="95">
        <f t="shared" si="33"/>
        <v>0</v>
      </c>
      <c r="O85" s="95">
        <f t="shared" si="34"/>
        <v>0</v>
      </c>
    </row>
    <row r="86" spans="1:15" x14ac:dyDescent="0.2">
      <c r="A86" s="173" t="s">
        <v>647</v>
      </c>
      <c r="B86" s="173"/>
      <c r="C86" s="97"/>
      <c r="D86" s="123"/>
      <c r="E86" s="97"/>
      <c r="F86" s="97"/>
      <c r="G86" s="97"/>
      <c r="I86" s="53" t="s">
        <v>550</v>
      </c>
      <c r="J86" s="95" t="e">
        <f t="shared" ref="J86:K86" si="35">B86/B$4</f>
        <v>#DIV/0!</v>
      </c>
      <c r="K86" s="95">
        <f t="shared" si="35"/>
        <v>0</v>
      </c>
      <c r="L86" s="95">
        <f t="shared" ref="L86" si="36">D86/D$4</f>
        <v>0</v>
      </c>
      <c r="M86" s="95">
        <f t="shared" ref="M86" si="37">E86/E$4</f>
        <v>0</v>
      </c>
      <c r="N86" s="95">
        <f t="shared" ref="N86" si="38">F86/F$4</f>
        <v>0</v>
      </c>
      <c r="O86" s="95">
        <f t="shared" ref="O86" si="39">G86/G$4</f>
        <v>0</v>
      </c>
    </row>
    <row r="87" spans="1:15" x14ac:dyDescent="0.2">
      <c r="A87" s="102" t="s">
        <v>342</v>
      </c>
      <c r="B87" s="296">
        <v>-29</v>
      </c>
      <c r="C87" s="108">
        <v>105</v>
      </c>
      <c r="D87" s="108">
        <v>-72</v>
      </c>
      <c r="E87" s="108">
        <v>-302</v>
      </c>
      <c r="F87" s="108">
        <v>-143</v>
      </c>
      <c r="G87" s="108"/>
      <c r="I87" s="102" t="s">
        <v>342</v>
      </c>
      <c r="J87" s="102" t="e">
        <f t="shared" ref="J87:O88" si="40">B87/B$4</f>
        <v>#DIV/0!</v>
      </c>
      <c r="K87" s="102">
        <f t="shared" si="40"/>
        <v>1.0253035142522069E-2</v>
      </c>
      <c r="L87" s="102">
        <f t="shared" si="40"/>
        <v>-8.1780544181371088E-3</v>
      </c>
      <c r="M87" s="102">
        <f t="shared" si="40"/>
        <v>-4.0004503818310671E-9</v>
      </c>
      <c r="N87" s="102">
        <f t="shared" si="40"/>
        <v>-2.1841998344284883E-9</v>
      </c>
      <c r="O87" s="102">
        <f t="shared" si="40"/>
        <v>0</v>
      </c>
    </row>
    <row r="88" spans="1:15" x14ac:dyDescent="0.2">
      <c r="A88" s="104" t="s">
        <v>343</v>
      </c>
      <c r="B88" s="233">
        <f>B45+B70+B87</f>
        <v>515</v>
      </c>
      <c r="C88" s="233">
        <f>C45+C70+C87</f>
        <v>217</v>
      </c>
      <c r="D88" s="233">
        <f>D45+D70+D87</f>
        <v>-115</v>
      </c>
      <c r="E88" s="233">
        <f t="shared" ref="E88:F88" si="41">E45+E70+E87</f>
        <v>-110</v>
      </c>
      <c r="F88" s="233">
        <f t="shared" si="41"/>
        <v>-108</v>
      </c>
      <c r="G88" s="233"/>
      <c r="I88" s="104" t="s">
        <v>343</v>
      </c>
      <c r="J88" s="106" t="e">
        <f t="shared" si="40"/>
        <v>#DIV/0!</v>
      </c>
      <c r="K88" s="106">
        <f t="shared" si="40"/>
        <v>2.1189605961212277E-2</v>
      </c>
      <c r="L88" s="106">
        <f t="shared" si="40"/>
        <v>-1.3062170251191215E-2</v>
      </c>
      <c r="M88" s="106">
        <f t="shared" si="40"/>
        <v>-1.4571176887464151E-9</v>
      </c>
      <c r="N88" s="106">
        <f t="shared" si="40"/>
        <v>-1.6496054693585787E-9</v>
      </c>
      <c r="O88" s="106">
        <f t="shared" si="40"/>
        <v>0</v>
      </c>
    </row>
  </sheetData>
  <mergeCells count="4">
    <mergeCell ref="A1:G1"/>
    <mergeCell ref="I1:O1"/>
    <mergeCell ref="A2:G2"/>
    <mergeCell ref="I2:O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85"/>
  <sheetViews>
    <sheetView workbookViewId="0">
      <pane xSplit="1" ySplit="4" topLeftCell="B59" activePane="bottomRight" state="frozen"/>
      <selection pane="topRight" activeCell="B1" sqref="B1"/>
      <selection pane="bottomLeft" activeCell="A5" sqref="A5"/>
      <selection pane="bottomRight" activeCell="B47" sqref="B47:F47"/>
    </sheetView>
  </sheetViews>
  <sheetFormatPr defaultRowHeight="11.25" x14ac:dyDescent="0.2"/>
  <cols>
    <col min="1" max="1" width="62.140625" style="85" bestFit="1" customWidth="1"/>
    <col min="2" max="2" width="7.5703125" style="85" bestFit="1" customWidth="1"/>
    <col min="3" max="3" width="7.85546875" style="85" bestFit="1" customWidth="1"/>
    <col min="4" max="4" width="7.7109375" style="85" bestFit="1" customWidth="1"/>
    <col min="5" max="6" width="7.85546875" style="85" bestFit="1" customWidth="1"/>
    <col min="7" max="7" width="6.42578125" style="85" bestFit="1" customWidth="1"/>
    <col min="8" max="8" width="7.7109375" style="119" bestFit="1" customWidth="1"/>
    <col min="9" max="9" width="51" style="85" bestFit="1" customWidth="1"/>
    <col min="10" max="12" width="8.5703125" style="85" bestFit="1" customWidth="1"/>
    <col min="13" max="13" width="7.42578125" style="85" bestFit="1" customWidth="1"/>
    <col min="14" max="14" width="8.5703125" style="85" bestFit="1" customWidth="1"/>
    <col min="15" max="256" width="9.140625" style="85"/>
    <col min="257" max="257" width="34.7109375" style="85" bestFit="1" customWidth="1"/>
    <col min="258" max="259" width="10.7109375" style="85" bestFit="1" customWidth="1"/>
    <col min="260" max="260" width="9.140625" style="85"/>
    <col min="261" max="261" width="34.7109375" style="85" bestFit="1" customWidth="1"/>
    <col min="262" max="263" width="9.42578125" style="85" bestFit="1" customWidth="1"/>
    <col min="264" max="512" width="9.140625" style="85"/>
    <col min="513" max="513" width="34.7109375" style="85" bestFit="1" customWidth="1"/>
    <col min="514" max="515" width="10.7109375" style="85" bestFit="1" customWidth="1"/>
    <col min="516" max="516" width="9.140625" style="85"/>
    <col min="517" max="517" width="34.7109375" style="85" bestFit="1" customWidth="1"/>
    <col min="518" max="519" width="9.42578125" style="85" bestFit="1" customWidth="1"/>
    <col min="520" max="768" width="9.140625" style="85"/>
    <col min="769" max="769" width="34.7109375" style="85" bestFit="1" customWidth="1"/>
    <col min="770" max="771" width="10.7109375" style="85" bestFit="1" customWidth="1"/>
    <col min="772" max="772" width="9.140625" style="85"/>
    <col min="773" max="773" width="34.7109375" style="85" bestFit="1" customWidth="1"/>
    <col min="774" max="775" width="9.42578125" style="85" bestFit="1" customWidth="1"/>
    <col min="776" max="1024" width="9.140625" style="85"/>
    <col min="1025" max="1025" width="34.7109375" style="85" bestFit="1" customWidth="1"/>
    <col min="1026" max="1027" width="10.7109375" style="85" bestFit="1" customWidth="1"/>
    <col min="1028" max="1028" width="9.140625" style="85"/>
    <col min="1029" max="1029" width="34.7109375" style="85" bestFit="1" customWidth="1"/>
    <col min="1030" max="1031" width="9.42578125" style="85" bestFit="1" customWidth="1"/>
    <col min="1032" max="1280" width="9.140625" style="85"/>
    <col min="1281" max="1281" width="34.7109375" style="85" bestFit="1" customWidth="1"/>
    <col min="1282" max="1283" width="10.7109375" style="85" bestFit="1" customWidth="1"/>
    <col min="1284" max="1284" width="9.140625" style="85"/>
    <col min="1285" max="1285" width="34.7109375" style="85" bestFit="1" customWidth="1"/>
    <col min="1286" max="1287" width="9.42578125" style="85" bestFit="1" customWidth="1"/>
    <col min="1288" max="1536" width="9.140625" style="85"/>
    <col min="1537" max="1537" width="34.7109375" style="85" bestFit="1" customWidth="1"/>
    <col min="1538" max="1539" width="10.7109375" style="85" bestFit="1" customWidth="1"/>
    <col min="1540" max="1540" width="9.140625" style="85"/>
    <col min="1541" max="1541" width="34.7109375" style="85" bestFit="1" customWidth="1"/>
    <col min="1542" max="1543" width="9.42578125" style="85" bestFit="1" customWidth="1"/>
    <col min="1544" max="1792" width="9.140625" style="85"/>
    <col min="1793" max="1793" width="34.7109375" style="85" bestFit="1" customWidth="1"/>
    <col min="1794" max="1795" width="10.7109375" style="85" bestFit="1" customWidth="1"/>
    <col min="1796" max="1796" width="9.140625" style="85"/>
    <col min="1797" max="1797" width="34.7109375" style="85" bestFit="1" customWidth="1"/>
    <col min="1798" max="1799" width="9.42578125" style="85" bestFit="1" customWidth="1"/>
    <col min="1800" max="2048" width="9.140625" style="85"/>
    <col min="2049" max="2049" width="34.7109375" style="85" bestFit="1" customWidth="1"/>
    <col min="2050" max="2051" width="10.7109375" style="85" bestFit="1" customWidth="1"/>
    <col min="2052" max="2052" width="9.140625" style="85"/>
    <col min="2053" max="2053" width="34.7109375" style="85" bestFit="1" customWidth="1"/>
    <col min="2054" max="2055" width="9.42578125" style="85" bestFit="1" customWidth="1"/>
    <col min="2056" max="2304" width="9.140625" style="85"/>
    <col min="2305" max="2305" width="34.7109375" style="85" bestFit="1" customWidth="1"/>
    <col min="2306" max="2307" width="10.7109375" style="85" bestFit="1" customWidth="1"/>
    <col min="2308" max="2308" width="9.140625" style="85"/>
    <col min="2309" max="2309" width="34.7109375" style="85" bestFit="1" customWidth="1"/>
    <col min="2310" max="2311" width="9.42578125" style="85" bestFit="1" customWidth="1"/>
    <col min="2312" max="2560" width="9.140625" style="85"/>
    <col min="2561" max="2561" width="34.7109375" style="85" bestFit="1" customWidth="1"/>
    <col min="2562" max="2563" width="10.7109375" style="85" bestFit="1" customWidth="1"/>
    <col min="2564" max="2564" width="9.140625" style="85"/>
    <col min="2565" max="2565" width="34.7109375" style="85" bestFit="1" customWidth="1"/>
    <col min="2566" max="2567" width="9.42578125" style="85" bestFit="1" customWidth="1"/>
    <col min="2568" max="2816" width="9.140625" style="85"/>
    <col min="2817" max="2817" width="34.7109375" style="85" bestFit="1" customWidth="1"/>
    <col min="2818" max="2819" width="10.7109375" style="85" bestFit="1" customWidth="1"/>
    <col min="2820" max="2820" width="9.140625" style="85"/>
    <col min="2821" max="2821" width="34.7109375" style="85" bestFit="1" customWidth="1"/>
    <col min="2822" max="2823" width="9.42578125" style="85" bestFit="1" customWidth="1"/>
    <col min="2824" max="3072" width="9.140625" style="85"/>
    <col min="3073" max="3073" width="34.7109375" style="85" bestFit="1" customWidth="1"/>
    <col min="3074" max="3075" width="10.7109375" style="85" bestFit="1" customWidth="1"/>
    <col min="3076" max="3076" width="9.140625" style="85"/>
    <col min="3077" max="3077" width="34.7109375" style="85" bestFit="1" customWidth="1"/>
    <col min="3078" max="3079" width="9.42578125" style="85" bestFit="1" customWidth="1"/>
    <col min="3080" max="3328" width="9.140625" style="85"/>
    <col min="3329" max="3329" width="34.7109375" style="85" bestFit="1" customWidth="1"/>
    <col min="3330" max="3331" width="10.7109375" style="85" bestFit="1" customWidth="1"/>
    <col min="3332" max="3332" width="9.140625" style="85"/>
    <col min="3333" max="3333" width="34.7109375" style="85" bestFit="1" customWidth="1"/>
    <col min="3334" max="3335" width="9.42578125" style="85" bestFit="1" customWidth="1"/>
    <col min="3336" max="3584" width="9.140625" style="85"/>
    <col min="3585" max="3585" width="34.7109375" style="85" bestFit="1" customWidth="1"/>
    <col min="3586" max="3587" width="10.7109375" style="85" bestFit="1" customWidth="1"/>
    <col min="3588" max="3588" width="9.140625" style="85"/>
    <col min="3589" max="3589" width="34.7109375" style="85" bestFit="1" customWidth="1"/>
    <col min="3590" max="3591" width="9.42578125" style="85" bestFit="1" customWidth="1"/>
    <col min="3592" max="3840" width="9.140625" style="85"/>
    <col min="3841" max="3841" width="34.7109375" style="85" bestFit="1" customWidth="1"/>
    <col min="3842" max="3843" width="10.7109375" style="85" bestFit="1" customWidth="1"/>
    <col min="3844" max="3844" width="9.140625" style="85"/>
    <col min="3845" max="3845" width="34.7109375" style="85" bestFit="1" customWidth="1"/>
    <col min="3846" max="3847" width="9.42578125" style="85" bestFit="1" customWidth="1"/>
    <col min="3848" max="4096" width="9.140625" style="85"/>
    <col min="4097" max="4097" width="34.7109375" style="85" bestFit="1" customWidth="1"/>
    <col min="4098" max="4099" width="10.7109375" style="85" bestFit="1" customWidth="1"/>
    <col min="4100" max="4100" width="9.140625" style="85"/>
    <col min="4101" max="4101" width="34.7109375" style="85" bestFit="1" customWidth="1"/>
    <col min="4102" max="4103" width="9.42578125" style="85" bestFit="1" customWidth="1"/>
    <col min="4104" max="4352" width="9.140625" style="85"/>
    <col min="4353" max="4353" width="34.7109375" style="85" bestFit="1" customWidth="1"/>
    <col min="4354" max="4355" width="10.7109375" style="85" bestFit="1" customWidth="1"/>
    <col min="4356" max="4356" width="9.140625" style="85"/>
    <col min="4357" max="4357" width="34.7109375" style="85" bestFit="1" customWidth="1"/>
    <col min="4358" max="4359" width="9.42578125" style="85" bestFit="1" customWidth="1"/>
    <col min="4360" max="4608" width="9.140625" style="85"/>
    <col min="4609" max="4609" width="34.7109375" style="85" bestFit="1" customWidth="1"/>
    <col min="4610" max="4611" width="10.7109375" style="85" bestFit="1" customWidth="1"/>
    <col min="4612" max="4612" width="9.140625" style="85"/>
    <col min="4613" max="4613" width="34.7109375" style="85" bestFit="1" customWidth="1"/>
    <col min="4614" max="4615" width="9.42578125" style="85" bestFit="1" customWidth="1"/>
    <col min="4616" max="4864" width="9.140625" style="85"/>
    <col min="4865" max="4865" width="34.7109375" style="85" bestFit="1" customWidth="1"/>
    <col min="4866" max="4867" width="10.7109375" style="85" bestFit="1" customWidth="1"/>
    <col min="4868" max="4868" width="9.140625" style="85"/>
    <col min="4869" max="4869" width="34.7109375" style="85" bestFit="1" customWidth="1"/>
    <col min="4870" max="4871" width="9.42578125" style="85" bestFit="1" customWidth="1"/>
    <col min="4872" max="5120" width="9.140625" style="85"/>
    <col min="5121" max="5121" width="34.7109375" style="85" bestFit="1" customWidth="1"/>
    <col min="5122" max="5123" width="10.7109375" style="85" bestFit="1" customWidth="1"/>
    <col min="5124" max="5124" width="9.140625" style="85"/>
    <col min="5125" max="5125" width="34.7109375" style="85" bestFit="1" customWidth="1"/>
    <col min="5126" max="5127" width="9.42578125" style="85" bestFit="1" customWidth="1"/>
    <col min="5128" max="5376" width="9.140625" style="85"/>
    <col min="5377" max="5377" width="34.7109375" style="85" bestFit="1" customWidth="1"/>
    <col min="5378" max="5379" width="10.7109375" style="85" bestFit="1" customWidth="1"/>
    <col min="5380" max="5380" width="9.140625" style="85"/>
    <col min="5381" max="5381" width="34.7109375" style="85" bestFit="1" customWidth="1"/>
    <col min="5382" max="5383" width="9.42578125" style="85" bestFit="1" customWidth="1"/>
    <col min="5384" max="5632" width="9.140625" style="85"/>
    <col min="5633" max="5633" width="34.7109375" style="85" bestFit="1" customWidth="1"/>
    <col min="5634" max="5635" width="10.7109375" style="85" bestFit="1" customWidth="1"/>
    <col min="5636" max="5636" width="9.140625" style="85"/>
    <col min="5637" max="5637" width="34.7109375" style="85" bestFit="1" customWidth="1"/>
    <col min="5638" max="5639" width="9.42578125" style="85" bestFit="1" customWidth="1"/>
    <col min="5640" max="5888" width="9.140625" style="85"/>
    <col min="5889" max="5889" width="34.7109375" style="85" bestFit="1" customWidth="1"/>
    <col min="5890" max="5891" width="10.7109375" style="85" bestFit="1" customWidth="1"/>
    <col min="5892" max="5892" width="9.140625" style="85"/>
    <col min="5893" max="5893" width="34.7109375" style="85" bestFit="1" customWidth="1"/>
    <col min="5894" max="5895" width="9.42578125" style="85" bestFit="1" customWidth="1"/>
    <col min="5896" max="6144" width="9.140625" style="85"/>
    <col min="6145" max="6145" width="34.7109375" style="85" bestFit="1" customWidth="1"/>
    <col min="6146" max="6147" width="10.7109375" style="85" bestFit="1" customWidth="1"/>
    <col min="6148" max="6148" width="9.140625" style="85"/>
    <col min="6149" max="6149" width="34.7109375" style="85" bestFit="1" customWidth="1"/>
    <col min="6150" max="6151" width="9.42578125" style="85" bestFit="1" customWidth="1"/>
    <col min="6152" max="6400" width="9.140625" style="85"/>
    <col min="6401" max="6401" width="34.7109375" style="85" bestFit="1" customWidth="1"/>
    <col min="6402" max="6403" width="10.7109375" style="85" bestFit="1" customWidth="1"/>
    <col min="6404" max="6404" width="9.140625" style="85"/>
    <col min="6405" max="6405" width="34.7109375" style="85" bestFit="1" customWidth="1"/>
    <col min="6406" max="6407" width="9.42578125" style="85" bestFit="1" customWidth="1"/>
    <col min="6408" max="6656" width="9.140625" style="85"/>
    <col min="6657" max="6657" width="34.7109375" style="85" bestFit="1" customWidth="1"/>
    <col min="6658" max="6659" width="10.7109375" style="85" bestFit="1" customWidth="1"/>
    <col min="6660" max="6660" width="9.140625" style="85"/>
    <col min="6661" max="6661" width="34.7109375" style="85" bestFit="1" customWidth="1"/>
    <col min="6662" max="6663" width="9.42578125" style="85" bestFit="1" customWidth="1"/>
    <col min="6664" max="6912" width="9.140625" style="85"/>
    <col min="6913" max="6913" width="34.7109375" style="85" bestFit="1" customWidth="1"/>
    <col min="6914" max="6915" width="10.7109375" style="85" bestFit="1" customWidth="1"/>
    <col min="6916" max="6916" width="9.140625" style="85"/>
    <col min="6917" max="6917" width="34.7109375" style="85" bestFit="1" customWidth="1"/>
    <col min="6918" max="6919" width="9.42578125" style="85" bestFit="1" customWidth="1"/>
    <col min="6920" max="7168" width="9.140625" style="85"/>
    <col min="7169" max="7169" width="34.7109375" style="85" bestFit="1" customWidth="1"/>
    <col min="7170" max="7171" width="10.7109375" style="85" bestFit="1" customWidth="1"/>
    <col min="7172" max="7172" width="9.140625" style="85"/>
    <col min="7173" max="7173" width="34.7109375" style="85" bestFit="1" customWidth="1"/>
    <col min="7174" max="7175" width="9.42578125" style="85" bestFit="1" customWidth="1"/>
    <col min="7176" max="7424" width="9.140625" style="85"/>
    <col min="7425" max="7425" width="34.7109375" style="85" bestFit="1" customWidth="1"/>
    <col min="7426" max="7427" width="10.7109375" style="85" bestFit="1" customWidth="1"/>
    <col min="7428" max="7428" width="9.140625" style="85"/>
    <col min="7429" max="7429" width="34.7109375" style="85" bestFit="1" customWidth="1"/>
    <col min="7430" max="7431" width="9.42578125" style="85" bestFit="1" customWidth="1"/>
    <col min="7432" max="7680" width="9.140625" style="85"/>
    <col min="7681" max="7681" width="34.7109375" style="85" bestFit="1" customWidth="1"/>
    <col min="7682" max="7683" width="10.7109375" style="85" bestFit="1" customWidth="1"/>
    <col min="7684" max="7684" width="9.140625" style="85"/>
    <col min="7685" max="7685" width="34.7109375" style="85" bestFit="1" customWidth="1"/>
    <col min="7686" max="7687" width="9.42578125" style="85" bestFit="1" customWidth="1"/>
    <col min="7688" max="7936" width="9.140625" style="85"/>
    <col min="7937" max="7937" width="34.7109375" style="85" bestFit="1" customWidth="1"/>
    <col min="7938" max="7939" width="10.7109375" style="85" bestFit="1" customWidth="1"/>
    <col min="7940" max="7940" width="9.140625" style="85"/>
    <col min="7941" max="7941" width="34.7109375" style="85" bestFit="1" customWidth="1"/>
    <col min="7942" max="7943" width="9.42578125" style="85" bestFit="1" customWidth="1"/>
    <col min="7944" max="8192" width="9.140625" style="85"/>
    <col min="8193" max="8193" width="34.7109375" style="85" bestFit="1" customWidth="1"/>
    <col min="8194" max="8195" width="10.7109375" style="85" bestFit="1" customWidth="1"/>
    <col min="8196" max="8196" width="9.140625" style="85"/>
    <col min="8197" max="8197" width="34.7109375" style="85" bestFit="1" customWidth="1"/>
    <col min="8198" max="8199" width="9.42578125" style="85" bestFit="1" customWidth="1"/>
    <col min="8200" max="8448" width="9.140625" style="85"/>
    <col min="8449" max="8449" width="34.7109375" style="85" bestFit="1" customWidth="1"/>
    <col min="8450" max="8451" width="10.7109375" style="85" bestFit="1" customWidth="1"/>
    <col min="8452" max="8452" width="9.140625" style="85"/>
    <col min="8453" max="8453" width="34.7109375" style="85" bestFit="1" customWidth="1"/>
    <col min="8454" max="8455" width="9.42578125" style="85" bestFit="1" customWidth="1"/>
    <col min="8456" max="8704" width="9.140625" style="85"/>
    <col min="8705" max="8705" width="34.7109375" style="85" bestFit="1" customWidth="1"/>
    <col min="8706" max="8707" width="10.7109375" style="85" bestFit="1" customWidth="1"/>
    <col min="8708" max="8708" width="9.140625" style="85"/>
    <col min="8709" max="8709" width="34.7109375" style="85" bestFit="1" customWidth="1"/>
    <col min="8710" max="8711" width="9.42578125" style="85" bestFit="1" customWidth="1"/>
    <col min="8712" max="8960" width="9.140625" style="85"/>
    <col min="8961" max="8961" width="34.7109375" style="85" bestFit="1" customWidth="1"/>
    <col min="8962" max="8963" width="10.7109375" style="85" bestFit="1" customWidth="1"/>
    <col min="8964" max="8964" width="9.140625" style="85"/>
    <col min="8965" max="8965" width="34.7109375" style="85" bestFit="1" customWidth="1"/>
    <col min="8966" max="8967" width="9.42578125" style="85" bestFit="1" customWidth="1"/>
    <col min="8968" max="9216" width="9.140625" style="85"/>
    <col min="9217" max="9217" width="34.7109375" style="85" bestFit="1" customWidth="1"/>
    <col min="9218" max="9219" width="10.7109375" style="85" bestFit="1" customWidth="1"/>
    <col min="9220" max="9220" width="9.140625" style="85"/>
    <col min="9221" max="9221" width="34.7109375" style="85" bestFit="1" customWidth="1"/>
    <col min="9222" max="9223" width="9.42578125" style="85" bestFit="1" customWidth="1"/>
    <col min="9224" max="9472" width="9.140625" style="85"/>
    <col min="9473" max="9473" width="34.7109375" style="85" bestFit="1" customWidth="1"/>
    <col min="9474" max="9475" width="10.7109375" style="85" bestFit="1" customWidth="1"/>
    <col min="9476" max="9476" width="9.140625" style="85"/>
    <col min="9477" max="9477" width="34.7109375" style="85" bestFit="1" customWidth="1"/>
    <col min="9478" max="9479" width="9.42578125" style="85" bestFit="1" customWidth="1"/>
    <col min="9480" max="9728" width="9.140625" style="85"/>
    <col min="9729" max="9729" width="34.7109375" style="85" bestFit="1" customWidth="1"/>
    <col min="9730" max="9731" width="10.7109375" style="85" bestFit="1" customWidth="1"/>
    <col min="9732" max="9732" width="9.140625" style="85"/>
    <col min="9733" max="9733" width="34.7109375" style="85" bestFit="1" customWidth="1"/>
    <col min="9734" max="9735" width="9.42578125" style="85" bestFit="1" customWidth="1"/>
    <col min="9736" max="9984" width="9.140625" style="85"/>
    <col min="9985" max="9985" width="34.7109375" style="85" bestFit="1" customWidth="1"/>
    <col min="9986" max="9987" width="10.7109375" style="85" bestFit="1" customWidth="1"/>
    <col min="9988" max="9988" width="9.140625" style="85"/>
    <col min="9989" max="9989" width="34.7109375" style="85" bestFit="1" customWidth="1"/>
    <col min="9990" max="9991" width="9.42578125" style="85" bestFit="1" customWidth="1"/>
    <col min="9992" max="10240" width="9.140625" style="85"/>
    <col min="10241" max="10241" width="34.7109375" style="85" bestFit="1" customWidth="1"/>
    <col min="10242" max="10243" width="10.7109375" style="85" bestFit="1" customWidth="1"/>
    <col min="10244" max="10244" width="9.140625" style="85"/>
    <col min="10245" max="10245" width="34.7109375" style="85" bestFit="1" customWidth="1"/>
    <col min="10246" max="10247" width="9.42578125" style="85" bestFit="1" customWidth="1"/>
    <col min="10248" max="10496" width="9.140625" style="85"/>
    <col min="10497" max="10497" width="34.7109375" style="85" bestFit="1" customWidth="1"/>
    <col min="10498" max="10499" width="10.7109375" style="85" bestFit="1" customWidth="1"/>
    <col min="10500" max="10500" width="9.140625" style="85"/>
    <col min="10501" max="10501" width="34.7109375" style="85" bestFit="1" customWidth="1"/>
    <col min="10502" max="10503" width="9.42578125" style="85" bestFit="1" customWidth="1"/>
    <col min="10504" max="10752" width="9.140625" style="85"/>
    <col min="10753" max="10753" width="34.7109375" style="85" bestFit="1" customWidth="1"/>
    <col min="10754" max="10755" width="10.7109375" style="85" bestFit="1" customWidth="1"/>
    <col min="10756" max="10756" width="9.140625" style="85"/>
    <col min="10757" max="10757" width="34.7109375" style="85" bestFit="1" customWidth="1"/>
    <col min="10758" max="10759" width="9.42578125" style="85" bestFit="1" customWidth="1"/>
    <col min="10760" max="11008" width="9.140625" style="85"/>
    <col min="11009" max="11009" width="34.7109375" style="85" bestFit="1" customWidth="1"/>
    <col min="11010" max="11011" width="10.7109375" style="85" bestFit="1" customWidth="1"/>
    <col min="11012" max="11012" width="9.140625" style="85"/>
    <col min="11013" max="11013" width="34.7109375" style="85" bestFit="1" customWidth="1"/>
    <col min="11014" max="11015" width="9.42578125" style="85" bestFit="1" customWidth="1"/>
    <col min="11016" max="11264" width="9.140625" style="85"/>
    <col min="11265" max="11265" width="34.7109375" style="85" bestFit="1" customWidth="1"/>
    <col min="11266" max="11267" width="10.7109375" style="85" bestFit="1" customWidth="1"/>
    <col min="11268" max="11268" width="9.140625" style="85"/>
    <col min="11269" max="11269" width="34.7109375" style="85" bestFit="1" customWidth="1"/>
    <col min="11270" max="11271" width="9.42578125" style="85" bestFit="1" customWidth="1"/>
    <col min="11272" max="11520" width="9.140625" style="85"/>
    <col min="11521" max="11521" width="34.7109375" style="85" bestFit="1" customWidth="1"/>
    <col min="11522" max="11523" width="10.7109375" style="85" bestFit="1" customWidth="1"/>
    <col min="11524" max="11524" width="9.140625" style="85"/>
    <col min="11525" max="11525" width="34.7109375" style="85" bestFit="1" customWidth="1"/>
    <col min="11526" max="11527" width="9.42578125" style="85" bestFit="1" customWidth="1"/>
    <col min="11528" max="11776" width="9.140625" style="85"/>
    <col min="11777" max="11777" width="34.7109375" style="85" bestFit="1" customWidth="1"/>
    <col min="11778" max="11779" width="10.7109375" style="85" bestFit="1" customWidth="1"/>
    <col min="11780" max="11780" width="9.140625" style="85"/>
    <col min="11781" max="11781" width="34.7109375" style="85" bestFit="1" customWidth="1"/>
    <col min="11782" max="11783" width="9.42578125" style="85" bestFit="1" customWidth="1"/>
    <col min="11784" max="12032" width="9.140625" style="85"/>
    <col min="12033" max="12033" width="34.7109375" style="85" bestFit="1" customWidth="1"/>
    <col min="12034" max="12035" width="10.7109375" style="85" bestFit="1" customWidth="1"/>
    <col min="12036" max="12036" width="9.140625" style="85"/>
    <col min="12037" max="12037" width="34.7109375" style="85" bestFit="1" customWidth="1"/>
    <col min="12038" max="12039" width="9.42578125" style="85" bestFit="1" customWidth="1"/>
    <col min="12040" max="12288" width="9.140625" style="85"/>
    <col min="12289" max="12289" width="34.7109375" style="85" bestFit="1" customWidth="1"/>
    <col min="12290" max="12291" width="10.7109375" style="85" bestFit="1" customWidth="1"/>
    <col min="12292" max="12292" width="9.140625" style="85"/>
    <col min="12293" max="12293" width="34.7109375" style="85" bestFit="1" customWidth="1"/>
    <col min="12294" max="12295" width="9.42578125" style="85" bestFit="1" customWidth="1"/>
    <col min="12296" max="12544" width="9.140625" style="85"/>
    <col min="12545" max="12545" width="34.7109375" style="85" bestFit="1" customWidth="1"/>
    <col min="12546" max="12547" width="10.7109375" style="85" bestFit="1" customWidth="1"/>
    <col min="12548" max="12548" width="9.140625" style="85"/>
    <col min="12549" max="12549" width="34.7109375" style="85" bestFit="1" customWidth="1"/>
    <col min="12550" max="12551" width="9.42578125" style="85" bestFit="1" customWidth="1"/>
    <col min="12552" max="12800" width="9.140625" style="85"/>
    <col min="12801" max="12801" width="34.7109375" style="85" bestFit="1" customWidth="1"/>
    <col min="12802" max="12803" width="10.7109375" style="85" bestFit="1" customWidth="1"/>
    <col min="12804" max="12804" width="9.140625" style="85"/>
    <col min="12805" max="12805" width="34.7109375" style="85" bestFit="1" customWidth="1"/>
    <col min="12806" max="12807" width="9.42578125" style="85" bestFit="1" customWidth="1"/>
    <col min="12808" max="13056" width="9.140625" style="85"/>
    <col min="13057" max="13057" width="34.7109375" style="85" bestFit="1" customWidth="1"/>
    <col min="13058" max="13059" width="10.7109375" style="85" bestFit="1" customWidth="1"/>
    <col min="13060" max="13060" width="9.140625" style="85"/>
    <col min="13061" max="13061" width="34.7109375" style="85" bestFit="1" customWidth="1"/>
    <col min="13062" max="13063" width="9.42578125" style="85" bestFit="1" customWidth="1"/>
    <col min="13064" max="13312" width="9.140625" style="85"/>
    <col min="13313" max="13313" width="34.7109375" style="85" bestFit="1" customWidth="1"/>
    <col min="13314" max="13315" width="10.7109375" style="85" bestFit="1" customWidth="1"/>
    <col min="13316" max="13316" width="9.140625" style="85"/>
    <col min="13317" max="13317" width="34.7109375" style="85" bestFit="1" customWidth="1"/>
    <col min="13318" max="13319" width="9.42578125" style="85" bestFit="1" customWidth="1"/>
    <col min="13320" max="13568" width="9.140625" style="85"/>
    <col min="13569" max="13569" width="34.7109375" style="85" bestFit="1" customWidth="1"/>
    <col min="13570" max="13571" width="10.7109375" style="85" bestFit="1" customWidth="1"/>
    <col min="13572" max="13572" width="9.140625" style="85"/>
    <col min="13573" max="13573" width="34.7109375" style="85" bestFit="1" customWidth="1"/>
    <col min="13574" max="13575" width="9.42578125" style="85" bestFit="1" customWidth="1"/>
    <col min="13576" max="13824" width="9.140625" style="85"/>
    <col min="13825" max="13825" width="34.7109375" style="85" bestFit="1" customWidth="1"/>
    <col min="13826" max="13827" width="10.7109375" style="85" bestFit="1" customWidth="1"/>
    <col min="13828" max="13828" width="9.140625" style="85"/>
    <col min="13829" max="13829" width="34.7109375" style="85" bestFit="1" customWidth="1"/>
    <col min="13830" max="13831" width="9.42578125" style="85" bestFit="1" customWidth="1"/>
    <col min="13832" max="14080" width="9.140625" style="85"/>
    <col min="14081" max="14081" width="34.7109375" style="85" bestFit="1" customWidth="1"/>
    <col min="14082" max="14083" width="10.7109375" style="85" bestFit="1" customWidth="1"/>
    <col min="14084" max="14084" width="9.140625" style="85"/>
    <col min="14085" max="14085" width="34.7109375" style="85" bestFit="1" customWidth="1"/>
    <col min="14086" max="14087" width="9.42578125" style="85" bestFit="1" customWidth="1"/>
    <col min="14088" max="14336" width="9.140625" style="85"/>
    <col min="14337" max="14337" width="34.7109375" style="85" bestFit="1" customWidth="1"/>
    <col min="14338" max="14339" width="10.7109375" style="85" bestFit="1" customWidth="1"/>
    <col min="14340" max="14340" width="9.140625" style="85"/>
    <col min="14341" max="14341" width="34.7109375" style="85" bestFit="1" customWidth="1"/>
    <col min="14342" max="14343" width="9.42578125" style="85" bestFit="1" customWidth="1"/>
    <col min="14344" max="14592" width="9.140625" style="85"/>
    <col min="14593" max="14593" width="34.7109375" style="85" bestFit="1" customWidth="1"/>
    <col min="14594" max="14595" width="10.7109375" style="85" bestFit="1" customWidth="1"/>
    <col min="14596" max="14596" width="9.140625" style="85"/>
    <col min="14597" max="14597" width="34.7109375" style="85" bestFit="1" customWidth="1"/>
    <col min="14598" max="14599" width="9.42578125" style="85" bestFit="1" customWidth="1"/>
    <col min="14600" max="14848" width="9.140625" style="85"/>
    <col min="14849" max="14849" width="34.7109375" style="85" bestFit="1" customWidth="1"/>
    <col min="14850" max="14851" width="10.7109375" style="85" bestFit="1" customWidth="1"/>
    <col min="14852" max="14852" width="9.140625" style="85"/>
    <col min="14853" max="14853" width="34.7109375" style="85" bestFit="1" customWidth="1"/>
    <col min="14854" max="14855" width="9.42578125" style="85" bestFit="1" customWidth="1"/>
    <col min="14856" max="15104" width="9.140625" style="85"/>
    <col min="15105" max="15105" width="34.7109375" style="85" bestFit="1" customWidth="1"/>
    <col min="15106" max="15107" width="10.7109375" style="85" bestFit="1" customWidth="1"/>
    <col min="15108" max="15108" width="9.140625" style="85"/>
    <col min="15109" max="15109" width="34.7109375" style="85" bestFit="1" customWidth="1"/>
    <col min="15110" max="15111" width="9.42578125" style="85" bestFit="1" customWidth="1"/>
    <col min="15112" max="15360" width="9.140625" style="85"/>
    <col min="15361" max="15361" width="34.7109375" style="85" bestFit="1" customWidth="1"/>
    <col min="15362" max="15363" width="10.7109375" style="85" bestFit="1" customWidth="1"/>
    <col min="15364" max="15364" width="9.140625" style="85"/>
    <col min="15365" max="15365" width="34.7109375" style="85" bestFit="1" customWidth="1"/>
    <col min="15366" max="15367" width="9.42578125" style="85" bestFit="1" customWidth="1"/>
    <col min="15368" max="15616" width="9.140625" style="85"/>
    <col min="15617" max="15617" width="34.7109375" style="85" bestFit="1" customWidth="1"/>
    <col min="15618" max="15619" width="10.7109375" style="85" bestFit="1" customWidth="1"/>
    <col min="15620" max="15620" width="9.140625" style="85"/>
    <col min="15621" max="15621" width="34.7109375" style="85" bestFit="1" customWidth="1"/>
    <col min="15622" max="15623" width="9.42578125" style="85" bestFit="1" customWidth="1"/>
    <col min="15624" max="15872" width="9.140625" style="85"/>
    <col min="15873" max="15873" width="34.7109375" style="85" bestFit="1" customWidth="1"/>
    <col min="15874" max="15875" width="10.7109375" style="85" bestFit="1" customWidth="1"/>
    <col min="15876" max="15876" width="9.140625" style="85"/>
    <col min="15877" max="15877" width="34.7109375" style="85" bestFit="1" customWidth="1"/>
    <col min="15878" max="15879" width="9.42578125" style="85" bestFit="1" customWidth="1"/>
    <col min="15880" max="16128" width="9.140625" style="85"/>
    <col min="16129" max="16129" width="34.7109375" style="85" bestFit="1" customWidth="1"/>
    <col min="16130" max="16131" width="10.7109375" style="85" bestFit="1" customWidth="1"/>
    <col min="16132" max="16132" width="9.140625" style="85"/>
    <col min="16133" max="16133" width="34.7109375" style="85" bestFit="1" customWidth="1"/>
    <col min="16134" max="16135" width="9.42578125" style="85" bestFit="1" customWidth="1"/>
    <col min="16136" max="16384" width="9.140625" style="85"/>
  </cols>
  <sheetData>
    <row r="1" spans="1:14" x14ac:dyDescent="0.2">
      <c r="A1" s="364" t="s">
        <v>936</v>
      </c>
      <c r="B1" s="364"/>
      <c r="C1" s="364"/>
      <c r="D1" s="364"/>
      <c r="E1" s="364"/>
      <c r="F1" s="364"/>
      <c r="G1" s="364"/>
      <c r="I1" s="364" t="s">
        <v>936</v>
      </c>
      <c r="J1" s="364"/>
      <c r="K1" s="364"/>
      <c r="L1" s="364"/>
      <c r="M1" s="364"/>
      <c r="N1" s="364"/>
    </row>
    <row r="2" spans="1:14" x14ac:dyDescent="0.2">
      <c r="A2" s="364" t="s">
        <v>325</v>
      </c>
      <c r="B2" s="364"/>
      <c r="C2" s="364"/>
      <c r="D2" s="364"/>
      <c r="E2" s="364"/>
      <c r="F2" s="364"/>
      <c r="G2" s="364"/>
      <c r="I2" s="364" t="s">
        <v>326</v>
      </c>
      <c r="J2" s="364"/>
      <c r="K2" s="364"/>
      <c r="L2" s="364"/>
      <c r="M2" s="364"/>
      <c r="N2" s="364"/>
    </row>
    <row r="3" spans="1:14" x14ac:dyDescent="0.2">
      <c r="A3" s="86"/>
      <c r="B3" s="228">
        <v>45717</v>
      </c>
      <c r="C3" s="228">
        <v>45352</v>
      </c>
      <c r="D3" s="228">
        <v>44986</v>
      </c>
      <c r="E3" s="228">
        <v>44621</v>
      </c>
      <c r="F3" s="228">
        <v>44256</v>
      </c>
      <c r="G3" s="228">
        <v>43891</v>
      </c>
      <c r="I3" s="86"/>
      <c r="J3" s="228">
        <v>45352</v>
      </c>
      <c r="K3" s="228">
        <v>44986</v>
      </c>
      <c r="L3" s="228">
        <v>44621</v>
      </c>
      <c r="M3" s="228">
        <v>44256</v>
      </c>
      <c r="N3" s="228">
        <v>43891</v>
      </c>
    </row>
    <row r="4" spans="1:14" x14ac:dyDescent="0.2">
      <c r="A4" s="87" t="s">
        <v>238</v>
      </c>
      <c r="B4" s="88">
        <f>'Common Size Analysis - PL'!B8</f>
        <v>8846.15</v>
      </c>
      <c r="C4" s="88">
        <f>'Common Size Analysis - PL'!C8</f>
        <v>7871</v>
      </c>
      <c r="D4" s="88">
        <f>'Common Size Analysis - PL'!D8</f>
        <v>6767.51</v>
      </c>
      <c r="E4" s="88">
        <f>'Common Size Analysis - PL'!E8</f>
        <v>5697.09</v>
      </c>
      <c r="F4" s="88">
        <f>'Common Size Analysis - PL'!F8</f>
        <v>4773.04</v>
      </c>
      <c r="G4" s="88">
        <f>'Common Size Analysis - PL'!G8</f>
        <v>4938.57</v>
      </c>
      <c r="H4" s="215"/>
      <c r="I4" s="87" t="s">
        <v>238</v>
      </c>
      <c r="J4" s="90">
        <v>1</v>
      </c>
      <c r="K4" s="90">
        <v>1</v>
      </c>
      <c r="L4" s="90">
        <v>1</v>
      </c>
      <c r="M4" s="90">
        <v>1</v>
      </c>
      <c r="N4" s="90">
        <v>1</v>
      </c>
    </row>
    <row r="5" spans="1:14" x14ac:dyDescent="0.2">
      <c r="A5" s="91" t="s">
        <v>327</v>
      </c>
      <c r="B5" s="91"/>
      <c r="C5" s="92"/>
      <c r="D5" s="92"/>
      <c r="E5" s="92"/>
      <c r="F5" s="92"/>
      <c r="G5" s="92"/>
      <c r="I5" s="91" t="s">
        <v>327</v>
      </c>
      <c r="J5" s="93"/>
      <c r="K5" s="93"/>
      <c r="L5" s="93"/>
      <c r="M5" s="93"/>
      <c r="N5" s="93"/>
    </row>
    <row r="6" spans="1:14" x14ac:dyDescent="0.2">
      <c r="A6" s="94" t="s">
        <v>328</v>
      </c>
      <c r="B6" s="112">
        <f>Financials_Standalone!B93</f>
        <v>908.05999999999915</v>
      </c>
      <c r="C6" s="112">
        <f>Financials_Standalone!C93</f>
        <v>790.28000000000065</v>
      </c>
      <c r="D6" s="112">
        <f>Financials_Standalone!D93</f>
        <v>552.16999999999916</v>
      </c>
      <c r="E6" s="112">
        <f>Financials_Standalone!E93</f>
        <v>516.04999999999995</v>
      </c>
      <c r="F6" s="112">
        <f>Financials_Standalone!F93</f>
        <v>525.69000000000005</v>
      </c>
      <c r="G6" s="112">
        <f>Financials_Standalone!G93</f>
        <v>568.4399999999996</v>
      </c>
      <c r="I6" s="94" t="s">
        <v>328</v>
      </c>
      <c r="J6" s="95">
        <f>C6/C$4</f>
        <v>0.1004040147376446</v>
      </c>
      <c r="K6" s="95">
        <f t="shared" ref="K6:N27" si="0">D6/D$4</f>
        <v>8.1591309063451578E-2</v>
      </c>
      <c r="L6" s="95">
        <f t="shared" si="0"/>
        <v>9.0581331872938625E-2</v>
      </c>
      <c r="M6" s="95">
        <f t="shared" si="0"/>
        <v>0.11013735480951345</v>
      </c>
      <c r="N6" s="95">
        <f t="shared" si="0"/>
        <v>0.11510214495289114</v>
      </c>
    </row>
    <row r="7" spans="1:14" x14ac:dyDescent="0.2">
      <c r="A7" s="96" t="s">
        <v>329</v>
      </c>
      <c r="B7" s="96"/>
      <c r="C7" s="123"/>
      <c r="D7" s="123"/>
      <c r="E7" s="123"/>
      <c r="F7" s="123"/>
      <c r="G7" s="123"/>
      <c r="I7" s="96" t="s">
        <v>329</v>
      </c>
      <c r="J7" s="95">
        <f t="shared" ref="J7:J26" si="1">C7/C$4</f>
        <v>0</v>
      </c>
      <c r="K7" s="95">
        <f t="shared" ref="K7:K26" si="2">D7/D$4</f>
        <v>0</v>
      </c>
      <c r="L7" s="95">
        <f t="shared" ref="L7:L26" si="3">E7/E$4</f>
        <v>0</v>
      </c>
      <c r="M7" s="95">
        <f t="shared" ref="M7:M26" si="4">F7/F$4</f>
        <v>0</v>
      </c>
      <c r="N7" s="95">
        <f t="shared" ref="N7:N26" si="5">G7/G$4</f>
        <v>0</v>
      </c>
    </row>
    <row r="8" spans="1:14" x14ac:dyDescent="0.2">
      <c r="A8" s="53" t="s">
        <v>344</v>
      </c>
      <c r="B8" s="53"/>
      <c r="C8" s="123"/>
      <c r="D8" s="123"/>
      <c r="E8" s="123"/>
      <c r="F8" s="123"/>
      <c r="G8" s="123"/>
      <c r="I8" s="53" t="s">
        <v>344</v>
      </c>
      <c r="J8" s="95">
        <f t="shared" ref="J8:J23" si="6">C8/C$4</f>
        <v>0</v>
      </c>
      <c r="K8" s="95">
        <f t="shared" ref="K8:K23" si="7">D8/D$4</f>
        <v>0</v>
      </c>
      <c r="L8" s="95">
        <f t="shared" ref="L8:L23" si="8">E8/E$4</f>
        <v>0</v>
      </c>
      <c r="M8" s="95">
        <f t="shared" ref="M8:M23" si="9">F8/F$4</f>
        <v>0</v>
      </c>
      <c r="N8" s="95">
        <f t="shared" ref="N8:N23" si="10">G8/G$4</f>
        <v>0</v>
      </c>
    </row>
    <row r="9" spans="1:14" x14ac:dyDescent="0.2">
      <c r="A9" s="53" t="s">
        <v>481</v>
      </c>
      <c r="B9" s="53"/>
      <c r="C9" s="123"/>
      <c r="D9" s="123"/>
      <c r="E9" s="123"/>
      <c r="F9" s="123"/>
      <c r="G9" s="123"/>
      <c r="I9" s="53" t="s">
        <v>481</v>
      </c>
      <c r="J9" s="95">
        <f t="shared" si="6"/>
        <v>0</v>
      </c>
      <c r="K9" s="95">
        <f t="shared" si="7"/>
        <v>0</v>
      </c>
      <c r="L9" s="95">
        <f t="shared" si="8"/>
        <v>0</v>
      </c>
      <c r="M9" s="95">
        <f t="shared" si="9"/>
        <v>0</v>
      </c>
      <c r="N9" s="95">
        <f t="shared" si="10"/>
        <v>0</v>
      </c>
    </row>
    <row r="10" spans="1:14" x14ac:dyDescent="0.2">
      <c r="A10" s="53" t="s">
        <v>568</v>
      </c>
      <c r="B10" s="53"/>
      <c r="C10" s="97"/>
      <c r="D10" s="97"/>
      <c r="E10" s="97"/>
      <c r="F10" s="97"/>
      <c r="G10" s="97"/>
      <c r="I10" s="53" t="s">
        <v>568</v>
      </c>
      <c r="J10" s="95">
        <f t="shared" si="6"/>
        <v>0</v>
      </c>
      <c r="K10" s="95">
        <f t="shared" si="7"/>
        <v>0</v>
      </c>
      <c r="L10" s="95">
        <f t="shared" si="8"/>
        <v>0</v>
      </c>
      <c r="M10" s="95">
        <f t="shared" si="9"/>
        <v>0</v>
      </c>
      <c r="N10" s="95">
        <f t="shared" si="10"/>
        <v>0</v>
      </c>
    </row>
    <row r="11" spans="1:14" x14ac:dyDescent="0.2">
      <c r="A11" s="53" t="s">
        <v>570</v>
      </c>
      <c r="B11" s="53"/>
      <c r="C11" s="97"/>
      <c r="D11" s="97"/>
      <c r="E11" s="97"/>
      <c r="F11" s="97"/>
      <c r="G11" s="97"/>
      <c r="I11" s="53" t="s">
        <v>570</v>
      </c>
      <c r="J11" s="95">
        <f t="shared" si="6"/>
        <v>0</v>
      </c>
      <c r="K11" s="95">
        <f t="shared" si="7"/>
        <v>0</v>
      </c>
      <c r="L11" s="95">
        <f t="shared" si="8"/>
        <v>0</v>
      </c>
      <c r="M11" s="95">
        <f t="shared" si="9"/>
        <v>0</v>
      </c>
      <c r="N11" s="95">
        <f t="shared" si="10"/>
        <v>0</v>
      </c>
    </row>
    <row r="12" spans="1:14" x14ac:dyDescent="0.2">
      <c r="A12" s="53" t="s">
        <v>569</v>
      </c>
      <c r="B12" s="53"/>
      <c r="C12" s="97"/>
      <c r="D12" s="97"/>
      <c r="E12" s="97"/>
      <c r="F12" s="97"/>
      <c r="G12" s="97"/>
      <c r="I12" s="53" t="s">
        <v>569</v>
      </c>
      <c r="J12" s="95">
        <f t="shared" si="6"/>
        <v>0</v>
      </c>
      <c r="K12" s="95">
        <f t="shared" si="7"/>
        <v>0</v>
      </c>
      <c r="L12" s="95">
        <f t="shared" si="8"/>
        <v>0</v>
      </c>
      <c r="M12" s="95">
        <f t="shared" si="9"/>
        <v>0</v>
      </c>
      <c r="N12" s="95">
        <f t="shared" si="10"/>
        <v>0</v>
      </c>
    </row>
    <row r="13" spans="1:14" x14ac:dyDescent="0.2">
      <c r="A13" s="53" t="s">
        <v>345</v>
      </c>
      <c r="B13" s="53"/>
      <c r="C13" s="97"/>
      <c r="D13" s="97"/>
      <c r="E13" s="97"/>
      <c r="F13" s="97"/>
      <c r="G13" s="97"/>
      <c r="I13" s="53" t="s">
        <v>345</v>
      </c>
      <c r="J13" s="95">
        <f t="shared" si="6"/>
        <v>0</v>
      </c>
      <c r="K13" s="95">
        <f t="shared" si="7"/>
        <v>0</v>
      </c>
      <c r="L13" s="95">
        <f t="shared" si="8"/>
        <v>0</v>
      </c>
      <c r="M13" s="95">
        <f t="shared" si="9"/>
        <v>0</v>
      </c>
      <c r="N13" s="95">
        <f t="shared" si="10"/>
        <v>0</v>
      </c>
    </row>
    <row r="14" spans="1:14" x14ac:dyDescent="0.2">
      <c r="A14" s="53" t="s">
        <v>564</v>
      </c>
      <c r="B14" s="53"/>
      <c r="C14" s="97"/>
      <c r="D14" s="97"/>
      <c r="E14" s="97"/>
      <c r="F14" s="97"/>
      <c r="G14" s="97"/>
      <c r="I14" s="53" t="s">
        <v>564</v>
      </c>
      <c r="J14" s="95">
        <f t="shared" si="6"/>
        <v>0</v>
      </c>
      <c r="K14" s="95">
        <f t="shared" si="7"/>
        <v>0</v>
      </c>
      <c r="L14" s="95">
        <f t="shared" si="8"/>
        <v>0</v>
      </c>
      <c r="M14" s="95">
        <f t="shared" si="9"/>
        <v>0</v>
      </c>
      <c r="N14" s="95">
        <f t="shared" si="10"/>
        <v>0</v>
      </c>
    </row>
    <row r="15" spans="1:14" x14ac:dyDescent="0.2">
      <c r="A15" s="53" t="s">
        <v>562</v>
      </c>
      <c r="B15" s="53"/>
      <c r="C15" s="97"/>
      <c r="D15" s="97"/>
      <c r="E15" s="97"/>
      <c r="F15" s="97"/>
      <c r="G15" s="97"/>
      <c r="I15" s="53" t="s">
        <v>562</v>
      </c>
      <c r="J15" s="95">
        <f t="shared" si="6"/>
        <v>0</v>
      </c>
      <c r="K15" s="95">
        <f t="shared" si="7"/>
        <v>0</v>
      </c>
      <c r="L15" s="95">
        <f t="shared" si="8"/>
        <v>0</v>
      </c>
      <c r="M15" s="95">
        <f t="shared" si="9"/>
        <v>0</v>
      </c>
      <c r="N15" s="95">
        <f t="shared" si="10"/>
        <v>0</v>
      </c>
    </row>
    <row r="16" spans="1:14" x14ac:dyDescent="0.2">
      <c r="A16" s="53" t="s">
        <v>565</v>
      </c>
      <c r="B16" s="53"/>
      <c r="C16" s="97"/>
      <c r="D16" s="97"/>
      <c r="E16" s="97"/>
      <c r="F16" s="97"/>
      <c r="G16" s="97"/>
      <c r="I16" s="53" t="s">
        <v>565</v>
      </c>
      <c r="J16" s="95">
        <f t="shared" si="6"/>
        <v>0</v>
      </c>
      <c r="K16" s="95">
        <f t="shared" si="7"/>
        <v>0</v>
      </c>
      <c r="L16" s="95">
        <f t="shared" si="8"/>
        <v>0</v>
      </c>
      <c r="M16" s="95">
        <f t="shared" si="9"/>
        <v>0</v>
      </c>
      <c r="N16" s="95">
        <f t="shared" si="10"/>
        <v>0</v>
      </c>
    </row>
    <row r="17" spans="1:14" x14ac:dyDescent="0.2">
      <c r="A17" s="53" t="s">
        <v>563</v>
      </c>
      <c r="B17" s="53"/>
      <c r="C17" s="97"/>
      <c r="D17" s="97"/>
      <c r="E17" s="97"/>
      <c r="F17" s="97"/>
      <c r="G17" s="97"/>
      <c r="I17" s="53" t="s">
        <v>563</v>
      </c>
      <c r="J17" s="95">
        <f t="shared" si="6"/>
        <v>0</v>
      </c>
      <c r="K17" s="95">
        <f t="shared" si="7"/>
        <v>0</v>
      </c>
      <c r="L17" s="95">
        <f t="shared" si="8"/>
        <v>0</v>
      </c>
      <c r="M17" s="95">
        <f t="shared" si="9"/>
        <v>0</v>
      </c>
      <c r="N17" s="95">
        <f t="shared" si="10"/>
        <v>0</v>
      </c>
    </row>
    <row r="18" spans="1:14" x14ac:dyDescent="0.2">
      <c r="A18" s="53" t="s">
        <v>597</v>
      </c>
      <c r="B18" s="53"/>
      <c r="C18" s="97"/>
      <c r="D18" s="97"/>
      <c r="E18" s="97"/>
      <c r="F18" s="97"/>
      <c r="G18" s="97"/>
      <c r="I18" s="53" t="s">
        <v>597</v>
      </c>
      <c r="J18" s="95">
        <f t="shared" si="6"/>
        <v>0</v>
      </c>
      <c r="K18" s="95">
        <f t="shared" si="7"/>
        <v>0</v>
      </c>
      <c r="L18" s="95">
        <f t="shared" si="8"/>
        <v>0</v>
      </c>
      <c r="M18" s="95">
        <f t="shared" si="9"/>
        <v>0</v>
      </c>
      <c r="N18" s="95">
        <f t="shared" si="10"/>
        <v>0</v>
      </c>
    </row>
    <row r="19" spans="1:14" x14ac:dyDescent="0.2">
      <c r="A19" s="53" t="s">
        <v>567</v>
      </c>
      <c r="B19" s="53"/>
      <c r="C19" s="97"/>
      <c r="D19" s="97"/>
      <c r="E19" s="97"/>
      <c r="F19" s="97"/>
      <c r="G19" s="97"/>
      <c r="I19" s="53" t="s">
        <v>567</v>
      </c>
      <c r="J19" s="95">
        <f t="shared" si="6"/>
        <v>0</v>
      </c>
      <c r="K19" s="95">
        <f t="shared" si="7"/>
        <v>0</v>
      </c>
      <c r="L19" s="95">
        <f t="shared" si="8"/>
        <v>0</v>
      </c>
      <c r="M19" s="95">
        <f t="shared" si="9"/>
        <v>0</v>
      </c>
      <c r="N19" s="95">
        <f t="shared" si="10"/>
        <v>0</v>
      </c>
    </row>
    <row r="20" spans="1:14" x14ac:dyDescent="0.2">
      <c r="A20" s="53" t="s">
        <v>499</v>
      </c>
      <c r="B20" s="53"/>
      <c r="C20" s="97"/>
      <c r="D20" s="97"/>
      <c r="E20" s="97"/>
      <c r="F20" s="97"/>
      <c r="G20" s="97"/>
      <c r="I20" s="53" t="s">
        <v>499</v>
      </c>
      <c r="J20" s="95">
        <f t="shared" si="6"/>
        <v>0</v>
      </c>
      <c r="K20" s="95">
        <f t="shared" si="7"/>
        <v>0</v>
      </c>
      <c r="L20" s="95">
        <f t="shared" si="8"/>
        <v>0</v>
      </c>
      <c r="M20" s="95">
        <f t="shared" si="9"/>
        <v>0</v>
      </c>
      <c r="N20" s="95">
        <f t="shared" si="10"/>
        <v>0</v>
      </c>
    </row>
    <row r="21" spans="1:14" x14ac:dyDescent="0.2">
      <c r="A21" s="53" t="s">
        <v>595</v>
      </c>
      <c r="B21" s="53"/>
      <c r="C21" s="97"/>
      <c r="D21" s="97"/>
      <c r="E21" s="97"/>
      <c r="F21" s="97"/>
      <c r="G21" s="97"/>
      <c r="I21" s="53" t="s">
        <v>595</v>
      </c>
      <c r="J21" s="95">
        <f t="shared" si="6"/>
        <v>0</v>
      </c>
      <c r="K21" s="95">
        <f t="shared" si="7"/>
        <v>0</v>
      </c>
      <c r="L21" s="95">
        <f t="shared" si="8"/>
        <v>0</v>
      </c>
      <c r="M21" s="95">
        <f t="shared" si="9"/>
        <v>0</v>
      </c>
      <c r="N21" s="95">
        <f t="shared" si="10"/>
        <v>0</v>
      </c>
    </row>
    <row r="22" spans="1:14" x14ac:dyDescent="0.2">
      <c r="A22" s="53" t="s">
        <v>596</v>
      </c>
      <c r="B22" s="53"/>
      <c r="C22" s="97"/>
      <c r="D22" s="97"/>
      <c r="E22" s="97"/>
      <c r="F22" s="97"/>
      <c r="G22" s="97"/>
      <c r="I22" s="53" t="s">
        <v>596</v>
      </c>
      <c r="J22" s="95">
        <f t="shared" si="6"/>
        <v>0</v>
      </c>
      <c r="K22" s="95">
        <f t="shared" si="7"/>
        <v>0</v>
      </c>
      <c r="L22" s="95">
        <f t="shared" si="8"/>
        <v>0</v>
      </c>
      <c r="M22" s="95">
        <f t="shared" si="9"/>
        <v>0</v>
      </c>
      <c r="N22" s="95">
        <f t="shared" si="10"/>
        <v>0</v>
      </c>
    </row>
    <row r="23" spans="1:14" x14ac:dyDescent="0.2">
      <c r="A23" s="53" t="s">
        <v>561</v>
      </c>
      <c r="B23" s="53"/>
      <c r="C23" s="97"/>
      <c r="D23" s="97"/>
      <c r="E23" s="97"/>
      <c r="F23" s="97"/>
      <c r="G23" s="97"/>
      <c r="I23" s="53" t="s">
        <v>561</v>
      </c>
      <c r="J23" s="95">
        <f t="shared" si="6"/>
        <v>0</v>
      </c>
      <c r="K23" s="95">
        <f t="shared" si="7"/>
        <v>0</v>
      </c>
      <c r="L23" s="95">
        <f t="shared" si="8"/>
        <v>0</v>
      </c>
      <c r="M23" s="95">
        <f t="shared" si="9"/>
        <v>0</v>
      </c>
      <c r="N23" s="95">
        <f t="shared" si="10"/>
        <v>0</v>
      </c>
    </row>
    <row r="24" spans="1:14" x14ac:dyDescent="0.2">
      <c r="A24" s="53" t="s">
        <v>566</v>
      </c>
      <c r="B24" s="53"/>
      <c r="C24" s="97"/>
      <c r="D24" s="97"/>
      <c r="E24" s="97"/>
      <c r="F24" s="97"/>
      <c r="G24" s="97"/>
      <c r="I24" s="53" t="s">
        <v>566</v>
      </c>
      <c r="J24" s="95">
        <f t="shared" si="1"/>
        <v>0</v>
      </c>
      <c r="K24" s="95">
        <f t="shared" si="2"/>
        <v>0</v>
      </c>
      <c r="L24" s="95">
        <f t="shared" si="3"/>
        <v>0</v>
      </c>
      <c r="M24" s="95">
        <f t="shared" si="4"/>
        <v>0</v>
      </c>
      <c r="N24" s="95">
        <f t="shared" si="5"/>
        <v>0</v>
      </c>
    </row>
    <row r="25" spans="1:14" x14ac:dyDescent="0.2">
      <c r="A25" s="53" t="s">
        <v>560</v>
      </c>
      <c r="B25" s="53"/>
      <c r="C25" s="97"/>
      <c r="D25" s="97"/>
      <c r="E25" s="97"/>
      <c r="F25" s="97"/>
      <c r="G25" s="97"/>
      <c r="I25" s="53" t="s">
        <v>560</v>
      </c>
      <c r="J25" s="95">
        <f t="shared" si="1"/>
        <v>0</v>
      </c>
      <c r="K25" s="95">
        <f t="shared" si="2"/>
        <v>0</v>
      </c>
      <c r="L25" s="95">
        <f t="shared" si="3"/>
        <v>0</v>
      </c>
      <c r="M25" s="95">
        <f t="shared" si="4"/>
        <v>0</v>
      </c>
      <c r="N25" s="95">
        <f t="shared" si="5"/>
        <v>0</v>
      </c>
    </row>
    <row r="26" spans="1:14" x14ac:dyDescent="0.2">
      <c r="A26" s="53" t="s">
        <v>496</v>
      </c>
      <c r="B26" s="53"/>
      <c r="C26" s="97"/>
      <c r="D26" s="97"/>
      <c r="E26" s="97"/>
      <c r="F26" s="97"/>
      <c r="G26" s="97"/>
      <c r="I26" s="53" t="s">
        <v>496</v>
      </c>
      <c r="J26" s="95">
        <f t="shared" si="1"/>
        <v>0</v>
      </c>
      <c r="K26" s="95">
        <f t="shared" si="2"/>
        <v>0</v>
      </c>
      <c r="L26" s="95">
        <f t="shared" si="3"/>
        <v>0</v>
      </c>
      <c r="M26" s="95">
        <f t="shared" si="4"/>
        <v>0</v>
      </c>
      <c r="N26" s="95">
        <f t="shared" si="5"/>
        <v>0</v>
      </c>
    </row>
    <row r="27" spans="1:14" x14ac:dyDescent="0.2">
      <c r="A27" s="98" t="s">
        <v>330</v>
      </c>
      <c r="B27" s="98"/>
      <c r="C27" s="214"/>
      <c r="D27" s="214"/>
      <c r="E27" s="214"/>
      <c r="F27" s="214"/>
      <c r="G27" s="214"/>
      <c r="H27" s="214">
        <f t="shared" ref="H27" si="11">SUM(H6:H26)</f>
        <v>0</v>
      </c>
      <c r="I27" s="98" t="s">
        <v>330</v>
      </c>
      <c r="J27" s="100">
        <f>C27/C$4</f>
        <v>0</v>
      </c>
      <c r="K27" s="100">
        <f>D27/D$4</f>
        <v>0</v>
      </c>
      <c r="L27" s="100">
        <f>E27/E$4</f>
        <v>0</v>
      </c>
      <c r="M27" s="100">
        <f t="shared" si="0"/>
        <v>0</v>
      </c>
      <c r="N27" s="100">
        <f t="shared" si="0"/>
        <v>0</v>
      </c>
    </row>
    <row r="28" spans="1:14" x14ac:dyDescent="0.2">
      <c r="A28" s="53"/>
      <c r="B28" s="53"/>
      <c r="C28" s="97"/>
      <c r="D28" s="97"/>
      <c r="E28" s="97"/>
      <c r="F28" s="97"/>
      <c r="G28" s="97"/>
      <c r="I28" s="53"/>
      <c r="J28" s="95"/>
      <c r="K28" s="95"/>
      <c r="L28" s="95"/>
      <c r="M28" s="95"/>
      <c r="N28" s="95"/>
    </row>
    <row r="29" spans="1:14" x14ac:dyDescent="0.2">
      <c r="A29" s="98" t="s">
        <v>331</v>
      </c>
      <c r="B29" s="98"/>
      <c r="C29" s="97"/>
      <c r="D29" s="97"/>
      <c r="E29" s="97"/>
      <c r="F29" s="97"/>
      <c r="G29" s="97"/>
      <c r="I29" s="98" t="s">
        <v>331</v>
      </c>
      <c r="J29" s="95"/>
      <c r="K29" s="95"/>
      <c r="L29" s="95"/>
      <c r="M29" s="95"/>
      <c r="N29" s="95"/>
    </row>
    <row r="30" spans="1:14" x14ac:dyDescent="0.2">
      <c r="A30" s="53" t="s">
        <v>528</v>
      </c>
      <c r="B30" s="53"/>
      <c r="C30" s="97"/>
      <c r="D30" s="97"/>
      <c r="E30" s="97"/>
      <c r="F30" s="97"/>
      <c r="G30" s="97"/>
      <c r="I30" s="53" t="s">
        <v>528</v>
      </c>
      <c r="J30" s="95">
        <f t="shared" ref="J30:N44" si="12">C30/C$4</f>
        <v>0</v>
      </c>
      <c r="K30" s="95">
        <f t="shared" si="12"/>
        <v>0</v>
      </c>
      <c r="L30" s="95">
        <f t="shared" si="12"/>
        <v>0</v>
      </c>
      <c r="M30" s="95">
        <f t="shared" si="12"/>
        <v>0</v>
      </c>
      <c r="N30" s="95">
        <f t="shared" si="12"/>
        <v>0</v>
      </c>
    </row>
    <row r="31" spans="1:14" x14ac:dyDescent="0.2">
      <c r="A31" s="101" t="s">
        <v>219</v>
      </c>
      <c r="B31" s="101"/>
      <c r="C31" s="123"/>
      <c r="D31" s="123"/>
      <c r="E31" s="123"/>
      <c r="F31" s="123"/>
      <c r="G31" s="123"/>
      <c r="I31" s="101" t="s">
        <v>219</v>
      </c>
      <c r="J31" s="95">
        <f t="shared" ref="J31:J40" si="13">C31/C$4</f>
        <v>0</v>
      </c>
      <c r="K31" s="95">
        <f t="shared" ref="K31:K40" si="14">D31/D$4</f>
        <v>0</v>
      </c>
      <c r="L31" s="95">
        <f t="shared" ref="L31:L40" si="15">E31/E$4</f>
        <v>0</v>
      </c>
      <c r="M31" s="95">
        <f t="shared" ref="M31:M40" si="16">F31/F$4</f>
        <v>0</v>
      </c>
      <c r="N31" s="95">
        <f t="shared" ref="N31:N40" si="17">G31/G$4</f>
        <v>0</v>
      </c>
    </row>
    <row r="32" spans="1:14" x14ac:dyDescent="0.2">
      <c r="A32" s="53" t="s">
        <v>530</v>
      </c>
      <c r="B32" s="53"/>
      <c r="C32" s="97"/>
      <c r="D32" s="97"/>
      <c r="E32" s="97"/>
      <c r="F32" s="97"/>
      <c r="G32" s="97"/>
      <c r="I32" s="53" t="s">
        <v>530</v>
      </c>
      <c r="J32" s="95">
        <f t="shared" si="13"/>
        <v>0</v>
      </c>
      <c r="K32" s="95">
        <f t="shared" si="14"/>
        <v>0</v>
      </c>
      <c r="L32" s="95">
        <f t="shared" si="15"/>
        <v>0</v>
      </c>
      <c r="M32" s="95">
        <f t="shared" si="16"/>
        <v>0</v>
      </c>
      <c r="N32" s="95">
        <f t="shared" si="17"/>
        <v>0</v>
      </c>
    </row>
    <row r="33" spans="1:14" x14ac:dyDescent="0.2">
      <c r="A33" s="53" t="s">
        <v>529</v>
      </c>
      <c r="B33" s="53"/>
      <c r="C33" s="97"/>
      <c r="D33" s="97"/>
      <c r="E33" s="97"/>
      <c r="F33" s="97"/>
      <c r="G33" s="97"/>
      <c r="I33" s="53" t="s">
        <v>529</v>
      </c>
      <c r="J33" s="95">
        <f t="shared" si="13"/>
        <v>0</v>
      </c>
      <c r="K33" s="95">
        <f t="shared" si="14"/>
        <v>0</v>
      </c>
      <c r="L33" s="95">
        <f t="shared" si="15"/>
        <v>0</v>
      </c>
      <c r="M33" s="95">
        <f t="shared" si="16"/>
        <v>0</v>
      </c>
      <c r="N33" s="95">
        <f t="shared" si="17"/>
        <v>0</v>
      </c>
    </row>
    <row r="34" spans="1:14" x14ac:dyDescent="0.2">
      <c r="A34" s="53" t="s">
        <v>605</v>
      </c>
      <c r="B34" s="53"/>
      <c r="C34" s="97"/>
      <c r="D34" s="97"/>
      <c r="E34" s="97"/>
      <c r="F34" s="97"/>
      <c r="G34" s="97"/>
      <c r="I34" s="53" t="s">
        <v>605</v>
      </c>
      <c r="J34" s="95">
        <f t="shared" si="13"/>
        <v>0</v>
      </c>
      <c r="K34" s="95">
        <f t="shared" si="14"/>
        <v>0</v>
      </c>
      <c r="L34" s="95">
        <f t="shared" si="15"/>
        <v>0</v>
      </c>
      <c r="M34" s="95">
        <f t="shared" si="16"/>
        <v>0</v>
      </c>
      <c r="N34" s="95">
        <f t="shared" si="17"/>
        <v>0</v>
      </c>
    </row>
    <row r="35" spans="1:14" x14ac:dyDescent="0.2">
      <c r="A35" s="53" t="s">
        <v>531</v>
      </c>
      <c r="B35" s="53"/>
      <c r="C35" s="123"/>
      <c r="D35" s="123"/>
      <c r="E35" s="123"/>
      <c r="F35" s="123"/>
      <c r="G35" s="123"/>
      <c r="H35" s="123"/>
      <c r="I35" s="53" t="s">
        <v>531</v>
      </c>
      <c r="J35" s="95">
        <f t="shared" si="13"/>
        <v>0</v>
      </c>
      <c r="K35" s="95">
        <f t="shared" si="14"/>
        <v>0</v>
      </c>
      <c r="L35" s="95">
        <f t="shared" si="15"/>
        <v>0</v>
      </c>
      <c r="M35" s="95">
        <f t="shared" si="16"/>
        <v>0</v>
      </c>
      <c r="N35" s="95">
        <f t="shared" si="17"/>
        <v>0</v>
      </c>
    </row>
    <row r="36" spans="1:14" x14ac:dyDescent="0.2">
      <c r="A36" s="53" t="s">
        <v>231</v>
      </c>
      <c r="B36" s="53"/>
      <c r="C36" s="123"/>
      <c r="D36" s="123"/>
      <c r="E36" s="123"/>
      <c r="F36" s="123"/>
      <c r="G36" s="123"/>
      <c r="I36" s="53" t="s">
        <v>231</v>
      </c>
      <c r="J36" s="95">
        <f t="shared" si="13"/>
        <v>0</v>
      </c>
      <c r="K36" s="95">
        <f t="shared" si="14"/>
        <v>0</v>
      </c>
      <c r="L36" s="95">
        <f t="shared" si="15"/>
        <v>0</v>
      </c>
      <c r="M36" s="95">
        <f t="shared" si="16"/>
        <v>0</v>
      </c>
      <c r="N36" s="95">
        <f t="shared" si="17"/>
        <v>0</v>
      </c>
    </row>
    <row r="37" spans="1:14" x14ac:dyDescent="0.2">
      <c r="A37" s="53" t="s">
        <v>232</v>
      </c>
      <c r="B37" s="53"/>
      <c r="C37" s="97"/>
      <c r="D37" s="97"/>
      <c r="E37" s="97"/>
      <c r="F37" s="97"/>
      <c r="G37" s="97"/>
      <c r="I37" s="53" t="s">
        <v>538</v>
      </c>
      <c r="J37" s="95">
        <f t="shared" si="13"/>
        <v>0</v>
      </c>
      <c r="K37" s="95">
        <f t="shared" si="14"/>
        <v>0</v>
      </c>
      <c r="L37" s="95">
        <f t="shared" si="15"/>
        <v>0</v>
      </c>
      <c r="M37" s="95">
        <f t="shared" si="16"/>
        <v>0</v>
      </c>
      <c r="N37" s="95">
        <f t="shared" si="17"/>
        <v>0</v>
      </c>
    </row>
    <row r="38" spans="1:14" x14ac:dyDescent="0.2">
      <c r="A38" s="53" t="s">
        <v>332</v>
      </c>
      <c r="B38" s="53"/>
      <c r="C38" s="97"/>
      <c r="D38" s="97"/>
      <c r="E38" s="97"/>
      <c r="F38" s="97"/>
      <c r="G38" s="97"/>
      <c r="I38" s="53" t="s">
        <v>332</v>
      </c>
      <c r="J38" s="95">
        <f t="shared" si="13"/>
        <v>0</v>
      </c>
      <c r="K38" s="95">
        <f t="shared" si="14"/>
        <v>0</v>
      </c>
      <c r="L38" s="95">
        <f t="shared" si="15"/>
        <v>0</v>
      </c>
      <c r="M38" s="95">
        <f t="shared" si="16"/>
        <v>0</v>
      </c>
      <c r="N38" s="95">
        <f t="shared" si="17"/>
        <v>0</v>
      </c>
    </row>
    <row r="39" spans="1:14" x14ac:dyDescent="0.2">
      <c r="A39" s="53" t="s">
        <v>233</v>
      </c>
      <c r="B39" s="53"/>
      <c r="C39" s="97"/>
      <c r="D39" s="97"/>
      <c r="E39" s="97"/>
      <c r="F39" s="97"/>
      <c r="G39" s="97"/>
      <c r="I39" s="53" t="s">
        <v>233</v>
      </c>
      <c r="J39" s="95">
        <f t="shared" si="13"/>
        <v>0</v>
      </c>
      <c r="K39" s="95">
        <f t="shared" si="14"/>
        <v>0</v>
      </c>
      <c r="L39" s="95">
        <f t="shared" si="15"/>
        <v>0</v>
      </c>
      <c r="M39" s="95">
        <f t="shared" si="16"/>
        <v>0</v>
      </c>
      <c r="N39" s="95">
        <f t="shared" si="17"/>
        <v>0</v>
      </c>
    </row>
    <row r="40" spans="1:14" x14ac:dyDescent="0.2">
      <c r="A40" s="53" t="s">
        <v>617</v>
      </c>
      <c r="B40" s="53"/>
      <c r="C40" s="97"/>
      <c r="D40" s="97"/>
      <c r="E40" s="97"/>
      <c r="F40" s="97"/>
      <c r="G40" s="97"/>
      <c r="I40" s="53" t="s">
        <v>230</v>
      </c>
      <c r="J40" s="95">
        <f t="shared" si="13"/>
        <v>0</v>
      </c>
      <c r="K40" s="95">
        <f t="shared" si="14"/>
        <v>0</v>
      </c>
      <c r="L40" s="95">
        <f t="shared" si="15"/>
        <v>0</v>
      </c>
      <c r="M40" s="95">
        <f t="shared" si="16"/>
        <v>0</v>
      </c>
      <c r="N40" s="95">
        <f t="shared" si="17"/>
        <v>0</v>
      </c>
    </row>
    <row r="41" spans="1:14" x14ac:dyDescent="0.2">
      <c r="A41" s="98" t="s">
        <v>333</v>
      </c>
      <c r="B41" s="98"/>
      <c r="C41" s="99"/>
      <c r="D41" s="214"/>
      <c r="E41" s="214"/>
      <c r="F41" s="214"/>
      <c r="G41" s="214"/>
      <c r="H41" s="99">
        <f t="shared" ref="H41" si="18">SUM(H30:H40)</f>
        <v>0</v>
      </c>
      <c r="I41" s="98" t="s">
        <v>333</v>
      </c>
      <c r="J41" s="100">
        <f t="shared" si="12"/>
        <v>0</v>
      </c>
      <c r="K41" s="100">
        <f t="shared" si="12"/>
        <v>0</v>
      </c>
      <c r="L41" s="100">
        <f t="shared" si="12"/>
        <v>0</v>
      </c>
      <c r="M41" s="100">
        <f t="shared" si="12"/>
        <v>0</v>
      </c>
      <c r="N41" s="100">
        <f t="shared" si="12"/>
        <v>0</v>
      </c>
    </row>
    <row r="42" spans="1:14" x14ac:dyDescent="0.2">
      <c r="A42" s="98" t="s">
        <v>334</v>
      </c>
      <c r="B42" s="98"/>
      <c r="C42" s="99"/>
      <c r="D42" s="99"/>
      <c r="E42" s="214"/>
      <c r="F42" s="214"/>
      <c r="G42" s="214"/>
      <c r="H42" s="99">
        <f t="shared" ref="H42" si="19">H27+H41</f>
        <v>0</v>
      </c>
      <c r="I42" s="98" t="s">
        <v>334</v>
      </c>
      <c r="J42" s="100">
        <f t="shared" si="12"/>
        <v>0</v>
      </c>
      <c r="K42" s="100">
        <f t="shared" si="12"/>
        <v>0</v>
      </c>
      <c r="L42" s="100">
        <f t="shared" si="12"/>
        <v>0</v>
      </c>
      <c r="M42" s="100">
        <f t="shared" si="12"/>
        <v>0</v>
      </c>
      <c r="N42" s="100">
        <f t="shared" si="12"/>
        <v>0</v>
      </c>
    </row>
    <row r="43" spans="1:14" x14ac:dyDescent="0.2">
      <c r="A43" s="53" t="s">
        <v>335</v>
      </c>
      <c r="B43" s="53"/>
      <c r="C43" s="97"/>
      <c r="D43" s="97"/>
      <c r="E43" s="123"/>
      <c r="F43" s="123"/>
      <c r="G43" s="123"/>
      <c r="H43" s="97"/>
      <c r="I43" s="53" t="s">
        <v>335</v>
      </c>
      <c r="J43" s="95">
        <f t="shared" si="12"/>
        <v>0</v>
      </c>
      <c r="K43" s="95">
        <f t="shared" si="12"/>
        <v>0</v>
      </c>
      <c r="L43" s="95">
        <f t="shared" si="12"/>
        <v>0</v>
      </c>
      <c r="M43" s="95">
        <f t="shared" si="12"/>
        <v>0</v>
      </c>
      <c r="N43" s="95">
        <f t="shared" si="12"/>
        <v>0</v>
      </c>
    </row>
    <row r="44" spans="1:14" x14ac:dyDescent="0.2">
      <c r="A44" s="102" t="s">
        <v>336</v>
      </c>
      <c r="B44" s="296">
        <v>873</v>
      </c>
      <c r="C44" s="296">
        <v>605</v>
      </c>
      <c r="D44" s="108">
        <v>623</v>
      </c>
      <c r="E44" s="108">
        <v>549</v>
      </c>
      <c r="F44" s="108">
        <v>297</v>
      </c>
      <c r="G44" s="108"/>
      <c r="H44" s="103">
        <f t="shared" ref="H44" si="20">H42+H43</f>
        <v>0</v>
      </c>
      <c r="I44" s="102" t="s">
        <v>336</v>
      </c>
      <c r="J44" s="102">
        <f t="shared" si="12"/>
        <v>7.6864439080167699E-2</v>
      </c>
      <c r="K44" s="102">
        <f t="shared" si="12"/>
        <v>9.2057492342087419E-2</v>
      </c>
      <c r="L44" s="102">
        <f t="shared" si="12"/>
        <v>9.636498633512898E-2</v>
      </c>
      <c r="M44" s="102">
        <f t="shared" si="12"/>
        <v>6.2224494242662957E-2</v>
      </c>
      <c r="N44" s="102">
        <f t="shared" si="12"/>
        <v>0</v>
      </c>
    </row>
    <row r="45" spans="1:14" x14ac:dyDescent="0.2">
      <c r="A45" s="53">
        <f>AVERAGE(C45:G45)</f>
        <v>0.70452986316285648</v>
      </c>
      <c r="B45" s="245">
        <f t="shared" ref="B45:G45" si="21">B44/B6</f>
        <v>0.96139021650551815</v>
      </c>
      <c r="C45" s="245">
        <f t="shared" si="21"/>
        <v>0.76555145011894454</v>
      </c>
      <c r="D45" s="245">
        <f t="shared" si="21"/>
        <v>1.1282757121900882</v>
      </c>
      <c r="E45" s="245">
        <f t="shared" si="21"/>
        <v>1.0638504020928206</v>
      </c>
      <c r="F45" s="245">
        <f t="shared" si="21"/>
        <v>0.56497175141242928</v>
      </c>
      <c r="G45" s="245">
        <f t="shared" si="21"/>
        <v>0</v>
      </c>
      <c r="I45" s="53"/>
      <c r="J45" s="95"/>
      <c r="K45" s="95"/>
      <c r="L45" s="95"/>
      <c r="M45" s="95"/>
      <c r="N45" s="95"/>
    </row>
    <row r="46" spans="1:14" x14ac:dyDescent="0.2">
      <c r="A46" s="91" t="s">
        <v>337</v>
      </c>
      <c r="B46" s="91"/>
      <c r="C46" s="97"/>
      <c r="D46" s="97"/>
      <c r="E46" s="97"/>
      <c r="F46" s="97"/>
      <c r="G46" s="97"/>
      <c r="I46" s="91" t="s">
        <v>337</v>
      </c>
      <c r="J46" s="95"/>
      <c r="K46" s="95"/>
      <c r="L46" s="95"/>
      <c r="M46" s="95"/>
      <c r="N46" s="95"/>
    </row>
    <row r="47" spans="1:14" x14ac:dyDescent="0.2">
      <c r="A47" s="53" t="s">
        <v>338</v>
      </c>
      <c r="B47" s="123">
        <v>23</v>
      </c>
      <c r="C47" s="123">
        <v>12</v>
      </c>
      <c r="D47" s="123">
        <v>11</v>
      </c>
      <c r="E47" s="123">
        <v>6</v>
      </c>
      <c r="F47" s="123">
        <v>46</v>
      </c>
      <c r="G47" s="123"/>
      <c r="I47" s="53" t="s">
        <v>338</v>
      </c>
      <c r="J47" s="95">
        <f>C47/C$4</f>
        <v>1.5245839156396901E-3</v>
      </c>
      <c r="K47" s="95">
        <f t="shared" ref="K47:N69" si="22">D47/D$4</f>
        <v>1.6254131874204839E-3</v>
      </c>
      <c r="L47" s="95">
        <f t="shared" si="22"/>
        <v>1.0531692495642513E-3</v>
      </c>
      <c r="M47" s="95">
        <f t="shared" si="22"/>
        <v>9.6374637547558782E-3</v>
      </c>
      <c r="N47" s="95">
        <f t="shared" si="22"/>
        <v>0</v>
      </c>
    </row>
    <row r="48" spans="1:14" x14ac:dyDescent="0.2">
      <c r="A48" s="53" t="s">
        <v>744</v>
      </c>
      <c r="B48" s="53"/>
      <c r="C48" s="97"/>
      <c r="D48" s="97"/>
      <c r="E48" s="123"/>
      <c r="F48" s="123"/>
      <c r="G48" s="123"/>
      <c r="I48" s="53" t="s">
        <v>577</v>
      </c>
      <c r="J48" s="95">
        <f t="shared" ref="J48:J68" si="23">C48/C$4</f>
        <v>0</v>
      </c>
      <c r="K48" s="95">
        <f t="shared" ref="K48:K68" si="24">D48/D$4</f>
        <v>0</v>
      </c>
      <c r="L48" s="95">
        <f t="shared" ref="L48:L68" si="25">E48/E$4</f>
        <v>0</v>
      </c>
      <c r="M48" s="95">
        <f t="shared" ref="M48:M68" si="26">F48/F$4</f>
        <v>0</v>
      </c>
      <c r="N48" s="95">
        <f t="shared" ref="N48:N68" si="27">G48/G$4</f>
        <v>0</v>
      </c>
    </row>
    <row r="49" spans="1:14" x14ac:dyDescent="0.2">
      <c r="A49" s="53" t="s">
        <v>578</v>
      </c>
      <c r="B49" s="53"/>
      <c r="C49" s="97"/>
      <c r="D49" s="97"/>
      <c r="E49" s="97"/>
      <c r="F49" s="123"/>
      <c r="G49" s="123"/>
      <c r="I49" s="53" t="s">
        <v>578</v>
      </c>
      <c r="J49" s="95">
        <f t="shared" si="23"/>
        <v>0</v>
      </c>
      <c r="K49" s="95">
        <f t="shared" si="24"/>
        <v>0</v>
      </c>
      <c r="L49" s="95">
        <f t="shared" si="25"/>
        <v>0</v>
      </c>
      <c r="M49" s="95">
        <f t="shared" si="26"/>
        <v>0</v>
      </c>
      <c r="N49" s="95">
        <f t="shared" si="27"/>
        <v>0</v>
      </c>
    </row>
    <row r="50" spans="1:14" x14ac:dyDescent="0.2">
      <c r="A50" s="53" t="s">
        <v>575</v>
      </c>
      <c r="B50" s="53"/>
      <c r="C50" s="97"/>
      <c r="D50" s="97"/>
      <c r="E50" s="123"/>
      <c r="F50" s="123"/>
      <c r="G50" s="123"/>
      <c r="I50" s="53" t="s">
        <v>575</v>
      </c>
      <c r="J50" s="95">
        <f t="shared" si="23"/>
        <v>0</v>
      </c>
      <c r="K50" s="95">
        <f t="shared" si="24"/>
        <v>0</v>
      </c>
      <c r="L50" s="95">
        <f t="shared" si="25"/>
        <v>0</v>
      </c>
      <c r="M50" s="95">
        <f t="shared" si="26"/>
        <v>0</v>
      </c>
      <c r="N50" s="95">
        <f t="shared" si="27"/>
        <v>0</v>
      </c>
    </row>
    <row r="51" spans="1:14" x14ac:dyDescent="0.2">
      <c r="A51" s="53" t="s">
        <v>574</v>
      </c>
      <c r="B51" s="53"/>
      <c r="C51" s="97"/>
      <c r="D51" s="97"/>
      <c r="E51" s="97"/>
      <c r="F51" s="97"/>
      <c r="G51" s="97"/>
      <c r="I51" s="53" t="s">
        <v>574</v>
      </c>
      <c r="J51" s="95">
        <f t="shared" si="23"/>
        <v>0</v>
      </c>
      <c r="K51" s="95">
        <f t="shared" si="24"/>
        <v>0</v>
      </c>
      <c r="L51" s="95">
        <f t="shared" si="25"/>
        <v>0</v>
      </c>
      <c r="M51" s="95">
        <f t="shared" si="26"/>
        <v>0</v>
      </c>
      <c r="N51" s="95">
        <f t="shared" si="27"/>
        <v>0</v>
      </c>
    </row>
    <row r="52" spans="1:14" x14ac:dyDescent="0.2">
      <c r="A52" s="53" t="s">
        <v>599</v>
      </c>
      <c r="B52" s="53"/>
      <c r="C52" s="97"/>
      <c r="D52" s="97"/>
      <c r="E52" s="97"/>
      <c r="F52" s="97"/>
      <c r="G52" s="97"/>
      <c r="I52" s="53" t="s">
        <v>599</v>
      </c>
      <c r="J52" s="95">
        <f t="shared" ref="J52:J65" si="28">C52/C$4</f>
        <v>0</v>
      </c>
      <c r="K52" s="95">
        <f t="shared" ref="K52:K65" si="29">D52/D$4</f>
        <v>0</v>
      </c>
      <c r="L52" s="95">
        <f t="shared" ref="L52:L65" si="30">E52/E$4</f>
        <v>0</v>
      </c>
      <c r="M52" s="95">
        <f t="shared" ref="M52:M65" si="31">F52/F$4</f>
        <v>0</v>
      </c>
      <c r="N52" s="95">
        <f t="shared" ref="N52:N65" si="32">G52/G$4</f>
        <v>0</v>
      </c>
    </row>
    <row r="53" spans="1:14" x14ac:dyDescent="0.2">
      <c r="A53" s="53" t="s">
        <v>597</v>
      </c>
      <c r="B53" s="53"/>
      <c r="C53" s="97"/>
      <c r="D53" s="97"/>
      <c r="E53" s="97"/>
      <c r="F53" s="97"/>
      <c r="G53" s="97"/>
      <c r="I53" s="53" t="s">
        <v>597</v>
      </c>
      <c r="J53" s="95">
        <f t="shared" si="28"/>
        <v>0</v>
      </c>
      <c r="K53" s="95">
        <f t="shared" si="29"/>
        <v>0</v>
      </c>
      <c r="L53" s="95">
        <f t="shared" si="30"/>
        <v>0</v>
      </c>
      <c r="M53" s="95">
        <f t="shared" si="31"/>
        <v>0</v>
      </c>
      <c r="N53" s="95">
        <f t="shared" si="32"/>
        <v>0</v>
      </c>
    </row>
    <row r="54" spans="1:14" x14ac:dyDescent="0.2">
      <c r="A54" s="53" t="s">
        <v>553</v>
      </c>
      <c r="B54" s="53"/>
      <c r="C54" s="97"/>
      <c r="D54" s="97"/>
      <c r="E54" s="97"/>
      <c r="F54" s="97"/>
      <c r="G54" s="97"/>
      <c r="I54" s="53" t="s">
        <v>553</v>
      </c>
      <c r="J54" s="95">
        <f t="shared" si="28"/>
        <v>0</v>
      </c>
      <c r="K54" s="95">
        <f t="shared" si="29"/>
        <v>0</v>
      </c>
      <c r="L54" s="95">
        <f t="shared" si="30"/>
        <v>0</v>
      </c>
      <c r="M54" s="95">
        <f t="shared" si="31"/>
        <v>0</v>
      </c>
      <c r="N54" s="95">
        <f t="shared" si="32"/>
        <v>0</v>
      </c>
    </row>
    <row r="55" spans="1:14" x14ac:dyDescent="0.2">
      <c r="A55" s="53" t="s">
        <v>607</v>
      </c>
      <c r="B55" s="53"/>
      <c r="C55" s="97"/>
      <c r="D55" s="97"/>
      <c r="E55" s="97"/>
      <c r="F55" s="97"/>
      <c r="G55" s="97"/>
      <c r="I55" s="53" t="s">
        <v>607</v>
      </c>
      <c r="J55" s="95">
        <f t="shared" si="28"/>
        <v>0</v>
      </c>
      <c r="K55" s="95">
        <f t="shared" si="29"/>
        <v>0</v>
      </c>
      <c r="L55" s="95">
        <f t="shared" si="30"/>
        <v>0</v>
      </c>
      <c r="M55" s="95">
        <f t="shared" si="31"/>
        <v>0</v>
      </c>
      <c r="N55" s="95">
        <f t="shared" si="32"/>
        <v>0</v>
      </c>
    </row>
    <row r="56" spans="1:14" x14ac:dyDescent="0.2">
      <c r="A56" s="53" t="s">
        <v>532</v>
      </c>
      <c r="B56" s="53"/>
      <c r="C56" s="97"/>
      <c r="D56" s="97"/>
      <c r="E56" s="97"/>
      <c r="F56" s="97"/>
      <c r="G56" s="97"/>
      <c r="I56" s="53" t="s">
        <v>532</v>
      </c>
      <c r="J56" s="95">
        <f t="shared" si="28"/>
        <v>0</v>
      </c>
      <c r="K56" s="95">
        <f t="shared" si="29"/>
        <v>0</v>
      </c>
      <c r="L56" s="95">
        <f t="shared" si="30"/>
        <v>0</v>
      </c>
      <c r="M56" s="95">
        <f t="shared" si="31"/>
        <v>0</v>
      </c>
      <c r="N56" s="95">
        <f t="shared" si="32"/>
        <v>0</v>
      </c>
    </row>
    <row r="57" spans="1:14" x14ac:dyDescent="0.2">
      <c r="A57" s="53" t="s">
        <v>600</v>
      </c>
      <c r="B57" s="53"/>
      <c r="C57" s="123"/>
      <c r="D57" s="123"/>
      <c r="E57" s="123"/>
      <c r="F57" s="123"/>
      <c r="G57" s="123"/>
      <c r="I57" s="53" t="s">
        <v>600</v>
      </c>
      <c r="J57" s="95">
        <f t="shared" si="28"/>
        <v>0</v>
      </c>
      <c r="K57" s="95">
        <f t="shared" si="29"/>
        <v>0</v>
      </c>
      <c r="L57" s="95">
        <f t="shared" si="30"/>
        <v>0</v>
      </c>
      <c r="M57" s="95">
        <f t="shared" si="31"/>
        <v>0</v>
      </c>
      <c r="N57" s="95">
        <f t="shared" si="32"/>
        <v>0</v>
      </c>
    </row>
    <row r="58" spans="1:14" x14ac:dyDescent="0.2">
      <c r="A58" s="53" t="s">
        <v>601</v>
      </c>
      <c r="B58" s="53"/>
      <c r="C58" s="97"/>
      <c r="D58" s="97"/>
      <c r="E58" s="97"/>
      <c r="F58" s="97"/>
      <c r="G58" s="97"/>
      <c r="I58" s="53" t="s">
        <v>601</v>
      </c>
      <c r="J58" s="95">
        <f t="shared" si="28"/>
        <v>0</v>
      </c>
      <c r="K58" s="95">
        <f t="shared" si="29"/>
        <v>0</v>
      </c>
      <c r="L58" s="95">
        <f t="shared" si="30"/>
        <v>0</v>
      </c>
      <c r="M58" s="95">
        <f t="shared" si="31"/>
        <v>0</v>
      </c>
      <c r="N58" s="95">
        <f t="shared" si="32"/>
        <v>0</v>
      </c>
    </row>
    <row r="59" spans="1:14" x14ac:dyDescent="0.2">
      <c r="A59" s="53" t="s">
        <v>540</v>
      </c>
      <c r="B59" s="53"/>
      <c r="C59" s="97"/>
      <c r="D59" s="97"/>
      <c r="E59" s="97"/>
      <c r="F59" s="97"/>
      <c r="G59" s="97"/>
      <c r="I59" s="53" t="s">
        <v>540</v>
      </c>
      <c r="J59" s="95">
        <f t="shared" si="28"/>
        <v>0</v>
      </c>
      <c r="K59" s="95">
        <f t="shared" si="29"/>
        <v>0</v>
      </c>
      <c r="L59" s="95">
        <f t="shared" si="30"/>
        <v>0</v>
      </c>
      <c r="M59" s="95">
        <f t="shared" si="31"/>
        <v>0</v>
      </c>
      <c r="N59" s="95">
        <f t="shared" si="32"/>
        <v>0</v>
      </c>
    </row>
    <row r="60" spans="1:14" x14ac:dyDescent="0.2">
      <c r="A60" s="53" t="s">
        <v>573</v>
      </c>
      <c r="B60" s="53"/>
      <c r="C60" s="97"/>
      <c r="D60" s="97"/>
      <c r="E60" s="97"/>
      <c r="F60" s="97"/>
      <c r="G60" s="97"/>
      <c r="I60" s="53" t="s">
        <v>573</v>
      </c>
      <c r="J60" s="95">
        <f t="shared" si="28"/>
        <v>0</v>
      </c>
      <c r="K60" s="95">
        <f t="shared" si="29"/>
        <v>0</v>
      </c>
      <c r="L60" s="95">
        <f t="shared" si="30"/>
        <v>0</v>
      </c>
      <c r="M60" s="95">
        <f t="shared" si="31"/>
        <v>0</v>
      </c>
      <c r="N60" s="95">
        <f t="shared" si="32"/>
        <v>0</v>
      </c>
    </row>
    <row r="61" spans="1:14" x14ac:dyDescent="0.2">
      <c r="A61" s="53" t="s">
        <v>347</v>
      </c>
      <c r="B61" s="53"/>
      <c r="C61" s="123"/>
      <c r="D61" s="123"/>
      <c r="E61" s="123"/>
      <c r="F61" s="123"/>
      <c r="G61" s="123"/>
      <c r="I61" s="53" t="s">
        <v>347</v>
      </c>
      <c r="J61" s="95">
        <f t="shared" si="28"/>
        <v>0</v>
      </c>
      <c r="K61" s="95">
        <f t="shared" si="29"/>
        <v>0</v>
      </c>
      <c r="L61" s="95">
        <f t="shared" si="30"/>
        <v>0</v>
      </c>
      <c r="M61" s="95">
        <f t="shared" si="31"/>
        <v>0</v>
      </c>
      <c r="N61" s="95">
        <f t="shared" si="32"/>
        <v>0</v>
      </c>
    </row>
    <row r="62" spans="1:14" x14ac:dyDescent="0.2">
      <c r="A62" s="53" t="s">
        <v>533</v>
      </c>
      <c r="B62" s="53"/>
      <c r="C62" s="97"/>
      <c r="D62" s="97"/>
      <c r="E62" s="97"/>
      <c r="F62" s="97"/>
      <c r="G62" s="97"/>
      <c r="I62" s="53" t="s">
        <v>533</v>
      </c>
      <c r="J62" s="95">
        <f t="shared" si="28"/>
        <v>0</v>
      </c>
      <c r="K62" s="95">
        <f t="shared" si="29"/>
        <v>0</v>
      </c>
      <c r="L62" s="95">
        <f t="shared" si="30"/>
        <v>0</v>
      </c>
      <c r="M62" s="95">
        <f t="shared" si="31"/>
        <v>0</v>
      </c>
      <c r="N62" s="95">
        <f t="shared" si="32"/>
        <v>0</v>
      </c>
    </row>
    <row r="63" spans="1:14" x14ac:dyDescent="0.2">
      <c r="A63" s="53" t="s">
        <v>576</v>
      </c>
      <c r="B63" s="53"/>
      <c r="C63" s="97"/>
      <c r="D63" s="97"/>
      <c r="E63" s="97"/>
      <c r="F63" s="97"/>
      <c r="G63" s="97"/>
      <c r="I63" s="53" t="s">
        <v>576</v>
      </c>
      <c r="J63" s="95">
        <f t="shared" si="28"/>
        <v>0</v>
      </c>
      <c r="K63" s="95">
        <f t="shared" si="29"/>
        <v>0</v>
      </c>
      <c r="L63" s="95">
        <f t="shared" si="30"/>
        <v>0</v>
      </c>
      <c r="M63" s="95">
        <f t="shared" si="31"/>
        <v>0</v>
      </c>
      <c r="N63" s="95">
        <f t="shared" si="32"/>
        <v>0</v>
      </c>
    </row>
    <row r="64" spans="1:14" x14ac:dyDescent="0.2">
      <c r="A64" s="53" t="s">
        <v>571</v>
      </c>
      <c r="B64" s="123">
        <v>-611</v>
      </c>
      <c r="C64" s="123">
        <v>-383</v>
      </c>
      <c r="D64" s="123">
        <v>-391</v>
      </c>
      <c r="E64" s="123">
        <v>-358</v>
      </c>
      <c r="F64" s="123">
        <v>-200</v>
      </c>
      <c r="G64" s="123"/>
      <c r="I64" s="53" t="s">
        <v>571</v>
      </c>
      <c r="J64" s="95">
        <f t="shared" si="28"/>
        <v>-4.8659636640833441E-2</v>
      </c>
      <c r="K64" s="95">
        <f t="shared" si="29"/>
        <v>-5.7776050571037206E-2</v>
      </c>
      <c r="L64" s="95">
        <f t="shared" si="30"/>
        <v>-6.2839098557333661E-2</v>
      </c>
      <c r="M64" s="95">
        <f t="shared" si="31"/>
        <v>-4.1902016325025562E-2</v>
      </c>
      <c r="N64" s="95">
        <f t="shared" si="32"/>
        <v>0</v>
      </c>
    </row>
    <row r="65" spans="1:14" x14ac:dyDescent="0.2">
      <c r="A65" s="53" t="s">
        <v>606</v>
      </c>
      <c r="B65" s="53"/>
      <c r="C65" s="97"/>
      <c r="D65" s="97"/>
      <c r="E65" s="97"/>
      <c r="F65" s="97"/>
      <c r="G65" s="97"/>
      <c r="I65" s="53" t="s">
        <v>606</v>
      </c>
      <c r="J65" s="95">
        <f t="shared" si="28"/>
        <v>0</v>
      </c>
      <c r="K65" s="95">
        <f t="shared" si="29"/>
        <v>0</v>
      </c>
      <c r="L65" s="95">
        <f t="shared" si="30"/>
        <v>0</v>
      </c>
      <c r="M65" s="95">
        <f t="shared" si="31"/>
        <v>0</v>
      </c>
      <c r="N65" s="95">
        <f t="shared" si="32"/>
        <v>0</v>
      </c>
    </row>
    <row r="66" spans="1:14" x14ac:dyDescent="0.2">
      <c r="A66" s="53" t="s">
        <v>598</v>
      </c>
      <c r="B66" s="53"/>
      <c r="C66" s="97"/>
      <c r="D66" s="97"/>
      <c r="E66" s="97"/>
      <c r="F66" s="97"/>
      <c r="G66" s="97"/>
      <c r="I66" s="53" t="s">
        <v>598</v>
      </c>
      <c r="J66" s="95">
        <f t="shared" ref="J66:J67" si="33">C66/C$4</f>
        <v>0</v>
      </c>
      <c r="K66" s="95">
        <f t="shared" ref="K66:K67" si="34">D66/D$4</f>
        <v>0</v>
      </c>
      <c r="L66" s="95">
        <f t="shared" ref="L66:L67" si="35">E66/E$4</f>
        <v>0</v>
      </c>
      <c r="M66" s="95">
        <f t="shared" ref="M66:M67" si="36">F66/F$4</f>
        <v>0</v>
      </c>
      <c r="N66" s="95">
        <f t="shared" ref="N66:N67" si="37">G66/G$4</f>
        <v>0</v>
      </c>
    </row>
    <row r="67" spans="1:14" x14ac:dyDescent="0.2">
      <c r="A67" s="53" t="s">
        <v>572</v>
      </c>
      <c r="B67" s="53"/>
      <c r="C67" s="97"/>
      <c r="D67" s="97"/>
      <c r="E67" s="97"/>
      <c r="F67" s="97"/>
      <c r="G67" s="97"/>
      <c r="I67" s="53" t="s">
        <v>572</v>
      </c>
      <c r="J67" s="95">
        <f t="shared" si="33"/>
        <v>0</v>
      </c>
      <c r="K67" s="95">
        <f t="shared" si="34"/>
        <v>0</v>
      </c>
      <c r="L67" s="95">
        <f t="shared" si="35"/>
        <v>0</v>
      </c>
      <c r="M67" s="95">
        <f t="shared" si="36"/>
        <v>0</v>
      </c>
      <c r="N67" s="95">
        <f t="shared" si="37"/>
        <v>0</v>
      </c>
    </row>
    <row r="68" spans="1:14" x14ac:dyDescent="0.2">
      <c r="A68" s="53" t="s">
        <v>541</v>
      </c>
      <c r="B68" s="53"/>
      <c r="C68" s="97"/>
      <c r="D68" s="97"/>
      <c r="E68" s="97"/>
      <c r="F68" s="97"/>
      <c r="G68" s="97"/>
      <c r="I68" s="53" t="s">
        <v>541</v>
      </c>
      <c r="J68" s="95">
        <f t="shared" si="23"/>
        <v>0</v>
      </c>
      <c r="K68" s="95">
        <f t="shared" si="24"/>
        <v>0</v>
      </c>
      <c r="L68" s="95">
        <f t="shared" si="25"/>
        <v>0</v>
      </c>
      <c r="M68" s="95">
        <f t="shared" si="26"/>
        <v>0</v>
      </c>
      <c r="N68" s="95">
        <f t="shared" si="27"/>
        <v>0</v>
      </c>
    </row>
    <row r="69" spans="1:14" x14ac:dyDescent="0.2">
      <c r="A69" s="102" t="s">
        <v>339</v>
      </c>
      <c r="B69" s="296">
        <v>-673</v>
      </c>
      <c r="C69" s="108">
        <v>-509</v>
      </c>
      <c r="D69" s="108">
        <v>-579</v>
      </c>
      <c r="E69" s="108">
        <v>-379</v>
      </c>
      <c r="F69" s="108">
        <v>-280</v>
      </c>
      <c r="G69" s="108"/>
      <c r="H69" s="103">
        <f t="shared" ref="H69" si="38">SUM(H47:H68)</f>
        <v>0</v>
      </c>
      <c r="I69" s="102" t="s">
        <v>339</v>
      </c>
      <c r="J69" s="102">
        <f>C69/C$4</f>
        <v>-6.466776775505019E-2</v>
      </c>
      <c r="K69" s="102">
        <f>D69/D$4</f>
        <v>-8.555583959240548E-2</v>
      </c>
      <c r="L69" s="102">
        <f>E69/E$4</f>
        <v>-6.6525190930808539E-2</v>
      </c>
      <c r="M69" s="102">
        <f t="shared" si="22"/>
        <v>-5.8662822855035782E-2</v>
      </c>
      <c r="N69" s="102">
        <f t="shared" si="22"/>
        <v>0</v>
      </c>
    </row>
    <row r="70" spans="1:14" x14ac:dyDescent="0.2">
      <c r="A70" s="53"/>
      <c r="B70" s="53"/>
      <c r="C70" s="97"/>
      <c r="D70" s="97"/>
      <c r="E70" s="97"/>
      <c r="F70" s="97"/>
      <c r="G70" s="97"/>
      <c r="I70" s="53"/>
      <c r="J70" s="95"/>
      <c r="K70" s="95"/>
      <c r="L70" s="95"/>
      <c r="M70" s="95"/>
      <c r="N70" s="95"/>
    </row>
    <row r="71" spans="1:14" x14ac:dyDescent="0.2">
      <c r="A71" s="91" t="s">
        <v>340</v>
      </c>
      <c r="B71" s="91"/>
      <c r="C71" s="97"/>
      <c r="D71" s="97"/>
      <c r="E71" s="97"/>
      <c r="F71" s="97"/>
      <c r="G71" s="97"/>
      <c r="I71" s="91" t="s">
        <v>340</v>
      </c>
      <c r="J71" s="95"/>
      <c r="K71" s="95"/>
      <c r="L71" s="95"/>
      <c r="M71" s="95"/>
      <c r="N71" s="95"/>
    </row>
    <row r="72" spans="1:14" x14ac:dyDescent="0.2">
      <c r="A72" s="53" t="s">
        <v>341</v>
      </c>
      <c r="B72" s="53"/>
      <c r="C72" s="123"/>
      <c r="D72" s="123"/>
      <c r="E72" s="123"/>
      <c r="F72" s="123"/>
      <c r="G72" s="123"/>
      <c r="I72" s="53" t="s">
        <v>341</v>
      </c>
      <c r="J72" s="95">
        <f>C72/C$4</f>
        <v>0</v>
      </c>
      <c r="K72" s="95">
        <f t="shared" ref="K72:N72" si="39">D72/D$4</f>
        <v>0</v>
      </c>
      <c r="L72" s="95">
        <f t="shared" si="39"/>
        <v>0</v>
      </c>
      <c r="M72" s="95">
        <f t="shared" si="39"/>
        <v>0</v>
      </c>
      <c r="N72" s="95">
        <f t="shared" si="39"/>
        <v>0</v>
      </c>
    </row>
    <row r="73" spans="1:14" x14ac:dyDescent="0.2">
      <c r="A73" s="53" t="s">
        <v>579</v>
      </c>
      <c r="B73" s="53"/>
      <c r="C73" s="97"/>
      <c r="D73" s="123"/>
      <c r="E73" s="97"/>
      <c r="F73" s="97"/>
      <c r="G73" s="97"/>
      <c r="I73" s="53" t="s">
        <v>579</v>
      </c>
      <c r="J73" s="95">
        <f t="shared" ref="J73:J83" si="40">C73/C$4</f>
        <v>0</v>
      </c>
      <c r="K73" s="95">
        <f t="shared" ref="K73:K83" si="41">D73/D$4</f>
        <v>0</v>
      </c>
      <c r="L73" s="95">
        <f t="shared" ref="L73:L83" si="42">E73/E$4</f>
        <v>0</v>
      </c>
      <c r="M73" s="95">
        <f t="shared" ref="M73:M83" si="43">F73/F$4</f>
        <v>0</v>
      </c>
      <c r="N73" s="95">
        <f t="shared" ref="N73:N83" si="44">G73/G$4</f>
        <v>0</v>
      </c>
    </row>
    <row r="74" spans="1:14" x14ac:dyDescent="0.2">
      <c r="A74" s="53" t="s">
        <v>581</v>
      </c>
      <c r="B74" s="53"/>
      <c r="C74" s="123"/>
      <c r="D74" s="123"/>
      <c r="E74" s="123"/>
      <c r="F74" s="123"/>
      <c r="G74" s="123"/>
      <c r="I74" s="53" t="s">
        <v>581</v>
      </c>
      <c r="J74" s="95">
        <f t="shared" si="40"/>
        <v>0</v>
      </c>
      <c r="K74" s="95">
        <f t="shared" si="41"/>
        <v>0</v>
      </c>
      <c r="L74" s="95">
        <f t="shared" si="42"/>
        <v>0</v>
      </c>
      <c r="M74" s="95">
        <f t="shared" si="43"/>
        <v>0</v>
      </c>
      <c r="N74" s="95">
        <f t="shared" si="44"/>
        <v>0</v>
      </c>
    </row>
    <row r="75" spans="1:14" x14ac:dyDescent="0.2">
      <c r="A75" s="53" t="s">
        <v>745</v>
      </c>
      <c r="B75" s="53"/>
      <c r="C75" s="123"/>
      <c r="D75" s="123"/>
      <c r="E75" s="97"/>
      <c r="F75" s="97"/>
      <c r="G75" s="97"/>
      <c r="I75" s="53" t="s">
        <v>485</v>
      </c>
      <c r="J75" s="95">
        <f t="shared" si="40"/>
        <v>0</v>
      </c>
      <c r="K75" s="95">
        <f t="shared" si="41"/>
        <v>0</v>
      </c>
      <c r="L75" s="95">
        <f t="shared" si="42"/>
        <v>0</v>
      </c>
      <c r="M75" s="95">
        <f t="shared" si="43"/>
        <v>0</v>
      </c>
      <c r="N75" s="95">
        <f t="shared" si="44"/>
        <v>0</v>
      </c>
    </row>
    <row r="76" spans="1:14" x14ac:dyDescent="0.2">
      <c r="A76" s="53" t="s">
        <v>558</v>
      </c>
      <c r="B76" s="53"/>
      <c r="C76" s="97"/>
      <c r="D76" s="97"/>
      <c r="E76" s="97"/>
      <c r="F76" s="97"/>
      <c r="G76" s="97"/>
      <c r="I76" s="53" t="s">
        <v>558</v>
      </c>
      <c r="J76" s="95">
        <f t="shared" si="40"/>
        <v>0</v>
      </c>
      <c r="K76" s="95">
        <f t="shared" si="41"/>
        <v>0</v>
      </c>
      <c r="L76" s="95">
        <f t="shared" si="42"/>
        <v>0</v>
      </c>
      <c r="M76" s="95">
        <f t="shared" si="43"/>
        <v>0</v>
      </c>
      <c r="N76" s="95">
        <f t="shared" si="44"/>
        <v>0</v>
      </c>
    </row>
    <row r="77" spans="1:14" x14ac:dyDescent="0.2">
      <c r="A77" s="53" t="s">
        <v>618</v>
      </c>
      <c r="B77" s="53"/>
      <c r="C77" s="97"/>
      <c r="D77" s="97"/>
      <c r="E77" s="97"/>
      <c r="F77" s="123"/>
      <c r="G77" s="123"/>
      <c r="I77" s="53" t="s">
        <v>580</v>
      </c>
      <c r="J77" s="95">
        <f t="shared" si="40"/>
        <v>0</v>
      </c>
      <c r="K77" s="95">
        <f t="shared" si="41"/>
        <v>0</v>
      </c>
      <c r="L77" s="95">
        <f t="shared" si="42"/>
        <v>0</v>
      </c>
      <c r="M77" s="95">
        <f t="shared" si="43"/>
        <v>0</v>
      </c>
      <c r="N77" s="95">
        <f t="shared" si="44"/>
        <v>0</v>
      </c>
    </row>
    <row r="78" spans="1:14" x14ac:dyDescent="0.2">
      <c r="A78" s="53" t="s">
        <v>555</v>
      </c>
      <c r="B78" s="53"/>
      <c r="C78" s="97"/>
      <c r="D78" s="97"/>
      <c r="E78" s="97"/>
      <c r="F78" s="97"/>
      <c r="G78" s="97"/>
      <c r="I78" s="53" t="s">
        <v>555</v>
      </c>
      <c r="J78" s="95">
        <f t="shared" si="40"/>
        <v>0</v>
      </c>
      <c r="K78" s="95">
        <f t="shared" si="41"/>
        <v>0</v>
      </c>
      <c r="L78" s="95">
        <f t="shared" si="42"/>
        <v>0</v>
      </c>
      <c r="M78" s="95">
        <f t="shared" si="43"/>
        <v>0</v>
      </c>
      <c r="N78" s="95">
        <f t="shared" si="44"/>
        <v>0</v>
      </c>
    </row>
    <row r="79" spans="1:14" x14ac:dyDescent="0.2">
      <c r="A79" s="53" t="s">
        <v>554</v>
      </c>
      <c r="B79" s="53"/>
      <c r="C79" s="97"/>
      <c r="D79" s="97"/>
      <c r="E79" s="97"/>
      <c r="F79" s="97"/>
      <c r="G79" s="97"/>
      <c r="I79" s="53" t="s">
        <v>554</v>
      </c>
      <c r="J79" s="95">
        <f t="shared" si="40"/>
        <v>0</v>
      </c>
      <c r="K79" s="95">
        <f t="shared" si="41"/>
        <v>0</v>
      </c>
      <c r="L79" s="95">
        <f t="shared" si="42"/>
        <v>0</v>
      </c>
      <c r="M79" s="95">
        <f t="shared" si="43"/>
        <v>0</v>
      </c>
      <c r="N79" s="95">
        <f t="shared" si="44"/>
        <v>0</v>
      </c>
    </row>
    <row r="80" spans="1:14" x14ac:dyDescent="0.2">
      <c r="A80" s="53" t="s">
        <v>543</v>
      </c>
      <c r="B80" s="53"/>
      <c r="C80" s="97"/>
      <c r="D80" s="97"/>
      <c r="E80" s="97"/>
      <c r="F80" s="97"/>
      <c r="G80" s="97"/>
      <c r="I80" s="53" t="s">
        <v>543</v>
      </c>
      <c r="J80" s="95">
        <f t="shared" si="40"/>
        <v>0</v>
      </c>
      <c r="K80" s="95">
        <f t="shared" si="41"/>
        <v>0</v>
      </c>
      <c r="L80" s="95">
        <f t="shared" si="42"/>
        <v>0</v>
      </c>
      <c r="M80" s="95">
        <f t="shared" si="43"/>
        <v>0</v>
      </c>
      <c r="N80" s="95">
        <f t="shared" si="44"/>
        <v>0</v>
      </c>
    </row>
    <row r="81" spans="1:14" x14ac:dyDescent="0.2">
      <c r="A81" s="53" t="s">
        <v>544</v>
      </c>
      <c r="B81" s="53"/>
      <c r="C81" s="97"/>
      <c r="D81" s="97"/>
      <c r="E81" s="123"/>
      <c r="F81" s="123"/>
      <c r="G81" s="123"/>
      <c r="I81" s="53" t="s">
        <v>544</v>
      </c>
      <c r="J81" s="95">
        <f t="shared" si="40"/>
        <v>0</v>
      </c>
      <c r="K81" s="95">
        <f t="shared" si="41"/>
        <v>0</v>
      </c>
      <c r="L81" s="95">
        <f t="shared" si="42"/>
        <v>0</v>
      </c>
      <c r="M81" s="95">
        <f t="shared" si="43"/>
        <v>0</v>
      </c>
      <c r="N81" s="95">
        <f t="shared" si="44"/>
        <v>0</v>
      </c>
    </row>
    <row r="82" spans="1:14" x14ac:dyDescent="0.2">
      <c r="A82" s="53" t="s">
        <v>545</v>
      </c>
      <c r="B82" s="53"/>
      <c r="C82" s="97"/>
      <c r="D82" s="97"/>
      <c r="E82" s="123"/>
      <c r="F82" s="123"/>
      <c r="G82" s="123"/>
      <c r="I82" s="53" t="s">
        <v>545</v>
      </c>
      <c r="J82" s="95">
        <f t="shared" si="40"/>
        <v>0</v>
      </c>
      <c r="K82" s="95">
        <f t="shared" si="41"/>
        <v>0</v>
      </c>
      <c r="L82" s="95">
        <f t="shared" si="42"/>
        <v>0</v>
      </c>
      <c r="M82" s="95">
        <f t="shared" si="43"/>
        <v>0</v>
      </c>
      <c r="N82" s="95">
        <f t="shared" si="44"/>
        <v>0</v>
      </c>
    </row>
    <row r="83" spans="1:14" x14ac:dyDescent="0.2">
      <c r="A83" s="53" t="s">
        <v>542</v>
      </c>
      <c r="B83" s="53"/>
      <c r="C83" s="97"/>
      <c r="D83" s="97"/>
      <c r="E83" s="97"/>
      <c r="F83" s="97"/>
      <c r="G83" s="97"/>
      <c r="I83" s="53" t="s">
        <v>542</v>
      </c>
      <c r="J83" s="95">
        <f t="shared" si="40"/>
        <v>0</v>
      </c>
      <c r="K83" s="95">
        <f t="shared" si="41"/>
        <v>0</v>
      </c>
      <c r="L83" s="95">
        <f t="shared" si="42"/>
        <v>0</v>
      </c>
      <c r="M83" s="95">
        <f t="shared" si="43"/>
        <v>0</v>
      </c>
      <c r="N83" s="95">
        <f t="shared" si="44"/>
        <v>0</v>
      </c>
    </row>
    <row r="84" spans="1:14" x14ac:dyDescent="0.2">
      <c r="A84" s="102" t="s">
        <v>342</v>
      </c>
      <c r="B84" s="296">
        <v>-124</v>
      </c>
      <c r="C84" s="108">
        <v>-123</v>
      </c>
      <c r="D84" s="108">
        <v>-104</v>
      </c>
      <c r="E84" s="108">
        <v>-101</v>
      </c>
      <c r="F84" s="108">
        <v>-108</v>
      </c>
      <c r="G84" s="108"/>
      <c r="H84" s="103">
        <f t="shared" ref="H84" si="45">SUM(H72:H83)</f>
        <v>0</v>
      </c>
      <c r="I84" s="102" t="s">
        <v>342</v>
      </c>
      <c r="J84" s="102">
        <f t="shared" ref="J84:N85" si="46">C84/C$4</f>
        <v>-1.5626985135306821E-2</v>
      </c>
      <c r="K84" s="102">
        <f t="shared" si="46"/>
        <v>-1.5367542862884576E-2</v>
      </c>
      <c r="L84" s="102">
        <f t="shared" si="46"/>
        <v>-1.7728349034331563E-2</v>
      </c>
      <c r="M84" s="102">
        <f t="shared" si="46"/>
        <v>-2.2627088815513802E-2</v>
      </c>
      <c r="N84" s="102">
        <f t="shared" si="46"/>
        <v>0</v>
      </c>
    </row>
    <row r="85" spans="1:14" x14ac:dyDescent="0.2">
      <c r="A85" s="104" t="s">
        <v>343</v>
      </c>
      <c r="B85" s="233">
        <f t="shared" ref="B85:H85" si="47">B44+B69+B84</f>
        <v>76</v>
      </c>
      <c r="C85" s="233">
        <f t="shared" si="47"/>
        <v>-27</v>
      </c>
      <c r="D85" s="233">
        <f t="shared" si="47"/>
        <v>-60</v>
      </c>
      <c r="E85" s="233">
        <f t="shared" si="47"/>
        <v>69</v>
      </c>
      <c r="F85" s="233">
        <f t="shared" si="47"/>
        <v>-91</v>
      </c>
      <c r="G85" s="233">
        <f t="shared" si="47"/>
        <v>0</v>
      </c>
      <c r="H85" s="105">
        <f t="shared" si="47"/>
        <v>0</v>
      </c>
      <c r="I85" s="104" t="s">
        <v>343</v>
      </c>
      <c r="J85" s="106">
        <f t="shared" si="46"/>
        <v>-3.4303138101893023E-3</v>
      </c>
      <c r="K85" s="106">
        <f t="shared" si="46"/>
        <v>-8.8658901132026395E-3</v>
      </c>
      <c r="L85" s="106">
        <f t="shared" si="46"/>
        <v>1.2111446369988888E-2</v>
      </c>
      <c r="M85" s="106">
        <f t="shared" si="46"/>
        <v>-1.906541742788663E-2</v>
      </c>
      <c r="N85" s="106">
        <f t="shared" si="46"/>
        <v>0</v>
      </c>
    </row>
  </sheetData>
  <mergeCells count="4">
    <mergeCell ref="A1:G1"/>
    <mergeCell ref="I1:N1"/>
    <mergeCell ref="A2:G2"/>
    <mergeCell ref="I2:N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42"/>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ColWidth="9.140625" defaultRowHeight="11.25" x14ac:dyDescent="0.2"/>
  <cols>
    <col min="1" max="1" width="9.140625" style="2"/>
    <col min="2" max="2" width="42.85546875" style="2" bestFit="1" customWidth="1"/>
    <col min="3" max="3" width="6.28515625" style="2" bestFit="1" customWidth="1"/>
    <col min="4" max="4" width="6.85546875" style="2" bestFit="1" customWidth="1"/>
    <col min="5" max="5" width="7" style="2" bestFit="1" customWidth="1"/>
    <col min="6" max="13" width="6.85546875" style="2" bestFit="1" customWidth="1"/>
    <col min="14" max="16384" width="9.140625" style="2"/>
  </cols>
  <sheetData>
    <row r="1" spans="1:13" x14ac:dyDescent="0.2">
      <c r="A1" s="1" t="s">
        <v>936</v>
      </c>
    </row>
    <row r="3" spans="1:13" x14ac:dyDescent="0.2">
      <c r="A3" s="3" t="s">
        <v>7</v>
      </c>
      <c r="B3" s="3"/>
      <c r="C3" s="3"/>
    </row>
    <row r="4" spans="1:13" x14ac:dyDescent="0.2">
      <c r="A4" s="3"/>
      <c r="B4" s="3"/>
      <c r="C4" s="3"/>
    </row>
    <row r="5" spans="1:13" s="13" customFormat="1" x14ac:dyDescent="0.2">
      <c r="C5" s="232">
        <v>45717</v>
      </c>
      <c r="D5" s="232">
        <v>45352</v>
      </c>
      <c r="E5" s="232">
        <v>44986</v>
      </c>
      <c r="F5" s="232">
        <v>44621</v>
      </c>
      <c r="G5" s="232">
        <v>44256</v>
      </c>
      <c r="H5" s="232">
        <v>43891</v>
      </c>
      <c r="I5" s="232">
        <v>43525</v>
      </c>
      <c r="J5" s="232">
        <v>43160</v>
      </c>
      <c r="K5" s="232">
        <v>42795</v>
      </c>
      <c r="L5" s="232">
        <v>42430</v>
      </c>
      <c r="M5" s="232">
        <v>42064</v>
      </c>
    </row>
    <row r="6" spans="1:13" x14ac:dyDescent="0.2">
      <c r="A6" s="4" t="s">
        <v>349</v>
      </c>
      <c r="B6" s="3" t="s">
        <v>350</v>
      </c>
      <c r="C6" s="3"/>
    </row>
    <row r="8" spans="1:13" s="3" customFormat="1" x14ac:dyDescent="0.2">
      <c r="A8" s="4">
        <v>1</v>
      </c>
      <c r="B8" s="3" t="s">
        <v>351</v>
      </c>
      <c r="C8" s="5">
        <f>C9/C10</f>
        <v>8.4159506353050464</v>
      </c>
      <c r="D8" s="5">
        <f>D9/D10</f>
        <v>8.1882336261438216</v>
      </c>
      <c r="E8" s="5">
        <f t="shared" ref="E8:M8" si="0">E9/E10</f>
        <v>8.008214388980889</v>
      </c>
      <c r="F8" s="5">
        <f t="shared" si="0"/>
        <v>7.7906305455487095</v>
      </c>
      <c r="G8" s="5">
        <f t="shared" si="0"/>
        <v>7.3094711476397434</v>
      </c>
      <c r="H8" s="5">
        <f t="shared" si="0"/>
        <v>8.0955866839126323</v>
      </c>
      <c r="I8" s="5">
        <f t="shared" si="0"/>
        <v>9.6767260557522281</v>
      </c>
      <c r="J8" s="5">
        <f t="shared" si="0"/>
        <v>9.0475215425305002</v>
      </c>
      <c r="K8" s="5">
        <f t="shared" si="0"/>
        <v>8.8356897702913226</v>
      </c>
      <c r="L8" s="5">
        <f t="shared" si="0"/>
        <v>8.7747767530376226</v>
      </c>
      <c r="M8" s="5" t="e">
        <f t="shared" si="0"/>
        <v>#DIV/0!</v>
      </c>
    </row>
    <row r="9" spans="1:13" x14ac:dyDescent="0.2">
      <c r="B9" s="2" t="s">
        <v>352</v>
      </c>
      <c r="C9" s="6">
        <f>SUM(Financials_Consol!B81:B84)</f>
        <v>7610.46</v>
      </c>
      <c r="D9" s="6">
        <f>SUM(Financials_Consol!C81:C84)</f>
        <v>6930.48</v>
      </c>
      <c r="E9" s="6">
        <f>SUM(Financials_Consol!D81:D84)</f>
        <v>6093.1299999999992</v>
      </c>
      <c r="F9" s="6">
        <f>SUM(Financials_Consol!E81:E84)</f>
        <v>5114.51</v>
      </c>
      <c r="G9" s="6">
        <f>SUM(Financials_Consol!F81:F84)</f>
        <v>4246.62</v>
      </c>
      <c r="H9" s="6">
        <f>SUM(Financials_Consol!G81:G84)</f>
        <v>4412.54</v>
      </c>
      <c r="I9" s="6">
        <f>SUM(Financials_Consol!H81:H84)</f>
        <v>5002.1899999999996</v>
      </c>
      <c r="J9" s="6">
        <f>SUM(Financials_Consol!I81:I84)</f>
        <v>4241.84</v>
      </c>
      <c r="K9" s="6">
        <f>SUM(Financials_Consol!J81:J84)</f>
        <v>3771.47</v>
      </c>
      <c r="L9" s="6">
        <f>SUM(Financials_Consol!K81:K84)</f>
        <v>3596.4300000000003</v>
      </c>
      <c r="M9" s="6">
        <f>SUM(Financials_Consol!L81:L84)</f>
        <v>0</v>
      </c>
    </row>
    <row r="10" spans="1:13" x14ac:dyDescent="0.2">
      <c r="B10" s="2" t="s">
        <v>353</v>
      </c>
      <c r="C10" s="6">
        <f>AVERAGE(Financials_Consol!B43:C43)</f>
        <v>904.29</v>
      </c>
      <c r="D10" s="6">
        <f>AVERAGE(Financials_Consol!C43:D43)</f>
        <v>846.39499999999998</v>
      </c>
      <c r="E10" s="6">
        <f>AVERAGE(Financials_Consol!D43:E43)</f>
        <v>760.86</v>
      </c>
      <c r="F10" s="6">
        <f>AVERAGE(Financials_Consol!E43:F43)</f>
        <v>656.495</v>
      </c>
      <c r="G10" s="6">
        <f>AVERAGE(Financials_Consol!F43:G43)</f>
        <v>580.97500000000002</v>
      </c>
      <c r="H10" s="6">
        <f>AVERAGE(Financials_Consol!G43:H43)</f>
        <v>545.05500000000006</v>
      </c>
      <c r="I10" s="6">
        <f>AVERAGE(Financials_Consol!H43:I43)</f>
        <v>516.93000000000006</v>
      </c>
      <c r="J10" s="6">
        <f>AVERAGE(Financials_Consol!I43:J43)</f>
        <v>468.84000000000003</v>
      </c>
      <c r="K10" s="6">
        <f>AVERAGE(Financials_Consol!J43:K43)</f>
        <v>426.84500000000003</v>
      </c>
      <c r="L10" s="6">
        <f>AVERAGE(Financials_Consol!K43:L43)</f>
        <v>409.86</v>
      </c>
      <c r="M10" s="6" t="e">
        <f>AVERAGE(Financials_Consol!L43:M43)</f>
        <v>#DIV/0!</v>
      </c>
    </row>
    <row r="12" spans="1:13" x14ac:dyDescent="0.2">
      <c r="A12" s="4">
        <f>A8+1</f>
        <v>2</v>
      </c>
      <c r="B12" s="3" t="s">
        <v>354</v>
      </c>
      <c r="C12" s="5">
        <f>C13/C14</f>
        <v>43.370026253340797</v>
      </c>
      <c r="D12" s="5">
        <f>D13/D14</f>
        <v>44.576158505615773</v>
      </c>
      <c r="E12" s="5">
        <f t="shared" ref="E12:M12" si="1">E13/E14</f>
        <v>45.703072148468856</v>
      </c>
      <c r="F12" s="5">
        <f t="shared" si="1"/>
        <v>46.851149963535121</v>
      </c>
      <c r="G12" s="5">
        <f t="shared" si="1"/>
        <v>49.935213181306544</v>
      </c>
      <c r="H12" s="5">
        <f t="shared" si="1"/>
        <v>45.086293835296679</v>
      </c>
      <c r="I12" s="5">
        <f t="shared" si="1"/>
        <v>37.719368916414616</v>
      </c>
      <c r="J12" s="5">
        <f t="shared" si="1"/>
        <v>40.342540029798393</v>
      </c>
      <c r="K12" s="5">
        <f t="shared" si="1"/>
        <v>41.309734665793449</v>
      </c>
      <c r="L12" s="5">
        <f t="shared" si="1"/>
        <v>41.596499862363508</v>
      </c>
      <c r="M12" s="5" t="e">
        <f t="shared" si="1"/>
        <v>#DIV/0!</v>
      </c>
    </row>
    <row r="13" spans="1:13" x14ac:dyDescent="0.2">
      <c r="A13" s="4"/>
      <c r="B13" s="2" t="s">
        <v>355</v>
      </c>
      <c r="C13" s="2">
        <v>365</v>
      </c>
      <c r="D13" s="2">
        <v>365</v>
      </c>
      <c r="E13" s="2">
        <v>366</v>
      </c>
      <c r="F13" s="2">
        <v>365</v>
      </c>
      <c r="G13" s="2">
        <v>365</v>
      </c>
      <c r="H13" s="2">
        <v>365</v>
      </c>
      <c r="I13" s="2">
        <v>365</v>
      </c>
      <c r="J13" s="2">
        <v>365</v>
      </c>
      <c r="K13" s="2">
        <v>365</v>
      </c>
      <c r="L13" s="2">
        <v>365</v>
      </c>
      <c r="M13" s="2">
        <v>365</v>
      </c>
    </row>
    <row r="14" spans="1:13" x14ac:dyDescent="0.2">
      <c r="A14" s="4"/>
      <c r="B14" s="2" t="s">
        <v>351</v>
      </c>
      <c r="C14" s="6">
        <f>C8</f>
        <v>8.4159506353050464</v>
      </c>
      <c r="D14" s="6">
        <f>D8</f>
        <v>8.1882336261438216</v>
      </c>
      <c r="E14" s="6">
        <f t="shared" ref="E14:M14" si="2">E8</f>
        <v>8.008214388980889</v>
      </c>
      <c r="F14" s="6">
        <f t="shared" si="2"/>
        <v>7.7906305455487095</v>
      </c>
      <c r="G14" s="6">
        <f t="shared" si="2"/>
        <v>7.3094711476397434</v>
      </c>
      <c r="H14" s="6">
        <f t="shared" si="2"/>
        <v>8.0955866839126323</v>
      </c>
      <c r="I14" s="6">
        <f t="shared" si="2"/>
        <v>9.6767260557522281</v>
      </c>
      <c r="J14" s="6">
        <f t="shared" si="2"/>
        <v>9.0475215425305002</v>
      </c>
      <c r="K14" s="6">
        <f t="shared" si="2"/>
        <v>8.8356897702913226</v>
      </c>
      <c r="L14" s="6">
        <f t="shared" si="2"/>
        <v>8.7747767530376226</v>
      </c>
      <c r="M14" s="6" t="e">
        <f t="shared" si="2"/>
        <v>#DIV/0!</v>
      </c>
    </row>
    <row r="15" spans="1:13" x14ac:dyDescent="0.2">
      <c r="A15" s="4"/>
    </row>
    <row r="16" spans="1:13" s="3" customFormat="1" x14ac:dyDescent="0.2">
      <c r="A16" s="4">
        <v>3</v>
      </c>
      <c r="B16" s="3" t="s">
        <v>356</v>
      </c>
      <c r="C16" s="5">
        <f>C17/C18</f>
        <v>8.6243808188111721</v>
      </c>
      <c r="D16" s="5">
        <f>D17/D18</f>
        <v>8.4481337727529588</v>
      </c>
      <c r="E16" s="5">
        <f t="shared" ref="E16:H16" si="3">E17/E18</f>
        <v>8.2574094916525969</v>
      </c>
      <c r="F16" s="5">
        <f t="shared" si="3"/>
        <v>7.5065503268948719</v>
      </c>
      <c r="G16" s="5">
        <f t="shared" si="3"/>
        <v>7.6407114347734746</v>
      </c>
      <c r="H16" s="5">
        <f t="shared" si="3"/>
        <v>8.6585976418754846</v>
      </c>
      <c r="I16" s="5">
        <f t="shared" ref="I16:M16" si="4">I17/I18</f>
        <v>7.9310017107013877</v>
      </c>
      <c r="J16" s="5">
        <f t="shared" si="4"/>
        <v>7.3439518063930533</v>
      </c>
      <c r="K16" s="5">
        <f t="shared" si="4"/>
        <v>8.2603755743687497</v>
      </c>
      <c r="L16" s="5">
        <f t="shared" si="4"/>
        <v>8.8233101098196673</v>
      </c>
      <c r="M16" s="5" t="e">
        <f t="shared" si="4"/>
        <v>#DIV/0!</v>
      </c>
    </row>
    <row r="17" spans="1:13" x14ac:dyDescent="0.2">
      <c r="A17" s="4"/>
      <c r="B17" s="2" t="s">
        <v>357</v>
      </c>
      <c r="C17" s="6">
        <f>Financials_Consol!B77</f>
        <v>11560.810000000001</v>
      </c>
      <c r="D17" s="6">
        <f>Financials_Consol!C77</f>
        <v>10240.870000000001</v>
      </c>
      <c r="E17" s="6">
        <f>Financials_Consol!D77</f>
        <v>8804.0499999999993</v>
      </c>
      <c r="F17" s="6">
        <f>Financials_Consol!E77</f>
        <v>7549.15</v>
      </c>
      <c r="G17" s="6">
        <f>Financials_Consol!F77</f>
        <v>6547.0199999999995</v>
      </c>
      <c r="H17" s="6">
        <f>Financials_Consol!G77</f>
        <v>6917.7000000000007</v>
      </c>
      <c r="I17" s="6">
        <f>Financials_Consol!H77</f>
        <v>7510.5</v>
      </c>
      <c r="J17" s="6">
        <f>Financials_Consol!I77</f>
        <v>6351.38</v>
      </c>
      <c r="K17" s="6">
        <f>Financials_Consol!J77</f>
        <v>5590.87</v>
      </c>
      <c r="L17" s="6">
        <f>Financials_Consol!K77</f>
        <v>5230.37</v>
      </c>
      <c r="M17" s="6">
        <f>Financials_Consol!L77</f>
        <v>0</v>
      </c>
    </row>
    <row r="18" spans="1:13" x14ac:dyDescent="0.2">
      <c r="A18" s="4"/>
      <c r="B18" s="2" t="s">
        <v>358</v>
      </c>
      <c r="C18" s="6">
        <f>AVERAGE(Financials_Consol!B44:C44)</f>
        <v>1340.48</v>
      </c>
      <c r="D18" s="6">
        <f>AVERAGE(Financials_Consol!C44:D44)</f>
        <v>1212.2049999999999</v>
      </c>
      <c r="E18" s="6">
        <f>AVERAGE(Financials_Consol!D44:E44)</f>
        <v>1066.2</v>
      </c>
      <c r="F18" s="6">
        <f>AVERAGE(Financials_Consol!E44:F44)</f>
        <v>1005.675</v>
      </c>
      <c r="G18" s="6">
        <f>AVERAGE(Financials_Consol!F44:G44)</f>
        <v>856.86</v>
      </c>
      <c r="H18" s="6">
        <f>AVERAGE(Financials_Consol!G44:H44)</f>
        <v>798.94</v>
      </c>
      <c r="I18" s="6">
        <f>AVERAGE(Financials_Consol!H44:I44)</f>
        <v>946.98</v>
      </c>
      <c r="J18" s="6">
        <f>AVERAGE(Financials_Consol!I44:J44)</f>
        <v>864.84500000000003</v>
      </c>
      <c r="K18" s="6">
        <f>AVERAGE(Financials_Consol!J44:K44)</f>
        <v>676.82999999999993</v>
      </c>
      <c r="L18" s="6">
        <f>AVERAGE(Financials_Consol!K44:L44)</f>
        <v>592.79</v>
      </c>
      <c r="M18" s="6" t="e">
        <f>AVERAGE(Financials_Consol!L44:M44)</f>
        <v>#DIV/0!</v>
      </c>
    </row>
    <row r="19" spans="1:13" x14ac:dyDescent="0.2">
      <c r="A19" s="4"/>
    </row>
    <row r="20" spans="1:13" s="3" customFormat="1" x14ac:dyDescent="0.2">
      <c r="A20" s="4">
        <f>A16+1</f>
        <v>4</v>
      </c>
      <c r="B20" s="3" t="s">
        <v>359</v>
      </c>
      <c r="C20" s="5">
        <f>C21/C22</f>
        <v>42.32187883028957</v>
      </c>
      <c r="D20" s="5">
        <f>D21/D22</f>
        <v>43.204808282890028</v>
      </c>
      <c r="E20" s="5">
        <f t="shared" ref="E20:H20" si="5">E21/E22</f>
        <v>44.323828238140408</v>
      </c>
      <c r="F20" s="5">
        <f t="shared" si="5"/>
        <v>48.624199413178964</v>
      </c>
      <c r="G20" s="5">
        <f t="shared" si="5"/>
        <v>47.770420741039437</v>
      </c>
      <c r="H20" s="5">
        <f t="shared" si="5"/>
        <v>42.154632319990753</v>
      </c>
      <c r="I20" s="5">
        <f t="shared" ref="I20:M20" si="6">I21/I22</f>
        <v>46.021929298981426</v>
      </c>
      <c r="J20" s="5">
        <f t="shared" si="6"/>
        <v>49.700761881669806</v>
      </c>
      <c r="K20" s="5">
        <f t="shared" si="6"/>
        <v>44.186852851166272</v>
      </c>
      <c r="L20" s="5">
        <f t="shared" si="6"/>
        <v>41.367694828472935</v>
      </c>
      <c r="M20" s="5" t="e">
        <f t="shared" si="6"/>
        <v>#DIV/0!</v>
      </c>
    </row>
    <row r="21" spans="1:13" x14ac:dyDescent="0.2">
      <c r="A21" s="4"/>
      <c r="B21" s="2" t="s">
        <v>355</v>
      </c>
      <c r="C21" s="2">
        <v>365</v>
      </c>
      <c r="D21" s="2">
        <v>365</v>
      </c>
      <c r="E21" s="2">
        <v>366</v>
      </c>
      <c r="F21" s="2">
        <v>365</v>
      </c>
      <c r="G21" s="2">
        <v>365</v>
      </c>
      <c r="H21" s="2">
        <v>365</v>
      </c>
      <c r="I21" s="2">
        <v>365</v>
      </c>
      <c r="J21" s="2">
        <v>365</v>
      </c>
      <c r="K21" s="2">
        <v>365</v>
      </c>
      <c r="L21" s="2">
        <v>365</v>
      </c>
      <c r="M21" s="2">
        <v>365</v>
      </c>
    </row>
    <row r="22" spans="1:13" x14ac:dyDescent="0.2">
      <c r="A22" s="4"/>
      <c r="B22" s="2" t="s">
        <v>356</v>
      </c>
      <c r="C22" s="6">
        <f>C16</f>
        <v>8.6243808188111721</v>
      </c>
      <c r="D22" s="6">
        <f>D16</f>
        <v>8.4481337727529588</v>
      </c>
      <c r="E22" s="6">
        <f t="shared" ref="E22:H22" si="7">E16</f>
        <v>8.2574094916525969</v>
      </c>
      <c r="F22" s="6">
        <f t="shared" si="7"/>
        <v>7.5065503268948719</v>
      </c>
      <c r="G22" s="6">
        <f t="shared" si="7"/>
        <v>7.6407114347734746</v>
      </c>
      <c r="H22" s="6">
        <f t="shared" si="7"/>
        <v>8.6585976418754846</v>
      </c>
      <c r="I22" s="6">
        <f t="shared" ref="I22:M22" si="8">I16</f>
        <v>7.9310017107013877</v>
      </c>
      <c r="J22" s="6">
        <f t="shared" si="8"/>
        <v>7.3439518063930533</v>
      </c>
      <c r="K22" s="6">
        <f t="shared" si="8"/>
        <v>8.2603755743687497</v>
      </c>
      <c r="L22" s="6">
        <f t="shared" si="8"/>
        <v>8.8233101098196673</v>
      </c>
      <c r="M22" s="6" t="e">
        <f t="shared" si="8"/>
        <v>#DIV/0!</v>
      </c>
    </row>
    <row r="23" spans="1:13" x14ac:dyDescent="0.2">
      <c r="A23" s="4"/>
    </row>
    <row r="24" spans="1:13" s="3" customFormat="1" x14ac:dyDescent="0.2">
      <c r="A24" s="4">
        <f>A20+1</f>
        <v>5</v>
      </c>
      <c r="B24" s="3" t="s">
        <v>360</v>
      </c>
      <c r="C24" s="5">
        <f>C25/C26</f>
        <v>4.2531624347184618</v>
      </c>
      <c r="D24" s="5">
        <f>D25/D26</f>
        <v>4.5742572296969515</v>
      </c>
      <c r="E24" s="5">
        <f t="shared" ref="E24:M24" si="9">E25/E26</f>
        <v>4.5691221518583918</v>
      </c>
      <c r="F24" s="5">
        <f t="shared" si="9"/>
        <v>4.0596504318008639</v>
      </c>
      <c r="G24" s="5">
        <f t="shared" si="9"/>
        <v>3.6225304534752789</v>
      </c>
      <c r="H24" s="5">
        <f t="shared" si="9"/>
        <v>3.9403131683402615</v>
      </c>
      <c r="I24" s="5">
        <f t="shared" si="9"/>
        <v>4.3461779067544786</v>
      </c>
      <c r="J24" s="5">
        <f t="shared" si="9"/>
        <v>4.257571727533235</v>
      </c>
      <c r="K24" s="5">
        <f t="shared" si="9"/>
        <v>4.7063367275631425</v>
      </c>
      <c r="L24" s="5">
        <f t="shared" si="9"/>
        <v>4.8697141619162396</v>
      </c>
      <c r="M24" s="5" t="e">
        <f t="shared" si="9"/>
        <v>#DIV/0!</v>
      </c>
    </row>
    <row r="25" spans="1:13" x14ac:dyDescent="0.2">
      <c r="A25" s="4"/>
      <c r="B25" s="2" t="s">
        <v>361</v>
      </c>
      <c r="C25" s="6">
        <f>C9</f>
        <v>7610.46</v>
      </c>
      <c r="D25" s="6">
        <f>D9</f>
        <v>6930.48</v>
      </c>
      <c r="E25" s="6">
        <f t="shared" ref="E25:H25" si="10">E9</f>
        <v>6093.1299999999992</v>
      </c>
      <c r="F25" s="6">
        <f t="shared" si="10"/>
        <v>5114.51</v>
      </c>
      <c r="G25" s="6">
        <f t="shared" si="10"/>
        <v>4246.62</v>
      </c>
      <c r="H25" s="6">
        <f t="shared" si="10"/>
        <v>4412.54</v>
      </c>
      <c r="I25" s="6">
        <f t="shared" ref="I25:M25" si="11">I9</f>
        <v>5002.1899999999996</v>
      </c>
      <c r="J25" s="6">
        <f t="shared" si="11"/>
        <v>4241.84</v>
      </c>
      <c r="K25" s="6">
        <f t="shared" si="11"/>
        <v>3771.47</v>
      </c>
      <c r="L25" s="6">
        <f t="shared" si="11"/>
        <v>3596.4300000000003</v>
      </c>
      <c r="M25" s="6">
        <f t="shared" si="11"/>
        <v>0</v>
      </c>
    </row>
    <row r="26" spans="1:13" x14ac:dyDescent="0.2">
      <c r="A26" s="4"/>
      <c r="B26" s="2" t="s">
        <v>362</v>
      </c>
      <c r="C26" s="6">
        <f>AVERAGE(Financials_Consol!B22:C22)</f>
        <v>1789.365</v>
      </c>
      <c r="D26" s="6">
        <f>AVERAGE(Financials_Consol!C22:D22)</f>
        <v>1515.105</v>
      </c>
      <c r="E26" s="6">
        <f>AVERAGE(Financials_Consol!D22:E22)</f>
        <v>1333.5450000000001</v>
      </c>
      <c r="F26" s="6">
        <f>AVERAGE(Financials_Consol!E22:F22)</f>
        <v>1259.8399999999999</v>
      </c>
      <c r="G26" s="6">
        <f>AVERAGE(Financials_Consol!F22:G22)</f>
        <v>1172.28</v>
      </c>
      <c r="H26" s="6">
        <f>AVERAGE(Financials_Consol!G22:H22)</f>
        <v>1119.845</v>
      </c>
      <c r="I26" s="6">
        <f>AVERAGE(Financials_Consol!H22:I22)</f>
        <v>1150.94</v>
      </c>
      <c r="J26" s="6">
        <f>AVERAGE(Financials_Consol!I22:J22)</f>
        <v>996.30500000000006</v>
      </c>
      <c r="K26" s="6">
        <f>AVERAGE(Financials_Consol!J22:K22)</f>
        <v>801.36</v>
      </c>
      <c r="L26" s="6">
        <f>AVERAGE(Financials_Consol!K22:L22)</f>
        <v>738.53</v>
      </c>
      <c r="M26" s="6" t="e">
        <f>AVERAGE(Financials_Consol!L22:M22)</f>
        <v>#DIV/0!</v>
      </c>
    </row>
    <row r="27" spans="1:13" x14ac:dyDescent="0.2">
      <c r="A27" s="4"/>
    </row>
    <row r="28" spans="1:13" s="3" customFormat="1" x14ac:dyDescent="0.2">
      <c r="A28" s="4">
        <f>A24+1</f>
        <v>6</v>
      </c>
      <c r="B28" s="3" t="s">
        <v>369</v>
      </c>
      <c r="C28" s="5">
        <f>C29/C30</f>
        <v>85.818495202655285</v>
      </c>
      <c r="D28" s="5">
        <f>D29/D30</f>
        <v>79.794375714236253</v>
      </c>
      <c r="E28" s="5">
        <f t="shared" ref="E28:H28" si="12">E29/E30</f>
        <v>79.884053844247546</v>
      </c>
      <c r="F28" s="5">
        <f t="shared" si="12"/>
        <v>89.909219064973954</v>
      </c>
      <c r="G28" s="5">
        <f t="shared" si="12"/>
        <v>100.75829718693926</v>
      </c>
      <c r="H28" s="5">
        <f t="shared" si="12"/>
        <v>92.63223109592208</v>
      </c>
      <c r="I28" s="5">
        <f t="shared" ref="I28:M28" si="13">I29/I30</f>
        <v>83.981835955851338</v>
      </c>
      <c r="J28" s="5">
        <f t="shared" si="13"/>
        <v>85.729618514606869</v>
      </c>
      <c r="K28" s="5">
        <f t="shared" si="13"/>
        <v>77.555011706310808</v>
      </c>
      <c r="L28" s="5">
        <f t="shared" si="13"/>
        <v>74.953064566806518</v>
      </c>
      <c r="M28" s="5" t="e">
        <f t="shared" si="13"/>
        <v>#DIV/0!</v>
      </c>
    </row>
    <row r="29" spans="1:13" x14ac:dyDescent="0.2">
      <c r="A29" s="4"/>
      <c r="B29" s="2" t="s">
        <v>355</v>
      </c>
      <c r="C29" s="2">
        <v>365</v>
      </c>
      <c r="D29" s="2">
        <v>365</v>
      </c>
      <c r="E29" s="2">
        <v>365</v>
      </c>
      <c r="F29" s="2">
        <v>365</v>
      </c>
      <c r="G29" s="2">
        <v>365</v>
      </c>
      <c r="H29" s="2">
        <v>365</v>
      </c>
      <c r="I29" s="2">
        <v>365</v>
      </c>
      <c r="J29" s="2">
        <v>365</v>
      </c>
      <c r="K29" s="2">
        <v>365</v>
      </c>
      <c r="L29" s="2">
        <v>365</v>
      </c>
      <c r="M29" s="2">
        <v>365</v>
      </c>
    </row>
    <row r="30" spans="1:13" x14ac:dyDescent="0.2">
      <c r="A30" s="4"/>
      <c r="B30" s="2" t="s">
        <v>360</v>
      </c>
      <c r="C30" s="6">
        <f>C24</f>
        <v>4.2531624347184618</v>
      </c>
      <c r="D30" s="6">
        <f>D24</f>
        <v>4.5742572296969515</v>
      </c>
      <c r="E30" s="6">
        <f t="shared" ref="E30:H30" si="14">E24</f>
        <v>4.5691221518583918</v>
      </c>
      <c r="F30" s="6">
        <f t="shared" si="14"/>
        <v>4.0596504318008639</v>
      </c>
      <c r="G30" s="6">
        <f t="shared" si="14"/>
        <v>3.6225304534752789</v>
      </c>
      <c r="H30" s="6">
        <f t="shared" si="14"/>
        <v>3.9403131683402615</v>
      </c>
      <c r="I30" s="6">
        <f t="shared" ref="I30:M30" si="15">I24</f>
        <v>4.3461779067544786</v>
      </c>
      <c r="J30" s="6">
        <f t="shared" si="15"/>
        <v>4.257571727533235</v>
      </c>
      <c r="K30" s="6">
        <f t="shared" si="15"/>
        <v>4.7063367275631425</v>
      </c>
      <c r="L30" s="6">
        <f t="shared" si="15"/>
        <v>4.8697141619162396</v>
      </c>
      <c r="M30" s="6" t="e">
        <f t="shared" si="15"/>
        <v>#DIV/0!</v>
      </c>
    </row>
    <row r="31" spans="1:13" x14ac:dyDescent="0.2">
      <c r="A31" s="4"/>
    </row>
    <row r="32" spans="1:13" s="3" customFormat="1" x14ac:dyDescent="0.2">
      <c r="A32" s="4">
        <f>A24+1</f>
        <v>6</v>
      </c>
      <c r="B32" s="3" t="s">
        <v>363</v>
      </c>
      <c r="C32" s="5">
        <f>C33/C34</f>
        <v>6.0779191420009475</v>
      </c>
      <c r="D32" s="5">
        <f>D33/D34</f>
        <v>6.5963311025371816</v>
      </c>
      <c r="E32" s="5">
        <f t="shared" ref="E32:H32" si="16">E33/E34</f>
        <v>6.9810804595878304</v>
      </c>
      <c r="F32" s="5">
        <f t="shared" si="16"/>
        <v>6.3323295530801236</v>
      </c>
      <c r="G32" s="5">
        <f t="shared" si="16"/>
        <v>5.5443282381335459</v>
      </c>
      <c r="H32" s="5">
        <f t="shared" si="16"/>
        <v>11.86304940579288</v>
      </c>
      <c r="I32" s="5">
        <f t="shared" ref="I32:M32" si="17">I33/I34</f>
        <v>19.700705610786162</v>
      </c>
      <c r="J32" s="5">
        <f t="shared" si="17"/>
        <v>16.162506043718359</v>
      </c>
      <c r="K32" s="5">
        <f t="shared" si="17"/>
        <v>27.989336670838579</v>
      </c>
      <c r="L32" s="5">
        <f t="shared" si="17"/>
        <v>-155.06581678031523</v>
      </c>
      <c r="M32" s="5" t="e">
        <f t="shared" si="17"/>
        <v>#DIV/0!</v>
      </c>
    </row>
    <row r="33" spans="1:13" x14ac:dyDescent="0.2">
      <c r="A33" s="4"/>
      <c r="B33" s="2" t="s">
        <v>357</v>
      </c>
      <c r="C33" s="2">
        <f>C17</f>
        <v>11560.810000000001</v>
      </c>
      <c r="D33" s="2">
        <f>D17</f>
        <v>10240.870000000001</v>
      </c>
      <c r="E33" s="2">
        <f t="shared" ref="E33:H33" si="18">E17</f>
        <v>8804.0499999999993</v>
      </c>
      <c r="F33" s="2">
        <f t="shared" si="18"/>
        <v>7549.15</v>
      </c>
      <c r="G33" s="2">
        <f t="shared" si="18"/>
        <v>6547.0199999999995</v>
      </c>
      <c r="H33" s="2">
        <f t="shared" si="18"/>
        <v>6917.7000000000007</v>
      </c>
      <c r="I33" s="2">
        <f t="shared" ref="I33:M33" si="19">I17</f>
        <v>7510.5</v>
      </c>
      <c r="J33" s="2">
        <f t="shared" si="19"/>
        <v>6351.38</v>
      </c>
      <c r="K33" s="2">
        <f t="shared" si="19"/>
        <v>5590.87</v>
      </c>
      <c r="L33" s="2">
        <f t="shared" si="19"/>
        <v>5230.37</v>
      </c>
      <c r="M33" s="2">
        <f t="shared" si="19"/>
        <v>0</v>
      </c>
    </row>
    <row r="34" spans="1:13" x14ac:dyDescent="0.2">
      <c r="A34" s="4"/>
      <c r="B34" s="2" t="s">
        <v>364</v>
      </c>
      <c r="C34" s="2">
        <f>Financials_Consol!B48-Financials_Consol!B25</f>
        <v>1902.1</v>
      </c>
      <c r="D34" s="2">
        <f>Financials_Consol!C48-Financials_Consol!C25</f>
        <v>1552.5100000000002</v>
      </c>
      <c r="E34" s="2">
        <f>Financials_Consol!D48-Financials_Consol!D25</f>
        <v>1261.1299999999999</v>
      </c>
      <c r="F34" s="2">
        <f>Financials_Consol!E48-Financials_Consol!E25</f>
        <v>1192.1599999999999</v>
      </c>
      <c r="G34" s="2">
        <f>Financials_Consol!F48-Financials_Consol!F25</f>
        <v>1180.8500000000004</v>
      </c>
      <c r="H34" s="2">
        <f>Financials_Consol!G48-Financials_Consol!G25</f>
        <v>583.12999999999988</v>
      </c>
      <c r="I34" s="2">
        <f>Financials_Consol!H48-Financials_Consol!H25</f>
        <v>381.22999999999956</v>
      </c>
      <c r="J34" s="2">
        <f>Financials_Consol!I48-Financials_Consol!I25</f>
        <v>392.9699999999998</v>
      </c>
      <c r="K34" s="2">
        <f>Financials_Consol!J48-Financials_Consol!J25</f>
        <v>199.74999999999977</v>
      </c>
      <c r="L34" s="2">
        <f>Financials_Consol!K48-Financials_Consol!K25</f>
        <v>-33.729999999999791</v>
      </c>
      <c r="M34" s="2">
        <f>Financials_Consol!L48-Financials_Consol!L25</f>
        <v>0</v>
      </c>
    </row>
    <row r="35" spans="1:13" x14ac:dyDescent="0.2">
      <c r="A35" s="4"/>
    </row>
    <row r="36" spans="1:13" s="3" customFormat="1" x14ac:dyDescent="0.2">
      <c r="A36" s="4">
        <f>A32+1</f>
        <v>7</v>
      </c>
      <c r="B36" s="3" t="s">
        <v>365</v>
      </c>
      <c r="C36" s="5">
        <f>C37/C38</f>
        <v>3.1212448466620413</v>
      </c>
      <c r="D36" s="5">
        <f>D37/D38</f>
        <v>3.2402997022594739</v>
      </c>
      <c r="E36" s="5">
        <f t="shared" ref="E36:H36" si="20">E37/E38</f>
        <v>3.1544202477947123</v>
      </c>
      <c r="F36" s="5">
        <f t="shared" si="20"/>
        <v>2.913008917512049</v>
      </c>
      <c r="G36" s="5">
        <f t="shared" si="20"/>
        <v>2.5702003705913761</v>
      </c>
      <c r="H36" s="5">
        <f t="shared" si="20"/>
        <v>2.9444789689194599</v>
      </c>
      <c r="I36" s="5">
        <f t="shared" ref="I36:M36" si="21">I37/I38</f>
        <v>3.8700352453779088</v>
      </c>
      <c r="J36" s="5">
        <f t="shared" si="21"/>
        <v>3.8558176806983888</v>
      </c>
      <c r="K36" s="5">
        <f t="shared" si="21"/>
        <v>3.6241163944680861</v>
      </c>
      <c r="L36" s="5">
        <f t="shared" si="21"/>
        <v>6.7779880000518347</v>
      </c>
      <c r="M36" s="5" t="e">
        <f t="shared" si="21"/>
        <v>#DIV/0!</v>
      </c>
    </row>
    <row r="37" spans="1:13" x14ac:dyDescent="0.2">
      <c r="A37" s="4"/>
      <c r="B37" s="2" t="s">
        <v>357</v>
      </c>
      <c r="C37" s="2">
        <f>C17</f>
        <v>11560.810000000001</v>
      </c>
      <c r="D37" s="2">
        <f>D17</f>
        <v>10240.870000000001</v>
      </c>
      <c r="E37" s="2">
        <f t="shared" ref="E37:H37" si="22">E17</f>
        <v>8804.0499999999993</v>
      </c>
      <c r="F37" s="2">
        <f t="shared" si="22"/>
        <v>7549.15</v>
      </c>
      <c r="G37" s="2">
        <f t="shared" si="22"/>
        <v>6547.0199999999995</v>
      </c>
      <c r="H37" s="2">
        <f t="shared" si="22"/>
        <v>6917.7000000000007</v>
      </c>
      <c r="I37" s="2">
        <f t="shared" ref="I37:M37" si="23">I17</f>
        <v>7510.5</v>
      </c>
      <c r="J37" s="2">
        <f t="shared" si="23"/>
        <v>6351.38</v>
      </c>
      <c r="K37" s="2">
        <f t="shared" si="23"/>
        <v>5590.87</v>
      </c>
      <c r="L37" s="2">
        <f t="shared" si="23"/>
        <v>5230.37</v>
      </c>
      <c r="M37" s="2">
        <f t="shared" si="23"/>
        <v>0</v>
      </c>
    </row>
    <row r="38" spans="1:13" x14ac:dyDescent="0.2">
      <c r="A38" s="4"/>
      <c r="B38" s="2" t="s">
        <v>366</v>
      </c>
      <c r="C38" s="6">
        <f>AVERAGE(Financials_Consol!B34:C34)</f>
        <v>3703.91</v>
      </c>
      <c r="D38" s="6">
        <f>AVERAGE(Financials_Consol!C34:D34)</f>
        <v>3160.4700000000003</v>
      </c>
      <c r="E38" s="6">
        <f>AVERAGE(Financials_Consol!D34:E34)</f>
        <v>2791.0200000000004</v>
      </c>
      <c r="F38" s="6">
        <f>AVERAGE(Financials_Consol!E34:F34)</f>
        <v>2591.5299999999997</v>
      </c>
      <c r="G38" s="6">
        <f>AVERAGE(Financials_Consol!F34:G34)</f>
        <v>2547.2799999999997</v>
      </c>
      <c r="H38" s="6">
        <f>AVERAGE(Financials_Consol!G34:H34)</f>
        <v>2349.38</v>
      </c>
      <c r="I38" s="6">
        <f>AVERAGE(Financials_Consol!H34:I34)</f>
        <v>1940.68</v>
      </c>
      <c r="J38" s="6">
        <f>AVERAGE(Financials_Consol!I34:J34)</f>
        <v>1647.22</v>
      </c>
      <c r="K38" s="6">
        <f>AVERAGE(Financials_Consol!J34:K34)</f>
        <v>1542.6850000000002</v>
      </c>
      <c r="L38" s="6">
        <f>AVERAGE(Financials_Consol!K34:L34)</f>
        <v>771.67000000000007</v>
      </c>
      <c r="M38" s="6">
        <f>AVERAGE(Financials_Consol!L34:M34)</f>
        <v>0</v>
      </c>
    </row>
    <row r="39" spans="1:13" x14ac:dyDescent="0.2">
      <c r="A39" s="4"/>
    </row>
    <row r="40" spans="1:13" s="3" customFormat="1" x14ac:dyDescent="0.2">
      <c r="A40" s="4">
        <f>A36+1</f>
        <v>8</v>
      </c>
      <c r="B40" s="3" t="s">
        <v>367</v>
      </c>
      <c r="C40" s="5">
        <f>C41/C42</f>
        <v>1.358100484171191</v>
      </c>
      <c r="D40" s="5">
        <f>D41/D42</f>
        <v>1.394437836708045</v>
      </c>
      <c r="E40" s="5">
        <f t="shared" ref="E40:H40" si="24">E41/E42</f>
        <v>1.3908352942198672</v>
      </c>
      <c r="F40" s="5">
        <f t="shared" si="24"/>
        <v>1.3009988660216663</v>
      </c>
      <c r="G40" s="5">
        <f t="shared" si="24"/>
        <v>1.2104542101380547</v>
      </c>
      <c r="H40" s="5">
        <f t="shared" si="24"/>
        <v>1.4037597555184886</v>
      </c>
      <c r="I40" s="5">
        <f t="shared" ref="I40:M40" si="25">I41/I42</f>
        <v>1.6457185679914805</v>
      </c>
      <c r="J40" s="5">
        <f t="shared" si="25"/>
        <v>1.6176646252863727</v>
      </c>
      <c r="K40" s="5">
        <f t="shared" si="25"/>
        <v>1.6460389335091974</v>
      </c>
      <c r="L40" s="5">
        <f t="shared" si="25"/>
        <v>3.18743277460716</v>
      </c>
      <c r="M40" s="5" t="e">
        <f t="shared" si="25"/>
        <v>#DIV/0!</v>
      </c>
    </row>
    <row r="41" spans="1:13" x14ac:dyDescent="0.2">
      <c r="A41" s="4"/>
      <c r="B41" s="2" t="s">
        <v>357</v>
      </c>
      <c r="C41" s="2">
        <f>C17</f>
        <v>11560.810000000001</v>
      </c>
      <c r="D41" s="2">
        <f>D17</f>
        <v>10240.870000000001</v>
      </c>
      <c r="E41" s="2">
        <f t="shared" ref="E41:H41" si="26">E17</f>
        <v>8804.0499999999993</v>
      </c>
      <c r="F41" s="2">
        <f t="shared" si="26"/>
        <v>7549.15</v>
      </c>
      <c r="G41" s="2">
        <f t="shared" si="26"/>
        <v>6547.0199999999995</v>
      </c>
      <c r="H41" s="2">
        <f t="shared" si="26"/>
        <v>6917.7000000000007</v>
      </c>
      <c r="I41" s="2">
        <f t="shared" ref="I41:M41" si="27">I17</f>
        <v>7510.5</v>
      </c>
      <c r="J41" s="2">
        <f t="shared" si="27"/>
        <v>6351.38</v>
      </c>
      <c r="K41" s="2">
        <f t="shared" si="27"/>
        <v>5590.87</v>
      </c>
      <c r="L41" s="2">
        <f t="shared" si="27"/>
        <v>5230.37</v>
      </c>
      <c r="M41" s="2">
        <f t="shared" si="27"/>
        <v>0</v>
      </c>
    </row>
    <row r="42" spans="1:13" x14ac:dyDescent="0.2">
      <c r="A42" s="4"/>
      <c r="B42" s="2" t="s">
        <v>368</v>
      </c>
      <c r="C42" s="6">
        <f>AVERAGE(Financials_Consol!B26:C26)</f>
        <v>8512.4850000000006</v>
      </c>
      <c r="D42" s="6">
        <f>AVERAGE(Financials_Consol!C26:D26)</f>
        <v>7344.0849999999991</v>
      </c>
      <c r="E42" s="6">
        <f>AVERAGE(Financials_Consol!D26:E26)</f>
        <v>6330.0450000000001</v>
      </c>
      <c r="F42" s="6">
        <f>AVERAGE(Financials_Consol!E26:F26)</f>
        <v>5802.58</v>
      </c>
      <c r="G42" s="6">
        <f>AVERAGE(Financials_Consol!F26:G26)</f>
        <v>5408.73</v>
      </c>
      <c r="H42" s="6">
        <f>AVERAGE(Financials_Consol!G26:H26)</f>
        <v>4927.9799999999996</v>
      </c>
      <c r="I42" s="6">
        <f>AVERAGE(Financials_Consol!H26:I26)</f>
        <v>4563.66</v>
      </c>
      <c r="J42" s="6">
        <f>AVERAGE(Financials_Consol!I26:J26)</f>
        <v>3926.2650000000003</v>
      </c>
      <c r="K42" s="6">
        <f>AVERAGE(Financials_Consol!J26:K26)</f>
        <v>3396.5600000000004</v>
      </c>
      <c r="L42" s="6">
        <f>AVERAGE(Financials_Consol!K26:L26)</f>
        <v>1640.9349999999999</v>
      </c>
      <c r="M42" s="6">
        <f>AVERAGE(Financials_Consol!L26:M26)</f>
        <v>0</v>
      </c>
    </row>
    <row r="45" spans="1:13" x14ac:dyDescent="0.2">
      <c r="A45" s="4" t="s">
        <v>370</v>
      </c>
      <c r="B45" s="3" t="s">
        <v>371</v>
      </c>
      <c r="C45" s="3"/>
    </row>
    <row r="47" spans="1:13" s="3" customFormat="1" x14ac:dyDescent="0.2">
      <c r="A47" s="4">
        <v>1</v>
      </c>
      <c r="B47" s="3" t="s">
        <v>372</v>
      </c>
      <c r="C47" s="5">
        <f>C48/C49</f>
        <v>1.7066249103762896</v>
      </c>
      <c r="D47" s="5">
        <f>D48/D49</f>
        <v>1.6938809258837149</v>
      </c>
      <c r="E47" s="5">
        <f t="shared" ref="E47:H47" si="28">E48/E49</f>
        <v>1.6531847892517895</v>
      </c>
      <c r="F47" s="5">
        <f t="shared" si="28"/>
        <v>1.7193820902727492</v>
      </c>
      <c r="G47" s="5">
        <f t="shared" si="28"/>
        <v>1.6851942113753207</v>
      </c>
      <c r="H47" s="5">
        <f t="shared" si="28"/>
        <v>1.3727427881081287</v>
      </c>
      <c r="I47" s="5">
        <f t="shared" ref="I47:M47" si="29">I48/I49</f>
        <v>1.2136580171495821</v>
      </c>
      <c r="J47" s="5">
        <f t="shared" si="29"/>
        <v>1.2236418270598812</v>
      </c>
      <c r="K47" s="5">
        <f t="shared" si="29"/>
        <v>1.142489264263193</v>
      </c>
      <c r="L47" s="5">
        <f t="shared" si="29"/>
        <v>0.97548513700123574</v>
      </c>
      <c r="M47" s="5" t="e">
        <f t="shared" si="29"/>
        <v>#DIV/0!</v>
      </c>
    </row>
    <row r="48" spans="1:13" x14ac:dyDescent="0.2">
      <c r="A48" s="4"/>
      <c r="B48" s="2" t="s">
        <v>373</v>
      </c>
      <c r="C48" s="2">
        <f>Financials_Consol!B48</f>
        <v>4593.91</v>
      </c>
      <c r="D48" s="2">
        <f>Financials_Consol!C48</f>
        <v>3789.94</v>
      </c>
      <c r="E48" s="2">
        <f>Financials_Consol!D48</f>
        <v>3191.87</v>
      </c>
      <c r="F48" s="2">
        <f>Financials_Consol!E48</f>
        <v>2849.3599999999997</v>
      </c>
      <c r="G48" s="2">
        <f>Financials_Consol!F48</f>
        <v>2904.2300000000005</v>
      </c>
      <c r="H48" s="2">
        <f>Financials_Consol!G48</f>
        <v>2147.56</v>
      </c>
      <c r="I48" s="2">
        <f>Financials_Consol!H48</f>
        <v>2165.5299999999997</v>
      </c>
      <c r="J48" s="2">
        <f>Financials_Consol!I48</f>
        <v>2150.1099999999997</v>
      </c>
      <c r="K48" s="2">
        <f>Financials_Consol!J48</f>
        <v>1601.61</v>
      </c>
      <c r="L48" s="2">
        <f>Financials_Consol!K48</f>
        <v>1342.17</v>
      </c>
      <c r="M48" s="2">
        <f>Financials_Consol!L48</f>
        <v>0</v>
      </c>
    </row>
    <row r="49" spans="1:13" x14ac:dyDescent="0.2">
      <c r="A49" s="4"/>
      <c r="B49" s="2" t="s">
        <v>374</v>
      </c>
      <c r="C49" s="2">
        <f>Financials_Consol!B25</f>
        <v>2691.81</v>
      </c>
      <c r="D49" s="2">
        <f>Financials_Consol!C25</f>
        <v>2237.4299999999998</v>
      </c>
      <c r="E49" s="2">
        <f>Financials_Consol!D25</f>
        <v>1930.74</v>
      </c>
      <c r="F49" s="2">
        <f>Financials_Consol!E25</f>
        <v>1657.1999999999998</v>
      </c>
      <c r="G49" s="2">
        <f>Financials_Consol!F25</f>
        <v>1723.38</v>
      </c>
      <c r="H49" s="2">
        <f>Financials_Consol!G25</f>
        <v>1564.43</v>
      </c>
      <c r="I49" s="2">
        <f>Financials_Consol!H25</f>
        <v>1784.3000000000002</v>
      </c>
      <c r="J49" s="2">
        <f>Financials_Consol!I25</f>
        <v>1757.1399999999999</v>
      </c>
      <c r="K49" s="2">
        <f>Financials_Consol!J25</f>
        <v>1401.8600000000001</v>
      </c>
      <c r="L49" s="2">
        <f>Financials_Consol!K25</f>
        <v>1375.8999999999999</v>
      </c>
      <c r="M49" s="2">
        <f>Financials_Consol!L25</f>
        <v>0</v>
      </c>
    </row>
    <row r="50" spans="1:13" x14ac:dyDescent="0.2">
      <c r="A50" s="4"/>
    </row>
    <row r="51" spans="1:13" s="3" customFormat="1" x14ac:dyDescent="0.2">
      <c r="A51" s="4">
        <f>A47+1</f>
        <v>2</v>
      </c>
      <c r="B51" s="3" t="s">
        <v>375</v>
      </c>
      <c r="C51" s="5">
        <f>C52/C53</f>
        <v>1.3587660347498522</v>
      </c>
      <c r="D51" s="5">
        <f>D52/D53</f>
        <v>1.3040542050477557</v>
      </c>
      <c r="E51" s="5">
        <f t="shared" ref="E51:H51" si="30">E52/E53</f>
        <v>1.2281767612418035</v>
      </c>
      <c r="F51" s="5">
        <f t="shared" si="30"/>
        <v>1.2962949553463674</v>
      </c>
      <c r="G51" s="5">
        <f t="shared" si="30"/>
        <v>1.3301651405958062</v>
      </c>
      <c r="H51" s="5">
        <f t="shared" si="30"/>
        <v>1.0211131210728508</v>
      </c>
      <c r="I51" s="5">
        <f t="shared" ref="I51:M51" si="31">I52/I53</f>
        <v>0.91101272207588391</v>
      </c>
      <c r="J51" s="5">
        <f t="shared" si="31"/>
        <v>0.94258852453418618</v>
      </c>
      <c r="K51" s="5">
        <f t="shared" si="31"/>
        <v>0.825888462471288</v>
      </c>
      <c r="L51" s="5">
        <f t="shared" si="31"/>
        <v>0.67760011628752104</v>
      </c>
      <c r="M51" s="5" t="e">
        <f t="shared" si="31"/>
        <v>#DIV/0!</v>
      </c>
    </row>
    <row r="52" spans="1:13" x14ac:dyDescent="0.2">
      <c r="A52" s="4"/>
      <c r="B52" s="2" t="s">
        <v>377</v>
      </c>
      <c r="C52" s="2">
        <f>Financials_Consol!B48-Financials_Consol!B43</f>
        <v>3657.54</v>
      </c>
      <c r="D52" s="2">
        <f>Financials_Consol!C48-Financials_Consol!C43</f>
        <v>2917.73</v>
      </c>
      <c r="E52" s="2">
        <f>Financials_Consol!D48-Financials_Consol!D43</f>
        <v>2371.29</v>
      </c>
      <c r="F52" s="2">
        <f>Financials_Consol!E48-Financials_Consol!E43</f>
        <v>2148.2199999999998</v>
      </c>
      <c r="G52" s="2">
        <f>Financials_Consol!F48-Financials_Consol!F43</f>
        <v>2292.3800000000006</v>
      </c>
      <c r="H52" s="2">
        <f>Financials_Consol!G48-Financials_Consol!G43</f>
        <v>1597.46</v>
      </c>
      <c r="I52" s="2">
        <f>Financials_Consol!H48-Financials_Consol!H43</f>
        <v>1625.5199999999998</v>
      </c>
      <c r="J52" s="2">
        <f>Financials_Consol!I48-Financials_Consol!I43</f>
        <v>1656.2599999999998</v>
      </c>
      <c r="K52" s="2">
        <f>Financials_Consol!J48-Financials_Consol!J43</f>
        <v>1157.78</v>
      </c>
      <c r="L52" s="2">
        <f>Financials_Consol!K48-Financials_Consol!K43</f>
        <v>932.31000000000006</v>
      </c>
      <c r="M52" s="2">
        <f>Financials_Consol!L48-Financials_Consol!L43</f>
        <v>0</v>
      </c>
    </row>
    <row r="53" spans="1:13" x14ac:dyDescent="0.2">
      <c r="A53" s="4"/>
      <c r="B53" s="2" t="s">
        <v>374</v>
      </c>
      <c r="C53" s="2">
        <f>Financials_Consol!B25</f>
        <v>2691.81</v>
      </c>
      <c r="D53" s="2">
        <f>Financials_Consol!C25</f>
        <v>2237.4299999999998</v>
      </c>
      <c r="E53" s="2">
        <f>Financials_Consol!D25</f>
        <v>1930.74</v>
      </c>
      <c r="F53" s="2">
        <f>Financials_Consol!E25</f>
        <v>1657.1999999999998</v>
      </c>
      <c r="G53" s="2">
        <f>Financials_Consol!F25</f>
        <v>1723.38</v>
      </c>
      <c r="H53" s="2">
        <f>Financials_Consol!G25</f>
        <v>1564.43</v>
      </c>
      <c r="I53" s="2">
        <f>Financials_Consol!H25</f>
        <v>1784.3000000000002</v>
      </c>
      <c r="J53" s="2">
        <f>Financials_Consol!I25</f>
        <v>1757.1399999999999</v>
      </c>
      <c r="K53" s="2">
        <f>Financials_Consol!J25</f>
        <v>1401.8600000000001</v>
      </c>
      <c r="L53" s="2">
        <f>Financials_Consol!K25</f>
        <v>1375.8999999999999</v>
      </c>
      <c r="M53" s="2">
        <f>Financials_Consol!L25</f>
        <v>0</v>
      </c>
    </row>
    <row r="54" spans="1:13" x14ac:dyDescent="0.2">
      <c r="A54" s="4"/>
    </row>
    <row r="55" spans="1:13" s="3" customFormat="1" x14ac:dyDescent="0.2">
      <c r="A55" s="4">
        <f>A51+1</f>
        <v>3</v>
      </c>
      <c r="B55" s="3" t="s">
        <v>376</v>
      </c>
      <c r="C55" s="5">
        <f>C56/C57</f>
        <v>0.8317674724441918</v>
      </c>
      <c r="D55" s="5">
        <f>D56/D57</f>
        <v>0.73984437501955369</v>
      </c>
      <c r="E55" s="5">
        <f t="shared" ref="E55:H55" si="32">E56/E57</f>
        <v>0.62631944228637726</v>
      </c>
      <c r="F55" s="5">
        <f t="shared" si="32"/>
        <v>0.71074704320540671</v>
      </c>
      <c r="G55" s="5">
        <f t="shared" si="32"/>
        <v>0.72613120727872005</v>
      </c>
      <c r="H55" s="5">
        <f t="shared" si="32"/>
        <v>0.59109068478615212</v>
      </c>
      <c r="I55" s="5">
        <f t="shared" ref="I55:M55" si="33">I56/I57</f>
        <v>0.39252367875357264</v>
      </c>
      <c r="J55" s="5">
        <f t="shared" si="33"/>
        <v>0.39122665240106069</v>
      </c>
      <c r="K55" s="5">
        <f t="shared" si="33"/>
        <v>0.28313098312242302</v>
      </c>
      <c r="L55" s="5">
        <f t="shared" si="33"/>
        <v>0.24676211934006842</v>
      </c>
      <c r="M55" s="5" t="e">
        <f t="shared" si="33"/>
        <v>#DIV/0!</v>
      </c>
    </row>
    <row r="56" spans="1:13" x14ac:dyDescent="0.2">
      <c r="A56" s="4"/>
      <c r="B56" s="2" t="s">
        <v>378</v>
      </c>
      <c r="C56" s="2">
        <f>Financials_Consol!B48-Financials_Consol!B43-Financials_Consol!B44</f>
        <v>2238.96</v>
      </c>
      <c r="D56" s="2">
        <f>Financials_Consol!C48-Financials_Consol!C43-Financials_Consol!C44</f>
        <v>1655.35</v>
      </c>
      <c r="E56" s="2">
        <f>Financials_Consol!D48-Financials_Consol!D43-Financials_Consol!D44</f>
        <v>1209.26</v>
      </c>
      <c r="F56" s="2">
        <f>Financials_Consol!E48-Financials_Consol!E43-Financials_Consol!E44</f>
        <v>1177.8499999999999</v>
      </c>
      <c r="G56" s="2">
        <f>Financials_Consol!F48-Financials_Consol!F43-Financials_Consol!F44</f>
        <v>1251.4000000000005</v>
      </c>
      <c r="H56" s="2">
        <f>Financials_Consol!G48-Financials_Consol!G43-Financials_Consol!G44</f>
        <v>924.72</v>
      </c>
      <c r="I56" s="2">
        <f>Financials_Consol!H48-Financials_Consol!H43-Financials_Consol!H44</f>
        <v>700.37999999999977</v>
      </c>
      <c r="J56" s="2">
        <f>Financials_Consol!I48-Financials_Consol!I43-Financials_Consol!I44</f>
        <v>687.43999999999971</v>
      </c>
      <c r="K56" s="2">
        <f>Financials_Consol!J48-Financials_Consol!J43-Financials_Consol!J44</f>
        <v>396.90999999999997</v>
      </c>
      <c r="L56" s="2">
        <f>Financials_Consol!K48-Financials_Consol!K43-Financials_Consol!K44</f>
        <v>339.5200000000001</v>
      </c>
      <c r="M56" s="2">
        <f>Financials_Consol!L48-Financials_Consol!L43-Financials_Consol!L44</f>
        <v>0</v>
      </c>
    </row>
    <row r="57" spans="1:13" x14ac:dyDescent="0.2">
      <c r="B57" s="2" t="s">
        <v>374</v>
      </c>
      <c r="C57" s="2">
        <f>Financials_Consol!B25</f>
        <v>2691.81</v>
      </c>
      <c r="D57" s="2">
        <f>Financials_Consol!C25</f>
        <v>2237.4299999999998</v>
      </c>
      <c r="E57" s="2">
        <f>Financials_Consol!D25</f>
        <v>1930.74</v>
      </c>
      <c r="F57" s="2">
        <f>Financials_Consol!E25</f>
        <v>1657.1999999999998</v>
      </c>
      <c r="G57" s="2">
        <f>Financials_Consol!F25</f>
        <v>1723.38</v>
      </c>
      <c r="H57" s="2">
        <f>Financials_Consol!G25</f>
        <v>1564.43</v>
      </c>
      <c r="I57" s="2">
        <f>Financials_Consol!H25</f>
        <v>1784.3000000000002</v>
      </c>
      <c r="J57" s="2">
        <f>Financials_Consol!I25</f>
        <v>1757.1399999999999</v>
      </c>
      <c r="K57" s="2">
        <f>Financials_Consol!J25</f>
        <v>1401.8600000000001</v>
      </c>
      <c r="L57" s="2">
        <f>Financials_Consol!K25</f>
        <v>1375.8999999999999</v>
      </c>
      <c r="M57" s="2">
        <f>Financials_Consol!L25</f>
        <v>0</v>
      </c>
    </row>
    <row r="59" spans="1:13" s="3" customFormat="1" x14ac:dyDescent="0.2">
      <c r="A59" s="4">
        <f>A55+1</f>
        <v>4</v>
      </c>
      <c r="B59" s="3" t="s">
        <v>379</v>
      </c>
      <c r="C59" s="5">
        <f>C60+C61-C62</f>
        <v>-43.496616372365715</v>
      </c>
      <c r="D59" s="5">
        <f>D60+D61-D62</f>
        <v>-36.589567431346225</v>
      </c>
      <c r="E59" s="5">
        <f t="shared" ref="E59:H59" si="34">E60+E61-E62</f>
        <v>-35.560225606107139</v>
      </c>
      <c r="F59" s="5">
        <f t="shared" si="34"/>
        <v>-41.28501965179499</v>
      </c>
      <c r="G59" s="5">
        <f t="shared" si="34"/>
        <v>-52.987876445899822</v>
      </c>
      <c r="H59" s="5">
        <f t="shared" si="34"/>
        <v>-50.477598775931327</v>
      </c>
      <c r="I59" s="5">
        <f t="shared" ref="I59:M59" si="35">I60+I61-I62</f>
        <v>-37.959906656869912</v>
      </c>
      <c r="J59" s="5">
        <f t="shared" si="35"/>
        <v>-36.028856632937064</v>
      </c>
      <c r="K59" s="5">
        <f t="shared" si="35"/>
        <v>-33.368158855144536</v>
      </c>
      <c r="L59" s="5">
        <f t="shared" si="35"/>
        <v>-33.585369738333583</v>
      </c>
      <c r="M59" s="5" t="e">
        <f t="shared" si="35"/>
        <v>#DIV/0!</v>
      </c>
    </row>
    <row r="60" spans="1:13" x14ac:dyDescent="0.2">
      <c r="B60" s="2" t="s">
        <v>354</v>
      </c>
      <c r="C60" s="6">
        <v>0</v>
      </c>
      <c r="D60" s="6">
        <v>0</v>
      </c>
      <c r="E60" s="6">
        <v>0</v>
      </c>
      <c r="F60" s="6">
        <v>0</v>
      </c>
      <c r="G60" s="6">
        <v>0</v>
      </c>
      <c r="H60" s="6">
        <v>0</v>
      </c>
      <c r="I60" s="6">
        <v>0</v>
      </c>
      <c r="J60" s="6">
        <v>0</v>
      </c>
      <c r="K60" s="6">
        <v>0</v>
      </c>
      <c r="L60" s="6">
        <v>0</v>
      </c>
      <c r="M60" s="6">
        <v>0</v>
      </c>
    </row>
    <row r="61" spans="1:13" x14ac:dyDescent="0.2">
      <c r="B61" s="2" t="s">
        <v>381</v>
      </c>
      <c r="C61" s="6">
        <f>C20</f>
        <v>42.32187883028957</v>
      </c>
      <c r="D61" s="6">
        <f>D20</f>
        <v>43.204808282890028</v>
      </c>
      <c r="E61" s="6">
        <f t="shared" ref="E61:H61" si="36">E20</f>
        <v>44.323828238140408</v>
      </c>
      <c r="F61" s="6">
        <f t="shared" si="36"/>
        <v>48.624199413178964</v>
      </c>
      <c r="G61" s="6">
        <f t="shared" si="36"/>
        <v>47.770420741039437</v>
      </c>
      <c r="H61" s="6">
        <f t="shared" si="36"/>
        <v>42.154632319990753</v>
      </c>
      <c r="I61" s="6">
        <f t="shared" ref="I61:M61" si="37">I20</f>
        <v>46.021929298981426</v>
      </c>
      <c r="J61" s="6">
        <f t="shared" si="37"/>
        <v>49.700761881669806</v>
      </c>
      <c r="K61" s="6">
        <f t="shared" si="37"/>
        <v>44.186852851166272</v>
      </c>
      <c r="L61" s="6">
        <f t="shared" si="37"/>
        <v>41.367694828472935</v>
      </c>
      <c r="M61" s="6" t="e">
        <f t="shared" si="37"/>
        <v>#DIV/0!</v>
      </c>
    </row>
    <row r="62" spans="1:13" x14ac:dyDescent="0.2">
      <c r="B62" s="2" t="s">
        <v>382</v>
      </c>
      <c r="C62" s="6">
        <f>C28</f>
        <v>85.818495202655285</v>
      </c>
      <c r="D62" s="6">
        <f>D28</f>
        <v>79.794375714236253</v>
      </c>
      <c r="E62" s="6">
        <f t="shared" ref="E62:M62" si="38">E28</f>
        <v>79.884053844247546</v>
      </c>
      <c r="F62" s="6">
        <f t="shared" si="38"/>
        <v>89.909219064973954</v>
      </c>
      <c r="G62" s="6">
        <f t="shared" si="38"/>
        <v>100.75829718693926</v>
      </c>
      <c r="H62" s="6">
        <f t="shared" si="38"/>
        <v>92.63223109592208</v>
      </c>
      <c r="I62" s="6">
        <f t="shared" si="38"/>
        <v>83.981835955851338</v>
      </c>
      <c r="J62" s="6">
        <f t="shared" si="38"/>
        <v>85.729618514606869</v>
      </c>
      <c r="K62" s="6">
        <f t="shared" si="38"/>
        <v>77.555011706310808</v>
      </c>
      <c r="L62" s="6">
        <f t="shared" si="38"/>
        <v>74.953064566806518</v>
      </c>
      <c r="M62" s="6" t="e">
        <f t="shared" si="38"/>
        <v>#DIV/0!</v>
      </c>
    </row>
    <row r="64" spans="1:13" x14ac:dyDescent="0.2">
      <c r="A64" s="4" t="s">
        <v>383</v>
      </c>
      <c r="B64" s="3" t="s">
        <v>384</v>
      </c>
      <c r="C64" s="3"/>
    </row>
    <row r="66" spans="1:13" s="3" customFormat="1" ht="22.5" x14ac:dyDescent="0.2">
      <c r="A66" s="4">
        <v>1</v>
      </c>
      <c r="B66" s="139" t="s">
        <v>386</v>
      </c>
      <c r="C66" s="140">
        <f>C67/C68</f>
        <v>9.8898489704319928E-2</v>
      </c>
      <c r="D66" s="140">
        <f>D67/D68</f>
        <v>9.381285111023753E-2</v>
      </c>
      <c r="E66" s="140">
        <f t="shared" ref="E66:H66" si="39">E67/E68</f>
        <v>7.1052132534211845E-2</v>
      </c>
      <c r="F66" s="140">
        <f t="shared" si="39"/>
        <v>6.8193225234822338E-2</v>
      </c>
      <c r="G66" s="140">
        <f t="shared" si="39"/>
        <v>7.3802009207417432E-2</v>
      </c>
      <c r="H66" s="140">
        <f t="shared" si="39"/>
        <v>0.10812596648467825</v>
      </c>
      <c r="I66" s="140">
        <f t="shared" ref="I66:M66" si="40">I67/I68</f>
        <v>0.11667265630876465</v>
      </c>
      <c r="J66" s="140">
        <f t="shared" si="40"/>
        <v>0.12867172815390854</v>
      </c>
      <c r="K66" s="140">
        <f t="shared" si="40"/>
        <v>0.14690494838020648</v>
      </c>
      <c r="L66" s="140">
        <f t="shared" si="40"/>
        <v>0.18379155786182877</v>
      </c>
      <c r="M66" s="140" t="e">
        <f t="shared" si="40"/>
        <v>#DIV/0!</v>
      </c>
    </row>
    <row r="67" spans="1:13" x14ac:dyDescent="0.2">
      <c r="B67" s="2" t="s">
        <v>385</v>
      </c>
      <c r="C67" s="2">
        <f>Financials_Consol!B15+Financials_Consol!B21</f>
        <v>903.86</v>
      </c>
      <c r="D67" s="2">
        <f>Financials_Consol!C15+Financials_Consol!C21</f>
        <v>739.78</v>
      </c>
      <c r="E67" s="2">
        <f>Financials_Consol!D15+Financials_Consol!D21</f>
        <v>483.33</v>
      </c>
      <c r="F67" s="2">
        <f>Financials_Consol!E15+Financials_Consol!E21</f>
        <v>399.45</v>
      </c>
      <c r="G67" s="2">
        <f>Financials_Consol!F15+Financials_Consol!F21</f>
        <v>424.18</v>
      </c>
      <c r="H67" s="2">
        <f>Financials_Consol!G15+Financials_Consol!G21</f>
        <v>548.18999999999994</v>
      </c>
      <c r="I67" s="2">
        <f>Financials_Consol!H15+Financials_Consol!H21</f>
        <v>558.4</v>
      </c>
      <c r="J67" s="2">
        <f>Financials_Consol!I15+Financials_Consol!I21</f>
        <v>558.6</v>
      </c>
      <c r="K67" s="2">
        <f>Financials_Consol!J15+Financials_Consol!J21</f>
        <v>515.82000000000005</v>
      </c>
      <c r="L67" s="2">
        <f>Financials_Consol!K15+Financials_Consol!K21</f>
        <v>603.17999999999995</v>
      </c>
      <c r="M67" s="2">
        <f>Financials_Consol!L15+Financials_Consol!L21</f>
        <v>0</v>
      </c>
    </row>
    <row r="68" spans="1:13" x14ac:dyDescent="0.2">
      <c r="B68" s="2" t="s">
        <v>160</v>
      </c>
      <c r="C68" s="2">
        <f>Financials_Consol!B26</f>
        <v>9139.27</v>
      </c>
      <c r="D68" s="2">
        <f>Financials_Consol!C26</f>
        <v>7885.6999999999989</v>
      </c>
      <c r="E68" s="2">
        <f>Financials_Consol!D26</f>
        <v>6802.4699999999993</v>
      </c>
      <c r="F68" s="2">
        <f>Financials_Consol!E26</f>
        <v>5857.62</v>
      </c>
      <c r="G68" s="2">
        <f>Financials_Consol!F26</f>
        <v>5747.54</v>
      </c>
      <c r="H68" s="2">
        <f>Financials_Consol!G26</f>
        <v>5069.92</v>
      </c>
      <c r="I68" s="2">
        <f>Financials_Consol!H26</f>
        <v>4786.04</v>
      </c>
      <c r="J68" s="2">
        <f>Financials_Consol!I26</f>
        <v>4341.28</v>
      </c>
      <c r="K68" s="2">
        <f>Financials_Consol!J26</f>
        <v>3511.2500000000005</v>
      </c>
      <c r="L68" s="2">
        <f>Financials_Consol!K26</f>
        <v>3281.87</v>
      </c>
      <c r="M68" s="2">
        <f>Financials_Consol!L26</f>
        <v>0</v>
      </c>
    </row>
    <row r="70" spans="1:13" x14ac:dyDescent="0.2">
      <c r="A70" s="4">
        <f>A66+1</f>
        <v>2</v>
      </c>
      <c r="B70" s="139" t="s">
        <v>387</v>
      </c>
      <c r="C70" s="140">
        <f>C71/C72</f>
        <v>6.5064277562649972E-2</v>
      </c>
      <c r="D70" s="140">
        <f>D71/D72</f>
        <v>6.0901378444526179E-2</v>
      </c>
      <c r="E70" s="140">
        <f t="shared" ref="E70:M70" si="41">E71/E72</f>
        <v>4.0889559233631315E-2</v>
      </c>
      <c r="F70" s="140">
        <f t="shared" si="41"/>
        <v>3.3105595788050432E-2</v>
      </c>
      <c r="G70" s="140">
        <f t="shared" si="41"/>
        <v>6.5972572613674715E-2</v>
      </c>
      <c r="H70" s="140">
        <f t="shared" si="41"/>
        <v>7.930894373086754E-2</v>
      </c>
      <c r="I70" s="140">
        <f t="shared" si="41"/>
        <v>7.2377163584090395E-2</v>
      </c>
      <c r="J70" s="140">
        <f t="shared" si="41"/>
        <v>8.7607802307153648E-2</v>
      </c>
      <c r="K70" s="140">
        <f t="shared" si="41"/>
        <v>9.7466714133143464E-2</v>
      </c>
      <c r="L70" s="140">
        <f t="shared" si="41"/>
        <v>0.12683927151288746</v>
      </c>
      <c r="M70" s="140" t="e">
        <f t="shared" si="41"/>
        <v>#DIV/0!</v>
      </c>
    </row>
    <row r="71" spans="1:13" x14ac:dyDescent="0.2">
      <c r="B71" s="2" t="s">
        <v>388</v>
      </c>
      <c r="C71" s="2">
        <f>Financials_Consol!B15</f>
        <v>594.64</v>
      </c>
      <c r="D71" s="2">
        <f>Financials_Consol!C15</f>
        <v>480.25</v>
      </c>
      <c r="E71" s="2">
        <f>Financials_Consol!D15</f>
        <v>278.14999999999998</v>
      </c>
      <c r="F71" s="2">
        <f>Financials_Consol!E15</f>
        <v>193.92</v>
      </c>
      <c r="G71" s="2">
        <f>Financials_Consol!F15</f>
        <v>379.18</v>
      </c>
      <c r="H71" s="2">
        <f>Financials_Consol!G15</f>
        <v>402.09</v>
      </c>
      <c r="I71" s="2">
        <f>Financials_Consol!H15</f>
        <v>346.4</v>
      </c>
      <c r="J71" s="2">
        <f>Financials_Consol!I15</f>
        <v>380.33</v>
      </c>
      <c r="K71" s="2">
        <f>Financials_Consol!J15</f>
        <v>342.23</v>
      </c>
      <c r="L71" s="2">
        <f>Financials_Consol!K15</f>
        <v>416.27</v>
      </c>
      <c r="M71" s="2">
        <f>Financials_Consol!L15</f>
        <v>0</v>
      </c>
    </row>
    <row r="72" spans="1:13" x14ac:dyDescent="0.2">
      <c r="B72" s="2" t="s">
        <v>160</v>
      </c>
      <c r="C72" s="2">
        <f>Financials_Consol!B26</f>
        <v>9139.27</v>
      </c>
      <c r="D72" s="2">
        <f>Financials_Consol!C26</f>
        <v>7885.6999999999989</v>
      </c>
      <c r="E72" s="2">
        <f>Financials_Consol!D26</f>
        <v>6802.4699999999993</v>
      </c>
      <c r="F72" s="2">
        <f>Financials_Consol!E26</f>
        <v>5857.62</v>
      </c>
      <c r="G72" s="2">
        <f>Financials_Consol!F26</f>
        <v>5747.54</v>
      </c>
      <c r="H72" s="2">
        <f>Financials_Consol!G26</f>
        <v>5069.92</v>
      </c>
      <c r="I72" s="2">
        <f>Financials_Consol!H26</f>
        <v>4786.04</v>
      </c>
      <c r="J72" s="2">
        <f>Financials_Consol!I26</f>
        <v>4341.28</v>
      </c>
      <c r="K72" s="2">
        <f>Financials_Consol!J26</f>
        <v>3511.2500000000005</v>
      </c>
      <c r="L72" s="2">
        <f>Financials_Consol!K26</f>
        <v>3281.87</v>
      </c>
      <c r="M72" s="2">
        <f>Financials_Consol!L26</f>
        <v>0</v>
      </c>
    </row>
    <row r="74" spans="1:13" x14ac:dyDescent="0.2">
      <c r="A74" s="4">
        <f>A70+1</f>
        <v>3</v>
      </c>
      <c r="B74" s="3" t="s">
        <v>389</v>
      </c>
      <c r="C74" s="140">
        <f>C75/C76</f>
        <v>0.13650855500530867</v>
      </c>
      <c r="D74" s="140">
        <f>D75/D76</f>
        <v>0.12939505563892942</v>
      </c>
      <c r="E74" s="140">
        <f t="shared" ref="E74:H74" si="42">E75/E76</f>
        <v>9.8730252111139699E-2</v>
      </c>
      <c r="F74" s="140">
        <f t="shared" si="42"/>
        <v>9.2477265571462977E-2</v>
      </c>
      <c r="G74" s="140">
        <f t="shared" si="42"/>
        <v>0.10640971931294513</v>
      </c>
      <c r="H74" s="140">
        <f t="shared" si="42"/>
        <v>0.15423593858585402</v>
      </c>
      <c r="I74" s="140">
        <f t="shared" ref="I74:M74" si="43">I75/I76</f>
        <v>0.17879785340112966</v>
      </c>
      <c r="J74" s="140">
        <f t="shared" si="43"/>
        <v>0.20450676380676933</v>
      </c>
      <c r="K74" s="140">
        <f t="shared" si="43"/>
        <v>0.22974856913791952</v>
      </c>
      <c r="L74" s="140">
        <f t="shared" si="43"/>
        <v>0.29380562009556793</v>
      </c>
      <c r="M74" s="140" t="e">
        <f t="shared" si="43"/>
        <v>#DIV/0!</v>
      </c>
    </row>
    <row r="75" spans="1:13" x14ac:dyDescent="0.2">
      <c r="B75" s="2" t="s">
        <v>385</v>
      </c>
      <c r="C75" s="2">
        <f>C67</f>
        <v>903.86</v>
      </c>
      <c r="D75" s="2">
        <f>D67</f>
        <v>739.78</v>
      </c>
      <c r="E75" s="2">
        <f t="shared" ref="E75:H75" si="44">E67</f>
        <v>483.33</v>
      </c>
      <c r="F75" s="2">
        <f t="shared" si="44"/>
        <v>399.45</v>
      </c>
      <c r="G75" s="2">
        <f t="shared" si="44"/>
        <v>424.18</v>
      </c>
      <c r="H75" s="2">
        <f t="shared" si="44"/>
        <v>548.18999999999994</v>
      </c>
      <c r="I75" s="2">
        <f t="shared" ref="I75:M75" si="45">I67</f>
        <v>558.4</v>
      </c>
      <c r="J75" s="2">
        <f t="shared" si="45"/>
        <v>558.6</v>
      </c>
      <c r="K75" s="2">
        <f t="shared" si="45"/>
        <v>515.82000000000005</v>
      </c>
      <c r="L75" s="2">
        <f t="shared" si="45"/>
        <v>603.17999999999995</v>
      </c>
      <c r="M75" s="2">
        <f t="shared" si="45"/>
        <v>0</v>
      </c>
    </row>
    <row r="76" spans="1:13" x14ac:dyDescent="0.2">
      <c r="B76" s="2" t="s">
        <v>640</v>
      </c>
      <c r="C76" s="2">
        <f>Financials_Consol!B12+C75</f>
        <v>6621.2699999999995</v>
      </c>
      <c r="D76" s="2">
        <f>Financials_Consol!C12+D75</f>
        <v>5717.2199999999993</v>
      </c>
      <c r="E76" s="2">
        <f>Financials_Consol!D12+E75</f>
        <v>4895.46</v>
      </c>
      <c r="F76" s="2">
        <f>Financials_Consol!E12+F75</f>
        <v>4319.4399999999996</v>
      </c>
      <c r="G76" s="2">
        <f>Financials_Consol!F12+G75</f>
        <v>3986.2899999999995</v>
      </c>
      <c r="H76" s="2">
        <f>Financials_Consol!G12+H75</f>
        <v>3554.23</v>
      </c>
      <c r="I76" s="2">
        <f>Financials_Consol!H12+I75</f>
        <v>3123.08</v>
      </c>
      <c r="J76" s="2">
        <f>Financials_Consol!I12+J75</f>
        <v>2731.45</v>
      </c>
      <c r="K76" s="2">
        <f>Financials_Consol!J12+K75</f>
        <v>2245.15</v>
      </c>
      <c r="L76" s="2">
        <f>Financials_Consol!K12+L75</f>
        <v>2052.9899999999998</v>
      </c>
      <c r="M76" s="2">
        <f>Financials_Consol!L12+M75</f>
        <v>0</v>
      </c>
    </row>
    <row r="78" spans="1:13" x14ac:dyDescent="0.2">
      <c r="A78" s="4">
        <f>A74+1</f>
        <v>4</v>
      </c>
      <c r="B78" s="3" t="s">
        <v>392</v>
      </c>
      <c r="C78" s="140">
        <f>C79/C80</f>
        <v>0.15808906480381851</v>
      </c>
      <c r="D78" s="140">
        <f>D79/D80</f>
        <v>0.14862660323379087</v>
      </c>
      <c r="E78" s="140">
        <f t="shared" ref="E78:H78" si="46">E79/E80</f>
        <v>0.10954572961358799</v>
      </c>
      <c r="F78" s="140">
        <f t="shared" si="46"/>
        <v>4.9469513952841715E-2</v>
      </c>
      <c r="G78" s="140">
        <f t="shared" si="46"/>
        <v>0.10644814449862583</v>
      </c>
      <c r="H78" s="140">
        <f t="shared" si="46"/>
        <v>0.13376069513379729</v>
      </c>
      <c r="I78" s="140">
        <f t="shared" ref="I78:M78" si="47">I79/I80</f>
        <v>0.13506558323065646</v>
      </c>
      <c r="J78" s="140">
        <f t="shared" si="47"/>
        <v>0.17503739328531651</v>
      </c>
      <c r="K78" s="140">
        <f t="shared" si="47"/>
        <v>0.19789745161420896</v>
      </c>
      <c r="L78" s="140">
        <f t="shared" si="47"/>
        <v>0.2871203812913416</v>
      </c>
      <c r="M78" s="140" t="e">
        <f t="shared" si="47"/>
        <v>#DIV/0!</v>
      </c>
    </row>
    <row r="79" spans="1:13" x14ac:dyDescent="0.2">
      <c r="B79" s="2" t="s">
        <v>385</v>
      </c>
      <c r="C79" s="2">
        <f>C67</f>
        <v>903.86</v>
      </c>
      <c r="D79" s="2">
        <f>D67</f>
        <v>739.78</v>
      </c>
      <c r="E79" s="2">
        <f>E67</f>
        <v>483.33</v>
      </c>
      <c r="F79" s="2">
        <f t="shared" ref="F79:H79" si="48">F71</f>
        <v>193.92</v>
      </c>
      <c r="G79" s="2">
        <f t="shared" si="48"/>
        <v>379.18</v>
      </c>
      <c r="H79" s="2">
        <f t="shared" si="48"/>
        <v>402.09</v>
      </c>
      <c r="I79" s="2">
        <f t="shared" ref="I79:M79" si="49">I71</f>
        <v>346.4</v>
      </c>
      <c r="J79" s="2">
        <f t="shared" si="49"/>
        <v>380.33</v>
      </c>
      <c r="K79" s="2">
        <f t="shared" si="49"/>
        <v>342.23</v>
      </c>
      <c r="L79" s="2">
        <f t="shared" si="49"/>
        <v>416.27</v>
      </c>
      <c r="M79" s="2">
        <f t="shared" si="49"/>
        <v>0</v>
      </c>
    </row>
    <row r="80" spans="1:13" x14ac:dyDescent="0.2">
      <c r="B80" s="2" t="s">
        <v>390</v>
      </c>
      <c r="C80" s="2">
        <f>Financials_Consol!B12</f>
        <v>5717.41</v>
      </c>
      <c r="D80" s="2">
        <f>Financials_Consol!C12</f>
        <v>4977.4399999999996</v>
      </c>
      <c r="E80" s="2">
        <f>Financials_Consol!D12</f>
        <v>4412.13</v>
      </c>
      <c r="F80" s="2">
        <f>Financials_Consol!E12</f>
        <v>3919.99</v>
      </c>
      <c r="G80" s="2">
        <f>Financials_Consol!F12</f>
        <v>3562.1099999999997</v>
      </c>
      <c r="H80" s="2">
        <f>Financials_Consol!G12</f>
        <v>3006.04</v>
      </c>
      <c r="I80" s="2">
        <f>Financials_Consol!H12</f>
        <v>2564.6799999999998</v>
      </c>
      <c r="J80" s="2">
        <f>Financials_Consol!I12</f>
        <v>2172.85</v>
      </c>
      <c r="K80" s="2">
        <f>Financials_Consol!J12</f>
        <v>1729.3300000000002</v>
      </c>
      <c r="L80" s="2">
        <f>Financials_Consol!K12</f>
        <v>1449.81</v>
      </c>
      <c r="M80" s="2">
        <f>Financials_Consol!L12</f>
        <v>0</v>
      </c>
    </row>
    <row r="82" spans="1:13" s="3" customFormat="1" x14ac:dyDescent="0.2">
      <c r="A82" s="4">
        <f>A78+1</f>
        <v>5</v>
      </c>
      <c r="B82" s="3" t="s">
        <v>420</v>
      </c>
      <c r="C82" s="5">
        <f>C83/C84</f>
        <v>1.5233677891695536</v>
      </c>
      <c r="D82" s="5">
        <f>D83/D84</f>
        <v>1.4809879472648908</v>
      </c>
      <c r="E82" s="5">
        <f t="shared" ref="E82:H82" si="50">E83/E84</f>
        <v>1.4515333432547781</v>
      </c>
      <c r="F82" s="5">
        <f t="shared" si="50"/>
        <v>1.5043263254968526</v>
      </c>
      <c r="G82" s="5">
        <f t="shared" si="50"/>
        <v>1.5957415710664342</v>
      </c>
      <c r="H82" s="5">
        <f t="shared" si="50"/>
        <v>1.7128037309360371</v>
      </c>
      <c r="I82" s="5">
        <f t="shared" ref="I82:M82" si="51">I83/I84</f>
        <v>1.8612293748007926</v>
      </c>
      <c r="J82" s="5">
        <f t="shared" si="51"/>
        <v>1.9372017692674348</v>
      </c>
      <c r="K82" s="5">
        <f t="shared" si="51"/>
        <v>2.0479437835389445</v>
      </c>
      <c r="L82" s="5">
        <f t="shared" si="51"/>
        <v>2.1623109235003213</v>
      </c>
      <c r="M82" s="5" t="e">
        <f t="shared" si="51"/>
        <v>#DIV/0!</v>
      </c>
    </row>
    <row r="83" spans="1:13" x14ac:dyDescent="0.2">
      <c r="B83" s="2" t="s">
        <v>368</v>
      </c>
      <c r="C83" s="6">
        <f>AVERAGE(Financials_Consol!B49:C49)</f>
        <v>8146.0949999999993</v>
      </c>
      <c r="D83" s="6">
        <f>AVERAGE(Financials_Consol!C49:D49)</f>
        <v>6952.92</v>
      </c>
      <c r="E83" s="6">
        <f>AVERAGE(Financials_Consol!D49:E49)</f>
        <v>6047.1750000000002</v>
      </c>
      <c r="F83" s="6">
        <f>AVERAGE(Financials_Consol!E49:F49)</f>
        <v>5627.76</v>
      </c>
      <c r="G83" s="6">
        <f>AVERAGE(Financials_Consol!F49:G49)</f>
        <v>5240.5349999999999</v>
      </c>
      <c r="H83" s="6">
        <f>AVERAGE(Financials_Consol!G49:H49)</f>
        <v>4770.7749999999996</v>
      </c>
      <c r="I83" s="6">
        <f>AVERAGE(Financials_Consol!H49:I49)</f>
        <v>4408.8149999999996</v>
      </c>
      <c r="J83" s="6">
        <f>AVERAGE(Financials_Consol!I49:J49)</f>
        <v>3779.6549999999997</v>
      </c>
      <c r="K83" s="6">
        <f>AVERAGE(Financials_Consol!J49:K49)</f>
        <v>3255.3500000000004</v>
      </c>
      <c r="L83" s="6">
        <f>AVERAGE(Financials_Consol!K49:L49)</f>
        <v>1567.4700000000003</v>
      </c>
      <c r="M83" s="6">
        <f>AVERAGE(Financials_Consol!L49:M49)</f>
        <v>278.35500000000002</v>
      </c>
    </row>
    <row r="84" spans="1:13" x14ac:dyDescent="0.2">
      <c r="B84" s="2" t="s">
        <v>393</v>
      </c>
      <c r="C84" s="6">
        <f>AVERAGE(Financials_Consol!B12:C12)</f>
        <v>5347.4249999999993</v>
      </c>
      <c r="D84" s="6">
        <f>AVERAGE(Financials_Consol!C12:D12)</f>
        <v>4694.7849999999999</v>
      </c>
      <c r="E84" s="6">
        <f>AVERAGE(Financials_Consol!D12:E12)</f>
        <v>4166.0599999999995</v>
      </c>
      <c r="F84" s="6">
        <f>AVERAGE(Financials_Consol!E12:F12)</f>
        <v>3741.0499999999997</v>
      </c>
      <c r="G84" s="6">
        <f>AVERAGE(Financials_Consol!F12:G12)</f>
        <v>3284.0749999999998</v>
      </c>
      <c r="H84" s="6">
        <f>AVERAGE(Financials_Consol!G12:H12)</f>
        <v>2785.3599999999997</v>
      </c>
      <c r="I84" s="6">
        <f>AVERAGE(Financials_Consol!H12:I12)</f>
        <v>2368.7649999999999</v>
      </c>
      <c r="J84" s="6">
        <f>AVERAGE(Financials_Consol!I12:J12)</f>
        <v>1951.0900000000001</v>
      </c>
      <c r="K84" s="6">
        <f>AVERAGE(Financials_Consol!J12:K12)</f>
        <v>1589.5700000000002</v>
      </c>
      <c r="L84" s="6">
        <f>AVERAGE(Financials_Consol!K12:L12)</f>
        <v>724.90499999999997</v>
      </c>
      <c r="M84" s="6">
        <f>AVERAGE(Financials_Consol!L12:M12)</f>
        <v>0</v>
      </c>
    </row>
    <row r="86" spans="1:13" s="3" customFormat="1" x14ac:dyDescent="0.2">
      <c r="A86" s="4">
        <f>A82+1</f>
        <v>6</v>
      </c>
      <c r="B86" s="3" t="s">
        <v>394</v>
      </c>
      <c r="C86" s="5">
        <f>C87/C88</f>
        <v>3.0094856230625022</v>
      </c>
      <c r="D86" s="5">
        <f>D87/D88</f>
        <v>2.8923184033418474</v>
      </c>
      <c r="E86" s="5">
        <f t="shared" ref="E86:H86" si="52">E87/E88</f>
        <v>2.5170074481711677</v>
      </c>
      <c r="F86" s="5">
        <f t="shared" si="52"/>
        <v>2.6178974667959012</v>
      </c>
      <c r="G86" s="5">
        <f t="shared" si="52"/>
        <v>2.6485944781279716</v>
      </c>
      <c r="H86" s="5">
        <f t="shared" si="52"/>
        <v>2.8020179588684027</v>
      </c>
      <c r="I86" s="5">
        <f t="shared" ref="I86:M86" si="53">I87/I88</f>
        <v>3.003907392148006</v>
      </c>
      <c r="J86" s="5">
        <f t="shared" si="53"/>
        <v>2.8850710532043888</v>
      </c>
      <c r="K86" s="5">
        <f t="shared" si="53"/>
        <v>2.5993597466524392</v>
      </c>
      <c r="L86" s="5">
        <f t="shared" si="53"/>
        <v>2.7285849405765483</v>
      </c>
      <c r="M86" s="5" t="e">
        <f t="shared" si="53"/>
        <v>#DIV/0!</v>
      </c>
    </row>
    <row r="87" spans="1:13" x14ac:dyDescent="0.2">
      <c r="B87" s="2" t="s">
        <v>395</v>
      </c>
      <c r="C87" s="6">
        <f>Financials_Consol!B91+Financials_Consol!B86</f>
        <v>1621.2400000000007</v>
      </c>
      <c r="D87" s="6">
        <f>Financials_Consol!C91+Financials_Consol!C86</f>
        <v>1370.9300000000023</v>
      </c>
      <c r="E87" s="6">
        <f>Financials_Consol!D91+Financials_Consol!D86</f>
        <v>1061.1200000000008</v>
      </c>
      <c r="F87" s="6">
        <f>Financials_Consol!E91+Financials_Consol!E86</f>
        <v>999.32999999999947</v>
      </c>
      <c r="G87" s="6">
        <f>Financials_Consol!F91+Financials_Consol!F86</f>
        <v>1057.1599999999985</v>
      </c>
      <c r="H87" s="6">
        <f>Financials_Consol!G91+Financials_Consol!G86</f>
        <v>1160.8200000000018</v>
      </c>
      <c r="I87" s="6">
        <f>Financials_Consol!H91+Financials_Consol!H86</f>
        <v>1130.1000000000013</v>
      </c>
      <c r="J87" s="6">
        <f>Financials_Consol!I91+Financials_Consol!I86</f>
        <v>927.80999999999926</v>
      </c>
      <c r="K87" s="6">
        <f>Financials_Consol!J91+Financials_Consol!J86</f>
        <v>755.1400000000001</v>
      </c>
      <c r="L87" s="6">
        <f>Financials_Consol!K91+Financials_Consol!K86</f>
        <v>663.5099999999992</v>
      </c>
      <c r="M87" s="6">
        <f>Financials_Consol!L91+Financials_Consol!L86</f>
        <v>0</v>
      </c>
    </row>
    <row r="88" spans="1:13" x14ac:dyDescent="0.2">
      <c r="B88" s="2" t="s">
        <v>396</v>
      </c>
      <c r="C88" s="2">
        <f>Financials_Consol!B86</f>
        <v>538.71</v>
      </c>
      <c r="D88" s="2">
        <f>Financials_Consol!C86</f>
        <v>473.99</v>
      </c>
      <c r="E88" s="2">
        <f>Financials_Consol!D86</f>
        <v>421.58</v>
      </c>
      <c r="F88" s="2">
        <f>Financials_Consol!E86</f>
        <v>381.73</v>
      </c>
      <c r="G88" s="2">
        <f>Financials_Consol!F86</f>
        <v>399.14</v>
      </c>
      <c r="H88" s="2">
        <f>Financials_Consol!G86</f>
        <v>414.28</v>
      </c>
      <c r="I88" s="2">
        <f>Financials_Consol!H86</f>
        <v>376.21</v>
      </c>
      <c r="J88" s="2">
        <f>Financials_Consol!I86</f>
        <v>321.58999999999997</v>
      </c>
      <c r="K88" s="2">
        <f>Financials_Consol!J86</f>
        <v>290.51</v>
      </c>
      <c r="L88" s="2">
        <f>Financials_Consol!K86</f>
        <v>243.17</v>
      </c>
      <c r="M88" s="2">
        <f>Financials_Consol!L86</f>
        <v>0</v>
      </c>
    </row>
    <row r="91" spans="1:13" x14ac:dyDescent="0.2">
      <c r="A91" s="4" t="s">
        <v>397</v>
      </c>
      <c r="B91" s="3" t="s">
        <v>405</v>
      </c>
      <c r="C91" s="3"/>
    </row>
    <row r="93" spans="1:13" s="3" customFormat="1" x14ac:dyDescent="0.2">
      <c r="A93" s="4">
        <v>1</v>
      </c>
      <c r="B93" s="3" t="s">
        <v>398</v>
      </c>
      <c r="C93" s="141">
        <f>C94/C95</f>
        <v>0.34170183577102303</v>
      </c>
      <c r="D93" s="141">
        <f>D94/D95</f>
        <v>0.32325280957574903</v>
      </c>
      <c r="E93" s="141">
        <f t="shared" ref="E93:H93" si="54">E94/E95</f>
        <v>0.30791737893355903</v>
      </c>
      <c r="F93" s="141">
        <f t="shared" si="54"/>
        <v>0.3225051827026883</v>
      </c>
      <c r="G93" s="141">
        <f t="shared" si="54"/>
        <v>0.35136596497337719</v>
      </c>
      <c r="H93" s="141">
        <f t="shared" si="54"/>
        <v>0.3621377047284503</v>
      </c>
      <c r="I93" s="141">
        <f t="shared" ref="I93:M93" si="55">I94/I95</f>
        <v>0.33397377005525603</v>
      </c>
      <c r="J93" s="141">
        <f t="shared" si="55"/>
        <v>0.33213884226734974</v>
      </c>
      <c r="K93" s="141">
        <f t="shared" si="55"/>
        <v>0.32542341352955806</v>
      </c>
      <c r="L93" s="141">
        <f t="shared" si="55"/>
        <v>0.31239472542095487</v>
      </c>
      <c r="M93" s="141" t="e">
        <f t="shared" si="55"/>
        <v>#DIV/0!</v>
      </c>
    </row>
    <row r="94" spans="1:13" x14ac:dyDescent="0.2">
      <c r="B94" s="2" t="s">
        <v>399</v>
      </c>
      <c r="C94" s="6">
        <f>Financials_Consol!B77-C9</f>
        <v>3950.3500000000013</v>
      </c>
      <c r="D94" s="6">
        <f>Financials_Consol!C77-D9</f>
        <v>3310.3900000000012</v>
      </c>
      <c r="E94" s="6">
        <f>Financials_Consol!D77-E9</f>
        <v>2710.92</v>
      </c>
      <c r="F94" s="6">
        <f>Financials_Consol!E77-F9</f>
        <v>2434.6399999999994</v>
      </c>
      <c r="G94" s="6">
        <f>Financials_Consol!F77-G9</f>
        <v>2300.3999999999996</v>
      </c>
      <c r="H94" s="6">
        <f>Financials_Consol!G77-H9</f>
        <v>2505.1600000000008</v>
      </c>
      <c r="I94" s="6">
        <f>Financials_Consol!H77-I9</f>
        <v>2508.3100000000004</v>
      </c>
      <c r="J94" s="6">
        <f>Financials_Consol!I77-J9</f>
        <v>2109.54</v>
      </c>
      <c r="K94" s="6">
        <f>Financials_Consol!J77-K9</f>
        <v>1819.4</v>
      </c>
      <c r="L94" s="6">
        <f>Financials_Consol!K77-L9</f>
        <v>1633.9399999999996</v>
      </c>
      <c r="M94" s="6">
        <f>Financials_Consol!L77-M9</f>
        <v>0</v>
      </c>
    </row>
    <row r="95" spans="1:13" x14ac:dyDescent="0.2">
      <c r="B95" s="2" t="s">
        <v>400</v>
      </c>
      <c r="C95" s="2">
        <f>Financials_Consol!B77</f>
        <v>11560.810000000001</v>
      </c>
      <c r="D95" s="2">
        <f>Financials_Consol!C77</f>
        <v>10240.870000000001</v>
      </c>
      <c r="E95" s="2">
        <f>Financials_Consol!D77</f>
        <v>8804.0499999999993</v>
      </c>
      <c r="F95" s="2">
        <f>Financials_Consol!E77</f>
        <v>7549.15</v>
      </c>
      <c r="G95" s="2">
        <f>Financials_Consol!F77</f>
        <v>6547.0199999999995</v>
      </c>
      <c r="H95" s="2">
        <f>Financials_Consol!G77</f>
        <v>6917.7000000000007</v>
      </c>
      <c r="I95" s="2">
        <f>Financials_Consol!H77</f>
        <v>7510.5</v>
      </c>
      <c r="J95" s="2">
        <f>Financials_Consol!I77</f>
        <v>6351.38</v>
      </c>
      <c r="K95" s="2">
        <f>Financials_Consol!J77</f>
        <v>5590.87</v>
      </c>
      <c r="L95" s="2">
        <f>Financials_Consol!K77</f>
        <v>5230.37</v>
      </c>
      <c r="M95" s="2">
        <f>Financials_Consol!L77</f>
        <v>0</v>
      </c>
    </row>
    <row r="96" spans="1:13" x14ac:dyDescent="0.2">
      <c r="B96" s="2" t="s">
        <v>754</v>
      </c>
      <c r="C96" s="199">
        <f t="shared" ref="C96:L96" si="56">(C95-D95)/D95</f>
        <v>0.12888944005733891</v>
      </c>
      <c r="D96" s="199">
        <f t="shared" si="56"/>
        <v>0.16319989095927462</v>
      </c>
      <c r="E96" s="199">
        <f t="shared" si="56"/>
        <v>0.16623063523707962</v>
      </c>
      <c r="F96" s="199">
        <f t="shared" si="56"/>
        <v>0.15306658601928819</v>
      </c>
      <c r="G96" s="199">
        <f t="shared" si="56"/>
        <v>-5.3584283793746641E-2</v>
      </c>
      <c r="H96" s="199">
        <f t="shared" si="56"/>
        <v>-7.8929498701817355E-2</v>
      </c>
      <c r="I96" s="199">
        <f t="shared" si="56"/>
        <v>0.18249892149422642</v>
      </c>
      <c r="J96" s="199">
        <f t="shared" si="56"/>
        <v>0.13602712994578667</v>
      </c>
      <c r="K96" s="199">
        <f t="shared" si="56"/>
        <v>6.8924378198865474E-2</v>
      </c>
      <c r="L96" s="199" t="e">
        <f t="shared" si="56"/>
        <v>#DIV/0!</v>
      </c>
      <c r="M96" s="199"/>
    </row>
    <row r="98" spans="1:13" s="3" customFormat="1" x14ac:dyDescent="0.2">
      <c r="A98" s="4">
        <f>A93+1</f>
        <v>2</v>
      </c>
      <c r="B98" s="3" t="s">
        <v>401</v>
      </c>
      <c r="C98" s="140">
        <f>C99/C100</f>
        <v>0.34777061468876319</v>
      </c>
      <c r="D98" s="140">
        <f>D99/D100</f>
        <v>0.32744776566834671</v>
      </c>
      <c r="E98" s="140">
        <f t="shared" ref="E98:H98" si="57">E99/E100</f>
        <v>0.31073994354870782</v>
      </c>
      <c r="F98" s="140">
        <f t="shared" si="57"/>
        <v>0.32710040203201679</v>
      </c>
      <c r="G98" s="140">
        <f t="shared" si="57"/>
        <v>0.35395492911278698</v>
      </c>
      <c r="H98" s="140">
        <f t="shared" si="57"/>
        <v>0.36767711811729353</v>
      </c>
      <c r="I98" s="140">
        <f t="shared" ref="I98:M98" si="58">I99/I100</f>
        <v>0.33573663537713883</v>
      </c>
      <c r="J98" s="140">
        <f t="shared" si="58"/>
        <v>0.33213096996243324</v>
      </c>
      <c r="K98" s="140">
        <f t="shared" si="58"/>
        <v>0.32485462906488616</v>
      </c>
      <c r="L98" s="140">
        <f t="shared" si="58"/>
        <v>0.30933566841351551</v>
      </c>
      <c r="M98" s="140" t="e">
        <f t="shared" si="58"/>
        <v>#DIV/0!</v>
      </c>
    </row>
    <row r="99" spans="1:13" x14ac:dyDescent="0.2">
      <c r="B99" s="2" t="s">
        <v>402</v>
      </c>
      <c r="C99" s="6">
        <f>Financials_Consol!B91+Financials_Consol!B86+Financials_Consol!B87</f>
        <v>4020.5100000000007</v>
      </c>
      <c r="D99" s="6">
        <f>Financials_Consol!C91+Financials_Consol!C86+Financials_Consol!C87</f>
        <v>3353.3500000000022</v>
      </c>
      <c r="E99" s="6">
        <f>Financials_Consol!D91+Financials_Consol!D86+Financials_Consol!D87</f>
        <v>2735.7700000000009</v>
      </c>
      <c r="F99" s="6">
        <f>Financials_Consol!E91+Financials_Consol!E86+Financials_Consol!E87</f>
        <v>2469.3299999999995</v>
      </c>
      <c r="G99" s="6">
        <f>Financials_Consol!F91+Financials_Consol!F86+Financials_Consol!F87</f>
        <v>2317.3499999999985</v>
      </c>
      <c r="H99" s="6">
        <f>Financials_Consol!G91+Financials_Consol!G86+Financials_Consol!G87</f>
        <v>2543.4800000000018</v>
      </c>
      <c r="I99" s="6">
        <f>Financials_Consol!H91+Financials_Consol!H86+Financials_Consol!H87</f>
        <v>2521.5500000000011</v>
      </c>
      <c r="J99" s="6">
        <f>Financials_Consol!I91+Financials_Consol!I86+Financials_Consol!I87</f>
        <v>2109.4899999999993</v>
      </c>
      <c r="K99" s="6">
        <f>Financials_Consol!J91+Financials_Consol!J86+Financials_Consol!J87</f>
        <v>1816.22</v>
      </c>
      <c r="L99" s="6">
        <f>Financials_Consol!K91+Financials_Consol!K86+Financials_Consol!K87</f>
        <v>1617.9399999999991</v>
      </c>
      <c r="M99" s="6">
        <f>Financials_Consol!L91+Financials_Consol!L86+Financials_Consol!L87</f>
        <v>0</v>
      </c>
    </row>
    <row r="100" spans="1:13" x14ac:dyDescent="0.2">
      <c r="B100" s="2" t="s">
        <v>400</v>
      </c>
      <c r="C100" s="2">
        <f>Financials_Consol!B77</f>
        <v>11560.810000000001</v>
      </c>
      <c r="D100" s="2">
        <f>Financials_Consol!C77</f>
        <v>10240.870000000001</v>
      </c>
      <c r="E100" s="2">
        <f>Financials_Consol!D77</f>
        <v>8804.0499999999993</v>
      </c>
      <c r="F100" s="2">
        <f>Financials_Consol!E77</f>
        <v>7549.15</v>
      </c>
      <c r="G100" s="2">
        <f>Financials_Consol!F77</f>
        <v>6547.0199999999995</v>
      </c>
      <c r="H100" s="2">
        <f>Financials_Consol!G77</f>
        <v>6917.7000000000007</v>
      </c>
      <c r="I100" s="2">
        <f>Financials_Consol!H77</f>
        <v>7510.5</v>
      </c>
      <c r="J100" s="2">
        <f>Financials_Consol!I77</f>
        <v>6351.38</v>
      </c>
      <c r="K100" s="2">
        <f>Financials_Consol!J77</f>
        <v>5590.87</v>
      </c>
      <c r="L100" s="2">
        <f>Financials_Consol!K77</f>
        <v>5230.37</v>
      </c>
      <c r="M100" s="2">
        <f>Financials_Consol!L77</f>
        <v>0</v>
      </c>
    </row>
    <row r="102" spans="1:13" x14ac:dyDescent="0.2">
      <c r="A102" s="4">
        <f>A98+1</f>
        <v>3</v>
      </c>
      <c r="B102" s="3" t="s">
        <v>403</v>
      </c>
      <c r="C102" s="141">
        <f>C103/C104</f>
        <v>7.2343546862200889E-2</v>
      </c>
      <c r="D102" s="141">
        <f>D103/D104</f>
        <v>6.6447479559842301E-2</v>
      </c>
      <c r="E102" s="141">
        <f t="shared" ref="E102:H102" si="59">E103/E104</f>
        <v>5.4472657470141697E-2</v>
      </c>
      <c r="F102" s="141">
        <f t="shared" si="59"/>
        <v>6.1028062762032736E-2</v>
      </c>
      <c r="G102" s="141">
        <f t="shared" si="59"/>
        <v>7.9358242375920443E-2</v>
      </c>
      <c r="H102" s="141">
        <f t="shared" si="59"/>
        <v>8.1751160067652789E-2</v>
      </c>
      <c r="I102" s="141">
        <f t="shared" ref="I102:M102" si="60">I103/I104</f>
        <v>6.5909060648425707E-2</v>
      </c>
      <c r="J102" s="141">
        <f t="shared" si="60"/>
        <v>6.1523637382741907E-2</v>
      </c>
      <c r="K102" s="141">
        <f t="shared" si="60"/>
        <v>5.9076673219016017E-2</v>
      </c>
      <c r="L102" s="141">
        <f t="shared" si="60"/>
        <v>5.7445266778449564E-2</v>
      </c>
      <c r="M102" s="141" t="e">
        <f t="shared" si="60"/>
        <v>#DIV/0!</v>
      </c>
    </row>
    <row r="103" spans="1:13" x14ac:dyDescent="0.2">
      <c r="B103" s="2" t="s">
        <v>404</v>
      </c>
      <c r="C103" s="6">
        <f>Financials_Consol!B102</f>
        <v>836.3500000000007</v>
      </c>
      <c r="D103" s="6">
        <f>Financials_Consol!C102</f>
        <v>680.48000000000229</v>
      </c>
      <c r="E103" s="6">
        <f>Financials_Consol!D102</f>
        <v>479.58000000000095</v>
      </c>
      <c r="F103" s="6">
        <f>Financials_Consol!E102</f>
        <v>460.70999999999941</v>
      </c>
      <c r="G103" s="6">
        <f>Financials_Consol!F102</f>
        <v>519.55999999999858</v>
      </c>
      <c r="H103" s="6">
        <f>Financials_Consol!G102</f>
        <v>565.53000000000179</v>
      </c>
      <c r="I103" s="6">
        <f>Financials_Consol!H102</f>
        <v>495.0100000000013</v>
      </c>
      <c r="J103" s="6">
        <f>Financials_Consol!I102</f>
        <v>390.75999999999931</v>
      </c>
      <c r="K103" s="6">
        <f>Financials_Consol!J102</f>
        <v>330.29000000000008</v>
      </c>
      <c r="L103" s="6">
        <f>Financials_Consol!K102</f>
        <v>300.45999999999924</v>
      </c>
      <c r="M103" s="6">
        <f>Financials_Consol!L102</f>
        <v>0</v>
      </c>
    </row>
    <row r="104" spans="1:13" x14ac:dyDescent="0.2">
      <c r="B104" s="2" t="s">
        <v>400</v>
      </c>
      <c r="C104" s="2">
        <f>C100</f>
        <v>11560.810000000001</v>
      </c>
      <c r="D104" s="2">
        <f>D100</f>
        <v>10240.870000000001</v>
      </c>
      <c r="E104" s="2">
        <f t="shared" ref="E104:H104" si="61">E100</f>
        <v>8804.0499999999993</v>
      </c>
      <c r="F104" s="2">
        <f t="shared" si="61"/>
        <v>7549.15</v>
      </c>
      <c r="G104" s="2">
        <f t="shared" si="61"/>
        <v>6547.0199999999995</v>
      </c>
      <c r="H104" s="2">
        <f t="shared" si="61"/>
        <v>6917.7000000000007</v>
      </c>
      <c r="I104" s="2">
        <f t="shared" ref="I104:M104" si="62">I100</f>
        <v>7510.5</v>
      </c>
      <c r="J104" s="2">
        <f t="shared" si="62"/>
        <v>6351.38</v>
      </c>
      <c r="K104" s="2">
        <f t="shared" si="62"/>
        <v>5590.87</v>
      </c>
      <c r="L104" s="2">
        <f t="shared" si="62"/>
        <v>5230.37</v>
      </c>
      <c r="M104" s="2">
        <f t="shared" si="62"/>
        <v>0</v>
      </c>
    </row>
    <row r="105" spans="1:13" x14ac:dyDescent="0.2">
      <c r="B105" s="3" t="s">
        <v>753</v>
      </c>
      <c r="C105" s="15">
        <f t="shared" ref="C105:L105" si="63">(C103-D103)/D103</f>
        <v>0.22905889960027906</v>
      </c>
      <c r="D105" s="15">
        <f t="shared" si="63"/>
        <v>0.41890821135160128</v>
      </c>
      <c r="E105" s="15">
        <f t="shared" si="63"/>
        <v>4.0958520544380553E-2</v>
      </c>
      <c r="F105" s="15">
        <f t="shared" si="63"/>
        <v>-0.11326891985526086</v>
      </c>
      <c r="G105" s="15">
        <f t="shared" si="63"/>
        <v>-8.1286580729586527E-2</v>
      </c>
      <c r="H105" s="15">
        <f t="shared" si="63"/>
        <v>0.14246176844912287</v>
      </c>
      <c r="I105" s="15">
        <f t="shared" si="63"/>
        <v>0.26678779813696946</v>
      </c>
      <c r="J105" s="15">
        <f t="shared" si="63"/>
        <v>0.18308153440915323</v>
      </c>
      <c r="K105" s="15">
        <f t="shared" si="63"/>
        <v>9.9281102309794686E-2</v>
      </c>
      <c r="L105" s="15" t="e">
        <f t="shared" si="63"/>
        <v>#DIV/0!</v>
      </c>
      <c r="M105" s="199"/>
    </row>
    <row r="107" spans="1:13" x14ac:dyDescent="0.2">
      <c r="A107" s="4" t="s">
        <v>406</v>
      </c>
      <c r="B107" s="3" t="s">
        <v>407</v>
      </c>
      <c r="C107" s="6"/>
      <c r="D107" s="6"/>
    </row>
    <row r="109" spans="1:13" x14ac:dyDescent="0.2">
      <c r="A109" s="4">
        <v>1</v>
      </c>
      <c r="B109" s="3" t="s">
        <v>408</v>
      </c>
      <c r="C109" s="141">
        <f>C110/C111</f>
        <v>0.17858601084323236</v>
      </c>
      <c r="D109" s="141">
        <f>D110/D111</f>
        <v>0.17610832427239237</v>
      </c>
      <c r="E109" s="141">
        <f t="shared" ref="E109:H109" si="64">E110/E111</f>
        <v>0.1539316755344439</v>
      </c>
      <c r="F109" s="141">
        <f t="shared" si="64"/>
        <v>0.15661212098596947</v>
      </c>
      <c r="G109" s="141">
        <f t="shared" si="64"/>
        <v>0.17819282573248699</v>
      </c>
      <c r="H109" s="141">
        <f t="shared" si="64"/>
        <v>0.2164863109243261</v>
      </c>
      <c r="I109" s="141">
        <f t="shared" ref="I109:M109" si="65">I110/I111</f>
        <v>0.2299600028579111</v>
      </c>
      <c r="J109" s="141">
        <f t="shared" si="65"/>
        <v>0.21918367946280798</v>
      </c>
      <c r="K109" s="141">
        <f t="shared" si="65"/>
        <v>0.20439350914648197</v>
      </c>
      <c r="L109" s="141">
        <f t="shared" si="65"/>
        <v>0.37536314570613738</v>
      </c>
      <c r="M109" s="141">
        <f t="shared" si="65"/>
        <v>0</v>
      </c>
    </row>
    <row r="110" spans="1:13" x14ac:dyDescent="0.2">
      <c r="B110" s="2" t="s">
        <v>409</v>
      </c>
      <c r="C110" s="6">
        <f>Financials_Consol!B91+Financials_Consol!B86*(1-30.9/100)</f>
        <v>1454.7786100000008</v>
      </c>
      <c r="D110" s="6">
        <f>Financials_Consol!C91+Financials_Consol!C86*(1-30.9/100)</f>
        <v>1224.4670900000024</v>
      </c>
      <c r="E110" s="6">
        <f>Financials_Consol!D91+Financials_Consol!D86*(1-30.9/100)</f>
        <v>930.85178000000087</v>
      </c>
      <c r="F110" s="6">
        <f>Financials_Consol!E91+Financials_Consol!E86*(1-30.9/100)</f>
        <v>881.37542999999948</v>
      </c>
      <c r="G110" s="6">
        <f>Financials_Consol!F91+Financials_Consol!F86*(1-30.9/100)</f>
        <v>933.82573999999863</v>
      </c>
      <c r="H110" s="6">
        <f>Financials_Consol!G91+Financials_Consol!G86*(1-30.9/100)</f>
        <v>1032.8074800000018</v>
      </c>
      <c r="I110" s="6">
        <f>Financials_Consol!H91+Financials_Consol!H86*(1-30.9/100)</f>
        <v>1013.8511100000012</v>
      </c>
      <c r="J110" s="6">
        <f>Financials_Consol!I91+Financials_Consol!I86*(1-30.9/100)</f>
        <v>828.43868999999938</v>
      </c>
      <c r="K110" s="6">
        <f>Financials_Consol!J91+Financials_Consol!J86*(1-30.9/100)</f>
        <v>665.37241000000017</v>
      </c>
      <c r="L110" s="6">
        <f>Financials_Consol!K91+Financials_Consol!K86*(1-30.9/100)</f>
        <v>588.37046999999927</v>
      </c>
      <c r="M110" s="6">
        <f>Financials_Consol!L91+Financials_Consol!L86*(1-30.9/100)</f>
        <v>0</v>
      </c>
    </row>
    <row r="111" spans="1:13" x14ac:dyDescent="0.2">
      <c r="B111" s="2" t="s">
        <v>368</v>
      </c>
      <c r="C111" s="2">
        <f>C83</f>
        <v>8146.0949999999993</v>
      </c>
      <c r="D111" s="2">
        <f>D83</f>
        <v>6952.92</v>
      </c>
      <c r="E111" s="2">
        <f t="shared" ref="E111:H111" si="66">E83</f>
        <v>6047.1750000000002</v>
      </c>
      <c r="F111" s="2">
        <f t="shared" si="66"/>
        <v>5627.76</v>
      </c>
      <c r="G111" s="2">
        <f t="shared" si="66"/>
        <v>5240.5349999999999</v>
      </c>
      <c r="H111" s="2">
        <f t="shared" si="66"/>
        <v>4770.7749999999996</v>
      </c>
      <c r="I111" s="2">
        <f t="shared" ref="I111:M111" si="67">I83</f>
        <v>4408.8149999999996</v>
      </c>
      <c r="J111" s="2">
        <f t="shared" si="67"/>
        <v>3779.6549999999997</v>
      </c>
      <c r="K111" s="2">
        <f t="shared" si="67"/>
        <v>3255.3500000000004</v>
      </c>
      <c r="L111" s="2">
        <f t="shared" si="67"/>
        <v>1567.4700000000003</v>
      </c>
      <c r="M111" s="2">
        <f t="shared" si="67"/>
        <v>278.35500000000002</v>
      </c>
    </row>
    <row r="113" spans="1:13" x14ac:dyDescent="0.2">
      <c r="A113" s="4">
        <f>A109+1</f>
        <v>2</v>
      </c>
      <c r="B113" s="141" t="s">
        <v>410</v>
      </c>
      <c r="C113" s="141">
        <f>C114/C115</f>
        <v>0.24485332874206922</v>
      </c>
      <c r="D113" s="141">
        <f>D114/D115</f>
        <v>0.23978961803114143</v>
      </c>
      <c r="E113" s="141">
        <f t="shared" ref="E113:H113" si="68">E114/E115</f>
        <v>0.21675593304817131</v>
      </c>
      <c r="F113" s="141">
        <f t="shared" si="68"/>
        <v>0.23135637953067981</v>
      </c>
      <c r="G113" s="141">
        <f t="shared" si="68"/>
        <v>0.26519896946785071</v>
      </c>
      <c r="H113" s="141">
        <f t="shared" si="68"/>
        <v>0.32660238645219969</v>
      </c>
      <c r="I113" s="141">
        <f t="shared" ref="I113:M113" si="69">I114/I115</f>
        <v>0.36185432329623363</v>
      </c>
      <c r="J113" s="141">
        <f t="shared" si="69"/>
        <v>0.33967672847754832</v>
      </c>
      <c r="K113" s="141">
        <f t="shared" si="69"/>
        <v>0.33634278333296214</v>
      </c>
      <c r="L113" s="141">
        <f t="shared" si="69"/>
        <v>0.32319202723832036</v>
      </c>
      <c r="M113" s="141" t="e">
        <f t="shared" si="69"/>
        <v>#DIV/0!</v>
      </c>
    </row>
    <row r="114" spans="1:13" x14ac:dyDescent="0.2">
      <c r="B114" s="2" t="s">
        <v>411</v>
      </c>
      <c r="C114" s="2">
        <f>C87</f>
        <v>1621.2400000000007</v>
      </c>
      <c r="D114" s="2">
        <f>D87</f>
        <v>1370.9300000000023</v>
      </c>
      <c r="E114" s="2">
        <f t="shared" ref="E114:H114" si="70">E87</f>
        <v>1061.1200000000008</v>
      </c>
      <c r="F114" s="2">
        <f t="shared" si="70"/>
        <v>999.32999999999947</v>
      </c>
      <c r="G114" s="2">
        <f t="shared" si="70"/>
        <v>1057.1599999999985</v>
      </c>
      <c r="H114" s="2">
        <f t="shared" si="70"/>
        <v>1160.8200000000018</v>
      </c>
      <c r="I114" s="2">
        <f t="shared" ref="I114:M114" si="71">I87</f>
        <v>1130.1000000000013</v>
      </c>
      <c r="J114" s="2">
        <f t="shared" si="71"/>
        <v>927.80999999999926</v>
      </c>
      <c r="K114" s="2">
        <f t="shared" si="71"/>
        <v>755.1400000000001</v>
      </c>
      <c r="L114" s="2">
        <f t="shared" si="71"/>
        <v>663.5099999999992</v>
      </c>
      <c r="M114" s="2">
        <f t="shared" si="71"/>
        <v>0</v>
      </c>
    </row>
    <row r="115" spans="1:13" x14ac:dyDescent="0.2">
      <c r="B115" s="2" t="s">
        <v>412</v>
      </c>
      <c r="C115" s="2">
        <f>Financials_Consol!B10+Financials_Consol!B15+Financials_Consol!B21</f>
        <v>6621.27</v>
      </c>
      <c r="D115" s="2">
        <f>Financials_Consol!C10+Financials_Consol!C15+Financials_Consol!C21</f>
        <v>5717.2199999999993</v>
      </c>
      <c r="E115" s="2">
        <f>Financials_Consol!D10+Financials_Consol!D15+Financials_Consol!D21</f>
        <v>4895.46</v>
      </c>
      <c r="F115" s="2">
        <f>Financials_Consol!E10+Financials_Consol!E15+Financials_Consol!E21</f>
        <v>4319.4399999999996</v>
      </c>
      <c r="G115" s="2">
        <f>Financials_Consol!F10+Financials_Consol!F15+Financials_Consol!F21</f>
        <v>3986.2899999999995</v>
      </c>
      <c r="H115" s="2">
        <f>Financials_Consol!G10+Financials_Consol!G15+Financials_Consol!G21</f>
        <v>3554.23</v>
      </c>
      <c r="I115" s="2">
        <f>Financials_Consol!H10+Financials_Consol!H15+Financials_Consol!H21</f>
        <v>3123.08</v>
      </c>
      <c r="J115" s="2">
        <f>Financials_Consol!I10+Financials_Consol!I15+Financials_Consol!I21</f>
        <v>2731.45</v>
      </c>
      <c r="K115" s="2">
        <f>Financials_Consol!J10+Financials_Consol!J15+Financials_Consol!J21</f>
        <v>2245.1500000000005</v>
      </c>
      <c r="L115" s="2">
        <f>Financials_Consol!K10+Financials_Consol!K15+Financials_Consol!K21</f>
        <v>2052.9899999999998</v>
      </c>
      <c r="M115" s="2">
        <f>Financials_Consol!L10+Financials_Consol!L15+Financials_Consol!L21</f>
        <v>0</v>
      </c>
    </row>
    <row r="117" spans="1:13" x14ac:dyDescent="0.2">
      <c r="A117" s="4">
        <f>A113+1</f>
        <v>3</v>
      </c>
      <c r="B117" s="3" t="s">
        <v>415</v>
      </c>
      <c r="C117" s="140">
        <f>C118/C119</f>
        <v>0.20471722371047762</v>
      </c>
      <c r="D117" s="140">
        <f>D118/D119</f>
        <v>0.19105028238779886</v>
      </c>
      <c r="E117" s="140">
        <f t="shared" ref="E117:H117" si="72">E118/E119</f>
        <v>0.1510419917139938</v>
      </c>
      <c r="F117" s="140">
        <f t="shared" si="72"/>
        <v>0.15668061105839254</v>
      </c>
      <c r="G117" s="140">
        <f t="shared" si="72"/>
        <v>0.19694739005656042</v>
      </c>
      <c r="H117" s="140">
        <f t="shared" si="72"/>
        <v>0.2680228049516048</v>
      </c>
      <c r="I117" s="140">
        <f t="shared" ref="I117:M117" si="73">I118/I119</f>
        <v>0.30948194523306505</v>
      </c>
      <c r="J117" s="140">
        <f t="shared" si="73"/>
        <v>0.2969314588255792</v>
      </c>
      <c r="K117" s="140">
        <f t="shared" si="73"/>
        <v>0.29229917524865218</v>
      </c>
      <c r="L117" s="140">
        <f t="shared" si="73"/>
        <v>0.57985529138300773</v>
      </c>
      <c r="M117" s="140" t="e">
        <f t="shared" si="73"/>
        <v>#DIV/0!</v>
      </c>
    </row>
    <row r="118" spans="1:13" x14ac:dyDescent="0.2">
      <c r="B118" s="2" t="s">
        <v>414</v>
      </c>
      <c r="C118" s="2">
        <f>Financials_Consol!B93</f>
        <v>1094.7100000000007</v>
      </c>
      <c r="D118" s="2">
        <f>Financials_Consol!C93</f>
        <v>896.94000000000233</v>
      </c>
      <c r="E118" s="2">
        <f>Financials_Consol!D93</f>
        <v>629.25000000000091</v>
      </c>
      <c r="F118" s="2">
        <f>Financials_Consol!E93</f>
        <v>586.14999999999941</v>
      </c>
      <c r="G118" s="2">
        <f>Financials_Consol!F93</f>
        <v>646.7899999999986</v>
      </c>
      <c r="H118" s="2">
        <f>Financials_Consol!G93</f>
        <v>746.54000000000178</v>
      </c>
      <c r="I118" s="2">
        <f>Financials_Consol!H93</f>
        <v>733.09000000000128</v>
      </c>
      <c r="J118" s="2">
        <f>Financials_Consol!I93</f>
        <v>579.33999999999935</v>
      </c>
      <c r="K118" s="2">
        <f>Financials_Consol!J93</f>
        <v>464.63000000000011</v>
      </c>
      <c r="L118" s="2">
        <f>Financials_Consol!K93</f>
        <v>420.33999999999924</v>
      </c>
      <c r="M118" s="2">
        <f>Financials_Consol!L93</f>
        <v>0</v>
      </c>
    </row>
    <row r="119" spans="1:13" x14ac:dyDescent="0.2">
      <c r="B119" s="2" t="s">
        <v>413</v>
      </c>
      <c r="C119" s="2">
        <f>AVERAGE(Financials_Consol!B10:C10)</f>
        <v>5347.4249999999993</v>
      </c>
      <c r="D119" s="2">
        <f>AVERAGE(Financials_Consol!C10:D10)</f>
        <v>4694.7849999999999</v>
      </c>
      <c r="E119" s="2">
        <f>AVERAGE(Financials_Consol!D10:E10)</f>
        <v>4166.0599999999995</v>
      </c>
      <c r="F119" s="2">
        <f>AVERAGE(Financials_Consol!E10:F10)</f>
        <v>3741.0499999999997</v>
      </c>
      <c r="G119" s="2">
        <f>AVERAGE(Financials_Consol!F10:G10)</f>
        <v>3284.0749999999998</v>
      </c>
      <c r="H119" s="2">
        <f>AVERAGE(Financials_Consol!G10:H10)</f>
        <v>2785.3599999999997</v>
      </c>
      <c r="I119" s="2">
        <f>AVERAGE(Financials_Consol!H10:I10)</f>
        <v>2368.7649999999999</v>
      </c>
      <c r="J119" s="2">
        <f>AVERAGE(Financials_Consol!I10:J10)</f>
        <v>1951.0900000000001</v>
      </c>
      <c r="K119" s="2">
        <f>AVERAGE(Financials_Consol!J10:K10)</f>
        <v>1589.5700000000002</v>
      </c>
      <c r="L119" s="2">
        <f>AVERAGE(Financials_Consol!K10:L10)</f>
        <v>724.90499999999997</v>
      </c>
      <c r="M119" s="2">
        <f>AVERAGE(Financials_Consol!L10:M10)</f>
        <v>0</v>
      </c>
    </row>
    <row r="121" spans="1:13" x14ac:dyDescent="0.2">
      <c r="A121" s="4">
        <f>A117+1</f>
        <v>4</v>
      </c>
      <c r="B121" s="3" t="s">
        <v>416</v>
      </c>
      <c r="C121" s="299">
        <f>C122/C123</f>
        <v>0.15412464877955293</v>
      </c>
      <c r="D121" s="299">
        <f>D122/D123</f>
        <v>0.1449438046683719</v>
      </c>
      <c r="E121" s="299">
        <f t="shared" ref="E121:H121" si="74">E122/E123</f>
        <v>0.1175859205100265</v>
      </c>
      <c r="F121" s="140">
        <f t="shared" si="74"/>
        <v>0.13155664853450219</v>
      </c>
      <c r="G121" s="140">
        <f t="shared" si="74"/>
        <v>0.16162541963871063</v>
      </c>
      <c r="H121" s="140">
        <f t="shared" si="74"/>
        <v>0.20303659132033269</v>
      </c>
      <c r="I121" s="140">
        <f t="shared" ref="I121:M121" si="75">I122/I123</f>
        <v>0.21775482160535187</v>
      </c>
      <c r="J121" s="140">
        <f t="shared" si="75"/>
        <v>0.21405470788123523</v>
      </c>
      <c r="K121" s="140">
        <f t="shared" si="75"/>
        <v>0.2077857533798449</v>
      </c>
      <c r="L121" s="140">
        <f t="shared" si="75"/>
        <v>0.414481897627964</v>
      </c>
      <c r="M121" s="140" t="e">
        <f t="shared" si="75"/>
        <v>#DIV/0!</v>
      </c>
    </row>
    <row r="122" spans="1:13" x14ac:dyDescent="0.2">
      <c r="B122" s="2" t="s">
        <v>902</v>
      </c>
      <c r="C122" s="2">
        <f>Financials_Consol!B99-Financials_Consol!B92</f>
        <v>824.17000000000075</v>
      </c>
      <c r="D122" s="2">
        <f>Financials_Consol!C99-Financials_Consol!C92</f>
        <v>680.48000000000229</v>
      </c>
      <c r="E122" s="2">
        <f>Financials_Consol!D99-Financials_Consol!D92</f>
        <v>489.87000000000097</v>
      </c>
      <c r="F122" s="2">
        <f>Financials_Consol!E99-Financials_Consol!E92</f>
        <v>492.1599999999994</v>
      </c>
      <c r="G122" s="2">
        <f>Financials_Consol!F99-Financials_Consol!F92</f>
        <v>530.7899999999986</v>
      </c>
      <c r="H122" s="2">
        <f>Financials_Consol!G99-Financials_Consol!G92</f>
        <v>565.53000000000179</v>
      </c>
      <c r="I122" s="2">
        <f>Financials_Consol!H99-Financials_Consol!H92</f>
        <v>515.81000000000131</v>
      </c>
      <c r="J122" s="2">
        <f>Financials_Consol!I99-Financials_Consol!I92</f>
        <v>417.6399999999993</v>
      </c>
      <c r="K122" s="2">
        <f>Financials_Consol!J99-Financials_Consol!J92</f>
        <v>330.29000000000008</v>
      </c>
      <c r="L122" s="2">
        <f>Financials_Consol!K99-Financials_Consol!K92</f>
        <v>300.45999999999924</v>
      </c>
      <c r="M122" s="2">
        <f>Financials_Consol!L99-Financials_Consol!L92</f>
        <v>0</v>
      </c>
    </row>
    <row r="123" spans="1:13" x14ac:dyDescent="0.2">
      <c r="B123" s="2" t="s">
        <v>413</v>
      </c>
      <c r="C123" s="2">
        <f>C119</f>
        <v>5347.4249999999993</v>
      </c>
      <c r="D123" s="2">
        <f>D119</f>
        <v>4694.7849999999999</v>
      </c>
      <c r="E123" s="2">
        <f t="shared" ref="E123:H123" si="76">E119</f>
        <v>4166.0599999999995</v>
      </c>
      <c r="F123" s="2">
        <f t="shared" si="76"/>
        <v>3741.0499999999997</v>
      </c>
      <c r="G123" s="2">
        <f t="shared" si="76"/>
        <v>3284.0749999999998</v>
      </c>
      <c r="H123" s="2">
        <f t="shared" si="76"/>
        <v>2785.3599999999997</v>
      </c>
      <c r="I123" s="2">
        <f t="shared" ref="I123:M123" si="77">I119</f>
        <v>2368.7649999999999</v>
      </c>
      <c r="J123" s="2">
        <f t="shared" si="77"/>
        <v>1951.0900000000001</v>
      </c>
      <c r="K123" s="2">
        <f t="shared" si="77"/>
        <v>1589.5700000000002</v>
      </c>
      <c r="L123" s="2">
        <f t="shared" si="77"/>
        <v>724.90499999999997</v>
      </c>
      <c r="M123" s="2">
        <f t="shared" si="77"/>
        <v>0</v>
      </c>
    </row>
    <row r="125" spans="1:13" x14ac:dyDescent="0.2">
      <c r="A125" s="4">
        <f>A121+1</f>
        <v>5</v>
      </c>
      <c r="B125" s="3" t="s">
        <v>417</v>
      </c>
      <c r="C125" s="141">
        <f>C126*C127*C128</f>
        <v>0.14967058978335435</v>
      </c>
      <c r="D125" s="141">
        <f>D126*D127*D128</f>
        <v>0.13722372199597588</v>
      </c>
      <c r="E125" s="141">
        <f t="shared" ref="E125:H125" si="78">E126*E127*E128</f>
        <v>0.10997178705019126</v>
      </c>
      <c r="F125" s="141">
        <f t="shared" si="78"/>
        <v>0.11943965984435442</v>
      </c>
      <c r="G125" s="141">
        <f t="shared" si="78"/>
        <v>0.15328616711562132</v>
      </c>
      <c r="H125" s="141">
        <f t="shared" si="78"/>
        <v>0.19655962360972654</v>
      </c>
      <c r="I125" s="141">
        <f t="shared" ref="I125:M125" si="79">I126*I127*I128</f>
        <v>0.20188339026573907</v>
      </c>
      <c r="J125" s="141">
        <f t="shared" si="79"/>
        <v>0.19279925408981347</v>
      </c>
      <c r="K125" s="141">
        <f t="shared" si="79"/>
        <v>0.19914718193262537</v>
      </c>
      <c r="L125" s="141">
        <f t="shared" si="79"/>
        <v>0.39592545717831906</v>
      </c>
      <c r="M125" s="141" t="e">
        <f t="shared" si="79"/>
        <v>#DIV/0!</v>
      </c>
    </row>
    <row r="126" spans="1:13" x14ac:dyDescent="0.2">
      <c r="B126" s="2" t="s">
        <v>418</v>
      </c>
      <c r="C126" s="199">
        <f>C102</f>
        <v>7.2343546862200889E-2</v>
      </c>
      <c r="D126" s="199">
        <f>D102</f>
        <v>6.6447479559842301E-2</v>
      </c>
      <c r="E126" s="199">
        <f t="shared" ref="E126:H126" si="80">E102</f>
        <v>5.4472657470141697E-2</v>
      </c>
      <c r="F126" s="199">
        <f t="shared" si="80"/>
        <v>6.1028062762032736E-2</v>
      </c>
      <c r="G126" s="199">
        <f t="shared" si="80"/>
        <v>7.9358242375920443E-2</v>
      </c>
      <c r="H126" s="199">
        <f t="shared" si="80"/>
        <v>8.1751160067652789E-2</v>
      </c>
      <c r="I126" s="199">
        <f t="shared" ref="I126:M126" si="81">I102</f>
        <v>6.5909060648425707E-2</v>
      </c>
      <c r="J126" s="199">
        <f t="shared" si="81"/>
        <v>6.1523637382741907E-2</v>
      </c>
      <c r="K126" s="199">
        <f t="shared" si="81"/>
        <v>5.9076673219016017E-2</v>
      </c>
      <c r="L126" s="199">
        <f t="shared" si="81"/>
        <v>5.7445266778449564E-2</v>
      </c>
      <c r="M126" s="199" t="e">
        <f t="shared" si="81"/>
        <v>#DIV/0!</v>
      </c>
    </row>
    <row r="127" spans="1:13" x14ac:dyDescent="0.2">
      <c r="B127" s="2" t="s">
        <v>419</v>
      </c>
      <c r="C127" s="6">
        <f>C40</f>
        <v>1.358100484171191</v>
      </c>
      <c r="D127" s="6">
        <f>D40</f>
        <v>1.394437836708045</v>
      </c>
      <c r="E127" s="6">
        <f t="shared" ref="E127:H127" si="82">E40</f>
        <v>1.3908352942198672</v>
      </c>
      <c r="F127" s="6">
        <f t="shared" si="82"/>
        <v>1.3009988660216663</v>
      </c>
      <c r="G127" s="6">
        <f t="shared" si="82"/>
        <v>1.2104542101380547</v>
      </c>
      <c r="H127" s="6">
        <f t="shared" si="82"/>
        <v>1.4037597555184886</v>
      </c>
      <c r="I127" s="6">
        <f t="shared" ref="I127:M127" si="83">I40</f>
        <v>1.6457185679914805</v>
      </c>
      <c r="J127" s="6">
        <f t="shared" si="83"/>
        <v>1.6176646252863727</v>
      </c>
      <c r="K127" s="6">
        <f t="shared" si="83"/>
        <v>1.6460389335091974</v>
      </c>
      <c r="L127" s="6">
        <f t="shared" si="83"/>
        <v>3.18743277460716</v>
      </c>
      <c r="M127" s="6" t="e">
        <f t="shared" si="83"/>
        <v>#DIV/0!</v>
      </c>
    </row>
    <row r="128" spans="1:13" x14ac:dyDescent="0.2">
      <c r="B128" s="2" t="s">
        <v>420</v>
      </c>
      <c r="C128" s="6">
        <f>C82</f>
        <v>1.5233677891695536</v>
      </c>
      <c r="D128" s="6">
        <f>D82</f>
        <v>1.4809879472648908</v>
      </c>
      <c r="E128" s="6">
        <f t="shared" ref="E128:H128" si="84">E82</f>
        <v>1.4515333432547781</v>
      </c>
      <c r="F128" s="6">
        <f t="shared" si="84"/>
        <v>1.5043263254968526</v>
      </c>
      <c r="G128" s="6">
        <f t="shared" si="84"/>
        <v>1.5957415710664342</v>
      </c>
      <c r="H128" s="6">
        <f t="shared" si="84"/>
        <v>1.7128037309360371</v>
      </c>
      <c r="I128" s="6">
        <f t="shared" ref="I128:M128" si="85">I82</f>
        <v>1.8612293748007926</v>
      </c>
      <c r="J128" s="6">
        <f t="shared" si="85"/>
        <v>1.9372017692674348</v>
      </c>
      <c r="K128" s="6">
        <f t="shared" si="85"/>
        <v>2.0479437835389445</v>
      </c>
      <c r="L128" s="6">
        <f t="shared" si="85"/>
        <v>2.1623109235003213</v>
      </c>
      <c r="M128" s="6" t="e">
        <f t="shared" si="85"/>
        <v>#DIV/0!</v>
      </c>
    </row>
    <row r="129" spans="1:8" x14ac:dyDescent="0.2">
      <c r="C129" s="6"/>
      <c r="D129" s="6"/>
      <c r="E129" s="6"/>
      <c r="F129" s="6"/>
      <c r="G129" s="6"/>
      <c r="H129" s="6"/>
    </row>
    <row r="130" spans="1:8" x14ac:dyDescent="0.2">
      <c r="A130" s="4" t="s">
        <v>460</v>
      </c>
      <c r="B130" s="3" t="s">
        <v>461</v>
      </c>
    </row>
    <row r="132" spans="1:8" x14ac:dyDescent="0.2">
      <c r="A132" s="4">
        <v>1</v>
      </c>
      <c r="B132" s="3" t="s">
        <v>465</v>
      </c>
      <c r="C132" s="5">
        <f>SUM(C133:C136)</f>
        <v>526</v>
      </c>
      <c r="D132" s="5">
        <f>SUM(D133:D136)</f>
        <v>237</v>
      </c>
      <c r="E132" s="5">
        <f t="shared" ref="E132:H132" si="86">SUM(E133:E136)</f>
        <v>241</v>
      </c>
      <c r="F132" s="5">
        <f t="shared" si="86"/>
        <v>223</v>
      </c>
      <c r="G132" s="5">
        <f t="shared" si="86"/>
        <v>310</v>
      </c>
      <c r="H132" s="5">
        <f t="shared" si="86"/>
        <v>0</v>
      </c>
    </row>
    <row r="133" spans="1:8" x14ac:dyDescent="0.2">
      <c r="B133" s="2" t="s">
        <v>462</v>
      </c>
      <c r="C133" s="266">
        <f>'Common Size Analysis - CFS_Cons'!B45</f>
        <v>1532</v>
      </c>
      <c r="D133" s="266">
        <f>'Common Size Analysis - CFS_Cons'!C45</f>
        <v>1057</v>
      </c>
      <c r="E133" s="266">
        <f>'Common Size Analysis - CFS_Cons'!D45</f>
        <v>862</v>
      </c>
      <c r="F133" s="66">
        <f>'Common Size Analysis - CFS_Cons'!E45</f>
        <v>742</v>
      </c>
      <c r="G133" s="66">
        <f>'Common Size Analysis - CFS_Cons'!F45</f>
        <v>621</v>
      </c>
      <c r="H133" s="66">
        <f>'Common Size Analysis - CFS_Cons'!G45</f>
        <v>0</v>
      </c>
    </row>
    <row r="134" spans="1:8" x14ac:dyDescent="0.2">
      <c r="B134" s="3" t="s">
        <v>463</v>
      </c>
      <c r="C134" s="6"/>
      <c r="D134" s="6"/>
      <c r="E134" s="6"/>
    </row>
    <row r="135" spans="1:8" x14ac:dyDescent="0.2">
      <c r="B135" s="2" t="s">
        <v>464</v>
      </c>
      <c r="C135" s="266">
        <f>'Common Size Analysis - CFS_Cons'!B65</f>
        <v>-1053</v>
      </c>
      <c r="D135" s="266">
        <f>'Common Size Analysis - CFS_Cons'!C65</f>
        <v>-835</v>
      </c>
      <c r="E135" s="266">
        <f>'Common Size Analysis - CFS_Cons'!D65</f>
        <v>-636</v>
      </c>
      <c r="F135" s="66">
        <f>'Common Size Analysis - CFS_Cons'!E65</f>
        <v>-529</v>
      </c>
      <c r="G135" s="66">
        <f>'Common Size Analysis - CFS_Cons'!F65</f>
        <v>-375</v>
      </c>
      <c r="H135" s="66">
        <f>'Common Size Analysis - CFS_Cons'!G65</f>
        <v>0</v>
      </c>
    </row>
    <row r="136" spans="1:8" x14ac:dyDescent="0.2">
      <c r="B136" s="2" t="s">
        <v>467</v>
      </c>
      <c r="C136" s="266">
        <f>'Common Size Analysis - CFS_Cons'!B48</f>
        <v>47</v>
      </c>
      <c r="D136" s="266">
        <f>'Common Size Analysis - CFS_Cons'!C48</f>
        <v>15</v>
      </c>
      <c r="E136" s="266">
        <f>'Common Size Analysis - CFS_Cons'!D48</f>
        <v>15</v>
      </c>
      <c r="F136" s="66">
        <f>'Common Size Analysis - CFS_Cons'!E48</f>
        <v>10</v>
      </c>
      <c r="G136" s="66">
        <f>'Common Size Analysis - CFS_Cons'!F48</f>
        <v>64</v>
      </c>
      <c r="H136" s="66">
        <f>'Common Size Analysis - CFS_Cons'!G48</f>
        <v>0</v>
      </c>
    </row>
    <row r="137" spans="1:8" s="3" customFormat="1" x14ac:dyDescent="0.2">
      <c r="B137" s="3" t="s">
        <v>526</v>
      </c>
      <c r="C137" s="203">
        <f>(C132-D132)/-D132</f>
        <v>-1.2194092827004219</v>
      </c>
      <c r="D137" s="203">
        <f>(D132-E132)/E132</f>
        <v>-1.6597510373443983E-2</v>
      </c>
      <c r="E137" s="203">
        <f>(E132-F132)/F132</f>
        <v>8.0717488789237665E-2</v>
      </c>
      <c r="F137" s="203">
        <f>(F132-G132)/(-G132)</f>
        <v>0.28064516129032258</v>
      </c>
      <c r="G137" s="203" t="e">
        <f>(G132-H132)/H132</f>
        <v>#DIV/0!</v>
      </c>
      <c r="H137" s="201"/>
    </row>
    <row r="139" spans="1:8" x14ac:dyDescent="0.2">
      <c r="A139" s="4">
        <f>A132+1</f>
        <v>2</v>
      </c>
      <c r="B139" s="3" t="s">
        <v>466</v>
      </c>
      <c r="C139" s="5">
        <f>SUM(C140:C142)</f>
        <v>526</v>
      </c>
      <c r="D139" s="5">
        <f>SUM(D140:D142)</f>
        <v>237</v>
      </c>
      <c r="E139" s="5">
        <f t="shared" ref="E139:H139" si="87">SUM(E140:E142)</f>
        <v>241</v>
      </c>
      <c r="F139" s="5">
        <f t="shared" si="87"/>
        <v>223</v>
      </c>
      <c r="G139" s="5">
        <f t="shared" si="87"/>
        <v>310</v>
      </c>
      <c r="H139" s="5">
        <f t="shared" si="87"/>
        <v>0</v>
      </c>
    </row>
    <row r="140" spans="1:8" x14ac:dyDescent="0.2">
      <c r="B140" s="2" t="s">
        <v>468</v>
      </c>
      <c r="C140" s="6">
        <f>C132</f>
        <v>526</v>
      </c>
      <c r="D140" s="6">
        <f>D132</f>
        <v>237</v>
      </c>
      <c r="E140" s="6">
        <f t="shared" ref="E140:H140" si="88">E132</f>
        <v>241</v>
      </c>
      <c r="F140" s="145">
        <f t="shared" si="88"/>
        <v>223</v>
      </c>
      <c r="G140" s="145">
        <f t="shared" si="88"/>
        <v>310</v>
      </c>
      <c r="H140" s="145">
        <f t="shared" si="88"/>
        <v>0</v>
      </c>
    </row>
    <row r="141" spans="1:8" x14ac:dyDescent="0.2">
      <c r="B141" s="2" t="s">
        <v>469</v>
      </c>
      <c r="C141" s="145">
        <f>'Common Size Analysis - CFS_Cons'!B84</f>
        <v>0</v>
      </c>
      <c r="D141" s="145">
        <f>'Common Size Analysis - CFS_Cons'!C84</f>
        <v>0</v>
      </c>
      <c r="E141" s="145">
        <f>'Common Size Analysis - CFS_Cons'!D84</f>
        <v>0</v>
      </c>
      <c r="F141" s="145">
        <f>'Common Size Analysis - CFS_Cons'!E84</f>
        <v>0</v>
      </c>
      <c r="G141" s="145">
        <f>'Common Size Analysis - CFS_Cons'!F84</f>
        <v>0</v>
      </c>
      <c r="H141" s="145">
        <f>'Common Size Analysis - CFS_Cons'!G84</f>
        <v>0</v>
      </c>
    </row>
    <row r="142" spans="1:8" x14ac:dyDescent="0.2">
      <c r="B142" s="2" t="s">
        <v>470</v>
      </c>
      <c r="C142" s="145">
        <f>'Common Size Analysis - CFS_Cons'!C85</f>
        <v>0</v>
      </c>
      <c r="D142" s="145">
        <f>'Common Size Analysis - CFS_Cons'!D85</f>
        <v>0</v>
      </c>
      <c r="E142" s="145">
        <f>'Common Size Analysis - CFS_Cons'!D85</f>
        <v>0</v>
      </c>
      <c r="F142" s="145">
        <f>'Common Size Analysis - CFS_Cons'!E85</f>
        <v>0</v>
      </c>
      <c r="G142" s="145">
        <f>'Common Size Analysis - CFS_Cons'!F85</f>
        <v>0</v>
      </c>
      <c r="H142" s="145">
        <f>'Common Size Analysis - CFS_Cons'!G85</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40"/>
  <sheetViews>
    <sheetView workbookViewId="0">
      <pane xSplit="2" ySplit="5" topLeftCell="C6" activePane="bottomRight" state="frozen"/>
      <selection activeCell="B9" sqref="B9"/>
      <selection pane="topRight" activeCell="B9" sqref="B9"/>
      <selection pane="bottomLeft" activeCell="B9" sqref="B9"/>
      <selection pane="bottomRight" activeCell="C6" sqref="C6"/>
    </sheetView>
  </sheetViews>
  <sheetFormatPr defaultColWidth="9.140625" defaultRowHeight="11.25" x14ac:dyDescent="0.2"/>
  <cols>
    <col min="1" max="1" width="9.140625" style="2"/>
    <col min="2" max="2" width="42.85546875" style="2" bestFit="1" customWidth="1"/>
    <col min="3" max="3" width="6.85546875" style="2" bestFit="1" customWidth="1"/>
    <col min="4" max="4" width="14.5703125" style="2" bestFit="1" customWidth="1"/>
    <col min="5" max="5" width="14.28515625" style="2" bestFit="1" customWidth="1"/>
    <col min="6" max="7" width="16.28515625" style="2" bestFit="1" customWidth="1"/>
    <col min="8" max="8" width="15" style="2" bestFit="1" customWidth="1"/>
    <col min="9" max="10" width="17" style="2" bestFit="1" customWidth="1"/>
    <col min="11" max="11" width="16.85546875" style="2" bestFit="1" customWidth="1"/>
    <col min="12" max="12" width="15.28515625" style="2" bestFit="1" customWidth="1"/>
    <col min="13" max="16384" width="9.140625" style="2"/>
  </cols>
  <sheetData>
    <row r="1" spans="1:13" x14ac:dyDescent="0.2">
      <c r="A1" s="1" t="s">
        <v>936</v>
      </c>
    </row>
    <row r="3" spans="1:13" x14ac:dyDescent="0.2">
      <c r="A3" s="3" t="s">
        <v>7</v>
      </c>
      <c r="B3" s="3"/>
      <c r="C3" s="3"/>
    </row>
    <row r="4" spans="1:13" x14ac:dyDescent="0.2">
      <c r="A4" s="3"/>
      <c r="B4" s="3"/>
      <c r="C4" s="3"/>
    </row>
    <row r="5" spans="1:13" s="13" customFormat="1" x14ac:dyDescent="0.2">
      <c r="C5" s="232">
        <v>45717</v>
      </c>
      <c r="D5" s="232">
        <v>45352</v>
      </c>
      <c r="E5" s="232">
        <v>44986</v>
      </c>
      <c r="F5" s="232">
        <v>44621</v>
      </c>
      <c r="G5" s="232">
        <v>44256</v>
      </c>
      <c r="H5" s="232">
        <v>43891</v>
      </c>
      <c r="I5" s="232">
        <v>43525</v>
      </c>
      <c r="J5" s="232">
        <v>43160</v>
      </c>
      <c r="K5" s="232">
        <v>42795</v>
      </c>
      <c r="L5" s="232">
        <v>42430</v>
      </c>
      <c r="M5" s="232">
        <v>42064</v>
      </c>
    </row>
    <row r="6" spans="1:13" x14ac:dyDescent="0.2">
      <c r="A6" s="4" t="s">
        <v>349</v>
      </c>
      <c r="B6" s="3" t="s">
        <v>350</v>
      </c>
      <c r="C6" s="3"/>
    </row>
    <row r="8" spans="1:13" s="3" customFormat="1" x14ac:dyDescent="0.2">
      <c r="A8" s="4">
        <v>1</v>
      </c>
      <c r="B8" s="3" t="s">
        <v>351</v>
      </c>
      <c r="C8" s="5">
        <f>C9/C10</f>
        <v>10.976250011975591</v>
      </c>
      <c r="D8" s="5">
        <f>D9/D10</f>
        <v>11.290425309950257</v>
      </c>
      <c r="E8" s="5">
        <f t="shared" ref="E8:H8" si="0">E9/E10</f>
        <v>11.394167923579689</v>
      </c>
      <c r="F8" s="5">
        <f t="shared" si="0"/>
        <v>10.796512546501773</v>
      </c>
      <c r="G8" s="5">
        <f t="shared" si="0"/>
        <v>9.9750067186240283</v>
      </c>
      <c r="H8" s="5">
        <f t="shared" si="0"/>
        <v>11.151549352234836</v>
      </c>
      <c r="I8" s="5">
        <f t="shared" ref="I8:M8" si="1">I9/I10</f>
        <v>13.30713746223565</v>
      </c>
      <c r="J8" s="5">
        <f t="shared" si="1"/>
        <v>12.22368819221691</v>
      </c>
      <c r="K8" s="5">
        <f t="shared" si="1"/>
        <v>11.152617129483776</v>
      </c>
      <c r="L8" s="5">
        <f t="shared" si="1"/>
        <v>12.207055450309765</v>
      </c>
      <c r="M8" s="5" t="e">
        <f t="shared" si="1"/>
        <v>#DIV/0!</v>
      </c>
    </row>
    <row r="9" spans="1:13" x14ac:dyDescent="0.2">
      <c r="B9" s="2" t="s">
        <v>894</v>
      </c>
      <c r="C9" s="6">
        <f>SUM(Financials_Standalone!B81:B83)</f>
        <v>5728.4500000000007</v>
      </c>
      <c r="D9" s="6">
        <f>SUM(Financials_Standalone!C81:C83)</f>
        <v>5140.7000000000007</v>
      </c>
      <c r="E9" s="6">
        <f>SUM(Financials_Standalone!D81:D83)</f>
        <v>4532.6000000000004</v>
      </c>
      <c r="F9" s="6">
        <f>SUM(Financials_Standalone!E81:E83)</f>
        <v>3758.32</v>
      </c>
      <c r="G9" s="6">
        <f>SUM(Financials_Standalone!F81:F83)</f>
        <v>2969.36</v>
      </c>
      <c r="H9" s="6">
        <f>SUM(Financials_Standalone!G81:G83)+1272.09/100</f>
        <v>3060.0409</v>
      </c>
      <c r="I9" s="6">
        <f>SUM(Financials_Standalone!H81:H83)</f>
        <v>3523.73</v>
      </c>
      <c r="J9" s="6">
        <f>SUM(Financials_Standalone!I81:I83)</f>
        <v>3029.58</v>
      </c>
      <c r="K9" s="6">
        <f>SUM(Financials_Standalone!J81:J83)</f>
        <v>2478</v>
      </c>
      <c r="L9" s="6">
        <f>SUM(Financials_Standalone!K81:K83)</f>
        <v>2384.1600000000003</v>
      </c>
      <c r="M9" s="6">
        <f>SUM(Financials_Standalone!L81:L83)</f>
        <v>0</v>
      </c>
    </row>
    <row r="10" spans="1:13" x14ac:dyDescent="0.2">
      <c r="B10" s="2" t="s">
        <v>353</v>
      </c>
      <c r="C10" s="6">
        <f>AVERAGE(Financials_Standalone!B41:C41)</f>
        <v>521.89499999999998</v>
      </c>
      <c r="D10" s="6">
        <f>AVERAGE(Financials_Standalone!C41:D41)</f>
        <v>455.315</v>
      </c>
      <c r="E10" s="6">
        <f>AVERAGE(Financials_Standalone!D41:E41)</f>
        <v>397.8</v>
      </c>
      <c r="F10" s="6">
        <f>AVERAGE(Financials_Standalone!E41:F41)</f>
        <v>348.10500000000002</v>
      </c>
      <c r="G10" s="6">
        <f>AVERAGE(Financials_Standalone!F41:G41)</f>
        <v>297.67999999999995</v>
      </c>
      <c r="H10" s="6">
        <f>AVERAGE(Financials_Standalone!G41:H41)</f>
        <v>274.40499999999997</v>
      </c>
      <c r="I10" s="6">
        <f>AVERAGE(Financials_Standalone!H41:I41)</f>
        <v>264.8</v>
      </c>
      <c r="J10" s="6">
        <f>AVERAGE(Financials_Standalone!I41:J41)</f>
        <v>247.845</v>
      </c>
      <c r="K10" s="6">
        <f>AVERAGE(Financials_Standalone!J41:K41)</f>
        <v>222.19</v>
      </c>
      <c r="L10" s="6">
        <f>AVERAGE(Financials_Standalone!K41:L41)</f>
        <v>195.31</v>
      </c>
      <c r="M10" s="6" t="e">
        <f>AVERAGE(Financials_Standalone!L41:M41)</f>
        <v>#DIV/0!</v>
      </c>
    </row>
    <row r="12" spans="1:13" x14ac:dyDescent="0.2">
      <c r="A12" s="4">
        <f>A8+1</f>
        <v>2</v>
      </c>
      <c r="B12" s="3" t="s">
        <v>354</v>
      </c>
      <c r="C12" s="5">
        <f>C13/C14</f>
        <v>33.253615725021596</v>
      </c>
      <c r="D12" s="5">
        <f>D13/D14</f>
        <v>32.328277277413576</v>
      </c>
      <c r="E12" s="5">
        <f t="shared" ref="E12:H12" si="2">E13/E14</f>
        <v>32.121696156731232</v>
      </c>
      <c r="F12" s="5">
        <f t="shared" si="2"/>
        <v>33.807213063283598</v>
      </c>
      <c r="G12" s="5">
        <f t="shared" si="2"/>
        <v>36.59145405070452</v>
      </c>
      <c r="H12" s="5">
        <f t="shared" si="2"/>
        <v>32.730877878135551</v>
      </c>
      <c r="I12" s="5">
        <f t="shared" ref="I12:M12" si="3">I13/I14</f>
        <v>27.428889273582254</v>
      </c>
      <c r="J12" s="5">
        <f t="shared" si="3"/>
        <v>29.860054859089377</v>
      </c>
      <c r="K12" s="5">
        <f t="shared" si="3"/>
        <v>32.727744148506858</v>
      </c>
      <c r="L12" s="5">
        <f t="shared" si="3"/>
        <v>29.900740722099187</v>
      </c>
      <c r="M12" s="5" t="e">
        <f t="shared" si="3"/>
        <v>#DIV/0!</v>
      </c>
    </row>
    <row r="13" spans="1:13" x14ac:dyDescent="0.2">
      <c r="A13" s="4"/>
      <c r="B13" s="2" t="s">
        <v>355</v>
      </c>
      <c r="C13" s="2">
        <v>365</v>
      </c>
      <c r="D13" s="2">
        <v>365</v>
      </c>
      <c r="E13" s="2">
        <v>366</v>
      </c>
      <c r="F13" s="2">
        <v>365</v>
      </c>
      <c r="G13" s="2">
        <v>365</v>
      </c>
      <c r="H13" s="2">
        <v>365</v>
      </c>
      <c r="I13" s="2">
        <v>365</v>
      </c>
      <c r="J13" s="2">
        <v>365</v>
      </c>
      <c r="K13" s="2">
        <v>365</v>
      </c>
      <c r="L13" s="2">
        <v>365</v>
      </c>
      <c r="M13" s="2">
        <v>365</v>
      </c>
    </row>
    <row r="14" spans="1:13" x14ac:dyDescent="0.2">
      <c r="A14" s="4"/>
      <c r="B14" s="2" t="s">
        <v>351</v>
      </c>
      <c r="C14" s="6">
        <f>C8</f>
        <v>10.976250011975591</v>
      </c>
      <c r="D14" s="6">
        <f>D8</f>
        <v>11.290425309950257</v>
      </c>
      <c r="E14" s="6">
        <f t="shared" ref="E14:H14" si="4">E8</f>
        <v>11.394167923579689</v>
      </c>
      <c r="F14" s="6">
        <f t="shared" si="4"/>
        <v>10.796512546501773</v>
      </c>
      <c r="G14" s="6">
        <f t="shared" si="4"/>
        <v>9.9750067186240283</v>
      </c>
      <c r="H14" s="6">
        <f t="shared" si="4"/>
        <v>11.151549352234836</v>
      </c>
      <c r="I14" s="6">
        <f t="shared" ref="I14:M14" si="5">I8</f>
        <v>13.30713746223565</v>
      </c>
      <c r="J14" s="6">
        <f t="shared" si="5"/>
        <v>12.22368819221691</v>
      </c>
      <c r="K14" s="6">
        <f t="shared" si="5"/>
        <v>11.152617129483776</v>
      </c>
      <c r="L14" s="6">
        <f t="shared" si="5"/>
        <v>12.207055450309765</v>
      </c>
      <c r="M14" s="6" t="e">
        <f t="shared" si="5"/>
        <v>#DIV/0!</v>
      </c>
    </row>
    <row r="15" spans="1:13" x14ac:dyDescent="0.2">
      <c r="A15" s="4"/>
    </row>
    <row r="16" spans="1:13" s="3" customFormat="1" x14ac:dyDescent="0.2">
      <c r="A16" s="4">
        <v>3</v>
      </c>
      <c r="B16" s="3" t="s">
        <v>356</v>
      </c>
      <c r="C16" s="5">
        <f>C17/C18</f>
        <v>8.0394330868954729</v>
      </c>
      <c r="D16" s="5">
        <f>D17/D18</f>
        <v>8.2107613027059738</v>
      </c>
      <c r="E16" s="5">
        <f t="shared" ref="E16:H16" si="6">E17/E18</f>
        <v>8.2035893301977723</v>
      </c>
      <c r="F16" s="5">
        <f t="shared" si="6"/>
        <v>7.0613411006445226</v>
      </c>
      <c r="G16" s="5">
        <f t="shared" si="6"/>
        <v>7.4215211425283965</v>
      </c>
      <c r="H16" s="5">
        <f t="shared" si="6"/>
        <v>8.4526922945264094</v>
      </c>
      <c r="I16" s="5">
        <f t="shared" ref="I16:M16" si="7">I17/I18</f>
        <v>7.7318832823103767</v>
      </c>
      <c r="J16" s="5">
        <f t="shared" si="7"/>
        <v>7.7922616499189905</v>
      </c>
      <c r="K16" s="5">
        <f t="shared" si="7"/>
        <v>9.6856269113149835</v>
      </c>
      <c r="L16" s="5">
        <f t="shared" si="7"/>
        <v>11.607532147483493</v>
      </c>
      <c r="M16" s="5" t="e">
        <f t="shared" si="7"/>
        <v>#DIV/0!</v>
      </c>
    </row>
    <row r="17" spans="1:13" x14ac:dyDescent="0.2">
      <c r="A17" s="4"/>
      <c r="B17" s="2" t="s">
        <v>357</v>
      </c>
      <c r="C17" s="6">
        <f>Financials_Standalone!B77</f>
        <v>8846.15</v>
      </c>
      <c r="D17" s="6">
        <f>Financials_Standalone!C77</f>
        <v>7871</v>
      </c>
      <c r="E17" s="6">
        <f>Financials_Standalone!D77</f>
        <v>6767.51</v>
      </c>
      <c r="F17" s="6">
        <f>Financials_Standalone!E77</f>
        <v>5697.09</v>
      </c>
      <c r="G17" s="6">
        <f>Financials_Standalone!F77</f>
        <v>4773.04</v>
      </c>
      <c r="H17" s="6">
        <f>Financials_Standalone!G77</f>
        <v>4938.57</v>
      </c>
      <c r="I17" s="6">
        <f>Financials_Standalone!H77</f>
        <v>5417.46</v>
      </c>
      <c r="J17" s="6">
        <f>Financials_Standalone!I77</f>
        <v>4641.1100000000006</v>
      </c>
      <c r="K17" s="6">
        <f>Financials_Standalone!J77</f>
        <v>3879.8199999999997</v>
      </c>
      <c r="L17" s="6">
        <f>Financials_Standalone!K77</f>
        <v>3673.9</v>
      </c>
      <c r="M17" s="6">
        <f>Financials_Standalone!L77</f>
        <v>0</v>
      </c>
    </row>
    <row r="18" spans="1:13" x14ac:dyDescent="0.2">
      <c r="A18" s="4"/>
      <c r="B18" s="2" t="s">
        <v>358</v>
      </c>
      <c r="C18" s="6">
        <f>AVERAGE(Financials_Standalone!B42:C42)</f>
        <v>1100.345</v>
      </c>
      <c r="D18" s="6">
        <f>AVERAGE(Financials_Standalone!C42:D42)</f>
        <v>958.62</v>
      </c>
      <c r="E18" s="6">
        <f>AVERAGE(Financials_Standalone!D42:E42)</f>
        <v>824.94499999999994</v>
      </c>
      <c r="F18" s="6">
        <f>AVERAGE(Financials_Standalone!E42:F42)</f>
        <v>806.8</v>
      </c>
      <c r="G18" s="6">
        <f>AVERAGE(Financials_Standalone!F42:G42)</f>
        <v>643.13499999999999</v>
      </c>
      <c r="H18" s="6">
        <f>AVERAGE(Financials_Standalone!G42:H42)</f>
        <v>584.26</v>
      </c>
      <c r="I18" s="6">
        <f>AVERAGE(Financials_Standalone!H42:I42)</f>
        <v>700.66499999999996</v>
      </c>
      <c r="J18" s="6">
        <f>AVERAGE(Financials_Standalone!I42:J42)</f>
        <v>595.60500000000002</v>
      </c>
      <c r="K18" s="6">
        <f>AVERAGE(Financials_Standalone!J42:K42)</f>
        <v>400.57499999999999</v>
      </c>
      <c r="L18" s="6">
        <f>AVERAGE(Financials_Standalone!K42:L42)</f>
        <v>316.51</v>
      </c>
      <c r="M18" s="6" t="e">
        <f>AVERAGE(Financials_Standalone!L42:M42)</f>
        <v>#DIV/0!</v>
      </c>
    </row>
    <row r="19" spans="1:13" x14ac:dyDescent="0.2">
      <c r="A19" s="4"/>
    </row>
    <row r="20" spans="1:13" s="3" customFormat="1" x14ac:dyDescent="0.2">
      <c r="A20" s="4">
        <f>A16+1</f>
        <v>4</v>
      </c>
      <c r="B20" s="3" t="s">
        <v>359</v>
      </c>
      <c r="C20" s="5">
        <f>C21/C22</f>
        <v>45.401211261396206</v>
      </c>
      <c r="D20" s="5">
        <f>D21/D22</f>
        <v>44.453855926819969</v>
      </c>
      <c r="E20" s="5">
        <f t="shared" ref="E20:H20" si="8">E21/E22</f>
        <v>44.614617488559297</v>
      </c>
      <c r="F20" s="5">
        <f t="shared" si="8"/>
        <v>51.689897825029966</v>
      </c>
      <c r="G20" s="5">
        <f t="shared" si="8"/>
        <v>49.181292216281442</v>
      </c>
      <c r="H20" s="5">
        <f t="shared" si="8"/>
        <v>43.181508007378653</v>
      </c>
      <c r="I20" s="5">
        <f t="shared" ref="I20:M20" si="9">I21/I22</f>
        <v>47.207127509940079</v>
      </c>
      <c r="J20" s="5">
        <f t="shared" si="9"/>
        <v>46.841342911501769</v>
      </c>
      <c r="K20" s="5">
        <f t="shared" si="9"/>
        <v>37.68470573377116</v>
      </c>
      <c r="L20" s="5">
        <f t="shared" si="9"/>
        <v>31.445099213369986</v>
      </c>
      <c r="M20" s="5" t="e">
        <f t="shared" si="9"/>
        <v>#DIV/0!</v>
      </c>
    </row>
    <row r="21" spans="1:13" x14ac:dyDescent="0.2">
      <c r="A21" s="4"/>
      <c r="B21" s="2" t="s">
        <v>355</v>
      </c>
      <c r="C21" s="2">
        <v>365</v>
      </c>
      <c r="D21" s="2">
        <v>365</v>
      </c>
      <c r="E21" s="2">
        <v>366</v>
      </c>
      <c r="F21" s="2">
        <v>365</v>
      </c>
      <c r="G21" s="2">
        <v>365</v>
      </c>
      <c r="H21" s="2">
        <v>365</v>
      </c>
      <c r="I21" s="2">
        <v>365</v>
      </c>
      <c r="J21" s="2">
        <v>365</v>
      </c>
      <c r="K21" s="2">
        <v>365</v>
      </c>
      <c r="L21" s="2">
        <v>365</v>
      </c>
      <c r="M21" s="2">
        <v>365</v>
      </c>
    </row>
    <row r="22" spans="1:13" x14ac:dyDescent="0.2">
      <c r="A22" s="4"/>
      <c r="B22" s="2" t="s">
        <v>356</v>
      </c>
      <c r="C22" s="6">
        <f>C16</f>
        <v>8.0394330868954729</v>
      </c>
      <c r="D22" s="6">
        <f>D16</f>
        <v>8.2107613027059738</v>
      </c>
      <c r="E22" s="6">
        <f t="shared" ref="E22:H22" si="10">E16</f>
        <v>8.2035893301977723</v>
      </c>
      <c r="F22" s="6">
        <f t="shared" si="10"/>
        <v>7.0613411006445226</v>
      </c>
      <c r="G22" s="6">
        <f t="shared" si="10"/>
        <v>7.4215211425283965</v>
      </c>
      <c r="H22" s="6">
        <f t="shared" si="10"/>
        <v>8.4526922945264094</v>
      </c>
      <c r="I22" s="6">
        <f t="shared" ref="I22:M22" si="11">I16</f>
        <v>7.7318832823103767</v>
      </c>
      <c r="J22" s="6">
        <f t="shared" si="11"/>
        <v>7.7922616499189905</v>
      </c>
      <c r="K22" s="6">
        <f t="shared" si="11"/>
        <v>9.6856269113149835</v>
      </c>
      <c r="L22" s="6">
        <f t="shared" si="11"/>
        <v>11.607532147483493</v>
      </c>
      <c r="M22" s="6" t="e">
        <f t="shared" si="11"/>
        <v>#DIV/0!</v>
      </c>
    </row>
    <row r="23" spans="1:13" x14ac:dyDescent="0.2">
      <c r="A23" s="4"/>
    </row>
    <row r="24" spans="1:13" s="3" customFormat="1" x14ac:dyDescent="0.2">
      <c r="A24" s="4">
        <f>A20+1</f>
        <v>5</v>
      </c>
      <c r="B24" s="3" t="s">
        <v>360</v>
      </c>
      <c r="C24" s="5">
        <f>C25/C26</f>
        <v>7.68290393100951</v>
      </c>
      <c r="D24" s="5">
        <f>D25/D26</f>
        <v>8.2737031851029244</v>
      </c>
      <c r="E24" s="5">
        <f t="shared" ref="E24:H24" si="12">E25/E26</f>
        <v>8.2683011364672829</v>
      </c>
      <c r="F24" s="5">
        <f t="shared" si="12"/>
        <v>7.1128438543864796</v>
      </c>
      <c r="G24" s="5">
        <f t="shared" si="12"/>
        <v>6.4380555916916</v>
      </c>
      <c r="H24" s="5">
        <f t="shared" si="12"/>
        <v>6.678687197171417</v>
      </c>
      <c r="I24" s="5">
        <f t="shared" ref="I24:M24" si="13">I25/I26</f>
        <v>7.0194523849839143</v>
      </c>
      <c r="J24" s="5">
        <f t="shared" si="13"/>
        <v>7.2898289179239146</v>
      </c>
      <c r="K24" s="5">
        <f t="shared" si="13"/>
        <v>7.5085220816604812</v>
      </c>
      <c r="L24" s="5">
        <f t="shared" si="13"/>
        <v>7.6390900352451139</v>
      </c>
      <c r="M24" s="5" t="e">
        <f t="shared" si="13"/>
        <v>#DIV/0!</v>
      </c>
    </row>
    <row r="25" spans="1:13" x14ac:dyDescent="0.2">
      <c r="A25" s="4"/>
      <c r="B25" s="2" t="s">
        <v>361</v>
      </c>
      <c r="C25" s="6">
        <f>C9</f>
        <v>5728.4500000000007</v>
      </c>
      <c r="D25" s="6">
        <f>D9</f>
        <v>5140.7000000000007</v>
      </c>
      <c r="E25" s="6">
        <f t="shared" ref="E25:H25" si="14">E9</f>
        <v>4532.6000000000004</v>
      </c>
      <c r="F25" s="6">
        <f t="shared" si="14"/>
        <v>3758.32</v>
      </c>
      <c r="G25" s="6">
        <f t="shared" si="14"/>
        <v>2969.36</v>
      </c>
      <c r="H25" s="6">
        <f t="shared" si="14"/>
        <v>3060.0409</v>
      </c>
      <c r="I25" s="6">
        <f t="shared" ref="I25:M25" si="15">I9</f>
        <v>3523.73</v>
      </c>
      <c r="J25" s="6">
        <f t="shared" si="15"/>
        <v>3029.58</v>
      </c>
      <c r="K25" s="6">
        <f t="shared" si="15"/>
        <v>2478</v>
      </c>
      <c r="L25" s="6">
        <f t="shared" si="15"/>
        <v>2384.1600000000003</v>
      </c>
      <c r="M25" s="6">
        <f t="shared" si="15"/>
        <v>0</v>
      </c>
    </row>
    <row r="26" spans="1:13" x14ac:dyDescent="0.2">
      <c r="A26" s="4"/>
      <c r="B26" s="2" t="s">
        <v>362</v>
      </c>
      <c r="C26" s="2">
        <f>AVERAGE(Financials_Standalone!B21:C21)</f>
        <v>745.61</v>
      </c>
      <c r="D26" s="2">
        <f>AVERAGE(Financials_Standalone!C21:D21)</f>
        <v>621.33000000000004</v>
      </c>
      <c r="E26" s="2">
        <f>AVERAGE(Financials_Standalone!D21:E21)</f>
        <v>548.19000000000005</v>
      </c>
      <c r="F26" s="2">
        <f>AVERAGE(Financials_Standalone!E21:F21)</f>
        <v>528.38499999999999</v>
      </c>
      <c r="G26" s="2">
        <f>AVERAGE(Financials_Standalone!F21:G21)</f>
        <v>461.22</v>
      </c>
      <c r="H26" s="2">
        <f>AVERAGE(Financials_Standalone!G21:H21)</f>
        <v>458.18</v>
      </c>
      <c r="I26" s="2">
        <f>AVERAGE(Financials_Standalone!H21:I21)</f>
        <v>501.995</v>
      </c>
      <c r="J26" s="2">
        <f>AVERAGE(Financials_Standalone!I21:J21)</f>
        <v>415.59000000000003</v>
      </c>
      <c r="K26" s="2">
        <f>AVERAGE(Financials_Standalone!J21:K21)</f>
        <v>330.02499999999998</v>
      </c>
      <c r="L26" s="2">
        <f>AVERAGE(Financials_Standalone!K21:L21)</f>
        <v>312.10000000000002</v>
      </c>
      <c r="M26" s="2" t="e">
        <f>AVERAGE(Financials_Standalone!L21:M21)</f>
        <v>#DIV/0!</v>
      </c>
    </row>
    <row r="27" spans="1:13" x14ac:dyDescent="0.2">
      <c r="A27" s="4"/>
    </row>
    <row r="28" spans="1:13" s="3" customFormat="1" x14ac:dyDescent="0.2">
      <c r="A28" s="4">
        <f>A24+1</f>
        <v>6</v>
      </c>
      <c r="B28" s="3" t="s">
        <v>369</v>
      </c>
      <c r="C28" s="5">
        <f>C29/C30</f>
        <v>47.508078101406134</v>
      </c>
      <c r="D28" s="5">
        <f>D29/D30</f>
        <v>44.115674908086447</v>
      </c>
      <c r="E28" s="5">
        <f t="shared" ref="E28:H28" si="16">E29/E30</f>
        <v>44.144497639324008</v>
      </c>
      <c r="F28" s="5">
        <f t="shared" si="16"/>
        <v>51.315621075374104</v>
      </c>
      <c r="G28" s="5">
        <f t="shared" si="16"/>
        <v>56.694136110138217</v>
      </c>
      <c r="H28" s="5">
        <f t="shared" si="16"/>
        <v>54.651459070367331</v>
      </c>
      <c r="I28" s="5">
        <f t="shared" ref="I28:M28" si="17">I29/I30</f>
        <v>51.998358273761042</v>
      </c>
      <c r="J28" s="5">
        <f t="shared" si="17"/>
        <v>50.069762145247864</v>
      </c>
      <c r="K28" s="5">
        <f t="shared" si="17"/>
        <v>48.61143058918482</v>
      </c>
      <c r="L28" s="5">
        <f t="shared" si="17"/>
        <v>47.780560029528218</v>
      </c>
      <c r="M28" s="5" t="e">
        <f t="shared" si="17"/>
        <v>#DIV/0!</v>
      </c>
    </row>
    <row r="29" spans="1:13" x14ac:dyDescent="0.2">
      <c r="A29" s="4"/>
      <c r="B29" s="2" t="s">
        <v>355</v>
      </c>
      <c r="C29" s="2">
        <v>365</v>
      </c>
      <c r="D29" s="2">
        <v>365</v>
      </c>
      <c r="E29" s="2">
        <v>365</v>
      </c>
      <c r="F29" s="2">
        <v>365</v>
      </c>
      <c r="G29" s="2">
        <v>365</v>
      </c>
      <c r="H29" s="2">
        <v>365</v>
      </c>
      <c r="I29" s="2">
        <v>365</v>
      </c>
      <c r="J29" s="2">
        <v>365</v>
      </c>
      <c r="K29" s="2">
        <v>365</v>
      </c>
      <c r="L29" s="2">
        <v>365</v>
      </c>
      <c r="M29" s="2">
        <v>365</v>
      </c>
    </row>
    <row r="30" spans="1:13" x14ac:dyDescent="0.2">
      <c r="A30" s="4"/>
      <c r="B30" s="2" t="s">
        <v>360</v>
      </c>
      <c r="C30" s="6">
        <f>C24</f>
        <v>7.68290393100951</v>
      </c>
      <c r="D30" s="6">
        <f>D24</f>
        <v>8.2737031851029244</v>
      </c>
      <c r="E30" s="6">
        <f t="shared" ref="E30:H30" si="18">E24</f>
        <v>8.2683011364672829</v>
      </c>
      <c r="F30" s="6">
        <f t="shared" si="18"/>
        <v>7.1128438543864796</v>
      </c>
      <c r="G30" s="6">
        <f t="shared" si="18"/>
        <v>6.4380555916916</v>
      </c>
      <c r="H30" s="6">
        <f t="shared" si="18"/>
        <v>6.678687197171417</v>
      </c>
      <c r="I30" s="6">
        <f t="shared" ref="I30:M30" si="19">I24</f>
        <v>7.0194523849839143</v>
      </c>
      <c r="J30" s="6">
        <f t="shared" si="19"/>
        <v>7.2898289179239146</v>
      </c>
      <c r="K30" s="6">
        <f t="shared" si="19"/>
        <v>7.5085220816604812</v>
      </c>
      <c r="L30" s="6">
        <f t="shared" si="19"/>
        <v>7.6390900352451139</v>
      </c>
      <c r="M30" s="6" t="e">
        <f t="shared" si="19"/>
        <v>#DIV/0!</v>
      </c>
    </row>
    <row r="31" spans="1:13" x14ac:dyDescent="0.2">
      <c r="A31" s="4"/>
    </row>
    <row r="32" spans="1:13" s="3" customFormat="1" x14ac:dyDescent="0.2">
      <c r="A32" s="4">
        <f>A24+1</f>
        <v>6</v>
      </c>
      <c r="B32" s="3" t="s">
        <v>363</v>
      </c>
      <c r="C32" s="5">
        <f>C33/C34</f>
        <v>6.1545927330283678</v>
      </c>
      <c r="D32" s="5">
        <f>D33/D34</f>
        <v>6.8139811708689537</v>
      </c>
      <c r="E32" s="5">
        <f t="shared" ref="E32:H32" si="20">E33/E34</f>
        <v>6.9084774830414615</v>
      </c>
      <c r="F32" s="5">
        <f t="shared" si="20"/>
        <v>6.2520878373187889</v>
      </c>
      <c r="G32" s="5">
        <f t="shared" si="20"/>
        <v>8.072794926004228</v>
      </c>
      <c r="H32" s="5">
        <f t="shared" si="20"/>
        <v>8.3806849036111863</v>
      </c>
      <c r="I32" s="5">
        <f t="shared" ref="I32:M32" si="21">I33/I34</f>
        <v>11.125518544379183</v>
      </c>
      <c r="J32" s="5">
        <f t="shared" si="21"/>
        <v>11.415840610011069</v>
      </c>
      <c r="K32" s="5">
        <f t="shared" si="21"/>
        <v>15.526111489055184</v>
      </c>
      <c r="L32" s="5">
        <f t="shared" si="21"/>
        <v>49.835865436787827</v>
      </c>
      <c r="M32" s="5" t="e">
        <f t="shared" si="21"/>
        <v>#DIV/0!</v>
      </c>
    </row>
    <row r="33" spans="1:13" x14ac:dyDescent="0.2">
      <c r="A33" s="4"/>
      <c r="B33" s="2" t="s">
        <v>357</v>
      </c>
      <c r="C33" s="6">
        <f>C17</f>
        <v>8846.15</v>
      </c>
      <c r="D33" s="6">
        <f>D17</f>
        <v>7871</v>
      </c>
      <c r="E33" s="6">
        <f t="shared" ref="E33:H33" si="22">E17</f>
        <v>6767.51</v>
      </c>
      <c r="F33" s="6">
        <f t="shared" si="22"/>
        <v>5697.09</v>
      </c>
      <c r="G33" s="6">
        <f t="shared" si="22"/>
        <v>4773.04</v>
      </c>
      <c r="H33" s="6">
        <f t="shared" si="22"/>
        <v>4938.57</v>
      </c>
      <c r="I33" s="6">
        <f t="shared" ref="I33:M33" si="23">I17</f>
        <v>5417.46</v>
      </c>
      <c r="J33" s="6">
        <f t="shared" si="23"/>
        <v>4641.1100000000006</v>
      </c>
      <c r="K33" s="6">
        <f t="shared" si="23"/>
        <v>3879.8199999999997</v>
      </c>
      <c r="L33" s="6">
        <f t="shared" si="23"/>
        <v>3673.9</v>
      </c>
      <c r="M33" s="6">
        <f t="shared" si="23"/>
        <v>0</v>
      </c>
    </row>
    <row r="34" spans="1:13" x14ac:dyDescent="0.2">
      <c r="A34" s="4"/>
      <c r="B34" s="2" t="s">
        <v>364</v>
      </c>
      <c r="C34" s="6">
        <f>(Financials_Standalone!B46-Financials_Standalone!B24+Financials_Standalone!C46-Financials_Standalone!C24)/2</f>
        <v>1437.325</v>
      </c>
      <c r="D34" s="6">
        <f>(Financials_Standalone!C46-Financials_Standalone!C24+Financials_Standalone!D46-Financials_Standalone!D24)/2</f>
        <v>1155.125</v>
      </c>
      <c r="E34" s="6">
        <f>(Financials_Standalone!D46-Financials_Standalone!D24+Financials_Standalone!E46-Financials_Standalone!E24)/2</f>
        <v>979.59500000000003</v>
      </c>
      <c r="F34" s="6">
        <f>(Financials_Standalone!E46-Financials_Standalone!E24+Financials_Standalone!F46-Financials_Standalone!F24)/2</f>
        <v>911.23</v>
      </c>
      <c r="G34" s="6">
        <f>(Financials_Standalone!F46-Financials_Standalone!F24+Financials_Standalone!G46-Financials_Standalone!G24)/2</f>
        <v>591.25</v>
      </c>
      <c r="H34" s="6">
        <f>(Financials_Standalone!G46-Financials_Standalone!G24+Financials_Standalone!H46-Financials_Standalone!H24)</f>
        <v>589.28</v>
      </c>
      <c r="I34" s="6">
        <f>(Financials_Standalone!H46-Financials_Standalone!H24+Financials_Standalone!I46-Financials_Standalone!I24)</f>
        <v>486.94000000000005</v>
      </c>
      <c r="J34" s="6">
        <f>(Financials_Standalone!I46-Financials_Standalone!I24+Financials_Standalone!J46-Financials_Standalone!J24)</f>
        <v>406.55000000000007</v>
      </c>
      <c r="K34" s="6">
        <f>(Financials_Standalone!J46-Financials_Standalone!J24+Financials_Standalone!K46-Financials_Standalone!K24)</f>
        <v>249.89</v>
      </c>
      <c r="L34" s="6">
        <f>(Financials_Standalone!K46-Financials_Standalone!K24+Financials_Standalone!L46-Financials_Standalone!L24)</f>
        <v>73.720000000000027</v>
      </c>
      <c r="M34" s="6">
        <f>(Financials_Standalone!L46-Financials_Standalone!L24+Financials_Standalone!M46-Financials_Standalone!M24)</f>
        <v>0</v>
      </c>
    </row>
    <row r="35" spans="1:13" x14ac:dyDescent="0.2">
      <c r="A35" s="4"/>
    </row>
    <row r="36" spans="1:13" s="3" customFormat="1" x14ac:dyDescent="0.2">
      <c r="A36" s="4">
        <f>A32+1</f>
        <v>7</v>
      </c>
      <c r="B36" s="3" t="s">
        <v>365</v>
      </c>
      <c r="C36" s="5">
        <f>C37/C38</f>
        <v>4.2568349529980436</v>
      </c>
      <c r="D36" s="5">
        <f>D37/D38</f>
        <v>4.2215976743936583</v>
      </c>
      <c r="E36" s="5">
        <f t="shared" ref="E36:H36" si="24">E37/E38</f>
        <v>3.909663367938208</v>
      </c>
      <c r="F36" s="5">
        <f t="shared" si="24"/>
        <v>3.6272642188166531</v>
      </c>
      <c r="G36" s="5">
        <f t="shared" si="24"/>
        <v>3.1539043528537212</v>
      </c>
      <c r="H36" s="5">
        <f t="shared" si="24"/>
        <v>3.5243403329110983</v>
      </c>
      <c r="I36" s="5">
        <f t="shared" ref="I36:M36" si="25">I37/I38</f>
        <v>4.7499495848421347</v>
      </c>
      <c r="J36" s="5">
        <f t="shared" si="25"/>
        <v>4.8905011037876518</v>
      </c>
      <c r="K36" s="5">
        <f t="shared" si="25"/>
        <v>4.1940146040634101</v>
      </c>
      <c r="L36" s="5">
        <f t="shared" si="25"/>
        <v>7.5727875171340528</v>
      </c>
      <c r="M36" s="5" t="e">
        <f t="shared" si="25"/>
        <v>#DIV/0!</v>
      </c>
    </row>
    <row r="37" spans="1:13" x14ac:dyDescent="0.2">
      <c r="A37" s="4"/>
      <c r="B37" s="2" t="s">
        <v>357</v>
      </c>
      <c r="C37" s="6">
        <f>C17</f>
        <v>8846.15</v>
      </c>
      <c r="D37" s="6">
        <f>D17</f>
        <v>7871</v>
      </c>
      <c r="E37" s="6">
        <f t="shared" ref="E37:H37" si="26">E17</f>
        <v>6767.51</v>
      </c>
      <c r="F37" s="6">
        <f t="shared" si="26"/>
        <v>5697.09</v>
      </c>
      <c r="G37" s="6">
        <f t="shared" si="26"/>
        <v>4773.04</v>
      </c>
      <c r="H37" s="6">
        <f t="shared" si="26"/>
        <v>4938.57</v>
      </c>
      <c r="I37" s="6">
        <f t="shared" ref="I37:M37" si="27">I17</f>
        <v>5417.46</v>
      </c>
      <c r="J37" s="6">
        <f t="shared" si="27"/>
        <v>4641.1100000000006</v>
      </c>
      <c r="K37" s="6">
        <f t="shared" si="27"/>
        <v>3879.8199999999997</v>
      </c>
      <c r="L37" s="6">
        <f t="shared" si="27"/>
        <v>3673.9</v>
      </c>
      <c r="M37" s="6">
        <f t="shared" si="27"/>
        <v>0</v>
      </c>
    </row>
    <row r="38" spans="1:13" x14ac:dyDescent="0.2">
      <c r="A38" s="4"/>
      <c r="B38" s="2" t="s">
        <v>366</v>
      </c>
      <c r="C38" s="6">
        <f>AVERAGE(Financials_Standalone!B33:C33)</f>
        <v>2078.105</v>
      </c>
      <c r="D38" s="6">
        <f>AVERAGE(Financials_Standalone!C33:D33)</f>
        <v>1864.46</v>
      </c>
      <c r="E38" s="6">
        <f>AVERAGE(Financials_Standalone!D33:E33)</f>
        <v>1730.97</v>
      </c>
      <c r="F38" s="6">
        <f>AVERAGE(Financials_Standalone!E33:F33)</f>
        <v>1570.63</v>
      </c>
      <c r="G38" s="6">
        <f>AVERAGE(Financials_Standalone!F33:G33)</f>
        <v>1513.375</v>
      </c>
      <c r="H38" s="6">
        <f>AVERAGE(Financials_Standalone!G33:H33)</f>
        <v>1401.2750000000001</v>
      </c>
      <c r="I38" s="6">
        <f>AVERAGE(Financials_Standalone!H33:I33)</f>
        <v>1140.53</v>
      </c>
      <c r="J38" s="6">
        <f>AVERAGE(Financials_Standalone!I33:J33)</f>
        <v>949.005</v>
      </c>
      <c r="K38" s="6">
        <f>AVERAGE(Financials_Standalone!J33:K33)</f>
        <v>925.08500000000004</v>
      </c>
      <c r="L38" s="6">
        <f>AVERAGE(Financials_Standalone!K33:L33)</f>
        <v>485.14499999999998</v>
      </c>
      <c r="M38" s="6">
        <f>AVERAGE(Financials_Standalone!L33:M33)</f>
        <v>0</v>
      </c>
    </row>
    <row r="39" spans="1:13" x14ac:dyDescent="0.2">
      <c r="A39" s="4"/>
    </row>
    <row r="40" spans="1:13" s="3" customFormat="1" x14ac:dyDescent="0.2">
      <c r="A40" s="4">
        <f>A36+1</f>
        <v>8</v>
      </c>
      <c r="B40" s="3" t="s">
        <v>367</v>
      </c>
      <c r="C40" s="5">
        <f>C41/C42</f>
        <v>1.7549760842437718</v>
      </c>
      <c r="D40" s="5">
        <f>D41/D42</f>
        <v>1.7900108706034321</v>
      </c>
      <c r="E40" s="5">
        <f t="shared" ref="E40:H40" si="28">E41/E42</f>
        <v>1.7245622663530564</v>
      </c>
      <c r="F40" s="5">
        <f t="shared" si="28"/>
        <v>1.5875987008481272</v>
      </c>
      <c r="G40" s="5">
        <f t="shared" si="28"/>
        <v>1.486800974994354</v>
      </c>
      <c r="H40" s="5">
        <f t="shared" si="28"/>
        <v>1.6624151720794957</v>
      </c>
      <c r="I40" s="5">
        <f t="shared" ref="I40:M40" si="29">I41/I42</f>
        <v>1.9473046660172606</v>
      </c>
      <c r="J40" s="5">
        <f t="shared" si="29"/>
        <v>1.911648587922012</v>
      </c>
      <c r="K40" s="5">
        <f t="shared" si="29"/>
        <v>1.8293056095807254</v>
      </c>
      <c r="L40" s="5">
        <f t="shared" si="29"/>
        <v>3.6891176101418357</v>
      </c>
      <c r="M40" s="5" t="e">
        <f t="shared" si="29"/>
        <v>#DIV/0!</v>
      </c>
    </row>
    <row r="41" spans="1:13" x14ac:dyDescent="0.2">
      <c r="A41" s="4"/>
      <c r="B41" s="2" t="s">
        <v>357</v>
      </c>
      <c r="C41" s="6">
        <f>C17</f>
        <v>8846.15</v>
      </c>
      <c r="D41" s="6">
        <f>D17</f>
        <v>7871</v>
      </c>
      <c r="E41" s="6">
        <f t="shared" ref="E41:H41" si="30">E17</f>
        <v>6767.51</v>
      </c>
      <c r="F41" s="6">
        <f t="shared" si="30"/>
        <v>5697.09</v>
      </c>
      <c r="G41" s="6">
        <f t="shared" si="30"/>
        <v>4773.04</v>
      </c>
      <c r="H41" s="6">
        <f t="shared" si="30"/>
        <v>4938.57</v>
      </c>
      <c r="I41" s="6">
        <f t="shared" ref="I41:M41" si="31">I17</f>
        <v>5417.46</v>
      </c>
      <c r="J41" s="6">
        <f t="shared" si="31"/>
        <v>4641.1100000000006</v>
      </c>
      <c r="K41" s="6">
        <f t="shared" si="31"/>
        <v>3879.8199999999997</v>
      </c>
      <c r="L41" s="6">
        <f t="shared" si="31"/>
        <v>3673.9</v>
      </c>
      <c r="M41" s="6">
        <f t="shared" si="31"/>
        <v>0</v>
      </c>
    </row>
    <row r="42" spans="1:13" x14ac:dyDescent="0.2">
      <c r="A42" s="4"/>
      <c r="B42" s="2" t="s">
        <v>368</v>
      </c>
      <c r="C42" s="6">
        <f>AVERAGE(Financials_Standalone!B47:C47)</f>
        <v>5040.6100000000006</v>
      </c>
      <c r="D42" s="6">
        <f>AVERAGE(Financials_Standalone!C47:D47)</f>
        <v>4397.18</v>
      </c>
      <c r="E42" s="6">
        <f>AVERAGE(Financials_Standalone!D47:E47)</f>
        <v>3924.1899999999996</v>
      </c>
      <c r="F42" s="6">
        <f>AVERAGE(Financials_Standalone!E47:F47)</f>
        <v>3588.4949999999999</v>
      </c>
      <c r="G42" s="6">
        <f>AVERAGE(Financials_Standalone!F47:G47)</f>
        <v>3210.2750000000001</v>
      </c>
      <c r="H42" s="6">
        <f>AVERAGE(Financials_Standalone!G47:H47)</f>
        <v>2970.7200000000003</v>
      </c>
      <c r="I42" s="6">
        <f>AVERAGE(Financials_Standalone!H47:I47)</f>
        <v>2782.03</v>
      </c>
      <c r="J42" s="6">
        <f>AVERAGE(Financials_Standalone!I47:J47)</f>
        <v>2427.8050000000003</v>
      </c>
      <c r="K42" s="6">
        <f>AVERAGE(Financials_Standalone!J47:K47)</f>
        <v>2120.9249999999997</v>
      </c>
      <c r="L42" s="6">
        <f>AVERAGE(Financials_Standalone!K47:L47)</f>
        <v>995.87499999999989</v>
      </c>
      <c r="M42" s="6">
        <f>AVERAGE(Financials_Standalone!L47:M47)</f>
        <v>0</v>
      </c>
    </row>
    <row r="45" spans="1:13" x14ac:dyDescent="0.2">
      <c r="A45" s="4" t="s">
        <v>370</v>
      </c>
      <c r="B45" s="3" t="s">
        <v>371</v>
      </c>
    </row>
    <row r="47" spans="1:13" s="3" customFormat="1" x14ac:dyDescent="0.2">
      <c r="A47" s="4">
        <v>1</v>
      </c>
      <c r="B47" s="3" t="s">
        <v>372</v>
      </c>
      <c r="C47" s="5">
        <f>C48/C49</f>
        <v>2.5537533686646565</v>
      </c>
      <c r="D47" s="5">
        <f>D48/D49</f>
        <v>2.569658378096356</v>
      </c>
      <c r="E47" s="5">
        <f t="shared" ref="E47:H47" si="32">E48/E49</f>
        <v>2.3328874657154821</v>
      </c>
      <c r="F47" s="5">
        <f t="shared" si="32"/>
        <v>2.4021421054907672</v>
      </c>
      <c r="G47" s="5">
        <f t="shared" si="32"/>
        <v>2.2198441066276215</v>
      </c>
      <c r="H47" s="5">
        <f t="shared" si="32"/>
        <v>1.5299101739185832</v>
      </c>
      <c r="I47" s="5">
        <f t="shared" ref="I47:M47" si="33">I48/I49</f>
        <v>1.3021694579888348</v>
      </c>
      <c r="J47" s="5">
        <f t="shared" si="33"/>
        <v>1.2872676035263166</v>
      </c>
      <c r="K47" s="5">
        <f t="shared" si="33"/>
        <v>1.2717037585403845</v>
      </c>
      <c r="L47" s="5">
        <f t="shared" si="33"/>
        <v>1.1350653157692239</v>
      </c>
      <c r="M47" s="5" t="e">
        <f t="shared" si="33"/>
        <v>#DIV/0!</v>
      </c>
    </row>
    <row r="48" spans="1:13" x14ac:dyDescent="0.2">
      <c r="A48" s="4"/>
      <c r="B48" s="2" t="s">
        <v>373</v>
      </c>
      <c r="C48" s="2">
        <f>Financials_Standalone!B46</f>
        <v>2549.08</v>
      </c>
      <c r="D48" s="2">
        <f>Financials_Standalone!C46</f>
        <v>2167.0700000000002</v>
      </c>
      <c r="E48" s="2">
        <f>Financials_Standalone!D46</f>
        <v>1726.6399999999999</v>
      </c>
      <c r="F48" s="2">
        <f>Financials_Standalone!E46</f>
        <v>1666.39</v>
      </c>
      <c r="G48" s="2">
        <f>Financials_Standalone!F46</f>
        <v>1546.4099999999999</v>
      </c>
      <c r="H48" s="2">
        <f>Financials_Standalone!G46</f>
        <v>960.6</v>
      </c>
      <c r="I48" s="2">
        <f>Financials_Standalone!H46</f>
        <v>1105.6199999999999</v>
      </c>
      <c r="J48" s="2">
        <f>Financials_Standalone!I46</f>
        <v>1032.3500000000001</v>
      </c>
      <c r="K48" s="2">
        <f>Financials_Standalone!J46</f>
        <v>824.56</v>
      </c>
      <c r="L48" s="2">
        <f>Financials_Standalone!K46</f>
        <v>619.53</v>
      </c>
      <c r="M48" s="2">
        <f>Financials_Standalone!L46</f>
        <v>0</v>
      </c>
    </row>
    <row r="49" spans="1:13" x14ac:dyDescent="0.2">
      <c r="A49" s="4"/>
      <c r="B49" s="2" t="s">
        <v>374</v>
      </c>
      <c r="C49" s="2">
        <f>Financials_Standalone!B24</f>
        <v>998.17</v>
      </c>
      <c r="D49" s="2">
        <f>Financials_Standalone!C24</f>
        <v>843.33</v>
      </c>
      <c r="E49" s="2">
        <f>Financials_Standalone!D24</f>
        <v>740.13</v>
      </c>
      <c r="F49" s="2">
        <f>Financials_Standalone!E24</f>
        <v>693.71</v>
      </c>
      <c r="G49" s="2">
        <f>Financials_Standalone!F24</f>
        <v>696.63</v>
      </c>
      <c r="H49" s="2">
        <f>Financials_Standalone!G24</f>
        <v>627.88</v>
      </c>
      <c r="I49" s="2">
        <f>Financials_Standalone!H24</f>
        <v>849.06</v>
      </c>
      <c r="J49" s="2">
        <f>Financials_Standalone!I24</f>
        <v>801.97</v>
      </c>
      <c r="K49" s="2">
        <f>Financials_Standalone!J24</f>
        <v>648.39</v>
      </c>
      <c r="L49" s="2">
        <f>Financials_Standalone!K24</f>
        <v>545.80999999999995</v>
      </c>
      <c r="M49" s="2">
        <f>Financials_Standalone!L24</f>
        <v>0</v>
      </c>
    </row>
    <row r="50" spans="1:13" x14ac:dyDescent="0.2">
      <c r="A50" s="4"/>
    </row>
    <row r="51" spans="1:13" s="3" customFormat="1" x14ac:dyDescent="0.2">
      <c r="A51" s="4">
        <f>A47+1</f>
        <v>2</v>
      </c>
      <c r="B51" s="3" t="s">
        <v>375</v>
      </c>
      <c r="C51" s="5">
        <f>C52/C53</f>
        <v>1.990642876463929</v>
      </c>
      <c r="D51" s="5">
        <f>D52/D53</f>
        <v>1.9984584919307982</v>
      </c>
      <c r="E51" s="5">
        <f t="shared" ref="E51:H51" si="34">E52/E53</f>
        <v>1.7533676516287677</v>
      </c>
      <c r="F51" s="5">
        <f t="shared" si="34"/>
        <v>1.8735638811607156</v>
      </c>
      <c r="G51" s="5">
        <f t="shared" si="34"/>
        <v>1.7468096406987925</v>
      </c>
      <c r="H51" s="5">
        <f t="shared" si="34"/>
        <v>1.1065330954959547</v>
      </c>
      <c r="I51" s="5">
        <f t="shared" ref="I51:M51" si="35">I52/I53</f>
        <v>0.96888323557816869</v>
      </c>
      <c r="J51" s="5">
        <f t="shared" si="35"/>
        <v>0.97974986595508573</v>
      </c>
      <c r="K51" s="5">
        <f t="shared" si="35"/>
        <v>0.88756766760745853</v>
      </c>
      <c r="L51" s="5">
        <f t="shared" si="35"/>
        <v>0.7772301716714608</v>
      </c>
      <c r="M51" s="5" t="e">
        <f t="shared" si="35"/>
        <v>#DIV/0!</v>
      </c>
    </row>
    <row r="52" spans="1:13" x14ac:dyDescent="0.2">
      <c r="A52" s="4"/>
      <c r="B52" s="2" t="s">
        <v>377</v>
      </c>
      <c r="C52" s="2">
        <f>Financials_Standalone!B46-Financials_Standalone!B41</f>
        <v>1987</v>
      </c>
      <c r="D52" s="2">
        <f>Financials_Standalone!C46-Financials_Standalone!C41</f>
        <v>1685.3600000000001</v>
      </c>
      <c r="E52" s="2">
        <f>Financials_Standalone!D46-Financials_Standalone!D41</f>
        <v>1297.7199999999998</v>
      </c>
      <c r="F52" s="2">
        <f>Financials_Standalone!E46-Financials_Standalone!E41</f>
        <v>1299.71</v>
      </c>
      <c r="G52" s="2">
        <f>Financials_Standalone!F46-Financials_Standalone!F41</f>
        <v>1216.8799999999999</v>
      </c>
      <c r="H52" s="2">
        <f>Financials_Standalone!G46-Financials_Standalone!G41</f>
        <v>694.77</v>
      </c>
      <c r="I52" s="2">
        <f>Financials_Standalone!H46-Financials_Standalone!H41</f>
        <v>822.63999999999987</v>
      </c>
      <c r="J52" s="2">
        <f>Financials_Standalone!I46-Financials_Standalone!I41</f>
        <v>785.73000000000013</v>
      </c>
      <c r="K52" s="2">
        <f>Financials_Standalone!J46-Financials_Standalone!J41</f>
        <v>575.49</v>
      </c>
      <c r="L52" s="2">
        <f>Financials_Standalone!K46-Financials_Standalone!K41</f>
        <v>424.21999999999997</v>
      </c>
      <c r="M52" s="2">
        <f>Financials_Standalone!L46-Financials_Standalone!L41</f>
        <v>0</v>
      </c>
    </row>
    <row r="53" spans="1:13" x14ac:dyDescent="0.2">
      <c r="A53" s="4"/>
      <c r="B53" s="2" t="s">
        <v>374</v>
      </c>
      <c r="C53" s="2">
        <f>Financials_Standalone!B24</f>
        <v>998.17</v>
      </c>
      <c r="D53" s="2">
        <f>Financials_Standalone!C24</f>
        <v>843.33</v>
      </c>
      <c r="E53" s="2">
        <f>Financials_Standalone!D24</f>
        <v>740.13</v>
      </c>
      <c r="F53" s="2">
        <f>Financials_Standalone!E24</f>
        <v>693.71</v>
      </c>
      <c r="G53" s="2">
        <f>Financials_Standalone!F24</f>
        <v>696.63</v>
      </c>
      <c r="H53" s="2">
        <f>Financials_Standalone!G24</f>
        <v>627.88</v>
      </c>
      <c r="I53" s="2">
        <f>Financials_Standalone!H24</f>
        <v>849.06</v>
      </c>
      <c r="J53" s="2">
        <f>Financials_Standalone!I24</f>
        <v>801.97</v>
      </c>
      <c r="K53" s="2">
        <f>Financials_Standalone!J24</f>
        <v>648.39</v>
      </c>
      <c r="L53" s="2">
        <f>Financials_Standalone!K24</f>
        <v>545.80999999999995</v>
      </c>
      <c r="M53" s="2">
        <f>Financials_Standalone!L24</f>
        <v>0</v>
      </c>
    </row>
    <row r="54" spans="1:13" x14ac:dyDescent="0.2">
      <c r="A54" s="4"/>
    </row>
    <row r="55" spans="1:13" s="3" customFormat="1" x14ac:dyDescent="0.2">
      <c r="A55" s="4">
        <f>A51+1</f>
        <v>3</v>
      </c>
      <c r="B55" s="3" t="s">
        <v>376</v>
      </c>
      <c r="C55" s="5">
        <f>C56/C57</f>
        <v>0.85631706022020304</v>
      </c>
      <c r="D55" s="5">
        <f>D56/D57</f>
        <v>0.73152858311692937</v>
      </c>
      <c r="E55" s="5">
        <f t="shared" ref="E55:H55" si="36">E56/E57</f>
        <v>0.60654209395646685</v>
      </c>
      <c r="F55" s="5">
        <f t="shared" si="36"/>
        <v>0.71877297429761711</v>
      </c>
      <c r="G55" s="5">
        <f t="shared" si="36"/>
        <v>0.58046595753843488</v>
      </c>
      <c r="H55" s="5">
        <f t="shared" si="36"/>
        <v>0.35199401159457222</v>
      </c>
      <c r="I55" s="5">
        <f t="shared" ref="I55:M55" si="37">I56/I57</f>
        <v>0.15061361976774301</v>
      </c>
      <c r="J55" s="5">
        <f t="shared" si="37"/>
        <v>9.8706934174595154E-2</v>
      </c>
      <c r="K55" s="5">
        <f t="shared" si="37"/>
        <v>0.14011628803652126</v>
      </c>
      <c r="L55" s="5">
        <f t="shared" si="37"/>
        <v>0.1973397336069328</v>
      </c>
      <c r="M55" s="5" t="e">
        <f t="shared" si="37"/>
        <v>#DIV/0!</v>
      </c>
    </row>
    <row r="56" spans="1:13" x14ac:dyDescent="0.2">
      <c r="A56" s="4"/>
      <c r="B56" s="2" t="s">
        <v>378</v>
      </c>
      <c r="C56" s="2">
        <f>Financials_Standalone!B46-Financials_Standalone!B41-Financials_Standalone!B42</f>
        <v>854.75</v>
      </c>
      <c r="D56" s="2">
        <f>Financials_Standalone!C46-Financials_Standalone!C41-Financials_Standalone!C42</f>
        <v>616.92000000000007</v>
      </c>
      <c r="E56" s="2">
        <f>Financials_Standalone!D46-Financials_Standalone!D41-Financials_Standalone!D42</f>
        <v>448.91999999999985</v>
      </c>
      <c r="F56" s="2">
        <f>Financials_Standalone!E46-Financials_Standalone!E41-Financials_Standalone!E42</f>
        <v>498.62</v>
      </c>
      <c r="G56" s="2">
        <f>Financials_Standalone!F46-Financials_Standalone!F41-Financials_Standalone!F42</f>
        <v>404.36999999999989</v>
      </c>
      <c r="H56" s="2">
        <f>Financials_Standalone!G46-Financials_Standalone!G41-Financials_Standalone!G42</f>
        <v>221.01</v>
      </c>
      <c r="I56" s="2">
        <f>Financials_Standalone!H46-Financials_Standalone!H41-Financials_Standalone!H42</f>
        <v>127.87999999999988</v>
      </c>
      <c r="J56" s="2">
        <f>Financials_Standalone!I46-Financials_Standalone!I41-Financials_Standalone!I42</f>
        <v>79.160000000000082</v>
      </c>
      <c r="K56" s="2">
        <f>Financials_Standalone!J46-Financials_Standalone!J41-Financials_Standalone!J42</f>
        <v>90.850000000000023</v>
      </c>
      <c r="L56" s="2">
        <f>Financials_Standalone!K46-Financials_Standalone!K41-Financials_Standalone!K42</f>
        <v>107.70999999999998</v>
      </c>
      <c r="M56" s="2">
        <f>Financials_Standalone!L46-Financials_Standalone!L41-Financials_Standalone!L42</f>
        <v>0</v>
      </c>
    </row>
    <row r="57" spans="1:13" x14ac:dyDescent="0.2">
      <c r="B57" s="2" t="s">
        <v>374</v>
      </c>
      <c r="C57" s="2">
        <f>Financials_Standalone!B24</f>
        <v>998.17</v>
      </c>
      <c r="D57" s="2">
        <f>Financials_Standalone!C24</f>
        <v>843.33</v>
      </c>
      <c r="E57" s="2">
        <f>Financials_Standalone!D24</f>
        <v>740.13</v>
      </c>
      <c r="F57" s="2">
        <f>Financials_Standalone!E24</f>
        <v>693.71</v>
      </c>
      <c r="G57" s="2">
        <f>Financials_Standalone!F24</f>
        <v>696.63</v>
      </c>
      <c r="H57" s="2">
        <f>Financials_Standalone!G24</f>
        <v>627.88</v>
      </c>
      <c r="I57" s="2">
        <f>Financials_Standalone!H24</f>
        <v>849.06</v>
      </c>
      <c r="J57" s="2">
        <f>Financials_Standalone!I24</f>
        <v>801.97</v>
      </c>
      <c r="K57" s="2">
        <f>Financials_Standalone!J24</f>
        <v>648.39</v>
      </c>
      <c r="L57" s="2">
        <f>Financials_Standalone!K24</f>
        <v>545.80999999999995</v>
      </c>
      <c r="M57" s="2">
        <f>Financials_Standalone!L24</f>
        <v>0</v>
      </c>
    </row>
    <row r="59" spans="1:13" s="3" customFormat="1" x14ac:dyDescent="0.2">
      <c r="A59" s="4">
        <f>A55+1</f>
        <v>4</v>
      </c>
      <c r="B59" s="3" t="s">
        <v>379</v>
      </c>
      <c r="C59" s="5">
        <f>C60+C61-C62</f>
        <v>31.146748885011668</v>
      </c>
      <c r="D59" s="5">
        <f>D60+D61-D62</f>
        <v>32.666458296147098</v>
      </c>
      <c r="E59" s="5">
        <f t="shared" ref="E59:H59" si="38">E60+E61-E62</f>
        <v>32.591816005966514</v>
      </c>
      <c r="F59" s="5">
        <f t="shared" si="38"/>
        <v>34.181489812939454</v>
      </c>
      <c r="G59" s="5">
        <f t="shared" si="38"/>
        <v>29.078610156847745</v>
      </c>
      <c r="H59" s="5">
        <f t="shared" si="38"/>
        <v>21.260926815146867</v>
      </c>
      <c r="I59" s="5">
        <f t="shared" ref="I59:M59" si="39">I60+I61-I62</f>
        <v>22.637658509761295</v>
      </c>
      <c r="J59" s="5">
        <f t="shared" si="39"/>
        <v>26.631635625343279</v>
      </c>
      <c r="K59" s="5">
        <f t="shared" si="39"/>
        <v>21.801019293093205</v>
      </c>
      <c r="L59" s="5">
        <f t="shared" si="39"/>
        <v>13.565279905940955</v>
      </c>
      <c r="M59" s="5" t="e">
        <f t="shared" si="39"/>
        <v>#DIV/0!</v>
      </c>
    </row>
    <row r="60" spans="1:13" x14ac:dyDescent="0.2">
      <c r="B60" s="2" t="s">
        <v>354</v>
      </c>
      <c r="C60" s="66">
        <f t="shared" ref="C60:H60" si="40">C12</f>
        <v>33.253615725021596</v>
      </c>
      <c r="D60" s="66">
        <f t="shared" si="40"/>
        <v>32.328277277413576</v>
      </c>
      <c r="E60" s="66">
        <f t="shared" si="40"/>
        <v>32.121696156731232</v>
      </c>
      <c r="F60" s="66">
        <f t="shared" si="40"/>
        <v>33.807213063283598</v>
      </c>
      <c r="G60" s="66">
        <f t="shared" si="40"/>
        <v>36.59145405070452</v>
      </c>
      <c r="H60" s="66">
        <f t="shared" si="40"/>
        <v>32.730877878135551</v>
      </c>
      <c r="I60" s="66">
        <f t="shared" ref="I60:M60" si="41">I12</f>
        <v>27.428889273582254</v>
      </c>
      <c r="J60" s="66">
        <f t="shared" si="41"/>
        <v>29.860054859089377</v>
      </c>
      <c r="K60" s="66">
        <f t="shared" si="41"/>
        <v>32.727744148506858</v>
      </c>
      <c r="L60" s="66">
        <f t="shared" si="41"/>
        <v>29.900740722099187</v>
      </c>
      <c r="M60" s="66" t="e">
        <f t="shared" si="41"/>
        <v>#DIV/0!</v>
      </c>
    </row>
    <row r="61" spans="1:13" x14ac:dyDescent="0.2">
      <c r="B61" s="2" t="s">
        <v>381</v>
      </c>
      <c r="C61" s="66">
        <f>C20</f>
        <v>45.401211261396206</v>
      </c>
      <c r="D61" s="66">
        <f>D20</f>
        <v>44.453855926819969</v>
      </c>
      <c r="E61" s="66">
        <f t="shared" ref="E61:H61" si="42">E20</f>
        <v>44.614617488559297</v>
      </c>
      <c r="F61" s="66">
        <f t="shared" si="42"/>
        <v>51.689897825029966</v>
      </c>
      <c r="G61" s="66">
        <f t="shared" si="42"/>
        <v>49.181292216281442</v>
      </c>
      <c r="H61" s="66">
        <f t="shared" si="42"/>
        <v>43.181508007378653</v>
      </c>
      <c r="I61" s="66">
        <f t="shared" ref="I61:M61" si="43">I20</f>
        <v>47.207127509940079</v>
      </c>
      <c r="J61" s="66">
        <f t="shared" si="43"/>
        <v>46.841342911501769</v>
      </c>
      <c r="K61" s="66">
        <f t="shared" si="43"/>
        <v>37.68470573377116</v>
      </c>
      <c r="L61" s="66">
        <f t="shared" si="43"/>
        <v>31.445099213369986</v>
      </c>
      <c r="M61" s="66" t="e">
        <f t="shared" si="43"/>
        <v>#DIV/0!</v>
      </c>
    </row>
    <row r="62" spans="1:13" x14ac:dyDescent="0.2">
      <c r="B62" s="2" t="s">
        <v>382</v>
      </c>
      <c r="C62" s="66">
        <f>C28</f>
        <v>47.508078101406134</v>
      </c>
      <c r="D62" s="66">
        <f>D28</f>
        <v>44.115674908086447</v>
      </c>
      <c r="E62" s="66">
        <f t="shared" ref="E62:H62" si="44">E28</f>
        <v>44.144497639324008</v>
      </c>
      <c r="F62" s="66">
        <f t="shared" si="44"/>
        <v>51.315621075374104</v>
      </c>
      <c r="G62" s="66">
        <f t="shared" si="44"/>
        <v>56.694136110138217</v>
      </c>
      <c r="H62" s="66">
        <f t="shared" si="44"/>
        <v>54.651459070367331</v>
      </c>
      <c r="I62" s="66">
        <f t="shared" ref="I62:M62" si="45">I28</f>
        <v>51.998358273761042</v>
      </c>
      <c r="J62" s="66">
        <f t="shared" si="45"/>
        <v>50.069762145247864</v>
      </c>
      <c r="K62" s="66">
        <f t="shared" si="45"/>
        <v>48.61143058918482</v>
      </c>
      <c r="L62" s="66">
        <f t="shared" si="45"/>
        <v>47.780560029528218</v>
      </c>
      <c r="M62" s="66" t="e">
        <f t="shared" si="45"/>
        <v>#DIV/0!</v>
      </c>
    </row>
    <row r="64" spans="1:13" x14ac:dyDescent="0.2">
      <c r="A64" s="4" t="s">
        <v>383</v>
      </c>
      <c r="B64" s="3" t="s">
        <v>384</v>
      </c>
    </row>
    <row r="66" spans="1:13" s="3" customFormat="1" ht="22.5" x14ac:dyDescent="0.2">
      <c r="A66" s="4">
        <v>1</v>
      </c>
      <c r="B66" s="139" t="s">
        <v>386</v>
      </c>
      <c r="C66" s="140">
        <f>C67/C68</f>
        <v>0</v>
      </c>
      <c r="D66" s="140">
        <f>D67/D68</f>
        <v>0</v>
      </c>
      <c r="E66" s="140">
        <f t="shared" ref="E66:H66" si="46">E67/E68</f>
        <v>4.8673050948516081E-3</v>
      </c>
      <c r="F66" s="140">
        <f t="shared" si="46"/>
        <v>8.4774091753914444E-3</v>
      </c>
      <c r="G66" s="140">
        <f t="shared" si="46"/>
        <v>1.3884525430237021E-2</v>
      </c>
      <c r="H66" s="140">
        <f t="shared" si="46"/>
        <v>5.0414702667909324E-2</v>
      </c>
      <c r="I66" s="140">
        <f t="shared" ref="I66:M66" si="47">I67/I68</f>
        <v>7.266372830025418E-2</v>
      </c>
      <c r="J66" s="140">
        <f t="shared" si="47"/>
        <v>7.0324044045119771E-2</v>
      </c>
      <c r="K66" s="140">
        <f t="shared" si="47"/>
        <v>7.2147904537576094E-2</v>
      </c>
      <c r="L66" s="140">
        <f t="shared" si="47"/>
        <v>7.3704769220727717E-2</v>
      </c>
      <c r="M66" s="140" t="e">
        <f t="shared" si="47"/>
        <v>#DIV/0!</v>
      </c>
    </row>
    <row r="67" spans="1:13" x14ac:dyDescent="0.2">
      <c r="B67" s="2" t="s">
        <v>385</v>
      </c>
      <c r="C67" s="2">
        <f>Financials_Standalone!B14+Financials_Standalone!B20</f>
        <v>0</v>
      </c>
      <c r="D67" s="2">
        <f>Financials_Standalone!C14+Financials_Standalone!C20</f>
        <v>0</v>
      </c>
      <c r="E67" s="2">
        <f>Financials_Standalone!D14+Financials_Standalone!D20</f>
        <v>20</v>
      </c>
      <c r="F67" s="2">
        <f>Financials_Standalone!E14+Financials_Standalone!E20</f>
        <v>31.7</v>
      </c>
      <c r="G67" s="2">
        <f>Financials_Standalone!F14+Financials_Standalone!F20</f>
        <v>47.73</v>
      </c>
      <c r="H67" s="2">
        <f>Financials_Standalone!G14+Financials_Standalone!G20</f>
        <v>150.38</v>
      </c>
      <c r="I67" s="2">
        <f>Financials_Standalone!H14+Financials_Standalone!H20</f>
        <v>214.98</v>
      </c>
      <c r="J67" s="2">
        <f>Financials_Standalone!I14+Financials_Standalone!I20</f>
        <v>183.23000000000002</v>
      </c>
      <c r="K67" s="2">
        <f>Financials_Standalone!J14+Financials_Standalone!J20</f>
        <v>162.34</v>
      </c>
      <c r="L67" s="2">
        <f>Financials_Standalone!K14+Financials_Standalone!K20</f>
        <v>146.80000000000001</v>
      </c>
      <c r="M67" s="2">
        <f>Financials_Standalone!L14+Financials_Standalone!L20</f>
        <v>0</v>
      </c>
    </row>
    <row r="68" spans="1:13" x14ac:dyDescent="0.2">
      <c r="B68" s="2" t="s">
        <v>160</v>
      </c>
      <c r="C68" s="2">
        <f>Financials_Standalone!B25</f>
        <v>5395.9000000000005</v>
      </c>
      <c r="D68" s="2">
        <f>Financials_Standalone!C25</f>
        <v>4685.3099999999995</v>
      </c>
      <c r="E68" s="2">
        <f>Financials_Standalone!D25</f>
        <v>4109.05</v>
      </c>
      <c r="F68" s="2">
        <f>Financials_Standalone!E25</f>
        <v>3739.35</v>
      </c>
      <c r="G68" s="2">
        <f>Financials_Standalone!F25</f>
        <v>3437.6400000000003</v>
      </c>
      <c r="H68" s="2">
        <f>Financials_Standalone!G25</f>
        <v>2982.8599999999997</v>
      </c>
      <c r="I68" s="2">
        <f>Financials_Standalone!H25</f>
        <v>2958.56</v>
      </c>
      <c r="J68" s="2">
        <f>Financials_Standalone!I25</f>
        <v>2605.5100000000002</v>
      </c>
      <c r="K68" s="2">
        <f>Financials_Standalone!J25</f>
        <v>2250.1000000000004</v>
      </c>
      <c r="L68" s="2">
        <f>Financials_Standalone!K25</f>
        <v>1991.73</v>
      </c>
      <c r="M68" s="2">
        <f>Financials_Standalone!L25</f>
        <v>0</v>
      </c>
    </row>
    <row r="70" spans="1:13" x14ac:dyDescent="0.2">
      <c r="A70" s="4">
        <f>A66+1</f>
        <v>2</v>
      </c>
      <c r="B70" s="139" t="s">
        <v>387</v>
      </c>
      <c r="C70" s="140">
        <f>C71/C72</f>
        <v>0</v>
      </c>
      <c r="D70" s="140">
        <f>D71/D72</f>
        <v>0</v>
      </c>
      <c r="E70" s="140">
        <f t="shared" ref="E70:H70" si="48">E71/E72</f>
        <v>0</v>
      </c>
      <c r="F70" s="140">
        <f t="shared" si="48"/>
        <v>0</v>
      </c>
      <c r="G70" s="140">
        <f t="shared" si="48"/>
        <v>7.9414947463957825E-4</v>
      </c>
      <c r="H70" s="140">
        <f t="shared" si="48"/>
        <v>1.4348645259918335E-3</v>
      </c>
      <c r="I70" s="140">
        <f t="shared" ref="I70:M70" si="49">I71/I72</f>
        <v>1.0072467686982856E-3</v>
      </c>
      <c r="J70" s="140">
        <f t="shared" si="49"/>
        <v>1.9036580170484856E-3</v>
      </c>
      <c r="K70" s="140">
        <f t="shared" si="49"/>
        <v>8.821830140882626E-3</v>
      </c>
      <c r="L70" s="140">
        <f t="shared" si="49"/>
        <v>3.9171976121261415E-2</v>
      </c>
      <c r="M70" s="140" t="e">
        <f t="shared" si="49"/>
        <v>#DIV/0!</v>
      </c>
    </row>
    <row r="71" spans="1:13" x14ac:dyDescent="0.2">
      <c r="B71" s="2" t="s">
        <v>388</v>
      </c>
      <c r="C71" s="2">
        <f>Financials_Standalone!B14</f>
        <v>0</v>
      </c>
      <c r="D71" s="2">
        <f>Financials_Standalone!C14</f>
        <v>0</v>
      </c>
      <c r="E71" s="2">
        <f>Financials_Standalone!D14</f>
        <v>0</v>
      </c>
      <c r="F71" s="2">
        <f>Financials_Standalone!E14</f>
        <v>0</v>
      </c>
      <c r="G71" s="2">
        <f>Financials_Standalone!F14</f>
        <v>2.73</v>
      </c>
      <c r="H71" s="2">
        <f>Financials_Standalone!G14</f>
        <v>4.28</v>
      </c>
      <c r="I71" s="2">
        <f>Financials_Standalone!H14</f>
        <v>2.98</v>
      </c>
      <c r="J71" s="2">
        <f>Financials_Standalone!I14</f>
        <v>4.96</v>
      </c>
      <c r="K71" s="2">
        <f>Financials_Standalone!J14</f>
        <v>19.850000000000001</v>
      </c>
      <c r="L71" s="2">
        <f>Financials_Standalone!K14</f>
        <v>78.02</v>
      </c>
      <c r="M71" s="2">
        <f>Financials_Standalone!L14</f>
        <v>0</v>
      </c>
    </row>
    <row r="72" spans="1:13" x14ac:dyDescent="0.2">
      <c r="B72" s="2" t="s">
        <v>160</v>
      </c>
      <c r="C72" s="2">
        <f>Financials_Standalone!B25</f>
        <v>5395.9000000000005</v>
      </c>
      <c r="D72" s="2">
        <f>Financials_Standalone!C25</f>
        <v>4685.3099999999995</v>
      </c>
      <c r="E72" s="2">
        <f>Financials_Standalone!D25</f>
        <v>4109.05</v>
      </c>
      <c r="F72" s="2">
        <f>Financials_Standalone!E25</f>
        <v>3739.35</v>
      </c>
      <c r="G72" s="2">
        <f>Financials_Standalone!F25</f>
        <v>3437.6400000000003</v>
      </c>
      <c r="H72" s="2">
        <f>Financials_Standalone!G25</f>
        <v>2982.8599999999997</v>
      </c>
      <c r="I72" s="2">
        <f>Financials_Standalone!H25</f>
        <v>2958.56</v>
      </c>
      <c r="J72" s="2">
        <f>Financials_Standalone!I25</f>
        <v>2605.5100000000002</v>
      </c>
      <c r="K72" s="2">
        <f>Financials_Standalone!J25</f>
        <v>2250.1000000000004</v>
      </c>
      <c r="L72" s="2">
        <f>Financials_Standalone!K25</f>
        <v>1991.73</v>
      </c>
      <c r="M72" s="2">
        <f>Financials_Standalone!L25</f>
        <v>0</v>
      </c>
    </row>
    <row r="74" spans="1:13" x14ac:dyDescent="0.2">
      <c r="A74" s="4">
        <f>A70+1</f>
        <v>3</v>
      </c>
      <c r="B74" s="3" t="s">
        <v>389</v>
      </c>
      <c r="C74" s="140">
        <f>C75/C76</f>
        <v>0</v>
      </c>
      <c r="D74" s="140">
        <f>D75/D76</f>
        <v>0</v>
      </c>
      <c r="E74" s="140">
        <f t="shared" ref="E74" si="50">E75/E76</f>
        <v>5.9684745175980474E-3</v>
      </c>
      <c r="F74" s="140">
        <f t="shared" ref="F74" si="51">F75/F76</f>
        <v>1.0432607658258052E-2</v>
      </c>
      <c r="G74" s="140">
        <f t="shared" ref="G74" si="52">G75/G76</f>
        <v>1.7318703328761457E-2</v>
      </c>
      <c r="H74" s="140">
        <f t="shared" ref="H74:M74" si="53">H75/H76</f>
        <v>6.0953168446054945E-2</v>
      </c>
      <c r="I74" s="140">
        <f t="shared" si="53"/>
        <v>9.367605983624773E-2</v>
      </c>
      <c r="J74" s="140">
        <f t="shared" si="53"/>
        <v>9.275167173713865E-2</v>
      </c>
      <c r="K74" s="140">
        <f t="shared" si="53"/>
        <v>9.408832734438391E-2</v>
      </c>
      <c r="L74" s="140">
        <f t="shared" si="53"/>
        <v>9.8572445375555651E-2</v>
      </c>
      <c r="M74" s="140" t="e">
        <f t="shared" si="53"/>
        <v>#DIV/0!</v>
      </c>
    </row>
    <row r="75" spans="1:13" x14ac:dyDescent="0.2">
      <c r="B75" s="2" t="s">
        <v>385</v>
      </c>
      <c r="C75" s="6">
        <f>Financials_Standalone!B14+Financials_Standalone!B20</f>
        <v>0</v>
      </c>
      <c r="D75" s="6">
        <f>Financials_Standalone!C14+Financials_Standalone!C20</f>
        <v>0</v>
      </c>
      <c r="E75" s="6">
        <f>Financials_Standalone!D14+Financials_Standalone!D20</f>
        <v>20</v>
      </c>
      <c r="F75" s="6">
        <f>Financials_Standalone!E14+Financials_Standalone!E20</f>
        <v>31.7</v>
      </c>
      <c r="G75" s="6">
        <f>Financials_Standalone!F14+Financials_Standalone!F20</f>
        <v>47.73</v>
      </c>
      <c r="H75" s="6">
        <f>Financials_Standalone!G14+Financials_Standalone!G20</f>
        <v>150.38</v>
      </c>
      <c r="I75" s="6">
        <f>Financials_Standalone!H14+Financials_Standalone!H20</f>
        <v>214.98</v>
      </c>
      <c r="J75" s="6">
        <f>Financials_Standalone!I14+Financials_Standalone!I20</f>
        <v>183.23000000000002</v>
      </c>
      <c r="K75" s="6">
        <f>Financials_Standalone!J14+Financials_Standalone!J20</f>
        <v>162.34</v>
      </c>
      <c r="L75" s="6">
        <f>Financials_Standalone!K14+Financials_Standalone!K20</f>
        <v>146.80000000000001</v>
      </c>
      <c r="M75" s="6">
        <f>Financials_Standalone!L14+Financials_Standalone!L20</f>
        <v>0</v>
      </c>
    </row>
    <row r="76" spans="1:13" x14ac:dyDescent="0.2">
      <c r="B76" s="2" t="s">
        <v>391</v>
      </c>
      <c r="C76" s="6">
        <f>Financials_Standalone!B12+C75</f>
        <v>4348.01</v>
      </c>
      <c r="D76" s="6">
        <f>Financials_Standalone!C12+D75</f>
        <v>3805.3199999999997</v>
      </c>
      <c r="E76" s="6">
        <f>Financials_Standalone!D12+E75</f>
        <v>3350.94</v>
      </c>
      <c r="F76" s="6">
        <f>Financials_Standalone!E12+F75</f>
        <v>3038.5499999999997</v>
      </c>
      <c r="G76" s="6">
        <f>Financials_Standalone!F12+G75</f>
        <v>2755.98</v>
      </c>
      <c r="H76" s="6">
        <f>Financials_Standalone!G12+H75</f>
        <v>2467.14</v>
      </c>
      <c r="I76" s="6">
        <f>Financials_Standalone!H12+I75</f>
        <v>2294.9299999999998</v>
      </c>
      <c r="J76" s="6">
        <f>Financials_Standalone!I12+J75</f>
        <v>1975.49</v>
      </c>
      <c r="K76" s="6">
        <f>Financials_Standalone!J12+K75</f>
        <v>1725.4</v>
      </c>
      <c r="L76" s="6">
        <f>Financials_Standalone!K12+L75</f>
        <v>1489.26</v>
      </c>
      <c r="M76" s="6">
        <f>Financials_Standalone!L12+M75</f>
        <v>0</v>
      </c>
    </row>
    <row r="78" spans="1:13" x14ac:dyDescent="0.2">
      <c r="A78" s="4">
        <f>A74+1</f>
        <v>4</v>
      </c>
      <c r="B78" s="3" t="s">
        <v>392</v>
      </c>
      <c r="C78" s="140">
        <f>C79/C80</f>
        <v>0</v>
      </c>
      <c r="D78" s="140">
        <f>D79/D80</f>
        <v>0</v>
      </c>
      <c r="E78" s="140">
        <f t="shared" ref="E78" si="54">E79/E80</f>
        <v>6.0043110953664734E-3</v>
      </c>
      <c r="F78" s="140">
        <f t="shared" ref="F78" si="55">F79/F80</f>
        <v>1.0542594409431798E-2</v>
      </c>
      <c r="G78" s="140">
        <f t="shared" ref="G78" si="56">G79/G80</f>
        <v>1.7623926890058154E-2</v>
      </c>
      <c r="H78" s="140">
        <f t="shared" ref="H78:M78" si="57">H79/H80</f>
        <v>6.4909615152195316E-2</v>
      </c>
      <c r="I78" s="140">
        <f t="shared" si="57"/>
        <v>0.10335825380417799</v>
      </c>
      <c r="J78" s="140">
        <f t="shared" si="57"/>
        <v>0.10223405086315603</v>
      </c>
      <c r="K78" s="140">
        <f t="shared" si="57"/>
        <v>0.10386037644108351</v>
      </c>
      <c r="L78" s="140">
        <f t="shared" si="57"/>
        <v>0.10935148905740209</v>
      </c>
      <c r="M78" s="140" t="e">
        <f t="shared" si="57"/>
        <v>#DIV/0!</v>
      </c>
    </row>
    <row r="79" spans="1:13" x14ac:dyDescent="0.2">
      <c r="B79" s="2" t="s">
        <v>385</v>
      </c>
      <c r="C79" s="6">
        <f>Financials_Standalone!B14+Financials_Standalone!B20</f>
        <v>0</v>
      </c>
      <c r="D79" s="6">
        <f>Financials_Standalone!C14+Financials_Standalone!C20</f>
        <v>0</v>
      </c>
      <c r="E79" s="6">
        <f>Financials_Standalone!D14+Financials_Standalone!D20</f>
        <v>20</v>
      </c>
      <c r="F79" s="6">
        <f>Financials_Standalone!E14+Financials_Standalone!E20</f>
        <v>31.7</v>
      </c>
      <c r="G79" s="6">
        <f>Financials_Standalone!F14+Financials_Standalone!F20</f>
        <v>47.73</v>
      </c>
      <c r="H79" s="6">
        <f>Financials_Standalone!G14+Financials_Standalone!G20</f>
        <v>150.38</v>
      </c>
      <c r="I79" s="6">
        <f>Financials_Standalone!H14+Financials_Standalone!H20</f>
        <v>214.98</v>
      </c>
      <c r="J79" s="6">
        <f>Financials_Standalone!I14+Financials_Standalone!I20</f>
        <v>183.23000000000002</v>
      </c>
      <c r="K79" s="6">
        <f>Financials_Standalone!J14+Financials_Standalone!J20</f>
        <v>162.34</v>
      </c>
      <c r="L79" s="6">
        <f>Financials_Standalone!K14+Financials_Standalone!K20</f>
        <v>146.80000000000001</v>
      </c>
      <c r="M79" s="6">
        <f>Financials_Standalone!L14+Financials_Standalone!L20</f>
        <v>0</v>
      </c>
    </row>
    <row r="80" spans="1:13" x14ac:dyDescent="0.2">
      <c r="B80" s="2" t="s">
        <v>390</v>
      </c>
      <c r="C80" s="6">
        <f>Financials_Standalone!B12</f>
        <v>4348.01</v>
      </c>
      <c r="D80" s="6">
        <f>Financials_Standalone!C12</f>
        <v>3805.3199999999997</v>
      </c>
      <c r="E80" s="6">
        <f>Financials_Standalone!D12</f>
        <v>3330.94</v>
      </c>
      <c r="F80" s="6">
        <f>Financials_Standalone!E12</f>
        <v>3006.85</v>
      </c>
      <c r="G80" s="6">
        <f>Financials_Standalone!F12</f>
        <v>2708.25</v>
      </c>
      <c r="H80" s="6">
        <f>Financials_Standalone!G12</f>
        <v>2316.7599999999998</v>
      </c>
      <c r="I80" s="6">
        <f>Financials_Standalone!H12</f>
        <v>2079.9499999999998</v>
      </c>
      <c r="J80" s="6">
        <f>Financials_Standalone!I12</f>
        <v>1792.26</v>
      </c>
      <c r="K80" s="6">
        <f>Financials_Standalone!J12</f>
        <v>1563.0600000000002</v>
      </c>
      <c r="L80" s="6">
        <f>Financials_Standalone!K12</f>
        <v>1342.46</v>
      </c>
      <c r="M80" s="6">
        <f>Financials_Standalone!L12</f>
        <v>0</v>
      </c>
    </row>
    <row r="82" spans="1:13" s="3" customFormat="1" x14ac:dyDescent="0.2">
      <c r="A82" s="4">
        <f>A78+1</f>
        <v>5</v>
      </c>
      <c r="B82" s="3" t="s">
        <v>420</v>
      </c>
      <c r="C82" s="5">
        <f>C83/C84</f>
        <v>1.2364543076264547</v>
      </c>
      <c r="D82" s="5">
        <f>D83/D84</f>
        <v>1.2323485971643411</v>
      </c>
      <c r="E82" s="5">
        <f t="shared" ref="E82:H82" si="58">E83/E84</f>
        <v>1.2383464898647634</v>
      </c>
      <c r="F82" s="5">
        <f t="shared" si="58"/>
        <v>1.2557942993123479</v>
      </c>
      <c r="G82" s="5">
        <f t="shared" si="58"/>
        <v>1.2777188503107457</v>
      </c>
      <c r="H82" s="5">
        <f t="shared" si="58"/>
        <v>1.3513377047838047</v>
      </c>
      <c r="I82" s="5">
        <f t="shared" ref="I82:M82" si="59">I83/I84</f>
        <v>1.4369210347579291</v>
      </c>
      <c r="J82" s="5">
        <f t="shared" si="59"/>
        <v>1.4471376798636197</v>
      </c>
      <c r="K82" s="5">
        <f t="shared" si="59"/>
        <v>1.459927999118918</v>
      </c>
      <c r="L82" s="5">
        <f t="shared" si="59"/>
        <v>1.4836568687335188</v>
      </c>
      <c r="M82" s="5" t="e">
        <f t="shared" si="59"/>
        <v>#DIV/0!</v>
      </c>
    </row>
    <row r="83" spans="1:13" x14ac:dyDescent="0.2">
      <c r="B83" s="2" t="s">
        <v>368</v>
      </c>
      <c r="C83" s="6">
        <f>AVERAGE(Financials_Standalone!B47:C47)</f>
        <v>5040.6100000000006</v>
      </c>
      <c r="D83" s="6">
        <f>AVERAGE(Financials_Standalone!C47:D47)</f>
        <v>4397.18</v>
      </c>
      <c r="E83" s="6">
        <f>AVERAGE(Financials_Standalone!D47:E47)</f>
        <v>3924.1899999999996</v>
      </c>
      <c r="F83" s="6">
        <f>AVERAGE(Financials_Standalone!E47:F47)</f>
        <v>3588.4949999999999</v>
      </c>
      <c r="G83" s="6">
        <f>AVERAGE(Financials_Standalone!F47:G47)</f>
        <v>3210.2750000000001</v>
      </c>
      <c r="H83" s="6">
        <f>AVERAGE(Financials_Standalone!G47:H47)</f>
        <v>2970.7200000000003</v>
      </c>
      <c r="I83" s="6">
        <f>AVERAGE(Financials_Standalone!H47:I47)</f>
        <v>2782.03</v>
      </c>
      <c r="J83" s="6">
        <f>AVERAGE(Financials_Standalone!I47:J47)</f>
        <v>2427.8050000000003</v>
      </c>
      <c r="K83" s="6">
        <f>AVERAGE(Financials_Standalone!J47:K47)</f>
        <v>2120.9249999999997</v>
      </c>
      <c r="L83" s="6">
        <f>AVERAGE(Financials_Standalone!K47:L47)</f>
        <v>995.87499999999989</v>
      </c>
      <c r="M83" s="6">
        <f>AVERAGE(Financials_Standalone!L47:M47)</f>
        <v>0</v>
      </c>
    </row>
    <row r="84" spans="1:13" x14ac:dyDescent="0.2">
      <c r="B84" s="2" t="s">
        <v>393</v>
      </c>
      <c r="C84" s="6">
        <f>AVERAGE(Financials_Standalone!B12:C12)</f>
        <v>4076.665</v>
      </c>
      <c r="D84" s="6">
        <f>AVERAGE(Financials_Standalone!C12:D12)</f>
        <v>3568.13</v>
      </c>
      <c r="E84" s="6">
        <f>AVERAGE(Financials_Standalone!D12:E12)</f>
        <v>3168.895</v>
      </c>
      <c r="F84" s="6">
        <f>AVERAGE(Financials_Standalone!E12:F12)</f>
        <v>2857.55</v>
      </c>
      <c r="G84" s="6">
        <f>AVERAGE(Financials_Standalone!F12:G12)</f>
        <v>2512.5050000000001</v>
      </c>
      <c r="H84" s="6">
        <f>AVERAGE(Financials_Standalone!G12:H12)</f>
        <v>2198.3549999999996</v>
      </c>
      <c r="I84" s="6">
        <f>AVERAGE(Financials_Standalone!H12:I12)</f>
        <v>1936.105</v>
      </c>
      <c r="J84" s="6">
        <f>AVERAGE(Financials_Standalone!I12:J12)</f>
        <v>1677.66</v>
      </c>
      <c r="K84" s="6">
        <f>AVERAGE(Financials_Standalone!J12:K12)</f>
        <v>1452.7600000000002</v>
      </c>
      <c r="L84" s="6">
        <f>AVERAGE(Financials_Standalone!K12:L12)</f>
        <v>671.23</v>
      </c>
      <c r="M84" s="6">
        <f>AVERAGE(Financials_Standalone!L12:M12)</f>
        <v>0</v>
      </c>
    </row>
    <row r="86" spans="1:13" s="3" customFormat="1" x14ac:dyDescent="0.2">
      <c r="A86" s="4">
        <f>A82+1</f>
        <v>6</v>
      </c>
      <c r="B86" s="3" t="s">
        <v>394</v>
      </c>
      <c r="C86" s="5">
        <f>C87/C88</f>
        <v>362.49218749999966</v>
      </c>
      <c r="D86" s="5">
        <f>D87/D88</f>
        <v>265.30769230769249</v>
      </c>
      <c r="E86" s="5">
        <f t="shared" ref="E86:H86" si="60">E87/E88</f>
        <v>132.72365339578434</v>
      </c>
      <c r="F86" s="5">
        <f t="shared" si="60"/>
        <v>301.82417582417582</v>
      </c>
      <c r="G86" s="5">
        <f t="shared" si="60"/>
        <v>112.85833333333335</v>
      </c>
      <c r="H86" s="5">
        <f t="shared" si="60"/>
        <v>53.536044362292017</v>
      </c>
      <c r="I86" s="5">
        <f t="shared" ref="I86:M86" si="61">I87/I88</f>
        <v>33.540128881077919</v>
      </c>
      <c r="J86" s="5">
        <f t="shared" si="61"/>
        <v>42.841951219512296</v>
      </c>
      <c r="K86" s="5">
        <f t="shared" si="61"/>
        <v>17.734042553191486</v>
      </c>
      <c r="L86" s="5">
        <f t="shared" si="61"/>
        <v>9.6390168970814081</v>
      </c>
      <c r="M86" s="5" t="e">
        <f t="shared" si="61"/>
        <v>#DIV/0!</v>
      </c>
    </row>
    <row r="87" spans="1:13" x14ac:dyDescent="0.2">
      <c r="B87" s="2" t="s">
        <v>395</v>
      </c>
      <c r="C87" s="2">
        <f>Financials_Standalone!B91+Financials_Standalone!B85</f>
        <v>927.97999999999911</v>
      </c>
      <c r="D87" s="2">
        <f>Financials_Standalone!C91+Financials_Standalone!C85</f>
        <v>793.27000000000066</v>
      </c>
      <c r="E87" s="2">
        <f>Financials_Standalone!D91+Financials_Standalone!D85</f>
        <v>566.72999999999911</v>
      </c>
      <c r="F87" s="2">
        <f>Financials_Standalone!E91+Financials_Standalone!E85</f>
        <v>549.32000000000005</v>
      </c>
      <c r="G87" s="2">
        <f>Financials_Standalone!F91+Financials_Standalone!F85</f>
        <v>541.72</v>
      </c>
      <c r="H87" s="2">
        <f>Financials_Standalone!G91+Financials_Standalone!G85</f>
        <v>579.25999999999965</v>
      </c>
      <c r="I87" s="2">
        <f>Financials_Standalone!H91+Financials_Standalone!H85</f>
        <v>572.53000000000009</v>
      </c>
      <c r="J87" s="2">
        <f>Financials_Standalone!I91+Financials_Standalone!I85</f>
        <v>439.13000000000102</v>
      </c>
      <c r="K87" s="2">
        <f>Financials_Standalone!J91+Financials_Standalone!J85</f>
        <v>316.7299999999999</v>
      </c>
      <c r="L87" s="2">
        <f>Financials_Standalone!K91+Financials_Standalone!K85</f>
        <v>313.74999999999983</v>
      </c>
      <c r="M87" s="2">
        <f>Financials_Standalone!L91+Financials_Standalone!L85</f>
        <v>0</v>
      </c>
    </row>
    <row r="88" spans="1:13" x14ac:dyDescent="0.2">
      <c r="B88" s="2" t="s">
        <v>396</v>
      </c>
      <c r="C88" s="2">
        <f>+Financials_Standalone!B85</f>
        <v>2.56</v>
      </c>
      <c r="D88" s="2">
        <f>+Financials_Standalone!C85</f>
        <v>2.99</v>
      </c>
      <c r="E88" s="2">
        <f>+Financials_Standalone!D85</f>
        <v>4.2699999999999996</v>
      </c>
      <c r="F88" s="2">
        <f>+Financials_Standalone!E85</f>
        <v>1.82</v>
      </c>
      <c r="G88" s="2">
        <f>+Financials_Standalone!F85</f>
        <v>4.8</v>
      </c>
      <c r="H88" s="2">
        <f>+Financials_Standalone!G85</f>
        <v>10.82</v>
      </c>
      <c r="I88" s="2">
        <f>+Financials_Standalone!H85</f>
        <v>17.07</v>
      </c>
      <c r="J88" s="2">
        <f>+Financials_Standalone!I85</f>
        <v>10.25</v>
      </c>
      <c r="K88" s="2">
        <f>+Financials_Standalone!J85</f>
        <v>17.86</v>
      </c>
      <c r="L88" s="2">
        <f>+Financials_Standalone!K85</f>
        <v>32.549999999999997</v>
      </c>
      <c r="M88" s="2">
        <f>+Financials_Standalone!L85</f>
        <v>0</v>
      </c>
    </row>
    <row r="91" spans="1:13" x14ac:dyDescent="0.2">
      <c r="A91" s="4" t="s">
        <v>397</v>
      </c>
      <c r="B91" s="3" t="s">
        <v>405</v>
      </c>
    </row>
    <row r="93" spans="1:13" s="3" customFormat="1" x14ac:dyDescent="0.2">
      <c r="A93" s="4">
        <v>1</v>
      </c>
      <c r="B93" s="3" t="s">
        <v>398</v>
      </c>
      <c r="C93" s="141">
        <f>C94/C95</f>
        <v>0.3524358054068718</v>
      </c>
      <c r="D93" s="141">
        <f>D94/D95</f>
        <v>0.3468809554059204</v>
      </c>
      <c r="E93" s="141">
        <f t="shared" ref="E93:H93" si="62">E94/E95</f>
        <v>0.33024110788162853</v>
      </c>
      <c r="F93" s="141">
        <f t="shared" si="62"/>
        <v>0.3403088243296139</v>
      </c>
      <c r="G93" s="141">
        <f t="shared" si="62"/>
        <v>0.37788914402561047</v>
      </c>
      <c r="H93" s="141">
        <f t="shared" si="62"/>
        <v>0.38037915833935732</v>
      </c>
      <c r="I93" s="141">
        <f t="shared" ref="I93:M93" si="63">I94/I95</f>
        <v>0.34956049513978876</v>
      </c>
      <c r="J93" s="141">
        <f t="shared" si="63"/>
        <v>0.34722943433790632</v>
      </c>
      <c r="K93" s="141">
        <f t="shared" si="63"/>
        <v>0.36131057626384722</v>
      </c>
      <c r="L93" s="141">
        <f t="shared" si="63"/>
        <v>0.35105473747244065</v>
      </c>
      <c r="M93" s="141" t="e">
        <f t="shared" si="63"/>
        <v>#DIV/0!</v>
      </c>
    </row>
    <row r="94" spans="1:13" x14ac:dyDescent="0.2">
      <c r="B94" s="2" t="s">
        <v>399</v>
      </c>
      <c r="C94" s="6">
        <f>Financials_Standalone!B77-C9</f>
        <v>3117.6999999999989</v>
      </c>
      <c r="D94" s="6">
        <f>Financials_Standalone!C77-D9</f>
        <v>2730.2999999999993</v>
      </c>
      <c r="E94" s="6">
        <f>Financials_Standalone!D77-E9</f>
        <v>2234.91</v>
      </c>
      <c r="F94" s="6">
        <f>Financials_Standalone!E77-F9</f>
        <v>1938.77</v>
      </c>
      <c r="G94" s="6">
        <f>Financials_Standalone!F77-G9</f>
        <v>1803.6799999999998</v>
      </c>
      <c r="H94" s="6">
        <f>Financials_Standalone!G77-H9</f>
        <v>1878.5290999999997</v>
      </c>
      <c r="I94" s="6">
        <f>Financials_Standalone!H77-I9</f>
        <v>1893.73</v>
      </c>
      <c r="J94" s="6">
        <f>Financials_Standalone!I77-J9</f>
        <v>1611.5300000000007</v>
      </c>
      <c r="K94" s="6">
        <f>Financials_Standalone!J77-K9</f>
        <v>1401.8199999999997</v>
      </c>
      <c r="L94" s="6">
        <f>Financials_Standalone!K77-L9</f>
        <v>1289.7399999999998</v>
      </c>
      <c r="M94" s="6">
        <f>Financials_Standalone!L77-M9</f>
        <v>0</v>
      </c>
    </row>
    <row r="95" spans="1:13" x14ac:dyDescent="0.2">
      <c r="B95" s="2" t="s">
        <v>400</v>
      </c>
      <c r="C95" s="6">
        <f>Financials_Standalone!B77</f>
        <v>8846.15</v>
      </c>
      <c r="D95" s="6">
        <f>Financials_Standalone!C77</f>
        <v>7871</v>
      </c>
      <c r="E95" s="2">
        <f>Financials_Standalone!D77</f>
        <v>6767.51</v>
      </c>
      <c r="F95" s="2">
        <f>Financials_Standalone!E77</f>
        <v>5697.09</v>
      </c>
      <c r="G95" s="2">
        <f>Financials_Standalone!F77</f>
        <v>4773.04</v>
      </c>
      <c r="H95" s="2">
        <f>Financials_Standalone!G77</f>
        <v>4938.57</v>
      </c>
      <c r="I95" s="2">
        <f>Financials_Standalone!H77</f>
        <v>5417.46</v>
      </c>
      <c r="J95" s="2">
        <f>Financials_Standalone!I77</f>
        <v>4641.1100000000006</v>
      </c>
      <c r="K95" s="2">
        <f>Financials_Standalone!J77</f>
        <v>3879.8199999999997</v>
      </c>
      <c r="L95" s="2">
        <f>Financials_Standalone!K77</f>
        <v>3673.9</v>
      </c>
      <c r="M95" s="2">
        <f>Financials_Standalone!L77</f>
        <v>0</v>
      </c>
    </row>
    <row r="97" spans="1:13" s="3" customFormat="1" x14ac:dyDescent="0.2">
      <c r="A97" s="4">
        <f>A93+1</f>
        <v>2</v>
      </c>
      <c r="B97" s="3" t="s">
        <v>401</v>
      </c>
      <c r="C97" s="140">
        <f>C98/C99</f>
        <v>0.13764519028051742</v>
      </c>
      <c r="D97" s="140">
        <f>D98/D99</f>
        <v>0.13413670435776912</v>
      </c>
      <c r="E97" s="140">
        <f t="shared" ref="E97:H97" si="64">E98/E99</f>
        <v>0.1193112385500722</v>
      </c>
      <c r="F97" s="140">
        <f t="shared" si="64"/>
        <v>0.13218327251280917</v>
      </c>
      <c r="G97" s="140">
        <f t="shared" si="64"/>
        <v>0.15611434222214773</v>
      </c>
      <c r="H97" s="140">
        <f t="shared" si="64"/>
        <v>0.1576387496785506</v>
      </c>
      <c r="I97" s="140">
        <f t="shared" ref="I97:M97" si="65">I98/I99</f>
        <v>0.13811454076264523</v>
      </c>
      <c r="J97" s="140">
        <f t="shared" si="65"/>
        <v>0.13116689757407193</v>
      </c>
      <c r="K97" s="140">
        <f t="shared" si="65"/>
        <v>0.12464238031661261</v>
      </c>
      <c r="L97" s="140">
        <f t="shared" si="65"/>
        <v>0.1263589101499768</v>
      </c>
      <c r="M97" s="140" t="e">
        <f t="shared" si="65"/>
        <v>#DIV/0!</v>
      </c>
    </row>
    <row r="98" spans="1:13" x14ac:dyDescent="0.2">
      <c r="B98" s="2" t="s">
        <v>402</v>
      </c>
      <c r="C98" s="6">
        <f>Financials_Standalone!B91+Financials_Standalone!B85+Financials_Standalone!B86</f>
        <v>1217.6299999999992</v>
      </c>
      <c r="D98" s="6">
        <f>Financials_Standalone!C91+Financials_Standalone!C85+Financials_Standalone!C86</f>
        <v>1055.7900000000006</v>
      </c>
      <c r="E98" s="6">
        <f>Financials_Standalone!D91+Financials_Standalone!D85+Financials_Standalone!D86</f>
        <v>807.43999999999915</v>
      </c>
      <c r="F98" s="6">
        <f>Financials_Standalone!E91+Financials_Standalone!E85+Financials_Standalone!E86</f>
        <v>753.06000000000006</v>
      </c>
      <c r="G98" s="6">
        <f>Financials_Standalone!F91+Financials_Standalone!F85+Financials_Standalone!F86</f>
        <v>745.14</v>
      </c>
      <c r="H98" s="6">
        <f>Financials_Standalone!G91+Financials_Standalone!G85+Financials_Standalone!G86</f>
        <v>778.50999999999965</v>
      </c>
      <c r="I98" s="6">
        <f>Financials_Standalone!H91+Financials_Standalone!H85+Financials_Standalone!H86</f>
        <v>748.23</v>
      </c>
      <c r="J98" s="6">
        <f>Financials_Standalone!I91+Financials_Standalone!I85+Financials_Standalone!I86</f>
        <v>608.76000000000101</v>
      </c>
      <c r="K98" s="6">
        <f>Financials_Standalone!J91+Financials_Standalone!J85+Financials_Standalone!J86</f>
        <v>483.58999999999992</v>
      </c>
      <c r="L98" s="6">
        <f>Financials_Standalone!K91+Financials_Standalone!K85+Financials_Standalone!K86</f>
        <v>464.22999999999979</v>
      </c>
      <c r="M98" s="6">
        <f>Financials_Standalone!L91+Financials_Standalone!L85+Financials_Standalone!L86</f>
        <v>0</v>
      </c>
    </row>
    <row r="99" spans="1:13" x14ac:dyDescent="0.2">
      <c r="B99" s="2" t="s">
        <v>400</v>
      </c>
      <c r="C99" s="2">
        <f>Financials_Standalone!B77</f>
        <v>8846.15</v>
      </c>
      <c r="D99" s="2">
        <f>Financials_Standalone!C77</f>
        <v>7871</v>
      </c>
      <c r="E99" s="2">
        <f>Financials_Standalone!D77</f>
        <v>6767.51</v>
      </c>
      <c r="F99" s="2">
        <f>Financials_Standalone!E77</f>
        <v>5697.09</v>
      </c>
      <c r="G99" s="2">
        <f>Financials_Standalone!F77</f>
        <v>4773.04</v>
      </c>
      <c r="H99" s="2">
        <f>Financials_Standalone!G77</f>
        <v>4938.57</v>
      </c>
      <c r="I99" s="2">
        <f>Financials_Standalone!H77</f>
        <v>5417.46</v>
      </c>
      <c r="J99" s="2">
        <f>Financials_Standalone!I77</f>
        <v>4641.1100000000006</v>
      </c>
      <c r="K99" s="2">
        <f>Financials_Standalone!J77</f>
        <v>3879.8199999999997</v>
      </c>
      <c r="L99" s="2">
        <f>Financials_Standalone!K77</f>
        <v>3673.9</v>
      </c>
      <c r="M99" s="2">
        <f>Financials_Standalone!L77</f>
        <v>0</v>
      </c>
    </row>
    <row r="101" spans="1:13" ht="12" customHeight="1" x14ac:dyDescent="0.2">
      <c r="A101" s="4">
        <f>A97+1</f>
        <v>3</v>
      </c>
      <c r="B101" s="3" t="s">
        <v>403</v>
      </c>
      <c r="C101" s="141">
        <f>C102/C103</f>
        <v>7.6718120312226135E-2</v>
      </c>
      <c r="D101" s="141">
        <f>D102/D103</f>
        <v>7.4680472621013932E-2</v>
      </c>
      <c r="E101" s="141">
        <f t="shared" ref="E101:H101" si="66">E102/E103</f>
        <v>6.0422518769828071E-2</v>
      </c>
      <c r="F101" s="141">
        <f t="shared" si="66"/>
        <v>6.700789350352547E-2</v>
      </c>
      <c r="G101" s="141">
        <f t="shared" si="66"/>
        <v>8.2167758912558883E-2</v>
      </c>
      <c r="H101" s="141">
        <f t="shared" si="66"/>
        <v>8.660199207462882E-2</v>
      </c>
      <c r="I101" s="141">
        <f t="shared" ref="I101:M101" si="67">I102/I103</f>
        <v>6.6056786759846886E-2</v>
      </c>
      <c r="J101" s="141">
        <f t="shared" si="67"/>
        <v>5.8522637903432803E-2</v>
      </c>
      <c r="K101" s="141">
        <f t="shared" si="67"/>
        <v>5.7085122505683233E-2</v>
      </c>
      <c r="L101" s="141">
        <f t="shared" si="67"/>
        <v>5.5954163150875043E-2</v>
      </c>
      <c r="M101" s="141" t="e">
        <f t="shared" si="67"/>
        <v>#DIV/0!</v>
      </c>
    </row>
    <row r="102" spans="1:13" x14ac:dyDescent="0.2">
      <c r="B102" s="2" t="s">
        <v>404</v>
      </c>
      <c r="C102" s="6">
        <f>Financials_Standalone!B99</f>
        <v>678.65999999999917</v>
      </c>
      <c r="D102" s="6">
        <f>Financials_Standalone!C99</f>
        <v>587.81000000000063</v>
      </c>
      <c r="E102" s="6">
        <f>Financials_Standalone!D99</f>
        <v>408.90999999999917</v>
      </c>
      <c r="F102" s="6">
        <f>Financials_Standalone!E99</f>
        <v>381.74999999999994</v>
      </c>
      <c r="G102" s="6">
        <f>Financials_Standalone!F99</f>
        <v>392.19000000000005</v>
      </c>
      <c r="H102" s="6">
        <f>Financials_Standalone!G99</f>
        <v>427.6899999999996</v>
      </c>
      <c r="I102" s="6">
        <f>Financials_Standalone!H99</f>
        <v>357.86000000000013</v>
      </c>
      <c r="J102" s="6">
        <f>Financials_Standalone!I99</f>
        <v>271.61000000000104</v>
      </c>
      <c r="K102" s="6">
        <f>Financials_Standalone!J99</f>
        <v>221.4799999999999</v>
      </c>
      <c r="L102" s="6">
        <f>Financials_Standalone!K99</f>
        <v>205.56999999999982</v>
      </c>
      <c r="M102" s="6">
        <f>Financials_Standalone!L99</f>
        <v>0</v>
      </c>
    </row>
    <row r="103" spans="1:13" x14ac:dyDescent="0.2">
      <c r="B103" s="2" t="s">
        <v>400</v>
      </c>
      <c r="C103" s="2">
        <f>Financials_Standalone!B77</f>
        <v>8846.15</v>
      </c>
      <c r="D103" s="2">
        <f>Financials_Standalone!C77</f>
        <v>7871</v>
      </c>
      <c r="E103" s="2">
        <f>Financials_Standalone!D77</f>
        <v>6767.51</v>
      </c>
      <c r="F103" s="2">
        <f>Financials_Standalone!E77</f>
        <v>5697.09</v>
      </c>
      <c r="G103" s="2">
        <f>Financials_Standalone!F77</f>
        <v>4773.04</v>
      </c>
      <c r="H103" s="2">
        <f>Financials_Standalone!G77</f>
        <v>4938.57</v>
      </c>
      <c r="I103" s="2">
        <f>Financials_Standalone!H77</f>
        <v>5417.46</v>
      </c>
      <c r="J103" s="2">
        <f>Financials_Standalone!I77</f>
        <v>4641.1100000000006</v>
      </c>
      <c r="K103" s="2">
        <f>Financials_Standalone!J77</f>
        <v>3879.8199999999997</v>
      </c>
      <c r="L103" s="2">
        <f>Financials_Standalone!K77</f>
        <v>3673.9</v>
      </c>
      <c r="M103" s="2">
        <f>Financials_Standalone!L77</f>
        <v>0</v>
      </c>
    </row>
    <row r="105" spans="1:13" x14ac:dyDescent="0.2">
      <c r="A105" s="4" t="s">
        <v>406</v>
      </c>
      <c r="B105" s="3" t="s">
        <v>407</v>
      </c>
    </row>
    <row r="107" spans="1:13" x14ac:dyDescent="0.2">
      <c r="A107" s="4">
        <v>1</v>
      </c>
      <c r="B107" s="3" t="s">
        <v>408</v>
      </c>
      <c r="C107" s="141">
        <f>C108/C109</f>
        <v>0.18394380045272279</v>
      </c>
      <c r="D107" s="141">
        <f>D108/D109</f>
        <v>0.18019414488376656</v>
      </c>
      <c r="E107" s="141">
        <f t="shared" ref="E107:H107" si="68">E108/E109</f>
        <v>0.14408338281275859</v>
      </c>
      <c r="F107" s="141">
        <f t="shared" si="68"/>
        <v>0.15292138347691719</v>
      </c>
      <c r="G107" s="141">
        <f t="shared" si="68"/>
        <v>0.16828365171208073</v>
      </c>
      <c r="H107" s="141">
        <f t="shared" si="68"/>
        <v>0.19386432245381577</v>
      </c>
      <c r="I107" s="141">
        <f t="shared" ref="I107:M107" si="69">I108/I109</f>
        <v>0.2038998033809844</v>
      </c>
      <c r="J107" s="141">
        <f t="shared" si="69"/>
        <v>0.17957074394360376</v>
      </c>
      <c r="K107" s="141">
        <f t="shared" si="69"/>
        <v>0.14673374117425175</v>
      </c>
      <c r="L107" s="141">
        <f t="shared" si="69"/>
        <v>0.30494996862055967</v>
      </c>
      <c r="M107" s="141" t="e">
        <f t="shared" si="69"/>
        <v>#DIV/0!</v>
      </c>
    </row>
    <row r="108" spans="1:13" x14ac:dyDescent="0.2">
      <c r="B108" s="2" t="s">
        <v>409</v>
      </c>
      <c r="C108" s="6">
        <f>Financials_Standalone!B91+Financials_Standalone!B85*(1-30.9/100)</f>
        <v>927.18895999999916</v>
      </c>
      <c r="D108" s="6">
        <f>Financials_Standalone!C91+Financials_Standalone!C85*(1-30.9/100)</f>
        <v>792.34609000000069</v>
      </c>
      <c r="E108" s="6">
        <f>Financials_Standalone!D91+Financials_Standalone!D85*(1-30.9/100)</f>
        <v>565.4105699999991</v>
      </c>
      <c r="F108" s="6">
        <f>Financials_Standalone!E91+Financials_Standalone!E85*(1-30.9/100)</f>
        <v>548.75761999999997</v>
      </c>
      <c r="G108" s="6">
        <f>Financials_Standalone!F91+Financials_Standalone!F85*(1-30.9/100)</f>
        <v>540.23680000000002</v>
      </c>
      <c r="H108" s="6">
        <f>Financials_Standalone!G91+Financials_Standalone!G85*(1-30.9/100)</f>
        <v>575.91661999999963</v>
      </c>
      <c r="I108" s="6">
        <f>Financials_Standalone!H91+Financials_Standalone!H85*(1-30.9/100)</f>
        <v>567.25537000000008</v>
      </c>
      <c r="J108" s="6">
        <f>Financials_Standalone!I91+Financials_Standalone!I85*(1-30.9/100)</f>
        <v>435.96275000000099</v>
      </c>
      <c r="K108" s="6">
        <f>Financials_Standalone!J91+Financials_Standalone!J85*(1-30.9/100)</f>
        <v>311.21125999999987</v>
      </c>
      <c r="L108" s="6">
        <f>Financials_Standalone!K91+Financials_Standalone!K85*(1-30.9/100)</f>
        <v>303.69204999999982</v>
      </c>
      <c r="M108" s="6">
        <f>Financials_Standalone!L91+Financials_Standalone!L85*(1-30.9/100)</f>
        <v>0</v>
      </c>
    </row>
    <row r="109" spans="1:13" x14ac:dyDescent="0.2">
      <c r="B109" s="2" t="s">
        <v>368</v>
      </c>
      <c r="C109" s="2">
        <f>AVERAGE(Financials_Standalone!B47:C47)</f>
        <v>5040.6100000000006</v>
      </c>
      <c r="D109" s="2">
        <f>AVERAGE(Financials_Standalone!C47:D47)</f>
        <v>4397.18</v>
      </c>
      <c r="E109" s="2">
        <f>AVERAGE(Financials_Standalone!D47:E47)</f>
        <v>3924.1899999999996</v>
      </c>
      <c r="F109" s="2">
        <f>AVERAGE(Financials_Standalone!E47:F47)</f>
        <v>3588.4949999999999</v>
      </c>
      <c r="G109" s="2">
        <f>AVERAGE(Financials_Standalone!F47:G47)</f>
        <v>3210.2750000000001</v>
      </c>
      <c r="H109" s="2">
        <f>AVERAGE(Financials_Standalone!G47:H47)</f>
        <v>2970.7200000000003</v>
      </c>
      <c r="I109" s="2">
        <f>AVERAGE(Financials_Standalone!H47:I47)</f>
        <v>2782.03</v>
      </c>
      <c r="J109" s="2">
        <f>AVERAGE(Financials_Standalone!I47:J47)</f>
        <v>2427.8050000000003</v>
      </c>
      <c r="K109" s="2">
        <f>AVERAGE(Financials_Standalone!J47:K47)</f>
        <v>2120.9249999999997</v>
      </c>
      <c r="L109" s="2">
        <f>AVERAGE(Financials_Standalone!K47:L47)</f>
        <v>995.87499999999989</v>
      </c>
      <c r="M109" s="2">
        <f>AVERAGE(Financials_Standalone!L47:M47)</f>
        <v>0</v>
      </c>
    </row>
    <row r="111" spans="1:13" x14ac:dyDescent="0.2">
      <c r="A111" s="4">
        <f>A107+1</f>
        <v>2</v>
      </c>
      <c r="B111" s="141" t="s">
        <v>410</v>
      </c>
      <c r="C111" s="141">
        <f>C112/C113</f>
        <v>0.21342637206446147</v>
      </c>
      <c r="D111" s="141">
        <f>D112/D113</f>
        <v>0.20846341437776605</v>
      </c>
      <c r="E111" s="141">
        <f t="shared" ref="E111:H111" si="70">E112/E113</f>
        <v>0.16912567816791679</v>
      </c>
      <c r="F111" s="141">
        <f t="shared" si="70"/>
        <v>0.18078359743956826</v>
      </c>
      <c r="G111" s="141">
        <f t="shared" si="70"/>
        <v>0.19656165864774056</v>
      </c>
      <c r="H111" s="141">
        <f t="shared" si="70"/>
        <v>0.23479008082232855</v>
      </c>
      <c r="I111" s="141">
        <f t="shared" ref="I111:M111" si="71">I112/I113</f>
        <v>0.24947601887639281</v>
      </c>
      <c r="J111" s="141">
        <f t="shared" si="71"/>
        <v>0.22228915357708773</v>
      </c>
      <c r="K111" s="141">
        <f t="shared" si="71"/>
        <v>0.18356902747189052</v>
      </c>
      <c r="L111" s="141">
        <f t="shared" si="71"/>
        <v>0.21067510038542619</v>
      </c>
      <c r="M111" s="141" t="e">
        <f t="shared" si="71"/>
        <v>#DIV/0!</v>
      </c>
    </row>
    <row r="112" spans="1:13" x14ac:dyDescent="0.2">
      <c r="B112" s="2" t="s">
        <v>411</v>
      </c>
      <c r="C112" s="2">
        <f>Financials_Standalone!B91+Financials_Standalone!B85</f>
        <v>927.97999999999911</v>
      </c>
      <c r="D112" s="2">
        <f>Financials_Standalone!C91+Financials_Standalone!C85</f>
        <v>793.27000000000066</v>
      </c>
      <c r="E112" s="2">
        <f>Financials_Standalone!D91+Financials_Standalone!D85</f>
        <v>566.72999999999911</v>
      </c>
      <c r="F112" s="2">
        <f>Financials_Standalone!E91+Financials_Standalone!E85</f>
        <v>549.32000000000005</v>
      </c>
      <c r="G112" s="2">
        <f>Financials_Standalone!F91+Financials_Standalone!F85</f>
        <v>541.72</v>
      </c>
      <c r="H112" s="2">
        <f>Financials_Standalone!G91+Financials_Standalone!G85</f>
        <v>579.25999999999965</v>
      </c>
      <c r="I112" s="2">
        <f>Financials_Standalone!H91+Financials_Standalone!H85</f>
        <v>572.53000000000009</v>
      </c>
      <c r="J112" s="2">
        <f>Financials_Standalone!I91+Financials_Standalone!I85</f>
        <v>439.13000000000102</v>
      </c>
      <c r="K112" s="2">
        <f>Financials_Standalone!J91+Financials_Standalone!J85</f>
        <v>316.7299999999999</v>
      </c>
      <c r="L112" s="2">
        <f>Financials_Standalone!K91+Financials_Standalone!K85</f>
        <v>313.74999999999983</v>
      </c>
      <c r="M112" s="2">
        <f>Financials_Standalone!L91+Financials_Standalone!L85</f>
        <v>0</v>
      </c>
    </row>
    <row r="113" spans="1:13" x14ac:dyDescent="0.2">
      <c r="B113" s="2" t="s">
        <v>412</v>
      </c>
      <c r="C113" s="2">
        <f>Financials_Standalone!B12+Financials_Standalone!B14+Financials_Standalone!B20</f>
        <v>4348.01</v>
      </c>
      <c r="D113" s="2">
        <f>Financials_Standalone!C12+Financials_Standalone!C14+Financials_Standalone!C20</f>
        <v>3805.3199999999997</v>
      </c>
      <c r="E113" s="2">
        <f>Financials_Standalone!D12+Financials_Standalone!D14+Financials_Standalone!D20</f>
        <v>3350.94</v>
      </c>
      <c r="F113" s="2">
        <f>Financials_Standalone!E12+Financials_Standalone!E14+Financials_Standalone!E20</f>
        <v>3038.5499999999997</v>
      </c>
      <c r="G113" s="2">
        <f>Financials_Standalone!F12+Financials_Standalone!F14+Financials_Standalone!F20</f>
        <v>2755.98</v>
      </c>
      <c r="H113" s="2">
        <f>Financials_Standalone!G12+Financials_Standalone!G14+Financials_Standalone!G20</f>
        <v>2467.14</v>
      </c>
      <c r="I113" s="2">
        <f>Financials_Standalone!H12+Financials_Standalone!H14+Financials_Standalone!H20</f>
        <v>2294.9299999999998</v>
      </c>
      <c r="J113" s="2">
        <f>Financials_Standalone!I12+Financials_Standalone!I14+Financials_Standalone!I20</f>
        <v>1975.49</v>
      </c>
      <c r="K113" s="2">
        <f>Financials_Standalone!J12+Financials_Standalone!J14+Financials_Standalone!J20</f>
        <v>1725.4</v>
      </c>
      <c r="L113" s="2">
        <f>Financials_Standalone!K12+Financials_Standalone!K14+Financials_Standalone!K20</f>
        <v>1489.26</v>
      </c>
      <c r="M113" s="2">
        <f>Financials_Standalone!L12+Financials_Standalone!L14+Financials_Standalone!L20</f>
        <v>0</v>
      </c>
    </row>
    <row r="115" spans="1:13" x14ac:dyDescent="0.2">
      <c r="A115" s="4">
        <f>A111+1</f>
        <v>3</v>
      </c>
      <c r="B115" s="3" t="s">
        <v>415</v>
      </c>
      <c r="C115" s="140">
        <f>C116/C117</f>
        <v>0.22700418111372878</v>
      </c>
      <c r="D115" s="140">
        <f>D116/D117</f>
        <v>0.22148296166339249</v>
      </c>
      <c r="E115" s="140">
        <f t="shared" ref="E115:H115" si="72">E116/E117</f>
        <v>0.17749404760965545</v>
      </c>
      <c r="F115" s="140">
        <f t="shared" si="72"/>
        <v>0.19159769732813073</v>
      </c>
      <c r="G115" s="140">
        <f t="shared" si="72"/>
        <v>0.21369907721576675</v>
      </c>
      <c r="H115" s="140">
        <f t="shared" si="72"/>
        <v>0.25857516188240742</v>
      </c>
      <c r="I115" s="140">
        <f t="shared" ref="I115:M115" si="73">I116/I117</f>
        <v>0.28689559708796786</v>
      </c>
      <c r="J115" s="140">
        <f t="shared" si="73"/>
        <v>0.25564178677443644</v>
      </c>
      <c r="K115" s="140">
        <f t="shared" si="73"/>
        <v>0.20572565323935119</v>
      </c>
      <c r="L115" s="140">
        <f t="shared" si="73"/>
        <v>0.41893240766950196</v>
      </c>
      <c r="M115" s="140" t="e">
        <f t="shared" si="73"/>
        <v>#DIV/0!</v>
      </c>
    </row>
    <row r="116" spans="1:13" x14ac:dyDescent="0.2">
      <c r="B116" s="2" t="s">
        <v>414</v>
      </c>
      <c r="C116" s="2">
        <f>Financials_Standalone!B91</f>
        <v>925.41999999999916</v>
      </c>
      <c r="D116" s="2">
        <f>Financials_Standalone!C91</f>
        <v>790.28000000000065</v>
      </c>
      <c r="E116" s="2">
        <f>Financials_Standalone!D91</f>
        <v>562.45999999999913</v>
      </c>
      <c r="F116" s="2">
        <f>Financials_Standalone!E91</f>
        <v>547.5</v>
      </c>
      <c r="G116" s="2">
        <f>Financials_Standalone!F91</f>
        <v>536.92000000000007</v>
      </c>
      <c r="H116" s="2">
        <f>Financials_Standalone!G91</f>
        <v>568.4399999999996</v>
      </c>
      <c r="I116" s="2">
        <f>Financials_Standalone!H91</f>
        <v>555.46</v>
      </c>
      <c r="J116" s="2">
        <f>Financials_Standalone!I91</f>
        <v>428.88000000000102</v>
      </c>
      <c r="K116" s="2">
        <f>Financials_Standalone!J91</f>
        <v>298.86999999999989</v>
      </c>
      <c r="L116" s="2">
        <f>Financials_Standalone!K91</f>
        <v>281.19999999999982</v>
      </c>
      <c r="M116" s="2">
        <f>Financials_Standalone!L91</f>
        <v>0</v>
      </c>
    </row>
    <row r="117" spans="1:13" x14ac:dyDescent="0.2">
      <c r="B117" s="2" t="s">
        <v>413</v>
      </c>
      <c r="C117" s="2">
        <f>AVERAGE(Financials_Standalone!B12:C12)</f>
        <v>4076.665</v>
      </c>
      <c r="D117" s="2">
        <f>AVERAGE(Financials_Standalone!C12:D12)</f>
        <v>3568.13</v>
      </c>
      <c r="E117" s="2">
        <f>AVERAGE(Financials_Standalone!D12:E12)</f>
        <v>3168.895</v>
      </c>
      <c r="F117" s="2">
        <f>AVERAGE(Financials_Standalone!E12:F12)</f>
        <v>2857.55</v>
      </c>
      <c r="G117" s="2">
        <f>AVERAGE(Financials_Standalone!F12:G12)</f>
        <v>2512.5050000000001</v>
      </c>
      <c r="H117" s="2">
        <f>AVERAGE(Financials_Standalone!G12:H12)</f>
        <v>2198.3549999999996</v>
      </c>
      <c r="I117" s="2">
        <f>AVERAGE(Financials_Standalone!H12:I12)</f>
        <v>1936.105</v>
      </c>
      <c r="J117" s="2">
        <f>AVERAGE(Financials_Standalone!I12:J12)</f>
        <v>1677.66</v>
      </c>
      <c r="K117" s="2">
        <f>AVERAGE(Financials_Standalone!J12:K12)</f>
        <v>1452.7600000000002</v>
      </c>
      <c r="L117" s="2">
        <f>AVERAGE(Financials_Standalone!K12:L12)</f>
        <v>671.23</v>
      </c>
      <c r="M117" s="2">
        <f>AVERAGE(Financials_Standalone!L12:M12)</f>
        <v>0</v>
      </c>
    </row>
    <row r="119" spans="1:13" x14ac:dyDescent="0.2">
      <c r="A119" s="4">
        <f>A115+1</f>
        <v>4</v>
      </c>
      <c r="B119" s="3" t="s">
        <v>416</v>
      </c>
      <c r="C119" s="141">
        <f>C120/C121</f>
        <v>0.16647431172294</v>
      </c>
      <c r="D119" s="141">
        <f>D120/D121</f>
        <v>0.16473895289689575</v>
      </c>
      <c r="E119" s="141">
        <f t="shared" ref="E119" si="74">E120/E121</f>
        <v>0.12903867120873339</v>
      </c>
      <c r="F119" s="141">
        <f t="shared" ref="F119" si="75">F120/F121</f>
        <v>0.13359346293153224</v>
      </c>
      <c r="G119" s="140">
        <f t="shared" ref="G119" si="76">G120/G121</f>
        <v>0.15609521175082239</v>
      </c>
      <c r="H119" s="140">
        <f t="shared" ref="H119:M119" si="77">H120/H121</f>
        <v>0.19455001580727393</v>
      </c>
      <c r="I119" s="140">
        <f t="shared" si="77"/>
        <v>0.18483501669589208</v>
      </c>
      <c r="J119" s="140">
        <f t="shared" si="77"/>
        <v>0.16189812000047746</v>
      </c>
      <c r="K119" s="140">
        <f t="shared" si="77"/>
        <v>0.15245463806822865</v>
      </c>
      <c r="L119" s="140">
        <f t="shared" si="77"/>
        <v>0.30625865947588726</v>
      </c>
      <c r="M119" s="140" t="e">
        <f t="shared" si="77"/>
        <v>#DIV/0!</v>
      </c>
    </row>
    <row r="120" spans="1:13" x14ac:dyDescent="0.2">
      <c r="B120" s="2" t="s">
        <v>866</v>
      </c>
      <c r="C120" s="2">
        <f>Financials_Standalone!B101</f>
        <v>678.65999999999917</v>
      </c>
      <c r="D120" s="2">
        <f>Financials_Standalone!C101</f>
        <v>587.81000000000063</v>
      </c>
      <c r="E120" s="2">
        <f>Financials_Standalone!D101</f>
        <v>408.90999999999917</v>
      </c>
      <c r="F120" s="2">
        <f>Financials_Standalone!E101</f>
        <v>381.74999999999994</v>
      </c>
      <c r="G120" s="2">
        <f>Financials_Standalone!F101</f>
        <v>392.19000000000005</v>
      </c>
      <c r="H120" s="2">
        <f>Financials_Standalone!G101</f>
        <v>427.6899999999996</v>
      </c>
      <c r="I120" s="2">
        <f>Financials_Standalone!H101</f>
        <v>357.86000000000013</v>
      </c>
      <c r="J120" s="2">
        <f>Financials_Standalone!I101</f>
        <v>271.61000000000104</v>
      </c>
      <c r="K120" s="2">
        <f>Financials_Standalone!J101</f>
        <v>221.4799999999999</v>
      </c>
      <c r="L120" s="2">
        <f>Financials_Standalone!K101</f>
        <v>205.56999999999982</v>
      </c>
      <c r="M120" s="2">
        <f>Financials_Standalone!L101</f>
        <v>0</v>
      </c>
    </row>
    <row r="121" spans="1:13" x14ac:dyDescent="0.2">
      <c r="B121" s="2" t="s">
        <v>413</v>
      </c>
      <c r="C121" s="2">
        <f>AVERAGE(Financials_Standalone!B12:C12)</f>
        <v>4076.665</v>
      </c>
      <c r="D121" s="2">
        <f>AVERAGE(Financials_Standalone!C12:D12)</f>
        <v>3568.13</v>
      </c>
      <c r="E121" s="2">
        <f>AVERAGE(Financials_Standalone!D12:E12)</f>
        <v>3168.895</v>
      </c>
      <c r="F121" s="2">
        <f>AVERAGE(Financials_Standalone!E12:F12)</f>
        <v>2857.55</v>
      </c>
      <c r="G121" s="2">
        <f>AVERAGE(Financials_Standalone!F12:G12)</f>
        <v>2512.5050000000001</v>
      </c>
      <c r="H121" s="2">
        <f>AVERAGE(Financials_Standalone!G12:H12)</f>
        <v>2198.3549999999996</v>
      </c>
      <c r="I121" s="2">
        <f>AVERAGE(Financials_Standalone!H12:I12)</f>
        <v>1936.105</v>
      </c>
      <c r="J121" s="2">
        <f>AVERAGE(Financials_Standalone!I12:J12)</f>
        <v>1677.66</v>
      </c>
      <c r="K121" s="2">
        <f>AVERAGE(Financials_Standalone!J12:K12)</f>
        <v>1452.7600000000002</v>
      </c>
      <c r="L121" s="2">
        <f>AVERAGE(Financials_Standalone!K12:L12)</f>
        <v>671.23</v>
      </c>
      <c r="M121" s="2">
        <f>AVERAGE(Financials_Standalone!L12:M12)</f>
        <v>0</v>
      </c>
    </row>
    <row r="123" spans="1:13" x14ac:dyDescent="0.2">
      <c r="A123" s="4">
        <f>A119+1</f>
        <v>5</v>
      </c>
      <c r="B123" s="3" t="s">
        <v>417</v>
      </c>
      <c r="C123" s="141">
        <f>C124*C125*C126</f>
        <v>0.16647431172294003</v>
      </c>
      <c r="D123" s="141">
        <f>D124*D125*D126</f>
        <v>0.16473895289689577</v>
      </c>
      <c r="E123" s="141">
        <f t="shared" ref="E123:H123" si="78">E124*E125*E126</f>
        <v>0.12903867120873336</v>
      </c>
      <c r="F123" s="141">
        <f t="shared" si="78"/>
        <v>0.13359346293153224</v>
      </c>
      <c r="G123" s="141">
        <f t="shared" si="78"/>
        <v>0.15609521175082242</v>
      </c>
      <c r="H123" s="141">
        <f t="shared" si="78"/>
        <v>0.19455001580727393</v>
      </c>
      <c r="I123" s="141">
        <f t="shared" ref="I123:M123" si="79">I124*I125*I126</f>
        <v>0.18483501669589208</v>
      </c>
      <c r="J123" s="141">
        <f t="shared" si="79"/>
        <v>0.16189812000047749</v>
      </c>
      <c r="K123" s="141">
        <f t="shared" si="79"/>
        <v>0.15245463806822865</v>
      </c>
      <c r="L123" s="141">
        <f t="shared" si="79"/>
        <v>0.30625865947588726</v>
      </c>
      <c r="M123" s="141" t="e">
        <f t="shared" si="79"/>
        <v>#DIV/0!</v>
      </c>
    </row>
    <row r="124" spans="1:13" x14ac:dyDescent="0.2">
      <c r="B124" s="2" t="s">
        <v>418</v>
      </c>
      <c r="C124" s="15">
        <f>C101</f>
        <v>7.6718120312226135E-2</v>
      </c>
      <c r="D124" s="15">
        <f>D101</f>
        <v>7.4680472621013932E-2</v>
      </c>
      <c r="E124" s="15">
        <f t="shared" ref="E124:H124" si="80">E101</f>
        <v>6.0422518769828071E-2</v>
      </c>
      <c r="F124" s="15">
        <f t="shared" si="80"/>
        <v>6.700789350352547E-2</v>
      </c>
      <c r="G124" s="15">
        <f t="shared" si="80"/>
        <v>8.2167758912558883E-2</v>
      </c>
      <c r="H124" s="15">
        <f t="shared" si="80"/>
        <v>8.660199207462882E-2</v>
      </c>
      <c r="I124" s="15">
        <f t="shared" ref="I124:M124" si="81">I101</f>
        <v>6.6056786759846886E-2</v>
      </c>
      <c r="J124" s="15">
        <f t="shared" si="81"/>
        <v>5.8522637903432803E-2</v>
      </c>
      <c r="K124" s="15">
        <f t="shared" si="81"/>
        <v>5.7085122505683233E-2</v>
      </c>
      <c r="L124" s="15">
        <f t="shared" si="81"/>
        <v>5.5954163150875043E-2</v>
      </c>
      <c r="M124" s="15" t="e">
        <f t="shared" si="81"/>
        <v>#DIV/0!</v>
      </c>
    </row>
    <row r="125" spans="1:13" x14ac:dyDescent="0.2">
      <c r="B125" s="2" t="s">
        <v>419</v>
      </c>
      <c r="C125" s="6">
        <f>C40</f>
        <v>1.7549760842437718</v>
      </c>
      <c r="D125" s="6">
        <f>D40</f>
        <v>1.7900108706034321</v>
      </c>
      <c r="E125" s="6">
        <f t="shared" ref="E125:H125" si="82">E40</f>
        <v>1.7245622663530564</v>
      </c>
      <c r="F125" s="6">
        <f t="shared" si="82"/>
        <v>1.5875987008481272</v>
      </c>
      <c r="G125" s="6">
        <f t="shared" si="82"/>
        <v>1.486800974994354</v>
      </c>
      <c r="H125" s="6">
        <f t="shared" si="82"/>
        <v>1.6624151720794957</v>
      </c>
      <c r="I125" s="6">
        <f t="shared" ref="I125:M125" si="83">I40</f>
        <v>1.9473046660172606</v>
      </c>
      <c r="J125" s="6">
        <f t="shared" si="83"/>
        <v>1.911648587922012</v>
      </c>
      <c r="K125" s="6">
        <f t="shared" si="83"/>
        <v>1.8293056095807254</v>
      </c>
      <c r="L125" s="6">
        <f t="shared" si="83"/>
        <v>3.6891176101418357</v>
      </c>
      <c r="M125" s="6" t="e">
        <f t="shared" si="83"/>
        <v>#DIV/0!</v>
      </c>
    </row>
    <row r="126" spans="1:13" x14ac:dyDescent="0.2">
      <c r="B126" s="2" t="s">
        <v>420</v>
      </c>
      <c r="C126" s="6">
        <f>C82</f>
        <v>1.2364543076264547</v>
      </c>
      <c r="D126" s="6">
        <f>D82</f>
        <v>1.2323485971643411</v>
      </c>
      <c r="E126" s="6">
        <f t="shared" ref="E126:H126" si="84">E82</f>
        <v>1.2383464898647634</v>
      </c>
      <c r="F126" s="6">
        <f t="shared" si="84"/>
        <v>1.2557942993123479</v>
      </c>
      <c r="G126" s="6">
        <f t="shared" si="84"/>
        <v>1.2777188503107457</v>
      </c>
      <c r="H126" s="6">
        <f t="shared" si="84"/>
        <v>1.3513377047838047</v>
      </c>
      <c r="I126" s="6">
        <f t="shared" ref="I126:M126" si="85">I82</f>
        <v>1.4369210347579291</v>
      </c>
      <c r="J126" s="6">
        <f t="shared" si="85"/>
        <v>1.4471376798636197</v>
      </c>
      <c r="K126" s="6">
        <f t="shared" si="85"/>
        <v>1.459927999118918</v>
      </c>
      <c r="L126" s="6">
        <f t="shared" si="85"/>
        <v>1.4836568687335188</v>
      </c>
      <c r="M126" s="6" t="e">
        <f t="shared" si="85"/>
        <v>#DIV/0!</v>
      </c>
    </row>
    <row r="127" spans="1:13" x14ac:dyDescent="0.2">
      <c r="C127" s="6"/>
      <c r="D127" s="6"/>
      <c r="E127" s="6"/>
      <c r="F127" s="6"/>
      <c r="G127" s="6"/>
      <c r="H127" s="6"/>
    </row>
    <row r="128" spans="1:13" x14ac:dyDescent="0.2">
      <c r="A128" s="4" t="s">
        <v>460</v>
      </c>
      <c r="B128" s="3" t="s">
        <v>461</v>
      </c>
    </row>
    <row r="130" spans="1:8" x14ac:dyDescent="0.2">
      <c r="A130" s="4">
        <v>1</v>
      </c>
      <c r="B130" s="3" t="s">
        <v>465</v>
      </c>
      <c r="C130" s="5">
        <f>SUM(C131:C134)</f>
        <v>292.66666666666669</v>
      </c>
      <c r="D130" s="5">
        <f>SUM(D131:D134)</f>
        <v>238</v>
      </c>
      <c r="E130" s="5">
        <f t="shared" ref="E130:H130" si="86">SUM(E131:E134)</f>
        <v>243</v>
      </c>
      <c r="F130" s="5">
        <f t="shared" si="86"/>
        <v>197</v>
      </c>
      <c r="G130" s="5">
        <f t="shared" si="86"/>
        <v>143</v>
      </c>
      <c r="H130" s="5">
        <f t="shared" si="86"/>
        <v>0</v>
      </c>
    </row>
    <row r="131" spans="1:8" x14ac:dyDescent="0.2">
      <c r="B131" s="2" t="s">
        <v>462</v>
      </c>
      <c r="C131" s="266">
        <f>'Common Size Analysis - CFS'!B44</f>
        <v>873</v>
      </c>
      <c r="D131" s="266">
        <f>'Common Size Analysis - CFS'!C44</f>
        <v>605</v>
      </c>
      <c r="E131" s="266">
        <f>'Common Size Analysis - CFS'!D44</f>
        <v>623</v>
      </c>
      <c r="F131" s="266">
        <f>'Common Size Analysis - CFS'!E44</f>
        <v>549</v>
      </c>
      <c r="G131" s="266">
        <f>'Common Size Analysis - CFS'!F44</f>
        <v>297</v>
      </c>
      <c r="H131" s="266">
        <f>'Common Size Analysis - CFS'!G44</f>
        <v>0</v>
      </c>
    </row>
    <row r="132" spans="1:8" x14ac:dyDescent="0.2">
      <c r="B132" s="3" t="s">
        <v>463</v>
      </c>
      <c r="C132" s="6"/>
      <c r="D132" s="6"/>
      <c r="E132" s="6"/>
      <c r="F132" s="6"/>
      <c r="G132" s="6"/>
      <c r="H132" s="6"/>
    </row>
    <row r="133" spans="1:8" x14ac:dyDescent="0.2">
      <c r="B133" s="2" t="s">
        <v>464</v>
      </c>
      <c r="C133" s="266">
        <f>'Common Size Analysis - CFS'!B64</f>
        <v>-611</v>
      </c>
      <c r="D133" s="266">
        <f>'Common Size Analysis - CFS'!C64</f>
        <v>-383</v>
      </c>
      <c r="E133" s="266">
        <f>'Common Size Analysis - CFS'!D64</f>
        <v>-391</v>
      </c>
      <c r="F133" s="266">
        <f>'Common Size Analysis - CFS'!E64</f>
        <v>-358</v>
      </c>
      <c r="G133" s="266">
        <f>'Common Size Analysis - CFS'!F64</f>
        <v>-200</v>
      </c>
      <c r="H133" s="266">
        <f>'Common Size Analysis - CFS'!G64</f>
        <v>0</v>
      </c>
    </row>
    <row r="134" spans="1:8" x14ac:dyDescent="0.2">
      <c r="B134" s="2" t="s">
        <v>467</v>
      </c>
      <c r="C134" s="266">
        <f>'Common Size Analysis - CFS'!B47*12/9</f>
        <v>30.666666666666668</v>
      </c>
      <c r="D134" s="266">
        <f>'Common Size Analysis - CFS'!C47*12/9</f>
        <v>16</v>
      </c>
      <c r="E134" s="266">
        <f>'Common Size Analysis - CFS'!D47</f>
        <v>11</v>
      </c>
      <c r="F134" s="266">
        <f>'Common Size Analysis - CFS'!E47</f>
        <v>6</v>
      </c>
      <c r="G134" s="266">
        <f>'Common Size Analysis - CFS'!F47</f>
        <v>46</v>
      </c>
      <c r="H134" s="266">
        <f>'Common Size Analysis - CFS'!G47</f>
        <v>0</v>
      </c>
    </row>
    <row r="135" spans="1:8" x14ac:dyDescent="0.2">
      <c r="B135" s="3" t="s">
        <v>526</v>
      </c>
      <c r="C135" s="203">
        <f>(C130-D130)/D130</f>
        <v>0.22969187675070035</v>
      </c>
      <c r="D135" s="203">
        <f>(D130-E130)/E130</f>
        <v>-2.0576131687242798E-2</v>
      </c>
      <c r="E135" s="203">
        <f>(E130-F130)/F130</f>
        <v>0.233502538071066</v>
      </c>
      <c r="F135" s="203">
        <f>(F130-G130)/(-G130)</f>
        <v>-0.3776223776223776</v>
      </c>
      <c r="G135" s="203" t="e">
        <f>(G130-H130)/H130</f>
        <v>#DIV/0!</v>
      </c>
      <c r="H135" s="66"/>
    </row>
    <row r="137" spans="1:8" x14ac:dyDescent="0.2">
      <c r="A137" s="4">
        <f>A130+1</f>
        <v>2</v>
      </c>
      <c r="B137" s="3" t="s">
        <v>466</v>
      </c>
      <c r="C137" s="5">
        <f>SUM(C138:C140)</f>
        <v>292.66666666666669</v>
      </c>
      <c r="D137" s="5">
        <f>SUM(D138:D140)</f>
        <v>238</v>
      </c>
      <c r="E137" s="5">
        <f t="shared" ref="E137:H137" si="87">SUM(E138:E140)</f>
        <v>243</v>
      </c>
      <c r="F137" s="5">
        <f t="shared" si="87"/>
        <v>197</v>
      </c>
      <c r="G137" s="5">
        <f t="shared" si="87"/>
        <v>143</v>
      </c>
      <c r="H137" s="5">
        <f t="shared" si="87"/>
        <v>0</v>
      </c>
    </row>
    <row r="138" spans="1:8" x14ac:dyDescent="0.2">
      <c r="B138" s="2" t="s">
        <v>468</v>
      </c>
      <c r="C138" s="6">
        <f>C130</f>
        <v>292.66666666666669</v>
      </c>
      <c r="D138" s="6">
        <f>D130</f>
        <v>238</v>
      </c>
      <c r="E138" s="6">
        <f t="shared" ref="E138:H138" si="88">E130</f>
        <v>243</v>
      </c>
      <c r="F138" s="6">
        <f t="shared" si="88"/>
        <v>197</v>
      </c>
      <c r="G138" s="6">
        <f t="shared" si="88"/>
        <v>143</v>
      </c>
      <c r="H138" s="6">
        <f t="shared" si="88"/>
        <v>0</v>
      </c>
    </row>
    <row r="139" spans="1:8" x14ac:dyDescent="0.2">
      <c r="B139" s="2" t="s">
        <v>469</v>
      </c>
      <c r="C139" s="6">
        <f>'Common Size Analysis - CFS'!B81</f>
        <v>0</v>
      </c>
      <c r="D139" s="6">
        <f>'Common Size Analysis - CFS'!C81</f>
        <v>0</v>
      </c>
      <c r="E139" s="6">
        <f>'Common Size Analysis - CFS'!D81</f>
        <v>0</v>
      </c>
      <c r="F139" s="6">
        <f>'Common Size Analysis - CFS'!E81</f>
        <v>0</v>
      </c>
      <c r="G139" s="6">
        <f>'Common Size Analysis - CFS'!F81</f>
        <v>0</v>
      </c>
      <c r="H139" s="6">
        <f>'Common Size Analysis - CFS'!G81</f>
        <v>0</v>
      </c>
    </row>
    <row r="140" spans="1:8" x14ac:dyDescent="0.2">
      <c r="B140" s="2" t="s">
        <v>470</v>
      </c>
      <c r="C140" s="6">
        <f>'Common Size Analysis - CFS'!B82</f>
        <v>0</v>
      </c>
      <c r="D140" s="6">
        <f>'Common Size Analysis - CFS'!C82</f>
        <v>0</v>
      </c>
      <c r="E140" s="6">
        <f>'Common Size Analysis - CFS'!D82</f>
        <v>0</v>
      </c>
      <c r="F140" s="6">
        <f>'Common Size Analysis - CFS'!E82</f>
        <v>0</v>
      </c>
      <c r="G140" s="6">
        <f>'Common Size Analysis - CFS'!F82</f>
        <v>0</v>
      </c>
      <c r="H140" s="6">
        <f>'Common Size Analysis - CFS'!G82</f>
        <v>0</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workbookViewId="0">
      <selection sqref="A1:C2"/>
    </sheetView>
  </sheetViews>
  <sheetFormatPr defaultRowHeight="11.25" x14ac:dyDescent="0.2"/>
  <cols>
    <col min="1" max="1" width="30.140625" style="2" bestFit="1" customWidth="1"/>
    <col min="2" max="2" width="16" style="2" bestFit="1" customWidth="1"/>
    <col min="3" max="3" width="15.7109375" style="2" customWidth="1"/>
    <col min="4" max="4" width="16.5703125" style="2" bestFit="1" customWidth="1"/>
    <col min="5" max="5" width="7.5703125" style="2" bestFit="1" customWidth="1"/>
    <col min="6" max="6" width="41" style="2" bestFit="1" customWidth="1"/>
    <col min="7" max="7" width="11.5703125" style="2" bestFit="1" customWidth="1"/>
    <col min="8" max="8" width="9.140625" style="2"/>
    <col min="9" max="9" width="9.140625" style="66"/>
    <col min="10" max="10" width="10.28515625" style="2" bestFit="1" customWidth="1"/>
    <col min="11" max="11" width="10.140625" style="2" bestFit="1" customWidth="1"/>
    <col min="12" max="236" width="9.140625" style="2"/>
    <col min="237" max="237" width="28.5703125" style="2" bestFit="1" customWidth="1"/>
    <col min="238" max="238" width="13.42578125" style="2" bestFit="1" customWidth="1"/>
    <col min="239" max="239" width="9.140625" style="2"/>
    <col min="240" max="240" width="15.140625" style="2" bestFit="1" customWidth="1"/>
    <col min="241" max="241" width="9.140625" style="2"/>
    <col min="242" max="242" width="10.85546875" style="2" bestFit="1" customWidth="1"/>
    <col min="243" max="243" width="12.7109375" style="2" bestFit="1" customWidth="1"/>
    <col min="244" max="492" width="9.140625" style="2"/>
    <col min="493" max="493" width="28.5703125" style="2" bestFit="1" customWidth="1"/>
    <col min="494" max="494" width="13.42578125" style="2" bestFit="1" customWidth="1"/>
    <col min="495" max="495" width="9.140625" style="2"/>
    <col min="496" max="496" width="15.140625" style="2" bestFit="1" customWidth="1"/>
    <col min="497" max="497" width="9.140625" style="2"/>
    <col min="498" max="498" width="10.85546875" style="2" bestFit="1" customWidth="1"/>
    <col min="499" max="499" width="12.7109375" style="2" bestFit="1" customWidth="1"/>
    <col min="500" max="748" width="9.140625" style="2"/>
    <col min="749" max="749" width="28.5703125" style="2" bestFit="1" customWidth="1"/>
    <col min="750" max="750" width="13.42578125" style="2" bestFit="1" customWidth="1"/>
    <col min="751" max="751" width="9.140625" style="2"/>
    <col min="752" max="752" width="15.140625" style="2" bestFit="1" customWidth="1"/>
    <col min="753" max="753" width="9.140625" style="2"/>
    <col min="754" max="754" width="10.85546875" style="2" bestFit="1" customWidth="1"/>
    <col min="755" max="755" width="12.7109375" style="2" bestFit="1" customWidth="1"/>
    <col min="756" max="1004" width="9.140625" style="2"/>
    <col min="1005" max="1005" width="28.5703125" style="2" bestFit="1" customWidth="1"/>
    <col min="1006" max="1006" width="13.42578125" style="2" bestFit="1" customWidth="1"/>
    <col min="1007" max="1007" width="9.140625" style="2"/>
    <col min="1008" max="1008" width="15.140625" style="2" bestFit="1" customWidth="1"/>
    <col min="1009" max="1009" width="9.140625" style="2"/>
    <col min="1010" max="1010" width="10.85546875" style="2" bestFit="1" customWidth="1"/>
    <col min="1011" max="1011" width="12.7109375" style="2" bestFit="1" customWidth="1"/>
    <col min="1012" max="1260" width="9.140625" style="2"/>
    <col min="1261" max="1261" width="28.5703125" style="2" bestFit="1" customWidth="1"/>
    <col min="1262" max="1262" width="13.42578125" style="2" bestFit="1" customWidth="1"/>
    <col min="1263" max="1263" width="9.140625" style="2"/>
    <col min="1264" max="1264" width="15.140625" style="2" bestFit="1" customWidth="1"/>
    <col min="1265" max="1265" width="9.140625" style="2"/>
    <col min="1266" max="1266" width="10.85546875" style="2" bestFit="1" customWidth="1"/>
    <col min="1267" max="1267" width="12.7109375" style="2" bestFit="1" customWidth="1"/>
    <col min="1268" max="1516" width="9.140625" style="2"/>
    <col min="1517" max="1517" width="28.5703125" style="2" bestFit="1" customWidth="1"/>
    <col min="1518" max="1518" width="13.42578125" style="2" bestFit="1" customWidth="1"/>
    <col min="1519" max="1519" width="9.140625" style="2"/>
    <col min="1520" max="1520" width="15.140625" style="2" bestFit="1" customWidth="1"/>
    <col min="1521" max="1521" width="9.140625" style="2"/>
    <col min="1522" max="1522" width="10.85546875" style="2" bestFit="1" customWidth="1"/>
    <col min="1523" max="1523" width="12.7109375" style="2" bestFit="1" customWidth="1"/>
    <col min="1524" max="1772" width="9.140625" style="2"/>
    <col min="1773" max="1773" width="28.5703125" style="2" bestFit="1" customWidth="1"/>
    <col min="1774" max="1774" width="13.42578125" style="2" bestFit="1" customWidth="1"/>
    <col min="1775" max="1775" width="9.140625" style="2"/>
    <col min="1776" max="1776" width="15.140625" style="2" bestFit="1" customWidth="1"/>
    <col min="1777" max="1777" width="9.140625" style="2"/>
    <col min="1778" max="1778" width="10.85546875" style="2" bestFit="1" customWidth="1"/>
    <col min="1779" max="1779" width="12.7109375" style="2" bestFit="1" customWidth="1"/>
    <col min="1780" max="2028" width="9.140625" style="2"/>
    <col min="2029" max="2029" width="28.5703125" style="2" bestFit="1" customWidth="1"/>
    <col min="2030" max="2030" width="13.42578125" style="2" bestFit="1" customWidth="1"/>
    <col min="2031" max="2031" width="9.140625" style="2"/>
    <col min="2032" max="2032" width="15.140625" style="2" bestFit="1" customWidth="1"/>
    <col min="2033" max="2033" width="9.140625" style="2"/>
    <col min="2034" max="2034" width="10.85546875" style="2" bestFit="1" customWidth="1"/>
    <col min="2035" max="2035" width="12.7109375" style="2" bestFit="1" customWidth="1"/>
    <col min="2036" max="2284" width="9.140625" style="2"/>
    <col min="2285" max="2285" width="28.5703125" style="2" bestFit="1" customWidth="1"/>
    <col min="2286" max="2286" width="13.42578125" style="2" bestFit="1" customWidth="1"/>
    <col min="2287" max="2287" width="9.140625" style="2"/>
    <col min="2288" max="2288" width="15.140625" style="2" bestFit="1" customWidth="1"/>
    <col min="2289" max="2289" width="9.140625" style="2"/>
    <col min="2290" max="2290" width="10.85546875" style="2" bestFit="1" customWidth="1"/>
    <col min="2291" max="2291" width="12.7109375" style="2" bestFit="1" customWidth="1"/>
    <col min="2292" max="2540" width="9.140625" style="2"/>
    <col min="2541" max="2541" width="28.5703125" style="2" bestFit="1" customWidth="1"/>
    <col min="2542" max="2542" width="13.42578125" style="2" bestFit="1" customWidth="1"/>
    <col min="2543" max="2543" width="9.140625" style="2"/>
    <col min="2544" max="2544" width="15.140625" style="2" bestFit="1" customWidth="1"/>
    <col min="2545" max="2545" width="9.140625" style="2"/>
    <col min="2546" max="2546" width="10.85546875" style="2" bestFit="1" customWidth="1"/>
    <col min="2547" max="2547" width="12.7109375" style="2" bestFit="1" customWidth="1"/>
    <col min="2548" max="2796" width="9.140625" style="2"/>
    <col min="2797" max="2797" width="28.5703125" style="2" bestFit="1" customWidth="1"/>
    <col min="2798" max="2798" width="13.42578125" style="2" bestFit="1" customWidth="1"/>
    <col min="2799" max="2799" width="9.140625" style="2"/>
    <col min="2800" max="2800" width="15.140625" style="2" bestFit="1" customWidth="1"/>
    <col min="2801" max="2801" width="9.140625" style="2"/>
    <col min="2802" max="2802" width="10.85546875" style="2" bestFit="1" customWidth="1"/>
    <col min="2803" max="2803" width="12.7109375" style="2" bestFit="1" customWidth="1"/>
    <col min="2804" max="3052" width="9.140625" style="2"/>
    <col min="3053" max="3053" width="28.5703125" style="2" bestFit="1" customWidth="1"/>
    <col min="3054" max="3054" width="13.42578125" style="2" bestFit="1" customWidth="1"/>
    <col min="3055" max="3055" width="9.140625" style="2"/>
    <col min="3056" max="3056" width="15.140625" style="2" bestFit="1" customWidth="1"/>
    <col min="3057" max="3057" width="9.140625" style="2"/>
    <col min="3058" max="3058" width="10.85546875" style="2" bestFit="1" customWidth="1"/>
    <col min="3059" max="3059" width="12.7109375" style="2" bestFit="1" customWidth="1"/>
    <col min="3060" max="3308" width="9.140625" style="2"/>
    <col min="3309" max="3309" width="28.5703125" style="2" bestFit="1" customWidth="1"/>
    <col min="3310" max="3310" width="13.42578125" style="2" bestFit="1" customWidth="1"/>
    <col min="3311" max="3311" width="9.140625" style="2"/>
    <col min="3312" max="3312" width="15.140625" style="2" bestFit="1" customWidth="1"/>
    <col min="3313" max="3313" width="9.140625" style="2"/>
    <col min="3314" max="3314" width="10.85546875" style="2" bestFit="1" customWidth="1"/>
    <col min="3315" max="3315" width="12.7109375" style="2" bestFit="1" customWidth="1"/>
    <col min="3316" max="3564" width="9.140625" style="2"/>
    <col min="3565" max="3565" width="28.5703125" style="2" bestFit="1" customWidth="1"/>
    <col min="3566" max="3566" width="13.42578125" style="2" bestFit="1" customWidth="1"/>
    <col min="3567" max="3567" width="9.140625" style="2"/>
    <col min="3568" max="3568" width="15.140625" style="2" bestFit="1" customWidth="1"/>
    <col min="3569" max="3569" width="9.140625" style="2"/>
    <col min="3570" max="3570" width="10.85546875" style="2" bestFit="1" customWidth="1"/>
    <col min="3571" max="3571" width="12.7109375" style="2" bestFit="1" customWidth="1"/>
    <col min="3572" max="3820" width="9.140625" style="2"/>
    <col min="3821" max="3821" width="28.5703125" style="2" bestFit="1" customWidth="1"/>
    <col min="3822" max="3822" width="13.42578125" style="2" bestFit="1" customWidth="1"/>
    <col min="3823" max="3823" width="9.140625" style="2"/>
    <col min="3824" max="3824" width="15.140625" style="2" bestFit="1" customWidth="1"/>
    <col min="3825" max="3825" width="9.140625" style="2"/>
    <col min="3826" max="3826" width="10.85546875" style="2" bestFit="1" customWidth="1"/>
    <col min="3827" max="3827" width="12.7109375" style="2" bestFit="1" customWidth="1"/>
    <col min="3828" max="4076" width="9.140625" style="2"/>
    <col min="4077" max="4077" width="28.5703125" style="2" bestFit="1" customWidth="1"/>
    <col min="4078" max="4078" width="13.42578125" style="2" bestFit="1" customWidth="1"/>
    <col min="4079" max="4079" width="9.140625" style="2"/>
    <col min="4080" max="4080" width="15.140625" style="2" bestFit="1" customWidth="1"/>
    <col min="4081" max="4081" width="9.140625" style="2"/>
    <col min="4082" max="4082" width="10.85546875" style="2" bestFit="1" customWidth="1"/>
    <col min="4083" max="4083" width="12.7109375" style="2" bestFit="1" customWidth="1"/>
    <col min="4084" max="4332" width="9.140625" style="2"/>
    <col min="4333" max="4333" width="28.5703125" style="2" bestFit="1" customWidth="1"/>
    <col min="4334" max="4334" width="13.42578125" style="2" bestFit="1" customWidth="1"/>
    <col min="4335" max="4335" width="9.140625" style="2"/>
    <col min="4336" max="4336" width="15.140625" style="2" bestFit="1" customWidth="1"/>
    <col min="4337" max="4337" width="9.140625" style="2"/>
    <col min="4338" max="4338" width="10.85546875" style="2" bestFit="1" customWidth="1"/>
    <col min="4339" max="4339" width="12.7109375" style="2" bestFit="1" customWidth="1"/>
    <col min="4340" max="4588" width="9.140625" style="2"/>
    <col min="4589" max="4589" width="28.5703125" style="2" bestFit="1" customWidth="1"/>
    <col min="4590" max="4590" width="13.42578125" style="2" bestFit="1" customWidth="1"/>
    <col min="4591" max="4591" width="9.140625" style="2"/>
    <col min="4592" max="4592" width="15.140625" style="2" bestFit="1" customWidth="1"/>
    <col min="4593" max="4593" width="9.140625" style="2"/>
    <col min="4594" max="4594" width="10.85546875" style="2" bestFit="1" customWidth="1"/>
    <col min="4595" max="4595" width="12.7109375" style="2" bestFit="1" customWidth="1"/>
    <col min="4596" max="4844" width="9.140625" style="2"/>
    <col min="4845" max="4845" width="28.5703125" style="2" bestFit="1" customWidth="1"/>
    <col min="4846" max="4846" width="13.42578125" style="2" bestFit="1" customWidth="1"/>
    <col min="4847" max="4847" width="9.140625" style="2"/>
    <col min="4848" max="4848" width="15.140625" style="2" bestFit="1" customWidth="1"/>
    <col min="4849" max="4849" width="9.140625" style="2"/>
    <col min="4850" max="4850" width="10.85546875" style="2" bestFit="1" customWidth="1"/>
    <col min="4851" max="4851" width="12.7109375" style="2" bestFit="1" customWidth="1"/>
    <col min="4852" max="5100" width="9.140625" style="2"/>
    <col min="5101" max="5101" width="28.5703125" style="2" bestFit="1" customWidth="1"/>
    <col min="5102" max="5102" width="13.42578125" style="2" bestFit="1" customWidth="1"/>
    <col min="5103" max="5103" width="9.140625" style="2"/>
    <col min="5104" max="5104" width="15.140625" style="2" bestFit="1" customWidth="1"/>
    <col min="5105" max="5105" width="9.140625" style="2"/>
    <col min="5106" max="5106" width="10.85546875" style="2" bestFit="1" customWidth="1"/>
    <col min="5107" max="5107" width="12.7109375" style="2" bestFit="1" customWidth="1"/>
    <col min="5108" max="5356" width="9.140625" style="2"/>
    <col min="5357" max="5357" width="28.5703125" style="2" bestFit="1" customWidth="1"/>
    <col min="5358" max="5358" width="13.42578125" style="2" bestFit="1" customWidth="1"/>
    <col min="5359" max="5359" width="9.140625" style="2"/>
    <col min="5360" max="5360" width="15.140625" style="2" bestFit="1" customWidth="1"/>
    <col min="5361" max="5361" width="9.140625" style="2"/>
    <col min="5362" max="5362" width="10.85546875" style="2" bestFit="1" customWidth="1"/>
    <col min="5363" max="5363" width="12.7109375" style="2" bestFit="1" customWidth="1"/>
    <col min="5364" max="5612" width="9.140625" style="2"/>
    <col min="5613" max="5613" width="28.5703125" style="2" bestFit="1" customWidth="1"/>
    <col min="5614" max="5614" width="13.42578125" style="2" bestFit="1" customWidth="1"/>
    <col min="5615" max="5615" width="9.140625" style="2"/>
    <col min="5616" max="5616" width="15.140625" style="2" bestFit="1" customWidth="1"/>
    <col min="5617" max="5617" width="9.140625" style="2"/>
    <col min="5618" max="5618" width="10.85546875" style="2" bestFit="1" customWidth="1"/>
    <col min="5619" max="5619" width="12.7109375" style="2" bestFit="1" customWidth="1"/>
    <col min="5620" max="5868" width="9.140625" style="2"/>
    <col min="5869" max="5869" width="28.5703125" style="2" bestFit="1" customWidth="1"/>
    <col min="5870" max="5870" width="13.42578125" style="2" bestFit="1" customWidth="1"/>
    <col min="5871" max="5871" width="9.140625" style="2"/>
    <col min="5872" max="5872" width="15.140625" style="2" bestFit="1" customWidth="1"/>
    <col min="5873" max="5873" width="9.140625" style="2"/>
    <col min="5874" max="5874" width="10.85546875" style="2" bestFit="1" customWidth="1"/>
    <col min="5875" max="5875" width="12.7109375" style="2" bestFit="1" customWidth="1"/>
    <col min="5876" max="6124" width="9.140625" style="2"/>
    <col min="6125" max="6125" width="28.5703125" style="2" bestFit="1" customWidth="1"/>
    <col min="6126" max="6126" width="13.42578125" style="2" bestFit="1" customWidth="1"/>
    <col min="6127" max="6127" width="9.140625" style="2"/>
    <col min="6128" max="6128" width="15.140625" style="2" bestFit="1" customWidth="1"/>
    <col min="6129" max="6129" width="9.140625" style="2"/>
    <col min="6130" max="6130" width="10.85546875" style="2" bestFit="1" customWidth="1"/>
    <col min="6131" max="6131" width="12.7109375" style="2" bestFit="1" customWidth="1"/>
    <col min="6132" max="6380" width="9.140625" style="2"/>
    <col min="6381" max="6381" width="28.5703125" style="2" bestFit="1" customWidth="1"/>
    <col min="6382" max="6382" width="13.42578125" style="2" bestFit="1" customWidth="1"/>
    <col min="6383" max="6383" width="9.140625" style="2"/>
    <col min="6384" max="6384" width="15.140625" style="2" bestFit="1" customWidth="1"/>
    <col min="6385" max="6385" width="9.140625" style="2"/>
    <col min="6386" max="6386" width="10.85546875" style="2" bestFit="1" customWidth="1"/>
    <col min="6387" max="6387" width="12.7109375" style="2" bestFit="1" customWidth="1"/>
    <col min="6388" max="6636" width="9.140625" style="2"/>
    <col min="6637" max="6637" width="28.5703125" style="2" bestFit="1" customWidth="1"/>
    <col min="6638" max="6638" width="13.42578125" style="2" bestFit="1" customWidth="1"/>
    <col min="6639" max="6639" width="9.140625" style="2"/>
    <col min="6640" max="6640" width="15.140625" style="2" bestFit="1" customWidth="1"/>
    <col min="6641" max="6641" width="9.140625" style="2"/>
    <col min="6642" max="6642" width="10.85546875" style="2" bestFit="1" customWidth="1"/>
    <col min="6643" max="6643" width="12.7109375" style="2" bestFit="1" customWidth="1"/>
    <col min="6644" max="6892" width="9.140625" style="2"/>
    <col min="6893" max="6893" width="28.5703125" style="2" bestFit="1" customWidth="1"/>
    <col min="6894" max="6894" width="13.42578125" style="2" bestFit="1" customWidth="1"/>
    <col min="6895" max="6895" width="9.140625" style="2"/>
    <col min="6896" max="6896" width="15.140625" style="2" bestFit="1" customWidth="1"/>
    <col min="6897" max="6897" width="9.140625" style="2"/>
    <col min="6898" max="6898" width="10.85546875" style="2" bestFit="1" customWidth="1"/>
    <col min="6899" max="6899" width="12.7109375" style="2" bestFit="1" customWidth="1"/>
    <col min="6900" max="7148" width="9.140625" style="2"/>
    <col min="7149" max="7149" width="28.5703125" style="2" bestFit="1" customWidth="1"/>
    <col min="7150" max="7150" width="13.42578125" style="2" bestFit="1" customWidth="1"/>
    <col min="7151" max="7151" width="9.140625" style="2"/>
    <col min="7152" max="7152" width="15.140625" style="2" bestFit="1" customWidth="1"/>
    <col min="7153" max="7153" width="9.140625" style="2"/>
    <col min="7154" max="7154" width="10.85546875" style="2" bestFit="1" customWidth="1"/>
    <col min="7155" max="7155" width="12.7109375" style="2" bestFit="1" customWidth="1"/>
    <col min="7156" max="7404" width="9.140625" style="2"/>
    <col min="7405" max="7405" width="28.5703125" style="2" bestFit="1" customWidth="1"/>
    <col min="7406" max="7406" width="13.42578125" style="2" bestFit="1" customWidth="1"/>
    <col min="7407" max="7407" width="9.140625" style="2"/>
    <col min="7408" max="7408" width="15.140625" style="2" bestFit="1" customWidth="1"/>
    <col min="7409" max="7409" width="9.140625" style="2"/>
    <col min="7410" max="7410" width="10.85546875" style="2" bestFit="1" customWidth="1"/>
    <col min="7411" max="7411" width="12.7109375" style="2" bestFit="1" customWidth="1"/>
    <col min="7412" max="7660" width="9.140625" style="2"/>
    <col min="7661" max="7661" width="28.5703125" style="2" bestFit="1" customWidth="1"/>
    <col min="7662" max="7662" width="13.42578125" style="2" bestFit="1" customWidth="1"/>
    <col min="7663" max="7663" width="9.140625" style="2"/>
    <col min="7664" max="7664" width="15.140625" style="2" bestFit="1" customWidth="1"/>
    <col min="7665" max="7665" width="9.140625" style="2"/>
    <col min="7666" max="7666" width="10.85546875" style="2" bestFit="1" customWidth="1"/>
    <col min="7667" max="7667" width="12.7109375" style="2" bestFit="1" customWidth="1"/>
    <col min="7668" max="7916" width="9.140625" style="2"/>
    <col min="7917" max="7917" width="28.5703125" style="2" bestFit="1" customWidth="1"/>
    <col min="7918" max="7918" width="13.42578125" style="2" bestFit="1" customWidth="1"/>
    <col min="7919" max="7919" width="9.140625" style="2"/>
    <col min="7920" max="7920" width="15.140625" style="2" bestFit="1" customWidth="1"/>
    <col min="7921" max="7921" width="9.140625" style="2"/>
    <col min="7922" max="7922" width="10.85546875" style="2" bestFit="1" customWidth="1"/>
    <col min="7923" max="7923" width="12.7109375" style="2" bestFit="1" customWidth="1"/>
    <col min="7924" max="8172" width="9.140625" style="2"/>
    <col min="8173" max="8173" width="28.5703125" style="2" bestFit="1" customWidth="1"/>
    <col min="8174" max="8174" width="13.42578125" style="2" bestFit="1" customWidth="1"/>
    <col min="8175" max="8175" width="9.140625" style="2"/>
    <col min="8176" max="8176" width="15.140625" style="2" bestFit="1" customWidth="1"/>
    <col min="8177" max="8177" width="9.140625" style="2"/>
    <col min="8178" max="8178" width="10.85546875" style="2" bestFit="1" customWidth="1"/>
    <col min="8179" max="8179" width="12.7109375" style="2" bestFit="1" customWidth="1"/>
    <col min="8180" max="8428" width="9.140625" style="2"/>
    <col min="8429" max="8429" width="28.5703125" style="2" bestFit="1" customWidth="1"/>
    <col min="8430" max="8430" width="13.42578125" style="2" bestFit="1" customWidth="1"/>
    <col min="8431" max="8431" width="9.140625" style="2"/>
    <col min="8432" max="8432" width="15.140625" style="2" bestFit="1" customWidth="1"/>
    <col min="8433" max="8433" width="9.140625" style="2"/>
    <col min="8434" max="8434" width="10.85546875" style="2" bestFit="1" customWidth="1"/>
    <col min="8435" max="8435" width="12.7109375" style="2" bestFit="1" customWidth="1"/>
    <col min="8436" max="8684" width="9.140625" style="2"/>
    <col min="8685" max="8685" width="28.5703125" style="2" bestFit="1" customWidth="1"/>
    <col min="8686" max="8686" width="13.42578125" style="2" bestFit="1" customWidth="1"/>
    <col min="8687" max="8687" width="9.140625" style="2"/>
    <col min="8688" max="8688" width="15.140625" style="2" bestFit="1" customWidth="1"/>
    <col min="8689" max="8689" width="9.140625" style="2"/>
    <col min="8690" max="8690" width="10.85546875" style="2" bestFit="1" customWidth="1"/>
    <col min="8691" max="8691" width="12.7109375" style="2" bestFit="1" customWidth="1"/>
    <col min="8692" max="8940" width="9.140625" style="2"/>
    <col min="8941" max="8941" width="28.5703125" style="2" bestFit="1" customWidth="1"/>
    <col min="8942" max="8942" width="13.42578125" style="2" bestFit="1" customWidth="1"/>
    <col min="8943" max="8943" width="9.140625" style="2"/>
    <col min="8944" max="8944" width="15.140625" style="2" bestFit="1" customWidth="1"/>
    <col min="8945" max="8945" width="9.140625" style="2"/>
    <col min="8946" max="8946" width="10.85546875" style="2" bestFit="1" customWidth="1"/>
    <col min="8947" max="8947" width="12.7109375" style="2" bestFit="1" customWidth="1"/>
    <col min="8948" max="9196" width="9.140625" style="2"/>
    <col min="9197" max="9197" width="28.5703125" style="2" bestFit="1" customWidth="1"/>
    <col min="9198" max="9198" width="13.42578125" style="2" bestFit="1" customWidth="1"/>
    <col min="9199" max="9199" width="9.140625" style="2"/>
    <col min="9200" max="9200" width="15.140625" style="2" bestFit="1" customWidth="1"/>
    <col min="9201" max="9201" width="9.140625" style="2"/>
    <col min="9202" max="9202" width="10.85546875" style="2" bestFit="1" customWidth="1"/>
    <col min="9203" max="9203" width="12.7109375" style="2" bestFit="1" customWidth="1"/>
    <col min="9204" max="9452" width="9.140625" style="2"/>
    <col min="9453" max="9453" width="28.5703125" style="2" bestFit="1" customWidth="1"/>
    <col min="9454" max="9454" width="13.42578125" style="2" bestFit="1" customWidth="1"/>
    <col min="9455" max="9455" width="9.140625" style="2"/>
    <col min="9456" max="9456" width="15.140625" style="2" bestFit="1" customWidth="1"/>
    <col min="9457" max="9457" width="9.140625" style="2"/>
    <col min="9458" max="9458" width="10.85546875" style="2" bestFit="1" customWidth="1"/>
    <col min="9459" max="9459" width="12.7109375" style="2" bestFit="1" customWidth="1"/>
    <col min="9460" max="9708" width="9.140625" style="2"/>
    <col min="9709" max="9709" width="28.5703125" style="2" bestFit="1" customWidth="1"/>
    <col min="9710" max="9710" width="13.42578125" style="2" bestFit="1" customWidth="1"/>
    <col min="9711" max="9711" width="9.140625" style="2"/>
    <col min="9712" max="9712" width="15.140625" style="2" bestFit="1" customWidth="1"/>
    <col min="9713" max="9713" width="9.140625" style="2"/>
    <col min="9714" max="9714" width="10.85546875" style="2" bestFit="1" customWidth="1"/>
    <col min="9715" max="9715" width="12.7109375" style="2" bestFit="1" customWidth="1"/>
    <col min="9716" max="9964" width="9.140625" style="2"/>
    <col min="9965" max="9965" width="28.5703125" style="2" bestFit="1" customWidth="1"/>
    <col min="9966" max="9966" width="13.42578125" style="2" bestFit="1" customWidth="1"/>
    <col min="9967" max="9967" width="9.140625" style="2"/>
    <col min="9968" max="9968" width="15.140625" style="2" bestFit="1" customWidth="1"/>
    <col min="9969" max="9969" width="9.140625" style="2"/>
    <col min="9970" max="9970" width="10.85546875" style="2" bestFit="1" customWidth="1"/>
    <col min="9971" max="9971" width="12.7109375" style="2" bestFit="1" customWidth="1"/>
    <col min="9972" max="10220" width="9.140625" style="2"/>
    <col min="10221" max="10221" width="28.5703125" style="2" bestFit="1" customWidth="1"/>
    <col min="10222" max="10222" width="13.42578125" style="2" bestFit="1" customWidth="1"/>
    <col min="10223" max="10223" width="9.140625" style="2"/>
    <col min="10224" max="10224" width="15.140625" style="2" bestFit="1" customWidth="1"/>
    <col min="10225" max="10225" width="9.140625" style="2"/>
    <col min="10226" max="10226" width="10.85546875" style="2" bestFit="1" customWidth="1"/>
    <col min="10227" max="10227" width="12.7109375" style="2" bestFit="1" customWidth="1"/>
    <col min="10228" max="10476" width="9.140625" style="2"/>
    <col min="10477" max="10477" width="28.5703125" style="2" bestFit="1" customWidth="1"/>
    <col min="10478" max="10478" width="13.42578125" style="2" bestFit="1" customWidth="1"/>
    <col min="10479" max="10479" width="9.140625" style="2"/>
    <col min="10480" max="10480" width="15.140625" style="2" bestFit="1" customWidth="1"/>
    <col min="10481" max="10481" width="9.140625" style="2"/>
    <col min="10482" max="10482" width="10.85546875" style="2" bestFit="1" customWidth="1"/>
    <col min="10483" max="10483" width="12.7109375" style="2" bestFit="1" customWidth="1"/>
    <col min="10484" max="10732" width="9.140625" style="2"/>
    <col min="10733" max="10733" width="28.5703125" style="2" bestFit="1" customWidth="1"/>
    <col min="10734" max="10734" width="13.42578125" style="2" bestFit="1" customWidth="1"/>
    <col min="10735" max="10735" width="9.140625" style="2"/>
    <col min="10736" max="10736" width="15.140625" style="2" bestFit="1" customWidth="1"/>
    <col min="10737" max="10737" width="9.140625" style="2"/>
    <col min="10738" max="10738" width="10.85546875" style="2" bestFit="1" customWidth="1"/>
    <col min="10739" max="10739" width="12.7109375" style="2" bestFit="1" customWidth="1"/>
    <col min="10740" max="10988" width="9.140625" style="2"/>
    <col min="10989" max="10989" width="28.5703125" style="2" bestFit="1" customWidth="1"/>
    <col min="10990" max="10990" width="13.42578125" style="2" bestFit="1" customWidth="1"/>
    <col min="10991" max="10991" width="9.140625" style="2"/>
    <col min="10992" max="10992" width="15.140625" style="2" bestFit="1" customWidth="1"/>
    <col min="10993" max="10993" width="9.140625" style="2"/>
    <col min="10994" max="10994" width="10.85546875" style="2" bestFit="1" customWidth="1"/>
    <col min="10995" max="10995" width="12.7109375" style="2" bestFit="1" customWidth="1"/>
    <col min="10996" max="11244" width="9.140625" style="2"/>
    <col min="11245" max="11245" width="28.5703125" style="2" bestFit="1" customWidth="1"/>
    <col min="11246" max="11246" width="13.42578125" style="2" bestFit="1" customWidth="1"/>
    <col min="11247" max="11247" width="9.140625" style="2"/>
    <col min="11248" max="11248" width="15.140625" style="2" bestFit="1" customWidth="1"/>
    <col min="11249" max="11249" width="9.140625" style="2"/>
    <col min="11250" max="11250" width="10.85546875" style="2" bestFit="1" customWidth="1"/>
    <col min="11251" max="11251" width="12.7109375" style="2" bestFit="1" customWidth="1"/>
    <col min="11252" max="11500" width="9.140625" style="2"/>
    <col min="11501" max="11501" width="28.5703125" style="2" bestFit="1" customWidth="1"/>
    <col min="11502" max="11502" width="13.42578125" style="2" bestFit="1" customWidth="1"/>
    <col min="11503" max="11503" width="9.140625" style="2"/>
    <col min="11504" max="11504" width="15.140625" style="2" bestFit="1" customWidth="1"/>
    <col min="11505" max="11505" width="9.140625" style="2"/>
    <col min="11506" max="11506" width="10.85546875" style="2" bestFit="1" customWidth="1"/>
    <col min="11507" max="11507" width="12.7109375" style="2" bestFit="1" customWidth="1"/>
    <col min="11508" max="11756" width="9.140625" style="2"/>
    <col min="11757" max="11757" width="28.5703125" style="2" bestFit="1" customWidth="1"/>
    <col min="11758" max="11758" width="13.42578125" style="2" bestFit="1" customWidth="1"/>
    <col min="11759" max="11759" width="9.140625" style="2"/>
    <col min="11760" max="11760" width="15.140625" style="2" bestFit="1" customWidth="1"/>
    <col min="11761" max="11761" width="9.140625" style="2"/>
    <col min="11762" max="11762" width="10.85546875" style="2" bestFit="1" customWidth="1"/>
    <col min="11763" max="11763" width="12.7109375" style="2" bestFit="1" customWidth="1"/>
    <col min="11764" max="12012" width="9.140625" style="2"/>
    <col min="12013" max="12013" width="28.5703125" style="2" bestFit="1" customWidth="1"/>
    <col min="12014" max="12014" width="13.42578125" style="2" bestFit="1" customWidth="1"/>
    <col min="12015" max="12015" width="9.140625" style="2"/>
    <col min="12016" max="12016" width="15.140625" style="2" bestFit="1" customWidth="1"/>
    <col min="12017" max="12017" width="9.140625" style="2"/>
    <col min="12018" max="12018" width="10.85546875" style="2" bestFit="1" customWidth="1"/>
    <col min="12019" max="12019" width="12.7109375" style="2" bestFit="1" customWidth="1"/>
    <col min="12020" max="12268" width="9.140625" style="2"/>
    <col min="12269" max="12269" width="28.5703125" style="2" bestFit="1" customWidth="1"/>
    <col min="12270" max="12270" width="13.42578125" style="2" bestFit="1" customWidth="1"/>
    <col min="12271" max="12271" width="9.140625" style="2"/>
    <col min="12272" max="12272" width="15.140625" style="2" bestFit="1" customWidth="1"/>
    <col min="12273" max="12273" width="9.140625" style="2"/>
    <col min="12274" max="12274" width="10.85546875" style="2" bestFit="1" customWidth="1"/>
    <col min="12275" max="12275" width="12.7109375" style="2" bestFit="1" customWidth="1"/>
    <col min="12276" max="12524" width="9.140625" style="2"/>
    <col min="12525" max="12525" width="28.5703125" style="2" bestFit="1" customWidth="1"/>
    <col min="12526" max="12526" width="13.42578125" style="2" bestFit="1" customWidth="1"/>
    <col min="12527" max="12527" width="9.140625" style="2"/>
    <col min="12528" max="12528" width="15.140625" style="2" bestFit="1" customWidth="1"/>
    <col min="12529" max="12529" width="9.140625" style="2"/>
    <col min="12530" max="12530" width="10.85546875" style="2" bestFit="1" customWidth="1"/>
    <col min="12531" max="12531" width="12.7109375" style="2" bestFit="1" customWidth="1"/>
    <col min="12532" max="12780" width="9.140625" style="2"/>
    <col min="12781" max="12781" width="28.5703125" style="2" bestFit="1" customWidth="1"/>
    <col min="12782" max="12782" width="13.42578125" style="2" bestFit="1" customWidth="1"/>
    <col min="12783" max="12783" width="9.140625" style="2"/>
    <col min="12784" max="12784" width="15.140625" style="2" bestFit="1" customWidth="1"/>
    <col min="12785" max="12785" width="9.140625" style="2"/>
    <col min="12786" max="12786" width="10.85546875" style="2" bestFit="1" customWidth="1"/>
    <col min="12787" max="12787" width="12.7109375" style="2" bestFit="1" customWidth="1"/>
    <col min="12788" max="13036" width="9.140625" style="2"/>
    <col min="13037" max="13037" width="28.5703125" style="2" bestFit="1" customWidth="1"/>
    <col min="13038" max="13038" width="13.42578125" style="2" bestFit="1" customWidth="1"/>
    <col min="13039" max="13039" width="9.140625" style="2"/>
    <col min="13040" max="13040" width="15.140625" style="2" bestFit="1" customWidth="1"/>
    <col min="13041" max="13041" width="9.140625" style="2"/>
    <col min="13042" max="13042" width="10.85546875" style="2" bestFit="1" customWidth="1"/>
    <col min="13043" max="13043" width="12.7109375" style="2" bestFit="1" customWidth="1"/>
    <col min="13044" max="13292" width="9.140625" style="2"/>
    <col min="13293" max="13293" width="28.5703125" style="2" bestFit="1" customWidth="1"/>
    <col min="13294" max="13294" width="13.42578125" style="2" bestFit="1" customWidth="1"/>
    <col min="13295" max="13295" width="9.140625" style="2"/>
    <col min="13296" max="13296" width="15.140625" style="2" bestFit="1" customWidth="1"/>
    <col min="13297" max="13297" width="9.140625" style="2"/>
    <col min="13298" max="13298" width="10.85546875" style="2" bestFit="1" customWidth="1"/>
    <col min="13299" max="13299" width="12.7109375" style="2" bestFit="1" customWidth="1"/>
    <col min="13300" max="13548" width="9.140625" style="2"/>
    <col min="13549" max="13549" width="28.5703125" style="2" bestFit="1" customWidth="1"/>
    <col min="13550" max="13550" width="13.42578125" style="2" bestFit="1" customWidth="1"/>
    <col min="13551" max="13551" width="9.140625" style="2"/>
    <col min="13552" max="13552" width="15.140625" style="2" bestFit="1" customWidth="1"/>
    <col min="13553" max="13553" width="9.140625" style="2"/>
    <col min="13554" max="13554" width="10.85546875" style="2" bestFit="1" customWidth="1"/>
    <col min="13555" max="13555" width="12.7109375" style="2" bestFit="1" customWidth="1"/>
    <col min="13556" max="13804" width="9.140625" style="2"/>
    <col min="13805" max="13805" width="28.5703125" style="2" bestFit="1" customWidth="1"/>
    <col min="13806" max="13806" width="13.42578125" style="2" bestFit="1" customWidth="1"/>
    <col min="13807" max="13807" width="9.140625" style="2"/>
    <col min="13808" max="13808" width="15.140625" style="2" bestFit="1" customWidth="1"/>
    <col min="13809" max="13809" width="9.140625" style="2"/>
    <col min="13810" max="13810" width="10.85546875" style="2" bestFit="1" customWidth="1"/>
    <col min="13811" max="13811" width="12.7109375" style="2" bestFit="1" customWidth="1"/>
    <col min="13812" max="14060" width="9.140625" style="2"/>
    <col min="14061" max="14061" width="28.5703125" style="2" bestFit="1" customWidth="1"/>
    <col min="14062" max="14062" width="13.42578125" style="2" bestFit="1" customWidth="1"/>
    <col min="14063" max="14063" width="9.140625" style="2"/>
    <col min="14064" max="14064" width="15.140625" style="2" bestFit="1" customWidth="1"/>
    <col min="14065" max="14065" width="9.140625" style="2"/>
    <col min="14066" max="14066" width="10.85546875" style="2" bestFit="1" customWidth="1"/>
    <col min="14067" max="14067" width="12.7109375" style="2" bestFit="1" customWidth="1"/>
    <col min="14068" max="14316" width="9.140625" style="2"/>
    <col min="14317" max="14317" width="28.5703125" style="2" bestFit="1" customWidth="1"/>
    <col min="14318" max="14318" width="13.42578125" style="2" bestFit="1" customWidth="1"/>
    <col min="14319" max="14319" width="9.140625" style="2"/>
    <col min="14320" max="14320" width="15.140625" style="2" bestFit="1" customWidth="1"/>
    <col min="14321" max="14321" width="9.140625" style="2"/>
    <col min="14322" max="14322" width="10.85546875" style="2" bestFit="1" customWidth="1"/>
    <col min="14323" max="14323" width="12.7109375" style="2" bestFit="1" customWidth="1"/>
    <col min="14324" max="14572" width="9.140625" style="2"/>
    <col min="14573" max="14573" width="28.5703125" style="2" bestFit="1" customWidth="1"/>
    <col min="14574" max="14574" width="13.42578125" style="2" bestFit="1" customWidth="1"/>
    <col min="14575" max="14575" width="9.140625" style="2"/>
    <col min="14576" max="14576" width="15.140625" style="2" bestFit="1" customWidth="1"/>
    <col min="14577" max="14577" width="9.140625" style="2"/>
    <col min="14578" max="14578" width="10.85546875" style="2" bestFit="1" customWidth="1"/>
    <col min="14579" max="14579" width="12.7109375" style="2" bestFit="1" customWidth="1"/>
    <col min="14580" max="14828" width="9.140625" style="2"/>
    <col min="14829" max="14829" width="28.5703125" style="2" bestFit="1" customWidth="1"/>
    <col min="14830" max="14830" width="13.42578125" style="2" bestFit="1" customWidth="1"/>
    <col min="14831" max="14831" width="9.140625" style="2"/>
    <col min="14832" max="14832" width="15.140625" style="2" bestFit="1" customWidth="1"/>
    <col min="14833" max="14833" width="9.140625" style="2"/>
    <col min="14834" max="14834" width="10.85546875" style="2" bestFit="1" customWidth="1"/>
    <col min="14835" max="14835" width="12.7109375" style="2" bestFit="1" customWidth="1"/>
    <col min="14836" max="15084" width="9.140625" style="2"/>
    <col min="15085" max="15085" width="28.5703125" style="2" bestFit="1" customWidth="1"/>
    <col min="15086" max="15086" width="13.42578125" style="2" bestFit="1" customWidth="1"/>
    <col min="15087" max="15087" width="9.140625" style="2"/>
    <col min="15088" max="15088" width="15.140625" style="2" bestFit="1" customWidth="1"/>
    <col min="15089" max="15089" width="9.140625" style="2"/>
    <col min="15090" max="15090" width="10.85546875" style="2" bestFit="1" customWidth="1"/>
    <col min="15091" max="15091" width="12.7109375" style="2" bestFit="1" customWidth="1"/>
    <col min="15092" max="15340" width="9.140625" style="2"/>
    <col min="15341" max="15341" width="28.5703125" style="2" bestFit="1" customWidth="1"/>
    <col min="15342" max="15342" width="13.42578125" style="2" bestFit="1" customWidth="1"/>
    <col min="15343" max="15343" width="9.140625" style="2"/>
    <col min="15344" max="15344" width="15.140625" style="2" bestFit="1" customWidth="1"/>
    <col min="15345" max="15345" width="9.140625" style="2"/>
    <col min="15346" max="15346" width="10.85546875" style="2" bestFit="1" customWidth="1"/>
    <col min="15347" max="15347" width="12.7109375" style="2" bestFit="1" customWidth="1"/>
    <col min="15348" max="15596" width="9.140625" style="2"/>
    <col min="15597" max="15597" width="28.5703125" style="2" bestFit="1" customWidth="1"/>
    <col min="15598" max="15598" width="13.42578125" style="2" bestFit="1" customWidth="1"/>
    <col min="15599" max="15599" width="9.140625" style="2"/>
    <col min="15600" max="15600" width="15.140625" style="2" bestFit="1" customWidth="1"/>
    <col min="15601" max="15601" width="9.140625" style="2"/>
    <col min="15602" max="15602" width="10.85546875" style="2" bestFit="1" customWidth="1"/>
    <col min="15603" max="15603" width="12.7109375" style="2" bestFit="1" customWidth="1"/>
    <col min="15604" max="15852" width="9.140625" style="2"/>
    <col min="15853" max="15853" width="28.5703125" style="2" bestFit="1" customWidth="1"/>
    <col min="15854" max="15854" width="13.42578125" style="2" bestFit="1" customWidth="1"/>
    <col min="15855" max="15855" width="9.140625" style="2"/>
    <col min="15856" max="15856" width="15.140625" style="2" bestFit="1" customWidth="1"/>
    <col min="15857" max="15857" width="9.140625" style="2"/>
    <col min="15858" max="15858" width="10.85546875" style="2" bestFit="1" customWidth="1"/>
    <col min="15859" max="15859" width="12.7109375" style="2" bestFit="1" customWidth="1"/>
    <col min="15860" max="16108" width="9.140625" style="2"/>
    <col min="16109" max="16109" width="28.5703125" style="2" bestFit="1" customWidth="1"/>
    <col min="16110" max="16110" width="13.42578125" style="2" bestFit="1" customWidth="1"/>
    <col min="16111" max="16111" width="9.140625" style="2"/>
    <col min="16112" max="16112" width="15.140625" style="2" bestFit="1" customWidth="1"/>
    <col min="16113" max="16113" width="9.140625" style="2"/>
    <col min="16114" max="16114" width="10.85546875" style="2" bestFit="1" customWidth="1"/>
    <col min="16115" max="16115" width="12.7109375" style="2" bestFit="1" customWidth="1"/>
    <col min="16116" max="16384" width="9.140625" style="2"/>
  </cols>
  <sheetData>
    <row r="1" spans="1:10" x14ac:dyDescent="0.2">
      <c r="A1" s="366" t="s">
        <v>746</v>
      </c>
      <c r="B1" s="367"/>
      <c r="C1" s="368"/>
    </row>
    <row r="2" spans="1:10" ht="12" thickBot="1" x14ac:dyDescent="0.25">
      <c r="A2" s="369"/>
      <c r="B2" s="370"/>
      <c r="C2" s="371"/>
    </row>
    <row r="3" spans="1:10" x14ac:dyDescent="0.2">
      <c r="A3" s="372" t="s">
        <v>614</v>
      </c>
      <c r="B3" s="372"/>
      <c r="C3" s="372"/>
    </row>
    <row r="4" spans="1:10" ht="12" thickBot="1" x14ac:dyDescent="0.25">
      <c r="A4" s="54"/>
      <c r="B4" s="54"/>
      <c r="C4" s="54"/>
    </row>
    <row r="5" spans="1:10" ht="12" thickBot="1" x14ac:dyDescent="0.25">
      <c r="A5" s="2" t="s">
        <v>48</v>
      </c>
      <c r="B5" s="146">
        <f>'Ratio Analysis_Conso'!C132</f>
        <v>526</v>
      </c>
      <c r="C5" s="6" t="s">
        <v>925</v>
      </c>
      <c r="D5" s="6"/>
    </row>
    <row r="6" spans="1:10" ht="12" thickBot="1" x14ac:dyDescent="0.25">
      <c r="D6" s="6"/>
    </row>
    <row r="7" spans="1:10" ht="12" thickBot="1" x14ac:dyDescent="0.25">
      <c r="A7" s="56" t="s">
        <v>49</v>
      </c>
      <c r="B7" s="57" t="s">
        <v>50</v>
      </c>
      <c r="C7" s="58" t="s">
        <v>51</v>
      </c>
      <c r="D7" s="276"/>
    </row>
    <row r="8" spans="1:10" ht="12" customHeight="1" thickBot="1" x14ac:dyDescent="0.25">
      <c r="A8" s="2" t="s">
        <v>52</v>
      </c>
      <c r="B8" s="60">
        <v>0.35</v>
      </c>
      <c r="C8" s="60">
        <v>0.25</v>
      </c>
      <c r="D8" s="277"/>
      <c r="F8" s="6"/>
    </row>
    <row r="9" spans="1:10" ht="12" thickBot="1" x14ac:dyDescent="0.25">
      <c r="A9" s="2" t="s">
        <v>53</v>
      </c>
      <c r="B9" s="62">
        <v>0.15</v>
      </c>
      <c r="C9" s="63"/>
      <c r="D9" s="6"/>
    </row>
    <row r="10" spans="1:10" ht="12" thickBot="1" x14ac:dyDescent="0.25">
      <c r="A10" s="2" t="s">
        <v>54</v>
      </c>
      <c r="B10" s="193">
        <v>0.04</v>
      </c>
      <c r="C10" s="63"/>
      <c r="D10" s="6"/>
    </row>
    <row r="11" spans="1:10" ht="12" thickBot="1" x14ac:dyDescent="0.25">
      <c r="B11" s="64"/>
      <c r="C11" s="63"/>
      <c r="D11" s="15"/>
    </row>
    <row r="12" spans="1:10" ht="12" thickBot="1" x14ac:dyDescent="0.25">
      <c r="A12" s="2" t="s">
        <v>648</v>
      </c>
      <c r="B12" s="300">
        <f>Financials_Standalone!B117/10000000</f>
        <v>14.066000000000001</v>
      </c>
      <c r="C12" s="63"/>
      <c r="E12" s="6"/>
      <c r="J12" s="6"/>
    </row>
    <row r="13" spans="1:10" ht="12" thickBot="1" x14ac:dyDescent="0.25">
      <c r="A13" s="65" t="s">
        <v>55</v>
      </c>
      <c r="B13" s="146">
        <f>(Financials_Consol!B15+Financials_Consol!B21-Financials_Consol!B45)</f>
        <v>-115.03999999999996</v>
      </c>
      <c r="C13" s="63"/>
      <c r="D13" s="66"/>
    </row>
    <row r="14" spans="1:10" ht="12" thickBot="1" x14ac:dyDescent="0.25">
      <c r="E14" s="6"/>
    </row>
    <row r="15" spans="1:10" ht="12" thickBot="1" x14ac:dyDescent="0.25">
      <c r="A15" s="373" t="s">
        <v>56</v>
      </c>
      <c r="B15" s="374"/>
      <c r="C15" s="374"/>
      <c r="D15" s="375"/>
      <c r="F15" s="376" t="s">
        <v>57</v>
      </c>
      <c r="G15" s="377"/>
    </row>
    <row r="16" spans="1:10" x14ac:dyDescent="0.2">
      <c r="A16" s="67" t="s">
        <v>58</v>
      </c>
      <c r="B16" s="68" t="s">
        <v>59</v>
      </c>
      <c r="C16" s="68" t="s">
        <v>60</v>
      </c>
      <c r="D16" s="69" t="s">
        <v>61</v>
      </c>
      <c r="F16" s="70" t="s">
        <v>62</v>
      </c>
      <c r="G16" s="147">
        <f>(B26*B10)+B26</f>
        <v>7485.7960560607899</v>
      </c>
    </row>
    <row r="17" spans="1:12" x14ac:dyDescent="0.2">
      <c r="A17" s="71">
        <v>1</v>
      </c>
      <c r="B17" s="149">
        <f>(B5*C17)+B5</f>
        <v>710.1</v>
      </c>
      <c r="C17" s="72">
        <f>$B$8</f>
        <v>0.35</v>
      </c>
      <c r="D17" s="147">
        <f>B17/((1+$B$9)^A17)</f>
        <v>617.47826086956525</v>
      </c>
      <c r="F17" s="73" t="s">
        <v>63</v>
      </c>
      <c r="G17" s="147">
        <f>SUM(D17:D26)</f>
        <v>11946.885134229879</v>
      </c>
    </row>
    <row r="18" spans="1:12" x14ac:dyDescent="0.2">
      <c r="A18" s="71">
        <v>2</v>
      </c>
      <c r="B18" s="149">
        <f t="shared" ref="B18:B26" si="0">(B17*C18)+B17</f>
        <v>958.63499999999999</v>
      </c>
      <c r="C18" s="72">
        <f t="shared" ref="C18:C21" si="1">$B$8</f>
        <v>0.35</v>
      </c>
      <c r="D18" s="147">
        <f t="shared" ref="D18:D26" si="2">B18/((1+$B$9)^A18)</f>
        <v>724.86578449905494</v>
      </c>
      <c r="F18" s="70" t="s">
        <v>64</v>
      </c>
      <c r="G18" s="147">
        <f>((G16)/($B$9-$B$10))/(1+$B$9)^A26</f>
        <v>16821.584529141903</v>
      </c>
    </row>
    <row r="19" spans="1:12" x14ac:dyDescent="0.2">
      <c r="A19" s="71">
        <v>3</v>
      </c>
      <c r="B19" s="149">
        <f t="shared" si="0"/>
        <v>1294.15725</v>
      </c>
      <c r="C19" s="72">
        <f t="shared" si="1"/>
        <v>0.35</v>
      </c>
      <c r="D19" s="147">
        <f t="shared" si="2"/>
        <v>850.92939919454284</v>
      </c>
      <c r="F19" s="70" t="s">
        <v>65</v>
      </c>
      <c r="G19" s="147">
        <f>G17+G18</f>
        <v>28768.469663371783</v>
      </c>
    </row>
    <row r="20" spans="1:12" x14ac:dyDescent="0.2">
      <c r="A20" s="71">
        <v>4</v>
      </c>
      <c r="B20" s="149">
        <f t="shared" si="0"/>
        <v>1747.1122874999999</v>
      </c>
      <c r="C20" s="72">
        <f t="shared" si="1"/>
        <v>0.35</v>
      </c>
      <c r="D20" s="147">
        <f t="shared" si="2"/>
        <v>998.91712079359377</v>
      </c>
      <c r="F20" s="70" t="s">
        <v>66</v>
      </c>
      <c r="G20" s="147">
        <f>B12</f>
        <v>14.066000000000001</v>
      </c>
    </row>
    <row r="21" spans="1:12" ht="12" thickBot="1" x14ac:dyDescent="0.25">
      <c r="A21" s="71">
        <v>5</v>
      </c>
      <c r="B21" s="149">
        <f t="shared" si="0"/>
        <v>2358.6015881249996</v>
      </c>
      <c r="C21" s="72">
        <f t="shared" si="1"/>
        <v>0.35</v>
      </c>
      <c r="D21" s="147">
        <f t="shared" si="2"/>
        <v>1172.6418374533491</v>
      </c>
      <c r="F21" s="74" t="s">
        <v>67</v>
      </c>
      <c r="G21" s="75">
        <f>(G19-B13)/G20</f>
        <v>2053.4273896894483</v>
      </c>
    </row>
    <row r="22" spans="1:12" x14ac:dyDescent="0.2">
      <c r="A22" s="71">
        <v>6</v>
      </c>
      <c r="B22" s="149">
        <f t="shared" si="0"/>
        <v>2948.2519851562492</v>
      </c>
      <c r="C22" s="72">
        <f>$C$8</f>
        <v>0.25</v>
      </c>
      <c r="D22" s="147">
        <f t="shared" si="2"/>
        <v>1274.610692884075</v>
      </c>
      <c r="F22" s="2" t="s">
        <v>610</v>
      </c>
      <c r="G22" s="2">
        <v>492</v>
      </c>
      <c r="H22" s="2" t="s">
        <v>924</v>
      </c>
    </row>
    <row r="23" spans="1:12" x14ac:dyDescent="0.2">
      <c r="A23" s="71">
        <v>7</v>
      </c>
      <c r="B23" s="149">
        <f>(B22*C23)+B22</f>
        <v>3685.3149814453118</v>
      </c>
      <c r="C23" s="72">
        <f t="shared" ref="C23:C26" si="3">$C$8</f>
        <v>0.25</v>
      </c>
      <c r="D23" s="147">
        <f t="shared" si="2"/>
        <v>1385.4464053087777</v>
      </c>
      <c r="F23" s="2" t="s">
        <v>874</v>
      </c>
      <c r="G23" s="6">
        <f>G22*G20</f>
        <v>6920.4720000000007</v>
      </c>
    </row>
    <row r="24" spans="1:12" x14ac:dyDescent="0.2">
      <c r="A24" s="71">
        <v>8</v>
      </c>
      <c r="B24" s="149">
        <f t="shared" si="0"/>
        <v>4606.6437268066402</v>
      </c>
      <c r="C24" s="72">
        <f t="shared" si="3"/>
        <v>0.25</v>
      </c>
      <c r="D24" s="147">
        <f t="shared" si="2"/>
        <v>1505.9200057704109</v>
      </c>
      <c r="G24" s="15">
        <f>G22/G21</f>
        <v>0.23959941435981721</v>
      </c>
    </row>
    <row r="25" spans="1:12" x14ac:dyDescent="0.2">
      <c r="A25" s="71">
        <v>9</v>
      </c>
      <c r="B25" s="149">
        <f t="shared" si="0"/>
        <v>5758.3046585083002</v>
      </c>
      <c r="C25" s="72">
        <f t="shared" si="3"/>
        <v>0.25</v>
      </c>
      <c r="D25" s="147">
        <f t="shared" si="2"/>
        <v>1636.8695714895771</v>
      </c>
    </row>
    <row r="26" spans="1:12" ht="12" thickBot="1" x14ac:dyDescent="0.25">
      <c r="A26" s="76">
        <v>10</v>
      </c>
      <c r="B26" s="150">
        <f t="shared" si="0"/>
        <v>7197.8808231353751</v>
      </c>
      <c r="C26" s="197">
        <f t="shared" si="3"/>
        <v>0.25</v>
      </c>
      <c r="D26" s="148">
        <f t="shared" si="2"/>
        <v>1779.2060559669317</v>
      </c>
      <c r="J26" s="194"/>
    </row>
    <row r="27" spans="1:12" x14ac:dyDescent="0.2">
      <c r="A27" s="77"/>
      <c r="B27" s="78"/>
      <c r="C27" s="79"/>
      <c r="D27" s="80"/>
      <c r="J27" s="194"/>
      <c r="K27" s="194"/>
      <c r="L27" s="194"/>
    </row>
    <row r="28" spans="1:12" x14ac:dyDescent="0.2">
      <c r="C28" s="79"/>
      <c r="D28" s="80"/>
      <c r="J28" s="194"/>
    </row>
    <row r="29" spans="1:12" x14ac:dyDescent="0.2">
      <c r="C29" s="79"/>
      <c r="D29" s="78"/>
      <c r="J29" s="194"/>
    </row>
    <row r="30" spans="1:12" x14ac:dyDescent="0.2">
      <c r="C30" s="65"/>
    </row>
    <row r="31" spans="1:12" x14ac:dyDescent="0.2">
      <c r="C31" s="65"/>
    </row>
    <row r="32" spans="1:12" x14ac:dyDescent="0.2">
      <c r="C32" s="65"/>
    </row>
    <row r="33" spans="1:4" x14ac:dyDescent="0.2">
      <c r="C33" s="65"/>
    </row>
    <row r="34" spans="1:4" x14ac:dyDescent="0.2">
      <c r="C34" s="65"/>
    </row>
    <row r="36" spans="1:4" x14ac:dyDescent="0.2">
      <c r="A36" s="81"/>
      <c r="D36" s="66"/>
    </row>
    <row r="38" spans="1:4" x14ac:dyDescent="0.2">
      <c r="A38" s="82"/>
      <c r="D38" s="83"/>
    </row>
    <row r="39" spans="1:4" x14ac:dyDescent="0.2">
      <c r="A39" s="84"/>
    </row>
  </sheetData>
  <mergeCells count="4">
    <mergeCell ref="A1:C2"/>
    <mergeCell ref="A3:C3"/>
    <mergeCell ref="A15:D15"/>
    <mergeCell ref="F15:G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9"/>
  <sheetViews>
    <sheetView workbookViewId="0">
      <selection sqref="A1:C2"/>
    </sheetView>
  </sheetViews>
  <sheetFormatPr defaultRowHeight="11.25" x14ac:dyDescent="0.2"/>
  <cols>
    <col min="1" max="1" width="30.140625" style="2" bestFit="1" customWidth="1"/>
    <col min="2" max="2" width="16" style="2" bestFit="1" customWidth="1"/>
    <col min="3" max="3" width="15.7109375" style="2" customWidth="1"/>
    <col min="4" max="4" width="16.5703125" style="2" bestFit="1" customWidth="1"/>
    <col min="5" max="5" width="5.85546875" style="2" bestFit="1" customWidth="1"/>
    <col min="6" max="6" width="41" style="2" bestFit="1" customWidth="1"/>
    <col min="7" max="7" width="11.5703125" style="2" bestFit="1" customWidth="1"/>
    <col min="8" max="8" width="9.140625" style="2"/>
    <col min="9" max="9" width="9.140625" style="66"/>
    <col min="10" max="10" width="10.28515625" style="2" bestFit="1" customWidth="1"/>
    <col min="11" max="11" width="10.140625" style="2" bestFit="1" customWidth="1"/>
    <col min="12" max="236" width="9.140625" style="2"/>
    <col min="237" max="237" width="28.5703125" style="2" bestFit="1" customWidth="1"/>
    <col min="238" max="238" width="13.42578125" style="2" bestFit="1" customWidth="1"/>
    <col min="239" max="239" width="9.140625" style="2"/>
    <col min="240" max="240" width="15.140625" style="2" bestFit="1" customWidth="1"/>
    <col min="241" max="241" width="9.140625" style="2"/>
    <col min="242" max="242" width="10.85546875" style="2" bestFit="1" customWidth="1"/>
    <col min="243" max="243" width="12.7109375" style="2" bestFit="1" customWidth="1"/>
    <col min="244" max="492" width="9.140625" style="2"/>
    <col min="493" max="493" width="28.5703125" style="2" bestFit="1" customWidth="1"/>
    <col min="494" max="494" width="13.42578125" style="2" bestFit="1" customWidth="1"/>
    <col min="495" max="495" width="9.140625" style="2"/>
    <col min="496" max="496" width="15.140625" style="2" bestFit="1" customWidth="1"/>
    <col min="497" max="497" width="9.140625" style="2"/>
    <col min="498" max="498" width="10.85546875" style="2" bestFit="1" customWidth="1"/>
    <col min="499" max="499" width="12.7109375" style="2" bestFit="1" customWidth="1"/>
    <col min="500" max="748" width="9.140625" style="2"/>
    <col min="749" max="749" width="28.5703125" style="2" bestFit="1" customWidth="1"/>
    <col min="750" max="750" width="13.42578125" style="2" bestFit="1" customWidth="1"/>
    <col min="751" max="751" width="9.140625" style="2"/>
    <col min="752" max="752" width="15.140625" style="2" bestFit="1" customWidth="1"/>
    <col min="753" max="753" width="9.140625" style="2"/>
    <col min="754" max="754" width="10.85546875" style="2" bestFit="1" customWidth="1"/>
    <col min="755" max="755" width="12.7109375" style="2" bestFit="1" customWidth="1"/>
    <col min="756" max="1004" width="9.140625" style="2"/>
    <col min="1005" max="1005" width="28.5703125" style="2" bestFit="1" customWidth="1"/>
    <col min="1006" max="1006" width="13.42578125" style="2" bestFit="1" customWidth="1"/>
    <col min="1007" max="1007" width="9.140625" style="2"/>
    <col min="1008" max="1008" width="15.140625" style="2" bestFit="1" customWidth="1"/>
    <col min="1009" max="1009" width="9.140625" style="2"/>
    <col min="1010" max="1010" width="10.85546875" style="2" bestFit="1" customWidth="1"/>
    <col min="1011" max="1011" width="12.7109375" style="2" bestFit="1" customWidth="1"/>
    <col min="1012" max="1260" width="9.140625" style="2"/>
    <col min="1261" max="1261" width="28.5703125" style="2" bestFit="1" customWidth="1"/>
    <col min="1262" max="1262" width="13.42578125" style="2" bestFit="1" customWidth="1"/>
    <col min="1263" max="1263" width="9.140625" style="2"/>
    <col min="1264" max="1264" width="15.140625" style="2" bestFit="1" customWidth="1"/>
    <col min="1265" max="1265" width="9.140625" style="2"/>
    <col min="1266" max="1266" width="10.85546875" style="2" bestFit="1" customWidth="1"/>
    <col min="1267" max="1267" width="12.7109375" style="2" bestFit="1" customWidth="1"/>
    <col min="1268" max="1516" width="9.140625" style="2"/>
    <col min="1517" max="1517" width="28.5703125" style="2" bestFit="1" customWidth="1"/>
    <col min="1518" max="1518" width="13.42578125" style="2" bestFit="1" customWidth="1"/>
    <col min="1519" max="1519" width="9.140625" style="2"/>
    <col min="1520" max="1520" width="15.140625" style="2" bestFit="1" customWidth="1"/>
    <col min="1521" max="1521" width="9.140625" style="2"/>
    <col min="1522" max="1522" width="10.85546875" style="2" bestFit="1" customWidth="1"/>
    <col min="1523" max="1523" width="12.7109375" style="2" bestFit="1" customWidth="1"/>
    <col min="1524" max="1772" width="9.140625" style="2"/>
    <col min="1773" max="1773" width="28.5703125" style="2" bestFit="1" customWidth="1"/>
    <col min="1774" max="1774" width="13.42578125" style="2" bestFit="1" customWidth="1"/>
    <col min="1775" max="1775" width="9.140625" style="2"/>
    <col min="1776" max="1776" width="15.140625" style="2" bestFit="1" customWidth="1"/>
    <col min="1777" max="1777" width="9.140625" style="2"/>
    <col min="1778" max="1778" width="10.85546875" style="2" bestFit="1" customWidth="1"/>
    <col min="1779" max="1779" width="12.7109375" style="2" bestFit="1" customWidth="1"/>
    <col min="1780" max="2028" width="9.140625" style="2"/>
    <col min="2029" max="2029" width="28.5703125" style="2" bestFit="1" customWidth="1"/>
    <col min="2030" max="2030" width="13.42578125" style="2" bestFit="1" customWidth="1"/>
    <col min="2031" max="2031" width="9.140625" style="2"/>
    <col min="2032" max="2032" width="15.140625" style="2" bestFit="1" customWidth="1"/>
    <col min="2033" max="2033" width="9.140625" style="2"/>
    <col min="2034" max="2034" width="10.85546875" style="2" bestFit="1" customWidth="1"/>
    <col min="2035" max="2035" width="12.7109375" style="2" bestFit="1" customWidth="1"/>
    <col min="2036" max="2284" width="9.140625" style="2"/>
    <col min="2285" max="2285" width="28.5703125" style="2" bestFit="1" customWidth="1"/>
    <col min="2286" max="2286" width="13.42578125" style="2" bestFit="1" customWidth="1"/>
    <col min="2287" max="2287" width="9.140625" style="2"/>
    <col min="2288" max="2288" width="15.140625" style="2" bestFit="1" customWidth="1"/>
    <col min="2289" max="2289" width="9.140625" style="2"/>
    <col min="2290" max="2290" width="10.85546875" style="2" bestFit="1" customWidth="1"/>
    <col min="2291" max="2291" width="12.7109375" style="2" bestFit="1" customWidth="1"/>
    <col min="2292" max="2540" width="9.140625" style="2"/>
    <col min="2541" max="2541" width="28.5703125" style="2" bestFit="1" customWidth="1"/>
    <col min="2542" max="2542" width="13.42578125" style="2" bestFit="1" customWidth="1"/>
    <col min="2543" max="2543" width="9.140625" style="2"/>
    <col min="2544" max="2544" width="15.140625" style="2" bestFit="1" customWidth="1"/>
    <col min="2545" max="2545" width="9.140625" style="2"/>
    <col min="2546" max="2546" width="10.85546875" style="2" bestFit="1" customWidth="1"/>
    <col min="2547" max="2547" width="12.7109375" style="2" bestFit="1" customWidth="1"/>
    <col min="2548" max="2796" width="9.140625" style="2"/>
    <col min="2797" max="2797" width="28.5703125" style="2" bestFit="1" customWidth="1"/>
    <col min="2798" max="2798" width="13.42578125" style="2" bestFit="1" customWidth="1"/>
    <col min="2799" max="2799" width="9.140625" style="2"/>
    <col min="2800" max="2800" width="15.140625" style="2" bestFit="1" customWidth="1"/>
    <col min="2801" max="2801" width="9.140625" style="2"/>
    <col min="2802" max="2802" width="10.85546875" style="2" bestFit="1" customWidth="1"/>
    <col min="2803" max="2803" width="12.7109375" style="2" bestFit="1" customWidth="1"/>
    <col min="2804" max="3052" width="9.140625" style="2"/>
    <col min="3053" max="3053" width="28.5703125" style="2" bestFit="1" customWidth="1"/>
    <col min="3054" max="3054" width="13.42578125" style="2" bestFit="1" customWidth="1"/>
    <col min="3055" max="3055" width="9.140625" style="2"/>
    <col min="3056" max="3056" width="15.140625" style="2" bestFit="1" customWidth="1"/>
    <col min="3057" max="3057" width="9.140625" style="2"/>
    <col min="3058" max="3058" width="10.85546875" style="2" bestFit="1" customWidth="1"/>
    <col min="3059" max="3059" width="12.7109375" style="2" bestFit="1" customWidth="1"/>
    <col min="3060" max="3308" width="9.140625" style="2"/>
    <col min="3309" max="3309" width="28.5703125" style="2" bestFit="1" customWidth="1"/>
    <col min="3310" max="3310" width="13.42578125" style="2" bestFit="1" customWidth="1"/>
    <col min="3311" max="3311" width="9.140625" style="2"/>
    <col min="3312" max="3312" width="15.140625" style="2" bestFit="1" customWidth="1"/>
    <col min="3313" max="3313" width="9.140625" style="2"/>
    <col min="3314" max="3314" width="10.85546875" style="2" bestFit="1" customWidth="1"/>
    <col min="3315" max="3315" width="12.7109375" style="2" bestFit="1" customWidth="1"/>
    <col min="3316" max="3564" width="9.140625" style="2"/>
    <col min="3565" max="3565" width="28.5703125" style="2" bestFit="1" customWidth="1"/>
    <col min="3566" max="3566" width="13.42578125" style="2" bestFit="1" customWidth="1"/>
    <col min="3567" max="3567" width="9.140625" style="2"/>
    <col min="3568" max="3568" width="15.140625" style="2" bestFit="1" customWidth="1"/>
    <col min="3569" max="3569" width="9.140625" style="2"/>
    <col min="3570" max="3570" width="10.85546875" style="2" bestFit="1" customWidth="1"/>
    <col min="3571" max="3571" width="12.7109375" style="2" bestFit="1" customWidth="1"/>
    <col min="3572" max="3820" width="9.140625" style="2"/>
    <col min="3821" max="3821" width="28.5703125" style="2" bestFit="1" customWidth="1"/>
    <col min="3822" max="3822" width="13.42578125" style="2" bestFit="1" customWidth="1"/>
    <col min="3823" max="3823" width="9.140625" style="2"/>
    <col min="3824" max="3824" width="15.140625" style="2" bestFit="1" customWidth="1"/>
    <col min="3825" max="3825" width="9.140625" style="2"/>
    <col min="3826" max="3826" width="10.85546875" style="2" bestFit="1" customWidth="1"/>
    <col min="3827" max="3827" width="12.7109375" style="2" bestFit="1" customWidth="1"/>
    <col min="3828" max="4076" width="9.140625" style="2"/>
    <col min="4077" max="4077" width="28.5703125" style="2" bestFit="1" customWidth="1"/>
    <col min="4078" max="4078" width="13.42578125" style="2" bestFit="1" customWidth="1"/>
    <col min="4079" max="4079" width="9.140625" style="2"/>
    <col min="4080" max="4080" width="15.140625" style="2" bestFit="1" customWidth="1"/>
    <col min="4081" max="4081" width="9.140625" style="2"/>
    <col min="4082" max="4082" width="10.85546875" style="2" bestFit="1" customWidth="1"/>
    <col min="4083" max="4083" width="12.7109375" style="2" bestFit="1" customWidth="1"/>
    <col min="4084" max="4332" width="9.140625" style="2"/>
    <col min="4333" max="4333" width="28.5703125" style="2" bestFit="1" customWidth="1"/>
    <col min="4334" max="4334" width="13.42578125" style="2" bestFit="1" customWidth="1"/>
    <col min="4335" max="4335" width="9.140625" style="2"/>
    <col min="4336" max="4336" width="15.140625" style="2" bestFit="1" customWidth="1"/>
    <col min="4337" max="4337" width="9.140625" style="2"/>
    <col min="4338" max="4338" width="10.85546875" style="2" bestFit="1" customWidth="1"/>
    <col min="4339" max="4339" width="12.7109375" style="2" bestFit="1" customWidth="1"/>
    <col min="4340" max="4588" width="9.140625" style="2"/>
    <col min="4589" max="4589" width="28.5703125" style="2" bestFit="1" customWidth="1"/>
    <col min="4590" max="4590" width="13.42578125" style="2" bestFit="1" customWidth="1"/>
    <col min="4591" max="4591" width="9.140625" style="2"/>
    <col min="4592" max="4592" width="15.140625" style="2" bestFit="1" customWidth="1"/>
    <col min="4593" max="4593" width="9.140625" style="2"/>
    <col min="4594" max="4594" width="10.85546875" style="2" bestFit="1" customWidth="1"/>
    <col min="4595" max="4595" width="12.7109375" style="2" bestFit="1" customWidth="1"/>
    <col min="4596" max="4844" width="9.140625" style="2"/>
    <col min="4845" max="4845" width="28.5703125" style="2" bestFit="1" customWidth="1"/>
    <col min="4846" max="4846" width="13.42578125" style="2" bestFit="1" customWidth="1"/>
    <col min="4847" max="4847" width="9.140625" style="2"/>
    <col min="4848" max="4848" width="15.140625" style="2" bestFit="1" customWidth="1"/>
    <col min="4849" max="4849" width="9.140625" style="2"/>
    <col min="4850" max="4850" width="10.85546875" style="2" bestFit="1" customWidth="1"/>
    <col min="4851" max="4851" width="12.7109375" style="2" bestFit="1" customWidth="1"/>
    <col min="4852" max="5100" width="9.140625" style="2"/>
    <col min="5101" max="5101" width="28.5703125" style="2" bestFit="1" customWidth="1"/>
    <col min="5102" max="5102" width="13.42578125" style="2" bestFit="1" customWidth="1"/>
    <col min="5103" max="5103" width="9.140625" style="2"/>
    <col min="5104" max="5104" width="15.140625" style="2" bestFit="1" customWidth="1"/>
    <col min="5105" max="5105" width="9.140625" style="2"/>
    <col min="5106" max="5106" width="10.85546875" style="2" bestFit="1" customWidth="1"/>
    <col min="5107" max="5107" width="12.7109375" style="2" bestFit="1" customWidth="1"/>
    <col min="5108" max="5356" width="9.140625" style="2"/>
    <col min="5357" max="5357" width="28.5703125" style="2" bestFit="1" customWidth="1"/>
    <col min="5358" max="5358" width="13.42578125" style="2" bestFit="1" customWidth="1"/>
    <col min="5359" max="5359" width="9.140625" style="2"/>
    <col min="5360" max="5360" width="15.140625" style="2" bestFit="1" customWidth="1"/>
    <col min="5361" max="5361" width="9.140625" style="2"/>
    <col min="5362" max="5362" width="10.85546875" style="2" bestFit="1" customWidth="1"/>
    <col min="5363" max="5363" width="12.7109375" style="2" bestFit="1" customWidth="1"/>
    <col min="5364" max="5612" width="9.140625" style="2"/>
    <col min="5613" max="5613" width="28.5703125" style="2" bestFit="1" customWidth="1"/>
    <col min="5614" max="5614" width="13.42578125" style="2" bestFit="1" customWidth="1"/>
    <col min="5615" max="5615" width="9.140625" style="2"/>
    <col min="5616" max="5616" width="15.140625" style="2" bestFit="1" customWidth="1"/>
    <col min="5617" max="5617" width="9.140625" style="2"/>
    <col min="5618" max="5618" width="10.85546875" style="2" bestFit="1" customWidth="1"/>
    <col min="5619" max="5619" width="12.7109375" style="2" bestFit="1" customWidth="1"/>
    <col min="5620" max="5868" width="9.140625" style="2"/>
    <col min="5869" max="5869" width="28.5703125" style="2" bestFit="1" customWidth="1"/>
    <col min="5870" max="5870" width="13.42578125" style="2" bestFit="1" customWidth="1"/>
    <col min="5871" max="5871" width="9.140625" style="2"/>
    <col min="5872" max="5872" width="15.140625" style="2" bestFit="1" customWidth="1"/>
    <col min="5873" max="5873" width="9.140625" style="2"/>
    <col min="5874" max="5874" width="10.85546875" style="2" bestFit="1" customWidth="1"/>
    <col min="5875" max="5875" width="12.7109375" style="2" bestFit="1" customWidth="1"/>
    <col min="5876" max="6124" width="9.140625" style="2"/>
    <col min="6125" max="6125" width="28.5703125" style="2" bestFit="1" customWidth="1"/>
    <col min="6126" max="6126" width="13.42578125" style="2" bestFit="1" customWidth="1"/>
    <col min="6127" max="6127" width="9.140625" style="2"/>
    <col min="6128" max="6128" width="15.140625" style="2" bestFit="1" customWidth="1"/>
    <col min="6129" max="6129" width="9.140625" style="2"/>
    <col min="6130" max="6130" width="10.85546875" style="2" bestFit="1" customWidth="1"/>
    <col min="6131" max="6131" width="12.7109375" style="2" bestFit="1" customWidth="1"/>
    <col min="6132" max="6380" width="9.140625" style="2"/>
    <col min="6381" max="6381" width="28.5703125" style="2" bestFit="1" customWidth="1"/>
    <col min="6382" max="6382" width="13.42578125" style="2" bestFit="1" customWidth="1"/>
    <col min="6383" max="6383" width="9.140625" style="2"/>
    <col min="6384" max="6384" width="15.140625" style="2" bestFit="1" customWidth="1"/>
    <col min="6385" max="6385" width="9.140625" style="2"/>
    <col min="6386" max="6386" width="10.85546875" style="2" bestFit="1" customWidth="1"/>
    <col min="6387" max="6387" width="12.7109375" style="2" bestFit="1" customWidth="1"/>
    <col min="6388" max="6636" width="9.140625" style="2"/>
    <col min="6637" max="6637" width="28.5703125" style="2" bestFit="1" customWidth="1"/>
    <col min="6638" max="6638" width="13.42578125" style="2" bestFit="1" customWidth="1"/>
    <col min="6639" max="6639" width="9.140625" style="2"/>
    <col min="6640" max="6640" width="15.140625" style="2" bestFit="1" customWidth="1"/>
    <col min="6641" max="6641" width="9.140625" style="2"/>
    <col min="6642" max="6642" width="10.85546875" style="2" bestFit="1" customWidth="1"/>
    <col min="6643" max="6643" width="12.7109375" style="2" bestFit="1" customWidth="1"/>
    <col min="6644" max="6892" width="9.140625" style="2"/>
    <col min="6893" max="6893" width="28.5703125" style="2" bestFit="1" customWidth="1"/>
    <col min="6894" max="6894" width="13.42578125" style="2" bestFit="1" customWidth="1"/>
    <col min="6895" max="6895" width="9.140625" style="2"/>
    <col min="6896" max="6896" width="15.140625" style="2" bestFit="1" customWidth="1"/>
    <col min="6897" max="6897" width="9.140625" style="2"/>
    <col min="6898" max="6898" width="10.85546875" style="2" bestFit="1" customWidth="1"/>
    <col min="6899" max="6899" width="12.7109375" style="2" bestFit="1" customWidth="1"/>
    <col min="6900" max="7148" width="9.140625" style="2"/>
    <col min="7149" max="7149" width="28.5703125" style="2" bestFit="1" customWidth="1"/>
    <col min="7150" max="7150" width="13.42578125" style="2" bestFit="1" customWidth="1"/>
    <col min="7151" max="7151" width="9.140625" style="2"/>
    <col min="7152" max="7152" width="15.140625" style="2" bestFit="1" customWidth="1"/>
    <col min="7153" max="7153" width="9.140625" style="2"/>
    <col min="7154" max="7154" width="10.85546875" style="2" bestFit="1" customWidth="1"/>
    <col min="7155" max="7155" width="12.7109375" style="2" bestFit="1" customWidth="1"/>
    <col min="7156" max="7404" width="9.140625" style="2"/>
    <col min="7405" max="7405" width="28.5703125" style="2" bestFit="1" customWidth="1"/>
    <col min="7406" max="7406" width="13.42578125" style="2" bestFit="1" customWidth="1"/>
    <col min="7407" max="7407" width="9.140625" style="2"/>
    <col min="7408" max="7408" width="15.140625" style="2" bestFit="1" customWidth="1"/>
    <col min="7409" max="7409" width="9.140625" style="2"/>
    <col min="7410" max="7410" width="10.85546875" style="2" bestFit="1" customWidth="1"/>
    <col min="7411" max="7411" width="12.7109375" style="2" bestFit="1" customWidth="1"/>
    <col min="7412" max="7660" width="9.140625" style="2"/>
    <col min="7661" max="7661" width="28.5703125" style="2" bestFit="1" customWidth="1"/>
    <col min="7662" max="7662" width="13.42578125" style="2" bestFit="1" customWidth="1"/>
    <col min="7663" max="7663" width="9.140625" style="2"/>
    <col min="7664" max="7664" width="15.140625" style="2" bestFit="1" customWidth="1"/>
    <col min="7665" max="7665" width="9.140625" style="2"/>
    <col min="7666" max="7666" width="10.85546875" style="2" bestFit="1" customWidth="1"/>
    <col min="7667" max="7667" width="12.7109375" style="2" bestFit="1" customWidth="1"/>
    <col min="7668" max="7916" width="9.140625" style="2"/>
    <col min="7917" max="7917" width="28.5703125" style="2" bestFit="1" customWidth="1"/>
    <col min="7918" max="7918" width="13.42578125" style="2" bestFit="1" customWidth="1"/>
    <col min="7919" max="7919" width="9.140625" style="2"/>
    <col min="7920" max="7920" width="15.140625" style="2" bestFit="1" customWidth="1"/>
    <col min="7921" max="7921" width="9.140625" style="2"/>
    <col min="7922" max="7922" width="10.85546875" style="2" bestFit="1" customWidth="1"/>
    <col min="7923" max="7923" width="12.7109375" style="2" bestFit="1" customWidth="1"/>
    <col min="7924" max="8172" width="9.140625" style="2"/>
    <col min="8173" max="8173" width="28.5703125" style="2" bestFit="1" customWidth="1"/>
    <col min="8174" max="8174" width="13.42578125" style="2" bestFit="1" customWidth="1"/>
    <col min="8175" max="8175" width="9.140625" style="2"/>
    <col min="8176" max="8176" width="15.140625" style="2" bestFit="1" customWidth="1"/>
    <col min="8177" max="8177" width="9.140625" style="2"/>
    <col min="8178" max="8178" width="10.85546875" style="2" bestFit="1" customWidth="1"/>
    <col min="8179" max="8179" width="12.7109375" style="2" bestFit="1" customWidth="1"/>
    <col min="8180" max="8428" width="9.140625" style="2"/>
    <col min="8429" max="8429" width="28.5703125" style="2" bestFit="1" customWidth="1"/>
    <col min="8430" max="8430" width="13.42578125" style="2" bestFit="1" customWidth="1"/>
    <col min="8431" max="8431" width="9.140625" style="2"/>
    <col min="8432" max="8432" width="15.140625" style="2" bestFit="1" customWidth="1"/>
    <col min="8433" max="8433" width="9.140625" style="2"/>
    <col min="8434" max="8434" width="10.85546875" style="2" bestFit="1" customWidth="1"/>
    <col min="8435" max="8435" width="12.7109375" style="2" bestFit="1" customWidth="1"/>
    <col min="8436" max="8684" width="9.140625" style="2"/>
    <col min="8685" max="8685" width="28.5703125" style="2" bestFit="1" customWidth="1"/>
    <col min="8686" max="8686" width="13.42578125" style="2" bestFit="1" customWidth="1"/>
    <col min="8687" max="8687" width="9.140625" style="2"/>
    <col min="8688" max="8688" width="15.140625" style="2" bestFit="1" customWidth="1"/>
    <col min="8689" max="8689" width="9.140625" style="2"/>
    <col min="8690" max="8690" width="10.85546875" style="2" bestFit="1" customWidth="1"/>
    <col min="8691" max="8691" width="12.7109375" style="2" bestFit="1" customWidth="1"/>
    <col min="8692" max="8940" width="9.140625" style="2"/>
    <col min="8941" max="8941" width="28.5703125" style="2" bestFit="1" customWidth="1"/>
    <col min="8942" max="8942" width="13.42578125" style="2" bestFit="1" customWidth="1"/>
    <col min="8943" max="8943" width="9.140625" style="2"/>
    <col min="8944" max="8944" width="15.140625" style="2" bestFit="1" customWidth="1"/>
    <col min="8945" max="8945" width="9.140625" style="2"/>
    <col min="8946" max="8946" width="10.85546875" style="2" bestFit="1" customWidth="1"/>
    <col min="8947" max="8947" width="12.7109375" style="2" bestFit="1" customWidth="1"/>
    <col min="8948" max="9196" width="9.140625" style="2"/>
    <col min="9197" max="9197" width="28.5703125" style="2" bestFit="1" customWidth="1"/>
    <col min="9198" max="9198" width="13.42578125" style="2" bestFit="1" customWidth="1"/>
    <col min="9199" max="9199" width="9.140625" style="2"/>
    <col min="9200" max="9200" width="15.140625" style="2" bestFit="1" customWidth="1"/>
    <col min="9201" max="9201" width="9.140625" style="2"/>
    <col min="9202" max="9202" width="10.85546875" style="2" bestFit="1" customWidth="1"/>
    <col min="9203" max="9203" width="12.7109375" style="2" bestFit="1" customWidth="1"/>
    <col min="9204" max="9452" width="9.140625" style="2"/>
    <col min="9453" max="9453" width="28.5703125" style="2" bestFit="1" customWidth="1"/>
    <col min="9454" max="9454" width="13.42578125" style="2" bestFit="1" customWidth="1"/>
    <col min="9455" max="9455" width="9.140625" style="2"/>
    <col min="9456" max="9456" width="15.140625" style="2" bestFit="1" customWidth="1"/>
    <col min="9457" max="9457" width="9.140625" style="2"/>
    <col min="9458" max="9458" width="10.85546875" style="2" bestFit="1" customWidth="1"/>
    <col min="9459" max="9459" width="12.7109375" style="2" bestFit="1" customWidth="1"/>
    <col min="9460" max="9708" width="9.140625" style="2"/>
    <col min="9709" max="9709" width="28.5703125" style="2" bestFit="1" customWidth="1"/>
    <col min="9710" max="9710" width="13.42578125" style="2" bestFit="1" customWidth="1"/>
    <col min="9711" max="9711" width="9.140625" style="2"/>
    <col min="9712" max="9712" width="15.140625" style="2" bestFit="1" customWidth="1"/>
    <col min="9713" max="9713" width="9.140625" style="2"/>
    <col min="9714" max="9714" width="10.85546875" style="2" bestFit="1" customWidth="1"/>
    <col min="9715" max="9715" width="12.7109375" style="2" bestFit="1" customWidth="1"/>
    <col min="9716" max="9964" width="9.140625" style="2"/>
    <col min="9965" max="9965" width="28.5703125" style="2" bestFit="1" customWidth="1"/>
    <col min="9966" max="9966" width="13.42578125" style="2" bestFit="1" customWidth="1"/>
    <col min="9967" max="9967" width="9.140625" style="2"/>
    <col min="9968" max="9968" width="15.140625" style="2" bestFit="1" customWidth="1"/>
    <col min="9969" max="9969" width="9.140625" style="2"/>
    <col min="9970" max="9970" width="10.85546875" style="2" bestFit="1" customWidth="1"/>
    <col min="9971" max="9971" width="12.7109375" style="2" bestFit="1" customWidth="1"/>
    <col min="9972" max="10220" width="9.140625" style="2"/>
    <col min="10221" max="10221" width="28.5703125" style="2" bestFit="1" customWidth="1"/>
    <col min="10222" max="10222" width="13.42578125" style="2" bestFit="1" customWidth="1"/>
    <col min="10223" max="10223" width="9.140625" style="2"/>
    <col min="10224" max="10224" width="15.140625" style="2" bestFit="1" customWidth="1"/>
    <col min="10225" max="10225" width="9.140625" style="2"/>
    <col min="10226" max="10226" width="10.85546875" style="2" bestFit="1" customWidth="1"/>
    <col min="10227" max="10227" width="12.7109375" style="2" bestFit="1" customWidth="1"/>
    <col min="10228" max="10476" width="9.140625" style="2"/>
    <col min="10477" max="10477" width="28.5703125" style="2" bestFit="1" customWidth="1"/>
    <col min="10478" max="10478" width="13.42578125" style="2" bestFit="1" customWidth="1"/>
    <col min="10479" max="10479" width="9.140625" style="2"/>
    <col min="10480" max="10480" width="15.140625" style="2" bestFit="1" customWidth="1"/>
    <col min="10481" max="10481" width="9.140625" style="2"/>
    <col min="10482" max="10482" width="10.85546875" style="2" bestFit="1" customWidth="1"/>
    <col min="10483" max="10483" width="12.7109375" style="2" bestFit="1" customWidth="1"/>
    <col min="10484" max="10732" width="9.140625" style="2"/>
    <col min="10733" max="10733" width="28.5703125" style="2" bestFit="1" customWidth="1"/>
    <col min="10734" max="10734" width="13.42578125" style="2" bestFit="1" customWidth="1"/>
    <col min="10735" max="10735" width="9.140625" style="2"/>
    <col min="10736" max="10736" width="15.140625" style="2" bestFit="1" customWidth="1"/>
    <col min="10737" max="10737" width="9.140625" style="2"/>
    <col min="10738" max="10738" width="10.85546875" style="2" bestFit="1" customWidth="1"/>
    <col min="10739" max="10739" width="12.7109375" style="2" bestFit="1" customWidth="1"/>
    <col min="10740" max="10988" width="9.140625" style="2"/>
    <col min="10989" max="10989" width="28.5703125" style="2" bestFit="1" customWidth="1"/>
    <col min="10990" max="10990" width="13.42578125" style="2" bestFit="1" customWidth="1"/>
    <col min="10991" max="10991" width="9.140625" style="2"/>
    <col min="10992" max="10992" width="15.140625" style="2" bestFit="1" customWidth="1"/>
    <col min="10993" max="10993" width="9.140625" style="2"/>
    <col min="10994" max="10994" width="10.85546875" style="2" bestFit="1" customWidth="1"/>
    <col min="10995" max="10995" width="12.7109375" style="2" bestFit="1" customWidth="1"/>
    <col min="10996" max="11244" width="9.140625" style="2"/>
    <col min="11245" max="11245" width="28.5703125" style="2" bestFit="1" customWidth="1"/>
    <col min="11246" max="11246" width="13.42578125" style="2" bestFit="1" customWidth="1"/>
    <col min="11247" max="11247" width="9.140625" style="2"/>
    <col min="11248" max="11248" width="15.140625" style="2" bestFit="1" customWidth="1"/>
    <col min="11249" max="11249" width="9.140625" style="2"/>
    <col min="11250" max="11250" width="10.85546875" style="2" bestFit="1" customWidth="1"/>
    <col min="11251" max="11251" width="12.7109375" style="2" bestFit="1" customWidth="1"/>
    <col min="11252" max="11500" width="9.140625" style="2"/>
    <col min="11501" max="11501" width="28.5703125" style="2" bestFit="1" customWidth="1"/>
    <col min="11502" max="11502" width="13.42578125" style="2" bestFit="1" customWidth="1"/>
    <col min="11503" max="11503" width="9.140625" style="2"/>
    <col min="11504" max="11504" width="15.140625" style="2" bestFit="1" customWidth="1"/>
    <col min="11505" max="11505" width="9.140625" style="2"/>
    <col min="11506" max="11506" width="10.85546875" style="2" bestFit="1" customWidth="1"/>
    <col min="11507" max="11507" width="12.7109375" style="2" bestFit="1" customWidth="1"/>
    <col min="11508" max="11756" width="9.140625" style="2"/>
    <col min="11757" max="11757" width="28.5703125" style="2" bestFit="1" customWidth="1"/>
    <col min="11758" max="11758" width="13.42578125" style="2" bestFit="1" customWidth="1"/>
    <col min="11759" max="11759" width="9.140625" style="2"/>
    <col min="11760" max="11760" width="15.140625" style="2" bestFit="1" customWidth="1"/>
    <col min="11761" max="11761" width="9.140625" style="2"/>
    <col min="11762" max="11762" width="10.85546875" style="2" bestFit="1" customWidth="1"/>
    <col min="11763" max="11763" width="12.7109375" style="2" bestFit="1" customWidth="1"/>
    <col min="11764" max="12012" width="9.140625" style="2"/>
    <col min="12013" max="12013" width="28.5703125" style="2" bestFit="1" customWidth="1"/>
    <col min="12014" max="12014" width="13.42578125" style="2" bestFit="1" customWidth="1"/>
    <col min="12015" max="12015" width="9.140625" style="2"/>
    <col min="12016" max="12016" width="15.140625" style="2" bestFit="1" customWidth="1"/>
    <col min="12017" max="12017" width="9.140625" style="2"/>
    <col min="12018" max="12018" width="10.85546875" style="2" bestFit="1" customWidth="1"/>
    <col min="12019" max="12019" width="12.7109375" style="2" bestFit="1" customWidth="1"/>
    <col min="12020" max="12268" width="9.140625" style="2"/>
    <col min="12269" max="12269" width="28.5703125" style="2" bestFit="1" customWidth="1"/>
    <col min="12270" max="12270" width="13.42578125" style="2" bestFit="1" customWidth="1"/>
    <col min="12271" max="12271" width="9.140625" style="2"/>
    <col min="12272" max="12272" width="15.140625" style="2" bestFit="1" customWidth="1"/>
    <col min="12273" max="12273" width="9.140625" style="2"/>
    <col min="12274" max="12274" width="10.85546875" style="2" bestFit="1" customWidth="1"/>
    <col min="12275" max="12275" width="12.7109375" style="2" bestFit="1" customWidth="1"/>
    <col min="12276" max="12524" width="9.140625" style="2"/>
    <col min="12525" max="12525" width="28.5703125" style="2" bestFit="1" customWidth="1"/>
    <col min="12526" max="12526" width="13.42578125" style="2" bestFit="1" customWidth="1"/>
    <col min="12527" max="12527" width="9.140625" style="2"/>
    <col min="12528" max="12528" width="15.140625" style="2" bestFit="1" customWidth="1"/>
    <col min="12529" max="12529" width="9.140625" style="2"/>
    <col min="12530" max="12530" width="10.85546875" style="2" bestFit="1" customWidth="1"/>
    <col min="12531" max="12531" width="12.7109375" style="2" bestFit="1" customWidth="1"/>
    <col min="12532" max="12780" width="9.140625" style="2"/>
    <col min="12781" max="12781" width="28.5703125" style="2" bestFit="1" customWidth="1"/>
    <col min="12782" max="12782" width="13.42578125" style="2" bestFit="1" customWidth="1"/>
    <col min="12783" max="12783" width="9.140625" style="2"/>
    <col min="12784" max="12784" width="15.140625" style="2" bestFit="1" customWidth="1"/>
    <col min="12785" max="12785" width="9.140625" style="2"/>
    <col min="12786" max="12786" width="10.85546875" style="2" bestFit="1" customWidth="1"/>
    <col min="12787" max="12787" width="12.7109375" style="2" bestFit="1" customWidth="1"/>
    <col min="12788" max="13036" width="9.140625" style="2"/>
    <col min="13037" max="13037" width="28.5703125" style="2" bestFit="1" customWidth="1"/>
    <col min="13038" max="13038" width="13.42578125" style="2" bestFit="1" customWidth="1"/>
    <col min="13039" max="13039" width="9.140625" style="2"/>
    <col min="13040" max="13040" width="15.140625" style="2" bestFit="1" customWidth="1"/>
    <col min="13041" max="13041" width="9.140625" style="2"/>
    <col min="13042" max="13042" width="10.85546875" style="2" bestFit="1" customWidth="1"/>
    <col min="13043" max="13043" width="12.7109375" style="2" bestFit="1" customWidth="1"/>
    <col min="13044" max="13292" width="9.140625" style="2"/>
    <col min="13293" max="13293" width="28.5703125" style="2" bestFit="1" customWidth="1"/>
    <col min="13294" max="13294" width="13.42578125" style="2" bestFit="1" customWidth="1"/>
    <col min="13295" max="13295" width="9.140625" style="2"/>
    <col min="13296" max="13296" width="15.140625" style="2" bestFit="1" customWidth="1"/>
    <col min="13297" max="13297" width="9.140625" style="2"/>
    <col min="13298" max="13298" width="10.85546875" style="2" bestFit="1" customWidth="1"/>
    <col min="13299" max="13299" width="12.7109375" style="2" bestFit="1" customWidth="1"/>
    <col min="13300" max="13548" width="9.140625" style="2"/>
    <col min="13549" max="13549" width="28.5703125" style="2" bestFit="1" customWidth="1"/>
    <col min="13550" max="13550" width="13.42578125" style="2" bestFit="1" customWidth="1"/>
    <col min="13551" max="13551" width="9.140625" style="2"/>
    <col min="13552" max="13552" width="15.140625" style="2" bestFit="1" customWidth="1"/>
    <col min="13553" max="13553" width="9.140625" style="2"/>
    <col min="13554" max="13554" width="10.85546875" style="2" bestFit="1" customWidth="1"/>
    <col min="13555" max="13555" width="12.7109375" style="2" bestFit="1" customWidth="1"/>
    <col min="13556" max="13804" width="9.140625" style="2"/>
    <col min="13805" max="13805" width="28.5703125" style="2" bestFit="1" customWidth="1"/>
    <col min="13806" max="13806" width="13.42578125" style="2" bestFit="1" customWidth="1"/>
    <col min="13807" max="13807" width="9.140625" style="2"/>
    <col min="13808" max="13808" width="15.140625" style="2" bestFit="1" customWidth="1"/>
    <col min="13809" max="13809" width="9.140625" style="2"/>
    <col min="13810" max="13810" width="10.85546875" style="2" bestFit="1" customWidth="1"/>
    <col min="13811" max="13811" width="12.7109375" style="2" bestFit="1" customWidth="1"/>
    <col min="13812" max="14060" width="9.140625" style="2"/>
    <col min="14061" max="14061" width="28.5703125" style="2" bestFit="1" customWidth="1"/>
    <col min="14062" max="14062" width="13.42578125" style="2" bestFit="1" customWidth="1"/>
    <col min="14063" max="14063" width="9.140625" style="2"/>
    <col min="14064" max="14064" width="15.140625" style="2" bestFit="1" customWidth="1"/>
    <col min="14065" max="14065" width="9.140625" style="2"/>
    <col min="14066" max="14066" width="10.85546875" style="2" bestFit="1" customWidth="1"/>
    <col min="14067" max="14067" width="12.7109375" style="2" bestFit="1" customWidth="1"/>
    <col min="14068" max="14316" width="9.140625" style="2"/>
    <col min="14317" max="14317" width="28.5703125" style="2" bestFit="1" customWidth="1"/>
    <col min="14318" max="14318" width="13.42578125" style="2" bestFit="1" customWidth="1"/>
    <col min="14319" max="14319" width="9.140625" style="2"/>
    <col min="14320" max="14320" width="15.140625" style="2" bestFit="1" customWidth="1"/>
    <col min="14321" max="14321" width="9.140625" style="2"/>
    <col min="14322" max="14322" width="10.85546875" style="2" bestFit="1" customWidth="1"/>
    <col min="14323" max="14323" width="12.7109375" style="2" bestFit="1" customWidth="1"/>
    <col min="14324" max="14572" width="9.140625" style="2"/>
    <col min="14573" max="14573" width="28.5703125" style="2" bestFit="1" customWidth="1"/>
    <col min="14574" max="14574" width="13.42578125" style="2" bestFit="1" customWidth="1"/>
    <col min="14575" max="14575" width="9.140625" style="2"/>
    <col min="14576" max="14576" width="15.140625" style="2" bestFit="1" customWidth="1"/>
    <col min="14577" max="14577" width="9.140625" style="2"/>
    <col min="14578" max="14578" width="10.85546875" style="2" bestFit="1" customWidth="1"/>
    <col min="14579" max="14579" width="12.7109375" style="2" bestFit="1" customWidth="1"/>
    <col min="14580" max="14828" width="9.140625" style="2"/>
    <col min="14829" max="14829" width="28.5703125" style="2" bestFit="1" customWidth="1"/>
    <col min="14830" max="14830" width="13.42578125" style="2" bestFit="1" customWidth="1"/>
    <col min="14831" max="14831" width="9.140625" style="2"/>
    <col min="14832" max="14832" width="15.140625" style="2" bestFit="1" customWidth="1"/>
    <col min="14833" max="14833" width="9.140625" style="2"/>
    <col min="14834" max="14834" width="10.85546875" style="2" bestFit="1" customWidth="1"/>
    <col min="14835" max="14835" width="12.7109375" style="2" bestFit="1" customWidth="1"/>
    <col min="14836" max="15084" width="9.140625" style="2"/>
    <col min="15085" max="15085" width="28.5703125" style="2" bestFit="1" customWidth="1"/>
    <col min="15086" max="15086" width="13.42578125" style="2" bestFit="1" customWidth="1"/>
    <col min="15087" max="15087" width="9.140625" style="2"/>
    <col min="15088" max="15088" width="15.140625" style="2" bestFit="1" customWidth="1"/>
    <col min="15089" max="15089" width="9.140625" style="2"/>
    <col min="15090" max="15090" width="10.85546875" style="2" bestFit="1" customWidth="1"/>
    <col min="15091" max="15091" width="12.7109375" style="2" bestFit="1" customWidth="1"/>
    <col min="15092" max="15340" width="9.140625" style="2"/>
    <col min="15341" max="15341" width="28.5703125" style="2" bestFit="1" customWidth="1"/>
    <col min="15342" max="15342" width="13.42578125" style="2" bestFit="1" customWidth="1"/>
    <col min="15343" max="15343" width="9.140625" style="2"/>
    <col min="15344" max="15344" width="15.140625" style="2" bestFit="1" customWidth="1"/>
    <col min="15345" max="15345" width="9.140625" style="2"/>
    <col min="15346" max="15346" width="10.85546875" style="2" bestFit="1" customWidth="1"/>
    <col min="15347" max="15347" width="12.7109375" style="2" bestFit="1" customWidth="1"/>
    <col min="15348" max="15596" width="9.140625" style="2"/>
    <col min="15597" max="15597" width="28.5703125" style="2" bestFit="1" customWidth="1"/>
    <col min="15598" max="15598" width="13.42578125" style="2" bestFit="1" customWidth="1"/>
    <col min="15599" max="15599" width="9.140625" style="2"/>
    <col min="15600" max="15600" width="15.140625" style="2" bestFit="1" customWidth="1"/>
    <col min="15601" max="15601" width="9.140625" style="2"/>
    <col min="15602" max="15602" width="10.85546875" style="2" bestFit="1" customWidth="1"/>
    <col min="15603" max="15603" width="12.7109375" style="2" bestFit="1" customWidth="1"/>
    <col min="15604" max="15852" width="9.140625" style="2"/>
    <col min="15853" max="15853" width="28.5703125" style="2" bestFit="1" customWidth="1"/>
    <col min="15854" max="15854" width="13.42578125" style="2" bestFit="1" customWidth="1"/>
    <col min="15855" max="15855" width="9.140625" style="2"/>
    <col min="15856" max="15856" width="15.140625" style="2" bestFit="1" customWidth="1"/>
    <col min="15857" max="15857" width="9.140625" style="2"/>
    <col min="15858" max="15858" width="10.85546875" style="2" bestFit="1" customWidth="1"/>
    <col min="15859" max="15859" width="12.7109375" style="2" bestFit="1" customWidth="1"/>
    <col min="15860" max="16108" width="9.140625" style="2"/>
    <col min="16109" max="16109" width="28.5703125" style="2" bestFit="1" customWidth="1"/>
    <col min="16110" max="16110" width="13.42578125" style="2" bestFit="1" customWidth="1"/>
    <col min="16111" max="16111" width="9.140625" style="2"/>
    <col min="16112" max="16112" width="15.140625" style="2" bestFit="1" customWidth="1"/>
    <col min="16113" max="16113" width="9.140625" style="2"/>
    <col min="16114" max="16114" width="10.85546875" style="2" bestFit="1" customWidth="1"/>
    <col min="16115" max="16115" width="12.7109375" style="2" bestFit="1" customWidth="1"/>
    <col min="16116" max="16384" width="9.140625" style="2"/>
  </cols>
  <sheetData>
    <row r="1" spans="1:7" x14ac:dyDescent="0.2">
      <c r="A1" s="378" t="s">
        <v>471</v>
      </c>
      <c r="B1" s="367"/>
      <c r="C1" s="368"/>
    </row>
    <row r="2" spans="1:7" ht="12" thickBot="1" x14ac:dyDescent="0.25">
      <c r="A2" s="369"/>
      <c r="B2" s="370"/>
      <c r="C2" s="371"/>
    </row>
    <row r="3" spans="1:7" x14ac:dyDescent="0.2">
      <c r="A3" s="372" t="s">
        <v>614</v>
      </c>
      <c r="B3" s="372"/>
      <c r="C3" s="372"/>
    </row>
    <row r="4" spans="1:7" ht="12" thickBot="1" x14ac:dyDescent="0.25">
      <c r="A4" s="54"/>
      <c r="B4" s="54"/>
      <c r="C4" s="54"/>
    </row>
    <row r="5" spans="1:7" ht="12" thickBot="1" x14ac:dyDescent="0.25">
      <c r="A5" s="2" t="s">
        <v>48</v>
      </c>
      <c r="B5" s="146">
        <f>'Ratio Analysis'!$C$130</f>
        <v>292.66666666666669</v>
      </c>
    </row>
    <row r="6" spans="1:7" ht="12" thickBot="1" x14ac:dyDescent="0.25"/>
    <row r="7" spans="1:7" ht="12" thickBot="1" x14ac:dyDescent="0.25">
      <c r="A7" s="56" t="s">
        <v>49</v>
      </c>
      <c r="B7" s="57" t="s">
        <v>50</v>
      </c>
      <c r="C7" s="58" t="s">
        <v>51</v>
      </c>
      <c r="D7" s="59"/>
    </row>
    <row r="8" spans="1:7" ht="12" customHeight="1" thickBot="1" x14ac:dyDescent="0.25">
      <c r="A8" s="2" t="s">
        <v>52</v>
      </c>
      <c r="B8" s="60">
        <v>0.35</v>
      </c>
      <c r="C8" s="60">
        <v>0.25</v>
      </c>
      <c r="D8" s="61"/>
    </row>
    <row r="9" spans="1:7" ht="12" thickBot="1" x14ac:dyDescent="0.25">
      <c r="A9" s="2" t="s">
        <v>53</v>
      </c>
      <c r="B9" s="62">
        <v>0.15</v>
      </c>
      <c r="C9" s="63"/>
    </row>
    <row r="10" spans="1:7" ht="12" thickBot="1" x14ac:dyDescent="0.25">
      <c r="A10" s="2" t="s">
        <v>54</v>
      </c>
      <c r="B10" s="193">
        <v>0.04</v>
      </c>
      <c r="C10" s="63"/>
    </row>
    <row r="11" spans="1:7" ht="12" thickBot="1" x14ac:dyDescent="0.25">
      <c r="B11" s="64"/>
      <c r="C11" s="63"/>
    </row>
    <row r="12" spans="1:7" ht="12" thickBot="1" x14ac:dyDescent="0.25">
      <c r="A12" s="2" t="s">
        <v>648</v>
      </c>
      <c r="B12" s="216">
        <f>'Valuation Models DCF_Conso'!B12</f>
        <v>14.066000000000001</v>
      </c>
      <c r="C12" s="63"/>
    </row>
    <row r="13" spans="1:7" ht="12" thickBot="1" x14ac:dyDescent="0.25">
      <c r="A13" s="65" t="s">
        <v>55</v>
      </c>
      <c r="B13" s="55">
        <f>(Financials_Standalone!B14+Financials_Standalone!B20)-Financials_Standalone!B43</f>
        <v>-92.19</v>
      </c>
      <c r="C13" s="63"/>
      <c r="D13" s="66"/>
    </row>
    <row r="14" spans="1:7" ht="12" thickBot="1" x14ac:dyDescent="0.25"/>
    <row r="15" spans="1:7" ht="12" thickBot="1" x14ac:dyDescent="0.25">
      <c r="A15" s="373" t="s">
        <v>56</v>
      </c>
      <c r="B15" s="374"/>
      <c r="C15" s="374"/>
      <c r="D15" s="375"/>
      <c r="F15" s="376" t="s">
        <v>57</v>
      </c>
      <c r="G15" s="377"/>
    </row>
    <row r="16" spans="1:7" x14ac:dyDescent="0.2">
      <c r="A16" s="67" t="s">
        <v>58</v>
      </c>
      <c r="B16" s="68" t="s">
        <v>59</v>
      </c>
      <c r="C16" s="68" t="s">
        <v>60</v>
      </c>
      <c r="D16" s="69" t="s">
        <v>61</v>
      </c>
      <c r="F16" s="70" t="s">
        <v>62</v>
      </c>
      <c r="G16" s="234">
        <f>(B26*B10)+B26</f>
        <v>4165.1007206726081</v>
      </c>
    </row>
    <row r="17" spans="1:12" x14ac:dyDescent="0.2">
      <c r="A17" s="71">
        <v>1</v>
      </c>
      <c r="B17" s="149">
        <f>(B5*C17)+B5</f>
        <v>395.1</v>
      </c>
      <c r="C17" s="72">
        <f>$B$8</f>
        <v>0.35</v>
      </c>
      <c r="D17" s="147">
        <f>B17/((1+$B$9)^A17)</f>
        <v>343.56521739130437</v>
      </c>
      <c r="F17" s="73" t="s">
        <v>63</v>
      </c>
      <c r="G17" s="234">
        <f>SUM(D17:D26)</f>
        <v>6647.2529454080077</v>
      </c>
    </row>
    <row r="18" spans="1:12" x14ac:dyDescent="0.2">
      <c r="A18" s="71">
        <v>2</v>
      </c>
      <c r="B18" s="149">
        <f t="shared" ref="B18:B26" si="0">(B17*C18)+B17</f>
        <v>533.38499999999999</v>
      </c>
      <c r="C18" s="72">
        <f t="shared" ref="C18:C21" si="1">$B$8</f>
        <v>0.35</v>
      </c>
      <c r="D18" s="147">
        <f t="shared" ref="D18:D26" si="2">B18/((1+$B$9)^A18)</f>
        <v>403.31568998109645</v>
      </c>
      <c r="F18" s="70" t="s">
        <v>64</v>
      </c>
      <c r="G18" s="234">
        <f>((G16)/($B$9-$B$10))/(1+$B$9)^A26</f>
        <v>9359.5381600675501</v>
      </c>
    </row>
    <row r="19" spans="1:12" x14ac:dyDescent="0.2">
      <c r="A19" s="71">
        <v>3</v>
      </c>
      <c r="B19" s="149">
        <f t="shared" si="0"/>
        <v>720.06975</v>
      </c>
      <c r="C19" s="72">
        <f t="shared" si="1"/>
        <v>0.35</v>
      </c>
      <c r="D19" s="147">
        <f t="shared" si="2"/>
        <v>473.45754910824377</v>
      </c>
      <c r="F19" s="70" t="s">
        <v>65</v>
      </c>
      <c r="G19" s="234">
        <f>G17+G18</f>
        <v>16006.791105475557</v>
      </c>
    </row>
    <row r="20" spans="1:12" x14ac:dyDescent="0.2">
      <c r="A20" s="71">
        <v>4</v>
      </c>
      <c r="B20" s="149">
        <f t="shared" si="0"/>
        <v>972.09416250000004</v>
      </c>
      <c r="C20" s="72">
        <f t="shared" si="1"/>
        <v>0.35</v>
      </c>
      <c r="D20" s="147">
        <f t="shared" si="2"/>
        <v>555.79799243141656</v>
      </c>
      <c r="F20" s="70" t="s">
        <v>66</v>
      </c>
      <c r="G20" s="288">
        <f>B12</f>
        <v>14.066000000000001</v>
      </c>
    </row>
    <row r="21" spans="1:12" ht="12" thickBot="1" x14ac:dyDescent="0.25">
      <c r="A21" s="71">
        <v>5</v>
      </c>
      <c r="B21" s="149">
        <f t="shared" si="0"/>
        <v>1312.3271193750002</v>
      </c>
      <c r="C21" s="72">
        <f t="shared" si="1"/>
        <v>0.35</v>
      </c>
      <c r="D21" s="147">
        <f t="shared" si="2"/>
        <v>652.4585128542717</v>
      </c>
      <c r="F21" s="74" t="s">
        <v>67</v>
      </c>
      <c r="G21" s="235">
        <f>(G19-B13)/G20</f>
        <v>1144.5315729756546</v>
      </c>
    </row>
    <row r="22" spans="1:12" x14ac:dyDescent="0.2">
      <c r="A22" s="71">
        <v>6</v>
      </c>
      <c r="B22" s="149">
        <f t="shared" si="0"/>
        <v>1640.4088992187503</v>
      </c>
      <c r="C22" s="72">
        <f>$C$8</f>
        <v>0.25</v>
      </c>
      <c r="D22" s="147">
        <f t="shared" si="2"/>
        <v>709.19403571116504</v>
      </c>
      <c r="F22" s="2" t="s">
        <v>610</v>
      </c>
      <c r="G22" s="314">
        <f>'Valuation Models DCF_Conso'!G22</f>
        <v>492</v>
      </c>
    </row>
    <row r="23" spans="1:12" x14ac:dyDescent="0.2">
      <c r="A23" s="71">
        <v>7</v>
      </c>
      <c r="B23" s="149">
        <f t="shared" si="0"/>
        <v>2050.5111240234378</v>
      </c>
      <c r="C23" s="72">
        <f t="shared" ref="C23:C26" si="3">$C$8</f>
        <v>0.25</v>
      </c>
      <c r="D23" s="147">
        <f t="shared" si="2"/>
        <v>770.8630822947448</v>
      </c>
      <c r="G23" s="15">
        <f>G22/G21</f>
        <v>0.42987018586202458</v>
      </c>
    </row>
    <row r="24" spans="1:12" x14ac:dyDescent="0.2">
      <c r="A24" s="71">
        <v>8</v>
      </c>
      <c r="B24" s="149">
        <f t="shared" si="0"/>
        <v>2563.1389050292973</v>
      </c>
      <c r="C24" s="72">
        <f t="shared" si="3"/>
        <v>0.25</v>
      </c>
      <c r="D24" s="147">
        <f t="shared" si="2"/>
        <v>837.89465466820093</v>
      </c>
    </row>
    <row r="25" spans="1:12" x14ac:dyDescent="0.2">
      <c r="A25" s="71">
        <v>9</v>
      </c>
      <c r="B25" s="149">
        <f t="shared" si="0"/>
        <v>3203.9236312866215</v>
      </c>
      <c r="C25" s="72">
        <f t="shared" si="3"/>
        <v>0.25</v>
      </c>
      <c r="D25" s="147">
        <f t="shared" si="2"/>
        <v>910.75505942195753</v>
      </c>
    </row>
    <row r="26" spans="1:12" ht="12" thickBot="1" x14ac:dyDescent="0.25">
      <c r="A26" s="76">
        <v>10</v>
      </c>
      <c r="B26" s="150">
        <f t="shared" si="0"/>
        <v>4004.9045391082768</v>
      </c>
      <c r="C26" s="197">
        <f t="shared" si="3"/>
        <v>0.25</v>
      </c>
      <c r="D26" s="148">
        <f t="shared" si="2"/>
        <v>989.95115154560608</v>
      </c>
      <c r="J26" s="194"/>
    </row>
    <row r="27" spans="1:12" x14ac:dyDescent="0.2">
      <c r="A27" s="77"/>
      <c r="B27" s="78"/>
      <c r="C27" s="79"/>
      <c r="D27" s="80"/>
      <c r="J27" s="194"/>
      <c r="K27" s="194"/>
      <c r="L27" s="194"/>
    </row>
    <row r="28" spans="1:12" x14ac:dyDescent="0.2">
      <c r="C28" s="79"/>
      <c r="D28" s="80"/>
      <c r="J28" s="194"/>
    </row>
    <row r="29" spans="1:12" x14ac:dyDescent="0.2">
      <c r="C29" s="79"/>
      <c r="D29" s="78"/>
      <c r="J29" s="194"/>
    </row>
    <row r="30" spans="1:12" x14ac:dyDescent="0.2">
      <c r="C30" s="65"/>
    </row>
    <row r="31" spans="1:12" x14ac:dyDescent="0.2">
      <c r="C31" s="65"/>
    </row>
    <row r="32" spans="1:12" x14ac:dyDescent="0.2">
      <c r="C32" s="65"/>
    </row>
    <row r="33" spans="1:4" x14ac:dyDescent="0.2">
      <c r="C33" s="65"/>
    </row>
    <row r="34" spans="1:4" x14ac:dyDescent="0.2">
      <c r="C34" s="65"/>
    </row>
    <row r="36" spans="1:4" x14ac:dyDescent="0.2">
      <c r="A36" s="81"/>
      <c r="D36" s="66"/>
    </row>
    <row r="38" spans="1:4" x14ac:dyDescent="0.2">
      <c r="A38" s="82"/>
      <c r="D38" s="83"/>
    </row>
    <row r="39" spans="1:4" x14ac:dyDescent="0.2">
      <c r="A39" s="84"/>
    </row>
  </sheetData>
  <mergeCells count="4">
    <mergeCell ref="A1:C2"/>
    <mergeCell ref="A3:C3"/>
    <mergeCell ref="A15:D15"/>
    <mergeCell ref="F15:G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9"/>
  <sheetViews>
    <sheetView workbookViewId="0">
      <selection sqref="A1:J1"/>
    </sheetView>
  </sheetViews>
  <sheetFormatPr defaultColWidth="8.7109375" defaultRowHeight="11.25" x14ac:dyDescent="0.2"/>
  <cols>
    <col min="1" max="1" width="44.85546875" style="2" bestFit="1" customWidth="1"/>
    <col min="2" max="3" width="9.140625" style="2" bestFit="1" customWidth="1"/>
    <col min="4" max="4" width="8.85546875" style="2" bestFit="1" customWidth="1"/>
    <col min="5" max="10" width="8.42578125" style="2" bestFit="1" customWidth="1"/>
    <col min="11" max="13" width="8.140625" style="2" bestFit="1" customWidth="1"/>
    <col min="14" max="16384" width="8.7109375" style="2"/>
  </cols>
  <sheetData>
    <row r="1" spans="1:11" x14ac:dyDescent="0.2">
      <c r="A1" s="379" t="s">
        <v>472</v>
      </c>
      <c r="B1" s="379"/>
      <c r="C1" s="379"/>
      <c r="D1" s="379"/>
      <c r="E1" s="379"/>
      <c r="F1" s="379"/>
      <c r="G1" s="379"/>
      <c r="H1" s="379"/>
      <c r="I1" s="379"/>
      <c r="J1" s="379"/>
    </row>
    <row r="2" spans="1:11" x14ac:dyDescent="0.2">
      <c r="A2" s="151"/>
      <c r="B2" s="236">
        <v>45717</v>
      </c>
      <c r="C2" s="236">
        <v>46082</v>
      </c>
      <c r="D2" s="152" t="s">
        <v>650</v>
      </c>
      <c r="E2" s="153" t="s">
        <v>651</v>
      </c>
      <c r="F2" s="153" t="s">
        <v>652</v>
      </c>
      <c r="G2" s="153" t="s">
        <v>653</v>
      </c>
      <c r="H2" s="153" t="s">
        <v>654</v>
      </c>
      <c r="I2" s="153" t="s">
        <v>655</v>
      </c>
      <c r="J2" s="153" t="s">
        <v>918</v>
      </c>
      <c r="K2" s="42"/>
    </row>
    <row r="3" spans="1:11" x14ac:dyDescent="0.2">
      <c r="A3" s="154" t="s">
        <v>68</v>
      </c>
      <c r="B3" s="155">
        <f>Financials_Consol!$B$108</f>
        <v>59</v>
      </c>
      <c r="C3" s="155">
        <f>B3*(1+C4)</f>
        <v>67.849999999999994</v>
      </c>
      <c r="D3" s="155">
        <f>C3*(1+D4)</f>
        <v>78.027499999999989</v>
      </c>
      <c r="E3" s="156">
        <f>+D6*12%+E8</f>
        <v>88.868435220389586</v>
      </c>
      <c r="F3" s="156">
        <f t="shared" ref="F3:J3" si="0">+E6*12%+F8</f>
        <v>101.11371713265319</v>
      </c>
      <c r="G3" s="156">
        <f t="shared" si="0"/>
        <v>114.93910775239561</v>
      </c>
      <c r="H3" s="156">
        <f t="shared" si="0"/>
        <v>130.54196736597481</v>
      </c>
      <c r="I3" s="156">
        <f t="shared" si="0"/>
        <v>148.14388180101395</v>
      </c>
      <c r="J3" s="156">
        <f t="shared" si="0"/>
        <v>167.99360745283633</v>
      </c>
    </row>
    <row r="4" spans="1:11" x14ac:dyDescent="0.2">
      <c r="A4" s="43" t="s">
        <v>69</v>
      </c>
      <c r="B4" s="157"/>
      <c r="C4" s="158">
        <v>0.15</v>
      </c>
      <c r="D4" s="158">
        <v>0.15</v>
      </c>
      <c r="E4" s="44"/>
      <c r="F4" s="44"/>
      <c r="G4" s="44"/>
      <c r="H4" s="44"/>
      <c r="I4" s="44"/>
      <c r="J4" s="44"/>
    </row>
    <row r="5" spans="1:11" x14ac:dyDescent="0.2">
      <c r="A5" s="154" t="s">
        <v>70</v>
      </c>
      <c r="B5" s="155">
        <v>0</v>
      </c>
      <c r="C5" s="155">
        <v>0</v>
      </c>
      <c r="D5" s="155">
        <v>0</v>
      </c>
      <c r="E5" s="159">
        <f>E3*0</f>
        <v>0</v>
      </c>
      <c r="F5" s="159">
        <f t="shared" ref="F5:J5" si="1">F3*0</f>
        <v>0</v>
      </c>
      <c r="G5" s="159">
        <f t="shared" si="1"/>
        <v>0</v>
      </c>
      <c r="H5" s="159">
        <f t="shared" si="1"/>
        <v>0</v>
      </c>
      <c r="I5" s="159">
        <f t="shared" si="1"/>
        <v>0</v>
      </c>
      <c r="J5" s="159">
        <f t="shared" si="1"/>
        <v>0</v>
      </c>
    </row>
    <row r="6" spans="1:11" x14ac:dyDescent="0.2">
      <c r="A6" s="154" t="s">
        <v>71</v>
      </c>
      <c r="B6" s="155">
        <f>Financials_Consol!B12/(Financials_Consol!B115/10000000)</f>
        <v>406.4702118583819</v>
      </c>
      <c r="C6" s="155">
        <f>B6+C3-C5</f>
        <v>474.32021185838187</v>
      </c>
      <c r="D6" s="155">
        <f>C6+D3-D5</f>
        <v>552.3477118583819</v>
      </c>
      <c r="E6" s="159">
        <f t="shared" ref="E6:J6" si="2">D6+E3-E5</f>
        <v>641.21614707877143</v>
      </c>
      <c r="F6" s="159">
        <f t="shared" si="2"/>
        <v>742.32986421142459</v>
      </c>
      <c r="G6" s="159">
        <f t="shared" si="2"/>
        <v>857.26897196382015</v>
      </c>
      <c r="H6" s="159">
        <f t="shared" si="2"/>
        <v>987.81093932979502</v>
      </c>
      <c r="I6" s="159">
        <f t="shared" si="2"/>
        <v>1135.954821130809</v>
      </c>
      <c r="J6" s="159">
        <f t="shared" si="2"/>
        <v>1303.9484285836454</v>
      </c>
    </row>
    <row r="7" spans="1:11" x14ac:dyDescent="0.2">
      <c r="A7" s="154" t="s">
        <v>72</v>
      </c>
      <c r="B7" s="160"/>
      <c r="C7" s="45">
        <f>C3/B6</f>
        <v>0.16692490131020862</v>
      </c>
      <c r="D7" s="45">
        <f>D3/C6</f>
        <v>0.16450384792646516</v>
      </c>
      <c r="E7" s="46">
        <f t="shared" ref="E7:J7" si="3">E3/D6</f>
        <v>0.16089219401559651</v>
      </c>
      <c r="F7" s="46">
        <f t="shared" si="3"/>
        <v>0.15769053476476425</v>
      </c>
      <c r="G7" s="46">
        <f t="shared" si="3"/>
        <v>0.15483562401803028</v>
      </c>
      <c r="H7" s="46">
        <f t="shared" si="3"/>
        <v>0.15227655687447902</v>
      </c>
      <c r="I7" s="46">
        <f t="shared" si="3"/>
        <v>0.14997189836906025</v>
      </c>
      <c r="J7" s="46">
        <f t="shared" si="3"/>
        <v>0.14788757820984794</v>
      </c>
    </row>
    <row r="8" spans="1:11" x14ac:dyDescent="0.2">
      <c r="A8" s="154" t="s">
        <v>73</v>
      </c>
      <c r="B8" s="160"/>
      <c r="C8" s="155">
        <f>(C7-12%)*B6</f>
        <v>19.073574576994162</v>
      </c>
      <c r="D8" s="155">
        <f>(D7-12%)*C6</f>
        <v>21.109074576994168</v>
      </c>
      <c r="E8" s="159">
        <f>D8*(1+E9)</f>
        <v>22.586709797383762</v>
      </c>
      <c r="F8" s="159">
        <f t="shared" ref="F8:J8" si="4">E8*(1+F9)</f>
        <v>24.167779483200626</v>
      </c>
      <c r="G8" s="159">
        <f t="shared" si="4"/>
        <v>25.859524047024671</v>
      </c>
      <c r="H8" s="159">
        <f t="shared" si="4"/>
        <v>27.6696907303164</v>
      </c>
      <c r="I8" s="159">
        <f t="shared" si="4"/>
        <v>29.60656908143855</v>
      </c>
      <c r="J8" s="159">
        <f t="shared" si="4"/>
        <v>31.679028917139252</v>
      </c>
    </row>
    <row r="9" spans="1:11" x14ac:dyDescent="0.2">
      <c r="A9" s="154" t="s">
        <v>74</v>
      </c>
      <c r="B9" s="160"/>
      <c r="C9" s="160"/>
      <c r="D9" s="45">
        <f>D8/C8-1</f>
        <v>0.10671832863752506</v>
      </c>
      <c r="E9" s="47">
        <f>B24</f>
        <v>7.0000000000000007E-2</v>
      </c>
      <c r="F9" s="47">
        <f>E9</f>
        <v>7.0000000000000007E-2</v>
      </c>
      <c r="G9" s="47">
        <f t="shared" ref="G9:J9" si="5">F9</f>
        <v>7.0000000000000007E-2</v>
      </c>
      <c r="H9" s="47">
        <f t="shared" si="5"/>
        <v>7.0000000000000007E-2</v>
      </c>
      <c r="I9" s="47">
        <f t="shared" si="5"/>
        <v>7.0000000000000007E-2</v>
      </c>
      <c r="J9" s="47">
        <f t="shared" si="5"/>
        <v>7.0000000000000007E-2</v>
      </c>
    </row>
    <row r="10" spans="1:11" x14ac:dyDescent="0.2">
      <c r="A10" s="154" t="s">
        <v>75</v>
      </c>
      <c r="B10" s="160"/>
      <c r="C10" s="160"/>
      <c r="D10" s="45">
        <f t="shared" ref="D10:J10" si="6">D3/C3-1</f>
        <v>0.14999999999999991</v>
      </c>
      <c r="E10" s="46">
        <f t="shared" si="6"/>
        <v>0.13893736465207263</v>
      </c>
      <c r="F10" s="46">
        <f t="shared" si="6"/>
        <v>0.13779112777102331</v>
      </c>
      <c r="G10" s="46">
        <f t="shared" si="6"/>
        <v>0.13673110841731395</v>
      </c>
      <c r="H10" s="46">
        <f t="shared" si="6"/>
        <v>0.13574891887268881</v>
      </c>
      <c r="I10" s="46">
        <f t="shared" si="6"/>
        <v>0.13483720821896394</v>
      </c>
      <c r="J10" s="46">
        <f t="shared" si="6"/>
        <v>0.13398950675860122</v>
      </c>
    </row>
    <row r="11" spans="1:11" x14ac:dyDescent="0.2">
      <c r="B11" s="161"/>
      <c r="C11" s="161"/>
      <c r="D11" s="161"/>
    </row>
    <row r="12" spans="1:11" ht="12" thickBot="1" x14ac:dyDescent="0.25">
      <c r="A12" s="380" t="s">
        <v>76</v>
      </c>
      <c r="B12" s="380"/>
      <c r="C12" s="161"/>
      <c r="D12" s="48"/>
    </row>
    <row r="13" spans="1:11" x14ac:dyDescent="0.2">
      <c r="A13" s="49" t="s">
        <v>77</v>
      </c>
      <c r="B13" s="50"/>
    </row>
    <row r="14" spans="1:11" x14ac:dyDescent="0.2">
      <c r="A14" s="22" t="s">
        <v>78</v>
      </c>
      <c r="B14" s="162">
        <f>B6</f>
        <v>406.4702118583819</v>
      </c>
      <c r="C14" s="30"/>
    </row>
    <row r="15" spans="1:11" x14ac:dyDescent="0.2">
      <c r="A15" s="22" t="s">
        <v>79</v>
      </c>
      <c r="B15" s="180">
        <f>C8/1.12</f>
        <v>17.029977300887644</v>
      </c>
      <c r="C15" s="30"/>
    </row>
    <row r="16" spans="1:11" x14ac:dyDescent="0.2">
      <c r="A16" s="22" t="s">
        <v>80</v>
      </c>
      <c r="B16" s="180">
        <f>D8/(1.12*0.12)</f>
        <v>157.06156679311135</v>
      </c>
      <c r="C16" s="30"/>
    </row>
    <row r="17" spans="1:3" x14ac:dyDescent="0.2">
      <c r="A17" s="22" t="s">
        <v>81</v>
      </c>
      <c r="B17" s="163">
        <f>B14+B15+B16</f>
        <v>580.56175595238096</v>
      </c>
      <c r="C17" s="30"/>
    </row>
    <row r="18" spans="1:3" x14ac:dyDescent="0.2">
      <c r="A18" s="51" t="s">
        <v>82</v>
      </c>
      <c r="B18" s="164">
        <f>'Valuation Models DCF'!$G$22</f>
        <v>492</v>
      </c>
      <c r="C18" s="30"/>
    </row>
    <row r="19" spans="1:3" ht="12" thickBot="1" x14ac:dyDescent="0.25">
      <c r="A19" s="52" t="s">
        <v>83</v>
      </c>
      <c r="B19" s="165">
        <f>B18-B17</f>
        <v>-88.561755952380963</v>
      </c>
    </row>
    <row r="20" spans="1:3" x14ac:dyDescent="0.2">
      <c r="A20" s="3"/>
      <c r="B20" s="36"/>
    </row>
    <row r="21" spans="1:3" x14ac:dyDescent="0.2">
      <c r="A21" s="380" t="s">
        <v>84</v>
      </c>
      <c r="B21" s="380"/>
      <c r="C21" s="380"/>
    </row>
    <row r="22" spans="1:3" x14ac:dyDescent="0.2">
      <c r="A22" s="166" t="s">
        <v>85</v>
      </c>
      <c r="B22" s="167" t="s">
        <v>657</v>
      </c>
      <c r="C22" s="167" t="s">
        <v>658</v>
      </c>
    </row>
    <row r="23" spans="1:3" x14ac:dyDescent="0.2">
      <c r="A23" s="56" t="s">
        <v>86</v>
      </c>
      <c r="B23" s="168">
        <f>C3</f>
        <v>67.849999999999994</v>
      </c>
      <c r="C23" s="168">
        <f>D3</f>
        <v>78.027499999999989</v>
      </c>
    </row>
    <row r="24" spans="1:3" x14ac:dyDescent="0.2">
      <c r="A24" s="2" t="s">
        <v>87</v>
      </c>
      <c r="B24" s="169">
        <v>7.0000000000000007E-2</v>
      </c>
    </row>
    <row r="25" spans="1:3" x14ac:dyDescent="0.2">
      <c r="A25" s="2" t="s">
        <v>88</v>
      </c>
      <c r="B25" s="170">
        <v>0.1</v>
      </c>
    </row>
    <row r="26" spans="1:3" x14ac:dyDescent="0.2">
      <c r="A26" s="2" t="s">
        <v>473</v>
      </c>
      <c r="B26" s="168">
        <f>B6</f>
        <v>406.4702118583819</v>
      </c>
    </row>
    <row r="27" spans="1:3" x14ac:dyDescent="0.2">
      <c r="A27" s="2" t="s">
        <v>89</v>
      </c>
      <c r="B27" s="169">
        <v>0.12</v>
      </c>
      <c r="C27" s="41"/>
    </row>
    <row r="29" spans="1:3" x14ac:dyDescent="0.2">
      <c r="A29" s="166" t="s">
        <v>58</v>
      </c>
      <c r="B29" s="171" t="s">
        <v>656</v>
      </c>
      <c r="C29" s="171" t="s">
        <v>657</v>
      </c>
    </row>
    <row r="30" spans="1:3" x14ac:dyDescent="0.2">
      <c r="A30" s="65" t="s">
        <v>90</v>
      </c>
      <c r="B30" s="172">
        <f>B26</f>
        <v>406.4702118583819</v>
      </c>
      <c r="C30" s="172">
        <f>B30+B31-B33</f>
        <v>467.53521185838184</v>
      </c>
    </row>
    <row r="31" spans="1:3" x14ac:dyDescent="0.2">
      <c r="A31" s="65" t="s">
        <v>86</v>
      </c>
      <c r="B31" s="172">
        <f>B23</f>
        <v>67.849999999999994</v>
      </c>
      <c r="C31" s="172">
        <f>C23</f>
        <v>78.027499999999989</v>
      </c>
    </row>
    <row r="32" spans="1:3" x14ac:dyDescent="0.2">
      <c r="A32" s="65" t="s">
        <v>91</v>
      </c>
      <c r="B32" s="173">
        <f>$B$25</f>
        <v>0.1</v>
      </c>
      <c r="C32" s="173">
        <f>$B$25</f>
        <v>0.1</v>
      </c>
    </row>
    <row r="33" spans="1:3" x14ac:dyDescent="0.2">
      <c r="A33" s="65" t="s">
        <v>92</v>
      </c>
      <c r="B33" s="172">
        <f>B31*B32</f>
        <v>6.7850000000000001</v>
      </c>
      <c r="C33" s="172">
        <f>C31*C32</f>
        <v>7.8027499999999996</v>
      </c>
    </row>
    <row r="34" spans="1:3" x14ac:dyDescent="0.2">
      <c r="A34" s="65" t="s">
        <v>93</v>
      </c>
      <c r="B34" s="174">
        <f>B31/B30</f>
        <v>0.16692490131020862</v>
      </c>
      <c r="C34" s="174">
        <f>C31/C30</f>
        <v>0.16689117315860011</v>
      </c>
    </row>
    <row r="35" spans="1:3" x14ac:dyDescent="0.2">
      <c r="A35" s="65" t="s">
        <v>94</v>
      </c>
      <c r="B35" s="175">
        <f>$B$27</f>
        <v>0.12</v>
      </c>
      <c r="C35" s="175">
        <f>$B$27</f>
        <v>0.12</v>
      </c>
    </row>
    <row r="36" spans="1:3" x14ac:dyDescent="0.2">
      <c r="A36" s="65" t="s">
        <v>95</v>
      </c>
      <c r="B36" s="174">
        <f t="shared" ref="B36:C36" si="7">B34-B35</f>
        <v>4.6924901310208628E-2</v>
      </c>
      <c r="C36" s="174">
        <f t="shared" si="7"/>
        <v>4.6891173158600113E-2</v>
      </c>
    </row>
    <row r="37" spans="1:3" x14ac:dyDescent="0.2">
      <c r="A37" s="166" t="s">
        <v>77</v>
      </c>
      <c r="B37" s="176"/>
      <c r="C37" s="176">
        <f>B30+((B36*B30)/(1+B27))+((C36*C30)/((1+B27)*(B27-B24)))</f>
        <v>814.98723517702263</v>
      </c>
    </row>
    <row r="38" spans="1:3" x14ac:dyDescent="0.2">
      <c r="A38" s="41" t="s">
        <v>96</v>
      </c>
      <c r="B38" s="177"/>
      <c r="C38" s="177">
        <f>'Valuation Models DCF'!$G$22</f>
        <v>492</v>
      </c>
    </row>
    <row r="39" spans="1:3" x14ac:dyDescent="0.2">
      <c r="A39" s="41" t="s">
        <v>97</v>
      </c>
      <c r="B39" s="177"/>
      <c r="C39" s="178">
        <f>C37/C38-1</f>
        <v>0.65647812027850128</v>
      </c>
    </row>
  </sheetData>
  <mergeCells count="3">
    <mergeCell ref="A1:J1"/>
    <mergeCell ref="A12:B12"/>
    <mergeCell ref="A21:C2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8.7109375" defaultRowHeight="11.25" x14ac:dyDescent="0.2"/>
  <cols>
    <col min="1" max="1" width="44.85546875" style="2" bestFit="1" customWidth="1"/>
    <col min="2" max="4" width="14.5703125" style="2" bestFit="1" customWidth="1"/>
    <col min="5" max="5" width="14.85546875" style="2" bestFit="1" customWidth="1"/>
    <col min="6" max="7" width="15.140625" style="2" bestFit="1" customWidth="1"/>
    <col min="8" max="8" width="14.85546875" style="2" bestFit="1" customWidth="1"/>
    <col min="9" max="9" width="15.140625" style="2" bestFit="1" customWidth="1"/>
    <col min="10" max="10" width="14.85546875" style="2" bestFit="1" customWidth="1"/>
    <col min="11" max="11" width="9.140625" style="2" bestFit="1" customWidth="1"/>
    <col min="12" max="13" width="8.140625" style="2" bestFit="1" customWidth="1"/>
    <col min="14" max="16384" width="8.7109375" style="2"/>
  </cols>
  <sheetData>
    <row r="1" spans="1:11" x14ac:dyDescent="0.2">
      <c r="A1" s="379" t="s">
        <v>472</v>
      </c>
      <c r="B1" s="379"/>
      <c r="C1" s="379"/>
      <c r="D1" s="379"/>
      <c r="E1" s="379"/>
      <c r="F1" s="379"/>
      <c r="G1" s="379"/>
      <c r="H1" s="379"/>
      <c r="I1" s="379"/>
      <c r="J1" s="379"/>
    </row>
    <row r="2" spans="1:11" x14ac:dyDescent="0.2">
      <c r="A2" s="151"/>
      <c r="B2" s="239" t="s">
        <v>637</v>
      </c>
      <c r="C2" s="240">
        <v>45016</v>
      </c>
      <c r="D2" s="240">
        <v>44651</v>
      </c>
      <c r="E2" s="241">
        <v>44286</v>
      </c>
      <c r="F2" s="241">
        <v>43921</v>
      </c>
      <c r="G2" s="241">
        <v>43555</v>
      </c>
      <c r="H2" s="241">
        <v>43190</v>
      </c>
      <c r="I2" s="241">
        <v>42825</v>
      </c>
      <c r="J2" s="241">
        <v>42460</v>
      </c>
      <c r="K2" s="242"/>
    </row>
    <row r="3" spans="1:11" x14ac:dyDescent="0.2">
      <c r="A3" s="154" t="s">
        <v>68</v>
      </c>
      <c r="B3" s="155">
        <f>Financials_Standalone!C105</f>
        <v>41.79</v>
      </c>
      <c r="C3" s="155">
        <f>B3*(1+C4)</f>
        <v>52.237499999999997</v>
      </c>
      <c r="D3" s="155">
        <f>C3*(1+D4)</f>
        <v>60.07312499999999</v>
      </c>
      <c r="E3" s="156">
        <f>+D6*12%+E8</f>
        <v>69.842776910991034</v>
      </c>
      <c r="F3" s="156">
        <f t="shared" ref="F3:J3" si="0">+E6*12%+F8</f>
        <v>80.673035619153978</v>
      </c>
      <c r="G3" s="156">
        <f t="shared" si="0"/>
        <v>93.082125676884701</v>
      </c>
      <c r="H3" s="156">
        <f t="shared" si="0"/>
        <v>107.29133568085439</v>
      </c>
      <c r="I3" s="156">
        <f t="shared" si="0"/>
        <v>123.55213734649317</v>
      </c>
      <c r="J3" s="156">
        <f t="shared" si="0"/>
        <v>142.15022112977738</v>
      </c>
    </row>
    <row r="4" spans="1:11" x14ac:dyDescent="0.2">
      <c r="A4" s="43" t="s">
        <v>69</v>
      </c>
      <c r="B4" s="157"/>
      <c r="C4" s="158">
        <v>0.25</v>
      </c>
      <c r="D4" s="158">
        <v>0.15</v>
      </c>
      <c r="E4" s="44"/>
      <c r="F4" s="44"/>
      <c r="G4" s="44"/>
      <c r="H4" s="44"/>
      <c r="I4" s="44"/>
      <c r="J4" s="44"/>
    </row>
    <row r="5" spans="1:11" x14ac:dyDescent="0.2">
      <c r="A5" s="154" t="s">
        <v>70</v>
      </c>
      <c r="B5" s="155">
        <v>0</v>
      </c>
      <c r="C5" s="155">
        <v>0</v>
      </c>
      <c r="D5" s="155">
        <v>0</v>
      </c>
      <c r="E5" s="159">
        <f>E3*0.05</f>
        <v>3.4921388455495519</v>
      </c>
      <c r="F5" s="159">
        <f>F3*0.05</f>
        <v>4.0336517809576993</v>
      </c>
      <c r="G5" s="159">
        <f t="shared" ref="G5:J5" si="1">G3*0.05</f>
        <v>4.6541062838442349</v>
      </c>
      <c r="H5" s="159">
        <f t="shared" si="1"/>
        <v>5.3645667840427196</v>
      </c>
      <c r="I5" s="159">
        <f t="shared" si="1"/>
        <v>6.1776068673246591</v>
      </c>
      <c r="J5" s="159">
        <f t="shared" si="1"/>
        <v>7.1075110564888693</v>
      </c>
    </row>
    <row r="6" spans="1:11" x14ac:dyDescent="0.2">
      <c r="A6" s="154" t="s">
        <v>71</v>
      </c>
      <c r="B6" s="155">
        <f>Financials_Standalone!C12/(Financials_Standalone!C117/10^7)</f>
        <v>270.53320062562204</v>
      </c>
      <c r="C6" s="155">
        <f>B6+C3-C5</f>
        <v>322.77070062562206</v>
      </c>
      <c r="D6" s="155">
        <f>C6+D3-D5</f>
        <v>382.84382562562206</v>
      </c>
      <c r="E6" s="159">
        <f t="shared" ref="E6:J6" si="2">D6+E3-E5</f>
        <v>449.19446369106356</v>
      </c>
      <c r="F6" s="159">
        <f t="shared" si="2"/>
        <v>525.83384752925986</v>
      </c>
      <c r="G6" s="159">
        <f t="shared" si="2"/>
        <v>614.26186692230033</v>
      </c>
      <c r="H6" s="159">
        <f t="shared" si="2"/>
        <v>716.18863581911194</v>
      </c>
      <c r="I6" s="159">
        <f t="shared" si="2"/>
        <v>833.56316629828041</v>
      </c>
      <c r="J6" s="159">
        <f t="shared" si="2"/>
        <v>968.60587637156891</v>
      </c>
    </row>
    <row r="7" spans="1:11" x14ac:dyDescent="0.2">
      <c r="A7" s="154" t="s">
        <v>72</v>
      </c>
      <c r="B7" s="160"/>
      <c r="C7" s="45">
        <f>C3/B6</f>
        <v>0.19309090299895937</v>
      </c>
      <c r="D7" s="45">
        <f>D3/C6</f>
        <v>0.18611703256696183</v>
      </c>
      <c r="E7" s="46">
        <f t="shared" ref="E7:J7" si="3">E3/D6</f>
        <v>0.18243150923710957</v>
      </c>
      <c r="F7" s="46">
        <f t="shared" si="3"/>
        <v>0.17959490185221291</v>
      </c>
      <c r="G7" s="46">
        <f t="shared" si="3"/>
        <v>0.17701813246570283</v>
      </c>
      <c r="H7" s="46">
        <f t="shared" si="3"/>
        <v>0.1746670947008761</v>
      </c>
      <c r="I7" s="46">
        <f t="shared" si="3"/>
        <v>0.17251340103321436</v>
      </c>
      <c r="J7" s="46">
        <f t="shared" si="3"/>
        <v>0.17053323236563292</v>
      </c>
    </row>
    <row r="8" spans="1:11" x14ac:dyDescent="0.2">
      <c r="A8" s="154" t="s">
        <v>73</v>
      </c>
      <c r="B8" s="160"/>
      <c r="C8" s="155">
        <f>(C7-12%)*B6</f>
        <v>19.773515924925356</v>
      </c>
      <c r="D8" s="155">
        <f>(D7-12%)*C6</f>
        <v>21.340640924925342</v>
      </c>
      <c r="E8" s="159">
        <f>D8*(1+E9)</f>
        <v>23.901517835916387</v>
      </c>
      <c r="F8" s="159">
        <f t="shared" ref="F8:J8" si="4">E8*(1+F9)</f>
        <v>26.769699976226356</v>
      </c>
      <c r="G8" s="159">
        <f t="shared" si="4"/>
        <v>29.982063973373521</v>
      </c>
      <c r="H8" s="159">
        <f t="shared" si="4"/>
        <v>33.579911650178346</v>
      </c>
      <c r="I8" s="159">
        <f t="shared" si="4"/>
        <v>37.609501048199753</v>
      </c>
      <c r="J8" s="159">
        <f t="shared" si="4"/>
        <v>42.12264117398373</v>
      </c>
    </row>
    <row r="9" spans="1:11" x14ac:dyDescent="0.2">
      <c r="A9" s="154" t="s">
        <v>74</v>
      </c>
      <c r="B9" s="160"/>
      <c r="C9" s="160"/>
      <c r="D9" s="45">
        <f>D8/C8-1</f>
        <v>7.9253735448462148E-2</v>
      </c>
      <c r="E9" s="47">
        <f>B24</f>
        <v>0.12</v>
      </c>
      <c r="F9" s="47">
        <f>E9</f>
        <v>0.12</v>
      </c>
      <c r="G9" s="47">
        <f t="shared" ref="G9:J9" si="5">F9</f>
        <v>0.12</v>
      </c>
      <c r="H9" s="47">
        <f t="shared" si="5"/>
        <v>0.12</v>
      </c>
      <c r="I9" s="47">
        <f t="shared" si="5"/>
        <v>0.12</v>
      </c>
      <c r="J9" s="47">
        <f t="shared" si="5"/>
        <v>0.12</v>
      </c>
    </row>
    <row r="10" spans="1:11" x14ac:dyDescent="0.2">
      <c r="A10" s="154" t="s">
        <v>75</v>
      </c>
      <c r="B10" s="160"/>
      <c r="C10" s="160"/>
      <c r="D10" s="45">
        <f t="shared" ref="D10:J10" si="6">D3/C3-1</f>
        <v>0.14999999999999991</v>
      </c>
      <c r="E10" s="46">
        <f t="shared" si="6"/>
        <v>0.1626293273571342</v>
      </c>
      <c r="F10" s="46">
        <f t="shared" si="6"/>
        <v>0.15506626722424333</v>
      </c>
      <c r="G10" s="46">
        <f t="shared" si="6"/>
        <v>0.15381955026847249</v>
      </c>
      <c r="H10" s="46">
        <f t="shared" si="6"/>
        <v>0.15265240131380331</v>
      </c>
      <c r="I10" s="46">
        <f t="shared" si="6"/>
        <v>0.151557453940248</v>
      </c>
      <c r="J10" s="46">
        <f t="shared" si="6"/>
        <v>0.1505282238147545</v>
      </c>
    </row>
    <row r="11" spans="1:11" x14ac:dyDescent="0.2">
      <c r="B11" s="161"/>
      <c r="C11" s="161"/>
      <c r="D11" s="161"/>
    </row>
    <row r="12" spans="1:11" ht="12" thickBot="1" x14ac:dyDescent="0.25">
      <c r="A12" s="380" t="s">
        <v>76</v>
      </c>
      <c r="B12" s="380"/>
      <c r="C12" s="161"/>
      <c r="D12" s="48"/>
    </row>
    <row r="13" spans="1:11" x14ac:dyDescent="0.2">
      <c r="A13" s="49" t="s">
        <v>77</v>
      </c>
      <c r="B13" s="50"/>
    </row>
    <row r="14" spans="1:11" x14ac:dyDescent="0.2">
      <c r="A14" s="22" t="s">
        <v>78</v>
      </c>
      <c r="B14" s="162">
        <f>B6</f>
        <v>270.53320062562204</v>
      </c>
      <c r="C14" s="30"/>
    </row>
    <row r="15" spans="1:11" x14ac:dyDescent="0.2">
      <c r="A15" s="22" t="s">
        <v>79</v>
      </c>
      <c r="B15" s="180">
        <f>C8/1.12</f>
        <v>17.654924932969067</v>
      </c>
      <c r="C15" s="30"/>
    </row>
    <row r="16" spans="1:11" x14ac:dyDescent="0.2">
      <c r="A16" s="22" t="s">
        <v>80</v>
      </c>
      <c r="B16" s="180">
        <f>D8/(1.12*0.12)</f>
        <v>158.78453069140878</v>
      </c>
      <c r="C16" s="30"/>
    </row>
    <row r="17" spans="1:3" x14ac:dyDescent="0.2">
      <c r="A17" s="22" t="s">
        <v>81</v>
      </c>
      <c r="B17" s="163">
        <f>B14+B15+B16</f>
        <v>446.97265624999989</v>
      </c>
      <c r="C17" s="30"/>
    </row>
    <row r="18" spans="1:3" x14ac:dyDescent="0.2">
      <c r="A18" s="51" t="s">
        <v>82</v>
      </c>
      <c r="B18" s="164">
        <f>'Valuation Models DCF'!$G$22</f>
        <v>492</v>
      </c>
      <c r="C18" s="30"/>
    </row>
    <row r="19" spans="1:3" ht="12" thickBot="1" x14ac:dyDescent="0.25">
      <c r="A19" s="52" t="s">
        <v>83</v>
      </c>
      <c r="B19" s="165">
        <f>B18-B17</f>
        <v>45.027343750000114</v>
      </c>
    </row>
    <row r="20" spans="1:3" x14ac:dyDescent="0.2">
      <c r="A20" s="3"/>
      <c r="B20" s="36"/>
    </row>
    <row r="21" spans="1:3" x14ac:dyDescent="0.2">
      <c r="A21" s="380" t="s">
        <v>84</v>
      </c>
      <c r="B21" s="380"/>
      <c r="C21" s="380"/>
    </row>
    <row r="22" spans="1:3" x14ac:dyDescent="0.2">
      <c r="A22" s="166" t="s">
        <v>85</v>
      </c>
      <c r="B22" s="167" t="s">
        <v>474</v>
      </c>
      <c r="C22" s="167" t="s">
        <v>475</v>
      </c>
    </row>
    <row r="23" spans="1:3" x14ac:dyDescent="0.2">
      <c r="A23" s="56" t="s">
        <v>86</v>
      </c>
      <c r="B23" s="168">
        <f>C3</f>
        <v>52.237499999999997</v>
      </c>
      <c r="C23" s="168">
        <f>D3</f>
        <v>60.07312499999999</v>
      </c>
    </row>
    <row r="24" spans="1:3" x14ac:dyDescent="0.2">
      <c r="A24" s="2" t="s">
        <v>87</v>
      </c>
      <c r="B24" s="169">
        <v>0.12</v>
      </c>
    </row>
    <row r="25" spans="1:3" x14ac:dyDescent="0.2">
      <c r="A25" s="2" t="s">
        <v>88</v>
      </c>
      <c r="B25" s="170">
        <v>0</v>
      </c>
    </row>
    <row r="26" spans="1:3" x14ac:dyDescent="0.2">
      <c r="A26" s="2" t="s">
        <v>473</v>
      </c>
      <c r="B26" s="168">
        <f>B6</f>
        <v>270.53320062562204</v>
      </c>
    </row>
    <row r="27" spans="1:3" x14ac:dyDescent="0.2">
      <c r="A27" s="2" t="s">
        <v>89</v>
      </c>
      <c r="B27" s="169">
        <v>0.153</v>
      </c>
      <c r="C27" s="41"/>
    </row>
    <row r="29" spans="1:3" x14ac:dyDescent="0.2">
      <c r="A29" s="166" t="s">
        <v>58</v>
      </c>
      <c r="B29" s="171" t="s">
        <v>476</v>
      </c>
      <c r="C29" s="171" t="s">
        <v>474</v>
      </c>
    </row>
    <row r="30" spans="1:3" x14ac:dyDescent="0.2">
      <c r="A30" s="65" t="s">
        <v>90</v>
      </c>
      <c r="B30" s="172">
        <f>B26</f>
        <v>270.53320062562204</v>
      </c>
      <c r="C30" s="172">
        <f>B30+B31-B33</f>
        <v>322.77070062562206</v>
      </c>
    </row>
    <row r="31" spans="1:3" x14ac:dyDescent="0.2">
      <c r="A31" s="65" t="s">
        <v>86</v>
      </c>
      <c r="B31" s="172">
        <f>B23</f>
        <v>52.237499999999997</v>
      </c>
      <c r="C31" s="172">
        <f>C23</f>
        <v>60.07312499999999</v>
      </c>
    </row>
    <row r="32" spans="1:3" x14ac:dyDescent="0.2">
      <c r="A32" s="65" t="s">
        <v>91</v>
      </c>
      <c r="B32" s="173">
        <f>$B$25</f>
        <v>0</v>
      </c>
      <c r="C32" s="173">
        <f>$B$25</f>
        <v>0</v>
      </c>
    </row>
    <row r="33" spans="1:3" x14ac:dyDescent="0.2">
      <c r="A33" s="65" t="s">
        <v>92</v>
      </c>
      <c r="B33" s="172">
        <f>B31*B32</f>
        <v>0</v>
      </c>
      <c r="C33" s="172">
        <f>C31*C32</f>
        <v>0</v>
      </c>
    </row>
    <row r="34" spans="1:3" x14ac:dyDescent="0.2">
      <c r="A34" s="65" t="s">
        <v>93</v>
      </c>
      <c r="B34" s="174">
        <f>B31/B30</f>
        <v>0.19309090299895937</v>
      </c>
      <c r="C34" s="174">
        <f>C31/C30</f>
        <v>0.18611703256696183</v>
      </c>
    </row>
    <row r="35" spans="1:3" x14ac:dyDescent="0.2">
      <c r="A35" s="65" t="s">
        <v>94</v>
      </c>
      <c r="B35" s="175">
        <f>$B$27</f>
        <v>0.153</v>
      </c>
      <c r="C35" s="175">
        <f>$B$27</f>
        <v>0.153</v>
      </c>
    </row>
    <row r="36" spans="1:3" x14ac:dyDescent="0.2">
      <c r="A36" s="65" t="s">
        <v>95</v>
      </c>
      <c r="B36" s="174">
        <f t="shared" ref="B36:C36" si="7">B34-B35</f>
        <v>4.0090902998959371E-2</v>
      </c>
      <c r="C36" s="174">
        <f t="shared" si="7"/>
        <v>3.3117032566961829E-2</v>
      </c>
    </row>
    <row r="37" spans="1:3" x14ac:dyDescent="0.2">
      <c r="A37" s="166" t="s">
        <v>77</v>
      </c>
      <c r="B37" s="176"/>
      <c r="C37" s="176">
        <f>B30+((B36*B30)/(1+B27))+((C36*C30)/((1+B27)*(B27-B24)))</f>
        <v>560.87258337736444</v>
      </c>
    </row>
    <row r="38" spans="1:3" x14ac:dyDescent="0.2">
      <c r="A38" s="41" t="s">
        <v>96</v>
      </c>
      <c r="B38" s="177"/>
      <c r="C38" s="177">
        <f>$B$18</f>
        <v>492</v>
      </c>
    </row>
    <row r="39" spans="1:3" x14ac:dyDescent="0.2">
      <c r="A39" s="41" t="s">
        <v>97</v>
      </c>
      <c r="B39" s="177"/>
      <c r="C39" s="178">
        <f>C37/C38-1</f>
        <v>0.13998492556374886</v>
      </c>
    </row>
  </sheetData>
  <mergeCells count="3">
    <mergeCell ref="A1:J1"/>
    <mergeCell ref="A12:B12"/>
    <mergeCell ref="A21:C2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workbookViewId="0">
      <selection activeCell="G14" sqref="G14:H14"/>
    </sheetView>
  </sheetViews>
  <sheetFormatPr defaultColWidth="9.140625" defaultRowHeight="11.25" x14ac:dyDescent="0.2"/>
  <cols>
    <col min="1" max="2" width="9.140625" style="2"/>
    <col min="3" max="3" width="21.42578125" style="2" bestFit="1" customWidth="1"/>
    <col min="4" max="4" width="11" style="2" bestFit="1" customWidth="1"/>
    <col min="5" max="5" width="64.42578125" style="2" bestFit="1" customWidth="1"/>
    <col min="6" max="6" width="9.140625" style="2"/>
    <col min="7" max="7" width="34.28515625" style="2" bestFit="1" customWidth="1"/>
    <col min="8" max="8" width="9.140625" style="2"/>
    <col min="9" max="9" width="15.5703125" style="2" bestFit="1" customWidth="1"/>
    <col min="10" max="16384" width="9.140625" style="2"/>
  </cols>
  <sheetData>
    <row r="1" spans="1:9" ht="12" thickBot="1" x14ac:dyDescent="0.25">
      <c r="A1" s="17"/>
    </row>
    <row r="2" spans="1:9" x14ac:dyDescent="0.2">
      <c r="B2" s="381" t="s">
        <v>508</v>
      </c>
      <c r="C2" s="382"/>
      <c r="D2" s="382"/>
      <c r="E2" s="383"/>
    </row>
    <row r="3" spans="1:9" x14ac:dyDescent="0.2">
      <c r="B3" s="384" t="s">
        <v>615</v>
      </c>
      <c r="C3" s="385"/>
      <c r="D3" s="385"/>
      <c r="E3" s="386"/>
    </row>
    <row r="4" spans="1:9" x14ac:dyDescent="0.2">
      <c r="B4" s="18"/>
      <c r="C4" s="10" t="s">
        <v>100</v>
      </c>
      <c r="D4" s="181">
        <f>Financials_Consol!$B$77</f>
        <v>11560.810000000001</v>
      </c>
      <c r="E4" s="20" t="s">
        <v>101</v>
      </c>
    </row>
    <row r="5" spans="1:9" x14ac:dyDescent="0.2">
      <c r="B5" s="18"/>
      <c r="C5" s="10" t="s">
        <v>102</v>
      </c>
      <c r="D5" s="21">
        <f>AVERAGE('Ratio Analysis_Conso'!C98:E98)</f>
        <v>0.32865277463527259</v>
      </c>
      <c r="E5" s="20" t="s">
        <v>103</v>
      </c>
    </row>
    <row r="6" spans="1:9" x14ac:dyDescent="0.2">
      <c r="B6" s="22"/>
      <c r="C6" s="10" t="s">
        <v>104</v>
      </c>
      <c r="D6" s="237">
        <f>D4*D5</f>
        <v>3799.4922835312063</v>
      </c>
      <c r="E6" s="20"/>
    </row>
    <row r="7" spans="1:9" x14ac:dyDescent="0.2">
      <c r="B7" s="22" t="s">
        <v>105</v>
      </c>
      <c r="C7" s="10" t="s">
        <v>106</v>
      </c>
      <c r="D7" s="19">
        <f>-Financials_Standalone!$B$100</f>
        <v>0</v>
      </c>
      <c r="E7" s="20" t="s">
        <v>101</v>
      </c>
    </row>
    <row r="8" spans="1:9" x14ac:dyDescent="0.2">
      <c r="B8" s="22" t="s">
        <v>105</v>
      </c>
      <c r="C8" s="10" t="s">
        <v>107</v>
      </c>
      <c r="D8" s="181"/>
      <c r="E8" s="20" t="s">
        <v>108</v>
      </c>
    </row>
    <row r="9" spans="1:9" x14ac:dyDescent="0.2">
      <c r="B9" s="22" t="s">
        <v>105</v>
      </c>
      <c r="C9" s="10" t="s">
        <v>109</v>
      </c>
      <c r="D9" s="19">
        <v>0</v>
      </c>
      <c r="E9" s="20" t="s">
        <v>108</v>
      </c>
    </row>
    <row r="10" spans="1:9" s="3" customFormat="1" x14ac:dyDescent="0.2">
      <c r="B10" s="182"/>
      <c r="C10" s="183" t="s">
        <v>104</v>
      </c>
      <c r="D10" s="188">
        <f>SUM(D6:D9)</f>
        <v>3799.4922835312063</v>
      </c>
      <c r="E10" s="184"/>
    </row>
    <row r="11" spans="1:9" x14ac:dyDescent="0.2">
      <c r="B11" s="22" t="s">
        <v>110</v>
      </c>
      <c r="C11" s="10" t="s">
        <v>111</v>
      </c>
      <c r="D11" s="181">
        <f>D10*30.9%</f>
        <v>1174.0431156111426</v>
      </c>
      <c r="E11" s="20" t="s">
        <v>112</v>
      </c>
    </row>
    <row r="12" spans="1:9" s="3" customFormat="1" x14ac:dyDescent="0.2">
      <c r="B12" s="182"/>
      <c r="C12" s="183" t="s">
        <v>113</v>
      </c>
      <c r="D12" s="188">
        <f>D10-D11</f>
        <v>2625.4491679200637</v>
      </c>
      <c r="E12" s="185"/>
    </row>
    <row r="13" spans="1:9" ht="12" thickBot="1" x14ac:dyDescent="0.25">
      <c r="B13" s="22" t="s">
        <v>105</v>
      </c>
      <c r="C13" s="10" t="s">
        <v>114</v>
      </c>
      <c r="D13" s="19"/>
      <c r="E13" s="20" t="s">
        <v>477</v>
      </c>
    </row>
    <row r="14" spans="1:9" ht="12" thickBot="1" x14ac:dyDescent="0.25">
      <c r="B14" s="22" t="s">
        <v>110</v>
      </c>
      <c r="C14" s="10" t="s">
        <v>115</v>
      </c>
      <c r="D14" s="19">
        <f>-$I$19</f>
        <v>-391.57805387628156</v>
      </c>
      <c r="E14" s="20"/>
      <c r="G14" s="387" t="s">
        <v>116</v>
      </c>
      <c r="H14" s="388"/>
    </row>
    <row r="15" spans="1:9" x14ac:dyDescent="0.2">
      <c r="B15" s="22"/>
      <c r="C15" s="23" t="s">
        <v>117</v>
      </c>
      <c r="D15" s="238">
        <f>D12+D13-D14</f>
        <v>3017.0272217963452</v>
      </c>
      <c r="E15" s="20"/>
      <c r="G15" s="24" t="s">
        <v>118</v>
      </c>
      <c r="H15" s="25" t="s">
        <v>119</v>
      </c>
      <c r="I15" s="26">
        <f>1/'Ratio Analysis_Conso'!D36</f>
        <v>0.30861342835130218</v>
      </c>
    </row>
    <row r="16" spans="1:9" x14ac:dyDescent="0.2">
      <c r="B16" s="22"/>
      <c r="C16" s="23" t="s">
        <v>120</v>
      </c>
      <c r="D16" s="27">
        <v>0.1</v>
      </c>
      <c r="E16" s="20"/>
      <c r="G16" s="28" t="s">
        <v>121</v>
      </c>
      <c r="H16" s="29" t="s">
        <v>122</v>
      </c>
      <c r="I16" s="30">
        <f>Financials_Consol!C77-Financials_Consol!D77</f>
        <v>1436.8200000000015</v>
      </c>
    </row>
    <row r="17" spans="1:9" x14ac:dyDescent="0.2">
      <c r="B17" s="22"/>
      <c r="C17" s="31" t="s">
        <v>123</v>
      </c>
      <c r="D17" s="32">
        <f>D15/D16</f>
        <v>30170.272217963451</v>
      </c>
      <c r="E17" s="20"/>
      <c r="G17" s="28" t="s">
        <v>124</v>
      </c>
      <c r="H17" s="29" t="s">
        <v>125</v>
      </c>
      <c r="I17" s="30">
        <f>-'Common Size Analysis - CFS_Cons'!C65</f>
        <v>835</v>
      </c>
    </row>
    <row r="18" spans="1:9" x14ac:dyDescent="0.2">
      <c r="B18" s="22" t="s">
        <v>105</v>
      </c>
      <c r="C18" s="10" t="s">
        <v>126</v>
      </c>
      <c r="D18" s="181">
        <f>Financials_Consol!C45-Financials_Consol!C15-Financials_Consol!C21</f>
        <v>-235.09999999999997</v>
      </c>
      <c r="E18" s="20" t="s">
        <v>101</v>
      </c>
      <c r="G18" s="28" t="s">
        <v>127</v>
      </c>
      <c r="H18" s="29" t="s">
        <v>128</v>
      </c>
      <c r="I18" s="186">
        <f>I15*I16</f>
        <v>443.42194612371844</v>
      </c>
    </row>
    <row r="19" spans="1:9" ht="12" thickBot="1" x14ac:dyDescent="0.25">
      <c r="B19" s="22"/>
      <c r="C19" s="23" t="s">
        <v>129</v>
      </c>
      <c r="D19" s="187">
        <f>D17+D18</f>
        <v>29935.172217963453</v>
      </c>
      <c r="E19" s="33"/>
      <c r="G19" s="34" t="s">
        <v>115</v>
      </c>
      <c r="H19" s="35" t="s">
        <v>130</v>
      </c>
      <c r="I19" s="36">
        <f>I17-I18</f>
        <v>391.57805387628156</v>
      </c>
    </row>
    <row r="20" spans="1:9" x14ac:dyDescent="0.2">
      <c r="B20" s="22"/>
      <c r="C20" s="23" t="s">
        <v>131</v>
      </c>
      <c r="D20" s="301">
        <f>Financials_Standalone!$C$117/10000000</f>
        <v>14.066000000000001</v>
      </c>
      <c r="E20" s="20" t="s">
        <v>101</v>
      </c>
    </row>
    <row r="21" spans="1:9" ht="12" thickBot="1" x14ac:dyDescent="0.25">
      <c r="B21" s="38"/>
      <c r="C21" s="39" t="s">
        <v>132</v>
      </c>
      <c r="D21" s="192">
        <f>D19/D20</f>
        <v>2128.1936739629923</v>
      </c>
      <c r="E21" s="40"/>
    </row>
    <row r="22" spans="1:9" x14ac:dyDescent="0.2">
      <c r="A22" s="17"/>
      <c r="D22" s="2">
        <f>'Val Mod_Residual earnings_conso'!$B$18</f>
        <v>492</v>
      </c>
    </row>
    <row r="23" spans="1:9" x14ac:dyDescent="0.2">
      <c r="A23" s="17"/>
    </row>
    <row r="24" spans="1:9" x14ac:dyDescent="0.2">
      <c r="A24" s="17"/>
    </row>
    <row r="25" spans="1:9" x14ac:dyDescent="0.2">
      <c r="A25" s="17"/>
    </row>
  </sheetData>
  <mergeCells count="3">
    <mergeCell ref="B2:E2"/>
    <mergeCell ref="B3:E3"/>
    <mergeCell ref="G14:H14"/>
  </mergeCell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5"/>
  <sheetViews>
    <sheetView workbookViewId="0">
      <selection activeCell="D7" sqref="D7"/>
    </sheetView>
  </sheetViews>
  <sheetFormatPr defaultColWidth="9.140625" defaultRowHeight="11.25" x14ac:dyDescent="0.2"/>
  <cols>
    <col min="1" max="2" width="9.140625" style="2"/>
    <col min="3" max="3" width="21.42578125" style="2" bestFit="1" customWidth="1"/>
    <col min="4" max="4" width="13.85546875" style="2" bestFit="1" customWidth="1"/>
    <col min="5" max="5" width="64.42578125" style="2" bestFit="1" customWidth="1"/>
    <col min="6" max="6" width="9.140625" style="2"/>
    <col min="7" max="7" width="34.28515625" style="2" bestFit="1" customWidth="1"/>
    <col min="8" max="8" width="9.140625" style="2"/>
    <col min="9" max="9" width="12.5703125" style="2" bestFit="1" customWidth="1"/>
    <col min="10" max="16384" width="9.140625" style="2"/>
  </cols>
  <sheetData>
    <row r="1" spans="1:9" ht="12" thickBot="1" x14ac:dyDescent="0.25">
      <c r="A1" s="17"/>
    </row>
    <row r="2" spans="1:9" x14ac:dyDescent="0.2">
      <c r="B2" s="381" t="s">
        <v>509</v>
      </c>
      <c r="C2" s="382"/>
      <c r="D2" s="382"/>
      <c r="E2" s="383"/>
    </row>
    <row r="3" spans="1:9" x14ac:dyDescent="0.2">
      <c r="B3" s="384" t="s">
        <v>615</v>
      </c>
      <c r="C3" s="385"/>
      <c r="D3" s="385"/>
      <c r="E3" s="386"/>
    </row>
    <row r="4" spans="1:9" x14ac:dyDescent="0.2">
      <c r="B4" s="18"/>
      <c r="C4" s="10" t="s">
        <v>100</v>
      </c>
      <c r="D4" s="181">
        <f>Financials_Standalone!$C$77</f>
        <v>7871</v>
      </c>
      <c r="E4" s="20" t="s">
        <v>101</v>
      </c>
    </row>
    <row r="5" spans="1:9" x14ac:dyDescent="0.2">
      <c r="B5" s="18"/>
      <c r="C5" s="10" t="s">
        <v>102</v>
      </c>
      <c r="D5" s="21">
        <f>AVERAGE('Ratio Analysis'!C97:E97)</f>
        <v>0.13036437772945289</v>
      </c>
      <c r="E5" s="20" t="s">
        <v>103</v>
      </c>
    </row>
    <row r="6" spans="1:9" x14ac:dyDescent="0.2">
      <c r="B6" s="22"/>
      <c r="C6" s="10" t="s">
        <v>104</v>
      </c>
      <c r="D6" s="181">
        <f>D4*D5</f>
        <v>1026.0980171085237</v>
      </c>
      <c r="E6" s="20"/>
    </row>
    <row r="7" spans="1:9" x14ac:dyDescent="0.2">
      <c r="B7" s="22" t="s">
        <v>105</v>
      </c>
      <c r="C7" s="10" t="s">
        <v>106</v>
      </c>
      <c r="D7" s="19">
        <f>-Financials_Standalone!$C$100</f>
        <v>0</v>
      </c>
      <c r="E7" s="20" t="s">
        <v>101</v>
      </c>
    </row>
    <row r="8" spans="1:9" x14ac:dyDescent="0.2">
      <c r="B8" s="22" t="s">
        <v>105</v>
      </c>
      <c r="C8" s="10" t="s">
        <v>107</v>
      </c>
      <c r="D8" s="19"/>
      <c r="E8" s="20" t="s">
        <v>108</v>
      </c>
    </row>
    <row r="9" spans="1:9" x14ac:dyDescent="0.2">
      <c r="B9" s="22" t="s">
        <v>105</v>
      </c>
      <c r="C9" s="10" t="s">
        <v>109</v>
      </c>
      <c r="D9" s="19">
        <v>0</v>
      </c>
      <c r="E9" s="20" t="s">
        <v>108</v>
      </c>
    </row>
    <row r="10" spans="1:9" s="3" customFormat="1" x14ac:dyDescent="0.2">
      <c r="B10" s="182"/>
      <c r="C10" s="183" t="s">
        <v>104</v>
      </c>
      <c r="D10" s="188">
        <f>SUM(D6:D9)</f>
        <v>1026.0980171085237</v>
      </c>
      <c r="E10" s="184"/>
    </row>
    <row r="11" spans="1:9" x14ac:dyDescent="0.2">
      <c r="B11" s="22" t="s">
        <v>110</v>
      </c>
      <c r="C11" s="10" t="s">
        <v>111</v>
      </c>
      <c r="D11" s="181">
        <f>D10*25.75%</f>
        <v>264.22023940544483</v>
      </c>
      <c r="E11" s="20" t="s">
        <v>112</v>
      </c>
    </row>
    <row r="12" spans="1:9" s="3" customFormat="1" x14ac:dyDescent="0.2">
      <c r="B12" s="182"/>
      <c r="C12" s="183" t="s">
        <v>113</v>
      </c>
      <c r="D12" s="188">
        <f>D10-D11</f>
        <v>761.87777770307889</v>
      </c>
      <c r="E12" s="185"/>
    </row>
    <row r="13" spans="1:9" ht="12" thickBot="1" x14ac:dyDescent="0.25">
      <c r="B13" s="22" t="s">
        <v>105</v>
      </c>
      <c r="C13" s="10" t="s">
        <v>114</v>
      </c>
      <c r="D13" s="19"/>
      <c r="E13" s="20" t="s">
        <v>477</v>
      </c>
    </row>
    <row r="14" spans="1:9" ht="12" thickBot="1" x14ac:dyDescent="0.25">
      <c r="B14" s="22" t="s">
        <v>110</v>
      </c>
      <c r="C14" s="10" t="s">
        <v>115</v>
      </c>
      <c r="D14" s="19">
        <f>$I$19</f>
        <v>-486.07460547156245</v>
      </c>
      <c r="E14" s="20"/>
      <c r="G14" s="387" t="s">
        <v>116</v>
      </c>
      <c r="H14" s="388"/>
    </row>
    <row r="15" spans="1:9" x14ac:dyDescent="0.2">
      <c r="B15" s="22"/>
      <c r="C15" s="23" t="s">
        <v>117</v>
      </c>
      <c r="D15" s="191">
        <f>D12+D13-D14</f>
        <v>1247.9523831746415</v>
      </c>
      <c r="E15" s="20"/>
      <c r="G15" s="24" t="s">
        <v>118</v>
      </c>
      <c r="H15" s="25" t="s">
        <v>119</v>
      </c>
      <c r="I15" s="26">
        <f>1/'Ratio Analysis'!D36</f>
        <v>0.23687714394613135</v>
      </c>
    </row>
    <row r="16" spans="1:9" x14ac:dyDescent="0.2">
      <c r="B16" s="22"/>
      <c r="C16" s="23" t="s">
        <v>120</v>
      </c>
      <c r="D16" s="27">
        <v>0.1</v>
      </c>
      <c r="E16" s="20"/>
      <c r="G16" s="28" t="s">
        <v>121</v>
      </c>
      <c r="H16" s="29" t="s">
        <v>122</v>
      </c>
      <c r="I16" s="30">
        <f>Financials_Standalone!C73*12/9-Financials_Standalone!D73</f>
        <v>3668.8833333333341</v>
      </c>
    </row>
    <row r="17" spans="1:9" x14ac:dyDescent="0.2">
      <c r="B17" s="22"/>
      <c r="C17" s="31" t="s">
        <v>123</v>
      </c>
      <c r="D17" s="32">
        <f>D15/D16</f>
        <v>12479.523831746414</v>
      </c>
      <c r="E17" s="20"/>
      <c r="G17" s="28" t="s">
        <v>124</v>
      </c>
      <c r="H17" s="29" t="s">
        <v>125</v>
      </c>
      <c r="I17" s="30">
        <f>-('Common Size Analysis - CFS'!C64)</f>
        <v>383</v>
      </c>
    </row>
    <row r="18" spans="1:9" x14ac:dyDescent="0.2">
      <c r="B18" s="22" t="s">
        <v>105</v>
      </c>
      <c r="C18" s="10" t="s">
        <v>126</v>
      </c>
      <c r="D18" s="19">
        <f>Financials_Standalone!C43-Financials_Standalone!C14-Financials_Standalone!C20</f>
        <v>15.74</v>
      </c>
      <c r="E18" s="20" t="s">
        <v>101</v>
      </c>
      <c r="G18" s="28" t="s">
        <v>127</v>
      </c>
      <c r="H18" s="29" t="s">
        <v>128</v>
      </c>
      <c r="I18" s="186">
        <f>I15*I16</f>
        <v>869.07460547156245</v>
      </c>
    </row>
    <row r="19" spans="1:9" ht="12" thickBot="1" x14ac:dyDescent="0.25">
      <c r="B19" s="22"/>
      <c r="C19" s="23" t="s">
        <v>129</v>
      </c>
      <c r="D19" s="187">
        <f>D17+D18</f>
        <v>12495.263831746413</v>
      </c>
      <c r="E19" s="33"/>
      <c r="G19" s="34" t="s">
        <v>115</v>
      </c>
      <c r="H19" s="35" t="s">
        <v>130</v>
      </c>
      <c r="I19" s="36">
        <f>I17-I18</f>
        <v>-486.07460547156245</v>
      </c>
    </row>
    <row r="20" spans="1:9" x14ac:dyDescent="0.2">
      <c r="B20" s="22"/>
      <c r="C20" s="23" t="s">
        <v>131</v>
      </c>
      <c r="D20" s="37">
        <f>Financials_Standalone!$C$117/10000000</f>
        <v>14.066000000000001</v>
      </c>
      <c r="E20" s="20" t="s">
        <v>101</v>
      </c>
    </row>
    <row r="21" spans="1:9" ht="12" thickBot="1" x14ac:dyDescent="0.25">
      <c r="B21" s="38"/>
      <c r="C21" s="39" t="s">
        <v>132</v>
      </c>
      <c r="D21" s="192">
        <f>D19/D20</f>
        <v>888.33099898666376</v>
      </c>
      <c r="E21" s="40"/>
    </row>
    <row r="22" spans="1:9" x14ac:dyDescent="0.2">
      <c r="A22" s="17"/>
      <c r="D22" s="6">
        <f>'Valuation Models Residual'!B18</f>
        <v>492</v>
      </c>
    </row>
    <row r="23" spans="1:9" x14ac:dyDescent="0.2">
      <c r="A23" s="17"/>
    </row>
    <row r="24" spans="1:9" x14ac:dyDescent="0.2">
      <c r="A24" s="17"/>
    </row>
    <row r="25" spans="1:9" x14ac:dyDescent="0.2">
      <c r="A25" s="17"/>
    </row>
  </sheetData>
  <mergeCells count="3">
    <mergeCell ref="G14:H14"/>
    <mergeCell ref="B2:E2"/>
    <mergeCell ref="B3:E3"/>
  </mergeCell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0"/>
  <sheetViews>
    <sheetView workbookViewId="0">
      <selection activeCell="C7" sqref="C7"/>
    </sheetView>
  </sheetViews>
  <sheetFormatPr defaultColWidth="9.140625" defaultRowHeight="11.25" x14ac:dyDescent="0.2"/>
  <cols>
    <col min="1" max="1" width="2.140625" style="2" bestFit="1" customWidth="1"/>
    <col min="2" max="2" width="17" style="2" bestFit="1" customWidth="1"/>
    <col min="3" max="3" width="15.42578125" style="2" bestFit="1" customWidth="1"/>
    <col min="4" max="4" width="8.85546875" style="2" customWidth="1"/>
    <col min="5" max="6" width="9.140625" style="2"/>
    <col min="7" max="7" width="25.28515625" style="2" bestFit="1" customWidth="1"/>
    <col min="8" max="16384" width="9.140625" style="2"/>
  </cols>
  <sheetData>
    <row r="1" spans="1:8" x14ac:dyDescent="0.2">
      <c r="A1" s="3" t="s">
        <v>936</v>
      </c>
      <c r="F1" s="3" t="s">
        <v>928</v>
      </c>
    </row>
    <row r="3" spans="1:8" x14ac:dyDescent="0.2">
      <c r="C3" s="3" t="s">
        <v>512</v>
      </c>
      <c r="D3" s="3" t="s">
        <v>513</v>
      </c>
      <c r="F3" s="13">
        <v>1</v>
      </c>
      <c r="G3" s="2" t="s">
        <v>929</v>
      </c>
      <c r="H3" s="6">
        <v>54.9</v>
      </c>
    </row>
    <row r="4" spans="1:8" s="3" customFormat="1" x14ac:dyDescent="0.2">
      <c r="A4" s="3">
        <v>1</v>
      </c>
      <c r="B4" s="3" t="s">
        <v>133</v>
      </c>
      <c r="C4" s="5">
        <f>C5/C6</f>
        <v>10.196891191709845</v>
      </c>
      <c r="D4" s="5">
        <f>D5/D6</f>
        <v>11.760956175298805</v>
      </c>
      <c r="F4" s="13">
        <f>F3+1</f>
        <v>2</v>
      </c>
      <c r="G4" s="2" t="s">
        <v>930</v>
      </c>
      <c r="H4" s="6">
        <v>51.4</v>
      </c>
    </row>
    <row r="5" spans="1:8" x14ac:dyDescent="0.2">
      <c r="B5" s="2" t="s">
        <v>510</v>
      </c>
      <c r="C5" s="2">
        <f>'Valuation Models DCF'!G22</f>
        <v>492</v>
      </c>
      <c r="D5" s="2">
        <f>'Valuation Models DCF'!G22</f>
        <v>492</v>
      </c>
      <c r="F5" s="13">
        <f>F4+1</f>
        <v>3</v>
      </c>
      <c r="G5" s="2" t="s">
        <v>931</v>
      </c>
      <c r="H5" s="6">
        <v>27</v>
      </c>
    </row>
    <row r="6" spans="1:8" x14ac:dyDescent="0.2">
      <c r="B6" s="2" t="s">
        <v>511</v>
      </c>
      <c r="C6" s="6">
        <f>AVERAGE(Financials_Standalone!B105:B105)</f>
        <v>48.25</v>
      </c>
      <c r="D6" s="6">
        <f>AVERAGE(Financials_Consol!B108:G108)</f>
        <v>41.833333333333336</v>
      </c>
      <c r="F6" s="13">
        <f>F5+1</f>
        <v>4</v>
      </c>
      <c r="G6" s="2" t="s">
        <v>932</v>
      </c>
      <c r="H6" s="6">
        <v>31</v>
      </c>
    </row>
    <row r="7" spans="1:8" x14ac:dyDescent="0.2">
      <c r="F7" s="13">
        <f>F6+1</f>
        <v>5</v>
      </c>
      <c r="G7" s="2" t="s">
        <v>933</v>
      </c>
      <c r="H7" s="6">
        <v>26.8</v>
      </c>
    </row>
    <row r="8" spans="1:8" s="3" customFormat="1" x14ac:dyDescent="0.2">
      <c r="A8" s="3">
        <f>A4+1</f>
        <v>2</v>
      </c>
      <c r="B8" s="3" t="s">
        <v>134</v>
      </c>
      <c r="C8" s="5">
        <f>C9/C10</f>
        <v>0.40787564766839379</v>
      </c>
      <c r="D8" s="5">
        <f>D9/D10</f>
        <v>0.47043824701195219</v>
      </c>
      <c r="H8" s="5">
        <f>AVERAGE(H3:H7)</f>
        <v>38.220000000000006</v>
      </c>
    </row>
    <row r="9" spans="1:8" x14ac:dyDescent="0.2">
      <c r="B9" s="2" t="s">
        <v>133</v>
      </c>
      <c r="C9" s="6">
        <f>C4</f>
        <v>10.196891191709845</v>
      </c>
      <c r="D9" s="6">
        <f>D4</f>
        <v>11.760956175298805</v>
      </c>
    </row>
    <row r="10" spans="1:8" x14ac:dyDescent="0.2">
      <c r="B10" s="2" t="s">
        <v>514</v>
      </c>
      <c r="C10" s="2">
        <v>25</v>
      </c>
      <c r="D10" s="2">
        <v>25</v>
      </c>
    </row>
    <row r="12" spans="1:8" s="3" customFormat="1" x14ac:dyDescent="0.2">
      <c r="A12" s="3">
        <f>A8+1</f>
        <v>3</v>
      </c>
      <c r="B12" s="3" t="s">
        <v>135</v>
      </c>
      <c r="C12" s="5">
        <f>C13/C14</f>
        <v>1.8186307590426036</v>
      </c>
      <c r="D12" s="5">
        <f>D13/D14</f>
        <v>1.2104208024262735</v>
      </c>
    </row>
    <row r="13" spans="1:8" x14ac:dyDescent="0.2">
      <c r="B13" s="2" t="s">
        <v>510</v>
      </c>
      <c r="C13" s="6">
        <f>C5</f>
        <v>492</v>
      </c>
      <c r="D13" s="2">
        <f>D5</f>
        <v>492</v>
      </c>
    </row>
    <row r="14" spans="1:8" x14ac:dyDescent="0.2">
      <c r="B14" s="2" t="s">
        <v>515</v>
      </c>
      <c r="C14" s="6">
        <f>'Valuation Models Residual'!$B$6</f>
        <v>270.53320062562204</v>
      </c>
      <c r="D14" s="6">
        <f>'Val Mod_Residual earnings_conso'!$B$6</f>
        <v>406.4702118583819</v>
      </c>
    </row>
    <row r="16" spans="1:8" s="3" customFormat="1" x14ac:dyDescent="0.2">
      <c r="A16" s="3">
        <f>A12+1</f>
        <v>4</v>
      </c>
      <c r="B16" s="3" t="s">
        <v>136</v>
      </c>
      <c r="C16" s="5">
        <f>C17/C20</f>
        <v>0.78231456622372453</v>
      </c>
      <c r="D16" s="5">
        <f>D17/D20</f>
        <v>0.59861480294200831</v>
      </c>
    </row>
    <row r="17" spans="2:4" x14ac:dyDescent="0.2">
      <c r="B17" s="2" t="s">
        <v>510</v>
      </c>
      <c r="C17" s="2">
        <f>C5</f>
        <v>492</v>
      </c>
      <c r="D17" s="2">
        <f>D5</f>
        <v>492</v>
      </c>
    </row>
    <row r="18" spans="2:4" x14ac:dyDescent="0.2">
      <c r="B18" s="2" t="s">
        <v>400</v>
      </c>
      <c r="C18" s="6">
        <f>Financials_Standalone!B77</f>
        <v>8846.15</v>
      </c>
      <c r="D18" s="6">
        <f>Financials_Consol!$B$77</f>
        <v>11560.810000000001</v>
      </c>
    </row>
    <row r="19" spans="2:4" x14ac:dyDescent="0.2">
      <c r="B19" s="2" t="s">
        <v>487</v>
      </c>
      <c r="C19" s="6">
        <f>Financials_Standalone!$B$117/10^7</f>
        <v>14.066000000000001</v>
      </c>
      <c r="D19" s="6">
        <f>'Valuation Models EPV_conso'!D20</f>
        <v>14.066000000000001</v>
      </c>
    </row>
    <row r="20" spans="2:4" x14ac:dyDescent="0.2">
      <c r="B20" s="2" t="s">
        <v>516</v>
      </c>
      <c r="C20" s="6">
        <f>C18/C19</f>
        <v>628.90302857955351</v>
      </c>
      <c r="D20" s="6">
        <f>D18/D19</f>
        <v>821.89748329304712</v>
      </c>
    </row>
  </sheetData>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3"/>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9.140625" defaultRowHeight="11.25" x14ac:dyDescent="0.2"/>
  <cols>
    <col min="1" max="1" width="4.7109375" style="2" bestFit="1" customWidth="1"/>
    <col min="2" max="2" width="62.5703125" style="2" bestFit="1" customWidth="1"/>
    <col min="3" max="3" width="35.5703125" style="2" customWidth="1"/>
    <col min="4" max="16384" width="9.140625" style="2"/>
  </cols>
  <sheetData>
    <row r="1" spans="1:3" x14ac:dyDescent="0.2">
      <c r="A1" s="3" t="s">
        <v>10</v>
      </c>
    </row>
    <row r="3" spans="1:3" x14ac:dyDescent="0.2">
      <c r="A3" s="8" t="s">
        <v>0</v>
      </c>
      <c r="B3" s="8" t="s">
        <v>11</v>
      </c>
      <c r="C3" s="8" t="s">
        <v>21</v>
      </c>
    </row>
    <row r="4" spans="1:3" x14ac:dyDescent="0.2">
      <c r="A4" s="16">
        <v>1</v>
      </c>
      <c r="B4" s="10" t="s">
        <v>138</v>
      </c>
      <c r="C4" s="10"/>
    </row>
    <row r="5" spans="1:3" x14ac:dyDescent="0.2">
      <c r="A5" s="16">
        <f t="shared" ref="A5:A12" si="0">A4+1</f>
        <v>2</v>
      </c>
      <c r="B5" s="10" t="s">
        <v>139</v>
      </c>
      <c r="C5" s="16"/>
    </row>
    <row r="6" spans="1:3" x14ac:dyDescent="0.2">
      <c r="A6" s="16">
        <f t="shared" si="0"/>
        <v>3</v>
      </c>
      <c r="B6" s="10" t="s">
        <v>142</v>
      </c>
      <c r="C6" s="9" t="s">
        <v>425</v>
      </c>
    </row>
    <row r="7" spans="1:3" x14ac:dyDescent="0.2">
      <c r="A7" s="16">
        <f t="shared" si="0"/>
        <v>4</v>
      </c>
      <c r="B7" s="10" t="s">
        <v>12</v>
      </c>
      <c r="C7" s="9" t="s">
        <v>425</v>
      </c>
    </row>
    <row r="8" spans="1:3" x14ac:dyDescent="0.2">
      <c r="A8" s="16">
        <f t="shared" si="0"/>
        <v>5</v>
      </c>
      <c r="B8" s="10" t="s">
        <v>13</v>
      </c>
      <c r="C8" s="9" t="s">
        <v>425</v>
      </c>
    </row>
    <row r="9" spans="1:3" ht="22.5" x14ac:dyDescent="0.2">
      <c r="A9" s="16">
        <f t="shared" si="0"/>
        <v>6</v>
      </c>
      <c r="B9" s="11" t="s">
        <v>14</v>
      </c>
      <c r="C9" s="9" t="s">
        <v>425</v>
      </c>
    </row>
    <row r="10" spans="1:3" x14ac:dyDescent="0.2">
      <c r="A10" s="16">
        <f t="shared" si="0"/>
        <v>7</v>
      </c>
      <c r="B10" s="11" t="s">
        <v>140</v>
      </c>
      <c r="C10" s="10" t="s">
        <v>795</v>
      </c>
    </row>
    <row r="11" spans="1:3" x14ac:dyDescent="0.2">
      <c r="A11" s="16">
        <f t="shared" si="0"/>
        <v>8</v>
      </c>
      <c r="B11" s="11" t="s">
        <v>141</v>
      </c>
      <c r="C11" s="10" t="s">
        <v>796</v>
      </c>
    </row>
    <row r="12" spans="1:3" ht="33.75" x14ac:dyDescent="0.2">
      <c r="A12" s="16">
        <f t="shared" si="0"/>
        <v>9</v>
      </c>
      <c r="B12" s="11" t="s">
        <v>143</v>
      </c>
      <c r="C12" s="10" t="s">
        <v>425</v>
      </c>
    </row>
    <row r="13" spans="1:3" x14ac:dyDescent="0.2">
      <c r="A13" s="16">
        <f t="shared" ref="A13:A22" si="1">A12+1</f>
        <v>10</v>
      </c>
      <c r="B13" s="10" t="s">
        <v>15</v>
      </c>
      <c r="C13" s="10" t="s">
        <v>797</v>
      </c>
    </row>
    <row r="14" spans="1:3" x14ac:dyDescent="0.2">
      <c r="A14" s="16">
        <f t="shared" si="1"/>
        <v>11</v>
      </c>
      <c r="B14" s="10" t="s">
        <v>16</v>
      </c>
      <c r="C14" s="10" t="s">
        <v>798</v>
      </c>
    </row>
    <row r="15" spans="1:3" x14ac:dyDescent="0.2">
      <c r="A15" s="16">
        <f t="shared" si="1"/>
        <v>12</v>
      </c>
      <c r="B15" s="10" t="s">
        <v>137</v>
      </c>
      <c r="C15" s="10" t="s">
        <v>799</v>
      </c>
    </row>
    <row r="16" spans="1:3" x14ac:dyDescent="0.2">
      <c r="A16" s="16">
        <f t="shared" si="1"/>
        <v>13</v>
      </c>
      <c r="B16" s="10" t="s">
        <v>144</v>
      </c>
      <c r="C16" s="10" t="s">
        <v>800</v>
      </c>
    </row>
    <row r="17" spans="1:5" ht="56.25" x14ac:dyDescent="0.2">
      <c r="A17" s="16">
        <f t="shared" si="1"/>
        <v>14</v>
      </c>
      <c r="B17" s="11" t="s">
        <v>145</v>
      </c>
      <c r="C17" s="12" t="s">
        <v>801</v>
      </c>
    </row>
    <row r="18" spans="1:5" x14ac:dyDescent="0.2">
      <c r="A18" s="16">
        <f t="shared" si="1"/>
        <v>15</v>
      </c>
      <c r="B18" s="10" t="s">
        <v>146</v>
      </c>
      <c r="C18" s="10" t="s">
        <v>425</v>
      </c>
    </row>
    <row r="19" spans="1:5" ht="33.75" x14ac:dyDescent="0.2">
      <c r="A19" s="16">
        <f t="shared" si="1"/>
        <v>16</v>
      </c>
      <c r="B19" s="10" t="s">
        <v>3</v>
      </c>
      <c r="C19" s="11" t="s">
        <v>802</v>
      </c>
    </row>
    <row r="20" spans="1:5" x14ac:dyDescent="0.2">
      <c r="A20" s="16">
        <f t="shared" si="1"/>
        <v>17</v>
      </c>
      <c r="B20" s="10" t="s">
        <v>4</v>
      </c>
      <c r="C20" s="10" t="s">
        <v>756</v>
      </c>
    </row>
    <row r="21" spans="1:5" x14ac:dyDescent="0.2">
      <c r="A21" s="16">
        <f t="shared" si="1"/>
        <v>18</v>
      </c>
      <c r="B21" s="10" t="s">
        <v>5</v>
      </c>
      <c r="C21" s="10" t="s">
        <v>803</v>
      </c>
    </row>
    <row r="22" spans="1:5" x14ac:dyDescent="0.2">
      <c r="A22" s="16">
        <f t="shared" si="1"/>
        <v>19</v>
      </c>
      <c r="B22" s="10" t="s">
        <v>6</v>
      </c>
      <c r="C22" s="10" t="s">
        <v>348</v>
      </c>
      <c r="D22" s="2" t="s">
        <v>512</v>
      </c>
      <c r="E22" s="15">
        <f>'Common Size Analysis - CFS'!$A$45</f>
        <v>0.70452986316285648</v>
      </c>
    </row>
    <row r="23" spans="1:5" x14ac:dyDescent="0.2">
      <c r="A23" s="10"/>
      <c r="B23" s="10"/>
      <c r="C23" s="10"/>
      <c r="D23" s="2" t="s">
        <v>804</v>
      </c>
      <c r="E23" s="15">
        <f>'Common Size Analysis - CFS_Cons'!$A$46</f>
        <v>0.95486993897392036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3"/>
  <sheetViews>
    <sheetView workbookViewId="0">
      <selection activeCell="C1" sqref="C1"/>
    </sheetView>
  </sheetViews>
  <sheetFormatPr defaultColWidth="9.140625" defaultRowHeight="11.25" x14ac:dyDescent="0.2"/>
  <cols>
    <col min="1" max="1" width="2.140625" style="2" bestFit="1" customWidth="1"/>
    <col min="2" max="2" width="27.28515625" style="2" bestFit="1" customWidth="1"/>
    <col min="3" max="6" width="80.5703125" style="2" customWidth="1"/>
    <col min="7" max="7" width="2.140625" style="2" bestFit="1" customWidth="1"/>
    <col min="8" max="16384" width="9.140625" style="2"/>
  </cols>
  <sheetData>
    <row r="1" spans="1:8" x14ac:dyDescent="0.2">
      <c r="A1" s="3" t="s">
        <v>18</v>
      </c>
      <c r="G1" s="13" t="s">
        <v>669</v>
      </c>
      <c r="H1" s="2" t="s">
        <v>727</v>
      </c>
    </row>
    <row r="2" spans="1:8" x14ac:dyDescent="0.2">
      <c r="G2" s="2" t="s">
        <v>670</v>
      </c>
      <c r="H2" s="2" t="s">
        <v>728</v>
      </c>
    </row>
    <row r="3" spans="1:8" x14ac:dyDescent="0.2">
      <c r="A3" s="3" t="s">
        <v>759</v>
      </c>
      <c r="C3" s="139" t="s">
        <v>787</v>
      </c>
      <c r="D3" s="139"/>
      <c r="E3" s="139"/>
      <c r="F3" s="139"/>
      <c r="G3" s="2" t="s">
        <v>671</v>
      </c>
      <c r="H3" s="2" t="s">
        <v>729</v>
      </c>
    </row>
    <row r="4" spans="1:8" x14ac:dyDescent="0.2">
      <c r="A4" s="13">
        <v>1</v>
      </c>
      <c r="B4" s="2" t="s">
        <v>760</v>
      </c>
      <c r="C4" s="389" t="s">
        <v>788</v>
      </c>
      <c r="D4" s="244"/>
      <c r="E4" s="244"/>
      <c r="F4" s="244"/>
      <c r="G4" s="2" t="s">
        <v>672</v>
      </c>
      <c r="H4" s="2" t="s">
        <v>730</v>
      </c>
    </row>
    <row r="5" spans="1:8" ht="15" x14ac:dyDescent="0.2">
      <c r="A5" s="13">
        <f>A4+1</f>
        <v>2</v>
      </c>
      <c r="B5" s="2" t="s">
        <v>761</v>
      </c>
      <c r="C5" s="390"/>
      <c r="D5" s="247"/>
      <c r="E5" s="247"/>
      <c r="F5" s="247"/>
      <c r="G5" s="2" t="s">
        <v>673</v>
      </c>
      <c r="H5" s="2" t="s">
        <v>731</v>
      </c>
    </row>
    <row r="6" spans="1:8" ht="15" x14ac:dyDescent="0.2">
      <c r="A6" s="13">
        <f t="shared" ref="A6:A8" si="0">A5+1</f>
        <v>3</v>
      </c>
      <c r="B6" s="2" t="s">
        <v>762</v>
      </c>
      <c r="C6" s="390"/>
      <c r="D6" s="247"/>
      <c r="E6" s="247"/>
      <c r="F6" s="247"/>
    </row>
    <row r="7" spans="1:8" ht="15" x14ac:dyDescent="0.2">
      <c r="A7" s="13">
        <f t="shared" si="0"/>
        <v>4</v>
      </c>
      <c r="B7" s="2" t="s">
        <v>763</v>
      </c>
      <c r="C7" s="390"/>
      <c r="D7" s="247"/>
      <c r="E7" s="247"/>
      <c r="F7" s="247"/>
    </row>
    <row r="8" spans="1:8" ht="15" x14ac:dyDescent="0.2">
      <c r="A8" s="13">
        <f t="shared" si="0"/>
        <v>5</v>
      </c>
      <c r="B8" s="2" t="s">
        <v>764</v>
      </c>
      <c r="C8" s="390"/>
      <c r="D8" s="247"/>
      <c r="E8" s="247"/>
      <c r="F8" s="247"/>
    </row>
    <row r="10" spans="1:8" x14ac:dyDescent="0.2">
      <c r="A10" s="3" t="s">
        <v>765</v>
      </c>
      <c r="C10" s="3" t="s">
        <v>792</v>
      </c>
      <c r="D10" s="3"/>
      <c r="E10" s="3"/>
      <c r="F10" s="3"/>
    </row>
    <row r="11" spans="1:8" x14ac:dyDescent="0.2">
      <c r="A11" s="13">
        <v>1</v>
      </c>
      <c r="B11" s="2" t="s">
        <v>766</v>
      </c>
      <c r="C11" s="389" t="s">
        <v>786</v>
      </c>
      <c r="D11" s="244"/>
      <c r="E11" s="244"/>
      <c r="F11" s="244"/>
    </row>
    <row r="12" spans="1:8" ht="15" x14ac:dyDescent="0.2">
      <c r="A12" s="13">
        <f>A11+1</f>
        <v>2</v>
      </c>
      <c r="B12" s="2" t="s">
        <v>767</v>
      </c>
      <c r="C12" s="390"/>
      <c r="D12" s="247"/>
      <c r="E12" s="247"/>
      <c r="F12" s="247"/>
    </row>
    <row r="13" spans="1:8" ht="15" x14ac:dyDescent="0.2">
      <c r="A13" s="13">
        <f t="shared" ref="A13:A15" si="1">A12+1</f>
        <v>3</v>
      </c>
      <c r="B13" s="2" t="s">
        <v>768</v>
      </c>
      <c r="C13" s="390"/>
      <c r="D13" s="247"/>
      <c r="E13" s="247"/>
      <c r="F13" s="247"/>
    </row>
    <row r="14" spans="1:8" ht="15" x14ac:dyDescent="0.2">
      <c r="A14" s="13">
        <f t="shared" si="1"/>
        <v>4</v>
      </c>
      <c r="B14" s="2" t="s">
        <v>769</v>
      </c>
      <c r="C14" s="390"/>
      <c r="D14" s="247"/>
      <c r="E14" s="247"/>
      <c r="F14" s="247"/>
    </row>
    <row r="15" spans="1:8" ht="15" x14ac:dyDescent="0.2">
      <c r="A15" s="13">
        <f t="shared" si="1"/>
        <v>5</v>
      </c>
      <c r="B15" s="2" t="s">
        <v>770</v>
      </c>
      <c r="C15" s="390"/>
      <c r="D15" s="247"/>
      <c r="E15" s="247"/>
      <c r="F15" s="247"/>
    </row>
    <row r="16" spans="1:8" x14ac:dyDescent="0.2">
      <c r="A16" s="13"/>
    </row>
    <row r="17" spans="1:6" x14ac:dyDescent="0.2">
      <c r="A17" s="3" t="s">
        <v>771</v>
      </c>
      <c r="C17" s="3" t="s">
        <v>789</v>
      </c>
      <c r="D17" s="3"/>
      <c r="E17" s="3"/>
      <c r="F17" s="3"/>
    </row>
    <row r="18" spans="1:6" x14ac:dyDescent="0.2">
      <c r="A18" s="13">
        <v>1</v>
      </c>
      <c r="B18" s="2" t="s">
        <v>772</v>
      </c>
      <c r="C18" s="389" t="s">
        <v>790</v>
      </c>
      <c r="D18" s="244"/>
      <c r="E18" s="244"/>
      <c r="F18" s="244"/>
    </row>
    <row r="19" spans="1:6" ht="15" x14ac:dyDescent="0.2">
      <c r="A19" s="13">
        <f>A18+1</f>
        <v>2</v>
      </c>
      <c r="B19" s="2" t="s">
        <v>773</v>
      </c>
      <c r="C19" s="390"/>
      <c r="D19" s="247"/>
      <c r="E19" s="247"/>
      <c r="F19" s="247"/>
    </row>
    <row r="20" spans="1:6" ht="15" x14ac:dyDescent="0.2">
      <c r="A20" s="13">
        <f>A19+1</f>
        <v>3</v>
      </c>
      <c r="B20" s="2" t="s">
        <v>774</v>
      </c>
      <c r="C20" s="390"/>
      <c r="D20" s="247"/>
      <c r="E20" s="247"/>
      <c r="F20" s="247"/>
    </row>
    <row r="21" spans="1:6" ht="15" x14ac:dyDescent="0.2">
      <c r="A21" s="13">
        <f t="shared" ref="A21:A22" si="2">A20+1</f>
        <v>4</v>
      </c>
      <c r="B21" s="2" t="s">
        <v>775</v>
      </c>
      <c r="C21" s="390"/>
      <c r="D21" s="247"/>
      <c r="E21" s="247"/>
      <c r="F21" s="247"/>
    </row>
    <row r="22" spans="1:6" ht="15" x14ac:dyDescent="0.2">
      <c r="A22" s="13">
        <f t="shared" si="2"/>
        <v>5</v>
      </c>
      <c r="B22" s="2" t="s">
        <v>776</v>
      </c>
      <c r="C22" s="390"/>
      <c r="D22" s="247"/>
      <c r="E22" s="247"/>
      <c r="F22" s="247"/>
    </row>
    <row r="23" spans="1:6" x14ac:dyDescent="0.2">
      <c r="A23" s="13"/>
    </row>
    <row r="24" spans="1:6" x14ac:dyDescent="0.2">
      <c r="A24" s="3" t="s">
        <v>777</v>
      </c>
      <c r="C24" s="3" t="s">
        <v>791</v>
      </c>
    </row>
    <row r="25" spans="1:6" x14ac:dyDescent="0.2">
      <c r="A25" s="13">
        <v>1</v>
      </c>
      <c r="B25" s="2" t="s">
        <v>778</v>
      </c>
      <c r="C25" s="391" t="s">
        <v>785</v>
      </c>
      <c r="D25" s="243"/>
      <c r="E25" s="243"/>
      <c r="F25" s="243"/>
    </row>
    <row r="26" spans="1:6" ht="15" x14ac:dyDescent="0.25">
      <c r="A26" s="13">
        <f>A25+1</f>
        <v>2</v>
      </c>
      <c r="B26" s="2" t="s">
        <v>779</v>
      </c>
      <c r="C26" s="392"/>
      <c r="D26" s="246"/>
      <c r="E26" s="246"/>
      <c r="F26" s="246"/>
    </row>
    <row r="28" spans="1:6" x14ac:dyDescent="0.2">
      <c r="A28" s="3" t="s">
        <v>780</v>
      </c>
      <c r="C28" s="3" t="s">
        <v>791</v>
      </c>
      <c r="D28" s="3"/>
      <c r="E28" s="3"/>
      <c r="F28" s="3"/>
    </row>
    <row r="29" spans="1:6" x14ac:dyDescent="0.2">
      <c r="A29" s="13">
        <v>1</v>
      </c>
      <c r="B29" s="2" t="s">
        <v>781</v>
      </c>
      <c r="C29" s="389" t="s">
        <v>784</v>
      </c>
      <c r="D29" s="244"/>
      <c r="E29" s="244"/>
      <c r="F29" s="244"/>
    </row>
    <row r="30" spans="1:6" ht="15" x14ac:dyDescent="0.2">
      <c r="A30" s="13">
        <f>A29+1</f>
        <v>2</v>
      </c>
      <c r="B30" s="2" t="s">
        <v>782</v>
      </c>
      <c r="C30" s="390"/>
      <c r="D30" s="247"/>
      <c r="E30" s="247"/>
      <c r="F30" s="247"/>
    </row>
    <row r="31" spans="1:6" ht="15" x14ac:dyDescent="0.2">
      <c r="A31" s="13">
        <f>A30+1</f>
        <v>3</v>
      </c>
      <c r="B31" s="2" t="s">
        <v>775</v>
      </c>
      <c r="C31" s="390"/>
      <c r="D31" s="247"/>
      <c r="E31" s="247"/>
      <c r="F31" s="247"/>
    </row>
    <row r="32" spans="1:6" ht="15" x14ac:dyDescent="0.2">
      <c r="A32" s="13">
        <f>A31+1</f>
        <v>4</v>
      </c>
      <c r="B32" s="2" t="s">
        <v>783</v>
      </c>
      <c r="C32" s="390"/>
      <c r="D32" s="247"/>
      <c r="E32" s="247"/>
      <c r="F32" s="247"/>
    </row>
    <row r="33" spans="1:1" x14ac:dyDescent="0.2">
      <c r="A33" s="13"/>
    </row>
  </sheetData>
  <mergeCells count="5">
    <mergeCell ref="C4:C8"/>
    <mergeCell ref="C18:C22"/>
    <mergeCell ref="C29:C32"/>
    <mergeCell ref="C25:C26"/>
    <mergeCell ref="C11:C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ColWidth="9.140625" defaultRowHeight="11.25" x14ac:dyDescent="0.2"/>
  <cols>
    <col min="1" max="16384" width="9.140625" style="2"/>
  </cols>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39"/>
  <sheetViews>
    <sheetView workbookViewId="0">
      <pane xSplit="2" ySplit="3" topLeftCell="C26" activePane="bottomRight" state="frozen"/>
      <selection pane="topRight" activeCell="C1" sqref="C1"/>
      <selection pane="bottomLeft" activeCell="A4" sqref="A4"/>
      <selection pane="bottomRight" activeCell="D29" sqref="D29:D31"/>
    </sheetView>
  </sheetViews>
  <sheetFormatPr defaultColWidth="9.140625" defaultRowHeight="11.25" x14ac:dyDescent="0.2"/>
  <cols>
    <col min="1" max="1" width="5.5703125" style="2" customWidth="1"/>
    <col min="2" max="2" width="70" style="2" bestFit="1" customWidth="1"/>
    <col min="3" max="3" width="13.28515625" style="2" bestFit="1" customWidth="1"/>
    <col min="4" max="4" width="13.28515625" style="2" customWidth="1"/>
    <col min="5" max="5" width="9.85546875" style="2" bestFit="1" customWidth="1"/>
    <col min="6" max="10" width="9.140625" style="2"/>
    <col min="11" max="11" width="9.28515625" style="2" bestFit="1" customWidth="1"/>
    <col min="12" max="16384" width="9.140625" style="2"/>
  </cols>
  <sheetData>
    <row r="1" spans="1:13" x14ac:dyDescent="0.2">
      <c r="A1" s="3" t="s">
        <v>19</v>
      </c>
    </row>
    <row r="3" spans="1:13" x14ac:dyDescent="0.2">
      <c r="A3" s="8" t="s">
        <v>0</v>
      </c>
      <c r="B3" s="8" t="s">
        <v>11</v>
      </c>
      <c r="C3" s="8" t="s">
        <v>21</v>
      </c>
      <c r="D3" s="248">
        <v>45717</v>
      </c>
      <c r="E3" s="248" t="s">
        <v>637</v>
      </c>
      <c r="F3" s="248">
        <v>45016</v>
      </c>
      <c r="G3" s="248">
        <v>44651</v>
      </c>
      <c r="H3" s="248">
        <v>44286</v>
      </c>
      <c r="I3" s="248">
        <v>43921</v>
      </c>
      <c r="J3" s="248">
        <v>43555</v>
      </c>
      <c r="K3" s="142" t="s">
        <v>433</v>
      </c>
    </row>
    <row r="4" spans="1:13" s="3" customFormat="1" x14ac:dyDescent="0.2">
      <c r="A4" s="16">
        <v>1</v>
      </c>
      <c r="B4" s="31" t="s">
        <v>422</v>
      </c>
      <c r="C4" s="31" t="s">
        <v>425</v>
      </c>
      <c r="D4" s="31"/>
      <c r="E4" s="31"/>
      <c r="F4" s="31"/>
      <c r="G4" s="31"/>
      <c r="H4" s="31"/>
      <c r="I4" s="31"/>
      <c r="J4" s="31"/>
      <c r="K4" s="31"/>
    </row>
    <row r="5" spans="1:13" s="3" customFormat="1" x14ac:dyDescent="0.2">
      <c r="A5" s="16"/>
      <c r="B5" s="31"/>
      <c r="C5" s="31"/>
      <c r="D5" s="31"/>
      <c r="E5" s="31"/>
      <c r="F5" s="31"/>
      <c r="G5" s="31"/>
      <c r="H5" s="31"/>
      <c r="I5" s="31"/>
      <c r="J5" s="31"/>
      <c r="K5" s="31"/>
    </row>
    <row r="6" spans="1:13" s="3" customFormat="1" x14ac:dyDescent="0.2">
      <c r="A6" s="16"/>
      <c r="B6" s="31" t="s">
        <v>512</v>
      </c>
      <c r="C6" s="31"/>
      <c r="D6" s="31"/>
      <c r="E6" s="31"/>
      <c r="F6" s="31"/>
      <c r="G6" s="31"/>
      <c r="H6" s="31"/>
      <c r="I6" s="31"/>
      <c r="J6" s="31"/>
      <c r="K6" s="31"/>
    </row>
    <row r="7" spans="1:13" x14ac:dyDescent="0.2">
      <c r="A7" s="31"/>
      <c r="B7" s="10" t="s">
        <v>400</v>
      </c>
      <c r="C7" s="10"/>
      <c r="D7" s="144">
        <f>Financials_Standalone!B77</f>
        <v>8846.15</v>
      </c>
      <c r="E7" s="144">
        <f>Financials_Standalone!C77</f>
        <v>7871</v>
      </c>
      <c r="F7" s="144">
        <f>Financials_Standalone!D77</f>
        <v>6767.51</v>
      </c>
      <c r="G7" s="144">
        <f>Financials_Standalone!E77</f>
        <v>5697.09</v>
      </c>
      <c r="H7" s="144">
        <f>Financials_Standalone!F77</f>
        <v>4773.04</v>
      </c>
      <c r="I7" s="144">
        <f>Financials_Standalone!G77</f>
        <v>4938.57</v>
      </c>
      <c r="J7" s="144">
        <f>Financials_Standalone!H77</f>
        <v>5417.46</v>
      </c>
      <c r="K7" s="10"/>
      <c r="M7" s="15"/>
    </row>
    <row r="8" spans="1:13" s="3" customFormat="1" x14ac:dyDescent="0.2">
      <c r="A8" s="31"/>
      <c r="B8" s="31" t="s">
        <v>423</v>
      </c>
      <c r="C8" s="31"/>
      <c r="D8" s="143">
        <f t="shared" ref="D8:I8" si="0">(D7-E7)/E7</f>
        <v>0.12389150044467026</v>
      </c>
      <c r="E8" s="143">
        <f t="shared" si="0"/>
        <v>0.16305701801696632</v>
      </c>
      <c r="F8" s="143">
        <f t="shared" si="0"/>
        <v>0.18788890468642763</v>
      </c>
      <c r="G8" s="143">
        <f t="shared" si="0"/>
        <v>0.1935977909256994</v>
      </c>
      <c r="H8" s="143">
        <f t="shared" si="0"/>
        <v>-3.351779968695387E-2</v>
      </c>
      <c r="I8" s="143">
        <f t="shared" si="0"/>
        <v>-8.8397514702462099E-2</v>
      </c>
      <c r="J8" s="31"/>
      <c r="K8" s="31"/>
    </row>
    <row r="9" spans="1:13" x14ac:dyDescent="0.2">
      <c r="A9" s="31"/>
      <c r="B9" s="10" t="s">
        <v>424</v>
      </c>
      <c r="C9" s="10"/>
      <c r="D9" s="10">
        <f>Financials_Standalone!B42</f>
        <v>1132.25</v>
      </c>
      <c r="E9" s="10">
        <f>Financials_Standalone!C42</f>
        <v>1068.44</v>
      </c>
      <c r="F9" s="10">
        <f>Financials_Standalone!D42</f>
        <v>848.8</v>
      </c>
      <c r="G9" s="10">
        <f>Financials_Standalone!E42</f>
        <v>801.09</v>
      </c>
      <c r="H9" s="10">
        <f>Financials_Standalone!F42</f>
        <v>812.51</v>
      </c>
      <c r="I9" s="10">
        <f>Financials_Standalone!G42</f>
        <v>473.76</v>
      </c>
      <c r="J9" s="10">
        <f>Financials_Standalone!H42</f>
        <v>694.76</v>
      </c>
      <c r="K9" s="10"/>
      <c r="M9" s="15"/>
    </row>
    <row r="10" spans="1:13" x14ac:dyDescent="0.2">
      <c r="A10" s="31"/>
      <c r="B10" s="31" t="s">
        <v>423</v>
      </c>
      <c r="C10" s="10"/>
      <c r="D10" s="143">
        <f t="shared" ref="D10:E10" si="1">(D9-E9)/E9</f>
        <v>5.9722586200441713E-2</v>
      </c>
      <c r="E10" s="143">
        <f t="shared" si="1"/>
        <v>0.25876531573986816</v>
      </c>
      <c r="F10" s="143">
        <f t="shared" ref="F10" si="2">(F9-G9)/G9</f>
        <v>5.9556354467038559E-2</v>
      </c>
      <c r="G10" s="143">
        <f t="shared" ref="G10" si="3">(G9-H9)/H9</f>
        <v>-1.4055211628164527E-2</v>
      </c>
      <c r="H10" s="143">
        <f>(H9-I9)/I9</f>
        <v>0.71502448497129345</v>
      </c>
      <c r="I10" s="143">
        <f>(I9-J9)/J9</f>
        <v>-0.31809545742414647</v>
      </c>
      <c r="J10" s="10"/>
      <c r="K10" s="10"/>
    </row>
    <row r="11" spans="1:13" x14ac:dyDescent="0.2">
      <c r="A11" s="31"/>
      <c r="B11" s="31"/>
      <c r="C11" s="10"/>
      <c r="D11" s="10"/>
      <c r="E11" s="143"/>
      <c r="F11" s="143"/>
      <c r="G11" s="143"/>
      <c r="H11" s="143"/>
      <c r="I11" s="10"/>
      <c r="J11" s="10"/>
      <c r="K11" s="10"/>
    </row>
    <row r="12" spans="1:13" x14ac:dyDescent="0.2">
      <c r="A12" s="31"/>
      <c r="B12" s="31" t="s">
        <v>513</v>
      </c>
      <c r="C12" s="10"/>
      <c r="D12" s="10"/>
      <c r="E12" s="143"/>
      <c r="F12" s="143"/>
      <c r="G12" s="143"/>
      <c r="H12" s="143"/>
      <c r="I12" s="10"/>
      <c r="J12" s="10"/>
      <c r="K12" s="10"/>
    </row>
    <row r="13" spans="1:13" x14ac:dyDescent="0.2">
      <c r="A13" s="31"/>
      <c r="B13" s="10" t="s">
        <v>400</v>
      </c>
      <c r="C13" s="10"/>
      <c r="D13" s="10">
        <f>Financials_Consol!B77</f>
        <v>11560.810000000001</v>
      </c>
      <c r="E13" s="10">
        <f>Financials_Consol!C77</f>
        <v>10240.870000000001</v>
      </c>
      <c r="F13" s="10">
        <f>Financials_Consol!D77</f>
        <v>8804.0499999999993</v>
      </c>
      <c r="G13" s="10">
        <f>Financials_Consol!E77</f>
        <v>7549.15</v>
      </c>
      <c r="H13" s="10">
        <f>Financials_Consol!F77</f>
        <v>6547.0199999999995</v>
      </c>
      <c r="I13" s="10">
        <f>Financials_Consol!G77</f>
        <v>6917.7000000000007</v>
      </c>
      <c r="J13" s="10">
        <f>Financials_Consol!H77</f>
        <v>7510.5</v>
      </c>
      <c r="K13" s="10"/>
    </row>
    <row r="14" spans="1:13" x14ac:dyDescent="0.2">
      <c r="A14" s="31"/>
      <c r="B14" s="31" t="s">
        <v>423</v>
      </c>
      <c r="C14" s="10"/>
      <c r="D14" s="143">
        <f t="shared" ref="D14:E14" si="4">(D13-E13)/E13</f>
        <v>0.12888944005733891</v>
      </c>
      <c r="E14" s="143">
        <f t="shared" si="4"/>
        <v>0.16319989095927462</v>
      </c>
      <c r="F14" s="143">
        <f t="shared" ref="F14" si="5">(F13-G13)/G13</f>
        <v>0.16623063523707962</v>
      </c>
      <c r="G14" s="143">
        <f t="shared" ref="G14" si="6">(G13-H13)/H13</f>
        <v>0.15306658601928819</v>
      </c>
      <c r="H14" s="143">
        <f t="shared" ref="H14" si="7">(H13-I13)/I13</f>
        <v>-5.3584283793746641E-2</v>
      </c>
      <c r="I14" s="143">
        <f t="shared" ref="I14" si="8">(I13-J13)/J13</f>
        <v>-7.8929498701817355E-2</v>
      </c>
      <c r="J14" s="10"/>
      <c r="K14" s="10"/>
    </row>
    <row r="15" spans="1:13" x14ac:dyDescent="0.2">
      <c r="A15" s="31"/>
      <c r="B15" s="10" t="s">
        <v>424</v>
      </c>
      <c r="C15" s="10"/>
      <c r="D15" s="10">
        <f>Financials_Consol!B44</f>
        <v>1418.58</v>
      </c>
      <c r="E15" s="10">
        <f>Financials_Consol!C44</f>
        <v>1262.3800000000001</v>
      </c>
      <c r="F15" s="10">
        <f>Financials_Consol!D44</f>
        <v>1162.03</v>
      </c>
      <c r="G15" s="10">
        <f>Financials_Consol!E44</f>
        <v>970.37</v>
      </c>
      <c r="H15" s="10">
        <f>Financials_Consol!F44</f>
        <v>1040.98</v>
      </c>
      <c r="I15" s="10">
        <f>Financials_Consol!G44</f>
        <v>672.74</v>
      </c>
      <c r="J15" s="10">
        <f>Financials_Consol!H44</f>
        <v>925.14</v>
      </c>
      <c r="K15" s="10"/>
    </row>
    <row r="16" spans="1:13" x14ac:dyDescent="0.2">
      <c r="A16" s="31"/>
      <c r="B16" s="31" t="s">
        <v>423</v>
      </c>
      <c r="C16" s="10"/>
      <c r="D16" s="143">
        <f t="shared" ref="D16:E16" si="9">(D15-E15)/E15</f>
        <v>0.12373453318335192</v>
      </c>
      <c r="E16" s="143">
        <f t="shared" si="9"/>
        <v>8.6357495073277057E-2</v>
      </c>
      <c r="F16" s="143">
        <f t="shared" ref="F16" si="10">(F15-G15)/G15</f>
        <v>0.19751228912682789</v>
      </c>
      <c r="G16" s="143">
        <f t="shared" ref="G16" si="11">(G15-H15)/H15</f>
        <v>-6.7830313742819281E-2</v>
      </c>
      <c r="H16" s="143">
        <f>(H15-I15)/I15</f>
        <v>0.54737342807027978</v>
      </c>
      <c r="I16" s="143">
        <f>(I15-J15)/J15</f>
        <v>-0.27282357264846402</v>
      </c>
      <c r="J16" s="10"/>
      <c r="K16" s="10"/>
    </row>
    <row r="17" spans="1:11" x14ac:dyDescent="0.2">
      <c r="A17" s="31"/>
      <c r="B17" s="10"/>
      <c r="C17" s="10"/>
      <c r="D17" s="10"/>
      <c r="E17" s="10"/>
      <c r="F17" s="10"/>
      <c r="G17" s="10"/>
      <c r="H17" s="10"/>
      <c r="I17" s="10"/>
      <c r="J17" s="10"/>
      <c r="K17" s="10"/>
    </row>
    <row r="18" spans="1:11" s="3" customFormat="1" x14ac:dyDescent="0.2">
      <c r="A18" s="16">
        <f>A4+1</f>
        <v>2</v>
      </c>
      <c r="B18" s="31" t="s">
        <v>432</v>
      </c>
      <c r="C18" s="31" t="s">
        <v>794</v>
      </c>
      <c r="D18" s="31"/>
      <c r="E18" s="200"/>
      <c r="F18" s="200"/>
      <c r="G18" s="200"/>
      <c r="H18" s="200"/>
      <c r="I18" s="200"/>
      <c r="J18" s="200"/>
      <c r="K18" s="31"/>
    </row>
    <row r="19" spans="1:11" x14ac:dyDescent="0.2">
      <c r="A19" s="16"/>
      <c r="B19" s="10" t="s">
        <v>512</v>
      </c>
      <c r="C19" s="10"/>
      <c r="D19" s="144">
        <f>'Ratio Analysis'!C20</f>
        <v>45.401211261396206</v>
      </c>
      <c r="E19" s="144">
        <f>'Ratio Analysis'!D20</f>
        <v>44.453855926819969</v>
      </c>
      <c r="F19" s="144">
        <f>'Ratio Analysis'!E20</f>
        <v>44.614617488559297</v>
      </c>
      <c r="G19" s="144">
        <f>'Ratio Analysis'!F20</f>
        <v>51.689897825029966</v>
      </c>
      <c r="H19" s="144">
        <f>'Ratio Analysis'!G20</f>
        <v>49.181292216281442</v>
      </c>
      <c r="I19" s="144">
        <f>'Ratio Analysis'!H20</f>
        <v>43.181508007378653</v>
      </c>
      <c r="J19" s="144"/>
      <c r="K19" s="10"/>
    </row>
    <row r="20" spans="1:11" x14ac:dyDescent="0.2">
      <c r="A20" s="16"/>
      <c r="B20" s="10" t="s">
        <v>513</v>
      </c>
      <c r="C20" s="10"/>
      <c r="D20" s="144">
        <f>'Ratio Analysis_Conso'!C20</f>
        <v>42.32187883028957</v>
      </c>
      <c r="E20" s="144">
        <f>'Ratio Analysis_Conso'!D20</f>
        <v>43.204808282890028</v>
      </c>
      <c r="F20" s="144">
        <f>'Ratio Analysis_Conso'!E20</f>
        <v>44.323828238140408</v>
      </c>
      <c r="G20" s="144">
        <f>'Ratio Analysis_Conso'!F20</f>
        <v>48.624199413178964</v>
      </c>
      <c r="H20" s="144">
        <f>'Ratio Analysis_Conso'!G20</f>
        <v>47.770420741039437</v>
      </c>
      <c r="I20" s="144">
        <f>'Ratio Analysis_Conso'!H20</f>
        <v>42.154632319990753</v>
      </c>
      <c r="J20" s="144"/>
      <c r="K20" s="10"/>
    </row>
    <row r="21" spans="1:11" x14ac:dyDescent="0.2">
      <c r="A21" s="31"/>
      <c r="B21" s="10"/>
      <c r="C21" s="10"/>
      <c r="D21" s="10"/>
      <c r="E21" s="10"/>
      <c r="F21" s="10"/>
      <c r="G21" s="10"/>
      <c r="H21" s="10"/>
      <c r="I21" s="10"/>
      <c r="J21" s="10"/>
      <c r="K21" s="10"/>
    </row>
    <row r="22" spans="1:11" s="3" customFormat="1" x14ac:dyDescent="0.2">
      <c r="A22" s="16">
        <f>A18+1</f>
        <v>3</v>
      </c>
      <c r="B22" s="31" t="s">
        <v>427</v>
      </c>
      <c r="C22" s="10" t="s">
        <v>426</v>
      </c>
      <c r="D22" s="10"/>
      <c r="E22" s="31"/>
      <c r="F22" s="31"/>
      <c r="G22" s="31"/>
      <c r="H22" s="31"/>
      <c r="I22" s="31"/>
      <c r="J22" s="31"/>
      <c r="K22" s="31"/>
    </row>
    <row r="23" spans="1:11" s="3" customFormat="1" x14ac:dyDescent="0.2">
      <c r="A23" s="16"/>
      <c r="B23" s="31" t="s">
        <v>512</v>
      </c>
      <c r="C23" s="10"/>
      <c r="D23" s="10"/>
      <c r="E23" s="31"/>
      <c r="F23" s="31"/>
      <c r="G23" s="31"/>
      <c r="H23" s="31"/>
      <c r="I23" s="31"/>
      <c r="J23" s="31"/>
      <c r="K23" s="31"/>
    </row>
    <row r="24" spans="1:11" x14ac:dyDescent="0.2">
      <c r="A24" s="10"/>
      <c r="B24" s="10" t="s">
        <v>428</v>
      </c>
      <c r="C24" s="10"/>
      <c r="D24" s="144">
        <f>'Common Size Analysis - CFS'!B44</f>
        <v>873</v>
      </c>
      <c r="E24" s="144">
        <f>'Common Size Analysis - CFS'!C44</f>
        <v>605</v>
      </c>
      <c r="F24" s="144">
        <f>'Common Size Analysis - CFS'!D44</f>
        <v>623</v>
      </c>
      <c r="G24" s="144">
        <f>'Common Size Analysis - CFS'!E44</f>
        <v>549</v>
      </c>
      <c r="H24" s="144">
        <f>'Common Size Analysis - CFS'!F44</f>
        <v>297</v>
      </c>
      <c r="I24" s="144">
        <f>'Common Size Analysis - CFS'!G44</f>
        <v>0</v>
      </c>
      <c r="J24" s="144"/>
      <c r="K24" s="10"/>
    </row>
    <row r="25" spans="1:11" x14ac:dyDescent="0.2">
      <c r="A25" s="10"/>
      <c r="B25" s="10" t="s">
        <v>402</v>
      </c>
      <c r="C25" s="10"/>
      <c r="D25" s="144">
        <f>'Ratio Analysis'!C98</f>
        <v>1217.6299999999992</v>
      </c>
      <c r="E25" s="144">
        <f>'Ratio Analysis'!D98</f>
        <v>1055.7900000000006</v>
      </c>
      <c r="F25" s="144">
        <f>'Ratio Analysis'!E98</f>
        <v>807.43999999999915</v>
      </c>
      <c r="G25" s="144">
        <f>'Ratio Analysis'!F98</f>
        <v>753.06000000000006</v>
      </c>
      <c r="H25" s="144">
        <f>'Ratio Analysis'!G98</f>
        <v>745.14</v>
      </c>
      <c r="I25" s="144">
        <f>'Ratio Analysis'!H98</f>
        <v>778.50999999999965</v>
      </c>
      <c r="J25" s="144"/>
      <c r="K25" s="10"/>
    </row>
    <row r="26" spans="1:11" x14ac:dyDescent="0.2">
      <c r="A26" s="10"/>
      <c r="B26" s="10" t="s">
        <v>404</v>
      </c>
      <c r="C26" s="10"/>
      <c r="D26" s="10">
        <f>'Ratio Analysis'!C102</f>
        <v>678.65999999999917</v>
      </c>
      <c r="E26" s="10">
        <f>'Ratio Analysis'!D102</f>
        <v>587.81000000000063</v>
      </c>
      <c r="F26" s="10">
        <f>'Ratio Analysis'!E102</f>
        <v>408.90999999999917</v>
      </c>
      <c r="G26" s="10">
        <f>'Ratio Analysis'!F102</f>
        <v>381.74999999999994</v>
      </c>
      <c r="H26" s="10">
        <f>'Ratio Analysis'!G102</f>
        <v>392.19000000000005</v>
      </c>
      <c r="I26" s="10">
        <f>'Ratio Analysis'!H102</f>
        <v>427.6899999999996</v>
      </c>
      <c r="J26" s="10"/>
      <c r="K26" s="10"/>
    </row>
    <row r="27" spans="1:11" x14ac:dyDescent="0.2">
      <c r="A27" s="10"/>
      <c r="B27" s="10"/>
      <c r="C27" s="10"/>
      <c r="D27" s="10"/>
      <c r="E27" s="10"/>
      <c r="F27" s="10"/>
      <c r="G27" s="10"/>
      <c r="H27" s="10"/>
      <c r="I27" s="10"/>
      <c r="J27" s="10"/>
      <c r="K27" s="10"/>
    </row>
    <row r="28" spans="1:11" x14ac:dyDescent="0.2">
      <c r="A28" s="10"/>
      <c r="B28" s="31" t="s">
        <v>513</v>
      </c>
      <c r="C28" s="10"/>
      <c r="D28" s="10"/>
      <c r="E28" s="10"/>
      <c r="F28" s="10"/>
      <c r="G28" s="10"/>
      <c r="H28" s="10"/>
      <c r="I28" s="10"/>
      <c r="J28" s="10"/>
      <c r="K28" s="10"/>
    </row>
    <row r="29" spans="1:11" x14ac:dyDescent="0.2">
      <c r="A29" s="10"/>
      <c r="B29" s="10" t="s">
        <v>428</v>
      </c>
      <c r="C29" s="10"/>
      <c r="D29" s="144">
        <f>'Common Size Analysis - CFS_Cons'!B45</f>
        <v>1532</v>
      </c>
      <c r="E29" s="144">
        <f>'Common Size Analysis - CFS_Cons'!C45</f>
        <v>1057</v>
      </c>
      <c r="F29" s="144">
        <f>'Common Size Analysis - CFS_Cons'!D45</f>
        <v>862</v>
      </c>
      <c r="G29" s="144">
        <f>'Common Size Analysis - CFS_Cons'!E45</f>
        <v>742</v>
      </c>
      <c r="H29" s="144">
        <f>'Common Size Analysis - CFS_Cons'!F45</f>
        <v>621</v>
      </c>
      <c r="I29" s="144">
        <f>'Common Size Analysis - CFS_Cons'!G45</f>
        <v>0</v>
      </c>
      <c r="J29" s="10"/>
      <c r="K29" s="10"/>
    </row>
    <row r="30" spans="1:11" x14ac:dyDescent="0.2">
      <c r="A30" s="10"/>
      <c r="B30" s="10" t="s">
        <v>402</v>
      </c>
      <c r="C30" s="10"/>
      <c r="D30" s="144">
        <f>'Ratio Analysis_Conso'!C99</f>
        <v>4020.5100000000007</v>
      </c>
      <c r="E30" s="144">
        <f>'Ratio Analysis_Conso'!D99</f>
        <v>3353.3500000000022</v>
      </c>
      <c r="F30" s="144">
        <f>'Ratio Analysis_Conso'!E99</f>
        <v>2735.7700000000009</v>
      </c>
      <c r="G30" s="144">
        <f>'Ratio Analysis_Conso'!F99</f>
        <v>2469.3299999999995</v>
      </c>
      <c r="H30" s="144">
        <f>'Ratio Analysis_Conso'!G99</f>
        <v>2317.3499999999985</v>
      </c>
      <c r="I30" s="144">
        <f>'Ratio Analysis_Conso'!H99</f>
        <v>2543.4800000000018</v>
      </c>
      <c r="J30" s="10"/>
      <c r="K30" s="10"/>
    </row>
    <row r="31" spans="1:11" x14ac:dyDescent="0.2">
      <c r="A31" s="10"/>
      <c r="B31" s="10" t="s">
        <v>404</v>
      </c>
      <c r="C31" s="10"/>
      <c r="D31" s="10">
        <f>'Ratio Analysis_Conso'!C103</f>
        <v>836.3500000000007</v>
      </c>
      <c r="E31" s="10">
        <f>'Ratio Analysis_Conso'!D103</f>
        <v>680.48000000000229</v>
      </c>
      <c r="F31" s="10">
        <f>'Ratio Analysis_Conso'!E103</f>
        <v>479.58000000000095</v>
      </c>
      <c r="G31" s="10">
        <f>'Ratio Analysis_Conso'!F103</f>
        <v>460.70999999999941</v>
      </c>
      <c r="H31" s="10">
        <f>'Ratio Analysis_Conso'!G103</f>
        <v>519.55999999999858</v>
      </c>
      <c r="I31" s="10">
        <f>'Ratio Analysis_Conso'!H103</f>
        <v>565.53000000000179</v>
      </c>
      <c r="J31" s="10"/>
      <c r="K31" s="10"/>
    </row>
    <row r="32" spans="1:11" x14ac:dyDescent="0.2">
      <c r="A32" s="10"/>
      <c r="B32" s="10"/>
      <c r="C32" s="10"/>
      <c r="D32" s="10"/>
      <c r="E32" s="10"/>
      <c r="F32" s="10"/>
      <c r="G32" s="10"/>
      <c r="H32" s="10"/>
      <c r="I32" s="10"/>
      <c r="J32" s="10"/>
      <c r="K32" s="10"/>
    </row>
    <row r="33" spans="1:11" x14ac:dyDescent="0.2">
      <c r="A33" s="16">
        <f>A22+1</f>
        <v>4</v>
      </c>
      <c r="B33" s="10" t="s">
        <v>429</v>
      </c>
      <c r="C33" s="10" t="s">
        <v>430</v>
      </c>
      <c r="D33" s="10"/>
      <c r="E33" s="10" t="s">
        <v>793</v>
      </c>
      <c r="F33" s="10"/>
      <c r="G33" s="10"/>
      <c r="H33" s="10"/>
      <c r="I33" s="10"/>
      <c r="J33" s="10"/>
      <c r="K33" s="10"/>
    </row>
    <row r="34" spans="1:11" x14ac:dyDescent="0.2">
      <c r="A34" s="10"/>
      <c r="B34" s="10"/>
      <c r="C34" s="10"/>
      <c r="D34" s="10"/>
      <c r="E34" s="10"/>
      <c r="F34" s="10"/>
      <c r="G34" s="10"/>
      <c r="H34" s="10"/>
      <c r="I34" s="10"/>
      <c r="J34" s="10"/>
      <c r="K34" s="10"/>
    </row>
    <row r="35" spans="1:11" x14ac:dyDescent="0.2">
      <c r="A35" s="249">
        <f>A33+1</f>
        <v>5</v>
      </c>
      <c r="B35" s="250" t="s">
        <v>431</v>
      </c>
      <c r="C35" s="250" t="s">
        <v>430</v>
      </c>
      <c r="D35" s="250"/>
      <c r="E35" s="250"/>
      <c r="F35" s="250"/>
      <c r="G35" s="250"/>
      <c r="H35" s="250"/>
      <c r="I35" s="250"/>
      <c r="J35" s="250"/>
      <c r="K35" s="250"/>
    </row>
    <row r="36" spans="1:11" x14ac:dyDescent="0.2">
      <c r="A36" s="10"/>
      <c r="B36" s="10"/>
      <c r="C36" s="10"/>
      <c r="D36" s="10"/>
      <c r="E36" s="10"/>
      <c r="F36" s="10"/>
      <c r="G36" s="10"/>
      <c r="H36" s="10"/>
      <c r="I36" s="10"/>
      <c r="J36" s="10"/>
      <c r="K36" s="10"/>
    </row>
    <row r="37" spans="1:11" x14ac:dyDescent="0.2">
      <c r="A37" s="16">
        <f>A35+1</f>
        <v>6</v>
      </c>
      <c r="B37" s="10" t="s">
        <v>435</v>
      </c>
      <c r="C37" s="10"/>
      <c r="D37" s="10"/>
      <c r="E37" s="10"/>
      <c r="F37" s="10"/>
      <c r="G37" s="10"/>
      <c r="H37" s="10"/>
      <c r="I37" s="10"/>
      <c r="J37" s="10"/>
      <c r="K37" s="10"/>
    </row>
    <row r="38" spans="1:11" x14ac:dyDescent="0.2">
      <c r="A38" s="10"/>
      <c r="B38" s="10"/>
      <c r="C38" s="10"/>
      <c r="D38" s="10"/>
      <c r="E38" s="10"/>
      <c r="F38" s="10"/>
      <c r="G38" s="10"/>
      <c r="H38" s="10"/>
      <c r="I38" s="10"/>
      <c r="J38" s="10"/>
      <c r="K38" s="10"/>
    </row>
    <row r="39" spans="1:11" x14ac:dyDescent="0.2">
      <c r="A39" s="16">
        <f>A37+1</f>
        <v>7</v>
      </c>
      <c r="B39" s="10" t="s">
        <v>434</v>
      </c>
      <c r="C39" s="10" t="s">
        <v>793</v>
      </c>
      <c r="D39" s="10"/>
      <c r="E39" s="10"/>
      <c r="F39" s="10"/>
      <c r="G39" s="10"/>
      <c r="H39" s="10"/>
      <c r="I39" s="10"/>
      <c r="J39" s="10"/>
      <c r="K39" s="10"/>
    </row>
    <row r="40" spans="1:11" x14ac:dyDescent="0.2">
      <c r="A40" s="10"/>
      <c r="B40" s="10"/>
      <c r="C40" s="10"/>
      <c r="D40" s="10"/>
      <c r="E40" s="10"/>
      <c r="F40" s="10"/>
      <c r="G40" s="10"/>
      <c r="H40" s="10"/>
      <c r="I40" s="10"/>
      <c r="J40" s="10"/>
      <c r="K40" s="10"/>
    </row>
    <row r="41" spans="1:11" x14ac:dyDescent="0.2">
      <c r="A41" s="16">
        <f>A39+1</f>
        <v>8</v>
      </c>
      <c r="B41" s="10" t="s">
        <v>436</v>
      </c>
      <c r="C41" s="10" t="s">
        <v>793</v>
      </c>
      <c r="D41" s="10"/>
      <c r="E41" s="10"/>
      <c r="F41" s="10"/>
      <c r="G41" s="10"/>
      <c r="H41" s="10"/>
      <c r="I41" s="10"/>
      <c r="J41" s="10"/>
      <c r="K41" s="10"/>
    </row>
    <row r="42" spans="1:11" x14ac:dyDescent="0.2">
      <c r="A42" s="16"/>
      <c r="B42" s="10"/>
      <c r="C42" s="10"/>
      <c r="D42" s="10"/>
      <c r="E42" s="10"/>
      <c r="F42" s="10"/>
      <c r="G42" s="10"/>
      <c r="H42" s="10"/>
      <c r="I42" s="10"/>
      <c r="J42" s="10"/>
      <c r="K42" s="10"/>
    </row>
    <row r="43" spans="1:11" x14ac:dyDescent="0.2">
      <c r="A43" s="16">
        <f>A41+1</f>
        <v>9</v>
      </c>
      <c r="B43" s="10" t="s">
        <v>437</v>
      </c>
      <c r="C43" s="10" t="s">
        <v>793</v>
      </c>
      <c r="D43" s="10"/>
      <c r="E43" s="10"/>
      <c r="F43" s="10"/>
      <c r="G43" s="10"/>
      <c r="H43" s="10"/>
      <c r="I43" s="10"/>
      <c r="J43" s="10"/>
      <c r="K43" s="10"/>
    </row>
    <row r="44" spans="1:11" x14ac:dyDescent="0.2">
      <c r="A44" s="16"/>
      <c r="B44" s="10"/>
      <c r="C44" s="10"/>
      <c r="D44" s="10"/>
      <c r="E44" s="10"/>
      <c r="F44" s="10"/>
      <c r="G44" s="10"/>
      <c r="H44" s="10"/>
      <c r="I44" s="10"/>
      <c r="J44" s="10"/>
      <c r="K44" s="10"/>
    </row>
    <row r="45" spans="1:11" x14ac:dyDescent="0.2">
      <c r="A45" s="16">
        <f>A43+1</f>
        <v>10</v>
      </c>
      <c r="B45" s="10" t="s">
        <v>438</v>
      </c>
      <c r="C45" s="10" t="s">
        <v>793</v>
      </c>
      <c r="D45" s="10"/>
      <c r="E45" s="10"/>
      <c r="F45" s="10"/>
      <c r="G45" s="10"/>
      <c r="H45" s="10"/>
      <c r="I45" s="10"/>
      <c r="J45" s="10"/>
      <c r="K45" s="10"/>
    </row>
    <row r="46" spans="1:11" x14ac:dyDescent="0.2">
      <c r="A46" s="16"/>
      <c r="B46" s="10"/>
      <c r="C46" s="10"/>
      <c r="D46" s="10"/>
      <c r="E46" s="10"/>
      <c r="F46" s="10"/>
      <c r="G46" s="10"/>
      <c r="H46" s="10"/>
      <c r="I46" s="10"/>
      <c r="J46" s="10"/>
      <c r="K46" s="10"/>
    </row>
    <row r="47" spans="1:11" x14ac:dyDescent="0.2">
      <c r="A47" s="16">
        <f>A45+1</f>
        <v>11</v>
      </c>
      <c r="B47" s="10" t="s">
        <v>439</v>
      </c>
      <c r="C47" s="10" t="s">
        <v>793</v>
      </c>
      <c r="D47" s="10"/>
      <c r="E47" s="10"/>
      <c r="F47" s="10"/>
      <c r="G47" s="10"/>
      <c r="H47" s="10"/>
      <c r="I47" s="10"/>
      <c r="J47" s="10"/>
      <c r="K47" s="10"/>
    </row>
    <row r="48" spans="1:11" x14ac:dyDescent="0.2">
      <c r="A48" s="16"/>
      <c r="B48" s="10"/>
      <c r="C48" s="10"/>
      <c r="D48" s="10"/>
      <c r="E48" s="10"/>
      <c r="F48" s="10"/>
      <c r="G48" s="10"/>
      <c r="H48" s="10"/>
      <c r="I48" s="10"/>
      <c r="J48" s="10"/>
      <c r="K48" s="10"/>
    </row>
    <row r="49" spans="1:11" x14ac:dyDescent="0.2">
      <c r="A49" s="16">
        <f>A47+1</f>
        <v>12</v>
      </c>
      <c r="B49" s="10" t="s">
        <v>440</v>
      </c>
      <c r="C49" s="10" t="s">
        <v>793</v>
      </c>
      <c r="D49" s="10"/>
      <c r="E49" s="10"/>
      <c r="F49" s="10"/>
      <c r="G49" s="10"/>
      <c r="H49" s="10"/>
      <c r="I49" s="10"/>
      <c r="J49" s="10"/>
      <c r="K49" s="10"/>
    </row>
    <row r="50" spans="1:11" x14ac:dyDescent="0.2">
      <c r="A50" s="16"/>
      <c r="B50" s="10"/>
      <c r="C50" s="10"/>
      <c r="D50" s="10"/>
      <c r="E50" s="10"/>
      <c r="F50" s="10"/>
      <c r="G50" s="10"/>
      <c r="H50" s="10"/>
      <c r="I50" s="10"/>
      <c r="J50" s="10"/>
      <c r="K50" s="10"/>
    </row>
    <row r="51" spans="1:11" x14ac:dyDescent="0.2">
      <c r="A51" s="16">
        <f>A49+1</f>
        <v>13</v>
      </c>
      <c r="B51" s="10" t="s">
        <v>441</v>
      </c>
      <c r="C51" s="10" t="s">
        <v>793</v>
      </c>
      <c r="D51" s="10"/>
      <c r="E51" s="10"/>
      <c r="F51" s="10"/>
      <c r="G51" s="10"/>
      <c r="H51" s="10"/>
      <c r="I51" s="10"/>
      <c r="J51" s="10"/>
      <c r="K51" s="10"/>
    </row>
    <row r="52" spans="1:11" x14ac:dyDescent="0.2">
      <c r="A52" s="16"/>
      <c r="B52" s="10"/>
      <c r="C52" s="10"/>
      <c r="D52" s="10"/>
      <c r="E52" s="10"/>
      <c r="F52" s="10"/>
      <c r="G52" s="10"/>
      <c r="H52" s="10"/>
      <c r="I52" s="10"/>
      <c r="J52" s="10"/>
      <c r="K52" s="10"/>
    </row>
    <row r="53" spans="1:11" x14ac:dyDescent="0.2">
      <c r="A53" s="16">
        <f t="shared" ref="A53" si="12">A51+1</f>
        <v>14</v>
      </c>
      <c r="B53" s="10" t="s">
        <v>442</v>
      </c>
      <c r="C53" s="10" t="s">
        <v>793</v>
      </c>
      <c r="D53" s="10"/>
      <c r="E53" s="10"/>
      <c r="F53" s="10"/>
      <c r="G53" s="10"/>
      <c r="H53" s="10"/>
      <c r="I53" s="10"/>
      <c r="J53" s="10"/>
      <c r="K53" s="10"/>
    </row>
    <row r="54" spans="1:11" x14ac:dyDescent="0.2">
      <c r="A54" s="16"/>
      <c r="B54" s="10"/>
      <c r="C54" s="10"/>
      <c r="D54" s="10"/>
      <c r="E54" s="10"/>
      <c r="F54" s="10"/>
      <c r="G54" s="10"/>
      <c r="H54" s="10"/>
      <c r="I54" s="10"/>
      <c r="J54" s="10"/>
      <c r="K54" s="10"/>
    </row>
    <row r="55" spans="1:11" x14ac:dyDescent="0.2">
      <c r="A55" s="16">
        <f t="shared" ref="A55" si="13">A53+1</f>
        <v>15</v>
      </c>
      <c r="B55" s="10" t="s">
        <v>443</v>
      </c>
      <c r="C55" s="10" t="s">
        <v>793</v>
      </c>
      <c r="D55" s="10"/>
      <c r="E55" s="10"/>
      <c r="F55" s="10"/>
      <c r="G55" s="10"/>
      <c r="H55" s="10"/>
      <c r="I55" s="10"/>
      <c r="J55" s="10"/>
      <c r="K55" s="10"/>
    </row>
    <row r="56" spans="1:11" x14ac:dyDescent="0.2">
      <c r="A56" s="16"/>
      <c r="B56" s="10"/>
      <c r="C56" s="10"/>
      <c r="D56" s="10"/>
      <c r="E56" s="10"/>
      <c r="F56" s="10"/>
      <c r="G56" s="10"/>
      <c r="H56" s="10"/>
      <c r="I56" s="10"/>
      <c r="J56" s="10"/>
      <c r="K56" s="10"/>
    </row>
    <row r="57" spans="1:11" x14ac:dyDescent="0.2">
      <c r="A57" s="16">
        <f t="shared" ref="A57" si="14">A55+1</f>
        <v>16</v>
      </c>
      <c r="B57" s="10" t="s">
        <v>444</v>
      </c>
      <c r="C57" s="10"/>
      <c r="D57" s="10"/>
      <c r="E57" s="10"/>
      <c r="F57" s="10"/>
      <c r="G57" s="10"/>
      <c r="H57" s="10"/>
      <c r="I57" s="10"/>
      <c r="J57" s="10"/>
      <c r="K57" s="10"/>
    </row>
    <row r="58" spans="1:11" x14ac:dyDescent="0.2">
      <c r="A58" s="16"/>
      <c r="B58" s="10"/>
      <c r="C58" s="10"/>
      <c r="D58" s="10"/>
      <c r="E58" s="10"/>
      <c r="F58" s="10"/>
      <c r="G58" s="10"/>
      <c r="H58" s="10"/>
      <c r="I58" s="10"/>
      <c r="J58" s="10"/>
      <c r="K58" s="10"/>
    </row>
    <row r="59" spans="1:11" x14ac:dyDescent="0.2">
      <c r="A59" s="16">
        <f>A57+1</f>
        <v>17</v>
      </c>
      <c r="B59" s="10" t="s">
        <v>445</v>
      </c>
      <c r="C59" s="10"/>
      <c r="D59" s="10"/>
      <c r="E59" s="10"/>
      <c r="F59" s="10"/>
      <c r="G59" s="10"/>
      <c r="H59" s="10"/>
      <c r="I59" s="10"/>
      <c r="J59" s="10"/>
      <c r="K59" s="10"/>
    </row>
    <row r="60" spans="1:11" x14ac:dyDescent="0.2">
      <c r="A60" s="16"/>
      <c r="B60" s="10"/>
      <c r="C60" s="10"/>
      <c r="D60" s="10"/>
      <c r="E60" s="10"/>
      <c r="F60" s="10"/>
      <c r="G60" s="10"/>
      <c r="H60" s="10"/>
      <c r="I60" s="10"/>
      <c r="J60" s="10"/>
      <c r="K60" s="10"/>
    </row>
    <row r="61" spans="1:11" x14ac:dyDescent="0.2">
      <c r="A61" s="16">
        <f t="shared" ref="A61" si="15">A59+1</f>
        <v>18</v>
      </c>
      <c r="B61" s="10" t="s">
        <v>446</v>
      </c>
      <c r="C61" s="10"/>
      <c r="D61" s="10"/>
      <c r="E61" s="10"/>
      <c r="F61" s="10"/>
      <c r="G61" s="10"/>
      <c r="H61" s="10"/>
      <c r="I61" s="10"/>
      <c r="J61" s="10"/>
      <c r="K61" s="10"/>
    </row>
    <row r="62" spans="1:11" x14ac:dyDescent="0.2">
      <c r="A62" s="16"/>
      <c r="B62" s="10"/>
      <c r="C62" s="10"/>
      <c r="D62" s="10"/>
      <c r="E62" s="10"/>
      <c r="F62" s="10"/>
      <c r="G62" s="10"/>
      <c r="H62" s="10"/>
      <c r="I62" s="10"/>
      <c r="J62" s="10"/>
      <c r="K62" s="10"/>
    </row>
    <row r="63" spans="1:11" x14ac:dyDescent="0.2">
      <c r="A63" s="16">
        <f>A61+1</f>
        <v>19</v>
      </c>
      <c r="B63" s="10" t="s">
        <v>447</v>
      </c>
      <c r="C63" s="10"/>
      <c r="D63" s="10"/>
      <c r="E63" s="10"/>
      <c r="F63" s="10"/>
      <c r="G63" s="10"/>
      <c r="H63" s="10"/>
      <c r="I63" s="10"/>
      <c r="J63" s="10"/>
      <c r="K63" s="10"/>
    </row>
    <row r="64" spans="1:11" x14ac:dyDescent="0.2">
      <c r="A64" s="16"/>
      <c r="B64" s="10"/>
      <c r="C64" s="10"/>
      <c r="D64" s="10"/>
      <c r="E64" s="10"/>
      <c r="F64" s="10"/>
      <c r="G64" s="10"/>
      <c r="H64" s="10"/>
      <c r="I64" s="10"/>
      <c r="J64" s="10"/>
      <c r="K64" s="10"/>
    </row>
    <row r="65" spans="1:11" x14ac:dyDescent="0.2">
      <c r="A65" s="16">
        <f t="shared" ref="A65" si="16">A63+1</f>
        <v>20</v>
      </c>
      <c r="B65" s="10" t="s">
        <v>448</v>
      </c>
      <c r="C65" s="10"/>
      <c r="D65" s="10"/>
      <c r="E65" s="10"/>
      <c r="F65" s="10"/>
      <c r="G65" s="10"/>
      <c r="H65" s="10"/>
      <c r="I65" s="10"/>
      <c r="J65" s="10"/>
      <c r="K65" s="10"/>
    </row>
    <row r="66" spans="1:11" x14ac:dyDescent="0.2">
      <c r="A66" s="16"/>
      <c r="B66" s="10"/>
      <c r="C66" s="10"/>
      <c r="D66" s="10"/>
      <c r="E66" s="10"/>
      <c r="F66" s="10"/>
      <c r="G66" s="10"/>
      <c r="H66" s="10"/>
      <c r="I66" s="10"/>
      <c r="J66" s="10"/>
      <c r="K66" s="10"/>
    </row>
    <row r="67" spans="1:11" x14ac:dyDescent="0.2">
      <c r="A67" s="16">
        <f>A65+1</f>
        <v>21</v>
      </c>
      <c r="B67" s="10" t="s">
        <v>449</v>
      </c>
      <c r="C67" s="10"/>
      <c r="D67" s="10"/>
      <c r="E67" s="10"/>
      <c r="F67" s="10"/>
      <c r="G67" s="10"/>
      <c r="H67" s="10"/>
      <c r="I67" s="10"/>
      <c r="J67" s="10"/>
      <c r="K67" s="10"/>
    </row>
    <row r="68" spans="1:11" x14ac:dyDescent="0.2">
      <c r="A68" s="16"/>
      <c r="B68" s="10"/>
      <c r="C68" s="10"/>
      <c r="D68" s="10"/>
      <c r="E68" s="10"/>
      <c r="F68" s="10"/>
      <c r="G68" s="10"/>
      <c r="H68" s="10"/>
      <c r="I68" s="10"/>
      <c r="J68" s="10"/>
      <c r="K68" s="10"/>
    </row>
    <row r="69" spans="1:11" x14ac:dyDescent="0.2">
      <c r="A69" s="16">
        <f t="shared" ref="A69" si="17">A67+1</f>
        <v>22</v>
      </c>
      <c r="B69" s="10" t="s">
        <v>450</v>
      </c>
      <c r="C69" s="10"/>
      <c r="D69" s="10"/>
      <c r="E69" s="10"/>
      <c r="F69" s="10"/>
      <c r="G69" s="10"/>
      <c r="H69" s="10"/>
      <c r="I69" s="10"/>
      <c r="J69" s="10"/>
      <c r="K69" s="10"/>
    </row>
    <row r="70" spans="1:11" x14ac:dyDescent="0.2">
      <c r="A70" s="16"/>
      <c r="B70" s="10"/>
      <c r="C70" s="10"/>
      <c r="D70" s="10"/>
      <c r="E70" s="10"/>
      <c r="F70" s="10"/>
      <c r="G70" s="10"/>
      <c r="H70" s="10"/>
      <c r="I70" s="10"/>
      <c r="J70" s="10"/>
      <c r="K70" s="10"/>
    </row>
    <row r="71" spans="1:11" x14ac:dyDescent="0.2">
      <c r="A71" s="16">
        <f>A69+1</f>
        <v>23</v>
      </c>
      <c r="B71" s="10" t="s">
        <v>451</v>
      </c>
      <c r="C71" s="10"/>
      <c r="D71" s="10"/>
      <c r="E71" s="10"/>
      <c r="F71" s="10"/>
      <c r="G71" s="10"/>
      <c r="H71" s="10"/>
      <c r="I71" s="10"/>
      <c r="J71" s="10"/>
      <c r="K71" s="10"/>
    </row>
    <row r="72" spans="1:11" x14ac:dyDescent="0.2">
      <c r="A72" s="16"/>
      <c r="B72" s="10"/>
      <c r="C72" s="10"/>
      <c r="D72" s="10"/>
      <c r="E72" s="10"/>
      <c r="F72" s="10"/>
      <c r="G72" s="10"/>
      <c r="H72" s="10"/>
      <c r="I72" s="10"/>
      <c r="J72" s="10"/>
      <c r="K72" s="10"/>
    </row>
    <row r="73" spans="1:11" x14ac:dyDescent="0.2">
      <c r="A73" s="16">
        <f t="shared" ref="A73" si="18">A71+1</f>
        <v>24</v>
      </c>
      <c r="B73" s="10" t="s">
        <v>452</v>
      </c>
      <c r="C73" s="10"/>
      <c r="D73" s="10"/>
      <c r="E73" s="10"/>
      <c r="F73" s="10"/>
      <c r="G73" s="10"/>
      <c r="H73" s="10"/>
      <c r="I73" s="10"/>
      <c r="J73" s="10"/>
      <c r="K73" s="10"/>
    </row>
    <row r="74" spans="1:11" x14ac:dyDescent="0.2">
      <c r="A74" s="16"/>
      <c r="B74" s="10"/>
      <c r="C74" s="10"/>
      <c r="D74" s="10"/>
      <c r="E74" s="10"/>
      <c r="F74" s="10"/>
      <c r="G74" s="10"/>
      <c r="H74" s="10"/>
      <c r="I74" s="10"/>
      <c r="J74" s="10"/>
      <c r="K74" s="10"/>
    </row>
    <row r="75" spans="1:11" x14ac:dyDescent="0.2">
      <c r="A75" s="16">
        <f>A73+1</f>
        <v>25</v>
      </c>
      <c r="B75" s="10" t="s">
        <v>453</v>
      </c>
      <c r="C75" s="10"/>
      <c r="D75" s="10"/>
      <c r="E75" s="10"/>
      <c r="F75" s="10"/>
      <c r="G75" s="10"/>
      <c r="H75" s="10"/>
      <c r="I75" s="10"/>
      <c r="J75" s="10"/>
      <c r="K75" s="10"/>
    </row>
    <row r="76" spans="1:11" x14ac:dyDescent="0.2">
      <c r="A76" s="10"/>
      <c r="B76" s="10"/>
      <c r="C76" s="10"/>
      <c r="D76" s="10"/>
      <c r="E76" s="10"/>
      <c r="F76" s="10"/>
      <c r="G76" s="10"/>
      <c r="H76" s="10"/>
      <c r="I76" s="10"/>
      <c r="J76" s="10"/>
      <c r="K76" s="10"/>
    </row>
    <row r="77" spans="1:11" x14ac:dyDescent="0.2">
      <c r="A77" s="16">
        <f>A75+1</f>
        <v>26</v>
      </c>
      <c r="B77" s="10" t="s">
        <v>454</v>
      </c>
      <c r="C77" s="10"/>
      <c r="D77" s="10"/>
      <c r="E77" s="10"/>
      <c r="F77" s="10"/>
      <c r="G77" s="10"/>
      <c r="H77" s="10"/>
      <c r="I77" s="10"/>
      <c r="J77" s="10"/>
      <c r="K77" s="10"/>
    </row>
    <row r="78" spans="1:11" x14ac:dyDescent="0.2">
      <c r="A78" s="10"/>
      <c r="B78" s="10"/>
      <c r="C78" s="10"/>
      <c r="D78" s="10"/>
      <c r="E78" s="10"/>
      <c r="F78" s="10"/>
      <c r="G78" s="10"/>
      <c r="H78" s="10"/>
      <c r="I78" s="10"/>
      <c r="J78" s="10"/>
      <c r="K78" s="10"/>
    </row>
    <row r="79" spans="1:11" x14ac:dyDescent="0.2">
      <c r="A79" s="16">
        <f>A77+1</f>
        <v>27</v>
      </c>
      <c r="B79" s="10" t="s">
        <v>455</v>
      </c>
      <c r="C79" s="10"/>
      <c r="D79" s="10"/>
      <c r="E79" s="10"/>
      <c r="F79" s="10"/>
      <c r="G79" s="10"/>
      <c r="H79" s="10"/>
      <c r="I79" s="10"/>
      <c r="J79" s="10"/>
      <c r="K79" s="10"/>
    </row>
    <row r="80" spans="1:11" x14ac:dyDescent="0.2">
      <c r="A80" s="10"/>
      <c r="B80" s="10"/>
      <c r="C80" s="10"/>
      <c r="D80" s="10"/>
      <c r="E80" s="10"/>
      <c r="F80" s="10"/>
      <c r="G80" s="10"/>
      <c r="H80" s="10"/>
      <c r="I80" s="10"/>
      <c r="J80" s="10"/>
      <c r="K80" s="10"/>
    </row>
    <row r="81" spans="1:11" x14ac:dyDescent="0.2">
      <c r="A81" s="16">
        <f>A79+1</f>
        <v>28</v>
      </c>
      <c r="B81" s="10" t="s">
        <v>456</v>
      </c>
      <c r="C81" s="10"/>
      <c r="D81" s="10"/>
      <c r="E81" s="10"/>
      <c r="F81" s="10"/>
      <c r="G81" s="10"/>
      <c r="H81" s="10"/>
      <c r="I81" s="10"/>
      <c r="J81" s="10"/>
      <c r="K81" s="10"/>
    </row>
    <row r="82" spans="1:11" x14ac:dyDescent="0.2">
      <c r="A82" s="10"/>
      <c r="B82" s="10"/>
      <c r="C82" s="10"/>
      <c r="D82" s="10"/>
      <c r="E82" s="10"/>
      <c r="F82" s="10"/>
      <c r="G82" s="10"/>
      <c r="H82" s="10"/>
      <c r="I82" s="10"/>
      <c r="J82" s="10"/>
      <c r="K82" s="10"/>
    </row>
    <row r="83" spans="1:11" x14ac:dyDescent="0.2">
      <c r="A83" s="16">
        <f>A81+1</f>
        <v>29</v>
      </c>
      <c r="B83" s="10" t="s">
        <v>457</v>
      </c>
      <c r="C83" s="10"/>
      <c r="D83" s="10"/>
      <c r="E83" s="10"/>
      <c r="F83" s="10"/>
      <c r="G83" s="10"/>
      <c r="H83" s="10"/>
      <c r="I83" s="10"/>
      <c r="J83" s="10"/>
      <c r="K83" s="10"/>
    </row>
    <row r="84" spans="1:11" x14ac:dyDescent="0.2">
      <c r="A84" s="10"/>
      <c r="B84" s="10"/>
      <c r="C84" s="10"/>
      <c r="D84" s="10"/>
      <c r="E84" s="10"/>
      <c r="F84" s="10"/>
      <c r="G84" s="10"/>
      <c r="H84" s="10"/>
      <c r="I84" s="10"/>
      <c r="J84" s="10"/>
      <c r="K84" s="10"/>
    </row>
    <row r="85" spans="1:11" ht="22.5" x14ac:dyDescent="0.2">
      <c r="A85" s="16">
        <f>A83+1</f>
        <v>30</v>
      </c>
      <c r="B85" s="11" t="s">
        <v>458</v>
      </c>
      <c r="C85" s="10"/>
      <c r="D85" s="10"/>
      <c r="E85" s="10"/>
      <c r="F85" s="10"/>
      <c r="G85" s="10"/>
      <c r="H85" s="10"/>
      <c r="I85" s="10"/>
      <c r="J85" s="10"/>
      <c r="K85" s="10"/>
    </row>
    <row r="86" spans="1:11" x14ac:dyDescent="0.2">
      <c r="A86" s="10"/>
      <c r="B86" s="10"/>
      <c r="C86" s="10"/>
      <c r="D86" s="10"/>
      <c r="E86" s="10"/>
      <c r="F86" s="10"/>
      <c r="G86" s="10"/>
      <c r="H86" s="10"/>
      <c r="I86" s="10"/>
      <c r="J86" s="10"/>
      <c r="K86" s="10"/>
    </row>
    <row r="87" spans="1:11" x14ac:dyDescent="0.2">
      <c r="A87" s="16">
        <f>A85+1</f>
        <v>31</v>
      </c>
      <c r="B87" s="10" t="s">
        <v>459</v>
      </c>
      <c r="C87" s="10"/>
      <c r="D87" s="10"/>
      <c r="E87" s="10"/>
      <c r="F87" s="10"/>
      <c r="G87" s="10"/>
      <c r="H87" s="10"/>
      <c r="I87" s="10"/>
      <c r="J87" s="10"/>
      <c r="K87" s="10"/>
    </row>
    <row r="88" spans="1:11" x14ac:dyDescent="0.2">
      <c r="A88" s="10"/>
      <c r="B88" s="10"/>
      <c r="C88" s="10"/>
      <c r="D88" s="10"/>
      <c r="E88" s="10"/>
      <c r="F88" s="10"/>
      <c r="G88" s="10"/>
      <c r="H88" s="10"/>
      <c r="I88" s="10"/>
      <c r="J88" s="10"/>
      <c r="K88" s="10"/>
    </row>
    <row r="89" spans="1:11" x14ac:dyDescent="0.2">
      <c r="A89" s="31" t="s">
        <v>659</v>
      </c>
      <c r="B89" s="10"/>
      <c r="C89" s="10"/>
      <c r="D89" s="10"/>
      <c r="E89" s="10"/>
      <c r="F89" s="10"/>
      <c r="G89" s="10"/>
      <c r="H89" s="10"/>
      <c r="I89" s="10"/>
      <c r="J89" s="10"/>
      <c r="K89" s="10"/>
    </row>
    <row r="90" spans="1:11" x14ac:dyDescent="0.2">
      <c r="A90" s="31" t="s">
        <v>662</v>
      </c>
      <c r="B90" s="10"/>
      <c r="C90" s="10"/>
      <c r="D90" s="10"/>
      <c r="E90" s="10"/>
      <c r="F90" s="10"/>
      <c r="G90" s="10"/>
      <c r="H90" s="10"/>
      <c r="I90" s="10"/>
      <c r="J90" s="10"/>
      <c r="K90" s="10"/>
    </row>
    <row r="91" spans="1:11" x14ac:dyDescent="0.2">
      <c r="A91" s="9">
        <f>A87+1</f>
        <v>32</v>
      </c>
      <c r="B91" s="10" t="s">
        <v>660</v>
      </c>
      <c r="C91" s="10"/>
      <c r="D91" s="10"/>
      <c r="E91" s="10"/>
      <c r="F91" s="10"/>
      <c r="G91" s="10"/>
      <c r="H91" s="10"/>
      <c r="I91" s="10"/>
      <c r="J91" s="10"/>
      <c r="K91" s="10"/>
    </row>
    <row r="92" spans="1:11" x14ac:dyDescent="0.2">
      <c r="A92" s="9">
        <f>A91+1</f>
        <v>33</v>
      </c>
      <c r="B92" s="10" t="s">
        <v>661</v>
      </c>
      <c r="C92" s="10"/>
      <c r="D92" s="10"/>
      <c r="E92" s="10"/>
      <c r="F92" s="10"/>
      <c r="G92" s="10"/>
      <c r="H92" s="10"/>
      <c r="I92" s="10"/>
      <c r="J92" s="10"/>
      <c r="K92" s="10"/>
    </row>
    <row r="93" spans="1:11" x14ac:dyDescent="0.2">
      <c r="A93" s="10"/>
      <c r="B93" s="10"/>
      <c r="C93" s="10"/>
      <c r="D93" s="10"/>
      <c r="E93" s="10"/>
      <c r="F93" s="10"/>
      <c r="G93" s="10"/>
      <c r="H93" s="10"/>
      <c r="I93" s="10"/>
      <c r="J93" s="10"/>
      <c r="K93" s="10"/>
    </row>
    <row r="94" spans="1:11" x14ac:dyDescent="0.2">
      <c r="A94" s="31" t="s">
        <v>663</v>
      </c>
      <c r="B94" s="10"/>
      <c r="C94" s="10"/>
      <c r="D94" s="10"/>
      <c r="E94" s="10"/>
      <c r="F94" s="10"/>
      <c r="G94" s="10"/>
      <c r="H94" s="10"/>
      <c r="I94" s="10"/>
      <c r="J94" s="10"/>
      <c r="K94" s="10"/>
    </row>
    <row r="95" spans="1:11" x14ac:dyDescent="0.2">
      <c r="A95" s="9">
        <f>A92+1</f>
        <v>34</v>
      </c>
      <c r="B95" s="10" t="s">
        <v>664</v>
      </c>
      <c r="C95" s="10"/>
      <c r="D95" s="10"/>
      <c r="E95" s="10"/>
      <c r="F95" s="10"/>
      <c r="G95" s="10"/>
      <c r="H95" s="10"/>
      <c r="I95" s="10"/>
      <c r="J95" s="10"/>
      <c r="K95" s="10"/>
    </row>
    <row r="96" spans="1:11" x14ac:dyDescent="0.2">
      <c r="A96" s="9">
        <f>A95+1</f>
        <v>35</v>
      </c>
      <c r="B96" s="10" t="s">
        <v>665</v>
      </c>
      <c r="C96" s="10"/>
      <c r="D96" s="10"/>
      <c r="E96" s="10"/>
      <c r="F96" s="10"/>
      <c r="G96" s="10"/>
      <c r="H96" s="10"/>
      <c r="I96" s="10"/>
      <c r="J96" s="10"/>
      <c r="K96" s="10"/>
    </row>
    <row r="97" spans="1:11" x14ac:dyDescent="0.2">
      <c r="A97" s="10"/>
      <c r="B97" s="10"/>
      <c r="C97" s="10"/>
      <c r="D97" s="10"/>
      <c r="E97" s="10"/>
      <c r="F97" s="10"/>
      <c r="G97" s="10"/>
      <c r="H97" s="10"/>
      <c r="I97" s="10"/>
      <c r="J97" s="10"/>
      <c r="K97" s="10"/>
    </row>
    <row r="98" spans="1:11" x14ac:dyDescent="0.2">
      <c r="A98" s="31" t="s">
        <v>666</v>
      </c>
      <c r="B98" s="10"/>
      <c r="C98" s="10"/>
      <c r="D98" s="10"/>
      <c r="E98" s="10"/>
      <c r="F98" s="10"/>
      <c r="G98" s="10"/>
      <c r="H98" s="10"/>
      <c r="I98" s="10"/>
      <c r="J98" s="10"/>
      <c r="K98" s="10"/>
    </row>
    <row r="99" spans="1:11" x14ac:dyDescent="0.2">
      <c r="A99" s="9">
        <f>A96+1</f>
        <v>36</v>
      </c>
      <c r="B99" s="10" t="s">
        <v>667</v>
      </c>
      <c r="C99" s="10"/>
      <c r="D99" s="10"/>
      <c r="E99" s="10"/>
      <c r="F99" s="10"/>
      <c r="G99" s="10"/>
      <c r="H99" s="10"/>
      <c r="I99" s="10"/>
      <c r="J99" s="10"/>
      <c r="K99" s="10"/>
    </row>
    <row r="100" spans="1:11" x14ac:dyDescent="0.2">
      <c r="A100" s="9">
        <f>A99+1</f>
        <v>37</v>
      </c>
      <c r="B100" s="10" t="s">
        <v>668</v>
      </c>
      <c r="C100" s="10"/>
      <c r="D100" s="10"/>
      <c r="E100" s="10"/>
      <c r="F100" s="10"/>
      <c r="G100" s="10"/>
      <c r="H100" s="10"/>
      <c r="I100" s="10"/>
      <c r="J100" s="10"/>
      <c r="K100" s="10"/>
    </row>
    <row r="101" spans="1:11" x14ac:dyDescent="0.2">
      <c r="A101" s="10"/>
      <c r="B101" s="10"/>
      <c r="C101" s="10"/>
      <c r="D101" s="10"/>
      <c r="E101" s="10"/>
      <c r="F101" s="10"/>
      <c r="G101" s="10"/>
      <c r="H101" s="10"/>
      <c r="I101" s="10"/>
      <c r="J101" s="10"/>
      <c r="K101" s="10"/>
    </row>
    <row r="102" spans="1:11" x14ac:dyDescent="0.2">
      <c r="A102" s="10"/>
      <c r="B102" s="10"/>
      <c r="C102" s="10"/>
      <c r="D102" s="10"/>
      <c r="E102" s="10"/>
      <c r="F102" s="10"/>
      <c r="G102" s="10"/>
      <c r="H102" s="10"/>
      <c r="I102" s="10"/>
      <c r="J102" s="10"/>
      <c r="K102" s="10"/>
    </row>
    <row r="103" spans="1:11" x14ac:dyDescent="0.2">
      <c r="A103" s="10"/>
      <c r="B103" s="10"/>
      <c r="C103" s="10"/>
      <c r="D103" s="10"/>
      <c r="E103" s="10"/>
      <c r="F103" s="10"/>
      <c r="G103" s="10"/>
      <c r="H103" s="10"/>
      <c r="I103" s="10"/>
      <c r="J103" s="10"/>
      <c r="K103" s="10"/>
    </row>
    <row r="104" spans="1:11" x14ac:dyDescent="0.2">
      <c r="A104" s="10"/>
      <c r="B104" s="10"/>
      <c r="C104" s="10"/>
      <c r="D104" s="10"/>
      <c r="E104" s="10"/>
      <c r="F104" s="10"/>
      <c r="G104" s="10"/>
      <c r="H104" s="10"/>
      <c r="I104" s="10"/>
      <c r="J104" s="10"/>
      <c r="K104" s="10"/>
    </row>
    <row r="105" spans="1:11" x14ac:dyDescent="0.2">
      <c r="A105" s="10"/>
      <c r="B105" s="10"/>
      <c r="C105" s="10"/>
      <c r="D105" s="10"/>
      <c r="E105" s="10"/>
      <c r="F105" s="10"/>
      <c r="G105" s="10"/>
      <c r="H105" s="10"/>
      <c r="I105" s="10"/>
      <c r="J105" s="10"/>
      <c r="K105" s="10"/>
    </row>
    <row r="106" spans="1:11" x14ac:dyDescent="0.2">
      <c r="A106" s="10"/>
      <c r="B106" s="10"/>
      <c r="C106" s="10"/>
      <c r="D106" s="10"/>
      <c r="E106" s="10"/>
      <c r="F106" s="10"/>
      <c r="G106" s="10"/>
      <c r="H106" s="10"/>
      <c r="I106" s="10"/>
      <c r="J106" s="10"/>
      <c r="K106" s="10"/>
    </row>
    <row r="107" spans="1:11" x14ac:dyDescent="0.2">
      <c r="A107" s="10"/>
      <c r="B107" s="10"/>
      <c r="C107" s="10"/>
      <c r="D107" s="10"/>
      <c r="E107" s="10"/>
      <c r="F107" s="10"/>
      <c r="G107" s="10"/>
      <c r="H107" s="10"/>
      <c r="I107" s="10"/>
      <c r="J107" s="10"/>
      <c r="K107" s="10"/>
    </row>
    <row r="108" spans="1:11" x14ac:dyDescent="0.2">
      <c r="A108" s="10"/>
      <c r="B108" s="10"/>
      <c r="C108" s="10"/>
      <c r="D108" s="10"/>
      <c r="E108" s="10"/>
      <c r="F108" s="10"/>
      <c r="G108" s="10"/>
      <c r="H108" s="10"/>
      <c r="I108" s="10"/>
      <c r="J108" s="10"/>
      <c r="K108" s="10"/>
    </row>
    <row r="109" spans="1:11" x14ac:dyDescent="0.2">
      <c r="A109" s="10"/>
      <c r="B109" s="10"/>
      <c r="C109" s="10"/>
      <c r="D109" s="10"/>
      <c r="E109" s="10"/>
      <c r="F109" s="10"/>
      <c r="G109" s="10"/>
      <c r="H109" s="10"/>
      <c r="I109" s="10"/>
      <c r="J109" s="10"/>
      <c r="K109" s="10"/>
    </row>
    <row r="110" spans="1:11" x14ac:dyDescent="0.2">
      <c r="A110" s="10"/>
      <c r="B110" s="10"/>
      <c r="C110" s="10"/>
      <c r="D110" s="10"/>
      <c r="E110" s="10"/>
      <c r="F110" s="10"/>
      <c r="G110" s="10"/>
      <c r="H110" s="10"/>
      <c r="I110" s="10"/>
      <c r="J110" s="10"/>
      <c r="K110" s="10"/>
    </row>
    <row r="111" spans="1:11" x14ac:dyDescent="0.2">
      <c r="A111" s="10"/>
      <c r="B111" s="10"/>
      <c r="C111" s="10"/>
      <c r="D111" s="10"/>
      <c r="E111" s="10"/>
      <c r="F111" s="10"/>
      <c r="G111" s="10"/>
      <c r="H111" s="10"/>
      <c r="I111" s="10"/>
      <c r="J111" s="10"/>
      <c r="K111" s="10"/>
    </row>
    <row r="112" spans="1:11" x14ac:dyDescent="0.2">
      <c r="A112" s="10"/>
      <c r="B112" s="10"/>
      <c r="C112" s="10"/>
      <c r="D112" s="10"/>
      <c r="E112" s="10"/>
      <c r="F112" s="10"/>
      <c r="G112" s="10"/>
      <c r="H112" s="10"/>
      <c r="I112" s="10"/>
      <c r="J112" s="10"/>
      <c r="K112" s="10"/>
    </row>
    <row r="113" spans="1:11" x14ac:dyDescent="0.2">
      <c r="A113" s="10"/>
      <c r="B113" s="10"/>
      <c r="C113" s="10"/>
      <c r="D113" s="10"/>
      <c r="E113" s="10"/>
      <c r="F113" s="10"/>
      <c r="G113" s="10"/>
      <c r="H113" s="10"/>
      <c r="I113" s="10"/>
      <c r="J113" s="10"/>
      <c r="K113" s="10"/>
    </row>
    <row r="114" spans="1:11" x14ac:dyDescent="0.2">
      <c r="A114" s="10"/>
      <c r="B114" s="10"/>
      <c r="C114" s="10"/>
      <c r="D114" s="10"/>
      <c r="E114" s="10"/>
      <c r="F114" s="10"/>
      <c r="G114" s="10"/>
      <c r="H114" s="10"/>
      <c r="I114" s="10"/>
      <c r="J114" s="10"/>
      <c r="K114" s="10"/>
    </row>
    <row r="115" spans="1:11" x14ac:dyDescent="0.2">
      <c r="A115" s="10"/>
      <c r="B115" s="10"/>
      <c r="C115" s="10"/>
      <c r="D115" s="10"/>
      <c r="E115" s="10"/>
      <c r="F115" s="10"/>
      <c r="G115" s="10"/>
      <c r="H115" s="10"/>
      <c r="I115" s="10"/>
      <c r="J115" s="10"/>
      <c r="K115" s="10"/>
    </row>
    <row r="116" spans="1:11" x14ac:dyDescent="0.2">
      <c r="A116" s="10"/>
      <c r="B116" s="10"/>
      <c r="C116" s="10"/>
      <c r="D116" s="10"/>
      <c r="E116" s="10"/>
      <c r="F116" s="10"/>
      <c r="G116" s="10"/>
      <c r="H116" s="10"/>
      <c r="I116" s="10"/>
      <c r="J116" s="10"/>
      <c r="K116" s="10"/>
    </row>
    <row r="117" spans="1:11" x14ac:dyDescent="0.2">
      <c r="A117" s="10"/>
      <c r="B117" s="10"/>
      <c r="C117" s="10"/>
      <c r="D117" s="10"/>
      <c r="E117" s="10"/>
      <c r="F117" s="10"/>
      <c r="G117" s="10"/>
      <c r="H117" s="10"/>
      <c r="I117" s="10"/>
      <c r="J117" s="10"/>
      <c r="K117" s="10"/>
    </row>
    <row r="118" spans="1:11" x14ac:dyDescent="0.2">
      <c r="A118" s="10"/>
      <c r="B118" s="10"/>
      <c r="C118" s="10"/>
      <c r="D118" s="10"/>
      <c r="E118" s="10"/>
      <c r="F118" s="10"/>
      <c r="G118" s="10"/>
      <c r="H118" s="10"/>
      <c r="I118" s="10"/>
      <c r="J118" s="10"/>
      <c r="K118" s="10"/>
    </row>
    <row r="119" spans="1:11" x14ac:dyDescent="0.2">
      <c r="A119" s="10"/>
      <c r="B119" s="10"/>
      <c r="C119" s="10"/>
      <c r="D119" s="10"/>
      <c r="E119" s="10"/>
      <c r="F119" s="10"/>
      <c r="G119" s="10"/>
      <c r="H119" s="10"/>
      <c r="I119" s="10"/>
      <c r="J119" s="10"/>
      <c r="K119" s="10"/>
    </row>
    <row r="120" spans="1:11" x14ac:dyDescent="0.2">
      <c r="A120" s="10"/>
      <c r="B120" s="10"/>
      <c r="C120" s="10"/>
      <c r="D120" s="10"/>
      <c r="E120" s="10"/>
      <c r="F120" s="10"/>
      <c r="G120" s="10"/>
      <c r="H120" s="10"/>
      <c r="I120" s="10"/>
      <c r="J120" s="10"/>
      <c r="K120" s="10"/>
    </row>
    <row r="121" spans="1:11" x14ac:dyDescent="0.2">
      <c r="A121" s="10"/>
      <c r="B121" s="10"/>
      <c r="C121" s="10"/>
      <c r="D121" s="10"/>
      <c r="E121" s="10"/>
      <c r="F121" s="10"/>
      <c r="G121" s="10"/>
      <c r="H121" s="10"/>
      <c r="I121" s="10"/>
      <c r="J121" s="10"/>
      <c r="K121" s="10"/>
    </row>
    <row r="122" spans="1:11" x14ac:dyDescent="0.2">
      <c r="A122" s="10"/>
      <c r="B122" s="10"/>
      <c r="C122" s="10"/>
      <c r="D122" s="10"/>
      <c r="E122" s="10"/>
      <c r="F122" s="10"/>
      <c r="G122" s="10"/>
      <c r="H122" s="10"/>
      <c r="I122" s="10"/>
      <c r="J122" s="10"/>
      <c r="K122" s="10"/>
    </row>
    <row r="123" spans="1:11" x14ac:dyDescent="0.2">
      <c r="A123" s="10"/>
      <c r="B123" s="10"/>
      <c r="C123" s="10"/>
      <c r="D123" s="10"/>
      <c r="E123" s="10"/>
      <c r="F123" s="10"/>
      <c r="G123" s="10"/>
      <c r="H123" s="10"/>
      <c r="I123" s="10"/>
      <c r="J123" s="10"/>
      <c r="K123" s="10"/>
    </row>
    <row r="124" spans="1:11" x14ac:dyDescent="0.2">
      <c r="A124" s="10"/>
      <c r="B124" s="10"/>
      <c r="C124" s="10"/>
      <c r="D124" s="10"/>
      <c r="E124" s="10"/>
      <c r="F124" s="10"/>
      <c r="G124" s="10"/>
      <c r="H124" s="10"/>
      <c r="I124" s="10"/>
      <c r="J124" s="10"/>
      <c r="K124" s="10"/>
    </row>
    <row r="125" spans="1:11" x14ac:dyDescent="0.2">
      <c r="A125" s="10"/>
      <c r="B125" s="10"/>
      <c r="C125" s="10"/>
      <c r="D125" s="10"/>
      <c r="E125" s="10"/>
      <c r="F125" s="10"/>
      <c r="G125" s="10"/>
      <c r="H125" s="10"/>
      <c r="I125" s="10"/>
      <c r="J125" s="10"/>
      <c r="K125" s="10"/>
    </row>
    <row r="126" spans="1:11" x14ac:dyDescent="0.2">
      <c r="A126" s="10"/>
      <c r="B126" s="10"/>
      <c r="C126" s="10"/>
      <c r="D126" s="10"/>
      <c r="E126" s="10"/>
      <c r="F126" s="10"/>
      <c r="G126" s="10"/>
      <c r="H126" s="10"/>
      <c r="I126" s="10"/>
      <c r="J126" s="10"/>
      <c r="K126" s="10"/>
    </row>
    <row r="127" spans="1:11" x14ac:dyDescent="0.2">
      <c r="A127" s="10"/>
      <c r="B127" s="10"/>
      <c r="C127" s="10"/>
      <c r="D127" s="10"/>
      <c r="E127" s="10"/>
      <c r="F127" s="10"/>
      <c r="G127" s="10"/>
      <c r="H127" s="10"/>
      <c r="I127" s="10"/>
      <c r="J127" s="10"/>
      <c r="K127" s="10"/>
    </row>
    <row r="128" spans="1:11" x14ac:dyDescent="0.2">
      <c r="A128" s="10"/>
      <c r="B128" s="10"/>
      <c r="C128" s="10"/>
      <c r="D128" s="10"/>
      <c r="E128" s="10"/>
      <c r="F128" s="10"/>
      <c r="G128" s="10"/>
      <c r="H128" s="10"/>
      <c r="I128" s="10"/>
      <c r="J128" s="10"/>
      <c r="K128" s="10"/>
    </row>
    <row r="129" spans="1:11" x14ac:dyDescent="0.2">
      <c r="A129" s="10"/>
      <c r="B129" s="10"/>
      <c r="C129" s="10"/>
      <c r="D129" s="10"/>
      <c r="E129" s="10"/>
      <c r="F129" s="10"/>
      <c r="G129" s="10"/>
      <c r="H129" s="10"/>
      <c r="I129" s="10"/>
      <c r="J129" s="10"/>
      <c r="K129" s="10"/>
    </row>
    <row r="130" spans="1:11" x14ac:dyDescent="0.2">
      <c r="A130" s="10"/>
      <c r="B130" s="10"/>
      <c r="C130" s="10"/>
      <c r="D130" s="10"/>
      <c r="E130" s="10"/>
      <c r="F130" s="10"/>
      <c r="G130" s="10"/>
      <c r="H130" s="10"/>
      <c r="I130" s="10"/>
      <c r="J130" s="10"/>
      <c r="K130" s="10"/>
    </row>
    <row r="131" spans="1:11" x14ac:dyDescent="0.2">
      <c r="A131" s="10"/>
      <c r="B131" s="10"/>
      <c r="C131" s="10"/>
      <c r="D131" s="10"/>
      <c r="E131" s="10"/>
      <c r="F131" s="10"/>
      <c r="G131" s="10"/>
      <c r="H131" s="10"/>
      <c r="I131" s="10"/>
      <c r="J131" s="10"/>
      <c r="K131" s="10"/>
    </row>
    <row r="132" spans="1:11" x14ac:dyDescent="0.2">
      <c r="A132" s="10"/>
      <c r="B132" s="10"/>
      <c r="C132" s="10"/>
      <c r="D132" s="10"/>
      <c r="E132" s="10"/>
      <c r="F132" s="10"/>
      <c r="G132" s="10"/>
      <c r="H132" s="10"/>
      <c r="I132" s="10"/>
      <c r="J132" s="10"/>
      <c r="K132" s="10"/>
    </row>
    <row r="133" spans="1:11" x14ac:dyDescent="0.2">
      <c r="A133" s="10"/>
      <c r="B133" s="10"/>
      <c r="C133" s="10"/>
      <c r="D133" s="10"/>
      <c r="E133" s="10"/>
      <c r="F133" s="10"/>
      <c r="G133" s="10"/>
      <c r="H133" s="10"/>
      <c r="I133" s="10"/>
      <c r="J133" s="10"/>
      <c r="K133" s="10"/>
    </row>
    <row r="134" spans="1:11" x14ac:dyDescent="0.2">
      <c r="A134" s="10"/>
      <c r="B134" s="10"/>
      <c r="C134" s="10"/>
      <c r="D134" s="10"/>
      <c r="E134" s="10"/>
      <c r="F134" s="10"/>
      <c r="G134" s="10"/>
      <c r="H134" s="10"/>
      <c r="I134" s="10"/>
      <c r="J134" s="10"/>
      <c r="K134" s="10"/>
    </row>
    <row r="135" spans="1:11" x14ac:dyDescent="0.2">
      <c r="A135" s="10"/>
      <c r="B135" s="10"/>
      <c r="C135" s="10"/>
      <c r="D135" s="10"/>
      <c r="E135" s="10"/>
      <c r="F135" s="10"/>
      <c r="G135" s="10"/>
      <c r="H135" s="10"/>
      <c r="I135" s="10"/>
      <c r="J135" s="10"/>
      <c r="K135" s="10"/>
    </row>
    <row r="136" spans="1:11" x14ac:dyDescent="0.2">
      <c r="A136" s="10"/>
      <c r="B136" s="10"/>
      <c r="C136" s="10"/>
      <c r="D136" s="10"/>
      <c r="E136" s="10"/>
      <c r="F136" s="10"/>
      <c r="G136" s="10"/>
      <c r="H136" s="10"/>
      <c r="I136" s="10"/>
      <c r="J136" s="10"/>
      <c r="K136" s="10"/>
    </row>
    <row r="137" spans="1:11" x14ac:dyDescent="0.2">
      <c r="A137" s="10"/>
      <c r="B137" s="10"/>
      <c r="C137" s="10"/>
      <c r="D137" s="10"/>
      <c r="E137" s="10"/>
      <c r="F137" s="10"/>
      <c r="G137" s="10"/>
      <c r="H137" s="10"/>
      <c r="I137" s="10"/>
      <c r="J137" s="10"/>
      <c r="K137" s="10"/>
    </row>
    <row r="138" spans="1:11" x14ac:dyDescent="0.2">
      <c r="A138" s="10"/>
      <c r="B138" s="10"/>
      <c r="C138" s="10"/>
      <c r="D138" s="10"/>
      <c r="E138" s="10"/>
      <c r="F138" s="10"/>
      <c r="G138" s="10"/>
      <c r="H138" s="10"/>
      <c r="I138" s="10"/>
      <c r="J138" s="10"/>
      <c r="K138" s="10"/>
    </row>
    <row r="139" spans="1:11" x14ac:dyDescent="0.2">
      <c r="A139" s="10"/>
      <c r="B139" s="10"/>
      <c r="C139" s="10"/>
      <c r="D139" s="10"/>
      <c r="E139" s="10"/>
      <c r="F139" s="10"/>
      <c r="G139" s="10"/>
      <c r="H139" s="10"/>
      <c r="I139" s="10"/>
      <c r="J139" s="10"/>
      <c r="K139" s="10"/>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ColWidth="9.140625" defaultRowHeight="11.25" x14ac:dyDescent="0.2"/>
  <cols>
    <col min="1" max="16384" width="9.140625" style="2"/>
  </cols>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heetViews>
  <sheetFormatPr defaultColWidth="9.140625" defaultRowHeight="11.25" x14ac:dyDescent="0.2"/>
  <cols>
    <col min="1" max="16384" width="9.140625" style="2"/>
  </cols>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7"/>
  <sheetViews>
    <sheetView workbookViewId="0"/>
  </sheetViews>
  <sheetFormatPr defaultColWidth="9.140625" defaultRowHeight="11.25" x14ac:dyDescent="0.2"/>
  <cols>
    <col min="1" max="1" width="5" style="2" bestFit="1" customWidth="1"/>
    <col min="2" max="2" width="81.85546875" style="2" bestFit="1" customWidth="1"/>
    <col min="3" max="3" width="44.5703125" style="2" bestFit="1" customWidth="1"/>
    <col min="4" max="16384" width="9.140625" style="2"/>
  </cols>
  <sheetData>
    <row r="1" spans="1:4" x14ac:dyDescent="0.2">
      <c r="A1" s="3" t="s">
        <v>421</v>
      </c>
    </row>
    <row r="3" spans="1:4" x14ac:dyDescent="0.2">
      <c r="A3" s="8" t="s">
        <v>0</v>
      </c>
      <c r="B3" s="8" t="s">
        <v>11</v>
      </c>
      <c r="C3" s="8" t="s">
        <v>21</v>
      </c>
    </row>
    <row r="4" spans="1:4" x14ac:dyDescent="0.2">
      <c r="A4" s="9">
        <v>1</v>
      </c>
      <c r="B4" s="10" t="s">
        <v>22</v>
      </c>
      <c r="C4" s="10" t="s">
        <v>805</v>
      </c>
    </row>
    <row r="5" spans="1:4" x14ac:dyDescent="0.2">
      <c r="A5" s="9">
        <f t="shared" ref="A5:A29" si="0">A4+1</f>
        <v>2</v>
      </c>
      <c r="B5" s="10" t="s">
        <v>23</v>
      </c>
      <c r="C5" s="10" t="s">
        <v>806</v>
      </c>
    </row>
    <row r="6" spans="1:4" ht="33.75" x14ac:dyDescent="0.2">
      <c r="A6" s="9">
        <f t="shared" si="0"/>
        <v>3</v>
      </c>
      <c r="B6" s="10" t="s">
        <v>24</v>
      </c>
      <c r="C6" s="11" t="s">
        <v>807</v>
      </c>
    </row>
    <row r="7" spans="1:4" x14ac:dyDescent="0.2">
      <c r="A7" s="9">
        <f t="shared" si="0"/>
        <v>4</v>
      </c>
      <c r="B7" s="10" t="s">
        <v>25</v>
      </c>
      <c r="C7" s="10" t="s">
        <v>512</v>
      </c>
      <c r="D7" s="199"/>
    </row>
    <row r="8" spans="1:4" x14ac:dyDescent="0.2">
      <c r="A8" s="9"/>
      <c r="B8" s="10"/>
      <c r="C8" s="10" t="s">
        <v>808</v>
      </c>
      <c r="D8" s="199">
        <f>'Ratio Analysis_Conso'!$C$125</f>
        <v>0.14967058978335435</v>
      </c>
    </row>
    <row r="9" spans="1:4" x14ac:dyDescent="0.2">
      <c r="A9" s="9"/>
      <c r="B9" s="10"/>
      <c r="C9" s="10" t="s">
        <v>809</v>
      </c>
      <c r="D9" s="199">
        <f>'Ratio Analysis'!$C$123</f>
        <v>0.16647431172294003</v>
      </c>
    </row>
    <row r="10" spans="1:4" x14ac:dyDescent="0.2">
      <c r="A10" s="9">
        <f>A7+1</f>
        <v>5</v>
      </c>
      <c r="B10" s="10" t="s">
        <v>26</v>
      </c>
      <c r="C10" s="10" t="s">
        <v>810</v>
      </c>
      <c r="D10" s="199"/>
    </row>
    <row r="11" spans="1:4" x14ac:dyDescent="0.2">
      <c r="A11" s="9">
        <f t="shared" si="0"/>
        <v>6</v>
      </c>
      <c r="B11" s="10" t="s">
        <v>27</v>
      </c>
      <c r="C11" s="10" t="s">
        <v>811</v>
      </c>
    </row>
    <row r="12" spans="1:4" x14ac:dyDescent="0.2">
      <c r="A12" s="9">
        <f t="shared" si="0"/>
        <v>7</v>
      </c>
      <c r="B12" s="10" t="s">
        <v>28</v>
      </c>
      <c r="C12" s="10" t="s">
        <v>812</v>
      </c>
    </row>
    <row r="13" spans="1:4" x14ac:dyDescent="0.2">
      <c r="A13" s="9">
        <f t="shared" si="0"/>
        <v>8</v>
      </c>
      <c r="B13" s="10" t="s">
        <v>29</v>
      </c>
      <c r="C13" s="10" t="s">
        <v>813</v>
      </c>
    </row>
    <row r="14" spans="1:4" ht="45" x14ac:dyDescent="0.2">
      <c r="A14" s="9">
        <f t="shared" si="0"/>
        <v>9</v>
      </c>
      <c r="B14" s="10" t="s">
        <v>30</v>
      </c>
      <c r="C14" s="11" t="s">
        <v>814</v>
      </c>
    </row>
    <row r="15" spans="1:4" x14ac:dyDescent="0.2">
      <c r="A15" s="9">
        <f t="shared" si="0"/>
        <v>10</v>
      </c>
      <c r="B15" s="10" t="s">
        <v>31</v>
      </c>
      <c r="C15" s="10" t="s">
        <v>815</v>
      </c>
    </row>
    <row r="16" spans="1:4" ht="22.5" x14ac:dyDescent="0.2">
      <c r="A16" s="9">
        <f t="shared" si="0"/>
        <v>11</v>
      </c>
      <c r="B16" s="11" t="s">
        <v>32</v>
      </c>
      <c r="C16" s="10" t="s">
        <v>815</v>
      </c>
    </row>
    <row r="17" spans="1:3" ht="56.25" x14ac:dyDescent="0.2">
      <c r="A17" s="14">
        <f t="shared" si="0"/>
        <v>12</v>
      </c>
      <c r="B17" s="11" t="s">
        <v>380</v>
      </c>
      <c r="C17" s="10" t="s">
        <v>815</v>
      </c>
    </row>
    <row r="18" spans="1:3" x14ac:dyDescent="0.2">
      <c r="A18" s="14">
        <f t="shared" si="0"/>
        <v>13</v>
      </c>
      <c r="B18" s="11" t="s">
        <v>33</v>
      </c>
      <c r="C18" s="10" t="s">
        <v>816</v>
      </c>
    </row>
    <row r="19" spans="1:3" x14ac:dyDescent="0.2">
      <c r="A19" s="14">
        <f t="shared" si="0"/>
        <v>14</v>
      </c>
      <c r="B19" s="11" t="s">
        <v>147</v>
      </c>
      <c r="C19" s="10" t="s">
        <v>815</v>
      </c>
    </row>
    <row r="20" spans="1:3" x14ac:dyDescent="0.2">
      <c r="A20" s="251">
        <f t="shared" si="0"/>
        <v>15</v>
      </c>
      <c r="B20" s="252" t="s">
        <v>148</v>
      </c>
      <c r="C20" s="250" t="s">
        <v>815</v>
      </c>
    </row>
    <row r="21" spans="1:3" x14ac:dyDescent="0.2">
      <c r="A21" s="14">
        <f t="shared" si="0"/>
        <v>16</v>
      </c>
      <c r="B21" s="11" t="s">
        <v>750</v>
      </c>
      <c r="C21" s="10" t="s">
        <v>817</v>
      </c>
    </row>
    <row r="22" spans="1:3" ht="22.5" x14ac:dyDescent="0.2">
      <c r="A22" s="14">
        <f t="shared" si="0"/>
        <v>17</v>
      </c>
      <c r="B22" s="11" t="s">
        <v>149</v>
      </c>
      <c r="C22" s="10" t="s">
        <v>815</v>
      </c>
    </row>
    <row r="23" spans="1:3" x14ac:dyDescent="0.2">
      <c r="A23" s="14">
        <f t="shared" si="0"/>
        <v>18</v>
      </c>
      <c r="B23" s="11" t="s">
        <v>150</v>
      </c>
      <c r="C23" s="10" t="s">
        <v>815</v>
      </c>
    </row>
    <row r="24" spans="1:3" x14ac:dyDescent="0.2">
      <c r="A24" s="14">
        <f t="shared" si="0"/>
        <v>19</v>
      </c>
      <c r="B24" s="11" t="s">
        <v>151</v>
      </c>
      <c r="C24" s="10"/>
    </row>
    <row r="25" spans="1:3" x14ac:dyDescent="0.2">
      <c r="A25" s="14">
        <f t="shared" si="0"/>
        <v>20</v>
      </c>
      <c r="B25" s="11" t="s">
        <v>152</v>
      </c>
      <c r="C25" s="10" t="s">
        <v>426</v>
      </c>
    </row>
    <row r="26" spans="1:3" x14ac:dyDescent="0.2">
      <c r="A26" s="14">
        <f t="shared" si="0"/>
        <v>21</v>
      </c>
      <c r="B26" s="11" t="s">
        <v>153</v>
      </c>
      <c r="C26" s="10" t="s">
        <v>818</v>
      </c>
    </row>
    <row r="27" spans="1:3" ht="22.5" x14ac:dyDescent="0.2">
      <c r="A27" s="14">
        <f t="shared" si="0"/>
        <v>22</v>
      </c>
      <c r="B27" s="11" t="s">
        <v>154</v>
      </c>
      <c r="C27" s="11" t="s">
        <v>819</v>
      </c>
    </row>
    <row r="28" spans="1:3" ht="45" x14ac:dyDescent="0.2">
      <c r="A28" s="14">
        <f t="shared" si="0"/>
        <v>23</v>
      </c>
      <c r="B28" s="12" t="s">
        <v>875</v>
      </c>
      <c r="C28" s="11" t="s">
        <v>905</v>
      </c>
    </row>
    <row r="29" spans="1:3" x14ac:dyDescent="0.2">
      <c r="A29" s="14">
        <f t="shared" si="0"/>
        <v>24</v>
      </c>
      <c r="B29" s="10" t="s">
        <v>876</v>
      </c>
      <c r="C29" s="10" t="s">
        <v>877</v>
      </c>
    </row>
    <row r="30" spans="1:3" x14ac:dyDescent="0.2">
      <c r="A30" s="10"/>
      <c r="B30" s="10"/>
      <c r="C30" s="10"/>
    </row>
    <row r="37" spans="8:8" x14ac:dyDescent="0.2">
      <c r="H37" s="15"/>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
  <sheetViews>
    <sheetView workbookViewId="0"/>
  </sheetViews>
  <sheetFormatPr defaultColWidth="9.140625" defaultRowHeight="11.25" x14ac:dyDescent="0.2"/>
  <cols>
    <col min="1" max="16384" width="9.140625" style="2"/>
  </cols>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
  <sheetViews>
    <sheetView workbookViewId="0"/>
  </sheetViews>
  <sheetFormatPr defaultColWidth="9.140625" defaultRowHeight="11.25" x14ac:dyDescent="0.2"/>
  <cols>
    <col min="1" max="1" width="5" style="2" bestFit="1" customWidth="1"/>
    <col min="2" max="2" width="68.85546875" style="2" bestFit="1" customWidth="1"/>
    <col min="3" max="3" width="7.7109375" style="2" bestFit="1" customWidth="1"/>
    <col min="4" max="16384" width="9.140625" style="2"/>
  </cols>
  <sheetData>
    <row r="1" spans="1:3" x14ac:dyDescent="0.2">
      <c r="A1" s="3" t="s">
        <v>47</v>
      </c>
    </row>
    <row r="3" spans="1:3" x14ac:dyDescent="0.2">
      <c r="A3" s="8" t="s">
        <v>0</v>
      </c>
      <c r="B3" s="8" t="s">
        <v>11</v>
      </c>
      <c r="C3" s="8" t="s">
        <v>21</v>
      </c>
    </row>
    <row r="4" spans="1:3" ht="33.75" x14ac:dyDescent="0.2">
      <c r="A4" s="9">
        <v>1</v>
      </c>
      <c r="B4" s="11" t="s">
        <v>43</v>
      </c>
      <c r="C4" s="10" t="s">
        <v>426</v>
      </c>
    </row>
    <row r="5" spans="1:3" x14ac:dyDescent="0.2">
      <c r="A5" s="9">
        <f>A4+1</f>
        <v>2</v>
      </c>
      <c r="B5" s="10" t="s">
        <v>44</v>
      </c>
      <c r="C5" s="10" t="s">
        <v>426</v>
      </c>
    </row>
    <row r="6" spans="1:3" x14ac:dyDescent="0.2">
      <c r="A6" s="9">
        <f>A5+1</f>
        <v>3</v>
      </c>
      <c r="B6" s="10" t="s">
        <v>45</v>
      </c>
      <c r="C6" s="10" t="s">
        <v>426</v>
      </c>
    </row>
    <row r="7" spans="1:3" x14ac:dyDescent="0.2">
      <c r="A7" s="9">
        <f>A6+1</f>
        <v>4</v>
      </c>
      <c r="B7" s="10" t="s">
        <v>46</v>
      </c>
      <c r="C7" s="10" t="s">
        <v>426</v>
      </c>
    </row>
    <row r="8" spans="1:3" x14ac:dyDescent="0.2">
      <c r="A8" s="10"/>
      <c r="B8" s="10"/>
      <c r="C8" s="10"/>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4"/>
  <sheetViews>
    <sheetView workbookViewId="0"/>
  </sheetViews>
  <sheetFormatPr defaultColWidth="9.140625" defaultRowHeight="11.25" x14ac:dyDescent="0.2"/>
  <cols>
    <col min="1" max="1" width="5" style="2" customWidth="1"/>
    <col min="2" max="2" width="67.7109375" style="2" customWidth="1"/>
    <col min="3" max="16384" width="9.140625" style="2"/>
  </cols>
  <sheetData>
    <row r="1" spans="1:3" x14ac:dyDescent="0.2">
      <c r="A1" s="7" t="s">
        <v>35</v>
      </c>
    </row>
    <row r="4" spans="1:3" x14ac:dyDescent="0.2">
      <c r="A4" s="8" t="s">
        <v>0</v>
      </c>
      <c r="B4" s="8" t="s">
        <v>11</v>
      </c>
      <c r="C4" s="8" t="s">
        <v>21</v>
      </c>
    </row>
    <row r="5" spans="1:3" x14ac:dyDescent="0.2">
      <c r="A5" s="9">
        <v>1</v>
      </c>
      <c r="B5" s="10" t="s">
        <v>36</v>
      </c>
      <c r="C5" s="10" t="s">
        <v>425</v>
      </c>
    </row>
    <row r="6" spans="1:3" ht="22.5" x14ac:dyDescent="0.2">
      <c r="A6" s="9">
        <f t="shared" ref="A6:A11" si="0">A5+1</f>
        <v>2</v>
      </c>
      <c r="B6" s="11" t="s">
        <v>37</v>
      </c>
      <c r="C6" s="10" t="s">
        <v>425</v>
      </c>
    </row>
    <row r="7" spans="1:3" ht="22.5" x14ac:dyDescent="0.2">
      <c r="A7" s="9">
        <f t="shared" si="0"/>
        <v>3</v>
      </c>
      <c r="B7" s="11" t="s">
        <v>38</v>
      </c>
      <c r="C7" s="10" t="s">
        <v>425</v>
      </c>
    </row>
    <row r="8" spans="1:3" ht="33.75" x14ac:dyDescent="0.2">
      <c r="A8" s="9">
        <f t="shared" si="0"/>
        <v>4</v>
      </c>
      <c r="B8" s="12" t="s">
        <v>39</v>
      </c>
      <c r="C8" s="10" t="s">
        <v>820</v>
      </c>
    </row>
    <row r="9" spans="1:3" ht="22.5" x14ac:dyDescent="0.2">
      <c r="A9" s="253">
        <f t="shared" si="0"/>
        <v>5</v>
      </c>
      <c r="B9" s="252" t="s">
        <v>40</v>
      </c>
      <c r="C9" s="250"/>
    </row>
    <row r="10" spans="1:3" ht="33.75" x14ac:dyDescent="0.2">
      <c r="A10" s="9">
        <f t="shared" si="0"/>
        <v>6</v>
      </c>
      <c r="B10" s="11" t="s">
        <v>41</v>
      </c>
      <c r="C10" s="10" t="s">
        <v>426</v>
      </c>
    </row>
    <row r="11" spans="1:3" x14ac:dyDescent="0.2">
      <c r="A11" s="9">
        <f t="shared" si="0"/>
        <v>7</v>
      </c>
      <c r="B11" s="10" t="s">
        <v>42</v>
      </c>
      <c r="C11" s="10" t="s">
        <v>756</v>
      </c>
    </row>
    <row r="12" spans="1:3" x14ac:dyDescent="0.2">
      <c r="A12" s="9"/>
      <c r="B12" s="10"/>
      <c r="C12" s="10"/>
    </row>
    <row r="13" spans="1:3" x14ac:dyDescent="0.2">
      <c r="A13" s="13"/>
    </row>
    <row r="14" spans="1:3" x14ac:dyDescent="0.2">
      <c r="A14" s="13"/>
    </row>
  </sheetData>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152E-AE83-48F4-BC74-112297986343}">
  <dimension ref="A1:B64"/>
  <sheetViews>
    <sheetView workbookViewId="0">
      <selection activeCell="B6" sqref="B6"/>
    </sheetView>
  </sheetViews>
  <sheetFormatPr defaultColWidth="8.7109375" defaultRowHeight="12.75" x14ac:dyDescent="0.2"/>
  <cols>
    <col min="1" max="1" width="5.140625" style="219" bestFit="1" customWidth="1"/>
    <col min="2" max="2" width="80.5703125" style="219" customWidth="1"/>
    <col min="3" max="16384" width="8.7109375" style="219"/>
  </cols>
  <sheetData>
    <row r="1" spans="1:2" x14ac:dyDescent="0.2">
      <c r="A1" s="218" t="s">
        <v>0</v>
      </c>
      <c r="B1" s="218" t="s">
        <v>1</v>
      </c>
    </row>
    <row r="2" spans="1:2" ht="25.5" x14ac:dyDescent="0.2">
      <c r="A2" s="220">
        <v>1</v>
      </c>
      <c r="B2" s="221" t="s">
        <v>620</v>
      </c>
    </row>
    <row r="3" spans="1:2" x14ac:dyDescent="0.2">
      <c r="B3" s="219" t="s">
        <v>756</v>
      </c>
    </row>
    <row r="4" spans="1:2" ht="38.25" x14ac:dyDescent="0.2">
      <c r="A4" s="220">
        <f>A2+1</f>
        <v>2</v>
      </c>
      <c r="B4" s="221" t="s">
        <v>621</v>
      </c>
    </row>
    <row r="5" spans="1:2" x14ac:dyDescent="0.2">
      <c r="A5" s="220"/>
      <c r="B5" s="219" t="s">
        <v>425</v>
      </c>
    </row>
    <row r="6" spans="1:2" x14ac:dyDescent="0.2">
      <c r="A6" s="220">
        <f>A4+1</f>
        <v>3</v>
      </c>
      <c r="B6" s="219" t="s">
        <v>624</v>
      </c>
    </row>
    <row r="7" spans="1:2" x14ac:dyDescent="0.2">
      <c r="A7" s="220"/>
      <c r="B7" s="219" t="s">
        <v>821</v>
      </c>
    </row>
    <row r="8" spans="1:2" x14ac:dyDescent="0.2">
      <c r="A8" s="220"/>
    </row>
    <row r="9" spans="1:2" x14ac:dyDescent="0.2">
      <c r="A9" s="220">
        <f>A6+1</f>
        <v>4</v>
      </c>
      <c r="B9" s="219" t="s">
        <v>625</v>
      </c>
    </row>
    <row r="10" spans="1:2" x14ac:dyDescent="0.2">
      <c r="A10" s="220"/>
      <c r="B10" s="219" t="s">
        <v>822</v>
      </c>
    </row>
    <row r="11" spans="1:2" x14ac:dyDescent="0.2">
      <c r="A11" s="220"/>
    </row>
    <row r="12" spans="1:2" x14ac:dyDescent="0.2">
      <c r="A12" s="220">
        <f>A9+1</f>
        <v>5</v>
      </c>
      <c r="B12" s="219" t="s">
        <v>626</v>
      </c>
    </row>
    <row r="13" spans="1:2" x14ac:dyDescent="0.2">
      <c r="A13" s="220"/>
      <c r="B13" s="219" t="s">
        <v>756</v>
      </c>
    </row>
    <row r="14" spans="1:2" x14ac:dyDescent="0.2">
      <c r="A14" s="220"/>
    </row>
    <row r="15" spans="1:2" x14ac:dyDescent="0.2">
      <c r="A15" s="220">
        <f>A12+1</f>
        <v>6</v>
      </c>
      <c r="B15" s="219" t="s">
        <v>627</v>
      </c>
    </row>
    <row r="16" spans="1:2" x14ac:dyDescent="0.2">
      <c r="A16" s="220"/>
      <c r="B16" s="219" t="s">
        <v>823</v>
      </c>
    </row>
    <row r="17" spans="1:2" x14ac:dyDescent="0.2">
      <c r="A17" s="220"/>
    </row>
    <row r="18" spans="1:2" x14ac:dyDescent="0.2">
      <c r="A18" s="220">
        <f>A15+1</f>
        <v>7</v>
      </c>
      <c r="B18" s="219" t="s">
        <v>628</v>
      </c>
    </row>
    <row r="19" spans="1:2" x14ac:dyDescent="0.2">
      <c r="A19" s="220"/>
      <c r="B19" s="219" t="s">
        <v>824</v>
      </c>
    </row>
    <row r="20" spans="1:2" x14ac:dyDescent="0.2">
      <c r="A20" s="220"/>
    </row>
    <row r="21" spans="1:2" x14ac:dyDescent="0.2">
      <c r="A21" s="220">
        <f>A18+1</f>
        <v>8</v>
      </c>
      <c r="B21" s="219" t="s">
        <v>629</v>
      </c>
    </row>
    <row r="22" spans="1:2" x14ac:dyDescent="0.2">
      <c r="A22" s="220"/>
    </row>
    <row r="23" spans="1:2" x14ac:dyDescent="0.2">
      <c r="A23" s="220"/>
    </row>
    <row r="24" spans="1:2" x14ac:dyDescent="0.2">
      <c r="A24" s="220">
        <f>A21+1</f>
        <v>9</v>
      </c>
      <c r="B24" s="219" t="s">
        <v>630</v>
      </c>
    </row>
    <row r="25" spans="1:2" x14ac:dyDescent="0.2">
      <c r="A25" s="220"/>
      <c r="B25" s="219" t="s">
        <v>825</v>
      </c>
    </row>
    <row r="26" spans="1:2" x14ac:dyDescent="0.2">
      <c r="A26" s="220"/>
    </row>
    <row r="27" spans="1:2" x14ac:dyDescent="0.2">
      <c r="A27" s="220">
        <f>A24+1</f>
        <v>10</v>
      </c>
      <c r="B27" s="219" t="s">
        <v>631</v>
      </c>
    </row>
    <row r="28" spans="1:2" x14ac:dyDescent="0.2">
      <c r="A28" s="220"/>
    </row>
    <row r="29" spans="1:2" x14ac:dyDescent="0.2">
      <c r="A29" s="220"/>
    </row>
    <row r="30" spans="1:2" ht="38.25" x14ac:dyDescent="0.2">
      <c r="A30" s="220">
        <f>A27+1</f>
        <v>11</v>
      </c>
      <c r="B30" s="222" t="s">
        <v>632</v>
      </c>
    </row>
    <row r="31" spans="1:2" x14ac:dyDescent="0.2">
      <c r="A31" s="220"/>
      <c r="B31" s="222"/>
    </row>
    <row r="32" spans="1:2" x14ac:dyDescent="0.2">
      <c r="A32" s="220"/>
    </row>
    <row r="33" spans="1:2" x14ac:dyDescent="0.2">
      <c r="A33" s="220">
        <f>A30+1</f>
        <v>12</v>
      </c>
      <c r="B33" s="219" t="s">
        <v>633</v>
      </c>
    </row>
    <row r="34" spans="1:2" x14ac:dyDescent="0.2">
      <c r="A34" s="220"/>
      <c r="B34" s="219" t="s">
        <v>826</v>
      </c>
    </row>
    <row r="35" spans="1:2" x14ac:dyDescent="0.2">
      <c r="A35" s="220"/>
    </row>
    <row r="36" spans="1:2" ht="38.25" x14ac:dyDescent="0.2">
      <c r="A36" s="220">
        <f>A33+1</f>
        <v>13</v>
      </c>
      <c r="B36" s="221" t="s">
        <v>634</v>
      </c>
    </row>
    <row r="37" spans="1:2" x14ac:dyDescent="0.2">
      <c r="A37" s="220"/>
      <c r="B37" s="221" t="s">
        <v>425</v>
      </c>
    </row>
    <row r="38" spans="1:2" x14ac:dyDescent="0.2">
      <c r="A38" s="220"/>
    </row>
    <row r="39" spans="1:2" ht="25.5" x14ac:dyDescent="0.2">
      <c r="A39" s="220">
        <f>A36+1</f>
        <v>14</v>
      </c>
      <c r="B39" s="221" t="s">
        <v>635</v>
      </c>
    </row>
    <row r="40" spans="1:2" x14ac:dyDescent="0.2">
      <c r="A40" s="220"/>
      <c r="B40" s="219" t="s">
        <v>826</v>
      </c>
    </row>
    <row r="41" spans="1:2" x14ac:dyDescent="0.2">
      <c r="A41" s="220"/>
    </row>
    <row r="42" spans="1:2" x14ac:dyDescent="0.2">
      <c r="A42" s="220">
        <f>A39+1</f>
        <v>15</v>
      </c>
      <c r="B42" s="219" t="s">
        <v>636</v>
      </c>
    </row>
    <row r="43" spans="1:2" x14ac:dyDescent="0.2">
      <c r="A43" s="220"/>
    </row>
    <row r="44" spans="1:2" x14ac:dyDescent="0.2">
      <c r="A44" s="220"/>
    </row>
    <row r="45" spans="1:2" x14ac:dyDescent="0.2">
      <c r="A45" s="220"/>
    </row>
    <row r="46" spans="1:2" x14ac:dyDescent="0.2">
      <c r="A46" s="220"/>
    </row>
    <row r="47" spans="1:2" x14ac:dyDescent="0.2">
      <c r="A47" s="220"/>
    </row>
    <row r="48" spans="1:2" x14ac:dyDescent="0.2">
      <c r="A48" s="220"/>
    </row>
    <row r="49" spans="1:1" x14ac:dyDescent="0.2">
      <c r="A49" s="220"/>
    </row>
    <row r="50" spans="1:1" x14ac:dyDescent="0.2">
      <c r="A50" s="220"/>
    </row>
    <row r="51" spans="1:1" x14ac:dyDescent="0.2">
      <c r="A51" s="220"/>
    </row>
    <row r="52" spans="1:1" x14ac:dyDescent="0.2">
      <c r="A52" s="220"/>
    </row>
    <row r="53" spans="1:1" x14ac:dyDescent="0.2">
      <c r="A53" s="220"/>
    </row>
    <row r="54" spans="1:1" x14ac:dyDescent="0.2">
      <c r="A54" s="220"/>
    </row>
    <row r="55" spans="1:1" x14ac:dyDescent="0.2">
      <c r="A55" s="220"/>
    </row>
    <row r="56" spans="1:1" x14ac:dyDescent="0.2">
      <c r="A56" s="220"/>
    </row>
    <row r="57" spans="1:1" x14ac:dyDescent="0.2">
      <c r="A57" s="220"/>
    </row>
    <row r="58" spans="1:1" x14ac:dyDescent="0.2">
      <c r="A58" s="220"/>
    </row>
    <row r="59" spans="1:1" x14ac:dyDescent="0.2">
      <c r="A59" s="220"/>
    </row>
    <row r="60" spans="1:1" x14ac:dyDescent="0.2">
      <c r="A60" s="220"/>
    </row>
    <row r="61" spans="1:1" x14ac:dyDescent="0.2">
      <c r="A61" s="220"/>
    </row>
    <row r="62" spans="1:1" x14ac:dyDescent="0.2">
      <c r="A62" s="220"/>
    </row>
    <row r="63" spans="1:1" x14ac:dyDescent="0.2">
      <c r="A63" s="220"/>
    </row>
    <row r="64" spans="1:1" x14ac:dyDescent="0.2">
      <c r="A64" s="220"/>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0292-134D-4D28-B76C-97F083ADDD33}">
  <dimension ref="A1:F26"/>
  <sheetViews>
    <sheetView zoomScale="90" zoomScaleNormal="90" workbookViewId="0">
      <selection activeCell="E5" sqref="E5:F8"/>
    </sheetView>
  </sheetViews>
  <sheetFormatPr defaultColWidth="8.7109375" defaultRowHeight="12.75" x14ac:dyDescent="0.2"/>
  <cols>
    <col min="1" max="1" width="30.5703125" style="255" bestFit="1" customWidth="1"/>
    <col min="2" max="2" width="10.5703125" style="273" bestFit="1" customWidth="1"/>
    <col min="3" max="3" width="9.42578125" style="255" bestFit="1" customWidth="1"/>
    <col min="4" max="4" width="8.7109375" style="255"/>
    <col min="5" max="5" width="10.140625" style="255" bestFit="1" customWidth="1"/>
    <col min="6" max="6" width="9.42578125" style="255" bestFit="1" customWidth="1"/>
    <col min="7" max="16384" width="8.7109375" style="255"/>
  </cols>
  <sheetData>
    <row r="1" spans="1:6" x14ac:dyDescent="0.2">
      <c r="A1" s="254" t="s">
        <v>934</v>
      </c>
    </row>
    <row r="2" spans="1:6" ht="15" x14ac:dyDescent="0.25">
      <c r="B2" s="393" t="s">
        <v>804</v>
      </c>
      <c r="C2" s="394"/>
      <c r="E2" s="393" t="s">
        <v>804</v>
      </c>
      <c r="F2" s="394"/>
    </row>
    <row r="3" spans="1:6" ht="15" x14ac:dyDescent="0.25">
      <c r="B3" s="395" t="s">
        <v>884</v>
      </c>
      <c r="C3" s="396"/>
      <c r="E3" s="395" t="s">
        <v>906</v>
      </c>
      <c r="F3" s="396"/>
    </row>
    <row r="4" spans="1:6" x14ac:dyDescent="0.2">
      <c r="A4" s="254" t="s">
        <v>1</v>
      </c>
      <c r="B4" s="274" t="s">
        <v>886</v>
      </c>
      <c r="C4" s="258" t="s">
        <v>887</v>
      </c>
      <c r="E4" s="274" t="s">
        <v>886</v>
      </c>
      <c r="F4" s="258" t="s">
        <v>887</v>
      </c>
    </row>
    <row r="5" spans="1:6" x14ac:dyDescent="0.2">
      <c r="A5" s="255" t="s">
        <v>885</v>
      </c>
      <c r="B5" s="273">
        <v>11382.8</v>
      </c>
      <c r="C5" s="257">
        <f>B5/$B$9</f>
        <v>0.55516970943185684</v>
      </c>
      <c r="E5" s="273">
        <v>6934.23</v>
      </c>
      <c r="F5" s="257">
        <f>E5/$B$9</f>
        <v>0.33820100978965323</v>
      </c>
    </row>
    <row r="6" spans="1:6" x14ac:dyDescent="0.2">
      <c r="A6" s="255" t="s">
        <v>888</v>
      </c>
      <c r="B6" s="273">
        <v>7164.08</v>
      </c>
      <c r="C6" s="257">
        <f>B6/$B$9</f>
        <v>0.34941141124737124</v>
      </c>
      <c r="E6" s="273">
        <v>5251.05</v>
      </c>
      <c r="F6" s="257">
        <f>E6/$B$9</f>
        <v>0.25610780323928667</v>
      </c>
    </row>
    <row r="7" spans="1:6" x14ac:dyDescent="0.2">
      <c r="A7" s="255" t="s">
        <v>889</v>
      </c>
      <c r="B7" s="273">
        <v>765.35</v>
      </c>
      <c r="C7" s="257">
        <f>B7/$B$9</f>
        <v>3.7328173833650037E-2</v>
      </c>
      <c r="E7" s="273">
        <v>418.27</v>
      </c>
      <c r="F7" s="257">
        <f>E7/$B$9</f>
        <v>2.0400150610048736E-2</v>
      </c>
    </row>
    <row r="8" spans="1:6" x14ac:dyDescent="0.2">
      <c r="A8" s="255" t="s">
        <v>890</v>
      </c>
      <c r="B8" s="273">
        <v>1191.05</v>
      </c>
      <c r="C8" s="257">
        <f>B8/$B$9</f>
        <v>5.8090705487122071E-2</v>
      </c>
      <c r="E8" s="273">
        <v>1248.8399999999999</v>
      </c>
      <c r="F8" s="257">
        <f>E8/$B$9</f>
        <v>6.0909278905619015E-2</v>
      </c>
    </row>
    <row r="9" spans="1:6" x14ac:dyDescent="0.2">
      <c r="B9" s="274">
        <f>SUM(B5:B8)</f>
        <v>20503.279999999995</v>
      </c>
      <c r="C9" s="275">
        <f>SUM(C5:C8)</f>
        <v>1.0000000000000002</v>
      </c>
      <c r="E9" s="274">
        <f>SUM(E5:E8)</f>
        <v>13852.39</v>
      </c>
      <c r="F9" s="275">
        <f>SUM(F5:F8)</f>
        <v>0.67561824254460767</v>
      </c>
    </row>
    <row r="11" spans="1:6" x14ac:dyDescent="0.2">
      <c r="A11" s="255" t="s">
        <v>891</v>
      </c>
      <c r="B11" s="273">
        <v>2465.15</v>
      </c>
      <c r="E11" s="255">
        <v>1727.9</v>
      </c>
    </row>
    <row r="12" spans="1:6" x14ac:dyDescent="0.2">
      <c r="A12" s="254" t="s">
        <v>892</v>
      </c>
      <c r="B12" s="273">
        <f>B6-B11</f>
        <v>4698.93</v>
      </c>
      <c r="E12" s="273">
        <f>E6-E11</f>
        <v>3523.15</v>
      </c>
    </row>
    <row r="13" spans="1:6" x14ac:dyDescent="0.2">
      <c r="A13" s="255" t="s">
        <v>893</v>
      </c>
      <c r="B13" s="275">
        <f>B12/B6</f>
        <v>0.65590138580250368</v>
      </c>
      <c r="E13" s="275">
        <f>E12/E6</f>
        <v>0.67094200207577537</v>
      </c>
    </row>
    <row r="14" spans="1:6" x14ac:dyDescent="0.2">
      <c r="B14" s="275"/>
    </row>
    <row r="15" spans="1:6" ht="15" x14ac:dyDescent="0.25">
      <c r="B15" s="393" t="s">
        <v>512</v>
      </c>
      <c r="C15" s="394"/>
      <c r="E15" s="393" t="s">
        <v>512</v>
      </c>
      <c r="F15" s="394"/>
    </row>
    <row r="16" spans="1:6" ht="14.45" customHeight="1" x14ac:dyDescent="0.25">
      <c r="B16" s="395" t="s">
        <v>884</v>
      </c>
      <c r="C16" s="396"/>
      <c r="E16" s="395" t="s">
        <v>906</v>
      </c>
      <c r="F16" s="396"/>
    </row>
    <row r="17" spans="1:6" x14ac:dyDescent="0.2">
      <c r="A17" s="254" t="s">
        <v>1</v>
      </c>
      <c r="B17" s="274" t="s">
        <v>886</v>
      </c>
      <c r="C17" s="258" t="s">
        <v>887</v>
      </c>
      <c r="E17" s="274" t="s">
        <v>886</v>
      </c>
      <c r="F17" s="258" t="s">
        <v>887</v>
      </c>
    </row>
    <row r="18" spans="1:6" x14ac:dyDescent="0.2">
      <c r="A18" s="255" t="s">
        <v>885</v>
      </c>
      <c r="B18" s="273">
        <v>6348.35</v>
      </c>
      <c r="C18" s="257">
        <f>B18/$B$22</f>
        <v>0.55280387951490395</v>
      </c>
      <c r="E18" s="273">
        <v>3722.81</v>
      </c>
      <c r="F18" s="257">
        <f>E18/$E$22</f>
        <v>0.46687442782076527</v>
      </c>
    </row>
    <row r="19" spans="1:6" x14ac:dyDescent="0.2">
      <c r="A19" s="255" t="s">
        <v>888</v>
      </c>
      <c r="B19" s="273">
        <v>4003.89</v>
      </c>
      <c r="C19" s="257">
        <f>B19/$B$22</f>
        <v>0.34865215767103713</v>
      </c>
      <c r="E19" s="273">
        <v>3383.04</v>
      </c>
      <c r="F19" s="257">
        <f>E19/$E$22</f>
        <v>0.42426416182796373</v>
      </c>
    </row>
    <row r="20" spans="1:6" x14ac:dyDescent="0.2">
      <c r="A20" s="255" t="s">
        <v>889</v>
      </c>
      <c r="B20" s="273">
        <v>327.48</v>
      </c>
      <c r="C20" s="257">
        <f>B20/$B$22</f>
        <v>2.8516419930145746E-2</v>
      </c>
      <c r="E20" s="273">
        <v>215.49</v>
      </c>
      <c r="F20" s="257">
        <f>E20/$E$22</f>
        <v>2.7024417160987725E-2</v>
      </c>
    </row>
    <row r="21" spans="1:6" x14ac:dyDescent="0.2">
      <c r="A21" s="255" t="s">
        <v>890</v>
      </c>
      <c r="B21" s="273">
        <v>804.19</v>
      </c>
      <c r="C21" s="257">
        <f>B21/$B$22</f>
        <v>7.0027542883913232E-2</v>
      </c>
      <c r="E21" s="273">
        <v>652.55999999999995</v>
      </c>
      <c r="F21" s="257">
        <f>E21/$E$22</f>
        <v>8.18369931902833E-2</v>
      </c>
    </row>
    <row r="22" spans="1:6" x14ac:dyDescent="0.2">
      <c r="B22" s="274">
        <f>SUM(B18:B21)</f>
        <v>11483.91</v>
      </c>
      <c r="C22" s="275">
        <f>SUM(C18:C21)</f>
        <v>1</v>
      </c>
      <c r="E22" s="274">
        <f>SUM(E18:E21)</f>
        <v>7973.9</v>
      </c>
      <c r="F22" s="275">
        <f>SUM(F18:F21)</f>
        <v>0.99999999999999989</v>
      </c>
    </row>
    <row r="23" spans="1:6" x14ac:dyDescent="0.2">
      <c r="E23" s="273"/>
    </row>
    <row r="24" spans="1:6" x14ac:dyDescent="0.2">
      <c r="A24" s="255" t="s">
        <v>891</v>
      </c>
      <c r="B24" s="273">
        <v>1395.09</v>
      </c>
      <c r="E24" s="273">
        <v>1110.31</v>
      </c>
    </row>
    <row r="25" spans="1:6" x14ac:dyDescent="0.2">
      <c r="A25" s="254" t="s">
        <v>892</v>
      </c>
      <c r="B25" s="274">
        <f>B19-B24</f>
        <v>2608.8000000000002</v>
      </c>
      <c r="E25" s="274">
        <f>E19-E24</f>
        <v>2272.73</v>
      </c>
    </row>
    <row r="26" spans="1:6" x14ac:dyDescent="0.2">
      <c r="A26" s="255" t="s">
        <v>893</v>
      </c>
      <c r="B26" s="257">
        <f>B25/B19</f>
        <v>0.65156635172294952</v>
      </c>
      <c r="E26" s="257">
        <f>E25/E19</f>
        <v>0.67180110196746123</v>
      </c>
    </row>
  </sheetData>
  <mergeCells count="8">
    <mergeCell ref="E15:F15"/>
    <mergeCell ref="B16:C16"/>
    <mergeCell ref="B15:C15"/>
    <mergeCell ref="B2:C2"/>
    <mergeCell ref="B3:C3"/>
    <mergeCell ref="E2:F2"/>
    <mergeCell ref="E3:F3"/>
    <mergeCell ref="E16:F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Points to check</vt:lpstr>
      <vt:lpstr>Quarterly call</vt:lpstr>
      <vt:lpstr>Summary</vt:lpstr>
      <vt:lpstr>SWOT</vt:lpstr>
      <vt:lpstr>Quarterly reporting</vt:lpstr>
      <vt:lpstr>Financials_Standalone</vt:lpstr>
      <vt:lpstr>Standalone bs</vt:lpstr>
      <vt:lpstr>Sheet2</vt:lpstr>
      <vt:lpstr>Financials_Consol</vt:lpstr>
      <vt:lpstr>Sheet3</vt:lpstr>
      <vt:lpstr>Common Size Analysis - PL_Conso</vt:lpstr>
      <vt:lpstr>Common Size Analysis - PL</vt:lpstr>
      <vt:lpstr>Common Size Analysis - BS_conso</vt:lpstr>
      <vt:lpstr>Common Size Analysis - BS</vt:lpstr>
      <vt:lpstr>Common Size Analysis - CFS_Cons</vt:lpstr>
      <vt:lpstr>Common Size Analysis - CFS</vt:lpstr>
      <vt:lpstr>Ratio Analysis_Conso</vt:lpstr>
      <vt:lpstr>Ratio Analysis</vt:lpstr>
      <vt:lpstr>Valuation Models DCF_Conso</vt:lpstr>
      <vt:lpstr>Valuation Models DCF</vt:lpstr>
      <vt:lpstr>Val Mod_Residual earnings_conso</vt:lpstr>
      <vt:lpstr>Valuation Models Residual</vt:lpstr>
      <vt:lpstr>Valuation Models EPV_conso</vt:lpstr>
      <vt:lpstr>Valuation Models EPV</vt:lpstr>
      <vt:lpstr>Relative valuation Models</vt:lpstr>
      <vt:lpstr>Business Qualitative Assessment</vt:lpstr>
      <vt:lpstr>Michael Porters - 5 Pt analysis</vt:lpstr>
      <vt:lpstr>Moat Study</vt:lpstr>
      <vt:lpstr>Financial Shenanigans checklist</vt:lpstr>
      <vt:lpstr>Great Business Checklist</vt:lpstr>
      <vt:lpstr>Business Quality Checklist</vt:lpstr>
      <vt:lpstr>Management Qualitiy Checklist</vt:lpstr>
      <vt:lpstr>Behavioral Checklist</vt:lpstr>
      <vt:lpstr>Investing Sin Checklist</vt:lpstr>
      <vt:lpstr>Less is more checklist</vt:lpstr>
      <vt:lpstr>Philip Fischer </vt:lpstr>
      <vt:lpstr>Segment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राहुल पराशर</cp:lastModifiedBy>
  <cp:lastPrinted>2024-12-21T10:57:03Z</cp:lastPrinted>
  <dcterms:created xsi:type="dcterms:W3CDTF">2017-12-07T07:49:14Z</dcterms:created>
  <dcterms:modified xsi:type="dcterms:W3CDTF">2026-08-20T05:31:26Z</dcterms:modified>
</cp:coreProperties>
</file>