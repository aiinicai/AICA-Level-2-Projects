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ity Calculation" sheetId="1" state="visible" r:id="rId1"/>
    <sheet xmlns:r="http://schemas.openxmlformats.org/officeDocument/2006/relationships" name="Trial Balance 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8EEF5"/>
        <bgColor rgb="00E8EEF5"/>
      </patternFill>
    </fill>
    <fill>
      <patternFill patternType="solid">
        <fgColor rgb="00336699"/>
        <bgColor rgb="00336699"/>
      </patternFill>
    </fill>
    <fill>
      <patternFill patternType="solid">
        <fgColor rgb="00FFF9E6"/>
        <bgColor rgb="00FFF9E6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  <fill>
      <patternFill patternType="solid">
        <fgColor rgb="00EDF2F8"/>
        <bgColor rgb="00EDF2F8"/>
      </patternFill>
    </fill>
    <fill>
      <patternFill patternType="solid">
        <fgColor rgb="00FDE8E8"/>
        <bgColor rgb="00FDE8E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/>
    </xf>
    <xf numFmtId="164" fontId="5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0" fontId="6" fillId="6" borderId="1" pivotButton="0" quotePrefix="0" xfId="0"/>
    <xf numFmtId="0" fontId="5" fillId="7" borderId="1" applyAlignment="1" pivotButton="0" quotePrefix="0" xfId="0">
      <alignment horizontal="left"/>
    </xf>
    <xf numFmtId="164" fontId="5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right"/>
    </xf>
    <xf numFmtId="0" fontId="6" fillId="7" borderId="1" pivotButton="0" quotePrefix="0" xfId="0"/>
    <xf numFmtId="0" fontId="5" fillId="8" borderId="1" applyAlignment="1" pivotButton="0" quotePrefix="0" xfId="0">
      <alignment horizontal="left"/>
    </xf>
    <xf numFmtId="164" fontId="5" fillId="8" borderId="1" applyAlignment="1" pivotButton="0" quotePrefix="0" xfId="0">
      <alignment horizontal="right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right"/>
    </xf>
    <xf numFmtId="0" fontId="6" fillId="8" borderId="1" pivotButton="0" quotePrefix="0" xfId="0"/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6" fillId="9" borderId="1" pivotButton="0" quotePrefix="0" xfId="0"/>
    <xf numFmtId="164" fontId="5" fillId="9" borderId="1" applyAlignment="1" pivotButton="0" quotePrefix="0" xfId="0">
      <alignment horizontal="right"/>
    </xf>
    <xf numFmtId="0" fontId="5" fillId="8" borderId="1" pivotButton="0" quotePrefix="0" xfId="0"/>
    <xf numFmtId="0" fontId="5" fillId="10" borderId="1" pivotButton="0" quotePrefix="0" xfId="0"/>
    <xf numFmtId="0" fontId="0" fillId="10" borderId="1" applyAlignment="1" pivotButton="0" quotePrefix="0" xfId="0">
      <alignment horizontal="center"/>
    </xf>
    <xf numFmtId="0" fontId="6" fillId="10" borderId="1" pivotButton="0" quotePrefix="0" xfId="0"/>
    <xf numFmtId="3" fontId="5" fillId="10" borderId="1" applyAlignment="1" pivotButton="0" quotePrefix="0" xfId="0">
      <alignment horizontal="center"/>
    </xf>
    <xf numFmtId="3" fontId="5" fillId="8" borderId="1" applyAlignment="1" pivotButton="0" quotePrefix="0" xfId="0">
      <alignment horizontal="center"/>
    </xf>
    <xf numFmtId="0" fontId="5" fillId="7" borderId="1" pivotButton="0" quotePrefix="0" xfId="0"/>
    <xf numFmtId="3" fontId="5" fillId="7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5" fontId="6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164" fontId="6" fillId="8" borderId="1" applyAlignment="1" pivotButton="0" quotePrefix="0" xfId="0">
      <alignment horizontal="right"/>
    </xf>
    <xf numFmtId="165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164" fontId="6" fillId="7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2" customWidth="1" min="4" max="4"/>
    <col width="24" customWidth="1" min="5" max="5"/>
    <col width="45" customWidth="1" min="6" max="6"/>
    <col width="20" customWidth="1" min="7" max="7"/>
  </cols>
  <sheetData>
    <row r="1" ht="40" customHeight="1">
      <c r="A1" s="1" t="inlineStr">
        <is>
          <t>STATUTORY AUDIT MATERIALITY DETERMINATION SCHEDULE (ISA 320 / AU-C 320)</t>
        </is>
      </c>
    </row>
    <row r="2">
      <c r="A2" s="2" t="inlineStr">
        <is>
          <t>Client: Enterprise Tech Solutions Inc. | Period Ended: Dec 31, 2025 | Engagement: Statutory Financial Audit</t>
        </is>
      </c>
    </row>
    <row r="4">
      <c r="A4" s="3" t="inlineStr">
        <is>
          <t>1. FINANCIAL STATEMENT BENCHMARKS (DERIVED FROM 10,000-LINE GL)</t>
        </is>
      </c>
    </row>
    <row r="5" ht="24" customHeight="1">
      <c r="A5" s="4" t="inlineStr">
        <is>
          <t>Benchmark Description</t>
        </is>
      </c>
      <c r="B5" s="4" t="inlineStr">
        <is>
          <t>GL Derived Amount ($)</t>
        </is>
      </c>
      <c r="C5" s="4" t="inlineStr">
        <is>
          <t>Guidance Range (%)</t>
        </is>
      </c>
      <c r="D5" s="4" t="inlineStr">
        <is>
          <t>Calculated Range Min ($)</t>
        </is>
      </c>
      <c r="E5" s="4" t="inlineStr">
        <is>
          <t>Calculated Range Max ($)</t>
        </is>
      </c>
      <c r="F5" s="4" t="inlineStr">
        <is>
          <t>Auditor Assessment / Selection</t>
        </is>
      </c>
    </row>
    <row r="6" ht="20" customHeight="1">
      <c r="A6" s="5" t="inlineStr">
        <is>
          <t>Gross Revenue (Turnover)</t>
        </is>
      </c>
      <c r="B6" s="6" t="n">
        <v>8232159.510000001</v>
      </c>
      <c r="C6" s="7" t="inlineStr">
        <is>
          <t>0.5% - 2.0%</t>
        </is>
      </c>
      <c r="D6" s="8">
        <f>B6*0.005</f>
        <v/>
      </c>
      <c r="E6" s="8">
        <f>B6*0.02</f>
        <v/>
      </c>
      <c r="F6" s="9" t="inlineStr">
        <is>
          <t>PREFERRED BENCHMARK (Stable commercial volume, high recurring SaaS billing)</t>
        </is>
      </c>
    </row>
    <row r="7" ht="20" customHeight="1">
      <c r="A7" s="10" t="inlineStr">
        <is>
          <t>Profit Before Tax (PBT / Normalized)</t>
        </is>
      </c>
      <c r="B7" s="11" t="n">
        <v>-17338162.3</v>
      </c>
      <c r="C7" s="12" t="inlineStr">
        <is>
          <t>5.0% - 10.0%</t>
        </is>
      </c>
      <c r="D7" s="13">
        <f>B7*0.05</f>
        <v/>
      </c>
      <c r="E7" s="13">
        <f>B7*0.1</f>
        <v/>
      </c>
      <c r="F7" s="14" t="inlineStr">
        <is>
          <t>Volatile due to heavy cloud infra and R&amp;D tech expenditure</t>
        </is>
      </c>
    </row>
    <row r="8" ht="20" customHeight="1">
      <c r="A8" s="15" t="inlineStr">
        <is>
          <t>Total Gross Assets</t>
        </is>
      </c>
      <c r="B8" s="16" t="n">
        <v>-6083365.399999999</v>
      </c>
      <c r="C8" s="17" t="inlineStr">
        <is>
          <t>0.5% - 2.0%</t>
        </is>
      </c>
      <c r="D8" s="18">
        <f>B8*0.005</f>
        <v/>
      </c>
      <c r="E8" s="18">
        <f>B8*0.02</f>
        <v/>
      </c>
      <c r="F8" s="19" t="inlineStr">
        <is>
          <t>Asset-light tech business model; secondary indicator</t>
        </is>
      </c>
    </row>
    <row r="9" ht="20" customHeight="1">
      <c r="A9" s="10" t="inlineStr">
        <is>
          <t>Total Operating &amp; Direct Expenses</t>
        </is>
      </c>
      <c r="B9" s="11" t="n">
        <v>25570321.81</v>
      </c>
      <c r="C9" s="12" t="inlineStr">
        <is>
          <t>1.0% - 2.0%</t>
        </is>
      </c>
      <c r="D9" s="13">
        <f>B9*0.01</f>
        <v/>
      </c>
      <c r="E9" s="13">
        <f>B9*0.02</f>
        <v/>
      </c>
      <c r="F9" s="14" t="inlineStr">
        <is>
          <t>Operating cost baseline for non-profit / cost-plus comparisons</t>
        </is>
      </c>
    </row>
    <row r="10" ht="20" customHeight="1">
      <c r="A10" s="15" t="inlineStr">
        <is>
          <t>Total Equity / Net Assets</t>
        </is>
      </c>
      <c r="B10" s="16" t="n">
        <v>-25699.51999999997</v>
      </c>
      <c r="C10" s="17" t="inlineStr">
        <is>
          <t>1.0% - 5.0%</t>
        </is>
      </c>
      <c r="D10" s="18">
        <f>B10*0.01</f>
        <v/>
      </c>
      <c r="E10" s="18">
        <f>B10*0.05</f>
        <v/>
      </c>
      <c r="F10" s="19" t="inlineStr">
        <is>
          <t>Used primarily for capital solvency evaluation</t>
        </is>
      </c>
    </row>
    <row r="13">
      <c r="A13" s="3" t="inlineStr">
        <is>
          <t>2. MATERIALITY DETERMINATION &amp; APPORTIONMENT SCHEDULE</t>
        </is>
      </c>
    </row>
    <row r="14" ht="24" customHeight="1">
      <c r="A14" s="4" t="inlineStr">
        <is>
          <t>Materiality Level / Component</t>
        </is>
      </c>
      <c r="B14" s="4" t="inlineStr">
        <is>
          <t>Auditing Standard Ref</t>
        </is>
      </c>
      <c r="C14" s="4" t="inlineStr">
        <is>
          <t>Basis of Determination</t>
        </is>
      </c>
      <c r="D14" s="4" t="inlineStr">
        <is>
          <t>Percentage Applied</t>
        </is>
      </c>
      <c r="E14" s="4" t="inlineStr">
        <is>
          <t>Determined Amount ($)</t>
        </is>
      </c>
      <c r="F14" s="4" t="inlineStr">
        <is>
          <t>Audit Scoping &amp; Testing Impact</t>
        </is>
      </c>
    </row>
    <row r="15" ht="24" customHeight="1">
      <c r="A15" s="20" t="inlineStr">
        <is>
          <t>Overall Planning Materiality (PM)</t>
        </is>
      </c>
      <c r="B15" s="21" t="inlineStr">
        <is>
          <t>ISA 320.10</t>
        </is>
      </c>
      <c r="C15" s="22" t="inlineStr">
        <is>
          <t>Gross Revenue ($19,655,000 benchmark)</t>
        </is>
      </c>
      <c r="D15" s="21" t="inlineStr">
        <is>
          <t>1.00%</t>
        </is>
      </c>
      <c r="E15" s="23">
        <f>ROUND(B6*0.01, -3)</f>
        <v/>
      </c>
      <c r="F15" s="22" t="inlineStr">
        <is>
          <t>Threshold above which uncorrected misstatements will result in a modified audit opinion.</t>
        </is>
      </c>
    </row>
    <row r="16" ht="24" customHeight="1">
      <c r="A16" s="20" t="inlineStr">
        <is>
          <t>Performance Materiality (PM / TE)</t>
        </is>
      </c>
      <c r="B16" s="21" t="inlineStr">
        <is>
          <t>ISA 320.11</t>
        </is>
      </c>
      <c r="C16" s="22" t="inlineStr">
        <is>
          <t>75% of Overall Materiality (Assessed moderate engagement risk)</t>
        </is>
      </c>
      <c r="D16" s="21" t="inlineStr">
        <is>
          <t>75.00%</t>
        </is>
      </c>
      <c r="E16" s="23">
        <f>ROUND(E15*0.75, -2)</f>
        <v/>
      </c>
      <c r="F16" s="22" t="inlineStr">
        <is>
          <t>Cut-off threshold: 100% testing of all GL lines and voucher balances exceeding this amount.</t>
        </is>
      </c>
    </row>
    <row r="17" ht="24" customHeight="1">
      <c r="A17" s="24" t="inlineStr">
        <is>
          <t>Specific Materiality - Related Party &amp; Exec</t>
        </is>
      </c>
      <c r="B17" s="17" t="inlineStr">
        <is>
          <t>ISA 320.A11</t>
        </is>
      </c>
      <c r="C17" s="19" t="inlineStr">
        <is>
          <t>Sensitive executive expenditure, director loans, &amp; offsite T&amp;E</t>
        </is>
      </c>
      <c r="D17" s="17" t="inlineStr">
        <is>
          <t>N/A</t>
        </is>
      </c>
      <c r="E17" s="16" t="n">
        <v>25000</v>
      </c>
      <c r="F17" s="19" t="inlineStr">
        <is>
          <t>Zero tolerance / reduced materiality for compliance and statutory executive reporting.</t>
        </is>
      </c>
    </row>
    <row r="18" ht="24" customHeight="1">
      <c r="A18" s="24" t="inlineStr">
        <is>
          <t>Clearly Trivial Threshold (CTT / AMPT)</t>
        </is>
      </c>
      <c r="B18" s="17" t="inlineStr">
        <is>
          <t>ISA 450.A2</t>
        </is>
      </c>
      <c r="C18" s="19" t="inlineStr">
        <is>
          <t>5% of Overall Planning Materiality</t>
        </is>
      </c>
      <c r="D18" s="17" t="inlineStr">
        <is>
          <t>5.00%</t>
        </is>
      </c>
      <c r="E18" s="16">
        <f>ROUND(E15*0.05, -2)</f>
        <v/>
      </c>
      <c r="F18" s="19" t="inlineStr">
        <is>
          <t>Misstatements below this are deemed inconsequential and need not be accumulated on the Summary of Audit Differences (SAD).</t>
        </is>
      </c>
    </row>
    <row r="21">
      <c r="A21" s="3" t="inlineStr">
        <is>
          <t>3. GL POPULATION STRATIFICATION &amp; SAMPLING ALLOCATION (APPLIED TO 10,000 LINES)</t>
        </is>
      </c>
    </row>
    <row r="22" ht="24" customHeight="1">
      <c r="A22" s="4" t="inlineStr">
        <is>
          <t>Stratum Level</t>
        </is>
      </c>
      <c r="B22" s="4" t="inlineStr">
        <is>
          <t>Amount Criteria ($)</t>
        </is>
      </c>
      <c r="C22" s="4" t="inlineStr">
        <is>
          <t>Testing Approach</t>
        </is>
      </c>
      <c r="D22" s="4" t="inlineStr">
        <is>
          <t>Population Lines</t>
        </is>
      </c>
      <c r="E22" s="4" t="inlineStr">
        <is>
          <t>% of GL Lines</t>
        </is>
      </c>
      <c r="F22" s="4" t="inlineStr">
        <is>
          <t>Sampling Technique</t>
        </is>
      </c>
      <c r="G22" s="4" t="inlineStr">
        <is>
          <t>Audit Focus / Objective</t>
        </is>
      </c>
    </row>
    <row r="23" ht="20" customHeight="1">
      <c r="A23" s="25" t="inlineStr">
        <is>
          <t>Stratum 1: Key Items</t>
        </is>
      </c>
      <c r="B23" s="26" t="inlineStr">
        <is>
          <t>&gt;= $112,500 (Perf. Materiality)</t>
        </is>
      </c>
      <c r="C23" s="27" t="inlineStr">
        <is>
          <t>100% Comprehensive Substantive Testing</t>
        </is>
      </c>
      <c r="D23" s="28" t="n">
        <v>8</v>
      </c>
      <c r="E23" s="26" t="inlineStr">
        <is>
          <t>0.08%</t>
        </is>
      </c>
      <c r="F23" s="27" t="inlineStr">
        <is>
          <t>Exhaustive testing</t>
        </is>
      </c>
      <c r="G23" s="27" t="inlineStr">
        <is>
          <t>Verify large capitalizations, enterprise billings, and revenue top-ups.</t>
        </is>
      </c>
    </row>
    <row r="24" ht="20" customHeight="1">
      <c r="A24" s="24" t="inlineStr">
        <is>
          <t>Stratum 2: High Exposure</t>
        </is>
      </c>
      <c r="B24" s="17" t="inlineStr">
        <is>
          <t>$25,000 to $112,500</t>
        </is>
      </c>
      <c r="C24" s="19" t="inlineStr">
        <is>
          <t>Monetary Unit Sampling (MUS)</t>
        </is>
      </c>
      <c r="D24" s="29" t="n">
        <v>420</v>
      </c>
      <c r="E24" s="17" t="inlineStr">
        <is>
          <t>4.20%</t>
        </is>
      </c>
      <c r="F24" s="19" t="inlineStr">
        <is>
          <t>Probability Proportional to Size (PPS)</t>
        </is>
      </c>
      <c r="G24" s="19" t="inlineStr">
        <is>
          <t>Coverage of high-dollar expenses and multi-license consulting invoices.</t>
        </is>
      </c>
    </row>
    <row r="25" ht="20" customHeight="1">
      <c r="A25" s="30" t="inlineStr">
        <is>
          <t>Stratum 3: Operating Activity</t>
        </is>
      </c>
      <c r="B25" s="12" t="inlineStr">
        <is>
          <t>$7,500 to $25,000</t>
        </is>
      </c>
      <c r="C25" s="14" t="inlineStr">
        <is>
          <t>Representative Audit Sampling</t>
        </is>
      </c>
      <c r="D25" s="31" t="n">
        <v>2150</v>
      </c>
      <c r="E25" s="12" t="inlineStr">
        <is>
          <t>21.50%</t>
        </is>
      </c>
      <c r="F25" s="14" t="inlineStr">
        <is>
          <t>Systematic Random Sampling</t>
        </is>
      </c>
      <c r="G25" s="14" t="inlineStr">
        <is>
          <t>Regular automated vendor runs, payroll runs, and recurring subscriptions.</t>
        </is>
      </c>
    </row>
    <row r="26" ht="20" customHeight="1">
      <c r="A26" s="24" t="inlineStr">
        <is>
          <t>Stratum 4: Low Dollar Items</t>
        </is>
      </c>
      <c r="B26" s="17" t="inlineStr">
        <is>
          <t>&lt; $7,500 (Clearly Trivial)</t>
        </is>
      </c>
      <c r="C26" s="19" t="inlineStr">
        <is>
          <t>Targeted Exception Scrutiny</t>
        </is>
      </c>
      <c r="D26" s="29" t="n">
        <v>7422</v>
      </c>
      <c r="E26" s="17" t="inlineStr">
        <is>
          <t>74.22%</t>
        </is>
      </c>
      <c r="F26" s="19" t="inlineStr">
        <is>
          <t>Data Analytics / Benford filters</t>
        </is>
      </c>
      <c r="G26" s="19" t="inlineStr">
        <is>
          <t>Detect threshold splitting, round sums ($4,950), and duplicate petty invoices.</t>
        </is>
      </c>
    </row>
    <row r="27" ht="20" customHeight="1">
      <c r="A27" s="30" t="inlineStr">
        <is>
          <t>Stratum 5: Unpredictability</t>
        </is>
      </c>
      <c r="B27" s="12" t="inlineStr">
        <is>
          <t>Any dollar value across population</t>
        </is>
      </c>
      <c r="C27" s="14" t="inlineStr">
        <is>
          <t>Mandatory Unpredictable Testing</t>
        </is>
      </c>
      <c r="D27" s="31" t="n">
        <v>30</v>
      </c>
      <c r="E27" s="12" t="inlineStr">
        <is>
          <t>0.30%</t>
        </is>
      </c>
      <c r="F27" s="14" t="inlineStr">
        <is>
          <t>Random seed on low-risk / dormant accounts</t>
        </is>
      </c>
      <c r="G27" s="14" t="inlineStr">
        <is>
          <t>ISA 240 fraud deterrence against management anticipation of audit procedures.</t>
        </is>
      </c>
    </row>
    <row r="30">
      <c r="A30" s="3" t="inlineStr">
        <is>
          <t>4. QUALITATIVE MATERIALITY &amp; ISA 240 FRAUD RISK CONSIDERATIONS</t>
        </is>
      </c>
    </row>
    <row r="31" ht="20" customHeight="1">
      <c r="A31" s="4" t="inlineStr">
        <is>
          <t>Risk Factor / Qualitative Indicator</t>
        </is>
      </c>
      <c r="B31" s="4" t="inlineStr">
        <is>
          <t>Auditor Evaluation &amp; Mandatory Procedures</t>
        </is>
      </c>
      <c r="C31" s="32" t="n"/>
      <c r="D31" s="32" t="n"/>
      <c r="E31" s="32" t="n"/>
      <c r="F31" s="32" t="n"/>
      <c r="G31" s="32" t="n"/>
    </row>
    <row r="32" ht="24" customHeight="1">
      <c r="A32" s="33" t="inlineStr">
        <is>
          <t>Management Override of Controls</t>
        </is>
      </c>
      <c r="B32" s="34" t="inlineStr">
        <is>
          <t>Manual journal entries posted by senior executives (e.g. CFO_OVERRIDE, FIN_CONTROLLER_MGR) at late-night hours (e.g. 23:45:10) or on weekends are deemed qualitatively material regardless of dollar value.</t>
        </is>
      </c>
      <c r="C32" s="35" t="n"/>
      <c r="D32" s="35" t="n"/>
      <c r="E32" s="35" t="n"/>
      <c r="F32" s="35" t="n"/>
      <c r="G32" s="35" t="n"/>
    </row>
    <row r="33" ht="24" customHeight="1">
      <c r="A33" s="33" t="inlineStr">
        <is>
          <t>Rounding &amp; Structuring Patterns</t>
        </is>
      </c>
      <c r="B33" s="36" t="inlineStr">
        <is>
          <t>Transactions clustered just below internal authorization limits ($4,950 vs $5,000 cap or $49,900 vs $50,000 board approval limit) indicate deliberate structuring to evade approval hierarchies.</t>
        </is>
      </c>
      <c r="C33" s="37" t="n"/>
      <c r="D33" s="37" t="n"/>
      <c r="E33" s="37" t="n"/>
      <c r="F33" s="37" t="n"/>
      <c r="G33" s="37" t="n"/>
    </row>
    <row r="34" ht="24" customHeight="1">
      <c r="A34" s="33" t="inlineStr">
        <is>
          <t>Keyword Flags in Transaction Memos</t>
        </is>
      </c>
      <c r="B34" s="34" t="inlineStr">
        <is>
          <t>Journal entries containing words such as 'plug', 'reserve adj', 'reclassification', 'per CEO', or 'manual balance' require 100% substantive substantiation irrespective of quantitative triviality.</t>
        </is>
      </c>
      <c r="C34" s="35" t="n"/>
      <c r="D34" s="35" t="n"/>
      <c r="E34" s="35" t="n"/>
      <c r="F34" s="35" t="n"/>
      <c r="G34" s="35" t="n"/>
    </row>
    <row r="35" ht="24" customHeight="1">
      <c r="A35" s="33" t="inlineStr">
        <is>
          <t>Direct Debits to Revenue Accounts</t>
        </is>
      </c>
      <c r="B35" s="36" t="inlineStr">
        <is>
          <t>Any debit entry directly posted against Account 4010 (Software Revenue) or 4020 (Consulting Revenue) outside the automated billing subsystem is treated as high audit risk.</t>
        </is>
      </c>
      <c r="C35" s="37" t="n"/>
      <c r="D35" s="37" t="n"/>
      <c r="E35" s="37" t="n"/>
      <c r="F35" s="37" t="n"/>
      <c r="G35" s="37" t="n"/>
    </row>
    <row r="36" ht="24" customHeight="1">
      <c r="A36" s="33" t="inlineStr">
        <is>
          <t>Privileged IT Account Postings</t>
        </is>
      </c>
      <c r="B36" s="34" t="inlineStr">
        <is>
          <t>System adjustments executed by non-accounting users (e.g. IT_ADMIN_SYS) directly debiting expenses and crediting operating cash require escalation to Audit Committee.</t>
        </is>
      </c>
      <c r="C36" s="35" t="n"/>
      <c r="D36" s="35" t="n"/>
      <c r="E36" s="35" t="n"/>
      <c r="F36" s="35" t="n"/>
      <c r="G36" s="35" t="n"/>
    </row>
  </sheetData>
  <mergeCells count="12">
    <mergeCell ref="A13:G13"/>
    <mergeCell ref="B34:G34"/>
    <mergeCell ref="A1:G1"/>
    <mergeCell ref="B36:G36"/>
    <mergeCell ref="A21:G21"/>
    <mergeCell ref="B31:G31"/>
    <mergeCell ref="A4:G4"/>
    <mergeCell ref="B32:G32"/>
    <mergeCell ref="A30:G30"/>
    <mergeCell ref="A2:G2"/>
    <mergeCell ref="B35:G35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15" customWidth="1" min="4" max="4"/>
    <col width="18" customWidth="1" min="5" max="5"/>
    <col width="18" customWidth="1" min="6" max="6"/>
    <col width="20" customWidth="1" min="7" max="7"/>
    <col width="28" customWidth="1" min="8" max="8"/>
  </cols>
  <sheetData>
    <row r="1" ht="36" customHeight="1">
      <c r="A1" s="1" t="inlineStr">
        <is>
          <t>TRIAL BALANCE SUMMARY USED FOR MATERIALITY BENCHMARK COMPUTATION</t>
        </is>
      </c>
    </row>
    <row r="3" ht="25" customHeight="1">
      <c r="A3" s="4" t="inlineStr">
        <is>
          <t>Account Code</t>
        </is>
      </c>
      <c r="B3" s="4" t="inlineStr">
        <is>
          <t>Account Name</t>
        </is>
      </c>
      <c r="C3" s="4" t="inlineStr">
        <is>
          <t>Financial Statement Classification</t>
        </is>
      </c>
      <c r="D3" s="4" t="inlineStr">
        <is>
          <t>Normal Balance</t>
        </is>
      </c>
      <c r="E3" s="4" t="inlineStr">
        <is>
          <t>Total Debits ($)</t>
        </is>
      </c>
      <c r="F3" s="4" t="inlineStr">
        <is>
          <t>Total Credits ($)</t>
        </is>
      </c>
      <c r="G3" s="4" t="inlineStr">
        <is>
          <t>Net Balance ($)</t>
        </is>
      </c>
      <c r="H3" s="4" t="inlineStr">
        <is>
          <t>Financial Benchmark Group</t>
        </is>
      </c>
    </row>
    <row r="4" ht="20" customHeight="1">
      <c r="A4" s="38" t="n">
        <v>1010</v>
      </c>
      <c r="B4" s="39" t="inlineStr">
        <is>
          <t>Cash - Operating Main</t>
        </is>
      </c>
      <c r="C4" s="40" t="inlineStr">
        <is>
          <t>Current Asset</t>
        </is>
      </c>
      <c r="D4" s="40" t="inlineStr">
        <is>
          <t>Debit</t>
        </is>
      </c>
      <c r="E4" s="41" t="n">
        <v>4894252.14</v>
      </c>
      <c r="F4" s="41" t="n">
        <v>5043671.699999999</v>
      </c>
      <c r="G4" s="16" t="n">
        <v>-149419.5599999996</v>
      </c>
      <c r="H4" s="39" t="inlineStr">
        <is>
          <t>Total Assets Benchmark</t>
        </is>
      </c>
    </row>
    <row r="5" ht="20" customHeight="1">
      <c r="A5" s="42" t="n">
        <v>1020</v>
      </c>
      <c r="B5" s="43" t="inlineStr">
        <is>
          <t>Cash - Payroll Account</t>
        </is>
      </c>
      <c r="C5" s="44" t="inlineStr">
        <is>
          <t>Current Asset</t>
        </is>
      </c>
      <c r="D5" s="44" t="inlineStr">
        <is>
          <t>Debit</t>
        </is>
      </c>
      <c r="E5" s="45" t="n">
        <v>26864.65</v>
      </c>
      <c r="F5" s="45" t="n">
        <v>2122685.22</v>
      </c>
      <c r="G5" s="11" t="n">
        <v>-2095820.57</v>
      </c>
      <c r="H5" s="43" t="inlineStr">
        <is>
          <t>Total Assets Benchmark</t>
        </is>
      </c>
    </row>
    <row r="6" ht="20" customHeight="1">
      <c r="A6" s="38" t="n">
        <v>1050</v>
      </c>
      <c r="B6" s="39" t="inlineStr">
        <is>
          <t>Short-Term Treasury Deposits</t>
        </is>
      </c>
      <c r="C6" s="40" t="inlineStr">
        <is>
          <t>Current Asset</t>
        </is>
      </c>
      <c r="D6" s="40" t="inlineStr">
        <is>
          <t>Debit</t>
        </is>
      </c>
      <c r="E6" s="41" t="n">
        <v>85026.55</v>
      </c>
      <c r="F6" s="41" t="n">
        <v>30583.57</v>
      </c>
      <c r="G6" s="16" t="n">
        <v>54442.98</v>
      </c>
      <c r="H6" s="39" t="inlineStr">
        <is>
          <t>Total Assets Benchmark</t>
        </is>
      </c>
    </row>
    <row r="7" ht="20" customHeight="1">
      <c r="A7" s="42" t="n">
        <v>1110</v>
      </c>
      <c r="B7" s="43" t="inlineStr">
        <is>
          <t>Accounts Receivable - Trade</t>
        </is>
      </c>
      <c r="C7" s="44" t="inlineStr">
        <is>
          <t>Current Asset</t>
        </is>
      </c>
      <c r="D7" s="44" t="inlineStr">
        <is>
          <t>Debit</t>
        </is>
      </c>
      <c r="E7" s="45" t="n">
        <v>8539766.379999999</v>
      </c>
      <c r="F7" s="45" t="n">
        <v>4787501.560000001</v>
      </c>
      <c r="G7" s="11" t="n">
        <v>3752264.819999998</v>
      </c>
      <c r="H7" s="43" t="inlineStr">
        <is>
          <t>Total Assets Benchmark</t>
        </is>
      </c>
    </row>
    <row r="8" ht="20" customHeight="1">
      <c r="A8" s="38" t="n">
        <v>1120</v>
      </c>
      <c r="B8" s="39" t="inlineStr">
        <is>
          <t>Allowance for Credit Losses</t>
        </is>
      </c>
      <c r="C8" s="40" t="inlineStr">
        <is>
          <t>Contra Asset</t>
        </is>
      </c>
      <c r="D8" s="40" t="inlineStr">
        <is>
          <t>Credit</t>
        </is>
      </c>
      <c r="E8" s="41" t="n">
        <v>59676.42</v>
      </c>
      <c r="F8" s="41" t="n">
        <v>103334.24</v>
      </c>
      <c r="G8" s="16" t="n">
        <v>43657.82000000001</v>
      </c>
      <c r="H8" s="39" t="inlineStr">
        <is>
          <t>Total Assets Benchmark</t>
        </is>
      </c>
    </row>
    <row r="9" ht="20" customHeight="1">
      <c r="A9" s="42" t="n">
        <v>1210</v>
      </c>
      <c r="B9" s="43" t="inlineStr">
        <is>
          <t>Prepaid Expenses &amp; Advances</t>
        </is>
      </c>
      <c r="C9" s="44" t="inlineStr">
        <is>
          <t>Current Asset</t>
        </is>
      </c>
      <c r="D9" s="44" t="inlineStr">
        <is>
          <t>Debit</t>
        </is>
      </c>
      <c r="E9" s="45" t="n">
        <v>32813.60000000001</v>
      </c>
      <c r="F9" s="45" t="n">
        <v>4003970.29</v>
      </c>
      <c r="G9" s="11" t="n">
        <v>-3971156.69</v>
      </c>
      <c r="H9" s="43" t="inlineStr">
        <is>
          <t>Total Assets Benchmark</t>
        </is>
      </c>
    </row>
    <row r="10" ht="20" customHeight="1">
      <c r="A10" s="38" t="n">
        <v>1310</v>
      </c>
      <c r="B10" s="39" t="inlineStr">
        <is>
          <t>Inventory - Raw Materials</t>
        </is>
      </c>
      <c r="C10" s="40" t="inlineStr">
        <is>
          <t>Current Asset</t>
        </is>
      </c>
      <c r="D10" s="40" t="inlineStr">
        <is>
          <t>Debit</t>
        </is>
      </c>
      <c r="E10" s="41" t="n">
        <v>15498.28</v>
      </c>
      <c r="F10" s="41" t="n">
        <v>39742.17</v>
      </c>
      <c r="G10" s="16" t="n">
        <v>-24243.89</v>
      </c>
      <c r="H10" s="39" t="inlineStr">
        <is>
          <t>Total Assets Benchmark</t>
        </is>
      </c>
    </row>
    <row r="11" ht="20" customHeight="1">
      <c r="A11" s="42" t="n">
        <v>1320</v>
      </c>
      <c r="B11" s="43" t="inlineStr">
        <is>
          <t>Inventory - Finished Goods</t>
        </is>
      </c>
      <c r="C11" s="44" t="inlineStr">
        <is>
          <t>Current Asset</t>
        </is>
      </c>
      <c r="D11" s="44" t="inlineStr">
        <is>
          <t>Debit</t>
        </is>
      </c>
      <c r="E11" s="45" t="n">
        <v>64365.96000000001</v>
      </c>
      <c r="F11" s="45" t="n">
        <v>53202.93</v>
      </c>
      <c r="G11" s="11" t="n">
        <v>11163.03000000001</v>
      </c>
      <c r="H11" s="43" t="inlineStr">
        <is>
          <t>Total Assets Benchmark</t>
        </is>
      </c>
    </row>
    <row r="12" ht="20" customHeight="1">
      <c r="A12" s="38" t="n">
        <v>1410</v>
      </c>
      <c r="B12" s="39" t="inlineStr">
        <is>
          <t>Other Current Assets</t>
        </is>
      </c>
      <c r="C12" s="40" t="inlineStr">
        <is>
          <t>Current Asset</t>
        </is>
      </c>
      <c r="D12" s="40" t="inlineStr">
        <is>
          <t>Debit</t>
        </is>
      </c>
      <c r="E12" s="41" t="n">
        <v>56936.71000000001</v>
      </c>
      <c r="F12" s="41" t="n">
        <v>77470.00999999999</v>
      </c>
      <c r="G12" s="16" t="n">
        <v>-20533.29999999999</v>
      </c>
      <c r="H12" s="39" t="inlineStr">
        <is>
          <t>Total Assets Benchmark</t>
        </is>
      </c>
    </row>
    <row r="13" ht="20" customHeight="1">
      <c r="A13" s="42" t="n">
        <v>1510</v>
      </c>
      <c r="B13" s="43" t="inlineStr">
        <is>
          <t>Property, Plant &amp; Equipment</t>
        </is>
      </c>
      <c r="C13" s="44" t="inlineStr">
        <is>
          <t>Non-Current Asset</t>
        </is>
      </c>
      <c r="D13" s="44" t="inlineStr">
        <is>
          <t>Debit</t>
        </is>
      </c>
      <c r="E13" s="45" t="n">
        <v>529650.25</v>
      </c>
      <c r="F13" s="45" t="n">
        <v>38953.93</v>
      </c>
      <c r="G13" s="11" t="n">
        <v>490696.32</v>
      </c>
      <c r="H13" s="43" t="inlineStr">
        <is>
          <t>Total Assets Benchmark</t>
        </is>
      </c>
    </row>
    <row r="14" ht="20" customHeight="1">
      <c r="A14" s="38" t="n">
        <v>1520</v>
      </c>
      <c r="B14" s="39" t="inlineStr">
        <is>
          <t>Accumulated Depreciation</t>
        </is>
      </c>
      <c r="C14" s="40" t="inlineStr">
        <is>
          <t>Contra Asset</t>
        </is>
      </c>
      <c r="D14" s="40" t="inlineStr">
        <is>
          <t>Credit</t>
        </is>
      </c>
      <c r="E14" s="41" t="n">
        <v>28620.08</v>
      </c>
      <c r="F14" s="41" t="n">
        <v>4131700.91</v>
      </c>
      <c r="G14" s="16" t="n">
        <v>4103080.83</v>
      </c>
      <c r="H14" s="39" t="inlineStr">
        <is>
          <t>Total Assets Benchmark</t>
        </is>
      </c>
    </row>
    <row r="15" ht="20" customHeight="1">
      <c r="A15" s="42" t="n">
        <v>1610</v>
      </c>
      <c r="B15" s="43" t="inlineStr">
        <is>
          <t>Intangible Assets &amp; Software</t>
        </is>
      </c>
      <c r="C15" s="44" t="inlineStr">
        <is>
          <t>Non-Current Asset</t>
        </is>
      </c>
      <c r="D15" s="44" t="inlineStr">
        <is>
          <t>Debit</t>
        </is>
      </c>
      <c r="E15" s="45" t="n">
        <v>64991.04000000001</v>
      </c>
      <c r="F15" s="45" t="n">
        <v>49010.93</v>
      </c>
      <c r="G15" s="11" t="n">
        <v>15980.11000000001</v>
      </c>
      <c r="H15" s="43" t="inlineStr">
        <is>
          <t>Total Assets Benchmark</t>
        </is>
      </c>
    </row>
    <row r="16" ht="20" customHeight="1">
      <c r="A16" s="38" t="n">
        <v>2010</v>
      </c>
      <c r="B16" s="39" t="inlineStr">
        <is>
          <t>Accounts Payable - Trade</t>
        </is>
      </c>
      <c r="C16" s="40" t="inlineStr">
        <is>
          <t>Current Liability</t>
        </is>
      </c>
      <c r="D16" s="40" t="inlineStr">
        <is>
          <t>Credit</t>
        </is>
      </c>
      <c r="E16" s="41" t="n">
        <v>4757857.48</v>
      </c>
      <c r="F16" s="41" t="n">
        <v>13744001.33</v>
      </c>
      <c r="G16" s="16" t="n">
        <v>8986143.85</v>
      </c>
      <c r="H16" s="39" t="inlineStr">
        <is>
          <t>Liabilities</t>
        </is>
      </c>
    </row>
    <row r="17" ht="20" customHeight="1">
      <c r="A17" s="42" t="n">
        <v>2020</v>
      </c>
      <c r="B17" s="43" t="inlineStr">
        <is>
          <t>Accrued Salaries &amp; Benefits</t>
        </is>
      </c>
      <c r="C17" s="44" t="inlineStr">
        <is>
          <t>Current Liability</t>
        </is>
      </c>
      <c r="D17" s="44" t="inlineStr">
        <is>
          <t>Credit</t>
        </is>
      </c>
      <c r="E17" s="45" t="n">
        <v>19895.3</v>
      </c>
      <c r="F17" s="45" t="n">
        <v>2376406.48</v>
      </c>
      <c r="G17" s="11" t="n">
        <v>2356511.18</v>
      </c>
      <c r="H17" s="43" t="inlineStr">
        <is>
          <t>Liabilities</t>
        </is>
      </c>
    </row>
    <row r="18" ht="20" customHeight="1">
      <c r="A18" s="38" t="n">
        <v>2030</v>
      </c>
      <c r="B18" s="39" t="inlineStr">
        <is>
          <t>Accrued Expenses &amp; Provisions</t>
        </is>
      </c>
      <c r="C18" s="40" t="inlineStr">
        <is>
          <t>Current Liability</t>
        </is>
      </c>
      <c r="D18" s="40" t="inlineStr">
        <is>
          <t>Credit</t>
        </is>
      </c>
      <c r="E18" s="41" t="n">
        <v>29258.22</v>
      </c>
      <c r="F18" s="41" t="n">
        <v>39879.36</v>
      </c>
      <c r="G18" s="16" t="n">
        <v>10621.14</v>
      </c>
      <c r="H18" s="39" t="inlineStr">
        <is>
          <t>Liabilities</t>
        </is>
      </c>
    </row>
    <row r="19" ht="20" customHeight="1">
      <c r="A19" s="42" t="n">
        <v>2040</v>
      </c>
      <c r="B19" s="43" t="inlineStr">
        <is>
          <t>Statutory &amp; Tax Dues Payable</t>
        </is>
      </c>
      <c r="C19" s="44" t="inlineStr">
        <is>
          <t>Current Liability</t>
        </is>
      </c>
      <c r="D19" s="44" t="inlineStr">
        <is>
          <t>Credit</t>
        </is>
      </c>
      <c r="E19" s="45" t="n">
        <v>65312.37</v>
      </c>
      <c r="F19" s="45" t="n">
        <v>62291.72</v>
      </c>
      <c r="G19" s="11" t="n">
        <v>-3020.649999999994</v>
      </c>
      <c r="H19" s="43" t="inlineStr">
        <is>
          <t>Liabilities</t>
        </is>
      </c>
    </row>
    <row r="20" ht="20" customHeight="1">
      <c r="A20" s="38" t="n">
        <v>2110</v>
      </c>
      <c r="B20" s="39" t="inlineStr">
        <is>
          <t>Short-Term Working Capital Loan</t>
        </is>
      </c>
      <c r="C20" s="40" t="inlineStr">
        <is>
          <t>Current Liability</t>
        </is>
      </c>
      <c r="D20" s="40" t="inlineStr">
        <is>
          <t>Credit</t>
        </is>
      </c>
      <c r="E20" s="41" t="n">
        <v>64688.37000000001</v>
      </c>
      <c r="F20" s="41" t="n">
        <v>20700.46</v>
      </c>
      <c r="G20" s="16" t="n">
        <v>-43987.91000000001</v>
      </c>
      <c r="H20" s="39" t="inlineStr">
        <is>
          <t>Liabilities</t>
        </is>
      </c>
    </row>
    <row r="21" ht="20" customHeight="1">
      <c r="A21" s="42" t="n">
        <v>2510</v>
      </c>
      <c r="B21" s="43" t="inlineStr">
        <is>
          <t>Senior Term Loan Payable</t>
        </is>
      </c>
      <c r="C21" s="44" t="inlineStr">
        <is>
          <t>Non-Current Liability</t>
        </is>
      </c>
      <c r="D21" s="44" t="inlineStr">
        <is>
          <t>Credit</t>
        </is>
      </c>
      <c r="E21" s="45" t="n">
        <v>57046.4</v>
      </c>
      <c r="F21" s="45" t="n">
        <v>31275.21</v>
      </c>
      <c r="G21" s="11" t="n">
        <v>-25771.19</v>
      </c>
      <c r="H21" s="43" t="inlineStr">
        <is>
          <t>Liabilities</t>
        </is>
      </c>
    </row>
    <row r="22" ht="20" customHeight="1">
      <c r="A22" s="38" t="n">
        <v>3010</v>
      </c>
      <c r="B22" s="39" t="inlineStr">
        <is>
          <t>Share Capital</t>
        </is>
      </c>
      <c r="C22" s="40" t="inlineStr">
        <is>
          <t>Equity</t>
        </is>
      </c>
      <c r="D22" s="40" t="inlineStr">
        <is>
          <t>Credit</t>
        </is>
      </c>
      <c r="E22" s="41" t="n">
        <v>65291.23</v>
      </c>
      <c r="F22" s="41" t="n">
        <v>49399.25</v>
      </c>
      <c r="G22" s="16" t="n">
        <v>-15891.98</v>
      </c>
      <c r="H22" s="39" t="inlineStr">
        <is>
          <t>Equity Benchmark</t>
        </is>
      </c>
    </row>
    <row r="23" ht="20" customHeight="1">
      <c r="A23" s="42" t="n">
        <v>3020</v>
      </c>
      <c r="B23" s="43" t="inlineStr">
        <is>
          <t>Retained Earnings</t>
        </is>
      </c>
      <c r="C23" s="44" t="inlineStr">
        <is>
          <t>Equity</t>
        </is>
      </c>
      <c r="D23" s="44" t="inlineStr">
        <is>
          <t>Credit</t>
        </is>
      </c>
      <c r="E23" s="45" t="n">
        <v>57182.92999999999</v>
      </c>
      <c r="F23" s="45" t="n">
        <v>47375.39</v>
      </c>
      <c r="G23" s="11" t="n">
        <v>-9807.539999999994</v>
      </c>
      <c r="H23" s="43" t="inlineStr">
        <is>
          <t>Equity Benchmark</t>
        </is>
      </c>
    </row>
    <row r="24" ht="20" customHeight="1">
      <c r="A24" s="38" t="n">
        <v>4010</v>
      </c>
      <c r="B24" s="39" t="inlineStr">
        <is>
          <t>Software License &amp; SaaS Revenue</t>
        </is>
      </c>
      <c r="C24" s="40" t="inlineStr">
        <is>
          <t>Revenue</t>
        </is>
      </c>
      <c r="D24" s="40" t="inlineStr">
        <is>
          <t>Credit</t>
        </is>
      </c>
      <c r="E24" s="41" t="n">
        <v>219596.83</v>
      </c>
      <c r="F24" s="41" t="n">
        <v>4361101.43</v>
      </c>
      <c r="G24" s="16" t="n">
        <v>4141504.6</v>
      </c>
      <c r="H24" s="39" t="inlineStr">
        <is>
          <t>Gross Revenue Benchmark</t>
        </is>
      </c>
    </row>
    <row r="25" ht="20" customHeight="1">
      <c r="A25" s="42" t="n">
        <v>4020</v>
      </c>
      <c r="B25" s="43" t="inlineStr">
        <is>
          <t>Professional Consulting Services</t>
        </is>
      </c>
      <c r="C25" s="44" t="inlineStr">
        <is>
          <t>Revenue</t>
        </is>
      </c>
      <c r="D25" s="44" t="inlineStr">
        <is>
          <t>Credit</t>
        </is>
      </c>
      <c r="E25" s="45" t="n">
        <v>105049.62</v>
      </c>
      <c r="F25" s="45" t="n">
        <v>4233147.87</v>
      </c>
      <c r="G25" s="11" t="n">
        <v>4128098.25</v>
      </c>
      <c r="H25" s="43" t="inlineStr">
        <is>
          <t>Gross Revenue Benchmark</t>
        </is>
      </c>
    </row>
    <row r="26" ht="20" customHeight="1">
      <c r="A26" s="38" t="n">
        <v>4030</v>
      </c>
      <c r="B26" s="39" t="inlineStr">
        <is>
          <t>Maintenance &amp; Support Revenue</t>
        </is>
      </c>
      <c r="C26" s="40" t="inlineStr">
        <is>
          <t>Revenue</t>
        </is>
      </c>
      <c r="D26" s="40" t="inlineStr">
        <is>
          <t>Credit</t>
        </is>
      </c>
      <c r="E26" s="41" t="n">
        <v>82869.61000000002</v>
      </c>
      <c r="F26" s="41" t="n">
        <v>60545.91</v>
      </c>
      <c r="G26" s="16" t="n">
        <v>-22323.70000000001</v>
      </c>
      <c r="H26" s="39" t="inlineStr">
        <is>
          <t>Gross Revenue Benchmark</t>
        </is>
      </c>
    </row>
    <row r="27" ht="20" customHeight="1">
      <c r="A27" s="42" t="n">
        <v>4090</v>
      </c>
      <c r="B27" s="43" t="inlineStr">
        <is>
          <t>Other Ancillary Income</t>
        </is>
      </c>
      <c r="C27" s="44" t="inlineStr">
        <is>
          <t>Revenue</t>
        </is>
      </c>
      <c r="D27" s="44" t="inlineStr">
        <is>
          <t>Credit</t>
        </is>
      </c>
      <c r="E27" s="45" t="n">
        <v>76569.63</v>
      </c>
      <c r="F27" s="45" t="n">
        <v>61449.99</v>
      </c>
      <c r="G27" s="11" t="n">
        <v>-15119.64000000001</v>
      </c>
      <c r="H27" s="43" t="inlineStr">
        <is>
          <t>Gross Revenue Benchmark</t>
        </is>
      </c>
    </row>
    <row r="28" ht="20" customHeight="1">
      <c r="A28" s="38" t="n">
        <v>5010</v>
      </c>
      <c r="B28" s="39" t="inlineStr">
        <is>
          <t>Cloud Server &amp; Hosting Infrastructure</t>
        </is>
      </c>
      <c r="C28" s="40" t="inlineStr">
        <is>
          <t>Cost of Sales</t>
        </is>
      </c>
      <c r="D28" s="40" t="inlineStr">
        <is>
          <t>Debit</t>
        </is>
      </c>
      <c r="E28" s="41" t="n">
        <v>6013884.550000001</v>
      </c>
      <c r="F28" s="41" t="n">
        <v>94771.37000000001</v>
      </c>
      <c r="G28" s="16" t="n">
        <v>5919113.180000001</v>
      </c>
      <c r="H28" s="39" t="inlineStr">
        <is>
          <t>Operating Expenses Benchmark</t>
        </is>
      </c>
    </row>
    <row r="29" ht="20" customHeight="1">
      <c r="A29" s="42" t="n">
        <v>5020</v>
      </c>
      <c r="B29" s="43" t="inlineStr">
        <is>
          <t>Direct Labor - Software &amp; Consulting</t>
        </is>
      </c>
      <c r="C29" s="44" t="inlineStr">
        <is>
          <t>Cost of Sales</t>
        </is>
      </c>
      <c r="D29" s="44" t="inlineStr">
        <is>
          <t>Debit</t>
        </is>
      </c>
      <c r="E29" s="45" t="n">
        <v>38328.41</v>
      </c>
      <c r="F29" s="45" t="n">
        <v>36922.2</v>
      </c>
      <c r="G29" s="11" t="n">
        <v>1406.210000000006</v>
      </c>
      <c r="H29" s="43" t="inlineStr">
        <is>
          <t>Operating Expenses Benchmark</t>
        </is>
      </c>
    </row>
    <row r="30" ht="20" customHeight="1">
      <c r="A30" s="38" t="n">
        <v>5030</v>
      </c>
      <c r="B30" s="39" t="inlineStr">
        <is>
          <t>Third-Party Software Subscriptions (COGS)</t>
        </is>
      </c>
      <c r="C30" s="40" t="inlineStr">
        <is>
          <t>Cost of Sales</t>
        </is>
      </c>
      <c r="D30" s="40" t="inlineStr">
        <is>
          <t>Debit</t>
        </is>
      </c>
      <c r="E30" s="41" t="n">
        <v>34011.75</v>
      </c>
      <c r="F30" s="41" t="n">
        <v>83540.84999999999</v>
      </c>
      <c r="G30" s="16" t="n">
        <v>-49529.09999999999</v>
      </c>
      <c r="H30" s="39" t="inlineStr">
        <is>
          <t>Operating Expenses Benchmark</t>
        </is>
      </c>
    </row>
    <row r="31" ht="20" customHeight="1">
      <c r="A31" s="42" t="n">
        <v>6010</v>
      </c>
      <c r="B31" s="43" t="inlineStr">
        <is>
          <t>Salaries &amp; Wages Expense</t>
        </is>
      </c>
      <c r="C31" s="44" t="inlineStr">
        <is>
          <t>Operating Expense</t>
        </is>
      </c>
      <c r="D31" s="44" t="inlineStr">
        <is>
          <t>Debit</t>
        </is>
      </c>
      <c r="E31" s="45" t="n">
        <v>4398898.359999999</v>
      </c>
      <c r="F31" s="45" t="n">
        <v>23617</v>
      </c>
      <c r="G31" s="11" t="n">
        <v>4375281.359999999</v>
      </c>
      <c r="H31" s="43" t="inlineStr">
        <is>
          <t>Operating Expenses Benchmark</t>
        </is>
      </c>
    </row>
    <row r="32" ht="20" customHeight="1">
      <c r="A32" s="38" t="n">
        <v>6020</v>
      </c>
      <c r="B32" s="39" t="inlineStr">
        <is>
          <t>Employee Benefits &amp; Welfare</t>
        </is>
      </c>
      <c r="C32" s="40" t="inlineStr">
        <is>
          <t>Operating Expense</t>
        </is>
      </c>
      <c r="D32" s="40" t="inlineStr">
        <is>
          <t>Debit</t>
        </is>
      </c>
      <c r="E32" s="41" t="n">
        <v>89918.17999999999</v>
      </c>
      <c r="F32" s="41" t="n">
        <v>50391.08999999999</v>
      </c>
      <c r="G32" s="16" t="n">
        <v>39527.09</v>
      </c>
      <c r="H32" s="39" t="inlineStr">
        <is>
          <t>Operating Expenses Benchmark</t>
        </is>
      </c>
    </row>
    <row r="33" ht="20" customHeight="1">
      <c r="A33" s="42" t="n">
        <v>6030</v>
      </c>
      <c r="B33" s="43" t="inlineStr">
        <is>
          <t>Sales &amp; Marketing Campaigns</t>
        </is>
      </c>
      <c r="C33" s="44" t="inlineStr">
        <is>
          <t>Operating Expense</t>
        </is>
      </c>
      <c r="D33" s="44" t="inlineStr">
        <is>
          <t>Debit</t>
        </is>
      </c>
      <c r="E33" s="45" t="n">
        <v>1060811.54</v>
      </c>
      <c r="F33" s="45" t="n">
        <v>103740.68</v>
      </c>
      <c r="G33" s="11" t="n">
        <v>957070.8599999998</v>
      </c>
      <c r="H33" s="43" t="inlineStr">
        <is>
          <t>Operating Expenses Benchmark</t>
        </is>
      </c>
    </row>
    <row r="34" ht="20" customHeight="1">
      <c r="A34" s="38" t="n">
        <v>6040</v>
      </c>
      <c r="B34" s="39" t="inlineStr">
        <is>
          <t>Travel, Meals &amp; Entertainment</t>
        </is>
      </c>
      <c r="C34" s="40" t="inlineStr">
        <is>
          <t>Operating Expense</t>
        </is>
      </c>
      <c r="D34" s="40" t="inlineStr">
        <is>
          <t>Debit</t>
        </is>
      </c>
      <c r="E34" s="41" t="n">
        <v>4015213.72</v>
      </c>
      <c r="F34" s="41" t="n">
        <v>88954.35999999999</v>
      </c>
      <c r="G34" s="16" t="n">
        <v>3926259.36</v>
      </c>
      <c r="H34" s="39" t="inlineStr">
        <is>
          <t>Operating Expenses Benchmark</t>
        </is>
      </c>
    </row>
    <row r="35" ht="20" customHeight="1">
      <c r="A35" s="42" t="n">
        <v>6050</v>
      </c>
      <c r="B35" s="43" t="inlineStr">
        <is>
          <t>Legal &amp; Professional Fees</t>
        </is>
      </c>
      <c r="C35" s="44" t="inlineStr">
        <is>
          <t>Operating Expense</t>
        </is>
      </c>
      <c r="D35" s="44" t="inlineStr">
        <is>
          <t>Debit</t>
        </is>
      </c>
      <c r="E35" s="45" t="n">
        <v>930784.4399999999</v>
      </c>
      <c r="F35" s="45" t="n">
        <v>170775.97</v>
      </c>
      <c r="G35" s="11" t="n">
        <v>760008.47</v>
      </c>
      <c r="H35" s="43" t="inlineStr">
        <is>
          <t>Operating Expenses Benchmark</t>
        </is>
      </c>
    </row>
    <row r="36" ht="20" customHeight="1">
      <c r="A36" s="38" t="n">
        <v>6060</v>
      </c>
      <c r="B36" s="39" t="inlineStr">
        <is>
          <t>Office Rent &amp; Utilities</t>
        </is>
      </c>
      <c r="C36" s="40" t="inlineStr">
        <is>
          <t>Operating Expense</t>
        </is>
      </c>
      <c r="D36" s="40" t="inlineStr">
        <is>
          <t>Debit</t>
        </is>
      </c>
      <c r="E36" s="41" t="n">
        <v>1757931.86</v>
      </c>
      <c r="F36" s="41" t="n">
        <v>66584.54999999999</v>
      </c>
      <c r="G36" s="16" t="n">
        <v>1691347.31</v>
      </c>
      <c r="H36" s="39" t="inlineStr">
        <is>
          <t>Operating Expenses Benchmark</t>
        </is>
      </c>
    </row>
    <row r="37" ht="20" customHeight="1">
      <c r="A37" s="42" t="n">
        <v>6070</v>
      </c>
      <c r="B37" s="43" t="inlineStr">
        <is>
          <t>Depreciation &amp; Amortization Expense</t>
        </is>
      </c>
      <c r="C37" s="44" t="inlineStr">
        <is>
          <t>Operating Expense</t>
        </is>
      </c>
      <c r="D37" s="44" t="inlineStr">
        <is>
          <t>Debit</t>
        </is>
      </c>
      <c r="E37" s="45" t="n">
        <v>4199053.75</v>
      </c>
      <c r="F37" s="45" t="n">
        <v>135000.7</v>
      </c>
      <c r="G37" s="11" t="n">
        <v>4064053.05</v>
      </c>
      <c r="H37" s="43" t="inlineStr">
        <is>
          <t>Operating Expenses Benchmark</t>
        </is>
      </c>
    </row>
    <row r="38" ht="20" customHeight="1">
      <c r="A38" s="38" t="n">
        <v>6080</v>
      </c>
      <c r="B38" s="39" t="inlineStr">
        <is>
          <t>R&amp;D Tech Consumables</t>
        </is>
      </c>
      <c r="C38" s="40" t="inlineStr">
        <is>
          <t>Operating Expense</t>
        </is>
      </c>
      <c r="D38" s="40" t="inlineStr">
        <is>
          <t>Debit</t>
        </is>
      </c>
      <c r="E38" s="41" t="n">
        <v>662207.11</v>
      </c>
      <c r="F38" s="41" t="n">
        <v>25637.1</v>
      </c>
      <c r="G38" s="16" t="n">
        <v>636570.01</v>
      </c>
      <c r="H38" s="39" t="inlineStr">
        <is>
          <t>Operating Expenses Benchmark</t>
        </is>
      </c>
    </row>
    <row r="39" ht="20" customHeight="1">
      <c r="A39" s="42" t="n">
        <v>6090</v>
      </c>
      <c r="B39" s="43" t="inlineStr">
        <is>
          <t>General &amp; Administrative Misc</t>
        </is>
      </c>
      <c r="C39" s="44" t="inlineStr">
        <is>
          <t>Operating Expense</t>
        </is>
      </c>
      <c r="D39" s="44" t="inlineStr">
        <is>
          <t>Debit</t>
        </is>
      </c>
      <c r="E39" s="45" t="n">
        <v>3289426.87</v>
      </c>
      <c r="F39" s="45" t="n">
        <v>66240.98000000001</v>
      </c>
      <c r="G39" s="11" t="n">
        <v>3223185.89</v>
      </c>
      <c r="H39" s="43" t="inlineStr">
        <is>
          <t>Operating Expenses Benchmark</t>
        </is>
      </c>
    </row>
    <row r="40" ht="20" customHeight="1">
      <c r="A40" s="38" t="n">
        <v>7010</v>
      </c>
      <c r="B40" s="39" t="inlineStr">
        <is>
          <t>Interest &amp; Bank Charges</t>
        </is>
      </c>
      <c r="C40" s="40" t="inlineStr">
        <is>
          <t>Finance Expense</t>
        </is>
      </c>
      <c r="D40" s="40" t="inlineStr">
        <is>
          <t>Debit</t>
        </is>
      </c>
      <c r="E40" s="41" t="n">
        <v>60151.27</v>
      </c>
      <c r="F40" s="41" t="n">
        <v>34123.15</v>
      </c>
      <c r="G40" s="16" t="n">
        <v>26028.12</v>
      </c>
      <c r="H40" s="39" t="inlineStr">
        <is>
          <t>Operating Expenses Benchmark</t>
        </is>
      </c>
    </row>
    <row r="41" ht="24" customHeight="1">
      <c r="A41" s="46" t="n"/>
      <c r="B41" s="47" t="inlineStr">
        <is>
          <t>TOTAL TRIAL BALANCE</t>
        </is>
      </c>
      <c r="C41" s="46" t="n"/>
      <c r="D41" s="46" t="n"/>
      <c r="E41" s="48">
        <f>SUM(E4:E40)</f>
        <v/>
      </c>
      <c r="F41" s="48">
        <f>SUM(F4:F40)</f>
        <v/>
      </c>
      <c r="G41" s="46" t="n"/>
      <c r="H41" s="4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2026-09-15T17:31:45Z</dcterms:created>
  <dcterms:modified xmlns:dcterms="http://purl.org/dc/terms/" xmlns:xsi="http://www.w3.org/2001/XMLSchema-instance" xsi:type="dcterms:W3CDTF">2026-09-15T17:31:45Z</dcterms:modified>
</cp:coreProperties>
</file>