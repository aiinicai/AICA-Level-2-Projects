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Files" sheetId="1" state="visible" r:id="rId3"/>
    <sheet name="Account Results" sheetId="2" state="visible" r:id="rId4"/>
    <sheet name="How to Test" sheetId="3" state="visible" r:id="rId5"/>
    <sheet name="Test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<sst xmlns="http://schemas.openxmlformats.org/spreadsheetml/2006/main" count="115" uniqueCount="93">
  <si>
    <t xml:space="preserve">Mixed-Account Dummy Test Files</t>
  </si>
  <si>
    <t xml:space="preserve">Bank Statement Analyser PRO – by CA Vinod H Dandwani. All data is dummy (DEMO BANK).</t>
  </si>
  <si>
    <t xml:space="preserve">File</t>
  </si>
  <si>
    <t xml:space="preserve">Format</t>
  </si>
  <si>
    <t xml:space="preserve">Accounts inside</t>
  </si>
  <si>
    <t xml:space="preserve">How accounts are stored</t>
  </si>
  <si>
    <t xml:space="preserve">08_Mixed_Accounts_Savings_Current_CC.csv</t>
  </si>
  <si>
    <t xml:space="preserve">CSV</t>
  </si>
  <si>
    <t xml:space="preserve">One file, three blocks, each with its own header lines and table</t>
  </si>
  <si>
    <t xml:space="preserve">09_Mixed_Accounts_Savings_Current_CC.xlsx</t>
  </si>
  <si>
    <t xml:space="preserve">Excel</t>
  </si>
  <si>
    <t xml:space="preserve">One sheet per account (Savings, Current, Cash Credit)</t>
  </si>
  <si>
    <t xml:space="preserve">10_Mixed_Accounts_Savings_Current_CC.pdf</t>
  </si>
  <si>
    <t xml:space="preserve">PDF (text)</t>
  </si>
  <si>
    <t xml:space="preserve">Three statements one after another; account header repeated on every page</t>
  </si>
  <si>
    <t xml:space="preserve">Total accounts across files</t>
  </si>
  <si>
    <t xml:space="preserve">Account Details and Results from the Test Run</t>
  </si>
  <si>
    <t xml:space="preserve">Results were obtained in a test browser; identical in CSV, Excel and PDF. ABB for the CC account is measured on available limit.</t>
  </si>
  <si>
    <t xml:space="preserve">Account no.</t>
  </si>
  <si>
    <t xml:space="preserve">Type</t>
  </si>
  <si>
    <t xml:space="preserve">Holder</t>
  </si>
  <si>
    <t xml:space="preserve">Contents</t>
  </si>
  <si>
    <t xml:space="preserve">Limit / DP (₹)</t>
  </si>
  <si>
    <t xml:space="preserve">Total credits (₹)</t>
  </si>
  <si>
    <t xml:space="preserve">Total debits (₹)</t>
  </si>
  <si>
    <t xml:space="preserve">Net movement (₹)</t>
  </si>
  <si>
    <t xml:space="preserve">Debit/credit ratio</t>
  </si>
  <si>
    <t xml:space="preserve">ABB – daily (₹)</t>
  </si>
  <si>
    <t xml:space="preserve">Peak debit balance (₹)</t>
  </si>
  <si>
    <t xml:space="preserve">Utilisation</t>
  </si>
  <si>
    <t xml:space="preserve">Overdrawn?</t>
  </si>
  <si>
    <t xml:space="preserve">Risk score</t>
  </si>
  <si>
    <t xml:space="preserve">Risk band</t>
  </si>
  <si>
    <t xml:space="preserve">100200300401</t>
  </si>
  <si>
    <t xml:space="preserve">Savings</t>
  </si>
  <si>
    <t xml:space="preserve">MR RAJESH SAMPLE (director)</t>
  </si>
  <si>
    <t xml:space="preserve">Salary, rent, loan EMI, SIP, credit-card payments, stock-market entry, liquor spend</t>
  </si>
  <si>
    <t xml:space="preserve">200300400502</t>
  </si>
  <si>
    <t xml:space="preserve">Current</t>
  </si>
  <si>
    <t xml:space="preserve">SAMPLE TRADERS PRIVATE LIMITED</t>
  </si>
  <si>
    <t xml:space="preserve">Business receipts, vendor payments, EMIs, EMI bounce, cheque bounce, legal fee, loan disbursal</t>
  </si>
  <si>
    <t xml:space="preserve">300400500603</t>
  </si>
  <si>
    <t xml:space="preserve">Cash Credit</t>
  </si>
  <si>
    <t xml:space="preserve">Debit balances above the sanctioned limit</t>
  </si>
  <si>
    <t xml:space="preserve">Totals / notes</t>
  </si>
  <si>
    <t xml:space="preserve">Blue figures are inputs copied from the tool output of the test run (Customer summary tiles); black cells are formulas.</t>
  </si>
  <si>
    <t xml:space="preserve">Risk band thresholds follow the tool: Low below 25, Medium below 55, High 55 and above.</t>
  </si>
  <si>
    <t xml:space="preserve">Utilisation = peak debit balance ÷ sanctioned limit (CC account only). Above 100% is shown as OVERDRAWN in the tool.</t>
  </si>
  <si>
    <t xml:space="preserve">Current account deviation count in the tool: 1 (EMI bounce rule).</t>
  </si>
  <si>
    <t xml:space="preserve">Steps to Test</t>
  </si>
  <si>
    <t xml:space="preserve">Repeat for each of the three files.</t>
  </si>
  <si>
    <t xml:space="preserve">Step</t>
  </si>
  <si>
    <t xml:space="preserve">Action</t>
  </si>
  <si>
    <t xml:space="preserve">Expected result</t>
  </si>
  <si>
    <t xml:space="preserve">Open the tool in Chrome or Edge</t>
  </si>
  <si>
    <t xml:space="preserve">Upload page appears</t>
  </si>
  <si>
    <t xml:space="preserve">Choose one mixed-account file</t>
  </si>
  <si>
    <t xml:space="preserve">"1 of 1 file(s) merged"; an account dropdown with 3 accounts appears</t>
  </si>
  <si>
    <t xml:space="preserve">Select an account in the dropdown</t>
  </si>
  <si>
    <t xml:space="preserve">Customer, account number and period fill in; account type set automatically; limit and drawing power filled for the Cash Credit account</t>
  </si>
  <si>
    <t xml:space="preserve">Enter a proposed EMI (e.g. 25,000)</t>
  </si>
  <si>
    <t xml:space="preserve">Used for the ABB deviation check and best EMI date suggestion</t>
  </si>
  <si>
    <t xml:space="preserve">Click Confirm &amp; Analyse</t>
  </si>
  <si>
    <t xml:space="preserve">Dashboard appears for that account</t>
  </si>
  <si>
    <t xml:space="preserve">Compare with the Account Results sheet</t>
  </si>
  <si>
    <t xml:space="preserve">Credits, debits, ABB, utilisation and risk score agree</t>
  </si>
  <si>
    <t xml:space="preserve">Repeat for the other two accounts</t>
  </si>
  <si>
    <t xml:space="preserve">Same figures</t>
  </si>
  <si>
    <t xml:space="preserve">Repeat with the other two file formats</t>
  </si>
  <si>
    <t xml:space="preserve">Figures identical across CSV, Excel and PDF</t>
  </si>
  <si>
    <t xml:space="preserve">Click Download Excel workbook</t>
  </si>
  <si>
    <t xml:space="preserve">Workbook opens with all analysis sheets</t>
  </si>
  <si>
    <t xml:space="preserve">Test Log</t>
  </si>
  <si>
    <t xml:space="preserve">Yellow cells are for you to fill in. Row 5 is an example. Result: Pass / Fail.</t>
  </si>
  <si>
    <t xml:space="preserve">Account</t>
  </si>
  <si>
    <t xml:space="preserve">Credits match? (Y/N)</t>
  </si>
  <si>
    <t xml:space="preserve">Debits match? (Y/N)</t>
  </si>
  <si>
    <t xml:space="preserve">ABB match? (Y/N)</t>
  </si>
  <si>
    <t xml:space="preserve">Account type auto-set? (Y/N)</t>
  </si>
  <si>
    <t xml:space="preserve">Result</t>
  </si>
  <si>
    <t xml:space="preserve">Tester</t>
  </si>
  <si>
    <t xml:space="preserve">Date</t>
  </si>
  <si>
    <t xml:space="preserve">Remarks</t>
  </si>
  <si>
    <t xml:space="preserve">08_…csv</t>
  </si>
  <si>
    <t xml:space="preserve">Y</t>
  </si>
  <si>
    <t xml:space="preserve">Pass</t>
  </si>
  <si>
    <t xml:space="preserve">Example</t>
  </si>
  <si>
    <t xml:space="preserve">2026-10-19</t>
  </si>
  <si>
    <t xml:space="preserve">Example row – overwrite</t>
  </si>
  <si>
    <t xml:space="preserve">09_…xlsx</t>
  </si>
  <si>
    <t xml:space="preserve">10_…pdf</t>
  </si>
  <si>
    <t xml:space="preserve">Passes</t>
  </si>
  <si>
    <t xml:space="preserve">Fails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</si>
</sst>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\(#,##0\);\-"/>
    <numFmt numFmtId="167" formatCode="0.00"/>
    <numFmt numFmtId="16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284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284B"/>
        <bgColor rgb="FF333333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B0C3"/>
      </left>
      <right style="thin">
        <color rgb="FFA6B0C3"/>
      </right>
      <top style="thin">
        <color rgb="FFA6B0C3"/>
      </top>
      <bottom style="thin">
        <color rgb="FFA6B0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B0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428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n">
        <v>3</v>
      </c>
      <c r="D5" s="4" t="s">
        <v>8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n">
        <v>3</v>
      </c>
      <c r="D6" s="4" t="s">
        <v>11</v>
      </c>
    </row>
    <row r="7" customFormat="false" ht="15" hidden="false" customHeight="false" outlineLevel="0" collapsed="false">
      <c r="A7" s="4" t="s">
        <v>12</v>
      </c>
      <c r="B7" s="4" t="s">
        <v>13</v>
      </c>
      <c r="C7" s="4" t="n">
        <v>3</v>
      </c>
      <c r="D7" s="4" t="s">
        <v>14</v>
      </c>
    </row>
    <row r="9" customFormat="false" ht="15" hidden="false" customHeight="false" outlineLevel="0" collapsed="false">
      <c r="A9" s="5" t="s">
        <v>15</v>
      </c>
      <c r="C9" s="5" t="n">
        <f aca="false">SUM(C5:C7)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3" min="12" style="0" width="12"/>
    <col collapsed="false" customWidth="true" hidden="false" outlineLevel="0" max="15" min="14" style="0" width="10"/>
  </cols>
  <sheetData>
    <row r="1" customFormat="false" ht="18.5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4" customFormat="false" ht="31.5" hidden="false" customHeight="true" outlineLevel="0" collapsed="false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</row>
    <row r="5" customFormat="false" ht="23.85" hidden="false" customHeight="false" outlineLevel="0" collapsed="false">
      <c r="A5" s="4" t="s">
        <v>33</v>
      </c>
      <c r="B5" s="4" t="s">
        <v>34</v>
      </c>
      <c r="C5" s="4" t="s">
        <v>35</v>
      </c>
      <c r="D5" s="4" t="s">
        <v>36</v>
      </c>
      <c r="E5" s="6"/>
      <c r="F5" s="6" t="n">
        <v>572418</v>
      </c>
      <c r="G5" s="6" t="n">
        <v>570700</v>
      </c>
      <c r="H5" s="7" t="n">
        <f aca="false">F5-G5</f>
        <v>1718</v>
      </c>
      <c r="I5" s="8" t="n">
        <f aca="false">IF(F5=0,0,G5/F5)</f>
        <v>0.996998696756566</v>
      </c>
      <c r="J5" s="6" t="n">
        <v>151871</v>
      </c>
      <c r="K5" s="6"/>
      <c r="L5" s="9" t="str">
        <f aca="false">IF(OR(E5="",K5=""),"-",K5/E5)</f>
        <v>-</v>
      </c>
      <c r="M5" s="4" t="str">
        <f aca="false">IF(L5="-","-",IF(L5&gt;1,"YES","No"))</f>
        <v>-</v>
      </c>
      <c r="N5" s="10" t="n">
        <v>5</v>
      </c>
      <c r="O5" s="4" t="str">
        <f aca="false">IF(N5&lt;25,"Low",IF(N5&lt;55,"Medium","High"))</f>
        <v>Low</v>
      </c>
    </row>
    <row r="6" customFormat="false" ht="23.85" hidden="false" customHeight="false" outlineLevel="0" collapsed="false">
      <c r="A6" s="4" t="s">
        <v>37</v>
      </c>
      <c r="B6" s="4" t="s">
        <v>38</v>
      </c>
      <c r="C6" s="4" t="s">
        <v>39</v>
      </c>
      <c r="D6" s="4" t="s">
        <v>40</v>
      </c>
      <c r="E6" s="6"/>
      <c r="F6" s="6" t="n">
        <v>3975000</v>
      </c>
      <c r="G6" s="6" t="n">
        <v>2843910</v>
      </c>
      <c r="H6" s="7" t="n">
        <f aca="false">F6-G6</f>
        <v>1131090</v>
      </c>
      <c r="I6" s="8" t="n">
        <f aca="false">IF(F6=0,0,G6/F6)</f>
        <v>0.715449056603774</v>
      </c>
      <c r="J6" s="6" t="n">
        <v>785425</v>
      </c>
      <c r="K6" s="6"/>
      <c r="L6" s="9" t="str">
        <f aca="false">IF(OR(E6="",K6=""),"-",K6/E6)</f>
        <v>-</v>
      </c>
      <c r="M6" s="4" t="str">
        <f aca="false">IF(L6="-","-",IF(L6&gt;1,"YES","No"))</f>
        <v>-</v>
      </c>
      <c r="N6" s="10" t="n">
        <v>13</v>
      </c>
      <c r="O6" s="4" t="str">
        <f aca="false">IF(N6&lt;25,"Low",IF(N6&lt;55,"Medium","High"))</f>
        <v>Low</v>
      </c>
    </row>
    <row r="7" customFormat="false" ht="23.85" hidden="false" customHeight="false" outlineLevel="0" collapsed="false">
      <c r="A7" s="4" t="s">
        <v>41</v>
      </c>
      <c r="B7" s="4" t="s">
        <v>42</v>
      </c>
      <c r="C7" s="4" t="s">
        <v>39</v>
      </c>
      <c r="D7" s="4" t="s">
        <v>43</v>
      </c>
      <c r="E7" s="6" t="n">
        <v>2500000</v>
      </c>
      <c r="F7" s="6" t="n">
        <v>7820000</v>
      </c>
      <c r="G7" s="6" t="n">
        <v>8034000</v>
      </c>
      <c r="H7" s="7" t="n">
        <f aca="false">F7-G7</f>
        <v>-214000</v>
      </c>
      <c r="I7" s="8" t="n">
        <f aca="false">IF(F7=0,0,G7/F7)</f>
        <v>1.02736572890026</v>
      </c>
      <c r="J7" s="6" t="n">
        <v>74983</v>
      </c>
      <c r="K7" s="6" t="n">
        <v>2659000</v>
      </c>
      <c r="L7" s="9" t="n">
        <f aca="false">IF(OR(E7="",K7=""),"-",K7/E7)</f>
        <v>1.0636</v>
      </c>
      <c r="M7" s="4" t="str">
        <f aca="false">IF(L7="-","-",IF(L7&gt;1,"YES","No"))</f>
        <v>YES</v>
      </c>
      <c r="N7" s="10" t="n">
        <v>0</v>
      </c>
      <c r="O7" s="4" t="str">
        <f aca="false">IF(N7&lt;25,"Low",IF(N7&lt;55,"Medium","High"))</f>
        <v>Low</v>
      </c>
    </row>
    <row r="9" customFormat="false" ht="15" hidden="false" customHeight="false" outlineLevel="0" collapsed="false">
      <c r="A9" s="5" t="s">
        <v>44</v>
      </c>
      <c r="F9" s="11" t="n">
        <f aca="false">SUM(F5:F7)</f>
        <v>12367418</v>
      </c>
      <c r="G9" s="11" t="n">
        <f aca="false">SUM(G5:G7)</f>
        <v>11448610</v>
      </c>
    </row>
    <row r="11" customFormat="false" ht="15" hidden="false" customHeight="false" outlineLevel="0" collapsed="false">
      <c r="A11" s="12" t="s">
        <v>45</v>
      </c>
    </row>
    <row r="12" customFormat="false" ht="15" hidden="false" customHeight="false" outlineLevel="0" collapsed="false">
      <c r="A12" s="12" t="s">
        <v>46</v>
      </c>
    </row>
    <row r="13" customFormat="false" ht="15" hidden="false" customHeight="false" outlineLevel="0" collapsed="false">
      <c r="A13" s="12" t="s">
        <v>47</v>
      </c>
    </row>
    <row r="14" customFormat="false" ht="15" hidden="false" customHeight="false" outlineLevel="0" collapsed="false">
      <c r="A14" s="1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8"/>
    <col collapsed="false" customWidth="true" hidden="false" outlineLevel="0" max="3" min="3" style="0" width="90"/>
  </cols>
  <sheetData>
    <row r="1" customFormat="false" ht="18.5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3" t="s">
        <v>51</v>
      </c>
      <c r="B4" s="3" t="s">
        <v>52</v>
      </c>
      <c r="C4" s="3" t="s">
        <v>53</v>
      </c>
    </row>
    <row r="5" customFormat="false" ht="15" hidden="false" customHeight="false" outlineLevel="0" collapsed="false">
      <c r="A5" s="4" t="n">
        <v>1</v>
      </c>
      <c r="B5" s="4" t="s">
        <v>54</v>
      </c>
      <c r="C5" s="4" t="s">
        <v>55</v>
      </c>
    </row>
    <row r="6" customFormat="false" ht="15" hidden="false" customHeight="false" outlineLevel="0" collapsed="false">
      <c r="A6" s="4" t="n">
        <v>2</v>
      </c>
      <c r="B6" s="4" t="s">
        <v>56</v>
      </c>
      <c r="C6" s="4" t="s">
        <v>57</v>
      </c>
    </row>
    <row r="7" customFormat="false" ht="23.85" hidden="false" customHeight="false" outlineLevel="0" collapsed="false">
      <c r="A7" s="4" t="n">
        <v>3</v>
      </c>
      <c r="B7" s="4" t="s">
        <v>58</v>
      </c>
      <c r="C7" s="4" t="s">
        <v>59</v>
      </c>
    </row>
    <row r="8" customFormat="false" ht="15" hidden="false" customHeight="false" outlineLevel="0" collapsed="false">
      <c r="A8" s="4" t="n">
        <v>4</v>
      </c>
      <c r="B8" s="4" t="s">
        <v>60</v>
      </c>
      <c r="C8" s="4" t="s">
        <v>61</v>
      </c>
    </row>
    <row r="9" customFormat="false" ht="15" hidden="false" customHeight="false" outlineLevel="0" collapsed="false">
      <c r="A9" s="4" t="n">
        <v>5</v>
      </c>
      <c r="B9" s="4" t="s">
        <v>62</v>
      </c>
      <c r="C9" s="4" t="s">
        <v>63</v>
      </c>
    </row>
    <row r="10" customFormat="false" ht="15" hidden="false" customHeight="false" outlineLevel="0" collapsed="false">
      <c r="A10" s="4" t="n">
        <v>6</v>
      </c>
      <c r="B10" s="4" t="s">
        <v>64</v>
      </c>
      <c r="C10" s="4" t="s">
        <v>65</v>
      </c>
    </row>
    <row r="11" customFormat="false" ht="15" hidden="false" customHeight="false" outlineLevel="0" collapsed="false">
      <c r="A11" s="4" t="n">
        <v>7</v>
      </c>
      <c r="B11" s="4" t="s">
        <v>66</v>
      </c>
      <c r="C11" s="4" t="s">
        <v>67</v>
      </c>
    </row>
    <row r="12" customFormat="false" ht="15" hidden="false" customHeight="false" outlineLevel="0" collapsed="false">
      <c r="A12" s="4" t="n">
        <v>8</v>
      </c>
      <c r="B12" s="4" t="s">
        <v>68</v>
      </c>
      <c r="C12" s="4" t="s">
        <v>69</v>
      </c>
    </row>
    <row r="13" customFormat="false" ht="15" hidden="false" customHeight="false" outlineLevel="0" collapsed="false">
      <c r="A13" s="4" t="n">
        <v>9</v>
      </c>
      <c r="B13" s="4" t="s">
        <v>70</v>
      </c>
      <c r="C13" s="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8.5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45" hidden="false" customHeight="true" outlineLevel="0" collapsed="false">
      <c r="A4" s="3" t="s">
        <v>2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78</v>
      </c>
      <c r="G4" s="3" t="s">
        <v>79</v>
      </c>
      <c r="H4" s="3" t="s">
        <v>80</v>
      </c>
      <c r="I4" s="3" t="s">
        <v>81</v>
      </c>
      <c r="J4" s="3" t="s">
        <v>82</v>
      </c>
    </row>
    <row r="5" customFormat="false" ht="15" hidden="false" customHeight="false" outlineLevel="0" collapsed="false">
      <c r="A5" s="4" t="s">
        <v>83</v>
      </c>
      <c r="B5" s="4" t="s">
        <v>34</v>
      </c>
      <c r="C5" s="4" t="s">
        <v>84</v>
      </c>
      <c r="D5" s="4" t="s">
        <v>84</v>
      </c>
      <c r="E5" s="4" t="s">
        <v>84</v>
      </c>
      <c r="F5" s="4" t="s">
        <v>84</v>
      </c>
      <c r="G5" s="4" t="s">
        <v>85</v>
      </c>
      <c r="H5" s="4" t="s">
        <v>86</v>
      </c>
      <c r="I5" s="4" t="s">
        <v>87</v>
      </c>
      <c r="J5" s="4" t="s">
        <v>88</v>
      </c>
    </row>
    <row r="6" customFormat="false" ht="15" hidden="false" customHeight="false" outlineLevel="0" collapsed="false">
      <c r="A6" s="4" t="s">
        <v>83</v>
      </c>
      <c r="B6" s="4" t="s">
        <v>34</v>
      </c>
      <c r="C6" s="13"/>
      <c r="D6" s="13"/>
      <c r="E6" s="13"/>
      <c r="F6" s="13"/>
      <c r="G6" s="13"/>
      <c r="H6" s="13"/>
      <c r="I6" s="13"/>
      <c r="J6" s="13"/>
    </row>
    <row r="7" customFormat="false" ht="15" hidden="false" customHeight="false" outlineLevel="0" collapsed="false">
      <c r="A7" s="4" t="s">
        <v>83</v>
      </c>
      <c r="B7" s="4" t="s">
        <v>38</v>
      </c>
      <c r="C7" s="13"/>
      <c r="D7" s="13"/>
      <c r="E7" s="13"/>
      <c r="F7" s="13"/>
      <c r="G7" s="13"/>
      <c r="H7" s="13"/>
      <c r="I7" s="13"/>
      <c r="J7" s="13"/>
    </row>
    <row r="8" customFormat="false" ht="15" hidden="false" customHeight="false" outlineLevel="0" collapsed="false">
      <c r="A8" s="4" t="s">
        <v>83</v>
      </c>
      <c r="B8" s="4" t="s">
        <v>42</v>
      </c>
      <c r="C8" s="13"/>
      <c r="D8" s="13"/>
      <c r="E8" s="13"/>
      <c r="F8" s="13"/>
      <c r="G8" s="13"/>
      <c r="H8" s="13"/>
      <c r="I8" s="13"/>
      <c r="J8" s="13"/>
    </row>
    <row r="9" customFormat="false" ht="15" hidden="false" customHeight="false" outlineLevel="0" collapsed="false">
      <c r="A9" s="4" t="s">
        <v>89</v>
      </c>
      <c r="B9" s="4" t="s">
        <v>34</v>
      </c>
      <c r="C9" s="13"/>
      <c r="D9" s="13"/>
      <c r="E9" s="13"/>
      <c r="F9" s="13"/>
      <c r="G9" s="13"/>
      <c r="H9" s="13"/>
      <c r="I9" s="13"/>
      <c r="J9" s="13"/>
    </row>
    <row r="10" customFormat="false" ht="15" hidden="false" customHeight="false" outlineLevel="0" collapsed="false">
      <c r="A10" s="4" t="s">
        <v>89</v>
      </c>
      <c r="B10" s="4" t="s">
        <v>38</v>
      </c>
      <c r="C10" s="13"/>
      <c r="D10" s="13"/>
      <c r="E10" s="13"/>
      <c r="F10" s="13"/>
      <c r="G10" s="13"/>
      <c r="H10" s="13"/>
      <c r="I10" s="13"/>
      <c r="J10" s="13"/>
    </row>
    <row r="11" customFormat="false" ht="15" hidden="false" customHeight="false" outlineLevel="0" collapsed="false">
      <c r="A11" s="4" t="s">
        <v>89</v>
      </c>
      <c r="B11" s="4" t="s">
        <v>42</v>
      </c>
      <c r="C11" s="13"/>
      <c r="D11" s="13"/>
      <c r="E11" s="13"/>
      <c r="F11" s="13"/>
      <c r="G11" s="13"/>
      <c r="H11" s="13"/>
      <c r="I11" s="13"/>
      <c r="J11" s="13"/>
    </row>
    <row r="12" customFormat="false" ht="15" hidden="false" customHeight="false" outlineLevel="0" collapsed="false">
      <c r="A12" s="4" t="s">
        <v>90</v>
      </c>
      <c r="B12" s="4" t="s">
        <v>34</v>
      </c>
      <c r="C12" s="13"/>
      <c r="D12" s="13"/>
      <c r="E12" s="13"/>
      <c r="F12" s="13"/>
      <c r="G12" s="13"/>
      <c r="H12" s="13"/>
      <c r="I12" s="13"/>
      <c r="J12" s="13"/>
    </row>
    <row r="13" customFormat="false" ht="15" hidden="false" customHeight="false" outlineLevel="0" collapsed="false">
      <c r="A13" s="4" t="s">
        <v>90</v>
      </c>
      <c r="B13" s="4" t="s">
        <v>38</v>
      </c>
      <c r="C13" s="13"/>
      <c r="D13" s="13"/>
      <c r="E13" s="13"/>
      <c r="F13" s="13"/>
      <c r="G13" s="13"/>
      <c r="H13" s="13"/>
      <c r="I13" s="13"/>
      <c r="J13" s="13"/>
    </row>
    <row r="14" customFormat="false" ht="15" hidden="false" customHeight="false" outlineLevel="0" collapsed="false">
      <c r="A14" s="4" t="s">
        <v>90</v>
      </c>
      <c r="B14" s="4" t="s">
        <v>42</v>
      </c>
      <c r="C14" s="13"/>
      <c r="D14" s="13"/>
      <c r="E14" s="13"/>
      <c r="F14" s="13"/>
      <c r="G14" s="13"/>
      <c r="H14" s="13"/>
      <c r="I14" s="13"/>
      <c r="J14" s="13"/>
    </row>
    <row r="16" customFormat="false" ht="15" hidden="false" customHeight="false" outlineLevel="0" collapsed="false">
      <c r="A16" s="5" t="s">
        <v>91</v>
      </c>
      <c r="B16" s="5" t="n">
        <f aca="false">COUNTIF(G6:G14,"Pass")</f>
        <v>0</v>
      </c>
    </row>
    <row r="17" customFormat="false" ht="15" hidden="false" customHeight="false" outlineLevel="0" collapsed="false">
      <c r="A17" s="5" t="s">
        <v>92</v>
      </c>
      <c r="B17" s="5" t="n">
        <f aca="false">COUNTIF(G6:G14,"Fail")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2026-10-19T08:25:46Z</dcterms:created>
  <dc:creator>openpyxl</dc:creator>
  <dc:description/>
  <dc:language>en-US</dc:language>
  <cp:lastModifiedBy/>
  <dcterms:modified xsi:type="dcterms:W3CDTF">2026-10-19T08:25:46Z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