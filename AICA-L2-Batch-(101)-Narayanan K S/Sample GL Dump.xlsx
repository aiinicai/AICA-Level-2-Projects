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acci-my.sharepoint.com/personal/ugesh_d_asa_in/Documents/Desktop/Automation/KSN/"/>
    </mc:Choice>
  </mc:AlternateContent>
  <xr:revisionPtr revIDLastSave="40" documentId="11_F684CFA0D190688564037439209C6AD8F734A377" xr6:coauthVersionLast="47" xr6:coauthVersionMax="47" xr10:uidLastSave="{84D89F74-F3FC-4024-95EF-FC78F75792B8}"/>
  <bookViews>
    <workbookView xWindow="-120" yWindow="-120" windowWidth="20730" windowHeight="11040" xr2:uid="{00000000-000D-0000-FFFF-FFFF00000000}"/>
  </bookViews>
  <sheets>
    <sheet name="SAPUI5 Export" sheetId="1" r:id="rId1"/>
  </sheets>
  <definedNames>
    <definedName name="_xlnm._FilterDatabase" localSheetId="0" hidden="1">'SAPUI5 Export'!$A$1:$U$1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</calcChain>
</file>

<file path=xl/sharedStrings.xml><?xml version="1.0" encoding="utf-8"?>
<sst xmlns="http://schemas.openxmlformats.org/spreadsheetml/2006/main" count="1012" uniqueCount="57">
  <si>
    <t>G/L Account</t>
  </si>
  <si>
    <t>Assignment Reference</t>
  </si>
  <si>
    <t>Journal Entry</t>
  </si>
  <si>
    <t>Journal Entry Type</t>
  </si>
  <si>
    <t>Posting Date</t>
  </si>
  <si>
    <t>Posting Key</t>
  </si>
  <si>
    <t>Amount in Company Code Currency</t>
  </si>
  <si>
    <t>Tax Code</t>
  </si>
  <si>
    <t>Clearing Journal Entry</t>
  </si>
  <si>
    <t>Profit Center</t>
  </si>
  <si>
    <t>Segment</t>
  </si>
  <si>
    <t>Journal Entry Item Text</t>
  </si>
  <si>
    <t>Number of Items</t>
  </si>
  <si>
    <t>Offsetting Account</t>
  </si>
  <si>
    <t>Offsetting Account Type</t>
  </si>
  <si>
    <t>Supplier</t>
  </si>
  <si>
    <t>101090105 (Asset Tech Clearing)</t>
  </si>
  <si>
    <t>100000114</t>
  </si>
  <si>
    <t>AA (Asset Posting)</t>
  </si>
  <si>
    <t>70</t>
  </si>
  <si>
    <t>A0</t>
  </si>
  <si>
    <t>2000 (Large Power Transfor)</t>
  </si>
  <si>
    <t>1000_A (Segment A)</t>
  </si>
  <si>
    <t>104040132 (Input Credit CGST@9%)</t>
  </si>
  <si>
    <t>S</t>
  </si>
  <si>
    <t>104040132 (Input Credit CGST @ 9%)</t>
  </si>
  <si>
    <t>50</t>
  </si>
  <si>
    <t>A</t>
  </si>
  <si>
    <t>104040137 (Input Credit SGST @ 9%)</t>
  </si>
  <si>
    <t>101090101 (Capital WIP)</t>
  </si>
  <si>
    <t>75</t>
  </si>
  <si>
    <t>101085101 (Computers)</t>
  </si>
  <si>
    <t>100000115</t>
  </si>
  <si>
    <t>100000116</t>
  </si>
  <si>
    <t>104030140 (Prepaid Expenses - Others)</t>
  </si>
  <si>
    <t>100000117</t>
  </si>
  <si>
    <t>40</t>
  </si>
  <si>
    <t>104030140 (Prepaid Exp -Others)</t>
  </si>
  <si>
    <t>101030101 (Plant &amp; Machinery)</t>
  </si>
  <si>
    <t>100000118</t>
  </si>
  <si>
    <t>505080400 (Sale of Asset Offset)</t>
  </si>
  <si>
    <t>308020101 (Prov for Dep - Pl&amp;Mach)</t>
  </si>
  <si>
    <t>505020110 (Profit on sale of P&amp;M)</t>
  </si>
  <si>
    <t>100000119</t>
  </si>
  <si>
    <t>101040101 (Office Equipments)</t>
  </si>
  <si>
    <t>100000120</t>
  </si>
  <si>
    <t>100000121</t>
  </si>
  <si>
    <t>100000122</t>
  </si>
  <si>
    <t>100000123</t>
  </si>
  <si>
    <t>100000124</t>
  </si>
  <si>
    <t>Debit</t>
  </si>
  <si>
    <t>Credit</t>
  </si>
  <si>
    <t>Voucher Date</t>
  </si>
  <si>
    <t>Created By</t>
  </si>
  <si>
    <t>Approved By</t>
  </si>
  <si>
    <t>Ugesh</t>
  </si>
  <si>
    <t>KSN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</si>
</sst>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\.yyyy"/>
    <numFmt numFmtId="165" formatCode="* #,##0.00_0_0\ &quot;INR&quot;;* \-\ #,##0.00_0_0\ &quot;INR&quot;"/>
  </numFmts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3133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6EFBBC-A4AF-4CDA-90EF-9ADC1DBF273B}"/>
  </tableStyles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00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8.75" bestFit="1" customWidth="1"/>
    <col min="2" max="2" width="23.25" bestFit="1" customWidth="1"/>
    <col min="3" max="3" width="16.25" bestFit="1" customWidth="1"/>
    <col min="4" max="4" width="21.25" bestFit="1" customWidth="1"/>
    <col min="5" max="5" width="15.25" bestFit="1" customWidth="1"/>
    <col min="6" max="6" width="14.25" bestFit="1" customWidth="1"/>
    <col min="7" max="7" width="34.25" bestFit="1" customWidth="1"/>
    <col min="8" max="12" width="34.25" customWidth="1"/>
    <col min="13" max="13" width="11.25" bestFit="1" customWidth="1"/>
    <col min="14" max="14" width="25.25" bestFit="1" customWidth="1"/>
    <col min="15" max="16" width="16.75" bestFit="1" customWidth="1"/>
    <col min="17" max="17" width="26.25" bestFit="1" customWidth="1"/>
    <col min="18" max="18" width="18.25" bestFit="1" customWidth="1"/>
    <col min="19" max="19" width="40.75" bestFit="1" customWidth="1"/>
    <col min="20" max="20" width="26.25" bestFit="1" customWidth="1"/>
    <col min="21" max="21" width="40.75" bestFit="1" customWidth="1"/>
  </cols>
  <sheetData>
    <row r="1" spans="1:21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51</v>
      </c>
      <c r="J1" s="5" t="s">
        <v>52</v>
      </c>
      <c r="K1" s="5" t="s">
        <v>53</v>
      </c>
      <c r="L1" s="5" t="s">
        <v>54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</row>
    <row r="2" spans="1:21" x14ac:dyDescent="0.2">
      <c r="A2" s="2" t="s">
        <v>16</v>
      </c>
      <c r="C2" s="2" t="s">
        <v>17</v>
      </c>
      <c r="D2" s="2" t="s">
        <v>18</v>
      </c>
      <c r="E2" s="3">
        <v>46219</v>
      </c>
      <c r="F2" s="2" t="s">
        <v>19</v>
      </c>
      <c r="G2" s="4">
        <v>20113.919999999998</v>
      </c>
      <c r="H2" s="4">
        <f>IF(G2&gt;0,G2,0)</f>
        <v>20113.919999999998</v>
      </c>
      <c r="I2" s="4">
        <f>-IF(G2&lt;0,G2,0)</f>
        <v>0</v>
      </c>
      <c r="J2" s="6">
        <f>E2-1</f>
        <v>46218</v>
      </c>
      <c r="K2" s="4" t="s">
        <v>55</v>
      </c>
      <c r="L2" s="4" t="s">
        <v>56</v>
      </c>
      <c r="M2" s="2" t="s">
        <v>20</v>
      </c>
      <c r="O2" s="2" t="s">
        <v>21</v>
      </c>
      <c r="P2" s="2" t="s">
        <v>22</v>
      </c>
      <c r="R2" s="2">
        <v>1</v>
      </c>
      <c r="S2" s="2" t="s">
        <v>23</v>
      </c>
      <c r="T2" s="2" t="s">
        <v>24</v>
      </c>
    </row>
    <row r="3" spans="1:21" x14ac:dyDescent="0.2">
      <c r="A3" s="2" t="s">
        <v>25</v>
      </c>
      <c r="C3" s="2" t="s">
        <v>17</v>
      </c>
      <c r="D3" s="2" t="s">
        <v>18</v>
      </c>
      <c r="E3" s="3">
        <v>46219</v>
      </c>
      <c r="F3" s="2" t="s">
        <v>26</v>
      </c>
      <c r="G3" s="4">
        <v>-10056.959999999999</v>
      </c>
      <c r="H3" s="4">
        <f t="shared" ref="H3:H66" si="0">IF(G3&gt;0,G3,0)</f>
        <v>0</v>
      </c>
      <c r="I3" s="4">
        <f t="shared" ref="I3:I66" si="1">-IF(G3&lt;0,G3,0)</f>
        <v>10056.959999999999</v>
      </c>
      <c r="J3" s="6">
        <f t="shared" ref="J3:J66" si="2">E3-1</f>
        <v>46218</v>
      </c>
      <c r="K3" s="4" t="s">
        <v>55</v>
      </c>
      <c r="L3" s="4" t="s">
        <v>56</v>
      </c>
      <c r="M3" s="2" t="s">
        <v>20</v>
      </c>
      <c r="O3" s="2" t="s">
        <v>21</v>
      </c>
      <c r="P3" s="2" t="s">
        <v>22</v>
      </c>
      <c r="R3" s="2">
        <v>1</v>
      </c>
      <c r="S3" s="2" t="s">
        <v>16</v>
      </c>
      <c r="T3" s="2" t="s">
        <v>27</v>
      </c>
    </row>
    <row r="4" spans="1:21" x14ac:dyDescent="0.2">
      <c r="A4" s="2" t="s">
        <v>28</v>
      </c>
      <c r="C4" s="2" t="s">
        <v>17</v>
      </c>
      <c r="D4" s="2" t="s">
        <v>18</v>
      </c>
      <c r="E4" s="3">
        <v>46219</v>
      </c>
      <c r="F4" s="2" t="s">
        <v>26</v>
      </c>
      <c r="G4" s="4">
        <v>-10056.959999999999</v>
      </c>
      <c r="H4" s="4">
        <f t="shared" si="0"/>
        <v>0</v>
      </c>
      <c r="I4" s="4">
        <f t="shared" si="1"/>
        <v>10056.959999999999</v>
      </c>
      <c r="J4" s="6">
        <f t="shared" si="2"/>
        <v>46218</v>
      </c>
      <c r="K4" s="4" t="s">
        <v>55</v>
      </c>
      <c r="L4" s="4" t="s">
        <v>56</v>
      </c>
      <c r="M4" s="2" t="s">
        <v>20</v>
      </c>
      <c r="O4" s="2" t="s">
        <v>21</v>
      </c>
      <c r="P4" s="2" t="s">
        <v>22</v>
      </c>
      <c r="R4" s="2">
        <v>1</v>
      </c>
      <c r="S4" s="2" t="s">
        <v>16</v>
      </c>
      <c r="T4" s="2" t="s">
        <v>27</v>
      </c>
    </row>
    <row r="5" spans="1:21" x14ac:dyDescent="0.2">
      <c r="A5" s="2" t="s">
        <v>29</v>
      </c>
      <c r="C5" s="2" t="s">
        <v>17</v>
      </c>
      <c r="D5" s="2" t="s">
        <v>18</v>
      </c>
      <c r="E5" s="3">
        <v>46219</v>
      </c>
      <c r="F5" s="2" t="s">
        <v>19</v>
      </c>
      <c r="G5" s="4">
        <v>20113.919999999998</v>
      </c>
      <c r="H5" s="4">
        <f t="shared" si="0"/>
        <v>20113.919999999998</v>
      </c>
      <c r="I5" s="4">
        <f t="shared" si="1"/>
        <v>0</v>
      </c>
      <c r="J5" s="6">
        <f t="shared" si="2"/>
        <v>46218</v>
      </c>
      <c r="K5" s="4" t="s">
        <v>55</v>
      </c>
      <c r="L5" s="4" t="s">
        <v>56</v>
      </c>
      <c r="O5" s="2" t="s">
        <v>21</v>
      </c>
      <c r="P5" s="2" t="s">
        <v>22</v>
      </c>
      <c r="R5" s="2">
        <v>1</v>
      </c>
    </row>
    <row r="6" spans="1:21" x14ac:dyDescent="0.2">
      <c r="A6" s="2" t="s">
        <v>16</v>
      </c>
      <c r="C6" s="2" t="s">
        <v>17</v>
      </c>
      <c r="D6" s="2" t="s">
        <v>18</v>
      </c>
      <c r="E6" s="3">
        <v>46219</v>
      </c>
      <c r="F6" s="2" t="s">
        <v>30</v>
      </c>
      <c r="G6" s="4">
        <v>-20113.919999999998</v>
      </c>
      <c r="H6" s="4">
        <f t="shared" si="0"/>
        <v>0</v>
      </c>
      <c r="I6" s="4">
        <f t="shared" si="1"/>
        <v>20113.919999999998</v>
      </c>
      <c r="J6" s="6">
        <f t="shared" si="2"/>
        <v>46218</v>
      </c>
      <c r="K6" s="4" t="s">
        <v>55</v>
      </c>
      <c r="L6" s="4" t="s">
        <v>56</v>
      </c>
      <c r="O6" s="2" t="s">
        <v>21</v>
      </c>
      <c r="P6" s="2" t="s">
        <v>22</v>
      </c>
      <c r="R6" s="2">
        <v>1</v>
      </c>
      <c r="S6" s="2" t="s">
        <v>23</v>
      </c>
      <c r="T6" s="2" t="s">
        <v>24</v>
      </c>
    </row>
    <row r="7" spans="1:21" x14ac:dyDescent="0.2">
      <c r="A7" s="2" t="s">
        <v>31</v>
      </c>
      <c r="C7" s="2" t="s">
        <v>32</v>
      </c>
      <c r="D7" s="2" t="s">
        <v>18</v>
      </c>
      <c r="E7" s="3">
        <v>46233</v>
      </c>
      <c r="F7" s="2" t="s">
        <v>19</v>
      </c>
      <c r="G7" s="4">
        <v>11400</v>
      </c>
      <c r="H7" s="4">
        <f t="shared" si="0"/>
        <v>11400</v>
      </c>
      <c r="I7" s="4">
        <f t="shared" si="1"/>
        <v>0</v>
      </c>
      <c r="J7" s="6">
        <f t="shared" si="2"/>
        <v>46232</v>
      </c>
      <c r="K7" s="4" t="s">
        <v>55</v>
      </c>
      <c r="L7" s="4" t="s">
        <v>56</v>
      </c>
      <c r="O7" s="2" t="s">
        <v>21</v>
      </c>
      <c r="P7" s="2" t="s">
        <v>22</v>
      </c>
      <c r="R7" s="2">
        <v>1</v>
      </c>
      <c r="S7" s="2" t="s">
        <v>29</v>
      </c>
      <c r="T7" s="2" t="s">
        <v>27</v>
      </c>
    </row>
    <row r="8" spans="1:21" x14ac:dyDescent="0.2">
      <c r="A8" s="2" t="s">
        <v>29</v>
      </c>
      <c r="C8" s="2" t="s">
        <v>32</v>
      </c>
      <c r="D8" s="2" t="s">
        <v>18</v>
      </c>
      <c r="E8" s="3">
        <v>46233</v>
      </c>
      <c r="F8" s="2" t="s">
        <v>30</v>
      </c>
      <c r="G8" s="4">
        <v>-11400</v>
      </c>
      <c r="H8" s="4">
        <f t="shared" si="0"/>
        <v>0</v>
      </c>
      <c r="I8" s="4">
        <f t="shared" si="1"/>
        <v>11400</v>
      </c>
      <c r="J8" s="6">
        <f t="shared" si="2"/>
        <v>46232</v>
      </c>
      <c r="K8" s="4" t="s">
        <v>55</v>
      </c>
      <c r="L8" s="4" t="s">
        <v>56</v>
      </c>
      <c r="O8" s="2" t="s">
        <v>21</v>
      </c>
      <c r="P8" s="2" t="s">
        <v>22</v>
      </c>
      <c r="R8" s="2">
        <v>1</v>
      </c>
      <c r="S8" s="2" t="s">
        <v>31</v>
      </c>
      <c r="T8" s="2" t="s">
        <v>27</v>
      </c>
    </row>
    <row r="9" spans="1:21" x14ac:dyDescent="0.2">
      <c r="A9" s="2" t="s">
        <v>31</v>
      </c>
      <c r="C9" s="2" t="s">
        <v>32</v>
      </c>
      <c r="D9" s="2" t="s">
        <v>18</v>
      </c>
      <c r="E9" s="3">
        <v>46233</v>
      </c>
      <c r="F9" s="2" t="s">
        <v>19</v>
      </c>
      <c r="G9" s="4">
        <v>11400</v>
      </c>
      <c r="H9" s="4">
        <f t="shared" si="0"/>
        <v>11400</v>
      </c>
      <c r="I9" s="4">
        <f t="shared" si="1"/>
        <v>0</v>
      </c>
      <c r="J9" s="6">
        <f t="shared" si="2"/>
        <v>46232</v>
      </c>
      <c r="K9" s="4" t="s">
        <v>55</v>
      </c>
      <c r="L9" s="4" t="s">
        <v>56</v>
      </c>
      <c r="O9" s="2" t="s">
        <v>21</v>
      </c>
      <c r="P9" s="2" t="s">
        <v>22</v>
      </c>
      <c r="R9" s="2">
        <v>1</v>
      </c>
      <c r="S9" s="2" t="s">
        <v>29</v>
      </c>
      <c r="T9" s="2" t="s">
        <v>27</v>
      </c>
    </row>
    <row r="10" spans="1:21" x14ac:dyDescent="0.2">
      <c r="A10" s="2" t="s">
        <v>29</v>
      </c>
      <c r="C10" s="2" t="s">
        <v>32</v>
      </c>
      <c r="D10" s="2" t="s">
        <v>18</v>
      </c>
      <c r="E10" s="3">
        <v>46233</v>
      </c>
      <c r="F10" s="2" t="s">
        <v>30</v>
      </c>
      <c r="G10" s="4">
        <v>-11400</v>
      </c>
      <c r="H10" s="4">
        <f t="shared" si="0"/>
        <v>0</v>
      </c>
      <c r="I10" s="4">
        <f t="shared" si="1"/>
        <v>11400</v>
      </c>
      <c r="J10" s="6">
        <f t="shared" si="2"/>
        <v>46232</v>
      </c>
      <c r="K10" s="4" t="s">
        <v>55</v>
      </c>
      <c r="L10" s="4" t="s">
        <v>56</v>
      </c>
      <c r="O10" s="2" t="s">
        <v>21</v>
      </c>
      <c r="P10" s="2" t="s">
        <v>22</v>
      </c>
      <c r="R10" s="2">
        <v>1</v>
      </c>
      <c r="S10" s="2" t="s">
        <v>31</v>
      </c>
      <c r="T10" s="2" t="s">
        <v>27</v>
      </c>
    </row>
    <row r="11" spans="1:21" x14ac:dyDescent="0.2">
      <c r="A11" s="2" t="s">
        <v>31</v>
      </c>
      <c r="C11" s="2" t="s">
        <v>32</v>
      </c>
      <c r="D11" s="2" t="s">
        <v>18</v>
      </c>
      <c r="E11" s="3">
        <v>46233</v>
      </c>
      <c r="F11" s="2" t="s">
        <v>19</v>
      </c>
      <c r="G11" s="4">
        <v>11400</v>
      </c>
      <c r="H11" s="4">
        <f t="shared" si="0"/>
        <v>11400</v>
      </c>
      <c r="I11" s="4">
        <f t="shared" si="1"/>
        <v>0</v>
      </c>
      <c r="J11" s="6">
        <f t="shared" si="2"/>
        <v>46232</v>
      </c>
      <c r="K11" s="4" t="s">
        <v>55</v>
      </c>
      <c r="L11" s="4" t="s">
        <v>56</v>
      </c>
      <c r="O11" s="2" t="s">
        <v>21</v>
      </c>
      <c r="P11" s="2" t="s">
        <v>22</v>
      </c>
      <c r="R11" s="2">
        <v>1</v>
      </c>
      <c r="S11" s="2" t="s">
        <v>29</v>
      </c>
      <c r="T11" s="2" t="s">
        <v>27</v>
      </c>
    </row>
    <row r="12" spans="1:21" x14ac:dyDescent="0.2">
      <c r="A12" s="2" t="s">
        <v>29</v>
      </c>
      <c r="C12" s="2" t="s">
        <v>32</v>
      </c>
      <c r="D12" s="2" t="s">
        <v>18</v>
      </c>
      <c r="E12" s="3">
        <v>46233</v>
      </c>
      <c r="F12" s="2" t="s">
        <v>30</v>
      </c>
      <c r="G12" s="4">
        <v>-11400</v>
      </c>
      <c r="H12" s="4">
        <f t="shared" si="0"/>
        <v>0</v>
      </c>
      <c r="I12" s="4">
        <f t="shared" si="1"/>
        <v>11400</v>
      </c>
      <c r="J12" s="6">
        <f t="shared" si="2"/>
        <v>46232</v>
      </c>
      <c r="K12" s="4" t="s">
        <v>55</v>
      </c>
      <c r="L12" s="4" t="s">
        <v>56</v>
      </c>
      <c r="O12" s="2" t="s">
        <v>21</v>
      </c>
      <c r="P12" s="2" t="s">
        <v>22</v>
      </c>
      <c r="R12" s="2">
        <v>1</v>
      </c>
      <c r="S12" s="2" t="s">
        <v>31</v>
      </c>
      <c r="T12" s="2" t="s">
        <v>27</v>
      </c>
    </row>
    <row r="13" spans="1:21" x14ac:dyDescent="0.2">
      <c r="A13" s="2" t="s">
        <v>31</v>
      </c>
      <c r="C13" s="2" t="s">
        <v>33</v>
      </c>
      <c r="D13" s="2" t="s">
        <v>18</v>
      </c>
      <c r="E13" s="3">
        <v>46233</v>
      </c>
      <c r="F13" s="2" t="s">
        <v>19</v>
      </c>
      <c r="G13" s="4">
        <v>191700</v>
      </c>
      <c r="H13" s="4">
        <f t="shared" si="0"/>
        <v>191700</v>
      </c>
      <c r="I13" s="4">
        <f t="shared" si="1"/>
        <v>0</v>
      </c>
      <c r="J13" s="6">
        <f t="shared" si="2"/>
        <v>46232</v>
      </c>
      <c r="K13" s="4" t="s">
        <v>55</v>
      </c>
      <c r="L13" s="4" t="s">
        <v>56</v>
      </c>
      <c r="O13" s="2" t="s">
        <v>21</v>
      </c>
      <c r="P13" s="2" t="s">
        <v>22</v>
      </c>
      <c r="R13" s="2">
        <v>1</v>
      </c>
      <c r="S13" s="2" t="s">
        <v>29</v>
      </c>
      <c r="T13" s="2" t="s">
        <v>27</v>
      </c>
    </row>
    <row r="14" spans="1:21" x14ac:dyDescent="0.2">
      <c r="A14" s="2" t="s">
        <v>29</v>
      </c>
      <c r="C14" s="2" t="s">
        <v>33</v>
      </c>
      <c r="D14" s="2" t="s">
        <v>18</v>
      </c>
      <c r="E14" s="3">
        <v>46233</v>
      </c>
      <c r="F14" s="2" t="s">
        <v>30</v>
      </c>
      <c r="G14" s="4">
        <v>-191700</v>
      </c>
      <c r="H14" s="4">
        <f t="shared" si="0"/>
        <v>0</v>
      </c>
      <c r="I14" s="4">
        <f t="shared" si="1"/>
        <v>191700</v>
      </c>
      <c r="J14" s="6">
        <f t="shared" si="2"/>
        <v>46232</v>
      </c>
      <c r="K14" s="4" t="s">
        <v>55</v>
      </c>
      <c r="L14" s="4" t="s">
        <v>56</v>
      </c>
      <c r="O14" s="2" t="s">
        <v>21</v>
      </c>
      <c r="P14" s="2" t="s">
        <v>22</v>
      </c>
      <c r="R14" s="2">
        <v>1</v>
      </c>
      <c r="S14" s="2" t="s">
        <v>31</v>
      </c>
      <c r="T14" s="2" t="s">
        <v>27</v>
      </c>
    </row>
    <row r="15" spans="1:21" x14ac:dyDescent="0.2">
      <c r="A15" s="2" t="s">
        <v>31</v>
      </c>
      <c r="C15" s="2" t="s">
        <v>33</v>
      </c>
      <c r="D15" s="2" t="s">
        <v>18</v>
      </c>
      <c r="E15" s="3">
        <v>46233</v>
      </c>
      <c r="F15" s="2" t="s">
        <v>19</v>
      </c>
      <c r="G15" s="4">
        <v>191700</v>
      </c>
      <c r="H15" s="4">
        <f t="shared" si="0"/>
        <v>191700</v>
      </c>
      <c r="I15" s="4">
        <f t="shared" si="1"/>
        <v>0</v>
      </c>
      <c r="J15" s="6">
        <f t="shared" si="2"/>
        <v>46232</v>
      </c>
      <c r="K15" s="4" t="s">
        <v>55</v>
      </c>
      <c r="L15" s="4" t="s">
        <v>56</v>
      </c>
      <c r="O15" s="2" t="s">
        <v>21</v>
      </c>
      <c r="P15" s="2" t="s">
        <v>22</v>
      </c>
      <c r="R15" s="2">
        <v>1</v>
      </c>
      <c r="S15" s="2" t="s">
        <v>29</v>
      </c>
      <c r="T15" s="2" t="s">
        <v>27</v>
      </c>
    </row>
    <row r="16" spans="1:21" x14ac:dyDescent="0.2">
      <c r="A16" s="2" t="s">
        <v>29</v>
      </c>
      <c r="C16" s="2" t="s">
        <v>33</v>
      </c>
      <c r="D16" s="2" t="s">
        <v>18</v>
      </c>
      <c r="E16" s="3">
        <v>46233</v>
      </c>
      <c r="F16" s="2" t="s">
        <v>30</v>
      </c>
      <c r="G16" s="4">
        <v>-191700</v>
      </c>
      <c r="H16" s="4">
        <f t="shared" si="0"/>
        <v>0</v>
      </c>
      <c r="I16" s="4">
        <f t="shared" si="1"/>
        <v>191700</v>
      </c>
      <c r="J16" s="6">
        <f t="shared" si="2"/>
        <v>46232</v>
      </c>
      <c r="K16" s="4" t="s">
        <v>55</v>
      </c>
      <c r="L16" s="4" t="s">
        <v>56</v>
      </c>
      <c r="O16" s="2" t="s">
        <v>21</v>
      </c>
      <c r="P16" s="2" t="s">
        <v>22</v>
      </c>
      <c r="R16" s="2">
        <v>1</v>
      </c>
      <c r="S16" s="2" t="s">
        <v>31</v>
      </c>
      <c r="T16" s="2" t="s">
        <v>27</v>
      </c>
    </row>
    <row r="17" spans="1:20" x14ac:dyDescent="0.2">
      <c r="A17" s="2" t="s">
        <v>34</v>
      </c>
      <c r="C17" s="2" t="s">
        <v>35</v>
      </c>
      <c r="D17" s="2" t="s">
        <v>18</v>
      </c>
      <c r="E17" s="3">
        <v>46234</v>
      </c>
      <c r="F17" s="2" t="s">
        <v>36</v>
      </c>
      <c r="G17" s="4">
        <v>215000</v>
      </c>
      <c r="H17" s="4">
        <f t="shared" si="0"/>
        <v>215000</v>
      </c>
      <c r="I17" s="4">
        <f t="shared" si="1"/>
        <v>0</v>
      </c>
      <c r="J17" s="6">
        <f t="shared" si="2"/>
        <v>46233</v>
      </c>
      <c r="K17" s="4" t="s">
        <v>55</v>
      </c>
      <c r="L17" s="4" t="s">
        <v>56</v>
      </c>
      <c r="M17" s="2" t="s">
        <v>20</v>
      </c>
      <c r="O17" s="2" t="s">
        <v>21</v>
      </c>
      <c r="P17" s="2" t="s">
        <v>22</v>
      </c>
      <c r="R17" s="2">
        <v>1</v>
      </c>
      <c r="S17" s="2" t="s">
        <v>16</v>
      </c>
      <c r="T17" s="2" t="s">
        <v>27</v>
      </c>
    </row>
    <row r="18" spans="1:20" x14ac:dyDescent="0.2">
      <c r="A18" s="2" t="s">
        <v>16</v>
      </c>
      <c r="C18" s="2" t="s">
        <v>35</v>
      </c>
      <c r="D18" s="2" t="s">
        <v>18</v>
      </c>
      <c r="E18" s="3">
        <v>46234</v>
      </c>
      <c r="F18" s="2" t="s">
        <v>30</v>
      </c>
      <c r="G18" s="4">
        <v>-215000</v>
      </c>
      <c r="H18" s="4">
        <f t="shared" si="0"/>
        <v>0</v>
      </c>
      <c r="I18" s="4">
        <f t="shared" si="1"/>
        <v>215000</v>
      </c>
      <c r="J18" s="6">
        <f t="shared" si="2"/>
        <v>46233</v>
      </c>
      <c r="K18" s="4" t="s">
        <v>55</v>
      </c>
      <c r="L18" s="4" t="s">
        <v>56</v>
      </c>
      <c r="M18" s="2" t="s">
        <v>20</v>
      </c>
      <c r="O18" s="2" t="s">
        <v>21</v>
      </c>
      <c r="P18" s="2" t="s">
        <v>22</v>
      </c>
      <c r="R18" s="2">
        <v>1</v>
      </c>
      <c r="S18" s="2" t="s">
        <v>37</v>
      </c>
      <c r="T18" s="2" t="s">
        <v>24</v>
      </c>
    </row>
    <row r="19" spans="1:20" x14ac:dyDescent="0.2">
      <c r="A19" s="2" t="s">
        <v>29</v>
      </c>
      <c r="C19" s="2" t="s">
        <v>35</v>
      </c>
      <c r="D19" s="2" t="s">
        <v>18</v>
      </c>
      <c r="E19" s="3">
        <v>46234</v>
      </c>
      <c r="F19" s="2" t="s">
        <v>30</v>
      </c>
      <c r="G19" s="4">
        <v>-215000</v>
      </c>
      <c r="H19" s="4">
        <f t="shared" si="0"/>
        <v>0</v>
      </c>
      <c r="I19" s="4">
        <f t="shared" si="1"/>
        <v>215000</v>
      </c>
      <c r="J19" s="6">
        <f t="shared" si="2"/>
        <v>46233</v>
      </c>
      <c r="K19" s="4" t="s">
        <v>55</v>
      </c>
      <c r="L19" s="4" t="s">
        <v>56</v>
      </c>
      <c r="O19" s="2" t="s">
        <v>21</v>
      </c>
      <c r="P19" s="2" t="s">
        <v>22</v>
      </c>
      <c r="R19" s="2">
        <v>1</v>
      </c>
    </row>
    <row r="20" spans="1:20" x14ac:dyDescent="0.2">
      <c r="A20" s="2" t="s">
        <v>16</v>
      </c>
      <c r="C20" s="2" t="s">
        <v>35</v>
      </c>
      <c r="D20" s="2" t="s">
        <v>18</v>
      </c>
      <c r="E20" s="3">
        <v>46234</v>
      </c>
      <c r="F20" s="2" t="s">
        <v>19</v>
      </c>
      <c r="G20" s="4">
        <v>215000</v>
      </c>
      <c r="H20" s="4">
        <f t="shared" si="0"/>
        <v>215000</v>
      </c>
      <c r="I20" s="4">
        <f t="shared" si="1"/>
        <v>0</v>
      </c>
      <c r="J20" s="6">
        <f t="shared" si="2"/>
        <v>46233</v>
      </c>
      <c r="K20" s="4" t="s">
        <v>55</v>
      </c>
      <c r="L20" s="4" t="s">
        <v>56</v>
      </c>
      <c r="O20" s="2" t="s">
        <v>21</v>
      </c>
      <c r="P20" s="2" t="s">
        <v>22</v>
      </c>
      <c r="R20" s="2">
        <v>1</v>
      </c>
      <c r="S20" s="2" t="s">
        <v>37</v>
      </c>
      <c r="T20" s="2" t="s">
        <v>24</v>
      </c>
    </row>
    <row r="21" spans="1:20" x14ac:dyDescent="0.2">
      <c r="A21" s="2" t="s">
        <v>38</v>
      </c>
      <c r="C21" s="2" t="s">
        <v>39</v>
      </c>
      <c r="D21" s="2" t="s">
        <v>18</v>
      </c>
      <c r="E21" s="3">
        <v>46262</v>
      </c>
      <c r="F21" s="2" t="s">
        <v>30</v>
      </c>
      <c r="G21" s="4">
        <v>-620966</v>
      </c>
      <c r="H21" s="4">
        <f t="shared" si="0"/>
        <v>0</v>
      </c>
      <c r="I21" s="4">
        <f t="shared" si="1"/>
        <v>620966</v>
      </c>
      <c r="J21" s="6">
        <f t="shared" si="2"/>
        <v>46261</v>
      </c>
      <c r="K21" s="4" t="s">
        <v>55</v>
      </c>
      <c r="L21" s="4" t="s">
        <v>56</v>
      </c>
      <c r="O21" s="2" t="s">
        <v>21</v>
      </c>
      <c r="P21" s="2" t="s">
        <v>22</v>
      </c>
      <c r="R21" s="2">
        <v>1</v>
      </c>
      <c r="S21" s="2" t="s">
        <v>40</v>
      </c>
      <c r="T21" s="2" t="s">
        <v>24</v>
      </c>
    </row>
    <row r="22" spans="1:20" x14ac:dyDescent="0.2">
      <c r="A22" s="2" t="s">
        <v>41</v>
      </c>
      <c r="C22" s="2" t="s">
        <v>39</v>
      </c>
      <c r="D22" s="2" t="s">
        <v>18</v>
      </c>
      <c r="E22" s="3">
        <v>46262</v>
      </c>
      <c r="F22" s="2" t="s">
        <v>19</v>
      </c>
      <c r="G22" s="4">
        <v>620966</v>
      </c>
      <c r="H22" s="4">
        <f t="shared" si="0"/>
        <v>620966</v>
      </c>
      <c r="I22" s="4">
        <f t="shared" si="1"/>
        <v>0</v>
      </c>
      <c r="J22" s="6">
        <f t="shared" si="2"/>
        <v>46261</v>
      </c>
      <c r="K22" s="4" t="s">
        <v>55</v>
      </c>
      <c r="L22" s="4" t="s">
        <v>56</v>
      </c>
      <c r="O22" s="2" t="s">
        <v>21</v>
      </c>
      <c r="P22" s="2" t="s">
        <v>22</v>
      </c>
      <c r="R22" s="2">
        <v>1</v>
      </c>
      <c r="S22" s="2" t="s">
        <v>38</v>
      </c>
      <c r="T22" s="2" t="s">
        <v>27</v>
      </c>
    </row>
    <row r="23" spans="1:20" x14ac:dyDescent="0.2">
      <c r="A23" s="2" t="s">
        <v>40</v>
      </c>
      <c r="C23" s="2" t="s">
        <v>39</v>
      </c>
      <c r="D23" s="2" t="s">
        <v>18</v>
      </c>
      <c r="E23" s="3">
        <v>46262</v>
      </c>
      <c r="F23" s="2" t="s">
        <v>36</v>
      </c>
      <c r="G23" s="4">
        <v>125000</v>
      </c>
      <c r="H23" s="4">
        <f t="shared" si="0"/>
        <v>125000</v>
      </c>
      <c r="I23" s="4">
        <f t="shared" si="1"/>
        <v>0</v>
      </c>
      <c r="J23" s="6">
        <f t="shared" si="2"/>
        <v>46261</v>
      </c>
      <c r="K23" s="4" t="s">
        <v>55</v>
      </c>
      <c r="L23" s="4" t="s">
        <v>56</v>
      </c>
      <c r="O23" s="2" t="s">
        <v>21</v>
      </c>
      <c r="P23" s="2" t="s">
        <v>22</v>
      </c>
      <c r="R23" s="2">
        <v>1</v>
      </c>
      <c r="S23" s="2" t="s">
        <v>38</v>
      </c>
      <c r="T23" s="2" t="s">
        <v>27</v>
      </c>
    </row>
    <row r="24" spans="1:20" x14ac:dyDescent="0.2">
      <c r="A24" s="2" t="s">
        <v>42</v>
      </c>
      <c r="C24" s="2" t="s">
        <v>39</v>
      </c>
      <c r="D24" s="2" t="s">
        <v>18</v>
      </c>
      <c r="E24" s="3">
        <v>46262</v>
      </c>
      <c r="F24" s="2" t="s">
        <v>26</v>
      </c>
      <c r="G24" s="4">
        <v>-125000</v>
      </c>
      <c r="H24" s="4">
        <f t="shared" si="0"/>
        <v>0</v>
      </c>
      <c r="I24" s="4">
        <f t="shared" si="1"/>
        <v>125000</v>
      </c>
      <c r="J24" s="6">
        <f t="shared" si="2"/>
        <v>46261</v>
      </c>
      <c r="K24" s="4" t="s">
        <v>55</v>
      </c>
      <c r="L24" s="4" t="s">
        <v>56</v>
      </c>
      <c r="O24" s="2" t="s">
        <v>21</v>
      </c>
      <c r="P24" s="2" t="s">
        <v>22</v>
      </c>
      <c r="R24" s="2">
        <v>1</v>
      </c>
      <c r="S24" s="2" t="s">
        <v>40</v>
      </c>
      <c r="T24" s="2" t="s">
        <v>24</v>
      </c>
    </row>
    <row r="25" spans="1:20" x14ac:dyDescent="0.2">
      <c r="A25" s="2" t="s">
        <v>38</v>
      </c>
      <c r="C25" s="2" t="s">
        <v>43</v>
      </c>
      <c r="D25" s="2" t="s">
        <v>18</v>
      </c>
      <c r="E25" s="3">
        <v>46266</v>
      </c>
      <c r="F25" s="2" t="s">
        <v>30</v>
      </c>
      <c r="G25" s="4">
        <v>-208403.4</v>
      </c>
      <c r="H25" s="4">
        <f t="shared" si="0"/>
        <v>0</v>
      </c>
      <c r="I25" s="4">
        <f t="shared" si="1"/>
        <v>208403.4</v>
      </c>
      <c r="J25" s="6">
        <f t="shared" si="2"/>
        <v>46265</v>
      </c>
      <c r="K25" s="4" t="s">
        <v>55</v>
      </c>
      <c r="L25" s="4" t="s">
        <v>56</v>
      </c>
      <c r="O25" s="2" t="s">
        <v>21</v>
      </c>
      <c r="P25" s="2" t="s">
        <v>22</v>
      </c>
      <c r="R25" s="2">
        <v>1</v>
      </c>
      <c r="S25" s="2" t="s">
        <v>40</v>
      </c>
      <c r="T25" s="2" t="s">
        <v>24</v>
      </c>
    </row>
    <row r="26" spans="1:20" x14ac:dyDescent="0.2">
      <c r="A26" s="2" t="s">
        <v>41</v>
      </c>
      <c r="C26" s="2" t="s">
        <v>43</v>
      </c>
      <c r="D26" s="2" t="s">
        <v>18</v>
      </c>
      <c r="E26" s="3">
        <v>46266</v>
      </c>
      <c r="F26" s="2" t="s">
        <v>19</v>
      </c>
      <c r="G26" s="4">
        <v>208403.4</v>
      </c>
      <c r="H26" s="4">
        <f t="shared" si="0"/>
        <v>208403.4</v>
      </c>
      <c r="I26" s="4">
        <f t="shared" si="1"/>
        <v>0</v>
      </c>
      <c r="J26" s="6">
        <f t="shared" si="2"/>
        <v>46265</v>
      </c>
      <c r="K26" s="4" t="s">
        <v>55</v>
      </c>
      <c r="L26" s="4" t="s">
        <v>56</v>
      </c>
      <c r="O26" s="2" t="s">
        <v>21</v>
      </c>
      <c r="P26" s="2" t="s">
        <v>22</v>
      </c>
      <c r="R26" s="2">
        <v>1</v>
      </c>
      <c r="S26" s="2" t="s">
        <v>38</v>
      </c>
      <c r="T26" s="2" t="s">
        <v>27</v>
      </c>
    </row>
    <row r="27" spans="1:20" x14ac:dyDescent="0.2">
      <c r="A27" s="2" t="s">
        <v>40</v>
      </c>
      <c r="C27" s="2" t="s">
        <v>43</v>
      </c>
      <c r="D27" s="2" t="s">
        <v>18</v>
      </c>
      <c r="E27" s="3">
        <v>46266</v>
      </c>
      <c r="F27" s="2" t="s">
        <v>36</v>
      </c>
      <c r="G27" s="4">
        <v>30000</v>
      </c>
      <c r="H27" s="4">
        <f t="shared" si="0"/>
        <v>30000</v>
      </c>
      <c r="I27" s="4">
        <f t="shared" si="1"/>
        <v>0</v>
      </c>
      <c r="J27" s="6">
        <f t="shared" si="2"/>
        <v>46265</v>
      </c>
      <c r="K27" s="4" t="s">
        <v>55</v>
      </c>
      <c r="L27" s="4" t="s">
        <v>56</v>
      </c>
      <c r="O27" s="2" t="s">
        <v>21</v>
      </c>
      <c r="P27" s="2" t="s">
        <v>22</v>
      </c>
      <c r="R27" s="2">
        <v>1</v>
      </c>
      <c r="S27" s="2" t="s">
        <v>38</v>
      </c>
      <c r="T27" s="2" t="s">
        <v>27</v>
      </c>
    </row>
    <row r="28" spans="1:20" x14ac:dyDescent="0.2">
      <c r="A28" s="2" t="s">
        <v>42</v>
      </c>
      <c r="C28" s="2" t="s">
        <v>43</v>
      </c>
      <c r="D28" s="2" t="s">
        <v>18</v>
      </c>
      <c r="E28" s="3">
        <v>46266</v>
      </c>
      <c r="F28" s="2" t="s">
        <v>26</v>
      </c>
      <c r="G28" s="4">
        <v>-30000</v>
      </c>
      <c r="H28" s="4">
        <f t="shared" si="0"/>
        <v>0</v>
      </c>
      <c r="I28" s="4">
        <f t="shared" si="1"/>
        <v>30000</v>
      </c>
      <c r="J28" s="6">
        <f t="shared" si="2"/>
        <v>46265</v>
      </c>
      <c r="K28" s="4" t="s">
        <v>55</v>
      </c>
      <c r="L28" s="4" t="s">
        <v>56</v>
      </c>
      <c r="O28" s="2" t="s">
        <v>21</v>
      </c>
      <c r="P28" s="2" t="s">
        <v>22</v>
      </c>
      <c r="R28" s="2">
        <v>1</v>
      </c>
      <c r="S28" s="2" t="s">
        <v>40</v>
      </c>
      <c r="T28" s="2" t="s">
        <v>24</v>
      </c>
    </row>
    <row r="29" spans="1:20" x14ac:dyDescent="0.2">
      <c r="A29" s="2" t="s">
        <v>44</v>
      </c>
      <c r="C29" s="2" t="s">
        <v>45</v>
      </c>
      <c r="D29" s="2" t="s">
        <v>18</v>
      </c>
      <c r="E29" s="3">
        <v>46265</v>
      </c>
      <c r="F29" s="2" t="s">
        <v>19</v>
      </c>
      <c r="G29" s="4">
        <v>363000</v>
      </c>
      <c r="H29" s="4">
        <f t="shared" si="0"/>
        <v>363000</v>
      </c>
      <c r="I29" s="4">
        <f t="shared" si="1"/>
        <v>0</v>
      </c>
      <c r="J29" s="6">
        <f t="shared" si="2"/>
        <v>46264</v>
      </c>
      <c r="K29" s="4" t="s">
        <v>55</v>
      </c>
      <c r="L29" s="4" t="s">
        <v>56</v>
      </c>
      <c r="O29" s="2" t="s">
        <v>21</v>
      </c>
      <c r="P29" s="2" t="s">
        <v>22</v>
      </c>
      <c r="R29" s="2">
        <v>1</v>
      </c>
      <c r="S29" s="2" t="s">
        <v>29</v>
      </c>
      <c r="T29" s="2" t="s">
        <v>27</v>
      </c>
    </row>
    <row r="30" spans="1:20" x14ac:dyDescent="0.2">
      <c r="A30" s="2" t="s">
        <v>29</v>
      </c>
      <c r="C30" s="2" t="s">
        <v>45</v>
      </c>
      <c r="D30" s="2" t="s">
        <v>18</v>
      </c>
      <c r="E30" s="3">
        <v>46265</v>
      </c>
      <c r="F30" s="2" t="s">
        <v>30</v>
      </c>
      <c r="G30" s="4">
        <v>-363000</v>
      </c>
      <c r="H30" s="4">
        <f t="shared" si="0"/>
        <v>0</v>
      </c>
      <c r="I30" s="4">
        <f t="shared" si="1"/>
        <v>363000</v>
      </c>
      <c r="J30" s="6">
        <f t="shared" si="2"/>
        <v>46264</v>
      </c>
      <c r="K30" s="4" t="s">
        <v>55</v>
      </c>
      <c r="L30" s="4" t="s">
        <v>56</v>
      </c>
      <c r="O30" s="2" t="s">
        <v>21</v>
      </c>
      <c r="P30" s="2" t="s">
        <v>22</v>
      </c>
      <c r="R30" s="2">
        <v>1</v>
      </c>
      <c r="S30" s="2" t="s">
        <v>44</v>
      </c>
      <c r="T30" s="2" t="s">
        <v>27</v>
      </c>
    </row>
    <row r="31" spans="1:20" x14ac:dyDescent="0.2">
      <c r="A31" s="2" t="s">
        <v>44</v>
      </c>
      <c r="C31" s="2" t="s">
        <v>45</v>
      </c>
      <c r="D31" s="2" t="s">
        <v>18</v>
      </c>
      <c r="E31" s="3">
        <v>46265</v>
      </c>
      <c r="F31" s="2" t="s">
        <v>19</v>
      </c>
      <c r="G31" s="4">
        <v>36300</v>
      </c>
      <c r="H31" s="4">
        <f t="shared" si="0"/>
        <v>36300</v>
      </c>
      <c r="I31" s="4">
        <f t="shared" si="1"/>
        <v>0</v>
      </c>
      <c r="J31" s="6">
        <f t="shared" si="2"/>
        <v>46264</v>
      </c>
      <c r="K31" s="4" t="s">
        <v>55</v>
      </c>
      <c r="L31" s="4" t="s">
        <v>56</v>
      </c>
      <c r="O31" s="2" t="s">
        <v>21</v>
      </c>
      <c r="P31" s="2" t="s">
        <v>22</v>
      </c>
      <c r="R31" s="2">
        <v>1</v>
      </c>
      <c r="S31" s="2" t="s">
        <v>29</v>
      </c>
      <c r="T31" s="2" t="s">
        <v>27</v>
      </c>
    </row>
    <row r="32" spans="1:20" x14ac:dyDescent="0.2">
      <c r="A32" s="2" t="s">
        <v>29</v>
      </c>
      <c r="C32" s="2" t="s">
        <v>45</v>
      </c>
      <c r="D32" s="2" t="s">
        <v>18</v>
      </c>
      <c r="E32" s="3">
        <v>46265</v>
      </c>
      <c r="F32" s="2" t="s">
        <v>30</v>
      </c>
      <c r="G32" s="4">
        <v>-36300</v>
      </c>
      <c r="H32" s="4">
        <f t="shared" si="0"/>
        <v>0</v>
      </c>
      <c r="I32" s="4">
        <f t="shared" si="1"/>
        <v>36300</v>
      </c>
      <c r="J32" s="6">
        <f t="shared" si="2"/>
        <v>46264</v>
      </c>
      <c r="K32" s="4" t="s">
        <v>55</v>
      </c>
      <c r="L32" s="4" t="s">
        <v>56</v>
      </c>
      <c r="O32" s="2" t="s">
        <v>21</v>
      </c>
      <c r="P32" s="2" t="s">
        <v>22</v>
      </c>
      <c r="R32" s="2">
        <v>1</v>
      </c>
      <c r="S32" s="2" t="s">
        <v>44</v>
      </c>
      <c r="T32" s="2" t="s">
        <v>27</v>
      </c>
    </row>
    <row r="33" spans="1:20" x14ac:dyDescent="0.2">
      <c r="A33" s="2" t="s">
        <v>44</v>
      </c>
      <c r="C33" s="2" t="s">
        <v>45</v>
      </c>
      <c r="D33" s="2" t="s">
        <v>18</v>
      </c>
      <c r="E33" s="3">
        <v>46265</v>
      </c>
      <c r="F33" s="2" t="s">
        <v>19</v>
      </c>
      <c r="G33" s="4">
        <v>36300</v>
      </c>
      <c r="H33" s="4">
        <f t="shared" si="0"/>
        <v>36300</v>
      </c>
      <c r="I33" s="4">
        <f t="shared" si="1"/>
        <v>0</v>
      </c>
      <c r="J33" s="6">
        <f t="shared" si="2"/>
        <v>46264</v>
      </c>
      <c r="K33" s="4" t="s">
        <v>55</v>
      </c>
      <c r="L33" s="4" t="s">
        <v>56</v>
      </c>
      <c r="O33" s="2" t="s">
        <v>21</v>
      </c>
      <c r="P33" s="2" t="s">
        <v>22</v>
      </c>
      <c r="R33" s="2">
        <v>1</v>
      </c>
      <c r="S33" s="2" t="s">
        <v>29</v>
      </c>
      <c r="T33" s="2" t="s">
        <v>27</v>
      </c>
    </row>
    <row r="34" spans="1:20" x14ac:dyDescent="0.2">
      <c r="A34" s="2" t="s">
        <v>29</v>
      </c>
      <c r="C34" s="2" t="s">
        <v>45</v>
      </c>
      <c r="D34" s="2" t="s">
        <v>18</v>
      </c>
      <c r="E34" s="3">
        <v>46265</v>
      </c>
      <c r="F34" s="2" t="s">
        <v>30</v>
      </c>
      <c r="G34" s="4">
        <v>-36300</v>
      </c>
      <c r="H34" s="4">
        <f t="shared" si="0"/>
        <v>0</v>
      </c>
      <c r="I34" s="4">
        <f t="shared" si="1"/>
        <v>36300</v>
      </c>
      <c r="J34" s="6">
        <f t="shared" si="2"/>
        <v>46264</v>
      </c>
      <c r="K34" s="4" t="s">
        <v>55</v>
      </c>
      <c r="L34" s="4" t="s">
        <v>56</v>
      </c>
      <c r="O34" s="2" t="s">
        <v>21</v>
      </c>
      <c r="P34" s="2" t="s">
        <v>22</v>
      </c>
      <c r="R34" s="2">
        <v>1</v>
      </c>
      <c r="S34" s="2" t="s">
        <v>44</v>
      </c>
      <c r="T34" s="2" t="s">
        <v>27</v>
      </c>
    </row>
    <row r="35" spans="1:20" x14ac:dyDescent="0.2">
      <c r="A35" s="2" t="s">
        <v>44</v>
      </c>
      <c r="C35" s="2" t="s">
        <v>45</v>
      </c>
      <c r="D35" s="2" t="s">
        <v>18</v>
      </c>
      <c r="E35" s="3">
        <v>46265</v>
      </c>
      <c r="F35" s="2" t="s">
        <v>19</v>
      </c>
      <c r="G35" s="4">
        <v>3000</v>
      </c>
      <c r="H35" s="4">
        <f t="shared" si="0"/>
        <v>3000</v>
      </c>
      <c r="I35" s="4">
        <f t="shared" si="1"/>
        <v>0</v>
      </c>
      <c r="J35" s="6">
        <f t="shared" si="2"/>
        <v>46264</v>
      </c>
      <c r="K35" s="4" t="s">
        <v>55</v>
      </c>
      <c r="L35" s="4" t="s">
        <v>56</v>
      </c>
      <c r="O35" s="2" t="s">
        <v>21</v>
      </c>
      <c r="P35" s="2" t="s">
        <v>22</v>
      </c>
      <c r="R35" s="2">
        <v>1</v>
      </c>
      <c r="S35" s="2" t="s">
        <v>29</v>
      </c>
      <c r="T35" s="2" t="s">
        <v>27</v>
      </c>
    </row>
    <row r="36" spans="1:20" x14ac:dyDescent="0.2">
      <c r="A36" s="2" t="s">
        <v>29</v>
      </c>
      <c r="C36" s="2" t="s">
        <v>45</v>
      </c>
      <c r="D36" s="2" t="s">
        <v>18</v>
      </c>
      <c r="E36" s="3">
        <v>46265</v>
      </c>
      <c r="F36" s="2" t="s">
        <v>30</v>
      </c>
      <c r="G36" s="4">
        <v>-3000</v>
      </c>
      <c r="H36" s="4">
        <f t="shared" si="0"/>
        <v>0</v>
      </c>
      <c r="I36" s="4">
        <f t="shared" si="1"/>
        <v>3000</v>
      </c>
      <c r="J36" s="6">
        <f t="shared" si="2"/>
        <v>46264</v>
      </c>
      <c r="K36" s="4" t="s">
        <v>55</v>
      </c>
      <c r="L36" s="4" t="s">
        <v>56</v>
      </c>
      <c r="O36" s="2" t="s">
        <v>21</v>
      </c>
      <c r="P36" s="2" t="s">
        <v>22</v>
      </c>
      <c r="R36" s="2">
        <v>1</v>
      </c>
      <c r="S36" s="2" t="s">
        <v>44</v>
      </c>
      <c r="T36" s="2" t="s">
        <v>27</v>
      </c>
    </row>
    <row r="37" spans="1:20" x14ac:dyDescent="0.2">
      <c r="A37" s="2" t="s">
        <v>29</v>
      </c>
      <c r="C37" s="2" t="s">
        <v>46</v>
      </c>
      <c r="D37" s="2" t="s">
        <v>18</v>
      </c>
      <c r="E37" s="3">
        <v>46265</v>
      </c>
      <c r="F37" s="2" t="s">
        <v>30</v>
      </c>
      <c r="G37" s="4">
        <v>-105000</v>
      </c>
      <c r="H37" s="4">
        <f t="shared" si="0"/>
        <v>0</v>
      </c>
      <c r="I37" s="4">
        <f t="shared" si="1"/>
        <v>105000</v>
      </c>
      <c r="J37" s="6">
        <f t="shared" si="2"/>
        <v>46264</v>
      </c>
      <c r="K37" s="4" t="s">
        <v>55</v>
      </c>
      <c r="L37" s="4" t="s">
        <v>56</v>
      </c>
      <c r="O37" s="2" t="s">
        <v>21</v>
      </c>
      <c r="P37" s="2" t="s">
        <v>22</v>
      </c>
      <c r="R37" s="2">
        <v>1</v>
      </c>
      <c r="S37" s="2" t="s">
        <v>44</v>
      </c>
      <c r="T37" s="2" t="s">
        <v>27</v>
      </c>
    </row>
    <row r="38" spans="1:20" x14ac:dyDescent="0.2">
      <c r="A38" s="2" t="s">
        <v>44</v>
      </c>
      <c r="C38" s="2" t="s">
        <v>46</v>
      </c>
      <c r="D38" s="2" t="s">
        <v>18</v>
      </c>
      <c r="E38" s="3">
        <v>46265</v>
      </c>
      <c r="F38" s="2" t="s">
        <v>19</v>
      </c>
      <c r="G38" s="4">
        <v>105000</v>
      </c>
      <c r="H38" s="4">
        <f t="shared" si="0"/>
        <v>105000</v>
      </c>
      <c r="I38" s="4">
        <f t="shared" si="1"/>
        <v>0</v>
      </c>
      <c r="J38" s="6">
        <f t="shared" si="2"/>
        <v>46264</v>
      </c>
      <c r="K38" s="4" t="s">
        <v>55</v>
      </c>
      <c r="L38" s="4" t="s">
        <v>56</v>
      </c>
      <c r="O38" s="2" t="s">
        <v>21</v>
      </c>
      <c r="P38" s="2" t="s">
        <v>22</v>
      </c>
      <c r="R38" s="2">
        <v>1</v>
      </c>
      <c r="S38" s="2" t="s">
        <v>29</v>
      </c>
      <c r="T38" s="2" t="s">
        <v>27</v>
      </c>
    </row>
    <row r="39" spans="1:20" x14ac:dyDescent="0.2">
      <c r="A39" s="2" t="s">
        <v>38</v>
      </c>
      <c r="C39" s="2" t="s">
        <v>47</v>
      </c>
      <c r="D39" s="2" t="s">
        <v>18</v>
      </c>
      <c r="E39" s="3">
        <v>46265</v>
      </c>
      <c r="F39" s="2" t="s">
        <v>19</v>
      </c>
      <c r="G39" s="4">
        <v>141940</v>
      </c>
      <c r="H39" s="4">
        <f t="shared" si="0"/>
        <v>141940</v>
      </c>
      <c r="I39" s="4">
        <f t="shared" si="1"/>
        <v>0</v>
      </c>
      <c r="J39" s="6">
        <f t="shared" si="2"/>
        <v>46264</v>
      </c>
      <c r="K39" s="4" t="s">
        <v>55</v>
      </c>
      <c r="L39" s="4" t="s">
        <v>56</v>
      </c>
      <c r="O39" s="2" t="s">
        <v>21</v>
      </c>
      <c r="P39" s="2" t="s">
        <v>22</v>
      </c>
      <c r="R39" s="2">
        <v>1</v>
      </c>
      <c r="S39" s="2" t="s">
        <v>29</v>
      </c>
      <c r="T39" s="2" t="s">
        <v>27</v>
      </c>
    </row>
    <row r="40" spans="1:20" x14ac:dyDescent="0.2">
      <c r="A40" s="2" t="s">
        <v>29</v>
      </c>
      <c r="C40" s="2" t="s">
        <v>47</v>
      </c>
      <c r="D40" s="2" t="s">
        <v>18</v>
      </c>
      <c r="E40" s="3">
        <v>46265</v>
      </c>
      <c r="F40" s="2" t="s">
        <v>30</v>
      </c>
      <c r="G40" s="4">
        <v>-141940</v>
      </c>
      <c r="H40" s="4">
        <f t="shared" si="0"/>
        <v>0</v>
      </c>
      <c r="I40" s="4">
        <f t="shared" si="1"/>
        <v>141940</v>
      </c>
      <c r="J40" s="6">
        <f t="shared" si="2"/>
        <v>46264</v>
      </c>
      <c r="K40" s="4" t="s">
        <v>55</v>
      </c>
      <c r="L40" s="4" t="s">
        <v>56</v>
      </c>
      <c r="O40" s="2" t="s">
        <v>21</v>
      </c>
      <c r="P40" s="2" t="s">
        <v>22</v>
      </c>
      <c r="R40" s="2">
        <v>1</v>
      </c>
      <c r="S40" s="2" t="s">
        <v>38</v>
      </c>
      <c r="T40" s="2" t="s">
        <v>27</v>
      </c>
    </row>
    <row r="41" spans="1:20" x14ac:dyDescent="0.2">
      <c r="A41" s="2" t="s">
        <v>38</v>
      </c>
      <c r="C41" s="2" t="s">
        <v>47</v>
      </c>
      <c r="D41" s="2" t="s">
        <v>18</v>
      </c>
      <c r="E41" s="3">
        <v>46265</v>
      </c>
      <c r="F41" s="2" t="s">
        <v>19</v>
      </c>
      <c r="G41" s="4">
        <v>170060</v>
      </c>
      <c r="H41" s="4">
        <f t="shared" si="0"/>
        <v>170060</v>
      </c>
      <c r="I41" s="4">
        <f t="shared" si="1"/>
        <v>0</v>
      </c>
      <c r="J41" s="6">
        <f t="shared" si="2"/>
        <v>46264</v>
      </c>
      <c r="K41" s="4" t="s">
        <v>55</v>
      </c>
      <c r="L41" s="4" t="s">
        <v>56</v>
      </c>
      <c r="O41" s="2" t="s">
        <v>21</v>
      </c>
      <c r="P41" s="2" t="s">
        <v>22</v>
      </c>
      <c r="R41" s="2">
        <v>1</v>
      </c>
      <c r="S41" s="2" t="s">
        <v>29</v>
      </c>
      <c r="T41" s="2" t="s">
        <v>27</v>
      </c>
    </row>
    <row r="42" spans="1:20" x14ac:dyDescent="0.2">
      <c r="A42" s="2" t="s">
        <v>29</v>
      </c>
      <c r="C42" s="2" t="s">
        <v>47</v>
      </c>
      <c r="D42" s="2" t="s">
        <v>18</v>
      </c>
      <c r="E42" s="3">
        <v>46265</v>
      </c>
      <c r="F42" s="2" t="s">
        <v>30</v>
      </c>
      <c r="G42" s="4">
        <v>-170060</v>
      </c>
      <c r="H42" s="4">
        <f t="shared" si="0"/>
        <v>0</v>
      </c>
      <c r="I42" s="4">
        <f t="shared" si="1"/>
        <v>170060</v>
      </c>
      <c r="J42" s="6">
        <f t="shared" si="2"/>
        <v>46264</v>
      </c>
      <c r="K42" s="4" t="s">
        <v>55</v>
      </c>
      <c r="L42" s="4" t="s">
        <v>56</v>
      </c>
      <c r="O42" s="2" t="s">
        <v>21</v>
      </c>
      <c r="P42" s="2" t="s">
        <v>22</v>
      </c>
      <c r="R42" s="2">
        <v>1</v>
      </c>
      <c r="S42" s="2" t="s">
        <v>38</v>
      </c>
      <c r="T42" s="2" t="s">
        <v>27</v>
      </c>
    </row>
    <row r="43" spans="1:20" x14ac:dyDescent="0.2">
      <c r="A43" s="2" t="s">
        <v>38</v>
      </c>
      <c r="C43" s="2" t="s">
        <v>47</v>
      </c>
      <c r="D43" s="2" t="s">
        <v>18</v>
      </c>
      <c r="E43" s="3">
        <v>46265</v>
      </c>
      <c r="F43" s="2" t="s">
        <v>19</v>
      </c>
      <c r="G43" s="4">
        <v>21169.200000000001</v>
      </c>
      <c r="H43" s="4">
        <f t="shared" si="0"/>
        <v>21169.200000000001</v>
      </c>
      <c r="I43" s="4">
        <f t="shared" si="1"/>
        <v>0</v>
      </c>
      <c r="J43" s="6">
        <f t="shared" si="2"/>
        <v>46264</v>
      </c>
      <c r="K43" s="4" t="s">
        <v>55</v>
      </c>
      <c r="L43" s="4" t="s">
        <v>56</v>
      </c>
      <c r="O43" s="2" t="s">
        <v>21</v>
      </c>
      <c r="P43" s="2" t="s">
        <v>22</v>
      </c>
      <c r="R43" s="2">
        <v>1</v>
      </c>
      <c r="S43" s="2" t="s">
        <v>29</v>
      </c>
      <c r="T43" s="2" t="s">
        <v>27</v>
      </c>
    </row>
    <row r="44" spans="1:20" x14ac:dyDescent="0.2">
      <c r="A44" s="2" t="s">
        <v>29</v>
      </c>
      <c r="C44" s="2" t="s">
        <v>47</v>
      </c>
      <c r="D44" s="2" t="s">
        <v>18</v>
      </c>
      <c r="E44" s="3">
        <v>46265</v>
      </c>
      <c r="F44" s="2" t="s">
        <v>30</v>
      </c>
      <c r="G44" s="4">
        <v>-21169.200000000001</v>
      </c>
      <c r="H44" s="4">
        <f t="shared" si="0"/>
        <v>0</v>
      </c>
      <c r="I44" s="4">
        <f t="shared" si="1"/>
        <v>21169.200000000001</v>
      </c>
      <c r="J44" s="6">
        <f t="shared" si="2"/>
        <v>46264</v>
      </c>
      <c r="K44" s="4" t="s">
        <v>55</v>
      </c>
      <c r="L44" s="4" t="s">
        <v>56</v>
      </c>
      <c r="O44" s="2" t="s">
        <v>21</v>
      </c>
      <c r="P44" s="2" t="s">
        <v>22</v>
      </c>
      <c r="R44" s="2">
        <v>1</v>
      </c>
      <c r="S44" s="2" t="s">
        <v>38</v>
      </c>
      <c r="T44" s="2" t="s">
        <v>27</v>
      </c>
    </row>
    <row r="45" spans="1:20" x14ac:dyDescent="0.2">
      <c r="A45" s="2" t="s">
        <v>38</v>
      </c>
      <c r="C45" s="2" t="s">
        <v>47</v>
      </c>
      <c r="D45" s="2" t="s">
        <v>18</v>
      </c>
      <c r="E45" s="3">
        <v>46265</v>
      </c>
      <c r="F45" s="2" t="s">
        <v>19</v>
      </c>
      <c r="G45" s="4">
        <v>59472</v>
      </c>
      <c r="H45" s="4">
        <f t="shared" si="0"/>
        <v>59472</v>
      </c>
      <c r="I45" s="4">
        <f t="shared" si="1"/>
        <v>0</v>
      </c>
      <c r="J45" s="6">
        <f t="shared" si="2"/>
        <v>46264</v>
      </c>
      <c r="K45" s="4" t="s">
        <v>55</v>
      </c>
      <c r="L45" s="4" t="s">
        <v>56</v>
      </c>
      <c r="O45" s="2" t="s">
        <v>21</v>
      </c>
      <c r="P45" s="2" t="s">
        <v>22</v>
      </c>
      <c r="R45" s="2">
        <v>1</v>
      </c>
      <c r="S45" s="2" t="s">
        <v>29</v>
      </c>
      <c r="T45" s="2" t="s">
        <v>27</v>
      </c>
    </row>
    <row r="46" spans="1:20" x14ac:dyDescent="0.2">
      <c r="A46" s="2" t="s">
        <v>29</v>
      </c>
      <c r="C46" s="2" t="s">
        <v>47</v>
      </c>
      <c r="D46" s="2" t="s">
        <v>18</v>
      </c>
      <c r="E46" s="3">
        <v>46265</v>
      </c>
      <c r="F46" s="2" t="s">
        <v>30</v>
      </c>
      <c r="G46" s="4">
        <v>-59472</v>
      </c>
      <c r="H46" s="4">
        <f t="shared" si="0"/>
        <v>0</v>
      </c>
      <c r="I46" s="4">
        <f t="shared" si="1"/>
        <v>59472</v>
      </c>
      <c r="J46" s="6">
        <f t="shared" si="2"/>
        <v>46264</v>
      </c>
      <c r="K46" s="4" t="s">
        <v>55</v>
      </c>
      <c r="L46" s="4" t="s">
        <v>56</v>
      </c>
      <c r="O46" s="2" t="s">
        <v>21</v>
      </c>
      <c r="P46" s="2" t="s">
        <v>22</v>
      </c>
      <c r="R46" s="2">
        <v>1</v>
      </c>
      <c r="S46" s="2" t="s">
        <v>38</v>
      </c>
      <c r="T46" s="2" t="s">
        <v>27</v>
      </c>
    </row>
    <row r="47" spans="1:20" x14ac:dyDescent="0.2">
      <c r="A47" s="2" t="s">
        <v>38</v>
      </c>
      <c r="C47" s="2" t="s">
        <v>47</v>
      </c>
      <c r="D47" s="2" t="s">
        <v>18</v>
      </c>
      <c r="E47" s="3">
        <v>46265</v>
      </c>
      <c r="F47" s="2" t="s">
        <v>19</v>
      </c>
      <c r="G47" s="4">
        <v>150000</v>
      </c>
      <c r="H47" s="4">
        <f t="shared" si="0"/>
        <v>150000</v>
      </c>
      <c r="I47" s="4">
        <f t="shared" si="1"/>
        <v>0</v>
      </c>
      <c r="J47" s="6">
        <f t="shared" si="2"/>
        <v>46264</v>
      </c>
      <c r="K47" s="4" t="s">
        <v>55</v>
      </c>
      <c r="L47" s="4" t="s">
        <v>56</v>
      </c>
      <c r="O47" s="2" t="s">
        <v>21</v>
      </c>
      <c r="P47" s="2" t="s">
        <v>22</v>
      </c>
      <c r="R47" s="2">
        <v>1</v>
      </c>
      <c r="S47" s="2" t="s">
        <v>29</v>
      </c>
      <c r="T47" s="2" t="s">
        <v>27</v>
      </c>
    </row>
    <row r="48" spans="1:20" x14ac:dyDescent="0.2">
      <c r="A48" s="2" t="s">
        <v>29</v>
      </c>
      <c r="C48" s="2" t="s">
        <v>47</v>
      </c>
      <c r="D48" s="2" t="s">
        <v>18</v>
      </c>
      <c r="E48" s="3">
        <v>46265</v>
      </c>
      <c r="F48" s="2" t="s">
        <v>30</v>
      </c>
      <c r="G48" s="4">
        <v>-150000</v>
      </c>
      <c r="H48" s="4">
        <f t="shared" si="0"/>
        <v>0</v>
      </c>
      <c r="I48" s="4">
        <f t="shared" si="1"/>
        <v>150000</v>
      </c>
      <c r="J48" s="6">
        <f t="shared" si="2"/>
        <v>46264</v>
      </c>
      <c r="K48" s="4" t="s">
        <v>55</v>
      </c>
      <c r="L48" s="4" t="s">
        <v>56</v>
      </c>
      <c r="O48" s="2" t="s">
        <v>21</v>
      </c>
      <c r="P48" s="2" t="s">
        <v>22</v>
      </c>
      <c r="R48" s="2">
        <v>1</v>
      </c>
      <c r="S48" s="2" t="s">
        <v>38</v>
      </c>
      <c r="T48" s="2" t="s">
        <v>27</v>
      </c>
    </row>
    <row r="49" spans="1:20" x14ac:dyDescent="0.2">
      <c r="A49" s="2" t="s">
        <v>38</v>
      </c>
      <c r="C49" s="2" t="s">
        <v>47</v>
      </c>
      <c r="D49" s="2" t="s">
        <v>18</v>
      </c>
      <c r="E49" s="3">
        <v>46265</v>
      </c>
      <c r="F49" s="2" t="s">
        <v>19</v>
      </c>
      <c r="G49" s="4">
        <v>478000</v>
      </c>
      <c r="H49" s="4">
        <f t="shared" si="0"/>
        <v>478000</v>
      </c>
      <c r="I49" s="4">
        <f t="shared" si="1"/>
        <v>0</v>
      </c>
      <c r="J49" s="6">
        <f t="shared" si="2"/>
        <v>46264</v>
      </c>
      <c r="K49" s="4" t="s">
        <v>55</v>
      </c>
      <c r="L49" s="4" t="s">
        <v>56</v>
      </c>
      <c r="O49" s="2" t="s">
        <v>21</v>
      </c>
      <c r="P49" s="2" t="s">
        <v>22</v>
      </c>
      <c r="R49" s="2">
        <v>1</v>
      </c>
      <c r="S49" s="2" t="s">
        <v>29</v>
      </c>
      <c r="T49" s="2" t="s">
        <v>27</v>
      </c>
    </row>
    <row r="50" spans="1:20" x14ac:dyDescent="0.2">
      <c r="A50" s="2" t="s">
        <v>29</v>
      </c>
      <c r="C50" s="2" t="s">
        <v>47</v>
      </c>
      <c r="D50" s="2" t="s">
        <v>18</v>
      </c>
      <c r="E50" s="3">
        <v>46265</v>
      </c>
      <c r="F50" s="2" t="s">
        <v>30</v>
      </c>
      <c r="G50" s="4">
        <v>-478000</v>
      </c>
      <c r="H50" s="4">
        <f t="shared" si="0"/>
        <v>0</v>
      </c>
      <c r="I50" s="4">
        <f t="shared" si="1"/>
        <v>478000</v>
      </c>
      <c r="J50" s="6">
        <f t="shared" si="2"/>
        <v>46264</v>
      </c>
      <c r="K50" s="4" t="s">
        <v>55</v>
      </c>
      <c r="L50" s="4" t="s">
        <v>56</v>
      </c>
      <c r="O50" s="2" t="s">
        <v>21</v>
      </c>
      <c r="P50" s="2" t="s">
        <v>22</v>
      </c>
      <c r="R50" s="2">
        <v>1</v>
      </c>
      <c r="S50" s="2" t="s">
        <v>38</v>
      </c>
      <c r="T50" s="2" t="s">
        <v>27</v>
      </c>
    </row>
    <row r="51" spans="1:20" x14ac:dyDescent="0.2">
      <c r="A51" s="2" t="s">
        <v>38</v>
      </c>
      <c r="C51" s="2" t="s">
        <v>47</v>
      </c>
      <c r="D51" s="2" t="s">
        <v>18</v>
      </c>
      <c r="E51" s="3">
        <v>46265</v>
      </c>
      <c r="F51" s="2" t="s">
        <v>19</v>
      </c>
      <c r="G51" s="4">
        <v>50000</v>
      </c>
      <c r="H51" s="4">
        <f t="shared" si="0"/>
        <v>50000</v>
      </c>
      <c r="I51" s="4">
        <f t="shared" si="1"/>
        <v>0</v>
      </c>
      <c r="J51" s="6">
        <f t="shared" si="2"/>
        <v>46264</v>
      </c>
      <c r="K51" s="4" t="s">
        <v>55</v>
      </c>
      <c r="L51" s="4" t="s">
        <v>56</v>
      </c>
      <c r="O51" s="2" t="s">
        <v>21</v>
      </c>
      <c r="P51" s="2" t="s">
        <v>22</v>
      </c>
      <c r="R51" s="2">
        <v>1</v>
      </c>
      <c r="S51" s="2" t="s">
        <v>29</v>
      </c>
      <c r="T51" s="2" t="s">
        <v>27</v>
      </c>
    </row>
    <row r="52" spans="1:20" x14ac:dyDescent="0.2">
      <c r="A52" s="2" t="s">
        <v>29</v>
      </c>
      <c r="C52" s="2" t="s">
        <v>47</v>
      </c>
      <c r="D52" s="2" t="s">
        <v>18</v>
      </c>
      <c r="E52" s="3">
        <v>46265</v>
      </c>
      <c r="F52" s="2" t="s">
        <v>30</v>
      </c>
      <c r="G52" s="4">
        <v>-50000</v>
      </c>
      <c r="H52" s="4">
        <f t="shared" si="0"/>
        <v>0</v>
      </c>
      <c r="I52" s="4">
        <f t="shared" si="1"/>
        <v>50000</v>
      </c>
      <c r="J52" s="6">
        <f t="shared" si="2"/>
        <v>46264</v>
      </c>
      <c r="K52" s="4" t="s">
        <v>55</v>
      </c>
      <c r="L52" s="4" t="s">
        <v>56</v>
      </c>
      <c r="O52" s="2" t="s">
        <v>21</v>
      </c>
      <c r="P52" s="2" t="s">
        <v>22</v>
      </c>
      <c r="R52" s="2">
        <v>1</v>
      </c>
      <c r="S52" s="2" t="s">
        <v>38</v>
      </c>
      <c r="T52" s="2" t="s">
        <v>27</v>
      </c>
    </row>
    <row r="53" spans="1:20" x14ac:dyDescent="0.2">
      <c r="A53" s="2" t="s">
        <v>38</v>
      </c>
      <c r="C53" s="2" t="s">
        <v>48</v>
      </c>
      <c r="D53" s="2" t="s">
        <v>18</v>
      </c>
      <c r="E53" s="3">
        <v>46265</v>
      </c>
      <c r="F53" s="2" t="s">
        <v>19</v>
      </c>
      <c r="G53" s="4">
        <v>690640</v>
      </c>
      <c r="H53" s="4">
        <f t="shared" si="0"/>
        <v>690640</v>
      </c>
      <c r="I53" s="4">
        <f t="shared" si="1"/>
        <v>0</v>
      </c>
      <c r="J53" s="6">
        <f t="shared" si="2"/>
        <v>46264</v>
      </c>
      <c r="K53" s="4" t="s">
        <v>55</v>
      </c>
      <c r="L53" s="4" t="s">
        <v>56</v>
      </c>
      <c r="O53" s="2" t="s">
        <v>21</v>
      </c>
      <c r="P53" s="2" t="s">
        <v>22</v>
      </c>
      <c r="R53" s="2">
        <v>1</v>
      </c>
      <c r="S53" s="2" t="s">
        <v>29</v>
      </c>
      <c r="T53" s="2" t="s">
        <v>27</v>
      </c>
    </row>
    <row r="54" spans="1:20" x14ac:dyDescent="0.2">
      <c r="A54" s="2" t="s">
        <v>29</v>
      </c>
      <c r="C54" s="2" t="s">
        <v>48</v>
      </c>
      <c r="D54" s="2" t="s">
        <v>18</v>
      </c>
      <c r="E54" s="3">
        <v>46265</v>
      </c>
      <c r="F54" s="2" t="s">
        <v>30</v>
      </c>
      <c r="G54" s="4">
        <v>-690640</v>
      </c>
      <c r="H54" s="4">
        <f t="shared" si="0"/>
        <v>0</v>
      </c>
      <c r="I54" s="4">
        <f t="shared" si="1"/>
        <v>690640</v>
      </c>
      <c r="J54" s="6">
        <f t="shared" si="2"/>
        <v>46264</v>
      </c>
      <c r="K54" s="4" t="s">
        <v>55</v>
      </c>
      <c r="L54" s="4" t="s">
        <v>56</v>
      </c>
      <c r="O54" s="2" t="s">
        <v>21</v>
      </c>
      <c r="P54" s="2" t="s">
        <v>22</v>
      </c>
      <c r="R54" s="2">
        <v>1</v>
      </c>
      <c r="S54" s="2" t="s">
        <v>38</v>
      </c>
      <c r="T54" s="2" t="s">
        <v>27</v>
      </c>
    </row>
    <row r="55" spans="1:20" x14ac:dyDescent="0.2">
      <c r="A55" s="2" t="s">
        <v>38</v>
      </c>
      <c r="C55" s="2" t="s">
        <v>48</v>
      </c>
      <c r="D55" s="2" t="s">
        <v>18</v>
      </c>
      <c r="E55" s="3">
        <v>46265</v>
      </c>
      <c r="F55" s="2" t="s">
        <v>19</v>
      </c>
      <c r="G55" s="4">
        <v>64800</v>
      </c>
      <c r="H55" s="4">
        <f t="shared" si="0"/>
        <v>64800</v>
      </c>
      <c r="I55" s="4">
        <f t="shared" si="1"/>
        <v>0</v>
      </c>
      <c r="J55" s="6">
        <f t="shared" si="2"/>
        <v>46264</v>
      </c>
      <c r="K55" s="4" t="s">
        <v>55</v>
      </c>
      <c r="L55" s="4" t="s">
        <v>56</v>
      </c>
      <c r="O55" s="2" t="s">
        <v>21</v>
      </c>
      <c r="P55" s="2" t="s">
        <v>22</v>
      </c>
      <c r="R55" s="2">
        <v>1</v>
      </c>
      <c r="S55" s="2" t="s">
        <v>29</v>
      </c>
      <c r="T55" s="2" t="s">
        <v>27</v>
      </c>
    </row>
    <row r="56" spans="1:20" x14ac:dyDescent="0.2">
      <c r="A56" s="2" t="s">
        <v>29</v>
      </c>
      <c r="C56" s="2" t="s">
        <v>48</v>
      </c>
      <c r="D56" s="2" t="s">
        <v>18</v>
      </c>
      <c r="E56" s="3">
        <v>46265</v>
      </c>
      <c r="F56" s="2" t="s">
        <v>30</v>
      </c>
      <c r="G56" s="4">
        <v>-64800</v>
      </c>
      <c r="H56" s="4">
        <f t="shared" si="0"/>
        <v>0</v>
      </c>
      <c r="I56" s="4">
        <f t="shared" si="1"/>
        <v>64800</v>
      </c>
      <c r="J56" s="6">
        <f t="shared" si="2"/>
        <v>46264</v>
      </c>
      <c r="K56" s="4" t="s">
        <v>55</v>
      </c>
      <c r="L56" s="4" t="s">
        <v>56</v>
      </c>
      <c r="O56" s="2" t="s">
        <v>21</v>
      </c>
      <c r="P56" s="2" t="s">
        <v>22</v>
      </c>
      <c r="R56" s="2">
        <v>1</v>
      </c>
      <c r="S56" s="2" t="s">
        <v>38</v>
      </c>
      <c r="T56" s="2" t="s">
        <v>27</v>
      </c>
    </row>
    <row r="57" spans="1:20" x14ac:dyDescent="0.2">
      <c r="A57" s="2" t="s">
        <v>38</v>
      </c>
      <c r="C57" s="2" t="s">
        <v>48</v>
      </c>
      <c r="D57" s="2" t="s">
        <v>18</v>
      </c>
      <c r="E57" s="3">
        <v>46265</v>
      </c>
      <c r="F57" s="2" t="s">
        <v>19</v>
      </c>
      <c r="G57" s="4">
        <v>40500</v>
      </c>
      <c r="H57" s="4">
        <f t="shared" si="0"/>
        <v>40500</v>
      </c>
      <c r="I57" s="4">
        <f t="shared" si="1"/>
        <v>0</v>
      </c>
      <c r="J57" s="6">
        <f t="shared" si="2"/>
        <v>46264</v>
      </c>
      <c r="K57" s="4" t="s">
        <v>55</v>
      </c>
      <c r="L57" s="4" t="s">
        <v>56</v>
      </c>
      <c r="O57" s="2" t="s">
        <v>21</v>
      </c>
      <c r="P57" s="2" t="s">
        <v>22</v>
      </c>
      <c r="R57" s="2">
        <v>1</v>
      </c>
      <c r="S57" s="2" t="s">
        <v>29</v>
      </c>
      <c r="T57" s="2" t="s">
        <v>27</v>
      </c>
    </row>
    <row r="58" spans="1:20" x14ac:dyDescent="0.2">
      <c r="A58" s="2" t="s">
        <v>29</v>
      </c>
      <c r="C58" s="2" t="s">
        <v>48</v>
      </c>
      <c r="D58" s="2" t="s">
        <v>18</v>
      </c>
      <c r="E58" s="3">
        <v>46265</v>
      </c>
      <c r="F58" s="2" t="s">
        <v>30</v>
      </c>
      <c r="G58" s="4">
        <v>-40500</v>
      </c>
      <c r="H58" s="4">
        <f t="shared" si="0"/>
        <v>0</v>
      </c>
      <c r="I58" s="4">
        <f t="shared" si="1"/>
        <v>40500</v>
      </c>
      <c r="J58" s="6">
        <f t="shared" si="2"/>
        <v>46264</v>
      </c>
      <c r="K58" s="4" t="s">
        <v>55</v>
      </c>
      <c r="L58" s="4" t="s">
        <v>56</v>
      </c>
      <c r="O58" s="2" t="s">
        <v>21</v>
      </c>
      <c r="P58" s="2" t="s">
        <v>22</v>
      </c>
      <c r="R58" s="2">
        <v>1</v>
      </c>
      <c r="S58" s="2" t="s">
        <v>38</v>
      </c>
      <c r="T58" s="2" t="s">
        <v>27</v>
      </c>
    </row>
    <row r="59" spans="1:20" x14ac:dyDescent="0.2">
      <c r="A59" s="2" t="s">
        <v>38</v>
      </c>
      <c r="C59" s="2" t="s">
        <v>48</v>
      </c>
      <c r="D59" s="2" t="s">
        <v>18</v>
      </c>
      <c r="E59" s="3">
        <v>46265</v>
      </c>
      <c r="F59" s="2" t="s">
        <v>19</v>
      </c>
      <c r="G59" s="4">
        <v>90000</v>
      </c>
      <c r="H59" s="4">
        <f t="shared" si="0"/>
        <v>90000</v>
      </c>
      <c r="I59" s="4">
        <f t="shared" si="1"/>
        <v>0</v>
      </c>
      <c r="J59" s="6">
        <f t="shared" si="2"/>
        <v>46264</v>
      </c>
      <c r="K59" s="4" t="s">
        <v>55</v>
      </c>
      <c r="L59" s="4" t="s">
        <v>56</v>
      </c>
      <c r="O59" s="2" t="s">
        <v>21</v>
      </c>
      <c r="P59" s="2" t="s">
        <v>22</v>
      </c>
      <c r="R59" s="2">
        <v>1</v>
      </c>
      <c r="S59" s="2" t="s">
        <v>29</v>
      </c>
      <c r="T59" s="2" t="s">
        <v>27</v>
      </c>
    </row>
    <row r="60" spans="1:20" x14ac:dyDescent="0.2">
      <c r="A60" s="2" t="s">
        <v>29</v>
      </c>
      <c r="C60" s="2" t="s">
        <v>48</v>
      </c>
      <c r="D60" s="2" t="s">
        <v>18</v>
      </c>
      <c r="E60" s="3">
        <v>46265</v>
      </c>
      <c r="F60" s="2" t="s">
        <v>30</v>
      </c>
      <c r="G60" s="4">
        <v>-90000</v>
      </c>
      <c r="H60" s="4">
        <f t="shared" si="0"/>
        <v>0</v>
      </c>
      <c r="I60" s="4">
        <f t="shared" si="1"/>
        <v>90000</v>
      </c>
      <c r="J60" s="6">
        <f t="shared" si="2"/>
        <v>46264</v>
      </c>
      <c r="K60" s="4" t="s">
        <v>55</v>
      </c>
      <c r="L60" s="4" t="s">
        <v>56</v>
      </c>
      <c r="O60" s="2" t="s">
        <v>21</v>
      </c>
      <c r="P60" s="2" t="s">
        <v>22</v>
      </c>
      <c r="R60" s="2">
        <v>1</v>
      </c>
      <c r="S60" s="2" t="s">
        <v>38</v>
      </c>
      <c r="T60" s="2" t="s">
        <v>27</v>
      </c>
    </row>
    <row r="61" spans="1:20" x14ac:dyDescent="0.2">
      <c r="A61" s="2" t="s">
        <v>38</v>
      </c>
      <c r="C61" s="2" t="s">
        <v>49</v>
      </c>
      <c r="D61" s="2" t="s">
        <v>18</v>
      </c>
      <c r="E61" s="3">
        <v>46265</v>
      </c>
      <c r="F61" s="2" t="s">
        <v>19</v>
      </c>
      <c r="G61" s="4">
        <v>11975</v>
      </c>
      <c r="H61" s="4">
        <f t="shared" si="0"/>
        <v>11975</v>
      </c>
      <c r="I61" s="4">
        <f t="shared" si="1"/>
        <v>0</v>
      </c>
      <c r="J61" s="6">
        <f t="shared" si="2"/>
        <v>46264</v>
      </c>
      <c r="K61" s="4" t="s">
        <v>55</v>
      </c>
      <c r="L61" s="4" t="s">
        <v>56</v>
      </c>
      <c r="O61" s="2" t="s">
        <v>21</v>
      </c>
      <c r="P61" s="2" t="s">
        <v>22</v>
      </c>
      <c r="R61" s="2">
        <v>1</v>
      </c>
      <c r="S61" s="2" t="s">
        <v>29</v>
      </c>
      <c r="T61" s="2" t="s">
        <v>27</v>
      </c>
    </row>
    <row r="62" spans="1:20" x14ac:dyDescent="0.2">
      <c r="A62" s="2" t="s">
        <v>29</v>
      </c>
      <c r="C62" s="2" t="s">
        <v>49</v>
      </c>
      <c r="D62" s="2" t="s">
        <v>18</v>
      </c>
      <c r="E62" s="3">
        <v>46265</v>
      </c>
      <c r="F62" s="2" t="s">
        <v>30</v>
      </c>
      <c r="G62" s="4">
        <v>-11975</v>
      </c>
      <c r="H62" s="4">
        <f t="shared" si="0"/>
        <v>0</v>
      </c>
      <c r="I62" s="4">
        <f t="shared" si="1"/>
        <v>11975</v>
      </c>
      <c r="J62" s="6">
        <f t="shared" si="2"/>
        <v>46264</v>
      </c>
      <c r="K62" s="4" t="s">
        <v>55</v>
      </c>
      <c r="L62" s="4" t="s">
        <v>56</v>
      </c>
      <c r="O62" s="2" t="s">
        <v>21</v>
      </c>
      <c r="P62" s="2" t="s">
        <v>22</v>
      </c>
      <c r="R62" s="2">
        <v>1</v>
      </c>
      <c r="S62" s="2" t="s">
        <v>38</v>
      </c>
      <c r="T62" s="2" t="s">
        <v>27</v>
      </c>
    </row>
    <row r="63" spans="1:20" x14ac:dyDescent="0.2">
      <c r="A63" s="2" t="s">
        <v>38</v>
      </c>
      <c r="C63" s="2" t="s">
        <v>49</v>
      </c>
      <c r="D63" s="2" t="s">
        <v>18</v>
      </c>
      <c r="E63" s="3">
        <v>46265</v>
      </c>
      <c r="F63" s="2" t="s">
        <v>19</v>
      </c>
      <c r="G63" s="4">
        <v>11975</v>
      </c>
      <c r="H63" s="4">
        <f t="shared" si="0"/>
        <v>11975</v>
      </c>
      <c r="I63" s="4">
        <f t="shared" si="1"/>
        <v>0</v>
      </c>
      <c r="J63" s="6">
        <f t="shared" si="2"/>
        <v>46264</v>
      </c>
      <c r="K63" s="4" t="s">
        <v>55</v>
      </c>
      <c r="L63" s="4" t="s">
        <v>56</v>
      </c>
      <c r="O63" s="2" t="s">
        <v>21</v>
      </c>
      <c r="P63" s="2" t="s">
        <v>22</v>
      </c>
      <c r="R63" s="2">
        <v>1</v>
      </c>
      <c r="S63" s="2" t="s">
        <v>29</v>
      </c>
      <c r="T63" s="2" t="s">
        <v>27</v>
      </c>
    </row>
    <row r="64" spans="1:20" x14ac:dyDescent="0.2">
      <c r="A64" s="2" t="s">
        <v>29</v>
      </c>
      <c r="C64" s="2" t="s">
        <v>49</v>
      </c>
      <c r="D64" s="2" t="s">
        <v>18</v>
      </c>
      <c r="E64" s="3">
        <v>46265</v>
      </c>
      <c r="F64" s="2" t="s">
        <v>30</v>
      </c>
      <c r="G64" s="4">
        <v>-11975</v>
      </c>
      <c r="H64" s="4">
        <f t="shared" si="0"/>
        <v>0</v>
      </c>
      <c r="I64" s="4">
        <f t="shared" si="1"/>
        <v>11975</v>
      </c>
      <c r="J64" s="6">
        <f t="shared" si="2"/>
        <v>46264</v>
      </c>
      <c r="K64" s="4" t="s">
        <v>55</v>
      </c>
      <c r="L64" s="4" t="s">
        <v>56</v>
      </c>
      <c r="O64" s="2" t="s">
        <v>21</v>
      </c>
      <c r="P64" s="2" t="s">
        <v>22</v>
      </c>
      <c r="R64" s="2">
        <v>1</v>
      </c>
      <c r="S64" s="2" t="s">
        <v>38</v>
      </c>
      <c r="T64" s="2" t="s">
        <v>27</v>
      </c>
    </row>
    <row r="65" spans="1:20" x14ac:dyDescent="0.2">
      <c r="A65" s="2" t="s">
        <v>38</v>
      </c>
      <c r="C65" s="2" t="s">
        <v>49</v>
      </c>
      <c r="D65" s="2" t="s">
        <v>18</v>
      </c>
      <c r="E65" s="3">
        <v>46265</v>
      </c>
      <c r="F65" s="2" t="s">
        <v>19</v>
      </c>
      <c r="G65" s="4">
        <v>11975</v>
      </c>
      <c r="H65" s="4">
        <f t="shared" si="0"/>
        <v>11975</v>
      </c>
      <c r="I65" s="4">
        <f t="shared" si="1"/>
        <v>0</v>
      </c>
      <c r="J65" s="6">
        <f t="shared" si="2"/>
        <v>46264</v>
      </c>
      <c r="K65" s="4" t="s">
        <v>55</v>
      </c>
      <c r="L65" s="4" t="s">
        <v>56</v>
      </c>
      <c r="O65" s="2" t="s">
        <v>21</v>
      </c>
      <c r="P65" s="2" t="s">
        <v>22</v>
      </c>
      <c r="R65" s="2">
        <v>1</v>
      </c>
      <c r="S65" s="2" t="s">
        <v>29</v>
      </c>
      <c r="T65" s="2" t="s">
        <v>27</v>
      </c>
    </row>
    <row r="66" spans="1:20" x14ac:dyDescent="0.2">
      <c r="A66" s="2" t="s">
        <v>29</v>
      </c>
      <c r="C66" s="2" t="s">
        <v>49</v>
      </c>
      <c r="D66" s="2" t="s">
        <v>18</v>
      </c>
      <c r="E66" s="3">
        <v>46265</v>
      </c>
      <c r="F66" s="2" t="s">
        <v>30</v>
      </c>
      <c r="G66" s="4">
        <v>-11975</v>
      </c>
      <c r="H66" s="4">
        <f t="shared" si="0"/>
        <v>0</v>
      </c>
      <c r="I66" s="4">
        <f t="shared" si="1"/>
        <v>11975</v>
      </c>
      <c r="J66" s="6">
        <f t="shared" si="2"/>
        <v>46264</v>
      </c>
      <c r="K66" s="4" t="s">
        <v>55</v>
      </c>
      <c r="L66" s="4" t="s">
        <v>56</v>
      </c>
      <c r="O66" s="2" t="s">
        <v>21</v>
      </c>
      <c r="P66" s="2" t="s">
        <v>22</v>
      </c>
      <c r="R66" s="2">
        <v>1</v>
      </c>
      <c r="S66" s="2" t="s">
        <v>38</v>
      </c>
      <c r="T66" s="2" t="s">
        <v>27</v>
      </c>
    </row>
    <row r="67" spans="1:20" x14ac:dyDescent="0.2">
      <c r="A67" s="2" t="s">
        <v>38</v>
      </c>
      <c r="C67" s="2" t="s">
        <v>49</v>
      </c>
      <c r="D67" s="2" t="s">
        <v>18</v>
      </c>
      <c r="E67" s="3">
        <v>46265</v>
      </c>
      <c r="F67" s="2" t="s">
        <v>19</v>
      </c>
      <c r="G67" s="4">
        <v>11975</v>
      </c>
      <c r="H67" s="4">
        <f t="shared" ref="H67:H100" si="3">IF(G67&gt;0,G67,0)</f>
        <v>11975</v>
      </c>
      <c r="I67" s="4">
        <f t="shared" ref="I67:I100" si="4">-IF(G67&lt;0,G67,0)</f>
        <v>0</v>
      </c>
      <c r="J67" s="6">
        <f t="shared" ref="J67:J100" si="5">E67-1</f>
        <v>46264</v>
      </c>
      <c r="K67" s="4" t="s">
        <v>55</v>
      </c>
      <c r="L67" s="4" t="s">
        <v>56</v>
      </c>
      <c r="O67" s="2" t="s">
        <v>21</v>
      </c>
      <c r="P67" s="2" t="s">
        <v>22</v>
      </c>
      <c r="R67" s="2">
        <v>1</v>
      </c>
      <c r="S67" s="2" t="s">
        <v>29</v>
      </c>
      <c r="T67" s="2" t="s">
        <v>27</v>
      </c>
    </row>
    <row r="68" spans="1:20" x14ac:dyDescent="0.2">
      <c r="A68" s="2" t="s">
        <v>29</v>
      </c>
      <c r="C68" s="2" t="s">
        <v>49</v>
      </c>
      <c r="D68" s="2" t="s">
        <v>18</v>
      </c>
      <c r="E68" s="3">
        <v>46265</v>
      </c>
      <c r="F68" s="2" t="s">
        <v>30</v>
      </c>
      <c r="G68" s="4">
        <v>-11975</v>
      </c>
      <c r="H68" s="4">
        <f t="shared" si="3"/>
        <v>0</v>
      </c>
      <c r="I68" s="4">
        <f t="shared" si="4"/>
        <v>11975</v>
      </c>
      <c r="J68" s="6">
        <f t="shared" si="5"/>
        <v>46264</v>
      </c>
      <c r="K68" s="4" t="s">
        <v>55</v>
      </c>
      <c r="L68" s="4" t="s">
        <v>56</v>
      </c>
      <c r="O68" s="2" t="s">
        <v>21</v>
      </c>
      <c r="P68" s="2" t="s">
        <v>22</v>
      </c>
      <c r="R68" s="2">
        <v>1</v>
      </c>
      <c r="S68" s="2" t="s">
        <v>38</v>
      </c>
      <c r="T68" s="2" t="s">
        <v>27</v>
      </c>
    </row>
    <row r="69" spans="1:20" x14ac:dyDescent="0.2">
      <c r="A69" s="2" t="s">
        <v>38</v>
      </c>
      <c r="C69" s="2" t="s">
        <v>49</v>
      </c>
      <c r="D69" s="2" t="s">
        <v>18</v>
      </c>
      <c r="E69" s="3">
        <v>46265</v>
      </c>
      <c r="F69" s="2" t="s">
        <v>19</v>
      </c>
      <c r="G69" s="4">
        <v>11975</v>
      </c>
      <c r="H69" s="4">
        <f t="shared" si="3"/>
        <v>11975</v>
      </c>
      <c r="I69" s="4">
        <f t="shared" si="4"/>
        <v>0</v>
      </c>
      <c r="J69" s="6">
        <f t="shared" si="5"/>
        <v>46264</v>
      </c>
      <c r="K69" s="4" t="s">
        <v>55</v>
      </c>
      <c r="L69" s="4" t="s">
        <v>56</v>
      </c>
      <c r="O69" s="2" t="s">
        <v>21</v>
      </c>
      <c r="P69" s="2" t="s">
        <v>22</v>
      </c>
      <c r="R69" s="2">
        <v>1</v>
      </c>
      <c r="S69" s="2" t="s">
        <v>29</v>
      </c>
      <c r="T69" s="2" t="s">
        <v>27</v>
      </c>
    </row>
    <row r="70" spans="1:20" x14ac:dyDescent="0.2">
      <c r="A70" s="2" t="s">
        <v>29</v>
      </c>
      <c r="C70" s="2" t="s">
        <v>49</v>
      </c>
      <c r="D70" s="2" t="s">
        <v>18</v>
      </c>
      <c r="E70" s="3">
        <v>46265</v>
      </c>
      <c r="F70" s="2" t="s">
        <v>30</v>
      </c>
      <c r="G70" s="4">
        <v>-11975</v>
      </c>
      <c r="H70" s="4">
        <f t="shared" si="3"/>
        <v>0</v>
      </c>
      <c r="I70" s="4">
        <f t="shared" si="4"/>
        <v>11975</v>
      </c>
      <c r="J70" s="6">
        <f t="shared" si="5"/>
        <v>46264</v>
      </c>
      <c r="K70" s="4" t="s">
        <v>55</v>
      </c>
      <c r="L70" s="4" t="s">
        <v>56</v>
      </c>
      <c r="O70" s="2" t="s">
        <v>21</v>
      </c>
      <c r="P70" s="2" t="s">
        <v>22</v>
      </c>
      <c r="R70" s="2">
        <v>1</v>
      </c>
      <c r="S70" s="2" t="s">
        <v>38</v>
      </c>
      <c r="T70" s="2" t="s">
        <v>27</v>
      </c>
    </row>
    <row r="71" spans="1:20" x14ac:dyDescent="0.2">
      <c r="A71" s="2" t="s">
        <v>38</v>
      </c>
      <c r="C71" s="2" t="s">
        <v>49</v>
      </c>
      <c r="D71" s="2" t="s">
        <v>18</v>
      </c>
      <c r="E71" s="3">
        <v>46265</v>
      </c>
      <c r="F71" s="2" t="s">
        <v>19</v>
      </c>
      <c r="G71" s="4">
        <v>11975</v>
      </c>
      <c r="H71" s="4">
        <f t="shared" si="3"/>
        <v>11975</v>
      </c>
      <c r="I71" s="4">
        <f t="shared" si="4"/>
        <v>0</v>
      </c>
      <c r="J71" s="6">
        <f t="shared" si="5"/>
        <v>46264</v>
      </c>
      <c r="K71" s="4" t="s">
        <v>55</v>
      </c>
      <c r="L71" s="4" t="s">
        <v>56</v>
      </c>
      <c r="O71" s="2" t="s">
        <v>21</v>
      </c>
      <c r="P71" s="2" t="s">
        <v>22</v>
      </c>
      <c r="R71" s="2">
        <v>1</v>
      </c>
      <c r="S71" s="2" t="s">
        <v>29</v>
      </c>
      <c r="T71" s="2" t="s">
        <v>27</v>
      </c>
    </row>
    <row r="72" spans="1:20" x14ac:dyDescent="0.2">
      <c r="A72" s="2" t="s">
        <v>29</v>
      </c>
      <c r="C72" s="2" t="s">
        <v>49</v>
      </c>
      <c r="D72" s="2" t="s">
        <v>18</v>
      </c>
      <c r="E72" s="3">
        <v>46265</v>
      </c>
      <c r="F72" s="2" t="s">
        <v>30</v>
      </c>
      <c r="G72" s="4">
        <v>-11975</v>
      </c>
      <c r="H72" s="4">
        <f t="shared" si="3"/>
        <v>0</v>
      </c>
      <c r="I72" s="4">
        <f t="shared" si="4"/>
        <v>11975</v>
      </c>
      <c r="J72" s="6">
        <f t="shared" si="5"/>
        <v>46264</v>
      </c>
      <c r="K72" s="4" t="s">
        <v>55</v>
      </c>
      <c r="L72" s="4" t="s">
        <v>56</v>
      </c>
      <c r="O72" s="2" t="s">
        <v>21</v>
      </c>
      <c r="P72" s="2" t="s">
        <v>22</v>
      </c>
      <c r="R72" s="2">
        <v>1</v>
      </c>
      <c r="S72" s="2" t="s">
        <v>38</v>
      </c>
      <c r="T72" s="2" t="s">
        <v>27</v>
      </c>
    </row>
    <row r="73" spans="1:20" x14ac:dyDescent="0.2">
      <c r="A73" s="2" t="s">
        <v>38</v>
      </c>
      <c r="C73" s="2" t="s">
        <v>49</v>
      </c>
      <c r="D73" s="2" t="s">
        <v>18</v>
      </c>
      <c r="E73" s="3">
        <v>46265</v>
      </c>
      <c r="F73" s="2" t="s">
        <v>19</v>
      </c>
      <c r="G73" s="4">
        <v>11975</v>
      </c>
      <c r="H73" s="4">
        <f t="shared" si="3"/>
        <v>11975</v>
      </c>
      <c r="I73" s="4">
        <f t="shared" si="4"/>
        <v>0</v>
      </c>
      <c r="J73" s="6">
        <f t="shared" si="5"/>
        <v>46264</v>
      </c>
      <c r="K73" s="4" t="s">
        <v>55</v>
      </c>
      <c r="L73" s="4" t="s">
        <v>56</v>
      </c>
      <c r="O73" s="2" t="s">
        <v>21</v>
      </c>
      <c r="P73" s="2" t="s">
        <v>22</v>
      </c>
      <c r="R73" s="2">
        <v>1</v>
      </c>
      <c r="S73" s="2" t="s">
        <v>29</v>
      </c>
      <c r="T73" s="2" t="s">
        <v>27</v>
      </c>
    </row>
    <row r="74" spans="1:20" x14ac:dyDescent="0.2">
      <c r="A74" s="2" t="s">
        <v>29</v>
      </c>
      <c r="C74" s="2" t="s">
        <v>49</v>
      </c>
      <c r="D74" s="2" t="s">
        <v>18</v>
      </c>
      <c r="E74" s="3">
        <v>46265</v>
      </c>
      <c r="F74" s="2" t="s">
        <v>30</v>
      </c>
      <c r="G74" s="4">
        <v>-11975</v>
      </c>
      <c r="H74" s="4">
        <f t="shared" si="3"/>
        <v>0</v>
      </c>
      <c r="I74" s="4">
        <f t="shared" si="4"/>
        <v>11975</v>
      </c>
      <c r="J74" s="6">
        <f t="shared" si="5"/>
        <v>46264</v>
      </c>
      <c r="K74" s="4" t="s">
        <v>55</v>
      </c>
      <c r="L74" s="4" t="s">
        <v>56</v>
      </c>
      <c r="O74" s="2" t="s">
        <v>21</v>
      </c>
      <c r="P74" s="2" t="s">
        <v>22</v>
      </c>
      <c r="R74" s="2">
        <v>1</v>
      </c>
      <c r="S74" s="2" t="s">
        <v>38</v>
      </c>
      <c r="T74" s="2" t="s">
        <v>27</v>
      </c>
    </row>
    <row r="75" spans="1:20" x14ac:dyDescent="0.2">
      <c r="A75" s="2" t="s">
        <v>38</v>
      </c>
      <c r="C75" s="2" t="s">
        <v>49</v>
      </c>
      <c r="D75" s="2" t="s">
        <v>18</v>
      </c>
      <c r="E75" s="3">
        <v>46265</v>
      </c>
      <c r="F75" s="2" t="s">
        <v>19</v>
      </c>
      <c r="G75" s="4">
        <v>11975</v>
      </c>
      <c r="H75" s="4">
        <f t="shared" si="3"/>
        <v>11975</v>
      </c>
      <c r="I75" s="4">
        <f t="shared" si="4"/>
        <v>0</v>
      </c>
      <c r="J75" s="6">
        <f t="shared" si="5"/>
        <v>46264</v>
      </c>
      <c r="K75" s="4" t="s">
        <v>55</v>
      </c>
      <c r="L75" s="4" t="s">
        <v>56</v>
      </c>
      <c r="O75" s="2" t="s">
        <v>21</v>
      </c>
      <c r="P75" s="2" t="s">
        <v>22</v>
      </c>
      <c r="R75" s="2">
        <v>1</v>
      </c>
      <c r="S75" s="2" t="s">
        <v>29</v>
      </c>
      <c r="T75" s="2" t="s">
        <v>27</v>
      </c>
    </row>
    <row r="76" spans="1:20" x14ac:dyDescent="0.2">
      <c r="A76" s="2" t="s">
        <v>29</v>
      </c>
      <c r="C76" s="2" t="s">
        <v>49</v>
      </c>
      <c r="D76" s="2" t="s">
        <v>18</v>
      </c>
      <c r="E76" s="3">
        <v>46265</v>
      </c>
      <c r="F76" s="2" t="s">
        <v>30</v>
      </c>
      <c r="G76" s="4">
        <v>-11975</v>
      </c>
      <c r="H76" s="4">
        <f t="shared" si="3"/>
        <v>0</v>
      </c>
      <c r="I76" s="4">
        <f t="shared" si="4"/>
        <v>11975</v>
      </c>
      <c r="J76" s="6">
        <f t="shared" si="5"/>
        <v>46264</v>
      </c>
      <c r="K76" s="4" t="s">
        <v>55</v>
      </c>
      <c r="L76" s="4" t="s">
        <v>56</v>
      </c>
      <c r="O76" s="2" t="s">
        <v>21</v>
      </c>
      <c r="P76" s="2" t="s">
        <v>22</v>
      </c>
      <c r="R76" s="2">
        <v>1</v>
      </c>
      <c r="S76" s="2" t="s">
        <v>38</v>
      </c>
      <c r="T76" s="2" t="s">
        <v>27</v>
      </c>
    </row>
    <row r="77" spans="1:20" x14ac:dyDescent="0.2">
      <c r="A77" s="2" t="s">
        <v>38</v>
      </c>
      <c r="C77" s="2" t="s">
        <v>49</v>
      </c>
      <c r="D77" s="2" t="s">
        <v>18</v>
      </c>
      <c r="E77" s="3">
        <v>46265</v>
      </c>
      <c r="F77" s="2" t="s">
        <v>19</v>
      </c>
      <c r="G77" s="4">
        <v>11975</v>
      </c>
      <c r="H77" s="4">
        <f t="shared" si="3"/>
        <v>11975</v>
      </c>
      <c r="I77" s="4">
        <f t="shared" si="4"/>
        <v>0</v>
      </c>
      <c r="J77" s="6">
        <f t="shared" si="5"/>
        <v>46264</v>
      </c>
      <c r="K77" s="4" t="s">
        <v>55</v>
      </c>
      <c r="L77" s="4" t="s">
        <v>56</v>
      </c>
      <c r="O77" s="2" t="s">
        <v>21</v>
      </c>
      <c r="P77" s="2" t="s">
        <v>22</v>
      </c>
      <c r="R77" s="2">
        <v>1</v>
      </c>
      <c r="S77" s="2" t="s">
        <v>29</v>
      </c>
      <c r="T77" s="2" t="s">
        <v>27</v>
      </c>
    </row>
    <row r="78" spans="1:20" x14ac:dyDescent="0.2">
      <c r="A78" s="2" t="s">
        <v>29</v>
      </c>
      <c r="C78" s="2" t="s">
        <v>49</v>
      </c>
      <c r="D78" s="2" t="s">
        <v>18</v>
      </c>
      <c r="E78" s="3">
        <v>46265</v>
      </c>
      <c r="F78" s="2" t="s">
        <v>30</v>
      </c>
      <c r="G78" s="4">
        <v>-11975</v>
      </c>
      <c r="H78" s="4">
        <f t="shared" si="3"/>
        <v>0</v>
      </c>
      <c r="I78" s="4">
        <f t="shared" si="4"/>
        <v>11975</v>
      </c>
      <c r="J78" s="6">
        <f t="shared" si="5"/>
        <v>46264</v>
      </c>
      <c r="K78" s="4" t="s">
        <v>55</v>
      </c>
      <c r="L78" s="4" t="s">
        <v>56</v>
      </c>
      <c r="O78" s="2" t="s">
        <v>21</v>
      </c>
      <c r="P78" s="2" t="s">
        <v>22</v>
      </c>
      <c r="R78" s="2">
        <v>1</v>
      </c>
      <c r="S78" s="2" t="s">
        <v>38</v>
      </c>
      <c r="T78" s="2" t="s">
        <v>27</v>
      </c>
    </row>
    <row r="79" spans="1:20" x14ac:dyDescent="0.2">
      <c r="A79" s="2" t="s">
        <v>38</v>
      </c>
      <c r="C79" s="2" t="s">
        <v>49</v>
      </c>
      <c r="D79" s="2" t="s">
        <v>18</v>
      </c>
      <c r="E79" s="3">
        <v>46265</v>
      </c>
      <c r="F79" s="2" t="s">
        <v>19</v>
      </c>
      <c r="G79" s="4">
        <v>11975</v>
      </c>
      <c r="H79" s="4">
        <f t="shared" si="3"/>
        <v>11975</v>
      </c>
      <c r="I79" s="4">
        <f t="shared" si="4"/>
        <v>0</v>
      </c>
      <c r="J79" s="6">
        <f t="shared" si="5"/>
        <v>46264</v>
      </c>
      <c r="K79" s="4" t="s">
        <v>55</v>
      </c>
      <c r="L79" s="4" t="s">
        <v>56</v>
      </c>
      <c r="O79" s="2" t="s">
        <v>21</v>
      </c>
      <c r="P79" s="2" t="s">
        <v>22</v>
      </c>
      <c r="R79" s="2">
        <v>1</v>
      </c>
      <c r="S79" s="2" t="s">
        <v>29</v>
      </c>
      <c r="T79" s="2" t="s">
        <v>27</v>
      </c>
    </row>
    <row r="80" spans="1:20" x14ac:dyDescent="0.2">
      <c r="A80" s="2" t="s">
        <v>29</v>
      </c>
      <c r="C80" s="2" t="s">
        <v>49</v>
      </c>
      <c r="D80" s="2" t="s">
        <v>18</v>
      </c>
      <c r="E80" s="3">
        <v>46265</v>
      </c>
      <c r="F80" s="2" t="s">
        <v>30</v>
      </c>
      <c r="G80" s="4">
        <v>-11975</v>
      </c>
      <c r="H80" s="4">
        <f t="shared" si="3"/>
        <v>0</v>
      </c>
      <c r="I80" s="4">
        <f t="shared" si="4"/>
        <v>11975</v>
      </c>
      <c r="J80" s="6">
        <f t="shared" si="5"/>
        <v>46264</v>
      </c>
      <c r="K80" s="4" t="s">
        <v>55</v>
      </c>
      <c r="L80" s="4" t="s">
        <v>56</v>
      </c>
      <c r="O80" s="2" t="s">
        <v>21</v>
      </c>
      <c r="P80" s="2" t="s">
        <v>22</v>
      </c>
      <c r="R80" s="2">
        <v>1</v>
      </c>
      <c r="S80" s="2" t="s">
        <v>38</v>
      </c>
      <c r="T80" s="2" t="s">
        <v>27</v>
      </c>
    </row>
    <row r="81" spans="1:20" x14ac:dyDescent="0.2">
      <c r="A81" s="2" t="s">
        <v>38</v>
      </c>
      <c r="C81" s="2" t="s">
        <v>49</v>
      </c>
      <c r="D81" s="2" t="s">
        <v>18</v>
      </c>
      <c r="E81" s="3">
        <v>46265</v>
      </c>
      <c r="F81" s="2" t="s">
        <v>19</v>
      </c>
      <c r="G81" s="4">
        <v>300</v>
      </c>
      <c r="H81" s="4">
        <f t="shared" si="3"/>
        <v>300</v>
      </c>
      <c r="I81" s="4">
        <f t="shared" si="4"/>
        <v>0</v>
      </c>
      <c r="J81" s="6">
        <f t="shared" si="5"/>
        <v>46264</v>
      </c>
      <c r="K81" s="4" t="s">
        <v>55</v>
      </c>
      <c r="L81" s="4" t="s">
        <v>56</v>
      </c>
      <c r="O81" s="2" t="s">
        <v>21</v>
      </c>
      <c r="P81" s="2" t="s">
        <v>22</v>
      </c>
      <c r="R81" s="2">
        <v>1</v>
      </c>
      <c r="S81" s="2" t="s">
        <v>29</v>
      </c>
      <c r="T81" s="2" t="s">
        <v>27</v>
      </c>
    </row>
    <row r="82" spans="1:20" x14ac:dyDescent="0.2">
      <c r="A82" s="2" t="s">
        <v>29</v>
      </c>
      <c r="C82" s="2" t="s">
        <v>49</v>
      </c>
      <c r="D82" s="2" t="s">
        <v>18</v>
      </c>
      <c r="E82" s="3">
        <v>46265</v>
      </c>
      <c r="F82" s="2" t="s">
        <v>30</v>
      </c>
      <c r="G82" s="4">
        <v>-300</v>
      </c>
      <c r="H82" s="4">
        <f t="shared" si="3"/>
        <v>0</v>
      </c>
      <c r="I82" s="4">
        <f t="shared" si="4"/>
        <v>300</v>
      </c>
      <c r="J82" s="6">
        <f t="shared" si="5"/>
        <v>46264</v>
      </c>
      <c r="K82" s="4" t="s">
        <v>55</v>
      </c>
      <c r="L82" s="4" t="s">
        <v>56</v>
      </c>
      <c r="O82" s="2" t="s">
        <v>21</v>
      </c>
      <c r="P82" s="2" t="s">
        <v>22</v>
      </c>
      <c r="R82" s="2">
        <v>1</v>
      </c>
      <c r="S82" s="2" t="s">
        <v>38</v>
      </c>
      <c r="T82" s="2" t="s">
        <v>27</v>
      </c>
    </row>
    <row r="83" spans="1:20" x14ac:dyDescent="0.2">
      <c r="A83" s="2" t="s">
        <v>38</v>
      </c>
      <c r="C83" s="2" t="s">
        <v>49</v>
      </c>
      <c r="D83" s="2" t="s">
        <v>18</v>
      </c>
      <c r="E83" s="3">
        <v>46265</v>
      </c>
      <c r="F83" s="2" t="s">
        <v>19</v>
      </c>
      <c r="G83" s="4">
        <v>300</v>
      </c>
      <c r="H83" s="4">
        <f t="shared" si="3"/>
        <v>300</v>
      </c>
      <c r="I83" s="4">
        <f t="shared" si="4"/>
        <v>0</v>
      </c>
      <c r="J83" s="6">
        <f t="shared" si="5"/>
        <v>46264</v>
      </c>
      <c r="K83" s="4" t="s">
        <v>55</v>
      </c>
      <c r="L83" s="4" t="s">
        <v>56</v>
      </c>
      <c r="O83" s="2" t="s">
        <v>21</v>
      </c>
      <c r="P83" s="2" t="s">
        <v>22</v>
      </c>
      <c r="R83" s="2">
        <v>1</v>
      </c>
      <c r="S83" s="2" t="s">
        <v>29</v>
      </c>
      <c r="T83" s="2" t="s">
        <v>27</v>
      </c>
    </row>
    <row r="84" spans="1:20" x14ac:dyDescent="0.2">
      <c r="A84" s="2" t="s">
        <v>29</v>
      </c>
      <c r="C84" s="2" t="s">
        <v>49</v>
      </c>
      <c r="D84" s="2" t="s">
        <v>18</v>
      </c>
      <c r="E84" s="3">
        <v>46265</v>
      </c>
      <c r="F84" s="2" t="s">
        <v>30</v>
      </c>
      <c r="G84" s="4">
        <v>-300</v>
      </c>
      <c r="H84" s="4">
        <f t="shared" si="3"/>
        <v>0</v>
      </c>
      <c r="I84" s="4">
        <f t="shared" si="4"/>
        <v>300</v>
      </c>
      <c r="J84" s="6">
        <f t="shared" si="5"/>
        <v>46264</v>
      </c>
      <c r="K84" s="4" t="s">
        <v>55</v>
      </c>
      <c r="L84" s="4" t="s">
        <v>56</v>
      </c>
      <c r="O84" s="2" t="s">
        <v>21</v>
      </c>
      <c r="P84" s="2" t="s">
        <v>22</v>
      </c>
      <c r="R84" s="2">
        <v>1</v>
      </c>
      <c r="S84" s="2" t="s">
        <v>38</v>
      </c>
      <c r="T84" s="2" t="s">
        <v>27</v>
      </c>
    </row>
    <row r="85" spans="1:20" x14ac:dyDescent="0.2">
      <c r="A85" s="2" t="s">
        <v>38</v>
      </c>
      <c r="C85" s="2" t="s">
        <v>49</v>
      </c>
      <c r="D85" s="2" t="s">
        <v>18</v>
      </c>
      <c r="E85" s="3">
        <v>46265</v>
      </c>
      <c r="F85" s="2" t="s">
        <v>19</v>
      </c>
      <c r="G85" s="4">
        <v>300</v>
      </c>
      <c r="H85" s="4">
        <f t="shared" si="3"/>
        <v>300</v>
      </c>
      <c r="I85" s="4">
        <f t="shared" si="4"/>
        <v>0</v>
      </c>
      <c r="J85" s="6">
        <f t="shared" si="5"/>
        <v>46264</v>
      </c>
      <c r="K85" s="4" t="s">
        <v>55</v>
      </c>
      <c r="L85" s="4" t="s">
        <v>56</v>
      </c>
      <c r="O85" s="2" t="s">
        <v>21</v>
      </c>
      <c r="P85" s="2" t="s">
        <v>22</v>
      </c>
      <c r="R85" s="2">
        <v>1</v>
      </c>
      <c r="S85" s="2" t="s">
        <v>29</v>
      </c>
      <c r="T85" s="2" t="s">
        <v>27</v>
      </c>
    </row>
    <row r="86" spans="1:20" x14ac:dyDescent="0.2">
      <c r="A86" s="2" t="s">
        <v>29</v>
      </c>
      <c r="C86" s="2" t="s">
        <v>49</v>
      </c>
      <c r="D86" s="2" t="s">
        <v>18</v>
      </c>
      <c r="E86" s="3">
        <v>46265</v>
      </c>
      <c r="F86" s="2" t="s">
        <v>30</v>
      </c>
      <c r="G86" s="4">
        <v>-300</v>
      </c>
      <c r="H86" s="4">
        <f t="shared" si="3"/>
        <v>0</v>
      </c>
      <c r="I86" s="4">
        <f t="shared" si="4"/>
        <v>300</v>
      </c>
      <c r="J86" s="6">
        <f t="shared" si="5"/>
        <v>46264</v>
      </c>
      <c r="K86" s="4" t="s">
        <v>55</v>
      </c>
      <c r="L86" s="4" t="s">
        <v>56</v>
      </c>
      <c r="O86" s="2" t="s">
        <v>21</v>
      </c>
      <c r="P86" s="2" t="s">
        <v>22</v>
      </c>
      <c r="R86" s="2">
        <v>1</v>
      </c>
      <c r="S86" s="2" t="s">
        <v>38</v>
      </c>
      <c r="T86" s="2" t="s">
        <v>27</v>
      </c>
    </row>
    <row r="87" spans="1:20" x14ac:dyDescent="0.2">
      <c r="A87" s="2" t="s">
        <v>38</v>
      </c>
      <c r="C87" s="2" t="s">
        <v>49</v>
      </c>
      <c r="D87" s="2" t="s">
        <v>18</v>
      </c>
      <c r="E87" s="3">
        <v>46265</v>
      </c>
      <c r="F87" s="2" t="s">
        <v>19</v>
      </c>
      <c r="G87" s="4">
        <v>300</v>
      </c>
      <c r="H87" s="4">
        <f t="shared" si="3"/>
        <v>300</v>
      </c>
      <c r="I87" s="4">
        <f t="shared" si="4"/>
        <v>0</v>
      </c>
      <c r="J87" s="6">
        <f t="shared" si="5"/>
        <v>46264</v>
      </c>
      <c r="K87" s="4" t="s">
        <v>55</v>
      </c>
      <c r="L87" s="4" t="s">
        <v>56</v>
      </c>
      <c r="O87" s="2" t="s">
        <v>21</v>
      </c>
      <c r="P87" s="2" t="s">
        <v>22</v>
      </c>
      <c r="R87" s="2">
        <v>1</v>
      </c>
      <c r="S87" s="2" t="s">
        <v>29</v>
      </c>
      <c r="T87" s="2" t="s">
        <v>27</v>
      </c>
    </row>
    <row r="88" spans="1:20" x14ac:dyDescent="0.2">
      <c r="A88" s="2" t="s">
        <v>29</v>
      </c>
      <c r="C88" s="2" t="s">
        <v>49</v>
      </c>
      <c r="D88" s="2" t="s">
        <v>18</v>
      </c>
      <c r="E88" s="3">
        <v>46265</v>
      </c>
      <c r="F88" s="2" t="s">
        <v>30</v>
      </c>
      <c r="G88" s="4">
        <v>-300</v>
      </c>
      <c r="H88" s="4">
        <f t="shared" si="3"/>
        <v>0</v>
      </c>
      <c r="I88" s="4">
        <f t="shared" si="4"/>
        <v>300</v>
      </c>
      <c r="J88" s="6">
        <f t="shared" si="5"/>
        <v>46264</v>
      </c>
      <c r="K88" s="4" t="s">
        <v>55</v>
      </c>
      <c r="L88" s="4" t="s">
        <v>56</v>
      </c>
      <c r="O88" s="2" t="s">
        <v>21</v>
      </c>
      <c r="P88" s="2" t="s">
        <v>22</v>
      </c>
      <c r="R88" s="2">
        <v>1</v>
      </c>
      <c r="S88" s="2" t="s">
        <v>38</v>
      </c>
      <c r="T88" s="2" t="s">
        <v>27</v>
      </c>
    </row>
    <row r="89" spans="1:20" x14ac:dyDescent="0.2">
      <c r="A89" s="2" t="s">
        <v>38</v>
      </c>
      <c r="C89" s="2" t="s">
        <v>49</v>
      </c>
      <c r="D89" s="2" t="s">
        <v>18</v>
      </c>
      <c r="E89" s="3">
        <v>46265</v>
      </c>
      <c r="F89" s="2" t="s">
        <v>19</v>
      </c>
      <c r="G89" s="4">
        <v>300</v>
      </c>
      <c r="H89" s="4">
        <f t="shared" si="3"/>
        <v>300</v>
      </c>
      <c r="I89" s="4">
        <f t="shared" si="4"/>
        <v>0</v>
      </c>
      <c r="J89" s="6">
        <f t="shared" si="5"/>
        <v>46264</v>
      </c>
      <c r="K89" s="4" t="s">
        <v>55</v>
      </c>
      <c r="L89" s="4" t="s">
        <v>56</v>
      </c>
      <c r="O89" s="2" t="s">
        <v>21</v>
      </c>
      <c r="P89" s="2" t="s">
        <v>22</v>
      </c>
      <c r="R89" s="2">
        <v>1</v>
      </c>
      <c r="S89" s="2" t="s">
        <v>29</v>
      </c>
      <c r="T89" s="2" t="s">
        <v>27</v>
      </c>
    </row>
    <row r="90" spans="1:20" x14ac:dyDescent="0.2">
      <c r="A90" s="2" t="s">
        <v>29</v>
      </c>
      <c r="C90" s="2" t="s">
        <v>49</v>
      </c>
      <c r="D90" s="2" t="s">
        <v>18</v>
      </c>
      <c r="E90" s="3">
        <v>46265</v>
      </c>
      <c r="F90" s="2" t="s">
        <v>30</v>
      </c>
      <c r="G90" s="4">
        <v>-300</v>
      </c>
      <c r="H90" s="4">
        <f t="shared" si="3"/>
        <v>0</v>
      </c>
      <c r="I90" s="4">
        <f t="shared" si="4"/>
        <v>300</v>
      </c>
      <c r="J90" s="6">
        <f t="shared" si="5"/>
        <v>46264</v>
      </c>
      <c r="K90" s="4" t="s">
        <v>55</v>
      </c>
      <c r="L90" s="4" t="s">
        <v>56</v>
      </c>
      <c r="O90" s="2" t="s">
        <v>21</v>
      </c>
      <c r="P90" s="2" t="s">
        <v>22</v>
      </c>
      <c r="R90" s="2">
        <v>1</v>
      </c>
      <c r="S90" s="2" t="s">
        <v>38</v>
      </c>
      <c r="T90" s="2" t="s">
        <v>27</v>
      </c>
    </row>
    <row r="91" spans="1:20" x14ac:dyDescent="0.2">
      <c r="A91" s="2" t="s">
        <v>38</v>
      </c>
      <c r="C91" s="2" t="s">
        <v>49</v>
      </c>
      <c r="D91" s="2" t="s">
        <v>18</v>
      </c>
      <c r="E91" s="3">
        <v>46265</v>
      </c>
      <c r="F91" s="2" t="s">
        <v>19</v>
      </c>
      <c r="G91" s="4">
        <v>300</v>
      </c>
      <c r="H91" s="4">
        <f t="shared" si="3"/>
        <v>300</v>
      </c>
      <c r="I91" s="4">
        <f t="shared" si="4"/>
        <v>0</v>
      </c>
      <c r="J91" s="6">
        <f t="shared" si="5"/>
        <v>46264</v>
      </c>
      <c r="K91" s="4" t="s">
        <v>55</v>
      </c>
      <c r="L91" s="4" t="s">
        <v>56</v>
      </c>
      <c r="O91" s="2" t="s">
        <v>21</v>
      </c>
      <c r="P91" s="2" t="s">
        <v>22</v>
      </c>
      <c r="R91" s="2">
        <v>1</v>
      </c>
      <c r="S91" s="2" t="s">
        <v>29</v>
      </c>
      <c r="T91" s="2" t="s">
        <v>27</v>
      </c>
    </row>
    <row r="92" spans="1:20" x14ac:dyDescent="0.2">
      <c r="A92" s="2" t="s">
        <v>29</v>
      </c>
      <c r="C92" s="2" t="s">
        <v>49</v>
      </c>
      <c r="D92" s="2" t="s">
        <v>18</v>
      </c>
      <c r="E92" s="3">
        <v>46265</v>
      </c>
      <c r="F92" s="2" t="s">
        <v>30</v>
      </c>
      <c r="G92" s="4">
        <v>-300</v>
      </c>
      <c r="H92" s="4">
        <f t="shared" si="3"/>
        <v>0</v>
      </c>
      <c r="I92" s="4">
        <f t="shared" si="4"/>
        <v>300</v>
      </c>
      <c r="J92" s="6">
        <f t="shared" si="5"/>
        <v>46264</v>
      </c>
      <c r="K92" s="4" t="s">
        <v>55</v>
      </c>
      <c r="L92" s="4" t="s">
        <v>56</v>
      </c>
      <c r="O92" s="2" t="s">
        <v>21</v>
      </c>
      <c r="P92" s="2" t="s">
        <v>22</v>
      </c>
      <c r="R92" s="2">
        <v>1</v>
      </c>
      <c r="S92" s="2" t="s">
        <v>38</v>
      </c>
      <c r="T92" s="2" t="s">
        <v>27</v>
      </c>
    </row>
    <row r="93" spans="1:20" x14ac:dyDescent="0.2">
      <c r="A93" s="2" t="s">
        <v>38</v>
      </c>
      <c r="C93" s="2" t="s">
        <v>49</v>
      </c>
      <c r="D93" s="2" t="s">
        <v>18</v>
      </c>
      <c r="E93" s="3">
        <v>46265</v>
      </c>
      <c r="F93" s="2" t="s">
        <v>19</v>
      </c>
      <c r="G93" s="4">
        <v>300</v>
      </c>
      <c r="H93" s="4">
        <f t="shared" si="3"/>
        <v>300</v>
      </c>
      <c r="I93" s="4">
        <f t="shared" si="4"/>
        <v>0</v>
      </c>
      <c r="J93" s="6">
        <f t="shared" si="5"/>
        <v>46264</v>
      </c>
      <c r="K93" s="4" t="s">
        <v>55</v>
      </c>
      <c r="L93" s="4" t="s">
        <v>56</v>
      </c>
      <c r="O93" s="2" t="s">
        <v>21</v>
      </c>
      <c r="P93" s="2" t="s">
        <v>22</v>
      </c>
      <c r="R93" s="2">
        <v>1</v>
      </c>
      <c r="S93" s="2" t="s">
        <v>29</v>
      </c>
      <c r="T93" s="2" t="s">
        <v>27</v>
      </c>
    </row>
    <row r="94" spans="1:20" x14ac:dyDescent="0.2">
      <c r="A94" s="2" t="s">
        <v>29</v>
      </c>
      <c r="C94" s="2" t="s">
        <v>49</v>
      </c>
      <c r="D94" s="2" t="s">
        <v>18</v>
      </c>
      <c r="E94" s="3">
        <v>46265</v>
      </c>
      <c r="F94" s="2" t="s">
        <v>30</v>
      </c>
      <c r="G94" s="4">
        <v>-300</v>
      </c>
      <c r="H94" s="4">
        <f t="shared" si="3"/>
        <v>0</v>
      </c>
      <c r="I94" s="4">
        <f t="shared" si="4"/>
        <v>300</v>
      </c>
      <c r="J94" s="6">
        <f t="shared" si="5"/>
        <v>46264</v>
      </c>
      <c r="K94" s="4" t="s">
        <v>55</v>
      </c>
      <c r="L94" s="4" t="s">
        <v>56</v>
      </c>
      <c r="O94" s="2" t="s">
        <v>21</v>
      </c>
      <c r="P94" s="2" t="s">
        <v>22</v>
      </c>
      <c r="R94" s="2">
        <v>1</v>
      </c>
      <c r="S94" s="2" t="s">
        <v>38</v>
      </c>
      <c r="T94" s="2" t="s">
        <v>27</v>
      </c>
    </row>
    <row r="95" spans="1:20" x14ac:dyDescent="0.2">
      <c r="A95" s="2" t="s">
        <v>38</v>
      </c>
      <c r="C95" s="2" t="s">
        <v>49</v>
      </c>
      <c r="D95" s="2" t="s">
        <v>18</v>
      </c>
      <c r="E95" s="3">
        <v>46265</v>
      </c>
      <c r="F95" s="2" t="s">
        <v>19</v>
      </c>
      <c r="G95" s="4">
        <v>300</v>
      </c>
      <c r="H95" s="4">
        <f t="shared" si="3"/>
        <v>300</v>
      </c>
      <c r="I95" s="4">
        <f t="shared" si="4"/>
        <v>0</v>
      </c>
      <c r="J95" s="6">
        <f t="shared" si="5"/>
        <v>46264</v>
      </c>
      <c r="K95" s="4" t="s">
        <v>55</v>
      </c>
      <c r="L95" s="4" t="s">
        <v>56</v>
      </c>
      <c r="O95" s="2" t="s">
        <v>21</v>
      </c>
      <c r="P95" s="2" t="s">
        <v>22</v>
      </c>
      <c r="R95" s="2">
        <v>1</v>
      </c>
      <c r="S95" s="2" t="s">
        <v>29</v>
      </c>
      <c r="T95" s="2" t="s">
        <v>27</v>
      </c>
    </row>
    <row r="96" spans="1:20" x14ac:dyDescent="0.2">
      <c r="A96" s="2" t="s">
        <v>29</v>
      </c>
      <c r="C96" s="2" t="s">
        <v>49</v>
      </c>
      <c r="D96" s="2" t="s">
        <v>18</v>
      </c>
      <c r="E96" s="3">
        <v>46265</v>
      </c>
      <c r="F96" s="2" t="s">
        <v>30</v>
      </c>
      <c r="G96" s="4">
        <v>-300</v>
      </c>
      <c r="H96" s="4">
        <f t="shared" si="3"/>
        <v>0</v>
      </c>
      <c r="I96" s="4">
        <f t="shared" si="4"/>
        <v>300</v>
      </c>
      <c r="J96" s="6">
        <f t="shared" si="5"/>
        <v>46264</v>
      </c>
      <c r="K96" s="4" t="s">
        <v>55</v>
      </c>
      <c r="L96" s="4" t="s">
        <v>56</v>
      </c>
      <c r="O96" s="2" t="s">
        <v>21</v>
      </c>
      <c r="P96" s="2" t="s">
        <v>22</v>
      </c>
      <c r="R96" s="2">
        <v>1</v>
      </c>
      <c r="S96" s="2" t="s">
        <v>38</v>
      </c>
      <c r="T96" s="2" t="s">
        <v>27</v>
      </c>
    </row>
    <row r="97" spans="1:20" x14ac:dyDescent="0.2">
      <c r="A97" s="2" t="s">
        <v>38</v>
      </c>
      <c r="C97" s="2" t="s">
        <v>49</v>
      </c>
      <c r="D97" s="2" t="s">
        <v>18</v>
      </c>
      <c r="E97" s="3">
        <v>46265</v>
      </c>
      <c r="F97" s="2" t="s">
        <v>19</v>
      </c>
      <c r="G97" s="4">
        <v>300</v>
      </c>
      <c r="H97" s="4">
        <f t="shared" si="3"/>
        <v>300</v>
      </c>
      <c r="I97" s="4">
        <f t="shared" si="4"/>
        <v>0</v>
      </c>
      <c r="J97" s="6">
        <f t="shared" si="5"/>
        <v>46264</v>
      </c>
      <c r="K97" s="4" t="s">
        <v>55</v>
      </c>
      <c r="L97" s="4" t="s">
        <v>56</v>
      </c>
      <c r="O97" s="2" t="s">
        <v>21</v>
      </c>
      <c r="P97" s="2" t="s">
        <v>22</v>
      </c>
      <c r="R97" s="2">
        <v>1</v>
      </c>
      <c r="S97" s="2" t="s">
        <v>29</v>
      </c>
      <c r="T97" s="2" t="s">
        <v>27</v>
      </c>
    </row>
    <row r="98" spans="1:20" x14ac:dyDescent="0.2">
      <c r="A98" s="2" t="s">
        <v>29</v>
      </c>
      <c r="C98" s="2" t="s">
        <v>49</v>
      </c>
      <c r="D98" s="2" t="s">
        <v>18</v>
      </c>
      <c r="E98" s="3">
        <v>46265</v>
      </c>
      <c r="F98" s="2" t="s">
        <v>30</v>
      </c>
      <c r="G98" s="4">
        <v>-300</v>
      </c>
      <c r="H98" s="4">
        <f t="shared" si="3"/>
        <v>0</v>
      </c>
      <c r="I98" s="4">
        <f t="shared" si="4"/>
        <v>300</v>
      </c>
      <c r="J98" s="6">
        <f t="shared" si="5"/>
        <v>46264</v>
      </c>
      <c r="K98" s="4" t="s">
        <v>55</v>
      </c>
      <c r="L98" s="4" t="s">
        <v>56</v>
      </c>
      <c r="O98" s="2" t="s">
        <v>21</v>
      </c>
      <c r="P98" s="2" t="s">
        <v>22</v>
      </c>
      <c r="R98" s="2">
        <v>1</v>
      </c>
      <c r="S98" s="2" t="s">
        <v>38</v>
      </c>
      <c r="T98" s="2" t="s">
        <v>27</v>
      </c>
    </row>
    <row r="99" spans="1:20" x14ac:dyDescent="0.2">
      <c r="A99" s="2" t="s">
        <v>38</v>
      </c>
      <c r="C99" s="2" t="s">
        <v>49</v>
      </c>
      <c r="D99" s="2" t="s">
        <v>18</v>
      </c>
      <c r="E99" s="3">
        <v>46265</v>
      </c>
      <c r="F99" s="2" t="s">
        <v>19</v>
      </c>
      <c r="G99" s="4">
        <v>300</v>
      </c>
      <c r="H99" s="4">
        <f t="shared" si="3"/>
        <v>300</v>
      </c>
      <c r="I99" s="4">
        <f t="shared" si="4"/>
        <v>0</v>
      </c>
      <c r="J99" s="6">
        <f t="shared" si="5"/>
        <v>46264</v>
      </c>
      <c r="K99" s="4" t="s">
        <v>55</v>
      </c>
      <c r="L99" s="4" t="s">
        <v>56</v>
      </c>
      <c r="O99" s="2" t="s">
        <v>21</v>
      </c>
      <c r="P99" s="2" t="s">
        <v>22</v>
      </c>
      <c r="R99" s="2">
        <v>1</v>
      </c>
      <c r="S99" s="2" t="s">
        <v>29</v>
      </c>
      <c r="T99" s="2" t="s">
        <v>27</v>
      </c>
    </row>
    <row r="100" spans="1:20" x14ac:dyDescent="0.2">
      <c r="A100" s="2" t="s">
        <v>29</v>
      </c>
      <c r="C100" s="2" t="s">
        <v>49</v>
      </c>
      <c r="D100" s="2" t="s">
        <v>18</v>
      </c>
      <c r="E100" s="3">
        <v>46265</v>
      </c>
      <c r="F100" s="2" t="s">
        <v>30</v>
      </c>
      <c r="G100" s="4">
        <v>-300</v>
      </c>
      <c r="H100" s="4">
        <f t="shared" si="3"/>
        <v>0</v>
      </c>
      <c r="I100" s="4">
        <f t="shared" si="4"/>
        <v>300</v>
      </c>
      <c r="J100" s="6">
        <f t="shared" si="5"/>
        <v>46264</v>
      </c>
      <c r="K100" s="4" t="s">
        <v>55</v>
      </c>
      <c r="L100" s="4" t="s">
        <v>56</v>
      </c>
      <c r="O100" s="2" t="s">
        <v>21</v>
      </c>
      <c r="P100" s="2" t="s">
        <v>22</v>
      </c>
      <c r="R100" s="2">
        <v>1</v>
      </c>
      <c r="S100" s="2" t="s">
        <v>38</v>
      </c>
      <c r="T100" s="2" t="s">
        <v>27</v>
      </c>
    </row>
  </sheetData>
  <autoFilter ref="A1:U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Line Items</dc:title>
  <dc:creator>SAP UI5 Document Export</dc:creator>
  <cp:keywords>SAP UI5 EXPORT</cp:keywords>
  <cp:lastModifiedBy>Ugesh D [CHN]</cp:lastModifiedBy>
  <dcterms:created xsi:type="dcterms:W3CDTF">2026-10-07T05:01:30Z</dcterms:created>
  <dcterms:modified xsi:type="dcterms:W3CDTF">2026-10-21T12:40:10Z</dcterms:modified>
</cp:coreProperties>
</file>