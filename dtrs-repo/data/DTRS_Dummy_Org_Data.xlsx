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partments" sheetId="2" state="visible" r:id="rId4"/>
    <sheet name="Levels" sheetId="3" state="visible" r:id="rId5"/>
    <sheet name="Categories" sheetId="4" state="visible" r:id="rId6"/>
    <sheet name="Employees" sheetId="5" state="visible" r:id="rId7"/>
    <sheet name="Access_Matrix" sheetId="6" state="visible" r:id="rId8"/>
    <sheet name="Recurring_Templates" sheetId="7" state="visible" r:id="rId9"/>
    <sheet name="Sample_Tasks" sheetId="8" state="visible" r:id="rId10"/>
    <sheet name="Requests" sheetId="9" state="visible" r:id="rId11"/>
    <sheet name="KPI_Config" sheetId="10" state="visible" r:id="rId12"/>
    <sheet name="Escalation_Rules" sheetId="11" state="visible" r:id="rId13"/>
    <sheet name="Holidays" sheetId="12" state="visible" r:id="rId14"/>
  </sheets>
  <definedNames>
    <definedName function="false" hidden="true" localSheetId="5" name="_xlnm._FilterDatabase" vbProcedure="false">Access_Matrix!$A$1:$H$15</definedName>
    <definedName function="false" hidden="true" localSheetId="3" name="_xlnm._FilterDatabase" vbProcedure="false">Categories!$A$1:$E$16</definedName>
    <definedName function="false" hidden="true" localSheetId="1" name="_xlnm._FilterDatabase" vbProcedure="false">Departments!$A$1:$F$16</definedName>
    <definedName function="false" hidden="true" localSheetId="4" name="_xlnm._FilterDatabase" vbProcedure="false">Employees!$A$1:$M$101</definedName>
    <definedName function="false" hidden="true" localSheetId="10" name="_xlnm._FilterDatabase" vbProcedure="false">Escalation_Rules!$A$1:$C$8</definedName>
    <definedName function="false" hidden="true" localSheetId="11" name="_xlnm._FilterDatabase" vbProcedure="false">Holidays!$A$1:$C$7</definedName>
    <definedName function="false" hidden="true" localSheetId="9" name="_xlnm._FilterDatabase" vbProcedure="false">KPI_Config!$A$1:$D$6</definedName>
    <definedName function="false" hidden="true" localSheetId="2" name="_xlnm._FilterDatabase" vbProcedure="false">Levels!$A$1:$C$7</definedName>
    <definedName function="false" hidden="true" localSheetId="6" name="_xlnm._FilterDatabase" vbProcedure="false">Recurring_Templates!$A$1:$K$21</definedName>
    <definedName function="false" hidden="true" localSheetId="8" name="_xlnm._FilterDatabase" vbProcedure="false">Requests!$A$1:$J$11</definedName>
    <definedName function="false" hidden="true" localSheetId="7" name="_xlnm._FilterDatabase" vbProcedure="false">Sample_Tasks!$A$1:$P$61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<sst xmlns="http://schemas.openxmlformats.org/spreadsheetml/2006/main" count="2569" uniqueCount="917">
  <si>
    <t xml:space="preserve">DTRS – Dummy Organisation and Master Data</t>
  </si>
  <si>
    <t xml:space="preserve">Company: Sample Manufacturing Industries Pvt Ltd (SMIPL) – FICTITIOUS. All names, codes and emails are invented for development, testing and the ICAI course submission.</t>
  </si>
  <si>
    <t xml:space="preserve">Companion to: BRD – Department Task &amp; Review System (DTRS), v0.1</t>
  </si>
  <si>
    <t xml:space="preserve">Sheets</t>
  </si>
  <si>
    <t xml:space="preserve">Departments – 15 units with HOD and live headcount (formula)</t>
  </si>
  <si>
    <t xml:space="preserve">Levels – standard designation levels L1–L6</t>
  </si>
  <si>
    <t xml:space="preserve">Employees – 100 users with reporting line (Reports To), system roles and plant. This is the bulk-upload format for the Admin console.</t>
  </si>
  <si>
    <t xml:space="preserve">Access_Matrix – capability × role, as in BRD section 5</t>
  </si>
  <si>
    <t xml:space="preserve">Categories – task / request categories with default form and proposed turnaround (BRD section 7)</t>
  </si>
  <si>
    <t xml:space="preserve">Recurring_Templates – sample recurring tasks per department</t>
  </si>
  <si>
    <t xml:space="preserve">Sample_Tasks – 60 dummy tasks for testing dashboards; Days Overdue is a formula against the As-of date below</t>
  </si>
  <si>
    <t xml:space="preserve">Requests – sample requests between departments</t>
  </si>
  <si>
    <t xml:space="preserve">KPI_Config – proposed KPI weights and bands (for management approval)</t>
  </si>
  <si>
    <t xml:space="preserve">Escalation_Rules – proposed escalation ladder</t>
  </si>
  <si>
    <t xml:space="preserve">Holidays – sample plant-wise holiday calendar (dummy dates; replace with actual)</t>
  </si>
  <si>
    <t xml:space="preserve">Conventions</t>
  </si>
  <si>
    <t xml:space="preserve">Blue text = input you may edit. Black = formula. Yellow fill = value awaiting management approval.</t>
  </si>
  <si>
    <t xml:space="preserve">Reports To holds the Employee Code of the immediate senior; the CEO has none. Reports To Name is a lookup formula.</t>
  </si>
  <si>
    <t xml:space="preserve">As-of date (used by Sample_Tasks)</t>
  </si>
  <si>
    <t xml:space="preserve">Dept Code</t>
  </si>
  <si>
    <t xml:space="preserve">Department</t>
  </si>
  <si>
    <t xml:space="preserve">HOD Emp Code</t>
  </si>
  <si>
    <t xml:space="preserve">HOD Name</t>
  </si>
  <si>
    <t xml:space="preserve">Headcount</t>
  </si>
  <si>
    <t xml:space="preserve">Scored in KPI</t>
  </si>
  <si>
    <t xml:space="preserve">MGT</t>
  </si>
  <si>
    <t xml:space="preserve">Management office</t>
  </si>
  <si>
    <t xml:space="preserve">E101</t>
  </si>
  <si>
    <t xml:space="preserve">No (management office)</t>
  </si>
  <si>
    <t xml:space="preserve">FIN</t>
  </si>
  <si>
    <t xml:space="preserve">Finance &amp; Accounts</t>
  </si>
  <si>
    <t xml:space="preserve">E104</t>
  </si>
  <si>
    <t xml:space="preserve">Yes</t>
  </si>
  <si>
    <t xml:space="preserve">HRA</t>
  </si>
  <si>
    <t xml:space="preserve">HR &amp; Admin</t>
  </si>
  <si>
    <t xml:space="preserve">E116</t>
  </si>
  <si>
    <t xml:space="preserve">PUR</t>
  </si>
  <si>
    <t xml:space="preserve">Purchase</t>
  </si>
  <si>
    <t xml:space="preserve">E123</t>
  </si>
  <si>
    <t xml:space="preserve">STR</t>
  </si>
  <si>
    <t xml:space="preserve">Stores</t>
  </si>
  <si>
    <t xml:space="preserve">E129</t>
  </si>
  <si>
    <t xml:space="preserve">LOG</t>
  </si>
  <si>
    <t xml:space="preserve">Logistics</t>
  </si>
  <si>
    <t xml:space="preserve">E135</t>
  </si>
  <si>
    <t xml:space="preserve">PRD</t>
  </si>
  <si>
    <t xml:space="preserve">Production</t>
  </si>
  <si>
    <t xml:space="preserve">E140</t>
  </si>
  <si>
    <t xml:space="preserve">QAD</t>
  </si>
  <si>
    <t xml:space="preserve">Quality</t>
  </si>
  <si>
    <t xml:space="preserve">E156</t>
  </si>
  <si>
    <t xml:space="preserve">MNT</t>
  </si>
  <si>
    <t xml:space="preserve">Maintenance</t>
  </si>
  <si>
    <t xml:space="preserve">E164</t>
  </si>
  <si>
    <t xml:space="preserve">SAM</t>
  </si>
  <si>
    <t xml:space="preserve">Sales &amp; Marketing</t>
  </si>
  <si>
    <t xml:space="preserve">E173</t>
  </si>
  <si>
    <t xml:space="preserve">PRJ</t>
  </si>
  <si>
    <t xml:space="preserve">Projects &amp; Engineering</t>
  </si>
  <si>
    <t xml:space="preserve">E183</t>
  </si>
  <si>
    <t xml:space="preserve">ITD</t>
  </si>
  <si>
    <t xml:space="preserve">Information Technology</t>
  </si>
  <si>
    <t xml:space="preserve">E188</t>
  </si>
  <si>
    <t xml:space="preserve">LEG</t>
  </si>
  <si>
    <t xml:space="preserve">Legal &amp; Secretarial</t>
  </si>
  <si>
    <t xml:space="preserve">E191</t>
  </si>
  <si>
    <t xml:space="preserve">EHS</t>
  </si>
  <si>
    <t xml:space="preserve">Environment, Health &amp; Safety</t>
  </si>
  <si>
    <t xml:space="preserve">E194</t>
  </si>
  <si>
    <t xml:space="preserve">IAD</t>
  </si>
  <si>
    <t xml:space="preserve">Internal Audit</t>
  </si>
  <si>
    <t xml:space="preserve">E198</t>
  </si>
  <si>
    <t xml:space="preserve">Total</t>
  </si>
  <si>
    <t xml:space="preserve">Level</t>
  </si>
  <si>
    <t xml:space="preserve">Designation</t>
  </si>
  <si>
    <t xml:space="preserve">Typical DTRS role</t>
  </si>
  <si>
    <t xml:space="preserve">L6</t>
  </si>
  <si>
    <t xml:space="preserve">CEO</t>
  </si>
  <si>
    <t xml:space="preserve">Management Viewer; reviews HODs; vouches scorecards</t>
  </si>
  <si>
    <t xml:space="preserve">L5</t>
  </si>
  <si>
    <t xml:space="preserve">Department Head (HOD)</t>
  </si>
  <si>
    <t xml:space="preserve">Owns department; reviews L4/L3; handles incoming requests</t>
  </si>
  <si>
    <t xml:space="preserve">L4</t>
  </si>
  <si>
    <t xml:space="preserve">Deputy Manager</t>
  </si>
  <si>
    <t xml:space="preserve">Section lead; reviews L3</t>
  </si>
  <si>
    <t xml:space="preserve">L3</t>
  </si>
  <si>
    <t xml:space="preserve">Assistant Manager</t>
  </si>
  <si>
    <t xml:space="preserve">Team lead; reviews L2</t>
  </si>
  <si>
    <t xml:space="preserve">L2</t>
  </si>
  <si>
    <t xml:space="preserve">Senior Executive</t>
  </si>
  <si>
    <t xml:space="preserve">Doer; first-level reviewer of L1</t>
  </si>
  <si>
    <t xml:space="preserve">L1</t>
  </si>
  <si>
    <t xml:space="preserve">Executive</t>
  </si>
  <si>
    <t xml:space="preserve">Doer</t>
  </si>
  <si>
    <t xml:space="preserve">Code</t>
  </si>
  <si>
    <t xml:space="preserve">Category</t>
  </si>
  <si>
    <t xml:space="preserve">Typical examples</t>
  </si>
  <si>
    <t xml:space="preserve">Default form</t>
  </si>
  <si>
    <t xml:space="preserve">Proposed turnaround</t>
  </si>
  <si>
    <t xml:space="preserve">DR</t>
  </si>
  <si>
    <t xml:space="preserve">Data / information request</t>
  </si>
  <si>
    <t xml:space="preserve">Sales data by branch, GRN copies, payroll inputs</t>
  </si>
  <si>
    <t xml:space="preserve">Request</t>
  </si>
  <si>
    <t xml:space="preserve">2 working days</t>
  </si>
  <si>
    <t xml:space="preserve">CF</t>
  </si>
  <si>
    <t xml:space="preserve">Confirmation / verification</t>
  </si>
  <si>
    <t xml:space="preserve">Balance confirmation, stock count confirmation, bank details check</t>
  </si>
  <si>
    <t xml:space="preserve">AP</t>
  </si>
  <si>
    <t xml:space="preserve">Approval / sign-off</t>
  </si>
  <si>
    <t xml:space="preserve">Payment approval, rate approval, budget sign-off</t>
  </si>
  <si>
    <t xml:space="preserve">1 working day</t>
  </si>
  <si>
    <t xml:space="preserve">MD</t>
  </si>
  <si>
    <t xml:space="preserve">Master data creation / change</t>
  </si>
  <si>
    <t xml:space="preserve">New vendor / customer / material code in SAP; bank detail change</t>
  </si>
  <si>
    <t xml:space="preserve">DS</t>
  </si>
  <si>
    <t xml:space="preserve">Data compilation / sorting / cleansing</t>
  </si>
  <si>
    <t xml:space="preserve">Vendor list cleansing, invoice sorting by age, plant data consolidation</t>
  </si>
  <si>
    <t xml:space="preserve">Task</t>
  </si>
  <si>
    <t xml:space="preserve">3 working days</t>
  </si>
  <si>
    <t xml:space="preserve">RC</t>
  </si>
  <si>
    <t xml:space="preserve">Reconciliation</t>
  </si>
  <si>
    <t xml:space="preserve">Bank, vendor, GST 2B, inter-company, TDS</t>
  </si>
  <si>
    <t xml:space="preserve">5 working days</t>
  </si>
  <si>
    <t xml:space="preserve">RP</t>
  </si>
  <si>
    <t xml:space="preserve">Report / MIS preparation</t>
  </si>
  <si>
    <t xml:space="preserve">Monthly P&amp;L, ageing report, production report</t>
  </si>
  <si>
    <t xml:space="preserve">As per report calendar</t>
  </si>
  <si>
    <t xml:space="preserve">TX</t>
  </si>
  <si>
    <t xml:space="preserve">Transaction processing</t>
  </si>
  <si>
    <t xml:space="preserve">Payment release, invoice booking, journal entries</t>
  </si>
  <si>
    <t xml:space="preserve">DC</t>
  </si>
  <si>
    <t xml:space="preserve">Document drafting / review</t>
  </si>
  <si>
    <t xml:space="preserve">Agreements, Board notes, letters, job descriptions</t>
  </si>
  <si>
    <t xml:space="preserve">CO</t>
  </si>
  <si>
    <t xml:space="preserve">Statutory compliance / filing</t>
  </si>
  <si>
    <t xml:space="preserve">GST, TDS, PF, ESI, ROC returns</t>
  </si>
  <si>
    <t xml:space="preserve">Before statutory due date</t>
  </si>
  <si>
    <t xml:space="preserve">AU</t>
  </si>
  <si>
    <t xml:space="preserve">Audit query / observation closure</t>
  </si>
  <si>
    <t xml:space="preserve">Internal or statutory audit queries</t>
  </si>
  <si>
    <t xml:space="preserve">7 working days</t>
  </si>
  <si>
    <t xml:space="preserve">IS</t>
  </si>
  <si>
    <t xml:space="preserve">Issue / complaint resolution</t>
  </si>
  <si>
    <t xml:space="preserve">Customer complaint, breakdown, system issue</t>
  </si>
  <si>
    <t xml:space="preserve">FU</t>
  </si>
  <si>
    <t xml:space="preserve">Follow-up / coordination</t>
  </si>
  <si>
    <t xml:space="preserve">Chasing documents, vendor or bank follow-up</t>
  </si>
  <si>
    <t xml:space="preserve">PI</t>
  </si>
  <si>
    <t xml:space="preserve">Process improvement / project</t>
  </si>
  <si>
    <t xml:space="preserve">Automation, SOP revision, capex project</t>
  </si>
  <si>
    <t xml:space="preserve">As agreed</t>
  </si>
  <si>
    <t xml:space="preserve">OT</t>
  </si>
  <si>
    <t xml:space="preserve">Other</t>
  </si>
  <si>
    <t xml:space="preserve">Anything not covered above (description mandatory)</t>
  </si>
  <si>
    <t xml:space="preserve">Task = work to be done, reviewed by a senior. Request = asks for data, confirmation or approval; the requester confirms closure. Turnaround values (yellow) are proposals pending management approval. Admin may add department-wise sub-categories.</t>
  </si>
  <si>
    <t xml:space="preserve">Emp Code</t>
  </si>
  <si>
    <t xml:space="preserve">Employee Name</t>
  </si>
  <si>
    <t xml:space="preserve">Section</t>
  </si>
  <si>
    <t xml:space="preserve">Plant</t>
  </si>
  <si>
    <t xml:space="preserve">Reports To (Emp Code)</t>
  </si>
  <si>
    <t xml:space="preserve">Reports To Name</t>
  </si>
  <si>
    <t xml:space="preserve">Email</t>
  </si>
  <si>
    <t xml:space="preserve">System Roles</t>
  </si>
  <si>
    <t xml:space="preserve">Status</t>
  </si>
  <si>
    <t xml:space="preserve">Arjun Raman</t>
  </si>
  <si>
    <t xml:space="preserve">Chief Executive Officer</t>
  </si>
  <si>
    <t xml:space="preserve">HO</t>
  </si>
  <si>
    <t xml:space="preserve">arjun.raman@samplemfg.example</t>
  </si>
  <si>
    <t xml:space="preserve">Employee; Reviewer; Management Viewer</t>
  </si>
  <si>
    <t xml:space="preserve">Active</t>
  </si>
  <si>
    <t xml:space="preserve">E102</t>
  </si>
  <si>
    <t xml:space="preserve">Priya Rao</t>
  </si>
  <si>
    <t xml:space="preserve">Assistant Manager – MIS (DTRS Administrator)</t>
  </si>
  <si>
    <t xml:space="preserve">priya.rao@samplemfg.example</t>
  </si>
  <si>
    <t xml:space="preserve">Employee; Functional Admin</t>
  </si>
  <si>
    <t xml:space="preserve">E103</t>
  </si>
  <si>
    <t xml:space="preserve">Karthik Varma</t>
  </si>
  <si>
    <t xml:space="preserve">Executive Assistant to CEO</t>
  </si>
  <si>
    <t xml:space="preserve">karthik.varma@samplemfg.example</t>
  </si>
  <si>
    <t xml:space="preserve">Employee</t>
  </si>
  <si>
    <t xml:space="preserve">Divya Iyer</t>
  </si>
  <si>
    <t xml:space="preserve">Head – Finance &amp; Legal</t>
  </si>
  <si>
    <t xml:space="preserve">divya.iyer@samplemfg.example</t>
  </si>
  <si>
    <t xml:space="preserve">Employee; Reviewer; HOD; Management Viewer</t>
  </si>
  <si>
    <t xml:space="preserve">E105</t>
  </si>
  <si>
    <t xml:space="preserve">Suresh Shetty</t>
  </si>
  <si>
    <t xml:space="preserve">Deputy Manager – Accounts</t>
  </si>
  <si>
    <t xml:space="preserve">Accounts</t>
  </si>
  <si>
    <t xml:space="preserve">suresh.shetty@samplemfg.example</t>
  </si>
  <si>
    <t xml:space="preserve">Employee; Reviewer</t>
  </si>
  <si>
    <t xml:space="preserve">E106</t>
  </si>
  <si>
    <t xml:space="preserve">Lakshmi Chandran</t>
  </si>
  <si>
    <t xml:space="preserve">Assistant Manager – Accounts</t>
  </si>
  <si>
    <t xml:space="preserve">lakshmi.chandran@samplemfg.example</t>
  </si>
  <si>
    <t xml:space="preserve">E107</t>
  </si>
  <si>
    <t xml:space="preserve">Rahul Natarajan</t>
  </si>
  <si>
    <t xml:space="preserve">Senior Executive – Accounts</t>
  </si>
  <si>
    <t xml:space="preserve">rahul.natarajan@samplemfg.example</t>
  </si>
  <si>
    <t xml:space="preserve">E108</t>
  </si>
  <si>
    <t xml:space="preserve">Meena Reddy</t>
  </si>
  <si>
    <t xml:space="preserve">Executive – Accounts</t>
  </si>
  <si>
    <t xml:space="preserve">meena.reddy@samplemfg.example</t>
  </si>
  <si>
    <t xml:space="preserve">E109</t>
  </si>
  <si>
    <t xml:space="preserve">Vignesh Murugan</t>
  </si>
  <si>
    <t xml:space="preserve">Plant-1</t>
  </si>
  <si>
    <t xml:space="preserve">vignesh.murugan@samplemfg.example</t>
  </si>
  <si>
    <t xml:space="preserve">E110</t>
  </si>
  <si>
    <t xml:space="preserve">Anitha Krishnan</t>
  </si>
  <si>
    <t xml:space="preserve">Assistant Manager – Taxation</t>
  </si>
  <si>
    <t xml:space="preserve">Taxation</t>
  </si>
  <si>
    <t xml:space="preserve">anitha.krishnan@samplemfg.example</t>
  </si>
  <si>
    <t xml:space="preserve">E111</t>
  </si>
  <si>
    <t xml:space="preserve">Ramesh Nair</t>
  </si>
  <si>
    <t xml:space="preserve">Senior Executive – Taxation</t>
  </si>
  <si>
    <t xml:space="preserve">ramesh.nair@samplemfg.example</t>
  </si>
  <si>
    <t xml:space="preserve">E112</t>
  </si>
  <si>
    <t xml:space="preserve">Kavya Sekar</t>
  </si>
  <si>
    <t xml:space="preserve">Executive – Taxation</t>
  </si>
  <si>
    <t xml:space="preserve">kavya.sekar@samplemfg.example</t>
  </si>
  <si>
    <t xml:space="preserve">E113</t>
  </si>
  <si>
    <t xml:space="preserve">Prakash Subramani</t>
  </si>
  <si>
    <t xml:space="preserve">Deputy Manager – Treasury &amp; Finance</t>
  </si>
  <si>
    <t xml:space="preserve">Treasury &amp; Finance</t>
  </si>
  <si>
    <t xml:space="preserve">prakash.subramani@samplemfg.example</t>
  </si>
  <si>
    <t xml:space="preserve">E114</t>
  </si>
  <si>
    <t xml:space="preserve">Deepa Sharma</t>
  </si>
  <si>
    <t xml:space="preserve">Senior Executive – Treasury</t>
  </si>
  <si>
    <t xml:space="preserve">deepa.sharma@samplemfg.example</t>
  </si>
  <si>
    <t xml:space="preserve">E115</t>
  </si>
  <si>
    <t xml:space="preserve">Sanjay Balan</t>
  </si>
  <si>
    <t xml:space="preserve">Executive – Treasury</t>
  </si>
  <si>
    <t xml:space="preserve">sanjay.balan@samplemfg.example</t>
  </si>
  <si>
    <t xml:space="preserve">Revathi Pillai</t>
  </si>
  <si>
    <t xml:space="preserve">Head – HR &amp; Admin</t>
  </si>
  <si>
    <t xml:space="preserve">revathi.pillai@samplemfg.example</t>
  </si>
  <si>
    <t xml:space="preserve">Employee; Reviewer; HOD</t>
  </si>
  <si>
    <t xml:space="preserve">E117</t>
  </si>
  <si>
    <t xml:space="preserve">Ganesh Joseph</t>
  </si>
  <si>
    <t xml:space="preserve">Deputy Manager – HR</t>
  </si>
  <si>
    <t xml:space="preserve">HR</t>
  </si>
  <si>
    <t xml:space="preserve">ganesh.joseph@samplemfg.example</t>
  </si>
  <si>
    <t xml:space="preserve">E118</t>
  </si>
  <si>
    <t xml:space="preserve">Nithya Das</t>
  </si>
  <si>
    <t xml:space="preserve">Assistant Manager – HR</t>
  </si>
  <si>
    <t xml:space="preserve">nithya.das@samplemfg.example</t>
  </si>
  <si>
    <t xml:space="preserve">E119</t>
  </si>
  <si>
    <t xml:space="preserve">Ashok Menon</t>
  </si>
  <si>
    <t xml:space="preserve">Senior Executive – HR</t>
  </si>
  <si>
    <t xml:space="preserve">ashok.menon@samplemfg.example</t>
  </si>
  <si>
    <t xml:space="preserve">E120</t>
  </si>
  <si>
    <t xml:space="preserve">Swathi Thomas</t>
  </si>
  <si>
    <t xml:space="preserve">Executive – HR</t>
  </si>
  <si>
    <t xml:space="preserve">Plant-2</t>
  </si>
  <si>
    <t xml:space="preserve">swathi.thomas@samplemfg.example</t>
  </si>
  <si>
    <t xml:space="preserve">E121</t>
  </si>
  <si>
    <t xml:space="preserve">Manoj Raman</t>
  </si>
  <si>
    <t xml:space="preserve">Assistant Manager – Admin</t>
  </si>
  <si>
    <t xml:space="preserve">Admin</t>
  </si>
  <si>
    <t xml:space="preserve">manoj.raman@samplemfg.example</t>
  </si>
  <si>
    <t xml:space="preserve">E122</t>
  </si>
  <si>
    <t xml:space="preserve">Pooja Rao</t>
  </si>
  <si>
    <t xml:space="preserve">Executive – Admin</t>
  </si>
  <si>
    <t xml:space="preserve">pooja.rao@samplemfg.example</t>
  </si>
  <si>
    <t xml:space="preserve">Senthil Varma</t>
  </si>
  <si>
    <t xml:space="preserve">Head – Purchase</t>
  </si>
  <si>
    <t xml:space="preserve">senthil.varma@samplemfg.example</t>
  </si>
  <si>
    <t xml:space="preserve">E124</t>
  </si>
  <si>
    <t xml:space="preserve">Harini Iyer</t>
  </si>
  <si>
    <t xml:space="preserve">Assistant Manager – Purchase</t>
  </si>
  <si>
    <t xml:space="preserve">harini.iyer@samplemfg.example</t>
  </si>
  <si>
    <t xml:space="preserve">E125</t>
  </si>
  <si>
    <t xml:space="preserve">Vinod Shetty</t>
  </si>
  <si>
    <t xml:space="preserve">Senior Executive – Purchase</t>
  </si>
  <si>
    <t xml:space="preserve">vinod.shetty@samplemfg.example</t>
  </si>
  <si>
    <t xml:space="preserve">E126</t>
  </si>
  <si>
    <t xml:space="preserve">Sowmya Chandran</t>
  </si>
  <si>
    <t xml:space="preserve">sowmya.chandran@samplemfg.example</t>
  </si>
  <si>
    <t xml:space="preserve">E127</t>
  </si>
  <si>
    <t xml:space="preserve">Balaji Natarajan</t>
  </si>
  <si>
    <t xml:space="preserve">Executive – Purchase</t>
  </si>
  <si>
    <t xml:space="preserve">balaji.natarajan@samplemfg.example</t>
  </si>
  <si>
    <t xml:space="preserve">E128</t>
  </si>
  <si>
    <t xml:space="preserve">Janani Reddy</t>
  </si>
  <si>
    <t xml:space="preserve">janani.reddy@samplemfg.example</t>
  </si>
  <si>
    <t xml:space="preserve">Dinesh Murugan</t>
  </si>
  <si>
    <t xml:space="preserve">Manager – Stores (HOD)</t>
  </si>
  <si>
    <t xml:space="preserve">dinesh.murugan@samplemfg.example</t>
  </si>
  <si>
    <t xml:space="preserve">E130</t>
  </si>
  <si>
    <t xml:space="preserve">Keerthana Krishnan</t>
  </si>
  <si>
    <t xml:space="preserve">Senior Executive – Stores</t>
  </si>
  <si>
    <t xml:space="preserve">keerthana.krishnan@samplemfg.example</t>
  </si>
  <si>
    <t xml:space="preserve">E131</t>
  </si>
  <si>
    <t xml:space="preserve">Mohan Nair</t>
  </si>
  <si>
    <t xml:space="preserve">mohan.nair@samplemfg.example</t>
  </si>
  <si>
    <t xml:space="preserve">E132</t>
  </si>
  <si>
    <t xml:space="preserve">Sangeetha Sekar</t>
  </si>
  <si>
    <t xml:space="preserve">Executive – Stores</t>
  </si>
  <si>
    <t xml:space="preserve">sangeetha.sekar@samplemfg.example</t>
  </si>
  <si>
    <t xml:space="preserve">E133</t>
  </si>
  <si>
    <t xml:space="preserve">Rajesh Subramani</t>
  </si>
  <si>
    <t xml:space="preserve">rajesh.subramani@samplemfg.example</t>
  </si>
  <si>
    <t xml:space="preserve">E134</t>
  </si>
  <si>
    <t xml:space="preserve">Bhavani Sharma</t>
  </si>
  <si>
    <t xml:space="preserve">bhavani.sharma@samplemfg.example</t>
  </si>
  <si>
    <t xml:space="preserve">Naveen Balan</t>
  </si>
  <si>
    <t xml:space="preserve">Head – Logistics</t>
  </si>
  <si>
    <t xml:space="preserve">naveen.balan@samplemfg.example</t>
  </si>
  <si>
    <t xml:space="preserve">E136</t>
  </si>
  <si>
    <t xml:space="preserve">Shalini Pillai</t>
  </si>
  <si>
    <t xml:space="preserve">Assistant Manager – Logistics</t>
  </si>
  <si>
    <t xml:space="preserve">shalini.pillai@samplemfg.example</t>
  </si>
  <si>
    <t xml:space="preserve">E137</t>
  </si>
  <si>
    <t xml:space="preserve">Gopal Joseph</t>
  </si>
  <si>
    <t xml:space="preserve">Senior Executive – Logistics</t>
  </si>
  <si>
    <t xml:space="preserve">gopal.joseph@samplemfg.example</t>
  </si>
  <si>
    <t xml:space="preserve">E138</t>
  </si>
  <si>
    <t xml:space="preserve">Aishwarya Das</t>
  </si>
  <si>
    <t xml:space="preserve">Executive – Logistics</t>
  </si>
  <si>
    <t xml:space="preserve">aishwarya.das@samplemfg.example</t>
  </si>
  <si>
    <t xml:space="preserve">E139</t>
  </si>
  <si>
    <t xml:space="preserve">Hari Menon</t>
  </si>
  <si>
    <t xml:space="preserve">hari.menon@samplemfg.example</t>
  </si>
  <si>
    <t xml:space="preserve">Ramya Thomas</t>
  </si>
  <si>
    <t xml:space="preserve">Head – Production</t>
  </si>
  <si>
    <t xml:space="preserve">ramya.thomas@samplemfg.example</t>
  </si>
  <si>
    <t xml:space="preserve">E141</t>
  </si>
  <si>
    <t xml:space="preserve">Vijay Raman</t>
  </si>
  <si>
    <t xml:space="preserve">Deputy Manager – Production (Plant 1)</t>
  </si>
  <si>
    <t xml:space="preserve">Plant 1</t>
  </si>
  <si>
    <t xml:space="preserve">vijay.raman@samplemfg.example</t>
  </si>
  <si>
    <t xml:space="preserve">E142</t>
  </si>
  <si>
    <t xml:space="preserve">Gayathri Rao</t>
  </si>
  <si>
    <t xml:space="preserve">Assistant Manager – Production (Plant 1)</t>
  </si>
  <si>
    <t xml:space="preserve">gayathri.rao@samplemfg.example</t>
  </si>
  <si>
    <t xml:space="preserve">E143</t>
  </si>
  <si>
    <t xml:space="preserve">Kumar Varma</t>
  </si>
  <si>
    <t xml:space="preserve">Senior Executive – Production (Shift A)</t>
  </si>
  <si>
    <t xml:space="preserve">kumar.varma@samplemfg.example</t>
  </si>
  <si>
    <t xml:space="preserve">E144</t>
  </si>
  <si>
    <t xml:space="preserve">Nandhini Iyer</t>
  </si>
  <si>
    <t xml:space="preserve">Senior Executive – Production (Shift B)</t>
  </si>
  <si>
    <t xml:space="preserve">nandhini.iyer@samplemfg.example</t>
  </si>
  <si>
    <t xml:space="preserve">E145</t>
  </si>
  <si>
    <t xml:space="preserve">Sathish Shetty</t>
  </si>
  <si>
    <t xml:space="preserve">Executive – Production</t>
  </si>
  <si>
    <t xml:space="preserve">sathish.shetty@samplemfg.example</t>
  </si>
  <si>
    <t xml:space="preserve">E146</t>
  </si>
  <si>
    <t xml:space="preserve">Preethi Chandran</t>
  </si>
  <si>
    <t xml:space="preserve">preethi.chandran@samplemfg.example</t>
  </si>
  <si>
    <t xml:space="preserve">E147</t>
  </si>
  <si>
    <t xml:space="preserve">Arun Natarajan</t>
  </si>
  <si>
    <t xml:space="preserve">arun.natarajan@samplemfg.example</t>
  </si>
  <si>
    <t xml:space="preserve">E148</t>
  </si>
  <si>
    <t xml:space="preserve">Mythili Reddy</t>
  </si>
  <si>
    <t xml:space="preserve">mythili.reddy@samplemfg.example</t>
  </si>
  <si>
    <t xml:space="preserve">E149</t>
  </si>
  <si>
    <t xml:space="preserve">Siva Murugan</t>
  </si>
  <si>
    <t xml:space="preserve">Deputy Manager – Production (Plant 2)</t>
  </si>
  <si>
    <t xml:space="preserve">Plant 2</t>
  </si>
  <si>
    <t xml:space="preserve">siva.murugan@samplemfg.example</t>
  </si>
  <si>
    <t xml:space="preserve">E150</t>
  </si>
  <si>
    <t xml:space="preserve">Varsha Krishnan</t>
  </si>
  <si>
    <t xml:space="preserve">Assistant Manager – Production (Plant 2)</t>
  </si>
  <si>
    <t xml:space="preserve">varsha.krishnan@samplemfg.example</t>
  </si>
  <si>
    <t xml:space="preserve">E151</t>
  </si>
  <si>
    <t xml:space="preserve">Arjun Thomas</t>
  </si>
  <si>
    <t xml:space="preserve">arjun.thomas@samplemfg.example</t>
  </si>
  <si>
    <t xml:space="preserve">E152</t>
  </si>
  <si>
    <t xml:space="preserve">Priya Raman</t>
  </si>
  <si>
    <t xml:space="preserve">priya.raman@samplemfg.example</t>
  </si>
  <si>
    <t xml:space="preserve">E153</t>
  </si>
  <si>
    <t xml:space="preserve">Karthik Rao</t>
  </si>
  <si>
    <t xml:space="preserve">karthik.rao@samplemfg.example</t>
  </si>
  <si>
    <t xml:space="preserve">E154</t>
  </si>
  <si>
    <t xml:space="preserve">Divya Varma</t>
  </si>
  <si>
    <t xml:space="preserve">divya.varma@samplemfg.example</t>
  </si>
  <si>
    <t xml:space="preserve">E155</t>
  </si>
  <si>
    <t xml:space="preserve">Suresh Iyer</t>
  </si>
  <si>
    <t xml:space="preserve">suresh.iyer@samplemfg.example</t>
  </si>
  <si>
    <t xml:space="preserve">Lakshmi Shetty</t>
  </si>
  <si>
    <t xml:space="preserve">Head – Quality</t>
  </si>
  <si>
    <t xml:space="preserve">lakshmi.shetty@samplemfg.example</t>
  </si>
  <si>
    <t xml:space="preserve">E157</t>
  </si>
  <si>
    <t xml:space="preserve">Rahul Chandran</t>
  </si>
  <si>
    <t xml:space="preserve">Deputy Manager – Quality</t>
  </si>
  <si>
    <t xml:space="preserve">rahul.chandran@samplemfg.example</t>
  </si>
  <si>
    <t xml:space="preserve">E158</t>
  </si>
  <si>
    <t xml:space="preserve">Meena Natarajan</t>
  </si>
  <si>
    <t xml:space="preserve">Assistant Manager – Quality</t>
  </si>
  <si>
    <t xml:space="preserve">meena.natarajan@samplemfg.example</t>
  </si>
  <si>
    <t xml:space="preserve">E159</t>
  </si>
  <si>
    <t xml:space="preserve">Vignesh Reddy</t>
  </si>
  <si>
    <t xml:space="preserve">Senior Executive – QC</t>
  </si>
  <si>
    <t xml:space="preserve">vignesh.reddy@samplemfg.example</t>
  </si>
  <si>
    <t xml:space="preserve">E160</t>
  </si>
  <si>
    <t xml:space="preserve">Anitha Murugan</t>
  </si>
  <si>
    <t xml:space="preserve">Senior Executive – QA</t>
  </si>
  <si>
    <t xml:space="preserve">anitha.murugan@samplemfg.example</t>
  </si>
  <si>
    <t xml:space="preserve">E161</t>
  </si>
  <si>
    <t xml:space="preserve">Ramesh Krishnan</t>
  </si>
  <si>
    <t xml:space="preserve">Executive – QC Lab</t>
  </si>
  <si>
    <t xml:space="preserve">ramesh.krishnan@samplemfg.example</t>
  </si>
  <si>
    <t xml:space="preserve">E162</t>
  </si>
  <si>
    <t xml:space="preserve">Kavya Nair</t>
  </si>
  <si>
    <t xml:space="preserve">kavya.nair@samplemfg.example</t>
  </si>
  <si>
    <t xml:space="preserve">E163</t>
  </si>
  <si>
    <t xml:space="preserve">Prakash Sekar</t>
  </si>
  <si>
    <t xml:space="preserve">Executive – QA</t>
  </si>
  <si>
    <t xml:space="preserve">prakash.sekar@samplemfg.example</t>
  </si>
  <si>
    <t xml:space="preserve">Deepa Subramani</t>
  </si>
  <si>
    <t xml:space="preserve">Head – Maintenance</t>
  </si>
  <si>
    <t xml:space="preserve">deepa.subramani@samplemfg.example</t>
  </si>
  <si>
    <t xml:space="preserve">E165</t>
  </si>
  <si>
    <t xml:space="preserve">Sanjay Sharma</t>
  </si>
  <si>
    <t xml:space="preserve">Deputy Manager – Maintenance</t>
  </si>
  <si>
    <t xml:space="preserve">sanjay.sharma@samplemfg.example</t>
  </si>
  <si>
    <t xml:space="preserve">E166</t>
  </si>
  <si>
    <t xml:space="preserve">Revathi Balan</t>
  </si>
  <si>
    <t xml:space="preserve">Assistant Manager – Mechanical</t>
  </si>
  <si>
    <t xml:space="preserve">Mechanical</t>
  </si>
  <si>
    <t xml:space="preserve">revathi.balan@samplemfg.example</t>
  </si>
  <si>
    <t xml:space="preserve">E167</t>
  </si>
  <si>
    <t xml:space="preserve">Ganesh Pillai</t>
  </si>
  <si>
    <t xml:space="preserve">Assistant Manager – Electrical</t>
  </si>
  <si>
    <t xml:space="preserve">Electrical</t>
  </si>
  <si>
    <t xml:space="preserve">ganesh.pillai@samplemfg.example</t>
  </si>
  <si>
    <t xml:space="preserve">E168</t>
  </si>
  <si>
    <t xml:space="preserve">Nithya Joseph</t>
  </si>
  <si>
    <t xml:space="preserve">Senior Executive – Mechanical</t>
  </si>
  <si>
    <t xml:space="preserve">nithya.joseph@samplemfg.example</t>
  </si>
  <si>
    <t xml:space="preserve">E169</t>
  </si>
  <si>
    <t xml:space="preserve">Ashok Das</t>
  </si>
  <si>
    <t xml:space="preserve">Senior Executive – Electrical</t>
  </si>
  <si>
    <t xml:space="preserve">ashok.das@samplemfg.example</t>
  </si>
  <si>
    <t xml:space="preserve">E170</t>
  </si>
  <si>
    <t xml:space="preserve">Swathi Menon</t>
  </si>
  <si>
    <t xml:space="preserve">Executive – Mechanical</t>
  </si>
  <si>
    <t xml:space="preserve">swathi.menon@samplemfg.example</t>
  </si>
  <si>
    <t xml:space="preserve">E171</t>
  </si>
  <si>
    <t xml:space="preserve">Manoj Thomas</t>
  </si>
  <si>
    <t xml:space="preserve">manoj.thomas@samplemfg.example</t>
  </si>
  <si>
    <t xml:space="preserve">E172</t>
  </si>
  <si>
    <t xml:space="preserve">Pooja Raman</t>
  </si>
  <si>
    <t xml:space="preserve">Executive – Electrical</t>
  </si>
  <si>
    <t xml:space="preserve">pooja.raman@samplemfg.example</t>
  </si>
  <si>
    <t xml:space="preserve">Senthil Rao</t>
  </si>
  <si>
    <t xml:space="preserve">Head – Sales &amp; Marketing</t>
  </si>
  <si>
    <t xml:space="preserve">senthil.rao@samplemfg.example</t>
  </si>
  <si>
    <t xml:space="preserve">E174</t>
  </si>
  <si>
    <t xml:space="preserve">Harini Varma</t>
  </si>
  <si>
    <t xml:space="preserve">Deputy Manager – Sales</t>
  </si>
  <si>
    <t xml:space="preserve">harini.varma@samplemfg.example</t>
  </si>
  <si>
    <t xml:space="preserve">E175</t>
  </si>
  <si>
    <t xml:space="preserve">Vinod Iyer</t>
  </si>
  <si>
    <t xml:space="preserve">Assistant Manager – Sales (South)</t>
  </si>
  <si>
    <t xml:space="preserve">South</t>
  </si>
  <si>
    <t xml:space="preserve">vinod.iyer@samplemfg.example</t>
  </si>
  <si>
    <t xml:space="preserve">E176</t>
  </si>
  <si>
    <t xml:space="preserve">Sowmya Shetty</t>
  </si>
  <si>
    <t xml:space="preserve">Assistant Manager – Sales (North)</t>
  </si>
  <si>
    <t xml:space="preserve">North</t>
  </si>
  <si>
    <t xml:space="preserve">sowmya.shetty@samplemfg.example</t>
  </si>
  <si>
    <t xml:space="preserve">E177</t>
  </si>
  <si>
    <t xml:space="preserve">Balaji Chandran</t>
  </si>
  <si>
    <t xml:space="preserve">Senior Executive – Sales (South)</t>
  </si>
  <si>
    <t xml:space="preserve">balaji.chandran@samplemfg.example</t>
  </si>
  <si>
    <t xml:space="preserve">E178</t>
  </si>
  <si>
    <t xml:space="preserve">Janani Natarajan</t>
  </si>
  <si>
    <t xml:space="preserve">Senior Executive – Sales (North)</t>
  </si>
  <si>
    <t xml:space="preserve">janani.natarajan@samplemfg.example</t>
  </si>
  <si>
    <t xml:space="preserve">E179</t>
  </si>
  <si>
    <t xml:space="preserve">Dinesh Reddy</t>
  </si>
  <si>
    <t xml:space="preserve">Executive – Sales (South)</t>
  </si>
  <si>
    <t xml:space="preserve">dinesh.reddy@samplemfg.example</t>
  </si>
  <si>
    <t xml:space="preserve">E180</t>
  </si>
  <si>
    <t xml:space="preserve">Keerthana Murugan</t>
  </si>
  <si>
    <t xml:space="preserve">keerthana.murugan@samplemfg.example</t>
  </si>
  <si>
    <t xml:space="preserve">E181</t>
  </si>
  <si>
    <t xml:space="preserve">Mohan Krishnan</t>
  </si>
  <si>
    <t xml:space="preserve">Executive – Sales (North)</t>
  </si>
  <si>
    <t xml:space="preserve">mohan.krishnan@samplemfg.example</t>
  </si>
  <si>
    <t xml:space="preserve">E182</t>
  </si>
  <si>
    <t xml:space="preserve">Sangeetha Nair</t>
  </si>
  <si>
    <t xml:space="preserve">sangeetha.nair@samplemfg.example</t>
  </si>
  <si>
    <t xml:space="preserve">Rajesh Sekar</t>
  </si>
  <si>
    <t xml:space="preserve">Head – Projects &amp; Engineering</t>
  </si>
  <si>
    <t xml:space="preserve">rajesh.sekar@samplemfg.example</t>
  </si>
  <si>
    <t xml:space="preserve">E184</t>
  </si>
  <si>
    <t xml:space="preserve">Bhavani Subramani</t>
  </si>
  <si>
    <t xml:space="preserve">Assistant Manager – Projects</t>
  </si>
  <si>
    <t xml:space="preserve">bhavani.subramani@samplemfg.example</t>
  </si>
  <si>
    <t xml:space="preserve">E185</t>
  </si>
  <si>
    <t xml:space="preserve">Naveen Sharma</t>
  </si>
  <si>
    <t xml:space="preserve">Senior Executive – Projects</t>
  </si>
  <si>
    <t xml:space="preserve">naveen.sharma@samplemfg.example</t>
  </si>
  <si>
    <t xml:space="preserve">E186</t>
  </si>
  <si>
    <t xml:space="preserve">Shalini Balan</t>
  </si>
  <si>
    <t xml:space="preserve">Executive – Projects (Civil)</t>
  </si>
  <si>
    <t xml:space="preserve">shalini.balan@samplemfg.example</t>
  </si>
  <si>
    <t xml:space="preserve">E187</t>
  </si>
  <si>
    <t xml:space="preserve">Gopal Pillai</t>
  </si>
  <si>
    <t xml:space="preserve">Executive – Projects (Mechanical)</t>
  </si>
  <si>
    <t xml:space="preserve">gopal.pillai@samplemfg.example</t>
  </si>
  <si>
    <t xml:space="preserve">Aishwarya Joseph</t>
  </si>
  <si>
    <t xml:space="preserve">Manager – IT (HOD)</t>
  </si>
  <si>
    <t xml:space="preserve">aishwarya.joseph@samplemfg.example</t>
  </si>
  <si>
    <t xml:space="preserve">Employee; Reviewer; HOD; IT Admin</t>
  </si>
  <si>
    <t xml:space="preserve">E189</t>
  </si>
  <si>
    <t xml:space="preserve">Hari Das</t>
  </si>
  <si>
    <t xml:space="preserve">Senior Executive – IT</t>
  </si>
  <si>
    <t xml:space="preserve">hari.das@samplemfg.example</t>
  </si>
  <si>
    <t xml:space="preserve">Employee; Reviewer; IT Admin</t>
  </si>
  <si>
    <t xml:space="preserve">E190</t>
  </si>
  <si>
    <t xml:space="preserve">Ramya Menon</t>
  </si>
  <si>
    <t xml:space="preserve">Executive – IT Support</t>
  </si>
  <si>
    <t xml:space="preserve">ramya.menon@samplemfg.example</t>
  </si>
  <si>
    <t xml:space="preserve">Vijay Thomas</t>
  </si>
  <si>
    <t xml:space="preserve">Company Secretary (HOD)</t>
  </si>
  <si>
    <t xml:space="preserve">vijay.thomas@samplemfg.example</t>
  </si>
  <si>
    <t xml:space="preserve">E192</t>
  </si>
  <si>
    <t xml:space="preserve">Gayathri Raman</t>
  </si>
  <si>
    <t xml:space="preserve">Assistant Manager – Legal</t>
  </si>
  <si>
    <t xml:space="preserve">gayathri.raman@samplemfg.example</t>
  </si>
  <si>
    <t xml:space="preserve">E193</t>
  </si>
  <si>
    <t xml:space="preserve">Kumar Rao</t>
  </si>
  <si>
    <t xml:space="preserve">Executive – Secretarial</t>
  </si>
  <si>
    <t xml:space="preserve">kumar.rao@samplemfg.example</t>
  </si>
  <si>
    <t xml:space="preserve">Nandhini Varma</t>
  </si>
  <si>
    <t xml:space="preserve">Head – EHS</t>
  </si>
  <si>
    <t xml:space="preserve">nandhini.varma@samplemfg.example</t>
  </si>
  <si>
    <t xml:space="preserve">E195</t>
  </si>
  <si>
    <t xml:space="preserve">Sathish Iyer</t>
  </si>
  <si>
    <t xml:space="preserve">Senior Executive – Safety</t>
  </si>
  <si>
    <t xml:space="preserve">sathish.iyer@samplemfg.example</t>
  </si>
  <si>
    <t xml:space="preserve">E196</t>
  </si>
  <si>
    <t xml:space="preserve">Preethi Shetty</t>
  </si>
  <si>
    <t xml:space="preserve">Executive – Safety</t>
  </si>
  <si>
    <t xml:space="preserve">preethi.shetty@samplemfg.example</t>
  </si>
  <si>
    <t xml:space="preserve">E197</t>
  </si>
  <si>
    <t xml:space="preserve">Arun Chandran</t>
  </si>
  <si>
    <t xml:space="preserve">Executive – Environment</t>
  </si>
  <si>
    <t xml:space="preserve">arun.chandran@samplemfg.example</t>
  </si>
  <si>
    <t xml:space="preserve">Mythili Natarajan</t>
  </si>
  <si>
    <t xml:space="preserve">Head – Internal Audit</t>
  </si>
  <si>
    <t xml:space="preserve">mythili.natarajan@samplemfg.example</t>
  </si>
  <si>
    <t xml:space="preserve">Employee; Reviewer; HOD; Auditor (read-only)</t>
  </si>
  <si>
    <t xml:space="preserve">E199</t>
  </si>
  <si>
    <t xml:space="preserve">Siva Reddy</t>
  </si>
  <si>
    <t xml:space="preserve">Senior Executive – Internal Audit</t>
  </si>
  <si>
    <t xml:space="preserve">siva.reddy@samplemfg.example</t>
  </si>
  <si>
    <t xml:space="preserve">E200</t>
  </si>
  <si>
    <t xml:space="preserve">Varsha Murugan</t>
  </si>
  <si>
    <t xml:space="preserve">Executive – Internal Audit</t>
  </si>
  <si>
    <t xml:space="preserve">varsha.murugan@samplemfg.example</t>
  </si>
  <si>
    <t xml:space="preserve">Capability</t>
  </si>
  <si>
    <t xml:space="preserve">Reviewer</t>
  </si>
  <si>
    <t xml:space="preserve">HOD</t>
  </si>
  <si>
    <t xml:space="preserve">Mgmt Viewer</t>
  </si>
  <si>
    <t xml:space="preserve">Functional Admin</t>
  </si>
  <si>
    <t xml:space="preserve">IT Admin</t>
  </si>
  <si>
    <t xml:space="preserve">Auditor</t>
  </si>
  <si>
    <t xml:space="preserve">View own tasks</t>
  </si>
  <si>
    <t xml:space="preserve">Y</t>
  </si>
  <si>
    <t xml:space="preserve">View reportees' tasks (whole sub-tree)</t>
  </si>
  <si>
    <t xml:space="preserve">–</t>
  </si>
  <si>
    <t xml:space="preserve">Own sub-tree</t>
  </si>
  <si>
    <t xml:space="preserve">Own dept</t>
  </si>
  <si>
    <t xml:space="preserve">All</t>
  </si>
  <si>
    <t xml:space="preserve">All (read)</t>
  </si>
  <si>
    <t xml:space="preserve">Create and assign tasks / requests</t>
  </si>
  <si>
    <t xml:space="preserve">To self; to a peer or one level up (same dept)</t>
  </si>
  <si>
    <t xml:space="preserve">To sub-tree; to a peer or one level up (same dept)</t>
  </si>
  <si>
    <t xml:space="preserve">Within dept</t>
  </si>
  <si>
    <t xml:space="preserve">To HODs</t>
  </si>
  <si>
    <t xml:space="preserve">Review / return / close a junior's task</t>
  </si>
  <si>
    <t xml:space="preserve">Direct reportees</t>
  </si>
  <si>
    <t xml:space="preserve">Dept</t>
  </si>
  <si>
    <t xml:space="preserve">HOD tasks</t>
  </si>
  <si>
    <t xml:space="preserve">Approve due-date extension</t>
  </si>
  <si>
    <t xml:space="preserve">Raise request to another department</t>
  </si>
  <si>
    <t xml:space="preserve">Accept and assign incoming request</t>
  </si>
  <si>
    <t xml:space="preserve">If SPOC</t>
  </si>
  <si>
    <t xml:space="preserve">Department dashboard and scorecard</t>
  </si>
  <si>
    <t xml:space="preserve">Own team</t>
  </si>
  <si>
    <t xml:space="preserve">All depts</t>
  </si>
  <si>
    <t xml:space="preserve">HOD monthly self-review</t>
  </si>
  <si>
    <t xml:space="preserve">Vouch / sign off scorecard</t>
  </si>
  <si>
    <t xml:space="preserve">Maintain masters, hierarchy, rules, templates</t>
  </si>
  <si>
    <t xml:space="preserve">Approves key changes</t>
  </si>
  <si>
    <t xml:space="preserve">Y (maker)</t>
  </si>
  <si>
    <t xml:space="preserve">Create / deactivate / unlock logins</t>
  </si>
  <si>
    <t xml:space="preserve">Backup, restore, server settings</t>
  </si>
  <si>
    <t xml:space="preserve">View audit trail</t>
  </si>
  <si>
    <t xml:space="preserve">Config changes</t>
  </si>
  <si>
    <t xml:space="preserve">Technical logs</t>
  </si>
  <si>
    <t xml:space="preserve">Template ID</t>
  </si>
  <si>
    <t xml:space="preserve">Frequency</t>
  </si>
  <si>
    <t xml:space="preserve">Due Rule</t>
  </si>
  <si>
    <t xml:space="preserve">Due Parameter</t>
  </si>
  <si>
    <t xml:space="preserve">Doer (Emp Code)</t>
  </si>
  <si>
    <t xml:space="preserve">Reviewer (Emp Code)</t>
  </si>
  <si>
    <t xml:space="preserve">Priority</t>
  </si>
  <si>
    <t xml:space="preserve">Evidence Required</t>
  </si>
  <si>
    <t xml:space="preserve">RT-01</t>
  </si>
  <si>
    <t xml:space="preserve">Monthly P&amp;L and Balance Sheet to management</t>
  </si>
  <si>
    <t xml:space="preserve">Monthly</t>
  </si>
  <si>
    <t xml:space="preserve">Nth working day</t>
  </si>
  <si>
    <t xml:space="preserve">4</t>
  </si>
  <si>
    <t xml:space="preserve">High</t>
  </si>
  <si>
    <t xml:space="preserve">RT-02</t>
  </si>
  <si>
    <t xml:space="preserve">Debtors and creditors ageing review</t>
  </si>
  <si>
    <t xml:space="preserve">Weekly</t>
  </si>
  <si>
    <t xml:space="preserve">Weekday</t>
  </si>
  <si>
    <t xml:space="preserve">Monday</t>
  </si>
  <si>
    <t xml:space="preserve">Medium</t>
  </si>
  <si>
    <t xml:space="preserve">RT-03</t>
  </si>
  <si>
    <t xml:space="preserve">Monthly GST return preparation and filing</t>
  </si>
  <si>
    <t xml:space="preserve">Fixed day</t>
  </si>
  <si>
    <t xml:space="preserve">Per current GST due date</t>
  </si>
  <si>
    <t xml:space="preserve">Critical</t>
  </si>
  <si>
    <t xml:space="preserve">RT-04</t>
  </si>
  <si>
    <t xml:space="preserve">TDS deposit for previous month</t>
  </si>
  <si>
    <t xml:space="preserve">Per current TDS due date</t>
  </si>
  <si>
    <t xml:space="preserve">RT-05</t>
  </si>
  <si>
    <t xml:space="preserve">Monthly loan status summary</t>
  </si>
  <si>
    <t xml:space="preserve">5</t>
  </si>
  <si>
    <t xml:space="preserve">RT-06</t>
  </si>
  <si>
    <t xml:space="preserve">Payroll inputs to Finance</t>
  </si>
  <si>
    <t xml:space="preserve">25</t>
  </si>
  <si>
    <t xml:space="preserve">RT-07</t>
  </si>
  <si>
    <t xml:space="preserve">PF and ESI remittance</t>
  </si>
  <si>
    <t xml:space="preserve">Per current PF/ESI due date</t>
  </si>
  <si>
    <t xml:space="preserve">RT-08</t>
  </si>
  <si>
    <t xml:space="preserve">Open PO and pending GRN review</t>
  </si>
  <si>
    <t xml:space="preserve">Fortnightly</t>
  </si>
  <si>
    <t xml:space="preserve">1 and 16</t>
  </si>
  <si>
    <t xml:space="preserve">No</t>
  </si>
  <si>
    <t xml:space="preserve">RT-09</t>
  </si>
  <si>
    <t xml:space="preserve">Non-moving inventory report</t>
  </si>
  <si>
    <t xml:space="preserve">RT-10</t>
  </si>
  <si>
    <t xml:space="preserve">Freight cost and on-time dispatch report</t>
  </si>
  <si>
    <t xml:space="preserve">3</t>
  </si>
  <si>
    <t xml:space="preserve">RT-11</t>
  </si>
  <si>
    <t xml:space="preserve">Daily production and downtime report</t>
  </si>
  <si>
    <t xml:space="preserve">Daily</t>
  </si>
  <si>
    <t xml:space="preserve">Same day</t>
  </si>
  <si>
    <t xml:space="preserve">—</t>
  </si>
  <si>
    <t xml:space="preserve">RT-12</t>
  </si>
  <si>
    <t xml:space="preserve">RT-13</t>
  </si>
  <si>
    <t xml:space="preserve">Customer complaint closure review</t>
  </si>
  <si>
    <t xml:space="preserve">Friday</t>
  </si>
  <si>
    <t xml:space="preserve">RT-14</t>
  </si>
  <si>
    <t xml:space="preserve">Preventive maintenance schedule compliance</t>
  </si>
  <si>
    <t xml:space="preserve">RT-15</t>
  </si>
  <si>
    <t xml:space="preserve">Sales vs target and collection review</t>
  </si>
  <si>
    <t xml:space="preserve">2</t>
  </si>
  <si>
    <t xml:space="preserve">RT-16</t>
  </si>
  <si>
    <t xml:space="preserve">Project progress and fund utilisation report</t>
  </si>
  <si>
    <t xml:space="preserve">Saturday</t>
  </si>
  <si>
    <t xml:space="preserve">RT-17</t>
  </si>
  <si>
    <t xml:space="preserve">Backup restore test</t>
  </si>
  <si>
    <t xml:space="preserve">Quarterly</t>
  </si>
  <si>
    <t xml:space="preserve">Offset from period end</t>
  </si>
  <si>
    <t xml:space="preserve">15 days after quarter end</t>
  </si>
  <si>
    <t xml:space="preserve">RT-18</t>
  </si>
  <si>
    <t xml:space="preserve">Statutory compliance certificate to Board</t>
  </si>
  <si>
    <t xml:space="preserve">RT-19</t>
  </si>
  <si>
    <t xml:space="preserve">Plant safety inspection</t>
  </si>
  <si>
    <t xml:space="preserve">Last working day</t>
  </si>
  <si>
    <t xml:space="preserve">RT-20</t>
  </si>
  <si>
    <t xml:space="preserve">Internal audit observations follow-up</t>
  </si>
  <si>
    <t xml:space="preserve">7</t>
  </si>
  <si>
    <t xml:space="preserve">Note: statutory due dates (GST, TDS, PF, ESI) are not hard-coded here; the Functional Admin enters them from current notifications each year.</t>
  </si>
  <si>
    <t xml:space="preserve">Task ID</t>
  </si>
  <si>
    <t xml:space="preserve">Title</t>
  </si>
  <si>
    <t xml:space="preserve">Type</t>
  </si>
  <si>
    <t xml:space="preserve">Doer Code</t>
  </si>
  <si>
    <t xml:space="preserve">Doer Name</t>
  </si>
  <si>
    <t xml:space="preserve">Reviewer Code</t>
  </si>
  <si>
    <t xml:space="preserve">Start Date</t>
  </si>
  <si>
    <t xml:space="preserve">Original Due Date</t>
  </si>
  <si>
    <t xml:space="preserve">Revised Due Date</t>
  </si>
  <si>
    <t xml:space="preserve">Completion Date</t>
  </si>
  <si>
    <t xml:space="preserve">Days Overdue</t>
  </si>
  <si>
    <t xml:space="preserve">On Time?</t>
  </si>
  <si>
    <t xml:space="preserve">Raised On</t>
  </si>
  <si>
    <t xml:space="preserve">Raised By (Emp Code)</t>
  </si>
  <si>
    <t xml:space="preserve">T-0001</t>
  </si>
  <si>
    <t xml:space="preserve">Bank reconciliation – all accounts</t>
  </si>
  <si>
    <t xml:space="preserve">Assigned</t>
  </si>
  <si>
    <t xml:space="preserve">Closed</t>
  </si>
  <si>
    <t xml:space="preserve">T-0002</t>
  </si>
  <si>
    <t xml:space="preserve">Fixed asset register update</t>
  </si>
  <si>
    <t xml:space="preserve">Low</t>
  </si>
  <si>
    <t xml:space="preserve">Returned for Rework</t>
  </si>
  <si>
    <t xml:space="preserve">T-0003</t>
  </si>
  <si>
    <t xml:space="preserve">Vendor balance confirmation follow-up</t>
  </si>
  <si>
    <t xml:space="preserve">Accepted</t>
  </si>
  <si>
    <t xml:space="preserve">T-0004</t>
  </si>
  <si>
    <t xml:space="preserve">Revise payment document cycle to 2 days a week</t>
  </si>
  <si>
    <t xml:space="preserve">Self-initiated</t>
  </si>
  <si>
    <t xml:space="preserve">Submitted for Review</t>
  </si>
  <si>
    <t xml:space="preserve">T-0005</t>
  </si>
  <si>
    <t xml:space="preserve">Loan sanction documentation – term loan</t>
  </si>
  <si>
    <t xml:space="preserve">T-0006</t>
  </si>
  <si>
    <t xml:space="preserve">Budget vs actual commentary</t>
  </si>
  <si>
    <t xml:space="preserve">T-0007</t>
  </si>
  <si>
    <t xml:space="preserve">Revise JDs per new structure</t>
  </si>
  <si>
    <t xml:space="preserve">T-0008</t>
  </si>
  <si>
    <t xml:space="preserve">Revise JDs per new structure (follow-up)</t>
  </si>
  <si>
    <t xml:space="preserve">T-0009</t>
  </si>
  <si>
    <t xml:space="preserve">Induction for new joinees</t>
  </si>
  <si>
    <t xml:space="preserve">T-0010</t>
  </si>
  <si>
    <t xml:space="preserve">Induction for new joinees (follow-up)</t>
  </si>
  <si>
    <t xml:space="preserve">T-0011</t>
  </si>
  <si>
    <t xml:space="preserve">Canteen contract renewal</t>
  </si>
  <si>
    <t xml:space="preserve">T-0012</t>
  </si>
  <si>
    <t xml:space="preserve">Canteen contract renewal (follow-up)</t>
  </si>
  <si>
    <t xml:space="preserve">T-0013</t>
  </si>
  <si>
    <t xml:space="preserve">Rate contract renewal – packing material</t>
  </si>
  <si>
    <t xml:space="preserve">T-0014</t>
  </si>
  <si>
    <t xml:space="preserve">Rate contract renewal – packing material (follow-up)</t>
  </si>
  <si>
    <t xml:space="preserve">T-0015</t>
  </si>
  <si>
    <t xml:space="preserve">Vendor evaluation – Q2</t>
  </si>
  <si>
    <t xml:space="preserve">T-0016</t>
  </si>
  <si>
    <t xml:space="preserve">Vendor evaluation – Q2 (follow-up)</t>
  </si>
  <si>
    <t xml:space="preserve">Open</t>
  </si>
  <si>
    <t xml:space="preserve">T-0017</t>
  </si>
  <si>
    <t xml:space="preserve">Physical stock verification – Plant 1</t>
  </si>
  <si>
    <t xml:space="preserve">In Progress</t>
  </si>
  <si>
    <t xml:space="preserve">T-0018</t>
  </si>
  <si>
    <t xml:space="preserve">Physical stock verification – Plant 1 (follow-up)</t>
  </si>
  <si>
    <t xml:space="preserve">On Hold</t>
  </si>
  <si>
    <t xml:space="preserve">T-0019</t>
  </si>
  <si>
    <t xml:space="preserve">Bin location relabelling</t>
  </si>
  <si>
    <t xml:space="preserve">T-0020</t>
  </si>
  <si>
    <t xml:space="preserve">Bin location relabelling (follow-up)</t>
  </si>
  <si>
    <t xml:space="preserve">T-0021</t>
  </si>
  <si>
    <t xml:space="preserve">Transporter rate revision</t>
  </si>
  <si>
    <t xml:space="preserve">T-0022</t>
  </si>
  <si>
    <t xml:space="preserve">Transporter rate revision (follow-up)</t>
  </si>
  <si>
    <t xml:space="preserve">T-0023</t>
  </si>
  <si>
    <t xml:space="preserve">Dispatch delay root-cause</t>
  </si>
  <si>
    <t xml:space="preserve">T-0024</t>
  </si>
  <si>
    <t xml:space="preserve">Dispatch delay root-cause (follow-up)</t>
  </si>
  <si>
    <t xml:space="preserve">T-0025</t>
  </si>
  <si>
    <t xml:space="preserve">Reduce changeover time on Line 2</t>
  </si>
  <si>
    <t xml:space="preserve">T-0026</t>
  </si>
  <si>
    <t xml:space="preserve">Reduce changeover time on Line 2 (follow-up)</t>
  </si>
  <si>
    <t xml:space="preserve">T-0027</t>
  </si>
  <si>
    <t xml:space="preserve">Shift-wise OEE dashboard</t>
  </si>
  <si>
    <t xml:space="preserve">T-0028</t>
  </si>
  <si>
    <t xml:space="preserve">Shift-wise OEE dashboard (follow-up)</t>
  </si>
  <si>
    <t xml:space="preserve">T-0029</t>
  </si>
  <si>
    <t xml:space="preserve">Operator skill matrix update</t>
  </si>
  <si>
    <t xml:space="preserve">T-0030</t>
  </si>
  <si>
    <t xml:space="preserve">Operator skill matrix update (follow-up)</t>
  </si>
  <si>
    <t xml:space="preserve">T-0031</t>
  </si>
  <si>
    <t xml:space="preserve">Customer complaint #CC-114 CAPA</t>
  </si>
  <si>
    <t xml:space="preserve">T-0032</t>
  </si>
  <si>
    <t xml:space="preserve">Customer complaint #CC-114 CAPA (follow-up)</t>
  </si>
  <si>
    <t xml:space="preserve">T-0033</t>
  </si>
  <si>
    <t xml:space="preserve">Calibration of lab instruments</t>
  </si>
  <si>
    <t xml:space="preserve">T-0034</t>
  </si>
  <si>
    <t xml:space="preserve">Calibration of lab instruments (follow-up)</t>
  </si>
  <si>
    <t xml:space="preserve">T-0035</t>
  </si>
  <si>
    <t xml:space="preserve">Compressor overhaul</t>
  </si>
  <si>
    <t xml:space="preserve">T-0036</t>
  </si>
  <si>
    <t xml:space="preserve">Compressor overhaul (follow-up)</t>
  </si>
  <si>
    <t xml:space="preserve">T-0037</t>
  </si>
  <si>
    <t xml:space="preserve">Spare parts criticality list</t>
  </si>
  <si>
    <t xml:space="preserve">T-0038</t>
  </si>
  <si>
    <t xml:space="preserve">Spare parts criticality list (follow-up)</t>
  </si>
  <si>
    <t xml:space="preserve">T-0039</t>
  </si>
  <si>
    <t xml:space="preserve">Dealer meet planning – South</t>
  </si>
  <si>
    <t xml:space="preserve">T-0040</t>
  </si>
  <si>
    <t xml:space="preserve">Dealer meet planning – South (follow-up)</t>
  </si>
  <si>
    <t xml:space="preserve">T-0041</t>
  </si>
  <si>
    <t xml:space="preserve">Price list revision</t>
  </si>
  <si>
    <t xml:space="preserve">T-0042</t>
  </si>
  <si>
    <t xml:space="preserve">Price list revision (follow-up)</t>
  </si>
  <si>
    <t xml:space="preserve">T-0043</t>
  </si>
  <si>
    <t xml:space="preserve">New warehouse – civil progress</t>
  </si>
  <si>
    <t xml:space="preserve">T-0044</t>
  </si>
  <si>
    <t xml:space="preserve">New warehouse – civil progress (follow-up)</t>
  </si>
  <si>
    <t xml:space="preserve">T-0045</t>
  </si>
  <si>
    <t xml:space="preserve">Capex proposal – solar rooftop</t>
  </si>
  <si>
    <t xml:space="preserve">T-0046</t>
  </si>
  <si>
    <t xml:space="preserve">Capex proposal – solar rooftop (follow-up)</t>
  </si>
  <si>
    <t xml:space="preserve">T-0047</t>
  </si>
  <si>
    <t xml:space="preserve">Antivirus renewal</t>
  </si>
  <si>
    <t xml:space="preserve">T-0048</t>
  </si>
  <si>
    <t xml:space="preserve">Antivirus renewal (follow-up)</t>
  </si>
  <si>
    <t xml:space="preserve">T-0049</t>
  </si>
  <si>
    <t xml:space="preserve">Email migration plan</t>
  </si>
  <si>
    <t xml:space="preserve">T-0050</t>
  </si>
  <si>
    <t xml:space="preserve">Email migration plan (follow-up)</t>
  </si>
  <si>
    <t xml:space="preserve">T-0051</t>
  </si>
  <si>
    <t xml:space="preserve">Board meeting minutes – Q2</t>
  </si>
  <si>
    <t xml:space="preserve">T-0052</t>
  </si>
  <si>
    <t xml:space="preserve">Board meeting minutes – Q2 (follow-up)</t>
  </si>
  <si>
    <t xml:space="preserve">T-0053</t>
  </si>
  <si>
    <t xml:space="preserve">Trademark renewal filing</t>
  </si>
  <si>
    <t xml:space="preserve">T-0054</t>
  </si>
  <si>
    <t xml:space="preserve">Trademark renewal filing (follow-up)</t>
  </si>
  <si>
    <t xml:space="preserve">T-0055</t>
  </si>
  <si>
    <t xml:space="preserve">Fire drill – Plant 2</t>
  </si>
  <si>
    <t xml:space="preserve">T-0056</t>
  </si>
  <si>
    <t xml:space="preserve">Fire drill – Plant 2 (follow-up)</t>
  </si>
  <si>
    <t xml:space="preserve">T-0057</t>
  </si>
  <si>
    <t xml:space="preserve">Hazard identification refresh</t>
  </si>
  <si>
    <t xml:space="preserve">T-0058</t>
  </si>
  <si>
    <t xml:space="preserve">Hazard identification refresh (follow-up)</t>
  </si>
  <si>
    <t xml:space="preserve">T-0059</t>
  </si>
  <si>
    <t xml:space="preserve">Audit of petty cash – Plant 1</t>
  </si>
  <si>
    <t xml:space="preserve">T-0060</t>
  </si>
  <si>
    <t xml:space="preserve">Audit of petty cash – Plant 1 (follow-up)</t>
  </si>
  <si>
    <t xml:space="preserve">Summary (formulas)</t>
  </si>
  <si>
    <t xml:space="preserve">Total tasks</t>
  </si>
  <si>
    <t xml:space="preserve">Closed on time</t>
  </si>
  <si>
    <t xml:space="preserve">On-time completion % (K1, unweighted)</t>
  </si>
  <si>
    <t xml:space="preserve">Open tasks overdue as at As-of date</t>
  </si>
  <si>
    <t xml:space="preserve">Request ID</t>
  </si>
  <si>
    <t xml:space="preserve">From Dept</t>
  </si>
  <si>
    <t xml:space="preserve">To Dept</t>
  </si>
  <si>
    <t xml:space="preserve">Need-by Date</t>
  </si>
  <si>
    <t xml:space="preserve">Acceptance</t>
  </si>
  <si>
    <t xml:space="preserve">Committed Date</t>
  </si>
  <si>
    <t xml:space="preserve">R-001</t>
  </si>
  <si>
    <t xml:space="preserve">Provide PO copies for GRNI items older than 30 days</t>
  </si>
  <si>
    <t xml:space="preserve">R-002</t>
  </si>
  <si>
    <t xml:space="preserve">Repair hydraulic press – Line 2</t>
  </si>
  <si>
    <t xml:space="preserve">Closed – confirmed</t>
  </si>
  <si>
    <t xml:space="preserve">R-003</t>
  </si>
  <si>
    <t xml:space="preserve">Credit limit enhancement for dealer D-0231</t>
  </si>
  <si>
    <t xml:space="preserve">R-004</t>
  </si>
  <si>
    <t xml:space="preserve">Laptop and email for 4 new joinees</t>
  </si>
  <si>
    <t xml:space="preserve">Pending acceptance</t>
  </si>
  <si>
    <t xml:space="preserve">R-005</t>
  </si>
  <si>
    <t xml:space="preserve">Replace supplier for packing film after rejections</t>
  </si>
  <si>
    <t xml:space="preserve">R-006</t>
  </si>
  <si>
    <t xml:space="preserve">Payroll inputs for October</t>
  </si>
  <si>
    <t xml:space="preserve">R-007</t>
  </si>
  <si>
    <t xml:space="preserve">Vet civil contractor agreement</t>
  </si>
  <si>
    <t xml:space="preserve">Submitted – awaiting requester</t>
  </si>
  <si>
    <t xml:space="preserve">R-008</t>
  </si>
  <si>
    <t xml:space="preserve">Shift idle material from Plant 2 to Plant 1</t>
  </si>
  <si>
    <t xml:space="preserve">Declined – need material list</t>
  </si>
  <si>
    <t xml:space="preserve">Returned to requester</t>
  </si>
  <si>
    <t xml:space="preserve">R-009</t>
  </si>
  <si>
    <t xml:space="preserve">Install guard on conveyor C-4</t>
  </si>
  <si>
    <t xml:space="preserve">R-010</t>
  </si>
  <si>
    <t xml:space="preserve">Share petty cash vouchers – Plant 1</t>
  </si>
  <si>
    <t xml:space="preserve">Measure</t>
  </si>
  <si>
    <t xml:space="preserve">Formula</t>
  </si>
  <si>
    <t xml:space="preserve">Weight</t>
  </si>
  <si>
    <t xml:space="preserve">K1</t>
  </si>
  <si>
    <t xml:space="preserve">On-time completion</t>
  </si>
  <si>
    <t xml:space="preserve">Tasks closed on/before applicable due date ÷ tasks closed</t>
  </si>
  <si>
    <t xml:space="preserve">K2</t>
  </si>
  <si>
    <t xml:space="preserve">Overdue control</t>
  </si>
  <si>
    <t xml:space="preserve">1 − (open overdue at month end ÷ open at month end)</t>
  </si>
  <si>
    <t xml:space="preserve">K3</t>
  </si>
  <si>
    <t xml:space="preserve">First-time right</t>
  </si>
  <si>
    <t xml:space="preserve">Closed without rework ÷ closed</t>
  </si>
  <si>
    <t xml:space="preserve">K4</t>
  </si>
  <si>
    <t xml:space="preserve">Responsiveness to other departments</t>
  </si>
  <si>
    <t xml:space="preserve">Avg of (accepted within time %) and (closed by committed date %)</t>
  </si>
  <si>
    <t xml:space="preserve">K5</t>
  </si>
  <si>
    <t xml:space="preserve">Recurring and compliance adherence</t>
  </si>
  <si>
    <t xml:space="preserve">Recurring closed on time ÷ recurring due</t>
  </si>
  <si>
    <t xml:space="preserve">Total weight (must be 100%)</t>
  </si>
  <si>
    <t xml:space="preserve">Priority weights</t>
  </si>
  <si>
    <t xml:space="preserve">Score bands</t>
  </si>
  <si>
    <t xml:space="preserve">90–100</t>
  </si>
  <si>
    <t xml:space="preserve">Excellent</t>
  </si>
  <si>
    <t xml:space="preserve">Green</t>
  </si>
  <si>
    <t xml:space="preserve">75–89</t>
  </si>
  <si>
    <t xml:space="preserve">Good</t>
  </si>
  <si>
    <t xml:space="preserve">Light green</t>
  </si>
  <si>
    <t xml:space="preserve">60–74</t>
  </si>
  <si>
    <t xml:space="preserve">Needs attention</t>
  </si>
  <si>
    <t xml:space="preserve">Amber</t>
  </si>
  <si>
    <t xml:space="preserve">Below 60</t>
  </si>
  <si>
    <t xml:space="preserve">Red</t>
  </si>
  <si>
    <t xml:space="preserve">Minimum closed tasks for a score: 10 per month (below this, shown as 'insufficient data').</t>
  </si>
  <si>
    <t xml:space="preserve">Yellow cells are proposals pending management approval (BRD section 11).</t>
  </si>
  <si>
    <t xml:space="preserve">Trigger</t>
  </si>
  <si>
    <t xml:space="preserve">Normal priority → notify</t>
  </si>
  <si>
    <t xml:space="preserve">Critical priority → notify</t>
  </si>
  <si>
    <t xml:space="preserve">2 days before due</t>
  </si>
  <si>
    <t xml:space="preserve">Doer (reminder)</t>
  </si>
  <si>
    <t xml:space="preserve">Doer (reminder, 3 days before)</t>
  </si>
  <si>
    <t xml:space="preserve">On due date</t>
  </si>
  <si>
    <t xml:space="preserve">Doer + reviewer</t>
  </si>
  <si>
    <t xml:space="preserve">1 working day overdue</t>
  </si>
  <si>
    <t xml:space="preserve">Reviewer (immediate senior)</t>
  </si>
  <si>
    <t xml:space="preserve">3 working days overdue</t>
  </si>
  <si>
    <t xml:space="preserve">Management Viewers</t>
  </si>
  <si>
    <t xml:space="preserve">7 working days overdue</t>
  </si>
  <si>
    <t xml:space="preserve">Management Viewers (daily until closed)</t>
  </si>
  <si>
    <t xml:space="preserve">Request not accepted within acceptance time</t>
  </si>
  <si>
    <t xml:space="preserve">Receiving HOD</t>
  </si>
  <si>
    <t xml:space="preserve">Receiving HOD + Management Viewers</t>
  </si>
  <si>
    <t xml:space="preserve">Review pending &gt; 2 days after submission</t>
  </si>
  <si>
    <t xml:space="preserve">Reviewer's own senior</t>
  </si>
  <si>
    <t xml:space="preserve">Acceptance time by priority: Critical same day; High 1 working day; Medium 2; Low 3.</t>
  </si>
  <si>
    <t xml:space="preserve">Date</t>
  </si>
  <si>
    <t xml:space="preserve">Holiday</t>
  </si>
  <si>
    <t xml:space="preserve">Applies to (HO / Plant-1 / Plant-2 / All)</t>
  </si>
  <si>
    <t xml:space="preserve">Gandhi Jayanti</t>
  </si>
  <si>
    <t xml:space="preserve">Ayudha Pooja (sample)</t>
  </si>
  <si>
    <t xml:space="preserve">Deepavali (sample)</t>
  </si>
  <si>
    <t xml:space="preserve">Christmas</t>
  </si>
  <si>
    <t xml:space="preserve">Pongal (sample)</t>
  </si>
  <si>
    <t xml:space="preserve">Republic Day</t>
  </si>
  <si>
    <t xml:space="preserve">Dummy calendar for testing only; dates marked (sample) are placeholders. Replace with the company's notified holiday list.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</si>
</sst>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2" t="s">
        <v>14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18</v>
      </c>
      <c r="B22" s="4" t="n">
        <v>46317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39.5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</row>
    <row r="2" customFormat="false" ht="26.85" hidden="false" customHeight="false" outlineLevel="0" collapsed="false">
      <c r="A2" s="6" t="s">
        <v>25</v>
      </c>
      <c r="B2" s="6" t="s">
        <v>26</v>
      </c>
      <c r="C2" s="6" t="s">
        <v>27</v>
      </c>
      <c r="D2" s="6" t="str">
        <f aca="false">IFERROR(INDEX(Employees!$B$2:$B$101,MATCH(C2,Employees!$A$2:$A$101,0)),"")</f>
        <v>Arjun Raman</v>
      </c>
      <c r="E2" s="6" t="n">
        <f aca="false">COUNTIFS(Employees!$E$2:$E$101,A2,Employees!$M$2:$M$101,"Active")</f>
        <v>3</v>
      </c>
      <c r="F2" s="6" t="s">
        <v>28</v>
      </c>
    </row>
    <row r="3" customFormat="false" ht="15" hidden="false" customHeight="false" outlineLevel="0" collapsed="false">
      <c r="A3" s="6" t="s">
        <v>29</v>
      </c>
      <c r="B3" s="6" t="s">
        <v>30</v>
      </c>
      <c r="C3" s="6" t="s">
        <v>31</v>
      </c>
      <c r="D3" s="6" t="str">
        <f aca="false">IFERROR(INDEX(Employees!$B$2:$B$101,MATCH(C3,Employees!$A$2:$A$101,0)),"")</f>
        <v>Divya Iyer</v>
      </c>
      <c r="E3" s="6" t="n">
        <f aca="false">COUNTIFS(Employees!$E$2:$E$101,A3,Employees!$M$2:$M$101,"Active")</f>
        <v>12</v>
      </c>
      <c r="F3" s="6" t="s">
        <v>32</v>
      </c>
    </row>
    <row r="4" customFormat="false" ht="15" hidden="false" customHeight="false" outlineLevel="0" collapsed="false">
      <c r="A4" s="6" t="s">
        <v>33</v>
      </c>
      <c r="B4" s="6" t="s">
        <v>34</v>
      </c>
      <c r="C4" s="6" t="s">
        <v>35</v>
      </c>
      <c r="D4" s="6" t="str">
        <f aca="false">IFERROR(INDEX(Employees!$B$2:$B$101,MATCH(C4,Employees!$A$2:$A$101,0)),"")</f>
        <v>Revathi Pillai</v>
      </c>
      <c r="E4" s="6" t="n">
        <f aca="false">COUNTIFS(Employees!$E$2:$E$101,A4,Employees!$M$2:$M$101,"Active")</f>
        <v>7</v>
      </c>
      <c r="F4" s="6" t="s">
        <v>32</v>
      </c>
    </row>
    <row r="5" customFormat="false" ht="15" hidden="false" customHeight="false" outlineLevel="0" collapsed="false">
      <c r="A5" s="6" t="s">
        <v>36</v>
      </c>
      <c r="B5" s="6" t="s">
        <v>37</v>
      </c>
      <c r="C5" s="6" t="s">
        <v>38</v>
      </c>
      <c r="D5" s="6" t="str">
        <f aca="false">IFERROR(INDEX(Employees!$B$2:$B$101,MATCH(C5,Employees!$A$2:$A$101,0)),"")</f>
        <v>Senthil Varma</v>
      </c>
      <c r="E5" s="6" t="n">
        <f aca="false">COUNTIFS(Employees!$E$2:$E$101,A5,Employees!$M$2:$M$101,"Active")</f>
        <v>6</v>
      </c>
      <c r="F5" s="6" t="s">
        <v>32</v>
      </c>
    </row>
    <row r="6" customFormat="false" ht="15" hidden="false" customHeight="false" outlineLevel="0" collapsed="false">
      <c r="A6" s="6" t="s">
        <v>39</v>
      </c>
      <c r="B6" s="6" t="s">
        <v>40</v>
      </c>
      <c r="C6" s="6" t="s">
        <v>41</v>
      </c>
      <c r="D6" s="6" t="str">
        <f aca="false">IFERROR(INDEX(Employees!$B$2:$B$101,MATCH(C6,Employees!$A$2:$A$101,0)),"")</f>
        <v>Dinesh Murugan</v>
      </c>
      <c r="E6" s="6" t="n">
        <f aca="false">COUNTIFS(Employees!$E$2:$E$101,A6,Employees!$M$2:$M$101,"Active")</f>
        <v>6</v>
      </c>
      <c r="F6" s="6" t="s">
        <v>32</v>
      </c>
    </row>
    <row r="7" customFormat="false" ht="15" hidden="false" customHeight="false" outlineLevel="0" collapsed="false">
      <c r="A7" s="6" t="s">
        <v>42</v>
      </c>
      <c r="B7" s="6" t="s">
        <v>43</v>
      </c>
      <c r="C7" s="6" t="s">
        <v>44</v>
      </c>
      <c r="D7" s="6" t="str">
        <f aca="false">IFERROR(INDEX(Employees!$B$2:$B$101,MATCH(C7,Employees!$A$2:$A$101,0)),"")</f>
        <v>Naveen Balan</v>
      </c>
      <c r="E7" s="6" t="n">
        <f aca="false">COUNTIFS(Employees!$E$2:$E$101,A7,Employees!$M$2:$M$101,"Active")</f>
        <v>5</v>
      </c>
      <c r="F7" s="6" t="s">
        <v>32</v>
      </c>
    </row>
    <row r="8" customFormat="false" ht="15" hidden="false" customHeight="false" outlineLevel="0" collapsed="false">
      <c r="A8" s="6" t="s">
        <v>45</v>
      </c>
      <c r="B8" s="6" t="s">
        <v>46</v>
      </c>
      <c r="C8" s="6" t="s">
        <v>47</v>
      </c>
      <c r="D8" s="6" t="str">
        <f aca="false">IFERROR(INDEX(Employees!$B$2:$B$101,MATCH(C8,Employees!$A$2:$A$101,0)),"")</f>
        <v>Ramya Thomas</v>
      </c>
      <c r="E8" s="6" t="n">
        <f aca="false">COUNTIFS(Employees!$E$2:$E$101,A8,Employees!$M$2:$M$101,"Active")</f>
        <v>16</v>
      </c>
      <c r="F8" s="6" t="s">
        <v>32</v>
      </c>
    </row>
    <row r="9" customFormat="false" ht="15" hidden="false" customHeight="false" outlineLevel="0" collapsed="false">
      <c r="A9" s="6" t="s">
        <v>48</v>
      </c>
      <c r="B9" s="6" t="s">
        <v>49</v>
      </c>
      <c r="C9" s="6" t="s">
        <v>50</v>
      </c>
      <c r="D9" s="6" t="str">
        <f aca="false">IFERROR(INDEX(Employees!$B$2:$B$101,MATCH(C9,Employees!$A$2:$A$101,0)),"")</f>
        <v>Lakshmi Shetty</v>
      </c>
      <c r="E9" s="6" t="n">
        <f aca="false">COUNTIFS(Employees!$E$2:$E$101,A9,Employees!$M$2:$M$101,"Active")</f>
        <v>8</v>
      </c>
      <c r="F9" s="6" t="s">
        <v>32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6" t="s">
        <v>53</v>
      </c>
      <c r="D10" s="6" t="str">
        <f aca="false">IFERROR(INDEX(Employees!$B$2:$B$101,MATCH(C10,Employees!$A$2:$A$101,0)),"")</f>
        <v>Deepa Subramani</v>
      </c>
      <c r="E10" s="6" t="n">
        <f aca="false">COUNTIFS(Employees!$E$2:$E$101,A10,Employees!$M$2:$M$101,"Active")</f>
        <v>9</v>
      </c>
      <c r="F10" s="6" t="s">
        <v>32</v>
      </c>
    </row>
    <row r="11" customFormat="false" ht="15" hidden="false" customHeight="false" outlineLevel="0" collapsed="false">
      <c r="A11" s="6" t="s">
        <v>54</v>
      </c>
      <c r="B11" s="6" t="s">
        <v>55</v>
      </c>
      <c r="C11" s="6" t="s">
        <v>56</v>
      </c>
      <c r="D11" s="6" t="str">
        <f aca="false">IFERROR(INDEX(Employees!$B$2:$B$101,MATCH(C11,Employees!$A$2:$A$101,0)),"")</f>
        <v>Senthil Rao</v>
      </c>
      <c r="E11" s="6" t="n">
        <f aca="false">COUNTIFS(Employees!$E$2:$E$101,A11,Employees!$M$2:$M$101,"Active")</f>
        <v>10</v>
      </c>
      <c r="F11" s="6" t="s">
        <v>32</v>
      </c>
    </row>
    <row r="12" customFormat="false" ht="15" hidden="false" customHeight="false" outlineLevel="0" collapsed="false">
      <c r="A12" s="6" t="s">
        <v>57</v>
      </c>
      <c r="B12" s="6" t="s">
        <v>58</v>
      </c>
      <c r="C12" s="6" t="s">
        <v>59</v>
      </c>
      <c r="D12" s="6" t="str">
        <f aca="false">IFERROR(INDEX(Employees!$B$2:$B$101,MATCH(C12,Employees!$A$2:$A$101,0)),"")</f>
        <v>Rajesh Sekar</v>
      </c>
      <c r="E12" s="6" t="n">
        <f aca="false">COUNTIFS(Employees!$E$2:$E$101,A12,Employees!$M$2:$M$101,"Active")</f>
        <v>5</v>
      </c>
      <c r="F12" s="6" t="s">
        <v>32</v>
      </c>
    </row>
    <row r="13" customFormat="false" ht="15" hidden="false" customHeight="false" outlineLevel="0" collapsed="false">
      <c r="A13" s="6" t="s">
        <v>60</v>
      </c>
      <c r="B13" s="6" t="s">
        <v>61</v>
      </c>
      <c r="C13" s="6" t="s">
        <v>62</v>
      </c>
      <c r="D13" s="6" t="str">
        <f aca="false">IFERROR(INDEX(Employees!$B$2:$B$101,MATCH(C13,Employees!$A$2:$A$101,0)),"")</f>
        <v>Aishwarya Joseph</v>
      </c>
      <c r="E13" s="6" t="n">
        <f aca="false">COUNTIFS(Employees!$E$2:$E$101,A13,Employees!$M$2:$M$101,"Active")</f>
        <v>3</v>
      </c>
      <c r="F13" s="6" t="s">
        <v>32</v>
      </c>
    </row>
    <row r="14" customFormat="false" ht="15" hidden="false" customHeight="false" outlineLevel="0" collapsed="false">
      <c r="A14" s="6" t="s">
        <v>63</v>
      </c>
      <c r="B14" s="6" t="s">
        <v>64</v>
      </c>
      <c r="C14" s="6" t="s">
        <v>65</v>
      </c>
      <c r="D14" s="6" t="str">
        <f aca="false">IFERROR(INDEX(Employees!$B$2:$B$101,MATCH(C14,Employees!$A$2:$A$101,0)),"")</f>
        <v>Vijay Thomas</v>
      </c>
      <c r="E14" s="6" t="n">
        <f aca="false">COUNTIFS(Employees!$E$2:$E$101,A14,Employees!$M$2:$M$101,"Active")</f>
        <v>3</v>
      </c>
      <c r="F14" s="6" t="s">
        <v>32</v>
      </c>
    </row>
    <row r="15" customFormat="false" ht="15" hidden="false" customHeight="false" outlineLevel="0" collapsed="false">
      <c r="A15" s="6" t="s">
        <v>66</v>
      </c>
      <c r="B15" s="6" t="s">
        <v>67</v>
      </c>
      <c r="C15" s="6" t="s">
        <v>68</v>
      </c>
      <c r="D15" s="6" t="str">
        <f aca="false">IFERROR(INDEX(Employees!$B$2:$B$101,MATCH(C15,Employees!$A$2:$A$101,0)),"")</f>
        <v>Nandhini Varma</v>
      </c>
      <c r="E15" s="6" t="n">
        <f aca="false">COUNTIFS(Employees!$E$2:$E$101,A15,Employees!$M$2:$M$101,"Active")</f>
        <v>4</v>
      </c>
      <c r="F15" s="6" t="s">
        <v>32</v>
      </c>
    </row>
    <row r="16" customFormat="false" ht="15" hidden="false" customHeight="false" outlineLevel="0" collapsed="false">
      <c r="A16" s="6" t="s">
        <v>69</v>
      </c>
      <c r="B16" s="6" t="s">
        <v>70</v>
      </c>
      <c r="C16" s="6" t="s">
        <v>71</v>
      </c>
      <c r="D16" s="6" t="str">
        <f aca="false">IFERROR(INDEX(Employees!$B$2:$B$101,MATCH(C16,Employees!$A$2:$A$101,0)),"")</f>
        <v>Mythili Natarajan</v>
      </c>
      <c r="E16" s="6" t="n">
        <f aca="false">COUNTIFS(Employees!$E$2:$E$101,A16,Employees!$M$2:$M$101,"Active")</f>
        <v>3</v>
      </c>
      <c r="F16" s="6" t="s">
        <v>32</v>
      </c>
    </row>
    <row r="17" customFormat="false" ht="15" hidden="false" customHeight="false" outlineLevel="0" collapsed="false">
      <c r="D17" s="7" t="s">
        <v>72</v>
      </c>
      <c r="E17" s="7" t="n">
        <f aca="false">SUM(E2:E16)</f>
        <v>100</v>
      </c>
    </row>
  </sheetData>
  <autoFilter ref="A1:F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5" t="s">
        <v>73</v>
      </c>
      <c r="B1" s="5" t="s">
        <v>74</v>
      </c>
      <c r="C1" s="5" t="s">
        <v>75</v>
      </c>
    </row>
    <row r="2" customFormat="false" ht="15" hidden="false" customHeight="false" outlineLevel="0" collapsed="false">
      <c r="A2" s="6" t="s">
        <v>76</v>
      </c>
      <c r="B2" s="6" t="s">
        <v>77</v>
      </c>
      <c r="C2" s="6" t="s">
        <v>78</v>
      </c>
    </row>
    <row r="3" customFormat="false" ht="15" hidden="false" customHeight="false" outlineLevel="0" collapsed="false">
      <c r="A3" s="6" t="s">
        <v>79</v>
      </c>
      <c r="B3" s="6" t="s">
        <v>80</v>
      </c>
      <c r="C3" s="6" t="s">
        <v>81</v>
      </c>
    </row>
    <row r="4" customFormat="false" ht="15" hidden="false" customHeight="false" outlineLevel="0" collapsed="false">
      <c r="A4" s="6" t="s">
        <v>82</v>
      </c>
      <c r="B4" s="6" t="s">
        <v>83</v>
      </c>
      <c r="C4" s="6" t="s">
        <v>84</v>
      </c>
    </row>
    <row r="5" customFormat="false" ht="15" hidden="false" customHeight="false" outlineLevel="0" collapsed="false">
      <c r="A5" s="6" t="s">
        <v>85</v>
      </c>
      <c r="B5" s="6" t="s">
        <v>86</v>
      </c>
      <c r="C5" s="6" t="s">
        <v>87</v>
      </c>
    </row>
    <row r="6" customFormat="false" ht="15" hidden="false" customHeight="false" outlineLevel="0" collapsed="false">
      <c r="A6" s="6" t="s">
        <v>88</v>
      </c>
      <c r="B6" s="6" t="s">
        <v>89</v>
      </c>
      <c r="C6" s="6" t="s">
        <v>90</v>
      </c>
    </row>
    <row r="7" customFormat="false" ht="15" hidden="false" customHeight="false" outlineLevel="0" collapsed="false">
      <c r="A7" s="6" t="s">
        <v>91</v>
      </c>
      <c r="B7" s="6" t="s">
        <v>92</v>
      </c>
      <c r="C7" s="6" t="s">
        <v>93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24"/>
  </cols>
  <sheetData>
    <row r="1" customFormat="false" ht="26.85" hidden="false" customHeight="false" outlineLevel="0" collapsed="false">
      <c r="A1" s="5" t="s">
        <v>94</v>
      </c>
      <c r="B1" s="5" t="s">
        <v>95</v>
      </c>
      <c r="C1" s="5" t="s">
        <v>96</v>
      </c>
      <c r="D1" s="5" t="s">
        <v>97</v>
      </c>
      <c r="E1" s="5" t="s">
        <v>98</v>
      </c>
    </row>
    <row r="2" customFormat="false" ht="15" hidden="false" customHeight="false" outlineLevel="0" collapsed="false">
      <c r="A2" s="6" t="s">
        <v>99</v>
      </c>
      <c r="B2" s="6" t="s">
        <v>100</v>
      </c>
      <c r="C2" s="6" t="s">
        <v>101</v>
      </c>
      <c r="D2" s="6" t="s">
        <v>102</v>
      </c>
      <c r="E2" s="8" t="s">
        <v>103</v>
      </c>
    </row>
    <row r="3" customFormat="false" ht="26.85" hidden="false" customHeight="false" outlineLevel="0" collapsed="false">
      <c r="A3" s="6" t="s">
        <v>104</v>
      </c>
      <c r="B3" s="6" t="s">
        <v>105</v>
      </c>
      <c r="C3" s="6" t="s">
        <v>106</v>
      </c>
      <c r="D3" s="6" t="s">
        <v>102</v>
      </c>
      <c r="E3" s="8" t="s">
        <v>103</v>
      </c>
    </row>
    <row r="4" customFormat="false" ht="15" hidden="false" customHeight="false" outlineLevel="0" collapsed="false">
      <c r="A4" s="6" t="s">
        <v>107</v>
      </c>
      <c r="B4" s="6" t="s">
        <v>108</v>
      </c>
      <c r="C4" s="6" t="s">
        <v>109</v>
      </c>
      <c r="D4" s="6" t="s">
        <v>102</v>
      </c>
      <c r="E4" s="8" t="s">
        <v>110</v>
      </c>
    </row>
    <row r="5" customFormat="false" ht="26.85" hidden="false" customHeight="false" outlineLevel="0" collapsed="false">
      <c r="A5" s="6" t="s">
        <v>111</v>
      </c>
      <c r="B5" s="6" t="s">
        <v>112</v>
      </c>
      <c r="C5" s="6" t="s">
        <v>113</v>
      </c>
      <c r="D5" s="6" t="s">
        <v>102</v>
      </c>
      <c r="E5" s="8" t="s">
        <v>110</v>
      </c>
    </row>
    <row r="6" customFormat="false" ht="26.85" hidden="false" customHeight="false" outlineLevel="0" collapsed="false">
      <c r="A6" s="6" t="s">
        <v>114</v>
      </c>
      <c r="B6" s="6" t="s">
        <v>115</v>
      </c>
      <c r="C6" s="6" t="s">
        <v>116</v>
      </c>
      <c r="D6" s="6" t="s">
        <v>117</v>
      </c>
      <c r="E6" s="8" t="s">
        <v>118</v>
      </c>
    </row>
    <row r="7" customFormat="false" ht="15" hidden="false" customHeight="false" outlineLevel="0" collapsed="false">
      <c r="A7" s="6" t="s">
        <v>119</v>
      </c>
      <c r="B7" s="6" t="s">
        <v>120</v>
      </c>
      <c r="C7" s="6" t="s">
        <v>121</v>
      </c>
      <c r="D7" s="6" t="s">
        <v>117</v>
      </c>
      <c r="E7" s="8" t="s">
        <v>122</v>
      </c>
    </row>
    <row r="8" customFormat="false" ht="15" hidden="false" customHeight="false" outlineLevel="0" collapsed="false">
      <c r="A8" s="6" t="s">
        <v>123</v>
      </c>
      <c r="B8" s="6" t="s">
        <v>124</v>
      </c>
      <c r="C8" s="6" t="s">
        <v>125</v>
      </c>
      <c r="D8" s="6" t="s">
        <v>117</v>
      </c>
      <c r="E8" s="8" t="s">
        <v>126</v>
      </c>
    </row>
    <row r="9" customFormat="false" ht="15" hidden="false" customHeight="false" outlineLevel="0" collapsed="false">
      <c r="A9" s="6" t="s">
        <v>127</v>
      </c>
      <c r="B9" s="6" t="s">
        <v>128</v>
      </c>
      <c r="C9" s="6" t="s">
        <v>129</v>
      </c>
      <c r="D9" s="6" t="s">
        <v>117</v>
      </c>
      <c r="E9" s="8" t="s">
        <v>103</v>
      </c>
    </row>
    <row r="10" customFormat="false" ht="15" hidden="false" customHeight="false" outlineLevel="0" collapsed="false">
      <c r="A10" s="6" t="s">
        <v>130</v>
      </c>
      <c r="B10" s="6" t="s">
        <v>131</v>
      </c>
      <c r="C10" s="6" t="s">
        <v>132</v>
      </c>
      <c r="D10" s="6" t="s">
        <v>117</v>
      </c>
      <c r="E10" s="8" t="s">
        <v>122</v>
      </c>
    </row>
    <row r="11" customFormat="false" ht="15" hidden="false" customHeight="false" outlineLevel="0" collapsed="false">
      <c r="A11" s="6" t="s">
        <v>133</v>
      </c>
      <c r="B11" s="6" t="s">
        <v>134</v>
      </c>
      <c r="C11" s="6" t="s">
        <v>135</v>
      </c>
      <c r="D11" s="6" t="s">
        <v>117</v>
      </c>
      <c r="E11" s="8" t="s">
        <v>136</v>
      </c>
    </row>
    <row r="12" customFormat="false" ht="15" hidden="false" customHeight="false" outlineLevel="0" collapsed="false">
      <c r="A12" s="6" t="s">
        <v>137</v>
      </c>
      <c r="B12" s="6" t="s">
        <v>138</v>
      </c>
      <c r="C12" s="6" t="s">
        <v>139</v>
      </c>
      <c r="D12" s="6" t="s">
        <v>117</v>
      </c>
      <c r="E12" s="8" t="s">
        <v>140</v>
      </c>
    </row>
    <row r="13" customFormat="false" ht="15" hidden="false" customHeight="false" outlineLevel="0" collapsed="false">
      <c r="A13" s="6" t="s">
        <v>141</v>
      </c>
      <c r="B13" s="6" t="s">
        <v>142</v>
      </c>
      <c r="C13" s="6" t="s">
        <v>143</v>
      </c>
      <c r="D13" s="6" t="s">
        <v>117</v>
      </c>
      <c r="E13" s="8" t="s">
        <v>118</v>
      </c>
    </row>
    <row r="14" customFormat="false" ht="15" hidden="false" customHeight="false" outlineLevel="0" collapsed="false">
      <c r="A14" s="6" t="s">
        <v>144</v>
      </c>
      <c r="B14" s="6" t="s">
        <v>145</v>
      </c>
      <c r="C14" s="6" t="s">
        <v>146</v>
      </c>
      <c r="D14" s="6" t="s">
        <v>117</v>
      </c>
      <c r="E14" s="8" t="s">
        <v>103</v>
      </c>
    </row>
    <row r="15" customFormat="false" ht="15" hidden="false" customHeight="false" outlineLevel="0" collapsed="false">
      <c r="A15" s="6" t="s">
        <v>147</v>
      </c>
      <c r="B15" s="6" t="s">
        <v>148</v>
      </c>
      <c r="C15" s="6" t="s">
        <v>149</v>
      </c>
      <c r="D15" s="6" t="s">
        <v>117</v>
      </c>
      <c r="E15" s="8" t="s">
        <v>150</v>
      </c>
    </row>
    <row r="16" customFormat="false" ht="15" hidden="false" customHeight="false" outlineLevel="0" collapsed="false">
      <c r="A16" s="6" t="s">
        <v>151</v>
      </c>
      <c r="B16" s="6" t="s">
        <v>152</v>
      </c>
      <c r="C16" s="6" t="s">
        <v>153</v>
      </c>
      <c r="D16" s="6" t="s">
        <v>117</v>
      </c>
      <c r="E16" s="8" t="s">
        <v>150</v>
      </c>
    </row>
    <row r="18" customFormat="false" ht="15" hidden="false" customHeight="false" outlineLevel="0" collapsed="false">
      <c r="A18" s="9" t="s">
        <v>154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4"/>
    <col collapsed="false" customWidth="true" hidden="false" outlineLevel="0" max="12" min="12" style="0" width="42"/>
    <col collapsed="false" customWidth="true" hidden="false" outlineLevel="0" max="13" min="13" style="0" width="9"/>
  </cols>
  <sheetData>
    <row r="1" customFormat="false" ht="39.55" hidden="false" customHeight="false" outlineLevel="0" collapsed="false">
      <c r="A1" s="5" t="s">
        <v>155</v>
      </c>
      <c r="B1" s="5" t="s">
        <v>156</v>
      </c>
      <c r="C1" s="5" t="s">
        <v>74</v>
      </c>
      <c r="D1" s="5" t="s">
        <v>73</v>
      </c>
      <c r="E1" s="5" t="s">
        <v>19</v>
      </c>
      <c r="F1" s="5" t="s">
        <v>20</v>
      </c>
      <c r="G1" s="5" t="s">
        <v>157</v>
      </c>
      <c r="H1" s="5" t="s">
        <v>158</v>
      </c>
      <c r="I1" s="5" t="s">
        <v>159</v>
      </c>
      <c r="J1" s="5" t="s">
        <v>160</v>
      </c>
      <c r="K1" s="5" t="s">
        <v>161</v>
      </c>
      <c r="L1" s="5" t="s">
        <v>162</v>
      </c>
      <c r="M1" s="5" t="s">
        <v>163</v>
      </c>
    </row>
    <row r="2" customFormat="false" ht="15" hidden="false" customHeight="false" outlineLevel="0" collapsed="false">
      <c r="A2" s="6" t="s">
        <v>27</v>
      </c>
      <c r="B2" s="6" t="s">
        <v>164</v>
      </c>
      <c r="C2" s="6" t="s">
        <v>165</v>
      </c>
      <c r="D2" s="6" t="s">
        <v>76</v>
      </c>
      <c r="E2" s="6" t="s">
        <v>25</v>
      </c>
      <c r="F2" s="6" t="s">
        <v>26</v>
      </c>
      <c r="G2" s="6"/>
      <c r="H2" s="6" t="s">
        <v>166</v>
      </c>
      <c r="I2" s="10"/>
      <c r="J2" s="6" t="str">
        <f aca="false">IF(I2="","– (top of tree)",IFERROR(INDEX($B$2:$B$101,MATCH(I2,$A$2:$A$101,0)),"CHECK: code not found"))</f>
        <v>– (top of tree)</v>
      </c>
      <c r="K2" s="6" t="s">
        <v>167</v>
      </c>
      <c r="L2" s="10" t="s">
        <v>168</v>
      </c>
      <c r="M2" s="6" t="s">
        <v>169</v>
      </c>
    </row>
    <row r="3" customFormat="false" ht="26.85" hidden="false" customHeight="false" outlineLevel="0" collapsed="false">
      <c r="A3" s="6" t="s">
        <v>170</v>
      </c>
      <c r="B3" s="6" t="s">
        <v>171</v>
      </c>
      <c r="C3" s="6" t="s">
        <v>172</v>
      </c>
      <c r="D3" s="6" t="s">
        <v>85</v>
      </c>
      <c r="E3" s="6" t="s">
        <v>25</v>
      </c>
      <c r="F3" s="6" t="s">
        <v>26</v>
      </c>
      <c r="G3" s="6"/>
      <c r="H3" s="6" t="s">
        <v>166</v>
      </c>
      <c r="I3" s="10" t="s">
        <v>27</v>
      </c>
      <c r="J3" s="6" t="str">
        <f aca="false">IF(I3="","– (top of tree)",IFERROR(INDEX($B$2:$B$101,MATCH(I3,$A$2:$A$101,0)),"CHECK: code not found"))</f>
        <v>Arjun Raman</v>
      </c>
      <c r="K3" s="6" t="s">
        <v>173</v>
      </c>
      <c r="L3" s="10" t="s">
        <v>174</v>
      </c>
      <c r="M3" s="6" t="s">
        <v>169</v>
      </c>
    </row>
    <row r="4" customFormat="false" ht="15" hidden="false" customHeight="false" outlineLevel="0" collapsed="false">
      <c r="A4" s="6" t="s">
        <v>175</v>
      </c>
      <c r="B4" s="6" t="s">
        <v>176</v>
      </c>
      <c r="C4" s="6" t="s">
        <v>177</v>
      </c>
      <c r="D4" s="6" t="s">
        <v>91</v>
      </c>
      <c r="E4" s="6" t="s">
        <v>25</v>
      </c>
      <c r="F4" s="6" t="s">
        <v>26</v>
      </c>
      <c r="G4" s="6"/>
      <c r="H4" s="6" t="s">
        <v>166</v>
      </c>
      <c r="I4" s="10" t="s">
        <v>27</v>
      </c>
      <c r="J4" s="6" t="str">
        <f aca="false">IF(I4="","– (top of tree)",IFERROR(INDEX($B$2:$B$101,MATCH(I4,$A$2:$A$101,0)),"CHECK: code not found"))</f>
        <v>Arjun Raman</v>
      </c>
      <c r="K4" s="6" t="s">
        <v>178</v>
      </c>
      <c r="L4" s="10" t="s">
        <v>179</v>
      </c>
      <c r="M4" s="6" t="s">
        <v>169</v>
      </c>
    </row>
    <row r="5" customFormat="false" ht="26.85" hidden="false" customHeight="false" outlineLevel="0" collapsed="false">
      <c r="A5" s="6" t="s">
        <v>31</v>
      </c>
      <c r="B5" s="6" t="s">
        <v>180</v>
      </c>
      <c r="C5" s="6" t="s">
        <v>181</v>
      </c>
      <c r="D5" s="6" t="s">
        <v>79</v>
      </c>
      <c r="E5" s="6" t="s">
        <v>29</v>
      </c>
      <c r="F5" s="6" t="s">
        <v>30</v>
      </c>
      <c r="G5" s="6"/>
      <c r="H5" s="6" t="s">
        <v>166</v>
      </c>
      <c r="I5" s="10" t="s">
        <v>27</v>
      </c>
      <c r="J5" s="6" t="str">
        <f aca="false">IF(I5="","– (top of tree)",IFERROR(INDEX($B$2:$B$101,MATCH(I5,$A$2:$A$101,0)),"CHECK: code not found"))</f>
        <v>Arjun Raman</v>
      </c>
      <c r="K5" s="6" t="s">
        <v>182</v>
      </c>
      <c r="L5" s="10" t="s">
        <v>183</v>
      </c>
      <c r="M5" s="6" t="s">
        <v>169</v>
      </c>
    </row>
    <row r="6" customFormat="false" ht="15" hidden="false" customHeight="false" outlineLevel="0" collapsed="false">
      <c r="A6" s="6" t="s">
        <v>184</v>
      </c>
      <c r="B6" s="6" t="s">
        <v>185</v>
      </c>
      <c r="C6" s="6" t="s">
        <v>186</v>
      </c>
      <c r="D6" s="6" t="s">
        <v>82</v>
      </c>
      <c r="E6" s="6" t="s">
        <v>29</v>
      </c>
      <c r="F6" s="6" t="s">
        <v>30</v>
      </c>
      <c r="G6" s="6" t="s">
        <v>187</v>
      </c>
      <c r="H6" s="6" t="s">
        <v>166</v>
      </c>
      <c r="I6" s="10" t="s">
        <v>31</v>
      </c>
      <c r="J6" s="6" t="str">
        <f aca="false">IF(I6="","– (top of tree)",IFERROR(INDEX($B$2:$B$101,MATCH(I6,$A$2:$A$101,0)),"CHECK: code not found"))</f>
        <v>Divya Iyer</v>
      </c>
      <c r="K6" s="6" t="s">
        <v>188</v>
      </c>
      <c r="L6" s="10" t="s">
        <v>189</v>
      </c>
      <c r="M6" s="6" t="s">
        <v>169</v>
      </c>
    </row>
    <row r="7" customFormat="false" ht="26.85" hidden="false" customHeight="false" outlineLevel="0" collapsed="false">
      <c r="A7" s="6" t="s">
        <v>190</v>
      </c>
      <c r="B7" s="6" t="s">
        <v>191</v>
      </c>
      <c r="C7" s="6" t="s">
        <v>192</v>
      </c>
      <c r="D7" s="6" t="s">
        <v>85</v>
      </c>
      <c r="E7" s="6" t="s">
        <v>29</v>
      </c>
      <c r="F7" s="6" t="s">
        <v>30</v>
      </c>
      <c r="G7" s="6" t="s">
        <v>187</v>
      </c>
      <c r="H7" s="6" t="s">
        <v>166</v>
      </c>
      <c r="I7" s="10" t="s">
        <v>184</v>
      </c>
      <c r="J7" s="6" t="str">
        <f aca="false">IF(I7="","– (top of tree)",IFERROR(INDEX($B$2:$B$101,MATCH(I7,$A$2:$A$101,0)),"CHECK: code not found"))</f>
        <v>Suresh Shetty</v>
      </c>
      <c r="K7" s="6" t="s">
        <v>193</v>
      </c>
      <c r="L7" s="10" t="s">
        <v>189</v>
      </c>
      <c r="M7" s="6" t="s">
        <v>169</v>
      </c>
    </row>
    <row r="8" customFormat="false" ht="26.85" hidden="false" customHeight="false" outlineLevel="0" collapsed="false">
      <c r="A8" s="6" t="s">
        <v>194</v>
      </c>
      <c r="B8" s="6" t="s">
        <v>195</v>
      </c>
      <c r="C8" s="6" t="s">
        <v>196</v>
      </c>
      <c r="D8" s="6" t="s">
        <v>88</v>
      </c>
      <c r="E8" s="6" t="s">
        <v>29</v>
      </c>
      <c r="F8" s="6" t="s">
        <v>30</v>
      </c>
      <c r="G8" s="6" t="s">
        <v>187</v>
      </c>
      <c r="H8" s="6" t="s">
        <v>166</v>
      </c>
      <c r="I8" s="10" t="s">
        <v>190</v>
      </c>
      <c r="J8" s="6" t="str">
        <f aca="false">IF(I8="","– (top of tree)",IFERROR(INDEX($B$2:$B$101,MATCH(I8,$A$2:$A$101,0)),"CHECK: code not found"))</f>
        <v>Lakshmi Chandran</v>
      </c>
      <c r="K8" s="6" t="s">
        <v>197</v>
      </c>
      <c r="L8" s="10" t="s">
        <v>189</v>
      </c>
      <c r="M8" s="6" t="s">
        <v>169</v>
      </c>
    </row>
    <row r="9" customFormat="false" ht="15" hidden="false" customHeight="false" outlineLevel="0" collapsed="false">
      <c r="A9" s="6" t="s">
        <v>198</v>
      </c>
      <c r="B9" s="6" t="s">
        <v>199</v>
      </c>
      <c r="C9" s="6" t="s">
        <v>200</v>
      </c>
      <c r="D9" s="6" t="s">
        <v>91</v>
      </c>
      <c r="E9" s="6" t="s">
        <v>29</v>
      </c>
      <c r="F9" s="6" t="s">
        <v>30</v>
      </c>
      <c r="G9" s="6" t="s">
        <v>187</v>
      </c>
      <c r="H9" s="6" t="s">
        <v>166</v>
      </c>
      <c r="I9" s="10" t="s">
        <v>194</v>
      </c>
      <c r="J9" s="6" t="str">
        <f aca="false">IF(I9="","– (top of tree)",IFERROR(INDEX($B$2:$B$101,MATCH(I9,$A$2:$A$101,0)),"CHECK: code not found"))</f>
        <v>Rahul Natarajan</v>
      </c>
      <c r="K9" s="6" t="s">
        <v>201</v>
      </c>
      <c r="L9" s="10" t="s">
        <v>179</v>
      </c>
      <c r="M9" s="6" t="s">
        <v>169</v>
      </c>
    </row>
    <row r="10" customFormat="false" ht="26.85" hidden="false" customHeight="false" outlineLevel="0" collapsed="false">
      <c r="A10" s="6" t="s">
        <v>202</v>
      </c>
      <c r="B10" s="6" t="s">
        <v>203</v>
      </c>
      <c r="C10" s="6" t="s">
        <v>200</v>
      </c>
      <c r="D10" s="6" t="s">
        <v>91</v>
      </c>
      <c r="E10" s="6" t="s">
        <v>29</v>
      </c>
      <c r="F10" s="6" t="s">
        <v>30</v>
      </c>
      <c r="G10" s="6" t="s">
        <v>187</v>
      </c>
      <c r="H10" s="6" t="s">
        <v>204</v>
      </c>
      <c r="I10" s="10" t="s">
        <v>194</v>
      </c>
      <c r="J10" s="6" t="str">
        <f aca="false">IF(I10="","– (top of tree)",IFERROR(INDEX($B$2:$B$101,MATCH(I10,$A$2:$A$101,0)),"CHECK: code not found"))</f>
        <v>Rahul Natarajan</v>
      </c>
      <c r="K10" s="6" t="s">
        <v>205</v>
      </c>
      <c r="L10" s="10" t="s">
        <v>179</v>
      </c>
      <c r="M10" s="6" t="s">
        <v>169</v>
      </c>
    </row>
    <row r="11" customFormat="false" ht="26.85" hidden="false" customHeight="false" outlineLevel="0" collapsed="false">
      <c r="A11" s="6" t="s">
        <v>206</v>
      </c>
      <c r="B11" s="6" t="s">
        <v>207</v>
      </c>
      <c r="C11" s="6" t="s">
        <v>208</v>
      </c>
      <c r="D11" s="6" t="s">
        <v>85</v>
      </c>
      <c r="E11" s="6" t="s">
        <v>29</v>
      </c>
      <c r="F11" s="6" t="s">
        <v>30</v>
      </c>
      <c r="G11" s="6" t="s">
        <v>209</v>
      </c>
      <c r="H11" s="6" t="s">
        <v>166</v>
      </c>
      <c r="I11" s="10" t="s">
        <v>31</v>
      </c>
      <c r="J11" s="6" t="str">
        <f aca="false">IF(I11="","– (top of tree)",IFERROR(INDEX($B$2:$B$101,MATCH(I11,$A$2:$A$101,0)),"CHECK: code not found"))</f>
        <v>Divya Iyer</v>
      </c>
      <c r="K11" s="6" t="s">
        <v>210</v>
      </c>
      <c r="L11" s="10" t="s">
        <v>189</v>
      </c>
      <c r="M11" s="6" t="s">
        <v>169</v>
      </c>
    </row>
    <row r="12" customFormat="false" ht="15" hidden="false" customHeight="false" outlineLevel="0" collapsed="false">
      <c r="A12" s="6" t="s">
        <v>211</v>
      </c>
      <c r="B12" s="6" t="s">
        <v>212</v>
      </c>
      <c r="C12" s="6" t="s">
        <v>213</v>
      </c>
      <c r="D12" s="6" t="s">
        <v>88</v>
      </c>
      <c r="E12" s="6" t="s">
        <v>29</v>
      </c>
      <c r="F12" s="6" t="s">
        <v>30</v>
      </c>
      <c r="G12" s="6" t="s">
        <v>209</v>
      </c>
      <c r="H12" s="6" t="s">
        <v>166</v>
      </c>
      <c r="I12" s="10" t="s">
        <v>206</v>
      </c>
      <c r="J12" s="6" t="str">
        <f aca="false">IF(I12="","– (top of tree)",IFERROR(INDEX($B$2:$B$101,MATCH(I12,$A$2:$A$101,0)),"CHECK: code not found"))</f>
        <v>Anitha Krishnan</v>
      </c>
      <c r="K12" s="6" t="s">
        <v>214</v>
      </c>
      <c r="L12" s="10" t="s">
        <v>189</v>
      </c>
      <c r="M12" s="6" t="s">
        <v>169</v>
      </c>
    </row>
    <row r="13" customFormat="false" ht="15" hidden="false" customHeight="false" outlineLevel="0" collapsed="false">
      <c r="A13" s="6" t="s">
        <v>215</v>
      </c>
      <c r="B13" s="6" t="s">
        <v>216</v>
      </c>
      <c r="C13" s="6" t="s">
        <v>217</v>
      </c>
      <c r="D13" s="6" t="s">
        <v>91</v>
      </c>
      <c r="E13" s="6" t="s">
        <v>29</v>
      </c>
      <c r="F13" s="6" t="s">
        <v>30</v>
      </c>
      <c r="G13" s="6" t="s">
        <v>209</v>
      </c>
      <c r="H13" s="6" t="s">
        <v>166</v>
      </c>
      <c r="I13" s="10" t="s">
        <v>211</v>
      </c>
      <c r="J13" s="6" t="str">
        <f aca="false">IF(I13="","– (top of tree)",IFERROR(INDEX($B$2:$B$101,MATCH(I13,$A$2:$A$101,0)),"CHECK: code not found"))</f>
        <v>Ramesh Nair</v>
      </c>
      <c r="K13" s="6" t="s">
        <v>218</v>
      </c>
      <c r="L13" s="10" t="s">
        <v>179</v>
      </c>
      <c r="M13" s="6" t="s">
        <v>169</v>
      </c>
    </row>
    <row r="14" customFormat="false" ht="26.85" hidden="false" customHeight="false" outlineLevel="0" collapsed="false">
      <c r="A14" s="6" t="s">
        <v>219</v>
      </c>
      <c r="B14" s="6" t="s">
        <v>220</v>
      </c>
      <c r="C14" s="6" t="s">
        <v>221</v>
      </c>
      <c r="D14" s="6" t="s">
        <v>82</v>
      </c>
      <c r="E14" s="6" t="s">
        <v>29</v>
      </c>
      <c r="F14" s="6" t="s">
        <v>30</v>
      </c>
      <c r="G14" s="6" t="s">
        <v>222</v>
      </c>
      <c r="H14" s="6" t="s">
        <v>166</v>
      </c>
      <c r="I14" s="10" t="s">
        <v>31</v>
      </c>
      <c r="J14" s="6" t="str">
        <f aca="false">IF(I14="","– (top of tree)",IFERROR(INDEX($B$2:$B$101,MATCH(I14,$A$2:$A$101,0)),"CHECK: code not found"))</f>
        <v>Divya Iyer</v>
      </c>
      <c r="K14" s="6" t="s">
        <v>223</v>
      </c>
      <c r="L14" s="10" t="s">
        <v>189</v>
      </c>
      <c r="M14" s="6" t="s">
        <v>169</v>
      </c>
    </row>
    <row r="15" customFormat="false" ht="26.85" hidden="false" customHeight="false" outlineLevel="0" collapsed="false">
      <c r="A15" s="6" t="s">
        <v>224</v>
      </c>
      <c r="B15" s="6" t="s">
        <v>225</v>
      </c>
      <c r="C15" s="6" t="s">
        <v>226</v>
      </c>
      <c r="D15" s="6" t="s">
        <v>88</v>
      </c>
      <c r="E15" s="6" t="s">
        <v>29</v>
      </c>
      <c r="F15" s="6" t="s">
        <v>30</v>
      </c>
      <c r="G15" s="6" t="s">
        <v>222</v>
      </c>
      <c r="H15" s="6" t="s">
        <v>166</v>
      </c>
      <c r="I15" s="10" t="s">
        <v>219</v>
      </c>
      <c r="J15" s="6" t="str">
        <f aca="false">IF(I15="","– (top of tree)",IFERROR(INDEX($B$2:$B$101,MATCH(I15,$A$2:$A$101,0)),"CHECK: code not found"))</f>
        <v>Prakash Subramani</v>
      </c>
      <c r="K15" s="6" t="s">
        <v>227</v>
      </c>
      <c r="L15" s="10" t="s">
        <v>189</v>
      </c>
      <c r="M15" s="6" t="s">
        <v>169</v>
      </c>
    </row>
    <row r="16" customFormat="false" ht="26.85" hidden="false" customHeight="false" outlineLevel="0" collapsed="false">
      <c r="A16" s="6" t="s">
        <v>228</v>
      </c>
      <c r="B16" s="6" t="s">
        <v>229</v>
      </c>
      <c r="C16" s="6" t="s">
        <v>230</v>
      </c>
      <c r="D16" s="6" t="s">
        <v>91</v>
      </c>
      <c r="E16" s="6" t="s">
        <v>29</v>
      </c>
      <c r="F16" s="6" t="s">
        <v>30</v>
      </c>
      <c r="G16" s="6" t="s">
        <v>222</v>
      </c>
      <c r="H16" s="6" t="s">
        <v>166</v>
      </c>
      <c r="I16" s="10" t="s">
        <v>224</v>
      </c>
      <c r="J16" s="6" t="str">
        <f aca="false">IF(I16="","– (top of tree)",IFERROR(INDEX($B$2:$B$101,MATCH(I16,$A$2:$A$101,0)),"CHECK: code not found"))</f>
        <v>Deepa Sharma</v>
      </c>
      <c r="K16" s="6" t="s">
        <v>231</v>
      </c>
      <c r="L16" s="10" t="s">
        <v>179</v>
      </c>
      <c r="M16" s="6" t="s">
        <v>169</v>
      </c>
    </row>
    <row r="17" customFormat="false" ht="15" hidden="false" customHeight="false" outlineLevel="0" collapsed="false">
      <c r="A17" s="6" t="s">
        <v>35</v>
      </c>
      <c r="B17" s="6" t="s">
        <v>232</v>
      </c>
      <c r="C17" s="6" t="s">
        <v>233</v>
      </c>
      <c r="D17" s="6" t="s">
        <v>79</v>
      </c>
      <c r="E17" s="6" t="s">
        <v>33</v>
      </c>
      <c r="F17" s="6" t="s">
        <v>34</v>
      </c>
      <c r="G17" s="6"/>
      <c r="H17" s="6" t="s">
        <v>166</v>
      </c>
      <c r="I17" s="10" t="s">
        <v>27</v>
      </c>
      <c r="J17" s="6" t="str">
        <f aca="false">IF(I17="","– (top of tree)",IFERROR(INDEX($B$2:$B$101,MATCH(I17,$A$2:$A$101,0)),"CHECK: code not found"))</f>
        <v>Arjun Raman</v>
      </c>
      <c r="K17" s="6" t="s">
        <v>234</v>
      </c>
      <c r="L17" s="10" t="s">
        <v>235</v>
      </c>
      <c r="M17" s="6" t="s">
        <v>169</v>
      </c>
    </row>
    <row r="18" customFormat="false" ht="26.85" hidden="false" customHeight="false" outlineLevel="0" collapsed="false">
      <c r="A18" s="6" t="s">
        <v>236</v>
      </c>
      <c r="B18" s="6" t="s">
        <v>237</v>
      </c>
      <c r="C18" s="6" t="s">
        <v>238</v>
      </c>
      <c r="D18" s="6" t="s">
        <v>82</v>
      </c>
      <c r="E18" s="6" t="s">
        <v>33</v>
      </c>
      <c r="F18" s="6" t="s">
        <v>34</v>
      </c>
      <c r="G18" s="6" t="s">
        <v>239</v>
      </c>
      <c r="H18" s="6" t="s">
        <v>166</v>
      </c>
      <c r="I18" s="10" t="s">
        <v>35</v>
      </c>
      <c r="J18" s="6" t="str">
        <f aca="false">IF(I18="","– (top of tree)",IFERROR(INDEX($B$2:$B$101,MATCH(I18,$A$2:$A$101,0)),"CHECK: code not found"))</f>
        <v>Revathi Pillai</v>
      </c>
      <c r="K18" s="6" t="s">
        <v>240</v>
      </c>
      <c r="L18" s="10" t="s">
        <v>189</v>
      </c>
      <c r="M18" s="6" t="s">
        <v>169</v>
      </c>
    </row>
    <row r="19" customFormat="false" ht="15" hidden="false" customHeight="false" outlineLevel="0" collapsed="false">
      <c r="A19" s="6" t="s">
        <v>241</v>
      </c>
      <c r="B19" s="6" t="s">
        <v>242</v>
      </c>
      <c r="C19" s="6" t="s">
        <v>243</v>
      </c>
      <c r="D19" s="6" t="s">
        <v>85</v>
      </c>
      <c r="E19" s="6" t="s">
        <v>33</v>
      </c>
      <c r="F19" s="6" t="s">
        <v>34</v>
      </c>
      <c r="G19" s="6" t="s">
        <v>239</v>
      </c>
      <c r="H19" s="6" t="s">
        <v>166</v>
      </c>
      <c r="I19" s="10" t="s">
        <v>236</v>
      </c>
      <c r="J19" s="6" t="str">
        <f aca="false">IF(I19="","– (top of tree)",IFERROR(INDEX($B$2:$B$101,MATCH(I19,$A$2:$A$101,0)),"CHECK: code not found"))</f>
        <v>Ganesh Joseph</v>
      </c>
      <c r="K19" s="6" t="s">
        <v>244</v>
      </c>
      <c r="L19" s="10" t="s">
        <v>189</v>
      </c>
      <c r="M19" s="6" t="s">
        <v>169</v>
      </c>
    </row>
    <row r="20" customFormat="false" ht="15" hidden="false" customHeight="false" outlineLevel="0" collapsed="false">
      <c r="A20" s="6" t="s">
        <v>245</v>
      </c>
      <c r="B20" s="6" t="s">
        <v>246</v>
      </c>
      <c r="C20" s="6" t="s">
        <v>247</v>
      </c>
      <c r="D20" s="6" t="s">
        <v>88</v>
      </c>
      <c r="E20" s="6" t="s">
        <v>33</v>
      </c>
      <c r="F20" s="6" t="s">
        <v>34</v>
      </c>
      <c r="G20" s="6" t="s">
        <v>239</v>
      </c>
      <c r="H20" s="6" t="s">
        <v>204</v>
      </c>
      <c r="I20" s="10" t="s">
        <v>241</v>
      </c>
      <c r="J20" s="6" t="str">
        <f aca="false">IF(I20="","– (top of tree)",IFERROR(INDEX($B$2:$B$101,MATCH(I20,$A$2:$A$101,0)),"CHECK: code not found"))</f>
        <v>Nithya Das</v>
      </c>
      <c r="K20" s="6" t="s">
        <v>248</v>
      </c>
      <c r="L20" s="10" t="s">
        <v>189</v>
      </c>
      <c r="M20" s="6" t="s">
        <v>169</v>
      </c>
    </row>
    <row r="21" customFormat="false" ht="26.85" hidden="false" customHeight="false" outlineLevel="0" collapsed="false">
      <c r="A21" s="6" t="s">
        <v>249</v>
      </c>
      <c r="B21" s="6" t="s">
        <v>250</v>
      </c>
      <c r="C21" s="6" t="s">
        <v>251</v>
      </c>
      <c r="D21" s="6" t="s">
        <v>91</v>
      </c>
      <c r="E21" s="6" t="s">
        <v>33</v>
      </c>
      <c r="F21" s="6" t="s">
        <v>34</v>
      </c>
      <c r="G21" s="6" t="s">
        <v>239</v>
      </c>
      <c r="H21" s="6" t="s">
        <v>252</v>
      </c>
      <c r="I21" s="10" t="s">
        <v>245</v>
      </c>
      <c r="J21" s="6" t="str">
        <f aca="false">IF(I21="","– (top of tree)",IFERROR(INDEX($B$2:$B$101,MATCH(I21,$A$2:$A$101,0)),"CHECK: code not found"))</f>
        <v>Ashok Menon</v>
      </c>
      <c r="K21" s="6" t="s">
        <v>253</v>
      </c>
      <c r="L21" s="10" t="s">
        <v>179</v>
      </c>
      <c r="M21" s="6" t="s">
        <v>169</v>
      </c>
    </row>
    <row r="22" customFormat="false" ht="15" hidden="false" customHeight="false" outlineLevel="0" collapsed="false">
      <c r="A22" s="6" t="s">
        <v>254</v>
      </c>
      <c r="B22" s="6" t="s">
        <v>255</v>
      </c>
      <c r="C22" s="6" t="s">
        <v>256</v>
      </c>
      <c r="D22" s="6" t="s">
        <v>85</v>
      </c>
      <c r="E22" s="6" t="s">
        <v>33</v>
      </c>
      <c r="F22" s="6" t="s">
        <v>34</v>
      </c>
      <c r="G22" s="6" t="s">
        <v>257</v>
      </c>
      <c r="H22" s="6" t="s">
        <v>166</v>
      </c>
      <c r="I22" s="10" t="s">
        <v>35</v>
      </c>
      <c r="J22" s="6" t="str">
        <f aca="false">IF(I22="","– (top of tree)",IFERROR(INDEX($B$2:$B$101,MATCH(I22,$A$2:$A$101,0)),"CHECK: code not found"))</f>
        <v>Revathi Pillai</v>
      </c>
      <c r="K22" s="6" t="s">
        <v>258</v>
      </c>
      <c r="L22" s="10" t="s">
        <v>189</v>
      </c>
      <c r="M22" s="6" t="s">
        <v>169</v>
      </c>
    </row>
    <row r="23" customFormat="false" ht="15" hidden="false" customHeight="false" outlineLevel="0" collapsed="false">
      <c r="A23" s="6" t="s">
        <v>259</v>
      </c>
      <c r="B23" s="6" t="s">
        <v>260</v>
      </c>
      <c r="C23" s="6" t="s">
        <v>261</v>
      </c>
      <c r="D23" s="6" t="s">
        <v>91</v>
      </c>
      <c r="E23" s="6" t="s">
        <v>33</v>
      </c>
      <c r="F23" s="6" t="s">
        <v>34</v>
      </c>
      <c r="G23" s="6" t="s">
        <v>257</v>
      </c>
      <c r="H23" s="6" t="s">
        <v>166</v>
      </c>
      <c r="I23" s="10" t="s">
        <v>254</v>
      </c>
      <c r="J23" s="6" t="str">
        <f aca="false">IF(I23="","– (top of tree)",IFERROR(INDEX($B$2:$B$101,MATCH(I23,$A$2:$A$101,0)),"CHECK: code not found"))</f>
        <v>Manoj Raman</v>
      </c>
      <c r="K23" s="6" t="s">
        <v>262</v>
      </c>
      <c r="L23" s="10" t="s">
        <v>179</v>
      </c>
      <c r="M23" s="6" t="s">
        <v>169</v>
      </c>
    </row>
    <row r="24" customFormat="false" ht="15" hidden="false" customHeight="false" outlineLevel="0" collapsed="false">
      <c r="A24" s="6" t="s">
        <v>38</v>
      </c>
      <c r="B24" s="6" t="s">
        <v>263</v>
      </c>
      <c r="C24" s="6" t="s">
        <v>264</v>
      </c>
      <c r="D24" s="6" t="s">
        <v>79</v>
      </c>
      <c r="E24" s="6" t="s">
        <v>36</v>
      </c>
      <c r="F24" s="6" t="s">
        <v>37</v>
      </c>
      <c r="G24" s="6"/>
      <c r="H24" s="6" t="s">
        <v>166</v>
      </c>
      <c r="I24" s="10" t="s">
        <v>27</v>
      </c>
      <c r="J24" s="6" t="str">
        <f aca="false">IF(I24="","– (top of tree)",IFERROR(INDEX($B$2:$B$101,MATCH(I24,$A$2:$A$101,0)),"CHECK: code not found"))</f>
        <v>Arjun Raman</v>
      </c>
      <c r="K24" s="6" t="s">
        <v>265</v>
      </c>
      <c r="L24" s="10" t="s">
        <v>235</v>
      </c>
      <c r="M24" s="6" t="s">
        <v>169</v>
      </c>
    </row>
    <row r="25" customFormat="false" ht="15" hidden="false" customHeight="false" outlineLevel="0" collapsed="false">
      <c r="A25" s="6" t="s">
        <v>266</v>
      </c>
      <c r="B25" s="6" t="s">
        <v>267</v>
      </c>
      <c r="C25" s="6" t="s">
        <v>268</v>
      </c>
      <c r="D25" s="6" t="s">
        <v>85</v>
      </c>
      <c r="E25" s="6" t="s">
        <v>36</v>
      </c>
      <c r="F25" s="6" t="s">
        <v>37</v>
      </c>
      <c r="G25" s="6"/>
      <c r="H25" s="6" t="s">
        <v>166</v>
      </c>
      <c r="I25" s="10" t="s">
        <v>38</v>
      </c>
      <c r="J25" s="6" t="str">
        <f aca="false">IF(I25="","– (top of tree)",IFERROR(INDEX($B$2:$B$101,MATCH(I25,$A$2:$A$101,0)),"CHECK: code not found"))</f>
        <v>Senthil Varma</v>
      </c>
      <c r="K25" s="6" t="s">
        <v>269</v>
      </c>
      <c r="L25" s="10" t="s">
        <v>189</v>
      </c>
      <c r="M25" s="6" t="s">
        <v>169</v>
      </c>
    </row>
    <row r="26" customFormat="false" ht="15" hidden="false" customHeight="false" outlineLevel="0" collapsed="false">
      <c r="A26" s="6" t="s">
        <v>270</v>
      </c>
      <c r="B26" s="6" t="s">
        <v>271</v>
      </c>
      <c r="C26" s="6" t="s">
        <v>272</v>
      </c>
      <c r="D26" s="6" t="s">
        <v>88</v>
      </c>
      <c r="E26" s="6" t="s">
        <v>36</v>
      </c>
      <c r="F26" s="6" t="s">
        <v>37</v>
      </c>
      <c r="G26" s="6"/>
      <c r="H26" s="6" t="s">
        <v>166</v>
      </c>
      <c r="I26" s="10" t="s">
        <v>266</v>
      </c>
      <c r="J26" s="6" t="str">
        <f aca="false">IF(I26="","– (top of tree)",IFERROR(INDEX($B$2:$B$101,MATCH(I26,$A$2:$A$101,0)),"CHECK: code not found"))</f>
        <v>Harini Iyer</v>
      </c>
      <c r="K26" s="6" t="s">
        <v>273</v>
      </c>
      <c r="L26" s="10" t="s">
        <v>189</v>
      </c>
      <c r="M26" s="6" t="s">
        <v>169</v>
      </c>
    </row>
    <row r="27" customFormat="false" ht="26.85" hidden="false" customHeight="false" outlineLevel="0" collapsed="false">
      <c r="A27" s="6" t="s">
        <v>274</v>
      </c>
      <c r="B27" s="6" t="s">
        <v>275</v>
      </c>
      <c r="C27" s="6" t="s">
        <v>272</v>
      </c>
      <c r="D27" s="6" t="s">
        <v>88</v>
      </c>
      <c r="E27" s="6" t="s">
        <v>36</v>
      </c>
      <c r="F27" s="6" t="s">
        <v>37</v>
      </c>
      <c r="G27" s="6"/>
      <c r="H27" s="6" t="s">
        <v>252</v>
      </c>
      <c r="I27" s="10" t="s">
        <v>266</v>
      </c>
      <c r="J27" s="6" t="str">
        <f aca="false">IF(I27="","– (top of tree)",IFERROR(INDEX($B$2:$B$101,MATCH(I27,$A$2:$A$101,0)),"CHECK: code not found"))</f>
        <v>Harini Iyer</v>
      </c>
      <c r="K27" s="6" t="s">
        <v>276</v>
      </c>
      <c r="L27" s="10" t="s">
        <v>189</v>
      </c>
      <c r="M27" s="6" t="s">
        <v>169</v>
      </c>
    </row>
    <row r="28" customFormat="false" ht="26.85" hidden="false" customHeight="false" outlineLevel="0" collapsed="false">
      <c r="A28" s="6" t="s">
        <v>277</v>
      </c>
      <c r="B28" s="6" t="s">
        <v>278</v>
      </c>
      <c r="C28" s="6" t="s">
        <v>279</v>
      </c>
      <c r="D28" s="6" t="s">
        <v>91</v>
      </c>
      <c r="E28" s="6" t="s">
        <v>36</v>
      </c>
      <c r="F28" s="6" t="s">
        <v>37</v>
      </c>
      <c r="G28" s="6"/>
      <c r="H28" s="6" t="s">
        <v>166</v>
      </c>
      <c r="I28" s="10" t="s">
        <v>270</v>
      </c>
      <c r="J28" s="6" t="str">
        <f aca="false">IF(I28="","– (top of tree)",IFERROR(INDEX($B$2:$B$101,MATCH(I28,$A$2:$A$101,0)),"CHECK: code not found"))</f>
        <v>Vinod Shetty</v>
      </c>
      <c r="K28" s="6" t="s">
        <v>280</v>
      </c>
      <c r="L28" s="10" t="s">
        <v>179</v>
      </c>
      <c r="M28" s="6" t="s">
        <v>169</v>
      </c>
    </row>
    <row r="29" customFormat="false" ht="15" hidden="false" customHeight="false" outlineLevel="0" collapsed="false">
      <c r="A29" s="6" t="s">
        <v>281</v>
      </c>
      <c r="B29" s="6" t="s">
        <v>282</v>
      </c>
      <c r="C29" s="6" t="s">
        <v>279</v>
      </c>
      <c r="D29" s="6" t="s">
        <v>91</v>
      </c>
      <c r="E29" s="6" t="s">
        <v>36</v>
      </c>
      <c r="F29" s="6" t="s">
        <v>37</v>
      </c>
      <c r="G29" s="6"/>
      <c r="H29" s="6" t="s">
        <v>252</v>
      </c>
      <c r="I29" s="10" t="s">
        <v>274</v>
      </c>
      <c r="J29" s="6" t="str">
        <f aca="false">IF(I29="","– (top of tree)",IFERROR(INDEX($B$2:$B$101,MATCH(I29,$A$2:$A$101,0)),"CHECK: code not found"))</f>
        <v>Sowmya Chandran</v>
      </c>
      <c r="K29" s="6" t="s">
        <v>283</v>
      </c>
      <c r="L29" s="10" t="s">
        <v>179</v>
      </c>
      <c r="M29" s="6" t="s">
        <v>169</v>
      </c>
    </row>
    <row r="30" customFormat="false" ht="26.85" hidden="false" customHeight="false" outlineLevel="0" collapsed="false">
      <c r="A30" s="6" t="s">
        <v>41</v>
      </c>
      <c r="B30" s="6" t="s">
        <v>284</v>
      </c>
      <c r="C30" s="6" t="s">
        <v>285</v>
      </c>
      <c r="D30" s="6" t="s">
        <v>79</v>
      </c>
      <c r="E30" s="6" t="s">
        <v>39</v>
      </c>
      <c r="F30" s="6" t="s">
        <v>40</v>
      </c>
      <c r="G30" s="6"/>
      <c r="H30" s="6" t="s">
        <v>204</v>
      </c>
      <c r="I30" s="10" t="s">
        <v>27</v>
      </c>
      <c r="J30" s="6" t="str">
        <f aca="false">IF(I30="","– (top of tree)",IFERROR(INDEX($B$2:$B$101,MATCH(I30,$A$2:$A$101,0)),"CHECK: code not found"))</f>
        <v>Arjun Raman</v>
      </c>
      <c r="K30" s="6" t="s">
        <v>286</v>
      </c>
      <c r="L30" s="10" t="s">
        <v>235</v>
      </c>
      <c r="M30" s="6" t="s">
        <v>169</v>
      </c>
    </row>
    <row r="31" customFormat="false" ht="26.85" hidden="false" customHeight="false" outlineLevel="0" collapsed="false">
      <c r="A31" s="6" t="s">
        <v>287</v>
      </c>
      <c r="B31" s="6" t="s">
        <v>288</v>
      </c>
      <c r="C31" s="6" t="s">
        <v>289</v>
      </c>
      <c r="D31" s="6" t="s">
        <v>88</v>
      </c>
      <c r="E31" s="6" t="s">
        <v>39</v>
      </c>
      <c r="F31" s="6" t="s">
        <v>40</v>
      </c>
      <c r="G31" s="6"/>
      <c r="H31" s="6" t="s">
        <v>204</v>
      </c>
      <c r="I31" s="10" t="s">
        <v>41</v>
      </c>
      <c r="J31" s="6" t="str">
        <f aca="false">IF(I31="","– (top of tree)",IFERROR(INDEX($B$2:$B$101,MATCH(I31,$A$2:$A$101,0)),"CHECK: code not found"))</f>
        <v>Dinesh Murugan</v>
      </c>
      <c r="K31" s="6" t="s">
        <v>290</v>
      </c>
      <c r="L31" s="10" t="s">
        <v>189</v>
      </c>
      <c r="M31" s="6" t="s">
        <v>169</v>
      </c>
    </row>
    <row r="32" customFormat="false" ht="15" hidden="false" customHeight="false" outlineLevel="0" collapsed="false">
      <c r="A32" s="6" t="s">
        <v>291</v>
      </c>
      <c r="B32" s="6" t="s">
        <v>292</v>
      </c>
      <c r="C32" s="6" t="s">
        <v>289</v>
      </c>
      <c r="D32" s="6" t="s">
        <v>88</v>
      </c>
      <c r="E32" s="6" t="s">
        <v>39</v>
      </c>
      <c r="F32" s="6" t="s">
        <v>40</v>
      </c>
      <c r="G32" s="6"/>
      <c r="H32" s="6" t="s">
        <v>252</v>
      </c>
      <c r="I32" s="10" t="s">
        <v>41</v>
      </c>
      <c r="J32" s="6" t="str">
        <f aca="false">IF(I32="","– (top of tree)",IFERROR(INDEX($B$2:$B$101,MATCH(I32,$A$2:$A$101,0)),"CHECK: code not found"))</f>
        <v>Dinesh Murugan</v>
      </c>
      <c r="K32" s="6" t="s">
        <v>293</v>
      </c>
      <c r="L32" s="10" t="s">
        <v>189</v>
      </c>
      <c r="M32" s="6" t="s">
        <v>169</v>
      </c>
    </row>
    <row r="33" customFormat="false" ht="26.85" hidden="false" customHeight="false" outlineLevel="0" collapsed="false">
      <c r="A33" s="6" t="s">
        <v>294</v>
      </c>
      <c r="B33" s="6" t="s">
        <v>295</v>
      </c>
      <c r="C33" s="6" t="s">
        <v>296</v>
      </c>
      <c r="D33" s="6" t="s">
        <v>91</v>
      </c>
      <c r="E33" s="6" t="s">
        <v>39</v>
      </c>
      <c r="F33" s="6" t="s">
        <v>40</v>
      </c>
      <c r="G33" s="6"/>
      <c r="H33" s="6" t="s">
        <v>204</v>
      </c>
      <c r="I33" s="10" t="s">
        <v>287</v>
      </c>
      <c r="J33" s="6" t="str">
        <f aca="false">IF(I33="","– (top of tree)",IFERROR(INDEX($B$2:$B$101,MATCH(I33,$A$2:$A$101,0)),"CHECK: code not found"))</f>
        <v>Keerthana Krishnan</v>
      </c>
      <c r="K33" s="6" t="s">
        <v>297</v>
      </c>
      <c r="L33" s="10" t="s">
        <v>179</v>
      </c>
      <c r="M33" s="6" t="s">
        <v>169</v>
      </c>
    </row>
    <row r="34" customFormat="false" ht="26.85" hidden="false" customHeight="false" outlineLevel="0" collapsed="false">
      <c r="A34" s="6" t="s">
        <v>298</v>
      </c>
      <c r="B34" s="6" t="s">
        <v>299</v>
      </c>
      <c r="C34" s="6" t="s">
        <v>296</v>
      </c>
      <c r="D34" s="6" t="s">
        <v>91</v>
      </c>
      <c r="E34" s="6" t="s">
        <v>39</v>
      </c>
      <c r="F34" s="6" t="s">
        <v>40</v>
      </c>
      <c r="G34" s="6"/>
      <c r="H34" s="6" t="s">
        <v>204</v>
      </c>
      <c r="I34" s="10" t="s">
        <v>287</v>
      </c>
      <c r="J34" s="6" t="str">
        <f aca="false">IF(I34="","– (top of tree)",IFERROR(INDEX($B$2:$B$101,MATCH(I34,$A$2:$A$101,0)),"CHECK: code not found"))</f>
        <v>Keerthana Krishnan</v>
      </c>
      <c r="K34" s="6" t="s">
        <v>300</v>
      </c>
      <c r="L34" s="10" t="s">
        <v>179</v>
      </c>
      <c r="M34" s="6" t="s">
        <v>169</v>
      </c>
    </row>
    <row r="35" customFormat="false" ht="26.85" hidden="false" customHeight="false" outlineLevel="0" collapsed="false">
      <c r="A35" s="6" t="s">
        <v>301</v>
      </c>
      <c r="B35" s="6" t="s">
        <v>302</v>
      </c>
      <c r="C35" s="6" t="s">
        <v>296</v>
      </c>
      <c r="D35" s="6" t="s">
        <v>91</v>
      </c>
      <c r="E35" s="6" t="s">
        <v>39</v>
      </c>
      <c r="F35" s="6" t="s">
        <v>40</v>
      </c>
      <c r="G35" s="6"/>
      <c r="H35" s="6" t="s">
        <v>252</v>
      </c>
      <c r="I35" s="10" t="s">
        <v>291</v>
      </c>
      <c r="J35" s="6" t="str">
        <f aca="false">IF(I35="","– (top of tree)",IFERROR(INDEX($B$2:$B$101,MATCH(I35,$A$2:$A$101,0)),"CHECK: code not found"))</f>
        <v>Mohan Nair</v>
      </c>
      <c r="K35" s="6" t="s">
        <v>303</v>
      </c>
      <c r="L35" s="10" t="s">
        <v>179</v>
      </c>
      <c r="M35" s="6" t="s">
        <v>169</v>
      </c>
    </row>
    <row r="36" customFormat="false" ht="15" hidden="false" customHeight="false" outlineLevel="0" collapsed="false">
      <c r="A36" s="6" t="s">
        <v>44</v>
      </c>
      <c r="B36" s="6" t="s">
        <v>304</v>
      </c>
      <c r="C36" s="6" t="s">
        <v>305</v>
      </c>
      <c r="D36" s="6" t="s">
        <v>79</v>
      </c>
      <c r="E36" s="6" t="s">
        <v>42</v>
      </c>
      <c r="F36" s="6" t="s">
        <v>43</v>
      </c>
      <c r="G36" s="6"/>
      <c r="H36" s="6" t="s">
        <v>204</v>
      </c>
      <c r="I36" s="10" t="s">
        <v>27</v>
      </c>
      <c r="J36" s="6" t="str">
        <f aca="false">IF(I36="","– (top of tree)",IFERROR(INDEX($B$2:$B$101,MATCH(I36,$A$2:$A$101,0)),"CHECK: code not found"))</f>
        <v>Arjun Raman</v>
      </c>
      <c r="K36" s="6" t="s">
        <v>306</v>
      </c>
      <c r="L36" s="10" t="s">
        <v>235</v>
      </c>
      <c r="M36" s="6" t="s">
        <v>169</v>
      </c>
    </row>
    <row r="37" customFormat="false" ht="15" hidden="false" customHeight="false" outlineLevel="0" collapsed="false">
      <c r="A37" s="6" t="s">
        <v>307</v>
      </c>
      <c r="B37" s="6" t="s">
        <v>308</v>
      </c>
      <c r="C37" s="6" t="s">
        <v>309</v>
      </c>
      <c r="D37" s="6" t="s">
        <v>85</v>
      </c>
      <c r="E37" s="6" t="s">
        <v>42</v>
      </c>
      <c r="F37" s="6" t="s">
        <v>43</v>
      </c>
      <c r="G37" s="6"/>
      <c r="H37" s="6" t="s">
        <v>204</v>
      </c>
      <c r="I37" s="10" t="s">
        <v>44</v>
      </c>
      <c r="J37" s="6" t="str">
        <f aca="false">IF(I37="","– (top of tree)",IFERROR(INDEX($B$2:$B$101,MATCH(I37,$A$2:$A$101,0)),"CHECK: code not found"))</f>
        <v>Naveen Balan</v>
      </c>
      <c r="K37" s="6" t="s">
        <v>310</v>
      </c>
      <c r="L37" s="10" t="s">
        <v>189</v>
      </c>
      <c r="M37" s="6" t="s">
        <v>169</v>
      </c>
    </row>
    <row r="38" customFormat="false" ht="15" hidden="false" customHeight="false" outlineLevel="0" collapsed="false">
      <c r="A38" s="6" t="s">
        <v>311</v>
      </c>
      <c r="B38" s="6" t="s">
        <v>312</v>
      </c>
      <c r="C38" s="6" t="s">
        <v>313</v>
      </c>
      <c r="D38" s="6" t="s">
        <v>88</v>
      </c>
      <c r="E38" s="6" t="s">
        <v>42</v>
      </c>
      <c r="F38" s="6" t="s">
        <v>43</v>
      </c>
      <c r="G38" s="6"/>
      <c r="H38" s="6" t="s">
        <v>204</v>
      </c>
      <c r="I38" s="10" t="s">
        <v>307</v>
      </c>
      <c r="J38" s="6" t="str">
        <f aca="false">IF(I38="","– (top of tree)",IFERROR(INDEX($B$2:$B$101,MATCH(I38,$A$2:$A$101,0)),"CHECK: code not found"))</f>
        <v>Shalini Pillai</v>
      </c>
      <c r="K38" s="6" t="s">
        <v>314</v>
      </c>
      <c r="L38" s="10" t="s">
        <v>189</v>
      </c>
      <c r="M38" s="6" t="s">
        <v>169</v>
      </c>
    </row>
    <row r="39" customFormat="false" ht="26.85" hidden="false" customHeight="false" outlineLevel="0" collapsed="false">
      <c r="A39" s="6" t="s">
        <v>315</v>
      </c>
      <c r="B39" s="6" t="s">
        <v>316</v>
      </c>
      <c r="C39" s="6" t="s">
        <v>317</v>
      </c>
      <c r="D39" s="6" t="s">
        <v>91</v>
      </c>
      <c r="E39" s="6" t="s">
        <v>42</v>
      </c>
      <c r="F39" s="6" t="s">
        <v>43</v>
      </c>
      <c r="G39" s="6"/>
      <c r="H39" s="6" t="s">
        <v>204</v>
      </c>
      <c r="I39" s="10" t="s">
        <v>311</v>
      </c>
      <c r="J39" s="6" t="str">
        <f aca="false">IF(I39="","– (top of tree)",IFERROR(INDEX($B$2:$B$101,MATCH(I39,$A$2:$A$101,0)),"CHECK: code not found"))</f>
        <v>Gopal Joseph</v>
      </c>
      <c r="K39" s="6" t="s">
        <v>318</v>
      </c>
      <c r="L39" s="10" t="s">
        <v>179</v>
      </c>
      <c r="M39" s="6" t="s">
        <v>169</v>
      </c>
    </row>
    <row r="40" customFormat="false" ht="15" hidden="false" customHeight="false" outlineLevel="0" collapsed="false">
      <c r="A40" s="6" t="s">
        <v>319</v>
      </c>
      <c r="B40" s="6" t="s">
        <v>320</v>
      </c>
      <c r="C40" s="6" t="s">
        <v>317</v>
      </c>
      <c r="D40" s="6" t="s">
        <v>91</v>
      </c>
      <c r="E40" s="6" t="s">
        <v>42</v>
      </c>
      <c r="F40" s="6" t="s">
        <v>43</v>
      </c>
      <c r="G40" s="6"/>
      <c r="H40" s="6" t="s">
        <v>252</v>
      </c>
      <c r="I40" s="10" t="s">
        <v>311</v>
      </c>
      <c r="J40" s="6" t="str">
        <f aca="false">IF(I40="","– (top of tree)",IFERROR(INDEX($B$2:$B$101,MATCH(I40,$A$2:$A$101,0)),"CHECK: code not found"))</f>
        <v>Gopal Joseph</v>
      </c>
      <c r="K40" s="6" t="s">
        <v>321</v>
      </c>
      <c r="L40" s="10" t="s">
        <v>179</v>
      </c>
      <c r="M40" s="6" t="s">
        <v>169</v>
      </c>
    </row>
    <row r="41" customFormat="false" ht="26.85" hidden="false" customHeight="false" outlineLevel="0" collapsed="false">
      <c r="A41" s="6" t="s">
        <v>47</v>
      </c>
      <c r="B41" s="6" t="s">
        <v>322</v>
      </c>
      <c r="C41" s="6" t="s">
        <v>323</v>
      </c>
      <c r="D41" s="6" t="s">
        <v>79</v>
      </c>
      <c r="E41" s="6" t="s">
        <v>45</v>
      </c>
      <c r="F41" s="6" t="s">
        <v>46</v>
      </c>
      <c r="G41" s="6"/>
      <c r="H41" s="6" t="s">
        <v>204</v>
      </c>
      <c r="I41" s="10" t="s">
        <v>27</v>
      </c>
      <c r="J41" s="6" t="str">
        <f aca="false">IF(I41="","– (top of tree)",IFERROR(INDEX($B$2:$B$101,MATCH(I41,$A$2:$A$101,0)),"CHECK: code not found"))</f>
        <v>Arjun Raman</v>
      </c>
      <c r="K41" s="6" t="s">
        <v>324</v>
      </c>
      <c r="L41" s="10" t="s">
        <v>235</v>
      </c>
      <c r="M41" s="6" t="s">
        <v>169</v>
      </c>
    </row>
    <row r="42" customFormat="false" ht="15" hidden="false" customHeight="false" outlineLevel="0" collapsed="false">
      <c r="A42" s="6" t="s">
        <v>325</v>
      </c>
      <c r="B42" s="6" t="s">
        <v>326</v>
      </c>
      <c r="C42" s="6" t="s">
        <v>327</v>
      </c>
      <c r="D42" s="6" t="s">
        <v>82</v>
      </c>
      <c r="E42" s="6" t="s">
        <v>45</v>
      </c>
      <c r="F42" s="6" t="s">
        <v>46</v>
      </c>
      <c r="G42" s="6" t="s">
        <v>328</v>
      </c>
      <c r="H42" s="6" t="s">
        <v>204</v>
      </c>
      <c r="I42" s="10" t="s">
        <v>47</v>
      </c>
      <c r="J42" s="6" t="str">
        <f aca="false">IF(I42="","– (top of tree)",IFERROR(INDEX($B$2:$B$101,MATCH(I42,$A$2:$A$101,0)),"CHECK: code not found"))</f>
        <v>Ramya Thomas</v>
      </c>
      <c r="K42" s="6" t="s">
        <v>329</v>
      </c>
      <c r="L42" s="10" t="s">
        <v>189</v>
      </c>
      <c r="M42" s="6" t="s">
        <v>169</v>
      </c>
    </row>
    <row r="43" customFormat="false" ht="15" hidden="false" customHeight="false" outlineLevel="0" collapsed="false">
      <c r="A43" s="6" t="s">
        <v>330</v>
      </c>
      <c r="B43" s="6" t="s">
        <v>331</v>
      </c>
      <c r="C43" s="6" t="s">
        <v>332</v>
      </c>
      <c r="D43" s="6" t="s">
        <v>85</v>
      </c>
      <c r="E43" s="6" t="s">
        <v>45</v>
      </c>
      <c r="F43" s="6" t="s">
        <v>46</v>
      </c>
      <c r="G43" s="6" t="s">
        <v>328</v>
      </c>
      <c r="H43" s="6" t="s">
        <v>204</v>
      </c>
      <c r="I43" s="10" t="s">
        <v>325</v>
      </c>
      <c r="J43" s="6" t="str">
        <f aca="false">IF(I43="","– (top of tree)",IFERROR(INDEX($B$2:$B$101,MATCH(I43,$A$2:$A$101,0)),"CHECK: code not found"))</f>
        <v>Vijay Raman</v>
      </c>
      <c r="K43" s="6" t="s">
        <v>333</v>
      </c>
      <c r="L43" s="10" t="s">
        <v>189</v>
      </c>
      <c r="M43" s="6" t="s">
        <v>169</v>
      </c>
    </row>
    <row r="44" customFormat="false" ht="15" hidden="false" customHeight="false" outlineLevel="0" collapsed="false">
      <c r="A44" s="6" t="s">
        <v>334</v>
      </c>
      <c r="B44" s="6" t="s">
        <v>335</v>
      </c>
      <c r="C44" s="6" t="s">
        <v>336</v>
      </c>
      <c r="D44" s="6" t="s">
        <v>88</v>
      </c>
      <c r="E44" s="6" t="s">
        <v>45</v>
      </c>
      <c r="F44" s="6" t="s">
        <v>46</v>
      </c>
      <c r="G44" s="6" t="s">
        <v>328</v>
      </c>
      <c r="H44" s="6" t="s">
        <v>204</v>
      </c>
      <c r="I44" s="10" t="s">
        <v>330</v>
      </c>
      <c r="J44" s="6" t="str">
        <f aca="false">IF(I44="","– (top of tree)",IFERROR(INDEX($B$2:$B$101,MATCH(I44,$A$2:$A$101,0)),"CHECK: code not found"))</f>
        <v>Gayathri Rao</v>
      </c>
      <c r="K44" s="6" t="s">
        <v>337</v>
      </c>
      <c r="L44" s="10" t="s">
        <v>189</v>
      </c>
      <c r="M44" s="6" t="s">
        <v>169</v>
      </c>
    </row>
    <row r="45" customFormat="false" ht="15" hidden="false" customHeight="false" outlineLevel="0" collapsed="false">
      <c r="A45" s="6" t="s">
        <v>338</v>
      </c>
      <c r="B45" s="6" t="s">
        <v>339</v>
      </c>
      <c r="C45" s="6" t="s">
        <v>340</v>
      </c>
      <c r="D45" s="6" t="s">
        <v>88</v>
      </c>
      <c r="E45" s="6" t="s">
        <v>45</v>
      </c>
      <c r="F45" s="6" t="s">
        <v>46</v>
      </c>
      <c r="G45" s="6" t="s">
        <v>328</v>
      </c>
      <c r="H45" s="6" t="s">
        <v>204</v>
      </c>
      <c r="I45" s="10" t="s">
        <v>330</v>
      </c>
      <c r="J45" s="6" t="str">
        <f aca="false">IF(I45="","– (top of tree)",IFERROR(INDEX($B$2:$B$101,MATCH(I45,$A$2:$A$101,0)),"CHECK: code not found"))</f>
        <v>Gayathri Rao</v>
      </c>
      <c r="K45" s="6" t="s">
        <v>341</v>
      </c>
      <c r="L45" s="10" t="s">
        <v>189</v>
      </c>
      <c r="M45" s="6" t="s">
        <v>169</v>
      </c>
    </row>
    <row r="46" customFormat="false" ht="26.85" hidden="false" customHeight="false" outlineLevel="0" collapsed="false">
      <c r="A46" s="6" t="s">
        <v>342</v>
      </c>
      <c r="B46" s="6" t="s">
        <v>343</v>
      </c>
      <c r="C46" s="6" t="s">
        <v>344</v>
      </c>
      <c r="D46" s="6" t="s">
        <v>91</v>
      </c>
      <c r="E46" s="6" t="s">
        <v>45</v>
      </c>
      <c r="F46" s="6" t="s">
        <v>46</v>
      </c>
      <c r="G46" s="6" t="s">
        <v>328</v>
      </c>
      <c r="H46" s="6" t="s">
        <v>204</v>
      </c>
      <c r="I46" s="10" t="s">
        <v>334</v>
      </c>
      <c r="J46" s="6" t="str">
        <f aca="false">IF(I46="","– (top of tree)",IFERROR(INDEX($B$2:$B$101,MATCH(I46,$A$2:$A$101,0)),"CHECK: code not found"))</f>
        <v>Kumar Varma</v>
      </c>
      <c r="K46" s="6" t="s">
        <v>345</v>
      </c>
      <c r="L46" s="10" t="s">
        <v>179</v>
      </c>
      <c r="M46" s="6" t="s">
        <v>169</v>
      </c>
    </row>
    <row r="47" customFormat="false" ht="26.85" hidden="false" customHeight="false" outlineLevel="0" collapsed="false">
      <c r="A47" s="6" t="s">
        <v>346</v>
      </c>
      <c r="B47" s="6" t="s">
        <v>347</v>
      </c>
      <c r="C47" s="6" t="s">
        <v>344</v>
      </c>
      <c r="D47" s="6" t="s">
        <v>91</v>
      </c>
      <c r="E47" s="6" t="s">
        <v>45</v>
      </c>
      <c r="F47" s="6" t="s">
        <v>46</v>
      </c>
      <c r="G47" s="6" t="s">
        <v>328</v>
      </c>
      <c r="H47" s="6" t="s">
        <v>204</v>
      </c>
      <c r="I47" s="10" t="s">
        <v>338</v>
      </c>
      <c r="J47" s="6" t="str">
        <f aca="false">IF(I47="","– (top of tree)",IFERROR(INDEX($B$2:$B$101,MATCH(I47,$A$2:$A$101,0)),"CHECK: code not found"))</f>
        <v>Nandhini Iyer</v>
      </c>
      <c r="K47" s="6" t="s">
        <v>348</v>
      </c>
      <c r="L47" s="10" t="s">
        <v>179</v>
      </c>
      <c r="M47" s="6" t="s">
        <v>169</v>
      </c>
    </row>
    <row r="48" customFormat="false" ht="26.85" hidden="false" customHeight="false" outlineLevel="0" collapsed="false">
      <c r="A48" s="6" t="s">
        <v>349</v>
      </c>
      <c r="B48" s="6" t="s">
        <v>350</v>
      </c>
      <c r="C48" s="6" t="s">
        <v>344</v>
      </c>
      <c r="D48" s="6" t="s">
        <v>91</v>
      </c>
      <c r="E48" s="6" t="s">
        <v>45</v>
      </c>
      <c r="F48" s="6" t="s">
        <v>46</v>
      </c>
      <c r="G48" s="6" t="s">
        <v>328</v>
      </c>
      <c r="H48" s="6" t="s">
        <v>204</v>
      </c>
      <c r="I48" s="10" t="s">
        <v>334</v>
      </c>
      <c r="J48" s="6" t="str">
        <f aca="false">IF(I48="","– (top of tree)",IFERROR(INDEX($B$2:$B$101,MATCH(I48,$A$2:$A$101,0)),"CHECK: code not found"))</f>
        <v>Kumar Varma</v>
      </c>
      <c r="K48" s="6" t="s">
        <v>351</v>
      </c>
      <c r="L48" s="10" t="s">
        <v>179</v>
      </c>
      <c r="M48" s="6" t="s">
        <v>169</v>
      </c>
    </row>
    <row r="49" customFormat="false" ht="15" hidden="false" customHeight="false" outlineLevel="0" collapsed="false">
      <c r="A49" s="6" t="s">
        <v>352</v>
      </c>
      <c r="B49" s="6" t="s">
        <v>353</v>
      </c>
      <c r="C49" s="6" t="s">
        <v>344</v>
      </c>
      <c r="D49" s="6" t="s">
        <v>91</v>
      </c>
      <c r="E49" s="6" t="s">
        <v>45</v>
      </c>
      <c r="F49" s="6" t="s">
        <v>46</v>
      </c>
      <c r="G49" s="6" t="s">
        <v>328</v>
      </c>
      <c r="H49" s="6" t="s">
        <v>204</v>
      </c>
      <c r="I49" s="10" t="s">
        <v>338</v>
      </c>
      <c r="J49" s="6" t="str">
        <f aca="false">IF(I49="","– (top of tree)",IFERROR(INDEX($B$2:$B$101,MATCH(I49,$A$2:$A$101,0)),"CHECK: code not found"))</f>
        <v>Nandhini Iyer</v>
      </c>
      <c r="K49" s="6" t="s">
        <v>354</v>
      </c>
      <c r="L49" s="10" t="s">
        <v>179</v>
      </c>
      <c r="M49" s="6" t="s">
        <v>169</v>
      </c>
    </row>
    <row r="50" customFormat="false" ht="15" hidden="false" customHeight="false" outlineLevel="0" collapsed="false">
      <c r="A50" s="6" t="s">
        <v>355</v>
      </c>
      <c r="B50" s="6" t="s">
        <v>356</v>
      </c>
      <c r="C50" s="6" t="s">
        <v>357</v>
      </c>
      <c r="D50" s="6" t="s">
        <v>82</v>
      </c>
      <c r="E50" s="6" t="s">
        <v>45</v>
      </c>
      <c r="F50" s="6" t="s">
        <v>46</v>
      </c>
      <c r="G50" s="6" t="s">
        <v>358</v>
      </c>
      <c r="H50" s="6" t="s">
        <v>252</v>
      </c>
      <c r="I50" s="10" t="s">
        <v>47</v>
      </c>
      <c r="J50" s="6" t="str">
        <f aca="false">IF(I50="","– (top of tree)",IFERROR(INDEX($B$2:$B$101,MATCH(I50,$A$2:$A$101,0)),"CHECK: code not found"))</f>
        <v>Ramya Thomas</v>
      </c>
      <c r="K50" s="6" t="s">
        <v>359</v>
      </c>
      <c r="L50" s="10" t="s">
        <v>189</v>
      </c>
      <c r="M50" s="6" t="s">
        <v>169</v>
      </c>
    </row>
    <row r="51" customFormat="false" ht="26.85" hidden="false" customHeight="false" outlineLevel="0" collapsed="false">
      <c r="A51" s="6" t="s">
        <v>360</v>
      </c>
      <c r="B51" s="6" t="s">
        <v>361</v>
      </c>
      <c r="C51" s="6" t="s">
        <v>362</v>
      </c>
      <c r="D51" s="6" t="s">
        <v>85</v>
      </c>
      <c r="E51" s="6" t="s">
        <v>45</v>
      </c>
      <c r="F51" s="6" t="s">
        <v>46</v>
      </c>
      <c r="G51" s="6" t="s">
        <v>358</v>
      </c>
      <c r="H51" s="6" t="s">
        <v>252</v>
      </c>
      <c r="I51" s="10" t="s">
        <v>355</v>
      </c>
      <c r="J51" s="6" t="str">
        <f aca="false">IF(I51="","– (top of tree)",IFERROR(INDEX($B$2:$B$101,MATCH(I51,$A$2:$A$101,0)),"CHECK: code not found"))</f>
        <v>Siva Murugan</v>
      </c>
      <c r="K51" s="6" t="s">
        <v>363</v>
      </c>
      <c r="L51" s="10" t="s">
        <v>189</v>
      </c>
      <c r="M51" s="6" t="s">
        <v>169</v>
      </c>
    </row>
    <row r="52" customFormat="false" ht="15" hidden="false" customHeight="false" outlineLevel="0" collapsed="false">
      <c r="A52" s="6" t="s">
        <v>364</v>
      </c>
      <c r="B52" s="6" t="s">
        <v>365</v>
      </c>
      <c r="C52" s="6" t="s">
        <v>336</v>
      </c>
      <c r="D52" s="6" t="s">
        <v>88</v>
      </c>
      <c r="E52" s="6" t="s">
        <v>45</v>
      </c>
      <c r="F52" s="6" t="s">
        <v>46</v>
      </c>
      <c r="G52" s="6" t="s">
        <v>358</v>
      </c>
      <c r="H52" s="6" t="s">
        <v>252</v>
      </c>
      <c r="I52" s="10" t="s">
        <v>360</v>
      </c>
      <c r="J52" s="6" t="str">
        <f aca="false">IF(I52="","– (top of tree)",IFERROR(INDEX($B$2:$B$101,MATCH(I52,$A$2:$A$101,0)),"CHECK: code not found"))</f>
        <v>Varsha Krishnan</v>
      </c>
      <c r="K52" s="6" t="s">
        <v>366</v>
      </c>
      <c r="L52" s="10" t="s">
        <v>189</v>
      </c>
      <c r="M52" s="6" t="s">
        <v>169</v>
      </c>
    </row>
    <row r="53" customFormat="false" ht="15" hidden="false" customHeight="false" outlineLevel="0" collapsed="false">
      <c r="A53" s="6" t="s">
        <v>367</v>
      </c>
      <c r="B53" s="6" t="s">
        <v>368</v>
      </c>
      <c r="C53" s="6" t="s">
        <v>340</v>
      </c>
      <c r="D53" s="6" t="s">
        <v>88</v>
      </c>
      <c r="E53" s="6" t="s">
        <v>45</v>
      </c>
      <c r="F53" s="6" t="s">
        <v>46</v>
      </c>
      <c r="G53" s="6" t="s">
        <v>358</v>
      </c>
      <c r="H53" s="6" t="s">
        <v>252</v>
      </c>
      <c r="I53" s="10" t="s">
        <v>360</v>
      </c>
      <c r="J53" s="6" t="str">
        <f aca="false">IF(I53="","– (top of tree)",IFERROR(INDEX($B$2:$B$101,MATCH(I53,$A$2:$A$101,0)),"CHECK: code not found"))</f>
        <v>Varsha Krishnan</v>
      </c>
      <c r="K53" s="6" t="s">
        <v>369</v>
      </c>
      <c r="L53" s="10" t="s">
        <v>189</v>
      </c>
      <c r="M53" s="6" t="s">
        <v>169</v>
      </c>
    </row>
    <row r="54" customFormat="false" ht="15" hidden="false" customHeight="false" outlineLevel="0" collapsed="false">
      <c r="A54" s="6" t="s">
        <v>370</v>
      </c>
      <c r="B54" s="6" t="s">
        <v>371</v>
      </c>
      <c r="C54" s="6" t="s">
        <v>344</v>
      </c>
      <c r="D54" s="6" t="s">
        <v>91</v>
      </c>
      <c r="E54" s="6" t="s">
        <v>45</v>
      </c>
      <c r="F54" s="6" t="s">
        <v>46</v>
      </c>
      <c r="G54" s="6" t="s">
        <v>358</v>
      </c>
      <c r="H54" s="6" t="s">
        <v>252</v>
      </c>
      <c r="I54" s="10" t="s">
        <v>364</v>
      </c>
      <c r="J54" s="6" t="str">
        <f aca="false">IF(I54="","– (top of tree)",IFERROR(INDEX($B$2:$B$101,MATCH(I54,$A$2:$A$101,0)),"CHECK: code not found"))</f>
        <v>Arjun Thomas</v>
      </c>
      <c r="K54" s="6" t="s">
        <v>372</v>
      </c>
      <c r="L54" s="10" t="s">
        <v>179</v>
      </c>
      <c r="M54" s="6" t="s">
        <v>169</v>
      </c>
    </row>
    <row r="55" customFormat="false" ht="15" hidden="false" customHeight="false" outlineLevel="0" collapsed="false">
      <c r="A55" s="6" t="s">
        <v>373</v>
      </c>
      <c r="B55" s="6" t="s">
        <v>374</v>
      </c>
      <c r="C55" s="6" t="s">
        <v>344</v>
      </c>
      <c r="D55" s="6" t="s">
        <v>91</v>
      </c>
      <c r="E55" s="6" t="s">
        <v>45</v>
      </c>
      <c r="F55" s="6" t="s">
        <v>46</v>
      </c>
      <c r="G55" s="6" t="s">
        <v>358</v>
      </c>
      <c r="H55" s="6" t="s">
        <v>252</v>
      </c>
      <c r="I55" s="10" t="s">
        <v>367</v>
      </c>
      <c r="J55" s="6" t="str">
        <f aca="false">IF(I55="","– (top of tree)",IFERROR(INDEX($B$2:$B$101,MATCH(I55,$A$2:$A$101,0)),"CHECK: code not found"))</f>
        <v>Priya Raman</v>
      </c>
      <c r="K55" s="6" t="s">
        <v>375</v>
      </c>
      <c r="L55" s="10" t="s">
        <v>179</v>
      </c>
      <c r="M55" s="6" t="s">
        <v>169</v>
      </c>
    </row>
    <row r="56" customFormat="false" ht="15" hidden="false" customHeight="false" outlineLevel="0" collapsed="false">
      <c r="A56" s="6" t="s">
        <v>376</v>
      </c>
      <c r="B56" s="6" t="s">
        <v>377</v>
      </c>
      <c r="C56" s="6" t="s">
        <v>344</v>
      </c>
      <c r="D56" s="6" t="s">
        <v>91</v>
      </c>
      <c r="E56" s="6" t="s">
        <v>45</v>
      </c>
      <c r="F56" s="6" t="s">
        <v>46</v>
      </c>
      <c r="G56" s="6" t="s">
        <v>358</v>
      </c>
      <c r="H56" s="6" t="s">
        <v>252</v>
      </c>
      <c r="I56" s="10" t="s">
        <v>364</v>
      </c>
      <c r="J56" s="6" t="str">
        <f aca="false">IF(I56="","– (top of tree)",IFERROR(INDEX($B$2:$B$101,MATCH(I56,$A$2:$A$101,0)),"CHECK: code not found"))</f>
        <v>Arjun Thomas</v>
      </c>
      <c r="K56" s="6" t="s">
        <v>378</v>
      </c>
      <c r="L56" s="10" t="s">
        <v>179</v>
      </c>
      <c r="M56" s="6" t="s">
        <v>169</v>
      </c>
    </row>
    <row r="57" customFormat="false" ht="26.85" hidden="false" customHeight="false" outlineLevel="0" collapsed="false">
      <c r="A57" s="6" t="s">
        <v>50</v>
      </c>
      <c r="B57" s="6" t="s">
        <v>379</v>
      </c>
      <c r="C57" s="6" t="s">
        <v>380</v>
      </c>
      <c r="D57" s="6" t="s">
        <v>79</v>
      </c>
      <c r="E57" s="6" t="s">
        <v>48</v>
      </c>
      <c r="F57" s="6" t="s">
        <v>49</v>
      </c>
      <c r="G57" s="6"/>
      <c r="H57" s="6" t="s">
        <v>204</v>
      </c>
      <c r="I57" s="10" t="s">
        <v>27</v>
      </c>
      <c r="J57" s="6" t="str">
        <f aca="false">IF(I57="","– (top of tree)",IFERROR(INDEX($B$2:$B$101,MATCH(I57,$A$2:$A$101,0)),"CHECK: code not found"))</f>
        <v>Arjun Raman</v>
      </c>
      <c r="K57" s="6" t="s">
        <v>381</v>
      </c>
      <c r="L57" s="10" t="s">
        <v>235</v>
      </c>
      <c r="M57" s="6" t="s">
        <v>169</v>
      </c>
    </row>
    <row r="58" customFormat="false" ht="26.85" hidden="false" customHeight="false" outlineLevel="0" collapsed="false">
      <c r="A58" s="6" t="s">
        <v>382</v>
      </c>
      <c r="B58" s="6" t="s">
        <v>383</v>
      </c>
      <c r="C58" s="6" t="s">
        <v>384</v>
      </c>
      <c r="D58" s="6" t="s">
        <v>82</v>
      </c>
      <c r="E58" s="6" t="s">
        <v>48</v>
      </c>
      <c r="F58" s="6" t="s">
        <v>49</v>
      </c>
      <c r="G58" s="6"/>
      <c r="H58" s="6" t="s">
        <v>204</v>
      </c>
      <c r="I58" s="10" t="s">
        <v>50</v>
      </c>
      <c r="J58" s="6" t="str">
        <f aca="false">IF(I58="","– (top of tree)",IFERROR(INDEX($B$2:$B$101,MATCH(I58,$A$2:$A$101,0)),"CHECK: code not found"))</f>
        <v>Lakshmi Shetty</v>
      </c>
      <c r="K58" s="6" t="s">
        <v>385</v>
      </c>
      <c r="L58" s="10" t="s">
        <v>189</v>
      </c>
      <c r="M58" s="6" t="s">
        <v>169</v>
      </c>
    </row>
    <row r="59" customFormat="false" ht="26.85" hidden="false" customHeight="false" outlineLevel="0" collapsed="false">
      <c r="A59" s="6" t="s">
        <v>386</v>
      </c>
      <c r="B59" s="6" t="s">
        <v>387</v>
      </c>
      <c r="C59" s="6" t="s">
        <v>388</v>
      </c>
      <c r="D59" s="6" t="s">
        <v>85</v>
      </c>
      <c r="E59" s="6" t="s">
        <v>48</v>
      </c>
      <c r="F59" s="6" t="s">
        <v>49</v>
      </c>
      <c r="G59" s="6"/>
      <c r="H59" s="6" t="s">
        <v>204</v>
      </c>
      <c r="I59" s="10" t="s">
        <v>382</v>
      </c>
      <c r="J59" s="6" t="str">
        <f aca="false">IF(I59="","– (top of tree)",IFERROR(INDEX($B$2:$B$101,MATCH(I59,$A$2:$A$101,0)),"CHECK: code not found"))</f>
        <v>Rahul Chandran</v>
      </c>
      <c r="K59" s="6" t="s">
        <v>389</v>
      </c>
      <c r="L59" s="10" t="s">
        <v>189</v>
      </c>
      <c r="M59" s="6" t="s">
        <v>169</v>
      </c>
    </row>
    <row r="60" customFormat="false" ht="26.85" hidden="false" customHeight="false" outlineLevel="0" collapsed="false">
      <c r="A60" s="6" t="s">
        <v>390</v>
      </c>
      <c r="B60" s="6" t="s">
        <v>391</v>
      </c>
      <c r="C60" s="6" t="s">
        <v>392</v>
      </c>
      <c r="D60" s="6" t="s">
        <v>88</v>
      </c>
      <c r="E60" s="6" t="s">
        <v>48</v>
      </c>
      <c r="F60" s="6" t="s">
        <v>49</v>
      </c>
      <c r="G60" s="6"/>
      <c r="H60" s="6" t="s">
        <v>204</v>
      </c>
      <c r="I60" s="10" t="s">
        <v>386</v>
      </c>
      <c r="J60" s="6" t="str">
        <f aca="false">IF(I60="","– (top of tree)",IFERROR(INDEX($B$2:$B$101,MATCH(I60,$A$2:$A$101,0)),"CHECK: code not found"))</f>
        <v>Meena Natarajan</v>
      </c>
      <c r="K60" s="6" t="s">
        <v>393</v>
      </c>
      <c r="L60" s="10" t="s">
        <v>189</v>
      </c>
      <c r="M60" s="6" t="s">
        <v>169</v>
      </c>
    </row>
    <row r="61" customFormat="false" ht="26.85" hidden="false" customHeight="false" outlineLevel="0" collapsed="false">
      <c r="A61" s="6" t="s">
        <v>394</v>
      </c>
      <c r="B61" s="6" t="s">
        <v>395</v>
      </c>
      <c r="C61" s="6" t="s">
        <v>396</v>
      </c>
      <c r="D61" s="6" t="s">
        <v>88</v>
      </c>
      <c r="E61" s="6" t="s">
        <v>48</v>
      </c>
      <c r="F61" s="6" t="s">
        <v>49</v>
      </c>
      <c r="G61" s="6"/>
      <c r="H61" s="6" t="s">
        <v>252</v>
      </c>
      <c r="I61" s="10" t="s">
        <v>386</v>
      </c>
      <c r="J61" s="6" t="str">
        <f aca="false">IF(I61="","– (top of tree)",IFERROR(INDEX($B$2:$B$101,MATCH(I61,$A$2:$A$101,0)),"CHECK: code not found"))</f>
        <v>Meena Natarajan</v>
      </c>
      <c r="K61" s="6" t="s">
        <v>397</v>
      </c>
      <c r="L61" s="10" t="s">
        <v>189</v>
      </c>
      <c r="M61" s="6" t="s">
        <v>169</v>
      </c>
    </row>
    <row r="62" customFormat="false" ht="26.85" hidden="false" customHeight="false" outlineLevel="0" collapsed="false">
      <c r="A62" s="6" t="s">
        <v>398</v>
      </c>
      <c r="B62" s="6" t="s">
        <v>399</v>
      </c>
      <c r="C62" s="6" t="s">
        <v>400</v>
      </c>
      <c r="D62" s="6" t="s">
        <v>91</v>
      </c>
      <c r="E62" s="6" t="s">
        <v>48</v>
      </c>
      <c r="F62" s="6" t="s">
        <v>49</v>
      </c>
      <c r="G62" s="6"/>
      <c r="H62" s="6" t="s">
        <v>204</v>
      </c>
      <c r="I62" s="10" t="s">
        <v>390</v>
      </c>
      <c r="J62" s="6" t="str">
        <f aca="false">IF(I62="","– (top of tree)",IFERROR(INDEX($B$2:$B$101,MATCH(I62,$A$2:$A$101,0)),"CHECK: code not found"))</f>
        <v>Vignesh Reddy</v>
      </c>
      <c r="K62" s="6" t="s">
        <v>401</v>
      </c>
      <c r="L62" s="10" t="s">
        <v>179</v>
      </c>
      <c r="M62" s="6" t="s">
        <v>169</v>
      </c>
    </row>
    <row r="63" customFormat="false" ht="15" hidden="false" customHeight="false" outlineLevel="0" collapsed="false">
      <c r="A63" s="6" t="s">
        <v>402</v>
      </c>
      <c r="B63" s="6" t="s">
        <v>403</v>
      </c>
      <c r="C63" s="6" t="s">
        <v>400</v>
      </c>
      <c r="D63" s="6" t="s">
        <v>91</v>
      </c>
      <c r="E63" s="6" t="s">
        <v>48</v>
      </c>
      <c r="F63" s="6" t="s">
        <v>49</v>
      </c>
      <c r="G63" s="6"/>
      <c r="H63" s="6" t="s">
        <v>204</v>
      </c>
      <c r="I63" s="10" t="s">
        <v>390</v>
      </c>
      <c r="J63" s="6" t="str">
        <f aca="false">IF(I63="","– (top of tree)",IFERROR(INDEX($B$2:$B$101,MATCH(I63,$A$2:$A$101,0)),"CHECK: code not found"))</f>
        <v>Vignesh Reddy</v>
      </c>
      <c r="K63" s="6" t="s">
        <v>404</v>
      </c>
      <c r="L63" s="10" t="s">
        <v>179</v>
      </c>
      <c r="M63" s="6" t="s">
        <v>169</v>
      </c>
    </row>
    <row r="64" customFormat="false" ht="26.85" hidden="false" customHeight="false" outlineLevel="0" collapsed="false">
      <c r="A64" s="6" t="s">
        <v>405</v>
      </c>
      <c r="B64" s="6" t="s">
        <v>406</v>
      </c>
      <c r="C64" s="6" t="s">
        <v>407</v>
      </c>
      <c r="D64" s="6" t="s">
        <v>91</v>
      </c>
      <c r="E64" s="6" t="s">
        <v>48</v>
      </c>
      <c r="F64" s="6" t="s">
        <v>49</v>
      </c>
      <c r="G64" s="6"/>
      <c r="H64" s="6" t="s">
        <v>252</v>
      </c>
      <c r="I64" s="10" t="s">
        <v>394</v>
      </c>
      <c r="J64" s="6" t="str">
        <f aca="false">IF(I64="","– (top of tree)",IFERROR(INDEX($B$2:$B$101,MATCH(I64,$A$2:$A$101,0)),"CHECK: code not found"))</f>
        <v>Anitha Murugan</v>
      </c>
      <c r="K64" s="6" t="s">
        <v>408</v>
      </c>
      <c r="L64" s="10" t="s">
        <v>179</v>
      </c>
      <c r="M64" s="6" t="s">
        <v>169</v>
      </c>
    </row>
    <row r="65" customFormat="false" ht="26.85" hidden="false" customHeight="false" outlineLevel="0" collapsed="false">
      <c r="A65" s="6" t="s">
        <v>53</v>
      </c>
      <c r="B65" s="6" t="s">
        <v>409</v>
      </c>
      <c r="C65" s="6" t="s">
        <v>410</v>
      </c>
      <c r="D65" s="6" t="s">
        <v>79</v>
      </c>
      <c r="E65" s="6" t="s">
        <v>51</v>
      </c>
      <c r="F65" s="6" t="s">
        <v>52</v>
      </c>
      <c r="G65" s="6"/>
      <c r="H65" s="6" t="s">
        <v>204</v>
      </c>
      <c r="I65" s="10" t="s">
        <v>27</v>
      </c>
      <c r="J65" s="6" t="str">
        <f aca="false">IF(I65="","– (top of tree)",IFERROR(INDEX($B$2:$B$101,MATCH(I65,$A$2:$A$101,0)),"CHECK: code not found"))</f>
        <v>Arjun Raman</v>
      </c>
      <c r="K65" s="6" t="s">
        <v>411</v>
      </c>
      <c r="L65" s="10" t="s">
        <v>235</v>
      </c>
      <c r="M65" s="6" t="s">
        <v>169</v>
      </c>
    </row>
    <row r="66" customFormat="false" ht="26.85" hidden="false" customHeight="false" outlineLevel="0" collapsed="false">
      <c r="A66" s="6" t="s">
        <v>412</v>
      </c>
      <c r="B66" s="6" t="s">
        <v>413</v>
      </c>
      <c r="C66" s="6" t="s">
        <v>414</v>
      </c>
      <c r="D66" s="6" t="s">
        <v>82</v>
      </c>
      <c r="E66" s="6" t="s">
        <v>51</v>
      </c>
      <c r="F66" s="6" t="s">
        <v>52</v>
      </c>
      <c r="G66" s="6"/>
      <c r="H66" s="6" t="s">
        <v>204</v>
      </c>
      <c r="I66" s="10" t="s">
        <v>53</v>
      </c>
      <c r="J66" s="6" t="str">
        <f aca="false">IF(I66="","– (top of tree)",IFERROR(INDEX($B$2:$B$101,MATCH(I66,$A$2:$A$101,0)),"CHECK: code not found"))</f>
        <v>Deepa Subramani</v>
      </c>
      <c r="K66" s="6" t="s">
        <v>415</v>
      </c>
      <c r="L66" s="10" t="s">
        <v>189</v>
      </c>
      <c r="M66" s="6" t="s">
        <v>169</v>
      </c>
    </row>
    <row r="67" customFormat="false" ht="15" hidden="false" customHeight="false" outlineLevel="0" collapsed="false">
      <c r="A67" s="6" t="s">
        <v>416</v>
      </c>
      <c r="B67" s="6" t="s">
        <v>417</v>
      </c>
      <c r="C67" s="6" t="s">
        <v>418</v>
      </c>
      <c r="D67" s="6" t="s">
        <v>85</v>
      </c>
      <c r="E67" s="6" t="s">
        <v>51</v>
      </c>
      <c r="F67" s="6" t="s">
        <v>52</v>
      </c>
      <c r="G67" s="6" t="s">
        <v>419</v>
      </c>
      <c r="H67" s="6" t="s">
        <v>204</v>
      </c>
      <c r="I67" s="10" t="s">
        <v>412</v>
      </c>
      <c r="J67" s="6" t="str">
        <f aca="false">IF(I67="","– (top of tree)",IFERROR(INDEX($B$2:$B$101,MATCH(I67,$A$2:$A$101,0)),"CHECK: code not found"))</f>
        <v>Sanjay Sharma</v>
      </c>
      <c r="K67" s="6" t="s">
        <v>420</v>
      </c>
      <c r="L67" s="10" t="s">
        <v>189</v>
      </c>
      <c r="M67" s="6" t="s">
        <v>169</v>
      </c>
    </row>
    <row r="68" customFormat="false" ht="15" hidden="false" customHeight="false" outlineLevel="0" collapsed="false">
      <c r="A68" s="6" t="s">
        <v>421</v>
      </c>
      <c r="B68" s="6" t="s">
        <v>422</v>
      </c>
      <c r="C68" s="6" t="s">
        <v>423</v>
      </c>
      <c r="D68" s="6" t="s">
        <v>85</v>
      </c>
      <c r="E68" s="6" t="s">
        <v>51</v>
      </c>
      <c r="F68" s="6" t="s">
        <v>52</v>
      </c>
      <c r="G68" s="6" t="s">
        <v>424</v>
      </c>
      <c r="H68" s="6" t="s">
        <v>204</v>
      </c>
      <c r="I68" s="10" t="s">
        <v>412</v>
      </c>
      <c r="J68" s="6" t="str">
        <f aca="false">IF(I68="","– (top of tree)",IFERROR(INDEX($B$2:$B$101,MATCH(I68,$A$2:$A$101,0)),"CHECK: code not found"))</f>
        <v>Sanjay Sharma</v>
      </c>
      <c r="K68" s="6" t="s">
        <v>425</v>
      </c>
      <c r="L68" s="10" t="s">
        <v>189</v>
      </c>
      <c r="M68" s="6" t="s">
        <v>169</v>
      </c>
    </row>
    <row r="69" customFormat="false" ht="15" hidden="false" customHeight="false" outlineLevel="0" collapsed="false">
      <c r="A69" s="6" t="s">
        <v>426</v>
      </c>
      <c r="B69" s="6" t="s">
        <v>427</v>
      </c>
      <c r="C69" s="6" t="s">
        <v>428</v>
      </c>
      <c r="D69" s="6" t="s">
        <v>88</v>
      </c>
      <c r="E69" s="6" t="s">
        <v>51</v>
      </c>
      <c r="F69" s="6" t="s">
        <v>52</v>
      </c>
      <c r="G69" s="6" t="s">
        <v>419</v>
      </c>
      <c r="H69" s="6" t="s">
        <v>204</v>
      </c>
      <c r="I69" s="10" t="s">
        <v>416</v>
      </c>
      <c r="J69" s="6" t="str">
        <f aca="false">IF(I69="","– (top of tree)",IFERROR(INDEX($B$2:$B$101,MATCH(I69,$A$2:$A$101,0)),"CHECK: code not found"))</f>
        <v>Revathi Balan</v>
      </c>
      <c r="K69" s="6" t="s">
        <v>429</v>
      </c>
      <c r="L69" s="10" t="s">
        <v>189</v>
      </c>
      <c r="M69" s="6" t="s">
        <v>169</v>
      </c>
    </row>
    <row r="70" customFormat="false" ht="15" hidden="false" customHeight="false" outlineLevel="0" collapsed="false">
      <c r="A70" s="6" t="s">
        <v>430</v>
      </c>
      <c r="B70" s="6" t="s">
        <v>431</v>
      </c>
      <c r="C70" s="6" t="s">
        <v>432</v>
      </c>
      <c r="D70" s="6" t="s">
        <v>88</v>
      </c>
      <c r="E70" s="6" t="s">
        <v>51</v>
      </c>
      <c r="F70" s="6" t="s">
        <v>52</v>
      </c>
      <c r="G70" s="6" t="s">
        <v>424</v>
      </c>
      <c r="H70" s="6" t="s">
        <v>252</v>
      </c>
      <c r="I70" s="10" t="s">
        <v>421</v>
      </c>
      <c r="J70" s="6" t="str">
        <f aca="false">IF(I70="","– (top of tree)",IFERROR(INDEX($B$2:$B$101,MATCH(I70,$A$2:$A$101,0)),"CHECK: code not found"))</f>
        <v>Ganesh Pillai</v>
      </c>
      <c r="K70" s="6" t="s">
        <v>433</v>
      </c>
      <c r="L70" s="10" t="s">
        <v>189</v>
      </c>
      <c r="M70" s="6" t="s">
        <v>169</v>
      </c>
    </row>
    <row r="71" customFormat="false" ht="26.85" hidden="false" customHeight="false" outlineLevel="0" collapsed="false">
      <c r="A71" s="6" t="s">
        <v>434</v>
      </c>
      <c r="B71" s="6" t="s">
        <v>435</v>
      </c>
      <c r="C71" s="6" t="s">
        <v>436</v>
      </c>
      <c r="D71" s="6" t="s">
        <v>91</v>
      </c>
      <c r="E71" s="6" t="s">
        <v>51</v>
      </c>
      <c r="F71" s="6" t="s">
        <v>52</v>
      </c>
      <c r="G71" s="6" t="s">
        <v>419</v>
      </c>
      <c r="H71" s="6" t="s">
        <v>204</v>
      </c>
      <c r="I71" s="10" t="s">
        <v>426</v>
      </c>
      <c r="J71" s="6" t="str">
        <f aca="false">IF(I71="","– (top of tree)",IFERROR(INDEX($B$2:$B$101,MATCH(I71,$A$2:$A$101,0)),"CHECK: code not found"))</f>
        <v>Nithya Joseph</v>
      </c>
      <c r="K71" s="6" t="s">
        <v>437</v>
      </c>
      <c r="L71" s="10" t="s">
        <v>179</v>
      </c>
      <c r="M71" s="6" t="s">
        <v>169</v>
      </c>
    </row>
    <row r="72" customFormat="false" ht="26.85" hidden="false" customHeight="false" outlineLevel="0" collapsed="false">
      <c r="A72" s="6" t="s">
        <v>438</v>
      </c>
      <c r="B72" s="6" t="s">
        <v>439</v>
      </c>
      <c r="C72" s="6" t="s">
        <v>436</v>
      </c>
      <c r="D72" s="6" t="s">
        <v>91</v>
      </c>
      <c r="E72" s="6" t="s">
        <v>51</v>
      </c>
      <c r="F72" s="6" t="s">
        <v>52</v>
      </c>
      <c r="G72" s="6" t="s">
        <v>419</v>
      </c>
      <c r="H72" s="6" t="s">
        <v>252</v>
      </c>
      <c r="I72" s="10" t="s">
        <v>426</v>
      </c>
      <c r="J72" s="6" t="str">
        <f aca="false">IF(I72="","– (top of tree)",IFERROR(INDEX($B$2:$B$101,MATCH(I72,$A$2:$A$101,0)),"CHECK: code not found"))</f>
        <v>Nithya Joseph</v>
      </c>
      <c r="K72" s="6" t="s">
        <v>440</v>
      </c>
      <c r="L72" s="10" t="s">
        <v>179</v>
      </c>
      <c r="M72" s="6" t="s">
        <v>169</v>
      </c>
    </row>
    <row r="73" customFormat="false" ht="15" hidden="false" customHeight="false" outlineLevel="0" collapsed="false">
      <c r="A73" s="6" t="s">
        <v>441</v>
      </c>
      <c r="B73" s="6" t="s">
        <v>442</v>
      </c>
      <c r="C73" s="6" t="s">
        <v>443</v>
      </c>
      <c r="D73" s="6" t="s">
        <v>91</v>
      </c>
      <c r="E73" s="6" t="s">
        <v>51</v>
      </c>
      <c r="F73" s="6" t="s">
        <v>52</v>
      </c>
      <c r="G73" s="6" t="s">
        <v>424</v>
      </c>
      <c r="H73" s="6" t="s">
        <v>252</v>
      </c>
      <c r="I73" s="10" t="s">
        <v>430</v>
      </c>
      <c r="J73" s="6" t="str">
        <f aca="false">IF(I73="","– (top of tree)",IFERROR(INDEX($B$2:$B$101,MATCH(I73,$A$2:$A$101,0)),"CHECK: code not found"))</f>
        <v>Ashok Das</v>
      </c>
      <c r="K73" s="6" t="s">
        <v>444</v>
      </c>
      <c r="L73" s="10" t="s">
        <v>179</v>
      </c>
      <c r="M73" s="6" t="s">
        <v>169</v>
      </c>
    </row>
    <row r="74" customFormat="false" ht="15" hidden="false" customHeight="false" outlineLevel="0" collapsed="false">
      <c r="A74" s="6" t="s">
        <v>56</v>
      </c>
      <c r="B74" s="6" t="s">
        <v>445</v>
      </c>
      <c r="C74" s="6" t="s">
        <v>446</v>
      </c>
      <c r="D74" s="6" t="s">
        <v>79</v>
      </c>
      <c r="E74" s="6" t="s">
        <v>54</v>
      </c>
      <c r="F74" s="6" t="s">
        <v>55</v>
      </c>
      <c r="G74" s="6"/>
      <c r="H74" s="6" t="s">
        <v>166</v>
      </c>
      <c r="I74" s="10" t="s">
        <v>27</v>
      </c>
      <c r="J74" s="6" t="str">
        <f aca="false">IF(I74="","– (top of tree)",IFERROR(INDEX($B$2:$B$101,MATCH(I74,$A$2:$A$101,0)),"CHECK: code not found"))</f>
        <v>Arjun Raman</v>
      </c>
      <c r="K74" s="6" t="s">
        <v>447</v>
      </c>
      <c r="L74" s="10" t="s">
        <v>235</v>
      </c>
      <c r="M74" s="6" t="s">
        <v>169</v>
      </c>
    </row>
    <row r="75" customFormat="false" ht="15" hidden="false" customHeight="false" outlineLevel="0" collapsed="false">
      <c r="A75" s="6" t="s">
        <v>448</v>
      </c>
      <c r="B75" s="6" t="s">
        <v>449</v>
      </c>
      <c r="C75" s="6" t="s">
        <v>450</v>
      </c>
      <c r="D75" s="6" t="s">
        <v>82</v>
      </c>
      <c r="E75" s="6" t="s">
        <v>54</v>
      </c>
      <c r="F75" s="6" t="s">
        <v>55</v>
      </c>
      <c r="G75" s="6"/>
      <c r="H75" s="6" t="s">
        <v>166</v>
      </c>
      <c r="I75" s="10" t="s">
        <v>56</v>
      </c>
      <c r="J75" s="6" t="str">
        <f aca="false">IF(I75="","– (top of tree)",IFERROR(INDEX($B$2:$B$101,MATCH(I75,$A$2:$A$101,0)),"CHECK: code not found"))</f>
        <v>Senthil Rao</v>
      </c>
      <c r="K75" s="6" t="s">
        <v>451</v>
      </c>
      <c r="L75" s="10" t="s">
        <v>189</v>
      </c>
      <c r="M75" s="6" t="s">
        <v>169</v>
      </c>
    </row>
    <row r="76" customFormat="false" ht="15" hidden="false" customHeight="false" outlineLevel="0" collapsed="false">
      <c r="A76" s="6" t="s">
        <v>452</v>
      </c>
      <c r="B76" s="6" t="s">
        <v>453</v>
      </c>
      <c r="C76" s="6" t="s">
        <v>454</v>
      </c>
      <c r="D76" s="6" t="s">
        <v>85</v>
      </c>
      <c r="E76" s="6" t="s">
        <v>54</v>
      </c>
      <c r="F76" s="6" t="s">
        <v>55</v>
      </c>
      <c r="G76" s="6" t="s">
        <v>455</v>
      </c>
      <c r="H76" s="6" t="s">
        <v>166</v>
      </c>
      <c r="I76" s="10" t="s">
        <v>448</v>
      </c>
      <c r="J76" s="6" t="str">
        <f aca="false">IF(I76="","– (top of tree)",IFERROR(INDEX($B$2:$B$101,MATCH(I76,$A$2:$A$101,0)),"CHECK: code not found"))</f>
        <v>Harini Varma</v>
      </c>
      <c r="K76" s="6" t="s">
        <v>456</v>
      </c>
      <c r="L76" s="10" t="s">
        <v>189</v>
      </c>
      <c r="M76" s="6" t="s">
        <v>169</v>
      </c>
    </row>
    <row r="77" customFormat="false" ht="26.85" hidden="false" customHeight="false" outlineLevel="0" collapsed="false">
      <c r="A77" s="6" t="s">
        <v>457</v>
      </c>
      <c r="B77" s="6" t="s">
        <v>458</v>
      </c>
      <c r="C77" s="6" t="s">
        <v>459</v>
      </c>
      <c r="D77" s="6" t="s">
        <v>85</v>
      </c>
      <c r="E77" s="6" t="s">
        <v>54</v>
      </c>
      <c r="F77" s="6" t="s">
        <v>55</v>
      </c>
      <c r="G77" s="6" t="s">
        <v>460</v>
      </c>
      <c r="H77" s="6" t="s">
        <v>166</v>
      </c>
      <c r="I77" s="10" t="s">
        <v>448</v>
      </c>
      <c r="J77" s="6" t="str">
        <f aca="false">IF(I77="","– (top of tree)",IFERROR(INDEX($B$2:$B$101,MATCH(I77,$A$2:$A$101,0)),"CHECK: code not found"))</f>
        <v>Harini Varma</v>
      </c>
      <c r="K77" s="6" t="s">
        <v>461</v>
      </c>
      <c r="L77" s="10" t="s">
        <v>189</v>
      </c>
      <c r="M77" s="6" t="s">
        <v>169</v>
      </c>
    </row>
    <row r="78" customFormat="false" ht="26.85" hidden="false" customHeight="false" outlineLevel="0" collapsed="false">
      <c r="A78" s="6" t="s">
        <v>462</v>
      </c>
      <c r="B78" s="6" t="s">
        <v>463</v>
      </c>
      <c r="C78" s="6" t="s">
        <v>464</v>
      </c>
      <c r="D78" s="6" t="s">
        <v>88</v>
      </c>
      <c r="E78" s="6" t="s">
        <v>54</v>
      </c>
      <c r="F78" s="6" t="s">
        <v>55</v>
      </c>
      <c r="G78" s="6" t="s">
        <v>455</v>
      </c>
      <c r="H78" s="6" t="s">
        <v>166</v>
      </c>
      <c r="I78" s="10" t="s">
        <v>452</v>
      </c>
      <c r="J78" s="6" t="str">
        <f aca="false">IF(I78="","– (top of tree)",IFERROR(INDEX($B$2:$B$101,MATCH(I78,$A$2:$A$101,0)),"CHECK: code not found"))</f>
        <v>Vinod Iyer</v>
      </c>
      <c r="K78" s="6" t="s">
        <v>465</v>
      </c>
      <c r="L78" s="10" t="s">
        <v>189</v>
      </c>
      <c r="M78" s="6" t="s">
        <v>169</v>
      </c>
    </row>
    <row r="79" customFormat="false" ht="26.85" hidden="false" customHeight="false" outlineLevel="0" collapsed="false">
      <c r="A79" s="6" t="s">
        <v>466</v>
      </c>
      <c r="B79" s="6" t="s">
        <v>467</v>
      </c>
      <c r="C79" s="6" t="s">
        <v>468</v>
      </c>
      <c r="D79" s="6" t="s">
        <v>88</v>
      </c>
      <c r="E79" s="6" t="s">
        <v>54</v>
      </c>
      <c r="F79" s="6" t="s">
        <v>55</v>
      </c>
      <c r="G79" s="6" t="s">
        <v>460</v>
      </c>
      <c r="H79" s="6" t="s">
        <v>166</v>
      </c>
      <c r="I79" s="10" t="s">
        <v>457</v>
      </c>
      <c r="J79" s="6" t="str">
        <f aca="false">IF(I79="","– (top of tree)",IFERROR(INDEX($B$2:$B$101,MATCH(I79,$A$2:$A$101,0)),"CHECK: code not found"))</f>
        <v>Sowmya Shetty</v>
      </c>
      <c r="K79" s="6" t="s">
        <v>469</v>
      </c>
      <c r="L79" s="10" t="s">
        <v>189</v>
      </c>
      <c r="M79" s="6" t="s">
        <v>169</v>
      </c>
    </row>
    <row r="80" customFormat="false" ht="15" hidden="false" customHeight="false" outlineLevel="0" collapsed="false">
      <c r="A80" s="6" t="s">
        <v>470</v>
      </c>
      <c r="B80" s="6" t="s">
        <v>471</v>
      </c>
      <c r="C80" s="6" t="s">
        <v>472</v>
      </c>
      <c r="D80" s="6" t="s">
        <v>91</v>
      </c>
      <c r="E80" s="6" t="s">
        <v>54</v>
      </c>
      <c r="F80" s="6" t="s">
        <v>55</v>
      </c>
      <c r="G80" s="6" t="s">
        <v>455</v>
      </c>
      <c r="H80" s="6" t="s">
        <v>166</v>
      </c>
      <c r="I80" s="10" t="s">
        <v>462</v>
      </c>
      <c r="J80" s="6" t="str">
        <f aca="false">IF(I80="","– (top of tree)",IFERROR(INDEX($B$2:$B$101,MATCH(I80,$A$2:$A$101,0)),"CHECK: code not found"))</f>
        <v>Balaji Chandran</v>
      </c>
      <c r="K80" s="6" t="s">
        <v>473</v>
      </c>
      <c r="L80" s="10" t="s">
        <v>179</v>
      </c>
      <c r="M80" s="6" t="s">
        <v>169</v>
      </c>
    </row>
    <row r="81" customFormat="false" ht="26.85" hidden="false" customHeight="false" outlineLevel="0" collapsed="false">
      <c r="A81" s="6" t="s">
        <v>474</v>
      </c>
      <c r="B81" s="6" t="s">
        <v>475</v>
      </c>
      <c r="C81" s="6" t="s">
        <v>472</v>
      </c>
      <c r="D81" s="6" t="s">
        <v>91</v>
      </c>
      <c r="E81" s="6" t="s">
        <v>54</v>
      </c>
      <c r="F81" s="6" t="s">
        <v>55</v>
      </c>
      <c r="G81" s="6" t="s">
        <v>455</v>
      </c>
      <c r="H81" s="6" t="s">
        <v>166</v>
      </c>
      <c r="I81" s="10" t="s">
        <v>462</v>
      </c>
      <c r="J81" s="6" t="str">
        <f aca="false">IF(I81="","– (top of tree)",IFERROR(INDEX($B$2:$B$101,MATCH(I81,$A$2:$A$101,0)),"CHECK: code not found"))</f>
        <v>Balaji Chandran</v>
      </c>
      <c r="K81" s="6" t="s">
        <v>476</v>
      </c>
      <c r="L81" s="10" t="s">
        <v>179</v>
      </c>
      <c r="M81" s="6" t="s">
        <v>169</v>
      </c>
    </row>
    <row r="82" customFormat="false" ht="26.85" hidden="false" customHeight="false" outlineLevel="0" collapsed="false">
      <c r="A82" s="6" t="s">
        <v>477</v>
      </c>
      <c r="B82" s="6" t="s">
        <v>478</v>
      </c>
      <c r="C82" s="6" t="s">
        <v>479</v>
      </c>
      <c r="D82" s="6" t="s">
        <v>91</v>
      </c>
      <c r="E82" s="6" t="s">
        <v>54</v>
      </c>
      <c r="F82" s="6" t="s">
        <v>55</v>
      </c>
      <c r="G82" s="6" t="s">
        <v>460</v>
      </c>
      <c r="H82" s="6" t="s">
        <v>166</v>
      </c>
      <c r="I82" s="10" t="s">
        <v>466</v>
      </c>
      <c r="J82" s="6" t="str">
        <f aca="false">IF(I82="","– (top of tree)",IFERROR(INDEX($B$2:$B$101,MATCH(I82,$A$2:$A$101,0)),"CHECK: code not found"))</f>
        <v>Janani Natarajan</v>
      </c>
      <c r="K82" s="6" t="s">
        <v>480</v>
      </c>
      <c r="L82" s="10" t="s">
        <v>179</v>
      </c>
      <c r="M82" s="6" t="s">
        <v>169</v>
      </c>
    </row>
    <row r="83" customFormat="false" ht="26.85" hidden="false" customHeight="false" outlineLevel="0" collapsed="false">
      <c r="A83" s="6" t="s">
        <v>481</v>
      </c>
      <c r="B83" s="6" t="s">
        <v>482</v>
      </c>
      <c r="C83" s="6" t="s">
        <v>479</v>
      </c>
      <c r="D83" s="6" t="s">
        <v>91</v>
      </c>
      <c r="E83" s="6" t="s">
        <v>54</v>
      </c>
      <c r="F83" s="6" t="s">
        <v>55</v>
      </c>
      <c r="G83" s="6" t="s">
        <v>460</v>
      </c>
      <c r="H83" s="6" t="s">
        <v>166</v>
      </c>
      <c r="I83" s="10" t="s">
        <v>466</v>
      </c>
      <c r="J83" s="6" t="str">
        <f aca="false">IF(I83="","– (top of tree)",IFERROR(INDEX($B$2:$B$101,MATCH(I83,$A$2:$A$101,0)),"CHECK: code not found"))</f>
        <v>Janani Natarajan</v>
      </c>
      <c r="K83" s="6" t="s">
        <v>483</v>
      </c>
      <c r="L83" s="10" t="s">
        <v>179</v>
      </c>
      <c r="M83" s="6" t="s">
        <v>169</v>
      </c>
    </row>
    <row r="84" customFormat="false" ht="15" hidden="false" customHeight="false" outlineLevel="0" collapsed="false">
      <c r="A84" s="6" t="s">
        <v>59</v>
      </c>
      <c r="B84" s="6" t="s">
        <v>484</v>
      </c>
      <c r="C84" s="6" t="s">
        <v>485</v>
      </c>
      <c r="D84" s="6" t="s">
        <v>79</v>
      </c>
      <c r="E84" s="6" t="s">
        <v>57</v>
      </c>
      <c r="F84" s="6" t="s">
        <v>58</v>
      </c>
      <c r="G84" s="6"/>
      <c r="H84" s="6" t="s">
        <v>166</v>
      </c>
      <c r="I84" s="10" t="s">
        <v>27</v>
      </c>
      <c r="J84" s="6" t="str">
        <f aca="false">IF(I84="","– (top of tree)",IFERROR(INDEX($B$2:$B$101,MATCH(I84,$A$2:$A$101,0)),"CHECK: code not found"))</f>
        <v>Arjun Raman</v>
      </c>
      <c r="K84" s="6" t="s">
        <v>486</v>
      </c>
      <c r="L84" s="10" t="s">
        <v>235</v>
      </c>
      <c r="M84" s="6" t="s">
        <v>169</v>
      </c>
    </row>
    <row r="85" customFormat="false" ht="26.85" hidden="false" customHeight="false" outlineLevel="0" collapsed="false">
      <c r="A85" s="6" t="s">
        <v>487</v>
      </c>
      <c r="B85" s="6" t="s">
        <v>488</v>
      </c>
      <c r="C85" s="6" t="s">
        <v>489</v>
      </c>
      <c r="D85" s="6" t="s">
        <v>85</v>
      </c>
      <c r="E85" s="6" t="s">
        <v>57</v>
      </c>
      <c r="F85" s="6" t="s">
        <v>58</v>
      </c>
      <c r="G85" s="6"/>
      <c r="H85" s="6" t="s">
        <v>252</v>
      </c>
      <c r="I85" s="10" t="s">
        <v>59</v>
      </c>
      <c r="J85" s="6" t="str">
        <f aca="false">IF(I85="","– (top of tree)",IFERROR(INDEX($B$2:$B$101,MATCH(I85,$A$2:$A$101,0)),"CHECK: code not found"))</f>
        <v>Rajesh Sekar</v>
      </c>
      <c r="K85" s="6" t="s">
        <v>490</v>
      </c>
      <c r="L85" s="10" t="s">
        <v>189</v>
      </c>
      <c r="M85" s="6" t="s">
        <v>169</v>
      </c>
    </row>
    <row r="86" customFormat="false" ht="26.85" hidden="false" customHeight="false" outlineLevel="0" collapsed="false">
      <c r="A86" s="6" t="s">
        <v>491</v>
      </c>
      <c r="B86" s="6" t="s">
        <v>492</v>
      </c>
      <c r="C86" s="6" t="s">
        <v>493</v>
      </c>
      <c r="D86" s="6" t="s">
        <v>88</v>
      </c>
      <c r="E86" s="6" t="s">
        <v>57</v>
      </c>
      <c r="F86" s="6" t="s">
        <v>58</v>
      </c>
      <c r="G86" s="6"/>
      <c r="H86" s="6" t="s">
        <v>252</v>
      </c>
      <c r="I86" s="10" t="s">
        <v>487</v>
      </c>
      <c r="J86" s="6" t="str">
        <f aca="false">IF(I86="","– (top of tree)",IFERROR(INDEX($B$2:$B$101,MATCH(I86,$A$2:$A$101,0)),"CHECK: code not found"))</f>
        <v>Bhavani Subramani</v>
      </c>
      <c r="K86" s="6" t="s">
        <v>494</v>
      </c>
      <c r="L86" s="10" t="s">
        <v>189</v>
      </c>
      <c r="M86" s="6" t="s">
        <v>169</v>
      </c>
    </row>
    <row r="87" customFormat="false" ht="15" hidden="false" customHeight="false" outlineLevel="0" collapsed="false">
      <c r="A87" s="6" t="s">
        <v>495</v>
      </c>
      <c r="B87" s="6" t="s">
        <v>496</v>
      </c>
      <c r="C87" s="6" t="s">
        <v>497</v>
      </c>
      <c r="D87" s="6" t="s">
        <v>91</v>
      </c>
      <c r="E87" s="6" t="s">
        <v>57</v>
      </c>
      <c r="F87" s="6" t="s">
        <v>58</v>
      </c>
      <c r="G87" s="6"/>
      <c r="H87" s="6" t="s">
        <v>252</v>
      </c>
      <c r="I87" s="10" t="s">
        <v>491</v>
      </c>
      <c r="J87" s="6" t="str">
        <f aca="false">IF(I87="","– (top of tree)",IFERROR(INDEX($B$2:$B$101,MATCH(I87,$A$2:$A$101,0)),"CHECK: code not found"))</f>
        <v>Naveen Sharma</v>
      </c>
      <c r="K87" s="6" t="s">
        <v>498</v>
      </c>
      <c r="L87" s="10" t="s">
        <v>179</v>
      </c>
      <c r="M87" s="6" t="s">
        <v>169</v>
      </c>
    </row>
    <row r="88" customFormat="false" ht="15" hidden="false" customHeight="false" outlineLevel="0" collapsed="false">
      <c r="A88" s="6" t="s">
        <v>499</v>
      </c>
      <c r="B88" s="6" t="s">
        <v>500</v>
      </c>
      <c r="C88" s="6" t="s">
        <v>501</v>
      </c>
      <c r="D88" s="6" t="s">
        <v>91</v>
      </c>
      <c r="E88" s="6" t="s">
        <v>57</v>
      </c>
      <c r="F88" s="6" t="s">
        <v>58</v>
      </c>
      <c r="G88" s="6"/>
      <c r="H88" s="6" t="s">
        <v>252</v>
      </c>
      <c r="I88" s="10" t="s">
        <v>491</v>
      </c>
      <c r="J88" s="6" t="str">
        <f aca="false">IF(I88="","– (top of tree)",IFERROR(INDEX($B$2:$B$101,MATCH(I88,$A$2:$A$101,0)),"CHECK: code not found"))</f>
        <v>Naveen Sharma</v>
      </c>
      <c r="K88" s="6" t="s">
        <v>502</v>
      </c>
      <c r="L88" s="10" t="s">
        <v>179</v>
      </c>
      <c r="M88" s="6" t="s">
        <v>169</v>
      </c>
    </row>
    <row r="89" customFormat="false" ht="26.85" hidden="false" customHeight="false" outlineLevel="0" collapsed="false">
      <c r="A89" s="6" t="s">
        <v>62</v>
      </c>
      <c r="B89" s="6" t="s">
        <v>503</v>
      </c>
      <c r="C89" s="6" t="s">
        <v>504</v>
      </c>
      <c r="D89" s="6" t="s">
        <v>79</v>
      </c>
      <c r="E89" s="6" t="s">
        <v>60</v>
      </c>
      <c r="F89" s="6" t="s">
        <v>61</v>
      </c>
      <c r="G89" s="6"/>
      <c r="H89" s="6" t="s">
        <v>166</v>
      </c>
      <c r="I89" s="10" t="s">
        <v>27</v>
      </c>
      <c r="J89" s="6" t="str">
        <f aca="false">IF(I89="","– (top of tree)",IFERROR(INDEX($B$2:$B$101,MATCH(I89,$A$2:$A$101,0)),"CHECK: code not found"))</f>
        <v>Arjun Raman</v>
      </c>
      <c r="K89" s="6" t="s">
        <v>505</v>
      </c>
      <c r="L89" s="10" t="s">
        <v>506</v>
      </c>
      <c r="M89" s="6" t="s">
        <v>169</v>
      </c>
    </row>
    <row r="90" customFormat="false" ht="15" hidden="false" customHeight="false" outlineLevel="0" collapsed="false">
      <c r="A90" s="6" t="s">
        <v>507</v>
      </c>
      <c r="B90" s="6" t="s">
        <v>508</v>
      </c>
      <c r="C90" s="6" t="s">
        <v>509</v>
      </c>
      <c r="D90" s="6" t="s">
        <v>88</v>
      </c>
      <c r="E90" s="6" t="s">
        <v>60</v>
      </c>
      <c r="F90" s="6" t="s">
        <v>61</v>
      </c>
      <c r="G90" s="6"/>
      <c r="H90" s="6" t="s">
        <v>166</v>
      </c>
      <c r="I90" s="10" t="s">
        <v>62</v>
      </c>
      <c r="J90" s="6" t="str">
        <f aca="false">IF(I90="","– (top of tree)",IFERROR(INDEX($B$2:$B$101,MATCH(I90,$A$2:$A$101,0)),"CHECK: code not found"))</f>
        <v>Aishwarya Joseph</v>
      </c>
      <c r="K90" s="6" t="s">
        <v>510</v>
      </c>
      <c r="L90" s="10" t="s">
        <v>511</v>
      </c>
      <c r="M90" s="6" t="s">
        <v>169</v>
      </c>
    </row>
    <row r="91" customFormat="false" ht="26.85" hidden="false" customHeight="false" outlineLevel="0" collapsed="false">
      <c r="A91" s="6" t="s">
        <v>512</v>
      </c>
      <c r="B91" s="6" t="s">
        <v>513</v>
      </c>
      <c r="C91" s="6" t="s">
        <v>514</v>
      </c>
      <c r="D91" s="6" t="s">
        <v>91</v>
      </c>
      <c r="E91" s="6" t="s">
        <v>60</v>
      </c>
      <c r="F91" s="6" t="s">
        <v>61</v>
      </c>
      <c r="G91" s="6"/>
      <c r="H91" s="6" t="s">
        <v>204</v>
      </c>
      <c r="I91" s="10" t="s">
        <v>507</v>
      </c>
      <c r="J91" s="6" t="str">
        <f aca="false">IF(I91="","– (top of tree)",IFERROR(INDEX($B$2:$B$101,MATCH(I91,$A$2:$A$101,0)),"CHECK: code not found"))</f>
        <v>Hari Das</v>
      </c>
      <c r="K91" s="6" t="s">
        <v>515</v>
      </c>
      <c r="L91" s="10" t="s">
        <v>179</v>
      </c>
      <c r="M91" s="6" t="s">
        <v>169</v>
      </c>
    </row>
    <row r="92" customFormat="false" ht="15" hidden="false" customHeight="false" outlineLevel="0" collapsed="false">
      <c r="A92" s="6" t="s">
        <v>65</v>
      </c>
      <c r="B92" s="6" t="s">
        <v>516</v>
      </c>
      <c r="C92" s="6" t="s">
        <v>517</v>
      </c>
      <c r="D92" s="6" t="s">
        <v>79</v>
      </c>
      <c r="E92" s="6" t="s">
        <v>63</v>
      </c>
      <c r="F92" s="6" t="s">
        <v>64</v>
      </c>
      <c r="G92" s="6"/>
      <c r="H92" s="6" t="s">
        <v>166</v>
      </c>
      <c r="I92" s="10" t="s">
        <v>27</v>
      </c>
      <c r="J92" s="6" t="str">
        <f aca="false">IF(I92="","– (top of tree)",IFERROR(INDEX($B$2:$B$101,MATCH(I92,$A$2:$A$101,0)),"CHECK: code not found"))</f>
        <v>Arjun Raman</v>
      </c>
      <c r="K92" s="6" t="s">
        <v>518</v>
      </c>
      <c r="L92" s="10" t="s">
        <v>235</v>
      </c>
      <c r="M92" s="6" t="s">
        <v>169</v>
      </c>
    </row>
    <row r="93" customFormat="false" ht="26.85" hidden="false" customHeight="false" outlineLevel="0" collapsed="false">
      <c r="A93" s="6" t="s">
        <v>519</v>
      </c>
      <c r="B93" s="6" t="s">
        <v>520</v>
      </c>
      <c r="C93" s="6" t="s">
        <v>521</v>
      </c>
      <c r="D93" s="6" t="s">
        <v>85</v>
      </c>
      <c r="E93" s="6" t="s">
        <v>63</v>
      </c>
      <c r="F93" s="6" t="s">
        <v>64</v>
      </c>
      <c r="G93" s="6"/>
      <c r="H93" s="6" t="s">
        <v>166</v>
      </c>
      <c r="I93" s="10" t="s">
        <v>65</v>
      </c>
      <c r="J93" s="6" t="str">
        <f aca="false">IF(I93="","– (top of tree)",IFERROR(INDEX($B$2:$B$101,MATCH(I93,$A$2:$A$101,0)),"CHECK: code not found"))</f>
        <v>Vijay Thomas</v>
      </c>
      <c r="K93" s="6" t="s">
        <v>522</v>
      </c>
      <c r="L93" s="10" t="s">
        <v>189</v>
      </c>
      <c r="M93" s="6" t="s">
        <v>169</v>
      </c>
    </row>
    <row r="94" customFormat="false" ht="15" hidden="false" customHeight="false" outlineLevel="0" collapsed="false">
      <c r="A94" s="6" t="s">
        <v>523</v>
      </c>
      <c r="B94" s="6" t="s">
        <v>524</v>
      </c>
      <c r="C94" s="6" t="s">
        <v>525</v>
      </c>
      <c r="D94" s="6" t="s">
        <v>91</v>
      </c>
      <c r="E94" s="6" t="s">
        <v>63</v>
      </c>
      <c r="F94" s="6" t="s">
        <v>64</v>
      </c>
      <c r="G94" s="6"/>
      <c r="H94" s="6" t="s">
        <v>166</v>
      </c>
      <c r="I94" s="10" t="s">
        <v>519</v>
      </c>
      <c r="J94" s="6" t="str">
        <f aca="false">IF(I94="","– (top of tree)",IFERROR(INDEX($B$2:$B$101,MATCH(I94,$A$2:$A$101,0)),"CHECK: code not found"))</f>
        <v>Gayathri Raman</v>
      </c>
      <c r="K94" s="6" t="s">
        <v>526</v>
      </c>
      <c r="L94" s="10" t="s">
        <v>179</v>
      </c>
      <c r="M94" s="6" t="s">
        <v>169</v>
      </c>
    </row>
    <row r="95" customFormat="false" ht="26.85" hidden="false" customHeight="false" outlineLevel="0" collapsed="false">
      <c r="A95" s="6" t="s">
        <v>68</v>
      </c>
      <c r="B95" s="6" t="s">
        <v>527</v>
      </c>
      <c r="C95" s="6" t="s">
        <v>528</v>
      </c>
      <c r="D95" s="6" t="s">
        <v>79</v>
      </c>
      <c r="E95" s="6" t="s">
        <v>66</v>
      </c>
      <c r="F95" s="6" t="s">
        <v>67</v>
      </c>
      <c r="G95" s="6"/>
      <c r="H95" s="6" t="s">
        <v>204</v>
      </c>
      <c r="I95" s="10" t="s">
        <v>27</v>
      </c>
      <c r="J95" s="6" t="str">
        <f aca="false">IF(I95="","– (top of tree)",IFERROR(INDEX($B$2:$B$101,MATCH(I95,$A$2:$A$101,0)),"CHECK: code not found"))</f>
        <v>Arjun Raman</v>
      </c>
      <c r="K95" s="6" t="s">
        <v>529</v>
      </c>
      <c r="L95" s="10" t="s">
        <v>235</v>
      </c>
      <c r="M95" s="6" t="s">
        <v>169</v>
      </c>
    </row>
    <row r="96" customFormat="false" ht="26.85" hidden="false" customHeight="false" outlineLevel="0" collapsed="false">
      <c r="A96" s="6" t="s">
        <v>530</v>
      </c>
      <c r="B96" s="6" t="s">
        <v>531</v>
      </c>
      <c r="C96" s="6" t="s">
        <v>532</v>
      </c>
      <c r="D96" s="6" t="s">
        <v>88</v>
      </c>
      <c r="E96" s="6" t="s">
        <v>66</v>
      </c>
      <c r="F96" s="6" t="s">
        <v>67</v>
      </c>
      <c r="G96" s="6"/>
      <c r="H96" s="6" t="s">
        <v>204</v>
      </c>
      <c r="I96" s="10" t="s">
        <v>68</v>
      </c>
      <c r="J96" s="6" t="str">
        <f aca="false">IF(I96="","– (top of tree)",IFERROR(INDEX($B$2:$B$101,MATCH(I96,$A$2:$A$101,0)),"CHECK: code not found"))</f>
        <v>Nandhini Varma</v>
      </c>
      <c r="K96" s="6" t="s">
        <v>533</v>
      </c>
      <c r="L96" s="10" t="s">
        <v>189</v>
      </c>
      <c r="M96" s="6" t="s">
        <v>169</v>
      </c>
    </row>
    <row r="97" customFormat="false" ht="26.85" hidden="false" customHeight="false" outlineLevel="0" collapsed="false">
      <c r="A97" s="6" t="s">
        <v>534</v>
      </c>
      <c r="B97" s="6" t="s">
        <v>535</v>
      </c>
      <c r="C97" s="6" t="s">
        <v>536</v>
      </c>
      <c r="D97" s="6" t="s">
        <v>91</v>
      </c>
      <c r="E97" s="6" t="s">
        <v>66</v>
      </c>
      <c r="F97" s="6" t="s">
        <v>67</v>
      </c>
      <c r="G97" s="6"/>
      <c r="H97" s="6" t="s">
        <v>204</v>
      </c>
      <c r="I97" s="10" t="s">
        <v>530</v>
      </c>
      <c r="J97" s="6" t="str">
        <f aca="false">IF(I97="","– (top of tree)",IFERROR(INDEX($B$2:$B$101,MATCH(I97,$A$2:$A$101,0)),"CHECK: code not found"))</f>
        <v>Sathish Iyer</v>
      </c>
      <c r="K97" s="6" t="s">
        <v>537</v>
      </c>
      <c r="L97" s="10" t="s">
        <v>179</v>
      </c>
      <c r="M97" s="6" t="s">
        <v>169</v>
      </c>
    </row>
    <row r="98" customFormat="false" ht="26.85" hidden="false" customHeight="false" outlineLevel="0" collapsed="false">
      <c r="A98" s="6" t="s">
        <v>538</v>
      </c>
      <c r="B98" s="6" t="s">
        <v>539</v>
      </c>
      <c r="C98" s="6" t="s">
        <v>540</v>
      </c>
      <c r="D98" s="6" t="s">
        <v>91</v>
      </c>
      <c r="E98" s="6" t="s">
        <v>66</v>
      </c>
      <c r="F98" s="6" t="s">
        <v>67</v>
      </c>
      <c r="G98" s="6"/>
      <c r="H98" s="6" t="s">
        <v>252</v>
      </c>
      <c r="I98" s="10" t="s">
        <v>530</v>
      </c>
      <c r="J98" s="6" t="str">
        <f aca="false">IF(I98="","– (top of tree)",IFERROR(INDEX($B$2:$B$101,MATCH(I98,$A$2:$A$101,0)),"CHECK: code not found"))</f>
        <v>Sathish Iyer</v>
      </c>
      <c r="K98" s="6" t="s">
        <v>541</v>
      </c>
      <c r="L98" s="10" t="s">
        <v>179</v>
      </c>
      <c r="M98" s="6" t="s">
        <v>169</v>
      </c>
    </row>
    <row r="99" customFormat="false" ht="26.85" hidden="false" customHeight="false" outlineLevel="0" collapsed="false">
      <c r="A99" s="6" t="s">
        <v>71</v>
      </c>
      <c r="B99" s="6" t="s">
        <v>542</v>
      </c>
      <c r="C99" s="6" t="s">
        <v>543</v>
      </c>
      <c r="D99" s="6" t="s">
        <v>79</v>
      </c>
      <c r="E99" s="6" t="s">
        <v>69</v>
      </c>
      <c r="F99" s="6" t="s">
        <v>70</v>
      </c>
      <c r="G99" s="6"/>
      <c r="H99" s="6" t="s">
        <v>166</v>
      </c>
      <c r="I99" s="10" t="s">
        <v>27</v>
      </c>
      <c r="J99" s="6" t="str">
        <f aca="false">IF(I99="","– (top of tree)",IFERROR(INDEX($B$2:$B$101,MATCH(I99,$A$2:$A$101,0)),"CHECK: code not found"))</f>
        <v>Arjun Raman</v>
      </c>
      <c r="K99" s="6" t="s">
        <v>544</v>
      </c>
      <c r="L99" s="10" t="s">
        <v>545</v>
      </c>
      <c r="M99" s="6" t="s">
        <v>169</v>
      </c>
    </row>
    <row r="100" customFormat="false" ht="15" hidden="false" customHeight="false" outlineLevel="0" collapsed="false">
      <c r="A100" s="6" t="s">
        <v>546</v>
      </c>
      <c r="B100" s="6" t="s">
        <v>547</v>
      </c>
      <c r="C100" s="6" t="s">
        <v>548</v>
      </c>
      <c r="D100" s="6" t="s">
        <v>88</v>
      </c>
      <c r="E100" s="6" t="s">
        <v>69</v>
      </c>
      <c r="F100" s="6" t="s">
        <v>70</v>
      </c>
      <c r="G100" s="6"/>
      <c r="H100" s="6" t="s">
        <v>166</v>
      </c>
      <c r="I100" s="10" t="s">
        <v>71</v>
      </c>
      <c r="J100" s="6" t="str">
        <f aca="false">IF(I100="","– (top of tree)",IFERROR(INDEX($B$2:$B$101,MATCH(I100,$A$2:$A$101,0)),"CHECK: code not found"))</f>
        <v>Mythili Natarajan</v>
      </c>
      <c r="K100" s="6" t="s">
        <v>549</v>
      </c>
      <c r="L100" s="10" t="s">
        <v>189</v>
      </c>
      <c r="M100" s="6" t="s">
        <v>169</v>
      </c>
    </row>
    <row r="101" customFormat="false" ht="26.85" hidden="false" customHeight="false" outlineLevel="0" collapsed="false">
      <c r="A101" s="6" t="s">
        <v>550</v>
      </c>
      <c r="B101" s="6" t="s">
        <v>551</v>
      </c>
      <c r="C101" s="6" t="s">
        <v>552</v>
      </c>
      <c r="D101" s="6" t="s">
        <v>91</v>
      </c>
      <c r="E101" s="6" t="s">
        <v>69</v>
      </c>
      <c r="F101" s="6" t="s">
        <v>70</v>
      </c>
      <c r="G101" s="6"/>
      <c r="H101" s="6" t="s">
        <v>166</v>
      </c>
      <c r="I101" s="10" t="s">
        <v>546</v>
      </c>
      <c r="J101" s="6" t="str">
        <f aca="false">IF(I101="","– (top of tree)",IFERROR(INDEX($B$2:$B$101,MATCH(I101,$A$2:$A$101,0)),"CHECK: code not found"))</f>
        <v>Siva Reddy</v>
      </c>
      <c r="K101" s="6" t="s">
        <v>553</v>
      </c>
      <c r="L101" s="10" t="s">
        <v>179</v>
      </c>
      <c r="M101" s="6" t="s">
        <v>169</v>
      </c>
    </row>
  </sheetData>
  <autoFilter ref="A1:M101"/>
  <dataValidations count="2">
    <dataValidation allowBlank="false" errorStyle="stop" operator="between" showDropDown="false" showErrorMessage="false" showInputMessage="false" sqref="D2:D101" type="list">
      <formula1>"L1,L2,L3,L4,L5,L6"</formula1>
      <formula2>0</formula2>
    </dataValidation>
    <dataValidation allowBlank="false" errorStyle="stop" operator="between" showDropDown="false" showErrorMessage="false" showInputMessage="false" sqref="M2:M101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5" t="s">
        <v>554</v>
      </c>
      <c r="B1" s="5" t="s">
        <v>179</v>
      </c>
      <c r="C1" s="5" t="s">
        <v>555</v>
      </c>
      <c r="D1" s="5" t="s">
        <v>556</v>
      </c>
      <c r="E1" s="5" t="s">
        <v>557</v>
      </c>
      <c r="F1" s="5" t="s">
        <v>558</v>
      </c>
      <c r="G1" s="5" t="s">
        <v>559</v>
      </c>
      <c r="H1" s="5" t="s">
        <v>560</v>
      </c>
    </row>
    <row r="2" customFormat="false" ht="15" hidden="false" customHeight="false" outlineLevel="0" collapsed="false">
      <c r="A2" s="6" t="s">
        <v>561</v>
      </c>
      <c r="B2" s="6" t="s">
        <v>562</v>
      </c>
      <c r="C2" s="6" t="s">
        <v>562</v>
      </c>
      <c r="D2" s="6" t="s">
        <v>562</v>
      </c>
      <c r="E2" s="6" t="s">
        <v>562</v>
      </c>
      <c r="F2" s="6" t="s">
        <v>562</v>
      </c>
      <c r="G2" s="6" t="s">
        <v>562</v>
      </c>
      <c r="H2" s="6" t="s">
        <v>562</v>
      </c>
    </row>
    <row r="3" customFormat="false" ht="15" hidden="false" customHeight="false" outlineLevel="0" collapsed="false">
      <c r="A3" s="6" t="s">
        <v>563</v>
      </c>
      <c r="B3" s="6" t="s">
        <v>564</v>
      </c>
      <c r="C3" s="6" t="s">
        <v>565</v>
      </c>
      <c r="D3" s="6" t="s">
        <v>566</v>
      </c>
      <c r="E3" s="6" t="s">
        <v>567</v>
      </c>
      <c r="F3" s="6" t="s">
        <v>564</v>
      </c>
      <c r="G3" s="6" t="s">
        <v>564</v>
      </c>
      <c r="H3" s="6" t="s">
        <v>568</v>
      </c>
    </row>
    <row r="4" customFormat="false" ht="52.2" hidden="false" customHeight="false" outlineLevel="0" collapsed="false">
      <c r="A4" s="6" t="s">
        <v>569</v>
      </c>
      <c r="B4" s="6" t="s">
        <v>570</v>
      </c>
      <c r="C4" s="6" t="s">
        <v>571</v>
      </c>
      <c r="D4" s="6" t="s">
        <v>572</v>
      </c>
      <c r="E4" s="6" t="s">
        <v>573</v>
      </c>
      <c r="F4" s="6" t="s">
        <v>564</v>
      </c>
      <c r="G4" s="6" t="s">
        <v>564</v>
      </c>
      <c r="H4" s="6" t="s">
        <v>564</v>
      </c>
    </row>
    <row r="5" customFormat="false" ht="15" hidden="false" customHeight="false" outlineLevel="0" collapsed="false">
      <c r="A5" s="6" t="s">
        <v>574</v>
      </c>
      <c r="B5" s="6" t="s">
        <v>564</v>
      </c>
      <c r="C5" s="6" t="s">
        <v>575</v>
      </c>
      <c r="D5" s="6" t="s">
        <v>576</v>
      </c>
      <c r="E5" s="6" t="s">
        <v>577</v>
      </c>
      <c r="F5" s="6" t="s">
        <v>564</v>
      </c>
      <c r="G5" s="6" t="s">
        <v>564</v>
      </c>
      <c r="H5" s="6" t="s">
        <v>564</v>
      </c>
    </row>
    <row r="6" customFormat="false" ht="15" hidden="false" customHeight="false" outlineLevel="0" collapsed="false">
      <c r="A6" s="6" t="s">
        <v>578</v>
      </c>
      <c r="B6" s="6" t="s">
        <v>564</v>
      </c>
      <c r="C6" s="6" t="s">
        <v>575</v>
      </c>
      <c r="D6" s="6" t="s">
        <v>576</v>
      </c>
      <c r="E6" s="6" t="s">
        <v>577</v>
      </c>
      <c r="F6" s="6" t="s">
        <v>564</v>
      </c>
      <c r="G6" s="6" t="s">
        <v>564</v>
      </c>
      <c r="H6" s="6" t="s">
        <v>564</v>
      </c>
    </row>
    <row r="7" customFormat="false" ht="15" hidden="false" customHeight="false" outlineLevel="0" collapsed="false">
      <c r="A7" s="6" t="s">
        <v>579</v>
      </c>
      <c r="B7" s="6" t="s">
        <v>562</v>
      </c>
      <c r="C7" s="6" t="s">
        <v>562</v>
      </c>
      <c r="D7" s="6" t="s">
        <v>562</v>
      </c>
      <c r="E7" s="6" t="s">
        <v>562</v>
      </c>
      <c r="F7" s="6" t="s">
        <v>564</v>
      </c>
      <c r="G7" s="6" t="s">
        <v>564</v>
      </c>
      <c r="H7" s="6" t="s">
        <v>564</v>
      </c>
    </row>
    <row r="8" customFormat="false" ht="15" hidden="false" customHeight="false" outlineLevel="0" collapsed="false">
      <c r="A8" s="6" t="s">
        <v>580</v>
      </c>
      <c r="B8" s="6" t="s">
        <v>564</v>
      </c>
      <c r="C8" s="6" t="s">
        <v>581</v>
      </c>
      <c r="D8" s="6" t="s">
        <v>562</v>
      </c>
      <c r="E8" s="6" t="s">
        <v>564</v>
      </c>
      <c r="F8" s="6" t="s">
        <v>564</v>
      </c>
      <c r="G8" s="6" t="s">
        <v>564</v>
      </c>
      <c r="H8" s="6" t="s">
        <v>564</v>
      </c>
    </row>
    <row r="9" customFormat="false" ht="15" hidden="false" customHeight="false" outlineLevel="0" collapsed="false">
      <c r="A9" s="6" t="s">
        <v>582</v>
      </c>
      <c r="B9" s="6" t="s">
        <v>564</v>
      </c>
      <c r="C9" s="6" t="s">
        <v>583</v>
      </c>
      <c r="D9" s="6" t="s">
        <v>566</v>
      </c>
      <c r="E9" s="6" t="s">
        <v>584</v>
      </c>
      <c r="F9" s="6" t="s">
        <v>564</v>
      </c>
      <c r="G9" s="6" t="s">
        <v>564</v>
      </c>
      <c r="H9" s="6" t="s">
        <v>568</v>
      </c>
    </row>
    <row r="10" customFormat="false" ht="15" hidden="false" customHeight="false" outlineLevel="0" collapsed="false">
      <c r="A10" s="6" t="s">
        <v>585</v>
      </c>
      <c r="B10" s="6" t="s">
        <v>564</v>
      </c>
      <c r="C10" s="6" t="s">
        <v>564</v>
      </c>
      <c r="D10" s="6" t="s">
        <v>562</v>
      </c>
      <c r="E10" s="6" t="s">
        <v>564</v>
      </c>
      <c r="F10" s="6" t="s">
        <v>564</v>
      </c>
      <c r="G10" s="6" t="s">
        <v>564</v>
      </c>
      <c r="H10" s="6" t="s">
        <v>564</v>
      </c>
    </row>
    <row r="11" customFormat="false" ht="15" hidden="false" customHeight="false" outlineLevel="0" collapsed="false">
      <c r="A11" s="6" t="s">
        <v>586</v>
      </c>
      <c r="B11" s="6" t="s">
        <v>564</v>
      </c>
      <c r="C11" s="6" t="s">
        <v>564</v>
      </c>
      <c r="D11" s="6" t="s">
        <v>564</v>
      </c>
      <c r="E11" s="6" t="s">
        <v>562</v>
      </c>
      <c r="F11" s="6" t="s">
        <v>564</v>
      </c>
      <c r="G11" s="6" t="s">
        <v>564</v>
      </c>
      <c r="H11" s="6" t="s">
        <v>564</v>
      </c>
    </row>
    <row r="12" customFormat="false" ht="26.85" hidden="false" customHeight="false" outlineLevel="0" collapsed="false">
      <c r="A12" s="6" t="s">
        <v>587</v>
      </c>
      <c r="B12" s="6" t="s">
        <v>564</v>
      </c>
      <c r="C12" s="6" t="s">
        <v>564</v>
      </c>
      <c r="D12" s="6" t="s">
        <v>564</v>
      </c>
      <c r="E12" s="6" t="s">
        <v>588</v>
      </c>
      <c r="F12" s="6" t="s">
        <v>589</v>
      </c>
      <c r="G12" s="6" t="s">
        <v>564</v>
      </c>
      <c r="H12" s="6" t="s">
        <v>564</v>
      </c>
    </row>
    <row r="13" customFormat="false" ht="15" hidden="false" customHeight="false" outlineLevel="0" collapsed="false">
      <c r="A13" s="6" t="s">
        <v>590</v>
      </c>
      <c r="B13" s="6" t="s">
        <v>564</v>
      </c>
      <c r="C13" s="6" t="s">
        <v>564</v>
      </c>
      <c r="D13" s="6" t="s">
        <v>564</v>
      </c>
      <c r="E13" s="6" t="s">
        <v>564</v>
      </c>
      <c r="F13" s="6" t="s">
        <v>102</v>
      </c>
      <c r="G13" s="6" t="s">
        <v>562</v>
      </c>
      <c r="H13" s="6" t="s">
        <v>564</v>
      </c>
    </row>
    <row r="14" customFormat="false" ht="15" hidden="false" customHeight="false" outlineLevel="0" collapsed="false">
      <c r="A14" s="6" t="s">
        <v>591</v>
      </c>
      <c r="B14" s="6" t="s">
        <v>564</v>
      </c>
      <c r="C14" s="6" t="s">
        <v>564</v>
      </c>
      <c r="D14" s="6" t="s">
        <v>564</v>
      </c>
      <c r="E14" s="6" t="s">
        <v>564</v>
      </c>
      <c r="F14" s="6" t="s">
        <v>564</v>
      </c>
      <c r="G14" s="6" t="s">
        <v>562</v>
      </c>
      <c r="H14" s="6" t="s">
        <v>564</v>
      </c>
    </row>
    <row r="15" customFormat="false" ht="15" hidden="false" customHeight="false" outlineLevel="0" collapsed="false">
      <c r="A15" s="6" t="s">
        <v>592</v>
      </c>
      <c r="B15" s="6" t="s">
        <v>564</v>
      </c>
      <c r="C15" s="6" t="s">
        <v>564</v>
      </c>
      <c r="D15" s="6" t="s">
        <v>566</v>
      </c>
      <c r="E15" s="6" t="s">
        <v>567</v>
      </c>
      <c r="F15" s="6" t="s">
        <v>593</v>
      </c>
      <c r="G15" s="6" t="s">
        <v>594</v>
      </c>
      <c r="H15" s="6" t="s">
        <v>567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0"/>
  </cols>
  <sheetData>
    <row r="1" customFormat="false" ht="52.2" hidden="false" customHeight="false" outlineLevel="0" collapsed="false">
      <c r="A1" s="5" t="s">
        <v>595</v>
      </c>
      <c r="B1" s="5" t="s">
        <v>576</v>
      </c>
      <c r="C1" s="5" t="s">
        <v>157</v>
      </c>
      <c r="D1" s="5" t="s">
        <v>117</v>
      </c>
      <c r="E1" s="5" t="s">
        <v>596</v>
      </c>
      <c r="F1" s="5" t="s">
        <v>597</v>
      </c>
      <c r="G1" s="5" t="s">
        <v>598</v>
      </c>
      <c r="H1" s="5" t="s">
        <v>599</v>
      </c>
      <c r="I1" s="5" t="s">
        <v>600</v>
      </c>
      <c r="J1" s="5" t="s">
        <v>601</v>
      </c>
      <c r="K1" s="5" t="s">
        <v>602</v>
      </c>
    </row>
    <row r="2" customFormat="false" ht="26.85" hidden="false" customHeight="false" outlineLevel="0" collapsed="false">
      <c r="A2" s="6" t="s">
        <v>603</v>
      </c>
      <c r="B2" s="6" t="s">
        <v>29</v>
      </c>
      <c r="C2" s="6" t="s">
        <v>187</v>
      </c>
      <c r="D2" s="6" t="s">
        <v>604</v>
      </c>
      <c r="E2" s="6" t="s">
        <v>605</v>
      </c>
      <c r="F2" s="6" t="s">
        <v>606</v>
      </c>
      <c r="G2" s="6" t="s">
        <v>607</v>
      </c>
      <c r="H2" s="6" t="s">
        <v>194</v>
      </c>
      <c r="I2" s="6" t="s">
        <v>184</v>
      </c>
      <c r="J2" s="6" t="s">
        <v>608</v>
      </c>
      <c r="K2" s="6" t="s">
        <v>32</v>
      </c>
    </row>
    <row r="3" customFormat="false" ht="15" hidden="false" customHeight="false" outlineLevel="0" collapsed="false">
      <c r="A3" s="6" t="s">
        <v>609</v>
      </c>
      <c r="B3" s="6" t="s">
        <v>29</v>
      </c>
      <c r="C3" s="6" t="s">
        <v>187</v>
      </c>
      <c r="D3" s="6" t="s">
        <v>610</v>
      </c>
      <c r="E3" s="6" t="s">
        <v>611</v>
      </c>
      <c r="F3" s="6" t="s">
        <v>612</v>
      </c>
      <c r="G3" s="6" t="s">
        <v>613</v>
      </c>
      <c r="H3" s="6" t="s">
        <v>198</v>
      </c>
      <c r="I3" s="6" t="s">
        <v>194</v>
      </c>
      <c r="J3" s="6" t="s">
        <v>614</v>
      </c>
      <c r="K3" s="6" t="s">
        <v>32</v>
      </c>
    </row>
    <row r="4" customFormat="false" ht="26.85" hidden="false" customHeight="false" outlineLevel="0" collapsed="false">
      <c r="A4" s="6" t="s">
        <v>615</v>
      </c>
      <c r="B4" s="6" t="s">
        <v>29</v>
      </c>
      <c r="C4" s="6" t="s">
        <v>209</v>
      </c>
      <c r="D4" s="6" t="s">
        <v>616</v>
      </c>
      <c r="E4" s="6" t="s">
        <v>605</v>
      </c>
      <c r="F4" s="6" t="s">
        <v>617</v>
      </c>
      <c r="G4" s="6" t="s">
        <v>618</v>
      </c>
      <c r="H4" s="6" t="s">
        <v>211</v>
      </c>
      <c r="I4" s="6" t="s">
        <v>206</v>
      </c>
      <c r="J4" s="6" t="s">
        <v>619</v>
      </c>
      <c r="K4" s="6" t="s">
        <v>32</v>
      </c>
    </row>
    <row r="5" customFormat="false" ht="26.85" hidden="false" customHeight="false" outlineLevel="0" collapsed="false">
      <c r="A5" s="6" t="s">
        <v>620</v>
      </c>
      <c r="B5" s="6" t="s">
        <v>29</v>
      </c>
      <c r="C5" s="6" t="s">
        <v>209</v>
      </c>
      <c r="D5" s="6" t="s">
        <v>621</v>
      </c>
      <c r="E5" s="6" t="s">
        <v>605</v>
      </c>
      <c r="F5" s="6" t="s">
        <v>617</v>
      </c>
      <c r="G5" s="6" t="s">
        <v>622</v>
      </c>
      <c r="H5" s="6" t="s">
        <v>215</v>
      </c>
      <c r="I5" s="6" t="s">
        <v>211</v>
      </c>
      <c r="J5" s="6" t="s">
        <v>619</v>
      </c>
      <c r="K5" s="6" t="s">
        <v>32</v>
      </c>
    </row>
    <row r="6" customFormat="false" ht="26.85" hidden="false" customHeight="false" outlineLevel="0" collapsed="false">
      <c r="A6" s="6" t="s">
        <v>623</v>
      </c>
      <c r="B6" s="6" t="s">
        <v>29</v>
      </c>
      <c r="C6" s="6" t="s">
        <v>222</v>
      </c>
      <c r="D6" s="6" t="s">
        <v>624</v>
      </c>
      <c r="E6" s="6" t="s">
        <v>605</v>
      </c>
      <c r="F6" s="6" t="s">
        <v>606</v>
      </c>
      <c r="G6" s="6" t="s">
        <v>625</v>
      </c>
      <c r="H6" s="6" t="s">
        <v>224</v>
      </c>
      <c r="I6" s="6" t="s">
        <v>219</v>
      </c>
      <c r="J6" s="6" t="s">
        <v>614</v>
      </c>
      <c r="K6" s="6" t="s">
        <v>32</v>
      </c>
    </row>
    <row r="7" customFormat="false" ht="15" hidden="false" customHeight="false" outlineLevel="0" collapsed="false">
      <c r="A7" s="6" t="s">
        <v>626</v>
      </c>
      <c r="B7" s="6" t="s">
        <v>33</v>
      </c>
      <c r="C7" s="6" t="s">
        <v>239</v>
      </c>
      <c r="D7" s="6" t="s">
        <v>627</v>
      </c>
      <c r="E7" s="6" t="s">
        <v>605</v>
      </c>
      <c r="F7" s="6" t="s">
        <v>617</v>
      </c>
      <c r="G7" s="6" t="s">
        <v>628</v>
      </c>
      <c r="H7" s="6" t="s">
        <v>245</v>
      </c>
      <c r="I7" s="6" t="s">
        <v>241</v>
      </c>
      <c r="J7" s="6" t="s">
        <v>608</v>
      </c>
      <c r="K7" s="6" t="s">
        <v>32</v>
      </c>
    </row>
    <row r="8" customFormat="false" ht="26.85" hidden="false" customHeight="false" outlineLevel="0" collapsed="false">
      <c r="A8" s="6" t="s">
        <v>629</v>
      </c>
      <c r="B8" s="6" t="s">
        <v>33</v>
      </c>
      <c r="C8" s="6" t="s">
        <v>239</v>
      </c>
      <c r="D8" s="6" t="s">
        <v>630</v>
      </c>
      <c r="E8" s="6" t="s">
        <v>605</v>
      </c>
      <c r="F8" s="6" t="s">
        <v>617</v>
      </c>
      <c r="G8" s="6" t="s">
        <v>631</v>
      </c>
      <c r="H8" s="6" t="s">
        <v>245</v>
      </c>
      <c r="I8" s="6" t="s">
        <v>241</v>
      </c>
      <c r="J8" s="6" t="s">
        <v>619</v>
      </c>
      <c r="K8" s="6" t="s">
        <v>32</v>
      </c>
    </row>
    <row r="9" customFormat="false" ht="15" hidden="false" customHeight="false" outlineLevel="0" collapsed="false">
      <c r="A9" s="6" t="s">
        <v>632</v>
      </c>
      <c r="B9" s="6" t="s">
        <v>36</v>
      </c>
      <c r="C9" s="6"/>
      <c r="D9" s="6" t="s">
        <v>633</v>
      </c>
      <c r="E9" s="6" t="s">
        <v>634</v>
      </c>
      <c r="F9" s="6" t="s">
        <v>617</v>
      </c>
      <c r="G9" s="6" t="s">
        <v>635</v>
      </c>
      <c r="H9" s="6" t="s">
        <v>270</v>
      </c>
      <c r="I9" s="6" t="s">
        <v>266</v>
      </c>
      <c r="J9" s="6" t="s">
        <v>614</v>
      </c>
      <c r="K9" s="6" t="s">
        <v>636</v>
      </c>
    </row>
    <row r="10" customFormat="false" ht="15" hidden="false" customHeight="false" outlineLevel="0" collapsed="false">
      <c r="A10" s="6" t="s">
        <v>637</v>
      </c>
      <c r="B10" s="6" t="s">
        <v>39</v>
      </c>
      <c r="C10" s="6"/>
      <c r="D10" s="6" t="s">
        <v>638</v>
      </c>
      <c r="E10" s="6" t="s">
        <v>605</v>
      </c>
      <c r="F10" s="6" t="s">
        <v>606</v>
      </c>
      <c r="G10" s="6" t="s">
        <v>625</v>
      </c>
      <c r="H10" s="6" t="s">
        <v>287</v>
      </c>
      <c r="I10" s="6" t="s">
        <v>41</v>
      </c>
      <c r="J10" s="6" t="s">
        <v>614</v>
      </c>
      <c r="K10" s="6" t="s">
        <v>32</v>
      </c>
    </row>
    <row r="11" customFormat="false" ht="15" hidden="false" customHeight="false" outlineLevel="0" collapsed="false">
      <c r="A11" s="6" t="s">
        <v>639</v>
      </c>
      <c r="B11" s="6" t="s">
        <v>42</v>
      </c>
      <c r="C11" s="6"/>
      <c r="D11" s="6" t="s">
        <v>640</v>
      </c>
      <c r="E11" s="6" t="s">
        <v>605</v>
      </c>
      <c r="F11" s="6" t="s">
        <v>606</v>
      </c>
      <c r="G11" s="6" t="s">
        <v>641</v>
      </c>
      <c r="H11" s="6" t="s">
        <v>311</v>
      </c>
      <c r="I11" s="6" t="s">
        <v>307</v>
      </c>
      <c r="J11" s="6" t="s">
        <v>614</v>
      </c>
      <c r="K11" s="6" t="s">
        <v>32</v>
      </c>
    </row>
    <row r="12" customFormat="false" ht="15" hidden="false" customHeight="false" outlineLevel="0" collapsed="false">
      <c r="A12" s="6" t="s">
        <v>642</v>
      </c>
      <c r="B12" s="6" t="s">
        <v>45</v>
      </c>
      <c r="C12" s="6" t="s">
        <v>328</v>
      </c>
      <c r="D12" s="6" t="s">
        <v>643</v>
      </c>
      <c r="E12" s="6" t="s">
        <v>644</v>
      </c>
      <c r="F12" s="6" t="s">
        <v>645</v>
      </c>
      <c r="G12" s="6" t="s">
        <v>646</v>
      </c>
      <c r="H12" s="6" t="s">
        <v>334</v>
      </c>
      <c r="I12" s="6" t="s">
        <v>330</v>
      </c>
      <c r="J12" s="6" t="s">
        <v>608</v>
      </c>
      <c r="K12" s="6" t="s">
        <v>32</v>
      </c>
    </row>
    <row r="13" customFormat="false" ht="15" hidden="false" customHeight="false" outlineLevel="0" collapsed="false">
      <c r="A13" s="6" t="s">
        <v>647</v>
      </c>
      <c r="B13" s="6" t="s">
        <v>45</v>
      </c>
      <c r="C13" s="6" t="s">
        <v>358</v>
      </c>
      <c r="D13" s="6" t="s">
        <v>643</v>
      </c>
      <c r="E13" s="6" t="s">
        <v>644</v>
      </c>
      <c r="F13" s="6" t="s">
        <v>645</v>
      </c>
      <c r="G13" s="6" t="s">
        <v>646</v>
      </c>
      <c r="H13" s="6" t="s">
        <v>364</v>
      </c>
      <c r="I13" s="6" t="s">
        <v>360</v>
      </c>
      <c r="J13" s="6" t="s">
        <v>608</v>
      </c>
      <c r="K13" s="6" t="s">
        <v>32</v>
      </c>
    </row>
    <row r="14" customFormat="false" ht="15" hidden="false" customHeight="false" outlineLevel="0" collapsed="false">
      <c r="A14" s="6" t="s">
        <v>648</v>
      </c>
      <c r="B14" s="6" t="s">
        <v>48</v>
      </c>
      <c r="C14" s="6"/>
      <c r="D14" s="6" t="s">
        <v>649</v>
      </c>
      <c r="E14" s="6" t="s">
        <v>611</v>
      </c>
      <c r="F14" s="6" t="s">
        <v>612</v>
      </c>
      <c r="G14" s="6" t="s">
        <v>650</v>
      </c>
      <c r="H14" s="6" t="s">
        <v>390</v>
      </c>
      <c r="I14" s="6" t="s">
        <v>386</v>
      </c>
      <c r="J14" s="6" t="s">
        <v>608</v>
      </c>
      <c r="K14" s="6" t="s">
        <v>32</v>
      </c>
    </row>
    <row r="15" customFormat="false" ht="15" hidden="false" customHeight="false" outlineLevel="0" collapsed="false">
      <c r="A15" s="6" t="s">
        <v>651</v>
      </c>
      <c r="B15" s="6" t="s">
        <v>51</v>
      </c>
      <c r="C15" s="6" t="s">
        <v>419</v>
      </c>
      <c r="D15" s="6" t="s">
        <v>652</v>
      </c>
      <c r="E15" s="6" t="s">
        <v>605</v>
      </c>
      <c r="F15" s="6" t="s">
        <v>606</v>
      </c>
      <c r="G15" s="6" t="s">
        <v>641</v>
      </c>
      <c r="H15" s="6" t="s">
        <v>426</v>
      </c>
      <c r="I15" s="6" t="s">
        <v>416</v>
      </c>
      <c r="J15" s="6" t="s">
        <v>608</v>
      </c>
      <c r="K15" s="6" t="s">
        <v>32</v>
      </c>
    </row>
    <row r="16" customFormat="false" ht="15" hidden="false" customHeight="false" outlineLevel="0" collapsed="false">
      <c r="A16" s="6" t="s">
        <v>653</v>
      </c>
      <c r="B16" s="6" t="s">
        <v>54</v>
      </c>
      <c r="C16" s="6"/>
      <c r="D16" s="6" t="s">
        <v>654</v>
      </c>
      <c r="E16" s="6" t="s">
        <v>605</v>
      </c>
      <c r="F16" s="6" t="s">
        <v>606</v>
      </c>
      <c r="G16" s="6" t="s">
        <v>655</v>
      </c>
      <c r="H16" s="6" t="s">
        <v>462</v>
      </c>
      <c r="I16" s="6" t="s">
        <v>452</v>
      </c>
      <c r="J16" s="6" t="s">
        <v>608</v>
      </c>
      <c r="K16" s="6" t="s">
        <v>32</v>
      </c>
    </row>
    <row r="17" customFormat="false" ht="15" hidden="false" customHeight="false" outlineLevel="0" collapsed="false">
      <c r="A17" s="6" t="s">
        <v>656</v>
      </c>
      <c r="B17" s="6" t="s">
        <v>57</v>
      </c>
      <c r="C17" s="6"/>
      <c r="D17" s="6" t="s">
        <v>657</v>
      </c>
      <c r="E17" s="6" t="s">
        <v>634</v>
      </c>
      <c r="F17" s="6" t="s">
        <v>612</v>
      </c>
      <c r="G17" s="6" t="s">
        <v>658</v>
      </c>
      <c r="H17" s="6" t="s">
        <v>491</v>
      </c>
      <c r="I17" s="6" t="s">
        <v>487</v>
      </c>
      <c r="J17" s="6" t="s">
        <v>614</v>
      </c>
      <c r="K17" s="6" t="s">
        <v>32</v>
      </c>
    </row>
    <row r="18" customFormat="false" ht="26.85" hidden="false" customHeight="false" outlineLevel="0" collapsed="false">
      <c r="A18" s="6" t="s">
        <v>659</v>
      </c>
      <c r="B18" s="6" t="s">
        <v>60</v>
      </c>
      <c r="C18" s="6"/>
      <c r="D18" s="6" t="s">
        <v>660</v>
      </c>
      <c r="E18" s="6" t="s">
        <v>661</v>
      </c>
      <c r="F18" s="6" t="s">
        <v>662</v>
      </c>
      <c r="G18" s="6" t="s">
        <v>663</v>
      </c>
      <c r="H18" s="6" t="s">
        <v>507</v>
      </c>
      <c r="I18" s="6" t="s">
        <v>62</v>
      </c>
      <c r="J18" s="6" t="s">
        <v>608</v>
      </c>
      <c r="K18" s="6" t="s">
        <v>32</v>
      </c>
    </row>
    <row r="19" customFormat="false" ht="26.85" hidden="false" customHeight="false" outlineLevel="0" collapsed="false">
      <c r="A19" s="6" t="s">
        <v>664</v>
      </c>
      <c r="B19" s="6" t="s">
        <v>63</v>
      </c>
      <c r="C19" s="6"/>
      <c r="D19" s="6" t="s">
        <v>665</v>
      </c>
      <c r="E19" s="6" t="s">
        <v>661</v>
      </c>
      <c r="F19" s="6" t="s">
        <v>662</v>
      </c>
      <c r="G19" s="6" t="s">
        <v>663</v>
      </c>
      <c r="H19" s="6" t="s">
        <v>519</v>
      </c>
      <c r="I19" s="6" t="s">
        <v>65</v>
      </c>
      <c r="J19" s="6" t="s">
        <v>619</v>
      </c>
      <c r="K19" s="6" t="s">
        <v>32</v>
      </c>
    </row>
    <row r="20" customFormat="false" ht="15" hidden="false" customHeight="false" outlineLevel="0" collapsed="false">
      <c r="A20" s="6" t="s">
        <v>666</v>
      </c>
      <c r="B20" s="6" t="s">
        <v>66</v>
      </c>
      <c r="C20" s="6"/>
      <c r="D20" s="6" t="s">
        <v>667</v>
      </c>
      <c r="E20" s="6" t="s">
        <v>605</v>
      </c>
      <c r="F20" s="6" t="s">
        <v>668</v>
      </c>
      <c r="G20" s="6" t="s">
        <v>646</v>
      </c>
      <c r="H20" s="6" t="s">
        <v>530</v>
      </c>
      <c r="I20" s="6" t="s">
        <v>68</v>
      </c>
      <c r="J20" s="6" t="s">
        <v>608</v>
      </c>
      <c r="K20" s="6" t="s">
        <v>32</v>
      </c>
    </row>
    <row r="21" customFormat="false" ht="15" hidden="false" customHeight="false" outlineLevel="0" collapsed="false">
      <c r="A21" s="6" t="s">
        <v>669</v>
      </c>
      <c r="B21" s="6" t="s">
        <v>69</v>
      </c>
      <c r="C21" s="6"/>
      <c r="D21" s="6" t="s">
        <v>670</v>
      </c>
      <c r="E21" s="6" t="s">
        <v>605</v>
      </c>
      <c r="F21" s="6" t="s">
        <v>606</v>
      </c>
      <c r="G21" s="6" t="s">
        <v>671</v>
      </c>
      <c r="H21" s="6" t="s">
        <v>546</v>
      </c>
      <c r="I21" s="6" t="s">
        <v>71</v>
      </c>
      <c r="J21" s="6" t="s">
        <v>614</v>
      </c>
      <c r="K21" s="6" t="s">
        <v>32</v>
      </c>
    </row>
    <row r="23" customFormat="false" ht="15" hidden="false" customHeight="false" outlineLevel="0" collapsed="false">
      <c r="A23" s="9" t="s">
        <v>672</v>
      </c>
    </row>
  </sheetData>
  <autoFilter ref="A1:K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4" min="12" style="0" width="14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19" min="18" style="0" width="13"/>
  </cols>
  <sheetData>
    <row r="1" customFormat="false" ht="39.55" hidden="false" customHeight="false" outlineLevel="0" collapsed="false">
      <c r="A1" s="5" t="s">
        <v>673</v>
      </c>
      <c r="B1" s="5" t="s">
        <v>674</v>
      </c>
      <c r="C1" s="5" t="s">
        <v>675</v>
      </c>
      <c r="D1" s="5" t="s">
        <v>576</v>
      </c>
      <c r="E1" s="5" t="s">
        <v>157</v>
      </c>
      <c r="F1" s="5" t="s">
        <v>676</v>
      </c>
      <c r="G1" s="5" t="s">
        <v>677</v>
      </c>
      <c r="H1" s="5" t="s">
        <v>678</v>
      </c>
      <c r="I1" s="5" t="s">
        <v>601</v>
      </c>
      <c r="J1" s="5" t="s">
        <v>163</v>
      </c>
      <c r="K1" s="5" t="s">
        <v>679</v>
      </c>
      <c r="L1" s="5" t="s">
        <v>680</v>
      </c>
      <c r="M1" s="5" t="s">
        <v>681</v>
      </c>
      <c r="N1" s="5" t="s">
        <v>682</v>
      </c>
      <c r="O1" s="5" t="s">
        <v>683</v>
      </c>
      <c r="P1" s="5" t="s">
        <v>684</v>
      </c>
      <c r="Q1" s="11" t="s">
        <v>95</v>
      </c>
      <c r="R1" s="11" t="s">
        <v>685</v>
      </c>
      <c r="S1" s="11" t="s">
        <v>686</v>
      </c>
    </row>
    <row r="2" customFormat="false" ht="26.85" hidden="false" customHeight="false" outlineLevel="0" collapsed="false">
      <c r="A2" s="6" t="s">
        <v>687</v>
      </c>
      <c r="B2" s="6" t="s">
        <v>688</v>
      </c>
      <c r="C2" s="6" t="s">
        <v>689</v>
      </c>
      <c r="D2" s="6" t="s">
        <v>29</v>
      </c>
      <c r="E2" s="6" t="s">
        <v>222</v>
      </c>
      <c r="F2" s="6" t="s">
        <v>224</v>
      </c>
      <c r="G2" s="6" t="s">
        <v>225</v>
      </c>
      <c r="H2" s="6" t="s">
        <v>219</v>
      </c>
      <c r="I2" s="6" t="s">
        <v>608</v>
      </c>
      <c r="J2" s="10" t="s">
        <v>690</v>
      </c>
      <c r="K2" s="12" t="n">
        <v>46287</v>
      </c>
      <c r="L2" s="12" t="n">
        <v>46294</v>
      </c>
      <c r="M2" s="13"/>
      <c r="N2" s="13" t="n">
        <v>46293</v>
      </c>
      <c r="O2" s="6" t="n">
        <f aca="false">IF(J2="Closed",0,MAX(0,README!$B$22-IF(M2="",L2,M2)))</f>
        <v>0</v>
      </c>
      <c r="P2" s="6" t="str">
        <f aca="false">IF(J2="Closed",IF(N2&lt;=IF(M2="",L2,M2),"Yes","No"),"–")</f>
        <v>Yes</v>
      </c>
      <c r="Q2" s="14" t="s">
        <v>119</v>
      </c>
      <c r="R2" s="15" t="n">
        <v>46285</v>
      </c>
      <c r="S2" s="16" t="s">
        <v>219</v>
      </c>
    </row>
    <row r="3" customFormat="false" ht="26.85" hidden="false" customHeight="false" outlineLevel="0" collapsed="false">
      <c r="A3" s="6" t="s">
        <v>691</v>
      </c>
      <c r="B3" s="6" t="s">
        <v>692</v>
      </c>
      <c r="C3" s="6" t="s">
        <v>689</v>
      </c>
      <c r="D3" s="6" t="s">
        <v>29</v>
      </c>
      <c r="E3" s="6" t="s">
        <v>222</v>
      </c>
      <c r="F3" s="6" t="s">
        <v>228</v>
      </c>
      <c r="G3" s="6" t="s">
        <v>229</v>
      </c>
      <c r="H3" s="6" t="s">
        <v>224</v>
      </c>
      <c r="I3" s="6" t="s">
        <v>693</v>
      </c>
      <c r="J3" s="10" t="s">
        <v>694</v>
      </c>
      <c r="K3" s="12" t="n">
        <v>46286</v>
      </c>
      <c r="L3" s="12" t="n">
        <v>46314</v>
      </c>
      <c r="M3" s="13"/>
      <c r="N3" s="13"/>
      <c r="O3" s="6" t="n">
        <f aca="false">IF(J3="Closed",0,MAX(0,README!$B$22-IF(M3="",L3,M3)))</f>
        <v>3</v>
      </c>
      <c r="P3" s="6" t="str">
        <f aca="false">IF(J3="Closed",IF(N3&lt;=IF(M3="",L3,M3),"Yes","No"),"–")</f>
        <v>–</v>
      </c>
      <c r="Q3" s="14" t="s">
        <v>114</v>
      </c>
      <c r="R3" s="15" t="n">
        <v>46286</v>
      </c>
      <c r="S3" s="16" t="s">
        <v>224</v>
      </c>
    </row>
    <row r="4" customFormat="false" ht="26.85" hidden="false" customHeight="false" outlineLevel="0" collapsed="false">
      <c r="A4" s="6" t="s">
        <v>695</v>
      </c>
      <c r="B4" s="6" t="s">
        <v>696</v>
      </c>
      <c r="C4" s="6" t="s">
        <v>689</v>
      </c>
      <c r="D4" s="6" t="s">
        <v>29</v>
      </c>
      <c r="E4" s="6" t="s">
        <v>209</v>
      </c>
      <c r="F4" s="6" t="s">
        <v>206</v>
      </c>
      <c r="G4" s="6" t="s">
        <v>207</v>
      </c>
      <c r="H4" s="6" t="s">
        <v>31</v>
      </c>
      <c r="I4" s="6" t="s">
        <v>608</v>
      </c>
      <c r="J4" s="10" t="s">
        <v>697</v>
      </c>
      <c r="K4" s="12" t="n">
        <v>46282</v>
      </c>
      <c r="L4" s="12" t="n">
        <v>46289</v>
      </c>
      <c r="M4" s="13"/>
      <c r="N4" s="13"/>
      <c r="O4" s="6" t="n">
        <f aca="false">IF(J4="Closed",0,MAX(0,README!$B$22-IF(M4="",L4,M4)))</f>
        <v>28</v>
      </c>
      <c r="P4" s="6" t="str">
        <f aca="false">IF(J4="Closed",IF(N4&lt;=IF(M4="",L4,M4),"Yes","No"),"–")</f>
        <v>–</v>
      </c>
      <c r="Q4" s="14" t="s">
        <v>104</v>
      </c>
      <c r="R4" s="15" t="n">
        <v>46281</v>
      </c>
      <c r="S4" s="16" t="s">
        <v>31</v>
      </c>
    </row>
    <row r="5" customFormat="false" ht="26.85" hidden="false" customHeight="false" outlineLevel="0" collapsed="false">
      <c r="A5" s="6" t="s">
        <v>698</v>
      </c>
      <c r="B5" s="6" t="s">
        <v>699</v>
      </c>
      <c r="C5" s="6" t="s">
        <v>700</v>
      </c>
      <c r="D5" s="6" t="s">
        <v>29</v>
      </c>
      <c r="E5" s="6" t="s">
        <v>209</v>
      </c>
      <c r="F5" s="6" t="s">
        <v>215</v>
      </c>
      <c r="G5" s="6" t="s">
        <v>216</v>
      </c>
      <c r="H5" s="6" t="s">
        <v>211</v>
      </c>
      <c r="I5" s="6" t="s">
        <v>608</v>
      </c>
      <c r="J5" s="10" t="s">
        <v>701</v>
      </c>
      <c r="K5" s="12" t="n">
        <v>46281</v>
      </c>
      <c r="L5" s="12" t="n">
        <v>46305</v>
      </c>
      <c r="M5" s="13"/>
      <c r="N5" s="13"/>
      <c r="O5" s="6" t="n">
        <f aca="false">IF(J5="Closed",0,MAX(0,README!$B$22-IF(M5="",L5,M5)))</f>
        <v>12</v>
      </c>
      <c r="P5" s="6" t="str">
        <f aca="false">IF(J5="Closed",IF(N5&lt;=IF(M5="",L5,M5),"Yes","No"),"–")</f>
        <v>–</v>
      </c>
      <c r="Q5" s="14" t="s">
        <v>144</v>
      </c>
      <c r="R5" s="15" t="n">
        <v>46279</v>
      </c>
      <c r="S5" s="16" t="s">
        <v>215</v>
      </c>
    </row>
    <row r="6" customFormat="false" ht="26.85" hidden="false" customHeight="false" outlineLevel="0" collapsed="false">
      <c r="A6" s="6" t="s">
        <v>702</v>
      </c>
      <c r="B6" s="6" t="s">
        <v>703</v>
      </c>
      <c r="C6" s="6" t="s">
        <v>689</v>
      </c>
      <c r="D6" s="6" t="s">
        <v>29</v>
      </c>
      <c r="E6" s="6" t="s">
        <v>222</v>
      </c>
      <c r="F6" s="6" t="s">
        <v>228</v>
      </c>
      <c r="G6" s="6" t="s">
        <v>229</v>
      </c>
      <c r="H6" s="6" t="s">
        <v>224</v>
      </c>
      <c r="I6" s="6" t="s">
        <v>693</v>
      </c>
      <c r="J6" s="10" t="s">
        <v>701</v>
      </c>
      <c r="K6" s="12" t="n">
        <v>46314</v>
      </c>
      <c r="L6" s="12" t="n">
        <v>46334</v>
      </c>
      <c r="M6" s="13"/>
      <c r="N6" s="13"/>
      <c r="O6" s="6" t="n">
        <f aca="false">IF(J6="Closed",0,MAX(0,README!$B$22-IF(M6="",L6,M6)))</f>
        <v>0</v>
      </c>
      <c r="P6" s="6" t="str">
        <f aca="false">IF(J6="Closed",IF(N6&lt;=IF(M6="",L6,M6),"Yes","No"),"–")</f>
        <v>–</v>
      </c>
      <c r="Q6" s="14" t="s">
        <v>144</v>
      </c>
      <c r="R6" s="15" t="n">
        <v>46314</v>
      </c>
      <c r="S6" s="16" t="s">
        <v>224</v>
      </c>
    </row>
    <row r="7" customFormat="false" ht="26.85" hidden="false" customHeight="false" outlineLevel="0" collapsed="false">
      <c r="A7" s="6" t="s">
        <v>704</v>
      </c>
      <c r="B7" s="6" t="s">
        <v>705</v>
      </c>
      <c r="C7" s="6" t="s">
        <v>689</v>
      </c>
      <c r="D7" s="6" t="s">
        <v>29</v>
      </c>
      <c r="E7" s="6" t="s">
        <v>187</v>
      </c>
      <c r="F7" s="6" t="s">
        <v>198</v>
      </c>
      <c r="G7" s="6" t="s">
        <v>199</v>
      </c>
      <c r="H7" s="6" t="s">
        <v>194</v>
      </c>
      <c r="I7" s="6" t="s">
        <v>608</v>
      </c>
      <c r="J7" s="10" t="s">
        <v>690</v>
      </c>
      <c r="K7" s="12" t="n">
        <v>46280</v>
      </c>
      <c r="L7" s="12" t="n">
        <v>46292</v>
      </c>
      <c r="M7" s="13"/>
      <c r="N7" s="13" t="n">
        <v>46293</v>
      </c>
      <c r="O7" s="6" t="n">
        <f aca="false">IF(J7="Closed",0,MAX(0,README!$B$22-IF(M7="",L7,M7)))</f>
        <v>0</v>
      </c>
      <c r="P7" s="6" t="str">
        <f aca="false">IF(J7="Closed",IF(N7&lt;=IF(M7="",L7,M7),"Yes","No"),"–")</f>
        <v>No</v>
      </c>
      <c r="Q7" s="14" t="s">
        <v>123</v>
      </c>
      <c r="R7" s="15" t="n">
        <v>46279</v>
      </c>
      <c r="S7" s="16" t="s">
        <v>194</v>
      </c>
    </row>
    <row r="8" customFormat="false" ht="26.85" hidden="false" customHeight="false" outlineLevel="0" collapsed="false">
      <c r="A8" s="6" t="s">
        <v>706</v>
      </c>
      <c r="B8" s="6" t="s">
        <v>707</v>
      </c>
      <c r="C8" s="6" t="s">
        <v>689</v>
      </c>
      <c r="D8" s="6" t="s">
        <v>33</v>
      </c>
      <c r="E8" s="6" t="s">
        <v>239</v>
      </c>
      <c r="F8" s="6" t="s">
        <v>236</v>
      </c>
      <c r="G8" s="6" t="s">
        <v>237</v>
      </c>
      <c r="H8" s="6" t="s">
        <v>35</v>
      </c>
      <c r="I8" s="6" t="s">
        <v>619</v>
      </c>
      <c r="J8" s="10" t="s">
        <v>697</v>
      </c>
      <c r="K8" s="12" t="n">
        <v>46301</v>
      </c>
      <c r="L8" s="12" t="n">
        <v>46311</v>
      </c>
      <c r="M8" s="13"/>
      <c r="N8" s="13"/>
      <c r="O8" s="6" t="n">
        <f aca="false">IF(J8="Closed",0,MAX(0,README!$B$22-IF(M8="",L8,M8)))</f>
        <v>6</v>
      </c>
      <c r="P8" s="6" t="str">
        <f aca="false">IF(J8="Closed",IF(N8&lt;=IF(M8="",L8,M8),"Yes","No"),"–")</f>
        <v>–</v>
      </c>
      <c r="Q8" s="14" t="s">
        <v>130</v>
      </c>
      <c r="R8" s="15" t="n">
        <v>46299</v>
      </c>
      <c r="S8" s="16" t="s">
        <v>35</v>
      </c>
    </row>
    <row r="9" customFormat="false" ht="26.85" hidden="false" customHeight="false" outlineLevel="0" collapsed="false">
      <c r="A9" s="6" t="s">
        <v>708</v>
      </c>
      <c r="B9" s="6" t="s">
        <v>709</v>
      </c>
      <c r="C9" s="6" t="s">
        <v>700</v>
      </c>
      <c r="D9" s="6" t="s">
        <v>33</v>
      </c>
      <c r="E9" s="6" t="s">
        <v>239</v>
      </c>
      <c r="F9" s="6" t="s">
        <v>241</v>
      </c>
      <c r="G9" s="6" t="s">
        <v>242</v>
      </c>
      <c r="H9" s="6" t="s">
        <v>236</v>
      </c>
      <c r="I9" s="6" t="s">
        <v>614</v>
      </c>
      <c r="J9" s="10" t="s">
        <v>690</v>
      </c>
      <c r="K9" s="12" t="n">
        <v>46302</v>
      </c>
      <c r="L9" s="12" t="n">
        <v>46328</v>
      </c>
      <c r="M9" s="13"/>
      <c r="N9" s="13" t="n">
        <v>46316</v>
      </c>
      <c r="O9" s="6" t="n">
        <f aca="false">IF(J9="Closed",0,MAX(0,README!$B$22-IF(M9="",L9,M9)))</f>
        <v>0</v>
      </c>
      <c r="P9" s="6" t="str">
        <f aca="false">IF(J9="Closed",IF(N9&lt;=IF(M9="",L9,M9),"Yes","No"),"–")</f>
        <v>Yes</v>
      </c>
      <c r="Q9" s="14" t="s">
        <v>130</v>
      </c>
      <c r="R9" s="15" t="n">
        <v>46302</v>
      </c>
      <c r="S9" s="16" t="s">
        <v>241</v>
      </c>
    </row>
    <row r="10" customFormat="false" ht="26.85" hidden="false" customHeight="false" outlineLevel="0" collapsed="false">
      <c r="A10" s="6" t="s">
        <v>710</v>
      </c>
      <c r="B10" s="6" t="s">
        <v>711</v>
      </c>
      <c r="C10" s="6" t="s">
        <v>700</v>
      </c>
      <c r="D10" s="6" t="s">
        <v>33</v>
      </c>
      <c r="E10" s="6" t="s">
        <v>239</v>
      </c>
      <c r="F10" s="6" t="s">
        <v>249</v>
      </c>
      <c r="G10" s="6" t="s">
        <v>250</v>
      </c>
      <c r="H10" s="6" t="s">
        <v>245</v>
      </c>
      <c r="I10" s="6" t="s">
        <v>614</v>
      </c>
      <c r="J10" s="10" t="s">
        <v>697</v>
      </c>
      <c r="K10" s="12" t="n">
        <v>46287</v>
      </c>
      <c r="L10" s="12" t="n">
        <v>46306</v>
      </c>
      <c r="M10" s="13"/>
      <c r="N10" s="13"/>
      <c r="O10" s="6" t="n">
        <f aca="false">IF(J10="Closed",0,MAX(0,README!$B$22-IF(M10="",L10,M10)))</f>
        <v>11</v>
      </c>
      <c r="P10" s="6" t="str">
        <f aca="false">IF(J10="Closed",IF(N10&lt;=IF(M10="",L10,M10),"Yes","No"),"–")</f>
        <v>–</v>
      </c>
      <c r="Q10" s="14" t="s">
        <v>144</v>
      </c>
      <c r="R10" s="15" t="n">
        <v>46286</v>
      </c>
      <c r="S10" s="16" t="s">
        <v>249</v>
      </c>
    </row>
    <row r="11" customFormat="false" ht="26.85" hidden="false" customHeight="false" outlineLevel="0" collapsed="false">
      <c r="A11" s="6" t="s">
        <v>712</v>
      </c>
      <c r="B11" s="6" t="s">
        <v>713</v>
      </c>
      <c r="C11" s="6" t="s">
        <v>700</v>
      </c>
      <c r="D11" s="6" t="s">
        <v>33</v>
      </c>
      <c r="E11" s="6" t="s">
        <v>257</v>
      </c>
      <c r="F11" s="6" t="s">
        <v>259</v>
      </c>
      <c r="G11" s="6" t="s">
        <v>260</v>
      </c>
      <c r="H11" s="6" t="s">
        <v>254</v>
      </c>
      <c r="I11" s="6" t="s">
        <v>619</v>
      </c>
      <c r="J11" s="10" t="s">
        <v>701</v>
      </c>
      <c r="K11" s="12" t="n">
        <v>46303</v>
      </c>
      <c r="L11" s="12" t="n">
        <v>46328</v>
      </c>
      <c r="M11" s="13"/>
      <c r="N11" s="13"/>
      <c r="O11" s="6" t="n">
        <f aca="false">IF(J11="Closed",0,MAX(0,README!$B$22-IF(M11="",L11,M11)))</f>
        <v>0</v>
      </c>
      <c r="P11" s="6" t="str">
        <f aca="false">IF(J11="Closed",IF(N11&lt;=IF(M11="",L11,M11),"Yes","No"),"–")</f>
        <v>–</v>
      </c>
      <c r="Q11" s="14" t="s">
        <v>144</v>
      </c>
      <c r="R11" s="15" t="n">
        <v>46301</v>
      </c>
      <c r="S11" s="16" t="s">
        <v>259</v>
      </c>
    </row>
    <row r="12" customFormat="false" ht="26.85" hidden="false" customHeight="false" outlineLevel="0" collapsed="false">
      <c r="A12" s="6" t="s">
        <v>714</v>
      </c>
      <c r="B12" s="6" t="s">
        <v>715</v>
      </c>
      <c r="C12" s="6" t="s">
        <v>689</v>
      </c>
      <c r="D12" s="6" t="s">
        <v>33</v>
      </c>
      <c r="E12" s="6"/>
      <c r="F12" s="6" t="s">
        <v>35</v>
      </c>
      <c r="G12" s="6" t="s">
        <v>232</v>
      </c>
      <c r="H12" s="6" t="s">
        <v>27</v>
      </c>
      <c r="I12" s="6" t="s">
        <v>619</v>
      </c>
      <c r="J12" s="10" t="s">
        <v>697</v>
      </c>
      <c r="K12" s="12" t="n">
        <v>46294</v>
      </c>
      <c r="L12" s="12" t="n">
        <v>46310</v>
      </c>
      <c r="M12" s="13"/>
      <c r="N12" s="13"/>
      <c r="O12" s="6" t="n">
        <f aca="false">IF(J12="Closed",0,MAX(0,README!$B$22-IF(M12="",L12,M12)))</f>
        <v>7</v>
      </c>
      <c r="P12" s="6" t="str">
        <f aca="false">IF(J12="Closed",IF(N12&lt;=IF(M12="",L12,M12),"Yes","No"),"–")</f>
        <v>–</v>
      </c>
      <c r="Q12" s="14" t="s">
        <v>130</v>
      </c>
      <c r="R12" s="15" t="n">
        <v>46294</v>
      </c>
      <c r="S12" s="16" t="s">
        <v>27</v>
      </c>
    </row>
    <row r="13" customFormat="false" ht="26.85" hidden="false" customHeight="false" outlineLevel="0" collapsed="false">
      <c r="A13" s="6" t="s">
        <v>716</v>
      </c>
      <c r="B13" s="6" t="s">
        <v>717</v>
      </c>
      <c r="C13" s="6" t="s">
        <v>689</v>
      </c>
      <c r="D13" s="6" t="s">
        <v>33</v>
      </c>
      <c r="E13" s="6" t="s">
        <v>239</v>
      </c>
      <c r="F13" s="6" t="s">
        <v>245</v>
      </c>
      <c r="G13" s="6" t="s">
        <v>246</v>
      </c>
      <c r="H13" s="6" t="s">
        <v>241</v>
      </c>
      <c r="I13" s="6" t="s">
        <v>614</v>
      </c>
      <c r="J13" s="10" t="s">
        <v>690</v>
      </c>
      <c r="K13" s="12" t="n">
        <v>46297</v>
      </c>
      <c r="L13" s="12" t="n">
        <v>46318</v>
      </c>
      <c r="M13" s="13"/>
      <c r="N13" s="13" t="n">
        <v>46316</v>
      </c>
      <c r="O13" s="6" t="n">
        <f aca="false">IF(J13="Closed",0,MAX(0,README!$B$22-IF(M13="",L13,M13)))</f>
        <v>0</v>
      </c>
      <c r="P13" s="6" t="str">
        <f aca="false">IF(J13="Closed",IF(N13&lt;=IF(M13="",L13,M13),"Yes","No"),"–")</f>
        <v>Yes</v>
      </c>
      <c r="Q13" s="14" t="s">
        <v>130</v>
      </c>
      <c r="R13" s="15" t="n">
        <v>46296</v>
      </c>
      <c r="S13" s="16" t="s">
        <v>241</v>
      </c>
    </row>
    <row r="14" customFormat="false" ht="26.85" hidden="false" customHeight="false" outlineLevel="0" collapsed="false">
      <c r="A14" s="6" t="s">
        <v>718</v>
      </c>
      <c r="B14" s="6" t="s">
        <v>719</v>
      </c>
      <c r="C14" s="6" t="s">
        <v>700</v>
      </c>
      <c r="D14" s="6" t="s">
        <v>36</v>
      </c>
      <c r="E14" s="6"/>
      <c r="F14" s="6" t="s">
        <v>266</v>
      </c>
      <c r="G14" s="6" t="s">
        <v>267</v>
      </c>
      <c r="H14" s="6" t="s">
        <v>38</v>
      </c>
      <c r="I14" s="6" t="s">
        <v>608</v>
      </c>
      <c r="J14" s="10" t="s">
        <v>697</v>
      </c>
      <c r="K14" s="12" t="n">
        <v>46297</v>
      </c>
      <c r="L14" s="12" t="n">
        <v>46326</v>
      </c>
      <c r="M14" s="13"/>
      <c r="N14" s="13"/>
      <c r="O14" s="6" t="n">
        <f aca="false">IF(J14="Closed",0,MAX(0,README!$B$22-IF(M14="",L14,M14)))</f>
        <v>0</v>
      </c>
      <c r="P14" s="6" t="str">
        <f aca="false">IF(J14="Closed",IF(N14&lt;=IF(M14="",L14,M14),"Yes","No"),"–")</f>
        <v>–</v>
      </c>
      <c r="Q14" s="14" t="s">
        <v>130</v>
      </c>
      <c r="R14" s="15" t="n">
        <v>46295</v>
      </c>
      <c r="S14" s="16" t="s">
        <v>266</v>
      </c>
    </row>
    <row r="15" customFormat="false" ht="26.85" hidden="false" customHeight="false" outlineLevel="0" collapsed="false">
      <c r="A15" s="6" t="s">
        <v>720</v>
      </c>
      <c r="B15" s="6" t="s">
        <v>721</v>
      </c>
      <c r="C15" s="6" t="s">
        <v>689</v>
      </c>
      <c r="D15" s="6" t="s">
        <v>36</v>
      </c>
      <c r="E15" s="6"/>
      <c r="F15" s="6" t="s">
        <v>266</v>
      </c>
      <c r="G15" s="6" t="s">
        <v>267</v>
      </c>
      <c r="H15" s="6" t="s">
        <v>38</v>
      </c>
      <c r="I15" s="6" t="s">
        <v>614</v>
      </c>
      <c r="J15" s="10" t="s">
        <v>701</v>
      </c>
      <c r="K15" s="12" t="n">
        <v>46314</v>
      </c>
      <c r="L15" s="12" t="n">
        <v>46344</v>
      </c>
      <c r="M15" s="13"/>
      <c r="N15" s="13"/>
      <c r="O15" s="6" t="n">
        <f aca="false">IF(J15="Closed",0,MAX(0,README!$B$22-IF(M15="",L15,M15)))</f>
        <v>0</v>
      </c>
      <c r="P15" s="6" t="str">
        <f aca="false">IF(J15="Closed",IF(N15&lt;=IF(M15="",L15,M15),"Yes","No"),"–")</f>
        <v>–</v>
      </c>
      <c r="Q15" s="14" t="s">
        <v>130</v>
      </c>
      <c r="R15" s="15" t="n">
        <v>46314</v>
      </c>
      <c r="S15" s="16" t="s">
        <v>38</v>
      </c>
    </row>
    <row r="16" customFormat="false" ht="26.85" hidden="false" customHeight="false" outlineLevel="0" collapsed="false">
      <c r="A16" s="6" t="s">
        <v>722</v>
      </c>
      <c r="B16" s="6" t="s">
        <v>723</v>
      </c>
      <c r="C16" s="6" t="s">
        <v>689</v>
      </c>
      <c r="D16" s="6" t="s">
        <v>36</v>
      </c>
      <c r="E16" s="6"/>
      <c r="F16" s="6" t="s">
        <v>274</v>
      </c>
      <c r="G16" s="6" t="s">
        <v>275</v>
      </c>
      <c r="H16" s="6" t="s">
        <v>266</v>
      </c>
      <c r="I16" s="6" t="s">
        <v>608</v>
      </c>
      <c r="J16" s="10" t="s">
        <v>694</v>
      </c>
      <c r="K16" s="12" t="n">
        <v>46297</v>
      </c>
      <c r="L16" s="12" t="n">
        <v>46324</v>
      </c>
      <c r="M16" s="13"/>
      <c r="N16" s="13"/>
      <c r="O16" s="6" t="n">
        <f aca="false">IF(J16="Closed",0,MAX(0,README!$B$22-IF(M16="",L16,M16)))</f>
        <v>0</v>
      </c>
      <c r="P16" s="6" t="str">
        <f aca="false">IF(J16="Closed",IF(N16&lt;=IF(M16="",L16,M16),"Yes","No"),"–")</f>
        <v>–</v>
      </c>
      <c r="Q16" s="14" t="s">
        <v>114</v>
      </c>
      <c r="R16" s="15" t="n">
        <v>46296</v>
      </c>
      <c r="S16" s="16" t="s">
        <v>266</v>
      </c>
    </row>
    <row r="17" customFormat="false" ht="26.85" hidden="false" customHeight="false" outlineLevel="0" collapsed="false">
      <c r="A17" s="6" t="s">
        <v>724</v>
      </c>
      <c r="B17" s="6" t="s">
        <v>725</v>
      </c>
      <c r="C17" s="6" t="s">
        <v>689</v>
      </c>
      <c r="D17" s="6" t="s">
        <v>36</v>
      </c>
      <c r="E17" s="6"/>
      <c r="F17" s="6" t="s">
        <v>270</v>
      </c>
      <c r="G17" s="6" t="s">
        <v>271</v>
      </c>
      <c r="H17" s="6" t="s">
        <v>266</v>
      </c>
      <c r="I17" s="6" t="s">
        <v>614</v>
      </c>
      <c r="J17" s="10" t="s">
        <v>726</v>
      </c>
      <c r="K17" s="12" t="n">
        <v>46283</v>
      </c>
      <c r="L17" s="12" t="n">
        <v>46297</v>
      </c>
      <c r="M17" s="13"/>
      <c r="N17" s="13"/>
      <c r="O17" s="6" t="n">
        <f aca="false">IF(J17="Closed",0,MAX(0,README!$B$22-IF(M17="",L17,M17)))</f>
        <v>20</v>
      </c>
      <c r="P17" s="6" t="str">
        <f aca="false">IF(J17="Closed",IF(N17&lt;=IF(M17="",L17,M17),"Yes","No"),"–")</f>
        <v>–</v>
      </c>
      <c r="Q17" s="14" t="s">
        <v>114</v>
      </c>
      <c r="R17" s="15" t="n">
        <v>46281</v>
      </c>
      <c r="S17" s="16" t="s">
        <v>266</v>
      </c>
    </row>
    <row r="18" customFormat="false" ht="26.85" hidden="false" customHeight="false" outlineLevel="0" collapsed="false">
      <c r="A18" s="6" t="s">
        <v>727</v>
      </c>
      <c r="B18" s="6" t="s">
        <v>728</v>
      </c>
      <c r="C18" s="6" t="s">
        <v>700</v>
      </c>
      <c r="D18" s="6" t="s">
        <v>39</v>
      </c>
      <c r="E18" s="6"/>
      <c r="F18" s="6" t="s">
        <v>291</v>
      </c>
      <c r="G18" s="6" t="s">
        <v>292</v>
      </c>
      <c r="H18" s="6" t="s">
        <v>41</v>
      </c>
      <c r="I18" s="6" t="s">
        <v>614</v>
      </c>
      <c r="J18" s="10" t="s">
        <v>729</v>
      </c>
      <c r="K18" s="12" t="n">
        <v>46284</v>
      </c>
      <c r="L18" s="12" t="n">
        <v>46297</v>
      </c>
      <c r="M18" s="13"/>
      <c r="N18" s="13"/>
      <c r="O18" s="6" t="n">
        <f aca="false">IF(J18="Closed",0,MAX(0,README!$B$22-IF(M18="",L18,M18)))</f>
        <v>20</v>
      </c>
      <c r="P18" s="6" t="str">
        <f aca="false">IF(J18="Closed",IF(N18&lt;=IF(M18="",L18,M18),"Yes","No"),"–")</f>
        <v>–</v>
      </c>
      <c r="Q18" s="14" t="s">
        <v>147</v>
      </c>
      <c r="R18" s="15" t="n">
        <v>46284</v>
      </c>
      <c r="S18" s="16" t="s">
        <v>291</v>
      </c>
    </row>
    <row r="19" customFormat="false" ht="26.85" hidden="false" customHeight="false" outlineLevel="0" collapsed="false">
      <c r="A19" s="6" t="s">
        <v>730</v>
      </c>
      <c r="B19" s="6" t="s">
        <v>731</v>
      </c>
      <c r="C19" s="6" t="s">
        <v>689</v>
      </c>
      <c r="D19" s="6" t="s">
        <v>39</v>
      </c>
      <c r="E19" s="6"/>
      <c r="F19" s="6" t="s">
        <v>287</v>
      </c>
      <c r="G19" s="6" t="s">
        <v>288</v>
      </c>
      <c r="H19" s="6" t="s">
        <v>41</v>
      </c>
      <c r="I19" s="6" t="s">
        <v>614</v>
      </c>
      <c r="J19" s="10" t="s">
        <v>732</v>
      </c>
      <c r="K19" s="12" t="n">
        <v>46311</v>
      </c>
      <c r="L19" s="12" t="n">
        <v>46330</v>
      </c>
      <c r="M19" s="13"/>
      <c r="N19" s="13"/>
      <c r="O19" s="6" t="n">
        <f aca="false">IF(J19="Closed",0,MAX(0,README!$B$22-IF(M19="",L19,M19)))</f>
        <v>0</v>
      </c>
      <c r="P19" s="6" t="str">
        <f aca="false">IF(J19="Closed",IF(N19&lt;=IF(M19="",L19,M19),"Yes","No"),"–")</f>
        <v>–</v>
      </c>
      <c r="Q19" s="14" t="s">
        <v>147</v>
      </c>
      <c r="R19" s="15" t="n">
        <v>46310</v>
      </c>
      <c r="S19" s="16" t="s">
        <v>41</v>
      </c>
    </row>
    <row r="20" customFormat="false" ht="26.85" hidden="false" customHeight="false" outlineLevel="0" collapsed="false">
      <c r="A20" s="6" t="s">
        <v>733</v>
      </c>
      <c r="B20" s="6" t="s">
        <v>734</v>
      </c>
      <c r="C20" s="6" t="s">
        <v>700</v>
      </c>
      <c r="D20" s="6" t="s">
        <v>39</v>
      </c>
      <c r="E20" s="6"/>
      <c r="F20" s="6" t="s">
        <v>287</v>
      </c>
      <c r="G20" s="6" t="s">
        <v>288</v>
      </c>
      <c r="H20" s="6" t="s">
        <v>41</v>
      </c>
      <c r="I20" s="6" t="s">
        <v>614</v>
      </c>
      <c r="J20" s="10" t="s">
        <v>694</v>
      </c>
      <c r="K20" s="12" t="n">
        <v>46295</v>
      </c>
      <c r="L20" s="12" t="n">
        <v>46325</v>
      </c>
      <c r="M20" s="13"/>
      <c r="N20" s="13"/>
      <c r="O20" s="6" t="n">
        <f aca="false">IF(J20="Closed",0,MAX(0,README!$B$22-IF(M20="",L20,M20)))</f>
        <v>0</v>
      </c>
      <c r="P20" s="6" t="str">
        <f aca="false">IF(J20="Closed",IF(N20&lt;=IF(M20="",L20,M20),"Yes","No"),"–")</f>
        <v>–</v>
      </c>
      <c r="Q20" s="14" t="s">
        <v>114</v>
      </c>
      <c r="R20" s="15" t="n">
        <v>46293</v>
      </c>
      <c r="S20" s="16" t="s">
        <v>287</v>
      </c>
    </row>
    <row r="21" customFormat="false" ht="26.85" hidden="false" customHeight="false" outlineLevel="0" collapsed="false">
      <c r="A21" s="6" t="s">
        <v>735</v>
      </c>
      <c r="B21" s="6" t="s">
        <v>736</v>
      </c>
      <c r="C21" s="6" t="s">
        <v>689</v>
      </c>
      <c r="D21" s="6" t="s">
        <v>39</v>
      </c>
      <c r="E21" s="6"/>
      <c r="F21" s="6" t="s">
        <v>301</v>
      </c>
      <c r="G21" s="6" t="s">
        <v>302</v>
      </c>
      <c r="H21" s="6" t="s">
        <v>291</v>
      </c>
      <c r="I21" s="6" t="s">
        <v>608</v>
      </c>
      <c r="J21" s="10" t="s">
        <v>690</v>
      </c>
      <c r="K21" s="12" t="n">
        <v>46307</v>
      </c>
      <c r="L21" s="12" t="n">
        <v>46332</v>
      </c>
      <c r="M21" s="13"/>
      <c r="N21" s="13" t="n">
        <v>46316</v>
      </c>
      <c r="O21" s="6" t="n">
        <f aca="false">IF(J21="Closed",0,MAX(0,README!$B$22-IF(M21="",L21,M21)))</f>
        <v>0</v>
      </c>
      <c r="P21" s="6" t="str">
        <f aca="false">IF(J21="Closed",IF(N21&lt;=IF(M21="",L21,M21),"Yes","No"),"–")</f>
        <v>Yes</v>
      </c>
      <c r="Q21" s="14" t="s">
        <v>114</v>
      </c>
      <c r="R21" s="15" t="n">
        <v>46307</v>
      </c>
      <c r="S21" s="16" t="s">
        <v>291</v>
      </c>
    </row>
    <row r="22" customFormat="false" ht="26.85" hidden="false" customHeight="false" outlineLevel="0" collapsed="false">
      <c r="A22" s="6" t="s">
        <v>737</v>
      </c>
      <c r="B22" s="6" t="s">
        <v>738</v>
      </c>
      <c r="C22" s="6" t="s">
        <v>689</v>
      </c>
      <c r="D22" s="6" t="s">
        <v>42</v>
      </c>
      <c r="E22" s="6"/>
      <c r="F22" s="6" t="s">
        <v>319</v>
      </c>
      <c r="G22" s="6" t="s">
        <v>320</v>
      </c>
      <c r="H22" s="6" t="s">
        <v>311</v>
      </c>
      <c r="I22" s="6" t="s">
        <v>608</v>
      </c>
      <c r="J22" s="10" t="s">
        <v>726</v>
      </c>
      <c r="K22" s="12" t="n">
        <v>46311</v>
      </c>
      <c r="L22" s="12" t="n">
        <v>46320</v>
      </c>
      <c r="M22" s="13"/>
      <c r="N22" s="13"/>
      <c r="O22" s="6" t="n">
        <f aca="false">IF(J22="Closed",0,MAX(0,README!$B$22-IF(M22="",L22,M22)))</f>
        <v>0</v>
      </c>
      <c r="P22" s="6" t="str">
        <f aca="false">IF(J22="Closed",IF(N22&lt;=IF(M22="",L22,M22),"Yes","No"),"–")</f>
        <v>–</v>
      </c>
      <c r="Q22" s="14" t="s">
        <v>130</v>
      </c>
      <c r="R22" s="15" t="n">
        <v>46310</v>
      </c>
      <c r="S22" s="16" t="s">
        <v>311</v>
      </c>
    </row>
    <row r="23" customFormat="false" ht="26.85" hidden="false" customHeight="false" outlineLevel="0" collapsed="false">
      <c r="A23" s="6" t="s">
        <v>739</v>
      </c>
      <c r="B23" s="6" t="s">
        <v>740</v>
      </c>
      <c r="C23" s="6" t="s">
        <v>689</v>
      </c>
      <c r="D23" s="6" t="s">
        <v>42</v>
      </c>
      <c r="E23" s="6"/>
      <c r="F23" s="6" t="s">
        <v>307</v>
      </c>
      <c r="G23" s="6" t="s">
        <v>308</v>
      </c>
      <c r="H23" s="6" t="s">
        <v>44</v>
      </c>
      <c r="I23" s="6" t="s">
        <v>614</v>
      </c>
      <c r="J23" s="10" t="s">
        <v>697</v>
      </c>
      <c r="K23" s="12" t="n">
        <v>46307</v>
      </c>
      <c r="L23" s="12" t="n">
        <v>46333</v>
      </c>
      <c r="M23" s="13"/>
      <c r="N23" s="13"/>
      <c r="O23" s="6" t="n">
        <f aca="false">IF(J23="Closed",0,MAX(0,README!$B$22-IF(M23="",L23,M23)))</f>
        <v>0</v>
      </c>
      <c r="P23" s="6" t="str">
        <f aca="false">IF(J23="Closed",IF(N23&lt;=IF(M23="",L23,M23),"Yes","No"),"–")</f>
        <v>–</v>
      </c>
      <c r="Q23" s="14" t="s">
        <v>130</v>
      </c>
      <c r="R23" s="15" t="n">
        <v>46305</v>
      </c>
      <c r="S23" s="16" t="s">
        <v>44</v>
      </c>
    </row>
    <row r="24" customFormat="false" ht="26.85" hidden="false" customHeight="false" outlineLevel="0" collapsed="false">
      <c r="A24" s="6" t="s">
        <v>741</v>
      </c>
      <c r="B24" s="6" t="s">
        <v>742</v>
      </c>
      <c r="C24" s="6" t="s">
        <v>689</v>
      </c>
      <c r="D24" s="6" t="s">
        <v>42</v>
      </c>
      <c r="E24" s="6"/>
      <c r="F24" s="6" t="s">
        <v>319</v>
      </c>
      <c r="G24" s="6" t="s">
        <v>320</v>
      </c>
      <c r="H24" s="6" t="s">
        <v>311</v>
      </c>
      <c r="I24" s="6" t="s">
        <v>608</v>
      </c>
      <c r="J24" s="10" t="s">
        <v>690</v>
      </c>
      <c r="K24" s="12" t="n">
        <v>46309</v>
      </c>
      <c r="L24" s="12" t="n">
        <v>46332</v>
      </c>
      <c r="M24" s="13"/>
      <c r="N24" s="13" t="n">
        <v>46316</v>
      </c>
      <c r="O24" s="6" t="n">
        <f aca="false">IF(J24="Closed",0,MAX(0,README!$B$22-IF(M24="",L24,M24)))</f>
        <v>0</v>
      </c>
      <c r="P24" s="6" t="str">
        <f aca="false">IF(J24="Closed",IF(N24&lt;=IF(M24="",L24,M24),"Yes","No"),"–")</f>
        <v>Yes</v>
      </c>
      <c r="Q24" s="14" t="s">
        <v>141</v>
      </c>
      <c r="R24" s="15" t="n">
        <v>46309</v>
      </c>
      <c r="S24" s="16" t="s">
        <v>311</v>
      </c>
    </row>
    <row r="25" customFormat="false" ht="26.85" hidden="false" customHeight="false" outlineLevel="0" collapsed="false">
      <c r="A25" s="6" t="s">
        <v>743</v>
      </c>
      <c r="B25" s="6" t="s">
        <v>744</v>
      </c>
      <c r="C25" s="6" t="s">
        <v>689</v>
      </c>
      <c r="D25" s="6" t="s">
        <v>42</v>
      </c>
      <c r="E25" s="6"/>
      <c r="F25" s="6" t="s">
        <v>44</v>
      </c>
      <c r="G25" s="6" t="s">
        <v>304</v>
      </c>
      <c r="H25" s="6" t="s">
        <v>27</v>
      </c>
      <c r="I25" s="6" t="s">
        <v>614</v>
      </c>
      <c r="J25" s="10" t="s">
        <v>690</v>
      </c>
      <c r="K25" s="12" t="n">
        <v>46314</v>
      </c>
      <c r="L25" s="12" t="n">
        <v>46329</v>
      </c>
      <c r="M25" s="13"/>
      <c r="N25" s="13" t="n">
        <v>46316</v>
      </c>
      <c r="O25" s="6" t="n">
        <f aca="false">IF(J25="Closed",0,MAX(0,README!$B$22-IF(M25="",L25,M25)))</f>
        <v>0</v>
      </c>
      <c r="P25" s="6" t="str">
        <f aca="false">IF(J25="Closed",IF(N25&lt;=IF(M25="",L25,M25),"Yes","No"),"–")</f>
        <v>Yes</v>
      </c>
      <c r="Q25" s="14" t="s">
        <v>141</v>
      </c>
      <c r="R25" s="15" t="n">
        <v>46313</v>
      </c>
      <c r="S25" s="16" t="s">
        <v>27</v>
      </c>
    </row>
    <row r="26" customFormat="false" ht="26.85" hidden="false" customHeight="false" outlineLevel="0" collapsed="false">
      <c r="A26" s="6" t="s">
        <v>745</v>
      </c>
      <c r="B26" s="6" t="s">
        <v>746</v>
      </c>
      <c r="C26" s="6" t="s">
        <v>689</v>
      </c>
      <c r="D26" s="6" t="s">
        <v>45</v>
      </c>
      <c r="E26" s="6" t="s">
        <v>328</v>
      </c>
      <c r="F26" s="6" t="s">
        <v>342</v>
      </c>
      <c r="G26" s="6" t="s">
        <v>343</v>
      </c>
      <c r="H26" s="6" t="s">
        <v>334</v>
      </c>
      <c r="I26" s="6" t="s">
        <v>693</v>
      </c>
      <c r="J26" s="10" t="s">
        <v>690</v>
      </c>
      <c r="K26" s="12" t="n">
        <v>46309</v>
      </c>
      <c r="L26" s="12" t="n">
        <v>46316</v>
      </c>
      <c r="M26" s="13"/>
      <c r="N26" s="13" t="n">
        <v>46316</v>
      </c>
      <c r="O26" s="6" t="n">
        <f aca="false">IF(J26="Closed",0,MAX(0,README!$B$22-IF(M26="",L26,M26)))</f>
        <v>0</v>
      </c>
      <c r="P26" s="6" t="str">
        <f aca="false">IF(J26="Closed",IF(N26&lt;=IF(M26="",L26,M26),"Yes","No"),"–")</f>
        <v>Yes</v>
      </c>
      <c r="Q26" s="14" t="s">
        <v>147</v>
      </c>
      <c r="R26" s="15" t="n">
        <v>46307</v>
      </c>
      <c r="S26" s="16" t="s">
        <v>334</v>
      </c>
    </row>
    <row r="27" customFormat="false" ht="26.85" hidden="false" customHeight="false" outlineLevel="0" collapsed="false">
      <c r="A27" s="6" t="s">
        <v>747</v>
      </c>
      <c r="B27" s="6" t="s">
        <v>748</v>
      </c>
      <c r="C27" s="6" t="s">
        <v>700</v>
      </c>
      <c r="D27" s="6" t="s">
        <v>45</v>
      </c>
      <c r="E27" s="6" t="s">
        <v>328</v>
      </c>
      <c r="F27" s="6" t="s">
        <v>334</v>
      </c>
      <c r="G27" s="6" t="s">
        <v>335</v>
      </c>
      <c r="H27" s="6" t="s">
        <v>330</v>
      </c>
      <c r="I27" s="6" t="s">
        <v>608</v>
      </c>
      <c r="J27" s="10" t="s">
        <v>694</v>
      </c>
      <c r="K27" s="12" t="n">
        <v>46299</v>
      </c>
      <c r="L27" s="12" t="n">
        <v>46326</v>
      </c>
      <c r="M27" s="13"/>
      <c r="N27" s="13"/>
      <c r="O27" s="6" t="n">
        <f aca="false">IF(J27="Closed",0,MAX(0,README!$B$22-IF(M27="",L27,M27)))</f>
        <v>0</v>
      </c>
      <c r="P27" s="6" t="str">
        <f aca="false">IF(J27="Closed",IF(N27&lt;=IF(M27="",L27,M27),"Yes","No"),"–")</f>
        <v>–</v>
      </c>
      <c r="Q27" s="14" t="s">
        <v>147</v>
      </c>
      <c r="R27" s="15" t="n">
        <v>46299</v>
      </c>
      <c r="S27" s="16" t="s">
        <v>334</v>
      </c>
    </row>
    <row r="28" customFormat="false" ht="26.85" hidden="false" customHeight="false" outlineLevel="0" collapsed="false">
      <c r="A28" s="6" t="s">
        <v>749</v>
      </c>
      <c r="B28" s="6" t="s">
        <v>750</v>
      </c>
      <c r="C28" s="6" t="s">
        <v>700</v>
      </c>
      <c r="D28" s="6" t="s">
        <v>45</v>
      </c>
      <c r="E28" s="6" t="s">
        <v>328</v>
      </c>
      <c r="F28" s="6" t="s">
        <v>338</v>
      </c>
      <c r="G28" s="6" t="s">
        <v>339</v>
      </c>
      <c r="H28" s="6" t="s">
        <v>330</v>
      </c>
      <c r="I28" s="6" t="s">
        <v>619</v>
      </c>
      <c r="J28" s="10" t="s">
        <v>694</v>
      </c>
      <c r="K28" s="12" t="n">
        <v>46303</v>
      </c>
      <c r="L28" s="12" t="n">
        <v>46315</v>
      </c>
      <c r="M28" s="13"/>
      <c r="N28" s="13"/>
      <c r="O28" s="6" t="n">
        <f aca="false">IF(J28="Closed",0,MAX(0,README!$B$22-IF(M28="",L28,M28)))</f>
        <v>2</v>
      </c>
      <c r="P28" s="6" t="str">
        <f aca="false">IF(J28="Closed",IF(N28&lt;=IF(M28="",L28,M28),"Yes","No"),"–")</f>
        <v>–</v>
      </c>
      <c r="Q28" s="14" t="s">
        <v>123</v>
      </c>
      <c r="R28" s="15" t="n">
        <v>46302</v>
      </c>
      <c r="S28" s="16" t="s">
        <v>338</v>
      </c>
    </row>
    <row r="29" customFormat="false" ht="26.85" hidden="false" customHeight="false" outlineLevel="0" collapsed="false">
      <c r="A29" s="6" t="s">
        <v>751</v>
      </c>
      <c r="B29" s="6" t="s">
        <v>752</v>
      </c>
      <c r="C29" s="6" t="s">
        <v>689</v>
      </c>
      <c r="D29" s="6" t="s">
        <v>45</v>
      </c>
      <c r="E29" s="6" t="s">
        <v>358</v>
      </c>
      <c r="F29" s="6" t="s">
        <v>360</v>
      </c>
      <c r="G29" s="6" t="s">
        <v>361</v>
      </c>
      <c r="H29" s="6" t="s">
        <v>355</v>
      </c>
      <c r="I29" s="6" t="s">
        <v>614</v>
      </c>
      <c r="J29" s="10" t="s">
        <v>697</v>
      </c>
      <c r="K29" s="12" t="n">
        <v>46311</v>
      </c>
      <c r="L29" s="12" t="n">
        <v>46318</v>
      </c>
      <c r="M29" s="13"/>
      <c r="N29" s="13"/>
      <c r="O29" s="6" t="n">
        <f aca="false">IF(J29="Closed",0,MAX(0,README!$B$22-IF(M29="",L29,M29)))</f>
        <v>0</v>
      </c>
      <c r="P29" s="6" t="str">
        <f aca="false">IF(J29="Closed",IF(N29&lt;=IF(M29="",L29,M29),"Yes","No"),"–")</f>
        <v>–</v>
      </c>
      <c r="Q29" s="14" t="s">
        <v>123</v>
      </c>
      <c r="R29" s="15" t="n">
        <v>46309</v>
      </c>
      <c r="S29" s="16" t="s">
        <v>355</v>
      </c>
    </row>
    <row r="30" customFormat="false" ht="26.85" hidden="false" customHeight="false" outlineLevel="0" collapsed="false">
      <c r="A30" s="6" t="s">
        <v>753</v>
      </c>
      <c r="B30" s="6" t="s">
        <v>754</v>
      </c>
      <c r="C30" s="6" t="s">
        <v>689</v>
      </c>
      <c r="D30" s="6" t="s">
        <v>45</v>
      </c>
      <c r="E30" s="6" t="s">
        <v>328</v>
      </c>
      <c r="F30" s="6" t="s">
        <v>349</v>
      </c>
      <c r="G30" s="6" t="s">
        <v>350</v>
      </c>
      <c r="H30" s="6" t="s">
        <v>334</v>
      </c>
      <c r="I30" s="6" t="s">
        <v>619</v>
      </c>
      <c r="J30" s="10" t="s">
        <v>729</v>
      </c>
      <c r="K30" s="12" t="n">
        <v>46283</v>
      </c>
      <c r="L30" s="12" t="n">
        <v>46297</v>
      </c>
      <c r="M30" s="13"/>
      <c r="N30" s="13"/>
      <c r="O30" s="6" t="n">
        <f aca="false">IF(J30="Closed",0,MAX(0,README!$B$22-IF(M30="",L30,M30)))</f>
        <v>20</v>
      </c>
      <c r="P30" s="6" t="str">
        <f aca="false">IF(J30="Closed",IF(N30&lt;=IF(M30="",L30,M30),"Yes","No"),"–")</f>
        <v>–</v>
      </c>
      <c r="Q30" s="14" t="s">
        <v>114</v>
      </c>
      <c r="R30" s="15" t="n">
        <v>46283</v>
      </c>
      <c r="S30" s="16" t="s">
        <v>334</v>
      </c>
    </row>
    <row r="31" customFormat="false" ht="26.85" hidden="false" customHeight="false" outlineLevel="0" collapsed="false">
      <c r="A31" s="6" t="s">
        <v>755</v>
      </c>
      <c r="B31" s="6" t="s">
        <v>756</v>
      </c>
      <c r="C31" s="6" t="s">
        <v>689</v>
      </c>
      <c r="D31" s="6" t="s">
        <v>45</v>
      </c>
      <c r="E31" s="6" t="s">
        <v>358</v>
      </c>
      <c r="F31" s="6" t="s">
        <v>376</v>
      </c>
      <c r="G31" s="6" t="s">
        <v>377</v>
      </c>
      <c r="H31" s="6" t="s">
        <v>364</v>
      </c>
      <c r="I31" s="6" t="s">
        <v>608</v>
      </c>
      <c r="J31" s="10" t="s">
        <v>729</v>
      </c>
      <c r="K31" s="12" t="n">
        <v>46284</v>
      </c>
      <c r="L31" s="12" t="n">
        <v>46308</v>
      </c>
      <c r="M31" s="13"/>
      <c r="N31" s="13"/>
      <c r="O31" s="6" t="n">
        <f aca="false">IF(J31="Closed",0,MAX(0,README!$B$22-IF(M31="",L31,M31)))</f>
        <v>9</v>
      </c>
      <c r="P31" s="6" t="str">
        <f aca="false">IF(J31="Closed",IF(N31&lt;=IF(M31="",L31,M31),"Yes","No"),"–")</f>
        <v>–</v>
      </c>
      <c r="Q31" s="14" t="s">
        <v>114</v>
      </c>
      <c r="R31" s="15" t="n">
        <v>46283</v>
      </c>
      <c r="S31" s="16" t="s">
        <v>364</v>
      </c>
    </row>
    <row r="32" customFormat="false" ht="26.85" hidden="false" customHeight="false" outlineLevel="0" collapsed="false">
      <c r="A32" s="6" t="s">
        <v>757</v>
      </c>
      <c r="B32" s="6" t="s">
        <v>758</v>
      </c>
      <c r="C32" s="6" t="s">
        <v>700</v>
      </c>
      <c r="D32" s="6" t="s">
        <v>48</v>
      </c>
      <c r="E32" s="6"/>
      <c r="F32" s="6" t="s">
        <v>405</v>
      </c>
      <c r="G32" s="6" t="s">
        <v>406</v>
      </c>
      <c r="H32" s="6" t="s">
        <v>394</v>
      </c>
      <c r="I32" s="6" t="s">
        <v>614</v>
      </c>
      <c r="J32" s="10" t="s">
        <v>690</v>
      </c>
      <c r="K32" s="12" t="n">
        <v>46315</v>
      </c>
      <c r="L32" s="12" t="n">
        <v>46327</v>
      </c>
      <c r="M32" s="13"/>
      <c r="N32" s="13" t="n">
        <v>46316</v>
      </c>
      <c r="O32" s="6" t="n">
        <f aca="false">IF(J32="Closed",0,MAX(0,README!$B$22-IF(M32="",L32,M32)))</f>
        <v>0</v>
      </c>
      <c r="P32" s="6" t="str">
        <f aca="false">IF(J32="Closed",IF(N32&lt;=IF(M32="",L32,M32),"Yes","No"),"–")</f>
        <v>Yes</v>
      </c>
      <c r="Q32" s="14" t="s">
        <v>141</v>
      </c>
      <c r="R32" s="15" t="n">
        <v>46313</v>
      </c>
      <c r="S32" s="16" t="s">
        <v>405</v>
      </c>
    </row>
    <row r="33" customFormat="false" ht="26.85" hidden="false" customHeight="false" outlineLevel="0" collapsed="false">
      <c r="A33" s="6" t="s">
        <v>759</v>
      </c>
      <c r="B33" s="6" t="s">
        <v>760</v>
      </c>
      <c r="C33" s="6" t="s">
        <v>700</v>
      </c>
      <c r="D33" s="6" t="s">
        <v>48</v>
      </c>
      <c r="E33" s="6"/>
      <c r="F33" s="6" t="s">
        <v>390</v>
      </c>
      <c r="G33" s="6" t="s">
        <v>391</v>
      </c>
      <c r="H33" s="6" t="s">
        <v>386</v>
      </c>
      <c r="I33" s="6" t="s">
        <v>614</v>
      </c>
      <c r="J33" s="10" t="s">
        <v>701</v>
      </c>
      <c r="K33" s="12" t="n">
        <v>46314</v>
      </c>
      <c r="L33" s="12" t="n">
        <v>46344</v>
      </c>
      <c r="M33" s="13"/>
      <c r="N33" s="13"/>
      <c r="O33" s="6" t="n">
        <f aca="false">IF(J33="Closed",0,MAX(0,README!$B$22-IF(M33="",L33,M33)))</f>
        <v>0</v>
      </c>
      <c r="P33" s="6" t="str">
        <f aca="false">IF(J33="Closed",IF(N33&lt;=IF(M33="",L33,M33),"Yes","No"),"–")</f>
        <v>–</v>
      </c>
      <c r="Q33" s="14" t="s">
        <v>141</v>
      </c>
      <c r="R33" s="15" t="n">
        <v>46314</v>
      </c>
      <c r="S33" s="16" t="s">
        <v>390</v>
      </c>
    </row>
    <row r="34" customFormat="false" ht="26.85" hidden="false" customHeight="false" outlineLevel="0" collapsed="false">
      <c r="A34" s="6" t="s">
        <v>761</v>
      </c>
      <c r="B34" s="6" t="s">
        <v>762</v>
      </c>
      <c r="C34" s="6" t="s">
        <v>689</v>
      </c>
      <c r="D34" s="6" t="s">
        <v>48</v>
      </c>
      <c r="E34" s="6"/>
      <c r="F34" s="6" t="s">
        <v>402</v>
      </c>
      <c r="G34" s="6" t="s">
        <v>403</v>
      </c>
      <c r="H34" s="6" t="s">
        <v>390</v>
      </c>
      <c r="I34" s="6" t="s">
        <v>619</v>
      </c>
      <c r="J34" s="10" t="s">
        <v>694</v>
      </c>
      <c r="K34" s="12" t="n">
        <v>46303</v>
      </c>
      <c r="L34" s="12" t="n">
        <v>46324</v>
      </c>
      <c r="M34" s="13"/>
      <c r="N34" s="13"/>
      <c r="O34" s="6" t="n">
        <f aca="false">IF(J34="Closed",0,MAX(0,README!$B$22-IF(M34="",L34,M34)))</f>
        <v>0</v>
      </c>
      <c r="P34" s="6" t="str">
        <f aca="false">IF(J34="Closed",IF(N34&lt;=IF(M34="",L34,M34),"Yes","No"),"–")</f>
        <v>–</v>
      </c>
      <c r="Q34" s="14" t="s">
        <v>133</v>
      </c>
      <c r="R34" s="15" t="n">
        <v>46302</v>
      </c>
      <c r="S34" s="16" t="s">
        <v>390</v>
      </c>
    </row>
    <row r="35" customFormat="false" ht="26.85" hidden="false" customHeight="false" outlineLevel="0" collapsed="false">
      <c r="A35" s="6" t="s">
        <v>763</v>
      </c>
      <c r="B35" s="6" t="s">
        <v>764</v>
      </c>
      <c r="C35" s="6" t="s">
        <v>700</v>
      </c>
      <c r="D35" s="6" t="s">
        <v>48</v>
      </c>
      <c r="E35" s="6"/>
      <c r="F35" s="6" t="s">
        <v>390</v>
      </c>
      <c r="G35" s="6" t="s">
        <v>391</v>
      </c>
      <c r="H35" s="6" t="s">
        <v>386</v>
      </c>
      <c r="I35" s="6" t="s">
        <v>693</v>
      </c>
      <c r="J35" s="10" t="s">
        <v>690</v>
      </c>
      <c r="K35" s="12" t="n">
        <v>46294</v>
      </c>
      <c r="L35" s="12" t="n">
        <v>46303</v>
      </c>
      <c r="M35" s="13"/>
      <c r="N35" s="13" t="n">
        <v>46299</v>
      </c>
      <c r="O35" s="6" t="n">
        <f aca="false">IF(J35="Closed",0,MAX(0,README!$B$22-IF(M35="",L35,M35)))</f>
        <v>0</v>
      </c>
      <c r="P35" s="6" t="str">
        <f aca="false">IF(J35="Closed",IF(N35&lt;=IF(M35="",L35,M35),"Yes","No"),"–")</f>
        <v>Yes</v>
      </c>
      <c r="Q35" s="14" t="s">
        <v>133</v>
      </c>
      <c r="R35" s="15" t="n">
        <v>46292</v>
      </c>
      <c r="S35" s="16" t="s">
        <v>390</v>
      </c>
    </row>
    <row r="36" customFormat="false" ht="26.85" hidden="false" customHeight="false" outlineLevel="0" collapsed="false">
      <c r="A36" s="6" t="s">
        <v>765</v>
      </c>
      <c r="B36" s="6" t="s">
        <v>766</v>
      </c>
      <c r="C36" s="6" t="s">
        <v>700</v>
      </c>
      <c r="D36" s="6" t="s">
        <v>51</v>
      </c>
      <c r="E36" s="6" t="s">
        <v>424</v>
      </c>
      <c r="F36" s="6" t="s">
        <v>421</v>
      </c>
      <c r="G36" s="6" t="s">
        <v>422</v>
      </c>
      <c r="H36" s="6" t="s">
        <v>412</v>
      </c>
      <c r="I36" s="6" t="s">
        <v>608</v>
      </c>
      <c r="J36" s="10" t="s">
        <v>697</v>
      </c>
      <c r="K36" s="12" t="n">
        <v>46294</v>
      </c>
      <c r="L36" s="12" t="n">
        <v>46301</v>
      </c>
      <c r="M36" s="13"/>
      <c r="N36" s="13"/>
      <c r="O36" s="6" t="n">
        <f aca="false">IF(J36="Closed",0,MAX(0,README!$B$22-IF(M36="",L36,M36)))</f>
        <v>16</v>
      </c>
      <c r="P36" s="6" t="str">
        <f aca="false">IF(J36="Closed",IF(N36&lt;=IF(M36="",L36,M36),"Yes","No"),"–")</f>
        <v>–</v>
      </c>
      <c r="Q36" s="14" t="s">
        <v>141</v>
      </c>
      <c r="R36" s="15" t="n">
        <v>46294</v>
      </c>
      <c r="S36" s="16" t="s">
        <v>421</v>
      </c>
    </row>
    <row r="37" customFormat="false" ht="26.85" hidden="false" customHeight="false" outlineLevel="0" collapsed="false">
      <c r="A37" s="6" t="s">
        <v>767</v>
      </c>
      <c r="B37" s="6" t="s">
        <v>768</v>
      </c>
      <c r="C37" s="6" t="s">
        <v>689</v>
      </c>
      <c r="D37" s="6" t="s">
        <v>51</v>
      </c>
      <c r="E37" s="6"/>
      <c r="F37" s="6" t="s">
        <v>53</v>
      </c>
      <c r="G37" s="6" t="s">
        <v>409</v>
      </c>
      <c r="H37" s="6" t="s">
        <v>27</v>
      </c>
      <c r="I37" s="6" t="s">
        <v>619</v>
      </c>
      <c r="J37" s="10" t="s">
        <v>726</v>
      </c>
      <c r="K37" s="12" t="n">
        <v>46294</v>
      </c>
      <c r="L37" s="12" t="n">
        <v>46303</v>
      </c>
      <c r="M37" s="13"/>
      <c r="N37" s="13"/>
      <c r="O37" s="6" t="n">
        <f aca="false">IF(J37="Closed",0,MAX(0,README!$B$22-IF(M37="",L37,M37)))</f>
        <v>14</v>
      </c>
      <c r="P37" s="6" t="str">
        <f aca="false">IF(J37="Closed",IF(N37&lt;=IF(M37="",L37,M37),"Yes","No"),"–")</f>
        <v>–</v>
      </c>
      <c r="Q37" s="14" t="s">
        <v>141</v>
      </c>
      <c r="R37" s="15" t="n">
        <v>46293</v>
      </c>
      <c r="S37" s="16" t="s">
        <v>27</v>
      </c>
    </row>
    <row r="38" customFormat="false" ht="26.85" hidden="false" customHeight="false" outlineLevel="0" collapsed="false">
      <c r="A38" s="6" t="s">
        <v>769</v>
      </c>
      <c r="B38" s="6" t="s">
        <v>770</v>
      </c>
      <c r="C38" s="6" t="s">
        <v>689</v>
      </c>
      <c r="D38" s="6" t="s">
        <v>51</v>
      </c>
      <c r="E38" s="6" t="s">
        <v>424</v>
      </c>
      <c r="F38" s="6" t="s">
        <v>441</v>
      </c>
      <c r="G38" s="6" t="s">
        <v>442</v>
      </c>
      <c r="H38" s="6" t="s">
        <v>430</v>
      </c>
      <c r="I38" s="6" t="s">
        <v>693</v>
      </c>
      <c r="J38" s="10" t="s">
        <v>732</v>
      </c>
      <c r="K38" s="12" t="n">
        <v>46295</v>
      </c>
      <c r="L38" s="12" t="n">
        <v>46310</v>
      </c>
      <c r="M38" s="13"/>
      <c r="N38" s="13"/>
      <c r="O38" s="6" t="n">
        <f aca="false">IF(J38="Closed",0,MAX(0,README!$B$22-IF(M38="",L38,M38)))</f>
        <v>7</v>
      </c>
      <c r="P38" s="6" t="str">
        <f aca="false">IF(J38="Closed",IF(N38&lt;=IF(M38="",L38,M38),"Yes","No"),"–")</f>
        <v>–</v>
      </c>
      <c r="Q38" s="14" t="s">
        <v>114</v>
      </c>
      <c r="R38" s="15" t="n">
        <v>46293</v>
      </c>
      <c r="S38" s="16" t="s">
        <v>430</v>
      </c>
    </row>
    <row r="39" customFormat="false" ht="26.85" hidden="false" customHeight="false" outlineLevel="0" collapsed="false">
      <c r="A39" s="6" t="s">
        <v>771</v>
      </c>
      <c r="B39" s="6" t="s">
        <v>772</v>
      </c>
      <c r="C39" s="6" t="s">
        <v>689</v>
      </c>
      <c r="D39" s="6" t="s">
        <v>51</v>
      </c>
      <c r="E39" s="6" t="s">
        <v>419</v>
      </c>
      <c r="F39" s="6" t="s">
        <v>416</v>
      </c>
      <c r="G39" s="6" t="s">
        <v>417</v>
      </c>
      <c r="H39" s="6" t="s">
        <v>412</v>
      </c>
      <c r="I39" s="6" t="s">
        <v>608</v>
      </c>
      <c r="J39" s="10" t="s">
        <v>732</v>
      </c>
      <c r="K39" s="12" t="n">
        <v>46310</v>
      </c>
      <c r="L39" s="12" t="n">
        <v>46324</v>
      </c>
      <c r="M39" s="13"/>
      <c r="N39" s="13"/>
      <c r="O39" s="6" t="n">
        <f aca="false">IF(J39="Closed",0,MAX(0,README!$B$22-IF(M39="",L39,M39)))</f>
        <v>0</v>
      </c>
      <c r="P39" s="6" t="str">
        <f aca="false">IF(J39="Closed",IF(N39&lt;=IF(M39="",L39,M39),"Yes","No"),"–")</f>
        <v>–</v>
      </c>
      <c r="Q39" s="14" t="s">
        <v>114</v>
      </c>
      <c r="R39" s="15" t="n">
        <v>46310</v>
      </c>
      <c r="S39" s="16" t="s">
        <v>412</v>
      </c>
    </row>
    <row r="40" customFormat="false" ht="26.85" hidden="false" customHeight="false" outlineLevel="0" collapsed="false">
      <c r="A40" s="6" t="s">
        <v>773</v>
      </c>
      <c r="B40" s="6" t="s">
        <v>774</v>
      </c>
      <c r="C40" s="6" t="s">
        <v>689</v>
      </c>
      <c r="D40" s="6" t="s">
        <v>54</v>
      </c>
      <c r="E40" s="6"/>
      <c r="F40" s="6" t="s">
        <v>448</v>
      </c>
      <c r="G40" s="6" t="s">
        <v>449</v>
      </c>
      <c r="H40" s="6" t="s">
        <v>56</v>
      </c>
      <c r="I40" s="6" t="s">
        <v>614</v>
      </c>
      <c r="J40" s="10" t="s">
        <v>690</v>
      </c>
      <c r="K40" s="12" t="n">
        <v>46286</v>
      </c>
      <c r="L40" s="12" t="n">
        <v>46314</v>
      </c>
      <c r="M40" s="13"/>
      <c r="N40" s="13" t="n">
        <v>46315</v>
      </c>
      <c r="O40" s="6" t="n">
        <f aca="false">IF(J40="Closed",0,MAX(0,README!$B$22-IF(M40="",L40,M40)))</f>
        <v>0</v>
      </c>
      <c r="P40" s="6" t="str">
        <f aca="false">IF(J40="Closed",IF(N40&lt;=IF(M40="",L40,M40),"Yes","No"),"–")</f>
        <v>No</v>
      </c>
      <c r="Q40" s="14" t="s">
        <v>147</v>
      </c>
      <c r="R40" s="15" t="n">
        <v>46285</v>
      </c>
      <c r="S40" s="16" t="s">
        <v>56</v>
      </c>
    </row>
    <row r="41" customFormat="false" ht="26.85" hidden="false" customHeight="false" outlineLevel="0" collapsed="false">
      <c r="A41" s="6" t="s">
        <v>775</v>
      </c>
      <c r="B41" s="6" t="s">
        <v>776</v>
      </c>
      <c r="C41" s="6" t="s">
        <v>689</v>
      </c>
      <c r="D41" s="6" t="s">
        <v>54</v>
      </c>
      <c r="E41" s="6" t="s">
        <v>455</v>
      </c>
      <c r="F41" s="6" t="s">
        <v>474</v>
      </c>
      <c r="G41" s="6" t="s">
        <v>475</v>
      </c>
      <c r="H41" s="6" t="s">
        <v>462</v>
      </c>
      <c r="I41" s="6" t="s">
        <v>614</v>
      </c>
      <c r="J41" s="10" t="s">
        <v>697</v>
      </c>
      <c r="K41" s="12" t="n">
        <v>46283</v>
      </c>
      <c r="L41" s="12" t="n">
        <v>46311</v>
      </c>
      <c r="M41" s="13"/>
      <c r="N41" s="13"/>
      <c r="O41" s="6" t="n">
        <f aca="false">IF(J41="Closed",0,MAX(0,README!$B$22-IF(M41="",L41,M41)))</f>
        <v>6</v>
      </c>
      <c r="P41" s="6" t="str">
        <f aca="false">IF(J41="Closed",IF(N41&lt;=IF(M41="",L41,M41),"Yes","No"),"–")</f>
        <v>–</v>
      </c>
      <c r="Q41" s="14" t="s">
        <v>147</v>
      </c>
      <c r="R41" s="15" t="n">
        <v>46281</v>
      </c>
      <c r="S41" s="16" t="s">
        <v>462</v>
      </c>
    </row>
    <row r="42" customFormat="false" ht="26.85" hidden="false" customHeight="false" outlineLevel="0" collapsed="false">
      <c r="A42" s="6" t="s">
        <v>777</v>
      </c>
      <c r="B42" s="6" t="s">
        <v>778</v>
      </c>
      <c r="C42" s="6" t="s">
        <v>689</v>
      </c>
      <c r="D42" s="6" t="s">
        <v>54</v>
      </c>
      <c r="E42" s="6" t="s">
        <v>460</v>
      </c>
      <c r="F42" s="6" t="s">
        <v>466</v>
      </c>
      <c r="G42" s="6" t="s">
        <v>467</v>
      </c>
      <c r="H42" s="6" t="s">
        <v>457</v>
      </c>
      <c r="I42" s="6" t="s">
        <v>693</v>
      </c>
      <c r="J42" s="10" t="s">
        <v>701</v>
      </c>
      <c r="K42" s="12" t="n">
        <v>46286</v>
      </c>
      <c r="L42" s="12" t="n">
        <v>46300</v>
      </c>
      <c r="M42" s="13"/>
      <c r="N42" s="13"/>
      <c r="O42" s="6" t="n">
        <f aca="false">IF(J42="Closed",0,MAX(0,README!$B$22-IF(M42="",L42,M42)))</f>
        <v>17</v>
      </c>
      <c r="P42" s="6" t="str">
        <f aca="false">IF(J42="Closed",IF(N42&lt;=IF(M42="",L42,M42),"Yes","No"),"–")</f>
        <v>–</v>
      </c>
      <c r="Q42" s="14" t="s">
        <v>114</v>
      </c>
      <c r="R42" s="15" t="n">
        <v>46286</v>
      </c>
      <c r="S42" s="16" t="s">
        <v>457</v>
      </c>
    </row>
    <row r="43" customFormat="false" ht="26.85" hidden="false" customHeight="false" outlineLevel="0" collapsed="false">
      <c r="A43" s="6" t="s">
        <v>779</v>
      </c>
      <c r="B43" s="6" t="s">
        <v>780</v>
      </c>
      <c r="C43" s="6" t="s">
        <v>689</v>
      </c>
      <c r="D43" s="6" t="s">
        <v>54</v>
      </c>
      <c r="E43" s="6" t="s">
        <v>455</v>
      </c>
      <c r="F43" s="6" t="s">
        <v>474</v>
      </c>
      <c r="G43" s="6" t="s">
        <v>475</v>
      </c>
      <c r="H43" s="6" t="s">
        <v>462</v>
      </c>
      <c r="I43" s="6" t="s">
        <v>614</v>
      </c>
      <c r="J43" s="10" t="s">
        <v>729</v>
      </c>
      <c r="K43" s="12" t="n">
        <v>46288</v>
      </c>
      <c r="L43" s="12" t="n">
        <v>46308</v>
      </c>
      <c r="M43" s="13"/>
      <c r="N43" s="13"/>
      <c r="O43" s="6" t="n">
        <f aca="false">IF(J43="Closed",0,MAX(0,README!$B$22-IF(M43="",L43,M43)))</f>
        <v>9</v>
      </c>
      <c r="P43" s="6" t="str">
        <f aca="false">IF(J43="Closed",IF(N43&lt;=IF(M43="",L43,M43),"Yes","No"),"–")</f>
        <v>–</v>
      </c>
      <c r="Q43" s="14" t="s">
        <v>114</v>
      </c>
      <c r="R43" s="15" t="n">
        <v>46287</v>
      </c>
      <c r="S43" s="16" t="s">
        <v>462</v>
      </c>
    </row>
    <row r="44" customFormat="false" ht="26.85" hidden="false" customHeight="false" outlineLevel="0" collapsed="false">
      <c r="A44" s="6" t="s">
        <v>781</v>
      </c>
      <c r="B44" s="6" t="s">
        <v>782</v>
      </c>
      <c r="C44" s="6" t="s">
        <v>689</v>
      </c>
      <c r="D44" s="6" t="s">
        <v>57</v>
      </c>
      <c r="E44" s="6"/>
      <c r="F44" s="6" t="s">
        <v>487</v>
      </c>
      <c r="G44" s="6" t="s">
        <v>488</v>
      </c>
      <c r="H44" s="6" t="s">
        <v>59</v>
      </c>
      <c r="I44" s="6" t="s">
        <v>619</v>
      </c>
      <c r="J44" s="10" t="s">
        <v>694</v>
      </c>
      <c r="K44" s="12" t="n">
        <v>46284</v>
      </c>
      <c r="L44" s="12" t="n">
        <v>46305</v>
      </c>
      <c r="M44" s="13"/>
      <c r="N44" s="13"/>
      <c r="O44" s="6" t="n">
        <f aca="false">IF(J44="Closed",0,MAX(0,README!$B$22-IF(M44="",L44,M44)))</f>
        <v>12</v>
      </c>
      <c r="P44" s="6" t="str">
        <f aca="false">IF(J44="Closed",IF(N44&lt;=IF(M44="",L44,M44),"Yes","No"),"–")</f>
        <v>–</v>
      </c>
      <c r="Q44" s="14" t="s">
        <v>123</v>
      </c>
      <c r="R44" s="15" t="n">
        <v>46282</v>
      </c>
      <c r="S44" s="16" t="s">
        <v>59</v>
      </c>
    </row>
    <row r="45" customFormat="false" ht="26.85" hidden="false" customHeight="false" outlineLevel="0" collapsed="false">
      <c r="A45" s="6" t="s">
        <v>783</v>
      </c>
      <c r="B45" s="6" t="s">
        <v>784</v>
      </c>
      <c r="C45" s="6" t="s">
        <v>689</v>
      </c>
      <c r="D45" s="6" t="s">
        <v>57</v>
      </c>
      <c r="E45" s="6"/>
      <c r="F45" s="6" t="s">
        <v>499</v>
      </c>
      <c r="G45" s="6" t="s">
        <v>500</v>
      </c>
      <c r="H45" s="6" t="s">
        <v>491</v>
      </c>
      <c r="I45" s="6" t="s">
        <v>614</v>
      </c>
      <c r="J45" s="10" t="s">
        <v>701</v>
      </c>
      <c r="K45" s="12" t="n">
        <v>46280</v>
      </c>
      <c r="L45" s="12" t="n">
        <v>46289</v>
      </c>
      <c r="M45" s="13"/>
      <c r="N45" s="13"/>
      <c r="O45" s="6" t="n">
        <f aca="false">IF(J45="Closed",0,MAX(0,README!$B$22-IF(M45="",L45,M45)))</f>
        <v>28</v>
      </c>
      <c r="P45" s="6" t="str">
        <f aca="false">IF(J45="Closed",IF(N45&lt;=IF(M45="",L45,M45),"Yes","No"),"–")</f>
        <v>–</v>
      </c>
      <c r="Q45" s="14" t="s">
        <v>123</v>
      </c>
      <c r="R45" s="15" t="n">
        <v>46280</v>
      </c>
      <c r="S45" s="16" t="s">
        <v>491</v>
      </c>
    </row>
    <row r="46" customFormat="false" ht="26.85" hidden="false" customHeight="false" outlineLevel="0" collapsed="false">
      <c r="A46" s="6" t="s">
        <v>785</v>
      </c>
      <c r="B46" s="6" t="s">
        <v>786</v>
      </c>
      <c r="C46" s="6" t="s">
        <v>689</v>
      </c>
      <c r="D46" s="6" t="s">
        <v>57</v>
      </c>
      <c r="E46" s="6"/>
      <c r="F46" s="6" t="s">
        <v>495</v>
      </c>
      <c r="G46" s="6" t="s">
        <v>496</v>
      </c>
      <c r="H46" s="6" t="s">
        <v>491</v>
      </c>
      <c r="I46" s="6" t="s">
        <v>614</v>
      </c>
      <c r="J46" s="10" t="s">
        <v>690</v>
      </c>
      <c r="K46" s="12" t="n">
        <v>46310</v>
      </c>
      <c r="L46" s="12" t="n">
        <v>46323</v>
      </c>
      <c r="M46" s="13"/>
      <c r="N46" s="13" t="n">
        <v>46316</v>
      </c>
      <c r="O46" s="6" t="n">
        <f aca="false">IF(J46="Closed",0,MAX(0,README!$B$22-IF(M46="",L46,M46)))</f>
        <v>0</v>
      </c>
      <c r="P46" s="6" t="str">
        <f aca="false">IF(J46="Closed",IF(N46&lt;=IF(M46="",L46,M46),"Yes","No"),"–")</f>
        <v>Yes</v>
      </c>
      <c r="Q46" s="14" t="s">
        <v>147</v>
      </c>
      <c r="R46" s="15" t="n">
        <v>46309</v>
      </c>
      <c r="S46" s="16" t="s">
        <v>491</v>
      </c>
    </row>
    <row r="47" customFormat="false" ht="26.85" hidden="false" customHeight="false" outlineLevel="0" collapsed="false">
      <c r="A47" s="6" t="s">
        <v>787</v>
      </c>
      <c r="B47" s="6" t="s">
        <v>788</v>
      </c>
      <c r="C47" s="6" t="s">
        <v>689</v>
      </c>
      <c r="D47" s="6" t="s">
        <v>57</v>
      </c>
      <c r="E47" s="6"/>
      <c r="F47" s="6" t="s">
        <v>59</v>
      </c>
      <c r="G47" s="6" t="s">
        <v>484</v>
      </c>
      <c r="H47" s="6" t="s">
        <v>27</v>
      </c>
      <c r="I47" s="6" t="s">
        <v>614</v>
      </c>
      <c r="J47" s="10" t="s">
        <v>732</v>
      </c>
      <c r="K47" s="12" t="n">
        <v>46304</v>
      </c>
      <c r="L47" s="12" t="n">
        <v>46319</v>
      </c>
      <c r="M47" s="13"/>
      <c r="N47" s="13"/>
      <c r="O47" s="6" t="n">
        <f aca="false">IF(J47="Closed",0,MAX(0,README!$B$22-IF(M47="",L47,M47)))</f>
        <v>0</v>
      </c>
      <c r="P47" s="6" t="str">
        <f aca="false">IF(J47="Closed",IF(N47&lt;=IF(M47="",L47,M47),"Yes","No"),"–")</f>
        <v>–</v>
      </c>
      <c r="Q47" s="14" t="s">
        <v>147</v>
      </c>
      <c r="R47" s="15" t="n">
        <v>46302</v>
      </c>
      <c r="S47" s="16" t="s">
        <v>27</v>
      </c>
    </row>
    <row r="48" customFormat="false" ht="26.85" hidden="false" customHeight="false" outlineLevel="0" collapsed="false">
      <c r="A48" s="6" t="s">
        <v>789</v>
      </c>
      <c r="B48" s="6" t="s">
        <v>790</v>
      </c>
      <c r="C48" s="6" t="s">
        <v>689</v>
      </c>
      <c r="D48" s="6" t="s">
        <v>60</v>
      </c>
      <c r="E48" s="6"/>
      <c r="F48" s="6" t="s">
        <v>512</v>
      </c>
      <c r="G48" s="6" t="s">
        <v>513</v>
      </c>
      <c r="H48" s="6" t="s">
        <v>507</v>
      </c>
      <c r="I48" s="6" t="s">
        <v>608</v>
      </c>
      <c r="J48" s="10" t="s">
        <v>732</v>
      </c>
      <c r="K48" s="12" t="n">
        <v>46315</v>
      </c>
      <c r="L48" s="12" t="n">
        <v>46343</v>
      </c>
      <c r="M48" s="13"/>
      <c r="N48" s="13"/>
      <c r="O48" s="6" t="n">
        <f aca="false">IF(J48="Closed",0,MAX(0,README!$B$22-IF(M48="",L48,M48)))</f>
        <v>0</v>
      </c>
      <c r="P48" s="6" t="str">
        <f aca="false">IF(J48="Closed",IF(N48&lt;=IF(M48="",L48,M48),"Yes","No"),"–")</f>
        <v>–</v>
      </c>
      <c r="Q48" s="14" t="s">
        <v>130</v>
      </c>
      <c r="R48" s="15" t="n">
        <v>46315</v>
      </c>
      <c r="S48" s="16" t="s">
        <v>507</v>
      </c>
    </row>
    <row r="49" customFormat="false" ht="26.85" hidden="false" customHeight="false" outlineLevel="0" collapsed="false">
      <c r="A49" s="6" t="s">
        <v>791</v>
      </c>
      <c r="B49" s="6" t="s">
        <v>792</v>
      </c>
      <c r="C49" s="6" t="s">
        <v>700</v>
      </c>
      <c r="D49" s="6" t="s">
        <v>60</v>
      </c>
      <c r="E49" s="6"/>
      <c r="F49" s="6" t="s">
        <v>507</v>
      </c>
      <c r="G49" s="6" t="s">
        <v>508</v>
      </c>
      <c r="H49" s="6" t="s">
        <v>62</v>
      </c>
      <c r="I49" s="6" t="s">
        <v>693</v>
      </c>
      <c r="J49" s="10" t="s">
        <v>729</v>
      </c>
      <c r="K49" s="12" t="n">
        <v>46293</v>
      </c>
      <c r="L49" s="12" t="n">
        <v>46301</v>
      </c>
      <c r="M49" s="13"/>
      <c r="N49" s="13"/>
      <c r="O49" s="6" t="n">
        <f aca="false">IF(J49="Closed",0,MAX(0,README!$B$22-IF(M49="",L49,M49)))</f>
        <v>16</v>
      </c>
      <c r="P49" s="6" t="str">
        <f aca="false">IF(J49="Closed",IF(N49&lt;=IF(M49="",L49,M49),"Yes","No"),"–")</f>
        <v>–</v>
      </c>
      <c r="Q49" s="14" t="s">
        <v>130</v>
      </c>
      <c r="R49" s="15" t="n">
        <v>46292</v>
      </c>
      <c r="S49" s="16" t="s">
        <v>507</v>
      </c>
    </row>
    <row r="50" customFormat="false" ht="26.85" hidden="false" customHeight="false" outlineLevel="0" collapsed="false">
      <c r="A50" s="6" t="s">
        <v>793</v>
      </c>
      <c r="B50" s="6" t="s">
        <v>794</v>
      </c>
      <c r="C50" s="6" t="s">
        <v>700</v>
      </c>
      <c r="D50" s="6" t="s">
        <v>60</v>
      </c>
      <c r="E50" s="6"/>
      <c r="F50" s="6" t="s">
        <v>62</v>
      </c>
      <c r="G50" s="6" t="s">
        <v>503</v>
      </c>
      <c r="H50" s="6" t="s">
        <v>27</v>
      </c>
      <c r="I50" s="6" t="s">
        <v>614</v>
      </c>
      <c r="J50" s="10" t="s">
        <v>726</v>
      </c>
      <c r="K50" s="12" t="n">
        <v>46300</v>
      </c>
      <c r="L50" s="12" t="n">
        <v>46308</v>
      </c>
      <c r="M50" s="13"/>
      <c r="N50" s="13"/>
      <c r="O50" s="6" t="n">
        <f aca="false">IF(J50="Closed",0,MAX(0,README!$B$22-IF(M50="",L50,M50)))</f>
        <v>9</v>
      </c>
      <c r="P50" s="6" t="str">
        <f aca="false">IF(J50="Closed",IF(N50&lt;=IF(M50="",L50,M50),"Yes","No"),"–")</f>
        <v>–</v>
      </c>
      <c r="Q50" s="14" t="s">
        <v>147</v>
      </c>
      <c r="R50" s="15" t="n">
        <v>46298</v>
      </c>
      <c r="S50" s="16" t="s">
        <v>62</v>
      </c>
    </row>
    <row r="51" customFormat="false" ht="26.85" hidden="false" customHeight="false" outlineLevel="0" collapsed="false">
      <c r="A51" s="6" t="s">
        <v>795</v>
      </c>
      <c r="B51" s="6" t="s">
        <v>796</v>
      </c>
      <c r="C51" s="6" t="s">
        <v>700</v>
      </c>
      <c r="D51" s="6" t="s">
        <v>60</v>
      </c>
      <c r="E51" s="6"/>
      <c r="F51" s="6" t="s">
        <v>512</v>
      </c>
      <c r="G51" s="6" t="s">
        <v>513</v>
      </c>
      <c r="H51" s="6" t="s">
        <v>507</v>
      </c>
      <c r="I51" s="6" t="s">
        <v>619</v>
      </c>
      <c r="J51" s="10" t="s">
        <v>726</v>
      </c>
      <c r="K51" s="12" t="n">
        <v>46313</v>
      </c>
      <c r="L51" s="12" t="n">
        <v>46325</v>
      </c>
      <c r="M51" s="13"/>
      <c r="N51" s="13"/>
      <c r="O51" s="6" t="n">
        <f aca="false">IF(J51="Closed",0,MAX(0,README!$B$22-IF(M51="",L51,M51)))</f>
        <v>0</v>
      </c>
      <c r="P51" s="6" t="str">
        <f aca="false">IF(J51="Closed",IF(N51&lt;=IF(M51="",L51,M51),"Yes","No"),"–")</f>
        <v>–</v>
      </c>
      <c r="Q51" s="14" t="s">
        <v>147</v>
      </c>
      <c r="R51" s="15" t="n">
        <v>46313</v>
      </c>
      <c r="S51" s="16" t="s">
        <v>512</v>
      </c>
    </row>
    <row r="52" customFormat="false" ht="26.85" hidden="false" customHeight="false" outlineLevel="0" collapsed="false">
      <c r="A52" s="6" t="s">
        <v>797</v>
      </c>
      <c r="B52" s="6" t="s">
        <v>798</v>
      </c>
      <c r="C52" s="6" t="s">
        <v>700</v>
      </c>
      <c r="D52" s="6" t="s">
        <v>63</v>
      </c>
      <c r="E52" s="6"/>
      <c r="F52" s="6" t="s">
        <v>65</v>
      </c>
      <c r="G52" s="6" t="s">
        <v>516</v>
      </c>
      <c r="H52" s="6" t="s">
        <v>27</v>
      </c>
      <c r="I52" s="6" t="s">
        <v>608</v>
      </c>
      <c r="J52" s="10" t="s">
        <v>697</v>
      </c>
      <c r="K52" s="12" t="n">
        <v>46284</v>
      </c>
      <c r="L52" s="12" t="n">
        <v>46310</v>
      </c>
      <c r="M52" s="13"/>
      <c r="N52" s="13"/>
      <c r="O52" s="6" t="n">
        <f aca="false">IF(J52="Closed",0,MAX(0,README!$B$22-IF(M52="",L52,M52)))</f>
        <v>7</v>
      </c>
      <c r="P52" s="6" t="str">
        <f aca="false">IF(J52="Closed",IF(N52&lt;=IF(M52="",L52,M52),"Yes","No"),"–")</f>
        <v>–</v>
      </c>
      <c r="Q52" s="14" t="s">
        <v>130</v>
      </c>
      <c r="R52" s="15" t="n">
        <v>46283</v>
      </c>
      <c r="S52" s="16" t="s">
        <v>65</v>
      </c>
    </row>
    <row r="53" customFormat="false" ht="26.85" hidden="false" customHeight="false" outlineLevel="0" collapsed="false">
      <c r="A53" s="6" t="s">
        <v>799</v>
      </c>
      <c r="B53" s="6" t="s">
        <v>800</v>
      </c>
      <c r="C53" s="6" t="s">
        <v>700</v>
      </c>
      <c r="D53" s="6" t="s">
        <v>63</v>
      </c>
      <c r="E53" s="6"/>
      <c r="F53" s="6" t="s">
        <v>519</v>
      </c>
      <c r="G53" s="6" t="s">
        <v>520</v>
      </c>
      <c r="H53" s="6" t="s">
        <v>65</v>
      </c>
      <c r="I53" s="6" t="s">
        <v>693</v>
      </c>
      <c r="J53" s="10" t="s">
        <v>701</v>
      </c>
      <c r="K53" s="12" t="n">
        <v>46287</v>
      </c>
      <c r="L53" s="12" t="n">
        <v>46312</v>
      </c>
      <c r="M53" s="13"/>
      <c r="N53" s="13"/>
      <c r="O53" s="6" t="n">
        <f aca="false">IF(J53="Closed",0,MAX(0,README!$B$22-IF(M53="",L53,M53)))</f>
        <v>5</v>
      </c>
      <c r="P53" s="6" t="str">
        <f aca="false">IF(J53="Closed",IF(N53&lt;=IF(M53="",L53,M53),"Yes","No"),"–")</f>
        <v>–</v>
      </c>
      <c r="Q53" s="14" t="s">
        <v>130</v>
      </c>
      <c r="R53" s="15" t="n">
        <v>46285</v>
      </c>
      <c r="S53" s="16" t="s">
        <v>519</v>
      </c>
    </row>
    <row r="54" customFormat="false" ht="26.85" hidden="false" customHeight="false" outlineLevel="0" collapsed="false">
      <c r="A54" s="6" t="s">
        <v>801</v>
      </c>
      <c r="B54" s="6" t="s">
        <v>802</v>
      </c>
      <c r="C54" s="6" t="s">
        <v>700</v>
      </c>
      <c r="D54" s="6" t="s">
        <v>63</v>
      </c>
      <c r="E54" s="6"/>
      <c r="F54" s="6" t="s">
        <v>65</v>
      </c>
      <c r="G54" s="6" t="s">
        <v>516</v>
      </c>
      <c r="H54" s="6" t="s">
        <v>27</v>
      </c>
      <c r="I54" s="6" t="s">
        <v>693</v>
      </c>
      <c r="J54" s="10" t="s">
        <v>729</v>
      </c>
      <c r="K54" s="12" t="n">
        <v>46285</v>
      </c>
      <c r="L54" s="12" t="n">
        <v>46305</v>
      </c>
      <c r="M54" s="13"/>
      <c r="N54" s="13"/>
      <c r="O54" s="6" t="n">
        <f aca="false">IF(J54="Closed",0,MAX(0,README!$B$22-IF(M54="",L54,M54)))</f>
        <v>12</v>
      </c>
      <c r="P54" s="6" t="str">
        <f aca="false">IF(J54="Closed",IF(N54&lt;=IF(M54="",L54,M54),"Yes","No"),"–")</f>
        <v>–</v>
      </c>
      <c r="Q54" s="14" t="s">
        <v>133</v>
      </c>
      <c r="R54" s="15" t="n">
        <v>46285</v>
      </c>
      <c r="S54" s="16" t="s">
        <v>65</v>
      </c>
    </row>
    <row r="55" customFormat="false" ht="26.85" hidden="false" customHeight="false" outlineLevel="0" collapsed="false">
      <c r="A55" s="6" t="s">
        <v>803</v>
      </c>
      <c r="B55" s="6" t="s">
        <v>804</v>
      </c>
      <c r="C55" s="6" t="s">
        <v>689</v>
      </c>
      <c r="D55" s="6" t="s">
        <v>63</v>
      </c>
      <c r="E55" s="6"/>
      <c r="F55" s="6" t="s">
        <v>519</v>
      </c>
      <c r="G55" s="6" t="s">
        <v>520</v>
      </c>
      <c r="H55" s="6" t="s">
        <v>65</v>
      </c>
      <c r="I55" s="6" t="s">
        <v>614</v>
      </c>
      <c r="J55" s="10" t="s">
        <v>690</v>
      </c>
      <c r="K55" s="12" t="n">
        <v>46296</v>
      </c>
      <c r="L55" s="12" t="n">
        <v>46309</v>
      </c>
      <c r="M55" s="13"/>
      <c r="N55" s="13" t="n">
        <v>46308</v>
      </c>
      <c r="O55" s="6" t="n">
        <f aca="false">IF(J55="Closed",0,MAX(0,README!$B$22-IF(M55="",L55,M55)))</f>
        <v>0</v>
      </c>
      <c r="P55" s="6" t="str">
        <f aca="false">IF(J55="Closed",IF(N55&lt;=IF(M55="",L55,M55),"Yes","No"),"–")</f>
        <v>Yes</v>
      </c>
      <c r="Q55" s="14" t="s">
        <v>133</v>
      </c>
      <c r="R55" s="15" t="n">
        <v>46295</v>
      </c>
      <c r="S55" s="16" t="s">
        <v>65</v>
      </c>
    </row>
    <row r="56" customFormat="false" ht="26.85" hidden="false" customHeight="false" outlineLevel="0" collapsed="false">
      <c r="A56" s="6" t="s">
        <v>805</v>
      </c>
      <c r="B56" s="6" t="s">
        <v>806</v>
      </c>
      <c r="C56" s="6" t="s">
        <v>689</v>
      </c>
      <c r="D56" s="6" t="s">
        <v>66</v>
      </c>
      <c r="E56" s="6"/>
      <c r="F56" s="6" t="s">
        <v>530</v>
      </c>
      <c r="G56" s="6" t="s">
        <v>531</v>
      </c>
      <c r="H56" s="6" t="s">
        <v>68</v>
      </c>
      <c r="I56" s="6" t="s">
        <v>614</v>
      </c>
      <c r="J56" s="10" t="s">
        <v>690</v>
      </c>
      <c r="K56" s="12" t="n">
        <v>46299</v>
      </c>
      <c r="L56" s="12" t="n">
        <v>46320</v>
      </c>
      <c r="M56" s="13"/>
      <c r="N56" s="13" t="n">
        <v>46317</v>
      </c>
      <c r="O56" s="6" t="n">
        <f aca="false">IF(J56="Closed",0,MAX(0,README!$B$22-IF(M56="",L56,M56)))</f>
        <v>0</v>
      </c>
      <c r="P56" s="6" t="str">
        <f aca="false">IF(J56="Closed",IF(N56&lt;=IF(M56="",L56,M56),"Yes","No"),"–")</f>
        <v>Yes</v>
      </c>
      <c r="Q56" s="14" t="s">
        <v>147</v>
      </c>
      <c r="R56" s="15" t="n">
        <v>46297</v>
      </c>
      <c r="S56" s="16" t="s">
        <v>68</v>
      </c>
    </row>
    <row r="57" customFormat="false" ht="26.85" hidden="false" customHeight="false" outlineLevel="0" collapsed="false">
      <c r="A57" s="6" t="s">
        <v>807</v>
      </c>
      <c r="B57" s="6" t="s">
        <v>808</v>
      </c>
      <c r="C57" s="6" t="s">
        <v>700</v>
      </c>
      <c r="D57" s="6" t="s">
        <v>66</v>
      </c>
      <c r="E57" s="6"/>
      <c r="F57" s="6" t="s">
        <v>68</v>
      </c>
      <c r="G57" s="6" t="s">
        <v>527</v>
      </c>
      <c r="H57" s="6" t="s">
        <v>27</v>
      </c>
      <c r="I57" s="6" t="s">
        <v>614</v>
      </c>
      <c r="J57" s="10" t="s">
        <v>701</v>
      </c>
      <c r="K57" s="12" t="n">
        <v>46284</v>
      </c>
      <c r="L57" s="12" t="n">
        <v>46308</v>
      </c>
      <c r="M57" s="13"/>
      <c r="N57" s="13"/>
      <c r="O57" s="6" t="n">
        <f aca="false">IF(J57="Closed",0,MAX(0,README!$B$22-IF(M57="",L57,M57)))</f>
        <v>9</v>
      </c>
      <c r="P57" s="6" t="str">
        <f aca="false">IF(J57="Closed",IF(N57&lt;=IF(M57="",L57,M57),"Yes","No"),"–")</f>
        <v>–</v>
      </c>
      <c r="Q57" s="14" t="s">
        <v>147</v>
      </c>
      <c r="R57" s="15" t="n">
        <v>46284</v>
      </c>
      <c r="S57" s="16" t="s">
        <v>68</v>
      </c>
    </row>
    <row r="58" customFormat="false" ht="26.85" hidden="false" customHeight="false" outlineLevel="0" collapsed="false">
      <c r="A58" s="6" t="s">
        <v>809</v>
      </c>
      <c r="B58" s="6" t="s">
        <v>810</v>
      </c>
      <c r="C58" s="6" t="s">
        <v>689</v>
      </c>
      <c r="D58" s="6" t="s">
        <v>66</v>
      </c>
      <c r="E58" s="6"/>
      <c r="F58" s="6" t="s">
        <v>530</v>
      </c>
      <c r="G58" s="6" t="s">
        <v>531</v>
      </c>
      <c r="H58" s="6" t="s">
        <v>68</v>
      </c>
      <c r="I58" s="6" t="s">
        <v>614</v>
      </c>
      <c r="J58" s="10" t="s">
        <v>701</v>
      </c>
      <c r="K58" s="12" t="n">
        <v>46302</v>
      </c>
      <c r="L58" s="12" t="n">
        <v>46311</v>
      </c>
      <c r="M58" s="13"/>
      <c r="N58" s="13"/>
      <c r="O58" s="6" t="n">
        <f aca="false">IF(J58="Closed",0,MAX(0,README!$B$22-IF(M58="",L58,M58)))</f>
        <v>6</v>
      </c>
      <c r="P58" s="6" t="str">
        <f aca="false">IF(J58="Closed",IF(N58&lt;=IF(M58="",L58,M58),"Yes","No"),"–")</f>
        <v>–</v>
      </c>
      <c r="Q58" s="14" t="s">
        <v>133</v>
      </c>
      <c r="R58" s="15" t="n">
        <v>46301</v>
      </c>
      <c r="S58" s="16" t="s">
        <v>68</v>
      </c>
    </row>
    <row r="59" customFormat="false" ht="26.85" hidden="false" customHeight="false" outlineLevel="0" collapsed="false">
      <c r="A59" s="6" t="s">
        <v>811</v>
      </c>
      <c r="B59" s="6" t="s">
        <v>812</v>
      </c>
      <c r="C59" s="6" t="s">
        <v>700</v>
      </c>
      <c r="D59" s="6" t="s">
        <v>66</v>
      </c>
      <c r="E59" s="6"/>
      <c r="F59" s="6" t="s">
        <v>530</v>
      </c>
      <c r="G59" s="6" t="s">
        <v>531</v>
      </c>
      <c r="H59" s="6" t="s">
        <v>68</v>
      </c>
      <c r="I59" s="6" t="s">
        <v>693</v>
      </c>
      <c r="J59" s="10" t="s">
        <v>690</v>
      </c>
      <c r="K59" s="12" t="n">
        <v>46308</v>
      </c>
      <c r="L59" s="12" t="n">
        <v>46332</v>
      </c>
      <c r="M59" s="13"/>
      <c r="N59" s="13" t="n">
        <v>46316</v>
      </c>
      <c r="O59" s="6" t="n">
        <f aca="false">IF(J59="Closed",0,MAX(0,README!$B$22-IF(M59="",L59,M59)))</f>
        <v>0</v>
      </c>
      <c r="P59" s="6" t="str">
        <f aca="false">IF(J59="Closed",IF(N59&lt;=IF(M59="",L59,M59),"Yes","No"),"–")</f>
        <v>Yes</v>
      </c>
      <c r="Q59" s="14" t="s">
        <v>133</v>
      </c>
      <c r="R59" s="15" t="n">
        <v>46306</v>
      </c>
      <c r="S59" s="16" t="s">
        <v>530</v>
      </c>
    </row>
    <row r="60" customFormat="false" ht="26.85" hidden="false" customHeight="false" outlineLevel="0" collapsed="false">
      <c r="A60" s="6" t="s">
        <v>813</v>
      </c>
      <c r="B60" s="6" t="s">
        <v>814</v>
      </c>
      <c r="C60" s="6" t="s">
        <v>689</v>
      </c>
      <c r="D60" s="6" t="s">
        <v>69</v>
      </c>
      <c r="E60" s="6"/>
      <c r="F60" s="6" t="s">
        <v>71</v>
      </c>
      <c r="G60" s="6" t="s">
        <v>542</v>
      </c>
      <c r="H60" s="6" t="s">
        <v>27</v>
      </c>
      <c r="I60" s="6" t="s">
        <v>614</v>
      </c>
      <c r="J60" s="10" t="s">
        <v>697</v>
      </c>
      <c r="K60" s="12" t="n">
        <v>46315</v>
      </c>
      <c r="L60" s="12" t="n">
        <v>46331</v>
      </c>
      <c r="M60" s="13"/>
      <c r="N60" s="13"/>
      <c r="O60" s="6" t="n">
        <f aca="false">IF(J60="Closed",0,MAX(0,README!$B$22-IF(M60="",L60,M60)))</f>
        <v>0</v>
      </c>
      <c r="P60" s="6" t="str">
        <f aca="false">IF(J60="Closed",IF(N60&lt;=IF(M60="",L60,M60),"Yes","No"),"–")</f>
        <v>–</v>
      </c>
      <c r="Q60" s="14" t="s">
        <v>147</v>
      </c>
      <c r="R60" s="15" t="n">
        <v>46315</v>
      </c>
      <c r="S60" s="16" t="s">
        <v>27</v>
      </c>
    </row>
    <row r="61" customFormat="false" ht="26.85" hidden="false" customHeight="false" outlineLevel="0" collapsed="false">
      <c r="A61" s="6" t="s">
        <v>815</v>
      </c>
      <c r="B61" s="6" t="s">
        <v>816</v>
      </c>
      <c r="C61" s="6" t="s">
        <v>689</v>
      </c>
      <c r="D61" s="6" t="s">
        <v>69</v>
      </c>
      <c r="E61" s="6"/>
      <c r="F61" s="6" t="s">
        <v>71</v>
      </c>
      <c r="G61" s="6" t="s">
        <v>542</v>
      </c>
      <c r="H61" s="6" t="s">
        <v>27</v>
      </c>
      <c r="I61" s="6" t="s">
        <v>614</v>
      </c>
      <c r="J61" s="10" t="s">
        <v>694</v>
      </c>
      <c r="K61" s="12" t="n">
        <v>46286</v>
      </c>
      <c r="L61" s="12" t="n">
        <v>46316</v>
      </c>
      <c r="M61" s="13"/>
      <c r="N61" s="13"/>
      <c r="O61" s="6" t="n">
        <f aca="false">IF(J61="Closed",0,MAX(0,README!$B$22-IF(M61="",L61,M61)))</f>
        <v>1</v>
      </c>
      <c r="P61" s="6" t="str">
        <f aca="false">IF(J61="Closed",IF(N61&lt;=IF(M61="",L61,M61),"Yes","No"),"–")</f>
        <v>–</v>
      </c>
      <c r="Q61" s="14" t="s">
        <v>147</v>
      </c>
      <c r="R61" s="15" t="n">
        <v>46285</v>
      </c>
      <c r="S61" s="16" t="s">
        <v>27</v>
      </c>
    </row>
    <row r="64" customFormat="false" ht="15" hidden="false" customHeight="false" outlineLevel="0" collapsed="false">
      <c r="A64" s="7" t="s">
        <v>817</v>
      </c>
    </row>
    <row r="65" customFormat="false" ht="15" hidden="false" customHeight="false" outlineLevel="0" collapsed="false">
      <c r="A65" s="17" t="s">
        <v>818</v>
      </c>
      <c r="B65" s="17" t="n">
        <f aca="false">COUNTA(A2:A61)</f>
        <v>60</v>
      </c>
    </row>
    <row r="66" customFormat="false" ht="15" hidden="false" customHeight="false" outlineLevel="0" collapsed="false">
      <c r="A66" s="17" t="s">
        <v>690</v>
      </c>
      <c r="B66" s="17" t="n">
        <f aca="false">COUNTIF(J2:J61,"Closed")</f>
        <v>15</v>
      </c>
    </row>
    <row r="67" customFormat="false" ht="15" hidden="false" customHeight="false" outlineLevel="0" collapsed="false">
      <c r="A67" s="17" t="s">
        <v>819</v>
      </c>
      <c r="B67" s="17" t="n">
        <f aca="false">COUNTIF(P2:P61,"Yes")</f>
        <v>13</v>
      </c>
    </row>
    <row r="68" customFormat="false" ht="15" hidden="false" customHeight="false" outlineLevel="0" collapsed="false">
      <c r="A68" s="17" t="s">
        <v>820</v>
      </c>
      <c r="B68" s="18" t="n">
        <f aca="false">IFERROR(B67/B66,0)</f>
        <v>0.866666666666667</v>
      </c>
    </row>
    <row r="69" customFormat="false" ht="15" hidden="false" customHeight="false" outlineLevel="0" collapsed="false">
      <c r="A69" s="17" t="s">
        <v>821</v>
      </c>
      <c r="B69" s="17" t="n">
        <f aca="false">COUNTIFS(J2:J61,"&lt;&gt;Closed",O2:O61,"&gt;0")</f>
        <v>27</v>
      </c>
    </row>
  </sheetData>
  <autoFilter ref="A1:P61"/>
  <dataValidations count="2">
    <dataValidation allowBlank="false" errorStyle="stop" operator="between" showDropDown="false" showErrorMessage="false" showInputMessage="false" sqref="J2:J61" type="list">
      <formula1>"Open,Accepted,In Progress,On Hold,Submitted for Review,Returned for Rework,Closed,Cancelled"</formula1>
      <formula2>0</formula2>
    </dataValidation>
    <dataValidation allowBlank="false" errorStyle="stop" operator="between" showDropDown="false" showErrorMessage="false" showInputMessage="false" sqref="I2:I61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10"/>
  </cols>
  <sheetData>
    <row r="1" customFormat="false" ht="26.85" hidden="false" customHeight="false" outlineLevel="0" collapsed="false">
      <c r="A1" s="5" t="s">
        <v>822</v>
      </c>
      <c r="B1" s="5" t="s">
        <v>823</v>
      </c>
      <c r="C1" s="5" t="s">
        <v>824</v>
      </c>
      <c r="D1" s="5" t="s">
        <v>102</v>
      </c>
      <c r="E1" s="5" t="s">
        <v>601</v>
      </c>
      <c r="F1" s="5" t="s">
        <v>685</v>
      </c>
      <c r="G1" s="5" t="s">
        <v>825</v>
      </c>
      <c r="H1" s="5" t="s">
        <v>826</v>
      </c>
      <c r="I1" s="5" t="s">
        <v>827</v>
      </c>
      <c r="J1" s="5" t="s">
        <v>163</v>
      </c>
      <c r="K1" s="11" t="s">
        <v>95</v>
      </c>
    </row>
    <row r="2" customFormat="false" ht="26.85" hidden="false" customHeight="false" outlineLevel="0" collapsed="false">
      <c r="A2" s="6" t="s">
        <v>828</v>
      </c>
      <c r="B2" s="6" t="s">
        <v>29</v>
      </c>
      <c r="C2" s="6" t="s">
        <v>36</v>
      </c>
      <c r="D2" s="6" t="s">
        <v>829</v>
      </c>
      <c r="E2" s="6" t="s">
        <v>608</v>
      </c>
      <c r="F2" s="12" t="n">
        <v>46300</v>
      </c>
      <c r="G2" s="12" t="n">
        <v>46305</v>
      </c>
      <c r="H2" s="6" t="s">
        <v>697</v>
      </c>
      <c r="I2" s="12" t="n">
        <v>46307</v>
      </c>
      <c r="J2" s="6" t="s">
        <v>729</v>
      </c>
      <c r="K2" s="14" t="s">
        <v>99</v>
      </c>
    </row>
    <row r="3" customFormat="false" ht="26.85" hidden="false" customHeight="false" outlineLevel="0" collapsed="false">
      <c r="A3" s="6" t="s">
        <v>830</v>
      </c>
      <c r="B3" s="6" t="s">
        <v>45</v>
      </c>
      <c r="C3" s="6" t="s">
        <v>51</v>
      </c>
      <c r="D3" s="6" t="s">
        <v>831</v>
      </c>
      <c r="E3" s="6" t="s">
        <v>619</v>
      </c>
      <c r="F3" s="12" t="n">
        <v>46309</v>
      </c>
      <c r="G3" s="12" t="n">
        <v>46310</v>
      </c>
      <c r="H3" s="6" t="s">
        <v>697</v>
      </c>
      <c r="I3" s="12" t="n">
        <v>46310</v>
      </c>
      <c r="J3" s="6" t="s">
        <v>832</v>
      </c>
      <c r="K3" s="14" t="s">
        <v>141</v>
      </c>
    </row>
    <row r="4" customFormat="false" ht="26.85" hidden="false" customHeight="false" outlineLevel="0" collapsed="false">
      <c r="A4" s="6" t="s">
        <v>833</v>
      </c>
      <c r="B4" s="6" t="s">
        <v>54</v>
      </c>
      <c r="C4" s="6" t="s">
        <v>29</v>
      </c>
      <c r="D4" s="6" t="s">
        <v>834</v>
      </c>
      <c r="E4" s="6" t="s">
        <v>614</v>
      </c>
      <c r="F4" s="12" t="n">
        <v>46303</v>
      </c>
      <c r="G4" s="12" t="n">
        <v>46310</v>
      </c>
      <c r="H4" s="6" t="s">
        <v>697</v>
      </c>
      <c r="I4" s="12" t="n">
        <v>46309</v>
      </c>
      <c r="J4" s="6" t="s">
        <v>832</v>
      </c>
      <c r="K4" s="14" t="s">
        <v>107</v>
      </c>
    </row>
    <row r="5" customFormat="false" ht="26.85" hidden="false" customHeight="false" outlineLevel="0" collapsed="false">
      <c r="A5" s="6" t="s">
        <v>835</v>
      </c>
      <c r="B5" s="6" t="s">
        <v>33</v>
      </c>
      <c r="C5" s="6" t="s">
        <v>60</v>
      </c>
      <c r="D5" s="6" t="s">
        <v>836</v>
      </c>
      <c r="E5" s="6" t="s">
        <v>614</v>
      </c>
      <c r="F5" s="12" t="n">
        <v>46311</v>
      </c>
      <c r="G5" s="12" t="n">
        <v>46317</v>
      </c>
      <c r="H5" s="6" t="s">
        <v>837</v>
      </c>
      <c r="I5" s="12"/>
      <c r="J5" s="6" t="s">
        <v>726</v>
      </c>
      <c r="K5" s="14" t="s">
        <v>111</v>
      </c>
    </row>
    <row r="6" customFormat="false" ht="26.85" hidden="false" customHeight="false" outlineLevel="0" collapsed="false">
      <c r="A6" s="6" t="s">
        <v>838</v>
      </c>
      <c r="B6" s="6" t="s">
        <v>48</v>
      </c>
      <c r="C6" s="6" t="s">
        <v>36</v>
      </c>
      <c r="D6" s="6" t="s">
        <v>839</v>
      </c>
      <c r="E6" s="6" t="s">
        <v>608</v>
      </c>
      <c r="F6" s="12" t="n">
        <v>46296</v>
      </c>
      <c r="G6" s="12" t="n">
        <v>46315</v>
      </c>
      <c r="H6" s="6" t="s">
        <v>697</v>
      </c>
      <c r="I6" s="12" t="n">
        <v>46325</v>
      </c>
      <c r="J6" s="6" t="s">
        <v>729</v>
      </c>
      <c r="K6" s="14" t="s">
        <v>141</v>
      </c>
    </row>
    <row r="7" customFormat="false" ht="26.85" hidden="false" customHeight="false" outlineLevel="0" collapsed="false">
      <c r="A7" s="6" t="s">
        <v>840</v>
      </c>
      <c r="B7" s="6" t="s">
        <v>29</v>
      </c>
      <c r="C7" s="6" t="s">
        <v>33</v>
      </c>
      <c r="D7" s="6" t="s">
        <v>841</v>
      </c>
      <c r="E7" s="6" t="s">
        <v>608</v>
      </c>
      <c r="F7" s="12" t="n">
        <v>46313</v>
      </c>
      <c r="G7" s="12" t="n">
        <v>46320</v>
      </c>
      <c r="H7" s="6" t="s">
        <v>697</v>
      </c>
      <c r="I7" s="12" t="n">
        <v>46320</v>
      </c>
      <c r="J7" s="6" t="s">
        <v>729</v>
      </c>
      <c r="K7" s="14" t="s">
        <v>99</v>
      </c>
    </row>
    <row r="8" customFormat="false" ht="26.85" hidden="false" customHeight="false" outlineLevel="0" collapsed="false">
      <c r="A8" s="6" t="s">
        <v>842</v>
      </c>
      <c r="B8" s="6" t="s">
        <v>57</v>
      </c>
      <c r="C8" s="6" t="s">
        <v>63</v>
      </c>
      <c r="D8" s="6" t="s">
        <v>843</v>
      </c>
      <c r="E8" s="6" t="s">
        <v>614</v>
      </c>
      <c r="F8" s="12" t="n">
        <v>46298</v>
      </c>
      <c r="G8" s="12" t="n">
        <v>46305</v>
      </c>
      <c r="H8" s="6" t="s">
        <v>697</v>
      </c>
      <c r="I8" s="12" t="n">
        <v>46307</v>
      </c>
      <c r="J8" s="6" t="s">
        <v>844</v>
      </c>
      <c r="K8" s="14" t="s">
        <v>130</v>
      </c>
    </row>
    <row r="9" customFormat="false" ht="26.85" hidden="false" customHeight="false" outlineLevel="0" collapsed="false">
      <c r="A9" s="6" t="s">
        <v>845</v>
      </c>
      <c r="B9" s="6" t="s">
        <v>39</v>
      </c>
      <c r="C9" s="6" t="s">
        <v>42</v>
      </c>
      <c r="D9" s="6" t="s">
        <v>846</v>
      </c>
      <c r="E9" s="6" t="s">
        <v>693</v>
      </c>
      <c r="F9" s="12" t="n">
        <v>46304</v>
      </c>
      <c r="G9" s="12" t="n">
        <v>46315</v>
      </c>
      <c r="H9" s="6" t="s">
        <v>847</v>
      </c>
      <c r="I9" s="12"/>
      <c r="J9" s="6" t="s">
        <v>848</v>
      </c>
      <c r="K9" s="14" t="s">
        <v>144</v>
      </c>
    </row>
    <row r="10" customFormat="false" ht="26.85" hidden="false" customHeight="false" outlineLevel="0" collapsed="false">
      <c r="A10" s="6" t="s">
        <v>849</v>
      </c>
      <c r="B10" s="6" t="s">
        <v>66</v>
      </c>
      <c r="C10" s="6" t="s">
        <v>51</v>
      </c>
      <c r="D10" s="6" t="s">
        <v>850</v>
      </c>
      <c r="E10" s="6" t="s">
        <v>619</v>
      </c>
      <c r="F10" s="12" t="n">
        <v>46314</v>
      </c>
      <c r="G10" s="12" t="n">
        <v>46315</v>
      </c>
      <c r="H10" s="6" t="s">
        <v>697</v>
      </c>
      <c r="I10" s="12" t="n">
        <v>46316</v>
      </c>
      <c r="J10" s="6" t="s">
        <v>729</v>
      </c>
      <c r="K10" s="14" t="s">
        <v>141</v>
      </c>
    </row>
    <row r="11" customFormat="false" ht="26.85" hidden="false" customHeight="false" outlineLevel="0" collapsed="false">
      <c r="A11" s="6" t="s">
        <v>851</v>
      </c>
      <c r="B11" s="6" t="s">
        <v>69</v>
      </c>
      <c r="C11" s="6" t="s">
        <v>29</v>
      </c>
      <c r="D11" s="6" t="s">
        <v>852</v>
      </c>
      <c r="E11" s="6" t="s">
        <v>614</v>
      </c>
      <c r="F11" s="12" t="n">
        <v>46307</v>
      </c>
      <c r="G11" s="12" t="n">
        <v>46311</v>
      </c>
      <c r="H11" s="6" t="s">
        <v>697</v>
      </c>
      <c r="I11" s="12" t="n">
        <v>46311</v>
      </c>
      <c r="J11" s="6" t="s">
        <v>832</v>
      </c>
      <c r="K11" s="14" t="s">
        <v>99</v>
      </c>
    </row>
  </sheetData>
  <autoFilter ref="A1:J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6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5" t="s">
        <v>94</v>
      </c>
      <c r="B1" s="5" t="s">
        <v>853</v>
      </c>
      <c r="C1" s="5" t="s">
        <v>854</v>
      </c>
      <c r="D1" s="5" t="s">
        <v>855</v>
      </c>
    </row>
    <row r="2" customFormat="false" ht="15" hidden="false" customHeight="false" outlineLevel="0" collapsed="false">
      <c r="A2" s="6" t="s">
        <v>856</v>
      </c>
      <c r="B2" s="6" t="s">
        <v>857</v>
      </c>
      <c r="C2" s="6" t="s">
        <v>858</v>
      </c>
      <c r="D2" s="19" t="n">
        <v>0.4</v>
      </c>
    </row>
    <row r="3" customFormat="false" ht="15" hidden="false" customHeight="false" outlineLevel="0" collapsed="false">
      <c r="A3" s="6" t="s">
        <v>859</v>
      </c>
      <c r="B3" s="6" t="s">
        <v>860</v>
      </c>
      <c r="C3" s="6" t="s">
        <v>861</v>
      </c>
      <c r="D3" s="19" t="n">
        <v>0.2</v>
      </c>
    </row>
    <row r="4" customFormat="false" ht="15" hidden="false" customHeight="false" outlineLevel="0" collapsed="false">
      <c r="A4" s="6" t="s">
        <v>862</v>
      </c>
      <c r="B4" s="6" t="s">
        <v>863</v>
      </c>
      <c r="C4" s="6" t="s">
        <v>864</v>
      </c>
      <c r="D4" s="19" t="n">
        <v>0.15</v>
      </c>
    </row>
    <row r="5" customFormat="false" ht="15" hidden="false" customHeight="false" outlineLevel="0" collapsed="false">
      <c r="A5" s="6" t="s">
        <v>865</v>
      </c>
      <c r="B5" s="6" t="s">
        <v>866</v>
      </c>
      <c r="C5" s="6" t="s">
        <v>867</v>
      </c>
      <c r="D5" s="19" t="n">
        <v>0.15</v>
      </c>
    </row>
    <row r="6" customFormat="false" ht="15" hidden="false" customHeight="false" outlineLevel="0" collapsed="false">
      <c r="A6" s="6" t="s">
        <v>868</v>
      </c>
      <c r="B6" s="6" t="s">
        <v>869</v>
      </c>
      <c r="C6" s="6" t="s">
        <v>870</v>
      </c>
      <c r="D6" s="19" t="n">
        <v>0.1</v>
      </c>
    </row>
    <row r="7" customFormat="false" ht="15" hidden="false" customHeight="false" outlineLevel="0" collapsed="false">
      <c r="C7" s="7" t="s">
        <v>871</v>
      </c>
      <c r="D7" s="20" t="n">
        <f aca="false">SUM(D2:D6)</f>
        <v>1</v>
      </c>
    </row>
    <row r="9" customFormat="false" ht="15" hidden="false" customHeight="false" outlineLevel="0" collapsed="false">
      <c r="A9" s="7" t="s">
        <v>872</v>
      </c>
    </row>
    <row r="10" customFormat="false" ht="15" hidden="false" customHeight="false" outlineLevel="0" collapsed="false">
      <c r="A10" s="17" t="s">
        <v>619</v>
      </c>
      <c r="B10" s="21" t="n">
        <v>3</v>
      </c>
    </row>
    <row r="11" customFormat="false" ht="15" hidden="false" customHeight="false" outlineLevel="0" collapsed="false">
      <c r="A11" s="17" t="s">
        <v>608</v>
      </c>
      <c r="B11" s="21" t="n">
        <v>2</v>
      </c>
    </row>
    <row r="12" customFormat="false" ht="15" hidden="false" customHeight="false" outlineLevel="0" collapsed="false">
      <c r="A12" s="17" t="s">
        <v>614</v>
      </c>
      <c r="B12" s="21" t="n">
        <v>1</v>
      </c>
    </row>
    <row r="13" customFormat="false" ht="15" hidden="false" customHeight="false" outlineLevel="0" collapsed="false">
      <c r="A13" s="17" t="s">
        <v>693</v>
      </c>
      <c r="B13" s="21" t="n">
        <v>1</v>
      </c>
    </row>
    <row r="15" customFormat="false" ht="15" hidden="false" customHeight="false" outlineLevel="0" collapsed="false">
      <c r="A15" s="7" t="s">
        <v>873</v>
      </c>
    </row>
    <row r="16" customFormat="false" ht="15" hidden="false" customHeight="false" outlineLevel="0" collapsed="false">
      <c r="A16" s="17" t="s">
        <v>874</v>
      </c>
      <c r="B16" s="17" t="s">
        <v>875</v>
      </c>
      <c r="C16" s="17" t="s">
        <v>876</v>
      </c>
    </row>
    <row r="17" customFormat="false" ht="15" hidden="false" customHeight="false" outlineLevel="0" collapsed="false">
      <c r="A17" s="17" t="s">
        <v>877</v>
      </c>
      <c r="B17" s="17" t="s">
        <v>878</v>
      </c>
      <c r="C17" s="17" t="s">
        <v>879</v>
      </c>
    </row>
    <row r="18" customFormat="false" ht="15" hidden="false" customHeight="false" outlineLevel="0" collapsed="false">
      <c r="A18" s="17" t="s">
        <v>880</v>
      </c>
      <c r="B18" s="17" t="s">
        <v>881</v>
      </c>
      <c r="C18" s="17" t="s">
        <v>882</v>
      </c>
    </row>
    <row r="19" customFormat="false" ht="15" hidden="false" customHeight="false" outlineLevel="0" collapsed="false">
      <c r="A19" s="17" t="s">
        <v>883</v>
      </c>
      <c r="B19" s="17" t="s">
        <v>619</v>
      </c>
      <c r="C19" s="17" t="s">
        <v>884</v>
      </c>
    </row>
    <row r="21" customFormat="false" ht="15" hidden="false" customHeight="false" outlineLevel="0" collapsed="false">
      <c r="A21" s="9" t="s">
        <v>885</v>
      </c>
    </row>
    <row r="22" customFormat="false" ht="15" hidden="false" customHeight="false" outlineLevel="0" collapsed="false">
      <c r="A22" s="9" t="s">
        <v>886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5" t="s">
        <v>887</v>
      </c>
      <c r="B1" s="5" t="s">
        <v>888</v>
      </c>
      <c r="C1" s="5" t="s">
        <v>889</v>
      </c>
    </row>
    <row r="2" customFormat="false" ht="15" hidden="false" customHeight="false" outlineLevel="0" collapsed="false">
      <c r="A2" s="6" t="s">
        <v>890</v>
      </c>
      <c r="B2" s="6" t="s">
        <v>891</v>
      </c>
      <c r="C2" s="6" t="s">
        <v>892</v>
      </c>
    </row>
    <row r="3" customFormat="false" ht="15" hidden="false" customHeight="false" outlineLevel="0" collapsed="false">
      <c r="A3" s="6" t="s">
        <v>893</v>
      </c>
      <c r="B3" s="6" t="s">
        <v>93</v>
      </c>
      <c r="C3" s="6" t="s">
        <v>894</v>
      </c>
    </row>
    <row r="4" customFormat="false" ht="15" hidden="false" customHeight="false" outlineLevel="0" collapsed="false">
      <c r="A4" s="6" t="s">
        <v>895</v>
      </c>
      <c r="B4" s="6" t="s">
        <v>896</v>
      </c>
      <c r="C4" s="6" t="s">
        <v>556</v>
      </c>
    </row>
    <row r="5" customFormat="false" ht="15" hidden="false" customHeight="false" outlineLevel="0" collapsed="false">
      <c r="A5" s="6" t="s">
        <v>897</v>
      </c>
      <c r="B5" s="6" t="s">
        <v>556</v>
      </c>
      <c r="C5" s="6" t="s">
        <v>898</v>
      </c>
    </row>
    <row r="6" customFormat="false" ht="15" hidden="false" customHeight="false" outlineLevel="0" collapsed="false">
      <c r="A6" s="6" t="s">
        <v>899</v>
      </c>
      <c r="B6" s="6" t="s">
        <v>898</v>
      </c>
      <c r="C6" s="6" t="s">
        <v>900</v>
      </c>
    </row>
    <row r="7" customFormat="false" ht="26.85" hidden="false" customHeight="false" outlineLevel="0" collapsed="false">
      <c r="A7" s="6" t="s">
        <v>901</v>
      </c>
      <c r="B7" s="6" t="s">
        <v>902</v>
      </c>
      <c r="C7" s="6" t="s">
        <v>903</v>
      </c>
    </row>
    <row r="8" customFormat="false" ht="15" hidden="false" customHeight="false" outlineLevel="0" collapsed="false">
      <c r="A8" s="6" t="s">
        <v>904</v>
      </c>
      <c r="B8" s="6" t="s">
        <v>905</v>
      </c>
      <c r="C8" s="6" t="s">
        <v>556</v>
      </c>
    </row>
    <row r="10" customFormat="false" ht="15" hidden="false" customHeight="false" outlineLevel="0" collapsed="false">
      <c r="A10" s="9" t="s">
        <v>906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36"/>
  </cols>
  <sheetData>
    <row r="1" customFormat="false" ht="26.85" hidden="false" customHeight="false" outlineLevel="0" collapsed="false">
      <c r="A1" s="5" t="s">
        <v>907</v>
      </c>
      <c r="B1" s="5" t="s">
        <v>908</v>
      </c>
      <c r="C1" s="5" t="s">
        <v>909</v>
      </c>
    </row>
    <row r="2" customFormat="false" ht="15" hidden="false" customHeight="false" outlineLevel="0" collapsed="false">
      <c r="A2" s="12" t="n">
        <v>46297</v>
      </c>
      <c r="B2" s="6" t="s">
        <v>910</v>
      </c>
      <c r="C2" s="6" t="s">
        <v>567</v>
      </c>
    </row>
    <row r="3" customFormat="false" ht="15" hidden="false" customHeight="false" outlineLevel="0" collapsed="false">
      <c r="A3" s="12" t="n">
        <v>46315</v>
      </c>
      <c r="B3" s="6" t="s">
        <v>911</v>
      </c>
      <c r="C3" s="6" t="s">
        <v>567</v>
      </c>
    </row>
    <row r="4" customFormat="false" ht="15" hidden="false" customHeight="false" outlineLevel="0" collapsed="false">
      <c r="A4" s="12" t="n">
        <v>46334</v>
      </c>
      <c r="B4" s="6" t="s">
        <v>912</v>
      </c>
      <c r="C4" s="6" t="s">
        <v>567</v>
      </c>
    </row>
    <row r="5" customFormat="false" ht="15" hidden="false" customHeight="false" outlineLevel="0" collapsed="false">
      <c r="A5" s="12" t="n">
        <v>46381</v>
      </c>
      <c r="B5" s="6" t="s">
        <v>913</v>
      </c>
      <c r="C5" s="6" t="s">
        <v>166</v>
      </c>
    </row>
    <row r="6" customFormat="false" ht="15" hidden="false" customHeight="false" outlineLevel="0" collapsed="false">
      <c r="A6" s="12" t="n">
        <v>46402</v>
      </c>
      <c r="B6" s="6" t="s">
        <v>914</v>
      </c>
      <c r="C6" s="6" t="s">
        <v>567</v>
      </c>
    </row>
    <row r="7" customFormat="false" ht="15" hidden="false" customHeight="false" outlineLevel="0" collapsed="false">
      <c r="A7" s="12" t="n">
        <v>46413</v>
      </c>
      <c r="B7" s="6" t="s">
        <v>915</v>
      </c>
      <c r="C7" s="6" t="s">
        <v>567</v>
      </c>
    </row>
    <row r="9" customFormat="false" ht="15" hidden="false" customHeight="false" outlineLevel="0" collapsed="false">
      <c r="A9" s="9" t="s">
        <v>916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2026-10-22T18:46:10Z</dcterms:created>
  <dc:creator>openpyxl</dc:creator>
  <dc:description/>
  <dc:language>en-US</dc:language>
  <cp:lastModifiedBy/>
  <dcterms:modified xsi:type="dcterms:W3CDTF">2026-10-22T18:46:10Z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