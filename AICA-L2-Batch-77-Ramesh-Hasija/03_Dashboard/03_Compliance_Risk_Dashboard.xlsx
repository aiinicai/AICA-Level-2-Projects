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bdf0b5dade415c" /></Relationships>
</file>

<file path=xl/workbook.xml><?xml version="1.0" encoding="utf-8"?>
<x:workbook xmlns:x="http://schemas.openxmlformats.org/spreadsheetml/2006/main">
  <x:sheets>
    <x:sheet xmlns:r="http://schemas.openxmlformats.org/officeDocument/2006/relationships" name="Dashboard" sheetId="1" r:id="R78a270849a9a4521"/>
    <x:sheet xmlns:r="http://schemas.openxmlformats.org/officeDocument/2006/relationships" name="Notice_Data" sheetId="2" r:id="R040a40f3c82a404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m-yyyy"/>
  </x:numFmts>
  <x:fonts count="5">
    <x:font>
      <x:sz val="11"/>
      <x:name val="Carlito"/>
    </x:font>
    <x:font>
      <x:b/>
      <x:sz val="11"/>
      <x:color rgb="FFFFFFFF"/>
      <x:name val="Carlito"/>
    </x:font>
    <x:font>
      <x:b/>
      <x:sz val="16"/>
      <x:color rgb="FFFFFFFF"/>
      <x:name val="Carlito"/>
    </x:font>
    <x:font>
      <x:b/>
      <x:sz val="11"/>
      <x:name val="Carlito"/>
    </x:font>
    <x:font>
      <x:b/>
      <x:sz val="16"/>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AF2F8"/>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200" fontId="4" fillId="5" borderId="0" xfId="0" applyNumberFormat="1" applyFont="1" applyFill="1" applyBorder="1" applyAlignment="1">
      <x:alignment horizontal="center"/>
    </x:xf>
    <x:xf numFmtId="200" fontId="4" fillId="5" borderId="1" xfId="0" applyNumberFormat="1" applyFont="1" applyFill="1" applyBorder="1" applyAlignment="1">
      <x:alignment horizont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2">
    <x:dxf>
      <x:font>
        <x:b/>
      </x:font>
      <x:fill>
        <x:patternFill patternType="solid">
          <x:bgColor rgb="FFF4CC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f0f40bcdb04223" /><Relationship Type="http://schemas.openxmlformats.org/officeDocument/2006/relationships/theme" Target="/xl/theme/theme1.xml" Id="R6cd7fd6de6ff41c2" /><Relationship Type="http://schemas.openxmlformats.org/officeDocument/2006/relationships/sharedStrings" Target="/xl/sharedStrings.xml" Id="R7866c324ba04441f" /><Relationship Type="http://schemas.openxmlformats.org/officeDocument/2006/relationships/worksheet" Target="/xl/worksheets/sheet1.xml" Id="R78a270849a9a4521" /><Relationship Type="http://schemas.openxmlformats.org/officeDocument/2006/relationships/worksheet" Target="/xl/worksheets/sheet2.xml" Id="R040a40f3c82a4041" /></Relationships>
</file>

<file path=xl/drawings/_rels/drawing1.xml.rels>&#65279;<?xml version="1.0" encoding="utf-8"?><Relationships xmlns="http://schemas.openxmlformats.org/package/2006/relationships"><Relationship Type="http://schemas.openxmlformats.org/officeDocument/2006/relationships/chart" Target="/xl/drawings/charts/chart1.xml" Id="R1267f67c71a943c4" /><Relationship Type="http://schemas.openxmlformats.org/officeDocument/2006/relationships/chart" Target="/xl/drawings/charts/chart2.xml" Id="R301ce1174dec442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Notices by Risk Level</a:t>
            </a:r>
          </a:p>
        </c:rich>
      </c:tx>
    </c:title>
    <c:plotArea>
      <c:barChart>
        <c:barDir val="col"/>
        <c:grouping val="clustered"/>
        <c:varyColors val="0"/>
        <c:ser>
          <c:idx val="0"/>
          <c:order val="0"/>
          <c:tx>
            <c:v>Count</c:v>
          </c:tx>
          <c:cat>
            <c:strRef>
              <c:f>'Dashboard'!$A$11:$A$13</c:f>
              <c:strCache>
                <c:ptCount val="0"/>
              </c:strCache>
            </c:strRef>
          </c:cat>
          <c:val>
            <c:numRef>
              <c:f>'Dashboard'!$B$11:$B$13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Notice Status</a:t>
            </a:r>
          </a:p>
        </c:rich>
      </c:tx>
    </c:title>
    <c:plotArea>
      <c:pieChart>
        <c:ser>
          <c:idx val="0"/>
          <c:order val="0"/>
          <c:tx>
            <c:v>Count</c:v>
          </c:tx>
          <c:cat>
            <c:strRef>
              <c:f>'Dashboard'!$D$11:$D$14</c:f>
              <c:strCache>
                <c:ptCount val="0"/>
              </c:strCache>
            </c:strRef>
          </c:cat>
          <c:val>
            <c:numRef>
              <c:f>'Dashboard'!$E$11:$E$14</c:f>
              <c:numCache>
                <c:formatCode>General</c:formatCode>
                <c:ptCount val="0"/>
              </c:numCache>
            </c:numRef>
          </c:val>
        </c:ser>
      </c:pie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8</xdr:row>
      <xdr:rowOff>0</xdr:rowOff>
    </xdr:from>
    <xdr:to>
      <xdr:col>12</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67f67c71a943c4"/>
        </a:graphicData>
      </a:graphic>
    </xdr:graphicFrame>
    <xdr:clientData/>
  </xdr:twoCellAnchor>
  <xdr:twoCellAnchor>
    <xdr:from>
      <xdr:col>6</xdr:col>
      <xdr:colOff>0</xdr:colOff>
      <xdr:row>15</xdr:row>
      <xdr:rowOff>0</xdr:rowOff>
    </xdr:from>
    <xdr:to>
      <xdr:col>12</xdr:col>
      <xdr:colOff>0</xdr:colOff>
      <xdr:row>26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01ce1174dec4421"/>
        </a:graphicData>
      </a:graphic>
    </xdr:graphicFrame>
    <xdr:clientData/>
  </xdr:twoCellAnchor>
</xdr:wsDr>
</file>

<file path=xl/tables/table1.xml><?xml version="1.0" encoding="utf-8"?>
<x:table xmlns:x="http://schemas.openxmlformats.org/spreadsheetml/2006/main" id="1" name="NoticeDataTable" displayName="NoticeDataTable" ref="A1:J7" headerRowCount="1" totalsRowCount="0" totalsRowShown="0">
  <x:tableColumns count="10">
    <x:tableColumn id="1" name="Notice ID"/>
    <x:tableColumn id="2" name="Entity"/>
    <x:tableColumn id="3" name="Notice Type"/>
    <x:tableColumn id="4" name="Department"/>
    <x:tableColumn id="5" name="Issue"/>
    <x:tableColumn id="6" name="Amount (Rs.)"/>
    <x:tableColumn id="7" name="Due Date"/>
    <x:tableColumn id="8" name="Risk"/>
    <x:tableColumn id="9" name="Status"/>
    <x:tableColumn id="10" name="Action Requir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4cd8027eb6c4329" /></Relationships>
</file>

<file path=xl/worksheets/_rels/sheet2.xml.rels>&#65279;<?xml version="1.0" encoding="utf-8"?><Relationships xmlns="http://schemas.openxmlformats.org/package/2006/relationships"><Relationship Type="http://schemas.openxmlformats.org/officeDocument/2006/relationships/table" Target="/xl/tables/table1.xml" Id="R180cea8514d147db" /></Relationships>
</file>

<file path=xl/worksheets/sheet1.xml><?xml version="1.0" encoding="utf-8"?>
<x:worksheet xmlns:x="http://schemas.openxmlformats.org/spreadsheetml/2006/main">
  <x:sheetFormatPr defaultRowHeight="15"/>
  <x:cols>
    <x:col min="1" max="1" width="13" hidden="0" customWidth="1"/>
    <x:col min="2" max="2" width="18" hidden="0" customWidth="1"/>
    <x:col min="3" max="3" width="20" hidden="0" customWidth="1"/>
    <x:col min="4" max="4" width="16" hidden="0" customWidth="1"/>
    <x:col min="5" max="5" width="14" hidden="0" customWidth="1"/>
    <x:col min="6" max="6" width="16" hidden="0" customWidth="1"/>
    <x:col min="7" max="7" width="16" hidden="0" customWidth="1"/>
    <x:col min="8" max="8" width="30" hidden="0" customWidth="1"/>
  </x:cols>
  <x:sheetData>
    <x:row r="1">
      <x:c r="A1" s="18" t="str">
        <x:v>CA STATUTORY COMPLIANCE &amp; NOTICE INTELLIGENCE ASSISTANT</x:v>
      </x:c>
      <x:c r="B1" s="18"/>
      <x:c r="C1" s="18"/>
      <x:c r="D1" s="18"/>
      <x:c r="E1" s="18"/>
      <x:c r="F1" s="18"/>
      <x:c r="G1" s="18"/>
      <x:c r="H1" s="18"/>
    </x:row>
    <x:row r="2">
      <x:c r="A2" s="18"/>
      <x:c r="B2" s="18"/>
      <x:c r="C2" s="18"/>
      <x:c r="D2" s="18"/>
      <x:c r="E2" s="18"/>
      <x:c r="F2" s="18"/>
      <x:c r="G2" s="18"/>
      <x:c r="H2" s="18"/>
    </x:row>
    <x:row r="3">
      <x:c r="A3" s="24" t="str">
        <x:v>AICA Level-2 Capstone | Compliance Risk Dashboard | Prepared by CA R C Hasija</x:v>
      </x:c>
      <x:c r="B3" s="24"/>
      <x:c r="C3" s="24"/>
      <x:c r="D3" s="24"/>
      <x:c r="E3" s="24"/>
      <x:c r="F3" s="24"/>
      <x:c r="G3" s="24"/>
      <x:c r="H3" s="24"/>
    </x:row>
    <x:row r="5">
      <x:c r="A5" s="30" t="str">
        <x:v>Total Notices</x:v>
      </x:c>
      <x:c r="B5" s="30"/>
      <x:c r="C5" s="30" t="str">
        <x:v>High Risk</x:v>
      </x:c>
      <x:c r="D5" s="30"/>
      <x:c r="E5" s="30" t="str">
        <x:v>Pending</x:v>
      </x:c>
      <x:c r="F5" s="30"/>
      <x:c r="G5" s="30" t="str">
        <x:v>Amount at Risk (Rs.)</x:v>
      </x:c>
      <x:c r="H5" s="30"/>
    </x:row>
    <x:row r="6">
      <x:c r="A6" s="36" t="n">
        <x:f>COUNTA(Notice_Data!A2:A7)</x:f>
        <x:v>6</x:v>
      </x:c>
      <x:c r="B6" s="36"/>
      <x:c r="C6" s="36" t="n">
        <x:f>COUNTIF(Notice_Data!H2:H7,"High")</x:f>
        <x:v>2</x:v>
      </x:c>
      <x:c r="D6" s="36"/>
      <x:c r="E6" s="36" t="n">
        <x:f>COUNTIF(Notice_Data!I2:I7,"Pending")</x:f>
        <x:v>3</x:v>
      </x:c>
      <x:c r="F6" s="36"/>
      <x:c r="G6" s="40" t="n">
        <x:f>SUM(Notice_Data!F2:F7)</x:f>
        <x:v>965000</x:v>
      </x:c>
      <x:c r="H6" s="36"/>
    </x:row>
    <x:row r="7">
      <x:c r="A7" s="36"/>
      <x:c r="B7" s="36"/>
      <x:c r="C7" s="36"/>
      <x:c r="D7" s="36"/>
      <x:c r="E7" s="36"/>
      <x:c r="F7" s="36"/>
      <x:c r="G7" s="36"/>
      <x:c r="H7" s="36"/>
    </x:row>
    <x:row r="10">
      <x:c r="A10" s="3" t="str">
        <x:v>Risk Level</x:v>
      </x:c>
      <x:c r="B10" s="3" t="str">
        <x:v>Count</x:v>
      </x:c>
      <x:c r="D10" s="3" t="str">
        <x:v>Status</x:v>
      </x:c>
      <x:c r="E10" s="3" t="str">
        <x:v>Count</x:v>
      </x:c>
    </x:row>
    <x:row r="11">
      <x:c r="A11" t="str">
        <x:v>High</x:v>
      </x:c>
      <x:c r="B11" t="n">
        <x:f>COUNTIF(Notice_Data!H2:H7,"High")</x:f>
        <x:v>2</x:v>
      </x:c>
      <x:c r="D11" t="str">
        <x:v>Pending</x:v>
      </x:c>
      <x:c r="E11" t="n">
        <x:f>COUNTIF(Notice_Data!I2:I7,"Pending")</x:f>
        <x:v>3</x:v>
      </x:c>
    </x:row>
    <x:row r="12">
      <x:c r="A12" t="str">
        <x:v>Medium</x:v>
      </x:c>
      <x:c r="B12" t="n">
        <x:f>COUNTIF(Notice_Data!H2:H7,"Medium")</x:f>
        <x:v>3</x:v>
      </x:c>
      <x:c r="D12" t="str">
        <x:v>Under Review</x:v>
      </x:c>
      <x:c r="E12" t="n">
        <x:f>COUNTIF(Notice_Data!I2:I7,"Under Review")</x:f>
        <x:v>1</x:v>
      </x:c>
    </x:row>
    <x:row r="13">
      <x:c r="A13" t="str">
        <x:v>Low</x:v>
      </x:c>
      <x:c r="B13" t="n">
        <x:f>COUNTIF(Notice_Data!H2:H7,"Low")</x:f>
        <x:v>1</x:v>
      </x:c>
      <x:c r="D13" t="str">
        <x:v>In Progress</x:v>
      </x:c>
      <x:c r="E13" t="n">
        <x:f>COUNTIF(Notice_Data!I2:I7,"In Progress")</x:f>
        <x:v>1</x:v>
      </x:c>
    </x:row>
    <x:row r="14">
      <x:c r="D14" t="str">
        <x:v>Draft Ready</x:v>
      </x:c>
      <x:c r="E14" t="n">
        <x:f>COUNTIF(Notice_Data!I2:I7,"Draft Ready")</x:f>
        <x:v>1</x:v>
      </x:c>
    </x:row>
    <x:row r="16">
      <x:c r="A16" s="42" t="str">
        <x:v>Priority Action View</x:v>
      </x:c>
      <x:c r="B16" s="42"/>
      <x:c r="C16" s="42"/>
      <x:c r="D16" s="42"/>
      <x:c r="E16" s="42"/>
      <x:c r="F16" s="42"/>
      <x:c r="G16" s="42"/>
      <x:c r="H16" s="42"/>
    </x:row>
    <x:row r="17">
      <x:c r="A17" s="44" t="str">
        <x:v>Notice ID</x:v>
      </x:c>
      <x:c r="B17" s="44" t="str">
        <x:v>Entity</x:v>
      </x:c>
      <x:c r="C17" s="44" t="str">
        <x:v>Type</x:v>
      </x:c>
      <x:c r="D17" s="44" t="str">
        <x:v>Due Date</x:v>
      </x:c>
      <x:c r="E17" s="44" t="str">
        <x:v>Risk</x:v>
      </x:c>
      <x:c r="F17" s="44" t="str">
        <x:v>Status</x:v>
      </x:c>
      <x:c r="G17" s="44" t="str">
        <x:v>Amount (Rs.)</x:v>
      </x:c>
      <x:c r="H17" s="44" t="str">
        <x:v>Action</x:v>
      </x:c>
    </x:row>
    <x:row r="18">
      <x:c r="A18" s="10" t="str">
        <x:v>N002</x:v>
      </x:c>
      <x:c r="B18" s="10" t="str">
        <x:v>XYZ Ltd</x:v>
      </x:c>
      <x:c r="C18" s="10" t="str">
        <x:v>Income Tax Notice</x:v>
      </x:c>
      <x:c r="D18" s="14" t="n">
        <x:v>46256</x:v>
      </x:c>
      <x:c r="E18" s="10" t="str">
        <x:v>High</x:v>
      </x:c>
      <x:c r="F18" s="10" t="str">
        <x:v>Pending</x:v>
      </x:c>
      <x:c r="G18" s="12" t="n">
        <x:v>185000</x:v>
      </x:c>
      <x:c r="H18" s="10" t="str">
        <x:v>Verify challans and reply</x:v>
      </x:c>
    </x:row>
    <x:row r="19">
      <x:c r="A19" s="10" t="str">
        <x:v>N001</x:v>
      </x:c>
      <x:c r="B19" s="10" t="str">
        <x:v>ABC Pvt Ltd</x:v>
      </x:c>
      <x:c r="C19" s="10" t="str">
        <x:v>GST ASMT-10</x:v>
      </x:c>
      <x:c r="D19" s="14" t="n">
        <x:v>46262</x:v>
      </x:c>
      <x:c r="E19" s="10" t="str">
        <x:v>Medium</x:v>
      </x:c>
      <x:c r="F19" s="10" t="str">
        <x:v>Under Review</x:v>
      </x:c>
      <x:c r="G19" s="12" t="n">
        <x:v>240000</x:v>
      </x:c>
      <x:c r="H19" s="10" t="str">
        <x:v>Prepare reconciliation</x:v>
      </x:c>
    </x:row>
    <x:row r="20">
      <x:c r="A20" s="10" t="str">
        <x:v>N005</x:v>
      </x:c>
      <x:c r="B20" s="10" t="str">
        <x:v>DEF Ltd</x:v>
      </x:c>
      <x:c r="C20" s="10" t="str">
        <x:v>Income Tax Notice</x:v>
      </x:c>
      <x:c r="D20" s="14" t="n">
        <x:v>46265</x:v>
      </x:c>
      <x:c r="E20" s="10" t="str">
        <x:v>Medium</x:v>
      </x:c>
      <x:c r="F20" s="10" t="str">
        <x:v>Draft Ready</x:v>
      </x:c>
      <x:c r="G20" s="12" t="n">
        <x:v>95000</x:v>
      </x:c>
      <x:c r="H20" s="10" t="str">
        <x:v>Final CA review</x:v>
      </x:c>
    </x:row>
    <x:row r="21">
      <x:c r="A21" s="10" t="str">
        <x:v>N003</x:v>
      </x:c>
      <x:c r="B21" s="10" t="str">
        <x:v>PQR LLP</x:v>
      </x:c>
      <x:c r="C21" s="10" t="str">
        <x:v>GST DRC-01A</x:v>
      </x:c>
      <x:c r="D21" s="14" t="n">
        <x:v>46270</x:v>
      </x:c>
      <x:c r="E21" s="10" t="str">
        <x:v>High</x:v>
      </x:c>
      <x:c r="F21" s="10" t="str">
        <x:v>Pending</x:v>
      </x:c>
      <x:c r="G21" s="12" t="n">
        <x:v>320000</x:v>
      </x:c>
      <x:c r="H21" s="10" t="str">
        <x:v>Reconcile ITC and documents</x:v>
      </x:c>
    </x:row>
    <x:row r="24">
      <x:c r="A24" s="3" t="str">
        <x:v>Capstone Note</x:v>
      </x:c>
      <x:c r="B24" s="3"/>
      <x:c r="C24" s="3"/>
      <x:c r="D24" s="3"/>
      <x:c r="E24" s="3"/>
      <x:c r="F24" s="3"/>
    </x:row>
    <x:row r="25">
      <x:c r="A25" s="46" t="str">
        <x:v>Dummy data only. This dashboard converts AI-extracted notice information into risk indicators, deadlines and action priorities. Final statutory interpretation and filing remain subject to CA verification. Future workflow automation may connect email, documents, AI analysis and reminders through tools such as n8n.</x:v>
      </x:c>
      <x:c r="B25" s="46"/>
      <x:c r="C25" s="46"/>
      <x:c r="D25" s="46"/>
      <x:c r="E25" s="46"/>
      <x:c r="F25" s="46"/>
    </x:row>
    <x:row r="26">
      <x:c r="A26" s="46"/>
      <x:c r="B26" s="46"/>
      <x:c r="C26" s="46"/>
      <x:c r="D26" s="46"/>
      <x:c r="E26" s="46"/>
      <x:c r="F26" s="46"/>
    </x:row>
    <x:row r="27">
      <x:c r="A27" s="46"/>
      <x:c r="B27" s="46"/>
      <x:c r="C27" s="46"/>
      <x:c r="D27" s="46"/>
      <x:c r="E27" s="46"/>
      <x:c r="F27" s="46"/>
    </x:row>
    <x:row r="28">
      <x:c r="A28" s="46"/>
      <x:c r="B28" s="46"/>
      <x:c r="C28" s="46"/>
      <x:c r="D28" s="46"/>
      <x:c r="E28" s="46"/>
      <x:c r="F28" s="46"/>
    </x:row>
  </x:sheetData>
  <x:mergeCells>
    <x:mergeCell ref="A1:H2"/>
    <x:mergeCell ref="A3:H3"/>
    <x:mergeCell ref="A5:B5"/>
    <x:mergeCell ref="A6:B7"/>
    <x:mergeCell ref="C5:D5"/>
    <x:mergeCell ref="C6:D7"/>
    <x:mergeCell ref="E5:F5"/>
    <x:mergeCell ref="E6:F7"/>
    <x:mergeCell ref="G5:H5"/>
    <x:mergeCell ref="G6:H7"/>
    <x:mergeCell ref="A16:H16"/>
    <x:mergeCell ref="A24:F24"/>
    <x:mergeCell ref="A25:F28"/>
  </x:mergeCells>
  <x:conditionalFormatting sqref="E18:E21">
    <x:cfRule type="expression" dxfId="0" priority="1">
      <x:formula>E18="High"</x:formula>
    </x:cfRule>
    <x:cfRule type="expression" dxfId="1" priority="2">
      <x:formula>E18="Medium"</x:formula>
    </x:cfRule>
  </x:conditionalFormatting>
  <x:pageMargins left="0.7" right="0.7" top="0.75" bottom="0.75" header="0.3" footer="0.3"/>
  <x:drawing xmlns:r="http://schemas.openxmlformats.org/officeDocument/2006/relationships" r:id="Rc4cd8027eb6c4329"/>
</x:worksheet>
</file>

<file path=xl/worksheets/sheet2.xml><?xml version="1.0" encoding="utf-8"?>
<x:worksheet xmlns:x="http://schemas.openxmlformats.org/spreadsheetml/2006/main">
  <x:sheetFormatPr defaultRowHeight="15"/>
  <x:cols>
    <x:col min="1" max="1" width="12" hidden="0" customWidth="1"/>
    <x:col min="2" max="2" width="18" hidden="0" customWidth="1"/>
    <x:col min="3" max="3" width="20" hidden="0" customWidth="1"/>
    <x:col min="4" max="4" width="15" hidden="0" customWidth="1"/>
    <x:col min="5" max="5" width="30" hidden="0" customWidth="1"/>
    <x:col min="6" max="6" width="15" hidden="0" customWidth="1"/>
    <x:col min="7" max="7" width="15" hidden="0" customWidth="1"/>
    <x:col min="8" max="8" width="12" hidden="0" customWidth="1"/>
    <x:col min="9" max="9" width="16" hidden="0" customWidth="1"/>
    <x:col min="10" max="10" width="28" hidden="0" customWidth="1"/>
  </x:cols>
  <x:sheetData>
    <x:row r="1">
      <x:c r="A1" s="5" t="str">
        <x:v>Notice ID</x:v>
      </x:c>
      <x:c r="B1" s="5" t="str">
        <x:v>Entity</x:v>
      </x:c>
      <x:c r="C1" s="5" t="str">
        <x:v>Notice Type</x:v>
      </x:c>
      <x:c r="D1" s="5" t="str">
        <x:v>Department</x:v>
      </x:c>
      <x:c r="E1" s="5" t="str">
        <x:v>Issue</x:v>
      </x:c>
      <x:c r="F1" s="5" t="str">
        <x:v>Amount (Rs.)</x:v>
      </x:c>
      <x:c r="G1" s="5" t="str">
        <x:v>Due Date</x:v>
      </x:c>
      <x:c r="H1" s="5" t="str">
        <x:v>Risk</x:v>
      </x:c>
      <x:c r="I1" s="5" t="str">
        <x:v>Status</x:v>
      </x:c>
      <x:c r="J1" s="5" t="str">
        <x:v>Action Required</x:v>
      </x:c>
    </x:row>
    <x:row r="2">
      <x:c r="A2" s="10" t="str">
        <x:v>N001</x:v>
      </x:c>
      <x:c r="B2" s="10" t="str">
        <x:v>ABC Pvt Ltd</x:v>
      </x:c>
      <x:c r="C2" s="10" t="str">
        <x:v>GST ASMT-10</x:v>
      </x:c>
      <x:c r="D2" s="10" t="str">
        <x:v>GST</x:v>
      </x:c>
      <x:c r="E2" s="10" t="str">
        <x:v>GSTR-1 vs GSTR-3B mismatch</x:v>
      </x:c>
      <x:c r="F2" s="12" t="n">
        <x:v>240000</x:v>
      </x:c>
      <x:c r="G2" s="14" t="n">
        <x:v>46262</x:v>
      </x:c>
      <x:c r="H2" s="10" t="str">
        <x:v>Medium</x:v>
      </x:c>
      <x:c r="I2" s="10" t="str">
        <x:v>Under Review</x:v>
      </x:c>
      <x:c r="J2" s="10" t="str">
        <x:v>Prepare reconciliation</x:v>
      </x:c>
    </x:row>
    <x:row r="3">
      <x:c r="A3" s="10" t="str">
        <x:v>N002</x:v>
      </x:c>
      <x:c r="B3" s="10" t="str">
        <x:v>XYZ Ltd</x:v>
      </x:c>
      <x:c r="C3" s="10" t="str">
        <x:v>Income Tax Notice</x:v>
      </x:c>
      <x:c r="D3" s="10" t="str">
        <x:v>Income Tax</x:v>
      </x:c>
      <x:c r="E3" s="10" t="str">
        <x:v>TDS mismatch</x:v>
      </x:c>
      <x:c r="F3" s="12" t="n">
        <x:v>185000</x:v>
      </x:c>
      <x:c r="G3" s="14" t="n">
        <x:v>46256</x:v>
      </x:c>
      <x:c r="H3" s="10" t="str">
        <x:v>High</x:v>
      </x:c>
      <x:c r="I3" s="10" t="str">
        <x:v>Pending</x:v>
      </x:c>
      <x:c r="J3" s="10" t="str">
        <x:v>Verify challans and reply</x:v>
      </x:c>
    </x:row>
    <x:row r="4">
      <x:c r="A4" s="10" t="str">
        <x:v>N003</x:v>
      </x:c>
      <x:c r="B4" s="10" t="str">
        <x:v>PQR LLP</x:v>
      </x:c>
      <x:c r="C4" s="10" t="str">
        <x:v>GST DRC-01A</x:v>
      </x:c>
      <x:c r="D4" s="10" t="str">
        <x:v>GST</x:v>
      </x:c>
      <x:c r="E4" s="10" t="str">
        <x:v>ITC reconciliation</x:v>
      </x:c>
      <x:c r="F4" s="12" t="n">
        <x:v>320000</x:v>
      </x:c>
      <x:c r="G4" s="14" t="n">
        <x:v>46270</x:v>
      </x:c>
      <x:c r="H4" s="10" t="str">
        <x:v>High</x:v>
      </x:c>
      <x:c r="I4" s="10" t="str">
        <x:v>Pending</x:v>
      </x:c>
      <x:c r="J4" s="10" t="str">
        <x:v>Reconcile ITC and documents</x:v>
      </x:c>
    </x:row>
    <x:row r="5">
      <x:c r="A5" s="10" t="str">
        <x:v>N004</x:v>
      </x:c>
      <x:c r="B5" s="10" t="str">
        <x:v>LMN Pvt Ltd</x:v>
      </x:c>
      <x:c r="C5" s="10" t="str">
        <x:v>ROC Compliance</x:v>
      </x:c>
      <x:c r="D5" s="10" t="str">
        <x:v>MCA</x:v>
      </x:c>
      <x:c r="E5" s="10" t="str">
        <x:v>Annual filing follow-up</x:v>
      </x:c>
      <x:c r="F5" s="12" t="n">
        <x:v>0</x:v>
      </x:c>
      <x:c r="G5" s="14" t="n">
        <x:v>46295</x:v>
      </x:c>
      <x:c r="H5" s="10" t="str">
        <x:v>Low</x:v>
      </x:c>
      <x:c r="I5" s="10" t="str">
        <x:v>In Progress</x:v>
      </x:c>
      <x:c r="J5" s="10" t="str">
        <x:v>Complete filing checklist</x:v>
      </x:c>
    </x:row>
    <x:row r="6">
      <x:c r="A6" s="10" t="str">
        <x:v>N005</x:v>
      </x:c>
      <x:c r="B6" s="10" t="str">
        <x:v>DEF Ltd</x:v>
      </x:c>
      <x:c r="C6" s="10" t="str">
        <x:v>Income Tax Notice</x:v>
      </x:c>
      <x:c r="D6" s="10" t="str">
        <x:v>Income Tax</x:v>
      </x:c>
      <x:c r="E6" s="10" t="str">
        <x:v>AIS vs return variance</x:v>
      </x:c>
      <x:c r="F6" s="12" t="n">
        <x:v>95000</x:v>
      </x:c>
      <x:c r="G6" s="14" t="n">
        <x:v>46265</x:v>
      </x:c>
      <x:c r="H6" s="10" t="str">
        <x:v>Medium</x:v>
      </x:c>
      <x:c r="I6" s="10" t="str">
        <x:v>Draft Ready</x:v>
      </x:c>
      <x:c r="J6" s="10" t="str">
        <x:v>Final CA review</x:v>
      </x:c>
    </x:row>
    <x:row r="7">
      <x:c r="A7" s="10" t="str">
        <x:v>N006</x:v>
      </x:c>
      <x:c r="B7" s="10" t="str">
        <x:v>GHI Pvt Ltd</x:v>
      </x:c>
      <x:c r="C7" s="10" t="str">
        <x:v>GST Notice</x:v>
      </x:c>
      <x:c r="D7" s="10" t="str">
        <x:v>GST</x:v>
      </x:c>
      <x:c r="E7" s="10" t="str">
        <x:v>E-way bill variance</x:v>
      </x:c>
      <x:c r="F7" s="12" t="n">
        <x:v>125000</x:v>
      </x:c>
      <x:c r="G7" s="14" t="n">
        <x:v>46275</x:v>
      </x:c>
      <x:c r="H7" s="10" t="str">
        <x:v>Medium</x:v>
      </x:c>
      <x:c r="I7" s="10" t="str">
        <x:v>Pending</x:v>
      </x:c>
      <x:c r="J7" s="10" t="str">
        <x:v>Collect supporting records</x:v>
      </x:c>
    </x:row>
  </x:sheetData>
  <x:pageMargins left="0.7" right="0.7" top="0.75" bottom="0.75" header="0.3" footer="0.3"/>
  <x:tableParts count="1">
    <x:tablePart xmlns:r="http://schemas.openxmlformats.org/officeDocument/2006/relationships" r:id="R180cea8514d147db"/>
  </x:tableParts>
</x:worksheet>
</file>