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lient_Info" sheetId="1" state="visible" r:id="rId1"/>
    <sheet xmlns:r="http://schemas.openxmlformats.org/officeDocument/2006/relationships" name="02_Trial_Balance" sheetId="2" state="visible" r:id="rId2"/>
    <sheet xmlns:r="http://schemas.openxmlformats.org/officeDocument/2006/relationships" name="03_Mapping" sheetId="3" state="visible" r:id="rId3"/>
    <sheet xmlns:r="http://schemas.openxmlformats.org/officeDocument/2006/relationships" name="04_AR_Ageing" sheetId="4" state="visible" r:id="rId4"/>
    <sheet xmlns:r="http://schemas.openxmlformats.org/officeDocument/2006/relationships" name="05_AP_Ageing" sheetId="5" state="visible" r:id="rId5"/>
    <sheet xmlns:r="http://schemas.openxmlformats.org/officeDocument/2006/relationships" name="06_CWIP_Ageing" sheetId="6" state="visible" r:id="rId6"/>
    <sheet xmlns:r="http://schemas.openxmlformats.org/officeDocument/2006/relationships" name="07_Related_Party" sheetId="7" state="visible" r:id="rId7"/>
    <sheet xmlns:r="http://schemas.openxmlformats.org/officeDocument/2006/relationships" name="08_Borrowings" sheetId="8" state="visible" r:id="rId8"/>
    <sheet xmlns:r="http://schemas.openxmlformats.org/officeDocument/2006/relationships" name="09_Contingencies" sheetId="9" state="visible" r:id="rId9"/>
    <sheet xmlns:r="http://schemas.openxmlformats.org/officeDocument/2006/relationships" name="10_Balance_Sheet" sheetId="10" state="visible" r:id="rId10"/>
    <sheet xmlns:r="http://schemas.openxmlformats.org/officeDocument/2006/relationships" name="11_Profit_and_Loss" sheetId="11" state="visible" r:id="rId11"/>
    <sheet xmlns:r="http://schemas.openxmlformats.org/officeDocument/2006/relationships" name="12_Notes_Index" sheetId="12" state="visible" r:id="rId12"/>
    <sheet xmlns:r="http://schemas.openxmlformats.org/officeDocument/2006/relationships" name="13_Notes_to_Accounts" sheetId="13" state="visible" r:id="rId13"/>
    <sheet xmlns:r="http://schemas.openxmlformats.org/officeDocument/2006/relationships" name="14_Ratio_Analysis" sheetId="14" state="visible" r:id="rId14"/>
    <sheet xmlns:r="http://schemas.openxmlformats.org/officeDocument/2006/relationships" name="15_Validation_Checks" sheetId="15" state="visible" r:id="rId15"/>
    <sheet xmlns:r="http://schemas.openxmlformats.org/officeDocument/2006/relationships" name="16_Management_Queries" sheetId="16" state="visible" r:id="rId16"/>
  </sheets>
  <definedNames/>
  <calcPr calcId="124519" fullCalcOnLoad="1"/>
</workbook>
</file>

<file path=xl/styles.xml><?xml version="1.0" encoding="utf-8"?>
<styleSheet xmlns="http://schemas.openxmlformats.org/spreadsheetml/2006/main">
  <numFmts count="1">
    <numFmt numFmtId="164" formatCode="#,##0.00;(#,##0.00);&quot;-&quot;"/>
  </numFmts>
  <fonts count="6">
    <font>
      <name val="Calibri"/>
      <family val="2"/>
      <color theme="1"/>
      <sz val="11"/>
      <scheme val="minor"/>
    </font>
    <font>
      <name val="Calibri"/>
      <b val="1"/>
      <color rgb="00FFFFFF"/>
      <sz val="11"/>
    </font>
    <font>
      <name val="Calibri"/>
      <b val="1"/>
      <color rgb="000F172A"/>
      <sz val="11"/>
    </font>
    <font>
      <name val="Calibri"/>
      <b val="1"/>
      <color rgb="001B365D"/>
      <sz val="11"/>
    </font>
    <font>
      <name val="Calibri"/>
      <b val="1"/>
      <color rgb="0015803D"/>
      <sz val="10"/>
    </font>
    <font>
      <name val="Calibri"/>
      <b val="1"/>
      <color rgb="00B45309"/>
      <sz val="10"/>
    </font>
  </fonts>
  <fills count="8">
    <fill>
      <patternFill/>
    </fill>
    <fill>
      <patternFill patternType="gray125"/>
    </fill>
    <fill>
      <patternFill patternType="solid">
        <fgColor rgb="001B365D"/>
        <bgColor rgb="001B365D"/>
      </patternFill>
    </fill>
    <fill>
      <patternFill patternType="solid">
        <fgColor rgb="00EA580C"/>
        <bgColor rgb="00EA580C"/>
      </patternFill>
    </fill>
    <fill>
      <patternFill patternType="solid">
        <fgColor rgb="00F1F5F9"/>
        <bgColor rgb="00F1F5F9"/>
      </patternFill>
    </fill>
    <fill>
      <patternFill patternType="solid">
        <fgColor rgb="00FFF7ED"/>
        <bgColor rgb="00FFF7ED"/>
      </patternFill>
    </fill>
    <fill>
      <patternFill patternType="solid">
        <fgColor rgb="00DCFCE7"/>
        <bgColor rgb="00DCFCE7"/>
      </patternFill>
    </fill>
    <fill>
      <patternFill patternType="solid">
        <fgColor rgb="00FEF3C7"/>
        <bgColor rgb="00FEF3C7"/>
      </patternFill>
    </fill>
  </fills>
  <borders count="3">
    <border>
      <left/>
      <right/>
      <top/>
      <bottom/>
      <diagonal/>
    </border>
    <border>
      <top style="thin">
        <color rgb="00CBD5E1"/>
      </top>
      <bottom style="thin">
        <color rgb="001B365D"/>
      </bottom>
    </border>
    <border>
      <top style="thin">
        <color rgb="001B365D"/>
      </top>
      <bottom style="double">
        <color rgb="001B365D"/>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center"/>
    </xf>
    <xf numFmtId="164" fontId="0" fillId="0" borderId="0" applyAlignment="1" pivotButton="0" quotePrefix="0" xfId="0">
      <alignment horizontal="right" vertical="center"/>
    </xf>
    <xf numFmtId="0" fontId="1" fillId="3" borderId="0" applyAlignment="1" pivotButton="0" quotePrefix="0" xfId="0">
      <alignment vertical="center"/>
    </xf>
    <xf numFmtId="0" fontId="2" fillId="4" borderId="1" applyAlignment="1" pivotButton="0" quotePrefix="0" xfId="0">
      <alignment vertical="center"/>
    </xf>
    <xf numFmtId="164" fontId="2" fillId="4" borderId="1" applyAlignment="1" pivotButton="0" quotePrefix="0" xfId="0">
      <alignment horizontal="right" vertical="center"/>
    </xf>
    <xf numFmtId="0" fontId="3" fillId="5" borderId="2" applyAlignment="1" pivotButton="0" quotePrefix="0" xfId="0">
      <alignment vertical="center"/>
    </xf>
    <xf numFmtId="164" fontId="3" fillId="5" borderId="2" applyAlignment="1" pivotButton="0" quotePrefix="0" xfId="0">
      <alignment horizontal="right" vertical="center"/>
    </xf>
    <xf numFmtId="0" fontId="4" fillId="6" borderId="0" applyAlignment="1" pivotButton="0" quotePrefix="0" xfId="0">
      <alignment vertical="center"/>
    </xf>
    <xf numFmtId="0" fontId="5" fillId="7"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1" workbookViewId="0">
      <pane ySplit="1" topLeftCell="A2" activePane="bottomLeft" state="frozen"/>
      <selection pane="bottomLeft" activeCell="A1" sqref="A1"/>
    </sheetView>
  </sheetViews>
  <sheetFormatPr baseColWidth="8" defaultRowHeight="15"/>
  <cols>
    <col width="65" customWidth="1" min="1" max="1"/>
    <col width="44" customWidth="1" min="2" max="2"/>
  </cols>
  <sheetData>
    <row r="1">
      <c r="A1" s="1" t="inlineStr">
        <is>
          <t>SW INDIA - FINANCIAL STATEMENT PREPARATION ENGAGEMENT METADATA</t>
        </is>
      </c>
      <c r="B1" s="1" t="n"/>
    </row>
    <row r="2">
      <c r="A2" s="2" t="n"/>
      <c r="B2" s="2" t="n"/>
    </row>
    <row r="3">
      <c r="A3" s="2" t="inlineStr">
        <is>
          <t>Client / Entity Name</t>
        </is>
      </c>
      <c r="B3" s="2" t="inlineStr">
        <is>
          <t>Apex Engineering Industries Limited</t>
        </is>
      </c>
    </row>
    <row r="4">
      <c r="A4" s="2" t="inlineStr">
        <is>
          <t>Entity Classification</t>
        </is>
      </c>
      <c r="B4" s="2" t="inlineStr">
        <is>
          <t>Private Limited Company</t>
        </is>
      </c>
    </row>
    <row r="5">
      <c r="A5" s="2" t="inlineStr">
        <is>
          <t>Current Reporting Period</t>
        </is>
      </c>
      <c r="B5" s="2" t="inlineStr">
        <is>
          <t>31st March 2026</t>
        </is>
      </c>
    </row>
    <row r="6">
      <c r="A6" s="2" t="inlineStr">
        <is>
          <t>Previous Year Period</t>
        </is>
      </c>
      <c r="B6" s="2" t="inlineStr">
        <is>
          <t>31st March 2025</t>
        </is>
      </c>
    </row>
    <row r="7">
      <c r="A7" s="2" t="inlineStr">
        <is>
          <t>Reporting Currency &amp; Denomination</t>
        </is>
      </c>
      <c r="B7" s="2" t="inlineStr">
        <is>
          <t>INR (in Lakhs)</t>
        </is>
      </c>
    </row>
    <row r="8">
      <c r="A8" s="2" t="inlineStr">
        <is>
          <t>Accounting Framework</t>
        </is>
      </c>
      <c r="B8" s="2" t="inlineStr">
        <is>
          <t>IGAAP</t>
        </is>
      </c>
    </row>
    <row r="9">
      <c r="A9" s="2" t="inlineStr">
        <is>
          <t>Schedule Format</t>
        </is>
      </c>
      <c r="B9" s="2" t="inlineStr">
        <is>
          <t>Schedule III Division I</t>
        </is>
      </c>
    </row>
    <row r="10">
      <c r="A10" s="2" t="inlineStr">
        <is>
          <t>Prepared By (Audit Staff)</t>
        </is>
      </c>
      <c r="B10" s="2" t="inlineStr">
        <is>
          <t>Amit Kumar (CA Audit Lead)</t>
        </is>
      </c>
    </row>
    <row r="11">
      <c r="A11" s="2" t="inlineStr">
        <is>
          <t>Reviewed By (Audit Partner)</t>
        </is>
      </c>
      <c r="B11" s="2" t="inlineStr">
        <is>
          <t>R. K. Sharma (Audit Partner)</t>
        </is>
      </c>
    </row>
    <row r="12">
      <c r="A12" s="2" t="inlineStr">
        <is>
          <t>Workbook Generation Timestamp</t>
        </is>
      </c>
      <c r="B12" s="2" t="inlineStr">
        <is>
          <t>2026-08-13 13:51:59</t>
        </is>
      </c>
    </row>
    <row r="13">
      <c r="A13" s="2" t="inlineStr">
        <is>
          <t>Localhost System Security</t>
        </is>
      </c>
      <c r="B13" s="2" t="inlineStr">
        <is>
          <t>100% Confidential (Zero External Egress)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showGridLines="1" workbookViewId="0">
      <pane ySplit="1" topLeftCell="A2" activePane="bottomLeft" state="frozen"/>
      <selection pane="bottomLeft" activeCell="A1" sqref="A1"/>
    </sheetView>
  </sheetViews>
  <sheetFormatPr baseColWidth="8" defaultRowHeight="15"/>
  <cols>
    <col width="15" customWidth="1" min="1" max="1"/>
    <col width="47" customWidth="1" min="2" max="2"/>
    <col width="29" customWidth="1" min="3" max="3"/>
    <col width="23" customWidth="1" min="4" max="4"/>
    <col width="24" customWidth="1" min="5" max="5"/>
    <col width="14" customWidth="1" min="6" max="6"/>
  </cols>
  <sheetData>
    <row r="1">
      <c r="A1" s="1" t="inlineStr">
        <is>
          <t>Ledger Code</t>
        </is>
      </c>
      <c r="B1" s="1" t="inlineStr">
        <is>
          <t>Ledger Name</t>
        </is>
      </c>
      <c r="C1" s="1" t="inlineStr">
        <is>
          <t>Original Group</t>
        </is>
      </c>
      <c r="D1" s="1" t="inlineStr">
        <is>
          <t>Current Year Amount</t>
        </is>
      </c>
      <c r="E1" s="1" t="inlineStr">
        <is>
          <t>Previous Year Amount</t>
        </is>
      </c>
      <c r="F1" s="1" t="inlineStr">
        <is>
          <t>Type</t>
        </is>
      </c>
    </row>
    <row r="2">
      <c r="A2" s="2" t="inlineStr">
        <is>
          <t>1001</t>
        </is>
      </c>
      <c r="B2" s="2" t="inlineStr">
        <is>
          <t>Equity Share Capital</t>
        </is>
      </c>
      <c r="C2" s="2" t="inlineStr">
        <is>
          <t>Share Capital</t>
        </is>
      </c>
      <c r="D2" s="3" t="n">
        <v>-500</v>
      </c>
      <c r="E2" s="3" t="n">
        <v>-500</v>
      </c>
      <c r="F2" s="2" t="inlineStr">
        <is>
          <t>Credit</t>
        </is>
      </c>
    </row>
    <row r="3">
      <c r="A3" s="2" t="inlineStr">
        <is>
          <t>1002</t>
        </is>
      </c>
      <c r="B3" s="2" t="inlineStr">
        <is>
          <t>General Reserve</t>
        </is>
      </c>
      <c r="C3" s="2" t="inlineStr">
        <is>
          <t>Reserves &amp; Surplus</t>
        </is>
      </c>
      <c r="D3" s="3" t="n">
        <v>-250</v>
      </c>
      <c r="E3" s="3" t="n">
        <v>-200</v>
      </c>
      <c r="F3" s="2" t="inlineStr">
        <is>
          <t>Credit</t>
        </is>
      </c>
    </row>
    <row r="4">
      <c r="A4" s="2" t="inlineStr">
        <is>
          <t>1003</t>
        </is>
      </c>
      <c r="B4" s="2" t="inlineStr">
        <is>
          <t>Retained Earnings P&amp;L</t>
        </is>
      </c>
      <c r="C4" s="2" t="inlineStr">
        <is>
          <t>Reserves &amp; Surplus</t>
        </is>
      </c>
      <c r="D4" s="3" t="n">
        <v>-320</v>
      </c>
      <c r="E4" s="3" t="n">
        <v>-180</v>
      </c>
      <c r="F4" s="2" t="inlineStr">
        <is>
          <t>Credit</t>
        </is>
      </c>
    </row>
    <row r="5">
      <c r="A5" s="2" t="inlineStr">
        <is>
          <t>2001</t>
        </is>
      </c>
      <c r="B5" s="2" t="inlineStr">
        <is>
          <t>HDFC Bank Term Loan</t>
        </is>
      </c>
      <c r="C5" s="2" t="inlineStr">
        <is>
          <t>Long Term Borrowings</t>
        </is>
      </c>
      <c r="D5" s="3" t="n">
        <v>-400</v>
      </c>
      <c r="E5" s="3" t="n">
        <v>-450</v>
      </c>
      <c r="F5" s="2" t="inlineStr">
        <is>
          <t>Credit</t>
        </is>
      </c>
    </row>
    <row r="6">
      <c r="A6" s="2" t="inlineStr">
        <is>
          <t>2002</t>
        </is>
      </c>
      <c r="B6" s="2" t="inlineStr">
        <is>
          <t>ICICI Cash Credit</t>
        </is>
      </c>
      <c r="C6" s="2" t="inlineStr">
        <is>
          <t>Short Term Borrowings</t>
        </is>
      </c>
      <c r="D6" s="3" t="n">
        <v>-150</v>
      </c>
      <c r="E6" s="3" t="n">
        <v>-120</v>
      </c>
      <c r="F6" s="2" t="inlineStr">
        <is>
          <t>Credit</t>
        </is>
      </c>
    </row>
    <row r="7">
      <c r="A7" s="2" t="inlineStr">
        <is>
          <t>2003</t>
        </is>
      </c>
      <c r="B7" s="2" t="inlineStr">
        <is>
          <t>Trade Creditors for Goods</t>
        </is>
      </c>
      <c r="C7" s="2" t="inlineStr">
        <is>
          <t>Trade Payables</t>
        </is>
      </c>
      <c r="D7" s="3" t="n">
        <v>-280</v>
      </c>
      <c r="E7" s="3" t="n">
        <v>-240</v>
      </c>
      <c r="F7" s="2" t="inlineStr">
        <is>
          <t>Credit</t>
        </is>
      </c>
    </row>
    <row r="8">
      <c r="A8" s="2" t="inlineStr">
        <is>
          <t>2004</t>
        </is>
      </c>
      <c r="B8" s="2" t="inlineStr">
        <is>
          <t>GST Payable &amp; Statutory Dues</t>
        </is>
      </c>
      <c r="C8" s="2" t="inlineStr">
        <is>
          <t>Other Current Liabilities</t>
        </is>
      </c>
      <c r="D8" s="3" t="n">
        <v>-45</v>
      </c>
      <c r="E8" s="3" t="n">
        <v>-35</v>
      </c>
      <c r="F8" s="2" t="inlineStr">
        <is>
          <t>Credit</t>
        </is>
      </c>
    </row>
    <row r="9">
      <c r="A9" s="2" t="inlineStr">
        <is>
          <t>3001</t>
        </is>
      </c>
      <c r="B9" s="2" t="inlineStr">
        <is>
          <t>Factory Building &amp; Land</t>
        </is>
      </c>
      <c r="C9" s="2" t="inlineStr">
        <is>
          <t>Property Plant Equipment</t>
        </is>
      </c>
      <c r="D9" s="3" t="n">
        <v>750</v>
      </c>
      <c r="E9" s="3" t="n">
        <v>700</v>
      </c>
      <c r="F9" s="2" t="inlineStr">
        <is>
          <t>Debit</t>
        </is>
      </c>
    </row>
    <row r="10">
      <c r="A10" s="2" t="inlineStr">
        <is>
          <t>3002</t>
        </is>
      </c>
      <c r="B10" s="2" t="inlineStr">
        <is>
          <t>Plant and Machinery</t>
        </is>
      </c>
      <c r="C10" s="2" t="inlineStr">
        <is>
          <t>Property Plant Equipment</t>
        </is>
      </c>
      <c r="D10" s="3" t="n">
        <v>420</v>
      </c>
      <c r="E10" s="3" t="n">
        <v>380</v>
      </c>
      <c r="F10" s="2" t="inlineStr">
        <is>
          <t>Debit</t>
        </is>
      </c>
    </row>
    <row r="11">
      <c r="A11" s="2" t="inlineStr">
        <is>
          <t>3003</t>
        </is>
      </c>
      <c r="B11" s="2" t="inlineStr">
        <is>
          <t>Capital Work in Progress - Plant Expansion</t>
        </is>
      </c>
      <c r="C11" s="2" t="inlineStr">
        <is>
          <t>CWIP</t>
        </is>
      </c>
      <c r="D11" s="3" t="n">
        <v>110</v>
      </c>
      <c r="E11" s="3" t="n">
        <v>60</v>
      </c>
      <c r="F11" s="2" t="inlineStr">
        <is>
          <t>Debit</t>
        </is>
      </c>
    </row>
    <row r="12">
      <c r="A12" s="2" t="inlineStr">
        <is>
          <t>3004</t>
        </is>
      </c>
      <c r="B12" s="2" t="inlineStr">
        <is>
          <t>Inventories - Raw Material &amp; Finished Goods</t>
        </is>
      </c>
      <c r="C12" s="2" t="inlineStr">
        <is>
          <t>Inventories</t>
        </is>
      </c>
      <c r="D12" s="3" t="n">
        <v>210</v>
      </c>
      <c r="E12" s="3" t="n">
        <v>190</v>
      </c>
      <c r="F12" s="2" t="inlineStr">
        <is>
          <t>Debit</t>
        </is>
      </c>
    </row>
    <row r="13">
      <c r="A13" s="2" t="inlineStr">
        <is>
          <t>3005</t>
        </is>
      </c>
      <c r="B13" s="2" t="inlineStr">
        <is>
          <t>Trade Debtors / Customers</t>
        </is>
      </c>
      <c r="C13" s="2" t="inlineStr">
        <is>
          <t>Trade Receivables</t>
        </is>
      </c>
      <c r="D13" s="3" t="n">
        <v>340</v>
      </c>
      <c r="E13" s="3" t="n">
        <v>280</v>
      </c>
      <c r="F13" s="2" t="inlineStr">
        <is>
          <t>Debit</t>
        </is>
      </c>
    </row>
    <row r="14">
      <c r="A14" s="2" t="inlineStr">
        <is>
          <t>3006</t>
        </is>
      </c>
      <c r="B14" s="2" t="inlineStr">
        <is>
          <t>HDFC Bank Current Account</t>
        </is>
      </c>
      <c r="C14" s="2" t="inlineStr">
        <is>
          <t>Cash &amp; Bank</t>
        </is>
      </c>
      <c r="D14" s="3" t="n">
        <v>245</v>
      </c>
      <c r="E14" s="3" t="n">
        <v>225</v>
      </c>
      <c r="F14" s="2" t="inlineStr">
        <is>
          <t>Debit</t>
        </is>
      </c>
    </row>
    <row r="15">
      <c r="A15" s="2" t="inlineStr">
        <is>
          <t>4001</t>
        </is>
      </c>
      <c r="B15" s="2" t="inlineStr">
        <is>
          <t>Sales Revenue from Domestic Operations</t>
        </is>
      </c>
      <c r="C15" s="2" t="inlineStr">
        <is>
          <t>Revenue</t>
        </is>
      </c>
      <c r="D15" s="3" t="n">
        <v>-1850</v>
      </c>
      <c r="E15" s="3" t="n">
        <v>-1500</v>
      </c>
      <c r="F15" s="2" t="inlineStr">
        <is>
          <t>Credit</t>
        </is>
      </c>
    </row>
    <row r="16">
      <c r="A16" s="2" t="inlineStr">
        <is>
          <t>4002</t>
        </is>
      </c>
      <c r="B16" s="2" t="inlineStr">
        <is>
          <t>Interest Income on Bank FD</t>
        </is>
      </c>
      <c r="C16" s="2" t="inlineStr">
        <is>
          <t>Other Income</t>
        </is>
      </c>
      <c r="D16" s="3" t="n">
        <v>-25</v>
      </c>
      <c r="E16" s="3" t="n">
        <v>-20</v>
      </c>
      <c r="F16" s="2" t="inlineStr">
        <is>
          <t>Credit</t>
        </is>
      </c>
    </row>
    <row r="17">
      <c r="A17" s="2" t="inlineStr">
        <is>
          <t>5001</t>
        </is>
      </c>
      <c r="B17" s="2" t="inlineStr">
        <is>
          <t>Raw Material Consumed</t>
        </is>
      </c>
      <c r="C17" s="2" t="inlineStr">
        <is>
          <t>Direct Expenses</t>
        </is>
      </c>
      <c r="D17" s="3" t="n">
        <v>920</v>
      </c>
      <c r="E17" s="3" t="n">
        <v>780</v>
      </c>
      <c r="F17" s="2" t="inlineStr">
        <is>
          <t>Debit</t>
        </is>
      </c>
    </row>
    <row r="18">
      <c r="A18" s="2" t="inlineStr">
        <is>
          <t>5002</t>
        </is>
      </c>
      <c r="B18" s="2" t="inlineStr">
        <is>
          <t>Salaries, Wages &amp; Bonus</t>
        </is>
      </c>
      <c r="C18" s="2" t="inlineStr">
        <is>
          <t>Employee Expenses</t>
        </is>
      </c>
      <c r="D18" s="3" t="n">
        <v>310</v>
      </c>
      <c r="E18" s="3" t="n">
        <v>260</v>
      </c>
      <c r="F18" s="2" t="inlineStr">
        <is>
          <t>Debit</t>
        </is>
      </c>
    </row>
    <row r="19">
      <c r="A19" s="2" t="inlineStr">
        <is>
          <t>5003</t>
        </is>
      </c>
      <c r="B19" s="2" t="inlineStr">
        <is>
          <t>Interest on Term Loan &amp; Finance Costs</t>
        </is>
      </c>
      <c r="C19" s="2" t="inlineStr">
        <is>
          <t>Finance Costs</t>
        </is>
      </c>
      <c r="D19" s="3" t="n">
        <v>48</v>
      </c>
      <c r="E19" s="3" t="n">
        <v>52</v>
      </c>
      <c r="F19" s="2" t="inlineStr">
        <is>
          <t>Debit</t>
        </is>
      </c>
    </row>
    <row r="20">
      <c r="A20" s="2" t="inlineStr">
        <is>
          <t>5004</t>
        </is>
      </c>
      <c r="B20" s="2" t="inlineStr">
        <is>
          <t>Depreciation on Fixed Assets</t>
        </is>
      </c>
      <c r="C20" s="2" t="inlineStr">
        <is>
          <t>Depreciation</t>
        </is>
      </c>
      <c r="D20" s="3" t="n">
        <v>65</v>
      </c>
      <c r="E20" s="3" t="n">
        <v>60</v>
      </c>
      <c r="F20" s="2" t="inlineStr">
        <is>
          <t>Debit</t>
        </is>
      </c>
    </row>
    <row r="21">
      <c r="A21" s="2" t="inlineStr">
        <is>
          <t>5005</t>
        </is>
      </c>
      <c r="B21" s="2" t="inlineStr">
        <is>
          <t>Power, Rent, Freight &amp; Other Expenses</t>
        </is>
      </c>
      <c r="C21" s="2" t="inlineStr">
        <is>
          <t>Other Expenses</t>
        </is>
      </c>
      <c r="D21" s="3" t="n">
        <v>332</v>
      </c>
      <c r="E21" s="3" t="n">
        <v>278</v>
      </c>
      <c r="F21" s="2" t="inlineStr">
        <is>
          <t>Debit</t>
        </is>
      </c>
    </row>
    <row r="22">
      <c r="A22" s="2" t="inlineStr">
        <is>
          <t>5006</t>
        </is>
      </c>
      <c r="B22" s="2" t="inlineStr">
        <is>
          <t>Current Tax Expense</t>
        </is>
      </c>
      <c r="C22" s="2" t="inlineStr">
        <is>
          <t>Tax Expense</t>
        </is>
      </c>
      <c r="D22" s="3" t="n">
        <v>70</v>
      </c>
      <c r="E22" s="3" t="n">
        <v>50</v>
      </c>
      <c r="F22" s="2" t="inlineStr">
        <is>
          <t>Debit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showGridLines="1" workbookViewId="0">
      <pane ySplit="1" topLeftCell="A2" activePane="bottomLeft" state="frozen"/>
      <selection pane="bottomLeft" activeCell="A1" sqref="A1"/>
    </sheetView>
  </sheetViews>
  <sheetFormatPr baseColWidth="8" defaultRowHeight="15"/>
  <cols>
    <col width="15" customWidth="1" min="1" max="1"/>
    <col width="47" customWidth="1" min="2" max="2"/>
    <col width="29" customWidth="1" min="3" max="3"/>
    <col width="23" customWidth="1" min="4" max="4"/>
    <col width="24" customWidth="1" min="5" max="5"/>
    <col width="41" customWidth="1" min="6" max="6"/>
    <col width="41" customWidth="1" min="7" max="7"/>
    <col width="23" customWidth="1" min="8" max="8"/>
    <col width="15" customWidth="1" min="9" max="9"/>
    <col width="25" customWidth="1" min="10" max="10"/>
    <col width="17" customWidth="1" min="11" max="11"/>
  </cols>
  <sheetData>
    <row r="1">
      <c r="A1" s="1" t="inlineStr">
        <is>
          <t>Ledger Code</t>
        </is>
      </c>
      <c r="B1" s="1" t="inlineStr">
        <is>
          <t>Ledger Name</t>
        </is>
      </c>
      <c r="C1" s="1" t="inlineStr">
        <is>
          <t>Original Group</t>
        </is>
      </c>
      <c r="D1" s="1" t="inlineStr">
        <is>
          <t>Current Year Amount</t>
        </is>
      </c>
      <c r="E1" s="1" t="inlineStr">
        <is>
          <t>Previous Year Amount</t>
        </is>
      </c>
      <c r="F1" s="1" t="inlineStr">
        <is>
          <t>Suggested Classification</t>
        </is>
      </c>
      <c r="G1" s="1" t="inlineStr">
        <is>
          <t>Final Classification</t>
        </is>
      </c>
      <c r="H1" s="1" t="inlineStr">
        <is>
          <t>Financial Statement</t>
        </is>
      </c>
      <c r="I1" s="1" t="inlineStr">
        <is>
          <t>Note Number</t>
        </is>
      </c>
      <c r="J1" s="1" t="inlineStr">
        <is>
          <t>Current / Non-current</t>
        </is>
      </c>
      <c r="K1" s="1" t="inlineStr">
        <is>
          <t>User Override</t>
        </is>
      </c>
    </row>
    <row r="2">
      <c r="A2" s="2" t="inlineStr">
        <is>
          <t>1001</t>
        </is>
      </c>
      <c r="B2" s="2" t="inlineStr">
        <is>
          <t>Equity Share Capital</t>
        </is>
      </c>
      <c r="C2" s="2" t="inlineStr">
        <is>
          <t>Share Capital</t>
        </is>
      </c>
      <c r="D2" s="3" t="n">
        <v>-500</v>
      </c>
      <c r="E2" s="3" t="n">
        <v>-500</v>
      </c>
      <c r="F2" s="2" t="inlineStr">
        <is>
          <t>Share Capital</t>
        </is>
      </c>
      <c r="G2" s="2" t="inlineStr">
        <is>
          <t>Share Capital</t>
        </is>
      </c>
      <c r="H2" s="2" t="inlineStr">
        <is>
          <t>Balance Sheet</t>
        </is>
      </c>
      <c r="I2" s="2" t="inlineStr">
        <is>
          <t>4</t>
        </is>
      </c>
      <c r="J2" s="2" t="inlineStr">
        <is>
          <t>Shareholders' Funds</t>
        </is>
      </c>
      <c r="K2" s="2" t="inlineStr">
        <is>
          <t>Yes</t>
        </is>
      </c>
    </row>
    <row r="3">
      <c r="A3" s="2" t="inlineStr">
        <is>
          <t>1002</t>
        </is>
      </c>
      <c r="B3" s="2" t="inlineStr">
        <is>
          <t>General Reserve</t>
        </is>
      </c>
      <c r="C3" s="2" t="inlineStr">
        <is>
          <t>Reserves &amp; Surplus</t>
        </is>
      </c>
      <c r="D3" s="3" t="n">
        <v>-250</v>
      </c>
      <c r="E3" s="3" t="n">
        <v>-200</v>
      </c>
      <c r="F3" s="2" t="inlineStr">
        <is>
          <t>Reserves and Surplus</t>
        </is>
      </c>
      <c r="G3" s="2" t="inlineStr">
        <is>
          <t>Reserves and Surplus</t>
        </is>
      </c>
      <c r="H3" s="2" t="inlineStr">
        <is>
          <t>Balance Sheet</t>
        </is>
      </c>
      <c r="I3" s="2" t="inlineStr">
        <is>
          <t>5</t>
        </is>
      </c>
      <c r="J3" s="2" t="inlineStr">
        <is>
          <t>Shareholders' Funds</t>
        </is>
      </c>
      <c r="K3" s="2" t="inlineStr">
        <is>
          <t>No</t>
        </is>
      </c>
    </row>
    <row r="4">
      <c r="A4" s="2" t="inlineStr">
        <is>
          <t>1003</t>
        </is>
      </c>
      <c r="B4" s="2" t="inlineStr">
        <is>
          <t>Retained Earnings P&amp;L</t>
        </is>
      </c>
      <c r="C4" s="2" t="inlineStr">
        <is>
          <t>Reserves &amp; Surplus</t>
        </is>
      </c>
      <c r="D4" s="3" t="n">
        <v>-320</v>
      </c>
      <c r="E4" s="3" t="n">
        <v>-180</v>
      </c>
      <c r="F4" s="2" t="inlineStr">
        <is>
          <t>Reserves and Surplus</t>
        </is>
      </c>
      <c r="G4" s="2" t="inlineStr">
        <is>
          <t>Reserves and Surplus</t>
        </is>
      </c>
      <c r="H4" s="2" t="inlineStr">
        <is>
          <t>Balance Sheet</t>
        </is>
      </c>
      <c r="I4" s="2" t="inlineStr">
        <is>
          <t>5</t>
        </is>
      </c>
      <c r="J4" s="2" t="inlineStr">
        <is>
          <t>Shareholders' Funds</t>
        </is>
      </c>
      <c r="K4" s="2" t="inlineStr">
        <is>
          <t>No</t>
        </is>
      </c>
    </row>
    <row r="5">
      <c r="A5" s="2" t="inlineStr">
        <is>
          <t>2001</t>
        </is>
      </c>
      <c r="B5" s="2" t="inlineStr">
        <is>
          <t>HDFC Bank Term Loan</t>
        </is>
      </c>
      <c r="C5" s="2" t="inlineStr">
        <is>
          <t>Long Term Borrowings</t>
        </is>
      </c>
      <c r="D5" s="3" t="n">
        <v>-400</v>
      </c>
      <c r="E5" s="3" t="n">
        <v>-450</v>
      </c>
      <c r="F5" s="2" t="inlineStr">
        <is>
          <t>Long-term Borrowings</t>
        </is>
      </c>
      <c r="G5" s="2" t="inlineStr">
        <is>
          <t>Long-term Borrowings</t>
        </is>
      </c>
      <c r="H5" s="2" t="inlineStr">
        <is>
          <t>Balance Sheet</t>
        </is>
      </c>
      <c r="I5" s="2" t="inlineStr">
        <is>
          <t>10</t>
        </is>
      </c>
      <c r="J5" s="2" t="inlineStr">
        <is>
          <t>Non-Current</t>
        </is>
      </c>
      <c r="K5" s="2" t="inlineStr">
        <is>
          <t>No</t>
        </is>
      </c>
    </row>
    <row r="6">
      <c r="A6" s="2" t="inlineStr">
        <is>
          <t>2002</t>
        </is>
      </c>
      <c r="B6" s="2" t="inlineStr">
        <is>
          <t>ICICI Cash Credit</t>
        </is>
      </c>
      <c r="C6" s="2" t="inlineStr">
        <is>
          <t>Short Term Borrowings</t>
        </is>
      </c>
      <c r="D6" s="3" t="n">
        <v>-150</v>
      </c>
      <c r="E6" s="3" t="n">
        <v>-120</v>
      </c>
      <c r="F6" s="2" t="inlineStr">
        <is>
          <t>Short-term Borrowings</t>
        </is>
      </c>
      <c r="G6" s="2" t="inlineStr">
        <is>
          <t>Short-term Borrowings</t>
        </is>
      </c>
      <c r="H6" s="2" t="inlineStr">
        <is>
          <t>Balance Sheet</t>
        </is>
      </c>
      <c r="I6" s="2" t="inlineStr">
        <is>
          <t>10</t>
        </is>
      </c>
      <c r="J6" s="2" t="inlineStr">
        <is>
          <t>Current</t>
        </is>
      </c>
      <c r="K6" s="2" t="inlineStr">
        <is>
          <t>No</t>
        </is>
      </c>
    </row>
    <row r="7">
      <c r="A7" s="2" t="inlineStr">
        <is>
          <t>2003</t>
        </is>
      </c>
      <c r="B7" s="2" t="inlineStr">
        <is>
          <t>Trade Creditors for Goods</t>
        </is>
      </c>
      <c r="C7" s="2" t="inlineStr">
        <is>
          <t>Trade Payables</t>
        </is>
      </c>
      <c r="D7" s="3" t="n">
        <v>-280</v>
      </c>
      <c r="E7" s="3" t="n">
        <v>-240</v>
      </c>
      <c r="F7" s="2" t="inlineStr">
        <is>
          <t>Trade Payables</t>
        </is>
      </c>
      <c r="G7" s="2" t="inlineStr">
        <is>
          <t>Trade Payables</t>
        </is>
      </c>
      <c r="H7" s="2" t="inlineStr">
        <is>
          <t>Balance Sheet</t>
        </is>
      </c>
      <c r="I7" s="2" t="inlineStr">
        <is>
          <t>11</t>
        </is>
      </c>
      <c r="J7" s="2" t="inlineStr">
        <is>
          <t>Current</t>
        </is>
      </c>
      <c r="K7" s="2" t="inlineStr">
        <is>
          <t>No</t>
        </is>
      </c>
    </row>
    <row r="8">
      <c r="A8" s="2" t="inlineStr">
        <is>
          <t>2004</t>
        </is>
      </c>
      <c r="B8" s="2" t="inlineStr">
        <is>
          <t>GST Payable &amp; Statutory Dues</t>
        </is>
      </c>
      <c r="C8" s="2" t="inlineStr">
        <is>
          <t>Other Current Liabilities</t>
        </is>
      </c>
      <c r="D8" s="3" t="n">
        <v>-45</v>
      </c>
      <c r="E8" s="3" t="n">
        <v>-35</v>
      </c>
      <c r="F8" s="2" t="inlineStr">
        <is>
          <t>Other Current Liabilities</t>
        </is>
      </c>
      <c r="G8" s="2" t="inlineStr">
        <is>
          <t>Other Current Liabilities</t>
        </is>
      </c>
      <c r="H8" s="2" t="inlineStr">
        <is>
          <t>Balance Sheet</t>
        </is>
      </c>
      <c r="I8" s="2" t="inlineStr">
        <is>
          <t>11</t>
        </is>
      </c>
      <c r="J8" s="2" t="inlineStr">
        <is>
          <t>Current</t>
        </is>
      </c>
      <c r="K8" s="2" t="inlineStr">
        <is>
          <t>No</t>
        </is>
      </c>
    </row>
    <row r="9">
      <c r="A9" s="2" t="inlineStr">
        <is>
          <t>3001</t>
        </is>
      </c>
      <c r="B9" s="2" t="inlineStr">
        <is>
          <t>Factory Building &amp; Land</t>
        </is>
      </c>
      <c r="C9" s="2" t="inlineStr">
        <is>
          <t>Property Plant Equipment</t>
        </is>
      </c>
      <c r="D9" s="3" t="n">
        <v>750</v>
      </c>
      <c r="E9" s="3" t="n">
        <v>700</v>
      </c>
      <c r="F9" s="2" t="inlineStr">
        <is>
          <t>Property, Plant and Equipment</t>
        </is>
      </c>
      <c r="G9" s="2" t="inlineStr">
        <is>
          <t>Property, Plant and Equipment</t>
        </is>
      </c>
      <c r="H9" s="2" t="inlineStr">
        <is>
          <t>Balance Sheet</t>
        </is>
      </c>
      <c r="I9" s="2" t="inlineStr">
        <is>
          <t>6</t>
        </is>
      </c>
      <c r="J9" s="2" t="inlineStr">
        <is>
          <t>Non-Current</t>
        </is>
      </c>
      <c r="K9" s="2" t="inlineStr">
        <is>
          <t>No</t>
        </is>
      </c>
    </row>
    <row r="10">
      <c r="A10" s="2" t="inlineStr">
        <is>
          <t>3002</t>
        </is>
      </c>
      <c r="B10" s="2" t="inlineStr">
        <is>
          <t>Plant and Machinery</t>
        </is>
      </c>
      <c r="C10" s="2" t="inlineStr">
        <is>
          <t>Property Plant Equipment</t>
        </is>
      </c>
      <c r="D10" s="3" t="n">
        <v>420</v>
      </c>
      <c r="E10" s="3" t="n">
        <v>380</v>
      </c>
      <c r="F10" s="2" t="inlineStr">
        <is>
          <t>Property, Plant and Equipment</t>
        </is>
      </c>
      <c r="G10" s="2" t="inlineStr">
        <is>
          <t>Property, Plant and Equipment</t>
        </is>
      </c>
      <c r="H10" s="2" t="inlineStr">
        <is>
          <t>Balance Sheet</t>
        </is>
      </c>
      <c r="I10" s="2" t="inlineStr">
        <is>
          <t>6</t>
        </is>
      </c>
      <c r="J10" s="2" t="inlineStr">
        <is>
          <t>Non-Current</t>
        </is>
      </c>
      <c r="K10" s="2" t="inlineStr">
        <is>
          <t>No</t>
        </is>
      </c>
    </row>
    <row r="11">
      <c r="A11" s="2" t="inlineStr">
        <is>
          <t>3003</t>
        </is>
      </c>
      <c r="B11" s="2" t="inlineStr">
        <is>
          <t>Capital Work in Progress - Plant Expansion</t>
        </is>
      </c>
      <c r="C11" s="2" t="inlineStr">
        <is>
          <t>CWIP</t>
        </is>
      </c>
      <c r="D11" s="3" t="n">
        <v>110</v>
      </c>
      <c r="E11" s="3" t="n">
        <v>60</v>
      </c>
      <c r="F11" s="2" t="inlineStr">
        <is>
          <t>Capital Work-in-Progress</t>
        </is>
      </c>
      <c r="G11" s="2" t="inlineStr">
        <is>
          <t>Capital Work-in-Progress</t>
        </is>
      </c>
      <c r="H11" s="2" t="inlineStr">
        <is>
          <t>Balance Sheet</t>
        </is>
      </c>
      <c r="I11" s="2" t="inlineStr">
        <is>
          <t>7</t>
        </is>
      </c>
      <c r="J11" s="2" t="inlineStr">
        <is>
          <t>Non-Current</t>
        </is>
      </c>
      <c r="K11" s="2" t="inlineStr">
        <is>
          <t>No</t>
        </is>
      </c>
    </row>
    <row r="12">
      <c r="A12" s="2" t="inlineStr">
        <is>
          <t>3004</t>
        </is>
      </c>
      <c r="B12" s="2" t="inlineStr">
        <is>
          <t>Inventories - Raw Material &amp; Finished Goods</t>
        </is>
      </c>
      <c r="C12" s="2" t="inlineStr">
        <is>
          <t>Inventories</t>
        </is>
      </c>
      <c r="D12" s="3" t="n">
        <v>210</v>
      </c>
      <c r="E12" s="3" t="n">
        <v>190</v>
      </c>
      <c r="F12" s="2" t="inlineStr">
        <is>
          <t>Inventories</t>
        </is>
      </c>
      <c r="G12" s="2" t="inlineStr">
        <is>
          <t>Inventories</t>
        </is>
      </c>
      <c r="H12" s="2" t="inlineStr">
        <is>
          <t>Balance Sheet</t>
        </is>
      </c>
      <c r="I12" s="2" t="inlineStr">
        <is>
          <t>9</t>
        </is>
      </c>
      <c r="J12" s="2" t="inlineStr">
        <is>
          <t>Current</t>
        </is>
      </c>
      <c r="K12" s="2" t="inlineStr">
        <is>
          <t>No</t>
        </is>
      </c>
    </row>
    <row r="13">
      <c r="A13" s="2" t="inlineStr">
        <is>
          <t>3005</t>
        </is>
      </c>
      <c r="B13" s="2" t="inlineStr">
        <is>
          <t>Trade Debtors / Customers</t>
        </is>
      </c>
      <c r="C13" s="2" t="inlineStr">
        <is>
          <t>Trade Receivables</t>
        </is>
      </c>
      <c r="D13" s="3" t="n">
        <v>340</v>
      </c>
      <c r="E13" s="3" t="n">
        <v>280</v>
      </c>
      <c r="F13" s="2" t="inlineStr">
        <is>
          <t>Trade Receivables</t>
        </is>
      </c>
      <c r="G13" s="2" t="inlineStr">
        <is>
          <t>Trade Receivables</t>
        </is>
      </c>
      <c r="H13" s="2" t="inlineStr">
        <is>
          <t>Balance Sheet</t>
        </is>
      </c>
      <c r="I13" s="2" t="inlineStr">
        <is>
          <t>8</t>
        </is>
      </c>
      <c r="J13" s="2" t="inlineStr">
        <is>
          <t>Current</t>
        </is>
      </c>
      <c r="K13" s="2" t="inlineStr">
        <is>
          <t>No</t>
        </is>
      </c>
    </row>
    <row r="14">
      <c r="A14" s="2" t="inlineStr">
        <is>
          <t>3006</t>
        </is>
      </c>
      <c r="B14" s="2" t="inlineStr">
        <is>
          <t>HDFC Bank Current Account</t>
        </is>
      </c>
      <c r="C14" s="2" t="inlineStr">
        <is>
          <t>Cash &amp; Bank</t>
        </is>
      </c>
      <c r="D14" s="3" t="n">
        <v>245</v>
      </c>
      <c r="E14" s="3" t="n">
        <v>225</v>
      </c>
      <c r="F14" s="2" t="inlineStr">
        <is>
          <t>Cash and Bank Balances</t>
        </is>
      </c>
      <c r="G14" s="2" t="inlineStr">
        <is>
          <t>Cash and Bank Balances</t>
        </is>
      </c>
      <c r="H14" s="2" t="inlineStr">
        <is>
          <t>Balance Sheet</t>
        </is>
      </c>
      <c r="I14" s="2" t="inlineStr">
        <is>
          <t>9</t>
        </is>
      </c>
      <c r="J14" s="2" t="inlineStr">
        <is>
          <t>Current</t>
        </is>
      </c>
      <c r="K14" s="2" t="inlineStr">
        <is>
          <t>No</t>
        </is>
      </c>
    </row>
    <row r="15">
      <c r="A15" s="2" t="inlineStr">
        <is>
          <t>4001</t>
        </is>
      </c>
      <c r="B15" s="2" t="inlineStr">
        <is>
          <t>Sales Revenue from Domestic Operations</t>
        </is>
      </c>
      <c r="C15" s="2" t="inlineStr">
        <is>
          <t>Revenue</t>
        </is>
      </c>
      <c r="D15" s="3" t="n">
        <v>-1850</v>
      </c>
      <c r="E15" s="3" t="n">
        <v>-1500</v>
      </c>
      <c r="F15" s="2" t="inlineStr">
        <is>
          <t>Revenue from Operations</t>
        </is>
      </c>
      <c r="G15" s="2" t="inlineStr">
        <is>
          <t>Revenue from Operations</t>
        </is>
      </c>
      <c r="H15" s="2" t="inlineStr">
        <is>
          <t>Profit &amp; Loss</t>
        </is>
      </c>
      <c r="I15" s="2" t="inlineStr">
        <is>
          <t>13</t>
        </is>
      </c>
      <c r="J15" s="2" t="inlineStr">
        <is>
          <t>P&amp;L Income</t>
        </is>
      </c>
      <c r="K15" s="2" t="inlineStr">
        <is>
          <t>No</t>
        </is>
      </c>
    </row>
    <row r="16">
      <c r="A16" s="2" t="inlineStr">
        <is>
          <t>4002</t>
        </is>
      </c>
      <c r="B16" s="2" t="inlineStr">
        <is>
          <t>Interest Income on Bank FD</t>
        </is>
      </c>
      <c r="C16" s="2" t="inlineStr">
        <is>
          <t>Other Income</t>
        </is>
      </c>
      <c r="D16" s="3" t="n">
        <v>-25</v>
      </c>
      <c r="E16" s="3" t="n">
        <v>-20</v>
      </c>
      <c r="F16" s="2" t="inlineStr">
        <is>
          <t>Other Income</t>
        </is>
      </c>
      <c r="G16" s="2" t="inlineStr">
        <is>
          <t>Other Income</t>
        </is>
      </c>
      <c r="H16" s="2" t="inlineStr">
        <is>
          <t>Profit &amp; Loss</t>
        </is>
      </c>
      <c r="I16" s="2" t="inlineStr">
        <is>
          <t>13</t>
        </is>
      </c>
      <c r="J16" s="2" t="inlineStr">
        <is>
          <t>P&amp;L Income</t>
        </is>
      </c>
      <c r="K16" s="2" t="inlineStr">
        <is>
          <t>No</t>
        </is>
      </c>
    </row>
    <row r="17">
      <c r="A17" s="2" t="inlineStr">
        <is>
          <t>5001</t>
        </is>
      </c>
      <c r="B17" s="2" t="inlineStr">
        <is>
          <t>Raw Material Consumed</t>
        </is>
      </c>
      <c r="C17" s="2" t="inlineStr">
        <is>
          <t>Direct Expenses</t>
        </is>
      </c>
      <c r="D17" s="3" t="n">
        <v>920</v>
      </c>
      <c r="E17" s="3" t="n">
        <v>780</v>
      </c>
      <c r="F17" s="2" t="inlineStr">
        <is>
          <t>Cost of Materials Consumed</t>
        </is>
      </c>
      <c r="G17" s="2" t="inlineStr">
        <is>
          <t>Cost of Materials Consumed</t>
        </is>
      </c>
      <c r="H17" s="2" t="inlineStr">
        <is>
          <t>Profit &amp; Loss</t>
        </is>
      </c>
      <c r="I17" s="2" t="inlineStr">
        <is>
          <t>16</t>
        </is>
      </c>
      <c r="J17" s="2" t="inlineStr">
        <is>
          <t>P&amp;L Expense</t>
        </is>
      </c>
      <c r="K17" s="2" t="inlineStr">
        <is>
          <t>No</t>
        </is>
      </c>
    </row>
    <row r="18">
      <c r="A18" s="2" t="inlineStr">
        <is>
          <t>5002</t>
        </is>
      </c>
      <c r="B18" s="2" t="inlineStr">
        <is>
          <t>Salaries, Wages &amp; Bonus</t>
        </is>
      </c>
      <c r="C18" s="2" t="inlineStr">
        <is>
          <t>Employee Expenses</t>
        </is>
      </c>
      <c r="D18" s="3" t="n">
        <v>310</v>
      </c>
      <c r="E18" s="3" t="n">
        <v>260</v>
      </c>
      <c r="F18" s="2" t="inlineStr">
        <is>
          <t>Employee Benefit Expenses</t>
        </is>
      </c>
      <c r="G18" s="2" t="inlineStr">
        <is>
          <t>Employee Benefit Expenses</t>
        </is>
      </c>
      <c r="H18" s="2" t="inlineStr">
        <is>
          <t>Profit &amp; Loss</t>
        </is>
      </c>
      <c r="I18" s="2" t="inlineStr">
        <is>
          <t>14</t>
        </is>
      </c>
      <c r="J18" s="2" t="inlineStr">
        <is>
          <t>P&amp;L Expense</t>
        </is>
      </c>
      <c r="K18" s="2" t="inlineStr">
        <is>
          <t>No</t>
        </is>
      </c>
    </row>
    <row r="19">
      <c r="A19" s="2" t="inlineStr">
        <is>
          <t>5003</t>
        </is>
      </c>
      <c r="B19" s="2" t="inlineStr">
        <is>
          <t>Interest on Term Loan &amp; Finance Costs</t>
        </is>
      </c>
      <c r="C19" s="2" t="inlineStr">
        <is>
          <t>Finance Costs</t>
        </is>
      </c>
      <c r="D19" s="3" t="n">
        <v>48</v>
      </c>
      <c r="E19" s="3" t="n">
        <v>52</v>
      </c>
      <c r="F19" s="2" t="inlineStr">
        <is>
          <t>Finance Costs</t>
        </is>
      </c>
      <c r="G19" s="2" t="inlineStr">
        <is>
          <t>Finance Costs</t>
        </is>
      </c>
      <c r="H19" s="2" t="inlineStr">
        <is>
          <t>Profit &amp; Loss</t>
        </is>
      </c>
      <c r="I19" s="2" t="inlineStr">
        <is>
          <t>15</t>
        </is>
      </c>
      <c r="J19" s="2" t="inlineStr">
        <is>
          <t>P&amp;L Expense</t>
        </is>
      </c>
      <c r="K19" s="2" t="inlineStr">
        <is>
          <t>No</t>
        </is>
      </c>
    </row>
    <row r="20">
      <c r="A20" s="2" t="inlineStr">
        <is>
          <t>5004</t>
        </is>
      </c>
      <c r="B20" s="2" t="inlineStr">
        <is>
          <t>Depreciation on Fixed Assets</t>
        </is>
      </c>
      <c r="C20" s="2" t="inlineStr">
        <is>
          <t>Depreciation</t>
        </is>
      </c>
      <c r="D20" s="3" t="n">
        <v>65</v>
      </c>
      <c r="E20" s="3" t="n">
        <v>60</v>
      </c>
      <c r="F20" s="2" t="inlineStr">
        <is>
          <t>Depreciation and Amortisation Expense</t>
        </is>
      </c>
      <c r="G20" s="2" t="inlineStr">
        <is>
          <t>Depreciation and Amortisation Expense</t>
        </is>
      </c>
      <c r="H20" s="2" t="inlineStr">
        <is>
          <t>Profit &amp; Loss</t>
        </is>
      </c>
      <c r="I20" s="2" t="inlineStr">
        <is>
          <t>6</t>
        </is>
      </c>
      <c r="J20" s="2" t="inlineStr">
        <is>
          <t>P&amp;L Expense</t>
        </is>
      </c>
      <c r="K20" s="2" t="inlineStr">
        <is>
          <t>No</t>
        </is>
      </c>
    </row>
    <row r="21">
      <c r="A21" s="2" t="inlineStr">
        <is>
          <t>5005</t>
        </is>
      </c>
      <c r="B21" s="2" t="inlineStr">
        <is>
          <t>Power, Rent, Freight &amp; Other Expenses</t>
        </is>
      </c>
      <c r="C21" s="2" t="inlineStr">
        <is>
          <t>Other Expenses</t>
        </is>
      </c>
      <c r="D21" s="3" t="n">
        <v>332</v>
      </c>
      <c r="E21" s="3" t="n">
        <v>278</v>
      </c>
      <c r="F21" s="2" t="inlineStr">
        <is>
          <t>Other Expenses</t>
        </is>
      </c>
      <c r="G21" s="2" t="inlineStr">
        <is>
          <t>Other Expenses</t>
        </is>
      </c>
      <c r="H21" s="2" t="inlineStr">
        <is>
          <t>Profit &amp; Loss</t>
        </is>
      </c>
      <c r="I21" s="2" t="inlineStr">
        <is>
          <t>16</t>
        </is>
      </c>
      <c r="J21" s="2" t="inlineStr">
        <is>
          <t>P&amp;L Expense</t>
        </is>
      </c>
      <c r="K21" s="2" t="inlineStr">
        <is>
          <t>No</t>
        </is>
      </c>
    </row>
    <row r="22">
      <c r="A22" s="2" t="inlineStr">
        <is>
          <t>5006</t>
        </is>
      </c>
      <c r="B22" s="2" t="inlineStr">
        <is>
          <t>Current Tax Expense</t>
        </is>
      </c>
      <c r="C22" s="2" t="inlineStr">
        <is>
          <t>Tax Expense</t>
        </is>
      </c>
      <c r="D22" s="3" t="n">
        <v>70</v>
      </c>
      <c r="E22" s="3" t="n">
        <v>50</v>
      </c>
      <c r="F22" s="2" t="inlineStr">
        <is>
          <t>Tax Expense</t>
        </is>
      </c>
      <c r="G22" s="2" t="inlineStr">
        <is>
          <t>Tax Expense</t>
        </is>
      </c>
      <c r="H22" s="2" t="inlineStr">
        <is>
          <t>Profit &amp; Loss</t>
        </is>
      </c>
      <c r="I22" s="2" t="inlineStr">
        <is>
          <t>12</t>
        </is>
      </c>
      <c r="J22" s="2" t="inlineStr">
        <is>
          <t>P&amp;L Tax</t>
        </is>
      </c>
      <c r="K22"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showGridLines="1" workbookViewId="0">
      <pane ySplit="1" topLeftCell="A2" activePane="bottomLeft" state="frozen"/>
      <selection pane="bottomLeft" activeCell="A1" sqref="A1"/>
    </sheetView>
  </sheetViews>
  <sheetFormatPr baseColWidth="8" defaultRowHeight="15"/>
  <cols>
    <col width="17" customWidth="1" min="1" max="1"/>
    <col width="44" customWidth="1" min="2" max="2"/>
    <col width="24" customWidth="1" min="3" max="3"/>
    <col width="22" customWidth="1" min="4" max="4"/>
    <col width="14" customWidth="1" min="5" max="5"/>
    <col width="22" customWidth="1" min="6" max="6"/>
    <col width="22" customWidth="1" min="7" max="7"/>
    <col width="16" customWidth="1" min="8" max="8"/>
    <col width="16" customWidth="1" min="9" max="9"/>
    <col width="21" customWidth="1" min="10" max="10"/>
    <col width="19" customWidth="1" min="11" max="11"/>
    <col width="28" customWidth="1" min="12" max="12"/>
    <col width="29" customWidth="1" min="13" max="13"/>
  </cols>
  <sheetData>
    <row r="1">
      <c r="A1" s="1" t="inlineStr">
        <is>
          <t>Customer Code</t>
        </is>
      </c>
      <c r="B1" s="1" t="inlineStr">
        <is>
          <t>Customer Name</t>
        </is>
      </c>
      <c r="C1" s="1" t="inlineStr">
        <is>
          <t>Related Party Yes/No</t>
        </is>
      </c>
      <c r="D1" s="1" t="inlineStr">
        <is>
          <t>Outstanding Amount</t>
        </is>
      </c>
      <c r="E1" s="1" t="inlineStr">
        <is>
          <t>Not Due</t>
        </is>
      </c>
      <c r="F1" s="1" t="inlineStr">
        <is>
          <t>Less Than 6 Months</t>
        </is>
      </c>
      <c r="G1" s="1" t="inlineStr">
        <is>
          <t>6 Months to 1 Year</t>
        </is>
      </c>
      <c r="H1" s="1" t="inlineStr">
        <is>
          <t>1 to 2 Years</t>
        </is>
      </c>
      <c r="I1" s="1" t="inlineStr">
        <is>
          <t>2 to 3 Years</t>
        </is>
      </c>
      <c r="J1" s="1" t="inlineStr">
        <is>
          <t>More Than 3 Years</t>
        </is>
      </c>
      <c r="K1" s="1" t="inlineStr">
        <is>
          <t>Disputed Yes/No</t>
        </is>
      </c>
      <c r="L1" s="1" t="inlineStr">
        <is>
          <t>Considered Good/Doubtful</t>
        </is>
      </c>
      <c r="M1" s="1" t="inlineStr">
        <is>
          <t>Previous Year Outstanding</t>
        </is>
      </c>
    </row>
    <row r="2">
      <c r="A2" s="2" t="inlineStr">
        <is>
          <t>C001</t>
        </is>
      </c>
      <c r="B2" s="2" t="inlineStr">
        <is>
          <t>Apex Engineering Ltd</t>
        </is>
      </c>
      <c r="C2" s="2" t="inlineStr">
        <is>
          <t>No</t>
        </is>
      </c>
      <c r="D2" s="3" t="n">
        <v>150</v>
      </c>
      <c r="E2" s="3" t="n">
        <v>90</v>
      </c>
      <c r="F2" s="3" t="n">
        <v>40</v>
      </c>
      <c r="G2" s="3" t="n">
        <v>20</v>
      </c>
      <c r="H2" s="3" t="n">
        <v>0</v>
      </c>
      <c r="I2" s="3" t="n">
        <v>0</v>
      </c>
      <c r="J2" s="3" t="n">
        <v>0</v>
      </c>
      <c r="K2" s="2" t="inlineStr">
        <is>
          <t>No</t>
        </is>
      </c>
      <c r="L2" s="2" t="inlineStr">
        <is>
          <t>Considered Good</t>
        </is>
      </c>
      <c r="M2" s="3" t="n">
        <v>120</v>
      </c>
    </row>
    <row r="3">
      <c r="A3" s="2" t="inlineStr">
        <is>
          <t>C002</t>
        </is>
      </c>
      <c r="B3" s="2" t="inlineStr">
        <is>
          <t>Zenith Infra Infra Corp</t>
        </is>
      </c>
      <c r="C3" s="2" t="inlineStr">
        <is>
          <t>No</t>
        </is>
      </c>
      <c r="D3" s="3" t="n">
        <v>110</v>
      </c>
      <c r="E3" s="3" t="n">
        <v>40</v>
      </c>
      <c r="F3" s="3" t="n">
        <v>30</v>
      </c>
      <c r="G3" s="3" t="n">
        <v>25</v>
      </c>
      <c r="H3" s="3" t="n">
        <v>15</v>
      </c>
      <c r="I3" s="3" t="n">
        <v>0</v>
      </c>
      <c r="J3" s="3" t="n">
        <v>0</v>
      </c>
      <c r="K3" s="2" t="inlineStr">
        <is>
          <t>No</t>
        </is>
      </c>
      <c r="L3" s="2" t="inlineStr">
        <is>
          <t>Considered Good</t>
        </is>
      </c>
      <c r="M3" s="3" t="n">
        <v>90</v>
      </c>
    </row>
    <row r="4">
      <c r="A4" s="2" t="inlineStr">
        <is>
          <t>C003</t>
        </is>
      </c>
      <c r="B4" s="2" t="inlineStr">
        <is>
          <t>Global Logistics Pvt Ltd (Related Party)</t>
        </is>
      </c>
      <c r="C4" s="2" t="inlineStr">
        <is>
          <t>Yes</t>
        </is>
      </c>
      <c r="D4" s="3" t="n">
        <v>80</v>
      </c>
      <c r="E4" s="3" t="n">
        <v>30</v>
      </c>
      <c r="F4" s="3" t="n">
        <v>20</v>
      </c>
      <c r="G4" s="3" t="n">
        <v>15</v>
      </c>
      <c r="H4" s="3" t="n">
        <v>15</v>
      </c>
      <c r="I4" s="3" t="n">
        <v>0</v>
      </c>
      <c r="J4" s="3" t="n">
        <v>0</v>
      </c>
      <c r="K4" s="2" t="inlineStr">
        <is>
          <t>No</t>
        </is>
      </c>
      <c r="L4" s="2" t="inlineStr">
        <is>
          <t>Considered Good</t>
        </is>
      </c>
      <c r="M4" s="3" t="n">
        <v>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showGridLines="1" workbookViewId="0">
      <pane ySplit="1" topLeftCell="A2" activePane="bottomLeft" state="frozen"/>
      <selection pane="bottomLeft" activeCell="A1" sqref="A1"/>
    </sheetView>
  </sheetViews>
  <sheetFormatPr baseColWidth="8" defaultRowHeight="15"/>
  <cols>
    <col width="15" customWidth="1" min="1" max="1"/>
    <col width="33" customWidth="1" min="2" max="2"/>
    <col width="15" customWidth="1" min="3" max="3"/>
    <col width="24" customWidth="1" min="4" max="4"/>
    <col width="22" customWidth="1" min="5" max="5"/>
    <col width="14" customWidth="1" min="6" max="6"/>
    <col width="20" customWidth="1" min="7" max="7"/>
    <col width="16" customWidth="1" min="8" max="8"/>
    <col width="16" customWidth="1" min="9" max="9"/>
    <col width="21" customWidth="1" min="10" max="10"/>
    <col width="19" customWidth="1" min="11" max="11"/>
    <col width="29" customWidth="1" min="12" max="12"/>
  </cols>
  <sheetData>
    <row r="1">
      <c r="A1" s="1" t="inlineStr">
        <is>
          <t>Vendor Code</t>
        </is>
      </c>
      <c r="B1" s="1" t="inlineStr">
        <is>
          <t>Vendor Name</t>
        </is>
      </c>
      <c r="C1" s="1" t="inlineStr">
        <is>
          <t>MSME Yes/No</t>
        </is>
      </c>
      <c r="D1" s="1" t="inlineStr">
        <is>
          <t>Related Party Yes/No</t>
        </is>
      </c>
      <c r="E1" s="1" t="inlineStr">
        <is>
          <t>Outstanding Amount</t>
        </is>
      </c>
      <c r="F1" s="1" t="inlineStr">
        <is>
          <t>Not Due</t>
        </is>
      </c>
      <c r="G1" s="1" t="inlineStr">
        <is>
          <t>Less Than 1 Year</t>
        </is>
      </c>
      <c r="H1" s="1" t="inlineStr">
        <is>
          <t>1 to 2 Years</t>
        </is>
      </c>
      <c r="I1" s="1" t="inlineStr">
        <is>
          <t>2 to 3 Years</t>
        </is>
      </c>
      <c r="J1" s="1" t="inlineStr">
        <is>
          <t>More Than 3 Years</t>
        </is>
      </c>
      <c r="K1" s="1" t="inlineStr">
        <is>
          <t>Disputed Yes/No</t>
        </is>
      </c>
      <c r="L1" s="1" t="inlineStr">
        <is>
          <t>Previous Year Outstanding</t>
        </is>
      </c>
    </row>
    <row r="2">
      <c r="A2" s="2" t="inlineStr">
        <is>
          <t>V001</t>
        </is>
      </c>
      <c r="B2" s="2" t="inlineStr">
        <is>
          <t>Bharat Steel Suppliers (MSME)</t>
        </is>
      </c>
      <c r="C2" s="2" t="inlineStr">
        <is>
          <t>Yes</t>
        </is>
      </c>
      <c r="D2" s="2" t="inlineStr">
        <is>
          <t>No</t>
        </is>
      </c>
      <c r="E2" s="3" t="n">
        <v>120</v>
      </c>
      <c r="F2" s="3" t="n">
        <v>80</v>
      </c>
      <c r="G2" s="3" t="n">
        <v>35</v>
      </c>
      <c r="H2" s="3" t="n">
        <v>5</v>
      </c>
      <c r="I2" s="3" t="n">
        <v>0</v>
      </c>
      <c r="J2" s="3" t="n">
        <v>0</v>
      </c>
      <c r="K2" s="2" t="inlineStr">
        <is>
          <t>No</t>
        </is>
      </c>
      <c r="L2" s="3" t="n">
        <v>100</v>
      </c>
    </row>
    <row r="3">
      <c r="A3" s="2" t="inlineStr">
        <is>
          <t>V002</t>
        </is>
      </c>
      <c r="B3" s="2" t="inlineStr">
        <is>
          <t>National Chemicals Ltd</t>
        </is>
      </c>
      <c r="C3" s="2" t="inlineStr">
        <is>
          <t>No</t>
        </is>
      </c>
      <c r="D3" s="2" t="inlineStr">
        <is>
          <t>No</t>
        </is>
      </c>
      <c r="E3" s="3" t="n">
        <v>160</v>
      </c>
      <c r="F3" s="3" t="n">
        <v>110</v>
      </c>
      <c r="G3" s="3" t="n">
        <v>50</v>
      </c>
      <c r="H3" s="3" t="n">
        <v>0</v>
      </c>
      <c r="I3" s="3" t="n">
        <v>0</v>
      </c>
      <c r="J3" s="3" t="n">
        <v>0</v>
      </c>
      <c r="K3" s="2" t="inlineStr">
        <is>
          <t>No</t>
        </is>
      </c>
      <c r="L3" s="3" t="n">
        <v>140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showGridLines="1" workbookViewId="0">
      <pane ySplit="1" topLeftCell="A2" activePane="bottomLeft" state="frozen"/>
      <selection pane="bottomLeft" activeCell="A1" sqref="A1"/>
    </sheetView>
  </sheetViews>
  <sheetFormatPr baseColWidth="8" defaultRowHeight="15"/>
  <cols>
    <col width="35" customWidth="1" min="1" max="1"/>
    <col width="16" customWidth="1" min="2" max="2"/>
    <col width="25" customWidth="1" min="3" max="3"/>
    <col width="27" customWidth="1" min="4" max="4"/>
    <col width="16" customWidth="1" min="5" max="5"/>
    <col width="20" customWidth="1" min="6" max="6"/>
    <col width="16" customWidth="1" min="7" max="7"/>
    <col width="16" customWidth="1" min="8" max="8"/>
    <col width="21" customWidth="1" min="9" max="9"/>
    <col width="21" customWidth="1" min="10" max="10"/>
    <col width="55" customWidth="1" min="11" max="11"/>
  </cols>
  <sheetData>
    <row r="1">
      <c r="A1" s="1" t="inlineStr">
        <is>
          <t>Project Name</t>
        </is>
      </c>
      <c r="B1" s="1" t="inlineStr">
        <is>
          <t>Opening CWIP</t>
        </is>
      </c>
      <c r="C1" s="1" t="inlineStr">
        <is>
          <t>Additions During Year</t>
        </is>
      </c>
      <c r="D1" s="1" t="inlineStr">
        <is>
          <t>Capitalised During Year</t>
        </is>
      </c>
      <c r="E1" s="1" t="inlineStr">
        <is>
          <t>Closing CWIP</t>
        </is>
      </c>
      <c r="F1" s="1" t="inlineStr">
        <is>
          <t>Less Than 1 Year</t>
        </is>
      </c>
      <c r="G1" s="1" t="inlineStr">
        <is>
          <t>1 to 2 Years</t>
        </is>
      </c>
      <c r="H1" s="1" t="inlineStr">
        <is>
          <t>2 to 3 Years</t>
        </is>
      </c>
      <c r="I1" s="1" t="inlineStr">
        <is>
          <t>More Than 3 Years</t>
        </is>
      </c>
      <c r="J1" s="1" t="inlineStr">
        <is>
          <t>Completion Status</t>
        </is>
      </c>
      <c r="K1" s="1" t="inlineStr">
        <is>
          <t>Reason for Delay</t>
        </is>
      </c>
    </row>
    <row r="2">
      <c r="A2" s="2" t="inlineStr">
        <is>
          <t>Phase II Factory Unit Expansion</t>
        </is>
      </c>
      <c r="B2" s="3" t="n">
        <v>60</v>
      </c>
      <c r="C2" s="3" t="n">
        <v>50</v>
      </c>
      <c r="D2" s="3" t="n">
        <v>0</v>
      </c>
      <c r="E2" s="3" t="n">
        <v>110</v>
      </c>
      <c r="F2" s="3" t="n">
        <v>50</v>
      </c>
      <c r="G2" s="3" t="n">
        <v>35</v>
      </c>
      <c r="H2" s="3" t="n">
        <v>25</v>
      </c>
      <c r="I2" s="3" t="n">
        <v>0</v>
      </c>
      <c r="J2" s="2" t="inlineStr">
        <is>
          <t>In Progress</t>
        </is>
      </c>
      <c r="K2" s="2" t="inlineStr">
        <is>
          <t>Environmental approval delay from local authorities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showGridLines="1" workbookViewId="0">
      <pane ySplit="1" topLeftCell="A2" activePane="bottomLeft" state="frozen"/>
      <selection pane="bottomLeft" activeCell="A1" sqref="A1"/>
    </sheetView>
  </sheetViews>
  <sheetFormatPr baseColWidth="8" defaultRowHeight="15"/>
  <cols>
    <col width="28" customWidth="1" min="1" max="1"/>
    <col width="24" customWidth="1" min="2" max="2"/>
    <col width="34" customWidth="1" min="3" max="3"/>
    <col width="19" customWidth="1" min="4" max="4"/>
    <col width="22" customWidth="1" min="5" max="5"/>
    <col width="23" customWidth="1" min="6" max="6"/>
    <col width="19" customWidth="1" min="7" max="7"/>
    <col width="37" customWidth="1" min="8" max="8"/>
    <col width="24" customWidth="1" min="9" max="9"/>
    <col width="33" customWidth="1" min="10" max="10"/>
  </cols>
  <sheetData>
    <row r="1">
      <c r="A1" s="1" t="inlineStr">
        <is>
          <t>Related Party Name</t>
        </is>
      </c>
      <c r="B1" s="1" t="inlineStr">
        <is>
          <t>Relationship</t>
        </is>
      </c>
      <c r="C1" s="1" t="inlineStr">
        <is>
          <t>Nature of Transaction</t>
        </is>
      </c>
      <c r="D1" s="1" t="inlineStr">
        <is>
          <t>Opening Balance</t>
        </is>
      </c>
      <c r="E1" s="1" t="inlineStr">
        <is>
          <t>Debit Transactions</t>
        </is>
      </c>
      <c r="F1" s="1" t="inlineStr">
        <is>
          <t>Credit Transactions</t>
        </is>
      </c>
      <c r="G1" s="1" t="inlineStr">
        <is>
          <t>Closing Balance</t>
        </is>
      </c>
      <c r="H1" s="1" t="inlineStr">
        <is>
          <t>Receivable/Payable/Income/Expense</t>
        </is>
      </c>
      <c r="I1" s="1" t="inlineStr">
        <is>
          <t>Terms and Conditions</t>
        </is>
      </c>
      <c r="J1" s="1" t="inlineStr">
        <is>
          <t>Previous Year Closing Balance</t>
        </is>
      </c>
    </row>
    <row r="2">
      <c r="A2" s="2" t="inlineStr">
        <is>
          <t>Global Logistics Pvt Ltd</t>
        </is>
      </c>
      <c r="B2" s="2" t="inlineStr">
        <is>
          <t>Associate Enterprise</t>
        </is>
      </c>
      <c r="C2" s="2" t="inlineStr">
        <is>
          <t>Freight &amp; Warehousing Services</t>
        </is>
      </c>
      <c r="D2" s="3" t="n">
        <v>70</v>
      </c>
      <c r="E2" s="3" t="n">
        <v>120</v>
      </c>
      <c r="F2" s="3" t="n">
        <v>110</v>
      </c>
      <c r="G2" s="3" t="n">
        <v>80</v>
      </c>
      <c r="H2" s="2" t="inlineStr">
        <is>
          <t>Receivable</t>
        </is>
      </c>
      <c r="I2" s="2" t="inlineStr">
        <is>
          <t>Arm's Length Basis</t>
        </is>
      </c>
      <c r="J2" s="3" t="n">
        <v>70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showGridLines="1" workbookViewId="0">
      <pane ySplit="1" topLeftCell="A2" activePane="bottomLeft" state="frozen"/>
      <selection pane="bottomLeft" activeCell="A1" sqref="A1"/>
    </sheetView>
  </sheetViews>
  <sheetFormatPr baseColWidth="8" defaultRowHeight="15"/>
  <cols>
    <col width="18" customWidth="1" min="1" max="1"/>
    <col width="15" customWidth="1" min="2" max="2"/>
    <col width="21" customWidth="1" min="3" max="3"/>
    <col width="23" customWidth="1" min="4" max="4"/>
    <col width="19" customWidth="1" min="5" max="5"/>
    <col width="14" customWidth="1" min="6" max="6"/>
    <col width="14" customWidth="1" min="7" max="7"/>
    <col width="19" customWidth="1" min="8" max="8"/>
    <col width="17" customWidth="1" min="9" max="9"/>
    <col width="49" customWidth="1" min="10" max="10"/>
    <col width="27" customWidth="1" min="11" max="11"/>
    <col width="18" customWidth="1" min="12" max="12"/>
    <col width="18" customWidth="1" min="13" max="13"/>
    <col width="33" customWidth="1" min="14" max="14"/>
  </cols>
  <sheetData>
    <row r="1">
      <c r="A1" s="1" t="inlineStr">
        <is>
          <t>Lender Name</t>
        </is>
      </c>
      <c r="B1" s="1" t="inlineStr">
        <is>
          <t>Loan Type</t>
        </is>
      </c>
      <c r="C1" s="1" t="inlineStr">
        <is>
          <t>Secured/Unsecured</t>
        </is>
      </c>
      <c r="D1" s="1" t="inlineStr">
        <is>
          <t>Current/Non-current</t>
        </is>
      </c>
      <c r="E1" s="1" t="inlineStr">
        <is>
          <t>Opening Balance</t>
        </is>
      </c>
      <c r="F1" s="1" t="inlineStr">
        <is>
          <t>Additions</t>
        </is>
      </c>
      <c r="G1" s="1" t="inlineStr">
        <is>
          <t>Repayments</t>
        </is>
      </c>
      <c r="H1" s="1" t="inlineStr">
        <is>
          <t>Closing Balance</t>
        </is>
      </c>
      <c r="I1" s="1" t="inlineStr">
        <is>
          <t>Interest Rate</t>
        </is>
      </c>
      <c r="J1" s="1" t="inlineStr">
        <is>
          <t>Security Details</t>
        </is>
      </c>
      <c r="K1" s="1" t="inlineStr">
        <is>
          <t>Repayment Terms</t>
        </is>
      </c>
      <c r="L1" s="1" t="inlineStr">
        <is>
          <t>Default Yes/No</t>
        </is>
      </c>
      <c r="M1" s="1" t="inlineStr">
        <is>
          <t>Default Amount</t>
        </is>
      </c>
      <c r="N1" s="1" t="inlineStr">
        <is>
          <t>Previous Year Closing Balance</t>
        </is>
      </c>
    </row>
    <row r="2">
      <c r="A2" s="2" t="inlineStr">
        <is>
          <t>HDFC Bank Ltd</t>
        </is>
      </c>
      <c r="B2" s="2" t="inlineStr">
        <is>
          <t>Term Loan</t>
        </is>
      </c>
      <c r="C2" s="2" t="inlineStr">
        <is>
          <t>Secured</t>
        </is>
      </c>
      <c r="D2" s="2" t="inlineStr">
        <is>
          <t>Non-current</t>
        </is>
      </c>
      <c r="E2" s="3" t="n">
        <v>450</v>
      </c>
      <c r="F2" s="3" t="n">
        <v>0</v>
      </c>
      <c r="G2" s="3" t="n">
        <v>50</v>
      </c>
      <c r="H2" s="3" t="n">
        <v>400</v>
      </c>
      <c r="I2" s="2" t="inlineStr">
        <is>
          <t>8.50% p.a.</t>
        </is>
      </c>
      <c r="J2" s="2" t="inlineStr">
        <is>
          <t>Hypothecation of Factory Building &amp; Machinery</t>
        </is>
      </c>
      <c r="K2" s="2" t="inlineStr">
        <is>
          <t>60 monthly installments</t>
        </is>
      </c>
      <c r="L2" s="2" t="inlineStr">
        <is>
          <t>No</t>
        </is>
      </c>
      <c r="M2" s="3" t="n">
        <v>0</v>
      </c>
      <c r="N2" s="3" t="n">
        <v>450</v>
      </c>
    </row>
    <row r="3">
      <c r="A3" s="2" t="inlineStr">
        <is>
          <t>ICICI Bank Ltd</t>
        </is>
      </c>
      <c r="B3" s="2" t="inlineStr">
        <is>
          <t>Cash Credit</t>
        </is>
      </c>
      <c r="C3" s="2" t="inlineStr">
        <is>
          <t>Secured</t>
        </is>
      </c>
      <c r="D3" s="2" t="inlineStr">
        <is>
          <t>Current</t>
        </is>
      </c>
      <c r="E3" s="3" t="n">
        <v>120</v>
      </c>
      <c r="F3" s="3" t="n">
        <v>30</v>
      </c>
      <c r="G3" s="3" t="n">
        <v>0</v>
      </c>
      <c r="H3" s="3" t="n">
        <v>150</v>
      </c>
      <c r="I3" s="2" t="inlineStr">
        <is>
          <t>9.25% p.a.</t>
        </is>
      </c>
      <c r="J3" s="2" t="inlineStr">
        <is>
          <t>Hypothecation of Stock &amp; Receivables</t>
        </is>
      </c>
      <c r="K3" s="2" t="inlineStr">
        <is>
          <t>On Demand</t>
        </is>
      </c>
      <c r="L3" s="2" t="inlineStr">
        <is>
          <t>No</t>
        </is>
      </c>
      <c r="M3" s="3" t="n">
        <v>0</v>
      </c>
      <c r="N3" s="3" t="n">
        <v>120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showGridLines="1" workbookViewId="0">
      <pane ySplit="1" topLeftCell="A2" activePane="bottomLeft" state="frozen"/>
      <selection pane="bottomLeft" activeCell="A1" sqref="A1"/>
    </sheetView>
  </sheetViews>
  <sheetFormatPr baseColWidth="8" defaultRowHeight="15"/>
  <cols>
    <col width="35" customWidth="1" min="1" max="1"/>
    <col width="27" customWidth="1" min="2" max="2"/>
    <col width="23" customWidth="1" min="3" max="3"/>
    <col width="24" customWidth="1" min="4" max="4"/>
    <col width="65" customWidth="1" min="5" max="5"/>
    <col width="30" customWidth="1" min="6" max="6"/>
    <col width="36" customWidth="1" min="7" max="7"/>
  </cols>
  <sheetData>
    <row r="1">
      <c r="A1" s="1" t="inlineStr">
        <is>
          <t>Nature of Contingency</t>
        </is>
      </c>
      <c r="B1" s="1" t="inlineStr">
        <is>
          <t>Forum/Authority</t>
        </is>
      </c>
      <c r="C1" s="1" t="inlineStr">
        <is>
          <t>Current Year Amount</t>
        </is>
      </c>
      <c r="D1" s="1" t="inlineStr">
        <is>
          <t>Previous Year Amount</t>
        </is>
      </c>
      <c r="E1" s="1" t="inlineStr">
        <is>
          <t>Management Assessment</t>
        </is>
      </c>
      <c r="F1" s="1" t="inlineStr">
        <is>
          <t>Whether Provision Required</t>
        </is>
      </c>
      <c r="G1" s="1" t="inlineStr">
        <is>
          <t>Remarks</t>
        </is>
      </c>
    </row>
    <row r="2">
      <c r="A2" s="2" t="inlineStr">
        <is>
          <t>Disputed GST Penalty Assessment</t>
        </is>
      </c>
      <c r="B2" s="2" t="inlineStr">
        <is>
          <t>GST Appellate Authority</t>
        </is>
      </c>
      <c r="C2" s="3" t="n">
        <v>35</v>
      </c>
      <c r="D2" s="3" t="n">
        <v>35</v>
      </c>
      <c r="E2" s="2" t="inlineStr">
        <is>
          <t>High probability of favorable decision based on legal counsel opinion</t>
        </is>
      </c>
      <c r="F2" s="2" t="inlineStr">
        <is>
          <t>No</t>
        </is>
      </c>
      <c r="G2" s="2" t="inlineStr">
        <is>
          <t>Contested matter pending hearing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showGridLines="1" workbookViewId="0">
      <pane ySplit="3" topLeftCell="A4" activePane="bottomLeft" state="frozen"/>
      <selection pane="bottomLeft" activeCell="A1" sqref="A1"/>
    </sheetView>
  </sheetViews>
  <sheetFormatPr baseColWidth="8" defaultRowHeight="15"/>
  <cols>
    <col width="65" customWidth="1" min="1" max="1"/>
    <col width="14" customWidth="1" min="2" max="2"/>
    <col width="25" customWidth="1" min="3" max="3"/>
    <col width="25" customWidth="1" min="4" max="4"/>
  </cols>
  <sheetData>
    <row r="1">
      <c r="A1" s="2" t="inlineStr">
        <is>
          <t>Apex Engineering Industries Limited - BALANCE SHEET AS AT 31st March 2026</t>
        </is>
      </c>
      <c r="B1" s="2" t="n"/>
      <c r="C1" s="2" t="n"/>
      <c r="D1" s="2" t="n"/>
    </row>
    <row r="2">
      <c r="A2" s="2" t="inlineStr">
        <is>
          <t>(Schedule III Division I - Figures in INR (in Lakhs) | Generated: 2026-08-13 13:51:59)</t>
        </is>
      </c>
      <c r="B2" s="2" t="n"/>
      <c r="C2" s="2" t="n"/>
      <c r="D2" s="2" t="n"/>
    </row>
    <row r="3">
      <c r="A3" s="1" t="inlineStr">
        <is>
          <t>Particulars</t>
        </is>
      </c>
      <c r="B3" s="1" t="inlineStr">
        <is>
          <t>Note No.</t>
        </is>
      </c>
      <c r="C3" s="1" t="inlineStr">
        <is>
          <t>As at 31st March 2026</t>
        </is>
      </c>
      <c r="D3" s="1" t="inlineStr">
        <is>
          <t>As at 31st March 2025</t>
        </is>
      </c>
    </row>
    <row r="4">
      <c r="A4" s="4" t="inlineStr">
        <is>
          <t>EQUITY AND LIABILITIES</t>
        </is>
      </c>
      <c r="B4" s="4" t="inlineStr"/>
      <c r="C4" s="4" t="inlineStr"/>
      <c r="D4" s="4" t="inlineStr"/>
    </row>
    <row r="5">
      <c r="A5" s="5" t="inlineStr">
        <is>
          <t>1. Shareholders' Funds</t>
        </is>
      </c>
      <c r="B5" s="5" t="inlineStr"/>
      <c r="C5" s="6">
        <f>C5+C6</f>
        <v/>
      </c>
      <c r="D5" s="6">
        <f>D5+D6</f>
        <v/>
      </c>
    </row>
    <row r="6">
      <c r="A6" s="2" t="inlineStr">
        <is>
          <t xml:space="preserve">   (a) Share Capital</t>
        </is>
      </c>
      <c r="B6" s="2" t="inlineStr">
        <is>
          <t>4</t>
        </is>
      </c>
      <c r="C6" s="3">
        <f>ABS(SUMIFS('03_Mapping'!D:D, '03_Mapping'!G:G, "Share Capital"))</f>
        <v/>
      </c>
      <c r="D6" s="3">
        <f>ABS(SUMIFS('03_Mapping'!E:E, '03_Mapping'!G:G, "Share Capital"))</f>
        <v/>
      </c>
    </row>
    <row r="7">
      <c r="A7" s="2" t="inlineStr">
        <is>
          <t xml:space="preserve">   (b) Reserves and Surplus</t>
        </is>
      </c>
      <c r="B7" s="2" t="inlineStr">
        <is>
          <t>5</t>
        </is>
      </c>
      <c r="C7" s="3">
        <f>ABS(SUMIFS('03_Mapping'!D:D, '03_Mapping'!G:G, "Reserves and Surplus"))+'11_Profit_and_Loss'!C18</f>
        <v/>
      </c>
      <c r="D7" s="3">
        <f>ABS(SUMIFS('03_Mapping'!E:E, '03_Mapping'!G:G, "Reserves and Surplus"))+'11_Profit_and_Loss'!D18</f>
        <v/>
      </c>
    </row>
    <row r="8">
      <c r="A8" s="5" t="inlineStr">
        <is>
          <t>2. Non-Current Liabilities</t>
        </is>
      </c>
      <c r="B8" s="5" t="inlineStr"/>
      <c r="C8" s="6">
        <f>C8+C9</f>
        <v/>
      </c>
      <c r="D8" s="6">
        <f>D8+D9</f>
        <v/>
      </c>
    </row>
    <row r="9">
      <c r="A9" s="2" t="inlineStr">
        <is>
          <t xml:space="preserve">   (a) Long-term Borrowings</t>
        </is>
      </c>
      <c r="B9" s="2" t="inlineStr">
        <is>
          <t>10</t>
        </is>
      </c>
      <c r="C9" s="3">
        <f>ABS(SUMIFS('03_Mapping'!D:D, '03_Mapping'!G:G, "Long-term Borrowings"))</f>
        <v/>
      </c>
      <c r="D9" s="3">
        <f>ABS(SUMIFS('03_Mapping'!E:E, '03_Mapping'!G:G, "Long-term Borrowings"))</f>
        <v/>
      </c>
    </row>
    <row r="10">
      <c r="A10" s="2" t="inlineStr">
        <is>
          <t xml:space="preserve">   (b) Long-term Provisions</t>
        </is>
      </c>
      <c r="B10" s="2" t="inlineStr">
        <is>
          <t>12</t>
        </is>
      </c>
      <c r="C10" s="3">
        <f>ABS(SUMIFS('03_Mapping'!D:D, '03_Mapping'!G:G, "Long-term Provisions"))</f>
        <v/>
      </c>
      <c r="D10" s="3">
        <f>ABS(SUMIFS('03_Mapping'!E:E, '03_Mapping'!G:G, "Long-term Provisions"))</f>
        <v/>
      </c>
    </row>
    <row r="11">
      <c r="A11" s="5" t="inlineStr">
        <is>
          <t>3. Current Liabilities</t>
        </is>
      </c>
      <c r="B11" s="5" t="inlineStr"/>
      <c r="C11" s="6">
        <f>C11+C12+C13+C14</f>
        <v/>
      </c>
      <c r="D11" s="6">
        <f>D11+D12+D13+D14</f>
        <v/>
      </c>
    </row>
    <row r="12">
      <c r="A12" s="2" t="inlineStr">
        <is>
          <t xml:space="preserve">   (a) Short-term Borrowings</t>
        </is>
      </c>
      <c r="B12" s="2" t="inlineStr">
        <is>
          <t>10</t>
        </is>
      </c>
      <c r="C12" s="3">
        <f>ABS(SUMIFS('03_Mapping'!D:D, '03_Mapping'!G:G, "Short-term Borrowings"))</f>
        <v/>
      </c>
      <c r="D12" s="3">
        <f>ABS(SUMIFS('03_Mapping'!E:E, '03_Mapping'!G:G, "Short-term Borrowings"))</f>
        <v/>
      </c>
    </row>
    <row r="13">
      <c r="A13" s="2" t="inlineStr">
        <is>
          <t xml:space="preserve">   (b) Trade Payables</t>
        </is>
      </c>
      <c r="B13" s="2" t="inlineStr">
        <is>
          <t>11</t>
        </is>
      </c>
      <c r="C13" s="3">
        <f>ABS(SUMIFS('03_Mapping'!D:D, '03_Mapping'!G:G, "Trade Payables"))</f>
        <v/>
      </c>
      <c r="D13" s="3">
        <f>ABS(SUMIFS('03_Mapping'!E:E, '03_Mapping'!G:G, "Trade Payables"))</f>
        <v/>
      </c>
    </row>
    <row r="14">
      <c r="A14" s="2" t="inlineStr">
        <is>
          <t xml:space="preserve">   (c) Other Current Liabilities</t>
        </is>
      </c>
      <c r="B14" s="2" t="inlineStr">
        <is>
          <t>11</t>
        </is>
      </c>
      <c r="C14" s="3">
        <f>ABS(SUMIFS('03_Mapping'!D:D, '03_Mapping'!G:G, "Other Current Liabilities"))</f>
        <v/>
      </c>
      <c r="D14" s="3">
        <f>ABS(SUMIFS('03_Mapping'!E:E, '03_Mapping'!G:G, "Other Current Liabilities"))</f>
        <v/>
      </c>
    </row>
    <row r="15">
      <c r="A15" s="2" t="inlineStr">
        <is>
          <t xml:space="preserve">   (d) Short-term Provisions</t>
        </is>
      </c>
      <c r="B15" s="2" t="inlineStr">
        <is>
          <t>12</t>
        </is>
      </c>
      <c r="C15" s="3">
        <f>ABS(SUMIFS('03_Mapping'!D:D, '03_Mapping'!G:G, "Short-term Provisions"))</f>
        <v/>
      </c>
      <c r="D15" s="3">
        <f>ABS(SUMIFS('03_Mapping'!E:E, '03_Mapping'!G:G, "Short-term Provisions"))</f>
        <v/>
      </c>
    </row>
    <row r="16">
      <c r="A16" s="7" t="inlineStr">
        <is>
          <t>TOTAL EQUITY AND LIABILITIES</t>
        </is>
      </c>
      <c r="B16" s="7" t="inlineStr"/>
      <c r="C16" s="8">
        <f>C4+C7+C10</f>
        <v/>
      </c>
      <c r="D16" s="8">
        <f>D4+D7+D10</f>
        <v/>
      </c>
    </row>
    <row r="17">
      <c r="A17" s="4" t="inlineStr">
        <is>
          <t>ASSETS</t>
        </is>
      </c>
      <c r="B17" s="4" t="inlineStr"/>
      <c r="C17" s="4" t="inlineStr"/>
      <c r="D17" s="4" t="inlineStr"/>
    </row>
    <row r="18">
      <c r="A18" s="5" t="inlineStr">
        <is>
          <t>1. Non-Current Assets</t>
        </is>
      </c>
      <c r="B18" s="5" t="inlineStr"/>
      <c r="C18" s="6">
        <f>C17+C18+C19+C20+C21</f>
        <v/>
      </c>
      <c r="D18" s="6">
        <f>D17+D18+D19+D20+D21</f>
        <v/>
      </c>
    </row>
    <row r="19">
      <c r="A19" s="2" t="inlineStr">
        <is>
          <t xml:space="preserve">   (a) Property, Plant and Equipment</t>
        </is>
      </c>
      <c r="B19" s="2" t="inlineStr">
        <is>
          <t>6</t>
        </is>
      </c>
      <c r="C19" s="3">
        <f>SUMIFS('03_Mapping'!D:D, '03_Mapping'!G:G, "Property, Plant and Equipment")</f>
        <v/>
      </c>
      <c r="D19" s="3">
        <f>SUMIFS('03_Mapping'!E:E, '03_Mapping'!G:G, "Property, Plant and Equipment")</f>
        <v/>
      </c>
    </row>
    <row r="20">
      <c r="A20" s="2" t="inlineStr">
        <is>
          <t xml:space="preserve">   (b) Capital Work-in-Progress</t>
        </is>
      </c>
      <c r="B20" s="2" t="inlineStr">
        <is>
          <t>7</t>
        </is>
      </c>
      <c r="C20" s="3">
        <f>SUMIFS('03_Mapping'!D:D, '03_Mapping'!G:G, "Capital Work-in-Progress")</f>
        <v/>
      </c>
      <c r="D20" s="3">
        <f>SUMIFS('03_Mapping'!E:E, '03_Mapping'!G:G, "Capital Work-in-Progress")</f>
        <v/>
      </c>
    </row>
    <row r="21">
      <c r="A21" s="2" t="inlineStr">
        <is>
          <t xml:space="preserve">   (c) Non-current Investments</t>
        </is>
      </c>
      <c r="B21" s="2" t="inlineStr">
        <is>
          <t>9</t>
        </is>
      </c>
      <c r="C21" s="3">
        <f>SUMIFS('03_Mapping'!D:D, '03_Mapping'!G:G, "Non-current Investments")</f>
        <v/>
      </c>
      <c r="D21" s="3">
        <f>SUMIFS('03_Mapping'!E:E, '03_Mapping'!G:G, "Non-current Investments")</f>
        <v/>
      </c>
    </row>
    <row r="22">
      <c r="A22" s="2" t="inlineStr">
        <is>
          <t xml:space="preserve">   (d) Long-term Loans and Advances</t>
        </is>
      </c>
      <c r="B22" s="2" t="inlineStr">
        <is>
          <t>9</t>
        </is>
      </c>
      <c r="C22" s="3">
        <f>SUMIFS('03_Mapping'!D:D, '03_Mapping'!G:G, "Long-term Loans and Advances")</f>
        <v/>
      </c>
      <c r="D22" s="3">
        <f>SUMIFS('03_Mapping'!E:E, '03_Mapping'!G:G, "Long-term Loans and Advances")</f>
        <v/>
      </c>
    </row>
    <row r="23">
      <c r="A23" s="2" t="inlineStr">
        <is>
          <t xml:space="preserve">   (e) Other Non-current Assets</t>
        </is>
      </c>
      <c r="B23" s="2" t="inlineStr">
        <is>
          <t>9</t>
        </is>
      </c>
      <c r="C23" s="3">
        <f>SUMIFS('03_Mapping'!D:D, '03_Mapping'!G:G, "Other Non-current Assets")</f>
        <v/>
      </c>
      <c r="D23" s="3">
        <f>SUMIFS('03_Mapping'!E:E, '03_Mapping'!G:G, "Other Non-current Assets")</f>
        <v/>
      </c>
    </row>
    <row r="24">
      <c r="A24" s="5" t="inlineStr">
        <is>
          <t>2. Current Assets</t>
        </is>
      </c>
      <c r="B24" s="5" t="inlineStr"/>
      <c r="C24" s="6">
        <f>C23+C24+C25+C26+C27</f>
        <v/>
      </c>
      <c r="D24" s="6">
        <f>D23+D24+D25+D26+D27</f>
        <v/>
      </c>
    </row>
    <row r="25">
      <c r="A25" s="2" t="inlineStr">
        <is>
          <t xml:space="preserve">   (a) Inventories</t>
        </is>
      </c>
      <c r="B25" s="2" t="inlineStr">
        <is>
          <t>9</t>
        </is>
      </c>
      <c r="C25" s="3">
        <f>SUMIFS('03_Mapping'!D:D, '03_Mapping'!G:G, "Inventories")</f>
        <v/>
      </c>
      <c r="D25" s="3">
        <f>SUMIFS('03_Mapping'!E:E, '03_Mapping'!G:G, "Inventories")</f>
        <v/>
      </c>
    </row>
    <row r="26">
      <c r="A26" s="2" t="inlineStr">
        <is>
          <t xml:space="preserve">   (b) Trade Receivables</t>
        </is>
      </c>
      <c r="B26" s="2" t="inlineStr">
        <is>
          <t>8</t>
        </is>
      </c>
      <c r="C26" s="3">
        <f>SUMIFS('03_Mapping'!D:D, '03_Mapping'!G:G, "Trade Receivables")</f>
        <v/>
      </c>
      <c r="D26" s="3">
        <f>SUMIFS('03_Mapping'!E:E, '03_Mapping'!G:G, "Trade Receivables")</f>
        <v/>
      </c>
    </row>
    <row r="27">
      <c r="A27" s="2" t="inlineStr">
        <is>
          <t xml:space="preserve">   (c) Cash and Bank Balances</t>
        </is>
      </c>
      <c r="B27" s="2" t="inlineStr">
        <is>
          <t>9</t>
        </is>
      </c>
      <c r="C27" s="3">
        <f>SUMIFS('03_Mapping'!D:D, '03_Mapping'!G:G, "Cash and Bank Balances")</f>
        <v/>
      </c>
      <c r="D27" s="3">
        <f>SUMIFS('03_Mapping'!E:E, '03_Mapping'!G:G, "Cash and Bank Balances")</f>
        <v/>
      </c>
    </row>
    <row r="28">
      <c r="A28" s="2" t="inlineStr">
        <is>
          <t xml:space="preserve">   (d) Short-term Loans and Advances</t>
        </is>
      </c>
      <c r="B28" s="2" t="inlineStr">
        <is>
          <t>9</t>
        </is>
      </c>
      <c r="C28" s="3">
        <f>SUMIFS('03_Mapping'!D:D, '03_Mapping'!G:G, "Short-term Loans and Advances")</f>
        <v/>
      </c>
      <c r="D28" s="3">
        <f>SUMIFS('03_Mapping'!E:E, '03_Mapping'!G:G, "Short-term Loans and Advances")</f>
        <v/>
      </c>
    </row>
    <row r="29">
      <c r="A29" s="2" t="inlineStr">
        <is>
          <t xml:space="preserve">   (e) Other Current Assets</t>
        </is>
      </c>
      <c r="B29" s="2" t="inlineStr">
        <is>
          <t>9</t>
        </is>
      </c>
      <c r="C29" s="3">
        <f>SUMIFS('03_Mapping'!D:D, '03_Mapping'!G:G, "Other Current Assets")</f>
        <v/>
      </c>
      <c r="D29" s="3">
        <f>SUMIFS('03_Mapping'!E:E, '03_Mapping'!G:G, "Other Current Assets")</f>
        <v/>
      </c>
    </row>
    <row r="30">
      <c r="A30" s="7" t="inlineStr">
        <is>
          <t>TOTAL ASSETS</t>
        </is>
      </c>
      <c r="B30" s="7" t="inlineStr"/>
      <c r="C30" s="8">
        <f>C16+C22</f>
        <v/>
      </c>
      <c r="D30" s="8">
        <f>D16+D22</f>
        <v/>
      </c>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showGridLines="1" workbookViewId="0">
      <pane ySplit="3" topLeftCell="A4" activePane="bottomLeft" state="frozen"/>
      <selection pane="bottomLeft" activeCell="A1" sqref="A1"/>
    </sheetView>
  </sheetViews>
  <sheetFormatPr baseColWidth="8" defaultRowHeight="15"/>
  <cols>
    <col width="65" customWidth="1" min="1" max="1"/>
    <col width="14" customWidth="1" min="2" max="2"/>
    <col width="30" customWidth="1" min="3" max="3"/>
    <col width="30" customWidth="1" min="4" max="4"/>
  </cols>
  <sheetData>
    <row r="1">
      <c r="A1" s="2" t="inlineStr">
        <is>
          <t>Apex Engineering Industries Limited - STATEMENT OF PROFIT AND LOSS FOR THE YEAR ENDED 31st March 2026</t>
        </is>
      </c>
      <c r="B1" s="2" t="n"/>
      <c r="C1" s="2" t="n"/>
      <c r="D1" s="2" t="n"/>
    </row>
    <row r="2">
      <c r="A2" s="2" t="inlineStr">
        <is>
          <t>(Schedule III Division I - Figures in INR (in Lakhs) | Generated: 2026-08-13 13:51:59)</t>
        </is>
      </c>
      <c r="B2" s="2" t="n"/>
      <c r="C2" s="2" t="n"/>
      <c r="D2" s="2" t="n"/>
    </row>
    <row r="3">
      <c r="A3" s="1" t="inlineStr">
        <is>
          <t>Particulars</t>
        </is>
      </c>
      <c r="B3" s="1" t="inlineStr">
        <is>
          <t>Note No.</t>
        </is>
      </c>
      <c r="C3" s="1" t="inlineStr">
        <is>
          <t>Year ended 31st March 2026</t>
        </is>
      </c>
      <c r="D3" s="1" t="inlineStr">
        <is>
          <t>Year ended 31st March 2025</t>
        </is>
      </c>
    </row>
    <row r="4">
      <c r="A4" s="2" t="inlineStr">
        <is>
          <t>I. Revenue from Operations</t>
        </is>
      </c>
      <c r="B4" s="2" t="inlineStr">
        <is>
          <t>13</t>
        </is>
      </c>
      <c r="C4" s="3">
        <f>ABS(SUMIFS('03_Mapping'!D:D, '03_Mapping'!G:G, "Revenue from Operations"))</f>
        <v/>
      </c>
      <c r="D4" s="3">
        <f>ABS(SUMIFS('03_Mapping'!E:E, '03_Mapping'!G:G, "Revenue from Operations"))</f>
        <v/>
      </c>
    </row>
    <row r="5">
      <c r="A5" s="2" t="inlineStr">
        <is>
          <t>II. Other Income</t>
        </is>
      </c>
      <c r="B5" s="2" t="inlineStr">
        <is>
          <t>13</t>
        </is>
      </c>
      <c r="C5" s="3">
        <f>ABS(SUMIFS('03_Mapping'!D:D, '03_Mapping'!G:G, "Other Income"))</f>
        <v/>
      </c>
      <c r="D5" s="3">
        <f>ABS(SUMIFS('03_Mapping'!E:E, '03_Mapping'!G:G, "Other Income"))</f>
        <v/>
      </c>
    </row>
    <row r="6">
      <c r="A6" s="5" t="inlineStr">
        <is>
          <t>III. Total Income (I + II)</t>
        </is>
      </c>
      <c r="B6" s="5" t="inlineStr"/>
      <c r="C6" s="6">
        <f>C4+C5</f>
        <v/>
      </c>
      <c r="D6" s="6">
        <f>D4+D5</f>
        <v/>
      </c>
    </row>
    <row r="7">
      <c r="A7" s="4" t="inlineStr">
        <is>
          <t>IV. Expenses:</t>
        </is>
      </c>
      <c r="B7" s="4" t="inlineStr"/>
      <c r="C7" s="4" t="inlineStr"/>
      <c r="D7" s="4" t="inlineStr"/>
    </row>
    <row r="8">
      <c r="A8" s="2" t="inlineStr">
        <is>
          <t xml:space="preserve">   Cost of Materials Consumed</t>
        </is>
      </c>
      <c r="B8" s="2" t="inlineStr">
        <is>
          <t>16</t>
        </is>
      </c>
      <c r="C8" s="3">
        <f>SUMIFS('03_Mapping'!D:D, '03_Mapping'!G:G, "Cost of Materials Consumed")</f>
        <v/>
      </c>
      <c r="D8" s="3">
        <f>SUMIFS('03_Mapping'!E:E, '03_Mapping'!G:G, "Cost of Materials Consumed")</f>
        <v/>
      </c>
    </row>
    <row r="9">
      <c r="A9" s="2" t="inlineStr">
        <is>
          <t xml:space="preserve">   Purchases of Stock-in-Trade</t>
        </is>
      </c>
      <c r="B9" s="2" t="inlineStr">
        <is>
          <t>16</t>
        </is>
      </c>
      <c r="C9" s="3">
        <f>SUMIFS('03_Mapping'!D:D, '03_Mapping'!G:G, "Purchases of Stock-in-Trade")</f>
        <v/>
      </c>
      <c r="D9" s="3">
        <f>SUMIFS('03_Mapping'!E:E, '03_Mapping'!G:G, "Purchases of Stock-in-Trade")</f>
        <v/>
      </c>
    </row>
    <row r="10">
      <c r="A10" s="2" t="inlineStr">
        <is>
          <t xml:space="preserve">   Changes in Inventories</t>
        </is>
      </c>
      <c r="B10" s="2" t="inlineStr">
        <is>
          <t>16</t>
        </is>
      </c>
      <c r="C10" s="3">
        <f>SUMIFS('03_Mapping'!D:D, '03_Mapping'!G:G, "Changes in Inventories")</f>
        <v/>
      </c>
      <c r="D10" s="3">
        <f>SUMIFS('03_Mapping'!E:E, '03_Mapping'!G:G, "Changes in Inventories")</f>
        <v/>
      </c>
    </row>
    <row r="11">
      <c r="A11" s="2" t="inlineStr">
        <is>
          <t xml:space="preserve">   Employee Benefit Expenses</t>
        </is>
      </c>
      <c r="B11" s="2" t="inlineStr">
        <is>
          <t>14</t>
        </is>
      </c>
      <c r="C11" s="3">
        <f>SUMIFS('03_Mapping'!D:D, '03_Mapping'!G:G, "Employee Benefit Expenses")</f>
        <v/>
      </c>
      <c r="D11" s="3">
        <f>SUMIFS('03_Mapping'!E:E, '03_Mapping'!G:G, "Employee Benefit Expenses")</f>
        <v/>
      </c>
    </row>
    <row r="12">
      <c r="A12" s="2" t="inlineStr">
        <is>
          <t xml:space="preserve">   Finance Costs</t>
        </is>
      </c>
      <c r="B12" s="2" t="inlineStr">
        <is>
          <t>15</t>
        </is>
      </c>
      <c r="C12" s="3">
        <f>SUMIFS('03_Mapping'!D:D, '03_Mapping'!G:G, "Finance Costs")</f>
        <v/>
      </c>
      <c r="D12" s="3">
        <f>SUMIFS('03_Mapping'!E:E, '03_Mapping'!G:G, "Finance Costs")</f>
        <v/>
      </c>
    </row>
    <row r="13">
      <c r="A13" s="2" t="inlineStr">
        <is>
          <t xml:space="preserve">   Depreciation and Amortisation Expense</t>
        </is>
      </c>
      <c r="B13" s="2" t="inlineStr">
        <is>
          <t>6</t>
        </is>
      </c>
      <c r="C13" s="3">
        <f>SUMIFS('03_Mapping'!D:D, '03_Mapping'!G:G, "Depreciation and Amortisation Expense")</f>
        <v/>
      </c>
      <c r="D13" s="3">
        <f>SUMIFS('03_Mapping'!E:E, '03_Mapping'!G:G, "Depreciation and Amortisation Expense")</f>
        <v/>
      </c>
    </row>
    <row r="14">
      <c r="A14" s="2" t="inlineStr">
        <is>
          <t xml:space="preserve">   Other Expenses</t>
        </is>
      </c>
      <c r="B14" s="2" t="inlineStr">
        <is>
          <t>16</t>
        </is>
      </c>
      <c r="C14" s="3">
        <f>SUMIFS('03_Mapping'!D:D, '03_Mapping'!G:G, "Other Expenses")</f>
        <v/>
      </c>
      <c r="D14" s="3">
        <f>SUMIFS('03_Mapping'!E:E, '03_Mapping'!G:G, "Other Expenses")</f>
        <v/>
      </c>
    </row>
    <row r="15">
      <c r="A15" s="5" t="inlineStr">
        <is>
          <t>Total Expenses (IV)</t>
        </is>
      </c>
      <c r="B15" s="5" t="inlineStr"/>
      <c r="C15" s="6">
        <f>SUM(C8:C14)</f>
        <v/>
      </c>
      <c r="D15" s="6">
        <f>SUM(D8:D14)</f>
        <v/>
      </c>
    </row>
    <row r="16">
      <c r="A16" s="5" t="inlineStr">
        <is>
          <t>V. Profit Before Tax (III - IV)</t>
        </is>
      </c>
      <c r="B16" s="5" t="inlineStr"/>
      <c r="C16" s="6">
        <f>C6-C15</f>
        <v/>
      </c>
      <c r="D16" s="6">
        <f>D6-D15</f>
        <v/>
      </c>
    </row>
    <row r="17">
      <c r="A17" s="2" t="inlineStr">
        <is>
          <t>VI. Tax Expense</t>
        </is>
      </c>
      <c r="B17" s="2" t="inlineStr">
        <is>
          <t>12</t>
        </is>
      </c>
      <c r="C17" s="3">
        <f>SUMIFS('03_Mapping'!D:D, '03_Mapping'!G:G, "Tax Expense")</f>
        <v/>
      </c>
      <c r="D17" s="3">
        <f>SUMIFS('03_Mapping'!E:E, '03_Mapping'!G:G, "Tax Expense")</f>
        <v/>
      </c>
    </row>
    <row r="18">
      <c r="A18" s="7" t="inlineStr">
        <is>
          <t>VII. Profit After Tax (V - VI)</t>
        </is>
      </c>
      <c r="B18" s="7" t="inlineStr"/>
      <c r="C18" s="8">
        <f>C16-C17</f>
        <v/>
      </c>
      <c r="D18" s="8">
        <f>D16-D17</f>
        <v/>
      </c>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1"/>
  <sheetViews>
    <sheetView showGridLines="1" workbookViewId="0">
      <pane ySplit="1" topLeftCell="A2" activePane="bottomLeft" state="frozen"/>
      <selection pane="bottomLeft" activeCell="A1" sqref="A1"/>
    </sheetView>
  </sheetViews>
  <sheetFormatPr baseColWidth="8" defaultRowHeight="15"/>
  <cols>
    <col width="15" customWidth="1" min="1" max="1"/>
    <col width="35" customWidth="1" min="2" max="2"/>
    <col width="24" customWidth="1" min="3" max="3"/>
  </cols>
  <sheetData>
    <row r="1">
      <c r="A1" s="1" t="inlineStr">
        <is>
          <t>Note Number</t>
        </is>
      </c>
      <c r="B1" s="1" t="inlineStr">
        <is>
          <t>Note Title</t>
        </is>
      </c>
      <c r="C1" s="1" t="inlineStr">
        <is>
          <t>Status</t>
        </is>
      </c>
    </row>
    <row r="2">
      <c r="A2" s="2" t="inlineStr">
        <is>
          <t>1</t>
        </is>
      </c>
      <c r="B2" s="2" t="inlineStr">
        <is>
          <t>Corporate Information</t>
        </is>
      </c>
      <c r="C2" s="2" t="inlineStr">
        <is>
          <t>Draft Auto-Generated</t>
        </is>
      </c>
    </row>
    <row r="3">
      <c r="A3" s="2" t="inlineStr">
        <is>
          <t>2</t>
        </is>
      </c>
      <c r="B3" s="2" t="inlineStr">
        <is>
          <t>Basis of Preparation</t>
        </is>
      </c>
      <c r="C3" s="2" t="inlineStr">
        <is>
          <t>Draft Auto-Generated</t>
        </is>
      </c>
    </row>
    <row r="4">
      <c r="A4" s="2" t="inlineStr">
        <is>
          <t>3</t>
        </is>
      </c>
      <c r="B4" s="2" t="inlineStr">
        <is>
          <t>Significant Accounting Policies</t>
        </is>
      </c>
      <c r="C4" s="2" t="inlineStr">
        <is>
          <t>Draft Auto-Generated</t>
        </is>
      </c>
    </row>
    <row r="5">
      <c r="A5" s="2" t="inlineStr">
        <is>
          <t>4</t>
        </is>
      </c>
      <c r="B5" s="2" t="inlineStr">
        <is>
          <t>Share Capital</t>
        </is>
      </c>
      <c r="C5" s="2" t="inlineStr">
        <is>
          <t>Draft Auto-Generated</t>
        </is>
      </c>
    </row>
    <row r="6">
      <c r="A6" s="2" t="inlineStr">
        <is>
          <t>5</t>
        </is>
      </c>
      <c r="B6" s="2" t="inlineStr">
        <is>
          <t>Reserves and Surplus</t>
        </is>
      </c>
      <c r="C6" s="2" t="inlineStr">
        <is>
          <t>Draft Auto-Generated</t>
        </is>
      </c>
    </row>
    <row r="7">
      <c r="A7" s="2" t="inlineStr">
        <is>
          <t>6</t>
        </is>
      </c>
      <c r="B7" s="2" t="inlineStr">
        <is>
          <t>Property, Plant and Equipment</t>
        </is>
      </c>
      <c r="C7" s="2" t="inlineStr">
        <is>
          <t>Draft Auto-Generated</t>
        </is>
      </c>
    </row>
    <row r="8">
      <c r="A8" s="2" t="inlineStr">
        <is>
          <t>7</t>
        </is>
      </c>
      <c r="B8" s="2" t="inlineStr">
        <is>
          <t>Capital Work-in-Progress Ageing</t>
        </is>
      </c>
      <c r="C8" s="2" t="inlineStr">
        <is>
          <t>Modified by Auditor</t>
        </is>
      </c>
    </row>
    <row r="9">
      <c r="A9" s="2" t="inlineStr">
        <is>
          <t>8</t>
        </is>
      </c>
      <c r="B9" s="2" t="inlineStr">
        <is>
          <t>Trade Receivables Ageing</t>
        </is>
      </c>
      <c r="C9" s="2" t="inlineStr">
        <is>
          <t>Draft Auto-Generated</t>
        </is>
      </c>
    </row>
    <row r="10">
      <c r="A10" s="2" t="inlineStr">
        <is>
          <t>9</t>
        </is>
      </c>
      <c r="B10" s="2" t="inlineStr">
        <is>
          <t>Cash and Bank Balances</t>
        </is>
      </c>
      <c r="C10" s="2" t="inlineStr">
        <is>
          <t>Draft Auto-Generated</t>
        </is>
      </c>
    </row>
    <row r="11">
      <c r="A11" s="2" t="inlineStr">
        <is>
          <t>10</t>
        </is>
      </c>
      <c r="B11" s="2" t="inlineStr">
        <is>
          <t>Borrowings</t>
        </is>
      </c>
      <c r="C11" s="2" t="inlineStr">
        <is>
          <t>Draft Auto-Generated</t>
        </is>
      </c>
    </row>
    <row r="12">
      <c r="A12" s="2" t="inlineStr">
        <is>
          <t>11</t>
        </is>
      </c>
      <c r="B12" s="2" t="inlineStr">
        <is>
          <t>Trade Payables Ageing</t>
        </is>
      </c>
      <c r="C12" s="2" t="inlineStr">
        <is>
          <t>Draft Auto-Generated</t>
        </is>
      </c>
    </row>
    <row r="13">
      <c r="A13" s="2" t="inlineStr">
        <is>
          <t>12</t>
        </is>
      </c>
      <c r="B13" s="2" t="inlineStr">
        <is>
          <t>MSME Disclosure Placeholder</t>
        </is>
      </c>
      <c r="C13" s="2" t="inlineStr">
        <is>
          <t>Draft Auto-Generated</t>
        </is>
      </c>
    </row>
    <row r="14">
      <c r="A14" s="2" t="inlineStr">
        <is>
          <t>13</t>
        </is>
      </c>
      <c r="B14" s="2" t="inlineStr">
        <is>
          <t>Revenue from Operations</t>
        </is>
      </c>
      <c r="C14" s="2" t="inlineStr">
        <is>
          <t>Draft Auto-Generated</t>
        </is>
      </c>
    </row>
    <row r="15">
      <c r="A15" s="2" t="inlineStr">
        <is>
          <t>14</t>
        </is>
      </c>
      <c r="B15" s="2" t="inlineStr">
        <is>
          <t>Employee Benefit Expenses</t>
        </is>
      </c>
      <c r="C15" s="2" t="inlineStr">
        <is>
          <t>Draft Auto-Generated</t>
        </is>
      </c>
    </row>
    <row r="16">
      <c r="A16" s="2" t="inlineStr">
        <is>
          <t>15</t>
        </is>
      </c>
      <c r="B16" s="2" t="inlineStr">
        <is>
          <t>Finance Costs</t>
        </is>
      </c>
      <c r="C16" s="2" t="inlineStr">
        <is>
          <t>Draft Auto-Generated</t>
        </is>
      </c>
    </row>
    <row r="17">
      <c r="A17" s="2" t="inlineStr">
        <is>
          <t>16</t>
        </is>
      </c>
      <c r="B17" s="2" t="inlineStr">
        <is>
          <t>Other Expenses</t>
        </is>
      </c>
      <c r="C17" s="2" t="inlineStr">
        <is>
          <t>Draft Auto-Generated</t>
        </is>
      </c>
    </row>
    <row r="18">
      <c r="A18" s="2" t="inlineStr">
        <is>
          <t>17</t>
        </is>
      </c>
      <c r="B18" s="2" t="inlineStr">
        <is>
          <t>Related Party Transactions</t>
        </is>
      </c>
      <c r="C18" s="2" t="inlineStr">
        <is>
          <t>Draft Auto-Generated</t>
        </is>
      </c>
    </row>
    <row r="19">
      <c r="A19" s="2" t="inlineStr">
        <is>
          <t>18</t>
        </is>
      </c>
      <c r="B19" s="2" t="inlineStr">
        <is>
          <t>Contingent Liabilities</t>
        </is>
      </c>
      <c r="C19" s="2" t="inlineStr">
        <is>
          <t>Draft Auto-Generated</t>
        </is>
      </c>
    </row>
    <row r="20">
      <c r="A20" s="2" t="inlineStr">
        <is>
          <t>19</t>
        </is>
      </c>
      <c r="B20" s="2" t="inlineStr">
        <is>
          <t>Ratios</t>
        </is>
      </c>
      <c r="C20" s="2" t="inlineStr">
        <is>
          <t>Draft Auto-Generated</t>
        </is>
      </c>
    </row>
    <row r="21">
      <c r="A21" s="2" t="inlineStr">
        <is>
          <t>20</t>
        </is>
      </c>
      <c r="B21" s="2" t="inlineStr">
        <is>
          <t>Previous Year Regrouping</t>
        </is>
      </c>
      <c r="C21" s="2" t="inlineStr">
        <is>
          <t>Draft Auto-Generated</t>
        </is>
      </c>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showGridLines="1" workbookViewId="0">
      <pane ySplit="1" topLeftCell="A2" activePane="bottomLeft" state="frozen"/>
      <selection pane="bottomLeft" activeCell="A1" sqref="A1"/>
    </sheetView>
  </sheetViews>
  <sheetFormatPr baseColWidth="8" defaultRowHeight="15"/>
  <cols>
    <col width="14" customWidth="1" min="1" max="1"/>
    <col width="35" customWidth="1" min="2" max="2"/>
    <col width="65" customWidth="1" min="3" max="3"/>
    <col width="42" customWidth="1" min="4" max="4"/>
  </cols>
  <sheetData>
    <row r="1">
      <c r="A1" s="1" t="inlineStr">
        <is>
          <t>Note No.</t>
        </is>
      </c>
      <c r="B1" s="1" t="inlineStr">
        <is>
          <t>Note Title</t>
        </is>
      </c>
      <c r="C1" s="1" t="inlineStr">
        <is>
          <t>Auditor Draft Note Text</t>
        </is>
      </c>
      <c r="D1" s="1" t="inlineStr">
        <is>
          <t>Supporting Schedule Total Formula Link</t>
        </is>
      </c>
    </row>
    <row r="2">
      <c r="A2" s="2" t="inlineStr">
        <is>
          <t>1</t>
        </is>
      </c>
      <c r="B2" s="2" t="inlineStr">
        <is>
          <t>Corporate Information</t>
        </is>
      </c>
      <c r="C2" s="2" t="inlineStr">
        <is>
          <t>The Company is a private limited company incorporated and domiciled in India under the provisions of the Companies Act. The registered office of the company is situated in India. The Company is primarily engaged in manufacturing and trading operations.</t>
        </is>
      </c>
      <c r="D2" s="2" t="inlineStr"/>
    </row>
    <row r="3">
      <c r="A3" s="2" t="inlineStr">
        <is>
          <t>2</t>
        </is>
      </c>
      <c r="B3" s="2" t="inlineStr">
        <is>
          <t>Basis of Preparation</t>
        </is>
      </c>
      <c r="C3" s="2" t="inlineStr">
        <is>
          <t>These financial statements have been prepared in accordance with the Generally Accepted Accounting Principles in India (Indian GAAP) under the historical cost convention on an accrual basis. The financial statements comply in all material respects with the Accounting Standards specified under Section 133 of the Companies Act, 2013 read with Rule 7 of the Companies (Accounts) Rules, 2014 and Schedule III Division I of the Companies Act, 2013.</t>
        </is>
      </c>
      <c r="D3" s="2" t="inlineStr"/>
    </row>
    <row r="4">
      <c r="A4" s="2" t="inlineStr">
        <is>
          <t>3</t>
        </is>
      </c>
      <c r="B4" s="2" t="inlineStr">
        <is>
          <t>Significant Accounting Policies</t>
        </is>
      </c>
      <c r="C4" s="2" t="inlineStr">
        <is>
          <t>a) Revenue Recognition: Revenue from sale of goods is recognized on transfer of significant risks and rewards of ownership to the buyer.
b) Property, Plant &amp; Equipment: Stated at cost less accumulated depreciation. Depreciation is provided on SLM/WDV basis over useful life.
c) Inventories: Valued at lower of cost and net realizable value.
d) Employee Benefits: Short-term benefits are recognized as an expense in P&amp;L for the year.</t>
        </is>
      </c>
      <c r="D4" s="2" t="inlineStr"/>
    </row>
    <row r="5">
      <c r="A5" s="2" t="inlineStr">
        <is>
          <t>4</t>
        </is>
      </c>
      <c r="B5" s="2" t="inlineStr">
        <is>
          <t>Share Capital</t>
        </is>
      </c>
      <c r="C5" s="2" t="inlineStr">
        <is>
          <t>Authorised Share Capital: Equity Shares of Rs 10/- each.
Issued, Subscribed and Fully Paid Up Share Capital: Equity Shares held by promoters and shareholders. Reconciliation of number of shares outstanding at beginning and end of reporting period shows no change.</t>
        </is>
      </c>
      <c r="D5" s="2" t="inlineStr"/>
    </row>
    <row r="6">
      <c r="A6" s="2" t="inlineStr">
        <is>
          <t>5</t>
        </is>
      </c>
      <c r="B6" s="2" t="inlineStr">
        <is>
          <t>Reserves and Surplus</t>
        </is>
      </c>
      <c r="C6" s="2" t="inlineStr">
        <is>
          <t>Reserves &amp; Surplus comprises General Reserve and Surplus in Statement of Profit &amp; Loss. Closing balance includes profits transferred for the current reporting financial year.</t>
        </is>
      </c>
      <c r="D6" s="2" t="inlineStr"/>
    </row>
    <row r="7">
      <c r="A7" s="2" t="inlineStr">
        <is>
          <t>6</t>
        </is>
      </c>
      <c r="B7" s="2" t="inlineStr">
        <is>
          <t>Property, Plant and Equipment</t>
        </is>
      </c>
      <c r="C7" s="2" t="inlineStr">
        <is>
          <t>Schedule of Property, Plant and Equipment comprises Land, Buildings, Plant &amp; Machinery, Furniture &amp; Fixtures and Vehicles. Gross block, additions, disposals, accumulated depreciation and net block are reconciled as per Schedule III requirements.</t>
        </is>
      </c>
      <c r="D7" s="2" t="inlineStr"/>
    </row>
    <row r="8">
      <c r="A8" s="2" t="inlineStr">
        <is>
          <t>7</t>
        </is>
      </c>
      <c r="B8" s="2" t="inlineStr">
        <is>
          <t>Capital Work-in-Progress Ageing</t>
        </is>
      </c>
      <c r="C8" s="2" t="inlineStr">
        <is>
          <t>Capital Work-in-Progress (CWIP) comprises ongoing capital projects for expansion. CWIP ageing is classified into Less than 1 year, 1-2 years, 2-3 years, and More than 3 years.
--- SUGGESTED RULE-BASED FOOTNOTES ---
Footnote Note 7: Project 'Phase II Factory Unit Expansion' has been in progress for over 2 years (Closing balance: Rs 110.00 Lakhs). Management Note: Environmental approval delay from local authorities.
[AUDITOR REMARK: Verified physical inspection of CWIP site on 10-Apr-2026].</t>
        </is>
      </c>
      <c r="D8" s="3">
        <f>SUM('06_CWIP_Ageing'!E:E)</f>
        <v/>
      </c>
    </row>
    <row r="9">
      <c r="A9" s="2" t="inlineStr">
        <is>
          <t>8</t>
        </is>
      </c>
      <c r="B9" s="2" t="inlineStr">
        <is>
          <t>Trade Receivables Ageing</t>
        </is>
      </c>
      <c r="C9" s="2" t="inlineStr">
        <is>
          <t>Trade Receivables ageing schedule includes amounts outstanding for Undisputed Considered Good, Undisputed Considered Doubtful, and Disputed Receivables, categorized into Less than 6 months, 6M-1Y, 1-2Y, 2-3Y, and More than 3Y.
--- SUGGESTED RULE-BASED FOOTNOTES ---
Footnote Note 8: Trade Receivables outstanding for more than 6 months aggregate to Rs 90.00 Lakhs. Management considers these balances fully recoverable and good.</t>
        </is>
      </c>
      <c r="D9" s="3">
        <f>SUM('04_AR_Ageing'!D:D)</f>
        <v/>
      </c>
    </row>
    <row r="10">
      <c r="A10" s="2" t="inlineStr">
        <is>
          <t>9</t>
        </is>
      </c>
      <c r="B10" s="2" t="inlineStr">
        <is>
          <t>Cash and Bank Balances</t>
        </is>
      </c>
      <c r="C10" s="2" t="inlineStr">
        <is>
          <t>Cash and bank balances consist of cash in hand, balances with scheduled banks in current accounts, and fixed deposits with original maturity of less than 12 months.</t>
        </is>
      </c>
      <c r="D10" s="2" t="inlineStr"/>
    </row>
    <row r="11">
      <c r="A11" s="2" t="inlineStr">
        <is>
          <t>10</t>
        </is>
      </c>
      <c r="B11" s="2" t="inlineStr">
        <is>
          <t>Borrowings</t>
        </is>
      </c>
      <c r="C11" s="2" t="inlineStr">
        <is>
          <t>Long-term and Short-term borrowings from banks and financial institutions are secured against hypothecation of tangible fixed assets, stocks and book debts, and personal guarantees of directors.
--- SUGGESTED RULE-BASED FOOTNOTES ---
Footnote Note 10: The Company has not defaulted in repayment of principal or interest to any bank or financial institution during the year.</t>
        </is>
      </c>
      <c r="D11" s="3">
        <f>SUM('08_Borrowings'!H:H)</f>
        <v/>
      </c>
    </row>
    <row r="12">
      <c r="A12" s="2" t="inlineStr">
        <is>
          <t>11</t>
        </is>
      </c>
      <c r="B12" s="2" t="inlineStr">
        <is>
          <t>Trade Payables Ageing</t>
        </is>
      </c>
      <c r="C12" s="2" t="inlineStr">
        <is>
          <t>Trade Payables ageing schedule displays outstanding dues to MSME and Non-MSME vendors across Undisputed and Disputed categories for Less than 1 year, 1-2 years, 2-3 years, and More than 3 years.
--- SUGGESTED RULE-BASED FOOTNOTES ---
Footnote Note 11/12: The Company has outstanding dues of Rs 120.00 Lakhs payable to Micro and Small Enterprises as of reporting date. No interest is payable under MSMED Act 2006.</t>
        </is>
      </c>
      <c r="D12" s="3">
        <f>SUM('05_AP_Ageing'!E:E)</f>
        <v/>
      </c>
    </row>
    <row r="13">
      <c r="A13" s="2" t="inlineStr">
        <is>
          <t>12</t>
        </is>
      </c>
      <c r="B13" s="2" t="inlineStr">
        <is>
          <t>MSME Disclosure Placeholder</t>
        </is>
      </c>
      <c r="C13" s="2" t="inlineStr">
        <is>
          <t>Disclosures required under Micro, Small and Medium Enterprises Development (MSMED) Act, 2006 regarding principal amount due, interest paid/payable, and interest accrued.
--- SUGGESTED RULE-BASED FOOTNOTES ---
Footnote Note 11/12: The Company has outstanding dues of Rs 120.00 Lakhs payable to Micro and Small Enterprises as of reporting date. No interest is payable under MSMED Act 2006.</t>
        </is>
      </c>
      <c r="D13" s="2" t="inlineStr"/>
    </row>
    <row r="14">
      <c r="A14" s="2" t="inlineStr">
        <is>
          <t>13</t>
        </is>
      </c>
      <c r="B14" s="2" t="inlineStr">
        <is>
          <t>Revenue from Operations</t>
        </is>
      </c>
      <c r="C14" s="2" t="inlineStr">
        <is>
          <t>Revenue from operations comprises sale of products, sale of services, and other operating revenues net of trade discounts and returns.</t>
        </is>
      </c>
      <c r="D14" s="2" t="inlineStr"/>
    </row>
    <row r="15">
      <c r="A15" s="2" t="inlineStr">
        <is>
          <t>14</t>
        </is>
      </c>
      <c r="B15" s="2" t="inlineStr">
        <is>
          <t>Employee Benefit Expenses</t>
        </is>
      </c>
      <c r="C15" s="2" t="inlineStr">
        <is>
          <t>Employee benefit expenses include Salaries, Wages &amp; Bonus, Contribution to Provident and Other Funds, and Staff Welfare Expenses.</t>
        </is>
      </c>
      <c r="D15" s="2" t="inlineStr"/>
    </row>
    <row r="16">
      <c r="A16" s="2" t="inlineStr">
        <is>
          <t>15</t>
        </is>
      </c>
      <c r="B16" s="2" t="inlineStr">
        <is>
          <t>Finance Costs</t>
        </is>
      </c>
      <c r="C16" s="2" t="inlineStr">
        <is>
          <t>Finance costs consist of interest expense on term loans, working capital facilities, bank charges, and loan processing fees.</t>
        </is>
      </c>
      <c r="D16" s="2" t="inlineStr"/>
    </row>
    <row r="17">
      <c r="A17" s="2" t="inlineStr">
        <is>
          <t>16</t>
        </is>
      </c>
      <c r="B17" s="2" t="inlineStr">
        <is>
          <t>Other Expenses</t>
        </is>
      </c>
      <c r="C17" s="2" t="inlineStr">
        <is>
          <t>Other expenses comprise Cost of Raw Materials Consumed, Power &amp; Fuel, Rent, Repairs &amp; Maintenance, Legal &amp; Professional Fees, Payment to Auditors, and Miscellaneous Administrative Expenses.</t>
        </is>
      </c>
      <c r="D17" s="2" t="inlineStr"/>
    </row>
    <row r="18">
      <c r="A18" s="2" t="inlineStr">
        <is>
          <t>17</t>
        </is>
      </c>
      <c r="B18" s="2" t="inlineStr">
        <is>
          <t>Related Party Transactions</t>
        </is>
      </c>
      <c r="C18" s="2" t="inlineStr">
        <is>
          <t>Disclosures as per AS 18 Related Party Disclosures: Related party relationships, transactions during the year (purchases, sales, services), and closing balances at year end.
--- SUGGESTED RULE-BASED FOOTNOTES ---
Footnote Note 17: Related Party transactions were executed during the year with Global Logistics Pvt Ltd on an arm's length basis in ordinary course of business.</t>
        </is>
      </c>
      <c r="D18" s="3">
        <f>SUM('07_Related_Party'!G:G)</f>
        <v/>
      </c>
    </row>
    <row r="19">
      <c r="A19" s="2" t="inlineStr">
        <is>
          <t>18</t>
        </is>
      </c>
      <c r="B19" s="2" t="inlineStr">
        <is>
          <t>Contingent Liabilities</t>
        </is>
      </c>
      <c r="C19" s="2" t="inlineStr">
        <is>
          <t>Contingent liabilities not provided for in respect of disputed statutory claims, guarantees given, and pending litigations against the company.
--- SUGGESTED RULE-BASED FOOTNOTES ---
Footnote Note 18: Contingent Liabilities in respect of disputed demands total Rs 35.00 Lakhs. Management expects favorable outcome in appellate forums.</t>
        </is>
      </c>
      <c r="D19" s="2" t="inlineStr"/>
    </row>
    <row r="20">
      <c r="A20" s="2" t="inlineStr">
        <is>
          <t>19</t>
        </is>
      </c>
      <c r="B20" s="2" t="inlineStr">
        <is>
          <t>Ratios</t>
        </is>
      </c>
      <c r="C20" s="2" t="inlineStr">
        <is>
          <t>Key financial ratios as mandated under Schedule III Division I (Current Ratio, Debt Equity, Net Profit Margin, Return on Equity, Inventory Turnover, Trade Receivable Turnover, Trade Payable Turnover) along with variance analysis.</t>
        </is>
      </c>
      <c r="D20" s="2" t="inlineStr"/>
    </row>
    <row r="21">
      <c r="A21" s="2" t="inlineStr">
        <is>
          <t>20</t>
        </is>
      </c>
      <c r="B21" s="2" t="inlineStr">
        <is>
          <t>Previous Year Regrouping</t>
        </is>
      </c>
      <c r="C21" s="2" t="inlineStr">
        <is>
          <t>Previous year figures have been regrouped, reclassified and rearranged wherever necessary to correspond with current year's classification.</t>
        </is>
      </c>
      <c r="D21" s="2" t="inlineStr"/>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showGridLines="1" workbookViewId="0">
      <pane ySplit="1" topLeftCell="A2" activePane="bottomLeft" state="frozen"/>
      <selection pane="bottomLeft" activeCell="A1" sqref="A1"/>
    </sheetView>
  </sheetViews>
  <sheetFormatPr baseColWidth="8" defaultRowHeight="15"/>
  <cols>
    <col width="14" customWidth="1" min="1" max="1"/>
    <col width="25" customWidth="1" min="2" max="2"/>
    <col width="42" customWidth="1" min="3" max="3"/>
    <col width="24" customWidth="1" min="4" max="4"/>
    <col width="24" customWidth="1" min="5" max="5"/>
    <col width="14" customWidth="1" min="6" max="6"/>
    <col width="14" customWidth="1" min="7" max="7"/>
    <col width="65" customWidth="1" min="8" max="8"/>
  </cols>
  <sheetData>
    <row r="1">
      <c r="A1" s="1" t="inlineStr">
        <is>
          <t>Ratio Code</t>
        </is>
      </c>
      <c r="B1" s="1" t="inlineStr">
        <is>
          <t>Ratio Name</t>
        </is>
      </c>
      <c r="C1" s="1" t="inlineStr">
        <is>
          <t>Formula Definition</t>
        </is>
      </c>
      <c r="D1" s="1" t="inlineStr">
        <is>
          <t>CY (31st March 2026)</t>
        </is>
      </c>
      <c r="E1" s="1" t="inlineStr">
        <is>
          <t>PY (31st March 2025)</t>
        </is>
      </c>
      <c r="F1" s="1" t="inlineStr">
        <is>
          <t>Unit</t>
        </is>
      </c>
      <c r="G1" s="1" t="inlineStr">
        <is>
          <t>Movement</t>
        </is>
      </c>
      <c r="H1" s="1" t="inlineStr">
        <is>
          <t>SW India Audit Commentary</t>
        </is>
      </c>
    </row>
    <row r="2">
      <c r="A2" s="2" t="inlineStr">
        <is>
          <t>R01</t>
        </is>
      </c>
      <c r="B2" s="2" t="inlineStr">
        <is>
          <t>Current Ratio</t>
        </is>
      </c>
      <c r="C2" s="2" t="inlineStr">
        <is>
          <t>Current Assets / Current Liabilities</t>
        </is>
      </c>
      <c r="D2" s="3" t="n">
        <v>1.67</v>
      </c>
      <c r="E2" s="3" t="n">
        <v>1.76</v>
      </c>
      <c r="F2" s="2" t="inlineStr">
        <is>
          <t>times</t>
        </is>
      </c>
      <c r="G2" s="2" t="inlineStr">
        <is>
          <t>-5.1%</t>
        </is>
      </c>
      <c r="H2" s="2" t="inlineStr">
        <is>
          <t>Satisfactory liquidity buffer (ideal benchmark is 1.5 - 2.0).</t>
        </is>
      </c>
    </row>
    <row r="3">
      <c r="A3" s="2" t="inlineStr">
        <is>
          <t>R02</t>
        </is>
      </c>
      <c r="B3" s="2" t="inlineStr">
        <is>
          <t>Debt Equity Ratio</t>
        </is>
      </c>
      <c r="C3" s="2" t="inlineStr">
        <is>
          <t>Total Debt / Shareholders' Equity</t>
        </is>
      </c>
      <c r="D3" s="3" t="n">
        <v>0.46</v>
      </c>
      <c r="E3" s="3" t="n">
        <v>0.62</v>
      </c>
      <c r="F3" s="2" t="inlineStr">
        <is>
          <t>times</t>
        </is>
      </c>
      <c r="G3" s="2" t="inlineStr">
        <is>
          <t>-25.8%</t>
        </is>
      </c>
      <c r="H3" s="2" t="inlineStr">
        <is>
          <t>Comfortable leverage levels well within benchmark threshold of 2.0.</t>
        </is>
      </c>
    </row>
    <row r="4">
      <c r="A4" s="2" t="inlineStr">
        <is>
          <t>R03</t>
        </is>
      </c>
      <c r="B4" s="2" t="inlineStr">
        <is>
          <t>Net Profit Ratio</t>
        </is>
      </c>
      <c r="C4" s="2" t="inlineStr">
        <is>
          <t>(Net Profit After Tax / Revenue) * 100</t>
        </is>
      </c>
      <c r="D4" s="3" t="n">
        <v>7.03</v>
      </c>
      <c r="E4" s="3" t="n">
        <v>2.67</v>
      </c>
      <c r="F4" s="2" t="inlineStr">
        <is>
          <t>%</t>
        </is>
      </c>
      <c r="G4" s="2" t="inlineStr">
        <is>
          <t>+163.3%</t>
        </is>
      </c>
      <c r="H4" s="2" t="inlineStr">
        <is>
          <t>Healthy net profit margin of 7.03% driven by cost controls.</t>
        </is>
      </c>
    </row>
    <row r="5">
      <c r="A5" s="2" t="inlineStr">
        <is>
          <t>R04</t>
        </is>
      </c>
      <c r="B5" s="2" t="inlineStr">
        <is>
          <t>EBITDA Margin</t>
        </is>
      </c>
      <c r="C5" s="2" t="inlineStr">
        <is>
          <t>(EBITDA / Revenue) * 100</t>
        </is>
      </c>
      <c r="D5" s="3" t="n">
        <v>16.92</v>
      </c>
      <c r="E5" s="3" t="n">
        <v>13.47</v>
      </c>
      <c r="F5" s="2" t="inlineStr">
        <is>
          <t>%</t>
        </is>
      </c>
      <c r="G5" s="2" t="inlineStr">
        <is>
          <t>+25.6%</t>
        </is>
      </c>
      <c r="H5" s="2" t="inlineStr">
        <is>
          <t>Strong operating cash margin of 16.92%.</t>
        </is>
      </c>
    </row>
    <row r="6">
      <c r="A6" s="2" t="inlineStr">
        <is>
          <t>R05</t>
        </is>
      </c>
      <c r="B6" s="2" t="inlineStr">
        <is>
          <t>Return on Equity</t>
        </is>
      </c>
      <c r="C6" s="2" t="inlineStr">
        <is>
          <t>(Net Profit After Tax / Equity) * 100</t>
        </is>
      </c>
      <c r="D6" s="3" t="n">
        <v>10.83</v>
      </c>
      <c r="E6" s="3" t="n">
        <v>4.35</v>
      </c>
      <c r="F6" s="2" t="inlineStr">
        <is>
          <t>%</t>
        </is>
      </c>
      <c r="G6" s="2" t="inlineStr">
        <is>
          <t>+149.0%</t>
        </is>
      </c>
      <c r="H6" s="2" t="inlineStr">
        <is>
          <t>Return on equity is 10.83%.</t>
        </is>
      </c>
    </row>
    <row r="7">
      <c r="A7" s="2" t="inlineStr">
        <is>
          <t>R06</t>
        </is>
      </c>
      <c r="B7" s="2" t="inlineStr">
        <is>
          <t>Trade Receivable Days</t>
        </is>
      </c>
      <c r="C7" s="2" t="inlineStr">
        <is>
          <t>(Trade Receivables / Revenue) * 365</t>
        </is>
      </c>
      <c r="D7" s="3" t="n">
        <v>67.08</v>
      </c>
      <c r="E7" s="3" t="n">
        <v>68.13</v>
      </c>
      <c r="F7" s="2" t="inlineStr">
        <is>
          <t>days</t>
        </is>
      </c>
      <c r="G7" s="2" t="inlineStr">
        <is>
          <t>-1.5%</t>
        </is>
      </c>
      <c r="H7" s="2" t="inlineStr">
        <is>
          <t>Average collection period is 67.08 days. Prompt collection cycle.</t>
        </is>
      </c>
    </row>
    <row r="8">
      <c r="A8" s="2" t="inlineStr">
        <is>
          <t>R07</t>
        </is>
      </c>
      <c r="B8" s="2" t="inlineStr">
        <is>
          <t>Trade Payable Days</t>
        </is>
      </c>
      <c r="C8" s="2" t="inlineStr">
        <is>
          <t>(Trade Payables / COGS) * 365</t>
        </is>
      </c>
      <c r="D8" s="3" t="n">
        <v>111.09</v>
      </c>
      <c r="E8" s="3" t="n">
        <v>112.31</v>
      </c>
      <c r="F8" s="2" t="inlineStr">
        <is>
          <t>days</t>
        </is>
      </c>
      <c r="G8" s="2" t="inlineStr">
        <is>
          <t>-1.1%</t>
        </is>
      </c>
      <c r="H8" s="2" t="inlineStr">
        <is>
          <t>Vendor payment turnaround is 111.09 days.</t>
        </is>
      </c>
    </row>
    <row r="9">
      <c r="A9" s="2" t="inlineStr">
        <is>
          <t>R08</t>
        </is>
      </c>
      <c r="B9" s="2" t="inlineStr">
        <is>
          <t>Inventory Days</t>
        </is>
      </c>
      <c r="C9" s="2" t="inlineStr">
        <is>
          <t>(Inventories / COGS) * 365</t>
        </is>
      </c>
      <c r="D9" s="3" t="n">
        <v>83.31999999999999</v>
      </c>
      <c r="E9" s="3" t="n">
        <v>88.91</v>
      </c>
      <c r="F9" s="2" t="inlineStr">
        <is>
          <t>days</t>
        </is>
      </c>
      <c r="G9" s="2" t="inlineStr">
        <is>
          <t>-6.3%</t>
        </is>
      </c>
      <c r="H9" s="2" t="inlineStr">
        <is>
          <t>Inventory holding cycle of 83.32 days.</t>
        </is>
      </c>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8"/>
  <sheetViews>
    <sheetView showGridLines="1" workbookViewId="0">
      <pane ySplit="1" topLeftCell="A2" activePane="bottomLeft" state="frozen"/>
      <selection pane="bottomLeft" activeCell="A1" sqref="A1"/>
    </sheetView>
  </sheetViews>
  <sheetFormatPr baseColWidth="8" defaultRowHeight="15"/>
  <cols>
    <col width="14" customWidth="1" min="1" max="1"/>
    <col width="47" customWidth="1" min="2" max="2"/>
    <col width="21" customWidth="1" min="3" max="3"/>
    <col width="14" customWidth="1" min="4" max="4"/>
    <col width="64" customWidth="1" min="5" max="5"/>
    <col width="65" customWidth="1" min="6" max="6"/>
  </cols>
  <sheetData>
    <row r="1">
      <c r="A1" s="1" t="inlineStr">
        <is>
          <t>Check Code</t>
        </is>
      </c>
      <c r="B1" s="1" t="inlineStr">
        <is>
          <t>Check Name</t>
        </is>
      </c>
      <c r="C1" s="1" t="inlineStr">
        <is>
          <t>Category</t>
        </is>
      </c>
      <c r="D1" s="1" t="inlineStr">
        <is>
          <t>Status</t>
        </is>
      </c>
      <c r="E1" s="1" t="inlineStr">
        <is>
          <t>Observation Summary</t>
        </is>
      </c>
      <c r="F1" s="1" t="inlineStr">
        <is>
          <t>Detailed Audit Trace</t>
        </is>
      </c>
    </row>
    <row r="2">
      <c r="A2" s="2" t="inlineStr">
        <is>
          <t>V01</t>
        </is>
      </c>
      <c r="B2" s="2" t="inlineStr">
        <is>
          <t>Required Upload Columns Present</t>
        </is>
      </c>
      <c r="C2" s="2" t="inlineStr">
        <is>
          <t>Upload</t>
        </is>
      </c>
      <c r="D2" s="9" t="inlineStr">
        <is>
          <t>Passed</t>
        </is>
      </c>
      <c r="E2" s="2" t="inlineStr">
        <is>
          <t>All mandatory Trial Balance columns identified successfully.</t>
        </is>
      </c>
      <c r="F2" s="2" t="inlineStr">
        <is>
          <t>Total 21 ledger lines parsed from upload.</t>
        </is>
      </c>
    </row>
    <row r="3">
      <c r="A3" s="2" t="inlineStr">
        <is>
          <t>V02</t>
        </is>
      </c>
      <c r="B3" s="2" t="inlineStr">
        <is>
          <t>Blank Ledger Names</t>
        </is>
      </c>
      <c r="C3" s="2" t="inlineStr">
        <is>
          <t>Upload</t>
        </is>
      </c>
      <c r="D3" s="9" t="inlineStr">
        <is>
          <t>Passed</t>
        </is>
      </c>
      <c r="E3" s="2" t="inlineStr">
        <is>
          <t>No blank ledger names found in Trial Balance.</t>
        </is>
      </c>
      <c r="F3" s="2" t="inlineStr">
        <is>
          <t>All Trial Balance rows have valid ledger names.</t>
        </is>
      </c>
    </row>
    <row r="4">
      <c r="A4" s="2" t="inlineStr">
        <is>
          <t>V03</t>
        </is>
      </c>
      <c r="B4" s="2" t="inlineStr">
        <is>
          <t>Unmapped / Fallback Ledgers</t>
        </is>
      </c>
      <c r="C4" s="2" t="inlineStr">
        <is>
          <t>Accounting</t>
        </is>
      </c>
      <c r="D4" s="10" t="inlineStr">
        <is>
          <t>Warning</t>
        </is>
      </c>
      <c r="E4" s="2" t="inlineStr">
        <is>
          <t>1 ledgers mapped to default fallback.</t>
        </is>
      </c>
      <c r="F4" s="2" t="inlineStr">
        <is>
          <t>Verify mapping for unclassified ledgers.</t>
        </is>
      </c>
    </row>
    <row r="5">
      <c r="A5" s="2" t="inlineStr">
        <is>
          <t>V04</t>
        </is>
      </c>
      <c r="B5" s="2" t="inlineStr">
        <is>
          <t>Balance Sheet Tally Check</t>
        </is>
      </c>
      <c r="C5" s="2" t="inlineStr">
        <is>
          <t>Financial</t>
        </is>
      </c>
      <c r="D5" s="9" t="inlineStr">
        <is>
          <t>Passed</t>
        </is>
      </c>
      <c r="E5" s="2" t="inlineStr">
        <is>
          <t>Total Equity &amp; Liabilities equals Total Assets.</t>
        </is>
      </c>
      <c r="F5" s="2" t="inlineStr">
        <is>
          <t>Difference: Rs 0.00 Lakhs.</t>
        </is>
      </c>
    </row>
    <row r="6">
      <c r="A6" s="2" t="inlineStr">
        <is>
          <t>V05</t>
        </is>
      </c>
      <c r="B6" s="2" t="inlineStr">
        <is>
          <t>Balance Sheet Note Numbers</t>
        </is>
      </c>
      <c r="C6" s="2" t="inlineStr">
        <is>
          <t>Disclosure</t>
        </is>
      </c>
      <c r="D6" s="9" t="inlineStr">
        <is>
          <t>Passed</t>
        </is>
      </c>
      <c r="E6" s="2" t="inlineStr">
        <is>
          <t>All Balance Sheet line items have note references assigned.</t>
        </is>
      </c>
      <c r="F6" s="2" t="inlineStr">
        <is>
          <t>All line items mapped to notes.</t>
        </is>
      </c>
    </row>
    <row r="7">
      <c r="A7" s="2" t="inlineStr">
        <is>
          <t>V06</t>
        </is>
      </c>
      <c r="B7" s="2" t="inlineStr">
        <is>
          <t>Profit &amp; Loss Note Numbers</t>
        </is>
      </c>
      <c r="C7" s="2" t="inlineStr">
        <is>
          <t>Disclosure</t>
        </is>
      </c>
      <c r="D7" s="9" t="inlineStr">
        <is>
          <t>Passed</t>
        </is>
      </c>
      <c r="E7" s="2" t="inlineStr">
        <is>
          <t>All P&amp;L line items have note references assigned.</t>
        </is>
      </c>
      <c r="F7" s="2" t="inlineStr">
        <is>
          <t>All line items mapped to notes.</t>
        </is>
      </c>
    </row>
    <row r="8">
      <c r="A8" s="2" t="inlineStr">
        <is>
          <t>V07</t>
        </is>
      </c>
      <c r="B8" s="2" t="inlineStr">
        <is>
          <t>Previous Year Comparatives Available</t>
        </is>
      </c>
      <c r="C8" s="2" t="inlineStr">
        <is>
          <t>Financial</t>
        </is>
      </c>
      <c r="D8" s="9" t="inlineStr">
        <is>
          <t>Passed</t>
        </is>
      </c>
      <c r="E8" s="2" t="inlineStr">
        <is>
          <t>Previous year comparative figures are populated.</t>
        </is>
      </c>
      <c r="F8" s="2" t="inlineStr">
        <is>
          <t>21 of 21 ledgers have PY figures.</t>
        </is>
      </c>
    </row>
    <row r="9">
      <c r="A9" s="2" t="inlineStr">
        <is>
          <t>V08</t>
        </is>
      </c>
      <c r="B9" s="2" t="inlineStr">
        <is>
          <t>AR Ageing Schedule Reconciliation</t>
        </is>
      </c>
      <c r="C9" s="2" t="inlineStr">
        <is>
          <t>Upload</t>
        </is>
      </c>
      <c r="D9" s="9" t="inlineStr">
        <is>
          <t>Passed</t>
        </is>
      </c>
      <c r="E9" s="2" t="inlineStr">
        <is>
          <t>AR Ageing schedule uploaded and linked.</t>
        </is>
      </c>
      <c r="F9" s="2" t="inlineStr">
        <is>
          <t>AR schedule records: 3.</t>
        </is>
      </c>
    </row>
    <row r="10">
      <c r="A10" s="2" t="inlineStr">
        <is>
          <t>V09</t>
        </is>
      </c>
      <c r="B10" s="2" t="inlineStr">
        <is>
          <t>AP Ageing Schedule Reconciliation</t>
        </is>
      </c>
      <c r="C10" s="2" t="inlineStr">
        <is>
          <t>Upload</t>
        </is>
      </c>
      <c r="D10" s="9" t="inlineStr">
        <is>
          <t>Passed</t>
        </is>
      </c>
      <c r="E10" s="2" t="inlineStr">
        <is>
          <t>AP Ageing schedule uploaded and linked.</t>
        </is>
      </c>
      <c r="F10" s="2" t="inlineStr">
        <is>
          <t>AP schedule records: 2.</t>
        </is>
      </c>
    </row>
    <row r="11">
      <c r="A11" s="2" t="inlineStr">
        <is>
          <t>V10</t>
        </is>
      </c>
      <c r="B11" s="2" t="inlineStr">
        <is>
          <t>CWIP Ageing Schedule Reconciliation</t>
        </is>
      </c>
      <c r="C11" s="2" t="inlineStr">
        <is>
          <t>Upload</t>
        </is>
      </c>
      <c r="D11" s="9" t="inlineStr">
        <is>
          <t>Passed</t>
        </is>
      </c>
      <c r="E11" s="2" t="inlineStr">
        <is>
          <t>CWIP Ageing schedule uploaded and linked.</t>
        </is>
      </c>
      <c r="F11" s="2" t="inlineStr">
        <is>
          <t>CWIP projects: 1.</t>
        </is>
      </c>
    </row>
    <row r="12">
      <c r="A12" s="2" t="inlineStr">
        <is>
          <t>V11</t>
        </is>
      </c>
      <c r="B12" s="2" t="inlineStr">
        <is>
          <t>Related Party Schedule Uploaded</t>
        </is>
      </c>
      <c r="C12" s="2" t="inlineStr">
        <is>
          <t>Upload</t>
        </is>
      </c>
      <c r="D12" s="9" t="inlineStr">
        <is>
          <t>Passed</t>
        </is>
      </c>
      <c r="E12" s="2" t="inlineStr">
        <is>
          <t>Related Party schedule uploaded.</t>
        </is>
      </c>
      <c r="F12" s="2" t="inlineStr">
        <is>
          <t>Related party entries: 1.</t>
        </is>
      </c>
    </row>
    <row r="13">
      <c r="A13" s="2" t="inlineStr">
        <is>
          <t>V12</t>
        </is>
      </c>
      <c r="B13" s="2" t="inlineStr">
        <is>
          <t>Borrowings Schedule Reconciliation</t>
        </is>
      </c>
      <c r="C13" s="2" t="inlineStr">
        <is>
          <t>Upload</t>
        </is>
      </c>
      <c r="D13" s="9" t="inlineStr">
        <is>
          <t>Passed</t>
        </is>
      </c>
      <c r="E13" s="2" t="inlineStr">
        <is>
          <t>Borrowings schedule uploaded and reconciled.</t>
        </is>
      </c>
      <c r="F13" s="2" t="inlineStr">
        <is>
          <t>Borrowing facilities: 2.</t>
        </is>
      </c>
    </row>
    <row r="14">
      <c r="A14" s="2" t="inlineStr">
        <is>
          <t>V13</t>
        </is>
      </c>
      <c r="B14" s="2" t="inlineStr">
        <is>
          <t>Negative Cash or Bank Balance</t>
        </is>
      </c>
      <c r="C14" s="2" t="inlineStr">
        <is>
          <t>Financial</t>
        </is>
      </c>
      <c r="D14" s="9" t="inlineStr">
        <is>
          <t>Passed</t>
        </is>
      </c>
      <c r="E14" s="2" t="inlineStr">
        <is>
          <t>Cash and bank balances are positive.</t>
        </is>
      </c>
      <c r="F14" s="2" t="inlineStr">
        <is>
          <t>No overdrawn cash accounts.</t>
        </is>
      </c>
    </row>
    <row r="15">
      <c r="A15" s="2" t="inlineStr">
        <is>
          <t>V14</t>
        </is>
      </c>
      <c r="B15" s="2" t="inlineStr">
        <is>
          <t>Current Working Capital Deficit</t>
        </is>
      </c>
      <c r="C15" s="2" t="inlineStr">
        <is>
          <t>Financial</t>
        </is>
      </c>
      <c r="D15" s="9" t="inlineStr">
        <is>
          <t>Passed</t>
        </is>
      </c>
      <c r="E15" s="2" t="inlineStr">
        <is>
          <t>Current Assets exceed Current Liabilities.</t>
        </is>
      </c>
      <c r="F15" s="2" t="inlineStr">
        <is>
          <t>Current Ratio: 1.67 times.</t>
        </is>
      </c>
    </row>
    <row r="16">
      <c r="A16" s="2" t="inlineStr">
        <is>
          <t>V15</t>
        </is>
      </c>
      <c r="B16" s="2" t="inlineStr">
        <is>
          <t>Debt Equity Ratio Limit (&gt; 2.0)</t>
        </is>
      </c>
      <c r="C16" s="2" t="inlineStr">
        <is>
          <t>Financial</t>
        </is>
      </c>
      <c r="D16" s="9" t="inlineStr">
        <is>
          <t>Passed</t>
        </is>
      </c>
      <c r="E16" s="2" t="inlineStr">
        <is>
          <t>Debt Equity Ratio is within 2.0 ceiling.</t>
        </is>
      </c>
      <c r="F16" s="2" t="inlineStr">
        <is>
          <t>Debt-Equity: 0.46.</t>
        </is>
      </c>
    </row>
    <row r="17">
      <c r="A17" s="2" t="inlineStr">
        <is>
          <t>V16</t>
        </is>
      </c>
      <c r="B17" s="2" t="inlineStr">
        <is>
          <t>Receivable Growth vs Revenue Growth</t>
        </is>
      </c>
      <c r="C17" s="2" t="inlineStr">
        <is>
          <t>Accounting</t>
        </is>
      </c>
      <c r="D17" s="9" t="inlineStr">
        <is>
          <t>Passed</t>
        </is>
      </c>
      <c r="E17" s="2" t="inlineStr">
        <is>
          <t>Receivable growth is in tandem with revenue trajectory.</t>
        </is>
      </c>
      <c r="F17" s="2" t="inlineStr">
        <is>
          <t>Receivable collection days: 67.08 days.</t>
        </is>
      </c>
    </row>
    <row r="18">
      <c r="A18" s="2" t="inlineStr">
        <is>
          <t>V17</t>
        </is>
      </c>
      <c r="B18" s="2" t="inlineStr">
        <is>
          <t>CWIP Projects Older Than 2 Years</t>
        </is>
      </c>
      <c r="C18" s="2" t="inlineStr">
        <is>
          <t>Disclosure</t>
        </is>
      </c>
      <c r="D18" s="10" t="inlineStr">
        <is>
          <t>Warning</t>
        </is>
      </c>
      <c r="E18" s="2" t="inlineStr">
        <is>
          <t>1 CWIP project(s) pending for more than 2 years.</t>
        </is>
      </c>
      <c r="F18" s="2" t="inlineStr">
        <is>
          <t>Delayed projects: ['Phase II Factory Unit Expansion']</t>
        </is>
      </c>
    </row>
    <row r="19">
      <c r="A19" s="2" t="inlineStr">
        <is>
          <t>V18</t>
        </is>
      </c>
      <c r="B19" s="2" t="inlineStr">
        <is>
          <t>Material Related Party Balances</t>
        </is>
      </c>
      <c r="C19" s="2" t="inlineStr">
        <is>
          <t>Disclosure</t>
        </is>
      </c>
      <c r="D19" s="9" t="inlineStr">
        <is>
          <t>Passed</t>
        </is>
      </c>
      <c r="E19" s="2" t="inlineStr">
        <is>
          <t>1 Related Party disclosures identified.</t>
        </is>
      </c>
      <c r="F19" s="2" t="inlineStr">
        <is>
          <t>AS-18 disclosure note generated.</t>
        </is>
      </c>
    </row>
    <row r="20">
      <c r="A20" s="2" t="inlineStr">
        <is>
          <t>V19</t>
        </is>
      </c>
      <c r="B20" s="2" t="inlineStr">
        <is>
          <t>Borrowing Repayment Defaults</t>
        </is>
      </c>
      <c r="C20" s="2" t="inlineStr">
        <is>
          <t>Financial</t>
        </is>
      </c>
      <c r="D20" s="9" t="inlineStr">
        <is>
          <t>Passed</t>
        </is>
      </c>
      <c r="E20" s="2" t="inlineStr">
        <is>
          <t>No borrowing repayment defaults identified.</t>
        </is>
      </c>
      <c r="F20" s="2" t="inlineStr">
        <is>
          <t>Clean loan servicing record.</t>
        </is>
      </c>
    </row>
    <row r="21">
      <c r="A21" s="2" t="inlineStr">
        <is>
          <t>V20</t>
        </is>
      </c>
      <c r="B21" s="2" t="inlineStr">
        <is>
          <t>Contingent Liability Increase</t>
        </is>
      </c>
      <c r="C21" s="2" t="inlineStr">
        <is>
          <t>Disclosure</t>
        </is>
      </c>
      <c r="D21" s="9" t="inlineStr">
        <is>
          <t>Passed</t>
        </is>
      </c>
      <c r="E21" s="2" t="inlineStr">
        <is>
          <t>Contingent liabilities stable.</t>
        </is>
      </c>
      <c r="F21" s="2" t="inlineStr">
        <is>
          <t>No new major litigation claims.</t>
        </is>
      </c>
    </row>
    <row r="22">
      <c r="A22" s="2" t="inlineStr">
        <is>
          <t>V21</t>
        </is>
      </c>
      <c r="B22" s="2" t="inlineStr">
        <is>
          <t>Income Mapped to Balance Sheet</t>
        </is>
      </c>
      <c r="C22" s="2" t="inlineStr">
        <is>
          <t>Mapping Exception</t>
        </is>
      </c>
      <c r="D22" s="9" t="inlineStr">
        <is>
          <t>Passed</t>
        </is>
      </c>
      <c r="E22" s="2" t="inlineStr">
        <is>
          <t>No income ledgers mapped to Balance Sheet.</t>
        </is>
      </c>
      <c r="F22" s="2" t="inlineStr">
        <is>
          <t>All income ledgers correctly assigned to P&amp;L.</t>
        </is>
      </c>
    </row>
    <row r="23">
      <c r="A23" s="2" t="inlineStr">
        <is>
          <t>V22</t>
        </is>
      </c>
      <c r="B23" s="2" t="inlineStr">
        <is>
          <t>Expense Mapped to Balance Sheet</t>
        </is>
      </c>
      <c r="C23" s="2" t="inlineStr">
        <is>
          <t>Mapping Exception</t>
        </is>
      </c>
      <c r="D23" s="9" t="inlineStr">
        <is>
          <t>Passed</t>
        </is>
      </c>
      <c r="E23" s="2" t="inlineStr">
        <is>
          <t>No expense ledgers mapped to Balance Sheet.</t>
        </is>
      </c>
      <c r="F23" s="2" t="inlineStr">
        <is>
          <t>All expense ledgers correctly assigned to P&amp;L.</t>
        </is>
      </c>
    </row>
    <row r="24">
      <c r="A24" s="2" t="inlineStr">
        <is>
          <t>V23</t>
        </is>
      </c>
      <c r="B24" s="2" t="inlineStr">
        <is>
          <t>Asset Mapped to Profit &amp; Loss</t>
        </is>
      </c>
      <c r="C24" s="2" t="inlineStr">
        <is>
          <t>Mapping Exception</t>
        </is>
      </c>
      <c r="D24" s="9" t="inlineStr">
        <is>
          <t>Passed</t>
        </is>
      </c>
      <c r="E24" s="2" t="inlineStr">
        <is>
          <t>No asset ledgers mapped to Profit &amp; Loss.</t>
        </is>
      </c>
      <c r="F24" s="2" t="inlineStr">
        <is>
          <t>All asset ledgers correctly assigned to Balance Sheet.</t>
        </is>
      </c>
    </row>
    <row r="25">
      <c r="A25" s="2" t="inlineStr">
        <is>
          <t>V24</t>
        </is>
      </c>
      <c r="B25" s="2" t="inlineStr">
        <is>
          <t>Liability Mapped to Profit &amp; Loss</t>
        </is>
      </c>
      <c r="C25" s="2" t="inlineStr">
        <is>
          <t>Mapping Exception</t>
        </is>
      </c>
      <c r="D25" s="9" t="inlineStr">
        <is>
          <t>Passed</t>
        </is>
      </c>
      <c r="E25" s="2" t="inlineStr">
        <is>
          <t>No liability ledgers mapped to Profit &amp; Loss.</t>
        </is>
      </c>
      <c r="F25" s="2" t="inlineStr">
        <is>
          <t>All liability ledgers correctly assigned to Balance Sheet.</t>
        </is>
      </c>
    </row>
    <row r="26">
      <c r="A26" s="2" t="inlineStr">
        <is>
          <t>V25</t>
        </is>
      </c>
      <c r="B26" s="2" t="inlineStr">
        <is>
          <t>Finance Cost Mapped to Borrowings</t>
        </is>
      </c>
      <c r="C26" s="2" t="inlineStr">
        <is>
          <t>Mapping Exception</t>
        </is>
      </c>
      <c r="D26" s="9" t="inlineStr">
        <is>
          <t>Passed</t>
        </is>
      </c>
      <c r="E26" s="2" t="inlineStr">
        <is>
          <t>No finance cost ledgers mapped to Borrowings.</t>
        </is>
      </c>
      <c r="F26" s="2" t="inlineStr">
        <is>
          <t>Finance cost ledgers must map to P&amp;L Finance Costs.</t>
        </is>
      </c>
    </row>
    <row r="27">
      <c r="A27" s="2" t="inlineStr">
        <is>
          <t>V26</t>
        </is>
      </c>
      <c r="B27" s="2" t="inlineStr">
        <is>
          <t>Interest Income Mapped to Cash/Bank</t>
        </is>
      </c>
      <c r="C27" s="2" t="inlineStr">
        <is>
          <t>Mapping Exception</t>
        </is>
      </c>
      <c r="D27" s="9" t="inlineStr">
        <is>
          <t>Passed</t>
        </is>
      </c>
      <c r="E27" s="2" t="inlineStr">
        <is>
          <t>No interest income ledgers mapped to Cash/Bank.</t>
        </is>
      </c>
      <c r="F27" s="2" t="inlineStr">
        <is>
          <t>Interest income ledgers must map to P&amp;L Other Income.</t>
        </is>
      </c>
    </row>
    <row r="28">
      <c r="A28" s="2" t="inlineStr">
        <is>
          <t>V27</t>
        </is>
      </c>
      <c r="B28" s="2" t="inlineStr">
        <is>
          <t>Raw Material Consumed Mapped to Inventories</t>
        </is>
      </c>
      <c r="C28" s="2" t="inlineStr">
        <is>
          <t>Mapping Exception</t>
        </is>
      </c>
      <c r="D28" s="9" t="inlineStr">
        <is>
          <t>Passed</t>
        </is>
      </c>
      <c r="E28" s="2" t="inlineStr">
        <is>
          <t>No raw material consumed ledgers mapped to Inventories.</t>
        </is>
      </c>
      <c r="F28" s="2" t="inlineStr">
        <is>
          <t>Material consumed ledgers must map to P&amp;L Cost of Materials Consumed.</t>
        </is>
      </c>
    </row>
  </sheetData>
  <sheetProtection selectLockedCells="0" selectUnlockedCells="0" sheet="1" objects="0" insertRows="1" insertHyperlinks="1" autoFilter="1" scenarios="0" formatColumns="1" deleteColumns="1" insertColumns="1" pivotTables="1" deleteRows="1" formatCells="1" formatRows="1" sort="1" password="AC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showGridLines="1" workbookViewId="0">
      <pane ySplit="1" topLeftCell="A2" activePane="bottomLeft" state="frozen"/>
      <selection pane="bottomLeft" activeCell="A1" sqref="A1"/>
    </sheetView>
  </sheetViews>
  <sheetFormatPr baseColWidth="8" defaultRowHeight="15"/>
  <cols>
    <col width="14" customWidth="1" min="1" max="1"/>
    <col width="15" customWidth="1" min="2" max="2"/>
    <col width="65" customWidth="1" min="3" max="3"/>
    <col width="43" customWidth="1" min="4" max="4"/>
    <col width="14" customWidth="1" min="5" max="5"/>
  </cols>
  <sheetData>
    <row r="1">
      <c r="A1" s="1" t="inlineStr">
        <is>
          <t>Query ID</t>
        </is>
      </c>
      <c r="B1" s="1" t="inlineStr">
        <is>
          <t>Category</t>
        </is>
      </c>
      <c r="C1" s="1" t="inlineStr">
        <is>
          <t>Audit Observation / Management Query</t>
        </is>
      </c>
      <c r="D1" s="1" t="inlineStr">
        <is>
          <t>Management Response / Target Resolution</t>
        </is>
      </c>
      <c r="E1" s="1" t="inlineStr">
        <is>
          <t>Status</t>
        </is>
      </c>
    </row>
    <row r="2">
      <c r="A2" s="2" t="inlineStr">
        <is>
          <t>MQ-01</t>
        </is>
      </c>
      <c r="B2" s="2" t="inlineStr">
        <is>
          <t>CWIP</t>
        </is>
      </c>
      <c r="C2" s="2" t="inlineStr">
        <is>
          <t>CWIP project Phase II pending &gt; 2 years. Provide updated project completion schedule and impairment assessment.</t>
        </is>
      </c>
      <c r="D2" s="2" t="inlineStr"/>
      <c r="E2" s="2" t="inlineStr">
        <is>
          <t>Pending</t>
        </is>
      </c>
    </row>
    <row r="3">
      <c r="A3" s="2" t="inlineStr">
        <is>
          <t>MQ-02</t>
        </is>
      </c>
      <c r="B3" s="2" t="inlineStr">
        <is>
          <t>MSME</t>
        </is>
      </c>
      <c r="C3" s="2" t="inlineStr">
        <is>
          <t>Confirm if any interest liability is accrued under MSMED Act 2006 for Bharat Steel Suppliers.</t>
        </is>
      </c>
      <c r="D3" s="2" t="inlineStr"/>
      <c r="E3" s="2" t="inlineStr">
        <is>
          <t>Pending</t>
        </is>
      </c>
    </row>
    <row r="4">
      <c r="A4" s="2" t="inlineStr">
        <is>
          <t>MQ-03</t>
        </is>
      </c>
      <c r="B4" s="2" t="inlineStr">
        <is>
          <t>RPT</t>
        </is>
      </c>
      <c r="C4" s="2" t="inlineStr">
        <is>
          <t>Confirm whether Global Logistics freight service contract is covered under TP documentation and at Arm's length.</t>
        </is>
      </c>
      <c r="D4" s="2" t="inlineStr"/>
      <c r="E4" s="2" t="inlineStr">
        <is>
          <t>Pending</t>
        </is>
      </c>
    </row>
    <row r="5">
      <c r="A5" s="2" t="inlineStr">
        <is>
          <t>MQ-04</t>
        </is>
      </c>
      <c r="B5" s="2" t="inlineStr">
        <is>
          <t>Receivables</t>
        </is>
      </c>
      <c r="C5" s="2" t="inlineStr">
        <is>
          <t>Confirm recoverability of overdue Trade Receivables &gt; 6 months (Rs 80.00 Lakhs).</t>
        </is>
      </c>
      <c r="D5" s="2" t="inlineStr"/>
      <c r="E5" s="2"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2026-08-13T08:21:59Z</dcterms:created>
  <dcterms:modified xmlns:dcterms="http://purl.org/dc/terms/" xmlns:xsi="http://www.w3.org/2001/XMLSchema-instance" xsi:type="dcterms:W3CDTF">2026-08-13T08:21:59Z</dcterms:modified>
</cp:coreProperties>
</file>