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90_Trial_Balance" sheetId="1" r:id="rId1"/>
    <sheet name="91_Mapping" sheetId="2" r:id="rId2"/>
    <sheet name="29_Cash_Flow_Adjustments" sheetId="3" r:id="rId3"/>
    <sheet name="Note_1_1_ShareCapital" sheetId="4" r:id="rId4"/>
    <sheet name="Note_1_2_Reserves" sheetId="5" r:id="rId5"/>
    <sheet name="Note_2_1_LTBorrow" sheetId="6" r:id="rId6"/>
    <sheet name="Note_2_2_LTProv" sheetId="7" r:id="rId7"/>
    <sheet name="Note_3_1_STBorrow" sheetId="8" r:id="rId8"/>
    <sheet name="Note_3_2_TradePayables" sheetId="9" r:id="rId9"/>
    <sheet name="Note_3_3_OtherCL" sheetId="10" r:id="rId10"/>
    <sheet name="Note_3_4_STProv" sheetId="11" r:id="rId11"/>
    <sheet name="Note_4_1_PPE" sheetId="12" r:id="rId12"/>
    <sheet name="Note_4_2_CWIP" sheetId="13" r:id="rId13"/>
    <sheet name="Note_4_3_Investments" sheetId="14" r:id="rId14"/>
    <sheet name="Note_4_4_LTLA" sheetId="15" r:id="rId15"/>
    <sheet name="Note_5_1_Inventories" sheetId="16" r:id="rId16"/>
    <sheet name="Note_5_2_Receivables" sheetId="17" r:id="rId17"/>
    <sheet name="Note_5_3_CashBank" sheetId="18" r:id="rId18"/>
    <sheet name="Note_5_4_STLA" sheetId="19" r:id="rId19"/>
    <sheet name="Note_5_5_OtherCA" sheetId="20" r:id="rId20"/>
    <sheet name="Note_6_1_Revenue" sheetId="21" r:id="rId21"/>
    <sheet name="Note_6_2_OtherIncome" sheetId="22" r:id="rId22"/>
    <sheet name="Note_7_1_Material" sheetId="23" r:id="rId23"/>
    <sheet name="Note_7_2_Employee" sheetId="24" r:id="rId24"/>
    <sheet name="Note_7_3_Finance" sheetId="25" r:id="rId25"/>
    <sheet name="Note_7_4_Depreciation" sheetId="26" r:id="rId26"/>
    <sheet name="Note_7_5_OtherExp" sheetId="27" r:id="rId27"/>
    <sheet name="Note_7_6_Tax" sheetId="28" r:id="rId28"/>
    <sheet name="Note_8_1_RPT" sheetId="29" r:id="rId29"/>
    <sheet name="Note_8_2_Contingencies" sheetId="30" r:id="rId30"/>
    <sheet name="02_Balance_Sheet" sheetId="31" r:id="rId31"/>
    <sheet name="03_Profit_and_Loss" sheetId="32" r:id="rId32"/>
    <sheet name="04_Cash_Flow_Statement" sheetId="33" r:id="rId33"/>
    <sheet name="07_Financial_Ratios" sheetId="34" r:id="rId34"/>
    <sheet name="98_Tie_Out" sheetId="35" r:id="rId35"/>
    <sheet name="99_Formula_Audit" sheetId="36" r:id="rId36"/>
    <sheet name="Sign_Off" sheetId="37" r:id="rId37"/>
  </sheets>
  <definedNames>
    <definedName name="_xlnm.Print_Titles" localSheetId="30">'02_Balance_Sheet'!$1:$5</definedName>
    <definedName name="_xlnm.Print_Titles" localSheetId="31">'03_Profit_and_Loss'!$1:$5</definedName>
    <definedName name="_xlnm.Print_Titles" localSheetId="32">'04_Cash_Flow_Statement'!$1:$5</definedName>
    <definedName name="_xlnm.Print_Titles" localSheetId="33">'07_Financial_Ratios'!$1:$5</definedName>
    <definedName name="_xlnm.Print_Titles" localSheetId="2">'29_Cash_Flow_Adjustments'!$1:$5</definedName>
    <definedName name="_xlnm.Print_Titles" localSheetId="0">'90_Trial_Balance'!$1:$5</definedName>
    <definedName name="_xlnm.Print_Titles" localSheetId="1">'91_Mapping'!$1:$5</definedName>
    <definedName name="_xlnm.Print_Titles" localSheetId="34">'98_Tie_Out'!$1:$5</definedName>
    <definedName name="_xlnm.Print_Titles" localSheetId="35">'99_Formula_Audit'!$1:$5</definedName>
    <definedName name="_xlnm.Print_Titles" localSheetId="3">Note_1_1_ShareCapital!$1:$5</definedName>
    <definedName name="_xlnm.Print_Titles" localSheetId="4">Note_1_2_Reserves!$1:$5</definedName>
    <definedName name="_xlnm.Print_Titles" localSheetId="5">Note_2_1_LTBorrow!$1:$5</definedName>
    <definedName name="_xlnm.Print_Titles" localSheetId="6">Note_2_2_LTProv!$1:$5</definedName>
    <definedName name="_xlnm.Print_Titles" localSheetId="7">Note_3_1_STBorrow!$1:$5</definedName>
    <definedName name="_xlnm.Print_Titles" localSheetId="8">Note_3_2_TradePayables!$1:$5</definedName>
    <definedName name="_xlnm.Print_Titles" localSheetId="9">Note_3_3_OtherCL!$1:$5</definedName>
    <definedName name="_xlnm.Print_Titles" localSheetId="10">Note_3_4_STProv!$1:$5</definedName>
    <definedName name="_xlnm.Print_Titles" localSheetId="11">Note_4_1_PPE!$1:$5</definedName>
    <definedName name="_xlnm.Print_Titles" localSheetId="12">Note_4_2_CWIP!$1:$5</definedName>
    <definedName name="_xlnm.Print_Titles" localSheetId="13">Note_4_3_Investments!$1:$5</definedName>
    <definedName name="_xlnm.Print_Titles" localSheetId="14">Note_4_4_LTLA!$1:$5</definedName>
    <definedName name="_xlnm.Print_Titles" localSheetId="15">Note_5_1_Inventories!$1:$5</definedName>
    <definedName name="_xlnm.Print_Titles" localSheetId="16">Note_5_2_Receivables!$1:$5</definedName>
    <definedName name="_xlnm.Print_Titles" localSheetId="17">Note_5_3_CashBank!$1:$5</definedName>
    <definedName name="_xlnm.Print_Titles" localSheetId="18">Note_5_4_STLA!$1:$5</definedName>
    <definedName name="_xlnm.Print_Titles" localSheetId="19">Note_5_5_OtherCA!$1:$5</definedName>
    <definedName name="_xlnm.Print_Titles" localSheetId="20">Note_6_1_Revenue!$1:$5</definedName>
    <definedName name="_xlnm.Print_Titles" localSheetId="21">Note_6_2_OtherIncome!$1:$5</definedName>
    <definedName name="_xlnm.Print_Titles" localSheetId="22">Note_7_1_Material!$1:$5</definedName>
    <definedName name="_xlnm.Print_Titles" localSheetId="23">Note_7_2_Employee!$1:$5</definedName>
    <definedName name="_xlnm.Print_Titles" localSheetId="24">Note_7_3_Finance!$1:$5</definedName>
    <definedName name="_xlnm.Print_Titles" localSheetId="25">Note_7_4_Depreciation!$1:$5</definedName>
    <definedName name="_xlnm.Print_Titles" localSheetId="26">Note_7_5_OtherExp!$1:$5</definedName>
    <definedName name="_xlnm.Print_Titles" localSheetId="27">Note_7_6_Tax!$1:$5</definedName>
    <definedName name="_xlnm.Print_Titles" localSheetId="28">Note_8_1_RPT!$1:$5</definedName>
    <definedName name="_xlnm.Print_Titles" localSheetId="29">Note_8_2_Contingencies!$1:$5</definedName>
    <definedName name="_xlnm.Print_Titles" localSheetId="36">Sign_Off!$1:$5</definedName>
    <definedName name="TOT_Cash">'91_Mapping'!$Z$1</definedName>
    <definedName name="TOT_Cash">'Note_5_3_CashBank'!$B$14</definedName>
    <definedName name="TOT_Cash_PY">'91_Mapping'!$Z$1</definedName>
    <definedName name="TOT_Cash_PY">'Note_5_3_CashBank'!$C$14</definedName>
    <definedName name="TOT_Contingencies">'91_Mapping'!$Z$1</definedName>
    <definedName name="TOT_Contingencies_PY">'91_Mapping'!$Z$1</definedName>
    <definedName name="TOT_CWIP">'91_Mapping'!$Z$1</definedName>
    <definedName name="TOT_CWIP">'Note_4_2_CWIP'!$E$7</definedName>
    <definedName name="TOT_CWIP_PY">'91_Mapping'!$Z$1</definedName>
    <definedName name="TOT_CWIP_PY">'Note_4_2_CWIP'!$F$7</definedName>
    <definedName name="TOT_Depreciation">'91_Mapping'!$Z$1</definedName>
    <definedName name="TOT_Depreciation">'Note_7_4_Depreciation'!$B$9</definedName>
    <definedName name="TOT_Depreciation_PY">'91_Mapping'!$Z$1</definedName>
    <definedName name="TOT_Depreciation_PY">'Note_7_4_Depreciation'!$C$9</definedName>
    <definedName name="TOT_Employee">'91_Mapping'!$Z$1</definedName>
    <definedName name="TOT_Employee">'Note_7_2_Employee'!$B$11</definedName>
    <definedName name="TOT_Employee_PY">'91_Mapping'!$Z$1</definedName>
    <definedName name="TOT_Employee_PY">'Note_7_2_Employee'!$C$11</definedName>
    <definedName name="TOT_Finance">'91_Mapping'!$Z$1</definedName>
    <definedName name="TOT_Finance">'Note_7_3_Finance'!$B$10</definedName>
    <definedName name="TOT_Finance_PY">'91_Mapping'!$Z$1</definedName>
    <definedName name="TOT_Finance_PY">'Note_7_3_Finance'!$C$10</definedName>
    <definedName name="TOT_Inventory">'91_Mapping'!$Z$1</definedName>
    <definedName name="TOT_Inventory">'Note_5_1_Inventories'!$B$10</definedName>
    <definedName name="TOT_Inventory_PY">'91_Mapping'!$Z$1</definedName>
    <definedName name="TOT_Inventory_PY">'Note_5_1_Inventories'!$C$10</definedName>
    <definedName name="TOT_Investments">'91_Mapping'!$Z$1</definedName>
    <definedName name="TOT_Investments">'Note_4_3_Investments'!$C$9</definedName>
    <definedName name="TOT_Investments_PY">'91_Mapping'!$Z$1</definedName>
    <definedName name="TOT_Investments_PY">'Note_4_3_Investments'!$D$9</definedName>
    <definedName name="TOT_LTBorrow">'91_Mapping'!$Z$1</definedName>
    <definedName name="TOT_LTBorrow">'Note_2_1_LTBorrow'!$B$7</definedName>
    <definedName name="TOT_LTBorrow_PY">'91_Mapping'!$Z$1</definedName>
    <definedName name="TOT_LTBorrow_PY">'Note_2_1_LTBorrow'!$C$7</definedName>
    <definedName name="TOT_LTLA">'91_Mapping'!$Z$1</definedName>
    <definedName name="TOT_LTLA">'Note_4_4_LTLA'!$B$9</definedName>
    <definedName name="TOT_LTLA_PY">'91_Mapping'!$Z$1</definedName>
    <definedName name="TOT_LTLA_PY">'Note_4_4_LTLA'!$C$9</definedName>
    <definedName name="TOT_LTProv">'91_Mapping'!$Z$1</definedName>
    <definedName name="TOT_LTProv">'Note_2_2_LTProv'!$B$8</definedName>
    <definedName name="TOT_LTProv_PY">'91_Mapping'!$Z$1</definedName>
    <definedName name="TOT_LTProv_PY">'Note_2_2_LTProv'!$C$8</definedName>
    <definedName name="TOT_Material">'91_Mapping'!$Z$1</definedName>
    <definedName name="TOT_Material">'Note_7_1_Material'!$B$16</definedName>
    <definedName name="TOT_Material_PY">'91_Mapping'!$Z$1</definedName>
    <definedName name="TOT_Material_PY">'Note_7_1_Material'!$C$16</definedName>
    <definedName name="TOT_OtherCA">'91_Mapping'!$Z$1</definedName>
    <definedName name="TOT_OtherCA">'Note_5_5_OtherCA'!$B$8</definedName>
    <definedName name="TOT_OtherCA_PY">'91_Mapping'!$Z$1</definedName>
    <definedName name="TOT_OtherCA_PY">'Note_5_5_OtherCA'!$C$8</definedName>
    <definedName name="TOT_OtherCL">'91_Mapping'!$Z$1</definedName>
    <definedName name="TOT_OtherCL">'Note_3_3_OtherCL'!$B$11</definedName>
    <definedName name="TOT_OtherCL_PY">'91_Mapping'!$Z$1</definedName>
    <definedName name="TOT_OtherCL_PY">'Note_3_3_OtherCL'!$C$11</definedName>
    <definedName name="TOT_OtherExp">'91_Mapping'!$Z$1</definedName>
    <definedName name="TOT_OtherExp">'Note_7_5_OtherExp'!$B$17</definedName>
    <definedName name="TOT_OtherExp_PY">'91_Mapping'!$Z$1</definedName>
    <definedName name="TOT_OtherExp_PY">'Note_7_5_OtherExp'!$C$17</definedName>
    <definedName name="TOT_OtherIncome">'91_Mapping'!$Z$1</definedName>
    <definedName name="TOT_OtherIncome">'Note_6_2_OtherIncome'!$B$10</definedName>
    <definedName name="TOT_OtherIncome_PY">'91_Mapping'!$Z$1</definedName>
    <definedName name="TOT_OtherIncome_PY">'Note_6_2_OtherIncome'!$C$10</definedName>
    <definedName name="TOT_Payables">'91_Mapping'!$Z$1</definedName>
    <definedName name="TOT_Payables">'Note_3_2_TradePayables'!$F$8</definedName>
    <definedName name="TOT_Payables_PY">'91_Mapping'!$Z$1</definedName>
    <definedName name="TOT_Payables_PY">'Note_3_2_TradePayables'!$G$8</definedName>
    <definedName name="TOT_PPE">'91_Mapping'!$Z$1</definedName>
    <definedName name="TOT_PPE">'Note_4_1_PPE'!$J$12</definedName>
    <definedName name="TOT_PPE_PY">'91_Mapping'!$Z$1</definedName>
    <definedName name="TOT_PPE_PY">'Note_4_1_PPE'!$K$12</definedName>
    <definedName name="TOT_Receivables">'91_Mapping'!$Z$1</definedName>
    <definedName name="TOT_Receivables">'Note_5_2_Receivables'!$G$9</definedName>
    <definedName name="TOT_Receivables_PY">'91_Mapping'!$Z$1</definedName>
    <definedName name="TOT_Receivables_PY">'Note_5_2_Receivables'!$H$9</definedName>
    <definedName name="TOT_Reserves">'91_Mapping'!$Z$1</definedName>
    <definedName name="TOT_Reserves">'Note_1_2_Reserves'!$B$14</definedName>
    <definedName name="TOT_Reserves_PY">'91_Mapping'!$Z$1</definedName>
    <definedName name="TOT_Reserves_PY">'Note_1_2_Reserves'!$C$14</definedName>
    <definedName name="TOT_Revenue">'91_Mapping'!$Z$1</definedName>
    <definedName name="TOT_Revenue">'Note_6_1_Revenue'!$B$11</definedName>
    <definedName name="TOT_Revenue_PY">'91_Mapping'!$Z$1</definedName>
    <definedName name="TOT_Revenue_PY">'Note_6_1_Revenue'!$C$11</definedName>
    <definedName name="TOT_RPT">'91_Mapping'!$Z$1</definedName>
    <definedName name="TOT_RPT_PY">'91_Mapping'!$Z$1</definedName>
    <definedName name="TOT_ShareCapital">'91_Mapping'!$Z$1</definedName>
    <definedName name="TOT_ShareCapital">'Note_1_1_ShareCapital'!$B$10</definedName>
    <definedName name="TOT_ShareCapital_PY">'91_Mapping'!$Z$1</definedName>
    <definedName name="TOT_ShareCapital_PY">'Note_1_1_ShareCapital'!$C$10</definedName>
    <definedName name="TOT_STBorrow">'91_Mapping'!$Z$1</definedName>
    <definedName name="TOT_STBorrow">'Note_3_1_STBorrow'!$B$7</definedName>
    <definedName name="TOT_STBorrow_PY">'91_Mapping'!$Z$1</definedName>
    <definedName name="TOT_STBorrow_PY">'Note_3_1_STBorrow'!$C$7</definedName>
    <definedName name="TOT_STLA">'91_Mapping'!$Z$1</definedName>
    <definedName name="TOT_STLA">'Note_5_4_STLA'!$B$11</definedName>
    <definedName name="TOT_STLA_PY">'91_Mapping'!$Z$1</definedName>
    <definedName name="TOT_STLA_PY">'Note_5_4_STLA'!$C$11</definedName>
    <definedName name="TOT_STProv">'91_Mapping'!$Z$1</definedName>
    <definedName name="TOT_STProv">'Note_3_4_STProv'!$B$9</definedName>
    <definedName name="TOT_STProv_PY">'91_Mapping'!$Z$1</definedName>
    <definedName name="TOT_STProv_PY">'Note_3_4_STProv'!$C$9</definedName>
    <definedName name="TOT_Tax">'91_Mapping'!$Z$1</definedName>
    <definedName name="TOT_Tax">'Note_7_6_Tax'!$B$9</definedName>
    <definedName name="TOT_Tax_PY">'91_Mapping'!$Z$1</definedName>
    <definedName name="TOT_Tax_PY">'Note_7_6_Tax'!$C$9</definedName>
  </definedNames>
  <calcPr calcId="124519" fullCalcOnLoad="1"/>
</workbook>
</file>

<file path=xl/sharedStrings.xml><?xml version="1.0" encoding="utf-8"?>
<sst xmlns="http://schemas.openxmlformats.org/spreadsheetml/2006/main" count="1616" uniqueCount="672">
  <si>
    <t>Ledger Code</t>
  </si>
  <si>
    <t>Ledger Name</t>
  </si>
  <si>
    <t>Original Group</t>
  </si>
  <si>
    <t>Debit</t>
  </si>
  <si>
    <t>Credit</t>
  </si>
  <si>
    <t>1001</t>
  </si>
  <si>
    <t>Equity Share Capital</t>
  </si>
  <si>
    <t>Capital Account</t>
  </si>
  <si>
    <t>1002</t>
  </si>
  <si>
    <t>General Reserve</t>
  </si>
  <si>
    <t>Reserves &amp; Surplus</t>
  </si>
  <si>
    <t>1003</t>
  </si>
  <si>
    <t>Retained Earnings P&amp;L</t>
  </si>
  <si>
    <t>2001</t>
  </si>
  <si>
    <t>HDFC Term Loan (Secured)</t>
  </si>
  <si>
    <t>Long Term Borrowings</t>
  </si>
  <si>
    <t>2002</t>
  </si>
  <si>
    <t>ICICI Cash Credit Limit</t>
  </si>
  <si>
    <t>Short Term Borrowings</t>
  </si>
  <si>
    <t>2003</t>
  </si>
  <si>
    <t>Trade Payables - MSME Vendors</t>
  </si>
  <si>
    <t>Current Liabilities</t>
  </si>
  <si>
    <t>2004</t>
  </si>
  <si>
    <t>Trade Payables - Other Vendors</t>
  </si>
  <si>
    <t>2005</t>
  </si>
  <si>
    <t>Statutory Dues Payable (GST &amp; TDS)</t>
  </si>
  <si>
    <t>2006</t>
  </si>
  <si>
    <t>Provision for Income Tax</t>
  </si>
  <si>
    <t>Provisions</t>
  </si>
  <si>
    <t>3001</t>
  </si>
  <si>
    <t>Factory Land &amp; Buildings</t>
  </si>
  <si>
    <t>Fixed Assets</t>
  </si>
  <si>
    <t>3002</t>
  </si>
  <si>
    <t>Plant &amp; Machinery</t>
  </si>
  <si>
    <t>3003</t>
  </si>
  <si>
    <t>Capital Work-in-Progress (Solar Plant)</t>
  </si>
  <si>
    <t>4001</t>
  </si>
  <si>
    <t>Raw Material Stock</t>
  </si>
  <si>
    <t>Current Assets</t>
  </si>
  <si>
    <t>4002</t>
  </si>
  <si>
    <t>Finished Goods Inventory</t>
  </si>
  <si>
    <t>4003</t>
  </si>
  <si>
    <t>Trade Receivables - Domestic</t>
  </si>
  <si>
    <t>4004</t>
  </si>
  <si>
    <t>HDFC Bank Current Account</t>
  </si>
  <si>
    <t>Bank Accounts</t>
  </si>
  <si>
    <t>4005</t>
  </si>
  <si>
    <t>Cash in Hand</t>
  </si>
  <si>
    <t>Cash Accounts</t>
  </si>
  <si>
    <t>5001</t>
  </si>
  <si>
    <t>Revenue from Domestic Operations</t>
  </si>
  <si>
    <t>Direct Incomes</t>
  </si>
  <si>
    <t>5002</t>
  </si>
  <si>
    <t>Interest Income on Bank FD</t>
  </si>
  <si>
    <t>Indirect Incomes</t>
  </si>
  <si>
    <t>6001</t>
  </si>
  <si>
    <t>Cost of Raw Material Consumed</t>
  </si>
  <si>
    <t>Direct Expenses</t>
  </si>
  <si>
    <t>6002</t>
  </si>
  <si>
    <t>Salaries &amp; Wages</t>
  </si>
  <si>
    <t>Staff Expenses</t>
  </si>
  <si>
    <t>6003</t>
  </si>
  <si>
    <t>Bank Term Loan Interest</t>
  </si>
  <si>
    <t>Financial Charges</t>
  </si>
  <si>
    <t>6004</t>
  </si>
  <si>
    <t>Depreciation on Machinery</t>
  </si>
  <si>
    <t>Depreciation</t>
  </si>
  <si>
    <t>6005</t>
  </si>
  <si>
    <t>Audit Fees &amp; Legal Charges</t>
  </si>
  <si>
    <t>Administrative Expenses</t>
  </si>
  <si>
    <t>Final Classification</t>
  </si>
  <si>
    <t>Statement</t>
  </si>
  <si>
    <t>Note #</t>
  </si>
  <si>
    <t>Current / Non-Current</t>
  </si>
  <si>
    <t>CY Amount (Lakhs)</t>
  </si>
  <si>
    <t>PY Amount (Lakhs)</t>
  </si>
  <si>
    <t>Share Capital</t>
  </si>
  <si>
    <t>Balance Sheet</t>
  </si>
  <si>
    <t>1.1</t>
  </si>
  <si>
    <t>Shareholders' Funds</t>
  </si>
  <si>
    <t>Reserves and Surplus</t>
  </si>
  <si>
    <t>1.2</t>
  </si>
  <si>
    <t>Long-term Borrowings</t>
  </si>
  <si>
    <t>2.1</t>
  </si>
  <si>
    <t>Non-Current</t>
  </si>
  <si>
    <t>Short-term Borrowings</t>
  </si>
  <si>
    <t>3.1</t>
  </si>
  <si>
    <t>Current</t>
  </si>
  <si>
    <t>Trade Payables</t>
  </si>
  <si>
    <t>3.2</t>
  </si>
  <si>
    <t>Other Current Liabilities</t>
  </si>
  <si>
    <t>3.3</t>
  </si>
  <si>
    <t>Tax Expense</t>
  </si>
  <si>
    <t>Profit &amp; Loss</t>
  </si>
  <si>
    <t>7.6</t>
  </si>
  <si>
    <t>P&amp;L Tax</t>
  </si>
  <si>
    <t>Property, Plant and Equipment</t>
  </si>
  <si>
    <t>4.1</t>
  </si>
  <si>
    <t>Capital Work-in-Progress</t>
  </si>
  <si>
    <t>4.2</t>
  </si>
  <si>
    <t>Inventories</t>
  </si>
  <si>
    <t>5.1</t>
  </si>
  <si>
    <t>Trade Receivables</t>
  </si>
  <si>
    <t>5.2</t>
  </si>
  <si>
    <t>Cash and Bank Balances</t>
  </si>
  <si>
    <t>5.3</t>
  </si>
  <si>
    <t>Revenue from Operations</t>
  </si>
  <si>
    <t>6.1</t>
  </si>
  <si>
    <t>P&amp;L Income</t>
  </si>
  <si>
    <t>Other Income</t>
  </si>
  <si>
    <t>6.2</t>
  </si>
  <si>
    <t>Cost of Materials Consumed</t>
  </si>
  <si>
    <t>7.1</t>
  </si>
  <si>
    <t>P&amp;L Expense</t>
  </si>
  <si>
    <t>Employee Benefit Expenses</t>
  </si>
  <si>
    <t>7.2</t>
  </si>
  <si>
    <t>Finance Costs</t>
  </si>
  <si>
    <t>7.3</t>
  </si>
  <si>
    <t>Depreciation and Amortisation Expense</t>
  </si>
  <si>
    <t>7.4</t>
  </si>
  <si>
    <t>Other Expenses</t>
  </si>
  <si>
    <t>7.5</t>
  </si>
  <si>
    <t>Adjustment Line Item</t>
  </si>
  <si>
    <t>Description</t>
  </si>
  <si>
    <t>CY Amount</t>
  </si>
  <si>
    <t>PY Amount</t>
  </si>
  <si>
    <t>Source Category</t>
  </si>
  <si>
    <t>Income Taxes Paid</t>
  </si>
  <si>
    <t>Direct Corporate Income Taxes Paid</t>
  </si>
  <si>
    <t>Operating</t>
  </si>
  <si>
    <t>Dividend Paid</t>
  </si>
  <si>
    <t>Equity Dividend Paid During Year</t>
  </si>
  <si>
    <t>Financing</t>
  </si>
  <si>
    <t>Finance Cost Paid</t>
  </si>
  <si>
    <t>Actual Interest &amp; Finance Cost Paid</t>
  </si>
  <si>
    <t>Interest / Dividend Received</t>
  </si>
  <si>
    <t>Interest and Dividend Income Received</t>
  </si>
  <si>
    <t>Investing</t>
  </si>
  <si>
    <t>Actual Capex Paid</t>
  </si>
  <si>
    <t>Purchase of Property, Plant &amp; Equipment</t>
  </si>
  <si>
    <t>APEX_ENGINEERING_INDUSTRIES_LIMITED</t>
  </si>
  <si>
    <t>NOTE 1.1: SHARE CAPITAL</t>
  </si>
  <si>
    <t>(All amounts in INR Lakhs unless otherwise stated)</t>
  </si>
  <si>
    <t>Particulars</t>
  </si>
  <si>
    <t>As at FY 2024-25</t>
  </si>
  <si>
    <t>As at FY 2023-24</t>
  </si>
  <si>
    <t>Authorised Share Capital:</t>
  </si>
  <si>
    <t xml:space="preserve">  10,00,000 Equity Shares of Rs. 10/- each</t>
  </si>
  <si>
    <t>Issued, Subscribed &amp; Paid-up Capital:</t>
  </si>
  <si>
    <t xml:space="preserve">  Equity Shares of Rs. 10/- each fully paid</t>
  </si>
  <si>
    <t>TOTAL SHARE CAPITAL</t>
  </si>
  <si>
    <t>Per Trial Balance (Control Total)</t>
  </si>
  <si>
    <t>Difference</t>
  </si>
  <si>
    <t>NOTE 1.2: RESERVES AND SURPLUS</t>
  </si>
  <si>
    <t>(a) General Reserve:</t>
  </si>
  <si>
    <t xml:space="preserve">    Opening Balance</t>
  </si>
  <si>
    <t xml:space="preserve">    Add: Transfer during the year</t>
  </si>
  <si>
    <t xml:space="preserve">    Closing General Reserve  (A)</t>
  </si>
  <si>
    <t>(b) Surplus in Statement of Profit &amp; Loss:</t>
  </si>
  <si>
    <t xml:space="preserve">    Add: Profit After Tax for the year</t>
  </si>
  <si>
    <t xml:space="preserve">    Closing Surplus in P&amp;L  (B)</t>
  </si>
  <si>
    <t>TOTAL RESERVES AND SURPLUS  (A + B)</t>
  </si>
  <si>
    <t>NOTE 2.1: LONG-TERM BORROWINGS</t>
  </si>
  <si>
    <t>HDFC Bank Limited - Rupee Term Loan (Secured)</t>
  </si>
  <si>
    <t>TOTAL LONG-TERM BORROWINGS</t>
  </si>
  <si>
    <t>NOTE 2.2: LONG-TERM PROVISIONS</t>
  </si>
  <si>
    <t>Provision for Gratuity (AS 15 - Defined Benefit)</t>
  </si>
  <si>
    <t>Provision for Leave Encashment (Long-term portion)</t>
  </si>
  <si>
    <t>TOTAL LONG-TERM PROVISIONS</t>
  </si>
  <si>
    <t>NOTE 3.1: SHORT-TERM BORROWINGS</t>
  </si>
  <si>
    <t>ICICI Bank Limited - Working Capital Cash Credit Limit</t>
  </si>
  <si>
    <t>TOTAL SHORT-TERM BORROWINGS</t>
  </si>
  <si>
    <t>NOTE 3.2: TRADE PAYABLES</t>
  </si>
  <si>
    <t>Vendor Name</t>
  </si>
  <si>
    <t>MSME</t>
  </si>
  <si>
    <t>&lt; 1 Year</t>
  </si>
  <si>
    <t>1-2 Years</t>
  </si>
  <si>
    <t>2-3 Years</t>
  </si>
  <si>
    <t>&gt; 3 Years</t>
  </si>
  <si>
    <t>Total Outstanding</t>
  </si>
  <si>
    <t>Shree Metals &amp; Alloys Pvt Ltd (MSME)</t>
  </si>
  <si>
    <t>Yes</t>
  </si>
  <si>
    <t>Global Industrial Suppliers Inc</t>
  </si>
  <si>
    <t>No</t>
  </si>
  <si>
    <t>TOTAL TRADE PAYABLES</t>
  </si>
  <si>
    <t>NOTE 3.3: OTHER CURRENT LIABILITIES</t>
  </si>
  <si>
    <t>Current Maturities of Long-term Borrowings</t>
  </si>
  <si>
    <t>Interest Accrued but not Due on Borrowings</t>
  </si>
  <si>
    <t>Advance Received from Customers</t>
  </si>
  <si>
    <t>Statutory Liabilities (GST, TDS, PF Payable)</t>
  </si>
  <si>
    <t>Other Payables - Security Deposits / Accruals</t>
  </si>
  <si>
    <t>TOTAL OTHER CURRENT LIABILITIES</t>
  </si>
  <si>
    <t>NOTE 3.4: SHORT-TERM PROVISIONS</t>
  </si>
  <si>
    <t>Provision for Income Tax (Net of Advance Tax)</t>
  </si>
  <si>
    <t>Provision for Employee Benefits (Leave &amp; Gratuity - Current)</t>
  </si>
  <si>
    <t>Provision for Bonus / Ex-gratia</t>
  </si>
  <si>
    <t>TOTAL SHORT-TERM PROVISIONS</t>
  </si>
  <si>
    <t>NOTE 4.1: PROPERTY, PLANT AND EQUIPMENT</t>
  </si>
  <si>
    <t>Asset Category</t>
  </si>
  <si>
    <t>Opening Gross Block</t>
  </si>
  <si>
    <t>Additions</t>
  </si>
  <si>
    <t>Disposals</t>
  </si>
  <si>
    <t>Closing Gross Block</t>
  </si>
  <si>
    <t>Accum. Dep (Open)</t>
  </si>
  <si>
    <t>Dep for Year</t>
  </si>
  <si>
    <t>Dep on Disposal</t>
  </si>
  <si>
    <t>Accum. Dep (Close)</t>
  </si>
  <si>
    <t>Net Block FY 2024-25</t>
  </si>
  <si>
    <t>Net Block FY 2023-24</t>
  </si>
  <si>
    <t>Freehold Land</t>
  </si>
  <si>
    <t>Buildings</t>
  </si>
  <si>
    <t>Furniture &amp; Fixtures</t>
  </si>
  <si>
    <t>Office Equipment</t>
  </si>
  <si>
    <t>Vehicles</t>
  </si>
  <si>
    <t>TOTAL PROPERTY, PLANT &amp; EQUIPMENT</t>
  </si>
  <si>
    <t>NOTE 4.2: CAPITAL WORK-IN-PROGRESS</t>
  </si>
  <si>
    <t>Project Name</t>
  </si>
  <si>
    <t>Total CWIP</t>
  </si>
  <si>
    <t>Rooftop Captive Solar Power Plant (500 KW)</t>
  </si>
  <si>
    <t>TOTAL CAPITAL WORK-IN-PROGRESS</t>
  </si>
  <si>
    <t>NOTE 4.3: NON-CURRENT INVESTMENTS</t>
  </si>
  <si>
    <t>No. of Units</t>
  </si>
  <si>
    <t>Unquoted Equity Instruments - at cost:</t>
  </si>
  <si>
    <t xml:space="preserve">  Investment in Associate Companies</t>
  </si>
  <si>
    <t>-</t>
  </si>
  <si>
    <t xml:space="preserve">  Investment in Other Companies</t>
  </si>
  <si>
    <t>TOTAL NON-CURRENT INVESTMENTS</t>
  </si>
  <si>
    <t>NOTE 4.4: LONG-TERM LOANS AND ADVANCES</t>
  </si>
  <si>
    <t>Security Deposits - Considered Good (Unsecured)</t>
  </si>
  <si>
    <t>Capital Advances - Considered Good</t>
  </si>
  <si>
    <t>Advance Income Tax &amp; TDS Recoverable (Net)</t>
  </si>
  <si>
    <t>TOTAL LONG-TERM LOANS AND ADVANCES</t>
  </si>
  <si>
    <t>NOTE 5.1: INVENTORIES</t>
  </si>
  <si>
    <t>Raw Materials (at cost - FIFO basis)</t>
  </si>
  <si>
    <t>Work-in-Progress (at estimated cost)</t>
  </si>
  <si>
    <t>Finished Goods (at lower of cost and NRV)</t>
  </si>
  <si>
    <t>Stores, Spares &amp; Consumables</t>
  </si>
  <si>
    <t>TOTAL INVENTORIES</t>
  </si>
  <si>
    <t>NOTE 5.2: TRADE RECEIVABLES</t>
  </si>
  <si>
    <t>Customer Name</t>
  </si>
  <si>
    <t>Category</t>
  </si>
  <si>
    <t>&lt; 6 Months</t>
  </si>
  <si>
    <t>6M-1 Year</t>
  </si>
  <si>
    <t>Total</t>
  </si>
  <si>
    <t>Precision Engineering Solutions Ltd</t>
  </si>
  <si>
    <t>Undisputed Considered Good</t>
  </si>
  <si>
    <t>Bharat Auto Components Pvt Ltd</t>
  </si>
  <si>
    <t>Apex Heavy Infra Projects</t>
  </si>
  <si>
    <t>Undisputed Considered Doubtful</t>
  </si>
  <si>
    <t>TOTAL TRADE RECEIVABLES</t>
  </si>
  <si>
    <t>NOTE 5.3: CASH AND BANK BALANCES</t>
  </si>
  <si>
    <t>A. Cash and Cash Equivalents:</t>
  </si>
  <si>
    <t xml:space="preserve">  Cash in Hand</t>
  </si>
  <si>
    <t xml:space="preserve">  Balances with Banks - Current Accounts</t>
  </si>
  <si>
    <t xml:space="preserve">  Bank Fixed Deposits (Original Maturity up to 3 months)</t>
  </si>
  <si>
    <t xml:space="preserve">  Total Cash &amp; Cash Equivalents  (A)</t>
  </si>
  <si>
    <t>B. Other Bank Balances:</t>
  </si>
  <si>
    <t xml:space="preserve">  Bank Fixed Deposits (Maturity &gt; 3 months, pledged as margin)</t>
  </si>
  <si>
    <t xml:space="preserve">  Total Other Bank Balances  (B)</t>
  </si>
  <si>
    <t>TOTAL CASH AND BANK BALANCES  (A + B)</t>
  </si>
  <si>
    <t>NOTE 5.4: SHORT-TERM LOANS AND ADVANCES</t>
  </si>
  <si>
    <t>Advance to Suppliers - Considered Good</t>
  </si>
  <si>
    <t>Prepaid Expenses</t>
  </si>
  <si>
    <t>GST Input Tax Credit Receivable</t>
  </si>
  <si>
    <t>Advance to Employees</t>
  </si>
  <si>
    <t>Other Short-term Advances - Considered Good</t>
  </si>
  <si>
    <t>TOTAL SHORT-TERM LOANS AND ADVANCES</t>
  </si>
  <si>
    <t>NOTE 5.5: OTHER CURRENT ASSETS</t>
  </si>
  <si>
    <t>Interest Accrued on Fixed Deposits</t>
  </si>
  <si>
    <t>Other Receivables &amp; Accruals</t>
  </si>
  <si>
    <t>TOTAL OTHER CURRENT ASSETS</t>
  </si>
  <si>
    <t>NOTE 6.1: REVENUE FROM OPERATIONS</t>
  </si>
  <si>
    <t>Year ended FY 2024-25</t>
  </si>
  <si>
    <t>Year ended FY 2023-24</t>
  </si>
  <si>
    <t>(a) Sale of Manufactured Products:</t>
  </si>
  <si>
    <t xml:space="preserve">    Domestic Sales</t>
  </si>
  <si>
    <t xml:space="preserve">    Export Sales</t>
  </si>
  <si>
    <t>(b) Sale of Services / Job Work Income</t>
  </si>
  <si>
    <t>(c) Other Operating Revenue</t>
  </si>
  <si>
    <t>TOTAL REVENUE FROM OPERATIONS</t>
  </si>
  <si>
    <t>NOTE 6.2: OTHER INCOME</t>
  </si>
  <si>
    <t>Interest Income on Bank Fixed Deposits</t>
  </si>
  <si>
    <t>Profit on Sale of Fixed Assets</t>
  </si>
  <si>
    <t>Liabilities / Provisions no longer required written back</t>
  </si>
  <si>
    <t>Miscellaneous Income</t>
  </si>
  <si>
    <t>TOTAL OTHER INCOME</t>
  </si>
  <si>
    <t>NOTE 7.1: COST OF MATERIALS CONSUMED</t>
  </si>
  <si>
    <t>(a) Cost of Raw Materials Consumed:</t>
  </si>
  <si>
    <t xml:space="preserve">    Opening Stock of Raw Materials</t>
  </si>
  <si>
    <t xml:space="preserve">    Add: Purchases of Raw Materials</t>
  </si>
  <si>
    <t xml:space="preserve">    Less: Closing Stock of Raw Materials</t>
  </si>
  <si>
    <t xml:space="preserve">    Total Cost of Materials Consumed  (A)</t>
  </si>
  <si>
    <t>(b) Purchases of Stock-in-Trade  (B)</t>
  </si>
  <si>
    <t>(c) Changes in Inventories:</t>
  </si>
  <si>
    <t xml:space="preserve">    Opening Stock (WIP + Finished Goods)</t>
  </si>
  <si>
    <t xml:space="preserve">    Less: Closing Stock (WIP + Finished Goods)</t>
  </si>
  <si>
    <t xml:space="preserve">    Net Change in Inventories  (C)</t>
  </si>
  <si>
    <t>TOTAL MATERIAL COSTS  (A + B + C)</t>
  </si>
  <si>
    <t>NOTE 7.2: EMPLOYEE BENEFIT EXPENSES</t>
  </si>
  <si>
    <t>Salaries, Wages, Bonus &amp; Allowances</t>
  </si>
  <si>
    <t>Contribution to Provident Fund (PF)</t>
  </si>
  <si>
    <t>Contribution to ESIC / Gratuity / Other Funds</t>
  </si>
  <si>
    <t>Leave Encashment (Short-term)</t>
  </si>
  <si>
    <t>Staff Welfare &amp; Training Expenses</t>
  </si>
  <si>
    <t>TOTAL EMPLOYEE BENEFIT EXPENSES</t>
  </si>
  <si>
    <t>NOTE 7.3: FINANCE COSTS</t>
  </si>
  <si>
    <t>Interest on Term Loans</t>
  </si>
  <si>
    <t>Interest on Working Capital Facilities</t>
  </si>
  <si>
    <t>Bank Charges, Processing Fees &amp; Commission</t>
  </si>
  <si>
    <t>Other Borrowing Costs</t>
  </si>
  <si>
    <t>TOTAL FINANCE COSTS</t>
  </si>
  <si>
    <t>NOTE 7.4: DEPRECIATION AND AMORTISATION EXPENSE</t>
  </si>
  <si>
    <t>Depreciation on Property, Plant &amp; Equipment (SLM)</t>
  </si>
  <si>
    <t>Amortisation of Intangible Assets</t>
  </si>
  <si>
    <t>Amortisation of Preliminary / Pre-operative Expenses</t>
  </si>
  <si>
    <t>TOTAL DEPRECIATION AND AMORTISATION</t>
  </si>
  <si>
    <t>NOTE 7.5: OTHER EXPENSES</t>
  </si>
  <si>
    <t>Power &amp; Fuel Expenses</t>
  </si>
  <si>
    <t>Rent, Rates &amp; Taxes</t>
  </si>
  <si>
    <t>Repairs &amp; Maintenance - Plant &amp; Machinery</t>
  </si>
  <si>
    <t>Repairs &amp; Maintenance - Buildings &amp; Civil</t>
  </si>
  <si>
    <t>Freight &amp; Transportation Outward</t>
  </si>
  <si>
    <t>Legal &amp; Professional Fees</t>
  </si>
  <si>
    <t>Insurance Premiums</t>
  </si>
  <si>
    <t>Printing, Stationery &amp; Communication</t>
  </si>
  <si>
    <t>Travelling &amp; Conveyance Expenses</t>
  </si>
  <si>
    <t>Statutory Auditor Remuneration (as auditor)</t>
  </si>
  <si>
    <t>Miscellaneous Administrative Expenses</t>
  </si>
  <si>
    <t>TOTAL OTHER EXPENSES</t>
  </si>
  <si>
    <t>NOTE 7.6: TAX EXPENSE</t>
  </si>
  <si>
    <t>Current Tax - Income Tax for the year</t>
  </si>
  <si>
    <t>Deferred Tax Charge / (Credit)</t>
  </si>
  <si>
    <t>Earlier Years' Tax Adjustments</t>
  </si>
  <si>
    <t>TOTAL TAX EXPENSE</t>
  </si>
  <si>
    <t>NOTE 8.1: RELATED PARTY DISCLOSURES (AS 18)</t>
  </si>
  <si>
    <t>Related Party Name</t>
  </si>
  <si>
    <t>Relationship</t>
  </si>
  <si>
    <t>Nature of Transaction</t>
  </si>
  <si>
    <t>Opening Balance</t>
  </si>
  <si>
    <t>Debit Tx</t>
  </si>
  <si>
    <t>Credit Tx</t>
  </si>
  <si>
    <t>Closing Balance</t>
  </si>
  <si>
    <t>Rajesh Kumar (Managing Director)</t>
  </si>
  <si>
    <t>Key Managerial Personnel (KMP)</t>
  </si>
  <si>
    <t>Managerial Remuneration &amp; Director Sitting Fees</t>
  </si>
  <si>
    <t>NOTE 8.2: CONTINGENT LIABILITIES &amp; COMMITMENTS (AS 29)</t>
  </si>
  <si>
    <t>Nature of Contingency</t>
  </si>
  <si>
    <t>Forum / Authority</t>
  </si>
  <si>
    <t>CY Amount (FY 2024-25)</t>
  </si>
  <si>
    <t>PY Amount (FY 2023-24)</t>
  </si>
  <si>
    <t>Management Assessment</t>
  </si>
  <si>
    <t>Provision Required</t>
  </si>
  <si>
    <t>Disputed GST Penalty Assessment</t>
  </si>
  <si>
    <t>GST Appellate Authority</t>
  </si>
  <si>
    <t>High probability of favorable decision based on legal counsel opinion</t>
  </si>
  <si>
    <t>SW INDIA | CHARTERED ACCOUNTANTS</t>
  </si>
  <si>
    <t>BALANCE SHEET AS AT MARCH 31, 2025</t>
  </si>
  <si>
    <t>As at 31-Mar-2025 (CY)</t>
  </si>
  <si>
    <t>As at 31-Mar-2024 (PY)</t>
  </si>
  <si>
    <t>EQUITY AND LIABILITIES</t>
  </si>
  <si>
    <t>1. Shareholders' Funds</t>
  </si>
  <si>
    <t xml:space="preserve">   (a) Share Capital</t>
  </si>
  <si>
    <t xml:space="preserve">   (b) Reserves and Surplus</t>
  </si>
  <si>
    <t>2. Non-Current Liabilities</t>
  </si>
  <si>
    <t xml:space="preserve">   (a) Long-term Borrowings</t>
  </si>
  <si>
    <t xml:space="preserve">   (b) Long-term Provisions</t>
  </si>
  <si>
    <t>3. Current Liabilities</t>
  </si>
  <si>
    <t xml:space="preserve">   (a) Short-term Borrowings</t>
  </si>
  <si>
    <t xml:space="preserve">   (b) Trade Payables</t>
  </si>
  <si>
    <t xml:space="preserve">   (c) Other Current Liabilities</t>
  </si>
  <si>
    <t xml:space="preserve">   (d) Short-term Provisions</t>
  </si>
  <si>
    <t>TOTAL EQUITY AND LIABILITIES</t>
  </si>
  <si>
    <t>ASSETS</t>
  </si>
  <si>
    <t>1. Non-Current Assets</t>
  </si>
  <si>
    <t xml:space="preserve">   (a) Property, Plant and Equipment</t>
  </si>
  <si>
    <t xml:space="preserve">   (b) Capital Work-in-Progress</t>
  </si>
  <si>
    <t xml:space="preserve">   (c) Non-current Investments</t>
  </si>
  <si>
    <t xml:space="preserve">   (d) Long-term Loans and Advances</t>
  </si>
  <si>
    <t xml:space="preserve">   (e) Other Non-current Assets</t>
  </si>
  <si>
    <t>4.5</t>
  </si>
  <si>
    <t>2. Current Assets</t>
  </si>
  <si>
    <t xml:space="preserve">   (a) Inventories</t>
  </si>
  <si>
    <t xml:space="preserve">   (b) Trade Receivables</t>
  </si>
  <si>
    <t xml:space="preserve">   (c) Cash and Bank Balances</t>
  </si>
  <si>
    <t xml:space="preserve">   (d) Short-term Loans and Advances</t>
  </si>
  <si>
    <t xml:space="preserve">   (e) Other Current Assets</t>
  </si>
  <si>
    <t>TOTAL ASSETS</t>
  </si>
  <si>
    <t>Balance Check (Total Assets - Total Equity &amp; Liabilities)</t>
  </si>
  <si>
    <t>STATEMENT OF PROFIT AND LOSS FOR THE YEAR ENDED MARCH 31, 2025</t>
  </si>
  <si>
    <t>Year Ended 31-Mar-2025 (CY)</t>
  </si>
  <si>
    <t>Year Ended 31-Mar-2024 (PY)</t>
  </si>
  <si>
    <t>I. Revenue from Operations</t>
  </si>
  <si>
    <t>II. Other Income</t>
  </si>
  <si>
    <t>III. Total Income (I + II)</t>
  </si>
  <si>
    <t>IV. Expenses:</t>
  </si>
  <si>
    <t xml:space="preserve">   Cost of Materials Consumed</t>
  </si>
  <si>
    <t xml:space="preserve">   Purchases of Stock-in-Trade</t>
  </si>
  <si>
    <t xml:space="preserve">   Changes in Inventories</t>
  </si>
  <si>
    <t xml:space="preserve">   Employee Benefit Expenses</t>
  </si>
  <si>
    <t xml:space="preserve">   Finance Costs</t>
  </si>
  <si>
    <t xml:space="preserve">   Depreciation and Amortisation Expense</t>
  </si>
  <si>
    <t xml:space="preserve">   Other Expenses</t>
  </si>
  <si>
    <t>Total Expenses (IV)</t>
  </si>
  <si>
    <t>V. Profit Before Tax (III - IV)</t>
  </si>
  <si>
    <t>VI. Tax Expense</t>
  </si>
  <si>
    <t>VII. Profit After Tax (V - VI)</t>
  </si>
  <si>
    <t>CASH FLOW STATEMENT FOR THE YEAR ENDED MARCH 31, 2025</t>
  </si>
  <si>
    <t>CY</t>
  </si>
  <si>
    <t>PY</t>
  </si>
  <si>
    <t>A. CASH FLOW FROM OPERATING ACTIVITIES</t>
  </si>
  <si>
    <t>Net Profit Before Tax</t>
  </si>
  <si>
    <t>Non-Cash Adjustments:</t>
  </si>
  <si>
    <t xml:space="preserve">  Add: Depreciation and Amortisation</t>
  </si>
  <si>
    <t xml:space="preserve">  Add: Finance Costs (reclassified to Financing)</t>
  </si>
  <si>
    <t>Non-Operating Adjustments:</t>
  </si>
  <si>
    <t xml:space="preserve">  Less: Interest and Dividend Income (reclassified to Investing)</t>
  </si>
  <si>
    <t xml:space="preserve">  Less: Profit on Sale of PPE (reclassified to Investing)</t>
  </si>
  <si>
    <t xml:space="preserve">  Add: Loss on Sale of PPE</t>
  </si>
  <si>
    <t>Operating Profit before Working Capital Changes</t>
  </si>
  <si>
    <t>Working Capital Changes:</t>
  </si>
  <si>
    <t xml:space="preserve">  (Increase) / Decrease in Inventories</t>
  </si>
  <si>
    <t xml:space="preserve">  (Increase) / Decrease in Trade Receivables</t>
  </si>
  <si>
    <t xml:space="preserve">  Increase / (Decrease) in Trade Payables</t>
  </si>
  <si>
    <t xml:space="preserve">  Increase / (Decrease) in Other Current Liabilities</t>
  </si>
  <si>
    <t xml:space="preserve">  Increase / (Decrease) in Short-term Provisions</t>
  </si>
  <si>
    <t>Cash Generated from Operations</t>
  </si>
  <si>
    <t>Less: Income Taxes Paid</t>
  </si>
  <si>
    <t>Net Cash Flow from Operating Activities (A)</t>
  </si>
  <si>
    <t>B. CASH FLOW FROM INVESTING ACTIVITIES</t>
  </si>
  <si>
    <t xml:space="preserve">  Additions to PPE and CWIP (Capital Expenditure)</t>
  </si>
  <si>
    <t xml:space="preserve">  Proceeds from Sale of Property, Plant and Equipment</t>
  </si>
  <si>
    <t xml:space="preserve">  Interest Received</t>
  </si>
  <si>
    <t xml:space="preserve">  Dividend Received</t>
  </si>
  <si>
    <t>Net Cash Flow from Investing Activities (B)</t>
  </si>
  <si>
    <t>C. CASH FLOW FROM FINANCING ACTIVITIES</t>
  </si>
  <si>
    <t xml:space="preserve">  Proceeds from / (Repayment of) Borrowings (Net)</t>
  </si>
  <si>
    <t xml:space="preserve">  Proceeds from Issue of Share Capital</t>
  </si>
  <si>
    <t xml:space="preserve">  Finance Cost Paid</t>
  </si>
  <si>
    <t xml:space="preserve">  Dividend Paid</t>
  </si>
  <si>
    <t>Net Cash Flow from Financing Activities (C)</t>
  </si>
  <si>
    <t>NET INCREASE / (DECREASE) IN CASH AND CASH EQUIVALENTS (A + B + C)</t>
  </si>
  <si>
    <t>Cash and Cash Equivalents — Opening Balance</t>
  </si>
  <si>
    <t>Computed Closing Cash (Opening + A + B + C)</t>
  </si>
  <si>
    <t>Cash and Cash Equivalents per Balance Sheet</t>
  </si>
  <si>
    <t>Reconciliation Difference (Nil if reconciled)</t>
  </si>
  <si>
    <t>FINANCIAL RATIOS</t>
  </si>
  <si>
    <t>Ratio Name</t>
  </si>
  <si>
    <t>Formula</t>
  </si>
  <si>
    <t>CY Value</t>
  </si>
  <si>
    <t>PY Value</t>
  </si>
  <si>
    <t>Variance</t>
  </si>
  <si>
    <t>Current Ratio</t>
  </si>
  <si>
    <t>Current Assets / Current Liabilities</t>
  </si>
  <si>
    <t>Debt Equity Ratio</t>
  </si>
  <si>
    <t>Total Debt / Shareholders' Equity</t>
  </si>
  <si>
    <t>Net Profit Ratio</t>
  </si>
  <si>
    <t>(Net Profit After Tax / Revenue) * 100</t>
  </si>
  <si>
    <t>EBITDA Margin</t>
  </si>
  <si>
    <t>(EBITDA / Revenue) * 100</t>
  </si>
  <si>
    <t>Return on Equity</t>
  </si>
  <si>
    <t>(Net Profit After Tax / Equity) * 100</t>
  </si>
  <si>
    <t>Trade Receivable Days</t>
  </si>
  <si>
    <t>(Trade Receivables / Revenue) * 365</t>
  </si>
  <si>
    <t>Trade Payable Days</t>
  </si>
  <si>
    <t>(Trade Payables / COGS) * 365</t>
  </si>
  <si>
    <t>Inventory Days</t>
  </si>
  <si>
    <t>(Inventories / COGS) * 365</t>
  </si>
  <si>
    <t>TIE-OUT AND BALANCING</t>
  </si>
  <si>
    <t>Control ID</t>
  </si>
  <si>
    <t>Expected Value</t>
  </si>
  <si>
    <t>Computed Formula</t>
  </si>
  <si>
    <t>Tie-Out Status</t>
  </si>
  <si>
    <t>CHK-01</t>
  </si>
  <si>
    <t>Balance Sheet Balance Check (CY)</t>
  </si>
  <si>
    <t>TALLIED</t>
  </si>
  <si>
    <t>CHK-02</t>
  </si>
  <si>
    <t>Cash Flow Reconciliation Difference (CY)</t>
  </si>
  <si>
    <t>REVIEW REQUIRED</t>
  </si>
  <si>
    <t>FORMULA AUDIT LOG</t>
  </si>
  <si>
    <t>Sheet</t>
  </si>
  <si>
    <t>Cell Address</t>
  </si>
  <si>
    <t>Applied Excel Formula</t>
  </si>
  <si>
    <t>Resolved Value</t>
  </si>
  <si>
    <t>91_Mapping</t>
  </si>
  <si>
    <t>H2</t>
  </si>
  <si>
    <t>I2</t>
  </si>
  <si>
    <t>H3</t>
  </si>
  <si>
    <t>I3</t>
  </si>
  <si>
    <t>H4</t>
  </si>
  <si>
    <t>I4</t>
  </si>
  <si>
    <t>H5</t>
  </si>
  <si>
    <t>I5</t>
  </si>
  <si>
    <t>H6</t>
  </si>
  <si>
    <t>I6</t>
  </si>
  <si>
    <t>H7</t>
  </si>
  <si>
    <t>I7</t>
  </si>
  <si>
    <t>H8</t>
  </si>
  <si>
    <t>I8</t>
  </si>
  <si>
    <t>H9</t>
  </si>
  <si>
    <t>I9</t>
  </si>
  <si>
    <t>H10</t>
  </si>
  <si>
    <t>I10</t>
  </si>
  <si>
    <t>H11</t>
  </si>
  <si>
    <t>I11</t>
  </si>
  <si>
    <t>H12</t>
  </si>
  <si>
    <t>I12</t>
  </si>
  <si>
    <t>H13</t>
  </si>
  <si>
    <t>I13</t>
  </si>
  <si>
    <t>H14</t>
  </si>
  <si>
    <t>I14</t>
  </si>
  <si>
    <t>H15</t>
  </si>
  <si>
    <t>I15</t>
  </si>
  <si>
    <t>H16</t>
  </si>
  <si>
    <t>I16</t>
  </si>
  <si>
    <t>H17</t>
  </si>
  <si>
    <t>I17</t>
  </si>
  <si>
    <t>H18</t>
  </si>
  <si>
    <t>I18</t>
  </si>
  <si>
    <t>H19</t>
  </si>
  <si>
    <t>I19</t>
  </si>
  <si>
    <t>H20</t>
  </si>
  <si>
    <t>I20</t>
  </si>
  <si>
    <t>H21</t>
  </si>
  <si>
    <t>I21</t>
  </si>
  <si>
    <t>H22</t>
  </si>
  <si>
    <t>I22</t>
  </si>
  <si>
    <t>H23</t>
  </si>
  <si>
    <t>I23</t>
  </si>
  <si>
    <t>H24</t>
  </si>
  <si>
    <t>I24</t>
  </si>
  <si>
    <t>H25</t>
  </si>
  <si>
    <t>I25</t>
  </si>
  <si>
    <t>29_Cash_Flow_Adjustments</t>
  </si>
  <si>
    <t>C2</t>
  </si>
  <si>
    <t>D2</t>
  </si>
  <si>
    <t>C4</t>
  </si>
  <si>
    <t>D4</t>
  </si>
  <si>
    <t>C5</t>
  </si>
  <si>
    <t>D5</t>
  </si>
  <si>
    <t>C6</t>
  </si>
  <si>
    <t>Note_1_1_ShareCapital</t>
  </si>
  <si>
    <t>B2</t>
  </si>
  <si>
    <t>N/A</t>
  </si>
  <si>
    <t>B10</t>
  </si>
  <si>
    <t>C10</t>
  </si>
  <si>
    <t>B12</t>
  </si>
  <si>
    <t>C12</t>
  </si>
  <si>
    <t>B13</t>
  </si>
  <si>
    <t>C13</t>
  </si>
  <si>
    <t>Note_1_2_Reserves</t>
  </si>
  <si>
    <t>B7</t>
  </si>
  <si>
    <t>C7</t>
  </si>
  <si>
    <t>B8</t>
  </si>
  <si>
    <t>C8</t>
  </si>
  <si>
    <t>B9</t>
  </si>
  <si>
    <t>C9</t>
  </si>
  <si>
    <t>B11</t>
  </si>
  <si>
    <t>C11</t>
  </si>
  <si>
    <t>B14</t>
  </si>
  <si>
    <t>C14</t>
  </si>
  <si>
    <t>B16</t>
  </si>
  <si>
    <t>C16</t>
  </si>
  <si>
    <t>B17</t>
  </si>
  <si>
    <t>C17</t>
  </si>
  <si>
    <t>Note_2_1_LTBorrow</t>
  </si>
  <si>
    <t>Note_2_2_LTProv</t>
  </si>
  <si>
    <t>Note_3_1_STBorrow</t>
  </si>
  <si>
    <t>Note_3_2_TradePayables</t>
  </si>
  <si>
    <t>F10</t>
  </si>
  <si>
    <t>G10</t>
  </si>
  <si>
    <t>F11</t>
  </si>
  <si>
    <t>G11</t>
  </si>
  <si>
    <t>Note_3_3_OtherCL</t>
  </si>
  <si>
    <t>Note_3_4_STProv</t>
  </si>
  <si>
    <t>Note_4_1_PPE</t>
  </si>
  <si>
    <t>J14</t>
  </si>
  <si>
    <t>K14</t>
  </si>
  <si>
    <t>J15</t>
  </si>
  <si>
    <t>K15</t>
  </si>
  <si>
    <t>Note_4_2_CWIP</t>
  </si>
  <si>
    <t>E9</t>
  </si>
  <si>
    <t>F9</t>
  </si>
  <si>
    <t>E10</t>
  </si>
  <si>
    <t>Note_4_3_Investments</t>
  </si>
  <si>
    <t>D11</t>
  </si>
  <si>
    <t>D12</t>
  </si>
  <si>
    <t>Note_4_4_LTLA</t>
  </si>
  <si>
    <t>Note_5_1_Inventories</t>
  </si>
  <si>
    <t>Note_5_2_Receivables</t>
  </si>
  <si>
    <t>G12</t>
  </si>
  <si>
    <t>Note_5_3_CashBank</t>
  </si>
  <si>
    <t>Note_5_4_STLA</t>
  </si>
  <si>
    <t>Note_5_5_OtherCA</t>
  </si>
  <si>
    <t>Note_6_1_Revenue</t>
  </si>
  <si>
    <t>Note_6_2_OtherIncome</t>
  </si>
  <si>
    <t>Note_7_1_Material</t>
  </si>
  <si>
    <t>B15</t>
  </si>
  <si>
    <t>C15</t>
  </si>
  <si>
    <t>B18</t>
  </si>
  <si>
    <t>C18</t>
  </si>
  <si>
    <t>B19</t>
  </si>
  <si>
    <t>C19</t>
  </si>
  <si>
    <t>Note_7_2_Employee</t>
  </si>
  <si>
    <t>Note_7_3_Finance</t>
  </si>
  <si>
    <t>Note_7_4_Depreciation</t>
  </si>
  <si>
    <t>Note_7_5_OtherExp</t>
  </si>
  <si>
    <t>B20</t>
  </si>
  <si>
    <t>C20</t>
  </si>
  <si>
    <t>Note_7_6_Tax</t>
  </si>
  <si>
    <t>Note_8_1_RPT</t>
  </si>
  <si>
    <t>F8</t>
  </si>
  <si>
    <t>G8</t>
  </si>
  <si>
    <t>G9</t>
  </si>
  <si>
    <t>Note_8_2_Contingencies</t>
  </si>
  <si>
    <t>E8</t>
  </si>
  <si>
    <t>02_Balance_Sheet</t>
  </si>
  <si>
    <t>D7</t>
  </si>
  <si>
    <t>D8</t>
  </si>
  <si>
    <t>D10</t>
  </si>
  <si>
    <t>D13</t>
  </si>
  <si>
    <t>D14</t>
  </si>
  <si>
    <t>D15</t>
  </si>
  <si>
    <t>D16</t>
  </si>
  <si>
    <t>D17</t>
  </si>
  <si>
    <t>D20</t>
  </si>
  <si>
    <t>B21</t>
  </si>
  <si>
    <t>C21</t>
  </si>
  <si>
    <t>D21</t>
  </si>
  <si>
    <t>B22</t>
  </si>
  <si>
    <t>C22</t>
  </si>
  <si>
    <t>D22</t>
  </si>
  <si>
    <t>B23</t>
  </si>
  <si>
    <t>C23</t>
  </si>
  <si>
    <t>D23</t>
  </si>
  <si>
    <t>B26</t>
  </si>
  <si>
    <t>C26</t>
  </si>
  <si>
    <t>D26</t>
  </si>
  <si>
    <t>B27</t>
  </si>
  <si>
    <t>C27</t>
  </si>
  <si>
    <t>D27</t>
  </si>
  <si>
    <t>B28</t>
  </si>
  <si>
    <t>C28</t>
  </si>
  <si>
    <t>D28</t>
  </si>
  <si>
    <t>B29</t>
  </si>
  <si>
    <t>C29</t>
  </si>
  <si>
    <t>D29</t>
  </si>
  <si>
    <t>B30</t>
  </si>
  <si>
    <t>C30</t>
  </si>
  <si>
    <t>D30</t>
  </si>
  <si>
    <t>C31</t>
  </si>
  <si>
    <t>D31</t>
  </si>
  <si>
    <t>C33</t>
  </si>
  <si>
    <t>D33</t>
  </si>
  <si>
    <t>03_Profit_and_Loss</t>
  </si>
  <si>
    <t>B5</t>
  </si>
  <si>
    <t>B6</t>
  </si>
  <si>
    <t>D6</t>
  </si>
  <si>
    <t>D9</t>
  </si>
  <si>
    <t>D18</t>
  </si>
  <si>
    <t>D19</t>
  </si>
  <si>
    <t>07_Financial_Ratios</t>
  </si>
  <si>
    <t>98_Tie_Out</t>
  </si>
  <si>
    <t>E5</t>
  </si>
  <si>
    <t>E6</t>
  </si>
  <si>
    <t>APPROVAL AND SIGN-OFF</t>
  </si>
  <si>
    <t>For SW INDIA Chartered Accountants</t>
  </si>
  <si>
    <t>For Apex Engineering Industries Limited Board of Directors</t>
  </si>
  <si>
    <t>________________________</t>
  </si>
  <si>
    <t>Partner</t>
  </si>
  <si>
    <t>Director</t>
  </si>
  <si>
    <t>Membership No: 123456</t>
  </si>
  <si>
    <t>DIN: 09876543</t>
  </si>
</sst>
</file>

<file path=xl/styles.xml><?xml version="1.0" encoding="utf-8"?>
<styleSheet xmlns="http://schemas.openxmlformats.org/spreadsheetml/2006/main">
  <numFmts count="2">
    <numFmt numFmtId="164" formatCode="#,##0.00;(#,##0.00)"/>
    <numFmt numFmtId="165" formatCode="#,##0.00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EA580C"/>
      <name val="Calibri"/>
      <family val="2"/>
      <scheme val="minor"/>
    </font>
    <font>
      <b/>
      <sz val="12"/>
      <color rgb="FF1B365D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EA580C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1D5DB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FEE2E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4" fontId="0" fillId="3" borderId="0" xfId="0" applyNumberFormat="1" applyFill="1"/>
    <xf numFmtId="0" fontId="2" fillId="0" borderId="0" xfId="0" applyFont="1"/>
    <xf numFmtId="0" fontId="2" fillId="3" borderId="0" xfId="0" applyFont="1" applyFill="1"/>
    <xf numFmtId="0" fontId="0" fillId="3" borderId="0" xfId="0" applyFill="1"/>
    <xf numFmtId="164" fontId="2" fillId="0" borderId="2" xfId="0" applyNumberFormat="1" applyFont="1" applyBorder="1"/>
    <xf numFmtId="164" fontId="2" fillId="3" borderId="2" xfId="0" applyNumberFormat="1" applyFont="1" applyFill="1" applyBorder="1"/>
    <xf numFmtId="164" fontId="2" fillId="4" borderId="0" xfId="0" applyNumberFormat="1" applyFont="1" applyFill="1"/>
    <xf numFmtId="164" fontId="2" fillId="5" borderId="0" xfId="0" applyNumberFormat="1" applyFont="1" applyFill="1"/>
    <xf numFmtId="0" fontId="3" fillId="0" borderId="0" xfId="0" applyFont="1"/>
    <xf numFmtId="0" fontId="4" fillId="0" borderId="0" xfId="0" applyFont="1"/>
    <xf numFmtId="165" fontId="5" fillId="6" borderId="0" xfId="0" applyNumberFormat="1" applyFont="1" applyFill="1"/>
    <xf numFmtId="0" fontId="5" fillId="7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showGridLines="0"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>
        <v>0</v>
      </c>
      <c r="E2" s="2">
        <v>0</v>
      </c>
    </row>
    <row r="3" spans="1:5">
      <c r="A3" t="s">
        <v>8</v>
      </c>
      <c r="B3" t="s">
        <v>9</v>
      </c>
      <c r="C3" t="s">
        <v>10</v>
      </c>
      <c r="D3" s="2">
        <v>0</v>
      </c>
      <c r="E3" s="2">
        <v>0</v>
      </c>
    </row>
    <row r="4" spans="1:5">
      <c r="A4" t="s">
        <v>11</v>
      </c>
      <c r="B4" t="s">
        <v>12</v>
      </c>
      <c r="C4" t="s">
        <v>10</v>
      </c>
      <c r="D4" s="2">
        <v>0</v>
      </c>
      <c r="E4" s="2">
        <v>0</v>
      </c>
    </row>
    <row r="5" spans="1:5">
      <c r="A5" t="s">
        <v>13</v>
      </c>
      <c r="B5" t="s">
        <v>14</v>
      </c>
      <c r="C5" t="s">
        <v>15</v>
      </c>
      <c r="D5" s="2">
        <v>0</v>
      </c>
      <c r="E5" s="2">
        <v>0</v>
      </c>
    </row>
    <row r="6" spans="1:5">
      <c r="A6" t="s">
        <v>16</v>
      </c>
      <c r="B6" t="s">
        <v>17</v>
      </c>
      <c r="C6" t="s">
        <v>18</v>
      </c>
      <c r="D6" s="2">
        <v>0</v>
      </c>
      <c r="E6" s="2">
        <v>0</v>
      </c>
    </row>
    <row r="7" spans="1:5">
      <c r="A7" t="s">
        <v>19</v>
      </c>
      <c r="B7" t="s">
        <v>20</v>
      </c>
      <c r="C7" t="s">
        <v>21</v>
      </c>
      <c r="D7" s="2">
        <v>0</v>
      </c>
      <c r="E7" s="2">
        <v>0</v>
      </c>
    </row>
    <row r="8" spans="1:5">
      <c r="A8" t="s">
        <v>22</v>
      </c>
      <c r="B8" t="s">
        <v>23</v>
      </c>
      <c r="C8" t="s">
        <v>21</v>
      </c>
      <c r="D8" s="2">
        <v>0</v>
      </c>
      <c r="E8" s="2">
        <v>0</v>
      </c>
    </row>
    <row r="9" spans="1:5">
      <c r="A9" t="s">
        <v>24</v>
      </c>
      <c r="B9" t="s">
        <v>25</v>
      </c>
      <c r="C9" t="s">
        <v>21</v>
      </c>
      <c r="D9" s="2">
        <v>0</v>
      </c>
      <c r="E9" s="2">
        <v>0</v>
      </c>
    </row>
    <row r="10" spans="1:5">
      <c r="A10" t="s">
        <v>26</v>
      </c>
      <c r="B10" t="s">
        <v>27</v>
      </c>
      <c r="C10" t="s">
        <v>28</v>
      </c>
      <c r="D10" s="2">
        <v>0</v>
      </c>
      <c r="E10" s="2">
        <v>0</v>
      </c>
    </row>
    <row r="11" spans="1:5">
      <c r="A11" t="s">
        <v>29</v>
      </c>
      <c r="B11" t="s">
        <v>30</v>
      </c>
      <c r="C11" t="s">
        <v>31</v>
      </c>
      <c r="D11" s="2">
        <v>0</v>
      </c>
      <c r="E11" s="2">
        <v>0</v>
      </c>
    </row>
    <row r="12" spans="1:5">
      <c r="A12" t="s">
        <v>32</v>
      </c>
      <c r="B12" t="s">
        <v>33</v>
      </c>
      <c r="C12" t="s">
        <v>31</v>
      </c>
      <c r="D12" s="2">
        <v>0</v>
      </c>
      <c r="E12" s="2">
        <v>0</v>
      </c>
    </row>
    <row r="13" spans="1:5">
      <c r="A13" t="s">
        <v>34</v>
      </c>
      <c r="B13" t="s">
        <v>35</v>
      </c>
      <c r="C13" t="s">
        <v>31</v>
      </c>
      <c r="D13" s="2">
        <v>0</v>
      </c>
      <c r="E13" s="2">
        <v>0</v>
      </c>
    </row>
    <row r="14" spans="1:5">
      <c r="A14" t="s">
        <v>36</v>
      </c>
      <c r="B14" t="s">
        <v>37</v>
      </c>
      <c r="C14" t="s">
        <v>38</v>
      </c>
      <c r="D14" s="2">
        <v>0</v>
      </c>
      <c r="E14" s="2">
        <v>0</v>
      </c>
    </row>
    <row r="15" spans="1:5">
      <c r="A15" t="s">
        <v>39</v>
      </c>
      <c r="B15" t="s">
        <v>40</v>
      </c>
      <c r="C15" t="s">
        <v>38</v>
      </c>
      <c r="D15" s="2">
        <v>0</v>
      </c>
      <c r="E15" s="2">
        <v>0</v>
      </c>
    </row>
    <row r="16" spans="1:5">
      <c r="A16" t="s">
        <v>41</v>
      </c>
      <c r="B16" t="s">
        <v>42</v>
      </c>
      <c r="C16" t="s">
        <v>38</v>
      </c>
      <c r="D16" s="2">
        <v>0</v>
      </c>
      <c r="E16" s="2">
        <v>0</v>
      </c>
    </row>
    <row r="17" spans="1:5">
      <c r="A17" t="s">
        <v>43</v>
      </c>
      <c r="B17" t="s">
        <v>44</v>
      </c>
      <c r="C17" t="s">
        <v>45</v>
      </c>
      <c r="D17" s="2">
        <v>0</v>
      </c>
      <c r="E17" s="2">
        <v>0</v>
      </c>
    </row>
    <row r="18" spans="1:5">
      <c r="A18" t="s">
        <v>46</v>
      </c>
      <c r="B18" t="s">
        <v>47</v>
      </c>
      <c r="C18" t="s">
        <v>48</v>
      </c>
      <c r="D18" s="2">
        <v>0</v>
      </c>
      <c r="E18" s="2">
        <v>0</v>
      </c>
    </row>
    <row r="19" spans="1:5">
      <c r="A19" t="s">
        <v>49</v>
      </c>
      <c r="B19" t="s">
        <v>50</v>
      </c>
      <c r="C19" t="s">
        <v>51</v>
      </c>
      <c r="D19" s="2">
        <v>0</v>
      </c>
      <c r="E19" s="2">
        <v>0</v>
      </c>
    </row>
    <row r="20" spans="1:5">
      <c r="A20" t="s">
        <v>52</v>
      </c>
      <c r="B20" t="s">
        <v>53</v>
      </c>
      <c r="C20" t="s">
        <v>54</v>
      </c>
      <c r="D20" s="2">
        <v>0</v>
      </c>
      <c r="E20" s="2">
        <v>0</v>
      </c>
    </row>
    <row r="21" spans="1:5">
      <c r="A21" t="s">
        <v>55</v>
      </c>
      <c r="B21" t="s">
        <v>56</v>
      </c>
      <c r="C21" t="s">
        <v>57</v>
      </c>
      <c r="D21" s="2">
        <v>0</v>
      </c>
      <c r="E21" s="2">
        <v>0</v>
      </c>
    </row>
    <row r="22" spans="1:5">
      <c r="A22" t="s">
        <v>58</v>
      </c>
      <c r="B22" t="s">
        <v>59</v>
      </c>
      <c r="C22" t="s">
        <v>60</v>
      </c>
      <c r="D22" s="2">
        <v>0</v>
      </c>
      <c r="E22" s="2">
        <v>0</v>
      </c>
    </row>
    <row r="23" spans="1:5">
      <c r="A23" t="s">
        <v>61</v>
      </c>
      <c r="B23" t="s">
        <v>62</v>
      </c>
      <c r="C23" t="s">
        <v>63</v>
      </c>
      <c r="D23" s="2">
        <v>0</v>
      </c>
      <c r="E23" s="2">
        <v>0</v>
      </c>
    </row>
    <row r="24" spans="1:5">
      <c r="A24" t="s">
        <v>64</v>
      </c>
      <c r="B24" t="s">
        <v>65</v>
      </c>
      <c r="C24" t="s">
        <v>66</v>
      </c>
      <c r="D24" s="2">
        <v>0</v>
      </c>
      <c r="E24" s="2">
        <v>0</v>
      </c>
    </row>
    <row r="25" spans="1:5">
      <c r="A25" t="s">
        <v>67</v>
      </c>
      <c r="B25" t="s">
        <v>68</v>
      </c>
      <c r="C25" t="s">
        <v>69</v>
      </c>
      <c r="D25" s="2">
        <v>0</v>
      </c>
      <c r="E25" s="2">
        <v>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showGridLines="0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</row>
    <row r="2" spans="1:9">
      <c r="A2" t="s">
        <v>5</v>
      </c>
      <c r="B2" t="s">
        <v>6</v>
      </c>
      <c r="C2" t="s">
        <v>7</v>
      </c>
      <c r="D2" t="s">
        <v>76</v>
      </c>
      <c r="E2" t="s">
        <v>77</v>
      </c>
      <c r="F2" t="s">
        <v>78</v>
      </c>
      <c r="G2" t="s">
        <v>79</v>
      </c>
      <c r="H2" s="2">
        <f>SUMIFS('90_Trial_Balance'!$D:$D, '90_Trial_Balance'!$A:$A, $A2)</f>
        <v>-100.0</v>
      </c>
      <c r="I2" s="2">
        <f>SUMIFS('90_Trial_Balance'!$E:$E, '90_Trial_Balance'!$A:$A, $A2)</f>
        <v>-100.0</v>
      </c>
    </row>
    <row r="3" spans="1:9">
      <c r="A3" t="s">
        <v>8</v>
      </c>
      <c r="B3" t="s">
        <v>9</v>
      </c>
      <c r="C3" t="s">
        <v>10</v>
      </c>
      <c r="D3" t="s">
        <v>80</v>
      </c>
      <c r="E3" t="s">
        <v>77</v>
      </c>
      <c r="F3" t="s">
        <v>81</v>
      </c>
      <c r="G3" t="s">
        <v>79</v>
      </c>
      <c r="H3" s="2">
        <f>SUMIFS('90_Trial_Balance'!$D:$D, '90_Trial_Balance'!$A:$A, $A3)</f>
        <v>-150.0</v>
      </c>
      <c r="I3" s="2">
        <f>SUMIFS('90_Trial_Balance'!$E:$E, '90_Trial_Balance'!$A:$A, $A3)</f>
        <v>-120.0</v>
      </c>
    </row>
    <row r="4" spans="1:9">
      <c r="A4" t="s">
        <v>11</v>
      </c>
      <c r="B4" t="s">
        <v>12</v>
      </c>
      <c r="C4" t="s">
        <v>10</v>
      </c>
      <c r="D4" t="s">
        <v>80</v>
      </c>
      <c r="E4" t="s">
        <v>77</v>
      </c>
      <c r="F4" t="s">
        <v>81</v>
      </c>
      <c r="G4" t="s">
        <v>79</v>
      </c>
      <c r="H4" s="2">
        <f>SUMIFS('90_Trial_Balance'!$D:$D, '90_Trial_Balance'!$A:$A, $A4)</f>
        <v>-180.0</v>
      </c>
      <c r="I4" s="2">
        <f>SUMIFS('90_Trial_Balance'!$E:$E, '90_Trial_Balance'!$A:$A, $A4)</f>
        <v>-110.0</v>
      </c>
    </row>
    <row r="5" spans="1:9">
      <c r="A5" t="s">
        <v>13</v>
      </c>
      <c r="B5" t="s">
        <v>14</v>
      </c>
      <c r="C5" t="s">
        <v>15</v>
      </c>
      <c r="D5" t="s">
        <v>82</v>
      </c>
      <c r="E5" t="s">
        <v>77</v>
      </c>
      <c r="F5" t="s">
        <v>83</v>
      </c>
      <c r="G5" t="s">
        <v>84</v>
      </c>
      <c r="H5" s="2">
        <f>SUMIFS('90_Trial_Balance'!$D:$D, '90_Trial_Balance'!$A:$A, $A5)</f>
        <v>-250.0</v>
      </c>
      <c r="I5" s="2">
        <f>SUMIFS('90_Trial_Balance'!$E:$E, '90_Trial_Balance'!$A:$A, $A5)</f>
        <v>-300.0</v>
      </c>
    </row>
    <row r="6" spans="1:9">
      <c r="A6" t="s">
        <v>16</v>
      </c>
      <c r="B6" t="s">
        <v>17</v>
      </c>
      <c r="C6" t="s">
        <v>18</v>
      </c>
      <c r="D6" t="s">
        <v>85</v>
      </c>
      <c r="E6" t="s">
        <v>77</v>
      </c>
      <c r="F6" t="s">
        <v>86</v>
      </c>
      <c r="G6" t="s">
        <v>87</v>
      </c>
      <c r="H6" s="2">
        <f>SUMIFS('90_Trial_Balance'!$D:$D, '90_Trial_Balance'!$A:$A, $A6)</f>
        <v>-80.0</v>
      </c>
      <c r="I6" s="2">
        <f>SUMIFS('90_Trial_Balance'!$E:$E, '90_Trial_Balance'!$A:$A, $A6)</f>
        <v>-60.0</v>
      </c>
    </row>
    <row r="7" spans="1:9">
      <c r="A7" t="s">
        <v>19</v>
      </c>
      <c r="B7" t="s">
        <v>20</v>
      </c>
      <c r="C7" t="s">
        <v>21</v>
      </c>
      <c r="D7" t="s">
        <v>88</v>
      </c>
      <c r="E7" t="s">
        <v>77</v>
      </c>
      <c r="F7" t="s">
        <v>89</v>
      </c>
      <c r="G7" t="s">
        <v>87</v>
      </c>
      <c r="H7" s="2">
        <f>SUMIFS('90_Trial_Balance'!$D:$D, '90_Trial_Balance'!$A:$A, $A7)</f>
        <v>-65.0</v>
      </c>
      <c r="I7" s="2">
        <f>SUMIFS('90_Trial_Balance'!$E:$E, '90_Trial_Balance'!$A:$A, $A7)</f>
        <v>-50.0</v>
      </c>
    </row>
    <row r="8" spans="1:9">
      <c r="A8" t="s">
        <v>22</v>
      </c>
      <c r="B8" t="s">
        <v>23</v>
      </c>
      <c r="C8" t="s">
        <v>21</v>
      </c>
      <c r="D8" t="s">
        <v>88</v>
      </c>
      <c r="E8" t="s">
        <v>77</v>
      </c>
      <c r="F8" t="s">
        <v>89</v>
      </c>
      <c r="G8" t="s">
        <v>87</v>
      </c>
      <c r="H8" s="2">
        <f>SUMIFS('90_Trial_Balance'!$D:$D, '90_Trial_Balance'!$A:$A, $A8)</f>
        <v>-120.0</v>
      </c>
      <c r="I8" s="2">
        <f>SUMIFS('90_Trial_Balance'!$E:$E, '90_Trial_Balance'!$A:$A, $A8)</f>
        <v>-95.0</v>
      </c>
    </row>
    <row r="9" spans="1:9">
      <c r="A9" t="s">
        <v>24</v>
      </c>
      <c r="B9" t="s">
        <v>25</v>
      </c>
      <c r="C9" t="s">
        <v>21</v>
      </c>
      <c r="D9" t="s">
        <v>90</v>
      </c>
      <c r="E9" t="s">
        <v>77</v>
      </c>
      <c r="F9" t="s">
        <v>91</v>
      </c>
      <c r="G9" t="s">
        <v>87</v>
      </c>
      <c r="H9" s="2">
        <f>SUMIFS('90_Trial_Balance'!$D:$D, '90_Trial_Balance'!$A:$A, $A9)</f>
        <v>-25.0</v>
      </c>
      <c r="I9" s="2">
        <f>SUMIFS('90_Trial_Balance'!$E:$E, '90_Trial_Balance'!$A:$A, $A9)</f>
        <v>-20.0</v>
      </c>
    </row>
    <row r="10" spans="1:9">
      <c r="A10" t="s">
        <v>26</v>
      </c>
      <c r="B10" t="s">
        <v>27</v>
      </c>
      <c r="C10" t="s">
        <v>28</v>
      </c>
      <c r="D10" t="s">
        <v>92</v>
      </c>
      <c r="E10" t="s">
        <v>93</v>
      </c>
      <c r="F10" t="s">
        <v>94</v>
      </c>
      <c r="G10" t="s">
        <v>95</v>
      </c>
      <c r="H10" s="2">
        <f>SUMIFS('90_Trial_Balance'!$D:$D, '90_Trial_Balance'!$A:$A, $A10)</f>
        <v>-40.0</v>
      </c>
      <c r="I10" s="2">
        <f>SUMIFS('90_Trial_Balance'!$E:$E, '90_Trial_Balance'!$A:$A, $A10)</f>
        <v>-30.0</v>
      </c>
    </row>
    <row r="11" spans="1:9">
      <c r="A11" t="s">
        <v>29</v>
      </c>
      <c r="B11" t="s">
        <v>30</v>
      </c>
      <c r="C11" t="s">
        <v>31</v>
      </c>
      <c r="D11" t="s">
        <v>96</v>
      </c>
      <c r="E11" t="s">
        <v>77</v>
      </c>
      <c r="F11" t="s">
        <v>97</v>
      </c>
      <c r="G11" t="s">
        <v>84</v>
      </c>
      <c r="H11" s="2">
        <f>SUMIFS('90_Trial_Balance'!$D:$D, '90_Trial_Balance'!$A:$A, $A11)</f>
        <v>450.0</v>
      </c>
      <c r="I11" s="2">
        <f>SUMIFS('90_Trial_Balance'!$E:$E, '90_Trial_Balance'!$A:$A, $A11)</f>
        <v>450.0</v>
      </c>
    </row>
    <row r="12" spans="1:9">
      <c r="A12" t="s">
        <v>32</v>
      </c>
      <c r="B12" t="s">
        <v>33</v>
      </c>
      <c r="C12" t="s">
        <v>31</v>
      </c>
      <c r="D12" t="s">
        <v>96</v>
      </c>
      <c r="E12" t="s">
        <v>77</v>
      </c>
      <c r="F12" t="s">
        <v>97</v>
      </c>
      <c r="G12" t="s">
        <v>84</v>
      </c>
      <c r="H12" s="2">
        <f>SUMIFS('90_Trial_Balance'!$D:$D, '90_Trial_Balance'!$A:$A, $A12)</f>
        <v>220.0</v>
      </c>
      <c r="I12" s="2">
        <f>SUMIFS('90_Trial_Balance'!$E:$E, '90_Trial_Balance'!$A:$A, $A12)</f>
        <v>180.0</v>
      </c>
    </row>
    <row r="13" spans="1:9">
      <c r="A13" t="s">
        <v>34</v>
      </c>
      <c r="B13" t="s">
        <v>35</v>
      </c>
      <c r="C13" t="s">
        <v>31</v>
      </c>
      <c r="D13" t="s">
        <v>98</v>
      </c>
      <c r="E13" t="s">
        <v>77</v>
      </c>
      <c r="F13" t="s">
        <v>99</v>
      </c>
      <c r="G13" t="s">
        <v>84</v>
      </c>
      <c r="H13" s="2">
        <f>SUMIFS('90_Trial_Balance'!$D:$D, '90_Trial_Balance'!$A:$A, $A13)</f>
        <v>45.0</v>
      </c>
      <c r="I13" s="2">
        <f>SUMIFS('90_Trial_Balance'!$E:$E, '90_Trial_Balance'!$A:$A, $A13)</f>
        <v>15.0</v>
      </c>
    </row>
    <row r="14" spans="1:9">
      <c r="A14" t="s">
        <v>36</v>
      </c>
      <c r="B14" t="s">
        <v>37</v>
      </c>
      <c r="C14" t="s">
        <v>38</v>
      </c>
      <c r="D14" t="s">
        <v>100</v>
      </c>
      <c r="E14" t="s">
        <v>77</v>
      </c>
      <c r="F14" t="s">
        <v>101</v>
      </c>
      <c r="G14" t="s">
        <v>87</v>
      </c>
      <c r="H14" s="2">
        <f>SUMIFS('90_Trial_Balance'!$D:$D, '90_Trial_Balance'!$A:$A, $A14)</f>
        <v>85.0</v>
      </c>
      <c r="I14" s="2">
        <f>SUMIFS('90_Trial_Balance'!$E:$E, '90_Trial_Balance'!$A:$A, $A14)</f>
        <v>70.0</v>
      </c>
    </row>
    <row r="15" spans="1:9">
      <c r="A15" t="s">
        <v>39</v>
      </c>
      <c r="B15" t="s">
        <v>40</v>
      </c>
      <c r="C15" t="s">
        <v>38</v>
      </c>
      <c r="D15" t="s">
        <v>100</v>
      </c>
      <c r="E15" t="s">
        <v>77</v>
      </c>
      <c r="F15" t="s">
        <v>101</v>
      </c>
      <c r="G15" t="s">
        <v>87</v>
      </c>
      <c r="H15" s="2">
        <f>SUMIFS('90_Trial_Balance'!$D:$D, '90_Trial_Balance'!$A:$A, $A15)</f>
        <v>60.0</v>
      </c>
      <c r="I15" s="2">
        <f>SUMIFS('90_Trial_Balance'!$E:$E, '90_Trial_Balance'!$A:$A, $A15)</f>
        <v>50.0</v>
      </c>
    </row>
    <row r="16" spans="1:9">
      <c r="A16" t="s">
        <v>41</v>
      </c>
      <c r="B16" t="s">
        <v>42</v>
      </c>
      <c r="C16" t="s">
        <v>38</v>
      </c>
      <c r="D16" t="s">
        <v>102</v>
      </c>
      <c r="E16" t="s">
        <v>77</v>
      </c>
      <c r="F16" t="s">
        <v>103</v>
      </c>
      <c r="G16" t="s">
        <v>87</v>
      </c>
      <c r="H16" s="2">
        <f>SUMIFS('90_Trial_Balance'!$D:$D, '90_Trial_Balance'!$A:$A, $A16)</f>
        <v>175.0</v>
      </c>
      <c r="I16" s="2">
        <f>SUMIFS('90_Trial_Balance'!$E:$E, '90_Trial_Balance'!$A:$A, $A16)</f>
        <v>140.0</v>
      </c>
    </row>
    <row r="17" spans="1:9">
      <c r="A17" t="s">
        <v>43</v>
      </c>
      <c r="B17" t="s">
        <v>44</v>
      </c>
      <c r="C17" t="s">
        <v>45</v>
      </c>
      <c r="D17" t="s">
        <v>104</v>
      </c>
      <c r="E17" t="s">
        <v>77</v>
      </c>
      <c r="F17" t="s">
        <v>105</v>
      </c>
      <c r="G17" t="s">
        <v>87</v>
      </c>
      <c r="H17" s="2">
        <f>SUMIFS('90_Trial_Balance'!$D:$D, '90_Trial_Balance'!$A:$A, $A17)</f>
        <v>165.0</v>
      </c>
      <c r="I17" s="2">
        <f>SUMIFS('90_Trial_Balance'!$E:$E, '90_Trial_Balance'!$A:$A, $A17)</f>
        <v>150.0</v>
      </c>
    </row>
    <row r="18" spans="1:9">
      <c r="A18" t="s">
        <v>46</v>
      </c>
      <c r="B18" t="s">
        <v>47</v>
      </c>
      <c r="C18" t="s">
        <v>48</v>
      </c>
      <c r="D18" t="s">
        <v>104</v>
      </c>
      <c r="E18" t="s">
        <v>77</v>
      </c>
      <c r="F18" t="s">
        <v>105</v>
      </c>
      <c r="G18" t="s">
        <v>87</v>
      </c>
      <c r="H18" s="2">
        <f>SUMIFS('90_Trial_Balance'!$D:$D, '90_Trial_Balance'!$A:$A, $A18)</f>
        <v>10.0</v>
      </c>
      <c r="I18" s="2">
        <f>SUMIFS('90_Trial_Balance'!$E:$E, '90_Trial_Balance'!$A:$A, $A18)</f>
        <v>5.0</v>
      </c>
    </row>
    <row r="19" spans="1:9">
      <c r="A19" t="s">
        <v>49</v>
      </c>
      <c r="B19" t="s">
        <v>50</v>
      </c>
      <c r="C19" t="s">
        <v>51</v>
      </c>
      <c r="D19" t="s">
        <v>106</v>
      </c>
      <c r="E19" t="s">
        <v>93</v>
      </c>
      <c r="F19" t="s">
        <v>107</v>
      </c>
      <c r="G19" t="s">
        <v>108</v>
      </c>
      <c r="H19" s="2">
        <f>SUMIFS('90_Trial_Balance'!$D:$D, '90_Trial_Balance'!$A:$A, $A19)</f>
        <v>-850.0</v>
      </c>
      <c r="I19" s="2">
        <f>SUMIFS('90_Trial_Balance'!$E:$E, '90_Trial_Balance'!$A:$A, $A19)</f>
        <v>-700.0</v>
      </c>
    </row>
    <row r="20" spans="1:9">
      <c r="A20" t="s">
        <v>52</v>
      </c>
      <c r="B20" t="s">
        <v>53</v>
      </c>
      <c r="C20" t="s">
        <v>54</v>
      </c>
      <c r="D20" t="s">
        <v>109</v>
      </c>
      <c r="E20" t="s">
        <v>93</v>
      </c>
      <c r="F20" t="s">
        <v>110</v>
      </c>
      <c r="G20" t="s">
        <v>108</v>
      </c>
      <c r="H20" s="2">
        <f>SUMIFS('90_Trial_Balance'!$D:$D, '90_Trial_Balance'!$A:$A, $A20)</f>
        <v>-15.0</v>
      </c>
      <c r="I20" s="2">
        <f>SUMIFS('90_Trial_Balance'!$E:$E, '90_Trial_Balance'!$A:$A, $A20)</f>
        <v>-10.0</v>
      </c>
    </row>
    <row r="21" spans="1:9">
      <c r="A21" t="s">
        <v>55</v>
      </c>
      <c r="B21" t="s">
        <v>56</v>
      </c>
      <c r="C21" t="s">
        <v>57</v>
      </c>
      <c r="D21" t="s">
        <v>111</v>
      </c>
      <c r="E21" t="s">
        <v>93</v>
      </c>
      <c r="F21" t="s">
        <v>112</v>
      </c>
      <c r="G21" t="s">
        <v>113</v>
      </c>
      <c r="H21" s="2">
        <f>SUMIFS('90_Trial_Balance'!$D:$D, '90_Trial_Balance'!$A:$A, $A21)</f>
        <v>420.0</v>
      </c>
      <c r="I21" s="2">
        <f>SUMIFS('90_Trial_Balance'!$E:$E, '90_Trial_Balance'!$A:$A, $A21)</f>
        <v>350.0</v>
      </c>
    </row>
    <row r="22" spans="1:9">
      <c r="A22" t="s">
        <v>58</v>
      </c>
      <c r="B22" t="s">
        <v>59</v>
      </c>
      <c r="C22" t="s">
        <v>60</v>
      </c>
      <c r="D22" t="s">
        <v>114</v>
      </c>
      <c r="E22" t="s">
        <v>93</v>
      </c>
      <c r="F22" t="s">
        <v>115</v>
      </c>
      <c r="G22" t="s">
        <v>113</v>
      </c>
      <c r="H22" s="2">
        <f>SUMIFS('90_Trial_Balance'!$D:$D, '90_Trial_Balance'!$A:$A, $A22)</f>
        <v>140.0</v>
      </c>
      <c r="I22" s="2">
        <f>SUMIFS('90_Trial_Balance'!$E:$E, '90_Trial_Balance'!$A:$A, $A22)</f>
        <v>120.0</v>
      </c>
    </row>
    <row r="23" spans="1:9">
      <c r="A23" t="s">
        <v>61</v>
      </c>
      <c r="B23" t="s">
        <v>62</v>
      </c>
      <c r="C23" t="s">
        <v>63</v>
      </c>
      <c r="D23" t="s">
        <v>116</v>
      </c>
      <c r="E23" t="s">
        <v>93</v>
      </c>
      <c r="F23" t="s">
        <v>117</v>
      </c>
      <c r="G23" t="s">
        <v>113</v>
      </c>
      <c r="H23" s="2">
        <f>SUMIFS('90_Trial_Balance'!$D:$D, '90_Trial_Balance'!$A:$A, $A23)</f>
        <v>32.0</v>
      </c>
      <c r="I23" s="2">
        <f>SUMIFS('90_Trial_Balance'!$E:$E, '90_Trial_Balance'!$A:$A, $A23)</f>
        <v>38.0</v>
      </c>
    </row>
    <row r="24" spans="1:9">
      <c r="A24" t="s">
        <v>64</v>
      </c>
      <c r="B24" t="s">
        <v>65</v>
      </c>
      <c r="C24" t="s">
        <v>66</v>
      </c>
      <c r="D24" t="s">
        <v>118</v>
      </c>
      <c r="E24" t="s">
        <v>93</v>
      </c>
      <c r="F24" t="s">
        <v>119</v>
      </c>
      <c r="G24" t="s">
        <v>113</v>
      </c>
      <c r="H24" s="2">
        <f>SUMIFS('90_Trial_Balance'!$D:$D, '90_Trial_Balance'!$A:$A, $A24)</f>
        <v>28.0</v>
      </c>
      <c r="I24" s="2">
        <f>SUMIFS('90_Trial_Balance'!$E:$E, '90_Trial_Balance'!$A:$A, $A24)</f>
        <v>25.0</v>
      </c>
    </row>
    <row r="25" spans="1:9">
      <c r="A25" t="s">
        <v>67</v>
      </c>
      <c r="B25" t="s">
        <v>68</v>
      </c>
      <c r="C25" t="s">
        <v>69</v>
      </c>
      <c r="D25" t="s">
        <v>120</v>
      </c>
      <c r="E25" t="s">
        <v>93</v>
      </c>
      <c r="F25" t="s">
        <v>121</v>
      </c>
      <c r="G25" t="s">
        <v>113</v>
      </c>
      <c r="H25" s="2">
        <f>SUMIFS('90_Trial_Balance'!$D:$D, '90_Trial_Balance'!$A:$A, $A25)</f>
        <v>45.0</v>
      </c>
      <c r="I25" s="2">
        <f>SUMIFS('90_Trial_Balance'!$E:$E, '90_Trial_Balance'!$A:$A, $A25)</f>
        <v>32.0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showGridLines="0" workbookViewId="0"/>
  </sheetViews>
  <sheetFormatPr defaultRowHeight="15"/>
  <sheetData>
    <row r="1" spans="1: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</row>
    <row r="2" spans="1:5">
      <c r="A2" t="s">
        <v>127</v>
      </c>
      <c r="B2" t="s">
        <v>128</v>
      </c>
      <c r="C2" s="2">
        <f>-TOT_Tax</f>
        <v>-40.0</v>
      </c>
      <c r="D2" s="3">
        <f>-TOT_Tax_PY</f>
        <v>-30.0</v>
      </c>
      <c r="E2" t="s">
        <v>129</v>
      </c>
    </row>
    <row r="3" spans="1:5">
      <c r="A3" t="s">
        <v>130</v>
      </c>
      <c r="B3" t="s">
        <v>131</v>
      </c>
      <c r="C3" s="2">
        <v>0</v>
      </c>
      <c r="D3" s="3">
        <v>0</v>
      </c>
      <c r="E3" t="s">
        <v>132</v>
      </c>
    </row>
    <row r="4" spans="1:5">
      <c r="A4" t="s">
        <v>133</v>
      </c>
      <c r="B4" t="s">
        <v>134</v>
      </c>
      <c r="C4" s="2">
        <f>-TOT_Finance</f>
        <v>-32.0</v>
      </c>
      <c r="D4" s="3">
        <f>-TOT_Finance_PY</f>
        <v>-38.0</v>
      </c>
      <c r="E4" t="s">
        <v>132</v>
      </c>
    </row>
    <row r="5" spans="1:5">
      <c r="A5" t="s">
        <v>135</v>
      </c>
      <c r="B5" t="s">
        <v>136</v>
      </c>
      <c r="C5" s="2">
        <f>TOT_InterestIncome</f>
        <v>15.0</v>
      </c>
      <c r="D5" s="3">
        <f>TOT_InterestIncome_PY</f>
        <v>10.0</v>
      </c>
      <c r="E5" t="s">
        <v>137</v>
      </c>
    </row>
    <row r="6" spans="1:5">
      <c r="A6" t="s">
        <v>138</v>
      </c>
      <c r="B6" t="s">
        <v>139</v>
      </c>
      <c r="C6" s="2">
        <f>-((TOT_PPE+TOT_CWIP)-(TOT_PPE_PY+TOT_CWIP_PY)+TOT_Depreciation)</f>
        <v>-804.6400000000001</v>
      </c>
      <c r="D6" s="3">
        <v>0</v>
      </c>
      <c r="E6" t="s">
        <v>137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141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146</v>
      </c>
      <c r="C6" s="6"/>
    </row>
    <row r="7" spans="1:3">
      <c r="A7" t="s">
        <v>147</v>
      </c>
      <c r="B7" s="2">
        <v>100</v>
      </c>
      <c r="C7" s="3">
        <v>100</v>
      </c>
    </row>
    <row r="8" spans="1:3">
      <c r="A8" t="s">
        <v>148</v>
      </c>
      <c r="C8" s="6"/>
    </row>
    <row r="9" spans="1:3">
      <c r="A9" t="s">
        <v>149</v>
      </c>
      <c r="B9" s="2">
        <v>100</v>
      </c>
      <c r="C9" s="3">
        <v>100</v>
      </c>
    </row>
    <row r="10" spans="1:3">
      <c r="A10" s="7" t="s">
        <v>150</v>
      </c>
      <c r="B10" s="7">
        <f>-1*SUM(B6:B9)</f>
        <v>100.0</v>
      </c>
      <c r="C10" s="8">
        <f>-1*SUM(C6:C9)</f>
        <v>100.0</v>
      </c>
    </row>
    <row r="11" spans="1:3">
      <c r="C11" s="6"/>
    </row>
    <row r="12" spans="1:3">
      <c r="A12" s="9" t="s">
        <v>151</v>
      </c>
      <c r="B12" s="9">
        <f>-SUMIFS('91_Mapping'!H:H, '91_Mapping'!F:F, "1.1")</f>
        <v>100.0</v>
      </c>
      <c r="C12" s="10">
        <f>-SUMIFS('91_Mapping'!I:I, '91_Mapping'!F:F, "1.1")</f>
        <v>100.0</v>
      </c>
    </row>
    <row r="13" spans="1:3">
      <c r="A13" s="9" t="s">
        <v>152</v>
      </c>
      <c r="B13" s="9">
        <f>TOT_ShareCapital-B12</f>
        <v>0.0</v>
      </c>
      <c r="C13" s="10">
        <f>TOT_ShareCapital_PY-C12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153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154</v>
      </c>
      <c r="C6" s="6"/>
    </row>
    <row r="7" spans="1:3">
      <c r="A7" t="s">
        <v>155</v>
      </c>
      <c r="B7" s="2">
        <f>SUMIFS('91_Mapping'!H:H, '91_Mapping'!D:D, "Opening Balance")</f>
        <v>230.0</v>
      </c>
      <c r="C7" s="3">
        <f>SUMIFS('91_Mapping'!I:I, '91_Mapping'!D:D, "Opening Balance")</f>
        <v>230.0</v>
      </c>
    </row>
    <row r="8" spans="1:3">
      <c r="A8" t="s">
        <v>156</v>
      </c>
      <c r="B8" s="2">
        <f>SUMIFS('91_Mapping'!H:H, '91_Mapping'!D:D, "Add: Transfer during the year")</f>
        <v>0.0</v>
      </c>
      <c r="C8" s="3">
        <f>SUMIFS('91_Mapping'!I:I, '91_Mapping'!D:D, "Add: Transfer during the year")</f>
        <v>0.0</v>
      </c>
    </row>
    <row r="9" spans="1:3">
      <c r="A9" t="s">
        <v>157</v>
      </c>
      <c r="B9" s="2">
        <f>SUMIFS('91_Mapping'!H:H, '91_Mapping'!D:D, "Closing General Reserve  (A)")</f>
        <v>230.0</v>
      </c>
      <c r="C9" s="3">
        <f>SUMIFS('91_Mapping'!I:I, '91_Mapping'!D:D, "Closing General Reserve  (A)")</f>
        <v>230.0</v>
      </c>
    </row>
    <row r="10" spans="1:3">
      <c r="A10" t="s">
        <v>158</v>
      </c>
      <c r="C10" s="6"/>
    </row>
    <row r="11" spans="1:3">
      <c r="A11" t="s">
        <v>155</v>
      </c>
      <c r="B11" s="2">
        <f>SUMIFS('91_Mapping'!H:H, '91_Mapping'!D:D, "Opening Balance")</f>
        <v>175.0</v>
      </c>
      <c r="C11" s="3">
        <f>SUMIFS('91_Mapping'!I:I, '91_Mapping'!D:D, "Opening Balance")</f>
        <v>0.0</v>
      </c>
    </row>
    <row r="12" spans="1:3">
      <c r="A12" t="s">
        <v>159</v>
      </c>
      <c r="B12" s="2">
        <f>SUMIFS('91_Mapping'!H:H, '91_Mapping'!D:D, "Add: Profit After Tax for the year")</f>
        <v>240.0</v>
      </c>
      <c r="C12" s="3">
        <f>SUMIFS('91_Mapping'!I:I, '91_Mapping'!D:D, "Add: Profit After Tax for the year")</f>
        <v>175.0</v>
      </c>
    </row>
    <row r="13" spans="1:3">
      <c r="A13" t="s">
        <v>160</v>
      </c>
      <c r="B13" s="2">
        <f>SUMIFS('91_Mapping'!H:H, '91_Mapping'!D:D, "Closing Surplus in P&amp;L  (B)")</f>
        <v>240.0</v>
      </c>
      <c r="C13" s="3">
        <f>SUMIFS('91_Mapping'!I:I, '91_Mapping'!D:D, "Closing Surplus in P&amp;L  (B)")</f>
        <v>175.0</v>
      </c>
    </row>
    <row r="14" spans="1:3">
      <c r="A14" s="7" t="s">
        <v>161</v>
      </c>
      <c r="B14" s="7">
        <f>-1*SUM(B6:B13)</f>
        <v>570.0</v>
      </c>
      <c r="C14" s="8">
        <f>-1*SUM(C6:C13)</f>
        <v>405.0</v>
      </c>
    </row>
    <row r="15" spans="1:3">
      <c r="C15" s="6"/>
    </row>
    <row r="16" spans="1:3">
      <c r="A16" s="9" t="s">
        <v>151</v>
      </c>
      <c r="B16" s="9">
        <f>-SUMIFS('91_Mapping'!H:H, '91_Mapping'!F:F, "1.2")</f>
        <v>570.0</v>
      </c>
      <c r="C16" s="10">
        <f>-SUMIFS('91_Mapping'!I:I, '91_Mapping'!F:F, "1.2")</f>
        <v>405.0</v>
      </c>
    </row>
    <row r="17" spans="1:3">
      <c r="A17" s="9" t="s">
        <v>152</v>
      </c>
      <c r="B17" s="9">
        <f>TOT_Reserves-B16</f>
        <v>0.0</v>
      </c>
      <c r="C17" s="10">
        <f>TOT_Reserves_PY-C16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162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163</v>
      </c>
      <c r="B6" s="2">
        <v>250</v>
      </c>
      <c r="C6" s="3">
        <v>300</v>
      </c>
    </row>
    <row r="7" spans="1:3">
      <c r="A7" s="7" t="s">
        <v>164</v>
      </c>
      <c r="B7" s="7">
        <f>-1*SUM(B6:B6)</f>
        <v>250.0</v>
      </c>
      <c r="C7" s="8">
        <f>-1*SUM(C6:C6)</f>
        <v>300.0</v>
      </c>
    </row>
    <row r="8" spans="1:3">
      <c r="C8" s="6"/>
    </row>
    <row r="9" spans="1:3">
      <c r="A9" s="9" t="s">
        <v>151</v>
      </c>
      <c r="B9" s="9">
        <f>-SUMIFS('91_Mapping'!H:H, '91_Mapping'!F:F, "2.1")</f>
        <v>250.0</v>
      </c>
      <c r="C9" s="10">
        <f>-SUMIFS('91_Mapping'!I:I, '91_Mapping'!F:F, "2.1")</f>
        <v>300.0</v>
      </c>
    </row>
    <row r="10" spans="1:3">
      <c r="A10" s="9" t="s">
        <v>152</v>
      </c>
      <c r="B10" s="9">
        <f>TOT_LTBorrow-B9</f>
        <v>0.0</v>
      </c>
      <c r="C10" s="10">
        <f>TOT_LTBorrow_PY-C9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165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166</v>
      </c>
      <c r="B6" s="2">
        <v>0</v>
      </c>
      <c r="C6" s="3">
        <v>0</v>
      </c>
    </row>
    <row r="7" spans="1:3">
      <c r="A7" t="s">
        <v>167</v>
      </c>
      <c r="B7" s="2">
        <v>0</v>
      </c>
      <c r="C7" s="3">
        <v>0</v>
      </c>
    </row>
    <row r="8" spans="1:3">
      <c r="A8" s="7" t="s">
        <v>168</v>
      </c>
      <c r="B8" s="7">
        <f>-1*SUM(B6:B7)</f>
        <v>0.0</v>
      </c>
      <c r="C8" s="8">
        <f>-1*SUM(C6:C7)</f>
        <v>0.0</v>
      </c>
    </row>
    <row r="9" spans="1:3">
      <c r="C9" s="6"/>
    </row>
    <row r="10" spans="1:3">
      <c r="A10" s="9" t="s">
        <v>151</v>
      </c>
      <c r="B10" s="9">
        <f>-SUMIFS('91_Mapping'!H:H, '91_Mapping'!F:F, "2.2")</f>
        <v>0.0</v>
      </c>
      <c r="C10" s="10">
        <f>-SUMIFS('91_Mapping'!I:I, '91_Mapping'!F:F, "2.2")</f>
        <v>0.0</v>
      </c>
    </row>
    <row r="11" spans="1:3">
      <c r="A11" s="9" t="s">
        <v>152</v>
      </c>
      <c r="B11" s="9">
        <f>TOT_LTProv-B10</f>
        <v>0.0</v>
      </c>
      <c r="C11" s="10">
        <f>TOT_LTProv_PY-C10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169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170</v>
      </c>
      <c r="B6" s="2">
        <v>80</v>
      </c>
      <c r="C6" s="3">
        <v>60</v>
      </c>
    </row>
    <row r="7" spans="1:3">
      <c r="A7" s="7" t="s">
        <v>171</v>
      </c>
      <c r="B7" s="7">
        <f>-1*SUM(B6:B6)</f>
        <v>80.0</v>
      </c>
      <c r="C7" s="8">
        <f>-1*SUM(C6:C6)</f>
        <v>60.0</v>
      </c>
    </row>
    <row r="8" spans="1:3">
      <c r="C8" s="6"/>
    </row>
    <row r="9" spans="1:3">
      <c r="A9" s="9" t="s">
        <v>151</v>
      </c>
      <c r="B9" s="9">
        <f>-SUMIFS('91_Mapping'!H:H, '91_Mapping'!F:F, "3.1")</f>
        <v>80.0</v>
      </c>
      <c r="C9" s="10">
        <f>-SUMIFS('91_Mapping'!I:I, '91_Mapping'!F:F, "3.1")</f>
        <v>60.0</v>
      </c>
    </row>
    <row r="10" spans="1:3">
      <c r="A10" s="9" t="s">
        <v>152</v>
      </c>
      <c r="B10" s="9">
        <f>TOT_STBorrow-B9</f>
        <v>0.0</v>
      </c>
      <c r="C10" s="10">
        <f>TOT_STBorrow_PY-C9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showGridLines="0" workbookViewId="0"/>
  </sheetViews>
  <sheetFormatPr defaultRowHeight="15"/>
  <sheetData>
    <row r="1" spans="1:7">
      <c r="A1" s="4" t="s">
        <v>140</v>
      </c>
    </row>
    <row r="2" spans="1:7">
      <c r="A2" s="4" t="s">
        <v>172</v>
      </c>
      <c r="B2" s="4">
        <f>HYPERLINK("#\'02_Balance_Sheet\'!A1", "[&lt;- Back to Balance Sheet]")</f>
        <v>0</v>
      </c>
      <c r="C2" s="5"/>
    </row>
    <row r="3" spans="1:7">
      <c r="A3" t="s">
        <v>142</v>
      </c>
      <c r="C3" s="6"/>
    </row>
    <row r="4" spans="1:7">
      <c r="C4" s="6"/>
    </row>
    <row r="5" spans="1:7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</row>
    <row r="6" spans="1:7">
      <c r="A6" t="s">
        <v>180</v>
      </c>
      <c r="B6" t="s">
        <v>181</v>
      </c>
      <c r="C6" s="3">
        <v>60</v>
      </c>
      <c r="D6" s="2">
        <v>5</v>
      </c>
      <c r="E6" s="2">
        <v>0</v>
      </c>
      <c r="F6" s="2">
        <v>0</v>
      </c>
      <c r="G6" s="2">
        <v>65</v>
      </c>
    </row>
    <row r="7" spans="1:7">
      <c r="A7" t="s">
        <v>182</v>
      </c>
      <c r="B7" t="s">
        <v>183</v>
      </c>
      <c r="C7" s="3">
        <v>110</v>
      </c>
      <c r="D7" s="2">
        <v>10</v>
      </c>
      <c r="E7" s="2">
        <v>0</v>
      </c>
      <c r="F7" s="2">
        <v>0</v>
      </c>
      <c r="G7" s="2">
        <v>120</v>
      </c>
    </row>
    <row r="8" spans="1:7">
      <c r="A8" s="7" t="s">
        <v>184</v>
      </c>
      <c r="B8" s="7">
        <v>0</v>
      </c>
      <c r="C8" s="8">
        <v>185</v>
      </c>
      <c r="D8" s="7">
        <v>0</v>
      </c>
      <c r="E8" s="7">
        <v>0</v>
      </c>
      <c r="F8" s="7">
        <v>0</v>
      </c>
      <c r="G8" s="7">
        <v>185</v>
      </c>
    </row>
    <row r="9" spans="1:7">
      <c r="C9" s="6"/>
    </row>
    <row r="10" spans="1:7">
      <c r="A10" s="9" t="s">
        <v>151</v>
      </c>
      <c r="B10" s="9"/>
      <c r="C10" s="10"/>
      <c r="D10" s="9"/>
      <c r="E10" s="9"/>
      <c r="F10" s="9">
        <f>-SUMIFS('91_Mapping'!H:H, '91_Mapping'!F:F, "3.2")</f>
        <v>0.0</v>
      </c>
      <c r="G10" s="9">
        <f>-SUMIFS('91_Mapping'!I:I, '91_Mapping'!F:F, "3.2")</f>
        <v>185.0</v>
      </c>
    </row>
    <row r="11" spans="1:7">
      <c r="A11" s="9" t="s">
        <v>152</v>
      </c>
      <c r="B11" s="9"/>
      <c r="C11" s="10"/>
      <c r="D11" s="9"/>
      <c r="E11" s="9"/>
      <c r="F11" s="9">
        <f>TOT_Payables-F10</f>
        <v>0.0</v>
      </c>
      <c r="G11" s="9">
        <f>TOT_Payables_PY-G10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C14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185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186</v>
      </c>
      <c r="B6" s="2">
        <v>11.25</v>
      </c>
      <c r="C6" s="3">
        <v>9</v>
      </c>
    </row>
    <row r="7" spans="1:3">
      <c r="A7" t="s">
        <v>187</v>
      </c>
      <c r="B7" s="2">
        <v>3.75</v>
      </c>
      <c r="C7" s="3">
        <v>3</v>
      </c>
    </row>
    <row r="8" spans="1:3">
      <c r="A8" t="s">
        <v>188</v>
      </c>
      <c r="B8" s="2">
        <v>5</v>
      </c>
      <c r="C8" s="3">
        <v>4</v>
      </c>
    </row>
    <row r="9" spans="1:3">
      <c r="A9" t="s">
        <v>189</v>
      </c>
      <c r="B9" s="2">
        <v>3.75</v>
      </c>
      <c r="C9" s="3">
        <v>3</v>
      </c>
    </row>
    <row r="10" spans="1:3">
      <c r="A10" t="s">
        <v>190</v>
      </c>
      <c r="B10" s="2">
        <v>1.25</v>
      </c>
      <c r="C10" s="3">
        <v>1</v>
      </c>
    </row>
    <row r="11" spans="1:3">
      <c r="A11" s="7" t="s">
        <v>191</v>
      </c>
      <c r="B11" s="7">
        <f>-1*SUM(B6:B10)</f>
        <v>25.0</v>
      </c>
      <c r="C11" s="8">
        <f>-1*SUM(C6:C10)</f>
        <v>20.0</v>
      </c>
    </row>
    <row r="12" spans="1:3">
      <c r="C12" s="6"/>
    </row>
    <row r="13" spans="1:3">
      <c r="A13" s="9" t="s">
        <v>151</v>
      </c>
      <c r="B13" s="9">
        <f>-SUMIFS('91_Mapping'!H:H, '91_Mapping'!F:F, "3.3")</f>
        <v>25.0</v>
      </c>
      <c r="C13" s="10">
        <f>-SUMIFS('91_Mapping'!I:I, '91_Mapping'!F:F, "3.3")</f>
        <v>20.0</v>
      </c>
    </row>
    <row r="14" spans="1:3">
      <c r="A14" s="9" t="s">
        <v>152</v>
      </c>
      <c r="B14" s="9">
        <f>TOT_OtherCL-B13</f>
        <v>0.0</v>
      </c>
      <c r="C14" s="10">
        <f>TOT_OtherCL_PY-C13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C12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192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193</v>
      </c>
      <c r="B6" s="2">
        <v>0</v>
      </c>
      <c r="C6" s="3">
        <v>0</v>
      </c>
    </row>
    <row r="7" spans="1:3">
      <c r="A7" t="s">
        <v>194</v>
      </c>
      <c r="B7" s="2">
        <v>0</v>
      </c>
      <c r="C7" s="3">
        <v>0</v>
      </c>
    </row>
    <row r="8" spans="1:3">
      <c r="A8" t="s">
        <v>195</v>
      </c>
      <c r="B8" s="2">
        <v>0</v>
      </c>
      <c r="C8" s="3">
        <v>0</v>
      </c>
    </row>
    <row r="9" spans="1:3">
      <c r="A9" s="7" t="s">
        <v>196</v>
      </c>
      <c r="B9" s="7">
        <f>-1*SUM(B6:B8)</f>
        <v>0.0</v>
      </c>
      <c r="C9" s="8">
        <f>-1*SUM(C6:C8)</f>
        <v>0.0</v>
      </c>
    </row>
    <row r="10" spans="1:3">
      <c r="C10" s="6"/>
    </row>
    <row r="11" spans="1:3">
      <c r="A11" s="9" t="s">
        <v>151</v>
      </c>
      <c r="B11" s="9">
        <f>-SUMIFS('91_Mapping'!H:H, '91_Mapping'!F:F, "3.4")</f>
        <v>0.0</v>
      </c>
      <c r="C11" s="10">
        <f>-SUMIFS('91_Mapping'!I:I, '91_Mapping'!F:F, "3.4")</f>
        <v>0.0</v>
      </c>
    </row>
    <row r="12" spans="1:3">
      <c r="A12" s="9" t="s">
        <v>152</v>
      </c>
      <c r="B12" s="9">
        <f>TOT_STProv-B11</f>
        <v>0.0</v>
      </c>
      <c r="C12" s="10">
        <f>TOT_STProv_PY-C11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K15"/>
  <sheetViews>
    <sheetView showGridLines="0" workbookViewId="0"/>
  </sheetViews>
  <sheetFormatPr defaultRowHeight="15"/>
  <sheetData>
    <row r="1" spans="1:11">
      <c r="A1" s="4" t="s">
        <v>140</v>
      </c>
    </row>
    <row r="2" spans="1:11">
      <c r="A2" s="4" t="s">
        <v>197</v>
      </c>
      <c r="B2" s="4">
        <f>HYPERLINK("#\'02_Balance_Sheet\'!A1", "[&lt;- Back to Balance Sheet]")</f>
        <v>0</v>
      </c>
      <c r="C2" s="5"/>
    </row>
    <row r="3" spans="1:11">
      <c r="A3" t="s">
        <v>142</v>
      </c>
      <c r="C3" s="6"/>
    </row>
    <row r="4" spans="1:11">
      <c r="C4" s="6"/>
    </row>
    <row r="5" spans="1:11">
      <c r="A5" s="1" t="s">
        <v>198</v>
      </c>
      <c r="B5" s="1" t="s">
        <v>199</v>
      </c>
      <c r="C5" s="1" t="s">
        <v>200</v>
      </c>
      <c r="D5" s="1" t="s">
        <v>201</v>
      </c>
      <c r="E5" s="1" t="s">
        <v>202</v>
      </c>
      <c r="F5" s="1" t="s">
        <v>203</v>
      </c>
      <c r="G5" s="1" t="s">
        <v>204</v>
      </c>
      <c r="H5" s="1" t="s">
        <v>205</v>
      </c>
      <c r="I5" s="1" t="s">
        <v>206</v>
      </c>
      <c r="J5" s="1" t="s">
        <v>207</v>
      </c>
      <c r="K5" s="1" t="s">
        <v>208</v>
      </c>
    </row>
    <row r="6" spans="1:11">
      <c r="A6" t="s">
        <v>209</v>
      </c>
      <c r="B6" s="2">
        <v>160.26</v>
      </c>
      <c r="C6" s="3">
        <v>13.94</v>
      </c>
      <c r="D6" s="2">
        <v>0</v>
      </c>
      <c r="E6" s="2">
        <v>174.2</v>
      </c>
      <c r="F6" s="2">
        <v>0</v>
      </c>
      <c r="G6" s="2">
        <v>0</v>
      </c>
      <c r="H6" s="2">
        <v>0</v>
      </c>
      <c r="I6" s="2">
        <v>0</v>
      </c>
      <c r="J6" s="2">
        <v>174.2</v>
      </c>
      <c r="K6" s="2">
        <v>160.26</v>
      </c>
    </row>
    <row r="7" spans="1:11">
      <c r="A7" t="s">
        <v>210</v>
      </c>
      <c r="B7" s="2">
        <v>200.33</v>
      </c>
      <c r="C7" s="3">
        <v>17.42</v>
      </c>
      <c r="D7" s="2">
        <v>0</v>
      </c>
      <c r="E7" s="2">
        <v>217.75</v>
      </c>
      <c r="F7" s="2">
        <v>10.02</v>
      </c>
      <c r="G7" s="2">
        <v>10.89</v>
      </c>
      <c r="H7" s="2">
        <v>0</v>
      </c>
      <c r="I7" s="2">
        <v>20.91</v>
      </c>
      <c r="J7" s="2">
        <v>196.84</v>
      </c>
      <c r="K7" s="2">
        <v>190.31</v>
      </c>
    </row>
    <row r="8" spans="1:11">
      <c r="A8" t="s">
        <v>33</v>
      </c>
      <c r="B8" s="2">
        <v>280.46</v>
      </c>
      <c r="C8" s="3">
        <v>24.39</v>
      </c>
      <c r="D8" s="2">
        <v>0</v>
      </c>
      <c r="E8" s="2">
        <v>304.85</v>
      </c>
      <c r="F8" s="2">
        <v>28.05</v>
      </c>
      <c r="G8" s="2">
        <v>30.49</v>
      </c>
      <c r="H8" s="2">
        <v>0</v>
      </c>
      <c r="I8" s="2">
        <v>58.54</v>
      </c>
      <c r="J8" s="2">
        <v>246.31</v>
      </c>
      <c r="K8" s="2">
        <v>252.41</v>
      </c>
    </row>
    <row r="9" spans="1:11">
      <c r="A9" t="s">
        <v>211</v>
      </c>
      <c r="B9" s="2">
        <v>80.13</v>
      </c>
      <c r="C9" s="3">
        <v>6.97</v>
      </c>
      <c r="D9" s="2">
        <v>0</v>
      </c>
      <c r="E9" s="2">
        <v>87.09999999999999</v>
      </c>
      <c r="F9" s="2">
        <v>8.01</v>
      </c>
      <c r="G9" s="2">
        <v>8.710000000000001</v>
      </c>
      <c r="H9" s="2">
        <v>0</v>
      </c>
      <c r="I9" s="2">
        <v>16.72</v>
      </c>
      <c r="J9" s="2">
        <v>70.38</v>
      </c>
      <c r="K9" s="2">
        <v>72.12</v>
      </c>
    </row>
    <row r="10" spans="1:11">
      <c r="A10" t="s">
        <v>212</v>
      </c>
      <c r="B10" s="2">
        <v>40.07</v>
      </c>
      <c r="C10" s="3">
        <v>3.48</v>
      </c>
      <c r="D10" s="2">
        <v>0</v>
      </c>
      <c r="E10" s="2">
        <v>43.55</v>
      </c>
      <c r="F10" s="2">
        <v>6.01</v>
      </c>
      <c r="G10" s="2">
        <v>6.53</v>
      </c>
      <c r="H10" s="2">
        <v>0</v>
      </c>
      <c r="I10" s="2">
        <v>12.54</v>
      </c>
      <c r="J10" s="2">
        <v>31.01</v>
      </c>
      <c r="K10" s="2">
        <v>34.06</v>
      </c>
    </row>
    <row r="11" spans="1:11">
      <c r="A11" t="s">
        <v>213</v>
      </c>
      <c r="B11" s="2">
        <v>40.07</v>
      </c>
      <c r="C11" s="3">
        <v>3.48</v>
      </c>
      <c r="D11" s="2">
        <v>0</v>
      </c>
      <c r="E11" s="2">
        <v>43.55</v>
      </c>
      <c r="F11" s="2">
        <v>6.01</v>
      </c>
      <c r="G11" s="2">
        <v>6.53</v>
      </c>
      <c r="H11" s="2">
        <v>0</v>
      </c>
      <c r="I11" s="2">
        <v>12.54</v>
      </c>
      <c r="J11" s="2">
        <v>31.01</v>
      </c>
      <c r="K11" s="2">
        <v>34.06</v>
      </c>
    </row>
    <row r="12" spans="1:11">
      <c r="A12" s="7" t="s">
        <v>214</v>
      </c>
      <c r="B12" s="7">
        <v>801.3200000000001</v>
      </c>
      <c r="C12" s="8">
        <v>69.68000000000001</v>
      </c>
      <c r="D12" s="7">
        <v>0</v>
      </c>
      <c r="E12" s="7">
        <v>871</v>
      </c>
      <c r="F12" s="7">
        <v>58.1</v>
      </c>
      <c r="G12" s="7">
        <v>63.15</v>
      </c>
      <c r="H12" s="7">
        <v>0</v>
      </c>
      <c r="I12" s="7">
        <v>121.25</v>
      </c>
      <c r="J12" s="7">
        <v>749.75</v>
      </c>
      <c r="K12" s="7">
        <v>743.22</v>
      </c>
    </row>
    <row r="13" spans="1:11">
      <c r="C13" s="6"/>
    </row>
    <row r="14" spans="1:11">
      <c r="A14" s="9" t="s">
        <v>151</v>
      </c>
      <c r="B14" s="9"/>
      <c r="C14" s="10"/>
      <c r="D14" s="9"/>
      <c r="E14" s="9"/>
      <c r="F14" s="9"/>
      <c r="G14" s="9"/>
      <c r="H14" s="9"/>
      <c r="I14" s="9"/>
      <c r="J14" s="9">
        <f>SUMIFS('91_Mapping'!H:H, '91_Mapping'!F:F, "4.1")</f>
        <v>801.32</v>
      </c>
      <c r="K14" s="9">
        <f>SUMIFS('91_Mapping'!I:I, '91_Mapping'!F:F, "4.1")</f>
        <v>69.68</v>
      </c>
    </row>
    <row r="15" spans="1:11">
      <c r="A15" s="9" t="s">
        <v>152</v>
      </c>
      <c r="B15" s="9"/>
      <c r="C15" s="10"/>
      <c r="D15" s="9"/>
      <c r="E15" s="9"/>
      <c r="F15" s="9"/>
      <c r="G15" s="9"/>
      <c r="H15" s="9"/>
      <c r="I15" s="9"/>
      <c r="J15" s="9">
        <f>TOT_PPE-J14</f>
        <v>0.0</v>
      </c>
      <c r="K15" s="9">
        <f>TOT_PPE_PY-K14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showGridLines="0" workbookViewId="0"/>
  </sheetViews>
  <sheetFormatPr defaultRowHeight="15"/>
  <sheetData>
    <row r="1" spans="1:6">
      <c r="A1" s="4" t="s">
        <v>140</v>
      </c>
    </row>
    <row r="2" spans="1:6">
      <c r="A2" s="4" t="s">
        <v>215</v>
      </c>
      <c r="B2" s="4">
        <f>HYPERLINK("#\'02_Balance_Sheet\'!A1", "[&lt;- Back to Balance Sheet]")</f>
        <v>0</v>
      </c>
      <c r="C2" s="5"/>
    </row>
    <row r="3" spans="1:6">
      <c r="A3" t="s">
        <v>142</v>
      </c>
      <c r="C3" s="6"/>
    </row>
    <row r="4" spans="1:6">
      <c r="C4" s="6"/>
    </row>
    <row r="5" spans="1:6">
      <c r="A5" s="1" t="s">
        <v>216</v>
      </c>
      <c r="B5" s="1" t="s">
        <v>175</v>
      </c>
      <c r="C5" s="1" t="s">
        <v>176</v>
      </c>
      <c r="D5" s="1" t="s">
        <v>177</v>
      </c>
      <c r="E5" s="1" t="s">
        <v>178</v>
      </c>
      <c r="F5" s="1" t="s">
        <v>217</v>
      </c>
    </row>
    <row r="6" spans="1:6">
      <c r="A6" t="s">
        <v>218</v>
      </c>
      <c r="B6" s="2">
        <v>30</v>
      </c>
      <c r="C6" s="3">
        <v>15</v>
      </c>
      <c r="D6" s="2">
        <v>0</v>
      </c>
      <c r="E6" s="2">
        <v>0</v>
      </c>
      <c r="F6" s="2">
        <v>45</v>
      </c>
    </row>
    <row r="7" spans="1:6">
      <c r="A7" s="7" t="s">
        <v>219</v>
      </c>
      <c r="B7" s="7">
        <v>45</v>
      </c>
      <c r="C7" s="8">
        <v>0</v>
      </c>
      <c r="D7" s="7">
        <v>0</v>
      </c>
      <c r="E7" s="7">
        <v>0</v>
      </c>
      <c r="F7" s="7">
        <v>45</v>
      </c>
    </row>
    <row r="8" spans="1:6">
      <c r="C8" s="6"/>
    </row>
    <row r="9" spans="1:6">
      <c r="A9" s="9" t="s">
        <v>151</v>
      </c>
      <c r="B9" s="9"/>
      <c r="C9" s="10"/>
      <c r="D9" s="9"/>
      <c r="E9" s="9">
        <f>SUMIFS('91_Mapping'!H:H, '91_Mapping'!F:F, "4.2")</f>
        <v>45.0</v>
      </c>
      <c r="F9" s="9">
        <f>SUMIFS('91_Mapping'!I:I, '91_Mapping'!F:F, "4.2")</f>
        <v>0.0</v>
      </c>
    </row>
    <row r="10" spans="1:6">
      <c r="A10" s="9" t="s">
        <v>152</v>
      </c>
      <c r="B10" s="9"/>
      <c r="C10" s="10"/>
      <c r="D10" s="9"/>
      <c r="E10" s="9">
        <f>TOT_CWIP-E9</f>
        <v>0.0</v>
      </c>
      <c r="F10" s="9">
        <f>TOT_CWIP_PY-F9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:D12"/>
  <sheetViews>
    <sheetView showGridLines="0" workbookViewId="0"/>
  </sheetViews>
  <sheetFormatPr defaultRowHeight="15"/>
  <sheetData>
    <row r="1" spans="1:4">
      <c r="A1" s="4" t="s">
        <v>140</v>
      </c>
    </row>
    <row r="2" spans="1:4">
      <c r="A2" s="4" t="s">
        <v>220</v>
      </c>
      <c r="B2" s="4">
        <f>HYPERLINK("#\'02_Balance_Sheet\'!A1", "[&lt;- Back to Balance Sheet]")</f>
        <v>0</v>
      </c>
      <c r="C2" s="5"/>
    </row>
    <row r="3" spans="1:4">
      <c r="A3" t="s">
        <v>142</v>
      </c>
      <c r="C3" s="6"/>
    </row>
    <row r="4" spans="1:4">
      <c r="C4" s="6"/>
    </row>
    <row r="5" spans="1:4">
      <c r="A5" s="1" t="s">
        <v>143</v>
      </c>
      <c r="B5" s="1" t="s">
        <v>221</v>
      </c>
      <c r="C5" s="1" t="s">
        <v>144</v>
      </c>
      <c r="D5" s="1" t="s">
        <v>145</v>
      </c>
    </row>
    <row r="6" spans="1:4">
      <c r="A6" t="s">
        <v>222</v>
      </c>
      <c r="C6" s="6"/>
    </row>
    <row r="7" spans="1:4">
      <c r="A7" t="s">
        <v>223</v>
      </c>
      <c r="B7" t="s">
        <v>224</v>
      </c>
      <c r="C7" s="3">
        <v>0</v>
      </c>
      <c r="D7" s="2">
        <v>0</v>
      </c>
    </row>
    <row r="8" spans="1:4">
      <c r="A8" t="s">
        <v>225</v>
      </c>
      <c r="B8" t="s">
        <v>224</v>
      </c>
      <c r="C8" s="3">
        <v>0</v>
      </c>
      <c r="D8" s="2">
        <v>0</v>
      </c>
    </row>
    <row r="9" spans="1:4">
      <c r="A9" s="7" t="s">
        <v>226</v>
      </c>
      <c r="B9" s="7">
        <v>0</v>
      </c>
      <c r="C9" s="8">
        <v>0</v>
      </c>
      <c r="D9" s="7">
        <v>0</v>
      </c>
    </row>
    <row r="10" spans="1:4">
      <c r="C10" s="6"/>
    </row>
    <row r="11" spans="1:4">
      <c r="A11" s="9" t="s">
        <v>151</v>
      </c>
      <c r="B11" s="9"/>
      <c r="C11" s="10">
        <f>SUMIFS('91_Mapping'!H:H, '91_Mapping'!F:F, "4.3")</f>
        <v>0.0</v>
      </c>
      <c r="D11" s="9">
        <f>SUMIFS('91_Mapping'!I:I, '91_Mapping'!F:F, "4.3")</f>
        <v>0.0</v>
      </c>
    </row>
    <row r="12" spans="1:4">
      <c r="A12" s="9" t="s">
        <v>152</v>
      </c>
      <c r="B12" s="9"/>
      <c r="C12" s="10">
        <f>TOT_Investments-C11</f>
        <v>0.0</v>
      </c>
      <c r="D12" s="9">
        <f>TOT_Investments_PY-D11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dimension ref="A1:C12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227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228</v>
      </c>
      <c r="B6" s="2">
        <v>0</v>
      </c>
      <c r="C6" s="3">
        <v>0</v>
      </c>
    </row>
    <row r="7" spans="1:3">
      <c r="A7" t="s">
        <v>229</v>
      </c>
      <c r="B7" s="2">
        <v>0</v>
      </c>
      <c r="C7" s="3">
        <v>0</v>
      </c>
    </row>
    <row r="8" spans="1:3">
      <c r="A8" t="s">
        <v>230</v>
      </c>
      <c r="B8" s="2">
        <v>0</v>
      </c>
      <c r="C8" s="3">
        <v>0</v>
      </c>
    </row>
    <row r="9" spans="1:3">
      <c r="A9" s="7" t="s">
        <v>231</v>
      </c>
      <c r="B9" s="7">
        <f>SUM(B6:B8)</f>
        <v>0.0</v>
      </c>
      <c r="C9" s="8">
        <f>SUM(C6:C8)</f>
        <v>0.0</v>
      </c>
    </row>
    <row r="10" spans="1:3">
      <c r="C10" s="6"/>
    </row>
    <row r="11" spans="1:3">
      <c r="A11" s="9" t="s">
        <v>151</v>
      </c>
      <c r="B11" s="9">
        <f>SUMIFS('91_Mapping'!H:H, '91_Mapping'!F:F, "4.4")</f>
        <v>0.0</v>
      </c>
      <c r="C11" s="10">
        <f>SUMIFS('91_Mapping'!I:I, '91_Mapping'!F:F, "4.4")</f>
        <v>0.0</v>
      </c>
    </row>
    <row r="12" spans="1:3">
      <c r="A12" s="9" t="s">
        <v>152</v>
      </c>
      <c r="B12" s="9">
        <f>TOT_LTLA-B11</f>
        <v>0.0</v>
      </c>
      <c r="C12" s="10">
        <f>TOT_LTLA_PY-C11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dimension ref="A1:C13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232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233</v>
      </c>
      <c r="B6" s="2">
        <v>58</v>
      </c>
      <c r="C6" s="3">
        <v>48</v>
      </c>
    </row>
    <row r="7" spans="1:3">
      <c r="A7" t="s">
        <v>234</v>
      </c>
      <c r="B7" s="2">
        <v>29</v>
      </c>
      <c r="C7" s="3">
        <v>24</v>
      </c>
    </row>
    <row r="8" spans="1:3">
      <c r="A8" t="s">
        <v>235</v>
      </c>
      <c r="B8" s="2">
        <v>43.5</v>
      </c>
      <c r="C8" s="3">
        <v>36</v>
      </c>
    </row>
    <row r="9" spans="1:3">
      <c r="A9" t="s">
        <v>236</v>
      </c>
      <c r="B9" s="2">
        <v>14.5</v>
      </c>
      <c r="C9" s="3">
        <v>12</v>
      </c>
    </row>
    <row r="10" spans="1:3">
      <c r="A10" s="7" t="s">
        <v>237</v>
      </c>
      <c r="B10" s="7">
        <f>SUM(B6:B9)</f>
        <v>145.0</v>
      </c>
      <c r="C10" s="8">
        <f>SUM(C6:C9)</f>
        <v>120.0</v>
      </c>
    </row>
    <row r="11" spans="1:3">
      <c r="C11" s="6"/>
    </row>
    <row r="12" spans="1:3">
      <c r="A12" s="9" t="s">
        <v>151</v>
      </c>
      <c r="B12" s="9">
        <f>SUMIFS('91_Mapping'!H:H, '91_Mapping'!F:F, "5.1")</f>
        <v>145.0</v>
      </c>
      <c r="C12" s="10">
        <f>SUMIFS('91_Mapping'!I:I, '91_Mapping'!F:F, "5.1")</f>
        <v>120.0</v>
      </c>
    </row>
    <row r="13" spans="1:3">
      <c r="A13" s="9" t="s">
        <v>152</v>
      </c>
      <c r="B13" s="9">
        <f>TOT_Inventory-B12</f>
        <v>0.0</v>
      </c>
      <c r="C13" s="10">
        <f>TOT_Inventory_PY-C12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/>
  </sheetViews>
  <sheetFormatPr defaultRowHeight="15"/>
  <sheetData>
    <row r="1" spans="1:8">
      <c r="A1" s="4" t="s">
        <v>140</v>
      </c>
    </row>
    <row r="2" spans="1:8">
      <c r="A2" s="4" t="s">
        <v>238</v>
      </c>
      <c r="B2" s="4">
        <f>HYPERLINK("#\'02_Balance_Sheet\'!A1", "[&lt;- Back to Balance Sheet]")</f>
        <v>0</v>
      </c>
      <c r="C2" s="5"/>
    </row>
    <row r="3" spans="1:8">
      <c r="A3" t="s">
        <v>142</v>
      </c>
      <c r="C3" s="6"/>
    </row>
    <row r="4" spans="1:8">
      <c r="C4" s="6"/>
    </row>
    <row r="5" spans="1:8">
      <c r="A5" s="1" t="s">
        <v>239</v>
      </c>
      <c r="B5" s="1" t="s">
        <v>240</v>
      </c>
      <c r="C5" s="1" t="s">
        <v>241</v>
      </c>
      <c r="D5" s="1" t="s">
        <v>242</v>
      </c>
      <c r="E5" s="1" t="s">
        <v>176</v>
      </c>
      <c r="F5" s="1" t="s">
        <v>177</v>
      </c>
      <c r="G5" s="1" t="s">
        <v>178</v>
      </c>
      <c r="H5" s="1" t="s">
        <v>243</v>
      </c>
    </row>
    <row r="6" spans="1:8">
      <c r="A6" t="s">
        <v>244</v>
      </c>
      <c r="B6" t="s">
        <v>245</v>
      </c>
      <c r="C6" s="3">
        <v>85</v>
      </c>
      <c r="D6" s="2">
        <v>15</v>
      </c>
      <c r="E6" s="2">
        <v>0</v>
      </c>
      <c r="F6" s="2">
        <v>0</v>
      </c>
      <c r="G6" s="2">
        <v>0</v>
      </c>
      <c r="H6" s="2">
        <v>100</v>
      </c>
    </row>
    <row r="7" spans="1:8">
      <c r="A7" t="s">
        <v>246</v>
      </c>
      <c r="B7" t="s">
        <v>245</v>
      </c>
      <c r="C7" s="3">
        <v>45</v>
      </c>
      <c r="D7" s="2">
        <v>10</v>
      </c>
      <c r="E7" s="2">
        <v>5</v>
      </c>
      <c r="F7" s="2">
        <v>0</v>
      </c>
      <c r="G7" s="2">
        <v>0</v>
      </c>
      <c r="H7" s="2">
        <v>60</v>
      </c>
    </row>
    <row r="8" spans="1:8">
      <c r="A8" t="s">
        <v>247</v>
      </c>
      <c r="B8" t="s">
        <v>248</v>
      </c>
      <c r="C8" s="3">
        <v>0</v>
      </c>
      <c r="D8" s="2">
        <v>5</v>
      </c>
      <c r="E8" s="2">
        <v>10</v>
      </c>
      <c r="F8" s="2">
        <v>0</v>
      </c>
      <c r="G8" s="2">
        <v>0</v>
      </c>
      <c r="H8" s="2">
        <v>15</v>
      </c>
    </row>
    <row r="9" spans="1:8">
      <c r="A9" s="7" t="s">
        <v>249</v>
      </c>
      <c r="B9" s="7">
        <v>0</v>
      </c>
      <c r="C9" s="8">
        <v>175</v>
      </c>
      <c r="D9" s="7">
        <v>0</v>
      </c>
      <c r="E9" s="7">
        <v>0</v>
      </c>
      <c r="F9" s="7">
        <v>0</v>
      </c>
      <c r="G9" s="7">
        <v>0</v>
      </c>
      <c r="H9" s="7">
        <v>175</v>
      </c>
    </row>
    <row r="10" spans="1:8">
      <c r="C10" s="6"/>
    </row>
    <row r="11" spans="1:8">
      <c r="A11" s="9" t="s">
        <v>151</v>
      </c>
      <c r="B11" s="9"/>
      <c r="C11" s="10"/>
      <c r="D11" s="9"/>
      <c r="E11" s="9"/>
      <c r="F11" s="9"/>
      <c r="G11" s="9">
        <f>SUMIFS('91_Mapping'!H:H, '91_Mapping'!F:F, "5.2")</f>
        <v>0.0</v>
      </c>
      <c r="H11" s="9">
        <f>SUMIFS('91_Mapping'!I:I, '91_Mapping'!F:F, "5.2")</f>
        <v>175.0</v>
      </c>
    </row>
    <row r="12" spans="1:8">
      <c r="A12" s="9" t="s">
        <v>152</v>
      </c>
      <c r="B12" s="9"/>
      <c r="C12" s="10"/>
      <c r="D12" s="9"/>
      <c r="E12" s="9"/>
      <c r="F12" s="9"/>
      <c r="G12" s="9">
        <f>TOT_Receivables-G11</f>
        <v>0.0</v>
      </c>
      <c r="H12" s="9">
        <f>TOT_Receivables_PY-H11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dimension ref="A1:C17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250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251</v>
      </c>
      <c r="C6" s="6"/>
    </row>
    <row r="7" spans="1:3">
      <c r="A7" t="s">
        <v>252</v>
      </c>
      <c r="B7" s="2">
        <v>8.75</v>
      </c>
      <c r="C7" s="3">
        <v>7.75</v>
      </c>
    </row>
    <row r="8" spans="1:3">
      <c r="A8" t="s">
        <v>253</v>
      </c>
      <c r="B8" s="2">
        <v>96.25</v>
      </c>
      <c r="C8" s="3">
        <v>85.25</v>
      </c>
    </row>
    <row r="9" spans="1:3">
      <c r="A9" t="s">
        <v>254</v>
      </c>
      <c r="B9" s="2">
        <v>35</v>
      </c>
      <c r="C9" s="3">
        <v>31</v>
      </c>
    </row>
    <row r="10" spans="1:3">
      <c r="A10" t="s">
        <v>255</v>
      </c>
      <c r="B10" s="2">
        <v>140</v>
      </c>
      <c r="C10" s="3">
        <v>124</v>
      </c>
    </row>
    <row r="11" spans="1:3">
      <c r="A11" t="s">
        <v>256</v>
      </c>
      <c r="C11" s="6"/>
    </row>
    <row r="12" spans="1:3">
      <c r="A12" t="s">
        <v>257</v>
      </c>
      <c r="B12" s="2">
        <v>35</v>
      </c>
      <c r="C12" s="3">
        <v>31</v>
      </c>
    </row>
    <row r="13" spans="1:3">
      <c r="A13" t="s">
        <v>258</v>
      </c>
      <c r="B13" s="2">
        <v>35</v>
      </c>
      <c r="C13" s="3">
        <v>31</v>
      </c>
    </row>
    <row r="14" spans="1:3">
      <c r="A14" s="7" t="s">
        <v>259</v>
      </c>
      <c r="B14" s="7">
        <f>SUM(B6:B13)</f>
        <v>175.0</v>
      </c>
      <c r="C14" s="8">
        <f>SUM(C6:C13)</f>
        <v>155.0</v>
      </c>
    </row>
    <row r="15" spans="1:3">
      <c r="C15" s="6"/>
    </row>
    <row r="16" spans="1:3">
      <c r="A16" s="9" t="s">
        <v>151</v>
      </c>
      <c r="B16" s="9">
        <f>SUMIFS('91_Mapping'!H:H, '91_Mapping'!F:F, "5.3")</f>
        <v>175.0</v>
      </c>
      <c r="C16" s="10">
        <f>SUMIFS('91_Mapping'!I:I, '91_Mapping'!F:F, "5.3")</f>
        <v>155.0</v>
      </c>
    </row>
    <row r="17" spans="1:3">
      <c r="A17" s="9" t="s">
        <v>152</v>
      </c>
      <c r="B17" s="9">
        <f>TOT_Cash-B16</f>
        <v>0.0</v>
      </c>
      <c r="C17" s="10">
        <f>TOT_Cash_PY-C16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dimension ref="A1:C14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260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261</v>
      </c>
      <c r="B6" s="2">
        <v>0</v>
      </c>
      <c r="C6" s="3">
        <v>0</v>
      </c>
    </row>
    <row r="7" spans="1:3">
      <c r="A7" t="s">
        <v>262</v>
      </c>
      <c r="B7" s="2">
        <v>0</v>
      </c>
      <c r="C7" s="3">
        <v>0</v>
      </c>
    </row>
    <row r="8" spans="1:3">
      <c r="A8" t="s">
        <v>263</v>
      </c>
      <c r="B8" s="2">
        <v>0</v>
      </c>
      <c r="C8" s="3">
        <v>0</v>
      </c>
    </row>
    <row r="9" spans="1:3">
      <c r="A9" t="s">
        <v>264</v>
      </c>
      <c r="B9" s="2">
        <v>0</v>
      </c>
      <c r="C9" s="3">
        <v>0</v>
      </c>
    </row>
    <row r="10" spans="1:3">
      <c r="A10" t="s">
        <v>265</v>
      </c>
      <c r="B10" s="2">
        <v>0</v>
      </c>
      <c r="C10" s="3">
        <v>0</v>
      </c>
    </row>
    <row r="11" spans="1:3">
      <c r="A11" s="7" t="s">
        <v>266</v>
      </c>
      <c r="B11" s="7">
        <f>SUM(B6:B10)</f>
        <v>0.0</v>
      </c>
      <c r="C11" s="8">
        <f>SUM(C6:C10)</f>
        <v>0.0</v>
      </c>
    </row>
    <row r="12" spans="1:3">
      <c r="C12" s="6"/>
    </row>
    <row r="13" spans="1:3">
      <c r="A13" s="9" t="s">
        <v>151</v>
      </c>
      <c r="B13" s="9">
        <f>SUMIFS('91_Mapping'!H:H, '91_Mapping'!F:F, "5.4")</f>
        <v>0.0</v>
      </c>
      <c r="C13" s="10">
        <f>SUMIFS('91_Mapping'!I:I, '91_Mapping'!F:F, "5.4")</f>
        <v>0.0</v>
      </c>
    </row>
    <row r="14" spans="1:3">
      <c r="A14" s="9" t="s">
        <v>152</v>
      </c>
      <c r="B14" s="9">
        <f>TOT_STLA-B13</f>
        <v>0.0</v>
      </c>
      <c r="C14" s="10">
        <f>TOT_STLA_PY-C13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267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268</v>
      </c>
      <c r="B6" s="2">
        <v>0</v>
      </c>
      <c r="C6" s="3">
        <v>0</v>
      </c>
    </row>
    <row r="7" spans="1:3">
      <c r="A7" t="s">
        <v>269</v>
      </c>
      <c r="B7" s="2">
        <v>0</v>
      </c>
      <c r="C7" s="3">
        <v>0</v>
      </c>
    </row>
    <row r="8" spans="1:3">
      <c r="A8" s="7" t="s">
        <v>270</v>
      </c>
      <c r="B8" s="7">
        <f>SUM(B6:B7)</f>
        <v>0.0</v>
      </c>
      <c r="C8" s="8">
        <f>SUM(C6:C7)</f>
        <v>0.0</v>
      </c>
    </row>
    <row r="9" spans="1:3">
      <c r="C9" s="6"/>
    </row>
    <row r="10" spans="1:3">
      <c r="A10" s="9" t="s">
        <v>151</v>
      </c>
      <c r="B10" s="9">
        <f>SUMIFS('91_Mapping'!H:H, '91_Mapping'!F:F, "5.5")</f>
        <v>0.0</v>
      </c>
      <c r="C10" s="10">
        <f>SUMIFS('91_Mapping'!I:I, '91_Mapping'!F:F, "5.5")</f>
        <v>0.0</v>
      </c>
    </row>
    <row r="11" spans="1:3">
      <c r="A11" s="9" t="s">
        <v>152</v>
      </c>
      <c r="B11" s="9">
        <f>TOT_OtherCA-B10</f>
        <v>0.0</v>
      </c>
      <c r="C11" s="10">
        <f>TOT_OtherCA_PY-C10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dimension ref="A1:C14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271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272</v>
      </c>
      <c r="C5" s="1" t="s">
        <v>273</v>
      </c>
    </row>
    <row r="6" spans="1:3">
      <c r="A6" t="s">
        <v>274</v>
      </c>
      <c r="C6" s="6"/>
    </row>
    <row r="7" spans="1:3">
      <c r="A7" t="s">
        <v>275</v>
      </c>
      <c r="B7" s="2">
        <f>SUMIFS('91_Mapping'!H:H, '91_Mapping'!D:D, "Domestic Sales")</f>
        <v>765.0</v>
      </c>
      <c r="C7" s="3">
        <f>SUMIFS('91_Mapping'!I:I, '91_Mapping'!D:D, "Domestic Sales")</f>
        <v>630.0</v>
      </c>
    </row>
    <row r="8" spans="1:3">
      <c r="A8" t="s">
        <v>276</v>
      </c>
      <c r="B8" s="2">
        <f>SUMIFS('91_Mapping'!H:H, '91_Mapping'!D:D, "Export Sales")</f>
        <v>85.0</v>
      </c>
      <c r="C8" s="3">
        <f>SUMIFS('91_Mapping'!I:I, '91_Mapping'!D:D, "Export Sales")</f>
        <v>70.0</v>
      </c>
    </row>
    <row r="9" spans="1:3">
      <c r="A9" t="s">
        <v>277</v>
      </c>
      <c r="B9" s="2">
        <v>0</v>
      </c>
      <c r="C9" s="3">
        <v>0</v>
      </c>
    </row>
    <row r="10" spans="1:3">
      <c r="A10" t="s">
        <v>278</v>
      </c>
      <c r="B10" s="2">
        <v>0</v>
      </c>
      <c r="C10" s="3">
        <v>0</v>
      </c>
    </row>
    <row r="11" spans="1:3">
      <c r="A11" s="7" t="s">
        <v>279</v>
      </c>
      <c r="B11" s="7">
        <f>-1*SUM(B6:B10)</f>
        <v>850.0</v>
      </c>
      <c r="C11" s="8">
        <f>-1*SUM(C6:C10)</f>
        <v>700.0</v>
      </c>
    </row>
    <row r="12" spans="1:3">
      <c r="C12" s="6"/>
    </row>
    <row r="13" spans="1:3">
      <c r="A13" s="9" t="s">
        <v>151</v>
      </c>
      <c r="B13" s="9">
        <f>-SUMIFS('91_Mapping'!H:H, '91_Mapping'!F:F, "6.1")</f>
        <v>850.0</v>
      </c>
      <c r="C13" s="10">
        <f>-SUMIFS('91_Mapping'!I:I, '91_Mapping'!F:F, "6.1")</f>
        <v>700.0</v>
      </c>
    </row>
    <row r="14" spans="1:3">
      <c r="A14" s="9" t="s">
        <v>152</v>
      </c>
      <c r="B14" s="9">
        <f>TOT_Revenue-B13</f>
        <v>0.0</v>
      </c>
      <c r="C14" s="10">
        <f>TOT_Revenue_PY-C13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dimension ref="A1:C13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280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272</v>
      </c>
      <c r="C5" s="1" t="s">
        <v>273</v>
      </c>
    </row>
    <row r="6" spans="1:3">
      <c r="A6" t="s">
        <v>281</v>
      </c>
      <c r="B6" s="2">
        <v>10.5</v>
      </c>
      <c r="C6" s="3">
        <v>7</v>
      </c>
    </row>
    <row r="7" spans="1:3">
      <c r="A7" t="s">
        <v>282</v>
      </c>
      <c r="B7" s="2">
        <v>0</v>
      </c>
      <c r="C7" s="3">
        <v>0</v>
      </c>
    </row>
    <row r="8" spans="1:3">
      <c r="A8" t="s">
        <v>283</v>
      </c>
      <c r="B8" s="2">
        <v>3</v>
      </c>
      <c r="C8" s="3">
        <v>2</v>
      </c>
    </row>
    <row r="9" spans="1:3">
      <c r="A9" t="s">
        <v>284</v>
      </c>
      <c r="B9" s="2">
        <v>1.5</v>
      </c>
      <c r="C9" s="3">
        <v>1</v>
      </c>
    </row>
    <row r="10" spans="1:3">
      <c r="A10" s="7" t="s">
        <v>285</v>
      </c>
      <c r="B10" s="7">
        <f>-1*SUM(B6:B9)</f>
        <v>15.0</v>
      </c>
      <c r="C10" s="8">
        <f>-1*SUM(C6:C9)</f>
        <v>10.0</v>
      </c>
    </row>
    <row r="11" spans="1:3">
      <c r="C11" s="6"/>
    </row>
    <row r="12" spans="1:3">
      <c r="A12" s="9" t="s">
        <v>151</v>
      </c>
      <c r="B12" s="9">
        <f>-SUMIFS('91_Mapping'!H:H, '91_Mapping'!F:F, "6.2")</f>
        <v>15.0</v>
      </c>
      <c r="C12" s="10">
        <f>-SUMIFS('91_Mapping'!I:I, '91_Mapping'!F:F, "6.2")</f>
        <v>10.0</v>
      </c>
    </row>
    <row r="13" spans="1:3">
      <c r="A13" s="9" t="s">
        <v>152</v>
      </c>
      <c r="B13" s="9">
        <f>TOT_OtherIncome-B12</f>
        <v>0.0</v>
      </c>
      <c r="C13" s="10">
        <f>TOT_OtherIncome_PY-C12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dimension ref="A1:C19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286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272</v>
      </c>
      <c r="C5" s="1" t="s">
        <v>273</v>
      </c>
    </row>
    <row r="6" spans="1:3">
      <c r="A6" t="s">
        <v>287</v>
      </c>
      <c r="C6" s="6"/>
    </row>
    <row r="7" spans="1:3">
      <c r="A7" t="s">
        <v>288</v>
      </c>
      <c r="B7" s="2">
        <f>SUMIFS('91_Mapping'!H:H, '91_Mapping'!D:D, "Opening Stock of Raw Materials")</f>
        <v>75.6</v>
      </c>
      <c r="C7" s="3">
        <f>SUMIFS('91_Mapping'!I:I, '91_Mapping'!D:D, "Opening Stock of Raw Materials")</f>
        <v>63.0</v>
      </c>
    </row>
    <row r="8" spans="1:3">
      <c r="A8" t="s">
        <v>289</v>
      </c>
      <c r="B8" s="2">
        <f>SUMIFS('91_Mapping'!H:H, '91_Mapping'!D:D, "Add: Purchases of Raw Materials")</f>
        <v>357.0</v>
      </c>
      <c r="C8" s="3">
        <f>SUMIFS('91_Mapping'!I:I, '91_Mapping'!D:D, "Add: Purchases of Raw Materials")</f>
        <v>297.5</v>
      </c>
    </row>
    <row r="9" spans="1:3">
      <c r="A9" t="s">
        <v>290</v>
      </c>
      <c r="B9" s="2">
        <f>SUMIFS('91_Mapping'!H:H, '91_Mapping'!D:D, "Less: Closing Stock of Raw Materials")</f>
        <v>12.6</v>
      </c>
      <c r="C9" s="3">
        <f>SUMIFS('91_Mapping'!I:I, '91_Mapping'!D:D, "Less: Closing Stock of Raw Materials")</f>
        <v>10.5</v>
      </c>
    </row>
    <row r="10" spans="1:3">
      <c r="A10" t="s">
        <v>291</v>
      </c>
      <c r="B10" s="2">
        <f>SUMIFS('91_Mapping'!H:H, '91_Mapping'!D:D, "Total Cost of Materials Consumed  (A)")</f>
        <v>420.0</v>
      </c>
      <c r="C10" s="3">
        <f>SUMIFS('91_Mapping'!I:I, '91_Mapping'!D:D, "Total Cost of Materials Consumed  (A)")</f>
        <v>350.0</v>
      </c>
    </row>
    <row r="11" spans="1:3">
      <c r="A11" t="s">
        <v>292</v>
      </c>
      <c r="B11" s="2">
        <v>0</v>
      </c>
      <c r="C11" s="3">
        <v>0</v>
      </c>
    </row>
    <row r="12" spans="1:3">
      <c r="A12" t="s">
        <v>293</v>
      </c>
      <c r="C12" s="6"/>
    </row>
    <row r="13" spans="1:3">
      <c r="A13" t="s">
        <v>294</v>
      </c>
      <c r="B13" s="2">
        <f>SUMIFS('91_Mapping'!H:H, '91_Mapping'!D:D, "Opening Stock (WIP + Finished Goods)")</f>
        <v>0.0</v>
      </c>
      <c r="C13" s="3">
        <f>SUMIFS('91_Mapping'!I:I, '91_Mapping'!D:D, "Opening Stock (WIP + Finished Goods)")</f>
        <v>0.0</v>
      </c>
    </row>
    <row r="14" spans="1:3">
      <c r="A14" t="s">
        <v>295</v>
      </c>
      <c r="B14" s="2">
        <f>SUMIFS('91_Mapping'!H:H, '91_Mapping'!D:D, "Less: Closing Stock (WIP + Finished Goods)")</f>
        <v>0.0</v>
      </c>
      <c r="C14" s="3">
        <f>SUMIFS('91_Mapping'!I:I, '91_Mapping'!D:D, "Less: Closing Stock (WIP + Finished Goods)")</f>
        <v>0.0</v>
      </c>
    </row>
    <row r="15" spans="1:3">
      <c r="A15" t="s">
        <v>296</v>
      </c>
      <c r="B15" s="2">
        <f>SUMIFS('91_Mapping'!H:H, '91_Mapping'!D:D, "Net Change in Inventories  (C)")</f>
        <v>0.0</v>
      </c>
      <c r="C15" s="3">
        <f>SUMIFS('91_Mapping'!I:I, '91_Mapping'!D:D, "Net Change in Inventories  (C)")</f>
        <v>0.0</v>
      </c>
    </row>
    <row r="16" spans="1:3">
      <c r="A16" s="7" t="s">
        <v>297</v>
      </c>
      <c r="B16" s="7">
        <f>SUM(B6:B15)</f>
        <v>420.0</v>
      </c>
      <c r="C16" s="8">
        <f>SUM(C6:C15)</f>
        <v>350.0</v>
      </c>
    </row>
    <row r="17" spans="1:3">
      <c r="C17" s="6"/>
    </row>
    <row r="18" spans="1:3">
      <c r="A18" s="9" t="s">
        <v>151</v>
      </c>
      <c r="B18" s="9">
        <f>SUMIFS('91_Mapping'!H:H, '91_Mapping'!F:F, "7.1")</f>
        <v>420.0</v>
      </c>
      <c r="C18" s="10">
        <f>SUMIFS('91_Mapping'!I:I, '91_Mapping'!F:F, "7.1")</f>
        <v>350.0</v>
      </c>
    </row>
    <row r="19" spans="1:3">
      <c r="A19" s="9" t="s">
        <v>152</v>
      </c>
      <c r="B19" s="9">
        <f>TOT_Material-B18</f>
        <v>0.0</v>
      </c>
      <c r="C19" s="10">
        <f>TOT_Material_PY-C18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dimension ref="A1:C14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298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272</v>
      </c>
      <c r="C5" s="1" t="s">
        <v>273</v>
      </c>
    </row>
    <row r="6" spans="1:3">
      <c r="A6" t="s">
        <v>299</v>
      </c>
      <c r="B6" s="2">
        <v>114.8</v>
      </c>
      <c r="C6" s="3">
        <v>98.40000000000001</v>
      </c>
    </row>
    <row r="7" spans="1:3">
      <c r="A7" t="s">
        <v>300</v>
      </c>
      <c r="B7" s="2">
        <v>9.800000000000001</v>
      </c>
      <c r="C7" s="3">
        <v>8.4</v>
      </c>
    </row>
    <row r="8" spans="1:3">
      <c r="A8" t="s">
        <v>301</v>
      </c>
      <c r="B8" s="2">
        <v>8.4</v>
      </c>
      <c r="C8" s="3">
        <v>7.2</v>
      </c>
    </row>
    <row r="9" spans="1:3">
      <c r="A9" t="s">
        <v>302</v>
      </c>
      <c r="B9" s="2">
        <v>4.2</v>
      </c>
      <c r="C9" s="3">
        <v>3.6</v>
      </c>
    </row>
    <row r="10" spans="1:3">
      <c r="A10" t="s">
        <v>303</v>
      </c>
      <c r="B10" s="2">
        <v>2.8</v>
      </c>
      <c r="C10" s="3">
        <v>2.4</v>
      </c>
    </row>
    <row r="11" spans="1:3">
      <c r="A11" s="7" t="s">
        <v>304</v>
      </c>
      <c r="B11" s="7">
        <f>SUM(B6:B10)</f>
        <v>140.0</v>
      </c>
      <c r="C11" s="8">
        <f>SUM(C6:C10)</f>
        <v>120.0</v>
      </c>
    </row>
    <row r="12" spans="1:3">
      <c r="C12" s="6"/>
    </row>
    <row r="13" spans="1:3">
      <c r="A13" s="9" t="s">
        <v>151</v>
      </c>
      <c r="B13" s="9">
        <f>SUMIFS('91_Mapping'!H:H, '91_Mapping'!F:F, "7.2")</f>
        <v>140.0</v>
      </c>
      <c r="C13" s="10">
        <f>SUMIFS('91_Mapping'!I:I, '91_Mapping'!F:F, "7.2")</f>
        <v>120.0</v>
      </c>
    </row>
    <row r="14" spans="1:3">
      <c r="A14" s="9" t="s">
        <v>152</v>
      </c>
      <c r="B14" s="9">
        <f>TOT_Employee-B13</f>
        <v>0.0</v>
      </c>
      <c r="C14" s="10">
        <f>TOT_Employee_PY-C13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dimension ref="A1:C13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305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272</v>
      </c>
      <c r="C5" s="1" t="s">
        <v>273</v>
      </c>
    </row>
    <row r="6" spans="1:3">
      <c r="A6" t="s">
        <v>306</v>
      </c>
      <c r="B6" s="2">
        <v>20.8</v>
      </c>
      <c r="C6" s="3">
        <v>24.7</v>
      </c>
    </row>
    <row r="7" spans="1:3">
      <c r="A7" t="s">
        <v>307</v>
      </c>
      <c r="B7" s="2">
        <v>8</v>
      </c>
      <c r="C7" s="3">
        <v>9.5</v>
      </c>
    </row>
    <row r="8" spans="1:3">
      <c r="A8" t="s">
        <v>308</v>
      </c>
      <c r="B8" s="2">
        <v>2.56</v>
      </c>
      <c r="C8" s="3">
        <v>3.04</v>
      </c>
    </row>
    <row r="9" spans="1:3">
      <c r="A9" t="s">
        <v>309</v>
      </c>
      <c r="B9" s="2">
        <v>0.64</v>
      </c>
      <c r="C9" s="3">
        <v>0.76</v>
      </c>
    </row>
    <row r="10" spans="1:3">
      <c r="A10" s="7" t="s">
        <v>310</v>
      </c>
      <c r="B10" s="7">
        <f>SUM(B6:B9)</f>
        <v>32.0</v>
      </c>
      <c r="C10" s="8">
        <f>SUM(C6:C9)</f>
        <v>38.0</v>
      </c>
    </row>
    <row r="11" spans="1:3">
      <c r="C11" s="6"/>
    </row>
    <row r="12" spans="1:3">
      <c r="A12" s="9" t="s">
        <v>151</v>
      </c>
      <c r="B12" s="9">
        <f>SUMIFS('91_Mapping'!H:H, '91_Mapping'!F:F, "7.3")</f>
        <v>32.0</v>
      </c>
      <c r="C12" s="10">
        <f>SUMIFS('91_Mapping'!I:I, '91_Mapping'!F:F, "7.3")</f>
        <v>38.0</v>
      </c>
    </row>
    <row r="13" spans="1:3">
      <c r="A13" s="9" t="s">
        <v>152</v>
      </c>
      <c r="B13" s="9">
        <f>TOT_Finance-B12</f>
        <v>0.0</v>
      </c>
      <c r="C13" s="10">
        <f>TOT_Finance_PY-C12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dimension ref="A1:C12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311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272</v>
      </c>
      <c r="C5" s="1" t="s">
        <v>273</v>
      </c>
    </row>
    <row r="6" spans="1:3">
      <c r="A6" t="s">
        <v>312</v>
      </c>
      <c r="B6" s="2">
        <v>27.16</v>
      </c>
      <c r="C6" s="3">
        <v>24.25</v>
      </c>
    </row>
    <row r="7" spans="1:3">
      <c r="A7" t="s">
        <v>313</v>
      </c>
      <c r="B7" s="2">
        <v>0.5600000000000001</v>
      </c>
      <c r="C7" s="3">
        <v>0.5</v>
      </c>
    </row>
    <row r="8" spans="1:3">
      <c r="A8" t="s">
        <v>314</v>
      </c>
      <c r="B8" s="2">
        <v>0.28</v>
      </c>
      <c r="C8" s="3">
        <v>0.25</v>
      </c>
    </row>
    <row r="9" spans="1:3">
      <c r="A9" s="7" t="s">
        <v>315</v>
      </c>
      <c r="B9" s="7">
        <f>SUM(B6:B8)</f>
        <v>28.0</v>
      </c>
      <c r="C9" s="8">
        <f>SUM(C6:C8)</f>
        <v>25.0</v>
      </c>
    </row>
    <row r="10" spans="1:3">
      <c r="C10" s="6"/>
    </row>
    <row r="11" spans="1:3">
      <c r="A11" s="9" t="s">
        <v>151</v>
      </c>
      <c r="B11" s="9">
        <f>SUMIFS('91_Mapping'!H:H, '91_Mapping'!F:F, "7.4")</f>
        <v>28.0</v>
      </c>
      <c r="C11" s="10">
        <f>SUMIFS('91_Mapping'!I:I, '91_Mapping'!F:F, "7.4")</f>
        <v>25.0</v>
      </c>
    </row>
    <row r="12" spans="1:3">
      <c r="A12" s="9" t="s">
        <v>152</v>
      </c>
      <c r="B12" s="9">
        <f>TOT_Depreciation-B11</f>
        <v>0.0</v>
      </c>
      <c r="C12" s="10">
        <f>TOT_Depreciation_PY-C11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dimension ref="A1:C20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316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272</v>
      </c>
      <c r="C5" s="1" t="s">
        <v>273</v>
      </c>
    </row>
    <row r="6" spans="1:3">
      <c r="A6" t="s">
        <v>317</v>
      </c>
      <c r="B6" s="2">
        <v>12.6</v>
      </c>
      <c r="C6" s="3">
        <v>8.960000000000001</v>
      </c>
    </row>
    <row r="7" spans="1:3">
      <c r="A7" t="s">
        <v>318</v>
      </c>
      <c r="B7" s="2">
        <v>8.1</v>
      </c>
      <c r="C7" s="3">
        <v>5.76</v>
      </c>
    </row>
    <row r="8" spans="1:3">
      <c r="A8" t="s">
        <v>319</v>
      </c>
      <c r="B8" s="2">
        <v>4.5</v>
      </c>
      <c r="C8" s="3">
        <v>3.2</v>
      </c>
    </row>
    <row r="9" spans="1:3">
      <c r="A9" t="s">
        <v>320</v>
      </c>
      <c r="B9" s="2">
        <v>2.25</v>
      </c>
      <c r="C9" s="3">
        <v>1.6</v>
      </c>
    </row>
    <row r="10" spans="1:3">
      <c r="A10" t="s">
        <v>321</v>
      </c>
      <c r="B10" s="2">
        <v>5.4</v>
      </c>
      <c r="C10" s="3">
        <v>3.84</v>
      </c>
    </row>
    <row r="11" spans="1:3">
      <c r="A11" t="s">
        <v>322</v>
      </c>
      <c r="B11" s="2">
        <v>3.6</v>
      </c>
      <c r="C11" s="3">
        <v>2.56</v>
      </c>
    </row>
    <row r="12" spans="1:3">
      <c r="A12" t="s">
        <v>323</v>
      </c>
      <c r="B12" s="2">
        <v>1.8</v>
      </c>
      <c r="C12" s="3">
        <v>1.28</v>
      </c>
    </row>
    <row r="13" spans="1:3">
      <c r="A13" t="s">
        <v>324</v>
      </c>
      <c r="B13" s="2">
        <v>1.35</v>
      </c>
      <c r="C13" s="3">
        <v>0.96</v>
      </c>
    </row>
    <row r="14" spans="1:3">
      <c r="A14" t="s">
        <v>325</v>
      </c>
      <c r="B14" s="2">
        <v>2.25</v>
      </c>
      <c r="C14" s="3">
        <v>1.6</v>
      </c>
    </row>
    <row r="15" spans="1:3">
      <c r="A15" t="s">
        <v>326</v>
      </c>
      <c r="B15" s="2">
        <v>0.9</v>
      </c>
      <c r="C15" s="3">
        <v>0.64</v>
      </c>
    </row>
    <row r="16" spans="1:3">
      <c r="A16" t="s">
        <v>327</v>
      </c>
      <c r="B16" s="2">
        <v>2.25</v>
      </c>
      <c r="C16" s="3">
        <v>1.6</v>
      </c>
    </row>
    <row r="17" spans="1:3">
      <c r="A17" s="7" t="s">
        <v>328</v>
      </c>
      <c r="B17" s="7">
        <f>SUM(B6:B16)</f>
        <v>45.0</v>
      </c>
      <c r="C17" s="8">
        <f>SUM(C6:C16)</f>
        <v>32.0</v>
      </c>
    </row>
    <row r="18" spans="1:3">
      <c r="C18" s="6"/>
    </row>
    <row r="19" spans="1:3">
      <c r="A19" s="9" t="s">
        <v>151</v>
      </c>
      <c r="B19" s="9">
        <f>SUMIFS('91_Mapping'!H:H, '91_Mapping'!F:F, "7.5")</f>
        <v>45.0</v>
      </c>
      <c r="C19" s="10">
        <f>SUMIFS('91_Mapping'!I:I, '91_Mapping'!F:F, "7.5")</f>
        <v>32.0</v>
      </c>
    </row>
    <row r="20" spans="1:3">
      <c r="A20" s="9" t="s">
        <v>152</v>
      </c>
      <c r="B20" s="9">
        <f>TOT_OtherExp-B19</f>
        <v>0.0</v>
      </c>
      <c r="C20" s="10">
        <f>TOT_OtherExp_PY-C19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dimension ref="A1:C12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329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272</v>
      </c>
      <c r="C5" s="1" t="s">
        <v>273</v>
      </c>
    </row>
    <row r="6" spans="1:3">
      <c r="A6" t="s">
        <v>330</v>
      </c>
      <c r="B6" s="2">
        <v>36</v>
      </c>
      <c r="C6" s="3">
        <v>27</v>
      </c>
    </row>
    <row r="7" spans="1:3">
      <c r="A7" t="s">
        <v>331</v>
      </c>
      <c r="B7" s="2">
        <v>4</v>
      </c>
      <c r="C7" s="3">
        <v>3</v>
      </c>
    </row>
    <row r="8" spans="1:3">
      <c r="A8" t="s">
        <v>332</v>
      </c>
      <c r="B8" s="2">
        <v>0</v>
      </c>
      <c r="C8" s="3">
        <v>0</v>
      </c>
    </row>
    <row r="9" spans="1:3">
      <c r="A9" s="7" t="s">
        <v>333</v>
      </c>
      <c r="B9" s="7">
        <f>-1*SUM(B6:B8)</f>
        <v>40.0</v>
      </c>
      <c r="C9" s="8">
        <f>-1*SUM(C6:C8)</f>
        <v>30.0</v>
      </c>
    </row>
    <row r="10" spans="1:3">
      <c r="C10" s="6"/>
    </row>
    <row r="11" spans="1:3">
      <c r="A11" s="9" t="s">
        <v>151</v>
      </c>
      <c r="B11" s="9">
        <f>-SUMIFS('91_Mapping'!H:H, '91_Mapping'!F:F, "7.6")</f>
        <v>40.0</v>
      </c>
      <c r="C11" s="10">
        <f>-SUMIFS('91_Mapping'!I:I, '91_Mapping'!F:F, "7.6")</f>
        <v>30.0</v>
      </c>
    </row>
    <row r="12" spans="1:3">
      <c r="A12" s="9" t="s">
        <v>152</v>
      </c>
      <c r="B12" s="9">
        <f>TOT_Tax-B11</f>
        <v>0.0</v>
      </c>
      <c r="C12" s="10">
        <f>TOT_Tax_PY-C11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/>
  </sheetViews>
  <sheetFormatPr defaultRowHeight="15"/>
  <sheetData>
    <row r="1" spans="1:7">
      <c r="A1" s="4" t="s">
        <v>140</v>
      </c>
    </row>
    <row r="2" spans="1:7">
      <c r="A2" s="4" t="s">
        <v>334</v>
      </c>
      <c r="B2" s="4">
        <f>HYPERLINK("#\'02_Balance_Sheet\'!A1", "[&lt;- Back to Balance Sheet]")</f>
        <v>0</v>
      </c>
      <c r="C2" s="5"/>
    </row>
    <row r="3" spans="1:7">
      <c r="A3" t="s">
        <v>142</v>
      </c>
      <c r="C3" s="6"/>
    </row>
    <row r="4" spans="1:7">
      <c r="C4" s="6"/>
    </row>
    <row r="5" spans="1:7">
      <c r="A5" s="1" t="s">
        <v>335</v>
      </c>
      <c r="B5" s="1" t="s">
        <v>336</v>
      </c>
      <c r="C5" s="1" t="s">
        <v>337</v>
      </c>
      <c r="D5" s="1" t="s">
        <v>338</v>
      </c>
      <c r="E5" s="1" t="s">
        <v>339</v>
      </c>
      <c r="F5" s="1" t="s">
        <v>340</v>
      </c>
      <c r="G5" s="1" t="s">
        <v>341</v>
      </c>
    </row>
    <row r="6" spans="1:7">
      <c r="A6" t="s">
        <v>342</v>
      </c>
      <c r="B6" t="s">
        <v>343</v>
      </c>
      <c r="C6" s="6" t="s">
        <v>344</v>
      </c>
      <c r="D6" s="2">
        <v>0</v>
      </c>
      <c r="E6" s="2">
        <v>0</v>
      </c>
      <c r="F6" s="2">
        <v>36</v>
      </c>
      <c r="G6" s="2">
        <v>3</v>
      </c>
    </row>
    <row r="7" spans="1:7">
      <c r="C7" s="6"/>
    </row>
    <row r="8" spans="1:7">
      <c r="A8" s="9" t="s">
        <v>151</v>
      </c>
      <c r="B8" s="9"/>
      <c r="C8" s="10"/>
      <c r="D8" s="9"/>
      <c r="E8" s="9"/>
      <c r="F8" s="9">
        <f>SUMIFS('91_Mapping'!H:H, '91_Mapping'!F:F, "8.1")</f>
        <v>0.0</v>
      </c>
      <c r="G8" s="9">
        <f>SUMIFS('91_Mapping'!I:I, '91_Mapping'!F:F, "8.1")</f>
        <v>0.0</v>
      </c>
    </row>
    <row r="9" spans="1:7">
      <c r="A9" s="9" t="s">
        <v>152</v>
      </c>
      <c r="B9" s="9"/>
      <c r="C9" s="10"/>
      <c r="D9" s="9"/>
      <c r="E9" s="9"/>
      <c r="F9" s="9">
        <f>TOT_RPT-F8</f>
        <v>0.0</v>
      </c>
      <c r="G9" s="9">
        <f>TOT_RPT_PY-G8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dimension ref="A1:F9"/>
  <sheetViews>
    <sheetView showGridLines="0" workbookViewId="0"/>
  </sheetViews>
  <sheetFormatPr defaultRowHeight="15"/>
  <sheetData>
    <row r="1" spans="1:6">
      <c r="A1" s="4" t="s">
        <v>140</v>
      </c>
    </row>
    <row r="2" spans="1:6">
      <c r="A2" s="4" t="s">
        <v>345</v>
      </c>
      <c r="B2" s="4">
        <f>HYPERLINK("#\'02_Balance_Sheet\'!A1", "[&lt;- Back to Balance Sheet]")</f>
        <v>0</v>
      </c>
      <c r="C2" s="5"/>
    </row>
    <row r="3" spans="1:6">
      <c r="A3" t="s">
        <v>142</v>
      </c>
      <c r="C3" s="6"/>
    </row>
    <row r="4" spans="1:6">
      <c r="C4" s="6"/>
    </row>
    <row r="5" spans="1:6">
      <c r="A5" s="1" t="s">
        <v>346</v>
      </c>
      <c r="B5" s="1" t="s">
        <v>347</v>
      </c>
      <c r="C5" s="1" t="s">
        <v>348</v>
      </c>
      <c r="D5" s="1" t="s">
        <v>349</v>
      </c>
      <c r="E5" s="1" t="s">
        <v>350</v>
      </c>
      <c r="F5" s="1" t="s">
        <v>351</v>
      </c>
    </row>
    <row r="6" spans="1:6">
      <c r="A6" t="s">
        <v>352</v>
      </c>
      <c r="B6" t="s">
        <v>353</v>
      </c>
      <c r="C6" s="3">
        <v>35</v>
      </c>
      <c r="D6" s="2">
        <v>35</v>
      </c>
      <c r="E6" t="s">
        <v>354</v>
      </c>
      <c r="F6" t="s">
        <v>183</v>
      </c>
    </row>
    <row r="7" spans="1:6">
      <c r="C7" s="6"/>
    </row>
    <row r="8" spans="1:6">
      <c r="A8" s="9" t="s">
        <v>151</v>
      </c>
      <c r="B8" s="9"/>
      <c r="C8" s="10"/>
      <c r="D8" s="9"/>
      <c r="E8" s="9">
        <f>SUMIFS('91_Mapping'!H:H, '91_Mapping'!F:F, "8.2")</f>
        <v>0.0</v>
      </c>
      <c r="F8" s="9">
        <f>SUMIFS('91_Mapping'!I:I, '91_Mapping'!F:F, "8.2")</f>
        <v>0.0</v>
      </c>
    </row>
    <row r="9" spans="1:6">
      <c r="A9" s="9" t="s">
        <v>152</v>
      </c>
      <c r="B9" s="9"/>
      <c r="C9" s="10"/>
      <c r="D9" s="9"/>
      <c r="E9" s="9">
        <f>TOT_Contingencies-E8</f>
        <v>0.0</v>
      </c>
      <c r="F9" s="9">
        <f>TOT_Contingencies_PY-F8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dimension ref="A1:D33"/>
  <sheetViews>
    <sheetView showGridLines="0" workbookViewId="0"/>
  </sheetViews>
  <sheetFormatPr defaultRowHeight="15"/>
  <cols>
    <col min="1" max="1" width="45.7109375" customWidth="1"/>
    <col min="2" max="2" width="10.7109375" customWidth="1"/>
    <col min="3" max="4" width="20.7109375" customWidth="1"/>
  </cols>
  <sheetData>
    <row r="1" spans="1:4">
      <c r="A1" s="11" t="s">
        <v>355</v>
      </c>
    </row>
    <row r="2" spans="1:4">
      <c r="A2" s="12" t="s">
        <v>356</v>
      </c>
    </row>
    <row r="4" spans="1:4">
      <c r="A4" s="1" t="s">
        <v>143</v>
      </c>
      <c r="B4" s="1" t="s">
        <v>72</v>
      </c>
      <c r="C4" s="1" t="s">
        <v>357</v>
      </c>
      <c r="D4" s="1" t="s">
        <v>358</v>
      </c>
    </row>
    <row r="5" spans="1:4">
      <c r="A5" s="4" t="s">
        <v>359</v>
      </c>
      <c r="B5" s="4"/>
      <c r="C5" s="4">
        <v>0</v>
      </c>
      <c r="D5" s="5">
        <v>0</v>
      </c>
    </row>
    <row r="6" spans="1:4">
      <c r="A6" s="4" t="s">
        <v>360</v>
      </c>
      <c r="B6" s="4"/>
      <c r="C6" s="4">
        <v>670</v>
      </c>
      <c r="D6" s="5">
        <v>505</v>
      </c>
    </row>
    <row r="7" spans="1:4">
      <c r="A7" t="s">
        <v>361</v>
      </c>
      <c r="B7" s="2">
        <f>HYPERLINK("#\'Note_1_1_ShareCapital\'!A1", "1.1")</f>
        <v>0</v>
      </c>
      <c r="C7" s="2">
        <f>-TOT_ShareCapital</f>
        <v>100.0</v>
      </c>
      <c r="D7" s="3">
        <f>-TOT_ShareCapital_PY</f>
        <v>100.0</v>
      </c>
    </row>
    <row r="8" spans="1:4">
      <c r="A8" t="s">
        <v>362</v>
      </c>
      <c r="B8" s="2">
        <f>HYPERLINK("#\'Note_1_2_Reserves\'!A1", "1.2")</f>
        <v>0</v>
      </c>
      <c r="C8" s="2">
        <f>-TOT_Reserves</f>
        <v>570.0</v>
      </c>
      <c r="D8" s="3">
        <f>-TOT_Reserves_PY</f>
        <v>405.0</v>
      </c>
    </row>
    <row r="9" spans="1:4">
      <c r="A9" s="4" t="s">
        <v>363</v>
      </c>
      <c r="B9" s="4"/>
      <c r="C9" s="4">
        <v>250</v>
      </c>
      <c r="D9" s="5">
        <v>300</v>
      </c>
    </row>
    <row r="10" spans="1:4">
      <c r="A10" t="s">
        <v>364</v>
      </c>
      <c r="B10" s="2">
        <f>HYPERLINK("#\'Note_2_1_LTBorrow\'!A1", "2.1")</f>
        <v>0</v>
      </c>
      <c r="C10" s="2">
        <f>-TOT_LTBorrow</f>
        <v>250.0</v>
      </c>
      <c r="D10" s="3">
        <f>-TOT_LTBorrow_PY</f>
        <v>300.0</v>
      </c>
    </row>
    <row r="11" spans="1:4">
      <c r="A11" t="s">
        <v>365</v>
      </c>
      <c r="B11" s="2">
        <f>HYPERLINK("#\'Note_2_2_LTProv\'!A1", "2.2")</f>
        <v>0</v>
      </c>
      <c r="C11" s="2">
        <f>-TOT_LTProv</f>
        <v>0.0</v>
      </c>
      <c r="D11" s="3">
        <f>-TOT_LTProv_PY</f>
        <v>0.0</v>
      </c>
    </row>
    <row r="12" spans="1:4">
      <c r="A12" s="4" t="s">
        <v>366</v>
      </c>
      <c r="B12" s="4"/>
      <c r="C12" s="4">
        <v>290</v>
      </c>
      <c r="D12" s="5">
        <v>225</v>
      </c>
    </row>
    <row r="13" spans="1:4">
      <c r="A13" t="s">
        <v>367</v>
      </c>
      <c r="B13" s="2">
        <f>HYPERLINK("#\'Note_3_1_STBorrow\'!A1", "3.1")</f>
        <v>0</v>
      </c>
      <c r="C13" s="2">
        <f>-TOT_STBorrow</f>
        <v>80.0</v>
      </c>
      <c r="D13" s="3">
        <f>-TOT_STBorrow_PY</f>
        <v>60.0</v>
      </c>
    </row>
    <row r="14" spans="1:4">
      <c r="A14" t="s">
        <v>368</v>
      </c>
      <c r="B14" s="2">
        <f>HYPERLINK("#\'Note_3_2_TradePayables\'!A1", "3.2")</f>
        <v>0</v>
      </c>
      <c r="C14" s="2">
        <f>-TOT_Payables</f>
        <v>185.0</v>
      </c>
      <c r="D14" s="3">
        <f>-TOT_Payables_PY</f>
        <v>145.0</v>
      </c>
    </row>
    <row r="15" spans="1:4">
      <c r="A15" t="s">
        <v>369</v>
      </c>
      <c r="B15" s="2">
        <f>HYPERLINK("#\'Note_3_3_OtherCL\'!A1", "3.3")</f>
        <v>0</v>
      </c>
      <c r="C15" s="2">
        <f>-TOT_OtherCL</f>
        <v>25.0</v>
      </c>
      <c r="D15" s="3">
        <f>-TOT_OtherCL_PY</f>
        <v>20.0</v>
      </c>
    </row>
    <row r="16" spans="1:4">
      <c r="A16" t="s">
        <v>370</v>
      </c>
      <c r="B16" s="2">
        <f>HYPERLINK("#\'Note_3_4_STProv\'!A1", "3.4")</f>
        <v>0</v>
      </c>
      <c r="C16" s="2">
        <f>-TOT_STProv</f>
        <v>0.0</v>
      </c>
      <c r="D16" s="3">
        <f>-TOT_STProv_PY</f>
        <v>0.0</v>
      </c>
    </row>
    <row r="17" spans="1:4">
      <c r="A17" s="7" t="s">
        <v>371</v>
      </c>
      <c r="B17" s="7"/>
      <c r="C17" s="7">
        <f>C0+C0+C0</f>
        <v>1210.0</v>
      </c>
      <c r="D17" s="8">
        <f>D0+D0+D0</f>
        <v>1030.0</v>
      </c>
    </row>
    <row r="18" spans="1:4">
      <c r="A18" s="4" t="s">
        <v>372</v>
      </c>
      <c r="B18" s="4"/>
      <c r="C18" s="4">
        <v>0</v>
      </c>
      <c r="D18" s="5">
        <v>0</v>
      </c>
    </row>
    <row r="19" spans="1:4">
      <c r="A19" s="4" t="s">
        <v>373</v>
      </c>
      <c r="B19" s="4"/>
      <c r="C19" s="4">
        <v>715</v>
      </c>
      <c r="D19" s="5">
        <v>645</v>
      </c>
    </row>
    <row r="20" spans="1:4">
      <c r="A20" t="s">
        <v>374</v>
      </c>
      <c r="B20" s="2">
        <f>HYPERLINK("#\'Note_4_1_PPE\'!A1", "4.1")</f>
        <v>0</v>
      </c>
      <c r="C20" s="2">
        <f>TOT_PPE</f>
        <v>670.0</v>
      </c>
      <c r="D20" s="3">
        <f>TOT_PPE_PY</f>
        <v>630.0</v>
      </c>
    </row>
    <row r="21" spans="1:4">
      <c r="A21" t="s">
        <v>375</v>
      </c>
      <c r="B21" s="2">
        <f>HYPERLINK("#\'Note_4_2_CWIP\'!A1", "4.2")</f>
        <v>0</v>
      </c>
      <c r="C21" s="2">
        <f>TOT_CWIP</f>
        <v>45.0</v>
      </c>
      <c r="D21" s="3">
        <f>TOT_CWIP_PY</f>
        <v>15.0</v>
      </c>
    </row>
    <row r="22" spans="1:4">
      <c r="A22" t="s">
        <v>376</v>
      </c>
      <c r="B22" s="2">
        <f>HYPERLINK("#\'Note_4_3_Investments\'!A1", "4.3")</f>
        <v>0</v>
      </c>
      <c r="C22" s="2">
        <f>TOT_Investments</f>
        <v>0.0</v>
      </c>
      <c r="D22" s="3">
        <f>TOT_Investments_PY</f>
        <v>0.0</v>
      </c>
    </row>
    <row r="23" spans="1:4">
      <c r="A23" t="s">
        <v>377</v>
      </c>
      <c r="B23" s="2">
        <f>HYPERLINK("#\'Note_4_4_LTLA\'!A1", "4.4")</f>
        <v>0</v>
      </c>
      <c r="C23" s="2">
        <f>TOT_LTLA</f>
        <v>0.0</v>
      </c>
      <c r="D23" s="3">
        <f>TOT_LTLA_PY</f>
        <v>0.0</v>
      </c>
    </row>
    <row r="24" spans="1:4">
      <c r="A24" t="s">
        <v>378</v>
      </c>
      <c r="B24" t="s">
        <v>379</v>
      </c>
      <c r="C24" s="2">
        <v>0</v>
      </c>
      <c r="D24" s="3">
        <v>0</v>
      </c>
    </row>
    <row r="25" spans="1:4">
      <c r="A25" s="4" t="s">
        <v>380</v>
      </c>
      <c r="B25" s="4"/>
      <c r="C25" s="4">
        <v>495</v>
      </c>
      <c r="D25" s="5">
        <v>415</v>
      </c>
    </row>
    <row r="26" spans="1:4">
      <c r="A26" t="s">
        <v>381</v>
      </c>
      <c r="B26" s="2">
        <f>HYPERLINK("#\'Note_5_1_Inventories\'!A1", "5.1")</f>
        <v>0</v>
      </c>
      <c r="C26" s="2">
        <f>TOT_Inventory</f>
        <v>145.0</v>
      </c>
      <c r="D26" s="3">
        <f>TOT_Inventory_PY</f>
        <v>120.0</v>
      </c>
    </row>
    <row r="27" spans="1:4">
      <c r="A27" t="s">
        <v>382</v>
      </c>
      <c r="B27" s="2">
        <f>HYPERLINK("#\'Note_5_2_Receivables\'!A1", "5.2")</f>
        <v>0</v>
      </c>
      <c r="C27" s="2">
        <f>TOT_Receivables</f>
        <v>175.0</v>
      </c>
      <c r="D27" s="3">
        <f>TOT_Receivables_PY</f>
        <v>140.0</v>
      </c>
    </row>
    <row r="28" spans="1:4">
      <c r="A28" t="s">
        <v>383</v>
      </c>
      <c r="B28" s="2">
        <f>HYPERLINK("#\'Note_5_3_CashBank\'!A1", "5.3")</f>
        <v>0</v>
      </c>
      <c r="C28" s="2">
        <f>TOT_Cash</f>
        <v>175.0</v>
      </c>
      <c r="D28" s="3">
        <f>TOT_Cash_PY</f>
        <v>155.0</v>
      </c>
    </row>
    <row r="29" spans="1:4">
      <c r="A29" t="s">
        <v>384</v>
      </c>
      <c r="B29" s="2">
        <f>HYPERLINK("#\'Note_5_4_STLA\'!A1", "5.4")</f>
        <v>0</v>
      </c>
      <c r="C29" s="2">
        <f>TOT_STLA</f>
        <v>0.0</v>
      </c>
      <c r="D29" s="3">
        <f>TOT_STLA_PY</f>
        <v>0.0</v>
      </c>
    </row>
    <row r="30" spans="1:4">
      <c r="A30" t="s">
        <v>385</v>
      </c>
      <c r="B30" s="2">
        <f>HYPERLINK("#\'Note_5_5_OtherCA\'!A1", "5.5")</f>
        <v>0</v>
      </c>
      <c r="C30" s="2">
        <f>TOT_OtherCA</f>
        <v>0.0</v>
      </c>
      <c r="D30" s="3">
        <f>TOT_OtherCA_PY</f>
        <v>0.0</v>
      </c>
    </row>
    <row r="31" spans="1:4">
      <c r="A31" s="7" t="s">
        <v>386</v>
      </c>
      <c r="B31" s="7"/>
      <c r="C31" s="7">
        <f>C0+C0</f>
        <v>1210.0</v>
      </c>
      <c r="D31" s="8">
        <f>D0+D0</f>
        <v>1060.0</v>
      </c>
    </row>
    <row r="33" spans="1:4">
      <c r="A33" s="4" t="s">
        <v>387</v>
      </c>
      <c r="B33" s="4"/>
      <c r="C33" s="4">
        <f>C31-C17</f>
        <v>0.0</v>
      </c>
      <c r="D33" s="5">
        <f>D31-D17</f>
        <v>0.0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dimension ref="A1:D19"/>
  <sheetViews>
    <sheetView showGridLines="0" workbookViewId="0"/>
  </sheetViews>
  <sheetFormatPr defaultRowHeight="15"/>
  <cols>
    <col min="1" max="1" width="45.7109375" customWidth="1"/>
    <col min="2" max="2" width="10.7109375" customWidth="1"/>
    <col min="3" max="4" width="20.7109375" customWidth="1"/>
  </cols>
  <sheetData>
    <row r="1" spans="1:4">
      <c r="A1" s="11" t="s">
        <v>355</v>
      </c>
    </row>
    <row r="2" spans="1:4">
      <c r="A2" s="12" t="s">
        <v>388</v>
      </c>
    </row>
    <row r="4" spans="1:4">
      <c r="A4" s="1" t="s">
        <v>143</v>
      </c>
      <c r="B4" s="1" t="s">
        <v>72</v>
      </c>
      <c r="C4" s="1" t="s">
        <v>389</v>
      </c>
      <c r="D4" s="1" t="s">
        <v>390</v>
      </c>
    </row>
    <row r="5" spans="1:4">
      <c r="A5" t="s">
        <v>391</v>
      </c>
      <c r="B5" s="2">
        <f>HYPERLINK("#\'Note_6_1_Revenue\'!A1", "6.1")</f>
        <v>0</v>
      </c>
      <c r="C5" s="2">
        <f>-TOT_Revenue</f>
        <v>850.0</v>
      </c>
      <c r="D5" s="3">
        <f>-TOT_Revenue_PY</f>
        <v>700.0</v>
      </c>
    </row>
    <row r="6" spans="1:4">
      <c r="A6" t="s">
        <v>392</v>
      </c>
      <c r="B6" s="2">
        <f>HYPERLINK("#\'Note_6_2_OtherIncome\'!A1", "6.2")</f>
        <v>0</v>
      </c>
      <c r="C6" s="2">
        <f>-TOT_OtherIncome</f>
        <v>15.0</v>
      </c>
      <c r="D6" s="3">
        <f>-TOT_OtherIncome_PY</f>
        <v>10.0</v>
      </c>
    </row>
    <row r="7" spans="1:4">
      <c r="A7" s="7" t="s">
        <v>393</v>
      </c>
      <c r="B7" s="7"/>
      <c r="C7" s="7">
        <f>C5+C6</f>
        <v>865.0</v>
      </c>
      <c r="D7" s="8">
        <f>D5+D6</f>
        <v>710.0</v>
      </c>
    </row>
    <row r="8" spans="1:4">
      <c r="A8" s="4" t="s">
        <v>394</v>
      </c>
      <c r="B8" s="4"/>
      <c r="C8" s="4">
        <v>0</v>
      </c>
      <c r="D8" s="5">
        <v>0</v>
      </c>
    </row>
    <row r="9" spans="1:4">
      <c r="A9" t="s">
        <v>395</v>
      </c>
      <c r="B9" s="2">
        <f>HYPERLINK("#\'Note_7_1_Material\'!A1", "7.1")</f>
        <v>0</v>
      </c>
      <c r="C9" s="2">
        <f>TOT_Material</f>
        <v>420.0</v>
      </c>
      <c r="D9" s="3">
        <f>TOT_Material_PY</f>
        <v>350.0</v>
      </c>
    </row>
    <row r="10" spans="1:4">
      <c r="A10" t="s">
        <v>396</v>
      </c>
      <c r="B10" s="2">
        <f>HYPERLINK("#\'Note_7_1_Material\'!A1", "7.1")</f>
        <v>0</v>
      </c>
      <c r="C10" s="2">
        <f>TOT_Material</f>
        <v>0.0</v>
      </c>
      <c r="D10" s="3">
        <f>TOT_Material_PY</f>
        <v>0.0</v>
      </c>
    </row>
    <row r="11" spans="1:4">
      <c r="A11" t="s">
        <v>397</v>
      </c>
      <c r="B11" s="2">
        <f>HYPERLINK("#\'Note_7_1_Material\'!A1", "7.1")</f>
        <v>0</v>
      </c>
      <c r="C11" s="2">
        <f>TOT_Material</f>
        <v>0.0</v>
      </c>
      <c r="D11" s="3">
        <f>TOT_Material_PY</f>
        <v>0.0</v>
      </c>
    </row>
    <row r="12" spans="1:4">
      <c r="A12" t="s">
        <v>398</v>
      </c>
      <c r="B12" s="2">
        <f>HYPERLINK("#\'Note_7_2_Employee\'!A1", "7.2")</f>
        <v>0</v>
      </c>
      <c r="C12" s="2">
        <f>TOT_Employee</f>
        <v>140.0</v>
      </c>
      <c r="D12" s="3">
        <f>TOT_Employee_PY</f>
        <v>120.0</v>
      </c>
    </row>
    <row r="13" spans="1:4">
      <c r="A13" t="s">
        <v>399</v>
      </c>
      <c r="B13" s="2">
        <f>HYPERLINK("#\'Note_7_3_Finance\'!A1", "7.3")</f>
        <v>0</v>
      </c>
      <c r="C13" s="2">
        <f>TOT_Finance</f>
        <v>32.0</v>
      </c>
      <c r="D13" s="3">
        <f>TOT_Finance_PY</f>
        <v>38.0</v>
      </c>
    </row>
    <row r="14" spans="1:4">
      <c r="A14" t="s">
        <v>400</v>
      </c>
      <c r="B14" s="2">
        <f>HYPERLINK("#\'Note_7_4_Depreciation\'!A1", "7.4")</f>
        <v>0</v>
      </c>
      <c r="C14" s="2">
        <f>TOT_Depreciation</f>
        <v>28.0</v>
      </c>
      <c r="D14" s="3">
        <f>TOT_Depreciation_PY</f>
        <v>25.0</v>
      </c>
    </row>
    <row r="15" spans="1:4">
      <c r="A15" t="s">
        <v>401</v>
      </c>
      <c r="B15" s="2">
        <f>HYPERLINK("#\'Note_7_5_OtherExp\'!A1", "7.5")</f>
        <v>0</v>
      </c>
      <c r="C15" s="2">
        <f>TOT_OtherExp</f>
        <v>45.0</v>
      </c>
      <c r="D15" s="3">
        <f>TOT_OtherExp_PY</f>
        <v>32.0</v>
      </c>
    </row>
    <row r="16" spans="1:4">
      <c r="A16" s="7" t="s">
        <v>402</v>
      </c>
      <c r="B16" s="7"/>
      <c r="C16" s="7">
        <f>SUM(C9:C15)</f>
        <v>665.0</v>
      </c>
      <c r="D16" s="8">
        <f>SUM(D9:D15)</f>
        <v>565.0</v>
      </c>
    </row>
    <row r="17" spans="1:4">
      <c r="A17" s="7" t="s">
        <v>403</v>
      </c>
      <c r="B17" s="7"/>
      <c r="C17" s="7">
        <f>C7-C16</f>
        <v>200.0</v>
      </c>
      <c r="D17" s="8">
        <f>D7-D16</f>
        <v>145.0</v>
      </c>
    </row>
    <row r="18" spans="1:4">
      <c r="A18" t="s">
        <v>404</v>
      </c>
      <c r="B18" s="2">
        <f>HYPERLINK("#\'Note_7_6_Tax\'!A1", "7.6")</f>
        <v>0</v>
      </c>
      <c r="C18" s="2">
        <f>-TOT_Tax</f>
        <v>-40.0</v>
      </c>
      <c r="D18" s="3">
        <f>-TOT_Tax_PY</f>
        <v>-30.0</v>
      </c>
    </row>
    <row r="19" spans="1:4">
      <c r="A19" s="7" t="s">
        <v>405</v>
      </c>
      <c r="B19" s="7"/>
      <c r="C19" s="7">
        <f>C17-C18</f>
        <v>240.0</v>
      </c>
      <c r="D19" s="8">
        <f>D17-D18</f>
        <v>175.0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dimension ref="A1:C40"/>
  <sheetViews>
    <sheetView showGridLines="0" workbookViewId="0"/>
  </sheetViews>
  <sheetFormatPr defaultRowHeight="15"/>
  <cols>
    <col min="1" max="1" width="50.7109375" customWidth="1"/>
    <col min="2" max="3" width="20.7109375" customWidth="1"/>
  </cols>
  <sheetData>
    <row r="1" spans="1:3">
      <c r="A1" s="11" t="s">
        <v>355</v>
      </c>
    </row>
    <row r="2" spans="1:3">
      <c r="A2" s="12" t="s">
        <v>406</v>
      </c>
    </row>
    <row r="4" spans="1:3">
      <c r="A4" s="1" t="s">
        <v>143</v>
      </c>
      <c r="B4" s="1" t="s">
        <v>407</v>
      </c>
      <c r="C4" s="1" t="s">
        <v>408</v>
      </c>
    </row>
    <row r="5" spans="1:3">
      <c r="A5" s="4" t="s">
        <v>409</v>
      </c>
      <c r="B5" s="4">
        <v>0</v>
      </c>
      <c r="C5" s="5">
        <v>0</v>
      </c>
    </row>
    <row r="6" spans="1:3">
      <c r="A6" t="s">
        <v>410</v>
      </c>
      <c r="B6" s="2">
        <v>200</v>
      </c>
      <c r="C6" s="3">
        <v>145</v>
      </c>
    </row>
    <row r="7" spans="1:3">
      <c r="A7" t="s">
        <v>411</v>
      </c>
      <c r="B7" s="2">
        <v>0</v>
      </c>
      <c r="C7" s="3">
        <v>0</v>
      </c>
    </row>
    <row r="8" spans="1:3">
      <c r="A8" t="s">
        <v>412</v>
      </c>
      <c r="B8" s="2">
        <v>28</v>
      </c>
      <c r="C8" s="3">
        <v>25</v>
      </c>
    </row>
    <row r="9" spans="1:3">
      <c r="A9" t="s">
        <v>413</v>
      </c>
      <c r="B9" s="2">
        <v>32</v>
      </c>
      <c r="C9" s="3">
        <v>38</v>
      </c>
    </row>
    <row r="10" spans="1:3">
      <c r="A10" t="s">
        <v>414</v>
      </c>
      <c r="B10" s="2">
        <v>0</v>
      </c>
      <c r="C10" s="3">
        <v>0</v>
      </c>
    </row>
    <row r="11" spans="1:3">
      <c r="A11" t="s">
        <v>415</v>
      </c>
      <c r="B11" s="2">
        <v>-15</v>
      </c>
      <c r="C11" s="3">
        <v>0</v>
      </c>
    </row>
    <row r="12" spans="1:3">
      <c r="A12" t="s">
        <v>416</v>
      </c>
      <c r="B12" s="2">
        <v>0</v>
      </c>
      <c r="C12" s="3">
        <v>0</v>
      </c>
    </row>
    <row r="13" spans="1:3">
      <c r="A13" t="s">
        <v>417</v>
      </c>
      <c r="B13" s="2">
        <v>0</v>
      </c>
      <c r="C13" s="3">
        <v>0</v>
      </c>
    </row>
    <row r="14" spans="1:3">
      <c r="A14" t="s">
        <v>418</v>
      </c>
      <c r="B14" s="2">
        <v>245</v>
      </c>
      <c r="C14" s="3">
        <v>208</v>
      </c>
    </row>
    <row r="15" spans="1:3">
      <c r="A15" t="s">
        <v>419</v>
      </c>
      <c r="B15" s="2">
        <v>0</v>
      </c>
      <c r="C15" s="3">
        <v>0</v>
      </c>
    </row>
    <row r="16" spans="1:3">
      <c r="A16" t="s">
        <v>420</v>
      </c>
      <c r="B16" s="2">
        <v>-25</v>
      </c>
      <c r="C16" s="3">
        <v>0</v>
      </c>
    </row>
    <row r="17" spans="1:3">
      <c r="A17" t="s">
        <v>421</v>
      </c>
      <c r="B17" s="2">
        <v>-35</v>
      </c>
      <c r="C17" s="3">
        <v>0</v>
      </c>
    </row>
    <row r="18" spans="1:3">
      <c r="A18" t="s">
        <v>422</v>
      </c>
      <c r="B18" s="2">
        <v>40</v>
      </c>
      <c r="C18" s="3">
        <v>0</v>
      </c>
    </row>
    <row r="19" spans="1:3">
      <c r="A19" t="s">
        <v>423</v>
      </c>
      <c r="B19" s="2">
        <v>5</v>
      </c>
      <c r="C19" s="3">
        <v>0</v>
      </c>
    </row>
    <row r="20" spans="1:3">
      <c r="A20" t="s">
        <v>424</v>
      </c>
      <c r="B20" s="2">
        <v>0</v>
      </c>
      <c r="C20" s="3">
        <v>0</v>
      </c>
    </row>
    <row r="21" spans="1:3">
      <c r="A21" t="s">
        <v>425</v>
      </c>
      <c r="B21" s="2">
        <v>230</v>
      </c>
      <c r="C21" s="3">
        <v>208</v>
      </c>
    </row>
    <row r="22" spans="1:3">
      <c r="A22" t="s">
        <v>426</v>
      </c>
      <c r="B22" s="2">
        <v>-40</v>
      </c>
      <c r="C22" s="3">
        <v>0</v>
      </c>
    </row>
    <row r="23" spans="1:3">
      <c r="A23" s="9" t="s">
        <v>427</v>
      </c>
      <c r="B23" s="9">
        <v>190</v>
      </c>
      <c r="C23" s="10">
        <v>208</v>
      </c>
    </row>
    <row r="24" spans="1:3">
      <c r="A24" s="4" t="s">
        <v>428</v>
      </c>
      <c r="B24" s="4">
        <v>0</v>
      </c>
      <c r="C24" s="5">
        <v>0</v>
      </c>
    </row>
    <row r="25" spans="1:3">
      <c r="A25" t="s">
        <v>429</v>
      </c>
      <c r="B25" s="2">
        <v>-70</v>
      </c>
      <c r="C25" s="3">
        <v>-645</v>
      </c>
    </row>
    <row r="26" spans="1:3">
      <c r="A26" t="s">
        <v>430</v>
      </c>
      <c r="B26" s="2">
        <v>0</v>
      </c>
      <c r="C26" s="3">
        <v>0</v>
      </c>
    </row>
    <row r="27" spans="1:3">
      <c r="A27" t="s">
        <v>431</v>
      </c>
      <c r="B27" s="2">
        <v>15</v>
      </c>
      <c r="C27" s="3">
        <v>0</v>
      </c>
    </row>
    <row r="28" spans="1:3">
      <c r="A28" t="s">
        <v>432</v>
      </c>
      <c r="B28" s="2">
        <v>0</v>
      </c>
      <c r="C28" s="3">
        <v>0</v>
      </c>
    </row>
    <row r="29" spans="1:3">
      <c r="A29" s="9" t="s">
        <v>433</v>
      </c>
      <c r="B29" s="9">
        <v>-55</v>
      </c>
      <c r="C29" s="10">
        <v>-645</v>
      </c>
    </row>
    <row r="30" spans="1:3">
      <c r="A30" s="4" t="s">
        <v>434</v>
      </c>
      <c r="B30" s="4">
        <v>0</v>
      </c>
      <c r="C30" s="5">
        <v>0</v>
      </c>
    </row>
    <row r="31" spans="1:3">
      <c r="A31" t="s">
        <v>435</v>
      </c>
      <c r="B31" s="2">
        <v>-30</v>
      </c>
      <c r="C31" s="3">
        <v>360</v>
      </c>
    </row>
    <row r="32" spans="1:3">
      <c r="A32" t="s">
        <v>436</v>
      </c>
      <c r="B32" s="2">
        <v>0</v>
      </c>
      <c r="C32" s="3">
        <v>100</v>
      </c>
    </row>
    <row r="33" spans="1:3">
      <c r="A33" t="s">
        <v>437</v>
      </c>
      <c r="B33" s="2">
        <v>-32</v>
      </c>
      <c r="C33" s="3">
        <v>0</v>
      </c>
    </row>
    <row r="34" spans="1:3">
      <c r="A34" t="s">
        <v>438</v>
      </c>
      <c r="B34" s="2">
        <v>-60</v>
      </c>
      <c r="C34" s="3">
        <v>0</v>
      </c>
    </row>
    <row r="35" spans="1:3">
      <c r="A35" s="9" t="s">
        <v>439</v>
      </c>
      <c r="B35" s="9">
        <v>-122</v>
      </c>
      <c r="C35" s="10">
        <v>460</v>
      </c>
    </row>
    <row r="36" spans="1:3">
      <c r="A36" s="4" t="s">
        <v>440</v>
      </c>
      <c r="B36" s="4">
        <v>13</v>
      </c>
      <c r="C36" s="5">
        <v>23</v>
      </c>
    </row>
    <row r="37" spans="1:3">
      <c r="A37" t="s">
        <v>441</v>
      </c>
      <c r="B37" s="2">
        <v>155</v>
      </c>
      <c r="C37" s="3">
        <v>0</v>
      </c>
    </row>
    <row r="38" spans="1:3">
      <c r="A38" t="s">
        <v>442</v>
      </c>
      <c r="B38" s="2">
        <v>168</v>
      </c>
      <c r="C38" s="3">
        <v>155</v>
      </c>
    </row>
    <row r="39" spans="1:3">
      <c r="A39" t="s">
        <v>443</v>
      </c>
      <c r="B39" s="2">
        <v>175</v>
      </c>
      <c r="C39" s="3">
        <v>155</v>
      </c>
    </row>
    <row r="40" spans="1:3">
      <c r="A40" s="13" t="s">
        <v>444</v>
      </c>
      <c r="B40" s="13">
        <v>7</v>
      </c>
      <c r="C40" s="13">
        <v>0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>
  <dimension ref="A1:E12"/>
  <sheetViews>
    <sheetView showGridLines="0" workbookViewId="0"/>
  </sheetViews>
  <sheetFormatPr defaultRowHeight="15"/>
  <cols>
    <col min="1" max="1" width="30.7109375" customWidth="1"/>
    <col min="2" max="2" width="40.7109375" customWidth="1"/>
    <col min="3" max="5" width="15.7109375" customWidth="1"/>
  </cols>
  <sheetData>
    <row r="1" spans="1:5">
      <c r="A1" s="11" t="s">
        <v>355</v>
      </c>
    </row>
    <row r="2" spans="1:5">
      <c r="A2" s="12" t="s">
        <v>445</v>
      </c>
    </row>
    <row r="4" spans="1:5">
      <c r="A4" s="1" t="s">
        <v>446</v>
      </c>
      <c r="B4" s="1" t="s">
        <v>447</v>
      </c>
      <c r="C4" s="1" t="s">
        <v>448</v>
      </c>
      <c r="D4" s="1" t="s">
        <v>449</v>
      </c>
      <c r="E4" s="1" t="s">
        <v>450</v>
      </c>
    </row>
    <row r="5" spans="1:5">
      <c r="A5" t="s">
        <v>451</v>
      </c>
      <c r="B5" t="s">
        <v>452</v>
      </c>
      <c r="C5" s="2">
        <f>'02_Balance_Sheet'!C0/'02_Balance_Sheet'!C0</f>
        <v>1.71</v>
      </c>
      <c r="D5" s="3">
        <f>'02_Balance_Sheet'!D0/'02_Balance_Sheet'!D0</f>
        <v>1.84</v>
      </c>
    </row>
    <row r="6" spans="1:5">
      <c r="A6" t="s">
        <v>453</v>
      </c>
      <c r="B6" t="s">
        <v>454</v>
      </c>
      <c r="C6" s="2">
        <f>(TOT_LTBorrow+TOT_STBorrow)/'02_Balance_Sheet'!C0</f>
        <v>0.49</v>
      </c>
      <c r="D6" s="3">
        <f>(TOT_LTBorrow_PY+TOT_STBorrow_PY)/'02_Balance_Sheet'!D0</f>
        <v>0.71</v>
      </c>
    </row>
    <row r="7" spans="1:5">
      <c r="A7" t="s">
        <v>455</v>
      </c>
      <c r="B7" t="s">
        <v>456</v>
      </c>
      <c r="C7" s="2">
        <f>'03_Profit_and_Loss'!C19/TOT_Revenue</f>
        <v>28.24</v>
      </c>
      <c r="D7" s="3">
        <f>'03_Profit_and_Loss'!D19/TOT_Revenue_PY</f>
        <v>25.0</v>
      </c>
    </row>
    <row r="8" spans="1:5">
      <c r="A8" t="s">
        <v>457</v>
      </c>
      <c r="B8" t="s">
        <v>458</v>
      </c>
      <c r="C8" s="2">
        <f>('03_Profit_and_Loss'!C17+TOT_Finance+TOT_Depreciation)/TOT_Revenue</f>
        <v>30.59</v>
      </c>
      <c r="D8" s="3">
        <f>('03_Profit_and_Loss'!D17+TOT_Finance_PY+TOT_Depreciation_PY)/TOT_Revenue_PY</f>
        <v>29.71</v>
      </c>
    </row>
    <row r="9" spans="1:5">
      <c r="A9" t="s">
        <v>459</v>
      </c>
      <c r="B9" t="s">
        <v>460</v>
      </c>
      <c r="C9" s="2">
        <f>'03_Profit_and_Loss'!C19/'02_Balance_Sheet'!C0</f>
        <v>35.82</v>
      </c>
      <c r="D9" s="3">
        <f>'03_Profit_and_Loss'!D19/'02_Balance_Sheet'!D0</f>
        <v>34.65</v>
      </c>
    </row>
    <row r="10" spans="1:5">
      <c r="A10" t="s">
        <v>461</v>
      </c>
      <c r="B10" t="s">
        <v>462</v>
      </c>
      <c r="C10" s="2">
        <f>(TOT_Receivables/TOT_Revenue)*365</f>
        <v>75.15</v>
      </c>
      <c r="D10" s="3">
        <f>(TOT_Receivables_PY/TOT_Revenue_PY)*365</f>
        <v>73.0</v>
      </c>
    </row>
    <row r="11" spans="1:5">
      <c r="A11" t="s">
        <v>463</v>
      </c>
      <c r="B11" t="s">
        <v>464</v>
      </c>
      <c r="C11" s="2">
        <f>(TOT_Payables/'03_Profit_and_Loss'!C9)*365</f>
        <v>160.77</v>
      </c>
      <c r="D11" s="3">
        <f>(TOT_Payables_PY/'03_Profit_and_Loss'!D9)*365</f>
        <v>151.21</v>
      </c>
    </row>
    <row r="12" spans="1:5">
      <c r="A12" t="s">
        <v>465</v>
      </c>
      <c r="B12" t="s">
        <v>466</v>
      </c>
      <c r="C12" s="2">
        <f>(TOT_Inventory/'03_Profit_and_Loss'!C9)*365</f>
        <v>126.01</v>
      </c>
      <c r="D12" s="3">
        <f>(TOT_Inventory_PY/'03_Profit_and_Loss'!D9)*365</f>
        <v>125.14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>
  <dimension ref="A1:F6"/>
  <sheetViews>
    <sheetView showGridLines="0" workbookViewId="0"/>
  </sheetViews>
  <sheetFormatPr defaultRowHeight="15"/>
  <cols>
    <col min="1" max="1" width="15.7109375" customWidth="1"/>
    <col min="2" max="2" width="40.7109375" customWidth="1"/>
    <col min="3" max="4" width="20.7109375" customWidth="1"/>
    <col min="5" max="5" width="15.7109375" customWidth="1"/>
  </cols>
  <sheetData>
    <row r="1" spans="1:6">
      <c r="A1" s="11" t="s">
        <v>355</v>
      </c>
    </row>
    <row r="2" spans="1:6">
      <c r="A2" s="12" t="s">
        <v>467</v>
      </c>
    </row>
    <row r="4" spans="1:6">
      <c r="A4" s="1" t="s">
        <v>468</v>
      </c>
      <c r="B4" s="1" t="s">
        <v>123</v>
      </c>
      <c r="C4" s="1" t="s">
        <v>469</v>
      </c>
      <c r="D4" s="1" t="s">
        <v>470</v>
      </c>
      <c r="E4" s="1" t="s">
        <v>450</v>
      </c>
      <c r="F4" s="1" t="s">
        <v>471</v>
      </c>
    </row>
    <row r="5" spans="1:6">
      <c r="A5" t="s">
        <v>472</v>
      </c>
      <c r="B5" t="s">
        <v>473</v>
      </c>
      <c r="C5" s="2">
        <v>0</v>
      </c>
      <c r="D5" s="2">
        <f>'02_Balance_Sheet'!C31-'02_Balance_Sheet'!C17</f>
        <v>0.0</v>
      </c>
      <c r="E5" s="2">
        <f>D4-C4</f>
        <v>0.0</v>
      </c>
      <c r="F5" t="s">
        <v>474</v>
      </c>
    </row>
    <row r="6" spans="1:6">
      <c r="A6" t="s">
        <v>475</v>
      </c>
      <c r="B6" t="s">
        <v>476</v>
      </c>
      <c r="C6" s="2">
        <v>0</v>
      </c>
      <c r="D6" s="2">
        <v>7</v>
      </c>
      <c r="E6" s="2">
        <f>D5-C5</f>
        <v>7.0</v>
      </c>
      <c r="F6" s="14" t="s">
        <v>477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>
  <dimension ref="A1:D378"/>
  <sheetViews>
    <sheetView showGridLines="0" workbookViewId="0"/>
  </sheetViews>
  <sheetFormatPr defaultRowHeight="15"/>
  <cols>
    <col min="1" max="2" width="20.7109375" customWidth="1"/>
    <col min="3" max="3" width="60.7109375" customWidth="1"/>
    <col min="4" max="4" width="20.7109375" customWidth="1"/>
  </cols>
  <sheetData>
    <row r="1" spans="1:4">
      <c r="A1" s="11" t="s">
        <v>355</v>
      </c>
    </row>
    <row r="2" spans="1:4">
      <c r="A2" s="12" t="s">
        <v>478</v>
      </c>
    </row>
    <row r="4" spans="1:4">
      <c r="A4" s="1" t="s">
        <v>479</v>
      </c>
      <c r="B4" s="1" t="s">
        <v>480</v>
      </c>
      <c r="C4" s="1" t="s">
        <v>481</v>
      </c>
      <c r="D4" s="1" t="s">
        <v>482</v>
      </c>
    </row>
    <row r="5" spans="1:4">
      <c r="A5" t="s">
        <v>483</v>
      </c>
      <c r="B5" t="s">
        <v>484</v>
      </c>
      <c r="C5">
        <f>SUMIFS('90_Trial_Balance'!$D:$D, '90_Trial_Balance'!$A:$A, $A2)</f>
        <v>0</v>
      </c>
      <c r="D5">
        <v>-100</v>
      </c>
    </row>
    <row r="6" spans="1:4">
      <c r="A6" t="s">
        <v>483</v>
      </c>
      <c r="B6" t="s">
        <v>485</v>
      </c>
      <c r="C6">
        <f>SUMIFS('90_Trial_Balance'!$E:$E, '90_Trial_Balance'!$A:$A, $A2)</f>
        <v>0</v>
      </c>
      <c r="D6">
        <v>-100</v>
      </c>
    </row>
    <row r="7" spans="1:4">
      <c r="A7" t="s">
        <v>483</v>
      </c>
      <c r="B7" t="s">
        <v>486</v>
      </c>
      <c r="C7">
        <f>SUMIFS('90_Trial_Balance'!$D:$D, '90_Trial_Balance'!$A:$A, $A3)</f>
        <v>0</v>
      </c>
      <c r="D7">
        <v>-150</v>
      </c>
    </row>
    <row r="8" spans="1:4">
      <c r="A8" t="s">
        <v>483</v>
      </c>
      <c r="B8" t="s">
        <v>487</v>
      </c>
      <c r="C8">
        <f>SUMIFS('90_Trial_Balance'!$E:$E, '90_Trial_Balance'!$A:$A, $A3)</f>
        <v>0</v>
      </c>
      <c r="D8">
        <v>-120</v>
      </c>
    </row>
    <row r="9" spans="1:4">
      <c r="A9" t="s">
        <v>483</v>
      </c>
      <c r="B9" t="s">
        <v>488</v>
      </c>
      <c r="C9">
        <f>SUMIFS('90_Trial_Balance'!$D:$D, '90_Trial_Balance'!$A:$A, $A4)</f>
        <v>0</v>
      </c>
      <c r="D9">
        <v>-180</v>
      </c>
    </row>
    <row r="10" spans="1:4">
      <c r="A10" t="s">
        <v>483</v>
      </c>
      <c r="B10" t="s">
        <v>489</v>
      </c>
      <c r="C10">
        <f>SUMIFS('90_Trial_Balance'!$E:$E, '90_Trial_Balance'!$A:$A, $A4)</f>
        <v>0</v>
      </c>
      <c r="D10">
        <v>-110</v>
      </c>
    </row>
    <row r="11" spans="1:4">
      <c r="A11" t="s">
        <v>483</v>
      </c>
      <c r="B11" t="s">
        <v>490</v>
      </c>
      <c r="C11">
        <f>SUMIFS('90_Trial_Balance'!$D:$D, '90_Trial_Balance'!$A:$A, $A5)</f>
        <v>0</v>
      </c>
      <c r="D11">
        <v>-250</v>
      </c>
    </row>
    <row r="12" spans="1:4">
      <c r="A12" t="s">
        <v>483</v>
      </c>
      <c r="B12" t="s">
        <v>491</v>
      </c>
      <c r="C12">
        <f>SUMIFS('90_Trial_Balance'!$E:$E, '90_Trial_Balance'!$A:$A, $A5)</f>
        <v>0</v>
      </c>
      <c r="D12">
        <v>-300</v>
      </c>
    </row>
    <row r="13" spans="1:4">
      <c r="A13" t="s">
        <v>483</v>
      </c>
      <c r="B13" t="s">
        <v>492</v>
      </c>
      <c r="C13">
        <f>SUMIFS('90_Trial_Balance'!$D:$D, '90_Trial_Balance'!$A:$A, $A6)</f>
        <v>0</v>
      </c>
      <c r="D13">
        <v>-80</v>
      </c>
    </row>
    <row r="14" spans="1:4">
      <c r="A14" t="s">
        <v>483</v>
      </c>
      <c r="B14" t="s">
        <v>493</v>
      </c>
      <c r="C14">
        <f>SUMIFS('90_Trial_Balance'!$E:$E, '90_Trial_Balance'!$A:$A, $A6)</f>
        <v>0</v>
      </c>
      <c r="D14">
        <v>-60</v>
      </c>
    </row>
    <row r="15" spans="1:4">
      <c r="A15" t="s">
        <v>483</v>
      </c>
      <c r="B15" t="s">
        <v>494</v>
      </c>
      <c r="C15">
        <f>SUMIFS('90_Trial_Balance'!$D:$D, '90_Trial_Balance'!$A:$A, $A7)</f>
        <v>0</v>
      </c>
      <c r="D15">
        <v>-65</v>
      </c>
    </row>
    <row r="16" spans="1:4">
      <c r="A16" t="s">
        <v>483</v>
      </c>
      <c r="B16" t="s">
        <v>495</v>
      </c>
      <c r="C16">
        <f>SUMIFS('90_Trial_Balance'!$E:$E, '90_Trial_Balance'!$A:$A, $A7)</f>
        <v>0</v>
      </c>
      <c r="D16">
        <v>-50</v>
      </c>
    </row>
    <row r="17" spans="1:4">
      <c r="A17" t="s">
        <v>483</v>
      </c>
      <c r="B17" t="s">
        <v>496</v>
      </c>
      <c r="C17">
        <f>SUMIFS('90_Trial_Balance'!$D:$D, '90_Trial_Balance'!$A:$A, $A8)</f>
        <v>0</v>
      </c>
      <c r="D17">
        <v>-120</v>
      </c>
    </row>
    <row r="18" spans="1:4">
      <c r="A18" t="s">
        <v>483</v>
      </c>
      <c r="B18" t="s">
        <v>497</v>
      </c>
      <c r="C18">
        <f>SUMIFS('90_Trial_Balance'!$E:$E, '90_Trial_Balance'!$A:$A, $A8)</f>
        <v>0</v>
      </c>
      <c r="D18">
        <v>-95</v>
      </c>
    </row>
    <row r="19" spans="1:4">
      <c r="A19" t="s">
        <v>483</v>
      </c>
      <c r="B19" t="s">
        <v>498</v>
      </c>
      <c r="C19">
        <f>SUMIFS('90_Trial_Balance'!$D:$D, '90_Trial_Balance'!$A:$A, $A9)</f>
        <v>0</v>
      </c>
      <c r="D19">
        <v>-25</v>
      </c>
    </row>
    <row r="20" spans="1:4">
      <c r="A20" t="s">
        <v>483</v>
      </c>
      <c r="B20" t="s">
        <v>499</v>
      </c>
      <c r="C20">
        <f>SUMIFS('90_Trial_Balance'!$E:$E, '90_Trial_Balance'!$A:$A, $A9)</f>
        <v>0</v>
      </c>
      <c r="D20">
        <v>-20</v>
      </c>
    </row>
    <row r="21" spans="1:4">
      <c r="A21" t="s">
        <v>483</v>
      </c>
      <c r="B21" t="s">
        <v>500</v>
      </c>
      <c r="C21">
        <f>SUMIFS('90_Trial_Balance'!$D:$D, '90_Trial_Balance'!$A:$A, $A10)</f>
        <v>0</v>
      </c>
      <c r="D21">
        <v>-40</v>
      </c>
    </row>
    <row r="22" spans="1:4">
      <c r="A22" t="s">
        <v>483</v>
      </c>
      <c r="B22" t="s">
        <v>501</v>
      </c>
      <c r="C22">
        <f>SUMIFS('90_Trial_Balance'!$E:$E, '90_Trial_Balance'!$A:$A, $A10)</f>
        <v>0</v>
      </c>
      <c r="D22">
        <v>-30</v>
      </c>
    </row>
    <row r="23" spans="1:4">
      <c r="A23" t="s">
        <v>483</v>
      </c>
      <c r="B23" t="s">
        <v>502</v>
      </c>
      <c r="C23">
        <f>SUMIFS('90_Trial_Balance'!$D:$D, '90_Trial_Balance'!$A:$A, $A11)</f>
        <v>0</v>
      </c>
      <c r="D23">
        <v>450</v>
      </c>
    </row>
    <row r="24" spans="1:4">
      <c r="A24" t="s">
        <v>483</v>
      </c>
      <c r="B24" t="s">
        <v>503</v>
      </c>
      <c r="C24">
        <f>SUMIFS('90_Trial_Balance'!$E:$E, '90_Trial_Balance'!$A:$A, $A11)</f>
        <v>0</v>
      </c>
      <c r="D24">
        <v>450</v>
      </c>
    </row>
    <row r="25" spans="1:4">
      <c r="A25" t="s">
        <v>483</v>
      </c>
      <c r="B25" t="s">
        <v>504</v>
      </c>
      <c r="C25">
        <f>SUMIFS('90_Trial_Balance'!$D:$D, '90_Trial_Balance'!$A:$A, $A12)</f>
        <v>0</v>
      </c>
      <c r="D25">
        <v>220</v>
      </c>
    </row>
    <row r="26" spans="1:4">
      <c r="A26" t="s">
        <v>483</v>
      </c>
      <c r="B26" t="s">
        <v>505</v>
      </c>
      <c r="C26">
        <f>SUMIFS('90_Trial_Balance'!$E:$E, '90_Trial_Balance'!$A:$A, $A12)</f>
        <v>0</v>
      </c>
      <c r="D26">
        <v>180</v>
      </c>
    </row>
    <row r="27" spans="1:4">
      <c r="A27" t="s">
        <v>483</v>
      </c>
      <c r="B27" t="s">
        <v>506</v>
      </c>
      <c r="C27">
        <f>SUMIFS('90_Trial_Balance'!$D:$D, '90_Trial_Balance'!$A:$A, $A13)</f>
        <v>0</v>
      </c>
      <c r="D27">
        <v>45</v>
      </c>
    </row>
    <row r="28" spans="1:4">
      <c r="A28" t="s">
        <v>483</v>
      </c>
      <c r="B28" t="s">
        <v>507</v>
      </c>
      <c r="C28">
        <f>SUMIFS('90_Trial_Balance'!$E:$E, '90_Trial_Balance'!$A:$A, $A13)</f>
        <v>0</v>
      </c>
      <c r="D28">
        <v>15</v>
      </c>
    </row>
    <row r="29" spans="1:4">
      <c r="A29" t="s">
        <v>483</v>
      </c>
      <c r="B29" t="s">
        <v>508</v>
      </c>
      <c r="C29">
        <f>SUMIFS('90_Trial_Balance'!$D:$D, '90_Trial_Balance'!$A:$A, $A14)</f>
        <v>0</v>
      </c>
      <c r="D29">
        <v>85</v>
      </c>
    </row>
    <row r="30" spans="1:4">
      <c r="A30" t="s">
        <v>483</v>
      </c>
      <c r="B30" t="s">
        <v>509</v>
      </c>
      <c r="C30">
        <f>SUMIFS('90_Trial_Balance'!$E:$E, '90_Trial_Balance'!$A:$A, $A14)</f>
        <v>0</v>
      </c>
      <c r="D30">
        <v>70</v>
      </c>
    </row>
    <row r="31" spans="1:4">
      <c r="A31" t="s">
        <v>483</v>
      </c>
      <c r="B31" t="s">
        <v>510</v>
      </c>
      <c r="C31">
        <f>SUMIFS('90_Trial_Balance'!$D:$D, '90_Trial_Balance'!$A:$A, $A15)</f>
        <v>0</v>
      </c>
      <c r="D31">
        <v>60</v>
      </c>
    </row>
    <row r="32" spans="1:4">
      <c r="A32" t="s">
        <v>483</v>
      </c>
      <c r="B32" t="s">
        <v>511</v>
      </c>
      <c r="C32">
        <f>SUMIFS('90_Trial_Balance'!$E:$E, '90_Trial_Balance'!$A:$A, $A15)</f>
        <v>0</v>
      </c>
      <c r="D32">
        <v>50</v>
      </c>
    </row>
    <row r="33" spans="1:4">
      <c r="A33" t="s">
        <v>483</v>
      </c>
      <c r="B33" t="s">
        <v>512</v>
      </c>
      <c r="C33">
        <f>SUMIFS('90_Trial_Balance'!$D:$D, '90_Trial_Balance'!$A:$A, $A16)</f>
        <v>0</v>
      </c>
      <c r="D33">
        <v>175</v>
      </c>
    </row>
    <row r="34" spans="1:4">
      <c r="A34" t="s">
        <v>483</v>
      </c>
      <c r="B34" t="s">
        <v>513</v>
      </c>
      <c r="C34">
        <f>SUMIFS('90_Trial_Balance'!$E:$E, '90_Trial_Balance'!$A:$A, $A16)</f>
        <v>0</v>
      </c>
      <c r="D34">
        <v>140</v>
      </c>
    </row>
    <row r="35" spans="1:4">
      <c r="A35" t="s">
        <v>483</v>
      </c>
      <c r="B35" t="s">
        <v>514</v>
      </c>
      <c r="C35">
        <f>SUMIFS('90_Trial_Balance'!$D:$D, '90_Trial_Balance'!$A:$A, $A17)</f>
        <v>0</v>
      </c>
      <c r="D35">
        <v>165</v>
      </c>
    </row>
    <row r="36" spans="1:4">
      <c r="A36" t="s">
        <v>483</v>
      </c>
      <c r="B36" t="s">
        <v>515</v>
      </c>
      <c r="C36">
        <f>SUMIFS('90_Trial_Balance'!$E:$E, '90_Trial_Balance'!$A:$A, $A17)</f>
        <v>0</v>
      </c>
      <c r="D36">
        <v>150</v>
      </c>
    </row>
    <row r="37" spans="1:4">
      <c r="A37" t="s">
        <v>483</v>
      </c>
      <c r="B37" t="s">
        <v>516</v>
      </c>
      <c r="C37">
        <f>SUMIFS('90_Trial_Balance'!$D:$D, '90_Trial_Balance'!$A:$A, $A18)</f>
        <v>0</v>
      </c>
      <c r="D37">
        <v>10</v>
      </c>
    </row>
    <row r="38" spans="1:4">
      <c r="A38" t="s">
        <v>483</v>
      </c>
      <c r="B38" t="s">
        <v>517</v>
      </c>
      <c r="C38">
        <f>SUMIFS('90_Trial_Balance'!$E:$E, '90_Trial_Balance'!$A:$A, $A18)</f>
        <v>0</v>
      </c>
      <c r="D38">
        <v>5</v>
      </c>
    </row>
    <row r="39" spans="1:4">
      <c r="A39" t="s">
        <v>483</v>
      </c>
      <c r="B39" t="s">
        <v>518</v>
      </c>
      <c r="C39">
        <f>SUMIFS('90_Trial_Balance'!$D:$D, '90_Trial_Balance'!$A:$A, $A19)</f>
        <v>0</v>
      </c>
      <c r="D39">
        <v>-850</v>
      </c>
    </row>
    <row r="40" spans="1:4">
      <c r="A40" t="s">
        <v>483</v>
      </c>
      <c r="B40" t="s">
        <v>519</v>
      </c>
      <c r="C40">
        <f>SUMIFS('90_Trial_Balance'!$E:$E, '90_Trial_Balance'!$A:$A, $A19)</f>
        <v>0</v>
      </c>
      <c r="D40">
        <v>-700</v>
      </c>
    </row>
    <row r="41" spans="1:4">
      <c r="A41" t="s">
        <v>483</v>
      </c>
      <c r="B41" t="s">
        <v>520</v>
      </c>
      <c r="C41">
        <f>SUMIFS('90_Trial_Balance'!$D:$D, '90_Trial_Balance'!$A:$A, $A20)</f>
        <v>0</v>
      </c>
      <c r="D41">
        <v>-15</v>
      </c>
    </row>
    <row r="42" spans="1:4">
      <c r="A42" t="s">
        <v>483</v>
      </c>
      <c r="B42" t="s">
        <v>521</v>
      </c>
      <c r="C42">
        <f>SUMIFS('90_Trial_Balance'!$E:$E, '90_Trial_Balance'!$A:$A, $A20)</f>
        <v>0</v>
      </c>
      <c r="D42">
        <v>-10</v>
      </c>
    </row>
    <row r="43" spans="1:4">
      <c r="A43" t="s">
        <v>483</v>
      </c>
      <c r="B43" t="s">
        <v>522</v>
      </c>
      <c r="C43">
        <f>SUMIFS('90_Trial_Balance'!$D:$D, '90_Trial_Balance'!$A:$A, $A21)</f>
        <v>0</v>
      </c>
      <c r="D43">
        <v>420</v>
      </c>
    </row>
    <row r="44" spans="1:4">
      <c r="A44" t="s">
        <v>483</v>
      </c>
      <c r="B44" t="s">
        <v>523</v>
      </c>
      <c r="C44">
        <f>SUMIFS('90_Trial_Balance'!$E:$E, '90_Trial_Balance'!$A:$A, $A21)</f>
        <v>0</v>
      </c>
      <c r="D44">
        <v>350</v>
      </c>
    </row>
    <row r="45" spans="1:4">
      <c r="A45" t="s">
        <v>483</v>
      </c>
      <c r="B45" t="s">
        <v>524</v>
      </c>
      <c r="C45">
        <f>SUMIFS('90_Trial_Balance'!$D:$D, '90_Trial_Balance'!$A:$A, $A22)</f>
        <v>0</v>
      </c>
      <c r="D45">
        <v>140</v>
      </c>
    </row>
    <row r="46" spans="1:4">
      <c r="A46" t="s">
        <v>483</v>
      </c>
      <c r="B46" t="s">
        <v>525</v>
      </c>
      <c r="C46">
        <f>SUMIFS('90_Trial_Balance'!$E:$E, '90_Trial_Balance'!$A:$A, $A22)</f>
        <v>0</v>
      </c>
      <c r="D46">
        <v>120</v>
      </c>
    </row>
    <row r="47" spans="1:4">
      <c r="A47" t="s">
        <v>483</v>
      </c>
      <c r="B47" t="s">
        <v>526</v>
      </c>
      <c r="C47">
        <f>SUMIFS('90_Trial_Balance'!$D:$D, '90_Trial_Balance'!$A:$A, $A23)</f>
        <v>0</v>
      </c>
      <c r="D47">
        <v>32</v>
      </c>
    </row>
    <row r="48" spans="1:4">
      <c r="A48" t="s">
        <v>483</v>
      </c>
      <c r="B48" t="s">
        <v>527</v>
      </c>
      <c r="C48">
        <f>SUMIFS('90_Trial_Balance'!$E:$E, '90_Trial_Balance'!$A:$A, $A23)</f>
        <v>0</v>
      </c>
      <c r="D48">
        <v>38</v>
      </c>
    </row>
    <row r="49" spans="1:4">
      <c r="A49" t="s">
        <v>483</v>
      </c>
      <c r="B49" t="s">
        <v>528</v>
      </c>
      <c r="C49">
        <f>SUMIFS('90_Trial_Balance'!$D:$D, '90_Trial_Balance'!$A:$A, $A24)</f>
        <v>0</v>
      </c>
      <c r="D49">
        <v>28</v>
      </c>
    </row>
    <row r="50" spans="1:4">
      <c r="A50" t="s">
        <v>483</v>
      </c>
      <c r="B50" t="s">
        <v>529</v>
      </c>
      <c r="C50">
        <f>SUMIFS('90_Trial_Balance'!$E:$E, '90_Trial_Balance'!$A:$A, $A24)</f>
        <v>0</v>
      </c>
      <c r="D50">
        <v>25</v>
      </c>
    </row>
    <row r="51" spans="1:4">
      <c r="A51" t="s">
        <v>483</v>
      </c>
      <c r="B51" t="s">
        <v>530</v>
      </c>
      <c r="C51">
        <f>SUMIFS('90_Trial_Balance'!$D:$D, '90_Trial_Balance'!$A:$A, $A25)</f>
        <v>0</v>
      </c>
      <c r="D51">
        <v>45</v>
      </c>
    </row>
    <row r="52" spans="1:4">
      <c r="A52" t="s">
        <v>483</v>
      </c>
      <c r="B52" t="s">
        <v>531</v>
      </c>
      <c r="C52">
        <f>SUMIFS('90_Trial_Balance'!$E:$E, '90_Trial_Balance'!$A:$A, $A25)</f>
        <v>0</v>
      </c>
      <c r="D52">
        <v>32</v>
      </c>
    </row>
    <row r="53" spans="1:4">
      <c r="A53" t="s">
        <v>532</v>
      </c>
      <c r="B53" t="s">
        <v>533</v>
      </c>
      <c r="C53">
        <f>-TOT_Tax</f>
        <v>0</v>
      </c>
      <c r="D53">
        <v>-40</v>
      </c>
    </row>
    <row r="54" spans="1:4">
      <c r="A54" t="s">
        <v>532</v>
      </c>
      <c r="B54" t="s">
        <v>534</v>
      </c>
      <c r="C54">
        <f>-TOT_Tax_PY</f>
        <v>0</v>
      </c>
      <c r="D54">
        <v>-30</v>
      </c>
    </row>
    <row r="55" spans="1:4">
      <c r="A55" t="s">
        <v>532</v>
      </c>
      <c r="B55" t="s">
        <v>535</v>
      </c>
      <c r="C55">
        <f>-TOT_Finance</f>
        <v>0</v>
      </c>
      <c r="D55">
        <v>-32</v>
      </c>
    </row>
    <row r="56" spans="1:4">
      <c r="A56" t="s">
        <v>532</v>
      </c>
      <c r="B56" t="s">
        <v>536</v>
      </c>
      <c r="C56">
        <f>-TOT_Finance_PY</f>
        <v>0</v>
      </c>
      <c r="D56">
        <v>-38</v>
      </c>
    </row>
    <row r="57" spans="1:4">
      <c r="A57" t="s">
        <v>532</v>
      </c>
      <c r="B57" t="s">
        <v>537</v>
      </c>
      <c r="C57">
        <f>TOT_InterestIncome</f>
        <v>0</v>
      </c>
      <c r="D57">
        <v>15</v>
      </c>
    </row>
    <row r="58" spans="1:4">
      <c r="A58" t="s">
        <v>532</v>
      </c>
      <c r="B58" t="s">
        <v>538</v>
      </c>
      <c r="C58">
        <f>TOT_InterestIncome_PY</f>
        <v>0</v>
      </c>
      <c r="D58">
        <v>10</v>
      </c>
    </row>
    <row r="59" spans="1:4">
      <c r="A59" t="s">
        <v>532</v>
      </c>
      <c r="B59" t="s">
        <v>539</v>
      </c>
      <c r="C59">
        <f>-((TOT_PPE+TOT_CWIP)-(TOT_PPE_PY+TOT_CWIP_PY)+TOT_Depreciation)</f>
        <v>0</v>
      </c>
      <c r="D59">
        <v>-804.6400000000001</v>
      </c>
    </row>
    <row r="60" spans="1:4">
      <c r="A60" t="s">
        <v>540</v>
      </c>
      <c r="B60" t="s">
        <v>541</v>
      </c>
      <c r="C60">
        <f>HYPERLINK("#\'02_Balance_Sheet\'!A1", "[&lt;- Back to Balance Sheet]")</f>
        <v>0</v>
      </c>
      <c r="D60" t="s">
        <v>542</v>
      </c>
    </row>
    <row r="61" spans="1:4">
      <c r="A61" t="s">
        <v>540</v>
      </c>
      <c r="B61" t="s">
        <v>543</v>
      </c>
      <c r="C61">
        <f>-1*SUM(B6:B9)</f>
        <v>0</v>
      </c>
      <c r="D61">
        <v>100</v>
      </c>
    </row>
    <row r="62" spans="1:4">
      <c r="A62" t="s">
        <v>540</v>
      </c>
      <c r="B62" t="s">
        <v>544</v>
      </c>
      <c r="C62">
        <f>-1*SUM(C6:C9)</f>
        <v>0</v>
      </c>
      <c r="D62">
        <v>100</v>
      </c>
    </row>
    <row r="63" spans="1:4">
      <c r="A63" t="s">
        <v>540</v>
      </c>
      <c r="B63" t="s">
        <v>545</v>
      </c>
      <c r="C63">
        <f>-SUMIFS('91_Mapping'!H:H, '91_Mapping'!F:F, "1.1")</f>
        <v>0</v>
      </c>
      <c r="D63">
        <v>100</v>
      </c>
    </row>
    <row r="64" spans="1:4">
      <c r="A64" t="s">
        <v>540</v>
      </c>
      <c r="B64" t="s">
        <v>546</v>
      </c>
      <c r="C64">
        <f>-SUMIFS('91_Mapping'!I:I, '91_Mapping'!F:F, "1.1")</f>
        <v>0</v>
      </c>
      <c r="D64">
        <v>100</v>
      </c>
    </row>
    <row r="65" spans="1:4">
      <c r="A65" t="s">
        <v>540</v>
      </c>
      <c r="B65" t="s">
        <v>547</v>
      </c>
      <c r="C65">
        <f>TOT_ShareCapital-B12</f>
        <v>0</v>
      </c>
      <c r="D65">
        <v>0</v>
      </c>
    </row>
    <row r="66" spans="1:4">
      <c r="A66" t="s">
        <v>540</v>
      </c>
      <c r="B66" t="s">
        <v>548</v>
      </c>
      <c r="C66">
        <f>TOT_ShareCapital_PY-C12</f>
        <v>0</v>
      </c>
      <c r="D66">
        <v>0</v>
      </c>
    </row>
    <row r="67" spans="1:4">
      <c r="A67" t="s">
        <v>549</v>
      </c>
      <c r="B67" t="s">
        <v>541</v>
      </c>
      <c r="C67">
        <f>HYPERLINK("#\'02_Balance_Sheet\'!A1", "[&lt;- Back to Balance Sheet]")</f>
        <v>0</v>
      </c>
      <c r="D67" t="s">
        <v>542</v>
      </c>
    </row>
    <row r="68" spans="1:4">
      <c r="A68" t="s">
        <v>549</v>
      </c>
      <c r="B68" t="s">
        <v>550</v>
      </c>
      <c r="C68">
        <f>SUMIFS('91_Mapping'!H:H, '91_Mapping'!D:D, "Opening Balance")</f>
        <v>0</v>
      </c>
      <c r="D68">
        <v>230</v>
      </c>
    </row>
    <row r="69" spans="1:4">
      <c r="A69" t="s">
        <v>549</v>
      </c>
      <c r="B69" t="s">
        <v>551</v>
      </c>
      <c r="C69">
        <f>SUMIFS('91_Mapping'!I:I, '91_Mapping'!D:D, "Opening Balance")</f>
        <v>0</v>
      </c>
      <c r="D69">
        <v>230</v>
      </c>
    </row>
    <row r="70" spans="1:4">
      <c r="A70" t="s">
        <v>549</v>
      </c>
      <c r="B70" t="s">
        <v>552</v>
      </c>
      <c r="C70">
        <f>SUMIFS('91_Mapping'!H:H, '91_Mapping'!D:D, "Add: Transfer during the year")</f>
        <v>0</v>
      </c>
      <c r="D70">
        <v>0</v>
      </c>
    </row>
    <row r="71" spans="1:4">
      <c r="A71" t="s">
        <v>549</v>
      </c>
      <c r="B71" t="s">
        <v>553</v>
      </c>
      <c r="C71">
        <f>SUMIFS('91_Mapping'!I:I, '91_Mapping'!D:D, "Add: Transfer during the year")</f>
        <v>0</v>
      </c>
      <c r="D71">
        <v>0</v>
      </c>
    </row>
    <row r="72" spans="1:4">
      <c r="A72" t="s">
        <v>549</v>
      </c>
      <c r="B72" t="s">
        <v>554</v>
      </c>
      <c r="C72">
        <f>SUMIFS('91_Mapping'!H:H, '91_Mapping'!D:D, "Closing General Reserve  (A)")</f>
        <v>0</v>
      </c>
      <c r="D72">
        <v>230</v>
      </c>
    </row>
    <row r="73" spans="1:4">
      <c r="A73" t="s">
        <v>549</v>
      </c>
      <c r="B73" t="s">
        <v>555</v>
      </c>
      <c r="C73">
        <f>SUMIFS('91_Mapping'!I:I, '91_Mapping'!D:D, "Closing General Reserve  (A)")</f>
        <v>0</v>
      </c>
      <c r="D73">
        <v>230</v>
      </c>
    </row>
    <row r="74" spans="1:4">
      <c r="A74" t="s">
        <v>549</v>
      </c>
      <c r="B74" t="s">
        <v>556</v>
      </c>
      <c r="C74">
        <f>SUMIFS('91_Mapping'!H:H, '91_Mapping'!D:D, "Opening Balance")</f>
        <v>0</v>
      </c>
      <c r="D74">
        <v>175</v>
      </c>
    </row>
    <row r="75" spans="1:4">
      <c r="A75" t="s">
        <v>549</v>
      </c>
      <c r="B75" t="s">
        <v>557</v>
      </c>
      <c r="C75">
        <f>SUMIFS('91_Mapping'!I:I, '91_Mapping'!D:D, "Opening Balance")</f>
        <v>0</v>
      </c>
      <c r="D75">
        <v>0</v>
      </c>
    </row>
    <row r="76" spans="1:4">
      <c r="A76" t="s">
        <v>549</v>
      </c>
      <c r="B76" t="s">
        <v>545</v>
      </c>
      <c r="C76">
        <f>SUMIFS('91_Mapping'!H:H, '91_Mapping'!D:D, "Add: Profit After Tax for the year")</f>
        <v>0</v>
      </c>
      <c r="D76">
        <v>240</v>
      </c>
    </row>
    <row r="77" spans="1:4">
      <c r="A77" t="s">
        <v>549</v>
      </c>
      <c r="B77" t="s">
        <v>546</v>
      </c>
      <c r="C77">
        <f>SUMIFS('91_Mapping'!I:I, '91_Mapping'!D:D, "Add: Profit After Tax for the year")</f>
        <v>0</v>
      </c>
      <c r="D77">
        <v>175</v>
      </c>
    </row>
    <row r="78" spans="1:4">
      <c r="A78" t="s">
        <v>549</v>
      </c>
      <c r="B78" t="s">
        <v>547</v>
      </c>
      <c r="C78">
        <f>SUMIFS('91_Mapping'!H:H, '91_Mapping'!D:D, "Closing Surplus in P&amp;L  (B)")</f>
        <v>0</v>
      </c>
      <c r="D78">
        <v>240</v>
      </c>
    </row>
    <row r="79" spans="1:4">
      <c r="A79" t="s">
        <v>549</v>
      </c>
      <c r="B79" t="s">
        <v>548</v>
      </c>
      <c r="C79">
        <f>SUMIFS('91_Mapping'!I:I, '91_Mapping'!D:D, "Closing Surplus in P&amp;L  (B)")</f>
        <v>0</v>
      </c>
      <c r="D79">
        <v>175</v>
      </c>
    </row>
    <row r="80" spans="1:4">
      <c r="A80" t="s">
        <v>549</v>
      </c>
      <c r="B80" t="s">
        <v>558</v>
      </c>
      <c r="C80">
        <f>-1*SUM(B6:B13)</f>
        <v>0</v>
      </c>
      <c r="D80">
        <v>570</v>
      </c>
    </row>
    <row r="81" spans="1:4">
      <c r="A81" t="s">
        <v>549</v>
      </c>
      <c r="B81" t="s">
        <v>559</v>
      </c>
      <c r="C81">
        <f>-1*SUM(C6:C13)</f>
        <v>0</v>
      </c>
      <c r="D81">
        <v>405</v>
      </c>
    </row>
    <row r="82" spans="1:4">
      <c r="A82" t="s">
        <v>549</v>
      </c>
      <c r="B82" t="s">
        <v>560</v>
      </c>
      <c r="C82">
        <f>-SUMIFS('91_Mapping'!H:H, '91_Mapping'!F:F, "1.2")</f>
        <v>0</v>
      </c>
      <c r="D82">
        <v>570</v>
      </c>
    </row>
    <row r="83" spans="1:4">
      <c r="A83" t="s">
        <v>549</v>
      </c>
      <c r="B83" t="s">
        <v>561</v>
      </c>
      <c r="C83">
        <f>-SUMIFS('91_Mapping'!I:I, '91_Mapping'!F:F, "1.2")</f>
        <v>0</v>
      </c>
      <c r="D83">
        <v>405</v>
      </c>
    </row>
    <row r="84" spans="1:4">
      <c r="A84" t="s">
        <v>549</v>
      </c>
      <c r="B84" t="s">
        <v>562</v>
      </c>
      <c r="C84">
        <f>TOT_Reserves-B16</f>
        <v>0</v>
      </c>
      <c r="D84">
        <v>0</v>
      </c>
    </row>
    <row r="85" spans="1:4">
      <c r="A85" t="s">
        <v>549</v>
      </c>
      <c r="B85" t="s">
        <v>563</v>
      </c>
      <c r="C85">
        <f>TOT_Reserves_PY-C16</f>
        <v>0</v>
      </c>
      <c r="D85">
        <v>0</v>
      </c>
    </row>
    <row r="86" spans="1:4">
      <c r="A86" t="s">
        <v>564</v>
      </c>
      <c r="B86" t="s">
        <v>541</v>
      </c>
      <c r="C86">
        <f>HYPERLINK("#\'02_Balance_Sheet\'!A1", "[&lt;- Back to Balance Sheet]")</f>
        <v>0</v>
      </c>
      <c r="D86" t="s">
        <v>542</v>
      </c>
    </row>
    <row r="87" spans="1:4">
      <c r="A87" t="s">
        <v>564</v>
      </c>
      <c r="B87" t="s">
        <v>550</v>
      </c>
      <c r="C87">
        <f>-1*SUM(B6:B6)</f>
        <v>0</v>
      </c>
      <c r="D87">
        <v>250</v>
      </c>
    </row>
    <row r="88" spans="1:4">
      <c r="A88" t="s">
        <v>564</v>
      </c>
      <c r="B88" t="s">
        <v>551</v>
      </c>
      <c r="C88">
        <f>-1*SUM(C6:C6)</f>
        <v>0</v>
      </c>
      <c r="D88">
        <v>300</v>
      </c>
    </row>
    <row r="89" spans="1:4">
      <c r="A89" t="s">
        <v>564</v>
      </c>
      <c r="B89" t="s">
        <v>554</v>
      </c>
      <c r="C89">
        <f>-SUMIFS('91_Mapping'!H:H, '91_Mapping'!F:F, "2.1")</f>
        <v>0</v>
      </c>
      <c r="D89">
        <v>250</v>
      </c>
    </row>
    <row r="90" spans="1:4">
      <c r="A90" t="s">
        <v>564</v>
      </c>
      <c r="B90" t="s">
        <v>555</v>
      </c>
      <c r="C90">
        <f>-SUMIFS('91_Mapping'!I:I, '91_Mapping'!F:F, "2.1")</f>
        <v>0</v>
      </c>
      <c r="D90">
        <v>300</v>
      </c>
    </row>
    <row r="91" spans="1:4">
      <c r="A91" t="s">
        <v>564</v>
      </c>
      <c r="B91" t="s">
        <v>543</v>
      </c>
      <c r="C91">
        <f>TOT_LTBorrow-B9</f>
        <v>0</v>
      </c>
      <c r="D91">
        <v>0</v>
      </c>
    </row>
    <row r="92" spans="1:4">
      <c r="A92" t="s">
        <v>564</v>
      </c>
      <c r="B92" t="s">
        <v>544</v>
      </c>
      <c r="C92">
        <f>TOT_LTBorrow_PY-C9</f>
        <v>0</v>
      </c>
      <c r="D92">
        <v>0</v>
      </c>
    </row>
    <row r="93" spans="1:4">
      <c r="A93" t="s">
        <v>565</v>
      </c>
      <c r="B93" t="s">
        <v>541</v>
      </c>
      <c r="C93">
        <f>HYPERLINK("#\'02_Balance_Sheet\'!A1", "[&lt;- Back to Balance Sheet]")</f>
        <v>0</v>
      </c>
      <c r="D93" t="s">
        <v>542</v>
      </c>
    </row>
    <row r="94" spans="1:4">
      <c r="A94" t="s">
        <v>565</v>
      </c>
      <c r="B94" t="s">
        <v>552</v>
      </c>
      <c r="C94">
        <f>-1*SUM(B6:B7)</f>
        <v>0</v>
      </c>
      <c r="D94">
        <v>0</v>
      </c>
    </row>
    <row r="95" spans="1:4">
      <c r="A95" t="s">
        <v>565</v>
      </c>
      <c r="B95" t="s">
        <v>553</v>
      </c>
      <c r="C95">
        <f>-1*SUM(C6:C7)</f>
        <v>0</v>
      </c>
      <c r="D95">
        <v>0</v>
      </c>
    </row>
    <row r="96" spans="1:4">
      <c r="A96" t="s">
        <v>565</v>
      </c>
      <c r="B96" t="s">
        <v>543</v>
      </c>
      <c r="C96">
        <f>-SUMIFS('91_Mapping'!H:H, '91_Mapping'!F:F, "2.2")</f>
        <v>0</v>
      </c>
      <c r="D96">
        <v>0</v>
      </c>
    </row>
    <row r="97" spans="1:4">
      <c r="A97" t="s">
        <v>565</v>
      </c>
      <c r="B97" t="s">
        <v>544</v>
      </c>
      <c r="C97">
        <f>-SUMIFS('91_Mapping'!I:I, '91_Mapping'!F:F, "2.2")</f>
        <v>0</v>
      </c>
      <c r="D97">
        <v>0</v>
      </c>
    </row>
    <row r="98" spans="1:4">
      <c r="A98" t="s">
        <v>565</v>
      </c>
      <c r="B98" t="s">
        <v>556</v>
      </c>
      <c r="C98">
        <f>TOT_LTProv-B10</f>
        <v>0</v>
      </c>
      <c r="D98">
        <v>0</v>
      </c>
    </row>
    <row r="99" spans="1:4">
      <c r="A99" t="s">
        <v>565</v>
      </c>
      <c r="B99" t="s">
        <v>557</v>
      </c>
      <c r="C99">
        <f>TOT_LTProv_PY-C10</f>
        <v>0</v>
      </c>
      <c r="D99">
        <v>0</v>
      </c>
    </row>
    <row r="100" spans="1:4">
      <c r="A100" t="s">
        <v>566</v>
      </c>
      <c r="B100" t="s">
        <v>541</v>
      </c>
      <c r="C100">
        <f>HYPERLINK("#\'02_Balance_Sheet\'!A1", "[&lt;- Back to Balance Sheet]")</f>
        <v>0</v>
      </c>
      <c r="D100" t="s">
        <v>542</v>
      </c>
    </row>
    <row r="101" spans="1:4">
      <c r="A101" t="s">
        <v>566</v>
      </c>
      <c r="B101" t="s">
        <v>550</v>
      </c>
      <c r="C101">
        <f>-1*SUM(B6:B6)</f>
        <v>0</v>
      </c>
      <c r="D101">
        <v>80</v>
      </c>
    </row>
    <row r="102" spans="1:4">
      <c r="A102" t="s">
        <v>566</v>
      </c>
      <c r="B102" t="s">
        <v>551</v>
      </c>
      <c r="C102">
        <f>-1*SUM(C6:C6)</f>
        <v>0</v>
      </c>
      <c r="D102">
        <v>60</v>
      </c>
    </row>
    <row r="103" spans="1:4">
      <c r="A103" t="s">
        <v>566</v>
      </c>
      <c r="B103" t="s">
        <v>554</v>
      </c>
      <c r="C103">
        <f>-SUMIFS('91_Mapping'!H:H, '91_Mapping'!F:F, "3.1")</f>
        <v>0</v>
      </c>
      <c r="D103">
        <v>80</v>
      </c>
    </row>
    <row r="104" spans="1:4">
      <c r="A104" t="s">
        <v>566</v>
      </c>
      <c r="B104" t="s">
        <v>555</v>
      </c>
      <c r="C104">
        <f>-SUMIFS('91_Mapping'!I:I, '91_Mapping'!F:F, "3.1")</f>
        <v>0</v>
      </c>
      <c r="D104">
        <v>60</v>
      </c>
    </row>
    <row r="105" spans="1:4">
      <c r="A105" t="s">
        <v>566</v>
      </c>
      <c r="B105" t="s">
        <v>543</v>
      </c>
      <c r="C105">
        <f>TOT_STBorrow-B9</f>
        <v>0</v>
      </c>
      <c r="D105">
        <v>0</v>
      </c>
    </row>
    <row r="106" spans="1:4">
      <c r="A106" t="s">
        <v>566</v>
      </c>
      <c r="B106" t="s">
        <v>544</v>
      </c>
      <c r="C106">
        <f>TOT_STBorrow_PY-C9</f>
        <v>0</v>
      </c>
      <c r="D106">
        <v>0</v>
      </c>
    </row>
    <row r="107" spans="1:4">
      <c r="A107" t="s">
        <v>567</v>
      </c>
      <c r="B107" t="s">
        <v>541</v>
      </c>
      <c r="C107">
        <f>HYPERLINK("#\'02_Balance_Sheet\'!A1", "[&lt;- Back to Balance Sheet]")</f>
        <v>0</v>
      </c>
      <c r="D107" t="s">
        <v>542</v>
      </c>
    </row>
    <row r="108" spans="1:4">
      <c r="A108" t="s">
        <v>567</v>
      </c>
      <c r="B108" t="s">
        <v>568</v>
      </c>
      <c r="C108">
        <f>-SUMIFS('91_Mapping'!H:H, '91_Mapping'!F:F, "3.2")</f>
        <v>0</v>
      </c>
      <c r="D108">
        <v>0</v>
      </c>
    </row>
    <row r="109" spans="1:4">
      <c r="A109" t="s">
        <v>567</v>
      </c>
      <c r="B109" t="s">
        <v>569</v>
      </c>
      <c r="C109">
        <f>-SUMIFS('91_Mapping'!I:I, '91_Mapping'!F:F, "3.2")</f>
        <v>0</v>
      </c>
      <c r="D109">
        <v>185</v>
      </c>
    </row>
    <row r="110" spans="1:4">
      <c r="A110" t="s">
        <v>567</v>
      </c>
      <c r="B110" t="s">
        <v>570</v>
      </c>
      <c r="C110">
        <f>TOT_Payables-F10</f>
        <v>0</v>
      </c>
      <c r="D110">
        <v>0</v>
      </c>
    </row>
    <row r="111" spans="1:4">
      <c r="A111" t="s">
        <v>567</v>
      </c>
      <c r="B111" t="s">
        <v>571</v>
      </c>
      <c r="C111">
        <f>TOT_Payables_PY-G10</f>
        <v>0</v>
      </c>
      <c r="D111">
        <v>0</v>
      </c>
    </row>
    <row r="112" spans="1:4">
      <c r="A112" t="s">
        <v>572</v>
      </c>
      <c r="B112" t="s">
        <v>541</v>
      </c>
      <c r="C112">
        <f>HYPERLINK("#\'02_Balance_Sheet\'!A1", "[&lt;- Back to Balance Sheet]")</f>
        <v>0</v>
      </c>
      <c r="D112" t="s">
        <v>542</v>
      </c>
    </row>
    <row r="113" spans="1:4">
      <c r="A113" t="s">
        <v>572</v>
      </c>
      <c r="B113" t="s">
        <v>556</v>
      </c>
      <c r="C113">
        <f>-1*SUM(B6:B10)</f>
        <v>0</v>
      </c>
      <c r="D113">
        <v>25</v>
      </c>
    </row>
    <row r="114" spans="1:4">
      <c r="A114" t="s">
        <v>572</v>
      </c>
      <c r="B114" t="s">
        <v>557</v>
      </c>
      <c r="C114">
        <f>-1*SUM(C6:C10)</f>
        <v>0</v>
      </c>
      <c r="D114">
        <v>20</v>
      </c>
    </row>
    <row r="115" spans="1:4">
      <c r="A115" t="s">
        <v>572</v>
      </c>
      <c r="B115" t="s">
        <v>547</v>
      </c>
      <c r="C115">
        <f>-SUMIFS('91_Mapping'!H:H, '91_Mapping'!F:F, "3.3")</f>
        <v>0</v>
      </c>
      <c r="D115">
        <v>25</v>
      </c>
    </row>
    <row r="116" spans="1:4">
      <c r="A116" t="s">
        <v>572</v>
      </c>
      <c r="B116" t="s">
        <v>548</v>
      </c>
      <c r="C116">
        <f>-SUMIFS('91_Mapping'!I:I, '91_Mapping'!F:F, "3.3")</f>
        <v>0</v>
      </c>
      <c r="D116">
        <v>20</v>
      </c>
    </row>
    <row r="117" spans="1:4">
      <c r="A117" t="s">
        <v>572</v>
      </c>
      <c r="B117" t="s">
        <v>558</v>
      </c>
      <c r="C117">
        <f>TOT_OtherCL-B13</f>
        <v>0</v>
      </c>
      <c r="D117">
        <v>0</v>
      </c>
    </row>
    <row r="118" spans="1:4">
      <c r="A118" t="s">
        <v>572</v>
      </c>
      <c r="B118" t="s">
        <v>559</v>
      </c>
      <c r="C118">
        <f>TOT_OtherCL_PY-C13</f>
        <v>0</v>
      </c>
      <c r="D118">
        <v>0</v>
      </c>
    </row>
    <row r="119" spans="1:4">
      <c r="A119" t="s">
        <v>573</v>
      </c>
      <c r="B119" t="s">
        <v>541</v>
      </c>
      <c r="C119">
        <f>HYPERLINK("#\'02_Balance_Sheet\'!A1", "[&lt;- Back to Balance Sheet]")</f>
        <v>0</v>
      </c>
      <c r="D119" t="s">
        <v>542</v>
      </c>
    </row>
    <row r="120" spans="1:4">
      <c r="A120" t="s">
        <v>573</v>
      </c>
      <c r="B120" t="s">
        <v>554</v>
      </c>
      <c r="C120">
        <f>-1*SUM(B6:B8)</f>
        <v>0</v>
      </c>
      <c r="D120">
        <v>0</v>
      </c>
    </row>
    <row r="121" spans="1:4">
      <c r="A121" t="s">
        <v>573</v>
      </c>
      <c r="B121" t="s">
        <v>555</v>
      </c>
      <c r="C121">
        <f>-1*SUM(C6:C8)</f>
        <v>0</v>
      </c>
      <c r="D121">
        <v>0</v>
      </c>
    </row>
    <row r="122" spans="1:4">
      <c r="A122" t="s">
        <v>573</v>
      </c>
      <c r="B122" t="s">
        <v>556</v>
      </c>
      <c r="C122">
        <f>-SUMIFS('91_Mapping'!H:H, '91_Mapping'!F:F, "3.4")</f>
        <v>0</v>
      </c>
      <c r="D122">
        <v>0</v>
      </c>
    </row>
    <row r="123" spans="1:4">
      <c r="A123" t="s">
        <v>573</v>
      </c>
      <c r="B123" t="s">
        <v>557</v>
      </c>
      <c r="C123">
        <f>-SUMIFS('91_Mapping'!I:I, '91_Mapping'!F:F, "3.4")</f>
        <v>0</v>
      </c>
      <c r="D123">
        <v>0</v>
      </c>
    </row>
    <row r="124" spans="1:4">
      <c r="A124" t="s">
        <v>573</v>
      </c>
      <c r="B124" t="s">
        <v>545</v>
      </c>
      <c r="C124">
        <f>TOT_STProv-B11</f>
        <v>0</v>
      </c>
      <c r="D124">
        <v>0</v>
      </c>
    </row>
    <row r="125" spans="1:4">
      <c r="A125" t="s">
        <v>573</v>
      </c>
      <c r="B125" t="s">
        <v>546</v>
      </c>
      <c r="C125">
        <f>TOT_STProv_PY-C11</f>
        <v>0</v>
      </c>
      <c r="D125">
        <v>0</v>
      </c>
    </row>
    <row r="126" spans="1:4">
      <c r="A126" t="s">
        <v>574</v>
      </c>
      <c r="B126" t="s">
        <v>541</v>
      </c>
      <c r="C126">
        <f>HYPERLINK("#\'02_Balance_Sheet\'!A1", "[&lt;- Back to Balance Sheet]")</f>
        <v>0</v>
      </c>
      <c r="D126" t="s">
        <v>542</v>
      </c>
    </row>
    <row r="127" spans="1:4">
      <c r="A127" t="s">
        <v>574</v>
      </c>
      <c r="B127" t="s">
        <v>575</v>
      </c>
      <c r="C127">
        <f>SUMIFS('91_Mapping'!H:H, '91_Mapping'!F:F, "4.1")</f>
        <v>0</v>
      </c>
      <c r="D127">
        <v>801.3200000000001</v>
      </c>
    </row>
    <row r="128" spans="1:4">
      <c r="A128" t="s">
        <v>574</v>
      </c>
      <c r="B128" t="s">
        <v>576</v>
      </c>
      <c r="C128">
        <f>SUMIFS('91_Mapping'!I:I, '91_Mapping'!F:F, "4.1")</f>
        <v>0</v>
      </c>
      <c r="D128">
        <v>69.68000000000001</v>
      </c>
    </row>
    <row r="129" spans="1:4">
      <c r="A129" t="s">
        <v>574</v>
      </c>
      <c r="B129" t="s">
        <v>577</v>
      </c>
      <c r="C129">
        <f>TOT_PPE-J14</f>
        <v>0</v>
      </c>
      <c r="D129">
        <v>0</v>
      </c>
    </row>
    <row r="130" spans="1:4">
      <c r="A130" t="s">
        <v>574</v>
      </c>
      <c r="B130" t="s">
        <v>578</v>
      </c>
      <c r="C130">
        <f>TOT_PPE_PY-K14</f>
        <v>0</v>
      </c>
      <c r="D130">
        <v>0</v>
      </c>
    </row>
    <row r="131" spans="1:4">
      <c r="A131" t="s">
        <v>579</v>
      </c>
      <c r="B131" t="s">
        <v>541</v>
      </c>
      <c r="C131">
        <f>HYPERLINK("#\'02_Balance_Sheet\'!A1", "[&lt;- Back to Balance Sheet]")</f>
        <v>0</v>
      </c>
      <c r="D131" t="s">
        <v>542</v>
      </c>
    </row>
    <row r="132" spans="1:4">
      <c r="A132" t="s">
        <v>579</v>
      </c>
      <c r="B132" t="s">
        <v>580</v>
      </c>
      <c r="C132">
        <f>SUMIFS('91_Mapping'!H:H, '91_Mapping'!F:F, "4.2")</f>
        <v>0</v>
      </c>
      <c r="D132">
        <v>45</v>
      </c>
    </row>
    <row r="133" spans="1:4">
      <c r="A133" t="s">
        <v>579</v>
      </c>
      <c r="B133" t="s">
        <v>581</v>
      </c>
      <c r="C133">
        <f>SUMIFS('91_Mapping'!I:I, '91_Mapping'!F:F, "4.2")</f>
        <v>0</v>
      </c>
      <c r="D133">
        <v>0</v>
      </c>
    </row>
    <row r="134" spans="1:4">
      <c r="A134" t="s">
        <v>579</v>
      </c>
      <c r="B134" t="s">
        <v>582</v>
      </c>
      <c r="C134">
        <f>TOT_CWIP-E9</f>
        <v>0</v>
      </c>
      <c r="D134">
        <v>0</v>
      </c>
    </row>
    <row r="135" spans="1:4">
      <c r="A135" t="s">
        <v>579</v>
      </c>
      <c r="B135" t="s">
        <v>568</v>
      </c>
      <c r="C135">
        <f>TOT_CWIP_PY-F9</f>
        <v>0</v>
      </c>
      <c r="D135">
        <v>0</v>
      </c>
    </row>
    <row r="136" spans="1:4">
      <c r="A136" t="s">
        <v>583</v>
      </c>
      <c r="B136" t="s">
        <v>541</v>
      </c>
      <c r="C136">
        <f>HYPERLINK("#\'02_Balance_Sheet\'!A1", "[&lt;- Back to Balance Sheet]")</f>
        <v>0</v>
      </c>
      <c r="D136" t="s">
        <v>542</v>
      </c>
    </row>
    <row r="137" spans="1:4">
      <c r="A137" t="s">
        <v>583</v>
      </c>
      <c r="B137" t="s">
        <v>557</v>
      </c>
      <c r="C137">
        <f>SUMIFS('91_Mapping'!H:H, '91_Mapping'!F:F, "4.3")</f>
        <v>0</v>
      </c>
      <c r="D137">
        <v>0</v>
      </c>
    </row>
    <row r="138" spans="1:4">
      <c r="A138" t="s">
        <v>583</v>
      </c>
      <c r="B138" t="s">
        <v>584</v>
      </c>
      <c r="C138">
        <f>SUMIFS('91_Mapping'!I:I, '91_Mapping'!F:F, "4.3")</f>
        <v>0</v>
      </c>
      <c r="D138">
        <v>0</v>
      </c>
    </row>
    <row r="139" spans="1:4">
      <c r="A139" t="s">
        <v>583</v>
      </c>
      <c r="B139" t="s">
        <v>546</v>
      </c>
      <c r="C139">
        <f>TOT_Investments-C11</f>
        <v>0</v>
      </c>
      <c r="D139">
        <v>0</v>
      </c>
    </row>
    <row r="140" spans="1:4">
      <c r="A140" t="s">
        <v>583</v>
      </c>
      <c r="B140" t="s">
        <v>585</v>
      </c>
      <c r="C140">
        <f>TOT_Investments_PY-D11</f>
        <v>0</v>
      </c>
      <c r="D140">
        <v>0</v>
      </c>
    </row>
    <row r="141" spans="1:4">
      <c r="A141" t="s">
        <v>586</v>
      </c>
      <c r="B141" t="s">
        <v>541</v>
      </c>
      <c r="C141">
        <f>HYPERLINK("#\'02_Balance_Sheet\'!A1", "[&lt;- Back to Balance Sheet]")</f>
        <v>0</v>
      </c>
      <c r="D141" t="s">
        <v>542</v>
      </c>
    </row>
    <row r="142" spans="1:4">
      <c r="A142" t="s">
        <v>586</v>
      </c>
      <c r="B142" t="s">
        <v>554</v>
      </c>
      <c r="C142">
        <f>SUM(B6:B8)</f>
        <v>0</v>
      </c>
      <c r="D142">
        <v>0</v>
      </c>
    </row>
    <row r="143" spans="1:4">
      <c r="A143" t="s">
        <v>586</v>
      </c>
      <c r="B143" t="s">
        <v>555</v>
      </c>
      <c r="C143">
        <f>SUM(C6:C8)</f>
        <v>0</v>
      </c>
      <c r="D143">
        <v>0</v>
      </c>
    </row>
    <row r="144" spans="1:4">
      <c r="A144" t="s">
        <v>586</v>
      </c>
      <c r="B144" t="s">
        <v>556</v>
      </c>
      <c r="C144">
        <f>SUMIFS('91_Mapping'!H:H, '91_Mapping'!F:F, "4.4")</f>
        <v>0</v>
      </c>
      <c r="D144">
        <v>0</v>
      </c>
    </row>
    <row r="145" spans="1:4">
      <c r="A145" t="s">
        <v>586</v>
      </c>
      <c r="B145" t="s">
        <v>557</v>
      </c>
      <c r="C145">
        <f>SUMIFS('91_Mapping'!I:I, '91_Mapping'!F:F, "4.4")</f>
        <v>0</v>
      </c>
      <c r="D145">
        <v>0</v>
      </c>
    </row>
    <row r="146" spans="1:4">
      <c r="A146" t="s">
        <v>586</v>
      </c>
      <c r="B146" t="s">
        <v>545</v>
      </c>
      <c r="C146">
        <f>TOT_LTLA-B11</f>
        <v>0</v>
      </c>
      <c r="D146">
        <v>0</v>
      </c>
    </row>
    <row r="147" spans="1:4">
      <c r="A147" t="s">
        <v>586</v>
      </c>
      <c r="B147" t="s">
        <v>546</v>
      </c>
      <c r="C147">
        <f>TOT_LTLA_PY-C11</f>
        <v>0</v>
      </c>
      <c r="D147">
        <v>0</v>
      </c>
    </row>
    <row r="148" spans="1:4">
      <c r="A148" t="s">
        <v>587</v>
      </c>
      <c r="B148" t="s">
        <v>541</v>
      </c>
      <c r="C148">
        <f>HYPERLINK("#\'02_Balance_Sheet\'!A1", "[&lt;- Back to Balance Sheet]")</f>
        <v>0</v>
      </c>
      <c r="D148" t="s">
        <v>542</v>
      </c>
    </row>
    <row r="149" spans="1:4">
      <c r="A149" t="s">
        <v>587</v>
      </c>
      <c r="B149" t="s">
        <v>543</v>
      </c>
      <c r="C149">
        <f>SUM(B6:B9)</f>
        <v>0</v>
      </c>
      <c r="D149">
        <v>145</v>
      </c>
    </row>
    <row r="150" spans="1:4">
      <c r="A150" t="s">
        <v>587</v>
      </c>
      <c r="B150" t="s">
        <v>544</v>
      </c>
      <c r="C150">
        <f>SUM(C6:C9)</f>
        <v>0</v>
      </c>
      <c r="D150">
        <v>120</v>
      </c>
    </row>
    <row r="151" spans="1:4">
      <c r="A151" t="s">
        <v>587</v>
      </c>
      <c r="B151" t="s">
        <v>545</v>
      </c>
      <c r="C151">
        <f>SUMIFS('91_Mapping'!H:H, '91_Mapping'!F:F, "5.1")</f>
        <v>0</v>
      </c>
      <c r="D151">
        <v>145</v>
      </c>
    </row>
    <row r="152" spans="1:4">
      <c r="A152" t="s">
        <v>587</v>
      </c>
      <c r="B152" t="s">
        <v>546</v>
      </c>
      <c r="C152">
        <f>SUMIFS('91_Mapping'!I:I, '91_Mapping'!F:F, "5.1")</f>
        <v>0</v>
      </c>
      <c r="D152">
        <v>120</v>
      </c>
    </row>
    <row r="153" spans="1:4">
      <c r="A153" t="s">
        <v>587</v>
      </c>
      <c r="B153" t="s">
        <v>547</v>
      </c>
      <c r="C153">
        <f>TOT_Inventory-B12</f>
        <v>0</v>
      </c>
      <c r="D153">
        <v>0</v>
      </c>
    </row>
    <row r="154" spans="1:4">
      <c r="A154" t="s">
        <v>587</v>
      </c>
      <c r="B154" t="s">
        <v>548</v>
      </c>
      <c r="C154">
        <f>TOT_Inventory_PY-C12</f>
        <v>0</v>
      </c>
      <c r="D154">
        <v>0</v>
      </c>
    </row>
    <row r="155" spans="1:4">
      <c r="A155" t="s">
        <v>588</v>
      </c>
      <c r="B155" t="s">
        <v>541</v>
      </c>
      <c r="C155">
        <f>HYPERLINK("#\'02_Balance_Sheet\'!A1", "[&lt;- Back to Balance Sheet]")</f>
        <v>0</v>
      </c>
      <c r="D155" t="s">
        <v>542</v>
      </c>
    </row>
    <row r="156" spans="1:4">
      <c r="A156" t="s">
        <v>588</v>
      </c>
      <c r="B156" t="s">
        <v>571</v>
      </c>
      <c r="C156">
        <f>SUMIFS('91_Mapping'!H:H, '91_Mapping'!F:F, "5.2")</f>
        <v>0</v>
      </c>
      <c r="D156">
        <v>0</v>
      </c>
    </row>
    <row r="157" spans="1:4">
      <c r="A157" t="s">
        <v>588</v>
      </c>
      <c r="B157" t="s">
        <v>502</v>
      </c>
      <c r="C157">
        <f>SUMIFS('91_Mapping'!I:I, '91_Mapping'!F:F, "5.2")</f>
        <v>0</v>
      </c>
      <c r="D157">
        <v>175</v>
      </c>
    </row>
    <row r="158" spans="1:4">
      <c r="A158" t="s">
        <v>588</v>
      </c>
      <c r="B158" t="s">
        <v>589</v>
      </c>
      <c r="C158">
        <f>TOT_Receivables-G11</f>
        <v>0</v>
      </c>
      <c r="D158">
        <v>0</v>
      </c>
    </row>
    <row r="159" spans="1:4">
      <c r="A159" t="s">
        <v>588</v>
      </c>
      <c r="B159" t="s">
        <v>504</v>
      </c>
      <c r="C159">
        <f>TOT_Receivables_PY-H11</f>
        <v>0</v>
      </c>
      <c r="D159">
        <v>0</v>
      </c>
    </row>
    <row r="160" spans="1:4">
      <c r="A160" t="s">
        <v>590</v>
      </c>
      <c r="B160" t="s">
        <v>541</v>
      </c>
      <c r="C160">
        <f>HYPERLINK("#\'02_Balance_Sheet\'!A1", "[&lt;- Back to Balance Sheet]")</f>
        <v>0</v>
      </c>
      <c r="D160" t="s">
        <v>542</v>
      </c>
    </row>
    <row r="161" spans="1:4">
      <c r="A161" t="s">
        <v>590</v>
      </c>
      <c r="B161" t="s">
        <v>558</v>
      </c>
      <c r="C161">
        <f>SUM(B6:B13)</f>
        <v>0</v>
      </c>
      <c r="D161">
        <v>175</v>
      </c>
    </row>
    <row r="162" spans="1:4">
      <c r="A162" t="s">
        <v>590</v>
      </c>
      <c r="B162" t="s">
        <v>559</v>
      </c>
      <c r="C162">
        <f>SUM(C6:C13)</f>
        <v>0</v>
      </c>
      <c r="D162">
        <v>155</v>
      </c>
    </row>
    <row r="163" spans="1:4">
      <c r="A163" t="s">
        <v>590</v>
      </c>
      <c r="B163" t="s">
        <v>560</v>
      </c>
      <c r="C163">
        <f>SUMIFS('91_Mapping'!H:H, '91_Mapping'!F:F, "5.3")</f>
        <v>0</v>
      </c>
      <c r="D163">
        <v>175</v>
      </c>
    </row>
    <row r="164" spans="1:4">
      <c r="A164" t="s">
        <v>590</v>
      </c>
      <c r="B164" t="s">
        <v>561</v>
      </c>
      <c r="C164">
        <f>SUMIFS('91_Mapping'!I:I, '91_Mapping'!F:F, "5.3")</f>
        <v>0</v>
      </c>
      <c r="D164">
        <v>155</v>
      </c>
    </row>
    <row r="165" spans="1:4">
      <c r="A165" t="s">
        <v>590</v>
      </c>
      <c r="B165" t="s">
        <v>562</v>
      </c>
      <c r="C165">
        <f>TOT_Cash-B16</f>
        <v>0</v>
      </c>
      <c r="D165">
        <v>0</v>
      </c>
    </row>
    <row r="166" spans="1:4">
      <c r="A166" t="s">
        <v>590</v>
      </c>
      <c r="B166" t="s">
        <v>563</v>
      </c>
      <c r="C166">
        <f>TOT_Cash_PY-C16</f>
        <v>0</v>
      </c>
      <c r="D166">
        <v>0</v>
      </c>
    </row>
    <row r="167" spans="1:4">
      <c r="A167" t="s">
        <v>591</v>
      </c>
      <c r="B167" t="s">
        <v>541</v>
      </c>
      <c r="C167">
        <f>HYPERLINK("#\'02_Balance_Sheet\'!A1", "[&lt;- Back to Balance Sheet]")</f>
        <v>0</v>
      </c>
      <c r="D167" t="s">
        <v>542</v>
      </c>
    </row>
    <row r="168" spans="1:4">
      <c r="A168" t="s">
        <v>591</v>
      </c>
      <c r="B168" t="s">
        <v>556</v>
      </c>
      <c r="C168">
        <f>SUM(B6:B10)</f>
        <v>0</v>
      </c>
      <c r="D168">
        <v>0</v>
      </c>
    </row>
    <row r="169" spans="1:4">
      <c r="A169" t="s">
        <v>591</v>
      </c>
      <c r="B169" t="s">
        <v>557</v>
      </c>
      <c r="C169">
        <f>SUM(C6:C10)</f>
        <v>0</v>
      </c>
      <c r="D169">
        <v>0</v>
      </c>
    </row>
    <row r="170" spans="1:4">
      <c r="A170" t="s">
        <v>591</v>
      </c>
      <c r="B170" t="s">
        <v>547</v>
      </c>
      <c r="C170">
        <f>SUMIFS('91_Mapping'!H:H, '91_Mapping'!F:F, "5.4")</f>
        <v>0</v>
      </c>
      <c r="D170">
        <v>0</v>
      </c>
    </row>
    <row r="171" spans="1:4">
      <c r="A171" t="s">
        <v>591</v>
      </c>
      <c r="B171" t="s">
        <v>548</v>
      </c>
      <c r="C171">
        <f>SUMIFS('91_Mapping'!I:I, '91_Mapping'!F:F, "5.4")</f>
        <v>0</v>
      </c>
      <c r="D171">
        <v>0</v>
      </c>
    </row>
    <row r="172" spans="1:4">
      <c r="A172" t="s">
        <v>591</v>
      </c>
      <c r="B172" t="s">
        <v>558</v>
      </c>
      <c r="C172">
        <f>TOT_STLA-B13</f>
        <v>0</v>
      </c>
      <c r="D172">
        <v>0</v>
      </c>
    </row>
    <row r="173" spans="1:4">
      <c r="A173" t="s">
        <v>591</v>
      </c>
      <c r="B173" t="s">
        <v>559</v>
      </c>
      <c r="C173">
        <f>TOT_STLA_PY-C13</f>
        <v>0</v>
      </c>
      <c r="D173">
        <v>0</v>
      </c>
    </row>
    <row r="174" spans="1:4">
      <c r="A174" t="s">
        <v>592</v>
      </c>
      <c r="B174" t="s">
        <v>541</v>
      </c>
      <c r="C174">
        <f>HYPERLINK("#\'02_Balance_Sheet\'!A1", "[&lt;- Back to Balance Sheet]")</f>
        <v>0</v>
      </c>
      <c r="D174" t="s">
        <v>542</v>
      </c>
    </row>
    <row r="175" spans="1:4">
      <c r="A175" t="s">
        <v>592</v>
      </c>
      <c r="B175" t="s">
        <v>552</v>
      </c>
      <c r="C175">
        <f>SUM(B6:B7)</f>
        <v>0</v>
      </c>
      <c r="D175">
        <v>0</v>
      </c>
    </row>
    <row r="176" spans="1:4">
      <c r="A176" t="s">
        <v>592</v>
      </c>
      <c r="B176" t="s">
        <v>553</v>
      </c>
      <c r="C176">
        <f>SUM(C6:C7)</f>
        <v>0</v>
      </c>
      <c r="D176">
        <v>0</v>
      </c>
    </row>
    <row r="177" spans="1:4">
      <c r="A177" t="s">
        <v>592</v>
      </c>
      <c r="B177" t="s">
        <v>543</v>
      </c>
      <c r="C177">
        <f>SUMIFS('91_Mapping'!H:H, '91_Mapping'!F:F, "5.5")</f>
        <v>0</v>
      </c>
      <c r="D177">
        <v>0</v>
      </c>
    </row>
    <row r="178" spans="1:4">
      <c r="A178" t="s">
        <v>592</v>
      </c>
      <c r="B178" t="s">
        <v>544</v>
      </c>
      <c r="C178">
        <f>SUMIFS('91_Mapping'!I:I, '91_Mapping'!F:F, "5.5")</f>
        <v>0</v>
      </c>
      <c r="D178">
        <v>0</v>
      </c>
    </row>
    <row r="179" spans="1:4">
      <c r="A179" t="s">
        <v>592</v>
      </c>
      <c r="B179" t="s">
        <v>556</v>
      </c>
      <c r="C179">
        <f>TOT_OtherCA-B10</f>
        <v>0</v>
      </c>
      <c r="D179">
        <v>0</v>
      </c>
    </row>
    <row r="180" spans="1:4">
      <c r="A180" t="s">
        <v>592</v>
      </c>
      <c r="B180" t="s">
        <v>557</v>
      </c>
      <c r="C180">
        <f>TOT_OtherCA_PY-C10</f>
        <v>0</v>
      </c>
      <c r="D180">
        <v>0</v>
      </c>
    </row>
    <row r="181" spans="1:4">
      <c r="A181" t="s">
        <v>593</v>
      </c>
      <c r="B181" t="s">
        <v>541</v>
      </c>
      <c r="C181">
        <f>HYPERLINK("#\'02_Balance_Sheet\'!A1", "[&lt;- Back to Balance Sheet]")</f>
        <v>0</v>
      </c>
      <c r="D181" t="s">
        <v>542</v>
      </c>
    </row>
    <row r="182" spans="1:4">
      <c r="A182" t="s">
        <v>593</v>
      </c>
      <c r="B182" t="s">
        <v>550</v>
      </c>
      <c r="C182">
        <f>SUMIFS('91_Mapping'!H:H, '91_Mapping'!D:D, "Domestic Sales")</f>
        <v>0</v>
      </c>
      <c r="D182">
        <v>765</v>
      </c>
    </row>
    <row r="183" spans="1:4">
      <c r="A183" t="s">
        <v>593</v>
      </c>
      <c r="B183" t="s">
        <v>551</v>
      </c>
      <c r="C183">
        <f>SUMIFS('91_Mapping'!I:I, '91_Mapping'!D:D, "Domestic Sales")</f>
        <v>0</v>
      </c>
      <c r="D183">
        <v>630</v>
      </c>
    </row>
    <row r="184" spans="1:4">
      <c r="A184" t="s">
        <v>593</v>
      </c>
      <c r="B184" t="s">
        <v>552</v>
      </c>
      <c r="C184">
        <f>SUMIFS('91_Mapping'!H:H, '91_Mapping'!D:D, "Export Sales")</f>
        <v>0</v>
      </c>
      <c r="D184">
        <v>85</v>
      </c>
    </row>
    <row r="185" spans="1:4">
      <c r="A185" t="s">
        <v>593</v>
      </c>
      <c r="B185" t="s">
        <v>553</v>
      </c>
      <c r="C185">
        <f>SUMIFS('91_Mapping'!I:I, '91_Mapping'!D:D, "Export Sales")</f>
        <v>0</v>
      </c>
      <c r="D185">
        <v>70</v>
      </c>
    </row>
    <row r="186" spans="1:4">
      <c r="A186" t="s">
        <v>593</v>
      </c>
      <c r="B186" t="s">
        <v>556</v>
      </c>
      <c r="C186">
        <f>-1*SUM(B6:B10)</f>
        <v>0</v>
      </c>
      <c r="D186">
        <v>850</v>
      </c>
    </row>
    <row r="187" spans="1:4">
      <c r="A187" t="s">
        <v>593</v>
      </c>
      <c r="B187" t="s">
        <v>557</v>
      </c>
      <c r="C187">
        <f>-1*SUM(C6:C10)</f>
        <v>0</v>
      </c>
      <c r="D187">
        <v>700</v>
      </c>
    </row>
    <row r="188" spans="1:4">
      <c r="A188" t="s">
        <v>593</v>
      </c>
      <c r="B188" t="s">
        <v>547</v>
      </c>
      <c r="C188">
        <f>-SUMIFS('91_Mapping'!H:H, '91_Mapping'!F:F, "6.1")</f>
        <v>0</v>
      </c>
      <c r="D188">
        <v>850</v>
      </c>
    </row>
    <row r="189" spans="1:4">
      <c r="A189" t="s">
        <v>593</v>
      </c>
      <c r="B189" t="s">
        <v>548</v>
      </c>
      <c r="C189">
        <f>-SUMIFS('91_Mapping'!I:I, '91_Mapping'!F:F, "6.1")</f>
        <v>0</v>
      </c>
      <c r="D189">
        <v>700</v>
      </c>
    </row>
    <row r="190" spans="1:4">
      <c r="A190" t="s">
        <v>593</v>
      </c>
      <c r="B190" t="s">
        <v>558</v>
      </c>
      <c r="C190">
        <f>TOT_Revenue-B13</f>
        <v>0</v>
      </c>
      <c r="D190">
        <v>0</v>
      </c>
    </row>
    <row r="191" spans="1:4">
      <c r="A191" t="s">
        <v>593</v>
      </c>
      <c r="B191" t="s">
        <v>559</v>
      </c>
      <c r="C191">
        <f>TOT_Revenue_PY-C13</f>
        <v>0</v>
      </c>
      <c r="D191">
        <v>0</v>
      </c>
    </row>
    <row r="192" spans="1:4">
      <c r="A192" t="s">
        <v>594</v>
      </c>
      <c r="B192" t="s">
        <v>541</v>
      </c>
      <c r="C192">
        <f>HYPERLINK("#\'02_Balance_Sheet\'!A1", "[&lt;- Back to Balance Sheet]")</f>
        <v>0</v>
      </c>
      <c r="D192" t="s">
        <v>542</v>
      </c>
    </row>
    <row r="193" spans="1:4">
      <c r="A193" t="s">
        <v>594</v>
      </c>
      <c r="B193" t="s">
        <v>543</v>
      </c>
      <c r="C193">
        <f>-1*SUM(B6:B9)</f>
        <v>0</v>
      </c>
      <c r="D193">
        <v>15</v>
      </c>
    </row>
    <row r="194" spans="1:4">
      <c r="A194" t="s">
        <v>594</v>
      </c>
      <c r="B194" t="s">
        <v>544</v>
      </c>
      <c r="C194">
        <f>-1*SUM(C6:C9)</f>
        <v>0</v>
      </c>
      <c r="D194">
        <v>10</v>
      </c>
    </row>
    <row r="195" spans="1:4">
      <c r="A195" t="s">
        <v>594</v>
      </c>
      <c r="B195" t="s">
        <v>545</v>
      </c>
      <c r="C195">
        <f>-SUMIFS('91_Mapping'!H:H, '91_Mapping'!F:F, "6.2")</f>
        <v>0</v>
      </c>
      <c r="D195">
        <v>15</v>
      </c>
    </row>
    <row r="196" spans="1:4">
      <c r="A196" t="s">
        <v>594</v>
      </c>
      <c r="B196" t="s">
        <v>546</v>
      </c>
      <c r="C196">
        <f>-SUMIFS('91_Mapping'!I:I, '91_Mapping'!F:F, "6.2")</f>
        <v>0</v>
      </c>
      <c r="D196">
        <v>10</v>
      </c>
    </row>
    <row r="197" spans="1:4">
      <c r="A197" t="s">
        <v>594</v>
      </c>
      <c r="B197" t="s">
        <v>547</v>
      </c>
      <c r="C197">
        <f>TOT_OtherIncome-B12</f>
        <v>0</v>
      </c>
      <c r="D197">
        <v>0</v>
      </c>
    </row>
    <row r="198" spans="1:4">
      <c r="A198" t="s">
        <v>594</v>
      </c>
      <c r="B198" t="s">
        <v>548</v>
      </c>
      <c r="C198">
        <f>TOT_OtherIncome_PY-C12</f>
        <v>0</v>
      </c>
      <c r="D198">
        <v>0</v>
      </c>
    </row>
    <row r="199" spans="1:4">
      <c r="A199" t="s">
        <v>595</v>
      </c>
      <c r="B199" t="s">
        <v>541</v>
      </c>
      <c r="C199">
        <f>HYPERLINK("#\'02_Balance_Sheet\'!A1", "[&lt;- Back to Balance Sheet]")</f>
        <v>0</v>
      </c>
      <c r="D199" t="s">
        <v>542</v>
      </c>
    </row>
    <row r="200" spans="1:4">
      <c r="A200" t="s">
        <v>595</v>
      </c>
      <c r="B200" t="s">
        <v>550</v>
      </c>
      <c r="C200">
        <f>SUMIFS('91_Mapping'!H:H, '91_Mapping'!D:D, "Opening Stock of Raw Materials")</f>
        <v>0</v>
      </c>
      <c r="D200">
        <v>75.59999999999999</v>
      </c>
    </row>
    <row r="201" spans="1:4">
      <c r="A201" t="s">
        <v>595</v>
      </c>
      <c r="B201" t="s">
        <v>551</v>
      </c>
      <c r="C201">
        <f>SUMIFS('91_Mapping'!I:I, '91_Mapping'!D:D, "Opening Stock of Raw Materials")</f>
        <v>0</v>
      </c>
      <c r="D201">
        <v>63</v>
      </c>
    </row>
    <row r="202" spans="1:4">
      <c r="A202" t="s">
        <v>595</v>
      </c>
      <c r="B202" t="s">
        <v>552</v>
      </c>
      <c r="C202">
        <f>SUMIFS('91_Mapping'!H:H, '91_Mapping'!D:D, "Add: Purchases of Raw Materials")</f>
        <v>0</v>
      </c>
      <c r="D202">
        <v>357</v>
      </c>
    </row>
    <row r="203" spans="1:4">
      <c r="A203" t="s">
        <v>595</v>
      </c>
      <c r="B203" t="s">
        <v>553</v>
      </c>
      <c r="C203">
        <f>SUMIFS('91_Mapping'!I:I, '91_Mapping'!D:D, "Add: Purchases of Raw Materials")</f>
        <v>0</v>
      </c>
      <c r="D203">
        <v>297.5</v>
      </c>
    </row>
    <row r="204" spans="1:4">
      <c r="A204" t="s">
        <v>595</v>
      </c>
      <c r="B204" t="s">
        <v>554</v>
      </c>
      <c r="C204">
        <f>SUMIFS('91_Mapping'!H:H, '91_Mapping'!D:D, "Less: Closing Stock of Raw Materials")</f>
        <v>0</v>
      </c>
      <c r="D204">
        <v>12.6</v>
      </c>
    </row>
    <row r="205" spans="1:4">
      <c r="A205" t="s">
        <v>595</v>
      </c>
      <c r="B205" t="s">
        <v>555</v>
      </c>
      <c r="C205">
        <f>SUMIFS('91_Mapping'!I:I, '91_Mapping'!D:D, "Less: Closing Stock of Raw Materials")</f>
        <v>0</v>
      </c>
      <c r="D205">
        <v>10.5</v>
      </c>
    </row>
    <row r="206" spans="1:4">
      <c r="A206" t="s">
        <v>595</v>
      </c>
      <c r="B206" t="s">
        <v>543</v>
      </c>
      <c r="C206">
        <f>SUMIFS('91_Mapping'!H:H, '91_Mapping'!D:D, "Total Cost of Materials Consumed  (A)")</f>
        <v>0</v>
      </c>
      <c r="D206">
        <v>420</v>
      </c>
    </row>
    <row r="207" spans="1:4">
      <c r="A207" t="s">
        <v>595</v>
      </c>
      <c r="B207" t="s">
        <v>544</v>
      </c>
      <c r="C207">
        <f>SUMIFS('91_Mapping'!I:I, '91_Mapping'!D:D, "Total Cost of Materials Consumed  (A)")</f>
        <v>0</v>
      </c>
      <c r="D207">
        <v>350</v>
      </c>
    </row>
    <row r="208" spans="1:4">
      <c r="A208" t="s">
        <v>595</v>
      </c>
      <c r="B208" t="s">
        <v>547</v>
      </c>
      <c r="C208">
        <f>SUMIFS('91_Mapping'!H:H, '91_Mapping'!D:D, "Opening Stock (WIP + Finished Goods)")</f>
        <v>0</v>
      </c>
      <c r="D208">
        <v>0</v>
      </c>
    </row>
    <row r="209" spans="1:4">
      <c r="A209" t="s">
        <v>595</v>
      </c>
      <c r="B209" t="s">
        <v>548</v>
      </c>
      <c r="C209">
        <f>SUMIFS('91_Mapping'!I:I, '91_Mapping'!D:D, "Opening Stock (WIP + Finished Goods)")</f>
        <v>0</v>
      </c>
      <c r="D209">
        <v>0</v>
      </c>
    </row>
    <row r="210" spans="1:4">
      <c r="A210" t="s">
        <v>595</v>
      </c>
      <c r="B210" t="s">
        <v>558</v>
      </c>
      <c r="C210">
        <f>SUMIFS('91_Mapping'!H:H, '91_Mapping'!D:D, "Less: Closing Stock (WIP + Finished Goods)")</f>
        <v>0</v>
      </c>
      <c r="D210">
        <v>0</v>
      </c>
    </row>
    <row r="211" spans="1:4">
      <c r="A211" t="s">
        <v>595</v>
      </c>
      <c r="B211" t="s">
        <v>559</v>
      </c>
      <c r="C211">
        <f>SUMIFS('91_Mapping'!I:I, '91_Mapping'!D:D, "Less: Closing Stock (WIP + Finished Goods)")</f>
        <v>0</v>
      </c>
      <c r="D211">
        <v>0</v>
      </c>
    </row>
    <row r="212" spans="1:4">
      <c r="A212" t="s">
        <v>595</v>
      </c>
      <c r="B212" t="s">
        <v>596</v>
      </c>
      <c r="C212">
        <f>SUMIFS('91_Mapping'!H:H, '91_Mapping'!D:D, "Net Change in Inventories  (C)")</f>
        <v>0</v>
      </c>
      <c r="D212">
        <v>0</v>
      </c>
    </row>
    <row r="213" spans="1:4">
      <c r="A213" t="s">
        <v>595</v>
      </c>
      <c r="B213" t="s">
        <v>597</v>
      </c>
      <c r="C213">
        <f>SUMIFS('91_Mapping'!I:I, '91_Mapping'!D:D, "Net Change in Inventories  (C)")</f>
        <v>0</v>
      </c>
      <c r="D213">
        <v>0</v>
      </c>
    </row>
    <row r="214" spans="1:4">
      <c r="A214" t="s">
        <v>595</v>
      </c>
      <c r="B214" t="s">
        <v>560</v>
      </c>
      <c r="C214">
        <f>SUM(B6:B15)</f>
        <v>0</v>
      </c>
      <c r="D214">
        <v>420</v>
      </c>
    </row>
    <row r="215" spans="1:4">
      <c r="A215" t="s">
        <v>595</v>
      </c>
      <c r="B215" t="s">
        <v>561</v>
      </c>
      <c r="C215">
        <f>SUM(C6:C15)</f>
        <v>0</v>
      </c>
      <c r="D215">
        <v>350</v>
      </c>
    </row>
    <row r="216" spans="1:4">
      <c r="A216" t="s">
        <v>595</v>
      </c>
      <c r="B216" t="s">
        <v>598</v>
      </c>
      <c r="C216">
        <f>SUMIFS('91_Mapping'!H:H, '91_Mapping'!F:F, "7.1")</f>
        <v>0</v>
      </c>
      <c r="D216">
        <v>420</v>
      </c>
    </row>
    <row r="217" spans="1:4">
      <c r="A217" t="s">
        <v>595</v>
      </c>
      <c r="B217" t="s">
        <v>599</v>
      </c>
      <c r="C217">
        <f>SUMIFS('91_Mapping'!I:I, '91_Mapping'!F:F, "7.1")</f>
        <v>0</v>
      </c>
      <c r="D217">
        <v>350</v>
      </c>
    </row>
    <row r="218" spans="1:4">
      <c r="A218" t="s">
        <v>595</v>
      </c>
      <c r="B218" t="s">
        <v>600</v>
      </c>
      <c r="C218">
        <f>TOT_Material-B18</f>
        <v>0</v>
      </c>
      <c r="D218">
        <v>0</v>
      </c>
    </row>
    <row r="219" spans="1:4">
      <c r="A219" t="s">
        <v>595</v>
      </c>
      <c r="B219" t="s">
        <v>601</v>
      </c>
      <c r="C219">
        <f>TOT_Material_PY-C18</f>
        <v>0</v>
      </c>
      <c r="D219">
        <v>0</v>
      </c>
    </row>
    <row r="220" spans="1:4">
      <c r="A220" t="s">
        <v>602</v>
      </c>
      <c r="B220" t="s">
        <v>541</v>
      </c>
      <c r="C220">
        <f>HYPERLINK("#\'02_Balance_Sheet\'!A1", "[&lt;- Back to Balance Sheet]")</f>
        <v>0</v>
      </c>
      <c r="D220" t="s">
        <v>542</v>
      </c>
    </row>
    <row r="221" spans="1:4">
      <c r="A221" t="s">
        <v>602</v>
      </c>
      <c r="B221" t="s">
        <v>556</v>
      </c>
      <c r="C221">
        <f>SUM(B6:B10)</f>
        <v>0</v>
      </c>
      <c r="D221">
        <v>140</v>
      </c>
    </row>
    <row r="222" spans="1:4">
      <c r="A222" t="s">
        <v>602</v>
      </c>
      <c r="B222" t="s">
        <v>557</v>
      </c>
      <c r="C222">
        <f>SUM(C6:C10)</f>
        <v>0</v>
      </c>
      <c r="D222">
        <v>120</v>
      </c>
    </row>
    <row r="223" spans="1:4">
      <c r="A223" t="s">
        <v>602</v>
      </c>
      <c r="B223" t="s">
        <v>547</v>
      </c>
      <c r="C223">
        <f>SUMIFS('91_Mapping'!H:H, '91_Mapping'!F:F, "7.2")</f>
        <v>0</v>
      </c>
      <c r="D223">
        <v>140</v>
      </c>
    </row>
    <row r="224" spans="1:4">
      <c r="A224" t="s">
        <v>602</v>
      </c>
      <c r="B224" t="s">
        <v>548</v>
      </c>
      <c r="C224">
        <f>SUMIFS('91_Mapping'!I:I, '91_Mapping'!F:F, "7.2")</f>
        <v>0</v>
      </c>
      <c r="D224">
        <v>120</v>
      </c>
    </row>
    <row r="225" spans="1:4">
      <c r="A225" t="s">
        <v>602</v>
      </c>
      <c r="B225" t="s">
        <v>558</v>
      </c>
      <c r="C225">
        <f>TOT_Employee-B13</f>
        <v>0</v>
      </c>
      <c r="D225">
        <v>0</v>
      </c>
    </row>
    <row r="226" spans="1:4">
      <c r="A226" t="s">
        <v>602</v>
      </c>
      <c r="B226" t="s">
        <v>559</v>
      </c>
      <c r="C226">
        <f>TOT_Employee_PY-C13</f>
        <v>0</v>
      </c>
      <c r="D226">
        <v>0</v>
      </c>
    </row>
    <row r="227" spans="1:4">
      <c r="A227" t="s">
        <v>603</v>
      </c>
      <c r="B227" t="s">
        <v>541</v>
      </c>
      <c r="C227">
        <f>HYPERLINK("#\'02_Balance_Sheet\'!A1", "[&lt;- Back to Balance Sheet]")</f>
        <v>0</v>
      </c>
      <c r="D227" t="s">
        <v>542</v>
      </c>
    </row>
    <row r="228" spans="1:4">
      <c r="A228" t="s">
        <v>603</v>
      </c>
      <c r="B228" t="s">
        <v>543</v>
      </c>
      <c r="C228">
        <f>SUM(B6:B9)</f>
        <v>0</v>
      </c>
      <c r="D228">
        <v>32</v>
      </c>
    </row>
    <row r="229" spans="1:4">
      <c r="A229" t="s">
        <v>603</v>
      </c>
      <c r="B229" t="s">
        <v>544</v>
      </c>
      <c r="C229">
        <f>SUM(C6:C9)</f>
        <v>0</v>
      </c>
      <c r="D229">
        <v>38</v>
      </c>
    </row>
    <row r="230" spans="1:4">
      <c r="A230" t="s">
        <v>603</v>
      </c>
      <c r="B230" t="s">
        <v>545</v>
      </c>
      <c r="C230">
        <f>SUMIFS('91_Mapping'!H:H, '91_Mapping'!F:F, "7.3")</f>
        <v>0</v>
      </c>
      <c r="D230">
        <v>32</v>
      </c>
    </row>
    <row r="231" spans="1:4">
      <c r="A231" t="s">
        <v>603</v>
      </c>
      <c r="B231" t="s">
        <v>546</v>
      </c>
      <c r="C231">
        <f>SUMIFS('91_Mapping'!I:I, '91_Mapping'!F:F, "7.3")</f>
        <v>0</v>
      </c>
      <c r="D231">
        <v>38</v>
      </c>
    </row>
    <row r="232" spans="1:4">
      <c r="A232" t="s">
        <v>603</v>
      </c>
      <c r="B232" t="s">
        <v>547</v>
      </c>
      <c r="C232">
        <f>TOT_Finance-B12</f>
        <v>0</v>
      </c>
      <c r="D232">
        <v>0</v>
      </c>
    </row>
    <row r="233" spans="1:4">
      <c r="A233" t="s">
        <v>603</v>
      </c>
      <c r="B233" t="s">
        <v>548</v>
      </c>
      <c r="C233">
        <f>TOT_Finance_PY-C12</f>
        <v>0</v>
      </c>
      <c r="D233">
        <v>0</v>
      </c>
    </row>
    <row r="234" spans="1:4">
      <c r="A234" t="s">
        <v>604</v>
      </c>
      <c r="B234" t="s">
        <v>541</v>
      </c>
      <c r="C234">
        <f>HYPERLINK("#\'02_Balance_Sheet\'!A1", "[&lt;- Back to Balance Sheet]")</f>
        <v>0</v>
      </c>
      <c r="D234" t="s">
        <v>542</v>
      </c>
    </row>
    <row r="235" spans="1:4">
      <c r="A235" t="s">
        <v>604</v>
      </c>
      <c r="B235" t="s">
        <v>554</v>
      </c>
      <c r="C235">
        <f>SUM(B6:B8)</f>
        <v>0</v>
      </c>
      <c r="D235">
        <v>28</v>
      </c>
    </row>
    <row r="236" spans="1:4">
      <c r="A236" t="s">
        <v>604</v>
      </c>
      <c r="B236" t="s">
        <v>555</v>
      </c>
      <c r="C236">
        <f>SUM(C6:C8)</f>
        <v>0</v>
      </c>
      <c r="D236">
        <v>25</v>
      </c>
    </row>
    <row r="237" spans="1:4">
      <c r="A237" t="s">
        <v>604</v>
      </c>
      <c r="B237" t="s">
        <v>556</v>
      </c>
      <c r="C237">
        <f>SUMIFS('91_Mapping'!H:H, '91_Mapping'!F:F, "7.4")</f>
        <v>0</v>
      </c>
      <c r="D237">
        <v>28</v>
      </c>
    </row>
    <row r="238" spans="1:4">
      <c r="A238" t="s">
        <v>604</v>
      </c>
      <c r="B238" t="s">
        <v>557</v>
      </c>
      <c r="C238">
        <f>SUMIFS('91_Mapping'!I:I, '91_Mapping'!F:F, "7.4")</f>
        <v>0</v>
      </c>
      <c r="D238">
        <v>25</v>
      </c>
    </row>
    <row r="239" spans="1:4">
      <c r="A239" t="s">
        <v>604</v>
      </c>
      <c r="B239" t="s">
        <v>545</v>
      </c>
      <c r="C239">
        <f>TOT_Depreciation-B11</f>
        <v>0</v>
      </c>
      <c r="D239">
        <v>0</v>
      </c>
    </row>
    <row r="240" spans="1:4">
      <c r="A240" t="s">
        <v>604</v>
      </c>
      <c r="B240" t="s">
        <v>546</v>
      </c>
      <c r="C240">
        <f>TOT_Depreciation_PY-C11</f>
        <v>0</v>
      </c>
      <c r="D240">
        <v>0</v>
      </c>
    </row>
    <row r="241" spans="1:4">
      <c r="A241" t="s">
        <v>605</v>
      </c>
      <c r="B241" t="s">
        <v>541</v>
      </c>
      <c r="C241">
        <f>HYPERLINK("#\'02_Balance_Sheet\'!A1", "[&lt;- Back to Balance Sheet]")</f>
        <v>0</v>
      </c>
      <c r="D241" t="s">
        <v>542</v>
      </c>
    </row>
    <row r="242" spans="1:4">
      <c r="A242" t="s">
        <v>605</v>
      </c>
      <c r="B242" t="s">
        <v>562</v>
      </c>
      <c r="C242">
        <f>SUM(B6:B16)</f>
        <v>0</v>
      </c>
      <c r="D242">
        <v>45</v>
      </c>
    </row>
    <row r="243" spans="1:4">
      <c r="A243" t="s">
        <v>605</v>
      </c>
      <c r="B243" t="s">
        <v>563</v>
      </c>
      <c r="C243">
        <f>SUM(C6:C16)</f>
        <v>0</v>
      </c>
      <c r="D243">
        <v>32</v>
      </c>
    </row>
    <row r="244" spans="1:4">
      <c r="A244" t="s">
        <v>605</v>
      </c>
      <c r="B244" t="s">
        <v>600</v>
      </c>
      <c r="C244">
        <f>SUMIFS('91_Mapping'!H:H, '91_Mapping'!F:F, "7.5")</f>
        <v>0</v>
      </c>
      <c r="D244">
        <v>45</v>
      </c>
    </row>
    <row r="245" spans="1:4">
      <c r="A245" t="s">
        <v>605</v>
      </c>
      <c r="B245" t="s">
        <v>601</v>
      </c>
      <c r="C245">
        <f>SUMIFS('91_Mapping'!I:I, '91_Mapping'!F:F, "7.5")</f>
        <v>0</v>
      </c>
      <c r="D245">
        <v>32</v>
      </c>
    </row>
    <row r="246" spans="1:4">
      <c r="A246" t="s">
        <v>605</v>
      </c>
      <c r="B246" t="s">
        <v>606</v>
      </c>
      <c r="C246">
        <f>TOT_OtherExp-B19</f>
        <v>0</v>
      </c>
      <c r="D246">
        <v>0</v>
      </c>
    </row>
    <row r="247" spans="1:4">
      <c r="A247" t="s">
        <v>605</v>
      </c>
      <c r="B247" t="s">
        <v>607</v>
      </c>
      <c r="C247">
        <f>TOT_OtherExp_PY-C19</f>
        <v>0</v>
      </c>
      <c r="D247">
        <v>0</v>
      </c>
    </row>
    <row r="248" spans="1:4">
      <c r="A248" t="s">
        <v>608</v>
      </c>
      <c r="B248" t="s">
        <v>541</v>
      </c>
      <c r="C248">
        <f>HYPERLINK("#\'02_Balance_Sheet\'!A1", "[&lt;- Back to Balance Sheet]")</f>
        <v>0</v>
      </c>
      <c r="D248" t="s">
        <v>542</v>
      </c>
    </row>
    <row r="249" spans="1:4">
      <c r="A249" t="s">
        <v>608</v>
      </c>
      <c r="B249" t="s">
        <v>554</v>
      </c>
      <c r="C249">
        <f>-1*SUM(B6:B8)</f>
        <v>0</v>
      </c>
      <c r="D249">
        <v>40</v>
      </c>
    </row>
    <row r="250" spans="1:4">
      <c r="A250" t="s">
        <v>608</v>
      </c>
      <c r="B250" t="s">
        <v>555</v>
      </c>
      <c r="C250">
        <f>-1*SUM(C6:C8)</f>
        <v>0</v>
      </c>
      <c r="D250">
        <v>30</v>
      </c>
    </row>
    <row r="251" spans="1:4">
      <c r="A251" t="s">
        <v>608</v>
      </c>
      <c r="B251" t="s">
        <v>556</v>
      </c>
      <c r="C251">
        <f>-SUMIFS('91_Mapping'!H:H, '91_Mapping'!F:F, "7.6")</f>
        <v>0</v>
      </c>
      <c r="D251">
        <v>40</v>
      </c>
    </row>
    <row r="252" spans="1:4">
      <c r="A252" t="s">
        <v>608</v>
      </c>
      <c r="B252" t="s">
        <v>557</v>
      </c>
      <c r="C252">
        <f>-SUMIFS('91_Mapping'!I:I, '91_Mapping'!F:F, "7.6")</f>
        <v>0</v>
      </c>
      <c r="D252">
        <v>30</v>
      </c>
    </row>
    <row r="253" spans="1:4">
      <c r="A253" t="s">
        <v>608</v>
      </c>
      <c r="B253" t="s">
        <v>545</v>
      </c>
      <c r="C253">
        <f>TOT_Tax-B11</f>
        <v>0</v>
      </c>
      <c r="D253">
        <v>0</v>
      </c>
    </row>
    <row r="254" spans="1:4">
      <c r="A254" t="s">
        <v>608</v>
      </c>
      <c r="B254" t="s">
        <v>546</v>
      </c>
      <c r="C254">
        <f>TOT_Tax_PY-C11</f>
        <v>0</v>
      </c>
      <c r="D254">
        <v>0</v>
      </c>
    </row>
    <row r="255" spans="1:4">
      <c r="A255" t="s">
        <v>609</v>
      </c>
      <c r="B255" t="s">
        <v>541</v>
      </c>
      <c r="C255">
        <f>HYPERLINK("#\'02_Balance_Sheet\'!A1", "[&lt;- Back to Balance Sheet]")</f>
        <v>0</v>
      </c>
      <c r="D255" t="s">
        <v>542</v>
      </c>
    </row>
    <row r="256" spans="1:4">
      <c r="A256" t="s">
        <v>609</v>
      </c>
      <c r="B256" t="s">
        <v>610</v>
      </c>
      <c r="C256">
        <f>SUMIFS('91_Mapping'!H:H, '91_Mapping'!F:F, "8.1")</f>
        <v>0</v>
      </c>
      <c r="D256">
        <v>0</v>
      </c>
    </row>
    <row r="257" spans="1:4">
      <c r="A257" t="s">
        <v>609</v>
      </c>
      <c r="B257" t="s">
        <v>611</v>
      </c>
      <c r="C257">
        <f>SUMIFS('91_Mapping'!I:I, '91_Mapping'!F:F, "8.1")</f>
        <v>0</v>
      </c>
      <c r="D257">
        <v>0</v>
      </c>
    </row>
    <row r="258" spans="1:4">
      <c r="A258" t="s">
        <v>609</v>
      </c>
      <c r="B258" t="s">
        <v>581</v>
      </c>
      <c r="C258">
        <f>TOT_RPT-F8</f>
        <v>0</v>
      </c>
      <c r="D258">
        <v>0</v>
      </c>
    </row>
    <row r="259" spans="1:4">
      <c r="A259" t="s">
        <v>609</v>
      </c>
      <c r="B259" t="s">
        <v>612</v>
      </c>
      <c r="C259">
        <f>TOT_RPT_PY-G8</f>
        <v>0</v>
      </c>
      <c r="D259">
        <v>0</v>
      </c>
    </row>
    <row r="260" spans="1:4">
      <c r="A260" t="s">
        <v>613</v>
      </c>
      <c r="B260" t="s">
        <v>541</v>
      </c>
      <c r="C260">
        <f>HYPERLINK("#\'02_Balance_Sheet\'!A1", "[&lt;- Back to Balance Sheet]")</f>
        <v>0</v>
      </c>
      <c r="D260" t="s">
        <v>542</v>
      </c>
    </row>
    <row r="261" spans="1:4">
      <c r="A261" t="s">
        <v>613</v>
      </c>
      <c r="B261" t="s">
        <v>614</v>
      </c>
      <c r="C261">
        <f>SUMIFS('91_Mapping'!H:H, '91_Mapping'!F:F, "8.2")</f>
        <v>0</v>
      </c>
      <c r="D261">
        <v>0</v>
      </c>
    </row>
    <row r="262" spans="1:4">
      <c r="A262" t="s">
        <v>613</v>
      </c>
      <c r="B262" t="s">
        <v>610</v>
      </c>
      <c r="C262">
        <f>SUMIFS('91_Mapping'!I:I, '91_Mapping'!F:F, "8.2")</f>
        <v>0</v>
      </c>
      <c r="D262">
        <v>0</v>
      </c>
    </row>
    <row r="263" spans="1:4">
      <c r="A263" t="s">
        <v>613</v>
      </c>
      <c r="B263" t="s">
        <v>580</v>
      </c>
      <c r="C263">
        <f>TOT_Contingencies-E8</f>
        <v>0</v>
      </c>
      <c r="D263">
        <v>0</v>
      </c>
    </row>
    <row r="264" spans="1:4">
      <c r="A264" t="s">
        <v>613</v>
      </c>
      <c r="B264" t="s">
        <v>581</v>
      </c>
      <c r="C264">
        <f>TOT_Contingencies_PY-F8</f>
        <v>0</v>
      </c>
      <c r="D264">
        <v>0</v>
      </c>
    </row>
    <row r="265" spans="1:4">
      <c r="A265" t="s">
        <v>615</v>
      </c>
      <c r="B265" t="s">
        <v>550</v>
      </c>
      <c r="C265">
        <f>HYPERLINK("#\'Note_1_1_ShareCapital\'!A1", "1.1")</f>
        <v>0</v>
      </c>
      <c r="D265" t="s">
        <v>542</v>
      </c>
    </row>
    <row r="266" spans="1:4">
      <c r="A266" t="s">
        <v>615</v>
      </c>
      <c r="B266" t="s">
        <v>551</v>
      </c>
      <c r="C266">
        <f>-TOT_ShareCapital</f>
        <v>0</v>
      </c>
      <c r="D266">
        <v>100</v>
      </c>
    </row>
    <row r="267" spans="1:4">
      <c r="A267" t="s">
        <v>615</v>
      </c>
      <c r="B267" t="s">
        <v>616</v>
      </c>
      <c r="C267">
        <f>-TOT_ShareCapital_PY</f>
        <v>0</v>
      </c>
      <c r="D267">
        <v>100</v>
      </c>
    </row>
    <row r="268" spans="1:4">
      <c r="A268" t="s">
        <v>615</v>
      </c>
      <c r="B268" t="s">
        <v>552</v>
      </c>
      <c r="C268">
        <f>HYPERLINK("#\'Note_1_2_Reserves\'!A1", "1.2")</f>
        <v>0</v>
      </c>
      <c r="D268" t="s">
        <v>542</v>
      </c>
    </row>
    <row r="269" spans="1:4">
      <c r="A269" t="s">
        <v>615</v>
      </c>
      <c r="B269" t="s">
        <v>553</v>
      </c>
      <c r="C269">
        <f>-TOT_Reserves</f>
        <v>0</v>
      </c>
      <c r="D269">
        <v>570</v>
      </c>
    </row>
    <row r="270" spans="1:4">
      <c r="A270" t="s">
        <v>615</v>
      </c>
      <c r="B270" t="s">
        <v>617</v>
      </c>
      <c r="C270">
        <f>-TOT_Reserves_PY</f>
        <v>0</v>
      </c>
      <c r="D270">
        <v>405</v>
      </c>
    </row>
    <row r="271" spans="1:4">
      <c r="A271" t="s">
        <v>615</v>
      </c>
      <c r="B271" t="s">
        <v>543</v>
      </c>
      <c r="C271">
        <f>HYPERLINK("#\'Note_2_1_LTBorrow\'!A1", "2.1")</f>
        <v>0</v>
      </c>
      <c r="D271" t="s">
        <v>542</v>
      </c>
    </row>
    <row r="272" spans="1:4">
      <c r="A272" t="s">
        <v>615</v>
      </c>
      <c r="B272" t="s">
        <v>544</v>
      </c>
      <c r="C272">
        <f>-TOT_LTBorrow</f>
        <v>0</v>
      </c>
      <c r="D272">
        <v>250</v>
      </c>
    </row>
    <row r="273" spans="1:4">
      <c r="A273" t="s">
        <v>615</v>
      </c>
      <c r="B273" t="s">
        <v>618</v>
      </c>
      <c r="C273">
        <f>-TOT_LTBorrow_PY</f>
        <v>0</v>
      </c>
      <c r="D273">
        <v>300</v>
      </c>
    </row>
    <row r="274" spans="1:4">
      <c r="A274" t="s">
        <v>615</v>
      </c>
      <c r="B274" t="s">
        <v>556</v>
      </c>
      <c r="C274">
        <f>HYPERLINK("#\'Note_2_2_LTProv\'!A1", "2.2")</f>
        <v>0</v>
      </c>
      <c r="D274" t="s">
        <v>542</v>
      </c>
    </row>
    <row r="275" spans="1:4">
      <c r="A275" t="s">
        <v>615</v>
      </c>
      <c r="B275" t="s">
        <v>557</v>
      </c>
      <c r="C275">
        <f>-TOT_LTProv</f>
        <v>0</v>
      </c>
      <c r="D275">
        <v>0</v>
      </c>
    </row>
    <row r="276" spans="1:4">
      <c r="A276" t="s">
        <v>615</v>
      </c>
      <c r="B276" t="s">
        <v>584</v>
      </c>
      <c r="C276">
        <f>-TOT_LTProv_PY</f>
        <v>0</v>
      </c>
      <c r="D276">
        <v>0</v>
      </c>
    </row>
    <row r="277" spans="1:4">
      <c r="A277" t="s">
        <v>615</v>
      </c>
      <c r="B277" t="s">
        <v>547</v>
      </c>
      <c r="C277">
        <f>HYPERLINK("#\'Note_3_1_STBorrow\'!A1", "3.1")</f>
        <v>0</v>
      </c>
      <c r="D277" t="s">
        <v>542</v>
      </c>
    </row>
    <row r="278" spans="1:4">
      <c r="A278" t="s">
        <v>615</v>
      </c>
      <c r="B278" t="s">
        <v>548</v>
      </c>
      <c r="C278">
        <f>-TOT_STBorrow</f>
        <v>0</v>
      </c>
      <c r="D278">
        <v>80</v>
      </c>
    </row>
    <row r="279" spans="1:4">
      <c r="A279" t="s">
        <v>615</v>
      </c>
      <c r="B279" t="s">
        <v>619</v>
      </c>
      <c r="C279">
        <f>-TOT_STBorrow_PY</f>
        <v>0</v>
      </c>
      <c r="D279">
        <v>60</v>
      </c>
    </row>
    <row r="280" spans="1:4">
      <c r="A280" t="s">
        <v>615</v>
      </c>
      <c r="B280" t="s">
        <v>558</v>
      </c>
      <c r="C280">
        <f>HYPERLINK("#\'Note_3_2_TradePayables\'!A1", "3.2")</f>
        <v>0</v>
      </c>
      <c r="D280" t="s">
        <v>542</v>
      </c>
    </row>
    <row r="281" spans="1:4">
      <c r="A281" t="s">
        <v>615</v>
      </c>
      <c r="B281" t="s">
        <v>559</v>
      </c>
      <c r="C281">
        <f>-TOT_Payables</f>
        <v>0</v>
      </c>
      <c r="D281">
        <v>185</v>
      </c>
    </row>
    <row r="282" spans="1:4">
      <c r="A282" t="s">
        <v>615</v>
      </c>
      <c r="B282" t="s">
        <v>620</v>
      </c>
      <c r="C282">
        <f>-TOT_Payables_PY</f>
        <v>0</v>
      </c>
      <c r="D282">
        <v>145</v>
      </c>
    </row>
    <row r="283" spans="1:4">
      <c r="A283" t="s">
        <v>615</v>
      </c>
      <c r="B283" t="s">
        <v>596</v>
      </c>
      <c r="C283">
        <f>HYPERLINK("#\'Note_3_3_OtherCL\'!A1", "3.3")</f>
        <v>0</v>
      </c>
      <c r="D283" t="s">
        <v>542</v>
      </c>
    </row>
    <row r="284" spans="1:4">
      <c r="A284" t="s">
        <v>615</v>
      </c>
      <c r="B284" t="s">
        <v>597</v>
      </c>
      <c r="C284">
        <f>-TOT_OtherCL</f>
        <v>0</v>
      </c>
      <c r="D284">
        <v>25</v>
      </c>
    </row>
    <row r="285" spans="1:4">
      <c r="A285" t="s">
        <v>615</v>
      </c>
      <c r="B285" t="s">
        <v>621</v>
      </c>
      <c r="C285">
        <f>-TOT_OtherCL_PY</f>
        <v>0</v>
      </c>
      <c r="D285">
        <v>20</v>
      </c>
    </row>
    <row r="286" spans="1:4">
      <c r="A286" t="s">
        <v>615</v>
      </c>
      <c r="B286" t="s">
        <v>560</v>
      </c>
      <c r="C286">
        <f>HYPERLINK("#\'Note_3_4_STProv\'!A1", "3.4")</f>
        <v>0</v>
      </c>
      <c r="D286" t="s">
        <v>542</v>
      </c>
    </row>
    <row r="287" spans="1:4">
      <c r="A287" t="s">
        <v>615</v>
      </c>
      <c r="B287" t="s">
        <v>561</v>
      </c>
      <c r="C287">
        <f>-TOT_STProv</f>
        <v>0</v>
      </c>
      <c r="D287">
        <v>0</v>
      </c>
    </row>
    <row r="288" spans="1:4">
      <c r="A288" t="s">
        <v>615</v>
      </c>
      <c r="B288" t="s">
        <v>622</v>
      </c>
      <c r="C288">
        <f>-TOT_STProv_PY</f>
        <v>0</v>
      </c>
      <c r="D288">
        <v>0</v>
      </c>
    </row>
    <row r="289" spans="1:4">
      <c r="A289" t="s">
        <v>615</v>
      </c>
      <c r="B289" t="s">
        <v>563</v>
      </c>
      <c r="C289">
        <f>C0+C0+C0</f>
        <v>0</v>
      </c>
      <c r="D289">
        <v>1210</v>
      </c>
    </row>
    <row r="290" spans="1:4">
      <c r="A290" t="s">
        <v>615</v>
      </c>
      <c r="B290" t="s">
        <v>623</v>
      </c>
      <c r="C290">
        <f>D0+D0+D0</f>
        <v>0</v>
      </c>
      <c r="D290">
        <v>1030</v>
      </c>
    </row>
    <row r="291" spans="1:4">
      <c r="A291" t="s">
        <v>615</v>
      </c>
      <c r="B291" t="s">
        <v>606</v>
      </c>
      <c r="C291">
        <f>HYPERLINK("#\'Note_4_1_PPE\'!A1", "4.1")</f>
        <v>0</v>
      </c>
      <c r="D291" t="s">
        <v>542</v>
      </c>
    </row>
    <row r="292" spans="1:4">
      <c r="A292" t="s">
        <v>615</v>
      </c>
      <c r="B292" t="s">
        <v>607</v>
      </c>
      <c r="C292">
        <f>TOT_PPE</f>
        <v>0</v>
      </c>
      <c r="D292">
        <v>670</v>
      </c>
    </row>
    <row r="293" spans="1:4">
      <c r="A293" t="s">
        <v>615</v>
      </c>
      <c r="B293" t="s">
        <v>624</v>
      </c>
      <c r="C293">
        <f>TOT_PPE_PY</f>
        <v>0</v>
      </c>
      <c r="D293">
        <v>630</v>
      </c>
    </row>
    <row r="294" spans="1:4">
      <c r="A294" t="s">
        <v>615</v>
      </c>
      <c r="B294" t="s">
        <v>625</v>
      </c>
      <c r="C294">
        <f>HYPERLINK("#\'Note_4_2_CWIP\'!A1", "4.2")</f>
        <v>0</v>
      </c>
      <c r="D294" t="s">
        <v>542</v>
      </c>
    </row>
    <row r="295" spans="1:4">
      <c r="A295" t="s">
        <v>615</v>
      </c>
      <c r="B295" t="s">
        <v>626</v>
      </c>
      <c r="C295">
        <f>TOT_CWIP</f>
        <v>0</v>
      </c>
      <c r="D295">
        <v>45</v>
      </c>
    </row>
    <row r="296" spans="1:4">
      <c r="A296" t="s">
        <v>615</v>
      </c>
      <c r="B296" t="s">
        <v>627</v>
      </c>
      <c r="C296">
        <f>TOT_CWIP_PY</f>
        <v>0</v>
      </c>
      <c r="D296">
        <v>15</v>
      </c>
    </row>
    <row r="297" spans="1:4">
      <c r="A297" t="s">
        <v>615</v>
      </c>
      <c r="B297" t="s">
        <v>628</v>
      </c>
      <c r="C297">
        <f>HYPERLINK("#\'Note_4_3_Investments\'!A1", "4.3")</f>
        <v>0</v>
      </c>
      <c r="D297" t="s">
        <v>542</v>
      </c>
    </row>
    <row r="298" spans="1:4">
      <c r="A298" t="s">
        <v>615</v>
      </c>
      <c r="B298" t="s">
        <v>629</v>
      </c>
      <c r="C298">
        <f>TOT_Investments</f>
        <v>0</v>
      </c>
      <c r="D298">
        <v>0</v>
      </c>
    </row>
    <row r="299" spans="1:4">
      <c r="A299" t="s">
        <v>615</v>
      </c>
      <c r="B299" t="s">
        <v>630</v>
      </c>
      <c r="C299">
        <f>TOT_Investments_PY</f>
        <v>0</v>
      </c>
      <c r="D299">
        <v>0</v>
      </c>
    </row>
    <row r="300" spans="1:4">
      <c r="A300" t="s">
        <v>615</v>
      </c>
      <c r="B300" t="s">
        <v>631</v>
      </c>
      <c r="C300">
        <f>HYPERLINK("#\'Note_4_4_LTLA\'!A1", "4.4")</f>
        <v>0</v>
      </c>
      <c r="D300" t="s">
        <v>542</v>
      </c>
    </row>
    <row r="301" spans="1:4">
      <c r="A301" t="s">
        <v>615</v>
      </c>
      <c r="B301" t="s">
        <v>632</v>
      </c>
      <c r="C301">
        <f>TOT_LTLA</f>
        <v>0</v>
      </c>
      <c r="D301">
        <v>0</v>
      </c>
    </row>
    <row r="302" spans="1:4">
      <c r="A302" t="s">
        <v>615</v>
      </c>
      <c r="B302" t="s">
        <v>633</v>
      </c>
      <c r="C302">
        <f>TOT_LTLA_PY</f>
        <v>0</v>
      </c>
      <c r="D302">
        <v>0</v>
      </c>
    </row>
    <row r="303" spans="1:4">
      <c r="A303" t="s">
        <v>615</v>
      </c>
      <c r="B303" t="s">
        <v>634</v>
      </c>
      <c r="C303">
        <f>HYPERLINK("#\'Note_5_1_Inventories\'!A1", "5.1")</f>
        <v>0</v>
      </c>
      <c r="D303" t="s">
        <v>542</v>
      </c>
    </row>
    <row r="304" spans="1:4">
      <c r="A304" t="s">
        <v>615</v>
      </c>
      <c r="B304" t="s">
        <v>635</v>
      </c>
      <c r="C304">
        <f>TOT_Inventory</f>
        <v>0</v>
      </c>
      <c r="D304">
        <v>145</v>
      </c>
    </row>
    <row r="305" spans="1:4">
      <c r="A305" t="s">
        <v>615</v>
      </c>
      <c r="B305" t="s">
        <v>636</v>
      </c>
      <c r="C305">
        <f>TOT_Inventory_PY</f>
        <v>0</v>
      </c>
      <c r="D305">
        <v>120</v>
      </c>
    </row>
    <row r="306" spans="1:4">
      <c r="A306" t="s">
        <v>615</v>
      </c>
      <c r="B306" t="s">
        <v>637</v>
      </c>
      <c r="C306">
        <f>HYPERLINK("#\'Note_5_2_Receivables\'!A1", "5.2")</f>
        <v>0</v>
      </c>
      <c r="D306" t="s">
        <v>542</v>
      </c>
    </row>
    <row r="307" spans="1:4">
      <c r="A307" t="s">
        <v>615</v>
      </c>
      <c r="B307" t="s">
        <v>638</v>
      </c>
      <c r="C307">
        <f>TOT_Receivables</f>
        <v>0</v>
      </c>
      <c r="D307">
        <v>175</v>
      </c>
    </row>
    <row r="308" spans="1:4">
      <c r="A308" t="s">
        <v>615</v>
      </c>
      <c r="B308" t="s">
        <v>639</v>
      </c>
      <c r="C308">
        <f>TOT_Receivables_PY</f>
        <v>0</v>
      </c>
      <c r="D308">
        <v>140</v>
      </c>
    </row>
    <row r="309" spans="1:4">
      <c r="A309" t="s">
        <v>615</v>
      </c>
      <c r="B309" t="s">
        <v>640</v>
      </c>
      <c r="C309">
        <f>HYPERLINK("#\'Note_5_3_CashBank\'!A1", "5.3")</f>
        <v>0</v>
      </c>
      <c r="D309" t="s">
        <v>542</v>
      </c>
    </row>
    <row r="310" spans="1:4">
      <c r="A310" t="s">
        <v>615</v>
      </c>
      <c r="B310" t="s">
        <v>641</v>
      </c>
      <c r="C310">
        <f>TOT_Cash</f>
        <v>0</v>
      </c>
      <c r="D310">
        <v>175</v>
      </c>
    </row>
    <row r="311" spans="1:4">
      <c r="A311" t="s">
        <v>615</v>
      </c>
      <c r="B311" t="s">
        <v>642</v>
      </c>
      <c r="C311">
        <f>TOT_Cash_PY</f>
        <v>0</v>
      </c>
      <c r="D311">
        <v>155</v>
      </c>
    </row>
    <row r="312" spans="1:4">
      <c r="A312" t="s">
        <v>615</v>
      </c>
      <c r="B312" t="s">
        <v>643</v>
      </c>
      <c r="C312">
        <f>HYPERLINK("#\'Note_5_4_STLA\'!A1", "5.4")</f>
        <v>0</v>
      </c>
      <c r="D312" t="s">
        <v>542</v>
      </c>
    </row>
    <row r="313" spans="1:4">
      <c r="A313" t="s">
        <v>615</v>
      </c>
      <c r="B313" t="s">
        <v>644</v>
      </c>
      <c r="C313">
        <f>TOT_STLA</f>
        <v>0</v>
      </c>
      <c r="D313">
        <v>0</v>
      </c>
    </row>
    <row r="314" spans="1:4">
      <c r="A314" t="s">
        <v>615</v>
      </c>
      <c r="B314" t="s">
        <v>645</v>
      </c>
      <c r="C314">
        <f>TOT_STLA_PY</f>
        <v>0</v>
      </c>
      <c r="D314">
        <v>0</v>
      </c>
    </row>
    <row r="315" spans="1:4">
      <c r="A315" t="s">
        <v>615</v>
      </c>
      <c r="B315" t="s">
        <v>646</v>
      </c>
      <c r="C315">
        <f>HYPERLINK("#\'Note_5_5_OtherCA\'!A1", "5.5")</f>
        <v>0</v>
      </c>
      <c r="D315" t="s">
        <v>542</v>
      </c>
    </row>
    <row r="316" spans="1:4">
      <c r="A316" t="s">
        <v>615</v>
      </c>
      <c r="B316" t="s">
        <v>647</v>
      </c>
      <c r="C316">
        <f>TOT_OtherCA</f>
        <v>0</v>
      </c>
      <c r="D316">
        <v>0</v>
      </c>
    </row>
    <row r="317" spans="1:4">
      <c r="A317" t="s">
        <v>615</v>
      </c>
      <c r="B317" t="s">
        <v>648</v>
      </c>
      <c r="C317">
        <f>TOT_OtherCA_PY</f>
        <v>0</v>
      </c>
      <c r="D317">
        <v>0</v>
      </c>
    </row>
    <row r="318" spans="1:4">
      <c r="A318" t="s">
        <v>615</v>
      </c>
      <c r="B318" t="s">
        <v>649</v>
      </c>
      <c r="C318">
        <f>C0+C0</f>
        <v>0</v>
      </c>
      <c r="D318">
        <v>1210</v>
      </c>
    </row>
    <row r="319" spans="1:4">
      <c r="A319" t="s">
        <v>615</v>
      </c>
      <c r="B319" t="s">
        <v>650</v>
      </c>
      <c r="C319">
        <f>D0+D0</f>
        <v>0</v>
      </c>
      <c r="D319">
        <v>1060</v>
      </c>
    </row>
    <row r="320" spans="1:4">
      <c r="A320" t="s">
        <v>615</v>
      </c>
      <c r="B320" t="s">
        <v>651</v>
      </c>
      <c r="C320">
        <f>C31-C17</f>
        <v>0</v>
      </c>
      <c r="D320">
        <v>0</v>
      </c>
    </row>
    <row r="321" spans="1:4">
      <c r="A321" t="s">
        <v>615</v>
      </c>
      <c r="B321" t="s">
        <v>652</v>
      </c>
      <c r="C321">
        <f>D31-D17</f>
        <v>0</v>
      </c>
      <c r="D321">
        <v>0</v>
      </c>
    </row>
    <row r="322" spans="1:4">
      <c r="A322" t="s">
        <v>653</v>
      </c>
      <c r="B322" t="s">
        <v>654</v>
      </c>
      <c r="C322">
        <f>HYPERLINK("#\'Note_6_1_Revenue\'!A1", "6.1")</f>
        <v>0</v>
      </c>
      <c r="D322" t="s">
        <v>542</v>
      </c>
    </row>
    <row r="323" spans="1:4">
      <c r="A323" t="s">
        <v>653</v>
      </c>
      <c r="B323" t="s">
        <v>537</v>
      </c>
      <c r="C323">
        <f>-TOT_Revenue</f>
        <v>0</v>
      </c>
      <c r="D323">
        <v>850</v>
      </c>
    </row>
    <row r="324" spans="1:4">
      <c r="A324" t="s">
        <v>653</v>
      </c>
      <c r="B324" t="s">
        <v>538</v>
      </c>
      <c r="C324">
        <f>-TOT_Revenue_PY</f>
        <v>0</v>
      </c>
      <c r="D324">
        <v>700</v>
      </c>
    </row>
    <row r="325" spans="1:4">
      <c r="A325" t="s">
        <v>653</v>
      </c>
      <c r="B325" t="s">
        <v>655</v>
      </c>
      <c r="C325">
        <f>HYPERLINK("#\'Note_6_2_OtherIncome\'!A1", "6.2")</f>
        <v>0</v>
      </c>
      <c r="D325" t="s">
        <v>542</v>
      </c>
    </row>
    <row r="326" spans="1:4">
      <c r="A326" t="s">
        <v>653</v>
      </c>
      <c r="B326" t="s">
        <v>539</v>
      </c>
      <c r="C326">
        <f>-TOT_OtherIncome</f>
        <v>0</v>
      </c>
      <c r="D326">
        <v>15</v>
      </c>
    </row>
    <row r="327" spans="1:4">
      <c r="A327" t="s">
        <v>653</v>
      </c>
      <c r="B327" t="s">
        <v>656</v>
      </c>
      <c r="C327">
        <f>-TOT_OtherIncome_PY</f>
        <v>0</v>
      </c>
      <c r="D327">
        <v>10</v>
      </c>
    </row>
    <row r="328" spans="1:4">
      <c r="A328" t="s">
        <v>653</v>
      </c>
      <c r="B328" t="s">
        <v>551</v>
      </c>
      <c r="C328">
        <f>C5+C6</f>
        <v>0</v>
      </c>
      <c r="D328">
        <v>865</v>
      </c>
    </row>
    <row r="329" spans="1:4">
      <c r="A329" t="s">
        <v>653</v>
      </c>
      <c r="B329" t="s">
        <v>616</v>
      </c>
      <c r="C329">
        <f>D5+D6</f>
        <v>0</v>
      </c>
      <c r="D329">
        <v>710</v>
      </c>
    </row>
    <row r="330" spans="1:4">
      <c r="A330" t="s">
        <v>653</v>
      </c>
      <c r="B330" t="s">
        <v>554</v>
      </c>
      <c r="C330">
        <f>HYPERLINK("#\'Note_7_1_Material\'!A1", "7.1")</f>
        <v>0</v>
      </c>
      <c r="D330" t="s">
        <v>542</v>
      </c>
    </row>
    <row r="331" spans="1:4">
      <c r="A331" t="s">
        <v>653</v>
      </c>
      <c r="B331" t="s">
        <v>555</v>
      </c>
      <c r="C331">
        <f>TOT_Material</f>
        <v>0</v>
      </c>
      <c r="D331">
        <v>420</v>
      </c>
    </row>
    <row r="332" spans="1:4">
      <c r="A332" t="s">
        <v>653</v>
      </c>
      <c r="B332" t="s">
        <v>657</v>
      </c>
      <c r="C332">
        <f>TOT_Material_PY</f>
        <v>0</v>
      </c>
      <c r="D332">
        <v>350</v>
      </c>
    </row>
    <row r="333" spans="1:4">
      <c r="A333" t="s">
        <v>653</v>
      </c>
      <c r="B333" t="s">
        <v>543</v>
      </c>
      <c r="C333">
        <f>HYPERLINK("#\'Note_7_1_Material\'!A1", "7.1")</f>
        <v>0</v>
      </c>
      <c r="D333" t="s">
        <v>542</v>
      </c>
    </row>
    <row r="334" spans="1:4">
      <c r="A334" t="s">
        <v>653</v>
      </c>
      <c r="B334" t="s">
        <v>544</v>
      </c>
      <c r="C334">
        <f>TOT_Material</f>
        <v>0</v>
      </c>
      <c r="D334">
        <v>0</v>
      </c>
    </row>
    <row r="335" spans="1:4">
      <c r="A335" t="s">
        <v>653</v>
      </c>
      <c r="B335" t="s">
        <v>618</v>
      </c>
      <c r="C335">
        <f>TOT_Material_PY</f>
        <v>0</v>
      </c>
      <c r="D335">
        <v>0</v>
      </c>
    </row>
    <row r="336" spans="1:4">
      <c r="A336" t="s">
        <v>653</v>
      </c>
      <c r="B336" t="s">
        <v>556</v>
      </c>
      <c r="C336">
        <f>HYPERLINK("#\'Note_7_1_Material\'!A1", "7.1")</f>
        <v>0</v>
      </c>
      <c r="D336" t="s">
        <v>542</v>
      </c>
    </row>
    <row r="337" spans="1:4">
      <c r="A337" t="s">
        <v>653</v>
      </c>
      <c r="B337" t="s">
        <v>557</v>
      </c>
      <c r="C337">
        <f>TOT_Material</f>
        <v>0</v>
      </c>
      <c r="D337">
        <v>0</v>
      </c>
    </row>
    <row r="338" spans="1:4">
      <c r="A338" t="s">
        <v>653</v>
      </c>
      <c r="B338" t="s">
        <v>584</v>
      </c>
      <c r="C338">
        <f>TOT_Material_PY</f>
        <v>0</v>
      </c>
      <c r="D338">
        <v>0</v>
      </c>
    </row>
    <row r="339" spans="1:4">
      <c r="A339" t="s">
        <v>653</v>
      </c>
      <c r="B339" t="s">
        <v>545</v>
      </c>
      <c r="C339">
        <f>HYPERLINK("#\'Note_7_2_Employee\'!A1", "7.2")</f>
        <v>0</v>
      </c>
      <c r="D339" t="s">
        <v>542</v>
      </c>
    </row>
    <row r="340" spans="1:4">
      <c r="A340" t="s">
        <v>653</v>
      </c>
      <c r="B340" t="s">
        <v>546</v>
      </c>
      <c r="C340">
        <f>TOT_Employee</f>
        <v>0</v>
      </c>
      <c r="D340">
        <v>140</v>
      </c>
    </row>
    <row r="341" spans="1:4">
      <c r="A341" t="s">
        <v>653</v>
      </c>
      <c r="B341" t="s">
        <v>585</v>
      </c>
      <c r="C341">
        <f>TOT_Employee_PY</f>
        <v>0</v>
      </c>
      <c r="D341">
        <v>120</v>
      </c>
    </row>
    <row r="342" spans="1:4">
      <c r="A342" t="s">
        <v>653</v>
      </c>
      <c r="B342" t="s">
        <v>547</v>
      </c>
      <c r="C342">
        <f>HYPERLINK("#\'Note_7_3_Finance\'!A1", "7.3")</f>
        <v>0</v>
      </c>
      <c r="D342" t="s">
        <v>542</v>
      </c>
    </row>
    <row r="343" spans="1:4">
      <c r="A343" t="s">
        <v>653</v>
      </c>
      <c r="B343" t="s">
        <v>548</v>
      </c>
      <c r="C343">
        <f>TOT_Finance</f>
        <v>0</v>
      </c>
      <c r="D343">
        <v>32</v>
      </c>
    </row>
    <row r="344" spans="1:4">
      <c r="A344" t="s">
        <v>653</v>
      </c>
      <c r="B344" t="s">
        <v>619</v>
      </c>
      <c r="C344">
        <f>TOT_Finance_PY</f>
        <v>0</v>
      </c>
      <c r="D344">
        <v>38</v>
      </c>
    </row>
    <row r="345" spans="1:4">
      <c r="A345" t="s">
        <v>653</v>
      </c>
      <c r="B345" t="s">
        <v>558</v>
      </c>
      <c r="C345">
        <f>HYPERLINK("#\'Note_7_4_Depreciation\'!A1", "7.4")</f>
        <v>0</v>
      </c>
      <c r="D345" t="s">
        <v>542</v>
      </c>
    </row>
    <row r="346" spans="1:4">
      <c r="A346" t="s">
        <v>653</v>
      </c>
      <c r="B346" t="s">
        <v>559</v>
      </c>
      <c r="C346">
        <f>TOT_Depreciation</f>
        <v>0</v>
      </c>
      <c r="D346">
        <v>28</v>
      </c>
    </row>
    <row r="347" spans="1:4">
      <c r="A347" t="s">
        <v>653</v>
      </c>
      <c r="B347" t="s">
        <v>620</v>
      </c>
      <c r="C347">
        <f>TOT_Depreciation_PY</f>
        <v>0</v>
      </c>
      <c r="D347">
        <v>25</v>
      </c>
    </row>
    <row r="348" spans="1:4">
      <c r="A348" t="s">
        <v>653</v>
      </c>
      <c r="B348" t="s">
        <v>596</v>
      </c>
      <c r="C348">
        <f>HYPERLINK("#\'Note_7_5_OtherExp\'!A1", "7.5")</f>
        <v>0</v>
      </c>
      <c r="D348" t="s">
        <v>542</v>
      </c>
    </row>
    <row r="349" spans="1:4">
      <c r="A349" t="s">
        <v>653</v>
      </c>
      <c r="B349" t="s">
        <v>597</v>
      </c>
      <c r="C349">
        <f>TOT_OtherExp</f>
        <v>0</v>
      </c>
      <c r="D349">
        <v>45</v>
      </c>
    </row>
    <row r="350" spans="1:4">
      <c r="A350" t="s">
        <v>653</v>
      </c>
      <c r="B350" t="s">
        <v>621</v>
      </c>
      <c r="C350">
        <f>TOT_OtherExp_PY</f>
        <v>0</v>
      </c>
      <c r="D350">
        <v>32</v>
      </c>
    </row>
    <row r="351" spans="1:4">
      <c r="A351" t="s">
        <v>653</v>
      </c>
      <c r="B351" t="s">
        <v>561</v>
      </c>
      <c r="C351">
        <f>SUM(C9:C15)</f>
        <v>0</v>
      </c>
      <c r="D351">
        <v>665</v>
      </c>
    </row>
    <row r="352" spans="1:4">
      <c r="A352" t="s">
        <v>653</v>
      </c>
      <c r="B352" t="s">
        <v>622</v>
      </c>
      <c r="C352">
        <f>SUM(D9:D15)</f>
        <v>0</v>
      </c>
      <c r="D352">
        <v>565</v>
      </c>
    </row>
    <row r="353" spans="1:4">
      <c r="A353" t="s">
        <v>653</v>
      </c>
      <c r="B353" t="s">
        <v>563</v>
      </c>
      <c r="C353">
        <f>C7-C16</f>
        <v>0</v>
      </c>
      <c r="D353">
        <v>200</v>
      </c>
    </row>
    <row r="354" spans="1:4">
      <c r="A354" t="s">
        <v>653</v>
      </c>
      <c r="B354" t="s">
        <v>623</v>
      </c>
      <c r="C354">
        <f>D7-D16</f>
        <v>0</v>
      </c>
      <c r="D354">
        <v>145</v>
      </c>
    </row>
    <row r="355" spans="1:4">
      <c r="A355" t="s">
        <v>653</v>
      </c>
      <c r="B355" t="s">
        <v>598</v>
      </c>
      <c r="C355">
        <f>HYPERLINK("#\'Note_7_6_Tax\'!A1", "7.6")</f>
        <v>0</v>
      </c>
      <c r="D355" t="s">
        <v>542</v>
      </c>
    </row>
    <row r="356" spans="1:4">
      <c r="A356" t="s">
        <v>653</v>
      </c>
      <c r="B356" t="s">
        <v>599</v>
      </c>
      <c r="C356">
        <f>-TOT_Tax</f>
        <v>0</v>
      </c>
      <c r="D356">
        <v>-40</v>
      </c>
    </row>
    <row r="357" spans="1:4">
      <c r="A357" t="s">
        <v>653</v>
      </c>
      <c r="B357" t="s">
        <v>658</v>
      </c>
      <c r="C357">
        <f>-TOT_Tax_PY</f>
        <v>0</v>
      </c>
      <c r="D357">
        <v>-30</v>
      </c>
    </row>
    <row r="358" spans="1:4">
      <c r="A358" t="s">
        <v>653</v>
      </c>
      <c r="B358" t="s">
        <v>601</v>
      </c>
      <c r="C358">
        <f>C17-C18</f>
        <v>0</v>
      </c>
      <c r="D358">
        <v>240</v>
      </c>
    </row>
    <row r="359" spans="1:4">
      <c r="A359" t="s">
        <v>653</v>
      </c>
      <c r="B359" t="s">
        <v>659</v>
      </c>
      <c r="C359">
        <f>D17-D18</f>
        <v>0</v>
      </c>
      <c r="D359">
        <v>175</v>
      </c>
    </row>
    <row r="360" spans="1:4">
      <c r="A360" t="s">
        <v>660</v>
      </c>
      <c r="B360" t="s">
        <v>537</v>
      </c>
      <c r="C360">
        <f>'02_Balance_Sheet'!C0/'02_Balance_Sheet'!C0</f>
        <v>0</v>
      </c>
      <c r="D360">
        <v>1.71</v>
      </c>
    </row>
    <row r="361" spans="1:4">
      <c r="A361" t="s">
        <v>660</v>
      </c>
      <c r="B361" t="s">
        <v>538</v>
      </c>
      <c r="C361">
        <f>'02_Balance_Sheet'!D0/'02_Balance_Sheet'!D0</f>
        <v>0</v>
      </c>
      <c r="D361">
        <v>1.84</v>
      </c>
    </row>
    <row r="362" spans="1:4">
      <c r="A362" t="s">
        <v>660</v>
      </c>
      <c r="B362" t="s">
        <v>539</v>
      </c>
      <c r="C362">
        <f>(TOT_LTBorrow+TOT_STBorrow)/'02_Balance_Sheet'!C0</f>
        <v>0</v>
      </c>
      <c r="D362">
        <v>0.49</v>
      </c>
    </row>
    <row r="363" spans="1:4">
      <c r="A363" t="s">
        <v>660</v>
      </c>
      <c r="B363" t="s">
        <v>656</v>
      </c>
      <c r="C363">
        <f>(TOT_LTBorrow_PY+TOT_STBorrow_PY)/'02_Balance_Sheet'!D0</f>
        <v>0</v>
      </c>
      <c r="D363">
        <v>0.71</v>
      </c>
    </row>
    <row r="364" spans="1:4">
      <c r="A364" t="s">
        <v>660</v>
      </c>
      <c r="B364" t="s">
        <v>551</v>
      </c>
      <c r="C364">
        <f>'03_Profit_and_Loss'!C19/TOT_Revenue</f>
        <v>0</v>
      </c>
      <c r="D364">
        <v>28.24</v>
      </c>
    </row>
    <row r="365" spans="1:4">
      <c r="A365" t="s">
        <v>660</v>
      </c>
      <c r="B365" t="s">
        <v>616</v>
      </c>
      <c r="C365">
        <f>'03_Profit_and_Loss'!D19/TOT_Revenue_PY</f>
        <v>0</v>
      </c>
      <c r="D365">
        <v>25</v>
      </c>
    </row>
    <row r="366" spans="1:4">
      <c r="A366" t="s">
        <v>660</v>
      </c>
      <c r="B366" t="s">
        <v>553</v>
      </c>
      <c r="C366">
        <f>('03_Profit_and_Loss'!C17+TOT_Finance+TOT_Depreciation)/TOT_Revenue</f>
        <v>0</v>
      </c>
      <c r="D366">
        <v>30.59</v>
      </c>
    </row>
    <row r="367" spans="1:4">
      <c r="A367" t="s">
        <v>660</v>
      </c>
      <c r="B367" t="s">
        <v>617</v>
      </c>
      <c r="C367">
        <f>('03_Profit_and_Loss'!D17+TOT_Finance_PY+TOT_Depreciation_PY)/TOT_Revenue_PY</f>
        <v>0</v>
      </c>
      <c r="D367">
        <v>29.71</v>
      </c>
    </row>
    <row r="368" spans="1:4">
      <c r="A368" t="s">
        <v>660</v>
      </c>
      <c r="B368" t="s">
        <v>555</v>
      </c>
      <c r="C368">
        <f>'03_Profit_and_Loss'!C19/'02_Balance_Sheet'!C0</f>
        <v>0</v>
      </c>
      <c r="D368">
        <v>35.82</v>
      </c>
    </row>
    <row r="369" spans="1:4">
      <c r="A369" t="s">
        <v>660</v>
      </c>
      <c r="B369" t="s">
        <v>657</v>
      </c>
      <c r="C369">
        <f>'03_Profit_and_Loss'!D19/'02_Balance_Sheet'!D0</f>
        <v>0</v>
      </c>
      <c r="D369">
        <v>34.65</v>
      </c>
    </row>
    <row r="370" spans="1:4">
      <c r="A370" t="s">
        <v>660</v>
      </c>
      <c r="B370" t="s">
        <v>544</v>
      </c>
      <c r="C370">
        <f>(TOT_Receivables/TOT_Revenue)*365</f>
        <v>0</v>
      </c>
      <c r="D370">
        <v>75.15000000000001</v>
      </c>
    </row>
    <row r="371" spans="1:4">
      <c r="A371" t="s">
        <v>660</v>
      </c>
      <c r="B371" t="s">
        <v>618</v>
      </c>
      <c r="C371">
        <f>(TOT_Receivables_PY/TOT_Revenue_PY)*365</f>
        <v>0</v>
      </c>
      <c r="D371">
        <v>73</v>
      </c>
    </row>
    <row r="372" spans="1:4">
      <c r="A372" t="s">
        <v>660</v>
      </c>
      <c r="B372" t="s">
        <v>557</v>
      </c>
      <c r="C372">
        <f>(TOT_Payables/'03_Profit_and_Loss'!C9)*365</f>
        <v>0</v>
      </c>
      <c r="D372">
        <v>160.77</v>
      </c>
    </row>
    <row r="373" spans="1:4">
      <c r="A373" t="s">
        <v>660</v>
      </c>
      <c r="B373" t="s">
        <v>584</v>
      </c>
      <c r="C373">
        <f>(TOT_Payables_PY/'03_Profit_and_Loss'!D9)*365</f>
        <v>0</v>
      </c>
      <c r="D373">
        <v>151.21</v>
      </c>
    </row>
    <row r="374" spans="1:4">
      <c r="A374" t="s">
        <v>660</v>
      </c>
      <c r="B374" t="s">
        <v>546</v>
      </c>
      <c r="C374">
        <f>(TOT_Inventory/'03_Profit_and_Loss'!C9)*365</f>
        <v>0</v>
      </c>
      <c r="D374">
        <v>126.01</v>
      </c>
    </row>
    <row r="375" spans="1:4">
      <c r="A375" t="s">
        <v>660</v>
      </c>
      <c r="B375" t="s">
        <v>585</v>
      </c>
      <c r="C375">
        <f>(TOT_Inventory_PY/'03_Profit_and_Loss'!D9)*365</f>
        <v>0</v>
      </c>
      <c r="D375">
        <v>125.14</v>
      </c>
    </row>
    <row r="376" spans="1:4">
      <c r="A376" t="s">
        <v>661</v>
      </c>
      <c r="B376" t="s">
        <v>538</v>
      </c>
      <c r="C376">
        <f>'02_Balance_Sheet'!C31-'02_Balance_Sheet'!C17</f>
        <v>0</v>
      </c>
      <c r="D376">
        <v>0</v>
      </c>
    </row>
    <row r="377" spans="1:4">
      <c r="A377" t="s">
        <v>661</v>
      </c>
      <c r="B377" t="s">
        <v>662</v>
      </c>
      <c r="C377">
        <f>D4-C4</f>
        <v>0</v>
      </c>
      <c r="D377">
        <v>0</v>
      </c>
    </row>
    <row r="378" spans="1:4">
      <c r="A378" t="s">
        <v>661</v>
      </c>
      <c r="B378" t="s">
        <v>663</v>
      </c>
      <c r="C378">
        <f>D5-C5</f>
        <v>0</v>
      </c>
      <c r="D378">
        <v>7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>
  <dimension ref="A1:B10"/>
  <sheetViews>
    <sheetView showGridLines="0" workbookViewId="0"/>
  </sheetViews>
  <sheetFormatPr defaultRowHeight="15"/>
  <cols>
    <col min="1" max="2" width="50.7109375" customWidth="1"/>
  </cols>
  <sheetData>
    <row r="1" spans="1:2">
      <c r="A1" s="11" t="s">
        <v>355</v>
      </c>
    </row>
    <row r="2" spans="1:2">
      <c r="A2" s="12" t="s">
        <v>664</v>
      </c>
    </row>
    <row r="4" spans="1:2">
      <c r="A4" s="15" t="s">
        <v>665</v>
      </c>
      <c r="B4" s="15" t="s">
        <v>666</v>
      </c>
    </row>
    <row r="8" spans="1:2">
      <c r="A8" t="s">
        <v>667</v>
      </c>
      <c r="B8" t="s">
        <v>667</v>
      </c>
    </row>
    <row r="9" spans="1:2">
      <c r="A9" t="s">
        <v>668</v>
      </c>
      <c r="B9" t="s">
        <v>669</v>
      </c>
    </row>
    <row r="10" spans="1:2">
      <c r="A10" t="s">
        <v>670</v>
      </c>
      <c r="B10" t="s">
        <v>671</v>
      </c>
    </row>
  </sheetData>
  <pageMargins left="0.7" right="0.7" top="0.75" bottom="0.75" header="0.3" footer="0.3"/>
  <pageSetup paperSize="9" orientation="portrait"/>
  <headerFooter>
    <oddFooter>&amp;CApex_Engineering_Industries_Limited | FY 2024-25 |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141</vt:i4>
      </vt:variant>
    </vt:vector>
  </HeadingPairs>
  <TitlesOfParts>
    <vt:vector size="178" baseType="lpstr">
      <vt:lpstr>90_Trial_Balance</vt:lpstr>
      <vt:lpstr>91_Mapping</vt:lpstr>
      <vt:lpstr>29_Cash_Flow_Adjustments</vt:lpstr>
      <vt:lpstr>Note_1_1_ShareCapital</vt:lpstr>
      <vt:lpstr>Note_1_2_Reserves</vt:lpstr>
      <vt:lpstr>Note_2_1_LTBorrow</vt:lpstr>
      <vt:lpstr>Note_2_2_LTProv</vt:lpstr>
      <vt:lpstr>Note_3_1_STBorrow</vt:lpstr>
      <vt:lpstr>Note_3_2_TradePayables</vt:lpstr>
      <vt:lpstr>Note_3_3_OtherCL</vt:lpstr>
      <vt:lpstr>Note_3_4_STProv</vt:lpstr>
      <vt:lpstr>Note_4_1_PPE</vt:lpstr>
      <vt:lpstr>Note_4_2_CWIP</vt:lpstr>
      <vt:lpstr>Note_4_3_Investments</vt:lpstr>
      <vt:lpstr>Note_4_4_LTLA</vt:lpstr>
      <vt:lpstr>Note_5_1_Inventories</vt:lpstr>
      <vt:lpstr>Note_5_2_Receivables</vt:lpstr>
      <vt:lpstr>Note_5_3_CashBank</vt:lpstr>
      <vt:lpstr>Note_5_4_STLA</vt:lpstr>
      <vt:lpstr>Note_5_5_OtherCA</vt:lpstr>
      <vt:lpstr>Note_6_1_Revenue</vt:lpstr>
      <vt:lpstr>Note_6_2_OtherIncome</vt:lpstr>
      <vt:lpstr>Note_7_1_Material</vt:lpstr>
      <vt:lpstr>Note_7_2_Employee</vt:lpstr>
      <vt:lpstr>Note_7_3_Finance</vt:lpstr>
      <vt:lpstr>Note_7_4_Depreciation</vt:lpstr>
      <vt:lpstr>Note_7_5_OtherExp</vt:lpstr>
      <vt:lpstr>Note_7_6_Tax</vt:lpstr>
      <vt:lpstr>Note_8_1_RPT</vt:lpstr>
      <vt:lpstr>Note_8_2_Contingencies</vt:lpstr>
      <vt:lpstr>02_Balance_Sheet</vt:lpstr>
      <vt:lpstr>03_Profit_and_Loss</vt:lpstr>
      <vt:lpstr>04_Cash_Flow_Statement</vt:lpstr>
      <vt:lpstr>07_Financial_Ratios</vt:lpstr>
      <vt:lpstr>98_Tie_Out</vt:lpstr>
      <vt:lpstr>99_Formula_Audit</vt:lpstr>
      <vt:lpstr>Sign_Off</vt:lpstr>
      <vt:lpstr>'02_Balance_Sheet'!Print_Titles</vt:lpstr>
      <vt:lpstr>'03_Profit_and_Loss'!Print_Titles</vt:lpstr>
      <vt:lpstr>'04_Cash_Flow_Statement'!Print_Titles</vt:lpstr>
      <vt:lpstr>'07_Financial_Ratios'!Print_Titles</vt:lpstr>
      <vt:lpstr>'29_Cash_Flow_Adjustments'!Print_Titles</vt:lpstr>
      <vt:lpstr>'90_Trial_Balance'!Print_Titles</vt:lpstr>
      <vt:lpstr>'91_Mapping'!Print_Titles</vt:lpstr>
      <vt:lpstr>'98_Tie_Out'!Print_Titles</vt:lpstr>
      <vt:lpstr>'99_Formula_Audit'!Print_Titles</vt:lpstr>
      <vt:lpstr>Note_1_1_ShareCapital!Print_Titles</vt:lpstr>
      <vt:lpstr>Note_1_2_Reserves!Print_Titles</vt:lpstr>
      <vt:lpstr>Note_2_1_LTBorrow!Print_Titles</vt:lpstr>
      <vt:lpstr>Note_2_2_LTProv!Print_Titles</vt:lpstr>
      <vt:lpstr>Note_3_1_STBorrow!Print_Titles</vt:lpstr>
      <vt:lpstr>Note_3_2_TradePayables!Print_Titles</vt:lpstr>
      <vt:lpstr>Note_3_3_OtherCL!Print_Titles</vt:lpstr>
      <vt:lpstr>Note_3_4_STProv!Print_Titles</vt:lpstr>
      <vt:lpstr>Note_4_1_PPE!Print_Titles</vt:lpstr>
      <vt:lpstr>Note_4_2_CWIP!Print_Titles</vt:lpstr>
      <vt:lpstr>Note_4_3_Investments!Print_Titles</vt:lpstr>
      <vt:lpstr>Note_4_4_LTLA!Print_Titles</vt:lpstr>
      <vt:lpstr>Note_5_1_Inventories!Print_Titles</vt:lpstr>
      <vt:lpstr>Note_5_2_Receivables!Print_Titles</vt:lpstr>
      <vt:lpstr>Note_5_3_CashBank!Print_Titles</vt:lpstr>
      <vt:lpstr>Note_5_4_STLA!Print_Titles</vt:lpstr>
      <vt:lpstr>Note_5_5_OtherCA!Print_Titles</vt:lpstr>
      <vt:lpstr>Note_6_1_Revenue!Print_Titles</vt:lpstr>
      <vt:lpstr>Note_6_2_OtherIncome!Print_Titles</vt:lpstr>
      <vt:lpstr>Note_7_1_Material!Print_Titles</vt:lpstr>
      <vt:lpstr>Note_7_2_Employee!Print_Titles</vt:lpstr>
      <vt:lpstr>Note_7_3_Finance!Print_Titles</vt:lpstr>
      <vt:lpstr>Note_7_4_Depreciation!Print_Titles</vt:lpstr>
      <vt:lpstr>Note_7_5_OtherExp!Print_Titles</vt:lpstr>
      <vt:lpstr>Note_7_6_Tax!Print_Titles</vt:lpstr>
      <vt:lpstr>Note_8_1_RPT!Print_Titles</vt:lpstr>
      <vt:lpstr>Note_8_2_Contingencies!Print_Titles</vt:lpstr>
      <vt:lpstr>Sign_Off!Print_Titles</vt:lpstr>
      <vt:lpstr>TOT_Cash</vt:lpstr>
      <vt:lpstr>TOT_Cash</vt:lpstr>
      <vt:lpstr>TOT_Cash_PY</vt:lpstr>
      <vt:lpstr>TOT_Cash_PY</vt:lpstr>
      <vt:lpstr>TOT_Contingencies</vt:lpstr>
      <vt:lpstr>TOT_Contingencies_PY</vt:lpstr>
      <vt:lpstr>TOT_CWIP</vt:lpstr>
      <vt:lpstr>TOT_CWIP</vt:lpstr>
      <vt:lpstr>TOT_CWIP_PY</vt:lpstr>
      <vt:lpstr>TOT_CWIP_PY</vt:lpstr>
      <vt:lpstr>TOT_Depreciation</vt:lpstr>
      <vt:lpstr>TOT_Depreciation</vt:lpstr>
      <vt:lpstr>TOT_Depreciation_PY</vt:lpstr>
      <vt:lpstr>TOT_Depreciation_PY</vt:lpstr>
      <vt:lpstr>TOT_Employee</vt:lpstr>
      <vt:lpstr>TOT_Employee</vt:lpstr>
      <vt:lpstr>TOT_Employee_PY</vt:lpstr>
      <vt:lpstr>TOT_Employee_PY</vt:lpstr>
      <vt:lpstr>TOT_Finance</vt:lpstr>
      <vt:lpstr>TOT_Finance</vt:lpstr>
      <vt:lpstr>TOT_Finance_PY</vt:lpstr>
      <vt:lpstr>TOT_Finance_PY</vt:lpstr>
      <vt:lpstr>TOT_Inventory</vt:lpstr>
      <vt:lpstr>TOT_Inventory</vt:lpstr>
      <vt:lpstr>TOT_Inventory_PY</vt:lpstr>
      <vt:lpstr>TOT_Inventory_PY</vt:lpstr>
      <vt:lpstr>TOT_Investments</vt:lpstr>
      <vt:lpstr>TOT_Investments</vt:lpstr>
      <vt:lpstr>TOT_Investments_PY</vt:lpstr>
      <vt:lpstr>TOT_Investments_PY</vt:lpstr>
      <vt:lpstr>TOT_LTBorrow</vt:lpstr>
      <vt:lpstr>TOT_LTBorrow</vt:lpstr>
      <vt:lpstr>TOT_LTBorrow_PY</vt:lpstr>
      <vt:lpstr>TOT_LTBorrow_PY</vt:lpstr>
      <vt:lpstr>TOT_LTLA</vt:lpstr>
      <vt:lpstr>TOT_LTLA</vt:lpstr>
      <vt:lpstr>TOT_LTLA_PY</vt:lpstr>
      <vt:lpstr>TOT_LTLA_PY</vt:lpstr>
      <vt:lpstr>TOT_LTProv</vt:lpstr>
      <vt:lpstr>TOT_LTProv</vt:lpstr>
      <vt:lpstr>TOT_LTProv_PY</vt:lpstr>
      <vt:lpstr>TOT_LTProv_PY</vt:lpstr>
      <vt:lpstr>TOT_Material</vt:lpstr>
      <vt:lpstr>TOT_Material</vt:lpstr>
      <vt:lpstr>TOT_Material_PY</vt:lpstr>
      <vt:lpstr>TOT_Material_PY</vt:lpstr>
      <vt:lpstr>TOT_OtherCA</vt:lpstr>
      <vt:lpstr>TOT_OtherCA</vt:lpstr>
      <vt:lpstr>TOT_OtherCA_PY</vt:lpstr>
      <vt:lpstr>TOT_OtherCA_PY</vt:lpstr>
      <vt:lpstr>TOT_OtherCL</vt:lpstr>
      <vt:lpstr>TOT_OtherCL</vt:lpstr>
      <vt:lpstr>TOT_OtherCL_PY</vt:lpstr>
      <vt:lpstr>TOT_OtherCL_PY</vt:lpstr>
      <vt:lpstr>TOT_OtherExp</vt:lpstr>
      <vt:lpstr>TOT_OtherExp</vt:lpstr>
      <vt:lpstr>TOT_OtherExp_PY</vt:lpstr>
      <vt:lpstr>TOT_OtherExp_PY</vt:lpstr>
      <vt:lpstr>TOT_OtherIncome</vt:lpstr>
      <vt:lpstr>TOT_OtherIncome</vt:lpstr>
      <vt:lpstr>TOT_OtherIncome_PY</vt:lpstr>
      <vt:lpstr>TOT_OtherIncome_PY</vt:lpstr>
      <vt:lpstr>TOT_Payables</vt:lpstr>
      <vt:lpstr>TOT_Payables</vt:lpstr>
      <vt:lpstr>TOT_Payables_PY</vt:lpstr>
      <vt:lpstr>TOT_Payables_PY</vt:lpstr>
      <vt:lpstr>TOT_PPE</vt:lpstr>
      <vt:lpstr>TOT_PPE</vt:lpstr>
      <vt:lpstr>TOT_PPE_PY</vt:lpstr>
      <vt:lpstr>TOT_PPE_PY</vt:lpstr>
      <vt:lpstr>TOT_Receivables</vt:lpstr>
      <vt:lpstr>TOT_Receivables</vt:lpstr>
      <vt:lpstr>TOT_Receivables_PY</vt:lpstr>
      <vt:lpstr>TOT_Receivables_PY</vt:lpstr>
      <vt:lpstr>TOT_Reserves</vt:lpstr>
      <vt:lpstr>TOT_Reserves</vt:lpstr>
      <vt:lpstr>TOT_Reserves_PY</vt:lpstr>
      <vt:lpstr>TOT_Reserves_PY</vt:lpstr>
      <vt:lpstr>TOT_Revenue</vt:lpstr>
      <vt:lpstr>TOT_Revenue</vt:lpstr>
      <vt:lpstr>TOT_Revenue_PY</vt:lpstr>
      <vt:lpstr>TOT_Revenue_PY</vt:lpstr>
      <vt:lpstr>TOT_RPT</vt:lpstr>
      <vt:lpstr>TOT_RPT_PY</vt:lpstr>
      <vt:lpstr>TOT_ShareCapital</vt:lpstr>
      <vt:lpstr>TOT_ShareCapital</vt:lpstr>
      <vt:lpstr>TOT_ShareCapital_PY</vt:lpstr>
      <vt:lpstr>TOT_ShareCapital_PY</vt:lpstr>
      <vt:lpstr>TOT_STBorrow</vt:lpstr>
      <vt:lpstr>TOT_STBorrow</vt:lpstr>
      <vt:lpstr>TOT_STBorrow_PY</vt:lpstr>
      <vt:lpstr>TOT_STBorrow_PY</vt:lpstr>
      <vt:lpstr>TOT_STLA</vt:lpstr>
      <vt:lpstr>TOT_STLA</vt:lpstr>
      <vt:lpstr>TOT_STLA_PY</vt:lpstr>
      <vt:lpstr>TOT_STLA_PY</vt:lpstr>
      <vt:lpstr>TOT_STProv</vt:lpstr>
      <vt:lpstr>TOT_STProv</vt:lpstr>
      <vt:lpstr>TOT_STProv_PY</vt:lpstr>
      <vt:lpstr>TOT_STProv_PY</vt:lpstr>
      <vt:lpstr>TOT_Tax</vt:lpstr>
      <vt:lpstr>TOT_Tax</vt:lpstr>
      <vt:lpstr>TOT_Tax_PY</vt:lpstr>
      <vt:lpstr>TOT_Tax_PY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2026-08-19T08:24:42Z</dcterms:created>
  <dcterms:modified xsi:type="dcterms:W3CDTF">2026-08-19T08:24:42Z</dcterms:modified>
</cp:coreProperties>
</file>