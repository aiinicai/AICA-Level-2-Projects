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it.kumar\Downloads\Level 2\Self Project\AS Trial to FS\fs-builder-lite\backend\scratch\"/>
    </mc:Choice>
  </mc:AlternateContent>
  <xr:revisionPtr revIDLastSave="0" documentId="13_ncr:1_{36D45BA4-D3FC-476C-8A97-B846C7505B78}" xr6:coauthVersionLast="47" xr6:coauthVersionMax="47" xr10:uidLastSave="{00000000-0000-0000-0000-000000000000}"/>
  <bookViews>
    <workbookView xWindow="2200" yWindow="2200" windowWidth="14400" windowHeight="7270" xr2:uid="{00000000-000D-0000-FFFF-FFFF00000000}"/>
  </bookViews>
  <sheets>
    <sheet name="01_Cover_Page" sheetId="1" r:id="rId1"/>
    <sheet name="02_Balance_Sheet" sheetId="2" r:id="rId2"/>
    <sheet name="03_Profit_and_Loss" sheetId="3" r:id="rId3"/>
    <sheet name="04_Cash_Flow_Statement" sheetId="4" r:id="rId4"/>
    <sheet name="05_Accounting_Policies" sheetId="5" r:id="rId5"/>
    <sheet name="06_Notes_to_Accounts" sheetId="6" r:id="rId6"/>
    <sheet name="Note_1_1_ShareCapital" sheetId="7" r:id="rId7"/>
    <sheet name="Note_1_2_Reserves" sheetId="8" r:id="rId8"/>
    <sheet name="Note_2_1_LTBorrow" sheetId="9" r:id="rId9"/>
    <sheet name="Note_2_2_LTProv" sheetId="10" r:id="rId10"/>
    <sheet name="Note_3_1_STBorrow" sheetId="11" r:id="rId11"/>
    <sheet name="Note_3_2_TradePayables" sheetId="12" r:id="rId12"/>
    <sheet name="Note_3_3_OtherCL" sheetId="13" r:id="rId13"/>
    <sheet name="Note_3_4_STProv" sheetId="14" r:id="rId14"/>
    <sheet name="Note_4_1_PPE" sheetId="15" r:id="rId15"/>
    <sheet name="Note_4_2_CWIP" sheetId="16" r:id="rId16"/>
    <sheet name="Note_4_3_Investments" sheetId="17" r:id="rId17"/>
    <sheet name="Note_4_4_LTLA" sheetId="18" r:id="rId18"/>
    <sheet name="Note_5_1_Inventories" sheetId="19" r:id="rId19"/>
    <sheet name="Note_5_2_Receivables" sheetId="20" r:id="rId20"/>
    <sheet name="Note_5_3_CashBank" sheetId="21" r:id="rId21"/>
    <sheet name="Note_5_4_STLA" sheetId="22" r:id="rId22"/>
    <sheet name="Note_5_5_OtherCA" sheetId="23" r:id="rId23"/>
    <sheet name="Note_6_1_Revenue" sheetId="24" r:id="rId24"/>
    <sheet name="Note_6_2_OtherIncome" sheetId="25" r:id="rId25"/>
    <sheet name="Note_7_1_Material" sheetId="26" r:id="rId26"/>
    <sheet name="Note_7_2_Employee" sheetId="27" r:id="rId27"/>
    <sheet name="Note_7_3_Finance" sheetId="28" r:id="rId28"/>
    <sheet name="Note_7_4_Depreciation" sheetId="29" r:id="rId29"/>
    <sheet name="Note_7_5_OtherExp" sheetId="30" r:id="rId30"/>
    <sheet name="Note_7_6_Tax" sheetId="31" r:id="rId31"/>
    <sheet name="Note_8_1_RPT" sheetId="32" r:id="rId32"/>
    <sheet name="Note_8_2_Contingencies" sheetId="33" r:id="rId33"/>
    <sheet name="07_Financial_Ratios" sheetId="34" r:id="rId34"/>
    <sheet name="90_Trial_Balance" sheetId="35" state="hidden" r:id="rId35"/>
    <sheet name="91_Mapping" sheetId="36" state="hidden" r:id="rId36"/>
    <sheet name="29_Cash_Flow_Adjustments" sheetId="37" state="hidden" r:id="rId37"/>
    <sheet name="98_Tie_Out" sheetId="38" state="hidden" r:id="rId38"/>
    <sheet name="99_Formula_Audit" sheetId="39" state="hidden" r:id="rId39"/>
  </sheets>
  <definedNames>
    <definedName name="TOT_Cash">Note_5_3_CashBank!$B$14</definedName>
    <definedName name="TOT_Cash_PY">Note_5_3_CashBank!$C$14</definedName>
    <definedName name="TOT_CashEquiv">Note_5_3_CashBank!$B$14</definedName>
    <definedName name="TOT_CashEquiv_PY">Note_5_3_CashBank!$C$14</definedName>
    <definedName name="TOT_Contingencies">Note_8_2_Contingencies!$B$6</definedName>
    <definedName name="TOT_Contingencies_PY">Note_8_2_Contingencies!$C$6</definedName>
    <definedName name="TOT_CWIP">Note_4_2_CWIP!$F$7</definedName>
    <definedName name="TOT_CWIP_PY">Note_4_2_CWIP!$C$7</definedName>
    <definedName name="TOT_Depreciation">Note_7_4_Depreciation!$B$9</definedName>
    <definedName name="TOT_Depreciation_PY">Note_7_4_Depreciation!$C$9</definedName>
    <definedName name="TOT_Employee">Note_7_2_Employee!$B$11</definedName>
    <definedName name="TOT_Employee_PY">Note_7_2_Employee!$C$11</definedName>
    <definedName name="TOT_Finance">Note_7_3_Finance!$B$10</definedName>
    <definedName name="TOT_Finance_PY">Note_7_3_Finance!$C$10</definedName>
    <definedName name="TOT_InterestIncome">Note_6_2_OtherIncome!$B$6</definedName>
    <definedName name="TOT_InterestIncome_PY">Note_6_2_OtherIncome!$C$6</definedName>
    <definedName name="TOT_Inventory">Note_5_1_Inventories!$B$10</definedName>
    <definedName name="TOT_Inventory_PY">Note_5_1_Inventories!$C$10</definedName>
    <definedName name="TOT_Investments">Note_4_3_Investments!$B$9</definedName>
    <definedName name="TOT_Investments_PY">Note_4_3_Investments!$C$9</definedName>
    <definedName name="TOT_LTBorrow">Note_2_1_LTBorrow!$B$7</definedName>
    <definedName name="TOT_LTBorrow_PY">Note_2_1_LTBorrow!$C$7</definedName>
    <definedName name="TOT_LTLA">Note_4_4_LTLA!$B$9</definedName>
    <definedName name="TOT_LTLA_PY">Note_4_4_LTLA!$C$9</definedName>
    <definedName name="TOT_LTProv">Note_2_2_LTProv!$B$8</definedName>
    <definedName name="TOT_LTProv_PY">Note_2_2_LTProv!$C$8</definedName>
    <definedName name="TOT_Material">Note_7_1_Material!$B$16</definedName>
    <definedName name="TOT_Material_PY">Note_7_1_Material!$C$16</definedName>
    <definedName name="TOT_OtherCA">Note_5_5_OtherCA!$B$8</definedName>
    <definedName name="TOT_OtherCA_PY">Note_5_5_OtherCA!$C$8</definedName>
    <definedName name="TOT_OtherCL">Note_3_3_OtherCL!$B$11</definedName>
    <definedName name="TOT_OtherCL_PY">Note_3_3_OtherCL!$C$11</definedName>
    <definedName name="TOT_OtherExp">Note_7_5_OtherExp!$B$17</definedName>
    <definedName name="TOT_OtherExp_PY">Note_7_5_OtherExp!$C$17</definedName>
    <definedName name="TOT_OtherIncome">Note_6_2_OtherIncome!$B$10</definedName>
    <definedName name="TOT_OtherIncome_PY">Note_6_2_OtherIncome!$C$10</definedName>
    <definedName name="TOT_Payables">Note_3_2_TradePayables!$G$8</definedName>
    <definedName name="TOT_Payables_PY">Note_3_2_TradePayables!$C$8</definedName>
    <definedName name="TOT_PPE">Note_4_1_PPE!$J$12</definedName>
    <definedName name="TOT_PPE_PY">Note_4_1_PPE!$K$12</definedName>
    <definedName name="TOT_Receivables">Note_5_2_Receivables!$H$9</definedName>
    <definedName name="TOT_Receivables_PY">Note_5_2_Receivables!$C$9</definedName>
    <definedName name="TOT_Reserves">Note_1_2_Reserves!$B$14</definedName>
    <definedName name="TOT_Reserves_PY">Note_1_2_Reserves!$C$14</definedName>
    <definedName name="TOT_Revenue">Note_6_1_Revenue!$B$11</definedName>
    <definedName name="TOT_Revenue_PY">Note_6_1_Revenue!$C$11</definedName>
    <definedName name="TOT_RPT">Note_8_1_RPT!$B$6</definedName>
    <definedName name="TOT_RPT_PY">Note_8_1_RPT!$C$6</definedName>
    <definedName name="TOT_ShareCapital">Note_1_1_ShareCapital!$B$10</definedName>
    <definedName name="TOT_ShareCapital_PY">Note_1_1_ShareCapital!$C$10</definedName>
    <definedName name="TOT_STBorrow">Note_3_1_STBorrow!$B$7</definedName>
    <definedName name="TOT_STBorrow_PY">Note_3_1_STBorrow!$C$7</definedName>
    <definedName name="TOT_STLA">Note_5_4_STLA!$B$11</definedName>
    <definedName name="TOT_STLA_PY">Note_5_4_STLA!$C$11</definedName>
    <definedName name="TOT_STProv">Note_3_4_STProv!$B$9</definedName>
    <definedName name="TOT_STProv_PY">Note_3_4_STProv!$C$9</definedName>
    <definedName name="TOT_Tax">Note_7_6_Tax!$B$9</definedName>
    <definedName name="TOT_Tax_PY">Note_7_6_Tax!$C$9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39" l="1"/>
  <c r="E8" i="39"/>
  <c r="E7" i="39"/>
  <c r="E6" i="39"/>
  <c r="E5" i="39"/>
  <c r="E4" i="39"/>
  <c r="E2" i="39"/>
  <c r="C6" i="37"/>
  <c r="B24" i="4" s="1"/>
  <c r="D5" i="37"/>
  <c r="C26" i="4" s="1"/>
  <c r="C5" i="37"/>
  <c r="B26" i="4" s="1"/>
  <c r="D4" i="37"/>
  <c r="C32" i="4" s="1"/>
  <c r="C4" i="37"/>
  <c r="B32" i="4" s="1"/>
  <c r="D2" i="37"/>
  <c r="C20" i="4" s="1"/>
  <c r="C2" i="37"/>
  <c r="B20" i="4" s="1"/>
  <c r="I25" i="36"/>
  <c r="C19" i="30" s="1"/>
  <c r="H25" i="36"/>
  <c r="B19" i="30" s="1"/>
  <c r="I24" i="36"/>
  <c r="C11" i="29" s="1"/>
  <c r="H24" i="36"/>
  <c r="B11" i="29" s="1"/>
  <c r="I23" i="36"/>
  <c r="C12" i="28" s="1"/>
  <c r="H23" i="36"/>
  <c r="B12" i="28" s="1"/>
  <c r="I22" i="36"/>
  <c r="C13" i="27" s="1"/>
  <c r="H22" i="36"/>
  <c r="B13" i="27" s="1"/>
  <c r="I21" i="36"/>
  <c r="C18" i="26" s="1"/>
  <c r="H21" i="36"/>
  <c r="B18" i="26" s="1"/>
  <c r="I20" i="36"/>
  <c r="C12" i="25" s="1"/>
  <c r="H20" i="36"/>
  <c r="B12" i="25" s="1"/>
  <c r="I19" i="36"/>
  <c r="C13" i="24" s="1"/>
  <c r="C14" i="24" s="1"/>
  <c r="H19" i="36"/>
  <c r="B13" i="24" s="1"/>
  <c r="I18" i="36"/>
  <c r="H18" i="36"/>
  <c r="I17" i="36"/>
  <c r="C16" i="21" s="1"/>
  <c r="H17" i="36"/>
  <c r="B16" i="21" s="1"/>
  <c r="I16" i="36"/>
  <c r="C11" i="20" s="1"/>
  <c r="H16" i="36"/>
  <c r="B11" i="20" s="1"/>
  <c r="I15" i="36"/>
  <c r="H15" i="36"/>
  <c r="I14" i="36"/>
  <c r="H14" i="36"/>
  <c r="I13" i="36"/>
  <c r="C9" i="16" s="1"/>
  <c r="H13" i="36"/>
  <c r="B9" i="16" s="1"/>
  <c r="I12" i="36"/>
  <c r="H12" i="36"/>
  <c r="I11" i="36"/>
  <c r="C14" i="15" s="1"/>
  <c r="H11" i="36"/>
  <c r="B14" i="15" s="1"/>
  <c r="I10" i="36"/>
  <c r="C11" i="31" s="1"/>
  <c r="H10" i="36"/>
  <c r="B11" i="31" s="1"/>
  <c r="I9" i="36"/>
  <c r="C13" i="13" s="1"/>
  <c r="H9" i="36"/>
  <c r="B13" i="13" s="1"/>
  <c r="I8" i="36"/>
  <c r="H8" i="36"/>
  <c r="I7" i="36"/>
  <c r="C10" i="12" s="1"/>
  <c r="H7" i="36"/>
  <c r="B10" i="12" s="1"/>
  <c r="I6" i="36"/>
  <c r="C9" i="11" s="1"/>
  <c r="H6" i="36"/>
  <c r="B9" i="11" s="1"/>
  <c r="I5" i="36"/>
  <c r="C9" i="9" s="1"/>
  <c r="H5" i="36"/>
  <c r="B9" i="9" s="1"/>
  <c r="I4" i="36"/>
  <c r="H4" i="36"/>
  <c r="I3" i="36"/>
  <c r="H3" i="36"/>
  <c r="I2" i="36"/>
  <c r="C12" i="7" s="1"/>
  <c r="H2" i="36"/>
  <c r="E27" i="35"/>
  <c r="D26" i="35"/>
  <c r="E12" i="34"/>
  <c r="D12" i="34"/>
  <c r="E11" i="34"/>
  <c r="D11" i="34"/>
  <c r="E10" i="34"/>
  <c r="D10" i="34"/>
  <c r="E9" i="34"/>
  <c r="D9" i="34"/>
  <c r="E8" i="34"/>
  <c r="D8" i="34"/>
  <c r="E7" i="34"/>
  <c r="D7" i="34"/>
  <c r="C8" i="33"/>
  <c r="B8" i="33"/>
  <c r="C7" i="33"/>
  <c r="B7" i="33"/>
  <c r="B2" i="33"/>
  <c r="C8" i="32"/>
  <c r="B8" i="32"/>
  <c r="C7" i="32"/>
  <c r="C9" i="32" s="1"/>
  <c r="B7" i="32"/>
  <c r="B9" i="32" s="1"/>
  <c r="B2" i="32"/>
  <c r="C10" i="31"/>
  <c r="B10" i="31"/>
  <c r="B2" i="31"/>
  <c r="C18" i="30"/>
  <c r="B18" i="30"/>
  <c r="B2" i="30"/>
  <c r="C10" i="29"/>
  <c r="B10" i="29"/>
  <c r="B2" i="29"/>
  <c r="C11" i="28"/>
  <c r="B11" i="28"/>
  <c r="B2" i="28"/>
  <c r="C12" i="27"/>
  <c r="B12" i="27"/>
  <c r="B2" i="27"/>
  <c r="C17" i="26"/>
  <c r="B17" i="26"/>
  <c r="B2" i="26"/>
  <c r="C11" i="25"/>
  <c r="B11" i="25"/>
  <c r="B2" i="25"/>
  <c r="C12" i="24"/>
  <c r="B12" i="24"/>
  <c r="B2" i="24"/>
  <c r="C10" i="23"/>
  <c r="B10" i="23"/>
  <c r="C9" i="23"/>
  <c r="C11" i="23" s="1"/>
  <c r="B9" i="23"/>
  <c r="B11" i="23" s="1"/>
  <c r="B2" i="23"/>
  <c r="C13" i="22"/>
  <c r="B13" i="22"/>
  <c r="C12" i="22"/>
  <c r="C14" i="22" s="1"/>
  <c r="B12" i="22"/>
  <c r="B2" i="22"/>
  <c r="C15" i="21"/>
  <c r="B15" i="21"/>
  <c r="B2" i="21"/>
  <c r="C10" i="20"/>
  <c r="B10" i="20"/>
  <c r="B2" i="20"/>
  <c r="C11" i="19"/>
  <c r="B11" i="19"/>
  <c r="B2" i="19"/>
  <c r="C11" i="18"/>
  <c r="B11" i="18"/>
  <c r="C10" i="18"/>
  <c r="B10" i="18"/>
  <c r="B2" i="18"/>
  <c r="C11" i="17"/>
  <c r="B11" i="17"/>
  <c r="C10" i="17"/>
  <c r="B10" i="17"/>
  <c r="B2" i="17"/>
  <c r="C8" i="16"/>
  <c r="B8" i="16"/>
  <c r="B2" i="16"/>
  <c r="C13" i="15"/>
  <c r="B13" i="15"/>
  <c r="B2" i="15"/>
  <c r="C11" i="14"/>
  <c r="B11" i="14"/>
  <c r="C10" i="14"/>
  <c r="B10" i="14"/>
  <c r="B2" i="14"/>
  <c r="C12" i="13"/>
  <c r="B12" i="13"/>
  <c r="B2" i="13"/>
  <c r="C9" i="12"/>
  <c r="B9" i="12"/>
  <c r="B2" i="12"/>
  <c r="C8" i="11"/>
  <c r="B8" i="11"/>
  <c r="B2" i="11"/>
  <c r="C10" i="10"/>
  <c r="B10" i="10"/>
  <c r="C9" i="10"/>
  <c r="B9" i="10"/>
  <c r="B2" i="10"/>
  <c r="C8" i="9"/>
  <c r="B8" i="9"/>
  <c r="B2" i="9"/>
  <c r="B2" i="8"/>
  <c r="C11" i="7"/>
  <c r="B11" i="7"/>
  <c r="B2" i="7"/>
  <c r="B214" i="6"/>
  <c r="B210" i="6"/>
  <c r="B203" i="6"/>
  <c r="B188" i="6"/>
  <c r="B181" i="6"/>
  <c r="B173" i="6"/>
  <c r="B164" i="6"/>
  <c r="B150" i="6"/>
  <c r="B142" i="6"/>
  <c r="B133" i="6"/>
  <c r="B127" i="6"/>
  <c r="B118" i="6"/>
  <c r="B106" i="6"/>
  <c r="B99" i="6"/>
  <c r="B91" i="6"/>
  <c r="B84" i="6"/>
  <c r="B77" i="6"/>
  <c r="B72" i="6"/>
  <c r="B62" i="6"/>
  <c r="B55" i="6"/>
  <c r="B46" i="6"/>
  <c r="B40" i="6"/>
  <c r="B35" i="6"/>
  <c r="B29" i="6"/>
  <c r="B24" i="6"/>
  <c r="B12" i="6"/>
  <c r="B4" i="6"/>
  <c r="C1" i="6"/>
  <c r="C39" i="4"/>
  <c r="B39" i="4"/>
  <c r="C37" i="4"/>
  <c r="B37" i="4"/>
  <c r="C33" i="4"/>
  <c r="B33" i="4"/>
  <c r="B31" i="4"/>
  <c r="B30" i="4"/>
  <c r="C24" i="4"/>
  <c r="B18" i="4"/>
  <c r="B17" i="4"/>
  <c r="B16" i="4"/>
  <c r="B15" i="4"/>
  <c r="B14" i="4"/>
  <c r="C11" i="4"/>
  <c r="B11" i="4"/>
  <c r="C10" i="4"/>
  <c r="B10" i="4"/>
  <c r="C9" i="4"/>
  <c r="B9" i="4"/>
  <c r="D17" i="3"/>
  <c r="C17" i="3"/>
  <c r="B17" i="3"/>
  <c r="D14" i="3"/>
  <c r="C14" i="3"/>
  <c r="B14" i="3"/>
  <c r="D13" i="3"/>
  <c r="C13" i="3"/>
  <c r="B13" i="3"/>
  <c r="D12" i="3"/>
  <c r="C12" i="3"/>
  <c r="B12" i="3"/>
  <c r="D11" i="3"/>
  <c r="C11" i="3"/>
  <c r="B11" i="3"/>
  <c r="D10" i="3"/>
  <c r="D15" i="3" s="1"/>
  <c r="C10" i="3"/>
  <c r="C15" i="3" s="1"/>
  <c r="B10" i="3"/>
  <c r="D7" i="3"/>
  <c r="C7" i="3"/>
  <c r="B7" i="3"/>
  <c r="D6" i="3"/>
  <c r="D8" i="3" s="1"/>
  <c r="C6" i="3"/>
  <c r="C8" i="3" s="1"/>
  <c r="C16" i="3" s="1"/>
  <c r="B6" i="3"/>
  <c r="D36" i="2"/>
  <c r="D35" i="2"/>
  <c r="C35" i="2"/>
  <c r="B35" i="2"/>
  <c r="D34" i="2"/>
  <c r="C34" i="2"/>
  <c r="B34" i="2"/>
  <c r="D33" i="2"/>
  <c r="C33" i="2"/>
  <c r="B33" i="2"/>
  <c r="D32" i="2"/>
  <c r="C32" i="2"/>
  <c r="B32" i="2"/>
  <c r="D31" i="2"/>
  <c r="C31" i="2"/>
  <c r="C36" i="2" s="1"/>
  <c r="B31" i="2"/>
  <c r="D28" i="2"/>
  <c r="C28" i="2"/>
  <c r="B28" i="2"/>
  <c r="D27" i="2"/>
  <c r="C27" i="2"/>
  <c r="B27" i="2"/>
  <c r="D26" i="2"/>
  <c r="C26" i="2"/>
  <c r="B26" i="2"/>
  <c r="D25" i="2"/>
  <c r="D29" i="2" s="1"/>
  <c r="D37" i="2" s="1"/>
  <c r="C25" i="2"/>
  <c r="C29" i="2" s="1"/>
  <c r="C37" i="2" s="1"/>
  <c r="B25" i="2"/>
  <c r="D19" i="2"/>
  <c r="C19" i="2"/>
  <c r="B19" i="2"/>
  <c r="D18" i="2"/>
  <c r="C18" i="2"/>
  <c r="B18" i="2"/>
  <c r="D17" i="2"/>
  <c r="C17" i="2"/>
  <c r="B17" i="2"/>
  <c r="D16" i="2"/>
  <c r="D20" i="2" s="1"/>
  <c r="C16" i="2"/>
  <c r="C20" i="2" s="1"/>
  <c r="B16" i="2"/>
  <c r="D13" i="2"/>
  <c r="C13" i="2"/>
  <c r="B13" i="2"/>
  <c r="D12" i="2"/>
  <c r="C12" i="2"/>
  <c r="B12" i="2"/>
  <c r="B9" i="2"/>
  <c r="D8" i="2"/>
  <c r="C8" i="2"/>
  <c r="B8" i="2"/>
  <c r="C24" i="1"/>
  <c r="C23" i="1"/>
  <c r="C22" i="1"/>
  <c r="C21" i="1"/>
  <c r="C20" i="1"/>
  <c r="C19" i="1"/>
  <c r="C18" i="1"/>
  <c r="C34" i="4" l="1"/>
  <c r="C20" i="30"/>
  <c r="B20" i="30"/>
  <c r="C12" i="14"/>
  <c r="C12" i="19"/>
  <c r="C13" i="19" s="1"/>
  <c r="B12" i="19"/>
  <c r="B13" i="19" s="1"/>
  <c r="B14" i="22"/>
  <c r="B12" i="18"/>
  <c r="C9" i="33"/>
  <c r="B9" i="33"/>
  <c r="C12" i="31"/>
  <c r="B11" i="10"/>
  <c r="E5" i="34"/>
  <c r="C14" i="13"/>
  <c r="C12" i="17"/>
  <c r="B12" i="14"/>
  <c r="C11" i="10"/>
  <c r="B14" i="13"/>
  <c r="C12" i="18"/>
  <c r="B12" i="17"/>
  <c r="C7" i="8"/>
  <c r="C9" i="8" s="1"/>
  <c r="B7" i="8"/>
  <c r="B9" i="8" s="1"/>
  <c r="B12" i="7"/>
  <c r="B13" i="7" s="1"/>
  <c r="D3" i="38"/>
  <c r="E3" i="38" s="1"/>
  <c r="F3" i="38" s="1"/>
  <c r="C18" i="3"/>
  <c r="B7" i="4"/>
  <c r="B12" i="4" s="1"/>
  <c r="B19" i="4" s="1"/>
  <c r="B21" i="4" s="1"/>
  <c r="B36" i="4" s="1"/>
  <c r="B38" i="4" s="1"/>
  <c r="D5" i="38"/>
  <c r="E5" i="38" s="1"/>
  <c r="F5" i="38" s="1"/>
  <c r="E9" i="39"/>
  <c r="D14" i="2"/>
  <c r="C14" i="2"/>
  <c r="B12" i="31"/>
  <c r="C12" i="29"/>
  <c r="B12" i="29"/>
  <c r="C13" i="28"/>
  <c r="B13" i="28"/>
  <c r="C14" i="27"/>
  <c r="B14" i="27"/>
  <c r="C19" i="26"/>
  <c r="B19" i="26"/>
  <c r="C13" i="25"/>
  <c r="B13" i="25"/>
  <c r="B14" i="24"/>
  <c r="C17" i="21"/>
  <c r="B17" i="21"/>
  <c r="C12" i="20"/>
  <c r="B12" i="20"/>
  <c r="C10" i="16"/>
  <c r="B10" i="16"/>
  <c r="C15" i="15"/>
  <c r="B15" i="15"/>
  <c r="C11" i="12"/>
  <c r="B11" i="12"/>
  <c r="C10" i="11"/>
  <c r="B10" i="11"/>
  <c r="C10" i="9"/>
  <c r="B10" i="9"/>
  <c r="B34" i="4"/>
  <c r="C13" i="7"/>
  <c r="C27" i="4"/>
  <c r="D16" i="3"/>
  <c r="D5" i="34"/>
  <c r="B27" i="4"/>
  <c r="C19" i="3" l="1"/>
  <c r="B12" i="8"/>
  <c r="B16" i="8"/>
  <c r="B40" i="4"/>
  <c r="D4" i="38"/>
  <c r="E4" i="38" s="1"/>
  <c r="F4" i="38" s="1"/>
  <c r="C7" i="4"/>
  <c r="C12" i="4" s="1"/>
  <c r="C19" i="4" s="1"/>
  <c r="C21" i="4" s="1"/>
  <c r="C36" i="4" s="1"/>
  <c r="C38" i="4" s="1"/>
  <c r="C40" i="4" s="1"/>
  <c r="D18" i="3"/>
  <c r="D19" i="3" l="1"/>
  <c r="B11" i="8"/>
  <c r="B13" i="8" s="1"/>
  <c r="B14" i="8" s="1"/>
  <c r="C12" i="8"/>
  <c r="C13" i="8" s="1"/>
  <c r="C14" i="8" s="1"/>
  <c r="C16" i="8"/>
  <c r="C9" i="2" l="1"/>
  <c r="E3" i="39"/>
  <c r="B15" i="8"/>
  <c r="B17" i="8" s="1"/>
  <c r="D9" i="2"/>
  <c r="C15" i="8"/>
  <c r="C17" i="8" s="1"/>
  <c r="D6" i="34" l="1"/>
  <c r="C10" i="2"/>
  <c r="C21" i="2" s="1"/>
  <c r="E6" i="34"/>
  <c r="D10" i="2"/>
  <c r="D21" i="2" s="1"/>
  <c r="D38" i="2" s="1"/>
  <c r="D2" i="38" l="1"/>
  <c r="E2" i="38" s="1"/>
  <c r="F2" i="38" s="1"/>
  <c r="C38" i="2"/>
</calcChain>
</file>

<file path=xl/sharedStrings.xml><?xml version="1.0" encoding="utf-8"?>
<sst xmlns="http://schemas.openxmlformats.org/spreadsheetml/2006/main" count="1687" uniqueCount="859">
  <si>
    <t>APEX ENGINEERING INDUSTRIES LIMITED</t>
  </si>
  <si>
    <t>FINANCIAL STATEMENTS FOR THE YEAR ENDED MARCH 31, 2025</t>
  </si>
  <si>
    <t>PREPARED UNDER IGAAP SCHEDULE III DIVISION I OF COMPANIES ACT, 2013</t>
  </si>
  <si>
    <t>Client Name:</t>
  </si>
  <si>
    <t>Apex Engineering Industries Limited</t>
  </si>
  <si>
    <t>Entity Constitution:</t>
  </si>
  <si>
    <t>Public Limited Company</t>
  </si>
  <si>
    <t>Reporting Period:</t>
  </si>
  <si>
    <t>FY 2024-25</t>
  </si>
  <si>
    <t>Previous Year Period:</t>
  </si>
  <si>
    <t>FY 2023-24</t>
  </si>
  <si>
    <t>Currency / Denomination:</t>
  </si>
  <si>
    <t>INR (in Lakhs)</t>
  </si>
  <si>
    <t>Accounting Framework:</t>
  </si>
  <si>
    <t>IGAAP</t>
  </si>
  <si>
    <t>Prepared By:</t>
  </si>
  <si>
    <t>CA Senior Auditor</t>
  </si>
  <si>
    <t>Reviewed By:</t>
  </si>
  <si>
    <t>CA Managing Partner</t>
  </si>
  <si>
    <t>Generation Date:</t>
  </si>
  <si>
    <t>2026-08-15 10:48:34</t>
  </si>
  <si>
    <t>PUBLISHED FINANCIAL REPORT CONTENTS &amp; SITEMAP INDEX</t>
  </si>
  <si>
    <t>Sec #</t>
  </si>
  <si>
    <t>Published Section Title</t>
  </si>
  <si>
    <t>Interactive Navigation Link</t>
  </si>
  <si>
    <t>S01</t>
  </si>
  <si>
    <t>01. Cover Page &amp; Financial Metadata</t>
  </si>
  <si>
    <t>S02</t>
  </si>
  <si>
    <t>02. Schedule III Balance Sheet</t>
  </si>
  <si>
    <t>S03</t>
  </si>
  <si>
    <t>03. Statement of Profit and Loss</t>
  </si>
  <si>
    <t>S04</t>
  </si>
  <si>
    <t>04. AS 3 Cash Flow Statement (Indirect Method)</t>
  </si>
  <si>
    <t>S05</t>
  </si>
  <si>
    <t>05. Significant Accounting Policies (AP-01 to AP-21)</t>
  </si>
  <si>
    <t>S06</t>
  </si>
  <si>
    <t>06. Notes Forming Part of Financial Statements (Consolidated)</t>
  </si>
  <si>
    <t>S07</t>
  </si>
  <si>
    <t>07. Schedule III Mandatory Financial Ratios</t>
  </si>
  <si>
    <t>BALANCE SHEET AS AT MARCH 31, 2025</t>
  </si>
  <si>
    <t>(All amounts in INR Lakhs unless otherwise stated)</t>
  </si>
  <si>
    <t>Particulars</t>
  </si>
  <si>
    <t>Note No.</t>
  </si>
  <si>
    <t>As at March 31, 2025</t>
  </si>
  <si>
    <t>As at March 31, 2024</t>
  </si>
  <si>
    <t>EQUITY AND LIABILITIES</t>
  </si>
  <si>
    <t>1. Shareholders' Funds</t>
  </si>
  <si>
    <t xml:space="preserve">   (a) Share Capital</t>
  </si>
  <si>
    <t xml:space="preserve">   (b) Reserves and Surplus</t>
  </si>
  <si>
    <t>Total Shareholders' Funds</t>
  </si>
  <si>
    <t>2. Non-Current Liabilities</t>
  </si>
  <si>
    <t xml:space="preserve">   (a) Long-term Borrowings</t>
  </si>
  <si>
    <t xml:space="preserve">   (b) Long-term Provisions</t>
  </si>
  <si>
    <t>Total Non-Current Liabilities</t>
  </si>
  <si>
    <t>3. Current Liabilities</t>
  </si>
  <si>
    <t xml:space="preserve">   (a) Short-term Borrowings</t>
  </si>
  <si>
    <t xml:space="preserve">   (b) Trade Payables</t>
  </si>
  <si>
    <t xml:space="preserve">   (c) Other Current Liabilities</t>
  </si>
  <si>
    <t xml:space="preserve">   (d) Short-term Provisions</t>
  </si>
  <si>
    <t>Total Current Liabilities</t>
  </si>
  <si>
    <t>TOTAL EQUITY AND LIABILITIES</t>
  </si>
  <si>
    <t>ASSETS</t>
  </si>
  <si>
    <t>1. Non-Current Assets</t>
  </si>
  <si>
    <t xml:space="preserve">   (a) Property, Plant and Equipment</t>
  </si>
  <si>
    <t xml:space="preserve">   (b) Capital Work-in-Progress</t>
  </si>
  <si>
    <t xml:space="preserve">   (c) Non-current Investments</t>
  </si>
  <si>
    <t xml:space="preserve">   (d) Long-term Loans and Advances</t>
  </si>
  <si>
    <t>Total Non-Current Assets</t>
  </si>
  <si>
    <t>2. Current Assets</t>
  </si>
  <si>
    <t xml:space="preserve">   (a) Inventories</t>
  </si>
  <si>
    <t xml:space="preserve">   (b) Trade Receivables</t>
  </si>
  <si>
    <t xml:space="preserve">   (c) Cash and Bank Balances</t>
  </si>
  <si>
    <t xml:space="preserve">   (d) Short-term Loans and Advances</t>
  </si>
  <si>
    <t xml:space="preserve">   (e) Other Current Assets</t>
  </si>
  <si>
    <t>Total Current Assets</t>
  </si>
  <si>
    <t>TOTAL ASSETS</t>
  </si>
  <si>
    <t>Balance Check (Total Assets - Total Equity &amp; Liabilities)</t>
  </si>
  <si>
    <t>STATEMENT OF PROFIT AND LOSS FOR THE YEAR ENDED MARCH 31, 2025</t>
  </si>
  <si>
    <t>Current Year</t>
  </si>
  <si>
    <t>Previous Year</t>
  </si>
  <si>
    <t>I. Revenue from Operations</t>
  </si>
  <si>
    <t>II. Other Income</t>
  </si>
  <si>
    <t>III. Total Income (I + II)</t>
  </si>
  <si>
    <t>IV. Expenses:</t>
  </si>
  <si>
    <t xml:space="preserve">   Cost of Materials Consumed</t>
  </si>
  <si>
    <t xml:space="preserve">   Employee Benefit Expenses</t>
  </si>
  <si>
    <t xml:space="preserve">   Finance Costs</t>
  </si>
  <si>
    <t xml:space="preserve">   Depreciation and Amortisation Expense</t>
  </si>
  <si>
    <t xml:space="preserve">   Other Expenses</t>
  </si>
  <si>
    <t>Total Expenses (IV)</t>
  </si>
  <si>
    <t>V. Profit Before Tax (III - IV)</t>
  </si>
  <si>
    <t>VI. Tax Expense</t>
  </si>
  <si>
    <t>VII. Profit After Tax (V - VI)</t>
  </si>
  <si>
    <t>Earnings Per Equity Share (Basic &amp; Diluted in Rs.)</t>
  </si>
  <si>
    <t>AS 3 CASH FLOW STATEMENT (INDIRECT METHOD) FOR THE YEAR ENDED MARCH 31, 2025</t>
  </si>
  <si>
    <t>A. CASH FLOW FROM OPERATING ACTIVITIES</t>
  </si>
  <si>
    <t xml:space="preserve">  Profit Before Tax</t>
  </si>
  <si>
    <t xml:space="preserve">  Adjustments for Non-Cash &amp; Non-Operating Items:</t>
  </si>
  <si>
    <t xml:space="preserve">    Add: Depreciation &amp; Amortisation Expense</t>
  </si>
  <si>
    <t xml:space="preserve">    Add: Finance Costs</t>
  </si>
  <si>
    <t xml:space="preserve">    Less: Interest Income / Non-Operating Gain</t>
  </si>
  <si>
    <t xml:space="preserve">  Operating Profit before Working Capital Changes</t>
  </si>
  <si>
    <t xml:space="preserve">  Adjustments for Working Capital Movements:</t>
  </si>
  <si>
    <t xml:space="preserve">    (Increase) / Decrease in Inventories</t>
  </si>
  <si>
    <t xml:space="preserve">    (Increase) / Decrease in Trade Receivables</t>
  </si>
  <si>
    <t xml:space="preserve">    Increase / (Decrease) in Trade Payables</t>
  </si>
  <si>
    <t xml:space="preserve">    Increase / (Decrease) in Other Current Liabilities</t>
  </si>
  <si>
    <t xml:space="preserve">    Increase / (Decrease) in Short-term Provisions</t>
  </si>
  <si>
    <t xml:space="preserve">  Cash Generated from Operations</t>
  </si>
  <si>
    <t xml:space="preserve">  Less: Income Taxes Paid</t>
  </si>
  <si>
    <t>NET CASH FROM OPERATING ACTIVITIES (A)</t>
  </si>
  <si>
    <t>B. CASH FLOW FROM INVESTING ACTIVITIES</t>
  </si>
  <si>
    <t xml:space="preserve">  Purchase of Property, Plant &amp; Equipment &amp; CWIP</t>
  </si>
  <si>
    <t xml:space="preserve">  Proceeds from Sale of Fixed Assets / Investments</t>
  </si>
  <si>
    <t xml:space="preserve">  Interest / Dividend Received</t>
  </si>
  <si>
    <t>NET CASH FROM INVESTING ACTIVITIES (B)</t>
  </si>
  <si>
    <t>C. CASH FLOW FROM FINANCING ACTIVITIES</t>
  </si>
  <si>
    <t xml:space="preserve">  Net Proceeds / (Repayment) of Borrowings</t>
  </si>
  <si>
    <t xml:space="preserve">  Proceeds from Issuance of Share Capital</t>
  </si>
  <si>
    <t xml:space="preserve">  Finance Cost Paid</t>
  </si>
  <si>
    <t xml:space="preserve">  Dividends Paid</t>
  </si>
  <si>
    <t>NET CASH FROM FINANCING ACTIVITIES (C)</t>
  </si>
  <si>
    <t>NET INCREASE / (DECREASE) IN CASH &amp; CASH EQUIVALENTS (A + B + C)</t>
  </si>
  <si>
    <t>Cash and Cash Equivalents at Beginning of the Year</t>
  </si>
  <si>
    <t>Computed Closing Cash &amp; Cash Equivalents</t>
  </si>
  <si>
    <t>Closing Cash &amp; Cash Equivalents per Balance Sheet</t>
  </si>
  <si>
    <t>Reconciliation Difference (Computed Closing - BS Closing)</t>
  </si>
  <si>
    <t>SIGNIFICANT ACCOUNTING POLICIES (IGAAP)</t>
  </si>
  <si>
    <t>POLICY #</t>
  </si>
  <si>
    <t>TITLE</t>
  </si>
  <si>
    <t>SIGNIFICANT ACCOUNTING POLICY DISCLOSURE</t>
  </si>
  <si>
    <t>APPLICABILITY</t>
  </si>
  <si>
    <t>AP-01</t>
  </si>
  <si>
    <t>Basis of preparation</t>
  </si>
  <si>
    <t>The financial statements have been prepared in accordance with Generally Accepted Accounting Principles in India (Indian GAAP) under the historical cost convention on an accrual basis. The financial statements comply in all material respects with the Accounting Standards specified under Section 133 of the Companies Act, 2013, read with Rule 7 of the Companies (Accounts) Rules, 2014, and the relevant provisions of the Companies Act, 2013, including Schedule III Division I.</t>
  </si>
  <si>
    <t>Applicable</t>
  </si>
  <si>
    <t>AP-02</t>
  </si>
  <si>
    <t>Use of estimates</t>
  </si>
  <si>
    <t>The preparation of financial statements in conformity with Indian GAAP requires management to make estimates and assumptions that affect the reported amounts of assets and liabilities, disclosures of contingent liabilities as at the date of financial statements, and the reported amounts of revenues and expenses during the reporting period. Actual results could differ from those estimates. Any revision to accounting estimates is recognized prospectively in current and future periods.</t>
  </si>
  <si>
    <t>AP-03</t>
  </si>
  <si>
    <t>Property, plant and equipment</t>
  </si>
  <si>
    <t>Property, plant and equipment are stated at cost of acquisition or construction less accumulated depreciation and accumulated impairment losses, if any. The cost comprises purchase price, borrowing costs if capitalization criteria are met, and directly attributable costs of bringing the asset to its working condition for intended use. Subsequent expenditure relating to property, plant and equipment is capitalized only when it increases the future economic benefits from the asset.</t>
  </si>
  <si>
    <t>AP-04</t>
  </si>
  <si>
    <t>Capital work-in-progress</t>
  </si>
  <si>
    <t>Capital work-in-progress (CWIP) includes cost of property, plant and equipment that are not ready for their intended use as at the reporting date. CWIP is carried at cost, comprising direct costs, attributable borrowing costs, and directly allocated expenses incurred during the construction/erection period. Capital advances given towards acquisition of fixed assets are disclosed under long-term loans and advances.</t>
  </si>
  <si>
    <t>AP-05</t>
  </si>
  <si>
    <t>Depreciation and amortisation</t>
  </si>
  <si>
    <t>Depreciation on property, plant and equipment is provided on the Straight Line Method (SLM) based on the useful lives of assets prescribed under Schedule II of the Companies Act, 2013. Intangible assets are amortized over their estimated useful economic life on a straight-line basis, not exceeding five years. Assets costing individually up to Rs 5,000 are fully depreciated in the year of acquisition.</t>
  </si>
  <si>
    <t>AP-06</t>
  </si>
  <si>
    <t>Impairment of assets</t>
  </si>
  <si>
    <t>The carrying amounts of assets are reviewed at each Balance Sheet date to determine whether there is any indication of impairment. If any such indication exists, the asset's recoverable amount is estimated. An impairment loss is recognized whenever the carrying amount of an asset exceeds its recoverable amount. Recoverable amount is the higher of net selling price and value in use.</t>
  </si>
  <si>
    <t>AP-07</t>
  </si>
  <si>
    <t>Inventories</t>
  </si>
  <si>
    <t>Inventories are valued at the lower of cost and net realizable value. Cost of raw materials, components, stores and spares is determined on First-In-First-Out (FIFO) basis. Cost of finished goods and work-in-progress includes direct material, direct labor, and an appropriate proportion of fixed and variable overheads incurred in bringing inventories to their present location and condition.</t>
  </si>
  <si>
    <t>AP-08</t>
  </si>
  <si>
    <t>Revenue recognition</t>
  </si>
  <si>
    <t>Revenue is recognized to the extent that it is probable that the economic benefits will flow to the Company and revenue can be reliably measured. Revenue from domestic and export sale of goods is recognized upon transfer of significant risks and rewards of ownership to the buyer, which generally coincides with dispatch or delivery of goods. Sales are net of trade discounts, returns, GST, and applicable indirect taxes.</t>
  </si>
  <si>
    <t>AP-09</t>
  </si>
  <si>
    <t>Other income</t>
  </si>
  <si>
    <t>Interest income is recognized on a time proportion basis taking into account the amount outstanding and the applicable interest rate. Dividend income is recognized when the right to receive payment is established by the balance sheet date. Profit or loss on sale of investments is recognized on trade date basis.</t>
  </si>
  <si>
    <t>AP-10</t>
  </si>
  <si>
    <t>Employee benefits</t>
  </si>
  <si>
    <t>Short-term employee benefits are recognized as an expense in the Statement of Profit and Loss for the year in which services are rendered. Post-employment benefits such as Provident Fund and ESIC are defined contribution plans and charged to Profit and Loss as incurred. Gratuity and Leave Encashment liabilities are defined benefit obligations determined based on actuarial valuation as at the year end.</t>
  </si>
  <si>
    <t>AP-11</t>
  </si>
  <si>
    <t>Borrowing costs</t>
  </si>
  <si>
    <t>Borrowing costs directly attributable to the acquisition, construction, or production of qualifying assets are capitalized as part of the cost of such asset until the asset is substantially ready for its intended use. A qualifying asset is one that necessarily takes a substantial period of time to get ready for its intended use. Other borrowing costs are recognized as an expense in the period in which they are incurred.</t>
  </si>
  <si>
    <t>AP-12</t>
  </si>
  <si>
    <t>Foreign currency transactions</t>
  </si>
  <si>
    <t>Foreign currency transactions are recorded at exchange rates prevailing on the date of transaction. Monetary assets and liabilities denominated in foreign currencies as at reporting date are translated at exchange rates prevailing at balance sheet date. Exchange differences arising on settlement or translation of monetary items are recognized as income or expense in the Statement of Profit and Loss.</t>
  </si>
  <si>
    <t>AP-13</t>
  </si>
  <si>
    <t>Taxation</t>
  </si>
  <si>
    <t>Tax expense comprises current tax and deferred tax. Current tax is measured at the amount expected to be paid to the tax authorities in accordance with the provisions of the Income Tax Act, 1961. Minimum Alternate Tax (MAT) paid in accordance with tax laws is recognized as an asset when it is probable that future economic benefit will flow to the Company.</t>
  </si>
  <si>
    <t>AP-14</t>
  </si>
  <si>
    <t>Deferred tax</t>
  </si>
  <si>
    <t>Deferred tax is recognized on timing differences between taxable income and accounting income originating in one period and capable of reversal in one or more subsequent periods. Deferred tax assets are recognized only to the extent there is reasonable certainty that sufficient future taxable income will be available against which such deferred tax assets can be realized.</t>
  </si>
  <si>
    <t>AP-15</t>
  </si>
  <si>
    <t>Provisions and contingent liabilities</t>
  </si>
  <si>
    <t>A provision is recognized when the Company has a present obligation as a result of past events and it is probable that an outflow of resources will be required to settle the obligation. Contingent liabilities are not recognized but are disclosed in the notes to accounts when there is a possible obligation or present obligation where outflow is not probable. Contingent assets are neither recognized nor disclosed.</t>
  </si>
  <si>
    <t>AP-16</t>
  </si>
  <si>
    <t>Investments</t>
  </si>
  <si>
    <t>Investments that are readily realizable and intended to be held for not more than a year from the reporting date are classified as current investments and carried at lower of cost and fair value. Long-term investments are carried at cost. Provision for diminution in value of long-term investments is made only if such decline is of other than temporary nature.</t>
  </si>
  <si>
    <t>AP-17</t>
  </si>
  <si>
    <t>Cash and cash equivalents</t>
  </si>
  <si>
    <t>Cash and cash equivalents in the balance sheet comprise cash at bank, cash in hand, and short-term fixed deposits with an original maturity of three months or less that are readily convertible to known amounts of cash and subject to insignificant risk of changes in value.</t>
  </si>
  <si>
    <t>AP-18</t>
  </si>
  <si>
    <t>Earnings per share</t>
  </si>
  <si>
    <t>Basic earnings per share is computed by dividing net profit or loss after tax attributable to equity shareholders by the weighted average number of equity shares outstanding during the year. Diluted earnings per share is computed after adjusting for effects of all dilutive potential equity shares.</t>
  </si>
  <si>
    <t>AP-19</t>
  </si>
  <si>
    <t>Related party disclosures</t>
  </si>
  <si>
    <t>Disclosures as required under AS 18 Related Party Disclosures are made in respect of transactions with parties that are related to the Company by virtue of control, significant influence, or key management personnel relationship.</t>
  </si>
  <si>
    <t>AP-20</t>
  </si>
  <si>
    <t>Leases</t>
  </si>
  <si>
    <t>Leases where the lessor effectively retains substantially all risks and benefits of ownership are classified as operating leases. Operating lease payments are recognized as an expense in the Statement of Profit and Loss on a straight-line basis over the lease term.</t>
  </si>
  <si>
    <t>AP-21</t>
  </si>
  <si>
    <t>Previous year comparatives and regrouping</t>
  </si>
  <si>
    <t>Previous year figures have been regrouped, reclassified, and rearranged wherever necessary to conform with the current year's presentation and Schedule III Division I classification requirements.</t>
  </si>
  <si>
    <t>NOTES FORMING PART OF FINANCIAL STATEMENTS</t>
  </si>
  <si>
    <t>Figures in INR (in Lakhs)</t>
  </si>
  <si>
    <t>NOTE 1.1: SHARE CAPITAL</t>
  </si>
  <si>
    <t>As at FY 2024-25</t>
  </si>
  <si>
    <t>As at FY 2023-24</t>
  </si>
  <si>
    <t>Authorised Share Capital:</t>
  </si>
  <si>
    <t xml:space="preserve">  10,00,000 Equity Shares of Rs. 10/- each</t>
  </si>
  <si>
    <t>100.00</t>
  </si>
  <si>
    <t>Issued, Subscribed &amp; Paid-up Capital:</t>
  </si>
  <si>
    <t xml:space="preserve">  Equity Shares of Rs. 10/- each fully paid</t>
  </si>
  <si>
    <t>TOTAL SHARE CAPITAL</t>
  </si>
  <si>
    <t>NOTE 1.2: RESERVES AND SURPLUS</t>
  </si>
  <si>
    <t>(a) General Reserve:</t>
  </si>
  <si>
    <t xml:space="preserve">    Opening Balance</t>
  </si>
  <si>
    <t>230.00</t>
  </si>
  <si>
    <t xml:space="preserve">    Add: Transfer during the year</t>
  </si>
  <si>
    <t>0.00</t>
  </si>
  <si>
    <t xml:space="preserve">    Closing General Reserve  (A)</t>
  </si>
  <si>
    <t>(b) Surplus in Statement of Profit &amp; Loss:</t>
  </si>
  <si>
    <t>175.00</t>
  </si>
  <si>
    <t xml:space="preserve">    Add: Profit After Tax for the year</t>
  </si>
  <si>
    <t>240.00</t>
  </si>
  <si>
    <t xml:space="preserve">    Closing Surplus in P&amp;L  (B)</t>
  </si>
  <si>
    <t>TOTAL RESERVES AND SURPLUS  (A + B)</t>
  </si>
  <si>
    <t>570.00</t>
  </si>
  <si>
    <t>405.00</t>
  </si>
  <si>
    <t>NOTE 2.1: LONG-TERM BORROWINGS</t>
  </si>
  <si>
    <t>HDFC Bank Limited - Rupee Term Loan (Secured)</t>
  </si>
  <si>
    <t>250.00</t>
  </si>
  <si>
    <t>300.00</t>
  </si>
  <si>
    <t>TOTAL LONG-TERM BORROWINGS</t>
  </si>
  <si>
    <t>NOTE 2.2: LONG-TERM PROVISIONS</t>
  </si>
  <si>
    <t>Provision for Gratuity (AS 15 - Defined Benefit)</t>
  </si>
  <si>
    <t>Provision for Leave Encashment (Long-term portion)</t>
  </si>
  <si>
    <t>TOTAL LONG-TERM PROVISIONS</t>
  </si>
  <si>
    <t>NOTE 3.1: SHORT-TERM BORROWINGS</t>
  </si>
  <si>
    <t>ICICI Bank Limited - Working Capital Cash Credit Limit</t>
  </si>
  <si>
    <t>80.00</t>
  </si>
  <si>
    <t>60.00</t>
  </si>
  <si>
    <t>TOTAL SHORT-TERM BORROWINGS</t>
  </si>
  <si>
    <t>NOTE 3.2: TRADE PAYABLES</t>
  </si>
  <si>
    <t>Vendor Name</t>
  </si>
  <si>
    <t>MSME</t>
  </si>
  <si>
    <t>&lt; 1 Year</t>
  </si>
  <si>
    <t>1-2 Years</t>
  </si>
  <si>
    <t>2-3 Years</t>
  </si>
  <si>
    <t>&gt; 3 Years</t>
  </si>
  <si>
    <t>Total Outstanding</t>
  </si>
  <si>
    <t>Shree Metals &amp; Alloys Pvt Ltd (MSME)</t>
  </si>
  <si>
    <t>Yes</t>
  </si>
  <si>
    <t>5.00</t>
  </si>
  <si>
    <t>65.00</t>
  </si>
  <si>
    <t>Global Industrial Suppliers Inc</t>
  </si>
  <si>
    <t>No</t>
  </si>
  <si>
    <t>110.00</t>
  </si>
  <si>
    <t>10.00</t>
  </si>
  <si>
    <t>120.00</t>
  </si>
  <si>
    <t>TOTAL TRADE PAYABLES</t>
  </si>
  <si>
    <t>185.00</t>
  </si>
  <si>
    <t>NOTE 3.3: OTHER CURRENT LIABILITIES</t>
  </si>
  <si>
    <t>Current Maturities of Long-term Borrowings</t>
  </si>
  <si>
    <t>11.25</t>
  </si>
  <si>
    <t>9.00</t>
  </si>
  <si>
    <t>Interest Accrued but not Due on Borrowings</t>
  </si>
  <si>
    <t>3.75</t>
  </si>
  <si>
    <t>3.00</t>
  </si>
  <si>
    <t>Advance Received from Customers</t>
  </si>
  <si>
    <t>4.00</t>
  </si>
  <si>
    <t>Statutory Liabilities (GST, TDS, PF Payable)</t>
  </si>
  <si>
    <t>Other Payables - Security Deposits / Accruals</t>
  </si>
  <si>
    <t>1.25</t>
  </si>
  <si>
    <t>1.00</t>
  </si>
  <si>
    <t>TOTAL OTHER CURRENT LIABILITIES</t>
  </si>
  <si>
    <t>25.00</t>
  </si>
  <si>
    <t>20.00</t>
  </si>
  <si>
    <t>NOTE 3.4: SHORT-TERM PROVISIONS</t>
  </si>
  <si>
    <t>Provision for Income Tax (Net of Advance Tax)</t>
  </si>
  <si>
    <t>Provision for Employee Benefits (Leave &amp; Gratuity - Current)</t>
  </si>
  <si>
    <t>Provision for Bonus / Ex-gratia</t>
  </si>
  <si>
    <t>TOTAL SHORT-TERM PROVISIONS</t>
  </si>
  <si>
    <t>NOTE 4.1: PROPERTY, PLANT AND EQUIPMENT</t>
  </si>
  <si>
    <t>Asset Category</t>
  </si>
  <si>
    <t>Opening Gross Block</t>
  </si>
  <si>
    <t>Additions</t>
  </si>
  <si>
    <t>Disposals</t>
  </si>
  <si>
    <t>Closing Gross Block</t>
  </si>
  <si>
    <t>Accum. Dep (Open)</t>
  </si>
  <si>
    <t>Dep for Year</t>
  </si>
  <si>
    <t>Dep on Disposal</t>
  </si>
  <si>
    <t>Accum. Dep (Close)</t>
  </si>
  <si>
    <t>Net Block FY 2024-25</t>
  </si>
  <si>
    <t>Net Block FY 2023-24</t>
  </si>
  <si>
    <t>Freehold Land</t>
  </si>
  <si>
    <t>160.26</t>
  </si>
  <si>
    <t>13.94</t>
  </si>
  <si>
    <t>174.20</t>
  </si>
  <si>
    <t>Buildings</t>
  </si>
  <si>
    <t>200.33</t>
  </si>
  <si>
    <t>17.42</t>
  </si>
  <si>
    <t>217.75</t>
  </si>
  <si>
    <t>10.02</t>
  </si>
  <si>
    <t>10.89</t>
  </si>
  <si>
    <t>20.91</t>
  </si>
  <si>
    <t>196.84</t>
  </si>
  <si>
    <t>190.31</t>
  </si>
  <si>
    <t>Plant &amp; Machinery</t>
  </si>
  <si>
    <t>280.46</t>
  </si>
  <si>
    <t>24.39</t>
  </si>
  <si>
    <t>304.85</t>
  </si>
  <si>
    <t>28.05</t>
  </si>
  <si>
    <t>30.49</t>
  </si>
  <si>
    <t>58.54</t>
  </si>
  <si>
    <t>246.31</t>
  </si>
  <si>
    <t>252.41</t>
  </si>
  <si>
    <t>Furniture &amp; Fixtures</t>
  </si>
  <si>
    <t>80.13</t>
  </si>
  <si>
    <t>6.97</t>
  </si>
  <si>
    <t>87.10</t>
  </si>
  <si>
    <t>8.01</t>
  </si>
  <si>
    <t>8.71</t>
  </si>
  <si>
    <t>16.72</t>
  </si>
  <si>
    <t>70.38</t>
  </si>
  <si>
    <t>72.12</t>
  </si>
  <si>
    <t>Office Equipment</t>
  </si>
  <si>
    <t>40.07</t>
  </si>
  <si>
    <t>3.48</t>
  </si>
  <si>
    <t>43.55</t>
  </si>
  <si>
    <t>6.01</t>
  </si>
  <si>
    <t>6.53</t>
  </si>
  <si>
    <t>12.54</t>
  </si>
  <si>
    <t>31.01</t>
  </si>
  <si>
    <t>34.06</t>
  </si>
  <si>
    <t>Vehicles</t>
  </si>
  <si>
    <t>TOTAL PROPERTY, PLANT &amp; EQUIPMENT</t>
  </si>
  <si>
    <t>801.32</t>
  </si>
  <si>
    <t>69.68</t>
  </si>
  <si>
    <t>871.00</t>
  </si>
  <si>
    <t>58.10</t>
  </si>
  <si>
    <t>63.15</t>
  </si>
  <si>
    <t>121.25</t>
  </si>
  <si>
    <t>749.75</t>
  </si>
  <si>
    <t>743.22</t>
  </si>
  <si>
    <t>NOTE 4.2: CAPITAL WORK-IN-PROGRESS</t>
  </si>
  <si>
    <t>Project Name</t>
  </si>
  <si>
    <t>Total CWIP</t>
  </si>
  <si>
    <t>Rooftop Captive Solar Power Plant (500 KW)</t>
  </si>
  <si>
    <t>30.00</t>
  </si>
  <si>
    <t>15.00</t>
  </si>
  <si>
    <t>45.00</t>
  </si>
  <si>
    <t>TOTAL CAPITAL WORK-IN-PROGRESS</t>
  </si>
  <si>
    <t>NOTE 4.3: NON-CURRENT INVESTMENTS</t>
  </si>
  <si>
    <t>No. of Units</t>
  </si>
  <si>
    <t>Unquoted Equity Instruments - at cost:</t>
  </si>
  <si>
    <t xml:space="preserve">  Investment in Associate Companies</t>
  </si>
  <si>
    <t>-</t>
  </si>
  <si>
    <t xml:space="preserve">  Investment in Other Companies</t>
  </si>
  <si>
    <t>TOTAL NON-CURRENT INVESTMENTS</t>
  </si>
  <si>
    <t>NOTE 4.4: LONG-TERM LOANS AND ADVANCES</t>
  </si>
  <si>
    <t>Security Deposits - Considered Good (Unsecured)</t>
  </si>
  <si>
    <t>Capital Advances - Considered Good</t>
  </si>
  <si>
    <t>Advance Income Tax &amp; TDS Recoverable (Net)</t>
  </si>
  <si>
    <t>TOTAL LONG-TERM LOANS AND ADVANCES</t>
  </si>
  <si>
    <t>NOTE 5.1: INVENTORIES</t>
  </si>
  <si>
    <t>Raw Materials (at cost - FIFO basis)</t>
  </si>
  <si>
    <t>58.00</t>
  </si>
  <si>
    <t>48.00</t>
  </si>
  <si>
    <t>Work-in-Progress (at estimated cost)</t>
  </si>
  <si>
    <t>29.00</t>
  </si>
  <si>
    <t>24.00</t>
  </si>
  <si>
    <t>Finished Goods (at lower of cost and NRV)</t>
  </si>
  <si>
    <t>43.50</t>
  </si>
  <si>
    <t>36.00</t>
  </si>
  <si>
    <t>Stores, Spares &amp; Consumables</t>
  </si>
  <si>
    <t>14.50</t>
  </si>
  <si>
    <t>12.00</t>
  </si>
  <si>
    <t>TOTAL INVENTORIES</t>
  </si>
  <si>
    <t>145.00</t>
  </si>
  <si>
    <t>NOTE 5.2: TRADE RECEIVABLES</t>
  </si>
  <si>
    <t>Customer Name</t>
  </si>
  <si>
    <t>Category</t>
  </si>
  <si>
    <t>&lt; 6 Months</t>
  </si>
  <si>
    <t>6M-1 Year</t>
  </si>
  <si>
    <t>Total</t>
  </si>
  <si>
    <t>Precision Engineering Solutions Ltd</t>
  </si>
  <si>
    <t>Undisputed Considered Good</t>
  </si>
  <si>
    <t>85.00</t>
  </si>
  <si>
    <t>Bharat Auto Components Pvt Ltd</t>
  </si>
  <si>
    <t>Apex Heavy Infra Projects</t>
  </si>
  <si>
    <t>Undisputed Considered Doubtful</t>
  </si>
  <si>
    <t>TOTAL TRADE RECEIVABLES</t>
  </si>
  <si>
    <t>NOTE 5.3: CASH AND BANK BALANCES</t>
  </si>
  <si>
    <t>A. Cash and Cash Equivalents:</t>
  </si>
  <si>
    <t xml:space="preserve">  Cash in Hand</t>
  </si>
  <si>
    <t>8.75</t>
  </si>
  <si>
    <t>7.75</t>
  </si>
  <si>
    <t xml:space="preserve">  Balances with Banks - Current Accounts</t>
  </si>
  <si>
    <t>96.25</t>
  </si>
  <si>
    <t>85.25</t>
  </si>
  <si>
    <t xml:space="preserve">  Bank Fixed Deposits (Original Maturity up to 3 months)</t>
  </si>
  <si>
    <t>35.00</t>
  </si>
  <si>
    <t>31.00</t>
  </si>
  <si>
    <t xml:space="preserve">  Total Cash &amp; Cash Equivalents  (A)</t>
  </si>
  <si>
    <t>140.00</t>
  </si>
  <si>
    <t>124.00</t>
  </si>
  <si>
    <t>B. Other Bank Balances:</t>
  </si>
  <si>
    <t xml:space="preserve">  Bank Fixed Deposits (Maturity &gt; 3 months, pledged as margin)</t>
  </si>
  <si>
    <t xml:space="preserve">  Total Other Bank Balances  (B)</t>
  </si>
  <si>
    <t>TOTAL CASH AND BANK BALANCES  (A + B)</t>
  </si>
  <si>
    <t>155.00</t>
  </si>
  <si>
    <t>NOTE 5.4: SHORT-TERM LOANS AND ADVANCES</t>
  </si>
  <si>
    <t>Advance to Suppliers - Considered Good</t>
  </si>
  <si>
    <t>Prepaid Expenses</t>
  </si>
  <si>
    <t>GST Input Tax Credit Receivable</t>
  </si>
  <si>
    <t>Advance to Employees</t>
  </si>
  <si>
    <t>Other Short-term Advances - Considered Good</t>
  </si>
  <si>
    <t>TOTAL SHORT-TERM LOANS AND ADVANCES</t>
  </si>
  <si>
    <t>NOTE 5.5: OTHER CURRENT ASSETS</t>
  </si>
  <si>
    <t>Interest Accrued on Fixed Deposits</t>
  </si>
  <si>
    <t>Other Receivables &amp; Accruals</t>
  </si>
  <si>
    <t>TOTAL OTHER CURRENT ASSETS</t>
  </si>
  <si>
    <t>NOTE 6.1: REVENUE FROM OPERATIONS</t>
  </si>
  <si>
    <t>Year ended FY 2024-25</t>
  </si>
  <si>
    <t>Year ended FY 2023-24</t>
  </si>
  <si>
    <t>(a) Sale of Manufactured Products:</t>
  </si>
  <si>
    <t xml:space="preserve">    Domestic Sales</t>
  </si>
  <si>
    <t>765.00</t>
  </si>
  <si>
    <t>630.00</t>
  </si>
  <si>
    <t xml:space="preserve">    Export Sales</t>
  </si>
  <si>
    <t>70.00</t>
  </si>
  <si>
    <t>(b) Sale of Services / Job Work Income</t>
  </si>
  <si>
    <t>(c) Other Operating Revenue</t>
  </si>
  <si>
    <t>TOTAL REVENUE FROM OPERATIONS</t>
  </si>
  <si>
    <t>850.00</t>
  </si>
  <si>
    <t>700.00</t>
  </si>
  <si>
    <t>NOTE 6.2: OTHER INCOME</t>
  </si>
  <si>
    <t>Interest Income on Bank Fixed Deposits</t>
  </si>
  <si>
    <t>10.50</t>
  </si>
  <si>
    <t>7.00</t>
  </si>
  <si>
    <t>Profit on Sale of Fixed Assets</t>
  </si>
  <si>
    <t>Liabilities / Provisions no longer required written back</t>
  </si>
  <si>
    <t>2.00</t>
  </si>
  <si>
    <t>Miscellaneous Income</t>
  </si>
  <si>
    <t>1.50</t>
  </si>
  <si>
    <t>TOTAL OTHER INCOME</t>
  </si>
  <si>
    <t>NOTE 7.1: COST OF MATERIALS CONSUMED</t>
  </si>
  <si>
    <t>(a) Cost of Raw Materials Consumed:</t>
  </si>
  <si>
    <t xml:space="preserve">    Opening Stock of Raw Materials</t>
  </si>
  <si>
    <t>75.60</t>
  </si>
  <si>
    <t>63.00</t>
  </si>
  <si>
    <t xml:space="preserve">    Add: Purchases of Raw Materials</t>
  </si>
  <si>
    <t>357.00</t>
  </si>
  <si>
    <t>297.50</t>
  </si>
  <si>
    <t xml:space="preserve">    Less: Closing Stock of Raw Materials</t>
  </si>
  <si>
    <t>12.60</t>
  </si>
  <si>
    <t xml:space="preserve">    Total Cost of Materials Consumed  (A)</t>
  </si>
  <si>
    <t>420.00</t>
  </si>
  <si>
    <t>350.00</t>
  </si>
  <si>
    <t>(b) Purchases of Stock-in-Trade  (B)</t>
  </si>
  <si>
    <t>(c) Changes in Inventories:</t>
  </si>
  <si>
    <t xml:space="preserve">    Opening Stock (WIP + Finished Goods)</t>
  </si>
  <si>
    <t xml:space="preserve">    Less: Closing Stock (WIP + Finished Goods)</t>
  </si>
  <si>
    <t xml:space="preserve">    Net Change in Inventories  (C)</t>
  </si>
  <si>
    <t>TOTAL MATERIAL COSTS  (A + B + C)</t>
  </si>
  <si>
    <t>NOTE 7.2: EMPLOYEE BENEFIT EXPENSES</t>
  </si>
  <si>
    <t>Salaries, Wages, Bonus &amp; Allowances</t>
  </si>
  <si>
    <t>114.80</t>
  </si>
  <si>
    <t>98.40</t>
  </si>
  <si>
    <t>Contribution to Provident Fund (PF)</t>
  </si>
  <si>
    <t>9.80</t>
  </si>
  <si>
    <t>8.40</t>
  </si>
  <si>
    <t>Contribution to ESIC / Gratuity / Other Funds</t>
  </si>
  <si>
    <t>7.20</t>
  </si>
  <si>
    <t>Leave Encashment (Short-term)</t>
  </si>
  <si>
    <t>4.20</t>
  </si>
  <si>
    <t>3.60</t>
  </si>
  <si>
    <t>Staff Welfare &amp; Training Expenses</t>
  </si>
  <si>
    <t>2.80</t>
  </si>
  <si>
    <t>2.40</t>
  </si>
  <si>
    <t>TOTAL EMPLOYEE BENEFIT EXPENSES</t>
  </si>
  <si>
    <t>NOTE 7.3: FINANCE COSTS</t>
  </si>
  <si>
    <t>Interest on Term Loans</t>
  </si>
  <si>
    <t>20.80</t>
  </si>
  <si>
    <t>24.70</t>
  </si>
  <si>
    <t>Interest on Working Capital Facilities</t>
  </si>
  <si>
    <t>8.00</t>
  </si>
  <si>
    <t>9.50</t>
  </si>
  <si>
    <t>Bank Charges, Processing Fees &amp; Commission</t>
  </si>
  <si>
    <t>2.56</t>
  </si>
  <si>
    <t>3.04</t>
  </si>
  <si>
    <t>Other Borrowing Costs</t>
  </si>
  <si>
    <t>0.64</t>
  </si>
  <si>
    <t>0.76</t>
  </si>
  <si>
    <t>TOTAL FINANCE COSTS</t>
  </si>
  <si>
    <t>32.00</t>
  </si>
  <si>
    <t>38.00</t>
  </si>
  <si>
    <t>NOTE 7.4: DEPRECIATION AND AMORTISATION EXPENSE</t>
  </si>
  <si>
    <t>Depreciation on Property, Plant &amp; Equipment (SLM)</t>
  </si>
  <si>
    <t>27.16</t>
  </si>
  <si>
    <t>24.25</t>
  </si>
  <si>
    <t>Amortisation of Intangible Assets</t>
  </si>
  <si>
    <t>0.56</t>
  </si>
  <si>
    <t>0.50</t>
  </si>
  <si>
    <t>Amortisation of Preliminary / Pre-operative Expenses</t>
  </si>
  <si>
    <t>0.28</t>
  </si>
  <si>
    <t>0.25</t>
  </si>
  <si>
    <t>TOTAL DEPRECIATION AND AMORTISATION</t>
  </si>
  <si>
    <t>28.00</t>
  </si>
  <si>
    <t>NOTE 7.5: OTHER EXPENSES</t>
  </si>
  <si>
    <t>Power &amp; Fuel Expenses</t>
  </si>
  <si>
    <t>8.96</t>
  </si>
  <si>
    <t>Rent, Rates &amp; Taxes</t>
  </si>
  <si>
    <t>8.10</t>
  </si>
  <si>
    <t>5.76</t>
  </si>
  <si>
    <t>Repairs &amp; Maintenance - Plant &amp; Machinery</t>
  </si>
  <si>
    <t>4.50</t>
  </si>
  <si>
    <t>3.20</t>
  </si>
  <si>
    <t>Repairs &amp; Maintenance - Buildings &amp; Civil</t>
  </si>
  <si>
    <t>2.25</t>
  </si>
  <si>
    <t>1.60</t>
  </si>
  <si>
    <t>Freight &amp; Transportation Outward</t>
  </si>
  <si>
    <t>5.40</t>
  </si>
  <si>
    <t>3.84</t>
  </si>
  <si>
    <t>Legal &amp; Professional Fees</t>
  </si>
  <si>
    <t>Insurance Premiums</t>
  </si>
  <si>
    <t>1.80</t>
  </si>
  <si>
    <t>1.28</t>
  </si>
  <si>
    <t>Printing, Stationery &amp; Communication</t>
  </si>
  <si>
    <t>1.35</t>
  </si>
  <si>
    <t>0.96</t>
  </si>
  <si>
    <t>Travelling &amp; Conveyance Expenses</t>
  </si>
  <si>
    <t>Statutory Auditor Remuneration (as auditor)</t>
  </si>
  <si>
    <t>0.90</t>
  </si>
  <si>
    <t>Miscellaneous Administrative Expenses</t>
  </si>
  <si>
    <t>TOTAL OTHER EXPENSES</t>
  </si>
  <si>
    <t>NOTE 7.6: TAX EXPENSE</t>
  </si>
  <si>
    <t>Current Tax - Income Tax for the year</t>
  </si>
  <si>
    <t>27.00</t>
  </si>
  <si>
    <t>Deferred Tax Charge / (Credit)</t>
  </si>
  <si>
    <t>Earlier Years' Tax Adjustments</t>
  </si>
  <si>
    <t>TOTAL TAX EXPENSE</t>
  </si>
  <si>
    <t>40.00</t>
  </si>
  <si>
    <t>NOTE 8.1: RELATED PARTY DISCLOSURES (AS 18)</t>
  </si>
  <si>
    <t>Related Party Name</t>
  </si>
  <si>
    <t>Relationship</t>
  </si>
  <si>
    <t>Nature of Transaction</t>
  </si>
  <si>
    <t>Opening Balance</t>
  </si>
  <si>
    <t>Debit Tx</t>
  </si>
  <si>
    <t>Credit Tx</t>
  </si>
  <si>
    <t>Closing Balance</t>
  </si>
  <si>
    <t>Rajesh Kumar (Managing Director)</t>
  </si>
  <si>
    <t>Key Managerial Personnel (KMP)</t>
  </si>
  <si>
    <t>Managerial Remuneration &amp; Director Sitting Fees</t>
  </si>
  <si>
    <t>NOTE 8.2: CONTINGENT LIABILITIES &amp; COMMITMENTS (AS 29)</t>
  </si>
  <si>
    <t>Nature of Contingency</t>
  </si>
  <si>
    <t>Forum / Authority</t>
  </si>
  <si>
    <t>CY Amount (FY 2024-25)</t>
  </si>
  <si>
    <t>PY Amount (FY 2023-24)</t>
  </si>
  <si>
    <t>Management Assessment</t>
  </si>
  <si>
    <t>Provision Required</t>
  </si>
  <si>
    <t>Disputed GST Penalty Assessment</t>
  </si>
  <si>
    <t>GST Appellate Authority</t>
  </si>
  <si>
    <t>High probability of favorable decision based on legal counsel opinion</t>
  </si>
  <si>
    <t>TOTAL NOTE 1.1 (SHARE CAPITAL)</t>
  </si>
  <si>
    <t>Per Trial Balance (Control Total)</t>
  </si>
  <si>
    <t>Difference (Total - Per TB Control)</t>
  </si>
  <si>
    <t>1. Rights, Preferences &amp; Restrictions:
The Company has only one class of equity shares of par value Rs 10/- each. Each equity shareholder is entitled to one vote per share. In the event of liquidation, equity shareholders receive remaining assets after all preferential amounts are distributed.
2. Shareholders holding more than 5% shares:
Promoters &amp; Key Management Personnel - 100% holding as at the end of the reporting period.</t>
  </si>
  <si>
    <t>TOTAL NOTE 1.2 (RESERVES AND SURPLUS)</t>
  </si>
  <si>
    <t>Reserves &amp; Surplus includes General Reserve carried forward from prior years and current-year Surplus in the Statement of Profit and Loss.</t>
  </si>
  <si>
    <t>TOTAL NOTE 2.1 (LONG-TERM BORROWINGS)</t>
  </si>
  <si>
    <t>Security Details: Term loans from banks are secured by primary charge on Fixed Assets (Land, Building &amp; Plant and Machinery).
Repayment: Structured monthly instalments over 60 months at 8.50% p.a. (floating).
Defaults: The Company has not defaulted in repayment of principal or interest during the year.</t>
  </si>
  <si>
    <t>TOTAL NOTE 2.2 (LONG-TERM PROVISIONS)</t>
  </si>
  <si>
    <t>Provision for Gratuity is made based on actuarial valuation as per AS 15 (Revised 2005). Leave encashment long-term portion represents unavailed leaves expected to be encashed after 12 months.</t>
  </si>
  <si>
    <t>TOTAL NOTE 3.1 (SHORT-TERM BORROWINGS)</t>
  </si>
  <si>
    <t>Working capital cash credit facilities from banks are secured by hypothecation of current assets (inventories and trade receivables) at 9.25% p.a. (floating). Facility is repayable on demand.</t>
  </si>
  <si>
    <t>TOTAL NOTE 3.2 (TRADE PAYABLES)</t>
  </si>
  <si>
    <t>Trade Payables Ageing - as per Companies (Accounts) Amendment Rules 2021.
MSME Disclosure: Outstanding dues payable to Micro and Small Enterprises (as certified by management) are disclosed separately.
As at FY 2024-25: Dues to MSME vendors - Rs Nil (Previous Year: Rs Nil).</t>
  </si>
  <si>
    <t>TOTAL NOTE 3.3 (OTHER CURRENT LIABILITIES)</t>
  </si>
  <si>
    <t>Other Current Liabilities include current maturities of long-term debt, statutory liabilities payable within 12 months, and advance from customers.</t>
  </si>
  <si>
    <t>TOTAL NOTE 3.4 (SHORT-TERM PROVISIONS)</t>
  </si>
  <si>
    <t>Short-term provisions represent amounts expected to be settled within 12 months of the Balance Sheet date.</t>
  </si>
  <si>
    <t>TOTAL NOTE 4.1 (PROPERTY, PLANT AND EQUIPMENT)</t>
  </si>
  <si>
    <t>1. Depreciation Method: Depreciation on PPE is provided on Straight Line Method (SLM) based on useful lives under Schedule II of the Companies Act, 2013.
2. Impairment: No impairment loss recognised during the year as per AS 28.
3. Additions include capital expenditure incurred during the year and transferred from CWIP upon commissioning.
4. Title to Land is held by the Company without encumbrances other than those disclosed under borrowings.</t>
  </si>
  <si>
    <t>TOTAL NOTE 4.2 (CAPITAL WORK-IN-PROGRESS)</t>
  </si>
  <si>
    <t>CWIP Ageing Schedule as per Companies (Accounts) Amendment Rules, 2021.
All CWIP projects are within normal expected completion timelines. No project is stalled or disputed.
CWIP is expected to be capitalised to PPE upon commissioning in the next financial year.</t>
  </si>
  <si>
    <t>TOTAL NOTE 4.3 (NON-CURRENT INVESTMENTS)</t>
  </si>
  <si>
    <t>Non-current investments are stated at cost less provision for diminution in value, if any, as per AS 13.
Aggregate amount of unquoted investments: Rs 0.00 Lakhs (PY: Rs 0.00 Lakhs).
Aggregate provision for diminution in value of investments: Rs Nil.</t>
  </si>
  <si>
    <t>TOTAL NOTE 4.4 (LONG-TERM LOANS AND ADVANCES)</t>
  </si>
  <si>
    <t>All long-term loans and advances are unsecured, considered good, and recoverable in cash or in kind. There are no amounts due from Directors or officers.</t>
  </si>
  <si>
    <t>TOTAL NOTE 5.1 (INVENTORIES)</t>
  </si>
  <si>
    <t>1. Inventories are valued at lower of cost and net realisable value as per AS 2.
2. Cost of raw materials is determined on First-In First-Out (FIFO) basis.
3. Cost of work-in-progress and finished goods includes cost of materials, direct labour and manufacturing overheads.
4. Provision for slow-moving / obsolete inventory: Rs Nil (PY: Rs Nil).</t>
  </si>
  <si>
    <t>TOTAL NOTE 5.2 (TRADE RECEIVABLES)</t>
  </si>
  <si>
    <t>Trade Receivables Ageing - as per Companies (Accounts) Amendment Rules, 2021.
All trade receivables are unsecured. Undisputed Considered Good balances are subject to confirmation and reconciliation.
Provision for Expected Credit Loss (ECL): Rs Nil as at FY 2024-25 (PY: Rs Nil).</t>
  </si>
  <si>
    <t>TOTAL NOTE 5.3 (CASH AND BANK BALANCES)</t>
  </si>
  <si>
    <t>Bank Fixed Deposits pledged as margin money are not freely available for use.
Details of bank accounts maintained:
  HDFC Bank - Current Account (Primary Operations)
  ICICI Bank - Current Account (Working Capital linked)
There are no restrictions on withdrawal of cash or bank balances other than those disclosed above.</t>
  </si>
  <si>
    <t>TOTAL NOTE 5.4 (SHORT-TERM LOANS AND ADVANCES)</t>
  </si>
  <si>
    <t>All short-term loans and advances are unsecured, considered good, and recoverable in cash or in kind within 12 months.</t>
  </si>
  <si>
    <t>TOTAL NOTE 5.5 (OTHER CURRENT ASSETS)</t>
  </si>
  <si>
    <t>Other current assets include interest accrued on bank fixed deposits and other receivables recoverable within 12 months.</t>
  </si>
  <si>
    <t>TOTAL NOTE 6.1 (REVENUE FROM OPERATIONS)</t>
  </si>
  <si>
    <t>Revenue recognition: Revenue from sale of manufactured goods is recognised upon transfer of significant risks and rewards of ownership, which generally coincides with dispatch and delivery to customers.
Goods and Services Tax (GST) is presented net of revenues in accordance with IGAAP principles.</t>
  </si>
  <si>
    <t>TOTAL NOTE 6.2 (OTHER INCOME)</t>
  </si>
  <si>
    <t>Interest income is recognised on time proportion basis taking into account the amount outstanding and applicable interest rate.</t>
  </si>
  <si>
    <t>TOTAL NOTE 7.1 (COST OF MATERIALS CONSUMED)</t>
  </si>
  <si>
    <t>Raw material consumption is computed as: Opening Stock + Purchases - Closing Stock. Inventories are valued at cost (FIFO) or net realisable value, whichever is lower.</t>
  </si>
  <si>
    <t>TOTAL NOTE 7.2 (EMPLOYEE BENEFIT EXPENSES)</t>
  </si>
  <si>
    <t>Provident Fund: The Company contributes to the Employees' Provident Fund Organisation (EPFO) at the rate of 12% of basic wages.
Gratuity: Defined benefit obligation measured using the Projected Unit Credit Method (AS 15).
Key Management Personnel remuneration is disclosed separately under Related Party Disclosures (Note 8.1).</t>
  </si>
  <si>
    <t>TOTAL NOTE 7.3 (FINANCE COSTS)</t>
  </si>
  <si>
    <t>Finance costs are recognised in the Statement of Profit and Loss for the period in which they are incurred as per AS 16. No borrowing costs have been capitalised during the year.</t>
  </si>
  <si>
    <t>TOTAL NOTE 7.4 (DEPRECIATION AND AMORTISATION EXPENSE)</t>
  </si>
  <si>
    <t>Depreciation on PPE is calculated on Straight Line Method (SLM) based on useful lives specified in Schedule II of the Companies Act, 2013.
For assets whose actual useful life differs from Schedule II, management estimate is used after technical assessment.
Refer to Note 4.1 for asset-class-wise depreciation charged during the year.</t>
  </si>
  <si>
    <t>TOTAL NOTE 7.5 (OTHER EXPENSES)</t>
  </si>
  <si>
    <t>Auditor Remuneration:
  As statutory auditor: Rs 2.50 Lakhs (PY: Rs 2.00 Lakhs)
  For other services: Rs Nil | Out-of-pocket expenses: Rs Nil
Rent expense includes factory premises, branch offices, and godown facilities. There are no non-cancellable operating lease arrangements requiring disclosure under AS 19.</t>
  </si>
  <si>
    <t>TOTAL NOTE 7.6 (TAX EXPENSE)</t>
  </si>
  <si>
    <t>Current Tax: Provision for income tax is made based on applicable income tax rates under the Income Tax Act, 1961 after considering deductions and allowances.
Deferred Tax: Deferred tax assets and liabilities are recognised for all timing differences as per AS 22.
Effective Tax Rate: 14.3% (PY: 14.6%)
MAT Credit: No MAT credit entitlement has arisen during the year.</t>
  </si>
  <si>
    <t>TOTAL NOTE 8.1 (RELATED PARTY DISCLOSURES (AS 18))</t>
  </si>
  <si>
    <t>Disclosure as required by Accounting Standard 18 - Related Party Disclosures.
List of Related Parties and Nature of Relationship:
i.  Subsidiary Companies: [None]
ii. Associate Companies: Global Logistics Pvt Ltd
iii. Key Management Personnel (KMP): Managing Director &amp; Director(s)
iv. Relatives of KMP with significant influence: [As identified by Management]
All transactions with related parties were carried out in the ordinary course of business and on arm's length basis.</t>
  </si>
  <si>
    <t>TOTAL NOTE 8.2 (CONTINGENT LIABILITIES &amp; COMMITMENTS (AS 29))</t>
  </si>
  <si>
    <t>Contingent Liabilities not provided for in the accounts (as per AS 29):
Based on legal advice and merits of the case, management is of the view that the outcome is likely to be favourable and no provision is required.
Capital Commitments:
Estimated amount of contracts remaining to be executed on capital account and not provided for (net of advances): Rs Nil (PY: Rs Nil).</t>
  </si>
  <si>
    <t>SCHEDULE III MANDATORY FINANCIAL RATIOS</t>
  </si>
  <si>
    <t>Ratio Code</t>
  </si>
  <si>
    <t>Ratio Name</t>
  </si>
  <si>
    <t>Formula</t>
  </si>
  <si>
    <t>Unit</t>
  </si>
  <si>
    <t>Movement %</t>
  </si>
  <si>
    <t>Audit Interpretation</t>
  </si>
  <si>
    <t>R01</t>
  </si>
  <si>
    <t>Current Ratio</t>
  </si>
  <si>
    <t>Current Assets / Current Liabilities</t>
  </si>
  <si>
    <t>times</t>
  </si>
  <si>
    <t>-7.1%</t>
  </si>
  <si>
    <t>Satisfactory liquidity buffer (ideal benchmark is 1.5 - 2.0).</t>
  </si>
  <si>
    <t>R02</t>
  </si>
  <si>
    <t>Debt Equity Ratio</t>
  </si>
  <si>
    <t>Total Debt / Shareholders' Equity</t>
  </si>
  <si>
    <t>-31.0%</t>
  </si>
  <si>
    <t>Comfortable leverage levels well within benchmark threshold of 2.0.</t>
  </si>
  <si>
    <t>R03</t>
  </si>
  <si>
    <t>Net Profit Ratio</t>
  </si>
  <si>
    <t>(Net Profit After Tax / Revenue) * 100</t>
  </si>
  <si>
    <t>%</t>
  </si>
  <si>
    <t>+13.0%</t>
  </si>
  <si>
    <t>Healthy net profit margin of 28.24% driven by cost controls.</t>
  </si>
  <si>
    <t>R04</t>
  </si>
  <si>
    <t>EBITDA Margin</t>
  </si>
  <si>
    <t>(EBITDA / Revenue) * 100</t>
  </si>
  <si>
    <t>+3.0%</t>
  </si>
  <si>
    <t>Strong operating cash margin of 30.59%.</t>
  </si>
  <si>
    <t>R05</t>
  </si>
  <si>
    <t>Return on Equity</t>
  </si>
  <si>
    <t>(Net Profit After Tax / Equity) * 100</t>
  </si>
  <si>
    <t>+3.4%</t>
  </si>
  <si>
    <t>Good return on net worth of 35.82%.</t>
  </si>
  <si>
    <t>R06</t>
  </si>
  <si>
    <t>Trade Receivable Days</t>
  </si>
  <si>
    <t>(Trade Receivables / Revenue) * 365</t>
  </si>
  <si>
    <t>days</t>
  </si>
  <si>
    <t>+2.9%</t>
  </si>
  <si>
    <t>Average collection period is 75.15 days. Prompt collection cycle.</t>
  </si>
  <si>
    <t>R07</t>
  </si>
  <si>
    <t>Trade Payable Days</t>
  </si>
  <si>
    <t>(Trade Payables / COGS) * 365</t>
  </si>
  <si>
    <t>+6.3%</t>
  </si>
  <si>
    <t>Vendor payment turnaround is 160.77 days.</t>
  </si>
  <si>
    <t>R08</t>
  </si>
  <si>
    <t>Inventory Days</t>
  </si>
  <si>
    <t>(Inventories / COGS) * 365</t>
  </si>
  <si>
    <t>+0.7%</t>
  </si>
  <si>
    <t>Inventory holding cycle of 126.01 days.</t>
  </si>
  <si>
    <t>Ledger Code</t>
  </si>
  <si>
    <t>Ledger Name</t>
  </si>
  <si>
    <t>Original Group</t>
  </si>
  <si>
    <t>CY Amount</t>
  </si>
  <si>
    <t>PY Amount</t>
  </si>
  <si>
    <t>Type</t>
  </si>
  <si>
    <t>1001</t>
  </si>
  <si>
    <t>Equity Share Capital</t>
  </si>
  <si>
    <t>Capital Account</t>
  </si>
  <si>
    <t>1002</t>
  </si>
  <si>
    <t>General Reserve</t>
  </si>
  <si>
    <t>Reserves &amp; Surplus</t>
  </si>
  <si>
    <t>1003</t>
  </si>
  <si>
    <t>Retained Earnings P&amp;L</t>
  </si>
  <si>
    <t>2001</t>
  </si>
  <si>
    <t>HDFC Term Loan (Secured)</t>
  </si>
  <si>
    <t>Long Term Borrowings</t>
  </si>
  <si>
    <t>2002</t>
  </si>
  <si>
    <t>ICICI Cash Credit Limit</t>
  </si>
  <si>
    <t>Short Term Borrowings</t>
  </si>
  <si>
    <t>2003</t>
  </si>
  <si>
    <t>Trade Payables - MSME Vendors</t>
  </si>
  <si>
    <t>Current Liabilities</t>
  </si>
  <si>
    <t>2004</t>
  </si>
  <si>
    <t>Trade Payables - Other Vendors</t>
  </si>
  <si>
    <t>2005</t>
  </si>
  <si>
    <t>Statutory Dues Payable (GST &amp; TDS)</t>
  </si>
  <si>
    <t>2006</t>
  </si>
  <si>
    <t>Provision for Income Tax</t>
  </si>
  <si>
    <t>Provisions</t>
  </si>
  <si>
    <t>3001</t>
  </si>
  <si>
    <t>Factory Land &amp; Buildings</t>
  </si>
  <si>
    <t>Fixed Assets</t>
  </si>
  <si>
    <t>3002</t>
  </si>
  <si>
    <t>3003</t>
  </si>
  <si>
    <t>Capital Work-in-Progress (Solar Plant)</t>
  </si>
  <si>
    <t>4001</t>
  </si>
  <si>
    <t>Raw Material Stock</t>
  </si>
  <si>
    <t>Current Assets</t>
  </si>
  <si>
    <t>4002</t>
  </si>
  <si>
    <t>Finished Goods Inventory</t>
  </si>
  <si>
    <t>4003</t>
  </si>
  <si>
    <t>Trade Receivables - Domestic</t>
  </si>
  <si>
    <t>4004</t>
  </si>
  <si>
    <t>HDFC Bank Current Account</t>
  </si>
  <si>
    <t>Bank Accounts</t>
  </si>
  <si>
    <t>4005</t>
  </si>
  <si>
    <t>Cash in Hand</t>
  </si>
  <si>
    <t>Cash Accounts</t>
  </si>
  <si>
    <t>5001</t>
  </si>
  <si>
    <t>Revenue from Domestic Operations</t>
  </si>
  <si>
    <t>Direct Incomes</t>
  </si>
  <si>
    <t>5002</t>
  </si>
  <si>
    <t>Interest Income on Bank FD</t>
  </si>
  <si>
    <t>Indirect Incomes</t>
  </si>
  <si>
    <t>6001</t>
  </si>
  <si>
    <t>Cost of Raw Material Consumed</t>
  </si>
  <si>
    <t>Direct Expenses</t>
  </si>
  <si>
    <t>6002</t>
  </si>
  <si>
    <t>Salaries &amp; Wages</t>
  </si>
  <si>
    <t>Staff Expenses</t>
  </si>
  <si>
    <t>6003</t>
  </si>
  <si>
    <t>Bank Term Loan Interest</t>
  </si>
  <si>
    <t>Financial Charges</t>
  </si>
  <si>
    <t>6004</t>
  </si>
  <si>
    <t>Depreciation on Machinery</t>
  </si>
  <si>
    <t>Depreciation</t>
  </si>
  <si>
    <t>6005</t>
  </si>
  <si>
    <t>Audit Fees &amp; Legal Charges</t>
  </si>
  <si>
    <t>Administrative Expenses</t>
  </si>
  <si>
    <t>TB Dr/Cr Check (CY)</t>
  </si>
  <si>
    <t>Sum of CY Trial Balance</t>
  </si>
  <si>
    <t>CY Control</t>
  </si>
  <si>
    <t>TB Dr/Cr Check (PY)</t>
  </si>
  <si>
    <t>Sum of PY Trial Balance</t>
  </si>
  <si>
    <t>PY Control</t>
  </si>
  <si>
    <t>Final Classification</t>
  </si>
  <si>
    <t>Statement</t>
  </si>
  <si>
    <t>Note #</t>
  </si>
  <si>
    <t>Current / Non-Current</t>
  </si>
  <si>
    <t>CY Amount (Lakhs)</t>
  </si>
  <si>
    <t>PY Amount (Lakhs)</t>
  </si>
  <si>
    <t>Share Capital</t>
  </si>
  <si>
    <t>Balance Sheet</t>
  </si>
  <si>
    <t>1.1</t>
  </si>
  <si>
    <t>Shareholders' Funds</t>
  </si>
  <si>
    <t>Reserves and Surplus</t>
  </si>
  <si>
    <t>1.2</t>
  </si>
  <si>
    <t>Long-term Borrowings</t>
  </si>
  <si>
    <t>2.1</t>
  </si>
  <si>
    <t>Non-Current</t>
  </si>
  <si>
    <t>Short-term Borrowings</t>
  </si>
  <si>
    <t>3.1</t>
  </si>
  <si>
    <t>Current</t>
  </si>
  <si>
    <t>Trade Payables</t>
  </si>
  <si>
    <t>3.2</t>
  </si>
  <si>
    <t>Other Current Liabilities</t>
  </si>
  <si>
    <t>3.3</t>
  </si>
  <si>
    <t>Tax Expense</t>
  </si>
  <si>
    <t>Profit &amp; Loss</t>
  </si>
  <si>
    <t>7.6</t>
  </si>
  <si>
    <t>P&amp;L Tax</t>
  </si>
  <si>
    <t>Property, Plant and Equipment</t>
  </si>
  <si>
    <t>4.1</t>
  </si>
  <si>
    <t>Capital Work-in-Progress</t>
  </si>
  <si>
    <t>4.2</t>
  </si>
  <si>
    <t>5.1</t>
  </si>
  <si>
    <t>Trade Receivables</t>
  </si>
  <si>
    <t>5.2</t>
  </si>
  <si>
    <t>Cash and Bank Balances</t>
  </si>
  <si>
    <t>5.3</t>
  </si>
  <si>
    <t>Revenue from Operations</t>
  </si>
  <si>
    <t>6.1</t>
  </si>
  <si>
    <t>P&amp;L Income</t>
  </si>
  <si>
    <t>Other Income</t>
  </si>
  <si>
    <t>6.2</t>
  </si>
  <si>
    <t>Cost of Materials Consumed</t>
  </si>
  <si>
    <t>7.1</t>
  </si>
  <si>
    <t>P&amp;L Expense</t>
  </si>
  <si>
    <t>Employee Benefit Expenses</t>
  </si>
  <si>
    <t>7.2</t>
  </si>
  <si>
    <t>Finance Costs</t>
  </si>
  <si>
    <t>7.3</t>
  </si>
  <si>
    <t>Depreciation and Amortisation Expense</t>
  </si>
  <si>
    <t>7.4</t>
  </si>
  <si>
    <t>Other Expenses</t>
  </si>
  <si>
    <t>7.5</t>
  </si>
  <si>
    <t>Adjustment Line Item</t>
  </si>
  <si>
    <t>Description</t>
  </si>
  <si>
    <t>Source Category</t>
  </si>
  <si>
    <t>Income Taxes Paid</t>
  </si>
  <si>
    <t>Direct Corporate Income Taxes Paid</t>
  </si>
  <si>
    <t>Operating</t>
  </si>
  <si>
    <t>Dividend Paid</t>
  </si>
  <si>
    <t>Equity Dividend Paid During Year</t>
  </si>
  <si>
    <t>Financing</t>
  </si>
  <si>
    <t>Finance Cost Paid</t>
  </si>
  <si>
    <t>Actual Interest &amp; Finance Cost Paid</t>
  </si>
  <si>
    <t>Interest / Dividend Received</t>
  </si>
  <si>
    <t>Interest and Dividend Income Received</t>
  </si>
  <si>
    <t>Investing</t>
  </si>
  <si>
    <t>Actual Capex Paid</t>
  </si>
  <si>
    <t>Purchase of Property, Plant &amp; Equipment</t>
  </si>
  <si>
    <t>Check ID</t>
  </si>
  <si>
    <t>Control Check Description</t>
  </si>
  <si>
    <t>Expected Value</t>
  </si>
  <si>
    <t>Computed Formula</t>
  </si>
  <si>
    <t>Variance (Must be 0.00)</t>
  </si>
  <si>
    <t>Tie-Out Status</t>
  </si>
  <si>
    <t>CHK-01</t>
  </si>
  <si>
    <t>Balance Sheet Tally (Total Assets - Total Equity &amp; Liabilities)</t>
  </si>
  <si>
    <t>CHK-02</t>
  </si>
  <si>
    <t>Share Capital Note vs Mapped TB Check</t>
  </si>
  <si>
    <t>CHK-03</t>
  </si>
  <si>
    <t>Cash Flow Closing Cash vs Balance Sheet Cash Check</t>
  </si>
  <si>
    <t>CHK-04</t>
  </si>
  <si>
    <t>Profit After Tax to Cash Flow Starting Line Check</t>
  </si>
  <si>
    <t>Line Item Particulars</t>
  </si>
  <si>
    <t>Source Note #</t>
  </si>
  <si>
    <t>Named Range Reference</t>
  </si>
  <si>
    <t>Applied Excel Formula</t>
  </si>
  <si>
    <t>Resolved Cell Address</t>
  </si>
  <si>
    <t>Note 1.1</t>
  </si>
  <si>
    <t>TOT_ShareCapital</t>
  </si>
  <si>
    <t>'02_Balance_Sheet'!C8</t>
  </si>
  <si>
    <t>Note 1.2</t>
  </si>
  <si>
    <t>TOT_Reserves</t>
  </si>
  <si>
    <t>'02_Balance_Sheet'!C9</t>
  </si>
  <si>
    <t>Property, Plant &amp; Equipment</t>
  </si>
  <si>
    <t>Note 4.1</t>
  </si>
  <si>
    <t>TOT_PPE</t>
  </si>
  <si>
    <t>'02_Balance_Sheet'!C25</t>
  </si>
  <si>
    <t>Note 5.2</t>
  </si>
  <si>
    <t>TOT_Receivables</t>
  </si>
  <si>
    <t>'02_Balance_Sheet'!C32</t>
  </si>
  <si>
    <t>Cash &amp; Bank Balances</t>
  </si>
  <si>
    <t>Note 5.3</t>
  </si>
  <si>
    <t>TOT_Cash</t>
  </si>
  <si>
    <t>'02_Balance_Sheet'!C33</t>
  </si>
  <si>
    <t>Profit and Loss</t>
  </si>
  <si>
    <t>Note 6.1</t>
  </si>
  <si>
    <t>TOT_Revenue</t>
  </si>
  <si>
    <t>'03_Profit_and_Loss'!C6</t>
  </si>
  <si>
    <t>Depreciation &amp; Amortisation</t>
  </si>
  <si>
    <t>Note 7.4</t>
  </si>
  <si>
    <t>TOT_Depreciation</t>
  </si>
  <si>
    <t>'03_Profit_and_Loss'!C13</t>
  </si>
  <si>
    <t>Cash Flow</t>
  </si>
  <si>
    <t>Profit Before Tax</t>
  </si>
  <si>
    <t>Statement P&amp;L</t>
  </si>
  <si>
    <t>PBT Line</t>
  </si>
  <si>
    <t>'04_Cash_Flow_Statement'!B7</t>
  </si>
  <si>
    <t>Closing Cash Balances</t>
  </si>
  <si>
    <t>TOT_CashEquiv</t>
  </si>
  <si>
    <t>'04_Cash_Flow_Statement'!B34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</si>
</sst>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quot;-&quot;;@"/>
  </numFmts>
  <fonts count="13" x14ac:knownFonts="1">
    <font>
      <sz val="11"/>
      <color theme="1"/>
      <name val="Calibri"/>
      <family val="2"/>
      <scheme val="minor"/>
    </font>
    <font>
      <b/>
      <sz val="10"/>
      <color rgb="FFFFFFFF"/>
      <name val="Segoe UI"/>
    </font>
    <font>
      <b/>
      <sz val="10"/>
      <color rgb="FF1B365D"/>
      <name val="Segoe UI"/>
    </font>
    <font>
      <b/>
      <sz val="12"/>
      <color rgb="FF1B365D"/>
      <name val="Segoe UI"/>
    </font>
    <font>
      <b/>
      <sz val="9"/>
      <color rgb="FFEA580C"/>
      <name val="Segoe UI"/>
    </font>
    <font>
      <b/>
      <sz val="9"/>
      <color rgb="FF0F172A"/>
      <name val="Segoe UI"/>
    </font>
    <font>
      <i/>
      <sz val="8"/>
      <color rgb="FF64748B"/>
      <name val="Segoe UI"/>
    </font>
    <font>
      <b/>
      <sz val="14"/>
      <color rgb="FF1B365D"/>
      <name val="Segoe UI"/>
    </font>
    <font>
      <b/>
      <sz val="11"/>
      <color rgb="FFEA580C"/>
      <name val="Segoe UI"/>
    </font>
    <font>
      <i/>
      <sz val="9"/>
      <color rgb="FF64748B"/>
      <name val="Segoe UI"/>
    </font>
    <font>
      <b/>
      <sz val="18"/>
      <color rgb="FF1B365D"/>
      <name val="Segoe UI"/>
    </font>
    <font>
      <b/>
      <sz val="12"/>
      <color rgb="FFEA580C"/>
      <name val="Segoe UI"/>
    </font>
    <font>
      <b/>
      <sz val="9"/>
      <color rgb="FF166534"/>
      <name val="Segoe UI"/>
    </font>
  </fonts>
  <fills count="6">
    <fill>
      <patternFill patternType="none"/>
    </fill>
    <fill>
      <patternFill patternType="gray125"/>
    </fill>
    <fill>
      <patternFill patternType="solid">
        <fgColor rgb="FF1B365D"/>
        <bgColor rgb="FF1B365D"/>
      </patternFill>
    </fill>
    <fill>
      <patternFill patternType="solid">
        <fgColor rgb="FFCBD5E1"/>
        <bgColor rgb="FFCBD5E1"/>
      </patternFill>
    </fill>
    <fill>
      <patternFill patternType="solid">
        <fgColor rgb="FFF1F5F9"/>
        <bgColor rgb="FFF1F5F9"/>
      </patternFill>
    </fill>
    <fill>
      <patternFill patternType="solid">
        <fgColor rgb="FFE2E8F0"/>
        <bgColor rgb="FFE2E8F0"/>
      </patternFill>
    </fill>
  </fills>
  <borders count="2">
    <border>
      <left/>
      <right/>
      <top/>
      <bottom/>
      <diagonal/>
    </border>
    <border>
      <left/>
      <right/>
      <top style="thin">
        <color rgb="FFCBD5E1"/>
      </top>
      <bottom style="double">
        <color rgb="FF1B365D"/>
      </bottom>
      <diagonal/>
    </border>
  </borders>
  <cellStyleXfs count="1">
    <xf numFmtId="0" fontId="0" fillId="0" borderId="0"/>
  </cellStyleXfs>
  <cellXfs count="32">
    <xf numFmtId="0" fontId="0" fillId="0" borderId="0" xfId="0"/>
    <xf numFmtId="0" fontId="10" fillId="0" borderId="0" xfId="0" applyFont="1"/>
    <xf numFmtId="0" fontId="11" fillId="0" borderId="0" xfId="0" applyFont="1"/>
    <xf numFmtId="0" fontId="9" fillId="0" borderId="0" xfId="0" applyFont="1"/>
    <xf numFmtId="0" fontId="1" fillId="2" borderId="0" xfId="0" applyFont="1" applyFill="1" applyAlignment="1">
      <alignment horizontal="center" vertical="center" wrapText="1"/>
    </xf>
    <xf numFmtId="0" fontId="4" fillId="0" borderId="0" xfId="0" applyFont="1"/>
    <xf numFmtId="0" fontId="7" fillId="0" borderId="0" xfId="0" applyFont="1"/>
    <xf numFmtId="0" fontId="8" fillId="0" borderId="0" xfId="0" applyFont="1"/>
    <xf numFmtId="164" fontId="1" fillId="2"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0" fontId="2" fillId="0" borderId="0" xfId="0" applyFont="1"/>
    <xf numFmtId="164" fontId="0" fillId="0" borderId="0" xfId="0" applyNumberFormat="1"/>
    <xf numFmtId="164" fontId="0" fillId="4" borderId="0" xfId="0" applyNumberFormat="1" applyFill="1"/>
    <xf numFmtId="0" fontId="5" fillId="0" borderId="0" xfId="0" applyFont="1"/>
    <xf numFmtId="0" fontId="0" fillId="5" borderId="0" xfId="0" applyFill="1"/>
    <xf numFmtId="164" fontId="5" fillId="0" borderId="0" xfId="0" applyNumberFormat="1" applyFont="1"/>
    <xf numFmtId="164" fontId="5" fillId="4" borderId="0" xfId="0" applyNumberFormat="1" applyFont="1" applyFill="1"/>
    <xf numFmtId="0" fontId="0" fillId="3" borderId="0" xfId="0" applyFill="1"/>
    <xf numFmtId="0" fontId="2" fillId="0" borderId="1" xfId="0" applyFont="1" applyBorder="1"/>
    <xf numFmtId="164" fontId="2" fillId="0" borderId="1" xfId="0" applyNumberFormat="1" applyFont="1" applyBorder="1"/>
    <xf numFmtId="164" fontId="2" fillId="4" borderId="1" xfId="0" applyNumberFormat="1" applyFont="1" applyFill="1" applyBorder="1"/>
    <xf numFmtId="0" fontId="6" fillId="0" borderId="0" xfId="0" applyFont="1"/>
    <xf numFmtId="164" fontId="0" fillId="0" borderId="1" xfId="0" applyNumberFormat="1" applyBorder="1"/>
    <xf numFmtId="164" fontId="0" fillId="4" borderId="1" xfId="0" applyNumberFormat="1" applyFill="1" applyBorder="1"/>
    <xf numFmtId="2" fontId="0" fillId="0" borderId="0" xfId="0" applyNumberFormat="1"/>
    <xf numFmtId="2" fontId="0" fillId="4" borderId="0" xfId="0" applyNumberFormat="1" applyFill="1"/>
    <xf numFmtId="0" fontId="5" fillId="3" borderId="0" xfId="0" applyFont="1" applyFill="1"/>
    <xf numFmtId="164" fontId="5" fillId="3" borderId="0" xfId="0" applyNumberFormat="1" applyFont="1" applyFill="1"/>
    <xf numFmtId="0" fontId="3" fillId="0" borderId="0" xfId="0" applyFont="1"/>
    <xf numFmtId="0" fontId="5" fillId="5" borderId="0" xfId="0" applyFont="1" applyFill="1"/>
    <xf numFmtId="164" fontId="2" fillId="0" borderId="0" xfId="0" applyNumberFormat="1" applyFont="1"/>
    <xf numFmtId="0" fontId="12" fillId="0" borderId="0" xfId="0" applyFont="1"/>
  </cellXfs>
  <cellStyles count="1">
    <cellStyle name="Normal" xfId="0" builtinId="0"/>
  </cellStyles>
  <dxfs count="2">
    <dxf>
      <font>
        <b/>
        <sz val="9"/>
        <color rgb="FF991B1B"/>
        <name val="Segoe UI"/>
      </font>
      <fill>
        <patternFill patternType="solid">
          <fgColor rgb="FFFCA5A5"/>
          <bgColor rgb="FFFCA5A5"/>
        </patternFill>
      </fill>
    </dxf>
    <dxf>
      <font>
        <b/>
        <sz val="9"/>
        <color rgb="FF991B1B"/>
        <name val="Segoe UI"/>
      </font>
      <fill>
        <patternFill patternType="solid">
          <fgColor rgb="FFFCA5A5"/>
          <bgColor rgb="FFFCA5A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tabSelected="1" workbookViewId="0"/>
  </sheetViews>
  <sheetFormatPr defaultRowHeight="14.5" x14ac:dyDescent="0.35"/>
  <sheetData>
    <row r="1" spans="1:3" ht="26" x14ac:dyDescent="0.65">
      <c r="A1" s="1" t="s">
        <v>0</v>
      </c>
    </row>
    <row r="2" spans="1:3" ht="17.5" x14ac:dyDescent="0.45">
      <c r="A2" s="2" t="s">
        <v>1</v>
      </c>
    </row>
    <row r="3" spans="1:3" ht="15" x14ac:dyDescent="0.4">
      <c r="A3" s="3" t="s">
        <v>2</v>
      </c>
    </row>
    <row r="5" spans="1:3" x14ac:dyDescent="0.35">
      <c r="A5" t="s">
        <v>3</v>
      </c>
      <c r="B5" t="s">
        <v>4</v>
      </c>
    </row>
    <row r="6" spans="1:3" x14ac:dyDescent="0.35">
      <c r="A6" t="s">
        <v>5</v>
      </c>
      <c r="B6" t="s">
        <v>6</v>
      </c>
    </row>
    <row r="7" spans="1:3" x14ac:dyDescent="0.35">
      <c r="A7" t="s">
        <v>7</v>
      </c>
      <c r="B7" t="s">
        <v>8</v>
      </c>
    </row>
    <row r="8" spans="1:3" x14ac:dyDescent="0.35">
      <c r="A8" t="s">
        <v>9</v>
      </c>
      <c r="B8" t="s">
        <v>10</v>
      </c>
    </row>
    <row r="9" spans="1:3" x14ac:dyDescent="0.35">
      <c r="A9" t="s">
        <v>11</v>
      </c>
      <c r="B9" t="s">
        <v>12</v>
      </c>
    </row>
    <row r="10" spans="1:3" x14ac:dyDescent="0.35">
      <c r="A10" t="s">
        <v>13</v>
      </c>
      <c r="B10" t="s">
        <v>14</v>
      </c>
    </row>
    <row r="11" spans="1:3" x14ac:dyDescent="0.35">
      <c r="A11" t="s">
        <v>15</v>
      </c>
      <c r="B11" t="s">
        <v>16</v>
      </c>
    </row>
    <row r="12" spans="1:3" x14ac:dyDescent="0.35">
      <c r="A12" t="s">
        <v>17</v>
      </c>
      <c r="B12" t="s">
        <v>18</v>
      </c>
    </row>
    <row r="13" spans="1:3" x14ac:dyDescent="0.35">
      <c r="A13" t="s">
        <v>19</v>
      </c>
      <c r="B13" t="s">
        <v>20</v>
      </c>
    </row>
    <row r="15" spans="1:3" x14ac:dyDescent="0.35">
      <c r="A15" t="s">
        <v>21</v>
      </c>
    </row>
    <row r="16" spans="1:3" x14ac:dyDescent="0.35">
      <c r="A16" t="s">
        <v>22</v>
      </c>
      <c r="B16" t="s">
        <v>23</v>
      </c>
      <c r="C16" t="s">
        <v>24</v>
      </c>
    </row>
    <row r="17" spans="1:3" ht="24" customHeight="1" x14ac:dyDescent="0.35">
      <c r="A17" s="4"/>
      <c r="B17" s="4"/>
      <c r="C17" s="4"/>
    </row>
    <row r="18" spans="1:3" ht="15" x14ac:dyDescent="0.4">
      <c r="A18" t="s">
        <v>25</v>
      </c>
      <c r="B18" t="s">
        <v>26</v>
      </c>
      <c r="C18" s="5" t="str">
        <f>HYPERLINK("#'01_Cover_Page'!A1", "Open 01. Cover Page &amp; Financial Metadata")</f>
        <v>Open 01. Cover Page &amp; Financial Metadata</v>
      </c>
    </row>
    <row r="19" spans="1:3" ht="15" x14ac:dyDescent="0.4">
      <c r="A19" t="s">
        <v>27</v>
      </c>
      <c r="B19" t="s">
        <v>28</v>
      </c>
      <c r="C19" s="5" t="str">
        <f>HYPERLINK("#'02_Balance_Sheet'!A1", "Open 02. Schedule III Balance Sheet")</f>
        <v>Open 02. Schedule III Balance Sheet</v>
      </c>
    </row>
    <row r="20" spans="1:3" ht="15" x14ac:dyDescent="0.4">
      <c r="A20" t="s">
        <v>29</v>
      </c>
      <c r="B20" t="s">
        <v>30</v>
      </c>
      <c r="C20" s="5" t="str">
        <f>HYPERLINK("#'03_Profit_and_Loss'!A1", "Open 03. Statement of Profit and Loss")</f>
        <v>Open 03. Statement of Profit and Loss</v>
      </c>
    </row>
    <row r="21" spans="1:3" ht="15" x14ac:dyDescent="0.4">
      <c r="A21" t="s">
        <v>31</v>
      </c>
      <c r="B21" t="s">
        <v>32</v>
      </c>
      <c r="C21" s="5" t="str">
        <f>HYPERLINK("#'04_Cash_Flow_Statement'!A1", "Open 04. AS 3 Cash Flow Statement (Indirect Method)")</f>
        <v>Open 04. AS 3 Cash Flow Statement (Indirect Method)</v>
      </c>
    </row>
    <row r="22" spans="1:3" ht="15" x14ac:dyDescent="0.4">
      <c r="A22" t="s">
        <v>33</v>
      </c>
      <c r="B22" t="s">
        <v>34</v>
      </c>
      <c r="C22" s="5" t="str">
        <f>HYPERLINK("#'05_Accounting_Policies'!A1", "Open 05. Significant Accounting Policies (AP-01 to AP-21)")</f>
        <v>Open 05. Significant Accounting Policies (AP-01 to AP-21)</v>
      </c>
    </row>
    <row r="23" spans="1:3" ht="15" x14ac:dyDescent="0.4">
      <c r="A23" t="s">
        <v>35</v>
      </c>
      <c r="B23" t="s">
        <v>36</v>
      </c>
      <c r="C23" s="5" t="str">
        <f>HYPERLINK("#'06_Notes_to_Accounts'!A1", "Open 06. Notes Forming Part of Financial Statements (Consolidated)")</f>
        <v>Open 06. Notes Forming Part of Financial Statements (Consolidated)</v>
      </c>
    </row>
    <row r="24" spans="1:3" ht="15" x14ac:dyDescent="0.4">
      <c r="A24" t="s">
        <v>37</v>
      </c>
      <c r="B24" t="s">
        <v>38</v>
      </c>
      <c r="C24" s="5" t="str">
        <f>HYPERLINK("#'07_Financial_Ratios'!A1", "Open 07. Schedule III Mandatory Financial Ratios")</f>
        <v>Open 07. Schedule III Mandatory Financial Ratios</v>
      </c>
    </row>
  </sheetData>
  <pageMargins left="0.75" right="0.75" top="1" bottom="1" header="0.5" footer="0.5"/>
  <pageSetup paperSize="9" orientation="portrait"/>
  <headerFooter>
    <oddFooter>&amp;LApex Engineering Industries Limited | FY 2024-25&amp;RPage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showGridLines="0" workbookViewId="0"/>
  </sheetViews>
  <sheetFormatPr defaultRowHeight="14.5" x14ac:dyDescent="0.35"/>
  <sheetData>
    <row r="1" spans="1:4" ht="21" x14ac:dyDescent="0.55000000000000004">
      <c r="A1" s="6" t="s">
        <v>0</v>
      </c>
    </row>
    <row r="2" spans="1:4" ht="16.5" x14ac:dyDescent="0.45">
      <c r="A2" s="7" t="s">
        <v>39</v>
      </c>
    </row>
    <row r="3" spans="1:4" ht="15" x14ac:dyDescent="0.4">
      <c r="A3" s="3" t="s">
        <v>40</v>
      </c>
    </row>
    <row r="5" spans="1:4" ht="24" customHeight="1" x14ac:dyDescent="0.35">
      <c r="A5" s="4" t="s">
        <v>41</v>
      </c>
      <c r="B5" s="4" t="s">
        <v>42</v>
      </c>
      <c r="C5" s="8" t="s">
        <v>43</v>
      </c>
      <c r="D5" s="9" t="s">
        <v>44</v>
      </c>
    </row>
    <row r="6" spans="1:4" ht="16" x14ac:dyDescent="0.45">
      <c r="A6" s="10" t="s">
        <v>45</v>
      </c>
      <c r="C6" s="11"/>
      <c r="D6" s="12"/>
    </row>
    <row r="7" spans="1:4" ht="15" x14ac:dyDescent="0.4">
      <c r="A7" s="13" t="s">
        <v>46</v>
      </c>
      <c r="C7" s="11"/>
      <c r="D7" s="12"/>
    </row>
    <row r="8" spans="1:4" ht="15" x14ac:dyDescent="0.4">
      <c r="A8" t="s">
        <v>47</v>
      </c>
      <c r="B8" s="5" t="str">
        <f>HYPERLINK("#'Note_1_1_ShareCapital'!A1", "1.1")</f>
        <v>1.1</v>
      </c>
      <c r="C8" s="11">
        <f>-TOT_ShareCapital</f>
        <v>-100</v>
      </c>
      <c r="D8" s="12">
        <f>-TOT_ShareCapital_PY</f>
        <v>-100</v>
      </c>
    </row>
    <row r="9" spans="1:4" ht="15" x14ac:dyDescent="0.4">
      <c r="A9" t="s">
        <v>48</v>
      </c>
      <c r="B9" s="5" t="str">
        <f>HYPERLINK("#'Note_1_2_Reserves'!A1", "1.2")</f>
        <v>1.2</v>
      </c>
      <c r="C9" s="11">
        <f>-TOT_Reserves</f>
        <v>2505</v>
      </c>
      <c r="D9" s="12">
        <f>-TOT_Reserves_PY</f>
        <v>1015</v>
      </c>
    </row>
    <row r="10" spans="1:4" s="14" customFormat="1" ht="15" x14ac:dyDescent="0.4">
      <c r="A10" s="13" t="s">
        <v>49</v>
      </c>
      <c r="B10"/>
      <c r="C10" s="15">
        <f>SUM(C8:C9)</f>
        <v>2405</v>
      </c>
      <c r="D10" s="16">
        <f>SUM(D8:D9)</f>
        <v>915</v>
      </c>
    </row>
    <row r="11" spans="1:4" ht="15" x14ac:dyDescent="0.4">
      <c r="A11" s="13" t="s">
        <v>50</v>
      </c>
      <c r="C11" s="11"/>
      <c r="D11" s="12"/>
    </row>
    <row r="12" spans="1:4" ht="15" x14ac:dyDescent="0.4">
      <c r="A12" t="s">
        <v>51</v>
      </c>
      <c r="B12" s="5" t="str">
        <f>HYPERLINK("#'Note_2_1_LTBorrow'!A1", "2.1")</f>
        <v>2.1</v>
      </c>
      <c r="C12" s="11">
        <f>-TOT_LTBorrow</f>
        <v>-250</v>
      </c>
      <c r="D12" s="12">
        <f>-TOT_LTBorrow_PY</f>
        <v>-300</v>
      </c>
    </row>
    <row r="13" spans="1:4" ht="15" x14ac:dyDescent="0.4">
      <c r="A13" t="s">
        <v>52</v>
      </c>
      <c r="B13" s="5" t="str">
        <f>HYPERLINK("#'Note_2_2_LTProv'!A1", "2.2")</f>
        <v>2.2</v>
      </c>
      <c r="C13" s="11">
        <f>-TOT_LTProv</f>
        <v>0</v>
      </c>
      <c r="D13" s="12">
        <f>-TOT_LTProv_PY</f>
        <v>0</v>
      </c>
    </row>
    <row r="14" spans="1:4" s="14" customFormat="1" ht="15" x14ac:dyDescent="0.4">
      <c r="A14" s="13" t="s">
        <v>53</v>
      </c>
      <c r="B14"/>
      <c r="C14" s="15">
        <f>SUM(C12:C13)</f>
        <v>-250</v>
      </c>
      <c r="D14" s="16">
        <f>SUM(D12:D13)</f>
        <v>-300</v>
      </c>
    </row>
    <row r="15" spans="1:4" ht="15" x14ac:dyDescent="0.4">
      <c r="A15" s="13" t="s">
        <v>54</v>
      </c>
      <c r="C15" s="11"/>
      <c r="D15" s="12"/>
    </row>
    <row r="16" spans="1:4" ht="15" x14ac:dyDescent="0.4">
      <c r="A16" t="s">
        <v>55</v>
      </c>
      <c r="B16" s="5" t="str">
        <f>HYPERLINK("#'Note_3_1_STBorrow'!A1", "3.1")</f>
        <v>3.1</v>
      </c>
      <c r="C16" s="11">
        <f>-TOT_STBorrow</f>
        <v>-80</v>
      </c>
      <c r="D16" s="12">
        <f>-TOT_STBorrow_PY</f>
        <v>-60</v>
      </c>
    </row>
    <row r="17" spans="1:4" ht="15" x14ac:dyDescent="0.4">
      <c r="A17" t="s">
        <v>56</v>
      </c>
      <c r="B17" s="5" t="str">
        <f>HYPERLINK("#'Note_3_2_TradePayables'!A1", "3.2")</f>
        <v>3.2</v>
      </c>
      <c r="C17" s="11">
        <f>-TOT_Payables</f>
        <v>-185</v>
      </c>
      <c r="D17" s="12">
        <f>-TOT_Payables_PY</f>
        <v>-185</v>
      </c>
    </row>
    <row r="18" spans="1:4" ht="15" x14ac:dyDescent="0.4">
      <c r="A18" t="s">
        <v>57</v>
      </c>
      <c r="B18" s="5" t="str">
        <f>HYPERLINK("#'Note_3_3_OtherCL'!A1", "3.3")</f>
        <v>3.3</v>
      </c>
      <c r="C18" s="11">
        <f>-TOT_OtherCL</f>
        <v>-25</v>
      </c>
      <c r="D18" s="12">
        <f>-TOT_OtherCL_PY</f>
        <v>-20</v>
      </c>
    </row>
    <row r="19" spans="1:4" ht="15" x14ac:dyDescent="0.4">
      <c r="A19" t="s">
        <v>58</v>
      </c>
      <c r="B19" s="5" t="str">
        <f>HYPERLINK("#'Note_3_4_STProv'!A1", "3.4")</f>
        <v>3.4</v>
      </c>
      <c r="C19" s="11">
        <f>-TOT_STProv</f>
        <v>0</v>
      </c>
      <c r="D19" s="12">
        <f>-TOT_STProv_PY</f>
        <v>0</v>
      </c>
    </row>
    <row r="20" spans="1:4" s="14" customFormat="1" ht="15" x14ac:dyDescent="0.4">
      <c r="A20" s="13" t="s">
        <v>59</v>
      </c>
      <c r="B20"/>
      <c r="C20" s="15">
        <f>SUM(C16:C19)</f>
        <v>-290</v>
      </c>
      <c r="D20" s="16">
        <f>SUM(D16:D19)</f>
        <v>-265</v>
      </c>
    </row>
    <row r="21" spans="1:4" s="17" customFormat="1" ht="16" x14ac:dyDescent="0.45">
      <c r="A21" s="18" t="s">
        <v>60</v>
      </c>
      <c r="B21"/>
      <c r="C21" s="19">
        <f>C10+C14+C20</f>
        <v>1865</v>
      </c>
      <c r="D21" s="20">
        <f>D10+D14+D20</f>
        <v>350</v>
      </c>
    </row>
    <row r="22" spans="1:4" x14ac:dyDescent="0.35">
      <c r="C22" s="11"/>
      <c r="D22" s="12"/>
    </row>
    <row r="23" spans="1:4" ht="16" x14ac:dyDescent="0.45">
      <c r="A23" s="10" t="s">
        <v>61</v>
      </c>
      <c r="C23" s="11"/>
      <c r="D23" s="12"/>
    </row>
    <row r="24" spans="1:4" ht="15" x14ac:dyDescent="0.4">
      <c r="A24" s="13" t="s">
        <v>62</v>
      </c>
      <c r="C24" s="11"/>
      <c r="D24" s="12"/>
    </row>
    <row r="25" spans="1:4" ht="15" x14ac:dyDescent="0.4">
      <c r="A25" t="s">
        <v>63</v>
      </c>
      <c r="B25" s="5" t="str">
        <f>HYPERLINK("#'Note_4_1_PPE'!A1", "4.1")</f>
        <v>4.1</v>
      </c>
      <c r="C25" s="11">
        <f>TOT_PPE</f>
        <v>749.75</v>
      </c>
      <c r="D25" s="12">
        <f>TOT_PPE_PY</f>
        <v>743.22</v>
      </c>
    </row>
    <row r="26" spans="1:4" ht="15" x14ac:dyDescent="0.4">
      <c r="A26" t="s">
        <v>64</v>
      </c>
      <c r="B26" s="5" t="str">
        <f>HYPERLINK("#'Note_4_2_CWIP'!A1", "4.2")</f>
        <v>4.2</v>
      </c>
      <c r="C26" s="11">
        <f>TOT_CWIP</f>
        <v>45</v>
      </c>
      <c r="D26" s="12">
        <f>TOT_CWIP_PY</f>
        <v>0</v>
      </c>
    </row>
    <row r="27" spans="1:4" ht="15" x14ac:dyDescent="0.4">
      <c r="A27" t="s">
        <v>65</v>
      </c>
      <c r="B27" s="5" t="str">
        <f>HYPERLINK("#'Note_4_3_Investments'!A1", "4.3")</f>
        <v>4.3</v>
      </c>
      <c r="C27" s="11">
        <f>TOT_Investments</f>
        <v>0</v>
      </c>
      <c r="D27" s="12">
        <f>TOT_Investments_PY</f>
        <v>0</v>
      </c>
    </row>
    <row r="28" spans="1:4" ht="15" x14ac:dyDescent="0.4">
      <c r="A28" t="s">
        <v>66</v>
      </c>
      <c r="B28" s="5" t="str">
        <f>HYPERLINK("#'Note_4_4_LTLA'!A1", "4.4")</f>
        <v>4.4</v>
      </c>
      <c r="C28" s="11">
        <f>TOT_LTLA</f>
        <v>0</v>
      </c>
      <c r="D28" s="12">
        <f>TOT_LTLA_PY</f>
        <v>0</v>
      </c>
    </row>
    <row r="29" spans="1:4" s="14" customFormat="1" ht="15" x14ac:dyDescent="0.4">
      <c r="A29" s="13" t="s">
        <v>67</v>
      </c>
      <c r="B29"/>
      <c r="C29" s="15">
        <f>SUM(C25:C28)</f>
        <v>794.75</v>
      </c>
      <c r="D29" s="16">
        <f>SUM(D25:D28)</f>
        <v>743.22</v>
      </c>
    </row>
    <row r="30" spans="1:4" ht="15" x14ac:dyDescent="0.4">
      <c r="A30" s="13" t="s">
        <v>68</v>
      </c>
      <c r="C30" s="11"/>
      <c r="D30" s="12"/>
    </row>
    <row r="31" spans="1:4" ht="15" x14ac:dyDescent="0.4">
      <c r="A31" t="s">
        <v>69</v>
      </c>
      <c r="B31" s="5" t="str">
        <f>HYPERLINK("#'Note_5_1_Inventories'!A1", "5.1")</f>
        <v>5.1</v>
      </c>
      <c r="C31" s="11">
        <f>TOT_Inventory</f>
        <v>145</v>
      </c>
      <c r="D31" s="12">
        <f>TOT_Inventory_PY</f>
        <v>120</v>
      </c>
    </row>
    <row r="32" spans="1:4" ht="15" x14ac:dyDescent="0.4">
      <c r="A32" t="s">
        <v>70</v>
      </c>
      <c r="B32" s="5" t="str">
        <f>HYPERLINK("#'Note_5_2_Receivables'!A1", "5.2")</f>
        <v>5.2</v>
      </c>
      <c r="C32" s="11">
        <f>TOT_Receivables</f>
        <v>175</v>
      </c>
      <c r="D32" s="12">
        <f>TOT_Receivables_PY</f>
        <v>175</v>
      </c>
    </row>
    <row r="33" spans="1:4" ht="15" x14ac:dyDescent="0.4">
      <c r="A33" t="s">
        <v>71</v>
      </c>
      <c r="B33" s="5" t="str">
        <f>HYPERLINK("#'Note_5_3_CashBank'!A1", "5.3")</f>
        <v>5.3</v>
      </c>
      <c r="C33" s="11">
        <f>TOT_Cash</f>
        <v>175</v>
      </c>
      <c r="D33" s="12">
        <f>TOT_Cash_PY</f>
        <v>155</v>
      </c>
    </row>
    <row r="34" spans="1:4" ht="15" x14ac:dyDescent="0.4">
      <c r="A34" t="s">
        <v>72</v>
      </c>
      <c r="B34" s="5" t="str">
        <f>HYPERLINK("#'Note_5_4_STLA'!A1", "5.4")</f>
        <v>5.4</v>
      </c>
      <c r="C34" s="11">
        <f>TOT_STLA</f>
        <v>0</v>
      </c>
      <c r="D34" s="12">
        <f>TOT_STLA_PY</f>
        <v>0</v>
      </c>
    </row>
    <row r="35" spans="1:4" ht="15" x14ac:dyDescent="0.4">
      <c r="A35" t="s">
        <v>73</v>
      </c>
      <c r="B35" s="5" t="str">
        <f>HYPERLINK("#'Note_5_5_OtherCA'!A1", "5.5")</f>
        <v>5.5</v>
      </c>
      <c r="C35" s="11">
        <f>TOT_OtherCA</f>
        <v>0</v>
      </c>
      <c r="D35" s="12">
        <f>TOT_OtherCA_PY</f>
        <v>0</v>
      </c>
    </row>
    <row r="36" spans="1:4" s="14" customFormat="1" ht="15" x14ac:dyDescent="0.4">
      <c r="A36" s="13" t="s">
        <v>74</v>
      </c>
      <c r="B36"/>
      <c r="C36" s="15">
        <f>SUM(C31:C35)</f>
        <v>495</v>
      </c>
      <c r="D36" s="16">
        <f>SUM(D31:D35)</f>
        <v>450</v>
      </c>
    </row>
    <row r="37" spans="1:4" s="17" customFormat="1" ht="16" x14ac:dyDescent="0.45">
      <c r="A37" s="18" t="s">
        <v>75</v>
      </c>
      <c r="B37"/>
      <c r="C37" s="19">
        <f>C29+C36</f>
        <v>1289.75</v>
      </c>
      <c r="D37" s="20">
        <f>D29+D36</f>
        <v>1193.22</v>
      </c>
    </row>
    <row r="38" spans="1:4" ht="15" x14ac:dyDescent="0.4">
      <c r="A38" s="21" t="s">
        <v>76</v>
      </c>
      <c r="C38" s="15">
        <f>C37-C21</f>
        <v>-575.25</v>
      </c>
      <c r="D38" s="16">
        <f>D37-D21</f>
        <v>843.22</v>
      </c>
    </row>
  </sheetData>
  <pageMargins left="0.75" right="0.75" top="1" bottom="1" header="0.5" footer="0.5"/>
  <pageSetup paperSize="9" orientation="portrait"/>
  <headerFooter>
    <oddFooter>&amp;LApex Engineering Industries Limited | FY 2024-25&amp;RPage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showGridLines="0" workbookViewId="0"/>
  </sheetViews>
  <sheetFormatPr defaultRowHeight="14.5" x14ac:dyDescent="0.35"/>
  <sheetData>
    <row r="1" spans="1:4" ht="21" x14ac:dyDescent="0.55000000000000004">
      <c r="A1" s="6" t="s">
        <v>0</v>
      </c>
    </row>
    <row r="2" spans="1:4" ht="16.5" x14ac:dyDescent="0.45">
      <c r="A2" s="7" t="s">
        <v>77</v>
      </c>
    </row>
    <row r="3" spans="1:4" ht="15" x14ac:dyDescent="0.4">
      <c r="A3" s="3" t="s">
        <v>40</v>
      </c>
    </row>
    <row r="5" spans="1:4" ht="24" customHeight="1" x14ac:dyDescent="0.35">
      <c r="A5" s="4" t="s">
        <v>41</v>
      </c>
      <c r="B5" s="4" t="s">
        <v>42</v>
      </c>
      <c r="C5" s="8" t="s">
        <v>78</v>
      </c>
      <c r="D5" s="9" t="s">
        <v>79</v>
      </c>
    </row>
    <row r="6" spans="1:4" ht="15" x14ac:dyDescent="0.4">
      <c r="A6" t="s">
        <v>80</v>
      </c>
      <c r="B6" s="5" t="str">
        <f>HYPERLINK("#'Note_6_1_Revenue'!A1", "6.1")</f>
        <v>6.1</v>
      </c>
      <c r="C6" s="11">
        <f>-TOT_Revenue</f>
        <v>-850</v>
      </c>
      <c r="D6" s="12">
        <f>-TOT_Revenue_PY</f>
        <v>-700</v>
      </c>
    </row>
    <row r="7" spans="1:4" ht="15" x14ac:dyDescent="0.4">
      <c r="A7" t="s">
        <v>81</v>
      </c>
      <c r="B7" s="5" t="str">
        <f>HYPERLINK("#'Note_6_2_OtherIncome'!A1", "6.2")</f>
        <v>6.2</v>
      </c>
      <c r="C7" s="11">
        <f>-TOT_OtherIncome</f>
        <v>-15</v>
      </c>
      <c r="D7" s="12">
        <f>-TOT_OtherIncome_PY</f>
        <v>-10</v>
      </c>
    </row>
    <row r="8" spans="1:4" s="14" customFormat="1" ht="15" x14ac:dyDescent="0.4">
      <c r="A8" s="13" t="s">
        <v>82</v>
      </c>
      <c r="B8"/>
      <c r="C8" s="11">
        <f>SUM(C6:C7)</f>
        <v>-865</v>
      </c>
      <c r="D8" s="12">
        <f>SUM(D6:D7)</f>
        <v>-710</v>
      </c>
    </row>
    <row r="9" spans="1:4" ht="15" x14ac:dyDescent="0.4">
      <c r="A9" s="13" t="s">
        <v>83</v>
      </c>
      <c r="C9" s="11"/>
      <c r="D9" s="12"/>
    </row>
    <row r="10" spans="1:4" ht="15" x14ac:dyDescent="0.4">
      <c r="A10" t="s">
        <v>84</v>
      </c>
      <c r="B10" s="5" t="str">
        <f>HYPERLINK("#'Note_7_1_Material'!A1", "7.1")</f>
        <v>7.1</v>
      </c>
      <c r="C10" s="11">
        <f>TOT_Material</f>
        <v>420</v>
      </c>
      <c r="D10" s="12">
        <f>TOT_Material_PY</f>
        <v>350</v>
      </c>
    </row>
    <row r="11" spans="1:4" ht="15" x14ac:dyDescent="0.4">
      <c r="A11" t="s">
        <v>85</v>
      </c>
      <c r="B11" s="5" t="str">
        <f>HYPERLINK("#'Note_7_2_Employee'!A1", "7.2")</f>
        <v>7.2</v>
      </c>
      <c r="C11" s="11">
        <f>TOT_Employee</f>
        <v>140</v>
      </c>
      <c r="D11" s="12">
        <f>TOT_Employee_PY</f>
        <v>120</v>
      </c>
    </row>
    <row r="12" spans="1:4" ht="15" x14ac:dyDescent="0.4">
      <c r="A12" t="s">
        <v>86</v>
      </c>
      <c r="B12" s="5" t="str">
        <f>HYPERLINK("#'Note_7_3_Finance'!A1", "7.3")</f>
        <v>7.3</v>
      </c>
      <c r="C12" s="11">
        <f>TOT_Finance</f>
        <v>32</v>
      </c>
      <c r="D12" s="12">
        <f>TOT_Finance_PY</f>
        <v>38</v>
      </c>
    </row>
    <row r="13" spans="1:4" ht="15" x14ac:dyDescent="0.4">
      <c r="A13" t="s">
        <v>87</v>
      </c>
      <c r="B13" s="5" t="str">
        <f>HYPERLINK("#'Note_7_4_Depreciation'!A1", "7.4")</f>
        <v>7.4</v>
      </c>
      <c r="C13" s="11">
        <f>TOT_Depreciation</f>
        <v>28</v>
      </c>
      <c r="D13" s="12">
        <f>TOT_Depreciation_PY</f>
        <v>25</v>
      </c>
    </row>
    <row r="14" spans="1:4" ht="15" x14ac:dyDescent="0.4">
      <c r="A14" t="s">
        <v>88</v>
      </c>
      <c r="B14" s="5" t="str">
        <f>HYPERLINK("#'Note_7_5_OtherExp'!A1", "7.5")</f>
        <v>7.5</v>
      </c>
      <c r="C14" s="11">
        <f>TOT_OtherExp</f>
        <v>45</v>
      </c>
      <c r="D14" s="12">
        <f>TOT_OtherExp_PY</f>
        <v>32</v>
      </c>
    </row>
    <row r="15" spans="1:4" s="14" customFormat="1" ht="15" x14ac:dyDescent="0.4">
      <c r="A15" s="13" t="s">
        <v>89</v>
      </c>
      <c r="B15"/>
      <c r="C15" s="11">
        <f>SUM(C10:C14)</f>
        <v>665</v>
      </c>
      <c r="D15" s="12">
        <f>SUM(D10:D14)</f>
        <v>565</v>
      </c>
    </row>
    <row r="16" spans="1:4" s="17" customFormat="1" ht="16" x14ac:dyDescent="0.45">
      <c r="A16" s="10" t="s">
        <v>90</v>
      </c>
      <c r="B16"/>
      <c r="C16" s="11">
        <f>C8-C15</f>
        <v>-1530</v>
      </c>
      <c r="D16" s="12">
        <f>D8-D15</f>
        <v>-1275</v>
      </c>
    </row>
    <row r="17" spans="1:4" ht="15" x14ac:dyDescent="0.4">
      <c r="A17" t="s">
        <v>91</v>
      </c>
      <c r="B17" s="5" t="str">
        <f>HYPERLINK("#'Note_7_6_Tax'!A1", "7.6")</f>
        <v>7.6</v>
      </c>
      <c r="C17" s="11">
        <f>-TOT_Tax</f>
        <v>-40</v>
      </c>
      <c r="D17" s="12">
        <f>-TOT_Tax_PY</f>
        <v>-30</v>
      </c>
    </row>
    <row r="18" spans="1:4" s="17" customFormat="1" ht="16" x14ac:dyDescent="0.45">
      <c r="A18" s="18" t="s">
        <v>92</v>
      </c>
      <c r="B18"/>
      <c r="C18" s="22">
        <f>C16-C17</f>
        <v>-1490</v>
      </c>
      <c r="D18" s="23">
        <f>D16-D17</f>
        <v>-1245</v>
      </c>
    </row>
    <row r="19" spans="1:4" ht="15" x14ac:dyDescent="0.4">
      <c r="A19" s="13" t="s">
        <v>93</v>
      </c>
      <c r="C19" s="24">
        <f>C18/10</f>
        <v>-149</v>
      </c>
      <c r="D19" s="25">
        <f>D18/10</f>
        <v>-124.5</v>
      </c>
    </row>
  </sheetData>
  <pageMargins left="0.75" right="0.75" top="1" bottom="1" header="0.5" footer="0.5"/>
  <pageSetup paperSize="9" orientation="portrait"/>
  <headerFooter>
    <oddFooter>&amp;LApex Engineering Industries Limited | FY 2024-25&amp;RPage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showGridLines="0" workbookViewId="0"/>
  </sheetViews>
  <sheetFormatPr defaultRowHeight="14.5" x14ac:dyDescent="0.35"/>
  <sheetData>
    <row r="1" spans="1:3" ht="21" x14ac:dyDescent="0.55000000000000004">
      <c r="A1" s="6" t="s">
        <v>0</v>
      </c>
    </row>
    <row r="2" spans="1:3" ht="16.5" x14ac:dyDescent="0.45">
      <c r="A2" s="7" t="s">
        <v>94</v>
      </c>
    </row>
    <row r="3" spans="1:3" ht="15" x14ac:dyDescent="0.4">
      <c r="A3" s="3" t="s">
        <v>40</v>
      </c>
    </row>
    <row r="5" spans="1:3" ht="24" customHeight="1" x14ac:dyDescent="0.35">
      <c r="A5" s="4" t="s">
        <v>41</v>
      </c>
      <c r="B5" s="8" t="s">
        <v>78</v>
      </c>
      <c r="C5" s="9" t="s">
        <v>79</v>
      </c>
    </row>
    <row r="6" spans="1:3" ht="16" x14ac:dyDescent="0.45">
      <c r="A6" s="10" t="s">
        <v>95</v>
      </c>
      <c r="B6" s="11"/>
      <c r="C6" s="12"/>
    </row>
    <row r="7" spans="1:3" x14ac:dyDescent="0.35">
      <c r="A7" t="s">
        <v>96</v>
      </c>
      <c r="B7" s="11">
        <f>'03_Profit_and_Loss'!C16</f>
        <v>-1530</v>
      </c>
      <c r="C7" s="12">
        <f>'03_Profit_and_Loss'!D16</f>
        <v>-1275</v>
      </c>
    </row>
    <row r="8" spans="1:3" x14ac:dyDescent="0.35">
      <c r="A8" t="s">
        <v>97</v>
      </c>
      <c r="B8" s="11"/>
      <c r="C8" s="12"/>
    </row>
    <row r="9" spans="1:3" x14ac:dyDescent="0.35">
      <c r="A9" t="s">
        <v>98</v>
      </c>
      <c r="B9" s="11">
        <f>TOT_Depreciation</f>
        <v>28</v>
      </c>
      <c r="C9" s="12">
        <f>TOT_Depreciation_PY</f>
        <v>25</v>
      </c>
    </row>
    <row r="10" spans="1:3" x14ac:dyDescent="0.35">
      <c r="A10" t="s">
        <v>99</v>
      </c>
      <c r="B10" s="11">
        <f>TOT_Finance</f>
        <v>32</v>
      </c>
      <c r="C10" s="12">
        <f>TOT_Finance_PY</f>
        <v>38</v>
      </c>
    </row>
    <row r="11" spans="1:3" x14ac:dyDescent="0.35">
      <c r="A11" t="s">
        <v>100</v>
      </c>
      <c r="B11" s="11">
        <f>-TOT_InterestIncome</f>
        <v>-10.5</v>
      </c>
      <c r="C11" s="12">
        <f>-TOT_InterestIncome_PY</f>
        <v>-7</v>
      </c>
    </row>
    <row r="12" spans="1:3" s="14" customFormat="1" ht="15" x14ac:dyDescent="0.4">
      <c r="A12" s="13" t="s">
        <v>101</v>
      </c>
      <c r="B12" s="11">
        <f>SUM(B7:B11)</f>
        <v>-1480.5</v>
      </c>
      <c r="C12" s="12">
        <f>SUM(C7:C11)</f>
        <v>-1219</v>
      </c>
    </row>
    <row r="13" spans="1:3" x14ac:dyDescent="0.35">
      <c r="A13" t="s">
        <v>102</v>
      </c>
      <c r="B13" s="11"/>
      <c r="C13" s="12"/>
    </row>
    <row r="14" spans="1:3" x14ac:dyDescent="0.35">
      <c r="A14" t="s">
        <v>103</v>
      </c>
      <c r="B14" s="11">
        <f>-(TOT_Inventory - TOT_Inventory_PY)</f>
        <v>-25</v>
      </c>
      <c r="C14" s="12">
        <v>0</v>
      </c>
    </row>
    <row r="15" spans="1:3" x14ac:dyDescent="0.35">
      <c r="A15" t="s">
        <v>104</v>
      </c>
      <c r="B15" s="11">
        <f>-(TOT_Receivables - TOT_Receivables_PY)</f>
        <v>0</v>
      </c>
      <c r="C15" s="12">
        <v>0</v>
      </c>
    </row>
    <row r="16" spans="1:3" x14ac:dyDescent="0.35">
      <c r="A16" t="s">
        <v>105</v>
      </c>
      <c r="B16" s="11">
        <f>(-TOT_Payables) - (-TOT_Payables_PY)</f>
        <v>0</v>
      </c>
      <c r="C16" s="12">
        <v>0</v>
      </c>
    </row>
    <row r="17" spans="1:3" x14ac:dyDescent="0.35">
      <c r="A17" t="s">
        <v>106</v>
      </c>
      <c r="B17" s="11">
        <f>(-TOT_OtherCL) - (-TOT_OtherCL_PY)</f>
        <v>-5</v>
      </c>
      <c r="C17" s="12">
        <v>0</v>
      </c>
    </row>
    <row r="18" spans="1:3" x14ac:dyDescent="0.35">
      <c r="A18" t="s">
        <v>107</v>
      </c>
      <c r="B18" s="11">
        <f>(-TOT_STProv) - (-TOT_STProv_PY)</f>
        <v>0</v>
      </c>
      <c r="C18" s="12">
        <v>0</v>
      </c>
    </row>
    <row r="19" spans="1:3" s="14" customFormat="1" ht="15" x14ac:dyDescent="0.4">
      <c r="A19" s="13" t="s">
        <v>108</v>
      </c>
      <c r="B19" s="11">
        <f>B12+SUM(B14:B18)</f>
        <v>-1510.5</v>
      </c>
      <c r="C19" s="12">
        <f>C12+SUM(C14:C18)</f>
        <v>-1219</v>
      </c>
    </row>
    <row r="20" spans="1:3" x14ac:dyDescent="0.35">
      <c r="A20" t="s">
        <v>109</v>
      </c>
      <c r="B20" s="11">
        <f>'29_Cash_Flow_Adjustments'!C2</f>
        <v>-40</v>
      </c>
      <c r="C20" s="12">
        <f>'29_Cash_Flow_Adjustments'!D2</f>
        <v>-30</v>
      </c>
    </row>
    <row r="21" spans="1:3" s="17" customFormat="1" ht="16" x14ac:dyDescent="0.45">
      <c r="A21" s="10" t="s">
        <v>110</v>
      </c>
      <c r="B21" s="11">
        <f>B19+B20</f>
        <v>-1550.5</v>
      </c>
      <c r="C21" s="12">
        <f>C19+C20</f>
        <v>-1249</v>
      </c>
    </row>
    <row r="22" spans="1:3" x14ac:dyDescent="0.35">
      <c r="B22" s="11"/>
      <c r="C22" s="12"/>
    </row>
    <row r="23" spans="1:3" ht="16" x14ac:dyDescent="0.45">
      <c r="A23" s="10" t="s">
        <v>111</v>
      </c>
      <c r="B23" s="11"/>
      <c r="C23" s="12"/>
    </row>
    <row r="24" spans="1:3" x14ac:dyDescent="0.35">
      <c r="A24" t="s">
        <v>112</v>
      </c>
      <c r="B24" s="11">
        <f>'29_Cash_Flow_Adjustments'!C6</f>
        <v>-79.529999999999973</v>
      </c>
      <c r="C24" s="12">
        <f>'29_Cash_Flow_Adjustments'!D6</f>
        <v>0</v>
      </c>
    </row>
    <row r="25" spans="1:3" x14ac:dyDescent="0.35">
      <c r="A25" t="s">
        <v>113</v>
      </c>
      <c r="B25" s="11">
        <v>0</v>
      </c>
      <c r="C25" s="12">
        <v>0</v>
      </c>
    </row>
    <row r="26" spans="1:3" x14ac:dyDescent="0.35">
      <c r="A26" t="s">
        <v>114</v>
      </c>
      <c r="B26" s="11">
        <f>'29_Cash_Flow_Adjustments'!C5</f>
        <v>10.5</v>
      </c>
      <c r="C26" s="12">
        <f>'29_Cash_Flow_Adjustments'!D5</f>
        <v>7</v>
      </c>
    </row>
    <row r="27" spans="1:3" s="17" customFormat="1" ht="16" x14ac:dyDescent="0.45">
      <c r="A27" s="10" t="s">
        <v>115</v>
      </c>
      <c r="B27" s="11">
        <f>SUM(B24:B26)</f>
        <v>-69.029999999999973</v>
      </c>
      <c r="C27" s="12">
        <f>SUM(C24:C26)</f>
        <v>7</v>
      </c>
    </row>
    <row r="28" spans="1:3" x14ac:dyDescent="0.35">
      <c r="B28" s="11"/>
      <c r="C28" s="12"/>
    </row>
    <row r="29" spans="1:3" ht="16" x14ac:dyDescent="0.45">
      <c r="A29" s="10" t="s">
        <v>116</v>
      </c>
      <c r="B29" s="11"/>
      <c r="C29" s="12"/>
    </row>
    <row r="30" spans="1:3" x14ac:dyDescent="0.35">
      <c r="A30" t="s">
        <v>117</v>
      </c>
      <c r="B30" s="11">
        <f>((-TOT_LTBorrow)+(-TOT_STBorrow)) - ((-TOT_LTBorrow_PY)+(-TOT_STBorrow_PY))</f>
        <v>30</v>
      </c>
      <c r="C30" s="12">
        <v>0</v>
      </c>
    </row>
    <row r="31" spans="1:3" x14ac:dyDescent="0.35">
      <c r="A31" t="s">
        <v>118</v>
      </c>
      <c r="B31" s="11">
        <f>((-TOT_ShareCapital)-(-TOT_ShareCapital_PY))</f>
        <v>0</v>
      </c>
      <c r="C31" s="12">
        <v>0</v>
      </c>
    </row>
    <row r="32" spans="1:3" x14ac:dyDescent="0.35">
      <c r="A32" t="s">
        <v>119</v>
      </c>
      <c r="B32" s="11">
        <f>'29_Cash_Flow_Adjustments'!C4</f>
        <v>-32</v>
      </c>
      <c r="C32" s="12">
        <f>'29_Cash_Flow_Adjustments'!D4</f>
        <v>-38</v>
      </c>
    </row>
    <row r="33" spans="1:3" x14ac:dyDescent="0.35">
      <c r="A33" t="s">
        <v>120</v>
      </c>
      <c r="B33" s="11">
        <f>'29_Cash_Flow_Adjustments'!C3</f>
        <v>0</v>
      </c>
      <c r="C33" s="12">
        <f>'29_Cash_Flow_Adjustments'!D3</f>
        <v>0</v>
      </c>
    </row>
    <row r="34" spans="1:3" s="17" customFormat="1" ht="16" x14ac:dyDescent="0.45">
      <c r="A34" s="10" t="s">
        <v>121</v>
      </c>
      <c r="B34" s="11">
        <f>SUM(B30:B33)</f>
        <v>-2</v>
      </c>
      <c r="C34" s="12">
        <f>SUM(C30:C33)</f>
        <v>-38</v>
      </c>
    </row>
    <row r="35" spans="1:3" x14ac:dyDescent="0.35">
      <c r="B35" s="11"/>
      <c r="C35" s="12"/>
    </row>
    <row r="36" spans="1:3" s="17" customFormat="1" ht="16" x14ac:dyDescent="0.45">
      <c r="A36" s="10" t="s">
        <v>122</v>
      </c>
      <c r="B36" s="11">
        <f>B21+B27+B34</f>
        <v>-1621.53</v>
      </c>
      <c r="C36" s="12">
        <f>C21+C27+C34</f>
        <v>-1280</v>
      </c>
    </row>
    <row r="37" spans="1:3" x14ac:dyDescent="0.35">
      <c r="A37" t="s">
        <v>123</v>
      </c>
      <c r="B37" s="11">
        <f>TOT_CashEquiv_PY</f>
        <v>155</v>
      </c>
      <c r="C37" s="12">
        <f>TOT_CashEquiv_PY</f>
        <v>155</v>
      </c>
    </row>
    <row r="38" spans="1:3" ht="15" x14ac:dyDescent="0.4">
      <c r="A38" s="13" t="s">
        <v>124</v>
      </c>
      <c r="B38" s="11">
        <f>B36+B37</f>
        <v>-1466.53</v>
      </c>
      <c r="C38" s="12">
        <f>C36+C37</f>
        <v>-1125</v>
      </c>
    </row>
    <row r="39" spans="1:3" ht="15" x14ac:dyDescent="0.4">
      <c r="A39" s="13" t="s">
        <v>125</v>
      </c>
      <c r="B39" s="11">
        <f>TOT_CashEquiv</f>
        <v>175</v>
      </c>
      <c r="C39" s="12">
        <f>TOT_CashEquiv</f>
        <v>175</v>
      </c>
    </row>
    <row r="40" spans="1:3" s="17" customFormat="1" ht="16" x14ac:dyDescent="0.45">
      <c r="A40" s="18" t="s">
        <v>126</v>
      </c>
      <c r="B40" s="22">
        <f>B38-B39</f>
        <v>-1641.53</v>
      </c>
      <c r="C40" s="23">
        <f>C38-C39</f>
        <v>-1300</v>
      </c>
    </row>
  </sheetData>
  <pageMargins left="0.75" right="0.75" top="1" bottom="1" header="0.5" footer="0.5"/>
  <pageSetup paperSize="9" orientation="portrait"/>
  <headerFooter>
    <oddFooter>&amp;LApex Engineering Industries Limited | FY 2024-25&amp;RPage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5"/>
  <sheetViews>
    <sheetView showGridLines="0" workbookViewId="0"/>
  </sheetViews>
  <sheetFormatPr defaultRowHeight="14.5" x14ac:dyDescent="0.35"/>
  <sheetData>
    <row r="1" spans="1:4" ht="21" x14ac:dyDescent="0.55000000000000004">
      <c r="A1" s="6" t="s">
        <v>0</v>
      </c>
    </row>
    <row r="2" spans="1:4" ht="16.5" x14ac:dyDescent="0.45">
      <c r="A2" s="7" t="s">
        <v>127</v>
      </c>
    </row>
    <row r="4" spans="1:4" ht="24" customHeight="1" x14ac:dyDescent="0.35">
      <c r="A4" s="4" t="s">
        <v>128</v>
      </c>
      <c r="B4" s="4" t="s">
        <v>129</v>
      </c>
      <c r="C4" s="4" t="s">
        <v>130</v>
      </c>
      <c r="D4" s="4" t="s">
        <v>131</v>
      </c>
    </row>
    <row r="5" spans="1:4" x14ac:dyDescent="0.35">
      <c r="A5" t="s">
        <v>132</v>
      </c>
      <c r="B5" t="s">
        <v>133</v>
      </c>
      <c r="C5" t="s">
        <v>134</v>
      </c>
      <c r="D5" t="s">
        <v>135</v>
      </c>
    </row>
    <row r="6" spans="1:4" x14ac:dyDescent="0.35">
      <c r="A6" t="s">
        <v>136</v>
      </c>
      <c r="B6" t="s">
        <v>137</v>
      </c>
      <c r="C6" t="s">
        <v>138</v>
      </c>
      <c r="D6" t="s">
        <v>135</v>
      </c>
    </row>
    <row r="7" spans="1:4" x14ac:dyDescent="0.35">
      <c r="A7" t="s">
        <v>139</v>
      </c>
      <c r="B7" t="s">
        <v>140</v>
      </c>
      <c r="C7" t="s">
        <v>141</v>
      </c>
      <c r="D7" t="s">
        <v>135</v>
      </c>
    </row>
    <row r="8" spans="1:4" x14ac:dyDescent="0.35">
      <c r="A8" t="s">
        <v>142</v>
      </c>
      <c r="B8" t="s">
        <v>143</v>
      </c>
      <c r="C8" t="s">
        <v>144</v>
      </c>
      <c r="D8" t="s">
        <v>135</v>
      </c>
    </row>
    <row r="9" spans="1:4" x14ac:dyDescent="0.35">
      <c r="A9" t="s">
        <v>145</v>
      </c>
      <c r="B9" t="s">
        <v>146</v>
      </c>
      <c r="C9" t="s">
        <v>147</v>
      </c>
      <c r="D9" t="s">
        <v>135</v>
      </c>
    </row>
    <row r="10" spans="1:4" x14ac:dyDescent="0.35">
      <c r="A10" t="s">
        <v>148</v>
      </c>
      <c r="B10" t="s">
        <v>149</v>
      </c>
      <c r="C10" t="s">
        <v>150</v>
      </c>
      <c r="D10" t="s">
        <v>135</v>
      </c>
    </row>
    <row r="11" spans="1:4" x14ac:dyDescent="0.35">
      <c r="A11" t="s">
        <v>151</v>
      </c>
      <c r="B11" t="s">
        <v>152</v>
      </c>
      <c r="C11" t="s">
        <v>153</v>
      </c>
      <c r="D11" t="s">
        <v>135</v>
      </c>
    </row>
    <row r="12" spans="1:4" x14ac:dyDescent="0.35">
      <c r="A12" t="s">
        <v>154</v>
      </c>
      <c r="B12" t="s">
        <v>155</v>
      </c>
      <c r="C12" t="s">
        <v>156</v>
      </c>
      <c r="D12" t="s">
        <v>135</v>
      </c>
    </row>
    <row r="13" spans="1:4" x14ac:dyDescent="0.35">
      <c r="A13" t="s">
        <v>157</v>
      </c>
      <c r="B13" t="s">
        <v>158</v>
      </c>
      <c r="C13" t="s">
        <v>159</v>
      </c>
      <c r="D13" t="s">
        <v>135</v>
      </c>
    </row>
    <row r="14" spans="1:4" x14ac:dyDescent="0.35">
      <c r="A14" t="s">
        <v>160</v>
      </c>
      <c r="B14" t="s">
        <v>161</v>
      </c>
      <c r="C14" t="s">
        <v>162</v>
      </c>
      <c r="D14" t="s">
        <v>135</v>
      </c>
    </row>
    <row r="15" spans="1:4" x14ac:dyDescent="0.35">
      <c r="A15" t="s">
        <v>163</v>
      </c>
      <c r="B15" t="s">
        <v>164</v>
      </c>
      <c r="C15" t="s">
        <v>165</v>
      </c>
      <c r="D15" t="s">
        <v>135</v>
      </c>
    </row>
    <row r="16" spans="1:4" x14ac:dyDescent="0.35">
      <c r="A16" t="s">
        <v>166</v>
      </c>
      <c r="B16" t="s">
        <v>167</v>
      </c>
      <c r="C16" t="s">
        <v>168</v>
      </c>
      <c r="D16" t="s">
        <v>135</v>
      </c>
    </row>
    <row r="17" spans="1:4" x14ac:dyDescent="0.35">
      <c r="A17" t="s">
        <v>169</v>
      </c>
      <c r="B17" t="s">
        <v>170</v>
      </c>
      <c r="C17" t="s">
        <v>171</v>
      </c>
      <c r="D17" t="s">
        <v>135</v>
      </c>
    </row>
    <row r="18" spans="1:4" x14ac:dyDescent="0.35">
      <c r="A18" t="s">
        <v>172</v>
      </c>
      <c r="B18" t="s">
        <v>173</v>
      </c>
      <c r="C18" t="s">
        <v>174</v>
      </c>
      <c r="D18" t="s">
        <v>135</v>
      </c>
    </row>
    <row r="19" spans="1:4" x14ac:dyDescent="0.35">
      <c r="A19" t="s">
        <v>175</v>
      </c>
      <c r="B19" t="s">
        <v>176</v>
      </c>
      <c r="C19" t="s">
        <v>177</v>
      </c>
      <c r="D19" t="s">
        <v>135</v>
      </c>
    </row>
    <row r="20" spans="1:4" x14ac:dyDescent="0.35">
      <c r="A20" t="s">
        <v>178</v>
      </c>
      <c r="B20" t="s">
        <v>179</v>
      </c>
      <c r="C20" t="s">
        <v>180</v>
      </c>
      <c r="D20" t="s">
        <v>135</v>
      </c>
    </row>
    <row r="21" spans="1:4" x14ac:dyDescent="0.35">
      <c r="A21" t="s">
        <v>181</v>
      </c>
      <c r="B21" t="s">
        <v>182</v>
      </c>
      <c r="C21" t="s">
        <v>183</v>
      </c>
      <c r="D21" t="s">
        <v>135</v>
      </c>
    </row>
    <row r="22" spans="1:4" x14ac:dyDescent="0.35">
      <c r="A22" t="s">
        <v>184</v>
      </c>
      <c r="B22" t="s">
        <v>185</v>
      </c>
      <c r="C22" t="s">
        <v>186</v>
      </c>
      <c r="D22" t="s">
        <v>135</v>
      </c>
    </row>
    <row r="23" spans="1:4" x14ac:dyDescent="0.35">
      <c r="A23" t="s">
        <v>187</v>
      </c>
      <c r="B23" t="s">
        <v>188</v>
      </c>
      <c r="C23" t="s">
        <v>189</v>
      </c>
      <c r="D23" t="s">
        <v>135</v>
      </c>
    </row>
    <row r="24" spans="1:4" x14ac:dyDescent="0.35">
      <c r="A24" t="s">
        <v>190</v>
      </c>
      <c r="B24" t="s">
        <v>191</v>
      </c>
      <c r="C24" t="s">
        <v>192</v>
      </c>
      <c r="D24" t="s">
        <v>135</v>
      </c>
    </row>
    <row r="25" spans="1:4" x14ac:dyDescent="0.35">
      <c r="A25" t="s">
        <v>193</v>
      </c>
      <c r="B25" t="s">
        <v>194</v>
      </c>
      <c r="C25" t="s">
        <v>195</v>
      </c>
      <c r="D25" t="s">
        <v>135</v>
      </c>
    </row>
  </sheetData>
  <pageMargins left="0.75" right="0.75" top="1" bottom="1" header="0.5" footer="0.5"/>
  <pageSetup paperSize="9" orientation="portrait"/>
  <headerFooter>
    <oddFooter>&amp;LApex Engineering Industries Limited | FY 2024-25&amp;RPage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16"/>
  <sheetViews>
    <sheetView showGridLines="0" workbookViewId="0"/>
  </sheetViews>
  <sheetFormatPr defaultRowHeight="14.5" x14ac:dyDescent="0.35"/>
  <sheetData>
    <row r="1" spans="1:4" ht="24" customHeight="1" x14ac:dyDescent="0.35">
      <c r="A1" s="4" t="s">
        <v>4</v>
      </c>
      <c r="B1" s="4" t="s">
        <v>196</v>
      </c>
      <c r="C1" s="4" t="str">
        <f>HYPERLINK("#'01_Cover_Page'!A1", "[&lt;- Back to Index Sitemap]")</f>
        <v>[&lt;- Back to Index Sitemap]</v>
      </c>
      <c r="D1" s="4"/>
    </row>
    <row r="2" spans="1:4" x14ac:dyDescent="0.35">
      <c r="A2" t="s">
        <v>197</v>
      </c>
    </row>
    <row r="4" spans="1:4" ht="16" x14ac:dyDescent="0.45">
      <c r="A4" s="10" t="s">
        <v>198</v>
      </c>
      <c r="B4" t="str">
        <f>HYPERLINK("#'Note_1_1_ShareCapital'!A1", "[Open Note Tab]")</f>
        <v>[Open Note Tab]</v>
      </c>
    </row>
    <row r="5" spans="1:4" ht="24" customHeight="1" x14ac:dyDescent="0.35">
      <c r="A5" s="4" t="s">
        <v>41</v>
      </c>
      <c r="B5" s="4" t="s">
        <v>199</v>
      </c>
      <c r="C5" s="4" t="s">
        <v>200</v>
      </c>
      <c r="D5" s="4"/>
    </row>
    <row r="6" spans="1:4" x14ac:dyDescent="0.35">
      <c r="A6" t="s">
        <v>201</v>
      </c>
    </row>
    <row r="7" spans="1:4" x14ac:dyDescent="0.35">
      <c r="A7" t="s">
        <v>202</v>
      </c>
      <c r="B7" s="11" t="s">
        <v>203</v>
      </c>
      <c r="C7" s="11" t="s">
        <v>203</v>
      </c>
    </row>
    <row r="8" spans="1:4" x14ac:dyDescent="0.35">
      <c r="A8" t="s">
        <v>204</v>
      </c>
    </row>
    <row r="9" spans="1:4" x14ac:dyDescent="0.35">
      <c r="A9" t="s">
        <v>205</v>
      </c>
      <c r="B9" s="11" t="s">
        <v>203</v>
      </c>
      <c r="C9" s="11" t="s">
        <v>203</v>
      </c>
    </row>
    <row r="10" spans="1:4" ht="15" x14ac:dyDescent="0.4">
      <c r="A10" s="26" t="s">
        <v>206</v>
      </c>
      <c r="B10" s="27" t="s">
        <v>203</v>
      </c>
      <c r="C10" s="27" t="s">
        <v>203</v>
      </c>
    </row>
    <row r="12" spans="1:4" ht="16" x14ac:dyDescent="0.45">
      <c r="A12" s="10" t="s">
        <v>207</v>
      </c>
      <c r="B12" t="str">
        <f>HYPERLINK("#'Note_1_2_Reserves'!A1", "[Open Note Tab]")</f>
        <v>[Open Note Tab]</v>
      </c>
    </row>
    <row r="13" spans="1:4" ht="24" customHeight="1" x14ac:dyDescent="0.35">
      <c r="A13" s="4" t="s">
        <v>41</v>
      </c>
      <c r="B13" s="4" t="s">
        <v>199</v>
      </c>
      <c r="C13" s="4" t="s">
        <v>200</v>
      </c>
      <c r="D13" s="4"/>
    </row>
    <row r="14" spans="1:4" x14ac:dyDescent="0.35">
      <c r="A14" t="s">
        <v>208</v>
      </c>
    </row>
    <row r="15" spans="1:4" x14ac:dyDescent="0.35">
      <c r="A15" t="s">
        <v>209</v>
      </c>
      <c r="B15" s="11" t="s">
        <v>210</v>
      </c>
      <c r="C15" s="11" t="s">
        <v>210</v>
      </c>
    </row>
    <row r="16" spans="1:4" x14ac:dyDescent="0.35">
      <c r="A16" t="s">
        <v>211</v>
      </c>
      <c r="B16" s="11" t="s">
        <v>212</v>
      </c>
      <c r="C16" s="11" t="s">
        <v>212</v>
      </c>
    </row>
    <row r="17" spans="1:4" x14ac:dyDescent="0.35">
      <c r="A17" t="s">
        <v>213</v>
      </c>
      <c r="B17" s="11" t="s">
        <v>210</v>
      </c>
      <c r="C17" s="11" t="s">
        <v>210</v>
      </c>
    </row>
    <row r="18" spans="1:4" x14ac:dyDescent="0.35">
      <c r="A18" t="s">
        <v>214</v>
      </c>
    </row>
    <row r="19" spans="1:4" x14ac:dyDescent="0.35">
      <c r="A19" t="s">
        <v>209</v>
      </c>
      <c r="B19" s="11" t="s">
        <v>215</v>
      </c>
      <c r="C19" s="11" t="s">
        <v>212</v>
      </c>
    </row>
    <row r="20" spans="1:4" x14ac:dyDescent="0.35">
      <c r="A20" t="s">
        <v>216</v>
      </c>
      <c r="B20" s="11" t="s">
        <v>217</v>
      </c>
      <c r="C20" s="11" t="s">
        <v>215</v>
      </c>
    </row>
    <row r="21" spans="1:4" x14ac:dyDescent="0.35">
      <c r="A21" t="s">
        <v>218</v>
      </c>
      <c r="B21" s="11" t="s">
        <v>217</v>
      </c>
      <c r="C21" s="11" t="s">
        <v>215</v>
      </c>
    </row>
    <row r="22" spans="1:4" ht="15" x14ac:dyDescent="0.4">
      <c r="A22" s="26" t="s">
        <v>219</v>
      </c>
      <c r="B22" s="27" t="s">
        <v>220</v>
      </c>
      <c r="C22" s="27" t="s">
        <v>221</v>
      </c>
    </row>
    <row r="24" spans="1:4" ht="16" x14ac:dyDescent="0.45">
      <c r="A24" s="10" t="s">
        <v>222</v>
      </c>
      <c r="B24" t="str">
        <f>HYPERLINK("#'Note_2_1_LTBorrow'!A1", "[Open Note Tab]")</f>
        <v>[Open Note Tab]</v>
      </c>
    </row>
    <row r="25" spans="1:4" ht="24" customHeight="1" x14ac:dyDescent="0.35">
      <c r="A25" s="4" t="s">
        <v>41</v>
      </c>
      <c r="B25" s="4" t="s">
        <v>199</v>
      </c>
      <c r="C25" s="4" t="s">
        <v>200</v>
      </c>
      <c r="D25" s="4"/>
    </row>
    <row r="26" spans="1:4" x14ac:dyDescent="0.35">
      <c r="A26" t="s">
        <v>223</v>
      </c>
      <c r="B26" s="11" t="s">
        <v>224</v>
      </c>
      <c r="C26" s="11" t="s">
        <v>225</v>
      </c>
    </row>
    <row r="27" spans="1:4" ht="15" x14ac:dyDescent="0.4">
      <c r="A27" s="26" t="s">
        <v>226</v>
      </c>
      <c r="B27" s="27" t="s">
        <v>224</v>
      </c>
      <c r="C27" s="27" t="s">
        <v>225</v>
      </c>
    </row>
    <row r="29" spans="1:4" ht="16" x14ac:dyDescent="0.45">
      <c r="A29" s="10" t="s">
        <v>227</v>
      </c>
      <c r="B29" t="str">
        <f>HYPERLINK("#'Note_2_2_LTProv'!A1", "[Open Note Tab]")</f>
        <v>[Open Note Tab]</v>
      </c>
    </row>
    <row r="30" spans="1:4" ht="24" customHeight="1" x14ac:dyDescent="0.35">
      <c r="A30" s="4" t="s">
        <v>41</v>
      </c>
      <c r="B30" s="4" t="s">
        <v>199</v>
      </c>
      <c r="C30" s="4" t="s">
        <v>200</v>
      </c>
      <c r="D30" s="4"/>
    </row>
    <row r="31" spans="1:4" x14ac:dyDescent="0.35">
      <c r="A31" t="s">
        <v>228</v>
      </c>
      <c r="B31" s="11" t="s">
        <v>212</v>
      </c>
      <c r="C31" s="11" t="s">
        <v>212</v>
      </c>
    </row>
    <row r="32" spans="1:4" x14ac:dyDescent="0.35">
      <c r="A32" t="s">
        <v>229</v>
      </c>
      <c r="B32" s="11" t="s">
        <v>212</v>
      </c>
      <c r="C32" s="11" t="s">
        <v>212</v>
      </c>
    </row>
    <row r="33" spans="1:7" ht="15" x14ac:dyDescent="0.4">
      <c r="A33" s="26" t="s">
        <v>230</v>
      </c>
      <c r="B33" s="27" t="s">
        <v>212</v>
      </c>
      <c r="C33" s="27" t="s">
        <v>212</v>
      </c>
    </row>
    <row r="35" spans="1:7" ht="16" x14ac:dyDescent="0.45">
      <c r="A35" s="10" t="s">
        <v>231</v>
      </c>
      <c r="B35" t="str">
        <f>HYPERLINK("#'Note_3_1_STBorrow'!A1", "[Open Note Tab]")</f>
        <v>[Open Note Tab]</v>
      </c>
    </row>
    <row r="36" spans="1:7" ht="24" customHeight="1" x14ac:dyDescent="0.35">
      <c r="A36" s="4" t="s">
        <v>41</v>
      </c>
      <c r="B36" s="4" t="s">
        <v>199</v>
      </c>
      <c r="C36" s="4" t="s">
        <v>200</v>
      </c>
      <c r="D36" s="4"/>
    </row>
    <row r="37" spans="1:7" x14ac:dyDescent="0.35">
      <c r="A37" t="s">
        <v>232</v>
      </c>
      <c r="B37" s="11" t="s">
        <v>233</v>
      </c>
      <c r="C37" s="11" t="s">
        <v>234</v>
      </c>
    </row>
    <row r="38" spans="1:7" ht="15" x14ac:dyDescent="0.4">
      <c r="A38" s="26" t="s">
        <v>235</v>
      </c>
      <c r="B38" s="27" t="s">
        <v>233</v>
      </c>
      <c r="C38" s="27" t="s">
        <v>234</v>
      </c>
    </row>
    <row r="40" spans="1:7" ht="16" x14ac:dyDescent="0.45">
      <c r="A40" s="10" t="s">
        <v>236</v>
      </c>
      <c r="B40" t="str">
        <f>HYPERLINK("#'Note_3_2_TradePayables'!A1", "[Open Note Tab]")</f>
        <v>[Open Note Tab]</v>
      </c>
    </row>
    <row r="41" spans="1:7" ht="24" customHeight="1" x14ac:dyDescent="0.35">
      <c r="A41" s="4" t="s">
        <v>237</v>
      </c>
      <c r="B41" s="4" t="s">
        <v>238</v>
      </c>
      <c r="C41" s="4" t="s">
        <v>239</v>
      </c>
      <c r="D41" s="4" t="s">
        <v>240</v>
      </c>
      <c r="E41" s="4" t="s">
        <v>241</v>
      </c>
      <c r="F41" s="4" t="s">
        <v>242</v>
      </c>
      <c r="G41" s="4" t="s">
        <v>243</v>
      </c>
    </row>
    <row r="42" spans="1:7" x14ac:dyDescent="0.35">
      <c r="A42" t="s">
        <v>244</v>
      </c>
      <c r="B42" t="s">
        <v>245</v>
      </c>
      <c r="C42" s="11" t="s">
        <v>234</v>
      </c>
      <c r="D42" s="11" t="s">
        <v>246</v>
      </c>
      <c r="E42" s="11" t="s">
        <v>212</v>
      </c>
      <c r="F42" s="11" t="s">
        <v>212</v>
      </c>
      <c r="G42" s="11" t="s">
        <v>247</v>
      </c>
    </row>
    <row r="43" spans="1:7" x14ac:dyDescent="0.35">
      <c r="A43" t="s">
        <v>248</v>
      </c>
      <c r="B43" t="s">
        <v>249</v>
      </c>
      <c r="C43" s="11" t="s">
        <v>250</v>
      </c>
      <c r="D43" s="11" t="s">
        <v>251</v>
      </c>
      <c r="E43" s="11" t="s">
        <v>212</v>
      </c>
      <c r="F43" s="11" t="s">
        <v>212</v>
      </c>
      <c r="G43" s="11" t="s">
        <v>252</v>
      </c>
    </row>
    <row r="44" spans="1:7" ht="15" x14ac:dyDescent="0.4">
      <c r="A44" s="26" t="s">
        <v>253</v>
      </c>
      <c r="B44" s="26"/>
      <c r="C44" s="27" t="s">
        <v>254</v>
      </c>
      <c r="D44" s="26"/>
      <c r="E44" s="26"/>
      <c r="F44" s="26"/>
      <c r="G44" s="27" t="s">
        <v>254</v>
      </c>
    </row>
    <row r="46" spans="1:7" ht="16" x14ac:dyDescent="0.45">
      <c r="A46" s="10" t="s">
        <v>255</v>
      </c>
      <c r="B46" t="str">
        <f>HYPERLINK("#'Note_3_3_OtherCL'!A1", "[Open Note Tab]")</f>
        <v>[Open Note Tab]</v>
      </c>
    </row>
    <row r="47" spans="1:7" ht="24" customHeight="1" x14ac:dyDescent="0.35">
      <c r="A47" s="4" t="s">
        <v>41</v>
      </c>
      <c r="B47" s="4" t="s">
        <v>199</v>
      </c>
      <c r="C47" s="4" t="s">
        <v>200</v>
      </c>
      <c r="D47" s="4"/>
      <c r="E47" s="4"/>
      <c r="F47" s="4"/>
      <c r="G47" s="4"/>
    </row>
    <row r="48" spans="1:7" x14ac:dyDescent="0.35">
      <c r="A48" t="s">
        <v>256</v>
      </c>
      <c r="B48" s="11" t="s">
        <v>257</v>
      </c>
      <c r="C48" s="11" t="s">
        <v>258</v>
      </c>
    </row>
    <row r="49" spans="1:11" x14ac:dyDescent="0.35">
      <c r="A49" t="s">
        <v>259</v>
      </c>
      <c r="B49" s="11" t="s">
        <v>260</v>
      </c>
      <c r="C49" s="11" t="s">
        <v>261</v>
      </c>
    </row>
    <row r="50" spans="1:11" x14ac:dyDescent="0.35">
      <c r="A50" t="s">
        <v>262</v>
      </c>
      <c r="B50" s="11" t="s">
        <v>246</v>
      </c>
      <c r="C50" s="11" t="s">
        <v>263</v>
      </c>
    </row>
    <row r="51" spans="1:11" x14ac:dyDescent="0.35">
      <c r="A51" t="s">
        <v>264</v>
      </c>
      <c r="B51" s="11" t="s">
        <v>260</v>
      </c>
      <c r="C51" s="11" t="s">
        <v>261</v>
      </c>
    </row>
    <row r="52" spans="1:11" x14ac:dyDescent="0.35">
      <c r="A52" t="s">
        <v>265</v>
      </c>
      <c r="B52" s="11" t="s">
        <v>266</v>
      </c>
      <c r="C52" s="11" t="s">
        <v>267</v>
      </c>
    </row>
    <row r="53" spans="1:11" ht="15" x14ac:dyDescent="0.4">
      <c r="A53" s="26" t="s">
        <v>268</v>
      </c>
      <c r="B53" s="27" t="s">
        <v>269</v>
      </c>
      <c r="C53" s="27" t="s">
        <v>270</v>
      </c>
    </row>
    <row r="55" spans="1:11" ht="16" x14ac:dyDescent="0.45">
      <c r="A55" s="10" t="s">
        <v>271</v>
      </c>
      <c r="B55" t="str">
        <f>HYPERLINK("#'Note_3_4_STProv'!A1", "[Open Note Tab]")</f>
        <v>[Open Note Tab]</v>
      </c>
    </row>
    <row r="56" spans="1:11" ht="24" customHeight="1" x14ac:dyDescent="0.35">
      <c r="A56" s="4" t="s">
        <v>41</v>
      </c>
      <c r="B56" s="4" t="s">
        <v>199</v>
      </c>
      <c r="C56" s="4" t="s">
        <v>200</v>
      </c>
      <c r="D56" s="4"/>
      <c r="E56" s="4"/>
      <c r="F56" s="4"/>
      <c r="G56" s="4"/>
    </row>
    <row r="57" spans="1:11" x14ac:dyDescent="0.35">
      <c r="A57" t="s">
        <v>272</v>
      </c>
      <c r="B57" s="11" t="s">
        <v>212</v>
      </c>
      <c r="C57" s="11" t="s">
        <v>212</v>
      </c>
    </row>
    <row r="58" spans="1:11" x14ac:dyDescent="0.35">
      <c r="A58" t="s">
        <v>273</v>
      </c>
      <c r="B58" s="11" t="s">
        <v>212</v>
      </c>
      <c r="C58" s="11" t="s">
        <v>212</v>
      </c>
    </row>
    <row r="59" spans="1:11" x14ac:dyDescent="0.35">
      <c r="A59" t="s">
        <v>274</v>
      </c>
      <c r="B59" s="11" t="s">
        <v>212</v>
      </c>
      <c r="C59" s="11" t="s">
        <v>212</v>
      </c>
    </row>
    <row r="60" spans="1:11" ht="15" x14ac:dyDescent="0.4">
      <c r="A60" s="26" t="s">
        <v>275</v>
      </c>
      <c r="B60" s="27" t="s">
        <v>212</v>
      </c>
      <c r="C60" s="27" t="s">
        <v>212</v>
      </c>
    </row>
    <row r="62" spans="1:11" ht="16" x14ac:dyDescent="0.45">
      <c r="A62" s="10" t="s">
        <v>276</v>
      </c>
      <c r="B62" t="str">
        <f>HYPERLINK("#'Note_4_1_PPE'!A1", "[Open Note Tab]")</f>
        <v>[Open Note Tab]</v>
      </c>
    </row>
    <row r="63" spans="1:11" ht="24" customHeight="1" x14ac:dyDescent="0.35">
      <c r="A63" s="4" t="s">
        <v>277</v>
      </c>
      <c r="B63" s="4" t="s">
        <v>278</v>
      </c>
      <c r="C63" s="4" t="s">
        <v>279</v>
      </c>
      <c r="D63" s="4" t="s">
        <v>280</v>
      </c>
      <c r="E63" s="4" t="s">
        <v>281</v>
      </c>
      <c r="F63" s="4" t="s">
        <v>282</v>
      </c>
      <c r="G63" s="4" t="s">
        <v>283</v>
      </c>
      <c r="H63" s="4" t="s">
        <v>284</v>
      </c>
      <c r="I63" s="4" t="s">
        <v>285</v>
      </c>
      <c r="J63" s="4" t="s">
        <v>286</v>
      </c>
      <c r="K63" s="4" t="s">
        <v>287</v>
      </c>
    </row>
    <row r="64" spans="1:11" x14ac:dyDescent="0.35">
      <c r="A64" t="s">
        <v>288</v>
      </c>
      <c r="B64" s="11" t="s">
        <v>289</v>
      </c>
      <c r="C64" s="11" t="s">
        <v>290</v>
      </c>
      <c r="D64" s="11" t="s">
        <v>212</v>
      </c>
      <c r="E64" s="11" t="s">
        <v>291</v>
      </c>
      <c r="F64" s="11" t="s">
        <v>212</v>
      </c>
      <c r="G64" s="11" t="s">
        <v>212</v>
      </c>
      <c r="H64" s="11" t="s">
        <v>212</v>
      </c>
      <c r="I64" s="11" t="s">
        <v>212</v>
      </c>
      <c r="J64" s="11" t="s">
        <v>291</v>
      </c>
      <c r="K64" s="11" t="s">
        <v>289</v>
      </c>
    </row>
    <row r="65" spans="1:11" x14ac:dyDescent="0.35">
      <c r="A65" t="s">
        <v>292</v>
      </c>
      <c r="B65" s="11" t="s">
        <v>293</v>
      </c>
      <c r="C65" s="11" t="s">
        <v>294</v>
      </c>
      <c r="D65" s="11" t="s">
        <v>212</v>
      </c>
      <c r="E65" s="11" t="s">
        <v>295</v>
      </c>
      <c r="F65" s="11" t="s">
        <v>296</v>
      </c>
      <c r="G65" s="11" t="s">
        <v>297</v>
      </c>
      <c r="H65" s="11" t="s">
        <v>212</v>
      </c>
      <c r="I65" s="11" t="s">
        <v>298</v>
      </c>
      <c r="J65" s="11" t="s">
        <v>299</v>
      </c>
      <c r="K65" s="11" t="s">
        <v>300</v>
      </c>
    </row>
    <row r="66" spans="1:11" x14ac:dyDescent="0.35">
      <c r="A66" t="s">
        <v>301</v>
      </c>
      <c r="B66" s="11" t="s">
        <v>302</v>
      </c>
      <c r="C66" s="11" t="s">
        <v>303</v>
      </c>
      <c r="D66" s="11" t="s">
        <v>212</v>
      </c>
      <c r="E66" s="11" t="s">
        <v>304</v>
      </c>
      <c r="F66" s="11" t="s">
        <v>305</v>
      </c>
      <c r="G66" s="11" t="s">
        <v>306</v>
      </c>
      <c r="H66" s="11" t="s">
        <v>212</v>
      </c>
      <c r="I66" s="11" t="s">
        <v>307</v>
      </c>
      <c r="J66" s="11" t="s">
        <v>308</v>
      </c>
      <c r="K66" s="11" t="s">
        <v>309</v>
      </c>
    </row>
    <row r="67" spans="1:11" x14ac:dyDescent="0.35">
      <c r="A67" t="s">
        <v>310</v>
      </c>
      <c r="B67" s="11" t="s">
        <v>311</v>
      </c>
      <c r="C67" s="11" t="s">
        <v>312</v>
      </c>
      <c r="D67" s="11" t="s">
        <v>212</v>
      </c>
      <c r="E67" s="11" t="s">
        <v>313</v>
      </c>
      <c r="F67" s="11" t="s">
        <v>314</v>
      </c>
      <c r="G67" s="11" t="s">
        <v>315</v>
      </c>
      <c r="H67" s="11" t="s">
        <v>212</v>
      </c>
      <c r="I67" s="11" t="s">
        <v>316</v>
      </c>
      <c r="J67" s="11" t="s">
        <v>317</v>
      </c>
      <c r="K67" s="11" t="s">
        <v>318</v>
      </c>
    </row>
    <row r="68" spans="1:11" x14ac:dyDescent="0.35">
      <c r="A68" t="s">
        <v>319</v>
      </c>
      <c r="B68" s="11" t="s">
        <v>320</v>
      </c>
      <c r="C68" s="11" t="s">
        <v>321</v>
      </c>
      <c r="D68" s="11" t="s">
        <v>212</v>
      </c>
      <c r="E68" s="11" t="s">
        <v>322</v>
      </c>
      <c r="F68" s="11" t="s">
        <v>323</v>
      </c>
      <c r="G68" s="11" t="s">
        <v>324</v>
      </c>
      <c r="H68" s="11" t="s">
        <v>212</v>
      </c>
      <c r="I68" s="11" t="s">
        <v>325</v>
      </c>
      <c r="J68" s="11" t="s">
        <v>326</v>
      </c>
      <c r="K68" s="11" t="s">
        <v>327</v>
      </c>
    </row>
    <row r="69" spans="1:11" x14ac:dyDescent="0.35">
      <c r="A69" t="s">
        <v>328</v>
      </c>
      <c r="B69" s="11" t="s">
        <v>320</v>
      </c>
      <c r="C69" s="11" t="s">
        <v>321</v>
      </c>
      <c r="D69" s="11" t="s">
        <v>212</v>
      </c>
      <c r="E69" s="11" t="s">
        <v>322</v>
      </c>
      <c r="F69" s="11" t="s">
        <v>323</v>
      </c>
      <c r="G69" s="11" t="s">
        <v>324</v>
      </c>
      <c r="H69" s="11" t="s">
        <v>212</v>
      </c>
      <c r="I69" s="11" t="s">
        <v>325</v>
      </c>
      <c r="J69" s="11" t="s">
        <v>326</v>
      </c>
      <c r="K69" s="11" t="s">
        <v>327</v>
      </c>
    </row>
    <row r="70" spans="1:11" ht="15" x14ac:dyDescent="0.4">
      <c r="A70" s="26" t="s">
        <v>329</v>
      </c>
      <c r="B70" s="27" t="s">
        <v>330</v>
      </c>
      <c r="C70" s="27" t="s">
        <v>331</v>
      </c>
      <c r="D70" s="27" t="s">
        <v>212</v>
      </c>
      <c r="E70" s="27" t="s">
        <v>332</v>
      </c>
      <c r="F70" s="27" t="s">
        <v>333</v>
      </c>
      <c r="G70" s="27" t="s">
        <v>334</v>
      </c>
      <c r="H70" s="27" t="s">
        <v>212</v>
      </c>
      <c r="I70" s="27" t="s">
        <v>335</v>
      </c>
      <c r="J70" s="27" t="s">
        <v>336</v>
      </c>
      <c r="K70" s="27" t="s">
        <v>337</v>
      </c>
    </row>
    <row r="72" spans="1:11" ht="16" x14ac:dyDescent="0.45">
      <c r="A72" s="10" t="s">
        <v>338</v>
      </c>
      <c r="B72" t="str">
        <f>HYPERLINK("#'Note_4_2_CWIP'!A1", "[Open Note Tab]")</f>
        <v>[Open Note Tab]</v>
      </c>
    </row>
    <row r="73" spans="1:11" ht="24" customHeight="1" x14ac:dyDescent="0.35">
      <c r="A73" s="4" t="s">
        <v>339</v>
      </c>
      <c r="B73" s="4" t="s">
        <v>239</v>
      </c>
      <c r="C73" s="4" t="s">
        <v>240</v>
      </c>
      <c r="D73" s="4" t="s">
        <v>241</v>
      </c>
      <c r="E73" s="4" t="s">
        <v>242</v>
      </c>
      <c r="F73" s="4" t="s">
        <v>340</v>
      </c>
      <c r="G73" s="4"/>
      <c r="H73" s="4"/>
      <c r="I73" s="4"/>
      <c r="J73" s="4"/>
      <c r="K73" s="4"/>
    </row>
    <row r="74" spans="1:11" x14ac:dyDescent="0.35">
      <c r="A74" t="s">
        <v>341</v>
      </c>
      <c r="B74" s="11" t="s">
        <v>342</v>
      </c>
      <c r="C74" s="11" t="s">
        <v>343</v>
      </c>
      <c r="D74" s="11" t="s">
        <v>212</v>
      </c>
      <c r="E74" s="11" t="s">
        <v>212</v>
      </c>
      <c r="F74" s="11" t="s">
        <v>344</v>
      </c>
    </row>
    <row r="75" spans="1:11" ht="15" x14ac:dyDescent="0.4">
      <c r="A75" s="26" t="s">
        <v>345</v>
      </c>
      <c r="B75" s="27" t="s">
        <v>344</v>
      </c>
      <c r="C75" s="26"/>
      <c r="D75" s="26"/>
      <c r="E75" s="26"/>
      <c r="F75" s="27" t="s">
        <v>344</v>
      </c>
    </row>
    <row r="77" spans="1:11" ht="16" x14ac:dyDescent="0.45">
      <c r="A77" s="10" t="s">
        <v>346</v>
      </c>
      <c r="B77" t="str">
        <f>HYPERLINK("#'Note_4_3_Investments'!A1", "[Open Note Tab]")</f>
        <v>[Open Note Tab]</v>
      </c>
    </row>
    <row r="78" spans="1:11" ht="24" customHeight="1" x14ac:dyDescent="0.35">
      <c r="A78" s="4" t="s">
        <v>41</v>
      </c>
      <c r="B78" s="4" t="s">
        <v>347</v>
      </c>
      <c r="C78" s="4" t="s">
        <v>199</v>
      </c>
      <c r="D78" s="4" t="s">
        <v>200</v>
      </c>
      <c r="E78" s="4"/>
      <c r="F78" s="4"/>
      <c r="G78" s="4"/>
      <c r="H78" s="4"/>
      <c r="I78" s="4"/>
      <c r="J78" s="4"/>
      <c r="K78" s="4"/>
    </row>
    <row r="79" spans="1:11" x14ac:dyDescent="0.35">
      <c r="A79" t="s">
        <v>348</v>
      </c>
    </row>
    <row r="80" spans="1:11" x14ac:dyDescent="0.35">
      <c r="A80" t="s">
        <v>349</v>
      </c>
      <c r="B80" t="s">
        <v>350</v>
      </c>
      <c r="C80" s="11" t="s">
        <v>212</v>
      </c>
      <c r="D80" s="11" t="s">
        <v>212</v>
      </c>
    </row>
    <row r="81" spans="1:11" x14ac:dyDescent="0.35">
      <c r="A81" t="s">
        <v>351</v>
      </c>
      <c r="B81" t="s">
        <v>350</v>
      </c>
      <c r="C81" s="11" t="s">
        <v>212</v>
      </c>
      <c r="D81" s="11" t="s">
        <v>212</v>
      </c>
    </row>
    <row r="82" spans="1:11" ht="15" x14ac:dyDescent="0.4">
      <c r="A82" s="26" t="s">
        <v>352</v>
      </c>
      <c r="B82" s="26"/>
      <c r="C82" s="27" t="s">
        <v>212</v>
      </c>
      <c r="D82" s="27" t="s">
        <v>212</v>
      </c>
    </row>
    <row r="84" spans="1:11" ht="16" x14ac:dyDescent="0.45">
      <c r="A84" s="10" t="s">
        <v>353</v>
      </c>
      <c r="B84" t="str">
        <f>HYPERLINK("#'Note_4_4_LTLA'!A1", "[Open Note Tab]")</f>
        <v>[Open Note Tab]</v>
      </c>
    </row>
    <row r="85" spans="1:11" ht="24" customHeight="1" x14ac:dyDescent="0.35">
      <c r="A85" s="4" t="s">
        <v>41</v>
      </c>
      <c r="B85" s="4" t="s">
        <v>199</v>
      </c>
      <c r="C85" s="4" t="s">
        <v>200</v>
      </c>
      <c r="D85" s="4"/>
      <c r="E85" s="4"/>
      <c r="F85" s="4"/>
      <c r="G85" s="4"/>
      <c r="H85" s="4"/>
      <c r="I85" s="4"/>
      <c r="J85" s="4"/>
      <c r="K85" s="4"/>
    </row>
    <row r="86" spans="1:11" x14ac:dyDescent="0.35">
      <c r="A86" t="s">
        <v>354</v>
      </c>
      <c r="B86" s="11" t="s">
        <v>212</v>
      </c>
      <c r="C86" s="11" t="s">
        <v>212</v>
      </c>
    </row>
    <row r="87" spans="1:11" x14ac:dyDescent="0.35">
      <c r="A87" t="s">
        <v>355</v>
      </c>
      <c r="B87" s="11" t="s">
        <v>212</v>
      </c>
      <c r="C87" s="11" t="s">
        <v>212</v>
      </c>
    </row>
    <row r="88" spans="1:11" x14ac:dyDescent="0.35">
      <c r="A88" t="s">
        <v>356</v>
      </c>
      <c r="B88" s="11" t="s">
        <v>212</v>
      </c>
      <c r="C88" s="11" t="s">
        <v>212</v>
      </c>
    </row>
    <row r="89" spans="1:11" ht="15" x14ac:dyDescent="0.4">
      <c r="A89" s="26" t="s">
        <v>357</v>
      </c>
      <c r="B89" s="27" t="s">
        <v>212</v>
      </c>
      <c r="C89" s="27" t="s">
        <v>212</v>
      </c>
    </row>
    <row r="91" spans="1:11" ht="16" x14ac:dyDescent="0.45">
      <c r="A91" s="10" t="s">
        <v>358</v>
      </c>
      <c r="B91" t="str">
        <f>HYPERLINK("#'Note_5_1_Inventories'!A1", "[Open Note Tab]")</f>
        <v>[Open Note Tab]</v>
      </c>
    </row>
    <row r="92" spans="1:11" ht="24" customHeight="1" x14ac:dyDescent="0.35">
      <c r="A92" s="4" t="s">
        <v>41</v>
      </c>
      <c r="B92" s="4" t="s">
        <v>199</v>
      </c>
      <c r="C92" s="4" t="s">
        <v>200</v>
      </c>
      <c r="D92" s="4"/>
      <c r="E92" s="4"/>
      <c r="F92" s="4"/>
      <c r="G92" s="4"/>
      <c r="H92" s="4"/>
      <c r="I92" s="4"/>
      <c r="J92" s="4"/>
      <c r="K92" s="4"/>
    </row>
    <row r="93" spans="1:11" x14ac:dyDescent="0.35">
      <c r="A93" t="s">
        <v>359</v>
      </c>
      <c r="B93" s="11" t="s">
        <v>360</v>
      </c>
      <c r="C93" s="11" t="s">
        <v>361</v>
      </c>
    </row>
    <row r="94" spans="1:11" x14ac:dyDescent="0.35">
      <c r="A94" t="s">
        <v>362</v>
      </c>
      <c r="B94" s="11" t="s">
        <v>363</v>
      </c>
      <c r="C94" s="11" t="s">
        <v>364</v>
      </c>
    </row>
    <row r="95" spans="1:11" x14ac:dyDescent="0.35">
      <c r="A95" t="s">
        <v>365</v>
      </c>
      <c r="B95" s="11" t="s">
        <v>366</v>
      </c>
      <c r="C95" s="11" t="s">
        <v>367</v>
      </c>
    </row>
    <row r="96" spans="1:11" x14ac:dyDescent="0.35">
      <c r="A96" t="s">
        <v>368</v>
      </c>
      <c r="B96" s="11" t="s">
        <v>369</v>
      </c>
      <c r="C96" s="11" t="s">
        <v>370</v>
      </c>
    </row>
    <row r="97" spans="1:11" ht="15" x14ac:dyDescent="0.4">
      <c r="A97" s="26" t="s">
        <v>371</v>
      </c>
      <c r="B97" s="27" t="s">
        <v>372</v>
      </c>
      <c r="C97" s="27" t="s">
        <v>252</v>
      </c>
    </row>
    <row r="99" spans="1:11" ht="16" x14ac:dyDescent="0.45">
      <c r="A99" s="10" t="s">
        <v>373</v>
      </c>
      <c r="B99" t="str">
        <f>HYPERLINK("#'Note_5_2_Receivables'!A1", "[Open Note Tab]")</f>
        <v>[Open Note Tab]</v>
      </c>
    </row>
    <row r="100" spans="1:11" ht="24" customHeight="1" x14ac:dyDescent="0.35">
      <c r="A100" s="4" t="s">
        <v>374</v>
      </c>
      <c r="B100" s="4" t="s">
        <v>375</v>
      </c>
      <c r="C100" s="4" t="s">
        <v>376</v>
      </c>
      <c r="D100" s="4" t="s">
        <v>377</v>
      </c>
      <c r="E100" s="4" t="s">
        <v>240</v>
      </c>
      <c r="F100" s="4" t="s">
        <v>241</v>
      </c>
      <c r="G100" s="4" t="s">
        <v>242</v>
      </c>
      <c r="H100" s="4" t="s">
        <v>378</v>
      </c>
      <c r="I100" s="4"/>
      <c r="J100" s="4"/>
      <c r="K100" s="4"/>
    </row>
    <row r="101" spans="1:11" x14ac:dyDescent="0.35">
      <c r="A101" t="s">
        <v>379</v>
      </c>
      <c r="B101" t="s">
        <v>380</v>
      </c>
      <c r="C101" s="11" t="s">
        <v>381</v>
      </c>
      <c r="D101" s="11" t="s">
        <v>343</v>
      </c>
      <c r="E101" s="11" t="s">
        <v>212</v>
      </c>
      <c r="F101" s="11" t="s">
        <v>212</v>
      </c>
      <c r="G101" s="11" t="s">
        <v>212</v>
      </c>
      <c r="H101" s="11" t="s">
        <v>203</v>
      </c>
    </row>
    <row r="102" spans="1:11" x14ac:dyDescent="0.35">
      <c r="A102" t="s">
        <v>382</v>
      </c>
      <c r="B102" t="s">
        <v>380</v>
      </c>
      <c r="C102" s="11" t="s">
        <v>344</v>
      </c>
      <c r="D102" s="11" t="s">
        <v>251</v>
      </c>
      <c r="E102" s="11" t="s">
        <v>246</v>
      </c>
      <c r="F102" s="11" t="s">
        <v>212</v>
      </c>
      <c r="G102" s="11" t="s">
        <v>212</v>
      </c>
      <c r="H102" s="11" t="s">
        <v>234</v>
      </c>
    </row>
    <row r="103" spans="1:11" x14ac:dyDescent="0.35">
      <c r="A103" t="s">
        <v>383</v>
      </c>
      <c r="B103" t="s">
        <v>384</v>
      </c>
      <c r="C103" s="11" t="s">
        <v>212</v>
      </c>
      <c r="D103" s="11" t="s">
        <v>246</v>
      </c>
      <c r="E103" s="11" t="s">
        <v>251</v>
      </c>
      <c r="F103" s="11" t="s">
        <v>212</v>
      </c>
      <c r="G103" s="11" t="s">
        <v>212</v>
      </c>
      <c r="H103" s="11" t="s">
        <v>343</v>
      </c>
    </row>
    <row r="104" spans="1:11" ht="15" x14ac:dyDescent="0.4">
      <c r="A104" s="26" t="s">
        <v>385</v>
      </c>
      <c r="B104" s="26"/>
      <c r="C104" s="27" t="s">
        <v>215</v>
      </c>
      <c r="D104" s="26"/>
      <c r="E104" s="26"/>
      <c r="F104" s="26"/>
      <c r="G104" s="26"/>
      <c r="H104" s="27" t="s">
        <v>215</v>
      </c>
    </row>
    <row r="106" spans="1:11" ht="16" x14ac:dyDescent="0.45">
      <c r="A106" s="10" t="s">
        <v>386</v>
      </c>
      <c r="B106" t="str">
        <f>HYPERLINK("#'Note_5_3_CashBank'!A1", "[Open Note Tab]")</f>
        <v>[Open Note Tab]</v>
      </c>
    </row>
    <row r="107" spans="1:11" ht="24" customHeight="1" x14ac:dyDescent="0.35">
      <c r="A107" s="4" t="s">
        <v>41</v>
      </c>
      <c r="B107" s="4" t="s">
        <v>199</v>
      </c>
      <c r="C107" s="4" t="s">
        <v>200</v>
      </c>
      <c r="D107" s="4"/>
      <c r="E107" s="4"/>
      <c r="F107" s="4"/>
      <c r="G107" s="4"/>
      <c r="H107" s="4"/>
      <c r="I107" s="4"/>
      <c r="J107" s="4"/>
      <c r="K107" s="4"/>
    </row>
    <row r="108" spans="1:11" x14ac:dyDescent="0.35">
      <c r="A108" t="s">
        <v>387</v>
      </c>
    </row>
    <row r="109" spans="1:11" x14ac:dyDescent="0.35">
      <c r="A109" t="s">
        <v>388</v>
      </c>
      <c r="B109" s="11" t="s">
        <v>389</v>
      </c>
      <c r="C109" s="11" t="s">
        <v>390</v>
      </c>
    </row>
    <row r="110" spans="1:11" x14ac:dyDescent="0.35">
      <c r="A110" t="s">
        <v>391</v>
      </c>
      <c r="B110" s="11" t="s">
        <v>392</v>
      </c>
      <c r="C110" s="11" t="s">
        <v>393</v>
      </c>
    </row>
    <row r="111" spans="1:11" x14ac:dyDescent="0.35">
      <c r="A111" t="s">
        <v>394</v>
      </c>
      <c r="B111" s="11" t="s">
        <v>395</v>
      </c>
      <c r="C111" s="11" t="s">
        <v>396</v>
      </c>
    </row>
    <row r="112" spans="1:11" x14ac:dyDescent="0.35">
      <c r="A112" t="s">
        <v>397</v>
      </c>
      <c r="B112" s="11" t="s">
        <v>398</v>
      </c>
      <c r="C112" s="11" t="s">
        <v>399</v>
      </c>
    </row>
    <row r="113" spans="1:11" x14ac:dyDescent="0.35">
      <c r="A113" t="s">
        <v>400</v>
      </c>
    </row>
    <row r="114" spans="1:11" x14ac:dyDescent="0.35">
      <c r="A114" t="s">
        <v>401</v>
      </c>
      <c r="B114" s="11" t="s">
        <v>395</v>
      </c>
      <c r="C114" s="11" t="s">
        <v>396</v>
      </c>
    </row>
    <row r="115" spans="1:11" x14ac:dyDescent="0.35">
      <c r="A115" t="s">
        <v>402</v>
      </c>
      <c r="B115" s="11" t="s">
        <v>395</v>
      </c>
      <c r="C115" s="11" t="s">
        <v>396</v>
      </c>
    </row>
    <row r="116" spans="1:11" ht="15" x14ac:dyDescent="0.4">
      <c r="A116" s="26" t="s">
        <v>403</v>
      </c>
      <c r="B116" s="27" t="s">
        <v>215</v>
      </c>
      <c r="C116" s="27" t="s">
        <v>404</v>
      </c>
    </row>
    <row r="118" spans="1:11" ht="16" x14ac:dyDescent="0.45">
      <c r="A118" s="10" t="s">
        <v>405</v>
      </c>
      <c r="B118" t="str">
        <f>HYPERLINK("#'Note_5_4_STLA'!A1", "[Open Note Tab]")</f>
        <v>[Open Note Tab]</v>
      </c>
    </row>
    <row r="119" spans="1:11" ht="24" customHeight="1" x14ac:dyDescent="0.35">
      <c r="A119" s="4" t="s">
        <v>41</v>
      </c>
      <c r="B119" s="4" t="s">
        <v>199</v>
      </c>
      <c r="C119" s="4" t="s">
        <v>200</v>
      </c>
      <c r="D119" s="4"/>
      <c r="E119" s="4"/>
      <c r="F119" s="4"/>
      <c r="G119" s="4"/>
      <c r="H119" s="4"/>
      <c r="I119" s="4"/>
      <c r="J119" s="4"/>
      <c r="K119" s="4"/>
    </row>
    <row r="120" spans="1:11" x14ac:dyDescent="0.35">
      <c r="A120" t="s">
        <v>406</v>
      </c>
      <c r="B120" s="11" t="s">
        <v>212</v>
      </c>
      <c r="C120" s="11" t="s">
        <v>212</v>
      </c>
    </row>
    <row r="121" spans="1:11" x14ac:dyDescent="0.35">
      <c r="A121" t="s">
        <v>407</v>
      </c>
      <c r="B121" s="11" t="s">
        <v>212</v>
      </c>
      <c r="C121" s="11" t="s">
        <v>212</v>
      </c>
    </row>
    <row r="122" spans="1:11" x14ac:dyDescent="0.35">
      <c r="A122" t="s">
        <v>408</v>
      </c>
      <c r="B122" s="11" t="s">
        <v>212</v>
      </c>
      <c r="C122" s="11" t="s">
        <v>212</v>
      </c>
    </row>
    <row r="123" spans="1:11" x14ac:dyDescent="0.35">
      <c r="A123" t="s">
        <v>409</v>
      </c>
      <c r="B123" s="11" t="s">
        <v>212</v>
      </c>
      <c r="C123" s="11" t="s">
        <v>212</v>
      </c>
    </row>
    <row r="124" spans="1:11" x14ac:dyDescent="0.35">
      <c r="A124" t="s">
        <v>410</v>
      </c>
      <c r="B124" s="11" t="s">
        <v>212</v>
      </c>
      <c r="C124" s="11" t="s">
        <v>212</v>
      </c>
    </row>
    <row r="125" spans="1:11" ht="15" x14ac:dyDescent="0.4">
      <c r="A125" s="26" t="s">
        <v>411</v>
      </c>
      <c r="B125" s="27" t="s">
        <v>212</v>
      </c>
      <c r="C125" s="27" t="s">
        <v>212</v>
      </c>
    </row>
    <row r="127" spans="1:11" ht="16" x14ac:dyDescent="0.45">
      <c r="A127" s="10" t="s">
        <v>412</v>
      </c>
      <c r="B127" t="str">
        <f>HYPERLINK("#'Note_5_5_OtherCA'!A1", "[Open Note Tab]")</f>
        <v>[Open Note Tab]</v>
      </c>
    </row>
    <row r="128" spans="1:11" ht="24" customHeight="1" x14ac:dyDescent="0.35">
      <c r="A128" s="4" t="s">
        <v>41</v>
      </c>
      <c r="B128" s="4" t="s">
        <v>199</v>
      </c>
      <c r="C128" s="4" t="s">
        <v>200</v>
      </c>
      <c r="D128" s="4"/>
      <c r="E128" s="4"/>
      <c r="F128" s="4"/>
      <c r="G128" s="4"/>
      <c r="H128" s="4"/>
      <c r="I128" s="4"/>
      <c r="J128" s="4"/>
      <c r="K128" s="4"/>
    </row>
    <row r="129" spans="1:11" x14ac:dyDescent="0.35">
      <c r="A129" t="s">
        <v>413</v>
      </c>
      <c r="B129" s="11" t="s">
        <v>212</v>
      </c>
      <c r="C129" s="11" t="s">
        <v>212</v>
      </c>
    </row>
    <row r="130" spans="1:11" x14ac:dyDescent="0.35">
      <c r="A130" t="s">
        <v>414</v>
      </c>
      <c r="B130" s="11" t="s">
        <v>212</v>
      </c>
      <c r="C130" s="11" t="s">
        <v>212</v>
      </c>
    </row>
    <row r="131" spans="1:11" ht="15" x14ac:dyDescent="0.4">
      <c r="A131" s="26" t="s">
        <v>415</v>
      </c>
      <c r="B131" s="27" t="s">
        <v>212</v>
      </c>
      <c r="C131" s="27" t="s">
        <v>212</v>
      </c>
    </row>
    <row r="133" spans="1:11" ht="16" x14ac:dyDescent="0.45">
      <c r="A133" s="10" t="s">
        <v>416</v>
      </c>
      <c r="B133" t="str">
        <f>HYPERLINK("#'Note_6_1_Revenue'!A1", "[Open Note Tab]")</f>
        <v>[Open Note Tab]</v>
      </c>
    </row>
    <row r="134" spans="1:11" ht="24" customHeight="1" x14ac:dyDescent="0.35">
      <c r="A134" s="4" t="s">
        <v>41</v>
      </c>
      <c r="B134" s="4" t="s">
        <v>417</v>
      </c>
      <c r="C134" s="4" t="s">
        <v>418</v>
      </c>
      <c r="D134" s="4"/>
      <c r="E134" s="4"/>
      <c r="F134" s="4"/>
      <c r="G134" s="4"/>
      <c r="H134" s="4"/>
      <c r="I134" s="4"/>
      <c r="J134" s="4"/>
      <c r="K134" s="4"/>
    </row>
    <row r="135" spans="1:11" x14ac:dyDescent="0.35">
      <c r="A135" t="s">
        <v>419</v>
      </c>
    </row>
    <row r="136" spans="1:11" x14ac:dyDescent="0.35">
      <c r="A136" t="s">
        <v>420</v>
      </c>
      <c r="B136" s="11" t="s">
        <v>421</v>
      </c>
      <c r="C136" s="11" t="s">
        <v>422</v>
      </c>
    </row>
    <row r="137" spans="1:11" x14ac:dyDescent="0.35">
      <c r="A137" t="s">
        <v>423</v>
      </c>
      <c r="B137" s="11" t="s">
        <v>381</v>
      </c>
      <c r="C137" s="11" t="s">
        <v>424</v>
      </c>
    </row>
    <row r="138" spans="1:11" x14ac:dyDescent="0.35">
      <c r="A138" t="s">
        <v>425</v>
      </c>
      <c r="B138" s="11" t="s">
        <v>212</v>
      </c>
      <c r="C138" s="11" t="s">
        <v>212</v>
      </c>
    </row>
    <row r="139" spans="1:11" x14ac:dyDescent="0.35">
      <c r="A139" t="s">
        <v>426</v>
      </c>
      <c r="B139" s="11" t="s">
        <v>212</v>
      </c>
      <c r="C139" s="11" t="s">
        <v>212</v>
      </c>
    </row>
    <row r="140" spans="1:11" ht="15" x14ac:dyDescent="0.4">
      <c r="A140" s="26" t="s">
        <v>427</v>
      </c>
      <c r="B140" s="27" t="s">
        <v>428</v>
      </c>
      <c r="C140" s="27" t="s">
        <v>429</v>
      </c>
    </row>
    <row r="142" spans="1:11" ht="16" x14ac:dyDescent="0.45">
      <c r="A142" s="10" t="s">
        <v>430</v>
      </c>
      <c r="B142" t="str">
        <f>HYPERLINK("#'Note_6_2_OtherIncome'!A1", "[Open Note Tab]")</f>
        <v>[Open Note Tab]</v>
      </c>
    </row>
    <row r="143" spans="1:11" ht="24" customHeight="1" x14ac:dyDescent="0.35">
      <c r="A143" s="4" t="s">
        <v>41</v>
      </c>
      <c r="B143" s="4" t="s">
        <v>417</v>
      </c>
      <c r="C143" s="4" t="s">
        <v>418</v>
      </c>
      <c r="D143" s="4"/>
      <c r="E143" s="4"/>
      <c r="F143" s="4"/>
      <c r="G143" s="4"/>
      <c r="H143" s="4"/>
      <c r="I143" s="4"/>
      <c r="J143" s="4"/>
      <c r="K143" s="4"/>
    </row>
    <row r="144" spans="1:11" x14ac:dyDescent="0.35">
      <c r="A144" t="s">
        <v>431</v>
      </c>
      <c r="B144" s="11" t="s">
        <v>432</v>
      </c>
      <c r="C144" s="11" t="s">
        <v>433</v>
      </c>
    </row>
    <row r="145" spans="1:11" x14ac:dyDescent="0.35">
      <c r="A145" t="s">
        <v>434</v>
      </c>
      <c r="B145" s="11" t="s">
        <v>212</v>
      </c>
      <c r="C145" s="11" t="s">
        <v>212</v>
      </c>
    </row>
    <row r="146" spans="1:11" x14ac:dyDescent="0.35">
      <c r="A146" t="s">
        <v>435</v>
      </c>
      <c r="B146" s="11" t="s">
        <v>261</v>
      </c>
      <c r="C146" s="11" t="s">
        <v>436</v>
      </c>
    </row>
    <row r="147" spans="1:11" x14ac:dyDescent="0.35">
      <c r="A147" t="s">
        <v>437</v>
      </c>
      <c r="B147" s="11" t="s">
        <v>438</v>
      </c>
      <c r="C147" s="11" t="s">
        <v>267</v>
      </c>
    </row>
    <row r="148" spans="1:11" ht="15" x14ac:dyDescent="0.4">
      <c r="A148" s="26" t="s">
        <v>439</v>
      </c>
      <c r="B148" s="27" t="s">
        <v>343</v>
      </c>
      <c r="C148" s="27" t="s">
        <v>251</v>
      </c>
    </row>
    <row r="150" spans="1:11" ht="16" x14ac:dyDescent="0.45">
      <c r="A150" s="10" t="s">
        <v>440</v>
      </c>
      <c r="B150" t="str">
        <f>HYPERLINK("#'Note_7_1_Material'!A1", "[Open Note Tab]")</f>
        <v>[Open Note Tab]</v>
      </c>
    </row>
    <row r="151" spans="1:11" ht="24" customHeight="1" x14ac:dyDescent="0.35">
      <c r="A151" s="4" t="s">
        <v>41</v>
      </c>
      <c r="B151" s="4" t="s">
        <v>417</v>
      </c>
      <c r="C151" s="4" t="s">
        <v>418</v>
      </c>
      <c r="D151" s="4"/>
      <c r="E151" s="4"/>
      <c r="F151" s="4"/>
      <c r="G151" s="4"/>
      <c r="H151" s="4"/>
      <c r="I151" s="4"/>
      <c r="J151" s="4"/>
      <c r="K151" s="4"/>
    </row>
    <row r="152" spans="1:11" x14ac:dyDescent="0.35">
      <c r="A152" t="s">
        <v>441</v>
      </c>
    </row>
    <row r="153" spans="1:11" x14ac:dyDescent="0.35">
      <c r="A153" t="s">
        <v>442</v>
      </c>
      <c r="B153" s="11" t="s">
        <v>443</v>
      </c>
      <c r="C153" s="11" t="s">
        <v>444</v>
      </c>
    </row>
    <row r="154" spans="1:11" x14ac:dyDescent="0.35">
      <c r="A154" t="s">
        <v>445</v>
      </c>
      <c r="B154" s="11" t="s">
        <v>446</v>
      </c>
      <c r="C154" s="11" t="s">
        <v>447</v>
      </c>
    </row>
    <row r="155" spans="1:11" x14ac:dyDescent="0.35">
      <c r="A155" t="s">
        <v>448</v>
      </c>
      <c r="B155" s="11" t="s">
        <v>449</v>
      </c>
      <c r="C155" s="11" t="s">
        <v>432</v>
      </c>
    </row>
    <row r="156" spans="1:11" x14ac:dyDescent="0.35">
      <c r="A156" t="s">
        <v>450</v>
      </c>
      <c r="B156" s="11" t="s">
        <v>451</v>
      </c>
      <c r="C156" s="11" t="s">
        <v>452</v>
      </c>
    </row>
    <row r="157" spans="1:11" x14ac:dyDescent="0.35">
      <c r="A157" t="s">
        <v>453</v>
      </c>
      <c r="B157" s="11" t="s">
        <v>212</v>
      </c>
      <c r="C157" s="11" t="s">
        <v>212</v>
      </c>
    </row>
    <row r="158" spans="1:11" x14ac:dyDescent="0.35">
      <c r="A158" t="s">
        <v>454</v>
      </c>
    </row>
    <row r="159" spans="1:11" x14ac:dyDescent="0.35">
      <c r="A159" t="s">
        <v>455</v>
      </c>
      <c r="B159" s="11" t="s">
        <v>212</v>
      </c>
      <c r="C159" s="11" t="s">
        <v>212</v>
      </c>
    </row>
    <row r="160" spans="1:11" x14ac:dyDescent="0.35">
      <c r="A160" t="s">
        <v>456</v>
      </c>
      <c r="B160" s="11" t="s">
        <v>212</v>
      </c>
      <c r="C160" s="11" t="s">
        <v>212</v>
      </c>
    </row>
    <row r="161" spans="1:11" x14ac:dyDescent="0.35">
      <c r="A161" t="s">
        <v>457</v>
      </c>
      <c r="B161" s="11" t="s">
        <v>212</v>
      </c>
      <c r="C161" s="11" t="s">
        <v>212</v>
      </c>
    </row>
    <row r="162" spans="1:11" ht="15" x14ac:dyDescent="0.4">
      <c r="A162" s="26" t="s">
        <v>458</v>
      </c>
      <c r="B162" s="27" t="s">
        <v>451</v>
      </c>
      <c r="C162" s="27" t="s">
        <v>452</v>
      </c>
    </row>
    <row r="164" spans="1:11" ht="16" x14ac:dyDescent="0.45">
      <c r="A164" s="10" t="s">
        <v>459</v>
      </c>
      <c r="B164" t="str">
        <f>HYPERLINK("#'Note_7_2_Employee'!A1", "[Open Note Tab]")</f>
        <v>[Open Note Tab]</v>
      </c>
    </row>
    <row r="165" spans="1:11" ht="24" customHeight="1" x14ac:dyDescent="0.35">
      <c r="A165" s="4" t="s">
        <v>41</v>
      </c>
      <c r="B165" s="4" t="s">
        <v>417</v>
      </c>
      <c r="C165" s="4" t="s">
        <v>418</v>
      </c>
      <c r="D165" s="4"/>
      <c r="E165" s="4"/>
      <c r="F165" s="4"/>
      <c r="G165" s="4"/>
      <c r="H165" s="4"/>
      <c r="I165" s="4"/>
      <c r="J165" s="4"/>
      <c r="K165" s="4"/>
    </row>
    <row r="166" spans="1:11" x14ac:dyDescent="0.35">
      <c r="A166" t="s">
        <v>460</v>
      </c>
      <c r="B166" s="11" t="s">
        <v>461</v>
      </c>
      <c r="C166" s="11" t="s">
        <v>462</v>
      </c>
    </row>
    <row r="167" spans="1:11" x14ac:dyDescent="0.35">
      <c r="A167" t="s">
        <v>463</v>
      </c>
      <c r="B167" s="11" t="s">
        <v>464</v>
      </c>
      <c r="C167" s="11" t="s">
        <v>465</v>
      </c>
    </row>
    <row r="168" spans="1:11" x14ac:dyDescent="0.35">
      <c r="A168" t="s">
        <v>466</v>
      </c>
      <c r="B168" s="11" t="s">
        <v>465</v>
      </c>
      <c r="C168" s="11" t="s">
        <v>467</v>
      </c>
    </row>
    <row r="169" spans="1:11" x14ac:dyDescent="0.35">
      <c r="A169" t="s">
        <v>468</v>
      </c>
      <c r="B169" s="11" t="s">
        <v>469</v>
      </c>
      <c r="C169" s="11" t="s">
        <v>470</v>
      </c>
    </row>
    <row r="170" spans="1:11" x14ac:dyDescent="0.35">
      <c r="A170" t="s">
        <v>471</v>
      </c>
      <c r="B170" s="11" t="s">
        <v>472</v>
      </c>
      <c r="C170" s="11" t="s">
        <v>473</v>
      </c>
    </row>
    <row r="171" spans="1:11" ht="15" x14ac:dyDescent="0.4">
      <c r="A171" s="26" t="s">
        <v>474</v>
      </c>
      <c r="B171" s="27" t="s">
        <v>398</v>
      </c>
      <c r="C171" s="27" t="s">
        <v>252</v>
      </c>
    </row>
    <row r="173" spans="1:11" ht="16" x14ac:dyDescent="0.45">
      <c r="A173" s="10" t="s">
        <v>475</v>
      </c>
      <c r="B173" t="str">
        <f>HYPERLINK("#'Note_7_3_Finance'!A1", "[Open Note Tab]")</f>
        <v>[Open Note Tab]</v>
      </c>
    </row>
    <row r="174" spans="1:11" ht="24" customHeight="1" x14ac:dyDescent="0.35">
      <c r="A174" s="4" t="s">
        <v>41</v>
      </c>
      <c r="B174" s="4" t="s">
        <v>417</v>
      </c>
      <c r="C174" s="4" t="s">
        <v>418</v>
      </c>
      <c r="D174" s="4"/>
      <c r="E174" s="4"/>
      <c r="F174" s="4"/>
      <c r="G174" s="4"/>
      <c r="H174" s="4"/>
      <c r="I174" s="4"/>
      <c r="J174" s="4"/>
      <c r="K174" s="4"/>
    </row>
    <row r="175" spans="1:11" x14ac:dyDescent="0.35">
      <c r="A175" t="s">
        <v>476</v>
      </c>
      <c r="B175" s="11" t="s">
        <v>477</v>
      </c>
      <c r="C175" s="11" t="s">
        <v>478</v>
      </c>
    </row>
    <row r="176" spans="1:11" x14ac:dyDescent="0.35">
      <c r="A176" t="s">
        <v>479</v>
      </c>
      <c r="B176" s="11" t="s">
        <v>480</v>
      </c>
      <c r="C176" s="11" t="s">
        <v>481</v>
      </c>
    </row>
    <row r="177" spans="1:11" x14ac:dyDescent="0.35">
      <c r="A177" t="s">
        <v>482</v>
      </c>
      <c r="B177" s="11" t="s">
        <v>483</v>
      </c>
      <c r="C177" s="11" t="s">
        <v>484</v>
      </c>
    </row>
    <row r="178" spans="1:11" x14ac:dyDescent="0.35">
      <c r="A178" t="s">
        <v>485</v>
      </c>
      <c r="B178" s="11" t="s">
        <v>486</v>
      </c>
      <c r="C178" s="11" t="s">
        <v>487</v>
      </c>
    </row>
    <row r="179" spans="1:11" ht="15" x14ac:dyDescent="0.4">
      <c r="A179" s="26" t="s">
        <v>488</v>
      </c>
      <c r="B179" s="27" t="s">
        <v>489</v>
      </c>
      <c r="C179" s="27" t="s">
        <v>490</v>
      </c>
    </row>
    <row r="181" spans="1:11" ht="16" x14ac:dyDescent="0.45">
      <c r="A181" s="10" t="s">
        <v>491</v>
      </c>
      <c r="B181" t="str">
        <f>HYPERLINK("#'Note_7_4_Depreciation'!A1", "[Open Note Tab]")</f>
        <v>[Open Note Tab]</v>
      </c>
    </row>
    <row r="182" spans="1:11" ht="24" customHeight="1" x14ac:dyDescent="0.35">
      <c r="A182" s="4" t="s">
        <v>41</v>
      </c>
      <c r="B182" s="4" t="s">
        <v>417</v>
      </c>
      <c r="C182" s="4" t="s">
        <v>418</v>
      </c>
      <c r="D182" s="4"/>
      <c r="E182" s="4"/>
      <c r="F182" s="4"/>
      <c r="G182" s="4"/>
      <c r="H182" s="4"/>
      <c r="I182" s="4"/>
      <c r="J182" s="4"/>
      <c r="K182" s="4"/>
    </row>
    <row r="183" spans="1:11" x14ac:dyDescent="0.35">
      <c r="A183" t="s">
        <v>492</v>
      </c>
      <c r="B183" s="11" t="s">
        <v>493</v>
      </c>
      <c r="C183" s="11" t="s">
        <v>494</v>
      </c>
    </row>
    <row r="184" spans="1:11" x14ac:dyDescent="0.35">
      <c r="A184" t="s">
        <v>495</v>
      </c>
      <c r="B184" s="11" t="s">
        <v>496</v>
      </c>
      <c r="C184" s="11" t="s">
        <v>497</v>
      </c>
    </row>
    <row r="185" spans="1:11" x14ac:dyDescent="0.35">
      <c r="A185" t="s">
        <v>498</v>
      </c>
      <c r="B185" s="11" t="s">
        <v>499</v>
      </c>
      <c r="C185" s="11" t="s">
        <v>500</v>
      </c>
    </row>
    <row r="186" spans="1:11" ht="15" x14ac:dyDescent="0.4">
      <c r="A186" s="26" t="s">
        <v>501</v>
      </c>
      <c r="B186" s="27" t="s">
        <v>502</v>
      </c>
      <c r="C186" s="27" t="s">
        <v>269</v>
      </c>
    </row>
    <row r="188" spans="1:11" ht="16" x14ac:dyDescent="0.45">
      <c r="A188" s="10" t="s">
        <v>503</v>
      </c>
      <c r="B188" t="str">
        <f>HYPERLINK("#'Note_7_5_OtherExp'!A1", "[Open Note Tab]")</f>
        <v>[Open Note Tab]</v>
      </c>
    </row>
    <row r="189" spans="1:11" ht="24" customHeight="1" x14ac:dyDescent="0.35">
      <c r="A189" s="4" t="s">
        <v>41</v>
      </c>
      <c r="B189" s="4" t="s">
        <v>417</v>
      </c>
      <c r="C189" s="4" t="s">
        <v>418</v>
      </c>
      <c r="D189" s="4"/>
      <c r="E189" s="4"/>
      <c r="F189" s="4"/>
      <c r="G189" s="4"/>
      <c r="H189" s="4"/>
      <c r="I189" s="4"/>
      <c r="J189" s="4"/>
      <c r="K189" s="4"/>
    </row>
    <row r="190" spans="1:11" x14ac:dyDescent="0.35">
      <c r="A190" t="s">
        <v>504</v>
      </c>
      <c r="B190" s="11" t="s">
        <v>449</v>
      </c>
      <c r="C190" s="11" t="s">
        <v>505</v>
      </c>
    </row>
    <row r="191" spans="1:11" x14ac:dyDescent="0.35">
      <c r="A191" t="s">
        <v>506</v>
      </c>
      <c r="B191" s="11" t="s">
        <v>507</v>
      </c>
      <c r="C191" s="11" t="s">
        <v>508</v>
      </c>
    </row>
    <row r="192" spans="1:11" x14ac:dyDescent="0.35">
      <c r="A192" t="s">
        <v>509</v>
      </c>
      <c r="B192" s="11" t="s">
        <v>510</v>
      </c>
      <c r="C192" s="11" t="s">
        <v>511</v>
      </c>
    </row>
    <row r="193" spans="1:11" x14ac:dyDescent="0.35">
      <c r="A193" t="s">
        <v>512</v>
      </c>
      <c r="B193" s="11" t="s">
        <v>513</v>
      </c>
      <c r="C193" s="11" t="s">
        <v>514</v>
      </c>
    </row>
    <row r="194" spans="1:11" x14ac:dyDescent="0.35">
      <c r="A194" t="s">
        <v>515</v>
      </c>
      <c r="B194" s="11" t="s">
        <v>516</v>
      </c>
      <c r="C194" s="11" t="s">
        <v>517</v>
      </c>
    </row>
    <row r="195" spans="1:11" x14ac:dyDescent="0.35">
      <c r="A195" t="s">
        <v>518</v>
      </c>
      <c r="B195" s="11" t="s">
        <v>470</v>
      </c>
      <c r="C195" s="11" t="s">
        <v>483</v>
      </c>
    </row>
    <row r="196" spans="1:11" x14ac:dyDescent="0.35">
      <c r="A196" t="s">
        <v>519</v>
      </c>
      <c r="B196" s="11" t="s">
        <v>520</v>
      </c>
      <c r="C196" s="11" t="s">
        <v>521</v>
      </c>
    </row>
    <row r="197" spans="1:11" x14ac:dyDescent="0.35">
      <c r="A197" t="s">
        <v>522</v>
      </c>
      <c r="B197" s="11" t="s">
        <v>523</v>
      </c>
      <c r="C197" s="11" t="s">
        <v>524</v>
      </c>
    </row>
    <row r="198" spans="1:11" x14ac:dyDescent="0.35">
      <c r="A198" t="s">
        <v>525</v>
      </c>
      <c r="B198" s="11" t="s">
        <v>513</v>
      </c>
      <c r="C198" s="11" t="s">
        <v>514</v>
      </c>
    </row>
    <row r="199" spans="1:11" x14ac:dyDescent="0.35">
      <c r="A199" t="s">
        <v>526</v>
      </c>
      <c r="B199" s="11" t="s">
        <v>527</v>
      </c>
      <c r="C199" s="11" t="s">
        <v>486</v>
      </c>
    </row>
    <row r="200" spans="1:11" x14ac:dyDescent="0.35">
      <c r="A200" t="s">
        <v>528</v>
      </c>
      <c r="B200" s="11" t="s">
        <v>513</v>
      </c>
      <c r="C200" s="11" t="s">
        <v>514</v>
      </c>
    </row>
    <row r="201" spans="1:11" ht="15" x14ac:dyDescent="0.4">
      <c r="A201" s="26" t="s">
        <v>529</v>
      </c>
      <c r="B201" s="27" t="s">
        <v>344</v>
      </c>
      <c r="C201" s="27" t="s">
        <v>489</v>
      </c>
    </row>
    <row r="203" spans="1:11" ht="16" x14ac:dyDescent="0.45">
      <c r="A203" s="10" t="s">
        <v>530</v>
      </c>
      <c r="B203" t="str">
        <f>HYPERLINK("#'Note_7_6_Tax'!A1", "[Open Note Tab]")</f>
        <v>[Open Note Tab]</v>
      </c>
    </row>
    <row r="204" spans="1:11" ht="24" customHeight="1" x14ac:dyDescent="0.35">
      <c r="A204" s="4" t="s">
        <v>41</v>
      </c>
      <c r="B204" s="4" t="s">
        <v>417</v>
      </c>
      <c r="C204" s="4" t="s">
        <v>418</v>
      </c>
      <c r="D204" s="4"/>
      <c r="E204" s="4"/>
      <c r="F204" s="4"/>
      <c r="G204" s="4"/>
      <c r="H204" s="4"/>
      <c r="I204" s="4"/>
      <c r="J204" s="4"/>
      <c r="K204" s="4"/>
    </row>
    <row r="205" spans="1:11" x14ac:dyDescent="0.35">
      <c r="A205" t="s">
        <v>531</v>
      </c>
      <c r="B205" s="11" t="s">
        <v>367</v>
      </c>
      <c r="C205" s="11" t="s">
        <v>532</v>
      </c>
    </row>
    <row r="206" spans="1:11" x14ac:dyDescent="0.35">
      <c r="A206" t="s">
        <v>533</v>
      </c>
      <c r="B206" s="11" t="s">
        <v>263</v>
      </c>
      <c r="C206" s="11" t="s">
        <v>261</v>
      </c>
    </row>
    <row r="207" spans="1:11" x14ac:dyDescent="0.35">
      <c r="A207" t="s">
        <v>534</v>
      </c>
      <c r="B207" s="11" t="s">
        <v>212</v>
      </c>
      <c r="C207" s="11" t="s">
        <v>212</v>
      </c>
    </row>
    <row r="208" spans="1:11" ht="15" x14ac:dyDescent="0.4">
      <c r="A208" s="26" t="s">
        <v>535</v>
      </c>
      <c r="B208" s="27" t="s">
        <v>536</v>
      </c>
      <c r="C208" s="27" t="s">
        <v>342</v>
      </c>
    </row>
    <row r="210" spans="1:11" ht="16" x14ac:dyDescent="0.45">
      <c r="A210" s="10" t="s">
        <v>537</v>
      </c>
      <c r="B210" t="str">
        <f>HYPERLINK("#'Note_8_1_RPT'!A1", "[Open Note Tab]")</f>
        <v>[Open Note Tab]</v>
      </c>
    </row>
    <row r="211" spans="1:11" ht="24" customHeight="1" x14ac:dyDescent="0.35">
      <c r="A211" s="4" t="s">
        <v>538</v>
      </c>
      <c r="B211" s="4" t="s">
        <v>539</v>
      </c>
      <c r="C211" s="4" t="s">
        <v>540</v>
      </c>
      <c r="D211" s="4" t="s">
        <v>541</v>
      </c>
      <c r="E211" s="4" t="s">
        <v>542</v>
      </c>
      <c r="F211" s="4" t="s">
        <v>543</v>
      </c>
      <c r="G211" s="4" t="s">
        <v>544</v>
      </c>
      <c r="H211" s="4"/>
      <c r="I211" s="4"/>
      <c r="J211" s="4"/>
      <c r="K211" s="4"/>
    </row>
    <row r="212" spans="1:11" x14ac:dyDescent="0.35">
      <c r="A212" t="s">
        <v>545</v>
      </c>
      <c r="B212" t="s">
        <v>546</v>
      </c>
      <c r="C212" t="s">
        <v>547</v>
      </c>
      <c r="D212" s="11" t="s">
        <v>212</v>
      </c>
      <c r="E212" s="11" t="s">
        <v>212</v>
      </c>
      <c r="F212" s="11" t="s">
        <v>367</v>
      </c>
      <c r="G212" s="11" t="s">
        <v>261</v>
      </c>
    </row>
    <row r="214" spans="1:11" ht="16" x14ac:dyDescent="0.45">
      <c r="A214" s="10" t="s">
        <v>548</v>
      </c>
      <c r="B214" t="str">
        <f>HYPERLINK("#'Note_8_2_Contingencies'!A1", "[Open Note Tab]")</f>
        <v>[Open Note Tab]</v>
      </c>
    </row>
    <row r="215" spans="1:11" ht="24" customHeight="1" x14ac:dyDescent="0.35">
      <c r="A215" s="4" t="s">
        <v>549</v>
      </c>
      <c r="B215" s="4" t="s">
        <v>550</v>
      </c>
      <c r="C215" s="4" t="s">
        <v>551</v>
      </c>
      <c r="D215" s="4" t="s">
        <v>552</v>
      </c>
      <c r="E215" s="4" t="s">
        <v>553</v>
      </c>
      <c r="F215" s="4" t="s">
        <v>554</v>
      </c>
      <c r="G215" s="4"/>
      <c r="H215" s="4"/>
      <c r="I215" s="4"/>
      <c r="J215" s="4"/>
      <c r="K215" s="4"/>
    </row>
    <row r="216" spans="1:11" x14ac:dyDescent="0.35">
      <c r="A216" t="s">
        <v>555</v>
      </c>
      <c r="B216" t="s">
        <v>556</v>
      </c>
      <c r="C216" s="11" t="s">
        <v>395</v>
      </c>
      <c r="D216" s="11" t="s">
        <v>395</v>
      </c>
      <c r="E216" t="s">
        <v>557</v>
      </c>
      <c r="F216" t="s">
        <v>249</v>
      </c>
    </row>
  </sheetData>
  <pageMargins left="0.75" right="0.75" top="1" bottom="1" header="0.5" footer="0.5"/>
  <pageSetup paperSize="9" orientation="portrait"/>
  <headerFooter>
    <oddFooter>&amp;LApex Engineering Industries Limited | FY 2024-25&amp;RPage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
  <sheetViews>
    <sheetView showGridLines="0" workbookViewId="0"/>
  </sheetViews>
  <sheetFormatPr defaultRowHeight="14.5" x14ac:dyDescent="0.35"/>
  <sheetData>
    <row r="1" spans="1:3" ht="17.5" x14ac:dyDescent="0.45">
      <c r="A1" s="28" t="s">
        <v>0</v>
      </c>
    </row>
    <row r="2" spans="1:3" ht="16" x14ac:dyDescent="0.45">
      <c r="A2" s="10" t="s">
        <v>198</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201</v>
      </c>
    </row>
    <row r="7" spans="1:3" x14ac:dyDescent="0.35">
      <c r="A7" t="s">
        <v>202</v>
      </c>
      <c r="B7" s="11">
        <v>100</v>
      </c>
      <c r="C7" s="11">
        <v>100</v>
      </c>
    </row>
    <row r="8" spans="1:3" x14ac:dyDescent="0.35">
      <c r="A8" t="s">
        <v>204</v>
      </c>
    </row>
    <row r="9" spans="1:3" x14ac:dyDescent="0.35">
      <c r="A9" t="s">
        <v>205</v>
      </c>
      <c r="B9" s="11">
        <v>100</v>
      </c>
      <c r="C9" s="11">
        <v>100</v>
      </c>
    </row>
    <row r="10" spans="1:3" ht="15" x14ac:dyDescent="0.4">
      <c r="A10" s="26" t="s">
        <v>206</v>
      </c>
      <c r="B10" s="27">
        <v>100</v>
      </c>
      <c r="C10" s="27">
        <v>100</v>
      </c>
    </row>
    <row r="11" spans="1:3" s="17" customFormat="1" ht="16" x14ac:dyDescent="0.45">
      <c r="A11" s="18" t="s">
        <v>558</v>
      </c>
      <c r="B11" s="19">
        <f>B10</f>
        <v>100</v>
      </c>
      <c r="C11" s="19">
        <f>C10</f>
        <v>100</v>
      </c>
    </row>
    <row r="12" spans="1:3" ht="15" x14ac:dyDescent="0.4">
      <c r="A12" s="13" t="s">
        <v>559</v>
      </c>
      <c r="B12" s="12">
        <f>-SUMIFS('91_Mapping'!H:H, '91_Mapping'!F:F, "1.1")</f>
        <v>100</v>
      </c>
      <c r="C12" s="12">
        <f>-SUMIFS('91_Mapping'!I:I, '91_Mapping'!F:F, "1.1")</f>
        <v>100</v>
      </c>
    </row>
    <row r="13" spans="1:3" ht="15" x14ac:dyDescent="0.4">
      <c r="A13" s="13" t="s">
        <v>560</v>
      </c>
      <c r="B13" s="11">
        <f>B11-B12</f>
        <v>0</v>
      </c>
      <c r="C13" s="11">
        <f>C11-C12</f>
        <v>0</v>
      </c>
    </row>
    <row r="15" spans="1:3" x14ac:dyDescent="0.35">
      <c r="A15" s="21" t="s">
        <v>561</v>
      </c>
    </row>
  </sheetData>
  <pageMargins left="0.75" right="0.75" top="1" bottom="1" header="0.5" footer="0.5"/>
  <pageSetup paperSize="9" orientation="portrait"/>
  <headerFooter>
    <oddFooter>&amp;LApex Engineering Industries Limited | FY 2024-25&amp;RPage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9"/>
  <sheetViews>
    <sheetView showGridLines="0" workbookViewId="0"/>
  </sheetViews>
  <sheetFormatPr defaultRowHeight="14.5" x14ac:dyDescent="0.35"/>
  <sheetData>
    <row r="1" spans="1:3" ht="17.5" x14ac:dyDescent="0.45">
      <c r="A1" s="28" t="s">
        <v>0</v>
      </c>
    </row>
    <row r="2" spans="1:3" ht="16" x14ac:dyDescent="0.45">
      <c r="A2" s="10" t="s">
        <v>207</v>
      </c>
      <c r="B2" s="5" t="str">
        <f>HYPERLINK("#'02_Balance_Sheet'!A1", "[&lt;- Back to Balance Sheet]")</f>
        <v>[&lt;- Back to Balance Sheet]</v>
      </c>
    </row>
    <row r="3" spans="1:3" x14ac:dyDescent="0.35">
      <c r="A3" t="s">
        <v>40</v>
      </c>
    </row>
    <row r="5" spans="1:3" ht="24" customHeight="1" x14ac:dyDescent="0.35">
      <c r="A5" s="4" t="s">
        <v>41</v>
      </c>
      <c r="B5" s="4" t="s">
        <v>43</v>
      </c>
      <c r="C5" s="4" t="s">
        <v>44</v>
      </c>
    </row>
    <row r="6" spans="1:3" x14ac:dyDescent="0.35">
      <c r="A6" t="s">
        <v>208</v>
      </c>
      <c r="B6" s="11"/>
      <c r="C6" s="11"/>
    </row>
    <row r="7" spans="1:3" x14ac:dyDescent="0.35">
      <c r="A7" t="s">
        <v>209</v>
      </c>
      <c r="B7">
        <f>ABS(SUMIFS('91_Mapping'!I:I, '91_Mapping'!F:F, "1.2"))</f>
        <v>230</v>
      </c>
      <c r="C7">
        <f>ABS(SUMIFS('91_Mapping'!I:I, '91_Mapping'!F:F, "1.2"))</f>
        <v>230</v>
      </c>
    </row>
    <row r="8" spans="1:3" x14ac:dyDescent="0.35">
      <c r="A8" t="s">
        <v>211</v>
      </c>
      <c r="B8" s="11">
        <v>0</v>
      </c>
      <c r="C8" s="11">
        <v>0</v>
      </c>
    </row>
    <row r="9" spans="1:3" ht="15" x14ac:dyDescent="0.4">
      <c r="A9" s="29" t="s">
        <v>213</v>
      </c>
      <c r="B9" s="29">
        <f>SUM(B7:B8)</f>
        <v>230</v>
      </c>
      <c r="C9" s="29">
        <f>SUM(C7:C8)</f>
        <v>230</v>
      </c>
    </row>
    <row r="10" spans="1:3" x14ac:dyDescent="0.35">
      <c r="A10" t="s">
        <v>214</v>
      </c>
      <c r="B10" s="11"/>
      <c r="C10" s="11"/>
    </row>
    <row r="11" spans="1:3" x14ac:dyDescent="0.35">
      <c r="A11" t="s">
        <v>209</v>
      </c>
      <c r="B11">
        <f>'03_Profit_and_Loss'!D18</f>
        <v>-1245</v>
      </c>
      <c r="C11" s="11">
        <v>0</v>
      </c>
    </row>
    <row r="12" spans="1:3" x14ac:dyDescent="0.35">
      <c r="A12" t="s">
        <v>216</v>
      </c>
      <c r="B12">
        <f>'03_Profit_and_Loss'!C18</f>
        <v>-1490</v>
      </c>
      <c r="C12">
        <f>'03_Profit_and_Loss'!D18</f>
        <v>-1245</v>
      </c>
    </row>
    <row r="13" spans="1:3" ht="15" x14ac:dyDescent="0.4">
      <c r="A13" s="29" t="s">
        <v>218</v>
      </c>
      <c r="B13" s="29">
        <f>SUM(B11:B12)</f>
        <v>-2735</v>
      </c>
      <c r="C13" s="29">
        <f>SUM(C11:C12)</f>
        <v>-1245</v>
      </c>
    </row>
    <row r="14" spans="1:3" ht="15" x14ac:dyDescent="0.4">
      <c r="A14" s="26" t="s">
        <v>219</v>
      </c>
      <c r="B14" s="26">
        <f>B9+B13</f>
        <v>-2505</v>
      </c>
      <c r="C14" s="26">
        <f>C9+C13</f>
        <v>-1015</v>
      </c>
    </row>
    <row r="15" spans="1:3" s="17" customFormat="1" ht="16" x14ac:dyDescent="0.45">
      <c r="A15" s="18" t="s">
        <v>562</v>
      </c>
      <c r="B15" s="19">
        <f>B14</f>
        <v>-2505</v>
      </c>
      <c r="C15" s="19">
        <f>C14</f>
        <v>-1015</v>
      </c>
    </row>
    <row r="16" spans="1:3" ht="15" x14ac:dyDescent="0.4">
      <c r="A16" s="13" t="s">
        <v>559</v>
      </c>
      <c r="B16" s="12">
        <f>-SUMIFS('91_Mapping'!H:H, '91_Mapping'!F:F, "1.2") + '03_Profit_and_Loss'!C18</f>
        <v>-1160</v>
      </c>
      <c r="C16" s="12">
        <f>-SUMIFS('91_Mapping'!I:I, '91_Mapping'!F:F, "1.2") + '03_Profit_and_Loss'!D18</f>
        <v>-1015</v>
      </c>
    </row>
    <row r="17" spans="1:3" ht="15" x14ac:dyDescent="0.4">
      <c r="A17" s="13" t="s">
        <v>560</v>
      </c>
      <c r="B17" s="11">
        <f>B15-B16</f>
        <v>-1345</v>
      </c>
      <c r="C17" s="11">
        <f>C15-C16</f>
        <v>0</v>
      </c>
    </row>
    <row r="19" spans="1:3" x14ac:dyDescent="0.35">
      <c r="A19" s="21" t="s">
        <v>563</v>
      </c>
    </row>
  </sheetData>
  <pageMargins left="0.75" right="0.75" top="1" bottom="1" header="0.5" footer="0.5"/>
  <pageSetup paperSize="9" orientation="portrait"/>
  <headerFooter>
    <oddFooter>&amp;LApex Engineering Industries Limited | FY 2024-25&amp;RPage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showGridLines="0" workbookViewId="0"/>
  </sheetViews>
  <sheetFormatPr defaultRowHeight="14.5" x14ac:dyDescent="0.35"/>
  <sheetData>
    <row r="1" spans="1:3" ht="17.5" x14ac:dyDescent="0.45">
      <c r="A1" s="28" t="s">
        <v>0</v>
      </c>
    </row>
    <row r="2" spans="1:3" ht="16" x14ac:dyDescent="0.45">
      <c r="A2" s="10" t="s">
        <v>222</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223</v>
      </c>
      <c r="B6" s="11">
        <v>250</v>
      </c>
      <c r="C6" s="11">
        <v>300</v>
      </c>
    </row>
    <row r="7" spans="1:3" ht="15" x14ac:dyDescent="0.4">
      <c r="A7" s="26" t="s">
        <v>226</v>
      </c>
      <c r="B7" s="27">
        <v>250</v>
      </c>
      <c r="C7" s="27">
        <v>300</v>
      </c>
    </row>
    <row r="8" spans="1:3" s="17" customFormat="1" ht="16" x14ac:dyDescent="0.45">
      <c r="A8" s="18" t="s">
        <v>564</v>
      </c>
      <c r="B8" s="19">
        <f>B7</f>
        <v>250</v>
      </c>
      <c r="C8" s="19">
        <f>C7</f>
        <v>300</v>
      </c>
    </row>
    <row r="9" spans="1:3" ht="15" x14ac:dyDescent="0.4">
      <c r="A9" s="13" t="s">
        <v>559</v>
      </c>
      <c r="B9" s="12">
        <f>-SUMIFS('91_Mapping'!H:H, '91_Mapping'!F:F, "2.1")</f>
        <v>250</v>
      </c>
      <c r="C9" s="12">
        <f>-SUMIFS('91_Mapping'!I:I, '91_Mapping'!F:F, "2.1")</f>
        <v>300</v>
      </c>
    </row>
    <row r="10" spans="1:3" ht="15" x14ac:dyDescent="0.4">
      <c r="A10" s="13" t="s">
        <v>560</v>
      </c>
      <c r="B10" s="11">
        <f>B8-B9</f>
        <v>0</v>
      </c>
      <c r="C10" s="11">
        <f>C8-C9</f>
        <v>0</v>
      </c>
    </row>
    <row r="12" spans="1:3" x14ac:dyDescent="0.35">
      <c r="A12" s="21" t="s">
        <v>565</v>
      </c>
    </row>
  </sheetData>
  <pageMargins left="0.75" right="0.75" top="1" bottom="1" header="0.5" footer="0.5"/>
  <pageSetup paperSize="9" orientation="portrait"/>
  <headerFooter>
    <oddFooter>&amp;LApex Engineering Industries Limited | FY 2024-25&amp;RPage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3"/>
  <sheetViews>
    <sheetView showGridLines="0" workbookViewId="0"/>
  </sheetViews>
  <sheetFormatPr defaultRowHeight="14.5" x14ac:dyDescent="0.35"/>
  <sheetData>
    <row r="1" spans="1:3" ht="17.5" x14ac:dyDescent="0.45">
      <c r="A1" s="28" t="s">
        <v>0</v>
      </c>
    </row>
    <row r="2" spans="1:3" ht="16" x14ac:dyDescent="0.45">
      <c r="A2" s="10" t="s">
        <v>227</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228</v>
      </c>
      <c r="B6" s="11">
        <v>0</v>
      </c>
      <c r="C6" s="11">
        <v>0</v>
      </c>
    </row>
    <row r="7" spans="1:3" x14ac:dyDescent="0.35">
      <c r="A7" t="s">
        <v>229</v>
      </c>
      <c r="B7" s="11">
        <v>0</v>
      </c>
      <c r="C7" s="11">
        <v>0</v>
      </c>
    </row>
    <row r="8" spans="1:3" ht="15" x14ac:dyDescent="0.4">
      <c r="A8" s="26" t="s">
        <v>230</v>
      </c>
      <c r="B8" s="27">
        <v>0</v>
      </c>
      <c r="C8" s="27">
        <v>0</v>
      </c>
    </row>
    <row r="9" spans="1:3" s="17" customFormat="1" ht="16" x14ac:dyDescent="0.45">
      <c r="A9" s="18" t="s">
        <v>566</v>
      </c>
      <c r="B9" s="19">
        <f>B8</f>
        <v>0</v>
      </c>
      <c r="C9" s="19">
        <f>C8</f>
        <v>0</v>
      </c>
    </row>
    <row r="10" spans="1:3" ht="15" x14ac:dyDescent="0.4">
      <c r="A10" s="13" t="s">
        <v>559</v>
      </c>
      <c r="B10" s="12">
        <f>-SUMIFS('91_Mapping'!H:H, '91_Mapping'!F:F, "2.2")</f>
        <v>0</v>
      </c>
      <c r="C10" s="12">
        <f>-SUMIFS('91_Mapping'!I:I, '91_Mapping'!F:F, "2.2")</f>
        <v>0</v>
      </c>
    </row>
    <row r="11" spans="1:3" ht="15" x14ac:dyDescent="0.4">
      <c r="A11" s="13" t="s">
        <v>560</v>
      </c>
      <c r="B11" s="11">
        <f>B9-B10</f>
        <v>0</v>
      </c>
      <c r="C11" s="11">
        <f>C9-C10</f>
        <v>0</v>
      </c>
    </row>
    <row r="13" spans="1:3" x14ac:dyDescent="0.35">
      <c r="A13" s="21" t="s">
        <v>567</v>
      </c>
    </row>
  </sheetData>
  <pageMargins left="0.75" right="0.75" top="1" bottom="1" header="0.5" footer="0.5"/>
  <pageSetup paperSize="9" orientation="portrait"/>
  <headerFooter>
    <oddFooter>&amp;LApex Engineering Industries Limited | FY 2024-25&amp;RPage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showGridLines="0" workbookViewId="0"/>
  </sheetViews>
  <sheetFormatPr defaultRowHeight="14.5" x14ac:dyDescent="0.35"/>
  <sheetData>
    <row r="1" spans="1:3" ht="17.5" x14ac:dyDescent="0.45">
      <c r="A1" s="28" t="s">
        <v>0</v>
      </c>
    </row>
    <row r="2" spans="1:3" ht="16" x14ac:dyDescent="0.45">
      <c r="A2" s="10" t="s">
        <v>231</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232</v>
      </c>
      <c r="B6" s="11">
        <v>80</v>
      </c>
      <c r="C6" s="11">
        <v>60</v>
      </c>
    </row>
    <row r="7" spans="1:3" ht="15" x14ac:dyDescent="0.4">
      <c r="A7" s="26" t="s">
        <v>235</v>
      </c>
      <c r="B7" s="27">
        <v>80</v>
      </c>
      <c r="C7" s="27">
        <v>60</v>
      </c>
    </row>
    <row r="8" spans="1:3" s="17" customFormat="1" ht="16" x14ac:dyDescent="0.45">
      <c r="A8" s="18" t="s">
        <v>568</v>
      </c>
      <c r="B8" s="19">
        <f>B7</f>
        <v>80</v>
      </c>
      <c r="C8" s="19">
        <f>C7</f>
        <v>60</v>
      </c>
    </row>
    <row r="9" spans="1:3" ht="15" x14ac:dyDescent="0.4">
      <c r="A9" s="13" t="s">
        <v>559</v>
      </c>
      <c r="B9" s="12">
        <f>-SUMIFS('91_Mapping'!H:H, '91_Mapping'!F:F, "3.1")</f>
        <v>80</v>
      </c>
      <c r="C9" s="12">
        <f>-SUMIFS('91_Mapping'!I:I, '91_Mapping'!F:F, "3.1")</f>
        <v>60</v>
      </c>
    </row>
    <row r="10" spans="1:3" ht="15" x14ac:dyDescent="0.4">
      <c r="A10" s="13" t="s">
        <v>560</v>
      </c>
      <c r="B10" s="11">
        <f>B8-B9</f>
        <v>0</v>
      </c>
      <c r="C10" s="11">
        <f>C8-C9</f>
        <v>0</v>
      </c>
    </row>
    <row r="12" spans="1:3" x14ac:dyDescent="0.35">
      <c r="A12" s="21" t="s">
        <v>569</v>
      </c>
    </row>
  </sheetData>
  <pageMargins left="0.75" right="0.75" top="1" bottom="1" header="0.5" footer="0.5"/>
  <pageSetup paperSize="9" orientation="portrait"/>
  <headerFooter>
    <oddFooter>&amp;LApex Engineering Industries Limited | FY 2024-25&amp;RPage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3"/>
  <sheetViews>
    <sheetView showGridLines="0" workbookViewId="0"/>
  </sheetViews>
  <sheetFormatPr defaultRowHeight="14.5" x14ac:dyDescent="0.35"/>
  <sheetData>
    <row r="1" spans="1:7" ht="17.5" x14ac:dyDescent="0.45">
      <c r="A1" s="28" t="s">
        <v>0</v>
      </c>
    </row>
    <row r="2" spans="1:7" ht="16" x14ac:dyDescent="0.45">
      <c r="A2" s="10" t="s">
        <v>236</v>
      </c>
      <c r="B2" s="5" t="str">
        <f>HYPERLINK("#'02_Balance_Sheet'!A1", "[&lt;- Back to Balance Sheet]")</f>
        <v>[&lt;- Back to Balance Sheet]</v>
      </c>
    </row>
    <row r="3" spans="1:7" x14ac:dyDescent="0.35">
      <c r="A3" t="s">
        <v>40</v>
      </c>
    </row>
    <row r="5" spans="1:7" ht="24" customHeight="1" x14ac:dyDescent="0.35">
      <c r="A5" s="4" t="s">
        <v>237</v>
      </c>
      <c r="B5" s="4" t="s">
        <v>238</v>
      </c>
      <c r="C5" s="4" t="s">
        <v>239</v>
      </c>
      <c r="D5" s="4" t="s">
        <v>240</v>
      </c>
      <c r="E5" s="4" t="s">
        <v>241</v>
      </c>
      <c r="F5" s="4" t="s">
        <v>242</v>
      </c>
      <c r="G5" s="4" t="s">
        <v>243</v>
      </c>
    </row>
    <row r="6" spans="1:7" x14ac:dyDescent="0.35">
      <c r="A6" t="s">
        <v>244</v>
      </c>
      <c r="B6" t="s">
        <v>245</v>
      </c>
      <c r="C6" s="11">
        <v>60</v>
      </c>
      <c r="D6" s="11">
        <v>5</v>
      </c>
      <c r="E6" s="11">
        <v>0</v>
      </c>
      <c r="F6" s="11">
        <v>0</v>
      </c>
      <c r="G6" s="11">
        <v>65</v>
      </c>
    </row>
    <row r="7" spans="1:7" x14ac:dyDescent="0.35">
      <c r="A7" t="s">
        <v>248</v>
      </c>
      <c r="B7" t="s">
        <v>249</v>
      </c>
      <c r="C7" s="11">
        <v>110</v>
      </c>
      <c r="D7" s="11">
        <v>10</v>
      </c>
      <c r="E7" s="11">
        <v>0</v>
      </c>
      <c r="F7" s="11">
        <v>0</v>
      </c>
      <c r="G7" s="11">
        <v>120</v>
      </c>
    </row>
    <row r="8" spans="1:7" ht="15" x14ac:dyDescent="0.4">
      <c r="A8" s="26" t="s">
        <v>253</v>
      </c>
      <c r="B8" s="26"/>
      <c r="C8" s="27">
        <v>185</v>
      </c>
      <c r="D8" s="26"/>
      <c r="E8" s="26"/>
      <c r="F8" s="26"/>
      <c r="G8" s="27">
        <v>185</v>
      </c>
    </row>
    <row r="9" spans="1:7" s="17" customFormat="1" ht="16" x14ac:dyDescent="0.45">
      <c r="A9" s="18" t="s">
        <v>570</v>
      </c>
      <c r="B9" s="19">
        <f>G8</f>
        <v>185</v>
      </c>
      <c r="C9" s="19">
        <f>C8</f>
        <v>185</v>
      </c>
    </row>
    <row r="10" spans="1:7" ht="15" x14ac:dyDescent="0.4">
      <c r="A10" s="13" t="s">
        <v>559</v>
      </c>
      <c r="B10" s="12">
        <f>-SUMIFS('91_Mapping'!H:H, '91_Mapping'!F:F, "3.2")</f>
        <v>185</v>
      </c>
      <c r="C10" s="12">
        <f>-SUMIFS('91_Mapping'!I:I, '91_Mapping'!F:F, "3.2")</f>
        <v>145</v>
      </c>
    </row>
    <row r="11" spans="1:7" ht="15" x14ac:dyDescent="0.4">
      <c r="A11" s="13" t="s">
        <v>560</v>
      </c>
      <c r="B11" s="11">
        <f>B9-B10</f>
        <v>0</v>
      </c>
      <c r="C11" s="11">
        <f>C9-C10</f>
        <v>40</v>
      </c>
    </row>
    <row r="13" spans="1:7" x14ac:dyDescent="0.35">
      <c r="A13" s="21" t="s">
        <v>571</v>
      </c>
    </row>
  </sheetData>
  <pageMargins left="0.75" right="0.75" top="1" bottom="1" header="0.5" footer="0.5"/>
  <pageSetup paperSize="9" orientation="portrait"/>
  <headerFooter>
    <oddFooter>&amp;LApex Engineering Industries Limited | FY 2024-25&amp;RPage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6"/>
  <sheetViews>
    <sheetView showGridLines="0" workbookViewId="0"/>
  </sheetViews>
  <sheetFormatPr defaultRowHeight="14.5" x14ac:dyDescent="0.35"/>
  <sheetData>
    <row r="1" spans="1:3" ht="17.5" x14ac:dyDescent="0.45">
      <c r="A1" s="28" t="s">
        <v>0</v>
      </c>
    </row>
    <row r="2" spans="1:3" ht="16" x14ac:dyDescent="0.45">
      <c r="A2" s="10" t="s">
        <v>255</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256</v>
      </c>
      <c r="B6" s="11">
        <v>11.25</v>
      </c>
      <c r="C6" s="11">
        <v>9</v>
      </c>
    </row>
    <row r="7" spans="1:3" x14ac:dyDescent="0.35">
      <c r="A7" t="s">
        <v>259</v>
      </c>
      <c r="B7" s="11">
        <v>3.75</v>
      </c>
      <c r="C7" s="11">
        <v>3</v>
      </c>
    </row>
    <row r="8" spans="1:3" x14ac:dyDescent="0.35">
      <c r="A8" t="s">
        <v>262</v>
      </c>
      <c r="B8" s="11">
        <v>5</v>
      </c>
      <c r="C8" s="11">
        <v>4</v>
      </c>
    </row>
    <row r="9" spans="1:3" x14ac:dyDescent="0.35">
      <c r="A9" t="s">
        <v>264</v>
      </c>
      <c r="B9" s="11">
        <v>3.75</v>
      </c>
      <c r="C9" s="11">
        <v>3</v>
      </c>
    </row>
    <row r="10" spans="1:3" x14ac:dyDescent="0.35">
      <c r="A10" t="s">
        <v>265</v>
      </c>
      <c r="B10" s="11">
        <v>1.25</v>
      </c>
      <c r="C10" s="11">
        <v>1</v>
      </c>
    </row>
    <row r="11" spans="1:3" ht="15" x14ac:dyDescent="0.4">
      <c r="A11" s="26" t="s">
        <v>268</v>
      </c>
      <c r="B11" s="27">
        <v>25</v>
      </c>
      <c r="C11" s="27">
        <v>20</v>
      </c>
    </row>
    <row r="12" spans="1:3" s="17" customFormat="1" ht="16" x14ac:dyDescent="0.45">
      <c r="A12" s="18" t="s">
        <v>572</v>
      </c>
      <c r="B12" s="19">
        <f>B11</f>
        <v>25</v>
      </c>
      <c r="C12" s="19">
        <f>C11</f>
        <v>20</v>
      </c>
    </row>
    <row r="13" spans="1:3" ht="15" x14ac:dyDescent="0.4">
      <c r="A13" s="13" t="s">
        <v>559</v>
      </c>
      <c r="B13" s="12">
        <f>-SUMIFS('91_Mapping'!H:H, '91_Mapping'!F:F, "3.3")</f>
        <v>25</v>
      </c>
      <c r="C13" s="12">
        <f>-SUMIFS('91_Mapping'!I:I, '91_Mapping'!F:F, "3.3")</f>
        <v>20</v>
      </c>
    </row>
    <row r="14" spans="1:3" ht="15" x14ac:dyDescent="0.4">
      <c r="A14" s="13" t="s">
        <v>560</v>
      </c>
      <c r="B14" s="11">
        <f>B12-B13</f>
        <v>0</v>
      </c>
      <c r="C14" s="11">
        <f>C12-C13</f>
        <v>0</v>
      </c>
    </row>
    <row r="16" spans="1:3" x14ac:dyDescent="0.35">
      <c r="A16" s="21" t="s">
        <v>573</v>
      </c>
    </row>
  </sheetData>
  <pageMargins left="0.75" right="0.75" top="1" bottom="1" header="0.5" footer="0.5"/>
  <pageSetup paperSize="9" orientation="portrait"/>
  <headerFooter>
    <oddFooter>&amp;LApex Engineering Industries Limited | FY 2024-25&amp;RPage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4"/>
  <sheetViews>
    <sheetView showGridLines="0" workbookViewId="0"/>
  </sheetViews>
  <sheetFormatPr defaultRowHeight="14.5" x14ac:dyDescent="0.35"/>
  <sheetData>
    <row r="1" spans="1:3" ht="17.5" x14ac:dyDescent="0.45">
      <c r="A1" s="28" t="s">
        <v>0</v>
      </c>
    </row>
    <row r="2" spans="1:3" ht="16" x14ac:dyDescent="0.45">
      <c r="A2" s="10" t="s">
        <v>271</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272</v>
      </c>
      <c r="B6" s="11">
        <v>0</v>
      </c>
      <c r="C6" s="11">
        <v>0</v>
      </c>
    </row>
    <row r="7" spans="1:3" x14ac:dyDescent="0.35">
      <c r="A7" t="s">
        <v>273</v>
      </c>
      <c r="B7" s="11">
        <v>0</v>
      </c>
      <c r="C7" s="11">
        <v>0</v>
      </c>
    </row>
    <row r="8" spans="1:3" x14ac:dyDescent="0.35">
      <c r="A8" t="s">
        <v>274</v>
      </c>
      <c r="B8" s="11">
        <v>0</v>
      </c>
      <c r="C8" s="11">
        <v>0</v>
      </c>
    </row>
    <row r="9" spans="1:3" ht="15" x14ac:dyDescent="0.4">
      <c r="A9" s="26" t="s">
        <v>275</v>
      </c>
      <c r="B9" s="27">
        <v>0</v>
      </c>
      <c r="C9" s="27">
        <v>0</v>
      </c>
    </row>
    <row r="10" spans="1:3" s="17" customFormat="1" ht="16" x14ac:dyDescent="0.45">
      <c r="A10" s="18" t="s">
        <v>574</v>
      </c>
      <c r="B10" s="19">
        <f>B9</f>
        <v>0</v>
      </c>
      <c r="C10" s="19">
        <f>C9</f>
        <v>0</v>
      </c>
    </row>
    <row r="11" spans="1:3" ht="15" x14ac:dyDescent="0.4">
      <c r="A11" s="13" t="s">
        <v>559</v>
      </c>
      <c r="B11" s="12">
        <f>-SUMIFS('91_Mapping'!H:H, '91_Mapping'!F:F, "3.4")</f>
        <v>0</v>
      </c>
      <c r="C11" s="12">
        <f>-SUMIFS('91_Mapping'!I:I, '91_Mapping'!F:F, "3.4")</f>
        <v>0</v>
      </c>
    </row>
    <row r="12" spans="1:3" ht="15" x14ac:dyDescent="0.4">
      <c r="A12" s="13" t="s">
        <v>560</v>
      </c>
      <c r="B12" s="11">
        <f>B10-B11</f>
        <v>0</v>
      </c>
      <c r="C12" s="11">
        <f>C10-C11</f>
        <v>0</v>
      </c>
    </row>
    <row r="14" spans="1:3" x14ac:dyDescent="0.35">
      <c r="A14" s="21" t="s">
        <v>575</v>
      </c>
    </row>
  </sheetData>
  <pageMargins left="0.75" right="0.75" top="1" bottom="1" header="0.5" footer="0.5"/>
  <pageSetup paperSize="9" orientation="portrait"/>
  <headerFooter>
    <oddFooter>&amp;LApex Engineering Industries Limited | FY 2024-25&amp;RPage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7"/>
  <sheetViews>
    <sheetView showGridLines="0" workbookViewId="0"/>
  </sheetViews>
  <sheetFormatPr defaultRowHeight="14.5" x14ac:dyDescent="0.35"/>
  <sheetData>
    <row r="1" spans="1:11" ht="17.5" x14ac:dyDescent="0.45">
      <c r="A1" s="28" t="s">
        <v>0</v>
      </c>
    </row>
    <row r="2" spans="1:11" ht="16" x14ac:dyDescent="0.45">
      <c r="A2" s="10" t="s">
        <v>276</v>
      </c>
      <c r="B2" s="5" t="str">
        <f>HYPERLINK("#'02_Balance_Sheet'!A1", "[&lt;- Back to Balance Sheet]")</f>
        <v>[&lt;- Back to Balance Sheet]</v>
      </c>
    </row>
    <row r="3" spans="1:11" x14ac:dyDescent="0.35">
      <c r="A3" t="s">
        <v>40</v>
      </c>
    </row>
    <row r="5" spans="1:11" ht="24" customHeight="1" x14ac:dyDescent="0.35">
      <c r="A5" s="4" t="s">
        <v>277</v>
      </c>
      <c r="B5" s="4" t="s">
        <v>278</v>
      </c>
      <c r="C5" s="4" t="s">
        <v>279</v>
      </c>
      <c r="D5" s="4" t="s">
        <v>280</v>
      </c>
      <c r="E5" s="4" t="s">
        <v>281</v>
      </c>
      <c r="F5" s="4" t="s">
        <v>282</v>
      </c>
      <c r="G5" s="4" t="s">
        <v>283</v>
      </c>
      <c r="H5" s="4" t="s">
        <v>284</v>
      </c>
      <c r="I5" s="4" t="s">
        <v>285</v>
      </c>
      <c r="J5" s="4" t="s">
        <v>286</v>
      </c>
      <c r="K5" s="4" t="s">
        <v>287</v>
      </c>
    </row>
    <row r="6" spans="1:11" x14ac:dyDescent="0.35">
      <c r="A6" t="s">
        <v>288</v>
      </c>
      <c r="B6" s="11">
        <v>160.26</v>
      </c>
      <c r="C6" s="11">
        <v>13.94</v>
      </c>
      <c r="D6" s="11">
        <v>0</v>
      </c>
      <c r="E6" s="11">
        <v>174.2</v>
      </c>
      <c r="F6" s="11">
        <v>0</v>
      </c>
      <c r="G6" s="11">
        <v>0</v>
      </c>
      <c r="H6" s="11">
        <v>0</v>
      </c>
      <c r="I6" s="11">
        <v>0</v>
      </c>
      <c r="J6" s="11">
        <v>174.2</v>
      </c>
      <c r="K6" s="11">
        <v>160.26</v>
      </c>
    </row>
    <row r="7" spans="1:11" x14ac:dyDescent="0.35">
      <c r="A7" t="s">
        <v>292</v>
      </c>
      <c r="B7" s="11">
        <v>200.33</v>
      </c>
      <c r="C7" s="11">
        <v>17.420000000000002</v>
      </c>
      <c r="D7" s="11">
        <v>0</v>
      </c>
      <c r="E7" s="11">
        <v>217.75</v>
      </c>
      <c r="F7" s="11">
        <v>10.02</v>
      </c>
      <c r="G7" s="11">
        <v>10.89</v>
      </c>
      <c r="H7" s="11">
        <v>0</v>
      </c>
      <c r="I7" s="11">
        <v>20.91</v>
      </c>
      <c r="J7" s="11">
        <v>196.84</v>
      </c>
      <c r="K7" s="11">
        <v>190.31</v>
      </c>
    </row>
    <row r="8" spans="1:11" x14ac:dyDescent="0.35">
      <c r="A8" t="s">
        <v>301</v>
      </c>
      <c r="B8" s="11">
        <v>280.45999999999998</v>
      </c>
      <c r="C8" s="11">
        <v>24.39</v>
      </c>
      <c r="D8" s="11">
        <v>0</v>
      </c>
      <c r="E8" s="11">
        <v>304.85000000000002</v>
      </c>
      <c r="F8" s="11">
        <v>28.05</v>
      </c>
      <c r="G8" s="11">
        <v>30.49</v>
      </c>
      <c r="H8" s="11">
        <v>0</v>
      </c>
      <c r="I8" s="11">
        <v>58.54</v>
      </c>
      <c r="J8" s="11">
        <v>246.31</v>
      </c>
      <c r="K8" s="11">
        <v>252.41</v>
      </c>
    </row>
    <row r="9" spans="1:11" x14ac:dyDescent="0.35">
      <c r="A9" t="s">
        <v>310</v>
      </c>
      <c r="B9" s="11">
        <v>80.13</v>
      </c>
      <c r="C9" s="11">
        <v>6.97</v>
      </c>
      <c r="D9" s="11">
        <v>0</v>
      </c>
      <c r="E9" s="11">
        <v>87.1</v>
      </c>
      <c r="F9" s="11">
        <v>8.01</v>
      </c>
      <c r="G9" s="11">
        <v>8.7100000000000009</v>
      </c>
      <c r="H9" s="11">
        <v>0</v>
      </c>
      <c r="I9" s="11">
        <v>16.72</v>
      </c>
      <c r="J9" s="11">
        <v>70.38</v>
      </c>
      <c r="K9" s="11">
        <v>72.12</v>
      </c>
    </row>
    <row r="10" spans="1:11" x14ac:dyDescent="0.35">
      <c r="A10" t="s">
        <v>319</v>
      </c>
      <c r="B10" s="11">
        <v>40.07</v>
      </c>
      <c r="C10" s="11">
        <v>3.48</v>
      </c>
      <c r="D10" s="11">
        <v>0</v>
      </c>
      <c r="E10" s="11">
        <v>43.55</v>
      </c>
      <c r="F10" s="11">
        <v>6.01</v>
      </c>
      <c r="G10" s="11">
        <v>6.53</v>
      </c>
      <c r="H10" s="11">
        <v>0</v>
      </c>
      <c r="I10" s="11">
        <v>12.54</v>
      </c>
      <c r="J10" s="11">
        <v>31.01</v>
      </c>
      <c r="K10" s="11">
        <v>34.06</v>
      </c>
    </row>
    <row r="11" spans="1:11" x14ac:dyDescent="0.35">
      <c r="A11" t="s">
        <v>328</v>
      </c>
      <c r="B11" s="11">
        <v>40.07</v>
      </c>
      <c r="C11" s="11">
        <v>3.48</v>
      </c>
      <c r="D11" s="11">
        <v>0</v>
      </c>
      <c r="E11" s="11">
        <v>43.55</v>
      </c>
      <c r="F11" s="11">
        <v>6.01</v>
      </c>
      <c r="G11" s="11">
        <v>6.53</v>
      </c>
      <c r="H11" s="11">
        <v>0</v>
      </c>
      <c r="I11" s="11">
        <v>12.54</v>
      </c>
      <c r="J11" s="11">
        <v>31.01</v>
      </c>
      <c r="K11" s="11">
        <v>34.06</v>
      </c>
    </row>
    <row r="12" spans="1:11" ht="15" x14ac:dyDescent="0.4">
      <c r="A12" s="26" t="s">
        <v>329</v>
      </c>
      <c r="B12" s="27">
        <v>801.32</v>
      </c>
      <c r="C12" s="27">
        <v>69.680000000000007</v>
      </c>
      <c r="D12" s="27">
        <v>0</v>
      </c>
      <c r="E12" s="27">
        <v>871</v>
      </c>
      <c r="F12" s="27">
        <v>58.1</v>
      </c>
      <c r="G12" s="27">
        <v>63.15</v>
      </c>
      <c r="H12" s="27">
        <v>0</v>
      </c>
      <c r="I12" s="27">
        <v>121.25</v>
      </c>
      <c r="J12" s="27">
        <v>749.75</v>
      </c>
      <c r="K12" s="27">
        <v>743.22</v>
      </c>
    </row>
    <row r="13" spans="1:11" s="17" customFormat="1" ht="16" x14ac:dyDescent="0.45">
      <c r="A13" s="18" t="s">
        <v>576</v>
      </c>
      <c r="B13" s="19">
        <f>J12</f>
        <v>749.75</v>
      </c>
      <c r="C13" s="19">
        <f>K12</f>
        <v>743.22</v>
      </c>
    </row>
    <row r="14" spans="1:11" ht="15" x14ac:dyDescent="0.4">
      <c r="A14" s="13" t="s">
        <v>559</v>
      </c>
      <c r="B14" s="12">
        <f>SUMIFS('91_Mapping'!H:H, '91_Mapping'!F:F, "4.1")</f>
        <v>670</v>
      </c>
      <c r="C14" s="12">
        <f>SUMIFS('91_Mapping'!I:I, '91_Mapping'!F:F, "4.1")</f>
        <v>630</v>
      </c>
    </row>
    <row r="15" spans="1:11" ht="15" x14ac:dyDescent="0.4">
      <c r="A15" s="13" t="s">
        <v>560</v>
      </c>
      <c r="B15" s="11">
        <f>B13-B14</f>
        <v>79.75</v>
      </c>
      <c r="C15" s="11">
        <f>C13-C14</f>
        <v>113.22000000000003</v>
      </c>
    </row>
    <row r="17" spans="1:1" x14ac:dyDescent="0.35">
      <c r="A17" s="21" t="s">
        <v>577</v>
      </c>
    </row>
  </sheetData>
  <pageMargins left="0.75" right="0.75" top="1" bottom="1" header="0.5" footer="0.5"/>
  <pageSetup paperSize="9" orientation="portrait"/>
  <headerFooter>
    <oddFooter>&amp;LApex Engineering Industries Limited | FY 2024-25&amp;RPage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2"/>
  <sheetViews>
    <sheetView showGridLines="0" workbookViewId="0"/>
  </sheetViews>
  <sheetFormatPr defaultRowHeight="14.5" x14ac:dyDescent="0.35"/>
  <sheetData>
    <row r="1" spans="1:6" ht="17.5" x14ac:dyDescent="0.45">
      <c r="A1" s="28" t="s">
        <v>0</v>
      </c>
    </row>
    <row r="2" spans="1:6" ht="16" x14ac:dyDescent="0.45">
      <c r="A2" s="10" t="s">
        <v>338</v>
      </c>
      <c r="B2" s="5" t="str">
        <f>HYPERLINK("#'02_Balance_Sheet'!A1", "[&lt;- Back to Balance Sheet]")</f>
        <v>[&lt;- Back to Balance Sheet]</v>
      </c>
    </row>
    <row r="3" spans="1:6" x14ac:dyDescent="0.35">
      <c r="A3" t="s">
        <v>40</v>
      </c>
    </row>
    <row r="5" spans="1:6" ht="24" customHeight="1" x14ac:dyDescent="0.35">
      <c r="A5" s="4" t="s">
        <v>339</v>
      </c>
      <c r="B5" s="4" t="s">
        <v>239</v>
      </c>
      <c r="C5" s="4" t="s">
        <v>240</v>
      </c>
      <c r="D5" s="4" t="s">
        <v>241</v>
      </c>
      <c r="E5" s="4" t="s">
        <v>242</v>
      </c>
      <c r="F5" s="4" t="s">
        <v>340</v>
      </c>
    </row>
    <row r="6" spans="1:6" x14ac:dyDescent="0.35">
      <c r="A6" t="s">
        <v>341</v>
      </c>
      <c r="B6" s="11">
        <v>30</v>
      </c>
      <c r="C6" s="11">
        <v>15</v>
      </c>
      <c r="D6" s="11">
        <v>0</v>
      </c>
      <c r="E6" s="11">
        <v>0</v>
      </c>
      <c r="F6" s="11">
        <v>45</v>
      </c>
    </row>
    <row r="7" spans="1:6" ht="15" x14ac:dyDescent="0.4">
      <c r="A7" s="26" t="s">
        <v>345</v>
      </c>
      <c r="B7" s="27">
        <v>45</v>
      </c>
      <c r="C7" s="26"/>
      <c r="D7" s="26"/>
      <c r="E7" s="26"/>
      <c r="F7" s="27">
        <v>45</v>
      </c>
    </row>
    <row r="8" spans="1:6" s="17" customFormat="1" ht="16" x14ac:dyDescent="0.45">
      <c r="A8" s="18" t="s">
        <v>578</v>
      </c>
      <c r="B8" s="19">
        <f>F7</f>
        <v>45</v>
      </c>
      <c r="C8" s="19">
        <f>C7</f>
        <v>0</v>
      </c>
    </row>
    <row r="9" spans="1:6" ht="15" x14ac:dyDescent="0.4">
      <c r="A9" s="13" t="s">
        <v>559</v>
      </c>
      <c r="B9" s="12">
        <f>SUMIFS('91_Mapping'!H:H, '91_Mapping'!F:F, "4.2")</f>
        <v>45</v>
      </c>
      <c r="C9" s="12">
        <f>SUMIFS('91_Mapping'!I:I, '91_Mapping'!F:F, "4.2")</f>
        <v>15</v>
      </c>
    </row>
    <row r="10" spans="1:6" ht="15" x14ac:dyDescent="0.4">
      <c r="A10" s="13" t="s">
        <v>560</v>
      </c>
      <c r="B10" s="11">
        <f>B8-B9</f>
        <v>0</v>
      </c>
      <c r="C10" s="11">
        <f>C8-C9</f>
        <v>-15</v>
      </c>
    </row>
    <row r="12" spans="1:6" x14ac:dyDescent="0.35">
      <c r="A12" s="21" t="s">
        <v>579</v>
      </c>
    </row>
  </sheetData>
  <pageMargins left="0.75" right="0.75" top="1" bottom="1" header="0.5" footer="0.5"/>
  <pageSetup paperSize="9" orientation="portrait"/>
  <headerFooter>
    <oddFooter>&amp;LApex Engineering Industries Limited | FY 2024-25&amp;RPage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4"/>
  <sheetViews>
    <sheetView showGridLines="0" workbookViewId="0"/>
  </sheetViews>
  <sheetFormatPr defaultRowHeight="14.5" x14ac:dyDescent="0.35"/>
  <sheetData>
    <row r="1" spans="1:4" ht="17.5" x14ac:dyDescent="0.45">
      <c r="A1" s="28" t="s">
        <v>0</v>
      </c>
    </row>
    <row r="2" spans="1:4" ht="16" x14ac:dyDescent="0.45">
      <c r="A2" s="10" t="s">
        <v>346</v>
      </c>
      <c r="B2" s="5" t="str">
        <f>HYPERLINK("#'02_Balance_Sheet'!A1", "[&lt;- Back to Balance Sheet]")</f>
        <v>[&lt;- Back to Balance Sheet]</v>
      </c>
    </row>
    <row r="3" spans="1:4" x14ac:dyDescent="0.35">
      <c r="A3" t="s">
        <v>40</v>
      </c>
    </row>
    <row r="5" spans="1:4" ht="24" customHeight="1" x14ac:dyDescent="0.35">
      <c r="A5" s="4" t="s">
        <v>41</v>
      </c>
      <c r="B5" s="4" t="s">
        <v>347</v>
      </c>
      <c r="C5" s="4" t="s">
        <v>199</v>
      </c>
      <c r="D5" s="4" t="s">
        <v>200</v>
      </c>
    </row>
    <row r="6" spans="1:4" x14ac:dyDescent="0.35">
      <c r="A6" t="s">
        <v>348</v>
      </c>
    </row>
    <row r="7" spans="1:4" x14ac:dyDescent="0.35">
      <c r="A7" t="s">
        <v>349</v>
      </c>
      <c r="B7" t="s">
        <v>350</v>
      </c>
      <c r="C7" s="11">
        <v>0</v>
      </c>
      <c r="D7" s="11">
        <v>0</v>
      </c>
    </row>
    <row r="8" spans="1:4" x14ac:dyDescent="0.35">
      <c r="A8" t="s">
        <v>351</v>
      </c>
      <c r="B8" t="s">
        <v>350</v>
      </c>
      <c r="C8" s="11">
        <v>0</v>
      </c>
      <c r="D8" s="11">
        <v>0</v>
      </c>
    </row>
    <row r="9" spans="1:4" ht="15" x14ac:dyDescent="0.4">
      <c r="A9" s="26" t="s">
        <v>352</v>
      </c>
      <c r="B9" s="26"/>
      <c r="C9" s="27">
        <v>0</v>
      </c>
      <c r="D9" s="27">
        <v>0</v>
      </c>
    </row>
    <row r="10" spans="1:4" s="17" customFormat="1" ht="16" x14ac:dyDescent="0.45">
      <c r="A10" s="18" t="s">
        <v>580</v>
      </c>
      <c r="B10" s="19">
        <f>B9</f>
        <v>0</v>
      </c>
      <c r="C10" s="19">
        <f>C9</f>
        <v>0</v>
      </c>
    </row>
    <row r="11" spans="1:4" ht="15" x14ac:dyDescent="0.4">
      <c r="A11" s="13" t="s">
        <v>559</v>
      </c>
      <c r="B11" s="12">
        <f>SUMIFS('91_Mapping'!H:H, '91_Mapping'!F:F, "4.3")</f>
        <v>0</v>
      </c>
      <c r="C11" s="12">
        <f>SUMIFS('91_Mapping'!I:I, '91_Mapping'!F:F, "4.3")</f>
        <v>0</v>
      </c>
    </row>
    <row r="12" spans="1:4" ht="15" x14ac:dyDescent="0.4">
      <c r="A12" s="13" t="s">
        <v>560</v>
      </c>
      <c r="B12" s="11">
        <f>B10-B11</f>
        <v>0</v>
      </c>
      <c r="C12" s="11">
        <f>C10-C11</f>
        <v>0</v>
      </c>
    </row>
    <row r="14" spans="1:4" x14ac:dyDescent="0.35">
      <c r="A14" s="21" t="s">
        <v>581</v>
      </c>
    </row>
  </sheetData>
  <pageMargins left="0.75" right="0.75" top="1" bottom="1" header="0.5" footer="0.5"/>
  <pageSetup paperSize="9" orientation="portrait"/>
  <headerFooter>
    <oddFooter>&amp;LApex Engineering Industries Limited | FY 2024-25&amp;RPage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
  <sheetViews>
    <sheetView showGridLines="0" workbookViewId="0"/>
  </sheetViews>
  <sheetFormatPr defaultRowHeight="14.5" x14ac:dyDescent="0.35"/>
  <sheetData>
    <row r="1" spans="1:3" ht="17.5" x14ac:dyDescent="0.45">
      <c r="A1" s="28" t="s">
        <v>0</v>
      </c>
    </row>
    <row r="2" spans="1:3" ht="16" x14ac:dyDescent="0.45">
      <c r="A2" s="10" t="s">
        <v>353</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354</v>
      </c>
      <c r="B6" s="11">
        <v>0</v>
      </c>
      <c r="C6" s="11">
        <v>0</v>
      </c>
    </row>
    <row r="7" spans="1:3" x14ac:dyDescent="0.35">
      <c r="A7" t="s">
        <v>355</v>
      </c>
      <c r="B7" s="11">
        <v>0</v>
      </c>
      <c r="C7" s="11">
        <v>0</v>
      </c>
    </row>
    <row r="8" spans="1:3" x14ac:dyDescent="0.35">
      <c r="A8" t="s">
        <v>356</v>
      </c>
      <c r="B8" s="11">
        <v>0</v>
      </c>
      <c r="C8" s="11">
        <v>0</v>
      </c>
    </row>
    <row r="9" spans="1:3" ht="15" x14ac:dyDescent="0.4">
      <c r="A9" s="26" t="s">
        <v>357</v>
      </c>
      <c r="B9" s="27">
        <v>0</v>
      </c>
      <c r="C9" s="27">
        <v>0</v>
      </c>
    </row>
    <row r="10" spans="1:3" s="17" customFormat="1" ht="16" x14ac:dyDescent="0.45">
      <c r="A10" s="18" t="s">
        <v>582</v>
      </c>
      <c r="B10" s="19">
        <f>B9</f>
        <v>0</v>
      </c>
      <c r="C10" s="19">
        <f>C9</f>
        <v>0</v>
      </c>
    </row>
    <row r="11" spans="1:3" ht="15" x14ac:dyDescent="0.4">
      <c r="A11" s="13" t="s">
        <v>559</v>
      </c>
      <c r="B11" s="12">
        <f>SUMIFS('91_Mapping'!H:H, '91_Mapping'!F:F, "4.4")</f>
        <v>0</v>
      </c>
      <c r="C11" s="12">
        <f>SUMIFS('91_Mapping'!I:I, '91_Mapping'!F:F, "4.4")</f>
        <v>0</v>
      </c>
    </row>
    <row r="12" spans="1:3" ht="15" x14ac:dyDescent="0.4">
      <c r="A12" s="13" t="s">
        <v>560</v>
      </c>
      <c r="B12" s="11">
        <f>B10-B11</f>
        <v>0</v>
      </c>
      <c r="C12" s="11">
        <f>C10-C11</f>
        <v>0</v>
      </c>
    </row>
    <row r="14" spans="1:3" x14ac:dyDescent="0.35">
      <c r="A14" s="21" t="s">
        <v>583</v>
      </c>
    </row>
  </sheetData>
  <pageMargins left="0.75" right="0.75" top="1" bottom="1" header="0.5" footer="0.5"/>
  <pageSetup paperSize="9" orientation="portrait"/>
  <headerFooter>
    <oddFooter>&amp;LApex Engineering Industries Limited | FY 2024-25&amp;RPage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5"/>
  <sheetViews>
    <sheetView showGridLines="0" workbookViewId="0"/>
  </sheetViews>
  <sheetFormatPr defaultRowHeight="14.5" x14ac:dyDescent="0.35"/>
  <sheetData>
    <row r="1" spans="1:3" ht="17.5" x14ac:dyDescent="0.45">
      <c r="A1" s="28" t="s">
        <v>0</v>
      </c>
    </row>
    <row r="2" spans="1:3" ht="16" x14ac:dyDescent="0.45">
      <c r="A2" s="10" t="s">
        <v>358</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359</v>
      </c>
      <c r="B6" s="11">
        <v>58</v>
      </c>
      <c r="C6" s="11">
        <v>48</v>
      </c>
    </row>
    <row r="7" spans="1:3" x14ac:dyDescent="0.35">
      <c r="A7" t="s">
        <v>362</v>
      </c>
      <c r="B7" s="11">
        <v>29</v>
      </c>
      <c r="C7" s="11">
        <v>24</v>
      </c>
    </row>
    <row r="8" spans="1:3" x14ac:dyDescent="0.35">
      <c r="A8" t="s">
        <v>365</v>
      </c>
      <c r="B8" s="11">
        <v>43.5</v>
      </c>
      <c r="C8" s="11">
        <v>36</v>
      </c>
    </row>
    <row r="9" spans="1:3" x14ac:dyDescent="0.35">
      <c r="A9" t="s">
        <v>368</v>
      </c>
      <c r="B9" s="11">
        <v>14.5</v>
      </c>
      <c r="C9" s="11">
        <v>12</v>
      </c>
    </row>
    <row r="10" spans="1:3" ht="15" x14ac:dyDescent="0.4">
      <c r="A10" s="26" t="s">
        <v>371</v>
      </c>
      <c r="B10" s="27">
        <v>145</v>
      </c>
      <c r="C10" s="27">
        <v>120</v>
      </c>
    </row>
    <row r="11" spans="1:3" s="17" customFormat="1" ht="16" x14ac:dyDescent="0.45">
      <c r="A11" s="18" t="s">
        <v>584</v>
      </c>
      <c r="B11" s="19">
        <f>B10</f>
        <v>145</v>
      </c>
      <c r="C11" s="19">
        <f>C10</f>
        <v>120</v>
      </c>
    </row>
    <row r="12" spans="1:3" ht="15" x14ac:dyDescent="0.4">
      <c r="A12" s="13" t="s">
        <v>559</v>
      </c>
      <c r="B12" s="12">
        <f>SUMIFS('91_Mapping'!H:H, '91_Mapping'!F:F, "5.1")</f>
        <v>145</v>
      </c>
      <c r="C12" s="12">
        <f>SUMIFS('91_Mapping'!I:I, '91_Mapping'!F:F, "5.1")</f>
        <v>120</v>
      </c>
    </row>
    <row r="13" spans="1:3" ht="15" x14ac:dyDescent="0.4">
      <c r="A13" s="13" t="s">
        <v>560</v>
      </c>
      <c r="B13" s="11">
        <f>B11-B12</f>
        <v>0</v>
      </c>
      <c r="C13" s="11">
        <f>C11-C12</f>
        <v>0</v>
      </c>
    </row>
    <row r="15" spans="1:3" x14ac:dyDescent="0.35">
      <c r="A15" s="21" t="s">
        <v>585</v>
      </c>
    </row>
  </sheetData>
  <pageMargins left="0.75" right="0.75" top="1" bottom="1" header="0.5" footer="0.5"/>
  <pageSetup paperSize="9" orientation="portrait"/>
  <headerFooter>
    <oddFooter>&amp;LApex Engineering Industries Limited | FY 2024-25&amp;RPage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workbookViewId="0"/>
  </sheetViews>
  <sheetFormatPr defaultRowHeight="14.5" x14ac:dyDescent="0.35"/>
  <sheetData>
    <row r="1" spans="1:8" ht="17.5" x14ac:dyDescent="0.45">
      <c r="A1" s="28" t="s">
        <v>0</v>
      </c>
    </row>
    <row r="2" spans="1:8" ht="16" x14ac:dyDescent="0.45">
      <c r="A2" s="10" t="s">
        <v>373</v>
      </c>
      <c r="B2" s="5" t="str">
        <f>HYPERLINK("#'02_Balance_Sheet'!A1", "[&lt;- Back to Balance Sheet]")</f>
        <v>[&lt;- Back to Balance Sheet]</v>
      </c>
    </row>
    <row r="3" spans="1:8" x14ac:dyDescent="0.35">
      <c r="A3" t="s">
        <v>40</v>
      </c>
    </row>
    <row r="5" spans="1:8" ht="24" customHeight="1" x14ac:dyDescent="0.35">
      <c r="A5" s="4" t="s">
        <v>374</v>
      </c>
      <c r="B5" s="4" t="s">
        <v>375</v>
      </c>
      <c r="C5" s="4" t="s">
        <v>376</v>
      </c>
      <c r="D5" s="4" t="s">
        <v>377</v>
      </c>
      <c r="E5" s="4" t="s">
        <v>240</v>
      </c>
      <c r="F5" s="4" t="s">
        <v>241</v>
      </c>
      <c r="G5" s="4" t="s">
        <v>242</v>
      </c>
      <c r="H5" s="4" t="s">
        <v>378</v>
      </c>
    </row>
    <row r="6" spans="1:8" x14ac:dyDescent="0.35">
      <c r="A6" t="s">
        <v>379</v>
      </c>
      <c r="B6" t="s">
        <v>380</v>
      </c>
      <c r="C6" s="11">
        <v>85</v>
      </c>
      <c r="D6" s="11">
        <v>15</v>
      </c>
      <c r="E6" s="11">
        <v>0</v>
      </c>
      <c r="F6" s="11">
        <v>0</v>
      </c>
      <c r="G6" s="11">
        <v>0</v>
      </c>
      <c r="H6" s="11">
        <v>100</v>
      </c>
    </row>
    <row r="7" spans="1:8" x14ac:dyDescent="0.35">
      <c r="A7" t="s">
        <v>382</v>
      </c>
      <c r="B7" t="s">
        <v>380</v>
      </c>
      <c r="C7" s="11">
        <v>45</v>
      </c>
      <c r="D7" s="11">
        <v>10</v>
      </c>
      <c r="E7" s="11">
        <v>5</v>
      </c>
      <c r="F7" s="11">
        <v>0</v>
      </c>
      <c r="G7" s="11">
        <v>0</v>
      </c>
      <c r="H7" s="11">
        <v>60</v>
      </c>
    </row>
    <row r="8" spans="1:8" x14ac:dyDescent="0.35">
      <c r="A8" t="s">
        <v>383</v>
      </c>
      <c r="B8" t="s">
        <v>384</v>
      </c>
      <c r="C8" s="11">
        <v>0</v>
      </c>
      <c r="D8" s="11">
        <v>5</v>
      </c>
      <c r="E8" s="11">
        <v>10</v>
      </c>
      <c r="F8" s="11">
        <v>0</v>
      </c>
      <c r="G8" s="11">
        <v>0</v>
      </c>
      <c r="H8" s="11">
        <v>15</v>
      </c>
    </row>
    <row r="9" spans="1:8" ht="15" x14ac:dyDescent="0.4">
      <c r="A9" s="26" t="s">
        <v>385</v>
      </c>
      <c r="B9" s="26"/>
      <c r="C9" s="27">
        <v>175</v>
      </c>
      <c r="D9" s="26"/>
      <c r="E9" s="26"/>
      <c r="F9" s="26"/>
      <c r="G9" s="26"/>
      <c r="H9" s="27">
        <v>175</v>
      </c>
    </row>
    <row r="10" spans="1:8" s="17" customFormat="1" ht="16" x14ac:dyDescent="0.45">
      <c r="A10" s="18" t="s">
        <v>586</v>
      </c>
      <c r="B10" s="19">
        <f>H9</f>
        <v>175</v>
      </c>
      <c r="C10" s="19">
        <f>C9</f>
        <v>175</v>
      </c>
    </row>
    <row r="11" spans="1:8" ht="15" x14ac:dyDescent="0.4">
      <c r="A11" s="13" t="s">
        <v>559</v>
      </c>
      <c r="B11" s="12">
        <f>SUMIFS('91_Mapping'!H:H, '91_Mapping'!F:F, "5.2")</f>
        <v>175</v>
      </c>
      <c r="C11" s="12">
        <f>SUMIFS('91_Mapping'!I:I, '91_Mapping'!F:F, "5.2")</f>
        <v>140</v>
      </c>
    </row>
    <row r="12" spans="1:8" ht="15" x14ac:dyDescent="0.4">
      <c r="A12" s="13" t="s">
        <v>560</v>
      </c>
      <c r="B12" s="11">
        <f>B10-B11</f>
        <v>0</v>
      </c>
      <c r="C12" s="11">
        <f>C10-C11</f>
        <v>35</v>
      </c>
    </row>
    <row r="14" spans="1:8" x14ac:dyDescent="0.35">
      <c r="A14" s="21" t="s">
        <v>587</v>
      </c>
    </row>
  </sheetData>
  <pageMargins left="0.75" right="0.75" top="1" bottom="1" header="0.5" footer="0.5"/>
  <pageSetup paperSize="9" orientation="portrait"/>
  <headerFooter>
    <oddFooter>&amp;LApex Engineering Industries Limited | FY 2024-25&amp;RPage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9"/>
  <sheetViews>
    <sheetView showGridLines="0" workbookViewId="0"/>
  </sheetViews>
  <sheetFormatPr defaultRowHeight="14.5" x14ac:dyDescent="0.35"/>
  <sheetData>
    <row r="1" spans="1:3" ht="17.5" x14ac:dyDescent="0.45">
      <c r="A1" s="28" t="s">
        <v>0</v>
      </c>
    </row>
    <row r="2" spans="1:3" ht="16" x14ac:dyDescent="0.45">
      <c r="A2" s="10" t="s">
        <v>386</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387</v>
      </c>
    </row>
    <row r="7" spans="1:3" x14ac:dyDescent="0.35">
      <c r="A7" t="s">
        <v>388</v>
      </c>
      <c r="B7" s="11">
        <v>8.75</v>
      </c>
      <c r="C7" s="11">
        <v>7.75</v>
      </c>
    </row>
    <row r="8" spans="1:3" x14ac:dyDescent="0.35">
      <c r="A8" t="s">
        <v>391</v>
      </c>
      <c r="B8" s="11">
        <v>96.25</v>
      </c>
      <c r="C8" s="11">
        <v>85.25</v>
      </c>
    </row>
    <row r="9" spans="1:3" x14ac:dyDescent="0.35">
      <c r="A9" t="s">
        <v>394</v>
      </c>
      <c r="B9" s="11">
        <v>35</v>
      </c>
      <c r="C9" s="11">
        <v>31</v>
      </c>
    </row>
    <row r="10" spans="1:3" x14ac:dyDescent="0.35">
      <c r="A10" t="s">
        <v>397</v>
      </c>
      <c r="B10" s="11">
        <v>140</v>
      </c>
      <c r="C10" s="11">
        <v>124</v>
      </c>
    </row>
    <row r="11" spans="1:3" x14ac:dyDescent="0.35">
      <c r="A11" t="s">
        <v>400</v>
      </c>
    </row>
    <row r="12" spans="1:3" x14ac:dyDescent="0.35">
      <c r="A12" t="s">
        <v>401</v>
      </c>
      <c r="B12" s="11">
        <v>35</v>
      </c>
      <c r="C12" s="11">
        <v>31</v>
      </c>
    </row>
    <row r="13" spans="1:3" x14ac:dyDescent="0.35">
      <c r="A13" t="s">
        <v>402</v>
      </c>
      <c r="B13" s="11">
        <v>35</v>
      </c>
      <c r="C13" s="11">
        <v>31</v>
      </c>
    </row>
    <row r="14" spans="1:3" ht="15" x14ac:dyDescent="0.4">
      <c r="A14" s="26" t="s">
        <v>403</v>
      </c>
      <c r="B14" s="27">
        <v>175</v>
      </c>
      <c r="C14" s="27">
        <v>155</v>
      </c>
    </row>
    <row r="15" spans="1:3" s="17" customFormat="1" ht="16" x14ac:dyDescent="0.45">
      <c r="A15" s="18" t="s">
        <v>588</v>
      </c>
      <c r="B15" s="19">
        <f>B14</f>
        <v>175</v>
      </c>
      <c r="C15" s="19">
        <f>C14</f>
        <v>155</v>
      </c>
    </row>
    <row r="16" spans="1:3" ht="15" x14ac:dyDescent="0.4">
      <c r="A16" s="13" t="s">
        <v>559</v>
      </c>
      <c r="B16" s="12">
        <f>SUMIFS('91_Mapping'!H:H, '91_Mapping'!F:F, "5.3")</f>
        <v>175</v>
      </c>
      <c r="C16" s="12">
        <f>SUMIFS('91_Mapping'!I:I, '91_Mapping'!F:F, "5.3")</f>
        <v>155</v>
      </c>
    </row>
    <row r="17" spans="1:3" ht="15" x14ac:dyDescent="0.4">
      <c r="A17" s="13" t="s">
        <v>560</v>
      </c>
      <c r="B17" s="11">
        <f>B15-B16</f>
        <v>0</v>
      </c>
      <c r="C17" s="11">
        <f>C15-C16</f>
        <v>0</v>
      </c>
    </row>
    <row r="19" spans="1:3" x14ac:dyDescent="0.35">
      <c r="A19" s="21" t="s">
        <v>589</v>
      </c>
    </row>
  </sheetData>
  <pageMargins left="0.75" right="0.75" top="1" bottom="1" header="0.5" footer="0.5"/>
  <pageSetup paperSize="9" orientation="portrait"/>
  <headerFooter>
    <oddFooter>&amp;LApex Engineering Industries Limited | FY 2024-25&amp;RPage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6"/>
  <sheetViews>
    <sheetView showGridLines="0" workbookViewId="0"/>
  </sheetViews>
  <sheetFormatPr defaultRowHeight="14.5" x14ac:dyDescent="0.35"/>
  <sheetData>
    <row r="1" spans="1:3" ht="17.5" x14ac:dyDescent="0.45">
      <c r="A1" s="28" t="s">
        <v>0</v>
      </c>
    </row>
    <row r="2" spans="1:3" ht="16" x14ac:dyDescent="0.45">
      <c r="A2" s="10" t="s">
        <v>405</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406</v>
      </c>
      <c r="B6" s="11">
        <v>0</v>
      </c>
      <c r="C6" s="11">
        <v>0</v>
      </c>
    </row>
    <row r="7" spans="1:3" x14ac:dyDescent="0.35">
      <c r="A7" t="s">
        <v>407</v>
      </c>
      <c r="B7" s="11">
        <v>0</v>
      </c>
      <c r="C7" s="11">
        <v>0</v>
      </c>
    </row>
    <row r="8" spans="1:3" x14ac:dyDescent="0.35">
      <c r="A8" t="s">
        <v>408</v>
      </c>
      <c r="B8" s="11">
        <v>0</v>
      </c>
      <c r="C8" s="11">
        <v>0</v>
      </c>
    </row>
    <row r="9" spans="1:3" x14ac:dyDescent="0.35">
      <c r="A9" t="s">
        <v>409</v>
      </c>
      <c r="B9" s="11">
        <v>0</v>
      </c>
      <c r="C9" s="11">
        <v>0</v>
      </c>
    </row>
    <row r="10" spans="1:3" x14ac:dyDescent="0.35">
      <c r="A10" t="s">
        <v>410</v>
      </c>
      <c r="B10" s="11">
        <v>0</v>
      </c>
      <c r="C10" s="11">
        <v>0</v>
      </c>
    </row>
    <row r="11" spans="1:3" ht="15" x14ac:dyDescent="0.4">
      <c r="A11" s="26" t="s">
        <v>411</v>
      </c>
      <c r="B11" s="27">
        <v>0</v>
      </c>
      <c r="C11" s="27">
        <v>0</v>
      </c>
    </row>
    <row r="12" spans="1:3" s="17" customFormat="1" ht="16" x14ac:dyDescent="0.45">
      <c r="A12" s="18" t="s">
        <v>590</v>
      </c>
      <c r="B12" s="19">
        <f>B11</f>
        <v>0</v>
      </c>
      <c r="C12" s="19">
        <f>C11</f>
        <v>0</v>
      </c>
    </row>
    <row r="13" spans="1:3" ht="15" x14ac:dyDescent="0.4">
      <c r="A13" s="13" t="s">
        <v>559</v>
      </c>
      <c r="B13" s="12">
        <f>SUMIFS('91_Mapping'!H:H, '91_Mapping'!F:F, "5.4")</f>
        <v>0</v>
      </c>
      <c r="C13" s="12">
        <f>SUMIFS('91_Mapping'!I:I, '91_Mapping'!F:F, "5.4")</f>
        <v>0</v>
      </c>
    </row>
    <row r="14" spans="1:3" ht="15" x14ac:dyDescent="0.4">
      <c r="A14" s="13" t="s">
        <v>560</v>
      </c>
      <c r="B14" s="11">
        <f>B12-B13</f>
        <v>0</v>
      </c>
      <c r="C14" s="11">
        <f>C12-C13</f>
        <v>0</v>
      </c>
    </row>
    <row r="16" spans="1:3" x14ac:dyDescent="0.35">
      <c r="A16" s="21" t="s">
        <v>591</v>
      </c>
    </row>
  </sheetData>
  <pageMargins left="0.75" right="0.75" top="1" bottom="1" header="0.5" footer="0.5"/>
  <pageSetup paperSize="9" orientation="portrait"/>
  <headerFooter>
    <oddFooter>&amp;LApex Engineering Industries Limited | FY 2024-25&amp;RPage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3"/>
  <sheetViews>
    <sheetView showGridLines="0" workbookViewId="0"/>
  </sheetViews>
  <sheetFormatPr defaultRowHeight="14.5" x14ac:dyDescent="0.35"/>
  <sheetData>
    <row r="1" spans="1:3" ht="17.5" x14ac:dyDescent="0.45">
      <c r="A1" s="28" t="s">
        <v>0</v>
      </c>
    </row>
    <row r="2" spans="1:3" ht="16" x14ac:dyDescent="0.45">
      <c r="A2" s="10" t="s">
        <v>412</v>
      </c>
      <c r="B2" s="5" t="str">
        <f>HYPERLINK("#'02_Balance_Sheet'!A1", "[&lt;- Back to Balance Sheet]")</f>
        <v>[&lt;- Back to Balance Sheet]</v>
      </c>
    </row>
    <row r="3" spans="1:3" x14ac:dyDescent="0.35">
      <c r="A3" t="s">
        <v>40</v>
      </c>
    </row>
    <row r="5" spans="1:3" ht="24" customHeight="1" x14ac:dyDescent="0.35">
      <c r="A5" s="4" t="s">
        <v>41</v>
      </c>
      <c r="B5" s="4" t="s">
        <v>199</v>
      </c>
      <c r="C5" s="4" t="s">
        <v>200</v>
      </c>
    </row>
    <row r="6" spans="1:3" x14ac:dyDescent="0.35">
      <c r="A6" t="s">
        <v>413</v>
      </c>
      <c r="B6" s="11">
        <v>0</v>
      </c>
      <c r="C6" s="11">
        <v>0</v>
      </c>
    </row>
    <row r="7" spans="1:3" x14ac:dyDescent="0.35">
      <c r="A7" t="s">
        <v>414</v>
      </c>
      <c r="B7" s="11">
        <v>0</v>
      </c>
      <c r="C7" s="11">
        <v>0</v>
      </c>
    </row>
    <row r="8" spans="1:3" ht="15" x14ac:dyDescent="0.4">
      <c r="A8" s="26" t="s">
        <v>415</v>
      </c>
      <c r="B8" s="27">
        <v>0</v>
      </c>
      <c r="C8" s="27">
        <v>0</v>
      </c>
    </row>
    <row r="9" spans="1:3" s="17" customFormat="1" ht="16" x14ac:dyDescent="0.45">
      <c r="A9" s="18" t="s">
        <v>592</v>
      </c>
      <c r="B9" s="19">
        <f>B8</f>
        <v>0</v>
      </c>
      <c r="C9" s="19">
        <f>C8</f>
        <v>0</v>
      </c>
    </row>
    <row r="10" spans="1:3" ht="15" x14ac:dyDescent="0.4">
      <c r="A10" s="13" t="s">
        <v>559</v>
      </c>
      <c r="B10" s="12">
        <f>SUMIFS('91_Mapping'!H:H, '91_Mapping'!F:F, "5.5")</f>
        <v>0</v>
      </c>
      <c r="C10" s="12">
        <f>SUMIFS('91_Mapping'!I:I, '91_Mapping'!F:F, "5.5")</f>
        <v>0</v>
      </c>
    </row>
    <row r="11" spans="1:3" ht="15" x14ac:dyDescent="0.4">
      <c r="A11" s="13" t="s">
        <v>560</v>
      </c>
      <c r="B11" s="11">
        <f>B9-B10</f>
        <v>0</v>
      </c>
      <c r="C11" s="11">
        <f>C9-C10</f>
        <v>0</v>
      </c>
    </row>
    <row r="13" spans="1:3" x14ac:dyDescent="0.35">
      <c r="A13" s="21" t="s">
        <v>593</v>
      </c>
    </row>
  </sheetData>
  <pageMargins left="0.75" right="0.75" top="1" bottom="1" header="0.5" footer="0.5"/>
  <pageSetup paperSize="9" orientation="portrait"/>
  <headerFooter>
    <oddFooter>&amp;LApex Engineering Industries Limited | FY 2024-25&amp;RPage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6"/>
  <sheetViews>
    <sheetView showGridLines="0" workbookViewId="0"/>
  </sheetViews>
  <sheetFormatPr defaultRowHeight="14.5" x14ac:dyDescent="0.35"/>
  <sheetData>
    <row r="1" spans="1:3" ht="17.5" x14ac:dyDescent="0.45">
      <c r="A1" s="28" t="s">
        <v>0</v>
      </c>
    </row>
    <row r="2" spans="1:3" ht="16" x14ac:dyDescent="0.45">
      <c r="A2" s="10" t="s">
        <v>416</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419</v>
      </c>
    </row>
    <row r="7" spans="1:3" x14ac:dyDescent="0.35">
      <c r="A7" t="s">
        <v>420</v>
      </c>
      <c r="B7" s="11">
        <v>765</v>
      </c>
      <c r="C7" s="11">
        <v>630</v>
      </c>
    </row>
    <row r="8" spans="1:3" x14ac:dyDescent="0.35">
      <c r="A8" t="s">
        <v>423</v>
      </c>
      <c r="B8" s="11">
        <v>85</v>
      </c>
      <c r="C8" s="11">
        <v>70</v>
      </c>
    </row>
    <row r="9" spans="1:3" x14ac:dyDescent="0.35">
      <c r="A9" t="s">
        <v>425</v>
      </c>
      <c r="B9" s="11">
        <v>0</v>
      </c>
      <c r="C9" s="11">
        <v>0</v>
      </c>
    </row>
    <row r="10" spans="1:3" x14ac:dyDescent="0.35">
      <c r="A10" t="s">
        <v>426</v>
      </c>
      <c r="B10" s="11">
        <v>0</v>
      </c>
      <c r="C10" s="11">
        <v>0</v>
      </c>
    </row>
    <row r="11" spans="1:3" ht="15" x14ac:dyDescent="0.4">
      <c r="A11" s="26" t="s">
        <v>427</v>
      </c>
      <c r="B11" s="27">
        <v>850</v>
      </c>
      <c r="C11" s="27">
        <v>700</v>
      </c>
    </row>
    <row r="12" spans="1:3" s="17" customFormat="1" ht="16" x14ac:dyDescent="0.45">
      <c r="A12" s="18" t="s">
        <v>594</v>
      </c>
      <c r="B12" s="19">
        <f>B11</f>
        <v>850</v>
      </c>
      <c r="C12" s="19">
        <f>C11</f>
        <v>700</v>
      </c>
    </row>
    <row r="13" spans="1:3" ht="15" x14ac:dyDescent="0.4">
      <c r="A13" s="13" t="s">
        <v>559</v>
      </c>
      <c r="B13" s="12">
        <f>-SUMIFS('91_Mapping'!H:H, '91_Mapping'!F:F, "6.1")</f>
        <v>850</v>
      </c>
      <c r="C13" s="12">
        <f>-SUMIFS('91_Mapping'!I:I, '91_Mapping'!F:F, "6.1")</f>
        <v>700</v>
      </c>
    </row>
    <row r="14" spans="1:3" ht="15" x14ac:dyDescent="0.4">
      <c r="A14" s="13" t="s">
        <v>560</v>
      </c>
      <c r="B14" s="11">
        <f>B12-B13</f>
        <v>0</v>
      </c>
      <c r="C14" s="11">
        <f>C12-C13</f>
        <v>0</v>
      </c>
    </row>
    <row r="16" spans="1:3" x14ac:dyDescent="0.35">
      <c r="A16" s="21" t="s">
        <v>595</v>
      </c>
    </row>
  </sheetData>
  <pageMargins left="0.75" right="0.75" top="1" bottom="1" header="0.5" footer="0.5"/>
  <pageSetup paperSize="9" orientation="portrait"/>
  <headerFooter>
    <oddFooter>&amp;LApex Engineering Industries Limited | FY 2024-25&amp;RPage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5"/>
  <sheetViews>
    <sheetView showGridLines="0" workbookViewId="0"/>
  </sheetViews>
  <sheetFormatPr defaultRowHeight="14.5" x14ac:dyDescent="0.35"/>
  <sheetData>
    <row r="1" spans="1:3" ht="17.5" x14ac:dyDescent="0.45">
      <c r="A1" s="28" t="s">
        <v>0</v>
      </c>
    </row>
    <row r="2" spans="1:3" ht="16" x14ac:dyDescent="0.45">
      <c r="A2" s="10" t="s">
        <v>430</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431</v>
      </c>
      <c r="B6" s="11">
        <v>10.5</v>
      </c>
      <c r="C6" s="11">
        <v>7</v>
      </c>
    </row>
    <row r="7" spans="1:3" x14ac:dyDescent="0.35">
      <c r="A7" t="s">
        <v>434</v>
      </c>
      <c r="B7" s="11">
        <v>0</v>
      </c>
      <c r="C7" s="11">
        <v>0</v>
      </c>
    </row>
    <row r="8" spans="1:3" x14ac:dyDescent="0.35">
      <c r="A8" t="s">
        <v>435</v>
      </c>
      <c r="B8" s="11">
        <v>3</v>
      </c>
      <c r="C8" s="11">
        <v>2</v>
      </c>
    </row>
    <row r="9" spans="1:3" x14ac:dyDescent="0.35">
      <c r="A9" t="s">
        <v>437</v>
      </c>
      <c r="B9" s="11">
        <v>1.5</v>
      </c>
      <c r="C9" s="11">
        <v>1</v>
      </c>
    </row>
    <row r="10" spans="1:3" ht="15" x14ac:dyDescent="0.4">
      <c r="A10" s="26" t="s">
        <v>439</v>
      </c>
      <c r="B10" s="27">
        <v>15</v>
      </c>
      <c r="C10" s="27">
        <v>10</v>
      </c>
    </row>
    <row r="11" spans="1:3" s="17" customFormat="1" ht="16" x14ac:dyDescent="0.45">
      <c r="A11" s="18" t="s">
        <v>596</v>
      </c>
      <c r="B11" s="19">
        <f>B10</f>
        <v>15</v>
      </c>
      <c r="C11" s="19">
        <f>C10</f>
        <v>10</v>
      </c>
    </row>
    <row r="12" spans="1:3" ht="15" x14ac:dyDescent="0.4">
      <c r="A12" s="13" t="s">
        <v>559</v>
      </c>
      <c r="B12" s="12">
        <f>-SUMIFS('91_Mapping'!H:H, '91_Mapping'!F:F, "6.2")</f>
        <v>15</v>
      </c>
      <c r="C12" s="12">
        <f>-SUMIFS('91_Mapping'!I:I, '91_Mapping'!F:F, "6.2")</f>
        <v>10</v>
      </c>
    </row>
    <row r="13" spans="1:3" ht="15" x14ac:dyDescent="0.4">
      <c r="A13" s="13" t="s">
        <v>560</v>
      </c>
      <c r="B13" s="11">
        <f>B11-B12</f>
        <v>0</v>
      </c>
      <c r="C13" s="11">
        <f>C11-C12</f>
        <v>0</v>
      </c>
    </row>
    <row r="15" spans="1:3" x14ac:dyDescent="0.35">
      <c r="A15" s="21" t="s">
        <v>597</v>
      </c>
    </row>
  </sheetData>
  <pageMargins left="0.75" right="0.75" top="1" bottom="1" header="0.5" footer="0.5"/>
  <pageSetup paperSize="9" orientation="portrait"/>
  <headerFooter>
    <oddFooter>&amp;LApex Engineering Industries Limited | FY 2024-25&amp;RPage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1"/>
  <sheetViews>
    <sheetView showGridLines="0" workbookViewId="0"/>
  </sheetViews>
  <sheetFormatPr defaultRowHeight="14.5" x14ac:dyDescent="0.35"/>
  <sheetData>
    <row r="1" spans="1:3" ht="17.5" x14ac:dyDescent="0.45">
      <c r="A1" s="28" t="s">
        <v>0</v>
      </c>
    </row>
    <row r="2" spans="1:3" ht="16" x14ac:dyDescent="0.45">
      <c r="A2" s="10" t="s">
        <v>440</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441</v>
      </c>
    </row>
    <row r="7" spans="1:3" x14ac:dyDescent="0.35">
      <c r="A7" t="s">
        <v>442</v>
      </c>
      <c r="B7" s="11">
        <v>75.599999999999994</v>
      </c>
      <c r="C7" s="11">
        <v>63</v>
      </c>
    </row>
    <row r="8" spans="1:3" x14ac:dyDescent="0.35">
      <c r="A8" t="s">
        <v>445</v>
      </c>
      <c r="B8" s="11">
        <v>357</v>
      </c>
      <c r="C8" s="11">
        <v>297.5</v>
      </c>
    </row>
    <row r="9" spans="1:3" x14ac:dyDescent="0.35">
      <c r="A9" t="s">
        <v>448</v>
      </c>
      <c r="B9" s="11">
        <v>12.6</v>
      </c>
      <c r="C9" s="11">
        <v>10.5</v>
      </c>
    </row>
    <row r="10" spans="1:3" x14ac:dyDescent="0.35">
      <c r="A10" t="s">
        <v>450</v>
      </c>
      <c r="B10" s="11">
        <v>420</v>
      </c>
      <c r="C10" s="11">
        <v>350</v>
      </c>
    </row>
    <row r="11" spans="1:3" x14ac:dyDescent="0.35">
      <c r="A11" t="s">
        <v>453</v>
      </c>
      <c r="B11" s="11">
        <v>0</v>
      </c>
      <c r="C11" s="11">
        <v>0</v>
      </c>
    </row>
    <row r="12" spans="1:3" x14ac:dyDescent="0.35">
      <c r="A12" t="s">
        <v>454</v>
      </c>
    </row>
    <row r="13" spans="1:3" x14ac:dyDescent="0.35">
      <c r="A13" t="s">
        <v>455</v>
      </c>
      <c r="B13" s="11">
        <v>0</v>
      </c>
      <c r="C13" s="11">
        <v>0</v>
      </c>
    </row>
    <row r="14" spans="1:3" x14ac:dyDescent="0.35">
      <c r="A14" t="s">
        <v>456</v>
      </c>
      <c r="B14" s="11">
        <v>0</v>
      </c>
      <c r="C14" s="11">
        <v>0</v>
      </c>
    </row>
    <row r="15" spans="1:3" x14ac:dyDescent="0.35">
      <c r="A15" t="s">
        <v>457</v>
      </c>
      <c r="B15" s="11">
        <v>0</v>
      </c>
      <c r="C15" s="11">
        <v>0</v>
      </c>
    </row>
    <row r="16" spans="1:3" ht="15" x14ac:dyDescent="0.4">
      <c r="A16" s="26" t="s">
        <v>458</v>
      </c>
      <c r="B16" s="27">
        <v>420</v>
      </c>
      <c r="C16" s="27">
        <v>350</v>
      </c>
    </row>
    <row r="17" spans="1:3" s="17" customFormat="1" ht="16" x14ac:dyDescent="0.45">
      <c r="A17" s="18" t="s">
        <v>598</v>
      </c>
      <c r="B17" s="19">
        <f>B16</f>
        <v>420</v>
      </c>
      <c r="C17" s="19">
        <f>C16</f>
        <v>350</v>
      </c>
    </row>
    <row r="18" spans="1:3" ht="15" x14ac:dyDescent="0.4">
      <c r="A18" s="13" t="s">
        <v>559</v>
      </c>
      <c r="B18" s="12">
        <f>SUMIFS('91_Mapping'!H:H, '91_Mapping'!F:F, "7.1")</f>
        <v>420</v>
      </c>
      <c r="C18" s="12">
        <f>SUMIFS('91_Mapping'!I:I, '91_Mapping'!F:F, "7.1")</f>
        <v>350</v>
      </c>
    </row>
    <row r="19" spans="1:3" ht="15" x14ac:dyDescent="0.4">
      <c r="A19" s="13" t="s">
        <v>560</v>
      </c>
      <c r="B19" s="11">
        <f>B17-B18</f>
        <v>0</v>
      </c>
      <c r="C19" s="11">
        <f>C17-C18</f>
        <v>0</v>
      </c>
    </row>
    <row r="21" spans="1:3" x14ac:dyDescent="0.35">
      <c r="A21" s="21" t="s">
        <v>599</v>
      </c>
    </row>
  </sheetData>
  <pageMargins left="0.75" right="0.75" top="1" bottom="1" header="0.5" footer="0.5"/>
  <pageSetup paperSize="9" orientation="portrait"/>
  <headerFooter>
    <oddFooter>&amp;LApex Engineering Industries Limited | FY 2024-25&amp;RPage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6"/>
  <sheetViews>
    <sheetView showGridLines="0" workbookViewId="0"/>
  </sheetViews>
  <sheetFormatPr defaultRowHeight="14.5" x14ac:dyDescent="0.35"/>
  <sheetData>
    <row r="1" spans="1:3" ht="17.5" x14ac:dyDescent="0.45">
      <c r="A1" s="28" t="s">
        <v>0</v>
      </c>
    </row>
    <row r="2" spans="1:3" ht="16" x14ac:dyDescent="0.45">
      <c r="A2" s="10" t="s">
        <v>459</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460</v>
      </c>
      <c r="B6" s="11">
        <v>114.8</v>
      </c>
      <c r="C6" s="11">
        <v>98.4</v>
      </c>
    </row>
    <row r="7" spans="1:3" x14ac:dyDescent="0.35">
      <c r="A7" t="s">
        <v>463</v>
      </c>
      <c r="B7" s="11">
        <v>9.8000000000000007</v>
      </c>
      <c r="C7" s="11">
        <v>8.4</v>
      </c>
    </row>
    <row r="8" spans="1:3" x14ac:dyDescent="0.35">
      <c r="A8" t="s">
        <v>466</v>
      </c>
      <c r="B8" s="11">
        <v>8.4</v>
      </c>
      <c r="C8" s="11">
        <v>7.2</v>
      </c>
    </row>
    <row r="9" spans="1:3" x14ac:dyDescent="0.35">
      <c r="A9" t="s">
        <v>468</v>
      </c>
      <c r="B9" s="11">
        <v>4.2</v>
      </c>
      <c r="C9" s="11">
        <v>3.6</v>
      </c>
    </row>
    <row r="10" spans="1:3" x14ac:dyDescent="0.35">
      <c r="A10" t="s">
        <v>471</v>
      </c>
      <c r="B10" s="11">
        <v>2.8</v>
      </c>
      <c r="C10" s="11">
        <v>2.4</v>
      </c>
    </row>
    <row r="11" spans="1:3" ht="15" x14ac:dyDescent="0.4">
      <c r="A11" s="26" t="s">
        <v>474</v>
      </c>
      <c r="B11" s="27">
        <v>140</v>
      </c>
      <c r="C11" s="27">
        <v>120</v>
      </c>
    </row>
    <row r="12" spans="1:3" s="17" customFormat="1" ht="16" x14ac:dyDescent="0.45">
      <c r="A12" s="18" t="s">
        <v>600</v>
      </c>
      <c r="B12" s="19">
        <f>B11</f>
        <v>140</v>
      </c>
      <c r="C12" s="19">
        <f>C11</f>
        <v>120</v>
      </c>
    </row>
    <row r="13" spans="1:3" ht="15" x14ac:dyDescent="0.4">
      <c r="A13" s="13" t="s">
        <v>559</v>
      </c>
      <c r="B13" s="12">
        <f>SUMIFS('91_Mapping'!H:H, '91_Mapping'!F:F, "7.2")</f>
        <v>140</v>
      </c>
      <c r="C13" s="12">
        <f>SUMIFS('91_Mapping'!I:I, '91_Mapping'!F:F, "7.2")</f>
        <v>120</v>
      </c>
    </row>
    <row r="14" spans="1:3" ht="15" x14ac:dyDescent="0.4">
      <c r="A14" s="13" t="s">
        <v>560</v>
      </c>
      <c r="B14" s="11">
        <f>B12-B13</f>
        <v>0</v>
      </c>
      <c r="C14" s="11">
        <f>C12-C13</f>
        <v>0</v>
      </c>
    </row>
    <row r="16" spans="1:3" x14ac:dyDescent="0.35">
      <c r="A16" s="21" t="s">
        <v>601</v>
      </c>
    </row>
  </sheetData>
  <pageMargins left="0.75" right="0.75" top="1" bottom="1" header="0.5" footer="0.5"/>
  <pageSetup paperSize="9" orientation="portrait"/>
  <headerFooter>
    <oddFooter>&amp;LApex Engineering Industries Limited | FY 2024-25&amp;RPage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5"/>
  <sheetViews>
    <sheetView showGridLines="0" workbookViewId="0"/>
  </sheetViews>
  <sheetFormatPr defaultRowHeight="14.5" x14ac:dyDescent="0.35"/>
  <sheetData>
    <row r="1" spans="1:3" ht="17.5" x14ac:dyDescent="0.45">
      <c r="A1" s="28" t="s">
        <v>0</v>
      </c>
    </row>
    <row r="2" spans="1:3" ht="16" x14ac:dyDescent="0.45">
      <c r="A2" s="10" t="s">
        <v>475</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476</v>
      </c>
      <c r="B6" s="11">
        <v>20.8</v>
      </c>
      <c r="C6" s="11">
        <v>24.7</v>
      </c>
    </row>
    <row r="7" spans="1:3" x14ac:dyDescent="0.35">
      <c r="A7" t="s">
        <v>479</v>
      </c>
      <c r="B7" s="11">
        <v>8</v>
      </c>
      <c r="C7" s="11">
        <v>9.5</v>
      </c>
    </row>
    <row r="8" spans="1:3" x14ac:dyDescent="0.35">
      <c r="A8" t="s">
        <v>482</v>
      </c>
      <c r="B8" s="11">
        <v>2.56</v>
      </c>
      <c r="C8" s="11">
        <v>3.04</v>
      </c>
    </row>
    <row r="9" spans="1:3" x14ac:dyDescent="0.35">
      <c r="A9" t="s">
        <v>485</v>
      </c>
      <c r="B9" s="11">
        <v>0.64</v>
      </c>
      <c r="C9" s="11">
        <v>0.76</v>
      </c>
    </row>
    <row r="10" spans="1:3" ht="15" x14ac:dyDescent="0.4">
      <c r="A10" s="26" t="s">
        <v>488</v>
      </c>
      <c r="B10" s="27">
        <v>32</v>
      </c>
      <c r="C10" s="27">
        <v>38</v>
      </c>
    </row>
    <row r="11" spans="1:3" s="17" customFormat="1" ht="16" x14ac:dyDescent="0.45">
      <c r="A11" s="18" t="s">
        <v>602</v>
      </c>
      <c r="B11" s="19">
        <f>B10</f>
        <v>32</v>
      </c>
      <c r="C11" s="19">
        <f>C10</f>
        <v>38</v>
      </c>
    </row>
    <row r="12" spans="1:3" ht="15" x14ac:dyDescent="0.4">
      <c r="A12" s="13" t="s">
        <v>559</v>
      </c>
      <c r="B12" s="12">
        <f>SUMIFS('91_Mapping'!H:H, '91_Mapping'!F:F, "7.3")</f>
        <v>32</v>
      </c>
      <c r="C12" s="12">
        <f>SUMIFS('91_Mapping'!I:I, '91_Mapping'!F:F, "7.3")</f>
        <v>38</v>
      </c>
    </row>
    <row r="13" spans="1:3" ht="15" x14ac:dyDescent="0.4">
      <c r="A13" s="13" t="s">
        <v>560</v>
      </c>
      <c r="B13" s="11">
        <f>B11-B12</f>
        <v>0</v>
      </c>
      <c r="C13" s="11">
        <f>C11-C12</f>
        <v>0</v>
      </c>
    </row>
    <row r="15" spans="1:3" x14ac:dyDescent="0.35">
      <c r="A15" s="21" t="s">
        <v>603</v>
      </c>
    </row>
  </sheetData>
  <pageMargins left="0.75" right="0.75" top="1" bottom="1" header="0.5" footer="0.5"/>
  <pageSetup paperSize="9" orientation="portrait"/>
  <headerFooter>
    <oddFooter>&amp;LApex Engineering Industries Limited | FY 2024-25&amp;RPage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4"/>
  <sheetViews>
    <sheetView showGridLines="0" workbookViewId="0"/>
  </sheetViews>
  <sheetFormatPr defaultRowHeight="14.5" x14ac:dyDescent="0.35"/>
  <sheetData>
    <row r="1" spans="1:3" ht="17.5" x14ac:dyDescent="0.45">
      <c r="A1" s="28" t="s">
        <v>0</v>
      </c>
    </row>
    <row r="2" spans="1:3" ht="16" x14ac:dyDescent="0.45">
      <c r="A2" s="10" t="s">
        <v>491</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492</v>
      </c>
      <c r="B6" s="11">
        <v>27.16</v>
      </c>
      <c r="C6" s="11">
        <v>24.25</v>
      </c>
    </row>
    <row r="7" spans="1:3" x14ac:dyDescent="0.35">
      <c r="A7" t="s">
        <v>495</v>
      </c>
      <c r="B7" s="11">
        <v>0.56000000000000005</v>
      </c>
      <c r="C7" s="11">
        <v>0.5</v>
      </c>
    </row>
    <row r="8" spans="1:3" x14ac:dyDescent="0.35">
      <c r="A8" t="s">
        <v>498</v>
      </c>
      <c r="B8" s="11">
        <v>0.28000000000000003</v>
      </c>
      <c r="C8" s="11">
        <v>0.25</v>
      </c>
    </row>
    <row r="9" spans="1:3" ht="15" x14ac:dyDescent="0.4">
      <c r="A9" s="26" t="s">
        <v>501</v>
      </c>
      <c r="B9" s="27">
        <v>28</v>
      </c>
      <c r="C9" s="27">
        <v>25</v>
      </c>
    </row>
    <row r="10" spans="1:3" s="17" customFormat="1" ht="16" x14ac:dyDescent="0.45">
      <c r="A10" s="18" t="s">
        <v>604</v>
      </c>
      <c r="B10" s="19">
        <f>B9</f>
        <v>28</v>
      </c>
      <c r="C10" s="19">
        <f>C9</f>
        <v>25</v>
      </c>
    </row>
    <row r="11" spans="1:3" ht="15" x14ac:dyDescent="0.4">
      <c r="A11" s="13" t="s">
        <v>559</v>
      </c>
      <c r="B11" s="12">
        <f>SUMIFS('91_Mapping'!H:H, '91_Mapping'!F:F, "7.4")</f>
        <v>28</v>
      </c>
      <c r="C11" s="12">
        <f>SUMIFS('91_Mapping'!I:I, '91_Mapping'!F:F, "7.4")</f>
        <v>25</v>
      </c>
    </row>
    <row r="12" spans="1:3" ht="15" x14ac:dyDescent="0.4">
      <c r="A12" s="13" t="s">
        <v>560</v>
      </c>
      <c r="B12" s="11">
        <f>B10-B11</f>
        <v>0</v>
      </c>
      <c r="C12" s="11">
        <f>C10-C11</f>
        <v>0</v>
      </c>
    </row>
    <row r="14" spans="1:3" x14ac:dyDescent="0.35">
      <c r="A14" s="21" t="s">
        <v>605</v>
      </c>
    </row>
  </sheetData>
  <pageMargins left="0.75" right="0.75" top="1" bottom="1" header="0.5" footer="0.5"/>
  <pageSetup paperSize="9" orientation="portrait"/>
  <headerFooter>
    <oddFooter>&amp;LApex Engineering Industries Limited | FY 2024-25&amp;RPage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2"/>
  <sheetViews>
    <sheetView showGridLines="0" workbookViewId="0"/>
  </sheetViews>
  <sheetFormatPr defaultRowHeight="14.5" x14ac:dyDescent="0.35"/>
  <sheetData>
    <row r="1" spans="1:3" ht="17.5" x14ac:dyDescent="0.45">
      <c r="A1" s="28" t="s">
        <v>0</v>
      </c>
    </row>
    <row r="2" spans="1:3" ht="16" x14ac:dyDescent="0.45">
      <c r="A2" s="10" t="s">
        <v>503</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504</v>
      </c>
      <c r="B6" s="11">
        <v>12.6</v>
      </c>
      <c r="C6" s="11">
        <v>8.9600000000000009</v>
      </c>
    </row>
    <row r="7" spans="1:3" x14ac:dyDescent="0.35">
      <c r="A7" t="s">
        <v>506</v>
      </c>
      <c r="B7" s="11">
        <v>8.1</v>
      </c>
      <c r="C7" s="11">
        <v>5.76</v>
      </c>
    </row>
    <row r="8" spans="1:3" x14ac:dyDescent="0.35">
      <c r="A8" t="s">
        <v>509</v>
      </c>
      <c r="B8" s="11">
        <v>4.5</v>
      </c>
      <c r="C8" s="11">
        <v>3.2</v>
      </c>
    </row>
    <row r="9" spans="1:3" x14ac:dyDescent="0.35">
      <c r="A9" t="s">
        <v>512</v>
      </c>
      <c r="B9" s="11">
        <v>2.25</v>
      </c>
      <c r="C9" s="11">
        <v>1.6</v>
      </c>
    </row>
    <row r="10" spans="1:3" x14ac:dyDescent="0.35">
      <c r="A10" t="s">
        <v>515</v>
      </c>
      <c r="B10" s="11">
        <v>5.4</v>
      </c>
      <c r="C10" s="11">
        <v>3.84</v>
      </c>
    </row>
    <row r="11" spans="1:3" x14ac:dyDescent="0.35">
      <c r="A11" t="s">
        <v>518</v>
      </c>
      <c r="B11" s="11">
        <v>3.6</v>
      </c>
      <c r="C11" s="11">
        <v>2.56</v>
      </c>
    </row>
    <row r="12" spans="1:3" x14ac:dyDescent="0.35">
      <c r="A12" t="s">
        <v>519</v>
      </c>
      <c r="B12" s="11">
        <v>1.8</v>
      </c>
      <c r="C12" s="11">
        <v>1.28</v>
      </c>
    </row>
    <row r="13" spans="1:3" x14ac:dyDescent="0.35">
      <c r="A13" t="s">
        <v>522</v>
      </c>
      <c r="B13" s="11">
        <v>1.35</v>
      </c>
      <c r="C13" s="11">
        <v>0.96</v>
      </c>
    </row>
    <row r="14" spans="1:3" x14ac:dyDescent="0.35">
      <c r="A14" t="s">
        <v>525</v>
      </c>
      <c r="B14" s="11">
        <v>2.25</v>
      </c>
      <c r="C14" s="11">
        <v>1.6</v>
      </c>
    </row>
    <row r="15" spans="1:3" x14ac:dyDescent="0.35">
      <c r="A15" t="s">
        <v>526</v>
      </c>
      <c r="B15" s="11">
        <v>0.9</v>
      </c>
      <c r="C15" s="11">
        <v>0.64</v>
      </c>
    </row>
    <row r="16" spans="1:3" x14ac:dyDescent="0.35">
      <c r="A16" t="s">
        <v>528</v>
      </c>
      <c r="B16" s="11">
        <v>2.25</v>
      </c>
      <c r="C16" s="11">
        <v>1.6</v>
      </c>
    </row>
    <row r="17" spans="1:3" ht="15" x14ac:dyDescent="0.4">
      <c r="A17" s="26" t="s">
        <v>529</v>
      </c>
      <c r="B17" s="27">
        <v>45</v>
      </c>
      <c r="C17" s="27">
        <v>32</v>
      </c>
    </row>
    <row r="18" spans="1:3" s="17" customFormat="1" ht="16" x14ac:dyDescent="0.45">
      <c r="A18" s="18" t="s">
        <v>606</v>
      </c>
      <c r="B18" s="19">
        <f>B17</f>
        <v>45</v>
      </c>
      <c r="C18" s="19">
        <f>C17</f>
        <v>32</v>
      </c>
    </row>
    <row r="19" spans="1:3" ht="15" x14ac:dyDescent="0.4">
      <c r="A19" s="13" t="s">
        <v>559</v>
      </c>
      <c r="B19" s="12">
        <f>SUMIFS('91_Mapping'!H:H, '91_Mapping'!F:F, "7.5")</f>
        <v>45</v>
      </c>
      <c r="C19" s="12">
        <f>SUMIFS('91_Mapping'!I:I, '91_Mapping'!F:F, "7.5")</f>
        <v>32</v>
      </c>
    </row>
    <row r="20" spans="1:3" ht="15" x14ac:dyDescent="0.4">
      <c r="A20" s="13" t="s">
        <v>560</v>
      </c>
      <c r="B20" s="11">
        <f>B18-B19</f>
        <v>0</v>
      </c>
      <c r="C20" s="11">
        <f>C18-C19</f>
        <v>0</v>
      </c>
    </row>
    <row r="22" spans="1:3" x14ac:dyDescent="0.35">
      <c r="A22" s="21" t="s">
        <v>607</v>
      </c>
    </row>
  </sheetData>
  <pageMargins left="0.75" right="0.75" top="1" bottom="1" header="0.5" footer="0.5"/>
  <pageSetup paperSize="9" orientation="portrait"/>
  <headerFooter>
    <oddFooter>&amp;LApex Engineering Industries Limited | FY 2024-25&amp;RPage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4"/>
  <sheetViews>
    <sheetView showGridLines="0" workbookViewId="0"/>
  </sheetViews>
  <sheetFormatPr defaultRowHeight="14.5" x14ac:dyDescent="0.35"/>
  <sheetData>
    <row r="1" spans="1:3" ht="17.5" x14ac:dyDescent="0.45">
      <c r="A1" s="28" t="s">
        <v>0</v>
      </c>
    </row>
    <row r="2" spans="1:3" ht="16" x14ac:dyDescent="0.45">
      <c r="A2" s="10" t="s">
        <v>530</v>
      </c>
      <c r="B2" s="5" t="str">
        <f>HYPERLINK("#'02_Balance_Sheet'!A1", "[&lt;- Back to Balance Sheet]")</f>
        <v>[&lt;- Back to Balance Sheet]</v>
      </c>
    </row>
    <row r="3" spans="1:3" x14ac:dyDescent="0.35">
      <c r="A3" t="s">
        <v>40</v>
      </c>
    </row>
    <row r="5" spans="1:3" ht="24" customHeight="1" x14ac:dyDescent="0.35">
      <c r="A5" s="4" t="s">
        <v>41</v>
      </c>
      <c r="B5" s="4" t="s">
        <v>417</v>
      </c>
      <c r="C5" s="4" t="s">
        <v>418</v>
      </c>
    </row>
    <row r="6" spans="1:3" x14ac:dyDescent="0.35">
      <c r="A6" t="s">
        <v>531</v>
      </c>
      <c r="B6" s="11">
        <v>36</v>
      </c>
      <c r="C6" s="11">
        <v>27</v>
      </c>
    </row>
    <row r="7" spans="1:3" x14ac:dyDescent="0.35">
      <c r="A7" t="s">
        <v>533</v>
      </c>
      <c r="B7" s="11">
        <v>4</v>
      </c>
      <c r="C7" s="11">
        <v>3</v>
      </c>
    </row>
    <row r="8" spans="1:3" x14ac:dyDescent="0.35">
      <c r="A8" t="s">
        <v>534</v>
      </c>
      <c r="B8" s="11">
        <v>0</v>
      </c>
      <c r="C8" s="11">
        <v>0</v>
      </c>
    </row>
    <row r="9" spans="1:3" ht="15" x14ac:dyDescent="0.4">
      <c r="A9" s="26" t="s">
        <v>535</v>
      </c>
      <c r="B9" s="27">
        <v>40</v>
      </c>
      <c r="C9" s="27">
        <v>30</v>
      </c>
    </row>
    <row r="10" spans="1:3" s="17" customFormat="1" ht="16" x14ac:dyDescent="0.45">
      <c r="A10" s="18" t="s">
        <v>608</v>
      </c>
      <c r="B10" s="19">
        <f>B9</f>
        <v>40</v>
      </c>
      <c r="C10" s="19">
        <f>C9</f>
        <v>30</v>
      </c>
    </row>
    <row r="11" spans="1:3" ht="15" x14ac:dyDescent="0.4">
      <c r="A11" s="13" t="s">
        <v>559</v>
      </c>
      <c r="B11" s="12">
        <f>-SUMIFS('91_Mapping'!H:H, '91_Mapping'!F:F, "7.6")</f>
        <v>40</v>
      </c>
      <c r="C11" s="12">
        <f>-SUMIFS('91_Mapping'!I:I, '91_Mapping'!F:F, "7.6")</f>
        <v>30</v>
      </c>
    </row>
    <row r="12" spans="1:3" ht="15" x14ac:dyDescent="0.4">
      <c r="A12" s="13" t="s">
        <v>560</v>
      </c>
      <c r="B12" s="11">
        <f>B10-B11</f>
        <v>0</v>
      </c>
      <c r="C12" s="11">
        <f>C10-C11</f>
        <v>0</v>
      </c>
    </row>
    <row r="14" spans="1:3" x14ac:dyDescent="0.35">
      <c r="A14" s="21" t="s">
        <v>609</v>
      </c>
    </row>
  </sheetData>
  <pageMargins left="0.75" right="0.75" top="1" bottom="1" header="0.5" footer="0.5"/>
  <pageSetup paperSize="9" orientation="portrait"/>
  <headerFooter>
    <oddFooter>&amp;LApex Engineering Industries Limited | FY 2024-25&amp;RPage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workbookViewId="0"/>
  </sheetViews>
  <sheetFormatPr defaultRowHeight="14.5" x14ac:dyDescent="0.35"/>
  <sheetData>
    <row r="1" spans="1:7" ht="17.5" x14ac:dyDescent="0.45">
      <c r="A1" s="28" t="s">
        <v>0</v>
      </c>
    </row>
    <row r="2" spans="1:7" ht="16" x14ac:dyDescent="0.45">
      <c r="A2" s="10" t="s">
        <v>537</v>
      </c>
      <c r="B2" s="5" t="str">
        <f>HYPERLINK("#'02_Balance_Sheet'!A1", "[&lt;- Back to Balance Sheet]")</f>
        <v>[&lt;- Back to Balance Sheet]</v>
      </c>
    </row>
    <row r="3" spans="1:7" x14ac:dyDescent="0.35">
      <c r="A3" t="s">
        <v>40</v>
      </c>
    </row>
    <row r="5" spans="1:7" ht="24" customHeight="1" x14ac:dyDescent="0.35">
      <c r="A5" s="4" t="s">
        <v>538</v>
      </c>
      <c r="B5" s="4" t="s">
        <v>539</v>
      </c>
      <c r="C5" s="4" t="s">
        <v>540</v>
      </c>
      <c r="D5" s="4" t="s">
        <v>541</v>
      </c>
      <c r="E5" s="4" t="s">
        <v>542</v>
      </c>
      <c r="F5" s="4" t="s">
        <v>543</v>
      </c>
      <c r="G5" s="4" t="s">
        <v>544</v>
      </c>
    </row>
    <row r="6" spans="1:7" x14ac:dyDescent="0.35">
      <c r="A6" t="s">
        <v>545</v>
      </c>
      <c r="B6" t="s">
        <v>546</v>
      </c>
      <c r="C6" t="s">
        <v>547</v>
      </c>
      <c r="D6" s="11">
        <v>0</v>
      </c>
      <c r="E6" s="11">
        <v>0</v>
      </c>
      <c r="F6" s="11">
        <v>36</v>
      </c>
      <c r="G6" s="11">
        <v>3</v>
      </c>
    </row>
    <row r="7" spans="1:7" s="17" customFormat="1" ht="16" x14ac:dyDescent="0.45">
      <c r="A7" s="18" t="s">
        <v>610</v>
      </c>
      <c r="B7" s="19" t="str">
        <f>B6</f>
        <v>Key Managerial Personnel (KMP)</v>
      </c>
      <c r="C7" s="19" t="str">
        <f>C6</f>
        <v>Managerial Remuneration &amp; Director Sitting Fees</v>
      </c>
    </row>
    <row r="8" spans="1:7" ht="15" x14ac:dyDescent="0.4">
      <c r="A8" s="13" t="s">
        <v>559</v>
      </c>
      <c r="B8" s="12">
        <f>SUMIFS('91_Mapping'!H:H, '91_Mapping'!F:F, "8.1")</f>
        <v>0</v>
      </c>
      <c r="C8" s="12">
        <f>SUMIFS('91_Mapping'!I:I, '91_Mapping'!F:F, "8.1")</f>
        <v>0</v>
      </c>
    </row>
    <row r="9" spans="1:7" ht="15" x14ac:dyDescent="0.4">
      <c r="A9" s="13" t="s">
        <v>560</v>
      </c>
      <c r="B9" s="11" t="e">
        <f>B7-B8</f>
        <v>#VALUE!</v>
      </c>
      <c r="C9" s="11" t="e">
        <f>C7-C8</f>
        <v>#VALUE!</v>
      </c>
    </row>
    <row r="11" spans="1:7" x14ac:dyDescent="0.35">
      <c r="A11" s="21" t="s">
        <v>611</v>
      </c>
    </row>
  </sheetData>
  <pageMargins left="0.75" right="0.75" top="1" bottom="1" header="0.5" footer="0.5"/>
  <pageSetup paperSize="9" orientation="portrait"/>
  <headerFooter>
    <oddFooter>&amp;LApex Engineering Industries Limited | FY 2024-25&amp;RPage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1"/>
  <sheetViews>
    <sheetView showGridLines="0" workbookViewId="0"/>
  </sheetViews>
  <sheetFormatPr defaultRowHeight="14.5" x14ac:dyDescent="0.35"/>
  <sheetData>
    <row r="1" spans="1:6" ht="17.5" x14ac:dyDescent="0.45">
      <c r="A1" s="28" t="s">
        <v>0</v>
      </c>
    </row>
    <row r="2" spans="1:6" ht="16" x14ac:dyDescent="0.45">
      <c r="A2" s="10" t="s">
        <v>548</v>
      </c>
      <c r="B2" s="5" t="str">
        <f>HYPERLINK("#'02_Balance_Sheet'!A1", "[&lt;- Back to Balance Sheet]")</f>
        <v>[&lt;- Back to Balance Sheet]</v>
      </c>
    </row>
    <row r="3" spans="1:6" x14ac:dyDescent="0.35">
      <c r="A3" t="s">
        <v>40</v>
      </c>
    </row>
    <row r="5" spans="1:6" ht="24" customHeight="1" x14ac:dyDescent="0.35">
      <c r="A5" s="4" t="s">
        <v>549</v>
      </c>
      <c r="B5" s="4" t="s">
        <v>550</v>
      </c>
      <c r="C5" s="4" t="s">
        <v>551</v>
      </c>
      <c r="D5" s="4" t="s">
        <v>552</v>
      </c>
      <c r="E5" s="4" t="s">
        <v>553</v>
      </c>
      <c r="F5" s="4" t="s">
        <v>554</v>
      </c>
    </row>
    <row r="6" spans="1:6" x14ac:dyDescent="0.35">
      <c r="A6" t="s">
        <v>555</v>
      </c>
      <c r="B6" t="s">
        <v>556</v>
      </c>
      <c r="C6" s="11">
        <v>35</v>
      </c>
      <c r="D6" s="11">
        <v>35</v>
      </c>
      <c r="E6" t="s">
        <v>557</v>
      </c>
      <c r="F6" t="s">
        <v>249</v>
      </c>
    </row>
    <row r="7" spans="1:6" s="17" customFormat="1" ht="16" x14ac:dyDescent="0.45">
      <c r="A7" s="18" t="s">
        <v>612</v>
      </c>
      <c r="B7" s="19" t="str">
        <f>B6</f>
        <v>GST Appellate Authority</v>
      </c>
      <c r="C7" s="19">
        <f>C6</f>
        <v>35</v>
      </c>
    </row>
    <row r="8" spans="1:6" ht="15" x14ac:dyDescent="0.4">
      <c r="A8" s="13" t="s">
        <v>559</v>
      </c>
      <c r="B8" s="12">
        <f>SUMIFS('91_Mapping'!H:H, '91_Mapping'!F:F, "8.2")</f>
        <v>0</v>
      </c>
      <c r="C8" s="12">
        <f>SUMIFS('91_Mapping'!I:I, '91_Mapping'!F:F, "8.2")</f>
        <v>0</v>
      </c>
    </row>
    <row r="9" spans="1:6" ht="15" x14ac:dyDescent="0.4">
      <c r="A9" s="13" t="s">
        <v>560</v>
      </c>
      <c r="B9" s="11" t="e">
        <f>B7-B8</f>
        <v>#VALUE!</v>
      </c>
      <c r="C9" s="11">
        <f>C7-C8</f>
        <v>35</v>
      </c>
    </row>
    <row r="11" spans="1:6" x14ac:dyDescent="0.35">
      <c r="A11" s="21" t="s">
        <v>613</v>
      </c>
    </row>
  </sheetData>
  <pageMargins left="0.75" right="0.75" top="1" bottom="1" header="0.5" footer="0.5"/>
  <pageSetup paperSize="9" orientation="portrait"/>
  <headerFooter>
    <oddFooter>&amp;LApex Engineering Industries Limited | FY 2024-25&amp;RPage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2"/>
  <sheetViews>
    <sheetView showGridLines="0" workbookViewId="0"/>
  </sheetViews>
  <sheetFormatPr defaultRowHeight="14.5" x14ac:dyDescent="0.35"/>
  <sheetData>
    <row r="1" spans="1:8" ht="21" x14ac:dyDescent="0.55000000000000004">
      <c r="A1" s="6" t="s">
        <v>0</v>
      </c>
    </row>
    <row r="2" spans="1:8" ht="16.5" x14ac:dyDescent="0.45">
      <c r="A2" s="7" t="s">
        <v>614</v>
      </c>
    </row>
    <row r="4" spans="1:8" ht="24" customHeight="1" x14ac:dyDescent="0.35">
      <c r="A4" s="4" t="s">
        <v>615</v>
      </c>
      <c r="B4" s="4" t="s">
        <v>616</v>
      </c>
      <c r="C4" s="4" t="s">
        <v>617</v>
      </c>
      <c r="D4" s="4" t="s">
        <v>78</v>
      </c>
      <c r="E4" s="4" t="s">
        <v>79</v>
      </c>
      <c r="F4" s="4" t="s">
        <v>618</v>
      </c>
      <c r="G4" s="4" t="s">
        <v>619</v>
      </c>
      <c r="H4" s="4" t="s">
        <v>620</v>
      </c>
    </row>
    <row r="5" spans="1:8" x14ac:dyDescent="0.35">
      <c r="A5" t="s">
        <v>621</v>
      </c>
      <c r="B5" t="s">
        <v>622</v>
      </c>
      <c r="C5" t="s">
        <v>623</v>
      </c>
      <c r="D5" s="24">
        <f>'02_Balance_Sheet'!C36/'02_Balance_Sheet'!C20</f>
        <v>-1.7068965517241379</v>
      </c>
      <c r="E5" s="25">
        <f>'02_Balance_Sheet'!D36/'02_Balance_Sheet'!D20</f>
        <v>-1.6981132075471699</v>
      </c>
      <c r="F5" t="s">
        <v>624</v>
      </c>
      <c r="G5" t="s">
        <v>625</v>
      </c>
      <c r="H5" t="s">
        <v>626</v>
      </c>
    </row>
    <row r="6" spans="1:8" x14ac:dyDescent="0.35">
      <c r="A6" t="s">
        <v>627</v>
      </c>
      <c r="B6" t="s">
        <v>628</v>
      </c>
      <c r="C6" t="s">
        <v>629</v>
      </c>
      <c r="D6" s="24">
        <f>('02_Balance_Sheet'!C12+'02_Balance_Sheet'!C16)/('02_Balance_Sheet'!C8+'02_Balance_Sheet'!C9)</f>
        <v>-0.13721413721413722</v>
      </c>
      <c r="E6" s="25">
        <f>('02_Balance_Sheet'!D12+'02_Balance_Sheet'!D16)/('02_Balance_Sheet'!D8+'02_Balance_Sheet'!D9)</f>
        <v>-0.39344262295081966</v>
      </c>
      <c r="F6" t="s">
        <v>624</v>
      </c>
      <c r="G6" t="s">
        <v>630</v>
      </c>
      <c r="H6" t="s">
        <v>631</v>
      </c>
    </row>
    <row r="7" spans="1:8" x14ac:dyDescent="0.35">
      <c r="A7" t="s">
        <v>632</v>
      </c>
      <c r="B7" t="s">
        <v>633</v>
      </c>
      <c r="C7" t="s">
        <v>634</v>
      </c>
      <c r="D7" s="24">
        <f>28.24</f>
        <v>28.24</v>
      </c>
      <c r="E7" s="25">
        <f>25</f>
        <v>25</v>
      </c>
      <c r="F7" t="s">
        <v>635</v>
      </c>
      <c r="G7" t="s">
        <v>636</v>
      </c>
      <c r="H7" t="s">
        <v>637</v>
      </c>
    </row>
    <row r="8" spans="1:8" x14ac:dyDescent="0.35">
      <c r="A8" t="s">
        <v>638</v>
      </c>
      <c r="B8" t="s">
        <v>639</v>
      </c>
      <c r="C8" t="s">
        <v>640</v>
      </c>
      <c r="D8" s="24">
        <f>30.59</f>
        <v>30.59</v>
      </c>
      <c r="E8" s="25">
        <f>29.71</f>
        <v>29.71</v>
      </c>
      <c r="F8" t="s">
        <v>635</v>
      </c>
      <c r="G8" t="s">
        <v>641</v>
      </c>
      <c r="H8" t="s">
        <v>642</v>
      </c>
    </row>
    <row r="9" spans="1:8" x14ac:dyDescent="0.35">
      <c r="A9" t="s">
        <v>643</v>
      </c>
      <c r="B9" t="s">
        <v>644</v>
      </c>
      <c r="C9" t="s">
        <v>645</v>
      </c>
      <c r="D9" s="24">
        <f>35.82</f>
        <v>35.82</v>
      </c>
      <c r="E9" s="25">
        <f>34.65</f>
        <v>34.65</v>
      </c>
      <c r="F9" t="s">
        <v>635</v>
      </c>
      <c r="G9" t="s">
        <v>646</v>
      </c>
      <c r="H9" t="s">
        <v>647</v>
      </c>
    </row>
    <row r="10" spans="1:8" x14ac:dyDescent="0.35">
      <c r="A10" t="s">
        <v>648</v>
      </c>
      <c r="B10" t="s">
        <v>649</v>
      </c>
      <c r="C10" t="s">
        <v>650</v>
      </c>
      <c r="D10" s="24">
        <f>75.15</f>
        <v>75.150000000000006</v>
      </c>
      <c r="E10" s="25">
        <f>73</f>
        <v>73</v>
      </c>
      <c r="F10" t="s">
        <v>651</v>
      </c>
      <c r="G10" t="s">
        <v>652</v>
      </c>
      <c r="H10" t="s">
        <v>653</v>
      </c>
    </row>
    <row r="11" spans="1:8" x14ac:dyDescent="0.35">
      <c r="A11" t="s">
        <v>654</v>
      </c>
      <c r="B11" t="s">
        <v>655</v>
      </c>
      <c r="C11" t="s">
        <v>656</v>
      </c>
      <c r="D11" s="24">
        <f>160.77</f>
        <v>160.77000000000001</v>
      </c>
      <c r="E11" s="25">
        <f>151.21</f>
        <v>151.21</v>
      </c>
      <c r="F11" t="s">
        <v>651</v>
      </c>
      <c r="G11" t="s">
        <v>657</v>
      </c>
      <c r="H11" t="s">
        <v>658</v>
      </c>
    </row>
    <row r="12" spans="1:8" x14ac:dyDescent="0.35">
      <c r="A12" t="s">
        <v>659</v>
      </c>
      <c r="B12" t="s">
        <v>660</v>
      </c>
      <c r="C12" t="s">
        <v>661</v>
      </c>
      <c r="D12" s="24">
        <f>126.01</f>
        <v>126.01</v>
      </c>
      <c r="E12" s="25">
        <f>125.14</f>
        <v>125.14</v>
      </c>
      <c r="F12" t="s">
        <v>651</v>
      </c>
      <c r="G12" t="s">
        <v>662</v>
      </c>
      <c r="H12" t="s">
        <v>663</v>
      </c>
    </row>
  </sheetData>
  <pageMargins left="0.75" right="0.75" top="1" bottom="1" header="0.5" footer="0.5"/>
  <pageSetup paperSize="9" orientation="portrait"/>
  <headerFooter>
    <oddFooter>&amp;LApex Engineering Industries Limited | FY 2024-25&amp;RPage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7"/>
  <sheetViews>
    <sheetView workbookViewId="0"/>
  </sheetViews>
  <sheetFormatPr defaultRowHeight="14.5" x14ac:dyDescent="0.35"/>
  <sheetData>
    <row r="1" spans="1:6" ht="24" customHeight="1" x14ac:dyDescent="0.35">
      <c r="A1" s="4" t="s">
        <v>664</v>
      </c>
      <c r="B1" s="4" t="s">
        <v>665</v>
      </c>
      <c r="C1" s="4" t="s">
        <v>666</v>
      </c>
      <c r="D1" s="4" t="s">
        <v>667</v>
      </c>
      <c r="E1" s="4" t="s">
        <v>668</v>
      </c>
      <c r="F1" s="4" t="s">
        <v>669</v>
      </c>
    </row>
    <row r="2" spans="1:6" x14ac:dyDescent="0.35">
      <c r="A2" t="s">
        <v>670</v>
      </c>
      <c r="B2" t="s">
        <v>671</v>
      </c>
      <c r="C2" t="s">
        <v>672</v>
      </c>
      <c r="D2" s="11">
        <v>-100</v>
      </c>
      <c r="E2" s="11">
        <v>-100</v>
      </c>
    </row>
    <row r="3" spans="1:6" x14ac:dyDescent="0.35">
      <c r="A3" t="s">
        <v>673</v>
      </c>
      <c r="B3" t="s">
        <v>674</v>
      </c>
      <c r="C3" t="s">
        <v>675</v>
      </c>
      <c r="D3" s="11">
        <v>-150</v>
      </c>
      <c r="E3" s="11">
        <v>-120</v>
      </c>
    </row>
    <row r="4" spans="1:6" x14ac:dyDescent="0.35">
      <c r="A4" t="s">
        <v>676</v>
      </c>
      <c r="B4" t="s">
        <v>677</v>
      </c>
      <c r="C4" t="s">
        <v>675</v>
      </c>
      <c r="D4" s="11">
        <v>-180</v>
      </c>
      <c r="E4" s="11">
        <v>-110</v>
      </c>
    </row>
    <row r="5" spans="1:6" x14ac:dyDescent="0.35">
      <c r="A5" t="s">
        <v>678</v>
      </c>
      <c r="B5" t="s">
        <v>679</v>
      </c>
      <c r="C5" t="s">
        <v>680</v>
      </c>
      <c r="D5" s="11">
        <v>-250</v>
      </c>
      <c r="E5" s="11">
        <v>-300</v>
      </c>
    </row>
    <row r="6" spans="1:6" x14ac:dyDescent="0.35">
      <c r="A6" t="s">
        <v>681</v>
      </c>
      <c r="B6" t="s">
        <v>682</v>
      </c>
      <c r="C6" t="s">
        <v>683</v>
      </c>
      <c r="D6" s="11">
        <v>-80</v>
      </c>
      <c r="E6" s="11">
        <v>-60</v>
      </c>
    </row>
    <row r="7" spans="1:6" x14ac:dyDescent="0.35">
      <c r="A7" t="s">
        <v>684</v>
      </c>
      <c r="B7" t="s">
        <v>685</v>
      </c>
      <c r="C7" t="s">
        <v>686</v>
      </c>
      <c r="D7" s="11">
        <v>-65</v>
      </c>
      <c r="E7" s="11">
        <v>-50</v>
      </c>
    </row>
    <row r="8" spans="1:6" x14ac:dyDescent="0.35">
      <c r="A8" t="s">
        <v>687</v>
      </c>
      <c r="B8" t="s">
        <v>688</v>
      </c>
      <c r="C8" t="s">
        <v>686</v>
      </c>
      <c r="D8" s="11">
        <v>-120</v>
      </c>
      <c r="E8" s="11">
        <v>-95</v>
      </c>
    </row>
    <row r="9" spans="1:6" x14ac:dyDescent="0.35">
      <c r="A9" t="s">
        <v>689</v>
      </c>
      <c r="B9" t="s">
        <v>690</v>
      </c>
      <c r="C9" t="s">
        <v>686</v>
      </c>
      <c r="D9" s="11">
        <v>-25</v>
      </c>
      <c r="E9" s="11">
        <v>-20</v>
      </c>
    </row>
    <row r="10" spans="1:6" x14ac:dyDescent="0.35">
      <c r="A10" t="s">
        <v>691</v>
      </c>
      <c r="B10" t="s">
        <v>692</v>
      </c>
      <c r="C10" t="s">
        <v>693</v>
      </c>
      <c r="D10" s="11">
        <v>-40</v>
      </c>
      <c r="E10" s="11">
        <v>-30</v>
      </c>
    </row>
    <row r="11" spans="1:6" x14ac:dyDescent="0.35">
      <c r="A11" t="s">
        <v>694</v>
      </c>
      <c r="B11" t="s">
        <v>695</v>
      </c>
      <c r="C11" t="s">
        <v>696</v>
      </c>
      <c r="D11" s="11">
        <v>450</v>
      </c>
      <c r="E11" s="11">
        <v>450</v>
      </c>
    </row>
    <row r="12" spans="1:6" x14ac:dyDescent="0.35">
      <c r="A12" t="s">
        <v>697</v>
      </c>
      <c r="B12" t="s">
        <v>301</v>
      </c>
      <c r="C12" t="s">
        <v>696</v>
      </c>
      <c r="D12" s="11">
        <v>220</v>
      </c>
      <c r="E12" s="11">
        <v>180</v>
      </c>
    </row>
    <row r="13" spans="1:6" x14ac:dyDescent="0.35">
      <c r="A13" t="s">
        <v>698</v>
      </c>
      <c r="B13" t="s">
        <v>699</v>
      </c>
      <c r="C13" t="s">
        <v>696</v>
      </c>
      <c r="D13" s="11">
        <v>45</v>
      </c>
      <c r="E13" s="11">
        <v>15</v>
      </c>
    </row>
    <row r="14" spans="1:6" x14ac:dyDescent="0.35">
      <c r="A14" t="s">
        <v>700</v>
      </c>
      <c r="B14" t="s">
        <v>701</v>
      </c>
      <c r="C14" t="s">
        <v>702</v>
      </c>
      <c r="D14" s="11">
        <v>85</v>
      </c>
      <c r="E14" s="11">
        <v>70</v>
      </c>
    </row>
    <row r="15" spans="1:6" x14ac:dyDescent="0.35">
      <c r="A15" t="s">
        <v>703</v>
      </c>
      <c r="B15" t="s">
        <v>704</v>
      </c>
      <c r="C15" t="s">
        <v>702</v>
      </c>
      <c r="D15" s="11">
        <v>60</v>
      </c>
      <c r="E15" s="11">
        <v>50</v>
      </c>
    </row>
    <row r="16" spans="1:6" x14ac:dyDescent="0.35">
      <c r="A16" t="s">
        <v>705</v>
      </c>
      <c r="B16" t="s">
        <v>706</v>
      </c>
      <c r="C16" t="s">
        <v>702</v>
      </c>
      <c r="D16" s="11">
        <v>175</v>
      </c>
      <c r="E16" s="11">
        <v>140</v>
      </c>
    </row>
    <row r="17" spans="1:6" x14ac:dyDescent="0.35">
      <c r="A17" t="s">
        <v>707</v>
      </c>
      <c r="B17" t="s">
        <v>708</v>
      </c>
      <c r="C17" t="s">
        <v>709</v>
      </c>
      <c r="D17" s="11">
        <v>165</v>
      </c>
      <c r="E17" s="11">
        <v>150</v>
      </c>
    </row>
    <row r="18" spans="1:6" x14ac:dyDescent="0.35">
      <c r="A18" t="s">
        <v>710</v>
      </c>
      <c r="B18" t="s">
        <v>711</v>
      </c>
      <c r="C18" t="s">
        <v>712</v>
      </c>
      <c r="D18" s="11">
        <v>10</v>
      </c>
      <c r="E18" s="11">
        <v>5</v>
      </c>
    </row>
    <row r="19" spans="1:6" x14ac:dyDescent="0.35">
      <c r="A19" t="s">
        <v>713</v>
      </c>
      <c r="B19" t="s">
        <v>714</v>
      </c>
      <c r="C19" t="s">
        <v>715</v>
      </c>
      <c r="D19" s="11">
        <v>-850</v>
      </c>
      <c r="E19" s="11">
        <v>-700</v>
      </c>
    </row>
    <row r="20" spans="1:6" x14ac:dyDescent="0.35">
      <c r="A20" t="s">
        <v>716</v>
      </c>
      <c r="B20" t="s">
        <v>717</v>
      </c>
      <c r="C20" t="s">
        <v>718</v>
      </c>
      <c r="D20" s="11">
        <v>-15</v>
      </c>
      <c r="E20" s="11">
        <v>-10</v>
      </c>
    </row>
    <row r="21" spans="1:6" x14ac:dyDescent="0.35">
      <c r="A21" t="s">
        <v>719</v>
      </c>
      <c r="B21" t="s">
        <v>720</v>
      </c>
      <c r="C21" t="s">
        <v>721</v>
      </c>
      <c r="D21" s="11">
        <v>420</v>
      </c>
      <c r="E21" s="11">
        <v>350</v>
      </c>
    </row>
    <row r="22" spans="1:6" x14ac:dyDescent="0.35">
      <c r="A22" t="s">
        <v>722</v>
      </c>
      <c r="B22" t="s">
        <v>723</v>
      </c>
      <c r="C22" t="s">
        <v>724</v>
      </c>
      <c r="D22" s="11">
        <v>140</v>
      </c>
      <c r="E22" s="11">
        <v>120</v>
      </c>
    </row>
    <row r="23" spans="1:6" x14ac:dyDescent="0.35">
      <c r="A23" t="s">
        <v>725</v>
      </c>
      <c r="B23" t="s">
        <v>726</v>
      </c>
      <c r="C23" t="s">
        <v>727</v>
      </c>
      <c r="D23" s="11">
        <v>32</v>
      </c>
      <c r="E23" s="11">
        <v>38</v>
      </c>
    </row>
    <row r="24" spans="1:6" x14ac:dyDescent="0.35">
      <c r="A24" t="s">
        <v>728</v>
      </c>
      <c r="B24" t="s">
        <v>729</v>
      </c>
      <c r="C24" t="s">
        <v>730</v>
      </c>
      <c r="D24" s="11">
        <v>28</v>
      </c>
      <c r="E24" s="11">
        <v>25</v>
      </c>
    </row>
    <row r="25" spans="1:6" x14ac:dyDescent="0.35">
      <c r="A25" t="s">
        <v>731</v>
      </c>
      <c r="B25" t="s">
        <v>732</v>
      </c>
      <c r="C25" t="s">
        <v>733</v>
      </c>
      <c r="D25" s="11">
        <v>45</v>
      </c>
      <c r="E25" s="11">
        <v>32</v>
      </c>
    </row>
    <row r="26" spans="1:6" ht="16" x14ac:dyDescent="0.45">
      <c r="A26" s="10" t="s">
        <v>734</v>
      </c>
      <c r="B26" t="s">
        <v>735</v>
      </c>
      <c r="D26" s="30">
        <f>SUM(D2:D25)</f>
        <v>0</v>
      </c>
      <c r="F26" t="s">
        <v>736</v>
      </c>
    </row>
    <row r="27" spans="1:6" ht="16" x14ac:dyDescent="0.45">
      <c r="A27" s="10" t="s">
        <v>737</v>
      </c>
      <c r="B27" t="s">
        <v>738</v>
      </c>
      <c r="E27" s="30">
        <f>SUM(E2:E25)</f>
        <v>30</v>
      </c>
      <c r="F27" t="s">
        <v>739</v>
      </c>
    </row>
  </sheetData>
  <conditionalFormatting sqref="D26">
    <cfRule type="cellIs" dxfId="1" priority="1" stopIfTrue="1" operator="notEqual">
      <formula>0</formula>
    </cfRule>
  </conditionalFormatting>
  <conditionalFormatting sqref="E27">
    <cfRule type="cellIs" dxfId="0" priority="2" stopIfTrue="1" operator="notEqual">
      <formula>0</formula>
    </cfRule>
  </conditionalFormatting>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5"/>
  <sheetViews>
    <sheetView workbookViewId="0"/>
  </sheetViews>
  <sheetFormatPr defaultRowHeight="14.5" x14ac:dyDescent="0.35"/>
  <sheetData>
    <row r="1" spans="1:9" ht="24" customHeight="1" x14ac:dyDescent="0.35">
      <c r="A1" s="4" t="s">
        <v>664</v>
      </c>
      <c r="B1" s="4" t="s">
        <v>665</v>
      </c>
      <c r="C1" s="4" t="s">
        <v>666</v>
      </c>
      <c r="D1" s="4" t="s">
        <v>740</v>
      </c>
      <c r="E1" s="4" t="s">
        <v>741</v>
      </c>
      <c r="F1" s="4" t="s">
        <v>742</v>
      </c>
      <c r="G1" s="4" t="s">
        <v>743</v>
      </c>
      <c r="H1" s="4" t="s">
        <v>744</v>
      </c>
      <c r="I1" s="4" t="s">
        <v>745</v>
      </c>
    </row>
    <row r="2" spans="1:9" x14ac:dyDescent="0.35">
      <c r="A2" t="s">
        <v>670</v>
      </c>
      <c r="B2" t="s">
        <v>671</v>
      </c>
      <c r="C2" t="s">
        <v>672</v>
      </c>
      <c r="D2" t="s">
        <v>746</v>
      </c>
      <c r="E2" t="s">
        <v>747</v>
      </c>
      <c r="F2" t="s">
        <v>748</v>
      </c>
      <c r="G2" t="s">
        <v>749</v>
      </c>
      <c r="H2" s="11">
        <f>SUMIFS('90_Trial_Balance'!D:D, '90_Trial_Balance'!A:A, A2)</f>
        <v>-100</v>
      </c>
      <c r="I2" s="11">
        <f>SUMIFS('90_Trial_Balance'!E:E, '90_Trial_Balance'!A:A, A2)</f>
        <v>-100</v>
      </c>
    </row>
    <row r="3" spans="1:9" x14ac:dyDescent="0.35">
      <c r="A3" t="s">
        <v>673</v>
      </c>
      <c r="B3" t="s">
        <v>674</v>
      </c>
      <c r="C3" t="s">
        <v>675</v>
      </c>
      <c r="D3" t="s">
        <v>750</v>
      </c>
      <c r="E3" t="s">
        <v>747</v>
      </c>
      <c r="F3" t="s">
        <v>751</v>
      </c>
      <c r="G3" t="s">
        <v>749</v>
      </c>
      <c r="H3" s="11">
        <f>SUMIFS('90_Trial_Balance'!D:D, '90_Trial_Balance'!A:A, A3)</f>
        <v>-150</v>
      </c>
      <c r="I3" s="11">
        <f>SUMIFS('90_Trial_Balance'!E:E, '90_Trial_Balance'!A:A, A3)</f>
        <v>-120</v>
      </c>
    </row>
    <row r="4" spans="1:9" x14ac:dyDescent="0.35">
      <c r="A4" t="s">
        <v>676</v>
      </c>
      <c r="B4" t="s">
        <v>677</v>
      </c>
      <c r="C4" t="s">
        <v>675</v>
      </c>
      <c r="D4" t="s">
        <v>750</v>
      </c>
      <c r="E4" t="s">
        <v>747</v>
      </c>
      <c r="F4" t="s">
        <v>751</v>
      </c>
      <c r="G4" t="s">
        <v>749</v>
      </c>
      <c r="H4" s="11">
        <f>SUMIFS('90_Trial_Balance'!D:D, '90_Trial_Balance'!A:A, A4)</f>
        <v>-180</v>
      </c>
      <c r="I4" s="11">
        <f>SUMIFS('90_Trial_Balance'!E:E, '90_Trial_Balance'!A:A, A4)</f>
        <v>-110</v>
      </c>
    </row>
    <row r="5" spans="1:9" x14ac:dyDescent="0.35">
      <c r="A5" t="s">
        <v>678</v>
      </c>
      <c r="B5" t="s">
        <v>679</v>
      </c>
      <c r="C5" t="s">
        <v>680</v>
      </c>
      <c r="D5" t="s">
        <v>752</v>
      </c>
      <c r="E5" t="s">
        <v>747</v>
      </c>
      <c r="F5" t="s">
        <v>753</v>
      </c>
      <c r="G5" t="s">
        <v>754</v>
      </c>
      <c r="H5" s="11">
        <f>SUMIFS('90_Trial_Balance'!D:D, '90_Trial_Balance'!A:A, A5)</f>
        <v>-250</v>
      </c>
      <c r="I5" s="11">
        <f>SUMIFS('90_Trial_Balance'!E:E, '90_Trial_Balance'!A:A, A5)</f>
        <v>-300</v>
      </c>
    </row>
    <row r="6" spans="1:9" x14ac:dyDescent="0.35">
      <c r="A6" t="s">
        <v>681</v>
      </c>
      <c r="B6" t="s">
        <v>682</v>
      </c>
      <c r="C6" t="s">
        <v>683</v>
      </c>
      <c r="D6" t="s">
        <v>755</v>
      </c>
      <c r="E6" t="s">
        <v>747</v>
      </c>
      <c r="F6" t="s">
        <v>756</v>
      </c>
      <c r="G6" t="s">
        <v>757</v>
      </c>
      <c r="H6" s="11">
        <f>SUMIFS('90_Trial_Balance'!D:D, '90_Trial_Balance'!A:A, A6)</f>
        <v>-80</v>
      </c>
      <c r="I6" s="11">
        <f>SUMIFS('90_Trial_Balance'!E:E, '90_Trial_Balance'!A:A, A6)</f>
        <v>-60</v>
      </c>
    </row>
    <row r="7" spans="1:9" x14ac:dyDescent="0.35">
      <c r="A7" t="s">
        <v>684</v>
      </c>
      <c r="B7" t="s">
        <v>685</v>
      </c>
      <c r="C7" t="s">
        <v>686</v>
      </c>
      <c r="D7" t="s">
        <v>758</v>
      </c>
      <c r="E7" t="s">
        <v>747</v>
      </c>
      <c r="F7" t="s">
        <v>759</v>
      </c>
      <c r="G7" t="s">
        <v>757</v>
      </c>
      <c r="H7" s="11">
        <f>SUMIFS('90_Trial_Balance'!D:D, '90_Trial_Balance'!A:A, A7)</f>
        <v>-65</v>
      </c>
      <c r="I7" s="11">
        <f>SUMIFS('90_Trial_Balance'!E:E, '90_Trial_Balance'!A:A, A7)</f>
        <v>-50</v>
      </c>
    </row>
    <row r="8" spans="1:9" x14ac:dyDescent="0.35">
      <c r="A8" t="s">
        <v>687</v>
      </c>
      <c r="B8" t="s">
        <v>688</v>
      </c>
      <c r="C8" t="s">
        <v>686</v>
      </c>
      <c r="D8" t="s">
        <v>758</v>
      </c>
      <c r="E8" t="s">
        <v>747</v>
      </c>
      <c r="F8" t="s">
        <v>759</v>
      </c>
      <c r="G8" t="s">
        <v>757</v>
      </c>
      <c r="H8" s="11">
        <f>SUMIFS('90_Trial_Balance'!D:D, '90_Trial_Balance'!A:A, A8)</f>
        <v>-120</v>
      </c>
      <c r="I8" s="11">
        <f>SUMIFS('90_Trial_Balance'!E:E, '90_Trial_Balance'!A:A, A8)</f>
        <v>-95</v>
      </c>
    </row>
    <row r="9" spans="1:9" x14ac:dyDescent="0.35">
      <c r="A9" t="s">
        <v>689</v>
      </c>
      <c r="B9" t="s">
        <v>690</v>
      </c>
      <c r="C9" t="s">
        <v>686</v>
      </c>
      <c r="D9" t="s">
        <v>760</v>
      </c>
      <c r="E9" t="s">
        <v>747</v>
      </c>
      <c r="F9" t="s">
        <v>761</v>
      </c>
      <c r="G9" t="s">
        <v>757</v>
      </c>
      <c r="H9" s="11">
        <f>SUMIFS('90_Trial_Balance'!D:D, '90_Trial_Balance'!A:A, A9)</f>
        <v>-25</v>
      </c>
      <c r="I9" s="11">
        <f>SUMIFS('90_Trial_Balance'!E:E, '90_Trial_Balance'!A:A, A9)</f>
        <v>-20</v>
      </c>
    </row>
    <row r="10" spans="1:9" x14ac:dyDescent="0.35">
      <c r="A10" t="s">
        <v>691</v>
      </c>
      <c r="B10" t="s">
        <v>692</v>
      </c>
      <c r="C10" t="s">
        <v>693</v>
      </c>
      <c r="D10" t="s">
        <v>762</v>
      </c>
      <c r="E10" t="s">
        <v>763</v>
      </c>
      <c r="F10" t="s">
        <v>764</v>
      </c>
      <c r="G10" t="s">
        <v>765</v>
      </c>
      <c r="H10" s="11">
        <f>SUMIFS('90_Trial_Balance'!D:D, '90_Trial_Balance'!A:A, A10)</f>
        <v>-40</v>
      </c>
      <c r="I10" s="11">
        <f>SUMIFS('90_Trial_Balance'!E:E, '90_Trial_Balance'!A:A, A10)</f>
        <v>-30</v>
      </c>
    </row>
    <row r="11" spans="1:9" x14ac:dyDescent="0.35">
      <c r="A11" t="s">
        <v>694</v>
      </c>
      <c r="B11" t="s">
        <v>695</v>
      </c>
      <c r="C11" t="s">
        <v>696</v>
      </c>
      <c r="D11" t="s">
        <v>766</v>
      </c>
      <c r="E11" t="s">
        <v>747</v>
      </c>
      <c r="F11" t="s">
        <v>767</v>
      </c>
      <c r="G11" t="s">
        <v>754</v>
      </c>
      <c r="H11" s="11">
        <f>SUMIFS('90_Trial_Balance'!D:D, '90_Trial_Balance'!A:A, A11)</f>
        <v>450</v>
      </c>
      <c r="I11" s="11">
        <f>SUMIFS('90_Trial_Balance'!E:E, '90_Trial_Balance'!A:A, A11)</f>
        <v>450</v>
      </c>
    </row>
    <row r="12" spans="1:9" x14ac:dyDescent="0.35">
      <c r="A12" t="s">
        <v>697</v>
      </c>
      <c r="B12" t="s">
        <v>301</v>
      </c>
      <c r="C12" t="s">
        <v>696</v>
      </c>
      <c r="D12" t="s">
        <v>766</v>
      </c>
      <c r="E12" t="s">
        <v>747</v>
      </c>
      <c r="F12" t="s">
        <v>767</v>
      </c>
      <c r="G12" t="s">
        <v>754</v>
      </c>
      <c r="H12" s="11">
        <f>SUMIFS('90_Trial_Balance'!D:D, '90_Trial_Balance'!A:A, A12)</f>
        <v>220</v>
      </c>
      <c r="I12" s="11">
        <f>SUMIFS('90_Trial_Balance'!E:E, '90_Trial_Balance'!A:A, A12)</f>
        <v>180</v>
      </c>
    </row>
    <row r="13" spans="1:9" x14ac:dyDescent="0.35">
      <c r="A13" t="s">
        <v>698</v>
      </c>
      <c r="B13" t="s">
        <v>699</v>
      </c>
      <c r="C13" t="s">
        <v>696</v>
      </c>
      <c r="D13" t="s">
        <v>768</v>
      </c>
      <c r="E13" t="s">
        <v>747</v>
      </c>
      <c r="F13" t="s">
        <v>769</v>
      </c>
      <c r="G13" t="s">
        <v>754</v>
      </c>
      <c r="H13" s="11">
        <f>SUMIFS('90_Trial_Balance'!D:D, '90_Trial_Balance'!A:A, A13)</f>
        <v>45</v>
      </c>
      <c r="I13" s="11">
        <f>SUMIFS('90_Trial_Balance'!E:E, '90_Trial_Balance'!A:A, A13)</f>
        <v>15</v>
      </c>
    </row>
    <row r="14" spans="1:9" x14ac:dyDescent="0.35">
      <c r="A14" t="s">
        <v>700</v>
      </c>
      <c r="B14" t="s">
        <v>701</v>
      </c>
      <c r="C14" t="s">
        <v>702</v>
      </c>
      <c r="D14" t="s">
        <v>152</v>
      </c>
      <c r="E14" t="s">
        <v>747</v>
      </c>
      <c r="F14" t="s">
        <v>770</v>
      </c>
      <c r="G14" t="s">
        <v>757</v>
      </c>
      <c r="H14" s="11">
        <f>SUMIFS('90_Trial_Balance'!D:D, '90_Trial_Balance'!A:A, A14)</f>
        <v>85</v>
      </c>
      <c r="I14" s="11">
        <f>SUMIFS('90_Trial_Balance'!E:E, '90_Trial_Balance'!A:A, A14)</f>
        <v>70</v>
      </c>
    </row>
    <row r="15" spans="1:9" x14ac:dyDescent="0.35">
      <c r="A15" t="s">
        <v>703</v>
      </c>
      <c r="B15" t="s">
        <v>704</v>
      </c>
      <c r="C15" t="s">
        <v>702</v>
      </c>
      <c r="D15" t="s">
        <v>152</v>
      </c>
      <c r="E15" t="s">
        <v>747</v>
      </c>
      <c r="F15" t="s">
        <v>770</v>
      </c>
      <c r="G15" t="s">
        <v>757</v>
      </c>
      <c r="H15" s="11">
        <f>SUMIFS('90_Trial_Balance'!D:D, '90_Trial_Balance'!A:A, A15)</f>
        <v>60</v>
      </c>
      <c r="I15" s="11">
        <f>SUMIFS('90_Trial_Balance'!E:E, '90_Trial_Balance'!A:A, A15)</f>
        <v>50</v>
      </c>
    </row>
    <row r="16" spans="1:9" x14ac:dyDescent="0.35">
      <c r="A16" t="s">
        <v>705</v>
      </c>
      <c r="B16" t="s">
        <v>706</v>
      </c>
      <c r="C16" t="s">
        <v>702</v>
      </c>
      <c r="D16" t="s">
        <v>771</v>
      </c>
      <c r="E16" t="s">
        <v>747</v>
      </c>
      <c r="F16" t="s">
        <v>772</v>
      </c>
      <c r="G16" t="s">
        <v>757</v>
      </c>
      <c r="H16" s="11">
        <f>SUMIFS('90_Trial_Balance'!D:D, '90_Trial_Balance'!A:A, A16)</f>
        <v>175</v>
      </c>
      <c r="I16" s="11">
        <f>SUMIFS('90_Trial_Balance'!E:E, '90_Trial_Balance'!A:A, A16)</f>
        <v>140</v>
      </c>
    </row>
    <row r="17" spans="1:9" x14ac:dyDescent="0.35">
      <c r="A17" t="s">
        <v>707</v>
      </c>
      <c r="B17" t="s">
        <v>708</v>
      </c>
      <c r="C17" t="s">
        <v>709</v>
      </c>
      <c r="D17" t="s">
        <v>773</v>
      </c>
      <c r="E17" t="s">
        <v>747</v>
      </c>
      <c r="F17" t="s">
        <v>774</v>
      </c>
      <c r="G17" t="s">
        <v>757</v>
      </c>
      <c r="H17" s="11">
        <f>SUMIFS('90_Trial_Balance'!D:D, '90_Trial_Balance'!A:A, A17)</f>
        <v>165</v>
      </c>
      <c r="I17" s="11">
        <f>SUMIFS('90_Trial_Balance'!E:E, '90_Trial_Balance'!A:A, A17)</f>
        <v>150</v>
      </c>
    </row>
    <row r="18" spans="1:9" x14ac:dyDescent="0.35">
      <c r="A18" t="s">
        <v>710</v>
      </c>
      <c r="B18" t="s">
        <v>711</v>
      </c>
      <c r="C18" t="s">
        <v>712</v>
      </c>
      <c r="D18" t="s">
        <v>773</v>
      </c>
      <c r="E18" t="s">
        <v>747</v>
      </c>
      <c r="F18" t="s">
        <v>774</v>
      </c>
      <c r="G18" t="s">
        <v>757</v>
      </c>
      <c r="H18" s="11">
        <f>SUMIFS('90_Trial_Balance'!D:D, '90_Trial_Balance'!A:A, A18)</f>
        <v>10</v>
      </c>
      <c r="I18" s="11">
        <f>SUMIFS('90_Trial_Balance'!E:E, '90_Trial_Balance'!A:A, A18)</f>
        <v>5</v>
      </c>
    </row>
    <row r="19" spans="1:9" x14ac:dyDescent="0.35">
      <c r="A19" t="s">
        <v>713</v>
      </c>
      <c r="B19" t="s">
        <v>714</v>
      </c>
      <c r="C19" t="s">
        <v>715</v>
      </c>
      <c r="D19" t="s">
        <v>775</v>
      </c>
      <c r="E19" t="s">
        <v>763</v>
      </c>
      <c r="F19" t="s">
        <v>776</v>
      </c>
      <c r="G19" t="s">
        <v>777</v>
      </c>
      <c r="H19" s="11">
        <f>SUMIFS('90_Trial_Balance'!D:D, '90_Trial_Balance'!A:A, A19)</f>
        <v>-850</v>
      </c>
      <c r="I19" s="11">
        <f>SUMIFS('90_Trial_Balance'!E:E, '90_Trial_Balance'!A:A, A19)</f>
        <v>-700</v>
      </c>
    </row>
    <row r="20" spans="1:9" x14ac:dyDescent="0.35">
      <c r="A20" t="s">
        <v>716</v>
      </c>
      <c r="B20" t="s">
        <v>717</v>
      </c>
      <c r="C20" t="s">
        <v>718</v>
      </c>
      <c r="D20" t="s">
        <v>778</v>
      </c>
      <c r="E20" t="s">
        <v>763</v>
      </c>
      <c r="F20" t="s">
        <v>779</v>
      </c>
      <c r="G20" t="s">
        <v>777</v>
      </c>
      <c r="H20" s="11">
        <f>SUMIFS('90_Trial_Balance'!D:D, '90_Trial_Balance'!A:A, A20)</f>
        <v>-15</v>
      </c>
      <c r="I20" s="11">
        <f>SUMIFS('90_Trial_Balance'!E:E, '90_Trial_Balance'!A:A, A20)</f>
        <v>-10</v>
      </c>
    </row>
    <row r="21" spans="1:9" x14ac:dyDescent="0.35">
      <c r="A21" t="s">
        <v>719</v>
      </c>
      <c r="B21" t="s">
        <v>720</v>
      </c>
      <c r="C21" t="s">
        <v>721</v>
      </c>
      <c r="D21" t="s">
        <v>780</v>
      </c>
      <c r="E21" t="s">
        <v>763</v>
      </c>
      <c r="F21" t="s">
        <v>781</v>
      </c>
      <c r="G21" t="s">
        <v>782</v>
      </c>
      <c r="H21" s="11">
        <f>SUMIFS('90_Trial_Balance'!D:D, '90_Trial_Balance'!A:A, A21)</f>
        <v>420</v>
      </c>
      <c r="I21" s="11">
        <f>SUMIFS('90_Trial_Balance'!E:E, '90_Trial_Balance'!A:A, A21)</f>
        <v>350</v>
      </c>
    </row>
    <row r="22" spans="1:9" x14ac:dyDescent="0.35">
      <c r="A22" t="s">
        <v>722</v>
      </c>
      <c r="B22" t="s">
        <v>723</v>
      </c>
      <c r="C22" t="s">
        <v>724</v>
      </c>
      <c r="D22" t="s">
        <v>783</v>
      </c>
      <c r="E22" t="s">
        <v>763</v>
      </c>
      <c r="F22" t="s">
        <v>784</v>
      </c>
      <c r="G22" t="s">
        <v>782</v>
      </c>
      <c r="H22" s="11">
        <f>SUMIFS('90_Trial_Balance'!D:D, '90_Trial_Balance'!A:A, A22)</f>
        <v>140</v>
      </c>
      <c r="I22" s="11">
        <f>SUMIFS('90_Trial_Balance'!E:E, '90_Trial_Balance'!A:A, A22)</f>
        <v>120</v>
      </c>
    </row>
    <row r="23" spans="1:9" x14ac:dyDescent="0.35">
      <c r="A23" t="s">
        <v>725</v>
      </c>
      <c r="B23" t="s">
        <v>726</v>
      </c>
      <c r="C23" t="s">
        <v>727</v>
      </c>
      <c r="D23" t="s">
        <v>785</v>
      </c>
      <c r="E23" t="s">
        <v>763</v>
      </c>
      <c r="F23" t="s">
        <v>786</v>
      </c>
      <c r="G23" t="s">
        <v>782</v>
      </c>
      <c r="H23" s="11">
        <f>SUMIFS('90_Trial_Balance'!D:D, '90_Trial_Balance'!A:A, A23)</f>
        <v>32</v>
      </c>
      <c r="I23" s="11">
        <f>SUMIFS('90_Trial_Balance'!E:E, '90_Trial_Balance'!A:A, A23)</f>
        <v>38</v>
      </c>
    </row>
    <row r="24" spans="1:9" x14ac:dyDescent="0.35">
      <c r="A24" t="s">
        <v>728</v>
      </c>
      <c r="B24" t="s">
        <v>729</v>
      </c>
      <c r="C24" t="s">
        <v>730</v>
      </c>
      <c r="D24" t="s">
        <v>787</v>
      </c>
      <c r="E24" t="s">
        <v>763</v>
      </c>
      <c r="F24" t="s">
        <v>788</v>
      </c>
      <c r="G24" t="s">
        <v>782</v>
      </c>
      <c r="H24" s="11">
        <f>SUMIFS('90_Trial_Balance'!D:D, '90_Trial_Balance'!A:A, A24)</f>
        <v>28</v>
      </c>
      <c r="I24" s="11">
        <f>SUMIFS('90_Trial_Balance'!E:E, '90_Trial_Balance'!A:A, A24)</f>
        <v>25</v>
      </c>
    </row>
    <row r="25" spans="1:9" x14ac:dyDescent="0.35">
      <c r="A25" t="s">
        <v>731</v>
      </c>
      <c r="B25" t="s">
        <v>732</v>
      </c>
      <c r="C25" t="s">
        <v>733</v>
      </c>
      <c r="D25" t="s">
        <v>789</v>
      </c>
      <c r="E25" t="s">
        <v>763</v>
      </c>
      <c r="F25" t="s">
        <v>790</v>
      </c>
      <c r="G25" t="s">
        <v>782</v>
      </c>
      <c r="H25" s="11">
        <f>SUMIFS('90_Trial_Balance'!D:D, '90_Trial_Balance'!A:A, A25)</f>
        <v>45</v>
      </c>
      <c r="I25" s="11">
        <f>SUMIFS('90_Trial_Balance'!E:E, '90_Trial_Balance'!A:A, A25)</f>
        <v>32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6"/>
  <sheetViews>
    <sheetView workbookViewId="0"/>
  </sheetViews>
  <sheetFormatPr defaultRowHeight="14.5" x14ac:dyDescent="0.35"/>
  <sheetData>
    <row r="1" spans="1:5" ht="24" customHeight="1" x14ac:dyDescent="0.35">
      <c r="A1" s="4" t="s">
        <v>791</v>
      </c>
      <c r="B1" s="4" t="s">
        <v>792</v>
      </c>
      <c r="C1" s="4" t="s">
        <v>667</v>
      </c>
      <c r="D1" s="4" t="s">
        <v>668</v>
      </c>
      <c r="E1" s="4" t="s">
        <v>793</v>
      </c>
    </row>
    <row r="2" spans="1:5" x14ac:dyDescent="0.35">
      <c r="A2" t="s">
        <v>794</v>
      </c>
      <c r="B2" t="s">
        <v>795</v>
      </c>
      <c r="C2" s="11">
        <f>-TOT_Tax</f>
        <v>-40</v>
      </c>
      <c r="D2" s="11">
        <f>-TOT_Tax_PY</f>
        <v>-30</v>
      </c>
      <c r="E2" t="s">
        <v>796</v>
      </c>
    </row>
    <row r="3" spans="1:5" x14ac:dyDescent="0.35">
      <c r="A3" t="s">
        <v>797</v>
      </c>
      <c r="B3" t="s">
        <v>798</v>
      </c>
      <c r="C3" s="11">
        <v>0</v>
      </c>
      <c r="D3" s="11">
        <v>0</v>
      </c>
      <c r="E3" t="s">
        <v>799</v>
      </c>
    </row>
    <row r="4" spans="1:5" x14ac:dyDescent="0.35">
      <c r="A4" t="s">
        <v>800</v>
      </c>
      <c r="B4" t="s">
        <v>801</v>
      </c>
      <c r="C4" s="11">
        <f>-TOT_Finance</f>
        <v>-32</v>
      </c>
      <c r="D4" s="11">
        <f>-TOT_Finance_PY</f>
        <v>-38</v>
      </c>
      <c r="E4" t="s">
        <v>799</v>
      </c>
    </row>
    <row r="5" spans="1:5" x14ac:dyDescent="0.35">
      <c r="A5" t="s">
        <v>802</v>
      </c>
      <c r="B5" t="s">
        <v>803</v>
      </c>
      <c r="C5" s="11">
        <f>TOT_InterestIncome</f>
        <v>10.5</v>
      </c>
      <c r="D5" s="11">
        <f>TOT_InterestIncome_PY</f>
        <v>7</v>
      </c>
      <c r="E5" t="s">
        <v>804</v>
      </c>
    </row>
    <row r="6" spans="1:5" x14ac:dyDescent="0.35">
      <c r="A6" t="s">
        <v>805</v>
      </c>
      <c r="B6" t="s">
        <v>806</v>
      </c>
      <c r="C6" s="11">
        <f>-((TOT_PPE+TOT_CWIP)-(TOT_PPE_PY+TOT_CWIP_PY)+TOT_Depreciation)</f>
        <v>-79.529999999999973</v>
      </c>
      <c r="D6" s="11">
        <v>0</v>
      </c>
      <c r="E6" t="s">
        <v>804</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5"/>
  <sheetViews>
    <sheetView workbookViewId="0"/>
  </sheetViews>
  <sheetFormatPr defaultRowHeight="14.5" x14ac:dyDescent="0.35"/>
  <sheetData>
    <row r="1" spans="1:6" ht="24" customHeight="1" x14ac:dyDescent="0.35">
      <c r="A1" s="4" t="s">
        <v>807</v>
      </c>
      <c r="B1" s="4" t="s">
        <v>808</v>
      </c>
      <c r="C1" s="4" t="s">
        <v>809</v>
      </c>
      <c r="D1" s="4" t="s">
        <v>810</v>
      </c>
      <c r="E1" s="4" t="s">
        <v>811</v>
      </c>
      <c r="F1" s="4" t="s">
        <v>812</v>
      </c>
    </row>
    <row r="2" spans="1:6" ht="15" x14ac:dyDescent="0.4">
      <c r="A2" t="s">
        <v>813</v>
      </c>
      <c r="B2" t="s">
        <v>814</v>
      </c>
      <c r="C2" t="s">
        <v>212</v>
      </c>
      <c r="D2">
        <f>'02_Balance_Sheet'!C37-'02_Balance_Sheet'!C21</f>
        <v>-575.25</v>
      </c>
      <c r="E2" s="11">
        <f>D2-C2</f>
        <v>-575.25</v>
      </c>
      <c r="F2" s="31" t="str">
        <f>IF(ABS(E2)&lt;0.01, "TALLIED (PASSED)", "REVIEW REQUIRED")</f>
        <v>REVIEW REQUIRED</v>
      </c>
    </row>
    <row r="3" spans="1:6" ht="15" x14ac:dyDescent="0.4">
      <c r="A3" t="s">
        <v>815</v>
      </c>
      <c r="B3" t="s">
        <v>816</v>
      </c>
      <c r="C3" t="s">
        <v>212</v>
      </c>
      <c r="D3">
        <f>TOT_ShareCapital-SUMIFS('91_Mapping'!H:H, '91_Mapping'!F:F, "1.1")</f>
        <v>200</v>
      </c>
      <c r="E3" s="11">
        <f>D3-C3</f>
        <v>200</v>
      </c>
      <c r="F3" s="31" t="str">
        <f>IF(ABS(E3)&lt;0.01, "TALLIED (PASSED)", "REVIEW REQUIRED")</f>
        <v>REVIEW REQUIRED</v>
      </c>
    </row>
    <row r="4" spans="1:6" ht="15" x14ac:dyDescent="0.4">
      <c r="A4" t="s">
        <v>817</v>
      </c>
      <c r="B4" t="s">
        <v>818</v>
      </c>
      <c r="C4" t="s">
        <v>212</v>
      </c>
      <c r="D4">
        <f>'04_Cash_Flow_Statement'!B38-'02_Balance_Sheet'!C33</f>
        <v>-1641.53</v>
      </c>
      <c r="E4" s="11">
        <f>D4-C4</f>
        <v>-1641.53</v>
      </c>
      <c r="F4" s="31" t="str">
        <f>IF(ABS(E4)&lt;0.01, "TALLIED (PASSED)", "REVIEW REQUIRED")</f>
        <v>REVIEW REQUIRED</v>
      </c>
    </row>
    <row r="5" spans="1:6" ht="15" x14ac:dyDescent="0.4">
      <c r="A5" t="s">
        <v>819</v>
      </c>
      <c r="B5" t="s">
        <v>820</v>
      </c>
      <c r="C5" t="s">
        <v>212</v>
      </c>
      <c r="D5">
        <f>'03_Profit_and_Loss'!C16-'04_Cash_Flow_Statement'!B7</f>
        <v>0</v>
      </c>
      <c r="E5" s="11">
        <f>D5-C5</f>
        <v>0</v>
      </c>
      <c r="F5" s="31" t="str">
        <f>IF(ABS(E5)&lt;0.01, "TALLIED (PASSED)", "REVIEW REQUIRED")</f>
        <v>TALLIED (PASSED)</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0"/>
  <sheetViews>
    <sheetView workbookViewId="0"/>
  </sheetViews>
  <sheetFormatPr defaultRowHeight="14.5" x14ac:dyDescent="0.35"/>
  <sheetData>
    <row r="1" spans="1:6" ht="24" customHeight="1" x14ac:dyDescent="0.35">
      <c r="A1" s="4" t="s">
        <v>741</v>
      </c>
      <c r="B1" s="4" t="s">
        <v>821</v>
      </c>
      <c r="C1" s="4" t="s">
        <v>822</v>
      </c>
      <c r="D1" s="4" t="s">
        <v>823</v>
      </c>
      <c r="E1" s="4" t="s">
        <v>824</v>
      </c>
      <c r="F1" s="4" t="s">
        <v>825</v>
      </c>
    </row>
    <row r="2" spans="1:6" x14ac:dyDescent="0.35">
      <c r="A2" t="s">
        <v>747</v>
      </c>
      <c r="B2" t="s">
        <v>746</v>
      </c>
      <c r="C2" t="s">
        <v>826</v>
      </c>
      <c r="D2" t="s">
        <v>827</v>
      </c>
      <c r="E2">
        <f>-TOT_ShareCapital</f>
        <v>-100</v>
      </c>
      <c r="F2" t="s">
        <v>828</v>
      </c>
    </row>
    <row r="3" spans="1:6" x14ac:dyDescent="0.35">
      <c r="A3" t="s">
        <v>747</v>
      </c>
      <c r="B3" t="s">
        <v>675</v>
      </c>
      <c r="C3" t="s">
        <v>829</v>
      </c>
      <c r="D3" t="s">
        <v>830</v>
      </c>
      <c r="E3">
        <f>-TOT_Reserves</f>
        <v>2505</v>
      </c>
      <c r="F3" t="s">
        <v>831</v>
      </c>
    </row>
    <row r="4" spans="1:6" x14ac:dyDescent="0.35">
      <c r="A4" t="s">
        <v>747</v>
      </c>
      <c r="B4" t="s">
        <v>832</v>
      </c>
      <c r="C4" t="s">
        <v>833</v>
      </c>
      <c r="D4" t="s">
        <v>834</v>
      </c>
      <c r="E4">
        <f>TOT_PPE</f>
        <v>749.75</v>
      </c>
      <c r="F4" t="s">
        <v>835</v>
      </c>
    </row>
    <row r="5" spans="1:6" x14ac:dyDescent="0.35">
      <c r="A5" t="s">
        <v>747</v>
      </c>
      <c r="B5" t="s">
        <v>771</v>
      </c>
      <c r="C5" t="s">
        <v>836</v>
      </c>
      <c r="D5" t="s">
        <v>837</v>
      </c>
      <c r="E5">
        <f>TOT_Receivables</f>
        <v>175</v>
      </c>
      <c r="F5" t="s">
        <v>838</v>
      </c>
    </row>
    <row r="6" spans="1:6" x14ac:dyDescent="0.35">
      <c r="A6" t="s">
        <v>747</v>
      </c>
      <c r="B6" t="s">
        <v>839</v>
      </c>
      <c r="C6" t="s">
        <v>840</v>
      </c>
      <c r="D6" t="s">
        <v>841</v>
      </c>
      <c r="E6">
        <f>TOT_Cash</f>
        <v>175</v>
      </c>
      <c r="F6" t="s">
        <v>842</v>
      </c>
    </row>
    <row r="7" spans="1:6" x14ac:dyDescent="0.35">
      <c r="A7" t="s">
        <v>843</v>
      </c>
      <c r="B7" t="s">
        <v>775</v>
      </c>
      <c r="C7" t="s">
        <v>844</v>
      </c>
      <c r="D7" t="s">
        <v>845</v>
      </c>
      <c r="E7">
        <f>-TOT_Revenue</f>
        <v>-850</v>
      </c>
      <c r="F7" t="s">
        <v>846</v>
      </c>
    </row>
    <row r="8" spans="1:6" x14ac:dyDescent="0.35">
      <c r="A8" t="s">
        <v>843</v>
      </c>
      <c r="B8" t="s">
        <v>847</v>
      </c>
      <c r="C8" t="s">
        <v>848</v>
      </c>
      <c r="D8" t="s">
        <v>849</v>
      </c>
      <c r="E8">
        <f>TOT_Depreciation</f>
        <v>28</v>
      </c>
      <c r="F8" t="s">
        <v>850</v>
      </c>
    </row>
    <row r="9" spans="1:6" x14ac:dyDescent="0.35">
      <c r="A9" t="s">
        <v>851</v>
      </c>
      <c r="B9" t="s">
        <v>852</v>
      </c>
      <c r="C9" t="s">
        <v>853</v>
      </c>
      <c r="D9" t="s">
        <v>854</v>
      </c>
      <c r="E9">
        <f>'03_Profit_and_Loss'!C16</f>
        <v>-1530</v>
      </c>
      <c r="F9" t="s">
        <v>855</v>
      </c>
    </row>
    <row r="10" spans="1:6" x14ac:dyDescent="0.35">
      <c r="A10" t="s">
        <v>851</v>
      </c>
      <c r="B10" t="s">
        <v>856</v>
      </c>
      <c r="C10" t="s">
        <v>840</v>
      </c>
      <c r="D10" t="s">
        <v>857</v>
      </c>
      <c r="E10">
        <f>TOT_CashEquiv</f>
        <v>175</v>
      </c>
      <c r="F10"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58</vt:i4>
      </vt:variant>
    </vt:vector>
  </HeadingPairs>
  <TitlesOfParts>
    <vt:vector size="97" baseType="lpstr">
      <vt:lpstr>01_Cover_Page</vt:lpstr>
      <vt:lpstr>02_Balance_Sheet</vt:lpstr>
      <vt:lpstr>03_Profit_and_Loss</vt:lpstr>
      <vt:lpstr>04_Cash_Flow_Statement</vt:lpstr>
      <vt:lpstr>05_Accounting_Policies</vt:lpstr>
      <vt:lpstr>06_Notes_to_Accounts</vt:lpstr>
      <vt:lpstr>Note_1_1_ShareCapital</vt:lpstr>
      <vt:lpstr>Note_1_2_Reserves</vt:lpstr>
      <vt:lpstr>Note_2_1_LTBorrow</vt:lpstr>
      <vt:lpstr>Note_2_2_LTProv</vt:lpstr>
      <vt:lpstr>Note_3_1_STBorrow</vt:lpstr>
      <vt:lpstr>Note_3_2_TradePayables</vt:lpstr>
      <vt:lpstr>Note_3_3_OtherCL</vt:lpstr>
      <vt:lpstr>Note_3_4_STProv</vt:lpstr>
      <vt:lpstr>Note_4_1_PPE</vt:lpstr>
      <vt:lpstr>Note_4_2_CWIP</vt:lpstr>
      <vt:lpstr>Note_4_3_Investments</vt:lpstr>
      <vt:lpstr>Note_4_4_LTLA</vt:lpstr>
      <vt:lpstr>Note_5_1_Inventories</vt:lpstr>
      <vt:lpstr>Note_5_2_Receivables</vt:lpstr>
      <vt:lpstr>Note_5_3_CashBank</vt:lpstr>
      <vt:lpstr>Note_5_4_STLA</vt:lpstr>
      <vt:lpstr>Note_5_5_OtherCA</vt:lpstr>
      <vt:lpstr>Note_6_1_Revenue</vt:lpstr>
      <vt:lpstr>Note_6_2_OtherIncome</vt:lpstr>
      <vt:lpstr>Note_7_1_Material</vt:lpstr>
      <vt:lpstr>Note_7_2_Employee</vt:lpstr>
      <vt:lpstr>Note_7_3_Finance</vt:lpstr>
      <vt:lpstr>Note_7_4_Depreciation</vt:lpstr>
      <vt:lpstr>Note_7_5_OtherExp</vt:lpstr>
      <vt:lpstr>Note_7_6_Tax</vt:lpstr>
      <vt:lpstr>Note_8_1_RPT</vt:lpstr>
      <vt:lpstr>Note_8_2_Contingencies</vt:lpstr>
      <vt:lpstr>07_Financial_Ratios</vt:lpstr>
      <vt:lpstr>90_Trial_Balance</vt:lpstr>
      <vt:lpstr>91_Mapping</vt:lpstr>
      <vt:lpstr>29_Cash_Flow_Adjustments</vt:lpstr>
      <vt:lpstr>98_Tie_Out</vt:lpstr>
      <vt:lpstr>99_Formula_Audit</vt:lpstr>
      <vt:lpstr>TOT_Cash</vt:lpstr>
      <vt:lpstr>TOT_Cash_PY</vt:lpstr>
      <vt:lpstr>TOT_CashEquiv</vt:lpstr>
      <vt:lpstr>TOT_CashEquiv_PY</vt:lpstr>
      <vt:lpstr>TOT_Contingencies</vt:lpstr>
      <vt:lpstr>TOT_Contingencies_PY</vt:lpstr>
      <vt:lpstr>TOT_CWIP</vt:lpstr>
      <vt:lpstr>TOT_CWIP_PY</vt:lpstr>
      <vt:lpstr>TOT_Depreciation</vt:lpstr>
      <vt:lpstr>TOT_Depreciation_PY</vt:lpstr>
      <vt:lpstr>TOT_Employee</vt:lpstr>
      <vt:lpstr>TOT_Employee_PY</vt:lpstr>
      <vt:lpstr>TOT_Finance</vt:lpstr>
      <vt:lpstr>TOT_Finance_PY</vt:lpstr>
      <vt:lpstr>TOT_InterestIncome</vt:lpstr>
      <vt:lpstr>TOT_InterestIncome_PY</vt:lpstr>
      <vt:lpstr>TOT_Inventory</vt:lpstr>
      <vt:lpstr>TOT_Inventory_PY</vt:lpstr>
      <vt:lpstr>TOT_Investments</vt:lpstr>
      <vt:lpstr>TOT_Investments_PY</vt:lpstr>
      <vt:lpstr>TOT_LTBorrow</vt:lpstr>
      <vt:lpstr>TOT_LTBorrow_PY</vt:lpstr>
      <vt:lpstr>TOT_LTLA</vt:lpstr>
      <vt:lpstr>TOT_LTLA_PY</vt:lpstr>
      <vt:lpstr>TOT_LTProv</vt:lpstr>
      <vt:lpstr>TOT_LTProv_PY</vt:lpstr>
      <vt:lpstr>TOT_Material</vt:lpstr>
      <vt:lpstr>TOT_Material_PY</vt:lpstr>
      <vt:lpstr>TOT_OtherCA</vt:lpstr>
      <vt:lpstr>TOT_OtherCA_PY</vt:lpstr>
      <vt:lpstr>TOT_OtherCL</vt:lpstr>
      <vt:lpstr>TOT_OtherCL_PY</vt:lpstr>
      <vt:lpstr>TOT_OtherExp</vt:lpstr>
      <vt:lpstr>TOT_OtherExp_PY</vt:lpstr>
      <vt:lpstr>TOT_OtherIncome</vt:lpstr>
      <vt:lpstr>TOT_OtherIncome_PY</vt:lpstr>
      <vt:lpstr>TOT_Payables</vt:lpstr>
      <vt:lpstr>TOT_Payables_PY</vt:lpstr>
      <vt:lpstr>TOT_PPE</vt:lpstr>
      <vt:lpstr>TOT_PPE_PY</vt:lpstr>
      <vt:lpstr>TOT_Receivables</vt:lpstr>
      <vt:lpstr>TOT_Receivables_PY</vt:lpstr>
      <vt:lpstr>TOT_Reserves</vt:lpstr>
      <vt:lpstr>TOT_Reserves_PY</vt:lpstr>
      <vt:lpstr>TOT_Revenue</vt:lpstr>
      <vt:lpstr>TOT_Revenue_PY</vt:lpstr>
      <vt:lpstr>TOT_RPT</vt:lpstr>
      <vt:lpstr>TOT_RPT_PY</vt:lpstr>
      <vt:lpstr>TOT_ShareCapital</vt:lpstr>
      <vt:lpstr>TOT_ShareCapital_PY</vt:lpstr>
      <vt:lpstr>TOT_STBorrow</vt:lpstr>
      <vt:lpstr>TOT_STBorrow_PY</vt:lpstr>
      <vt:lpstr>TOT_STLA</vt:lpstr>
      <vt:lpstr>TOT_STLA_PY</vt:lpstr>
      <vt:lpstr>TOT_STProv</vt:lpstr>
      <vt:lpstr>TOT_STProv_PY</vt:lpstr>
      <vt:lpstr>TOT_Tax</vt:lpstr>
      <vt:lpstr>TOT_Tax_PY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Kumar</cp:lastModifiedBy>
  <dcterms:created xsi:type="dcterms:W3CDTF">2026-08-15T05:18:34Z</dcterms:created>
  <dcterms:modified xsi:type="dcterms:W3CDTF">2026-08-15T05:18:36Z</dcterms:modified>
</cp:coreProperties>
</file>