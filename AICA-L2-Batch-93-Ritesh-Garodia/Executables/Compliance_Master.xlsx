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Users" sheetId="2" state="visible" r:id="rId4"/>
    <sheet name="Task Templates" sheetId="3" state="visible" r:id="rId5"/>
    <sheet name="Task Instances" sheetId="4" state="visible" r:id="rId6"/>
    <sheet name="Trial Balance" sheetId="5" state="visible" r:id="rId7"/>
    <sheet name="Variance Repor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<sst xmlns="http://schemas.openxmlformats.org/spreadsheetml/2006/main" count="1727" uniqueCount="364">
  <si>
    <t xml:space="preserve">Tax &amp; Labour-Code Compliance Tracker</t>
  </si>
  <si>
    <t xml:space="preserve">ICAI AICA Level 2 Capstone Project</t>
  </si>
  <si>
    <t xml:space="preserve">What this workbook is</t>
  </si>
  <si>
    <t xml:space="preserve">A single source of truth for every recurring tax / GST / labour-code compliance,</t>
  </si>
  <si>
    <t xml:space="preserve">who owns it, when it is due, and whether it has been paid &amp; completed.</t>
  </si>
  <si>
    <t xml:space="preserve">An n8n workflow reads the 'Task Instances' sheet daily to send escalating reminder emails,</t>
  </si>
  <si>
    <t xml:space="preserve">a dashboard reads it to show Due / Completed / Overdue by department, and a month-end</t>
  </si>
  <si>
    <t xml:space="preserve">script reads it to generate a PDF report and compare payments against the Trial Balance.</t>
  </si>
  <si>
    <t xml:space="preserve">Sheet guide</t>
  </si>
  <si>
    <t xml:space="preserve">Task Templates</t>
  </si>
  <si>
    <t xml:space="preserve">The master catalogue of compliance TYPES (e.g. 'GSTR-3B'). Add a new row here</t>
  </si>
  <si>
    <t xml:space="preserve">any time a new compliance needs to be tracked - this is how you 'keep adding to the list'.</t>
  </si>
  <si>
    <t xml:space="preserve">Mark Active = Y and re-run generate_instances.py (or the n8n 'Regenerate Instances' workflow)</t>
  </si>
  <si>
    <t xml:space="preserve">to create actual due-date rows in Task Instances for the current financial year.</t>
  </si>
  <si>
    <t xml:space="preserve">Users</t>
  </si>
  <si>
    <t xml:space="preserve">Directory of users, their supervisor and department HOD, with email addresses.</t>
  </si>
  <si>
    <t xml:space="preserve">REPLACE the placeholder names/emails (yellow) with your real team before going live.</t>
  </si>
  <si>
    <t xml:space="preserve">Task Instances</t>
  </si>
  <si>
    <t xml:space="preserve">One row per actual due date in the FY. This is the live working sheet:</t>
  </si>
  <si>
    <t xml:space="preserve">the user keys in Amount Paid, Payment Date, and ticks Task Complete when done.</t>
  </si>
  <si>
    <t xml:space="preserve">Status, Days To Due and Reminder Stage are formulas - do not overtype them.</t>
  </si>
  <si>
    <t xml:space="preserve">Trial Balance</t>
  </si>
  <si>
    <t xml:space="preserve">Paste/upload the monthly trial balance (GL Code, GL Name, Balance, Period).</t>
  </si>
  <si>
    <t xml:space="preserve">Variance Report</t>
  </si>
  <si>
    <t xml:space="preserve">Auto-compares actual tax paid (from Task Instances) to the Trial Balance</t>
  </si>
  <si>
    <t xml:space="preserve">GL balance for the same GL code &amp; period, and flags any difference.</t>
  </si>
  <si>
    <t xml:space="preserve">Due Pattern syntax (Task Templates column E)</t>
  </si>
  <si>
    <t xml:space="preserve">M:d</t>
  </si>
  <si>
    <t xml:space="preserve">Monthly, due on day d of every month, e.g. M:7 = 7th of every month</t>
  </si>
  <si>
    <t xml:space="preserve">Q:d@m1,m2,m3,m4</t>
  </si>
  <si>
    <t xml:space="preserve">Quarterly, due on day d in the given 4 months, e.g. Q:15@5,7,10,1</t>
  </si>
  <si>
    <t xml:space="preserve">H:d1@m1;d2@m2</t>
  </si>
  <si>
    <t xml:space="preserve">Half-yearly, different day/month pairs, e.g. H:30@4;31@10</t>
  </si>
  <si>
    <t xml:space="preserve">A:d@m</t>
  </si>
  <si>
    <t xml:space="preserve">Annual, due on day d of month m, e.g. A:31@10 = 31 October</t>
  </si>
  <si>
    <t xml:space="preserve">Months are calendar month numbers (1=Jan...12=Dec). The FY used is Apr-Mar; a month</t>
  </si>
  <si>
    <t xml:space="preserve">of 1-3 (Jan-Mar) is placed in the following calendar year automatically.</t>
  </si>
  <si>
    <t xml:space="preserve">Reminder / escalation logic (implemented in the n8n workflow)</t>
  </si>
  <si>
    <t xml:space="preserve">Stage 1</t>
  </si>
  <si>
    <t xml:space="preserve">Due date - 2 days: email to the assigned User only.</t>
  </si>
  <si>
    <t xml:space="preserve">Stage 2</t>
  </si>
  <si>
    <t xml:space="preserve">Due date - 1 day, if not yet paid/completed: email to User, CC Supervisor.</t>
  </si>
  <si>
    <t xml:space="preserve">Stage 3</t>
  </si>
  <si>
    <t xml:space="preserve">On the due date, if still not paid/completed: email to User, Supervisor and HOD,</t>
  </si>
  <si>
    <t xml:space="preserve">and repeated every day thereafter until Amount Paid is filled AND Task Complete = Y.</t>
  </si>
  <si>
    <t xml:space="preserve">Frequency of the whole cycle (monthly/quarterly/annual) is taken automatically from</t>
  </si>
  <si>
    <t xml:space="preserve">the Periodicity of the task in Task Templates / Task Instances.</t>
  </si>
  <si>
    <t xml:space="preserve">Name</t>
  </si>
  <si>
    <t xml:space="preserve">Email</t>
  </si>
  <si>
    <t xml:space="preserve">Department</t>
  </si>
  <si>
    <t xml:space="preserve">Role</t>
  </si>
  <si>
    <t xml:space="preserve">Reports To (Email)</t>
  </si>
  <si>
    <t xml:space="preserve">Ritesh Garodia</t>
  </si>
  <si>
    <t xml:space="preserve">riteshgarodia@yahoo.com</t>
  </si>
  <si>
    <t xml:space="preserve">Direct Tax</t>
  </si>
  <si>
    <t xml:space="preserve">User</t>
  </si>
  <si>
    <t xml:space="preserve">garodia1.ritesh@gmail.com</t>
  </si>
  <si>
    <t xml:space="preserve">GST</t>
  </si>
  <si>
    <t xml:space="preserve">Payroll</t>
  </si>
  <si>
    <t xml:space="preserve">All</t>
  </si>
  <si>
    <t xml:space="preserve">Supervisor</t>
  </si>
  <si>
    <t xml:space="preserve">HOD</t>
  </si>
  <si>
    <t xml:space="preserve">Demo setup: only the account holder's own two email addresses are used across all roles (User = riteshgarodia@yahoo.com, Supervisor/HOD = garodia1.ritesh@gmail.com). Replace with real team emails when this moves from demo to production.</t>
  </si>
  <si>
    <t xml:space="preserve">Task ID</t>
  </si>
  <si>
    <t xml:space="preserve">Compliance Name</t>
  </si>
  <si>
    <t xml:space="preserve">Periodicity</t>
  </si>
  <si>
    <t xml:space="preserve">Due Pattern</t>
  </si>
  <si>
    <t xml:space="preserve">GL Code</t>
  </si>
  <si>
    <t xml:space="preserve">Assigned User Email</t>
  </si>
  <si>
    <t xml:space="preserve">Supervisor Email</t>
  </si>
  <si>
    <t xml:space="preserve">Active (Y/N)</t>
  </si>
  <si>
    <t xml:space="preserve">Notes</t>
  </si>
  <si>
    <t xml:space="preserve">&lt;-- Add new compliance items below the last row. Set Active = Y, then re-run generate_instances.py to create this FY's due dates for it.</t>
  </si>
  <si>
    <t xml:space="preserve">DT-01</t>
  </si>
  <si>
    <t xml:space="preserve">TDS/TCS Payment (Monthly)</t>
  </si>
  <si>
    <t xml:space="preserve">Monthly</t>
  </si>
  <si>
    <t xml:space="preserve">M:7</t>
  </si>
  <si>
    <t xml:space="preserve">TDS-PAY</t>
  </si>
  <si>
    <t xml:space="preserve">Y</t>
  </si>
  <si>
    <t xml:space="preserve">Source file</t>
  </si>
  <si>
    <t xml:space="preserve">DT-02</t>
  </si>
  <si>
    <t xml:space="preserve">TCS Return (Quarterly)</t>
  </si>
  <si>
    <t xml:space="preserve">Quarterly</t>
  </si>
  <si>
    <t xml:space="preserve">Q:15@5,7,10,1</t>
  </si>
  <si>
    <t xml:space="preserve">TCS-RET</t>
  </si>
  <si>
    <t xml:space="preserve">DT-03</t>
  </si>
  <si>
    <t xml:space="preserve">TDS Return (Quarterly)</t>
  </si>
  <si>
    <t xml:space="preserve">Q:31@5,7,10,1</t>
  </si>
  <si>
    <t xml:space="preserve">TDS-RET</t>
  </si>
  <si>
    <t xml:space="preserve">DT-04</t>
  </si>
  <si>
    <t xml:space="preserve">Form 61/62 (Half-Yearly)</t>
  </si>
  <si>
    <t xml:space="preserve">Half-Yearly</t>
  </si>
  <si>
    <t xml:space="preserve">H:30@4;31@10</t>
  </si>
  <si>
    <t xml:space="preserve">F61-62</t>
  </si>
  <si>
    <t xml:space="preserve">DT-05</t>
  </si>
  <si>
    <t xml:space="preserve">Tax Audit</t>
  </si>
  <si>
    <t xml:space="preserve">Annual</t>
  </si>
  <si>
    <t xml:space="preserve">A:31@10</t>
  </si>
  <si>
    <t xml:space="preserve">TAX-AUD</t>
  </si>
  <si>
    <t xml:space="preserve">Source file: 'Tax Audit- MMFSL'</t>
  </si>
  <si>
    <t xml:space="preserve">DT-06</t>
  </si>
  <si>
    <t xml:space="preserve">Form 3CEB</t>
  </si>
  <si>
    <t xml:space="preserve">F3CEB</t>
  </si>
  <si>
    <t xml:space="preserve">DT-07</t>
  </si>
  <si>
    <t xml:space="preserve">Income Tax Return</t>
  </si>
  <si>
    <t xml:space="preserve">A:30@11</t>
  </si>
  <si>
    <t xml:space="preserve">ITR</t>
  </si>
  <si>
    <t xml:space="preserve">DT-08</t>
  </si>
  <si>
    <t xml:space="preserve">Form 67 - FTC (if any)</t>
  </si>
  <si>
    <t xml:space="preserve">F67-FTC</t>
  </si>
  <si>
    <t xml:space="preserve">DT-09</t>
  </si>
  <si>
    <t xml:space="preserve">Issue of TDS/TCS Certificate</t>
  </si>
  <si>
    <t xml:space="preserve">TDS-CERT</t>
  </si>
  <si>
    <t xml:space="preserve">DT-10</t>
  </si>
  <si>
    <t xml:space="preserve">SFT Return - 61B</t>
  </si>
  <si>
    <t xml:space="preserve">A:31@5</t>
  </si>
  <si>
    <t xml:space="preserve">SFT61B</t>
  </si>
  <si>
    <t xml:space="preserve">DT-11</t>
  </si>
  <si>
    <t xml:space="preserve">FATCA/CRS Compliance</t>
  </si>
  <si>
    <t xml:space="preserve">FATCA</t>
  </si>
  <si>
    <t xml:space="preserve">DT-12</t>
  </si>
  <si>
    <t xml:space="preserve">Advance Tax Payment</t>
  </si>
  <si>
    <t xml:space="preserve">Q:15@6,9,12,3</t>
  </si>
  <si>
    <t xml:space="preserve">ADV-TAX</t>
  </si>
  <si>
    <t xml:space="preserve">DT-13</t>
  </si>
  <si>
    <t xml:space="preserve">CSR Audit / Return</t>
  </si>
  <si>
    <t xml:space="preserve">CSR</t>
  </si>
  <si>
    <t xml:space="preserve">DT-14</t>
  </si>
  <si>
    <t xml:space="preserve">Superannuation Trust / Gratuity / ESOP Return</t>
  </si>
  <si>
    <t xml:space="preserve">A:31@7</t>
  </si>
  <si>
    <t xml:space="preserve">SUPANN</t>
  </si>
  <si>
    <t xml:space="preserve">GST-01</t>
  </si>
  <si>
    <t xml:space="preserve">GSTR-1 (Monthly)</t>
  </si>
  <si>
    <t xml:space="preserve">M:11</t>
  </si>
  <si>
    <t xml:space="preserve">GSTR1</t>
  </si>
  <si>
    <t xml:space="preserve">GST-02</t>
  </si>
  <si>
    <t xml:space="preserve">GSTR-3B (Monthly)</t>
  </si>
  <si>
    <t xml:space="preserve">M:20</t>
  </si>
  <si>
    <t xml:space="preserve">GSTR3B</t>
  </si>
  <si>
    <t xml:space="preserve">GST-03</t>
  </si>
  <si>
    <t xml:space="preserve">GSTR-9/9C (Annual Return + Recon.)</t>
  </si>
  <si>
    <t xml:space="preserve">A:31@12</t>
  </si>
  <si>
    <t xml:space="preserve">GSTR9</t>
  </si>
  <si>
    <t xml:space="preserve">GST-04</t>
  </si>
  <si>
    <t xml:space="preserve">GST 2B Reconciliation (FY 2025-26)</t>
  </si>
  <si>
    <t xml:space="preserve">A:20@11</t>
  </si>
  <si>
    <t xml:space="preserve">GST2B</t>
  </si>
  <si>
    <t xml:space="preserve">GST-05</t>
  </si>
  <si>
    <t xml:space="preserve">GSTR-6 ISD Return (Monthly)</t>
  </si>
  <si>
    <t xml:space="preserve">M:13</t>
  </si>
  <si>
    <t xml:space="preserve">GSTR6</t>
  </si>
  <si>
    <t xml:space="preserve">GST-06</t>
  </si>
  <si>
    <t xml:space="preserve">Cross Charge</t>
  </si>
  <si>
    <t xml:space="preserve">XCHG</t>
  </si>
  <si>
    <t xml:space="preserve">ASSUMPTION: no due date in source file - aligned to GSTR-3B, verify</t>
  </si>
  <si>
    <t xml:space="preserve">PR-01</t>
  </si>
  <si>
    <t xml:space="preserve">PF (EPF) Payment</t>
  </si>
  <si>
    <t xml:space="preserve">M:15</t>
  </si>
  <si>
    <t xml:space="preserve">PF-PAY</t>
  </si>
  <si>
    <t xml:space="preserve">Standard set</t>
  </si>
  <si>
    <t xml:space="preserve">PR-02</t>
  </si>
  <si>
    <t xml:space="preserve">PF (ECR) Return Filing</t>
  </si>
  <si>
    <t xml:space="preserve">PF-RET</t>
  </si>
  <si>
    <t xml:space="preserve">PR-03</t>
  </si>
  <si>
    <t xml:space="preserve">ESI Payment</t>
  </si>
  <si>
    <t xml:space="preserve">ESI-PAY</t>
  </si>
  <si>
    <t xml:space="preserve">PR-04</t>
  </si>
  <si>
    <t xml:space="preserve">Professional Tax Payment</t>
  </si>
  <si>
    <t xml:space="preserve">PT-PAY</t>
  </si>
  <si>
    <t xml:space="preserve">ASSUMPTION: due day is state-specific, verify locally</t>
  </si>
  <si>
    <t xml:space="preserve">PR-05</t>
  </si>
  <si>
    <t xml:space="preserve">TDS on Salary - Form 24Q (Quarterly)</t>
  </si>
  <si>
    <t xml:space="preserve">F24Q</t>
  </si>
  <si>
    <t xml:space="preserve">PR-06</t>
  </si>
  <si>
    <t xml:space="preserve">Labour Welfare Fund (LWF)</t>
  </si>
  <si>
    <t xml:space="preserve">H:30@6;31@12</t>
  </si>
  <si>
    <t xml:space="preserve">LWF</t>
  </si>
  <si>
    <t xml:space="preserve">ASSUMPTION: LWF due dates are state-specific, verify locally</t>
  </si>
  <si>
    <t xml:space="preserve">PR-07</t>
  </si>
  <si>
    <t xml:space="preserve">Bonus Payment (Payment of Bonus Act)</t>
  </si>
  <si>
    <t xml:space="preserve">BONUS</t>
  </si>
  <si>
    <t xml:space="preserve">Standard set: within 8 months of FY close</t>
  </si>
  <si>
    <t xml:space="preserve">PR-08</t>
  </si>
  <si>
    <t xml:space="preserve">Gratuity Fund - Annual Actuarial Valuation/Funding</t>
  </si>
  <si>
    <t xml:space="preserve">A:31@3</t>
  </si>
  <si>
    <t xml:space="preserve">GRATUITY</t>
  </si>
  <si>
    <t xml:space="preserve">PR-09</t>
  </si>
  <si>
    <t xml:space="preserve">PF Annual Return (Form 3A/6A)</t>
  </si>
  <si>
    <t xml:space="preserve">A:30@4</t>
  </si>
  <si>
    <t xml:space="preserve">PF-ANN</t>
  </si>
  <si>
    <t xml:space="preserve">Instance ID</t>
  </si>
  <si>
    <t xml:space="preserve">Due Date</t>
  </si>
  <si>
    <t xml:space="preserve">Assigned User Name</t>
  </si>
  <si>
    <t xml:space="preserve">Supervisor Name</t>
  </si>
  <si>
    <t xml:space="preserve">HOD Email</t>
  </si>
  <si>
    <t xml:space="preserve">HOD Name</t>
  </si>
  <si>
    <t xml:space="preserve">Amount Due</t>
  </si>
  <si>
    <t xml:space="preserve">Amount Paid</t>
  </si>
  <si>
    <t xml:space="preserve">Payment Date</t>
  </si>
  <si>
    <t xml:space="preserve">Task Complete (Y/N)</t>
  </si>
  <si>
    <t xml:space="preserve">Days To Due</t>
  </si>
  <si>
    <t xml:space="preserve">Status</t>
  </si>
  <si>
    <t xml:space="preserve">Reminder Stage</t>
  </si>
  <si>
    <t xml:space="preserve">Last Reminder Sent</t>
  </si>
  <si>
    <t xml:space="preserve">Remarks</t>
  </si>
  <si>
    <t xml:space="preserve">DT-01-20260407</t>
  </si>
  <si>
    <t xml:space="preserve">N</t>
  </si>
  <si>
    <t xml:space="preserve">DT-01-20260507</t>
  </si>
  <si>
    <t xml:space="preserve">DT-01-20260607</t>
  </si>
  <si>
    <t xml:space="preserve">DT-01-20260707</t>
  </si>
  <si>
    <t xml:space="preserve">DT-01-20260807</t>
  </si>
  <si>
    <t xml:space="preserve">DT-01-20260907</t>
  </si>
  <si>
    <t xml:space="preserve">DT-01-20261007</t>
  </si>
  <si>
    <t xml:space="preserve">DT-01-20261107</t>
  </si>
  <si>
    <t xml:space="preserve">DT-01-20261207</t>
  </si>
  <si>
    <t xml:space="preserve">DT-01-20270107</t>
  </si>
  <si>
    <t xml:space="preserve">DT-01-20270207</t>
  </si>
  <si>
    <t xml:space="preserve">DT-01-20270307</t>
  </si>
  <si>
    <t xml:space="preserve">DT-02-20260515</t>
  </si>
  <si>
    <t xml:space="preserve">DT-02-20260715</t>
  </si>
  <si>
    <t xml:space="preserve">DT-02-20261015</t>
  </si>
  <si>
    <t xml:space="preserve">DT-02-20270115</t>
  </si>
  <si>
    <t xml:space="preserve">DT-03-20260531</t>
  </si>
  <si>
    <t xml:space="preserve">DT-03-20260731</t>
  </si>
  <si>
    <t xml:space="preserve">DT-03-20261031</t>
  </si>
  <si>
    <t xml:space="preserve">DT-03-20270131</t>
  </si>
  <si>
    <t xml:space="preserve">DT-04-20260430</t>
  </si>
  <si>
    <t xml:space="preserve">DT-04-20261031</t>
  </si>
  <si>
    <t xml:space="preserve">DT-05-20261031</t>
  </si>
  <si>
    <t xml:space="preserve">DT-06-20261031</t>
  </si>
  <si>
    <t xml:space="preserve">DT-07-20261130</t>
  </si>
  <si>
    <t xml:space="preserve">DT-08-20261130</t>
  </si>
  <si>
    <t xml:space="preserve">DT-09-20260515</t>
  </si>
  <si>
    <t xml:space="preserve">DT-09-20260715</t>
  </si>
  <si>
    <t xml:space="preserve">DT-09-20261015</t>
  </si>
  <si>
    <t xml:space="preserve">DT-09-20270115</t>
  </si>
  <si>
    <t xml:space="preserve">DT-10-20260531</t>
  </si>
  <si>
    <t xml:space="preserve">DT-11-20260531</t>
  </si>
  <si>
    <t xml:space="preserve">DT-12-20260615</t>
  </si>
  <si>
    <t xml:space="preserve">DT-12-20260915</t>
  </si>
  <si>
    <t xml:space="preserve">DT-12-20261215</t>
  </si>
  <si>
    <t xml:space="preserve">DT-12-20270315</t>
  </si>
  <si>
    <t xml:space="preserve">DT-13-20261031</t>
  </si>
  <si>
    <t xml:space="preserve">DT-14-20260731</t>
  </si>
  <si>
    <t xml:space="preserve">GST-01-20260411</t>
  </si>
  <si>
    <t xml:space="preserve">GST-01-20260511</t>
  </si>
  <si>
    <t xml:space="preserve">GST-01-20260611</t>
  </si>
  <si>
    <t xml:space="preserve">GST-01-20260711</t>
  </si>
  <si>
    <t xml:space="preserve">GST-01-20260811</t>
  </si>
  <si>
    <t xml:space="preserve">GST-01-20260911</t>
  </si>
  <si>
    <t xml:space="preserve">GST-01-20261011</t>
  </si>
  <si>
    <t xml:space="preserve">GST-01-20261111</t>
  </si>
  <si>
    <t xml:space="preserve">GST-01-20261211</t>
  </si>
  <si>
    <t xml:space="preserve">GST-01-20270111</t>
  </si>
  <si>
    <t xml:space="preserve">GST-01-20270211</t>
  </si>
  <si>
    <t xml:space="preserve">GST-01-20270311</t>
  </si>
  <si>
    <t xml:space="preserve">GST-02-20260420</t>
  </si>
  <si>
    <t xml:space="preserve">GST-02-20260520</t>
  </si>
  <si>
    <t xml:space="preserve">GST-02-20260620</t>
  </si>
  <si>
    <t xml:space="preserve">GST-02-20260720</t>
  </si>
  <si>
    <t xml:space="preserve">GST-02-20260820</t>
  </si>
  <si>
    <t xml:space="preserve">GST-02-20260920</t>
  </si>
  <si>
    <t xml:space="preserve">GST-02-20261020</t>
  </si>
  <si>
    <t xml:space="preserve">GST-02-20261120</t>
  </si>
  <si>
    <t xml:space="preserve">GST-02-20261220</t>
  </si>
  <si>
    <t xml:space="preserve">GST-02-20270120</t>
  </si>
  <si>
    <t xml:space="preserve">GST-02-20270220</t>
  </si>
  <si>
    <t xml:space="preserve">GST-02-20270320</t>
  </si>
  <si>
    <t xml:space="preserve">GST-03-20261231</t>
  </si>
  <si>
    <t xml:space="preserve">GST-04-20261120</t>
  </si>
  <si>
    <t xml:space="preserve">GST-05-20260413</t>
  </si>
  <si>
    <t xml:space="preserve">GST-05-20260513</t>
  </si>
  <si>
    <t xml:space="preserve">GST-05-20260613</t>
  </si>
  <si>
    <t xml:space="preserve">GST-05-20260713</t>
  </si>
  <si>
    <t xml:space="preserve">GST-05-20260813</t>
  </si>
  <si>
    <t xml:space="preserve">GST-05-20260913</t>
  </si>
  <si>
    <t xml:space="preserve">GST-05-20261013</t>
  </si>
  <si>
    <t xml:space="preserve">GST-05-20261113</t>
  </si>
  <si>
    <t xml:space="preserve">GST-05-20261213</t>
  </si>
  <si>
    <t xml:space="preserve">GST-05-20270113</t>
  </si>
  <si>
    <t xml:space="preserve">GST-05-20270213</t>
  </si>
  <si>
    <t xml:space="preserve">GST-05-20270313</t>
  </si>
  <si>
    <t xml:space="preserve">GST-06-20260420</t>
  </si>
  <si>
    <t xml:space="preserve">GST-06-20260520</t>
  </si>
  <si>
    <t xml:space="preserve">GST-06-20260620</t>
  </si>
  <si>
    <t xml:space="preserve">GST-06-20260720</t>
  </si>
  <si>
    <t xml:space="preserve">GST-06-20260820</t>
  </si>
  <si>
    <t xml:space="preserve">GST-06-20260920</t>
  </si>
  <si>
    <t xml:space="preserve">GST-06-20261020</t>
  </si>
  <si>
    <t xml:space="preserve">GST-06-20261120</t>
  </si>
  <si>
    <t xml:space="preserve">GST-06-20261220</t>
  </si>
  <si>
    <t xml:space="preserve">GST-06-20270120</t>
  </si>
  <si>
    <t xml:space="preserve">GST-06-20270220</t>
  </si>
  <si>
    <t xml:space="preserve">GST-06-20270320</t>
  </si>
  <si>
    <t xml:space="preserve">PR-01-20260415</t>
  </si>
  <si>
    <t xml:space="preserve">PR-01-20260515</t>
  </si>
  <si>
    <t xml:space="preserve">PR-01-20260615</t>
  </si>
  <si>
    <t xml:space="preserve">PR-01-20260715</t>
  </si>
  <si>
    <t xml:space="preserve">PR-01-20260815</t>
  </si>
  <si>
    <t xml:space="preserve">PR-01-20260915</t>
  </si>
  <si>
    <t xml:space="preserve">PR-01-20261015</t>
  </si>
  <si>
    <t xml:space="preserve">PR-01-20261115</t>
  </si>
  <si>
    <t xml:space="preserve">PR-01-20261215</t>
  </si>
  <si>
    <t xml:space="preserve">PR-01-20270115</t>
  </si>
  <si>
    <t xml:space="preserve">PR-01-20270215</t>
  </si>
  <si>
    <t xml:space="preserve">PR-01-20270315</t>
  </si>
  <si>
    <t xml:space="preserve">PR-02-20260415</t>
  </si>
  <si>
    <t xml:space="preserve">PR-02-20260515</t>
  </si>
  <si>
    <t xml:space="preserve">PR-02-20260615</t>
  </si>
  <si>
    <t xml:space="preserve">PR-02-20260715</t>
  </si>
  <si>
    <t xml:space="preserve">PR-02-20260815</t>
  </si>
  <si>
    <t xml:space="preserve">PR-02-20260915</t>
  </si>
  <si>
    <t xml:space="preserve">PR-02-20261015</t>
  </si>
  <si>
    <t xml:space="preserve">PR-02-20261115</t>
  </si>
  <si>
    <t xml:space="preserve">PR-02-20261215</t>
  </si>
  <si>
    <t xml:space="preserve">PR-02-20270115</t>
  </si>
  <si>
    <t xml:space="preserve">PR-02-20270215</t>
  </si>
  <si>
    <t xml:space="preserve">PR-02-20270315</t>
  </si>
  <si>
    <t xml:space="preserve">PR-03-20260415</t>
  </si>
  <si>
    <t xml:space="preserve">PR-03-20260515</t>
  </si>
  <si>
    <t xml:space="preserve">PR-03-20260615</t>
  </si>
  <si>
    <t xml:space="preserve">PR-03-20260715</t>
  </si>
  <si>
    <t xml:space="preserve">PR-03-20260815</t>
  </si>
  <si>
    <t xml:space="preserve">PR-03-20260915</t>
  </si>
  <si>
    <t xml:space="preserve">PR-03-20261015</t>
  </si>
  <si>
    <t xml:space="preserve">PR-03-20261115</t>
  </si>
  <si>
    <t xml:space="preserve">PR-03-20261215</t>
  </si>
  <si>
    <t xml:space="preserve">PR-03-20270115</t>
  </si>
  <si>
    <t xml:space="preserve">PR-03-20270215</t>
  </si>
  <si>
    <t xml:space="preserve">PR-03-20270315</t>
  </si>
  <si>
    <t xml:space="preserve">PR-04-20260420</t>
  </si>
  <si>
    <t xml:space="preserve">PR-04-20260520</t>
  </si>
  <si>
    <t xml:space="preserve">PR-04-20260620</t>
  </si>
  <si>
    <t xml:space="preserve">PR-04-20260720</t>
  </si>
  <si>
    <t xml:space="preserve">PR-04-20260820</t>
  </si>
  <si>
    <t xml:space="preserve">PR-04-20260920</t>
  </si>
  <si>
    <t xml:space="preserve">PR-04-20261020</t>
  </si>
  <si>
    <t xml:space="preserve">PR-04-20261120</t>
  </si>
  <si>
    <t xml:space="preserve">PR-04-20261220</t>
  </si>
  <si>
    <t xml:space="preserve">PR-04-20270120</t>
  </si>
  <si>
    <t xml:space="preserve">PR-04-20270220</t>
  </si>
  <si>
    <t xml:space="preserve">PR-04-20270320</t>
  </si>
  <si>
    <t xml:space="preserve">PR-05-20260531</t>
  </si>
  <si>
    <t xml:space="preserve">PR-05-20260731</t>
  </si>
  <si>
    <t xml:space="preserve">PR-05-20261031</t>
  </si>
  <si>
    <t xml:space="preserve">PR-05-20270131</t>
  </si>
  <si>
    <t xml:space="preserve">PR-06-20260630</t>
  </si>
  <si>
    <t xml:space="preserve">PR-06-20261231</t>
  </si>
  <si>
    <t xml:space="preserve">PR-07-20261130</t>
  </si>
  <si>
    <t xml:space="preserve">PR-08-20270331</t>
  </si>
  <si>
    <t xml:space="preserve">PR-09-20260430</t>
  </si>
  <si>
    <t xml:space="preserve">Period (mmm-yyyy)</t>
  </si>
  <si>
    <t xml:space="preserve">GL Name</t>
  </si>
  <si>
    <t xml:space="preserve">TB Balance (Dr)</t>
  </si>
  <si>
    <t xml:space="preserve">Apr-2026</t>
  </si>
  <si>
    <t xml:space="preserve">GST Payable - Output</t>
  </si>
  <si>
    <t xml:space="preserve">TDS Payable - Contractors</t>
  </si>
  <si>
    <t xml:space="preserve">PF Payable</t>
  </si>
  <si>
    <t xml:space="preserve">Example rows above (yellow) - replace with your actual monthly Trial Balance export. GL Code must match the GL Code used in Task Templates for that compliance.</t>
  </si>
  <si>
    <t xml:space="preserve">Trial Balance Amount</t>
  </si>
  <si>
    <t xml:space="preserve">Actual Amount Paid (Task Instances)</t>
  </si>
  <si>
    <t xml:space="preserve">Variance (TB - Paid)</t>
  </si>
  <si>
    <t xml:space="preserve">Flag</t>
  </si>
  <si>
    <t xml:space="preserve">This report auto-populates once the Trial Balance sheet is filled and Task Instances have Amount Paid + Payment Date keyed in for the same period/GL Code.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</si>
</sst>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8" min="3" style="0" width="14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  <c r="F6" s="3"/>
      <c r="G6" s="3"/>
      <c r="H6" s="3"/>
    </row>
    <row r="7" customFormat="false" ht="15" hidden="false" customHeight="false" outlineLevel="0" collapsed="false">
      <c r="C7" s="4" t="s">
        <v>3</v>
      </c>
      <c r="D7" s="4"/>
      <c r="E7" s="4"/>
      <c r="F7" s="4"/>
      <c r="G7" s="4"/>
      <c r="H7" s="4"/>
    </row>
    <row r="8" customFormat="false" ht="15" hidden="false" customHeight="false" outlineLevel="0" collapsed="false">
      <c r="C8" s="4" t="s">
        <v>4</v>
      </c>
      <c r="D8" s="4"/>
      <c r="E8" s="4"/>
      <c r="F8" s="4"/>
      <c r="G8" s="4"/>
      <c r="H8" s="4"/>
    </row>
    <row r="9" customFormat="false" ht="15" hidden="false" customHeight="false" outlineLevel="0" collapsed="false">
      <c r="C9" s="4" t="s">
        <v>5</v>
      </c>
      <c r="D9" s="4"/>
      <c r="E9" s="4"/>
      <c r="F9" s="4"/>
      <c r="G9" s="4"/>
      <c r="H9" s="4"/>
    </row>
    <row r="10" customFormat="false" ht="15" hidden="false" customHeight="false" outlineLevel="0" collapsed="false">
      <c r="C10" s="4" t="s">
        <v>6</v>
      </c>
      <c r="D10" s="4"/>
      <c r="E10" s="4"/>
      <c r="F10" s="4"/>
      <c r="G10" s="4"/>
      <c r="H10" s="4"/>
    </row>
    <row r="11" customFormat="false" ht="15" hidden="false" customHeight="false" outlineLevel="0" collapsed="false">
      <c r="C11" s="4" t="s">
        <v>7</v>
      </c>
      <c r="D11" s="4"/>
      <c r="E11" s="4"/>
      <c r="F11" s="4"/>
      <c r="G11" s="4"/>
      <c r="H11" s="4"/>
    </row>
    <row r="13" customFormat="false" ht="15" hidden="false" customHeight="false" outlineLevel="0" collapsed="false">
      <c r="B13" s="3" t="s">
        <v>8</v>
      </c>
      <c r="C13" s="3"/>
      <c r="D13" s="3"/>
      <c r="E13" s="3"/>
      <c r="F13" s="3"/>
      <c r="G13" s="3"/>
      <c r="H13" s="3"/>
    </row>
    <row r="14" customFormat="false" ht="15" hidden="false" customHeight="false" outlineLevel="0" collapsed="false">
      <c r="B14" s="5" t="s">
        <v>9</v>
      </c>
      <c r="C14" s="4" t="s">
        <v>10</v>
      </c>
      <c r="D14" s="4"/>
      <c r="E14" s="4"/>
      <c r="F14" s="4"/>
      <c r="G14" s="4"/>
      <c r="H14" s="4"/>
    </row>
    <row r="15" customFormat="false" ht="15" hidden="false" customHeight="false" outlineLevel="0" collapsed="false">
      <c r="C15" s="4" t="s">
        <v>11</v>
      </c>
      <c r="D15" s="4"/>
      <c r="E15" s="4"/>
      <c r="F15" s="4"/>
      <c r="G15" s="4"/>
      <c r="H15" s="4"/>
    </row>
    <row r="16" customFormat="false" ht="15" hidden="false" customHeight="false" outlineLevel="0" collapsed="false">
      <c r="C16" s="4" t="s">
        <v>12</v>
      </c>
      <c r="D16" s="4"/>
      <c r="E16" s="4"/>
      <c r="F16" s="4"/>
      <c r="G16" s="4"/>
      <c r="H16" s="4"/>
    </row>
    <row r="17" customFormat="false" ht="15" hidden="false" customHeight="false" outlineLevel="0" collapsed="false">
      <c r="C17" s="4" t="s">
        <v>13</v>
      </c>
      <c r="D17" s="4"/>
      <c r="E17" s="4"/>
      <c r="F17" s="4"/>
      <c r="G17" s="4"/>
      <c r="H17" s="4"/>
    </row>
    <row r="18" customFormat="false" ht="15" hidden="false" customHeight="false" outlineLevel="0" collapsed="false">
      <c r="B18" s="5" t="s">
        <v>14</v>
      </c>
      <c r="C18" s="4" t="s">
        <v>15</v>
      </c>
      <c r="D18" s="4"/>
      <c r="E18" s="4"/>
      <c r="F18" s="4"/>
      <c r="G18" s="4"/>
      <c r="H18" s="4"/>
    </row>
    <row r="19" customFormat="false" ht="15" hidden="false" customHeight="false" outlineLevel="0" collapsed="false">
      <c r="C19" s="4" t="s">
        <v>16</v>
      </c>
      <c r="D19" s="4"/>
      <c r="E19" s="4"/>
      <c r="F19" s="4"/>
      <c r="G19" s="4"/>
      <c r="H19" s="4"/>
    </row>
    <row r="20" customFormat="false" ht="15" hidden="false" customHeight="false" outlineLevel="0" collapsed="false">
      <c r="B20" s="5" t="s">
        <v>17</v>
      </c>
      <c r="C20" s="4" t="s">
        <v>18</v>
      </c>
      <c r="D20" s="4"/>
      <c r="E20" s="4"/>
      <c r="F20" s="4"/>
      <c r="G20" s="4"/>
      <c r="H20" s="4"/>
    </row>
    <row r="21" customFormat="false" ht="15" hidden="false" customHeight="false" outlineLevel="0" collapsed="false">
      <c r="C21" s="4" t="s">
        <v>19</v>
      </c>
      <c r="D21" s="4"/>
      <c r="E21" s="4"/>
      <c r="F21" s="4"/>
      <c r="G21" s="4"/>
      <c r="H21" s="4"/>
    </row>
    <row r="22" customFormat="false" ht="15" hidden="false" customHeight="false" outlineLevel="0" collapsed="false">
      <c r="C22" s="4" t="s">
        <v>20</v>
      </c>
      <c r="D22" s="4"/>
      <c r="E22" s="4"/>
      <c r="F22" s="4"/>
      <c r="G22" s="4"/>
      <c r="H22" s="4"/>
    </row>
    <row r="23" customFormat="false" ht="15" hidden="false" customHeight="false" outlineLevel="0" collapsed="false">
      <c r="B23" s="5" t="s">
        <v>21</v>
      </c>
      <c r="C23" s="4" t="s">
        <v>22</v>
      </c>
      <c r="D23" s="4"/>
      <c r="E23" s="4"/>
      <c r="F23" s="4"/>
      <c r="G23" s="4"/>
      <c r="H23" s="4"/>
    </row>
    <row r="24" customFormat="false" ht="15" hidden="false" customHeight="false" outlineLevel="0" collapsed="false">
      <c r="B24" s="5" t="s">
        <v>23</v>
      </c>
      <c r="C24" s="4" t="s">
        <v>24</v>
      </c>
      <c r="D24" s="4"/>
      <c r="E24" s="4"/>
      <c r="F24" s="4"/>
      <c r="G24" s="4"/>
      <c r="H24" s="4"/>
    </row>
    <row r="25" customFormat="false" ht="15" hidden="false" customHeight="false" outlineLevel="0" collapsed="false">
      <c r="C25" s="4" t="s">
        <v>25</v>
      </c>
      <c r="D25" s="4"/>
      <c r="E25" s="4"/>
      <c r="F25" s="4"/>
      <c r="G25" s="4"/>
      <c r="H25" s="4"/>
    </row>
    <row r="27" customFormat="false" ht="15" hidden="false" customHeight="false" outlineLevel="0" collapsed="false">
      <c r="B27" s="3" t="s">
        <v>26</v>
      </c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B28" s="5" t="s">
        <v>27</v>
      </c>
      <c r="C28" s="4" t="s">
        <v>28</v>
      </c>
      <c r="D28" s="4"/>
      <c r="E28" s="4"/>
      <c r="F28" s="4"/>
      <c r="G28" s="4"/>
      <c r="H28" s="4"/>
    </row>
    <row r="29" customFormat="false" ht="15" hidden="false" customHeight="false" outlineLevel="0" collapsed="false">
      <c r="B29" s="5" t="s">
        <v>29</v>
      </c>
      <c r="C29" s="4" t="s">
        <v>30</v>
      </c>
      <c r="D29" s="4"/>
      <c r="E29" s="4"/>
      <c r="F29" s="4"/>
      <c r="G29" s="4"/>
      <c r="H29" s="4"/>
    </row>
    <row r="30" customFormat="false" ht="15" hidden="false" customHeight="false" outlineLevel="0" collapsed="false">
      <c r="B30" s="5" t="s">
        <v>31</v>
      </c>
      <c r="C30" s="4" t="s">
        <v>32</v>
      </c>
      <c r="D30" s="4"/>
      <c r="E30" s="4"/>
      <c r="F30" s="4"/>
      <c r="G30" s="4"/>
      <c r="H30" s="4"/>
    </row>
    <row r="31" customFormat="false" ht="15" hidden="false" customHeight="false" outlineLevel="0" collapsed="false">
      <c r="B31" s="5" t="s">
        <v>33</v>
      </c>
      <c r="C31" s="4" t="s">
        <v>34</v>
      </c>
      <c r="D31" s="4"/>
      <c r="E31" s="4"/>
      <c r="F31" s="4"/>
      <c r="G31" s="4"/>
      <c r="H31" s="4"/>
    </row>
    <row r="32" customFormat="false" ht="15" hidden="false" customHeight="false" outlineLevel="0" collapsed="false">
      <c r="C32" s="4" t="s">
        <v>35</v>
      </c>
      <c r="D32" s="4"/>
      <c r="E32" s="4"/>
      <c r="F32" s="4"/>
      <c r="G32" s="4"/>
      <c r="H32" s="4"/>
    </row>
    <row r="33" customFormat="false" ht="15" hidden="false" customHeight="false" outlineLevel="0" collapsed="false">
      <c r="C33" s="4" t="s">
        <v>36</v>
      </c>
      <c r="D33" s="4"/>
      <c r="E33" s="4"/>
      <c r="F33" s="4"/>
      <c r="G33" s="4"/>
      <c r="H33" s="4"/>
    </row>
    <row r="35" customFormat="false" ht="15" hidden="false" customHeight="false" outlineLevel="0" collapsed="false">
      <c r="B35" s="3" t="s">
        <v>37</v>
      </c>
      <c r="C35" s="3"/>
      <c r="D35" s="3"/>
      <c r="E35" s="3"/>
      <c r="F35" s="3"/>
      <c r="G35" s="3"/>
      <c r="H35" s="3"/>
    </row>
    <row r="36" customFormat="false" ht="15" hidden="false" customHeight="false" outlineLevel="0" collapsed="false">
      <c r="B36" s="5" t="s">
        <v>38</v>
      </c>
      <c r="C36" s="4" t="s">
        <v>39</v>
      </c>
      <c r="D36" s="4"/>
      <c r="E36" s="4"/>
      <c r="F36" s="4"/>
      <c r="G36" s="4"/>
      <c r="H36" s="4"/>
    </row>
    <row r="37" customFormat="false" ht="15" hidden="false" customHeight="false" outlineLevel="0" collapsed="false">
      <c r="B37" s="5" t="s">
        <v>40</v>
      </c>
      <c r="C37" s="4" t="s">
        <v>41</v>
      </c>
      <c r="D37" s="4"/>
      <c r="E37" s="4"/>
      <c r="F37" s="4"/>
      <c r="G37" s="4"/>
      <c r="H37" s="4"/>
    </row>
    <row r="38" customFormat="false" ht="15" hidden="false" customHeight="false" outlineLevel="0" collapsed="false">
      <c r="B38" s="5" t="s">
        <v>42</v>
      </c>
      <c r="C38" s="4" t="s">
        <v>43</v>
      </c>
      <c r="D38" s="4"/>
      <c r="E38" s="4"/>
      <c r="F38" s="4"/>
      <c r="G38" s="4"/>
      <c r="H38" s="4"/>
    </row>
    <row r="39" customFormat="false" ht="15" hidden="false" customHeight="false" outlineLevel="0" collapsed="false">
      <c r="C39" s="4" t="s">
        <v>44</v>
      </c>
      <c r="D39" s="4"/>
      <c r="E39" s="4"/>
      <c r="F39" s="4"/>
      <c r="G39" s="4"/>
      <c r="H39" s="4"/>
    </row>
    <row r="40" customFormat="false" ht="15" hidden="false" customHeight="false" outlineLevel="0" collapsed="false">
      <c r="C40" s="4" t="s">
        <v>45</v>
      </c>
      <c r="D40" s="4"/>
      <c r="E40" s="4"/>
      <c r="F40" s="4"/>
      <c r="G40" s="4"/>
      <c r="H40" s="4"/>
    </row>
    <row r="41" customFormat="false" ht="15" hidden="false" customHeight="false" outlineLevel="0" collapsed="false">
      <c r="C41" s="4" t="s">
        <v>46</v>
      </c>
      <c r="D41" s="4"/>
      <c r="E41" s="4"/>
      <c r="F41" s="4"/>
      <c r="G41" s="4"/>
      <c r="H41" s="4"/>
    </row>
  </sheetData>
  <mergeCells count="33">
    <mergeCell ref="B6:H6"/>
    <mergeCell ref="C7:H7"/>
    <mergeCell ref="C8:H8"/>
    <mergeCell ref="C9:H9"/>
    <mergeCell ref="C10:H10"/>
    <mergeCell ref="C11:H11"/>
    <mergeCell ref="B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B27:H27"/>
    <mergeCell ref="C28:H28"/>
    <mergeCell ref="C29:H29"/>
    <mergeCell ref="C30:H30"/>
    <mergeCell ref="C31:H31"/>
    <mergeCell ref="C32:H32"/>
    <mergeCell ref="C33:H33"/>
    <mergeCell ref="B35:H35"/>
    <mergeCell ref="C36:H36"/>
    <mergeCell ref="C37:H37"/>
    <mergeCell ref="C38:H38"/>
    <mergeCell ref="C39:H39"/>
    <mergeCell ref="C40:H40"/>
    <mergeCell ref="C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6" t="s">
        <v>47</v>
      </c>
      <c r="B1" s="6" t="s">
        <v>48</v>
      </c>
      <c r="C1" s="6" t="s">
        <v>49</v>
      </c>
      <c r="D1" s="6" t="s">
        <v>50</v>
      </c>
      <c r="E1" s="6" t="s">
        <v>51</v>
      </c>
    </row>
    <row r="2" customFormat="false" ht="15" hidden="false" customHeight="false" outlineLevel="0" collapsed="false">
      <c r="A2" s="7" t="s">
        <v>52</v>
      </c>
      <c r="B2" s="7" t="s">
        <v>53</v>
      </c>
      <c r="C2" s="7" t="s">
        <v>54</v>
      </c>
      <c r="D2" s="7" t="s">
        <v>55</v>
      </c>
      <c r="E2" s="7" t="s">
        <v>56</v>
      </c>
    </row>
    <row r="3" customFormat="false" ht="15" hidden="false" customHeight="false" outlineLevel="0" collapsed="false">
      <c r="A3" s="7" t="s">
        <v>52</v>
      </c>
      <c r="B3" s="7" t="s">
        <v>53</v>
      </c>
      <c r="C3" s="7" t="s">
        <v>57</v>
      </c>
      <c r="D3" s="7" t="s">
        <v>55</v>
      </c>
      <c r="E3" s="7" t="s">
        <v>56</v>
      </c>
    </row>
    <row r="4" customFormat="false" ht="15" hidden="false" customHeight="false" outlineLevel="0" collapsed="false">
      <c r="A4" s="7" t="s">
        <v>52</v>
      </c>
      <c r="B4" s="7" t="s">
        <v>53</v>
      </c>
      <c r="C4" s="7" t="s">
        <v>58</v>
      </c>
      <c r="D4" s="7" t="s">
        <v>55</v>
      </c>
      <c r="E4" s="7" t="s">
        <v>56</v>
      </c>
    </row>
    <row r="5" customFormat="false" ht="15" hidden="false" customHeight="false" outlineLevel="0" collapsed="false">
      <c r="A5" s="7" t="s">
        <v>52</v>
      </c>
      <c r="B5" s="7" t="s">
        <v>56</v>
      </c>
      <c r="C5" s="7" t="s">
        <v>59</v>
      </c>
      <c r="D5" s="7" t="s">
        <v>60</v>
      </c>
      <c r="E5" s="7" t="s">
        <v>56</v>
      </c>
    </row>
    <row r="6" customFormat="false" ht="15" hidden="false" customHeight="false" outlineLevel="0" collapsed="false">
      <c r="A6" s="7" t="s">
        <v>52</v>
      </c>
      <c r="B6" s="7" t="s">
        <v>56</v>
      </c>
      <c r="C6" s="7" t="s">
        <v>59</v>
      </c>
      <c r="D6" s="7" t="s">
        <v>61</v>
      </c>
      <c r="E6" s="7"/>
    </row>
    <row r="8" customFormat="false" ht="15" hidden="false" customHeight="false" outlineLevel="0" collapsed="false">
      <c r="A8" s="8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8" min="7" style="0" width="24"/>
    <col collapsed="false" customWidth="true" hidden="false" outlineLevel="0" max="9" min="9" style="0" width="10"/>
    <col collapsed="false" customWidth="true" hidden="false" outlineLevel="0" max="10" min="10" style="0" width="46"/>
  </cols>
  <sheetData>
    <row r="1" customFormat="false" ht="26.85" hidden="false" customHeight="false" outlineLevel="0" collapsed="false">
      <c r="A1" s="6" t="s">
        <v>63</v>
      </c>
      <c r="B1" s="6" t="s">
        <v>64</v>
      </c>
      <c r="C1" s="6" t="s">
        <v>49</v>
      </c>
      <c r="D1" s="6" t="s">
        <v>65</v>
      </c>
      <c r="E1" s="6" t="s">
        <v>66</v>
      </c>
      <c r="F1" s="6" t="s">
        <v>67</v>
      </c>
      <c r="G1" s="6" t="s">
        <v>68</v>
      </c>
      <c r="H1" s="6" t="s">
        <v>69</v>
      </c>
      <c r="I1" s="6" t="s">
        <v>70</v>
      </c>
      <c r="J1" s="6" t="s">
        <v>71</v>
      </c>
      <c r="K1" s="8" t="s">
        <v>72</v>
      </c>
    </row>
    <row r="2" customFormat="false" ht="15" hidden="false" customHeight="false" outlineLevel="0" collapsed="false">
      <c r="A2" s="7" t="s">
        <v>73</v>
      </c>
      <c r="B2" s="7" t="s">
        <v>74</v>
      </c>
      <c r="C2" s="7" t="s">
        <v>54</v>
      </c>
      <c r="D2" s="7" t="s">
        <v>75</v>
      </c>
      <c r="E2" s="7" t="s">
        <v>76</v>
      </c>
      <c r="F2" s="7" t="s">
        <v>77</v>
      </c>
      <c r="G2" s="7" t="s">
        <v>53</v>
      </c>
      <c r="H2" s="7" t="s">
        <v>56</v>
      </c>
      <c r="I2" s="9" t="s">
        <v>78</v>
      </c>
      <c r="J2" s="7" t="s">
        <v>79</v>
      </c>
    </row>
    <row r="3" customFormat="false" ht="15" hidden="false" customHeight="false" outlineLevel="0" collapsed="false">
      <c r="A3" s="7" t="s">
        <v>80</v>
      </c>
      <c r="B3" s="7" t="s">
        <v>81</v>
      </c>
      <c r="C3" s="7" t="s">
        <v>54</v>
      </c>
      <c r="D3" s="7" t="s">
        <v>82</v>
      </c>
      <c r="E3" s="7" t="s">
        <v>83</v>
      </c>
      <c r="F3" s="7" t="s">
        <v>84</v>
      </c>
      <c r="G3" s="7" t="s">
        <v>53</v>
      </c>
      <c r="H3" s="7" t="s">
        <v>56</v>
      </c>
      <c r="I3" s="9" t="s">
        <v>78</v>
      </c>
      <c r="J3" s="7" t="s">
        <v>79</v>
      </c>
    </row>
    <row r="4" customFormat="false" ht="15" hidden="false" customHeight="false" outlineLevel="0" collapsed="false">
      <c r="A4" s="7" t="s">
        <v>85</v>
      </c>
      <c r="B4" s="7" t="s">
        <v>86</v>
      </c>
      <c r="C4" s="7" t="s">
        <v>54</v>
      </c>
      <c r="D4" s="7" t="s">
        <v>82</v>
      </c>
      <c r="E4" s="7" t="s">
        <v>87</v>
      </c>
      <c r="F4" s="7" t="s">
        <v>88</v>
      </c>
      <c r="G4" s="7" t="s">
        <v>53</v>
      </c>
      <c r="H4" s="7" t="s">
        <v>56</v>
      </c>
      <c r="I4" s="9" t="s">
        <v>78</v>
      </c>
      <c r="J4" s="7" t="s">
        <v>79</v>
      </c>
    </row>
    <row r="5" customFormat="false" ht="15" hidden="false" customHeight="false" outlineLevel="0" collapsed="false">
      <c r="A5" s="7" t="s">
        <v>89</v>
      </c>
      <c r="B5" s="7" t="s">
        <v>90</v>
      </c>
      <c r="C5" s="7" t="s">
        <v>54</v>
      </c>
      <c r="D5" s="7" t="s">
        <v>91</v>
      </c>
      <c r="E5" s="7" t="s">
        <v>92</v>
      </c>
      <c r="F5" s="7" t="s">
        <v>93</v>
      </c>
      <c r="G5" s="7" t="s">
        <v>53</v>
      </c>
      <c r="H5" s="7" t="s">
        <v>56</v>
      </c>
      <c r="I5" s="9" t="s">
        <v>78</v>
      </c>
      <c r="J5" s="7" t="s">
        <v>79</v>
      </c>
    </row>
    <row r="6" customFormat="false" ht="15" hidden="false" customHeight="false" outlineLevel="0" collapsed="false">
      <c r="A6" s="7" t="s">
        <v>94</v>
      </c>
      <c r="B6" s="7" t="s">
        <v>95</v>
      </c>
      <c r="C6" s="7" t="s">
        <v>54</v>
      </c>
      <c r="D6" s="7" t="s">
        <v>96</v>
      </c>
      <c r="E6" s="7" t="s">
        <v>97</v>
      </c>
      <c r="F6" s="7" t="s">
        <v>98</v>
      </c>
      <c r="G6" s="7" t="s">
        <v>53</v>
      </c>
      <c r="H6" s="7" t="s">
        <v>56</v>
      </c>
      <c r="I6" s="9" t="s">
        <v>78</v>
      </c>
      <c r="J6" s="7" t="s">
        <v>99</v>
      </c>
    </row>
    <row r="7" customFormat="false" ht="15" hidden="false" customHeight="false" outlineLevel="0" collapsed="false">
      <c r="A7" s="7" t="s">
        <v>100</v>
      </c>
      <c r="B7" s="7" t="s">
        <v>101</v>
      </c>
      <c r="C7" s="7" t="s">
        <v>54</v>
      </c>
      <c r="D7" s="7" t="s">
        <v>96</v>
      </c>
      <c r="E7" s="7" t="s">
        <v>97</v>
      </c>
      <c r="F7" s="7" t="s">
        <v>102</v>
      </c>
      <c r="G7" s="7" t="s">
        <v>53</v>
      </c>
      <c r="H7" s="7" t="s">
        <v>56</v>
      </c>
      <c r="I7" s="9" t="s">
        <v>78</v>
      </c>
      <c r="J7" s="7" t="s">
        <v>79</v>
      </c>
    </row>
    <row r="8" customFormat="false" ht="15" hidden="false" customHeight="false" outlineLevel="0" collapsed="false">
      <c r="A8" s="7" t="s">
        <v>103</v>
      </c>
      <c r="B8" s="7" t="s">
        <v>104</v>
      </c>
      <c r="C8" s="7" t="s">
        <v>54</v>
      </c>
      <c r="D8" s="7" t="s">
        <v>96</v>
      </c>
      <c r="E8" s="7" t="s">
        <v>105</v>
      </c>
      <c r="F8" s="7" t="s">
        <v>106</v>
      </c>
      <c r="G8" s="7" t="s">
        <v>53</v>
      </c>
      <c r="H8" s="7" t="s">
        <v>56</v>
      </c>
      <c r="I8" s="9" t="s">
        <v>78</v>
      </c>
      <c r="J8" s="7" t="s">
        <v>79</v>
      </c>
    </row>
    <row r="9" customFormat="false" ht="15" hidden="false" customHeight="false" outlineLevel="0" collapsed="false">
      <c r="A9" s="7" t="s">
        <v>107</v>
      </c>
      <c r="B9" s="7" t="s">
        <v>108</v>
      </c>
      <c r="C9" s="7" t="s">
        <v>54</v>
      </c>
      <c r="D9" s="7" t="s">
        <v>96</v>
      </c>
      <c r="E9" s="7" t="s">
        <v>105</v>
      </c>
      <c r="F9" s="7" t="s">
        <v>109</v>
      </c>
      <c r="G9" s="7" t="s">
        <v>53</v>
      </c>
      <c r="H9" s="7" t="s">
        <v>56</v>
      </c>
      <c r="I9" s="9" t="s">
        <v>78</v>
      </c>
      <c r="J9" s="7" t="s">
        <v>79</v>
      </c>
    </row>
    <row r="10" customFormat="false" ht="15" hidden="false" customHeight="false" outlineLevel="0" collapsed="false">
      <c r="A10" s="7" t="s">
        <v>110</v>
      </c>
      <c r="B10" s="7" t="s">
        <v>111</v>
      </c>
      <c r="C10" s="7" t="s">
        <v>54</v>
      </c>
      <c r="D10" s="7" t="s">
        <v>82</v>
      </c>
      <c r="E10" s="7" t="s">
        <v>83</v>
      </c>
      <c r="F10" s="7" t="s">
        <v>112</v>
      </c>
      <c r="G10" s="7" t="s">
        <v>53</v>
      </c>
      <c r="H10" s="7" t="s">
        <v>56</v>
      </c>
      <c r="I10" s="9" t="s">
        <v>78</v>
      </c>
      <c r="J10" s="7" t="s">
        <v>79</v>
      </c>
    </row>
    <row r="11" customFormat="false" ht="15" hidden="false" customHeight="false" outlineLevel="0" collapsed="false">
      <c r="A11" s="7" t="s">
        <v>113</v>
      </c>
      <c r="B11" s="7" t="s">
        <v>114</v>
      </c>
      <c r="C11" s="7" t="s">
        <v>54</v>
      </c>
      <c r="D11" s="7" t="s">
        <v>96</v>
      </c>
      <c r="E11" s="7" t="s">
        <v>115</v>
      </c>
      <c r="F11" s="7" t="s">
        <v>116</v>
      </c>
      <c r="G11" s="7" t="s">
        <v>53</v>
      </c>
      <c r="H11" s="7" t="s">
        <v>56</v>
      </c>
      <c r="I11" s="9" t="s">
        <v>78</v>
      </c>
      <c r="J11" s="7" t="s">
        <v>79</v>
      </c>
    </row>
    <row r="12" customFormat="false" ht="15" hidden="false" customHeight="false" outlineLevel="0" collapsed="false">
      <c r="A12" s="7" t="s">
        <v>117</v>
      </c>
      <c r="B12" s="7" t="s">
        <v>118</v>
      </c>
      <c r="C12" s="7" t="s">
        <v>54</v>
      </c>
      <c r="D12" s="7" t="s">
        <v>96</v>
      </c>
      <c r="E12" s="7" t="s">
        <v>115</v>
      </c>
      <c r="F12" s="7" t="s">
        <v>119</v>
      </c>
      <c r="G12" s="7" t="s">
        <v>53</v>
      </c>
      <c r="H12" s="7" t="s">
        <v>56</v>
      </c>
      <c r="I12" s="9" t="s">
        <v>78</v>
      </c>
      <c r="J12" s="7" t="s">
        <v>79</v>
      </c>
    </row>
    <row r="13" customFormat="false" ht="15" hidden="false" customHeight="false" outlineLevel="0" collapsed="false">
      <c r="A13" s="7" t="s">
        <v>120</v>
      </c>
      <c r="B13" s="7" t="s">
        <v>121</v>
      </c>
      <c r="C13" s="7" t="s">
        <v>54</v>
      </c>
      <c r="D13" s="7" t="s">
        <v>82</v>
      </c>
      <c r="E13" s="7" t="s">
        <v>122</v>
      </c>
      <c r="F13" s="7" t="s">
        <v>123</v>
      </c>
      <c r="G13" s="7" t="s">
        <v>53</v>
      </c>
      <c r="H13" s="7" t="s">
        <v>56</v>
      </c>
      <c r="I13" s="9" t="s">
        <v>78</v>
      </c>
      <c r="J13" s="7" t="s">
        <v>79</v>
      </c>
    </row>
    <row r="14" customFormat="false" ht="15" hidden="false" customHeight="false" outlineLevel="0" collapsed="false">
      <c r="A14" s="7" t="s">
        <v>124</v>
      </c>
      <c r="B14" s="7" t="s">
        <v>125</v>
      </c>
      <c r="C14" s="7" t="s">
        <v>54</v>
      </c>
      <c r="D14" s="7" t="s">
        <v>96</v>
      </c>
      <c r="E14" s="7" t="s">
        <v>97</v>
      </c>
      <c r="F14" s="7" t="s">
        <v>126</v>
      </c>
      <c r="G14" s="7" t="s">
        <v>53</v>
      </c>
      <c r="H14" s="7" t="s">
        <v>56</v>
      </c>
      <c r="I14" s="9" t="s">
        <v>78</v>
      </c>
      <c r="J14" s="7" t="s">
        <v>79</v>
      </c>
    </row>
    <row r="15" customFormat="false" ht="15" hidden="false" customHeight="false" outlineLevel="0" collapsed="false">
      <c r="A15" s="7" t="s">
        <v>127</v>
      </c>
      <c r="B15" s="7" t="s">
        <v>128</v>
      </c>
      <c r="C15" s="7" t="s">
        <v>54</v>
      </c>
      <c r="D15" s="7" t="s">
        <v>96</v>
      </c>
      <c r="E15" s="7" t="s">
        <v>129</v>
      </c>
      <c r="F15" s="7" t="s">
        <v>130</v>
      </c>
      <c r="G15" s="7" t="s">
        <v>53</v>
      </c>
      <c r="H15" s="7" t="s">
        <v>56</v>
      </c>
      <c r="I15" s="9" t="s">
        <v>78</v>
      </c>
      <c r="J15" s="7" t="s">
        <v>79</v>
      </c>
    </row>
    <row r="16" customFormat="false" ht="15" hidden="false" customHeight="false" outlineLevel="0" collapsed="false">
      <c r="A16" s="7" t="s">
        <v>131</v>
      </c>
      <c r="B16" s="7" t="s">
        <v>132</v>
      </c>
      <c r="C16" s="7" t="s">
        <v>57</v>
      </c>
      <c r="D16" s="7" t="s">
        <v>75</v>
      </c>
      <c r="E16" s="7" t="s">
        <v>133</v>
      </c>
      <c r="F16" s="7" t="s">
        <v>134</v>
      </c>
      <c r="G16" s="7" t="s">
        <v>53</v>
      </c>
      <c r="H16" s="7" t="s">
        <v>56</v>
      </c>
      <c r="I16" s="9" t="s">
        <v>78</v>
      </c>
      <c r="J16" s="7" t="s">
        <v>79</v>
      </c>
    </row>
    <row r="17" customFormat="false" ht="15" hidden="false" customHeight="false" outlineLevel="0" collapsed="false">
      <c r="A17" s="7" t="s">
        <v>135</v>
      </c>
      <c r="B17" s="7" t="s">
        <v>136</v>
      </c>
      <c r="C17" s="7" t="s">
        <v>57</v>
      </c>
      <c r="D17" s="7" t="s">
        <v>75</v>
      </c>
      <c r="E17" s="7" t="s">
        <v>137</v>
      </c>
      <c r="F17" s="7" t="s">
        <v>138</v>
      </c>
      <c r="G17" s="7" t="s">
        <v>53</v>
      </c>
      <c r="H17" s="7" t="s">
        <v>56</v>
      </c>
      <c r="I17" s="9" t="s">
        <v>78</v>
      </c>
      <c r="J17" s="7" t="s">
        <v>79</v>
      </c>
    </row>
    <row r="18" customFormat="false" ht="15" hidden="false" customHeight="false" outlineLevel="0" collapsed="false">
      <c r="A18" s="7" t="s">
        <v>139</v>
      </c>
      <c r="B18" s="7" t="s">
        <v>140</v>
      </c>
      <c r="C18" s="7" t="s">
        <v>57</v>
      </c>
      <c r="D18" s="7" t="s">
        <v>96</v>
      </c>
      <c r="E18" s="7" t="s">
        <v>141</v>
      </c>
      <c r="F18" s="7" t="s">
        <v>142</v>
      </c>
      <c r="G18" s="7" t="s">
        <v>53</v>
      </c>
      <c r="H18" s="7" t="s">
        <v>56</v>
      </c>
      <c r="I18" s="9" t="s">
        <v>78</v>
      </c>
      <c r="J18" s="7" t="s">
        <v>79</v>
      </c>
    </row>
    <row r="19" customFormat="false" ht="15" hidden="false" customHeight="false" outlineLevel="0" collapsed="false">
      <c r="A19" s="7" t="s">
        <v>143</v>
      </c>
      <c r="B19" s="7" t="s">
        <v>144</v>
      </c>
      <c r="C19" s="7" t="s">
        <v>57</v>
      </c>
      <c r="D19" s="7" t="s">
        <v>96</v>
      </c>
      <c r="E19" s="7" t="s">
        <v>145</v>
      </c>
      <c r="F19" s="7" t="s">
        <v>146</v>
      </c>
      <c r="G19" s="7" t="s">
        <v>53</v>
      </c>
      <c r="H19" s="7" t="s">
        <v>56</v>
      </c>
      <c r="I19" s="9" t="s">
        <v>78</v>
      </c>
      <c r="J19" s="7" t="s">
        <v>79</v>
      </c>
    </row>
    <row r="20" customFormat="false" ht="15" hidden="false" customHeight="false" outlineLevel="0" collapsed="false">
      <c r="A20" s="7" t="s">
        <v>147</v>
      </c>
      <c r="B20" s="7" t="s">
        <v>148</v>
      </c>
      <c r="C20" s="7" t="s">
        <v>57</v>
      </c>
      <c r="D20" s="7" t="s">
        <v>75</v>
      </c>
      <c r="E20" s="7" t="s">
        <v>149</v>
      </c>
      <c r="F20" s="7" t="s">
        <v>150</v>
      </c>
      <c r="G20" s="7" t="s">
        <v>53</v>
      </c>
      <c r="H20" s="7" t="s">
        <v>56</v>
      </c>
      <c r="I20" s="9" t="s">
        <v>78</v>
      </c>
      <c r="J20" s="7" t="s">
        <v>79</v>
      </c>
    </row>
    <row r="21" customFormat="false" ht="15" hidden="false" customHeight="false" outlineLevel="0" collapsed="false">
      <c r="A21" s="7" t="s">
        <v>151</v>
      </c>
      <c r="B21" s="7" t="s">
        <v>152</v>
      </c>
      <c r="C21" s="7" t="s">
        <v>57</v>
      </c>
      <c r="D21" s="7" t="s">
        <v>75</v>
      </c>
      <c r="E21" s="7" t="s">
        <v>137</v>
      </c>
      <c r="F21" s="7" t="s">
        <v>153</v>
      </c>
      <c r="G21" s="7" t="s">
        <v>53</v>
      </c>
      <c r="H21" s="7" t="s">
        <v>56</v>
      </c>
      <c r="I21" s="9" t="s">
        <v>78</v>
      </c>
      <c r="J21" s="7" t="s">
        <v>154</v>
      </c>
    </row>
    <row r="22" customFormat="false" ht="15" hidden="false" customHeight="false" outlineLevel="0" collapsed="false">
      <c r="A22" s="7" t="s">
        <v>155</v>
      </c>
      <c r="B22" s="7" t="s">
        <v>156</v>
      </c>
      <c r="C22" s="7" t="s">
        <v>58</v>
      </c>
      <c r="D22" s="7" t="s">
        <v>75</v>
      </c>
      <c r="E22" s="7" t="s">
        <v>157</v>
      </c>
      <c r="F22" s="7" t="s">
        <v>158</v>
      </c>
      <c r="G22" s="7" t="s">
        <v>53</v>
      </c>
      <c r="H22" s="7" t="s">
        <v>56</v>
      </c>
      <c r="I22" s="9" t="s">
        <v>78</v>
      </c>
      <c r="J22" s="7" t="s">
        <v>159</v>
      </c>
    </row>
    <row r="23" customFormat="false" ht="15" hidden="false" customHeight="false" outlineLevel="0" collapsed="false">
      <c r="A23" s="7" t="s">
        <v>160</v>
      </c>
      <c r="B23" s="7" t="s">
        <v>161</v>
      </c>
      <c r="C23" s="7" t="s">
        <v>58</v>
      </c>
      <c r="D23" s="7" t="s">
        <v>75</v>
      </c>
      <c r="E23" s="7" t="s">
        <v>157</v>
      </c>
      <c r="F23" s="7" t="s">
        <v>162</v>
      </c>
      <c r="G23" s="7" t="s">
        <v>53</v>
      </c>
      <c r="H23" s="7" t="s">
        <v>56</v>
      </c>
      <c r="I23" s="9" t="s">
        <v>78</v>
      </c>
      <c r="J23" s="7" t="s">
        <v>159</v>
      </c>
    </row>
    <row r="24" customFormat="false" ht="15" hidden="false" customHeight="false" outlineLevel="0" collapsed="false">
      <c r="A24" s="7" t="s">
        <v>163</v>
      </c>
      <c r="B24" s="7" t="s">
        <v>164</v>
      </c>
      <c r="C24" s="7" t="s">
        <v>58</v>
      </c>
      <c r="D24" s="7" t="s">
        <v>75</v>
      </c>
      <c r="E24" s="7" t="s">
        <v>157</v>
      </c>
      <c r="F24" s="7" t="s">
        <v>165</v>
      </c>
      <c r="G24" s="7" t="s">
        <v>53</v>
      </c>
      <c r="H24" s="7" t="s">
        <v>56</v>
      </c>
      <c r="I24" s="9" t="s">
        <v>78</v>
      </c>
      <c r="J24" s="7" t="s">
        <v>159</v>
      </c>
    </row>
    <row r="25" customFormat="false" ht="15" hidden="false" customHeight="false" outlineLevel="0" collapsed="false">
      <c r="A25" s="7" t="s">
        <v>166</v>
      </c>
      <c r="B25" s="7" t="s">
        <v>167</v>
      </c>
      <c r="C25" s="7" t="s">
        <v>58</v>
      </c>
      <c r="D25" s="7" t="s">
        <v>75</v>
      </c>
      <c r="E25" s="7" t="s">
        <v>137</v>
      </c>
      <c r="F25" s="7" t="s">
        <v>168</v>
      </c>
      <c r="G25" s="7" t="s">
        <v>53</v>
      </c>
      <c r="H25" s="7" t="s">
        <v>56</v>
      </c>
      <c r="I25" s="9" t="s">
        <v>78</v>
      </c>
      <c r="J25" s="7" t="s">
        <v>169</v>
      </c>
    </row>
    <row r="26" customFormat="false" ht="15" hidden="false" customHeight="false" outlineLevel="0" collapsed="false">
      <c r="A26" s="7" t="s">
        <v>170</v>
      </c>
      <c r="B26" s="7" t="s">
        <v>171</v>
      </c>
      <c r="C26" s="7" t="s">
        <v>58</v>
      </c>
      <c r="D26" s="7" t="s">
        <v>82</v>
      </c>
      <c r="E26" s="7" t="s">
        <v>87</v>
      </c>
      <c r="F26" s="7" t="s">
        <v>172</v>
      </c>
      <c r="G26" s="7" t="s">
        <v>53</v>
      </c>
      <c r="H26" s="7" t="s">
        <v>56</v>
      </c>
      <c r="I26" s="9" t="s">
        <v>78</v>
      </c>
      <c r="J26" s="7" t="s">
        <v>159</v>
      </c>
    </row>
    <row r="27" customFormat="false" ht="15" hidden="false" customHeight="false" outlineLevel="0" collapsed="false">
      <c r="A27" s="7" t="s">
        <v>173</v>
      </c>
      <c r="B27" s="7" t="s">
        <v>174</v>
      </c>
      <c r="C27" s="7" t="s">
        <v>58</v>
      </c>
      <c r="D27" s="7" t="s">
        <v>91</v>
      </c>
      <c r="E27" s="7" t="s">
        <v>175</v>
      </c>
      <c r="F27" s="7" t="s">
        <v>176</v>
      </c>
      <c r="G27" s="7" t="s">
        <v>53</v>
      </c>
      <c r="H27" s="7" t="s">
        <v>56</v>
      </c>
      <c r="I27" s="9" t="s">
        <v>78</v>
      </c>
      <c r="J27" s="7" t="s">
        <v>177</v>
      </c>
    </row>
    <row r="28" customFormat="false" ht="15" hidden="false" customHeight="false" outlineLevel="0" collapsed="false">
      <c r="A28" s="7" t="s">
        <v>178</v>
      </c>
      <c r="B28" s="7" t="s">
        <v>179</v>
      </c>
      <c r="C28" s="7" t="s">
        <v>58</v>
      </c>
      <c r="D28" s="7" t="s">
        <v>96</v>
      </c>
      <c r="E28" s="7" t="s">
        <v>105</v>
      </c>
      <c r="F28" s="7" t="s">
        <v>180</v>
      </c>
      <c r="G28" s="7" t="s">
        <v>53</v>
      </c>
      <c r="H28" s="7" t="s">
        <v>56</v>
      </c>
      <c r="I28" s="9" t="s">
        <v>78</v>
      </c>
      <c r="J28" s="7" t="s">
        <v>181</v>
      </c>
    </row>
    <row r="29" customFormat="false" ht="15" hidden="false" customHeight="false" outlineLevel="0" collapsed="false">
      <c r="A29" s="7" t="s">
        <v>182</v>
      </c>
      <c r="B29" s="7" t="s">
        <v>183</v>
      </c>
      <c r="C29" s="7" t="s">
        <v>58</v>
      </c>
      <c r="D29" s="7" t="s">
        <v>96</v>
      </c>
      <c r="E29" s="7" t="s">
        <v>184</v>
      </c>
      <c r="F29" s="7" t="s">
        <v>185</v>
      </c>
      <c r="G29" s="7" t="s">
        <v>53</v>
      </c>
      <c r="H29" s="7" t="s">
        <v>56</v>
      </c>
      <c r="I29" s="9" t="s">
        <v>78</v>
      </c>
      <c r="J29" s="7" t="s">
        <v>159</v>
      </c>
    </row>
    <row r="30" customFormat="false" ht="15" hidden="false" customHeight="false" outlineLevel="0" collapsed="false">
      <c r="A30" s="7" t="s">
        <v>186</v>
      </c>
      <c r="B30" s="7" t="s">
        <v>187</v>
      </c>
      <c r="C30" s="7" t="s">
        <v>58</v>
      </c>
      <c r="D30" s="7" t="s">
        <v>96</v>
      </c>
      <c r="E30" s="7" t="s">
        <v>188</v>
      </c>
      <c r="F30" s="7" t="s">
        <v>189</v>
      </c>
      <c r="G30" s="7" t="s">
        <v>53</v>
      </c>
      <c r="H30" s="7" t="s">
        <v>56</v>
      </c>
      <c r="I30" s="9" t="s">
        <v>78</v>
      </c>
      <c r="J30" s="7" t="s">
        <v>159</v>
      </c>
    </row>
  </sheetData>
  <dataValidations count="3">
    <dataValidation allowBlank="false" errorStyle="stop" operator="between" showDropDown="false" showErrorMessage="false" showInputMessage="false" sqref="C2:C500" type="list">
      <formula1>"Direct Tax,GST,Payroll"</formula1>
      <formula2>0</formula2>
    </dataValidation>
    <dataValidation allowBlank="false" errorStyle="stop" operator="between" showDropDown="false" showErrorMessage="false" showInputMessage="false" sqref="D2:D500" type="list">
      <formula1>"Monthly,Quarterly,Half-Yearly,Annual"</formula1>
      <formula2>0</formula2>
    </dataValidation>
    <dataValidation allowBlank="false" errorStyle="stop" operator="between" showDropDown="false" showErrorMessage="false" showInputMessage="false" sqref="I2:I50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24"/>
    <col collapsed="false" customWidth="true" hidden="false" outlineLevel="0" max="8" min="8" style="0" width="18"/>
    <col collapsed="false" customWidth="true" hidden="false" outlineLevel="0" max="9" min="9" style="0" width="24"/>
    <col collapsed="false" customWidth="true" hidden="false" outlineLevel="0" max="10" min="10" style="0" width="18"/>
    <col collapsed="false" customWidth="true" hidden="false" outlineLevel="0" max="11" min="11" style="0" width="24"/>
    <col collapsed="false" customWidth="true" hidden="false" outlineLevel="0" max="12" min="12" style="0" width="18"/>
    <col collapsed="false" customWidth="true" hidden="false" outlineLevel="0" max="13" min="13" style="0" width="10"/>
    <col collapsed="false" customWidth="true" hidden="false" outlineLevel="0" max="15" min="14" style="0" width="12"/>
    <col collapsed="false" customWidth="true" hidden="false" outlineLevel="0" max="16" min="16" style="0" width="13"/>
    <col collapsed="false" customWidth="true" hidden="false" outlineLevel="0" max="17" min="17" style="0" width="12"/>
    <col collapsed="false" customWidth="true" hidden="false" outlineLevel="0" max="19" min="18" style="0" width="11"/>
    <col collapsed="false" customWidth="true" hidden="false" outlineLevel="0" max="20" min="20" style="0" width="26"/>
    <col collapsed="false" customWidth="true" hidden="false" outlineLevel="0" max="21" min="21" style="0" width="16"/>
    <col collapsed="false" customWidth="true" hidden="false" outlineLevel="0" max="22" min="22" style="0" width="20"/>
  </cols>
  <sheetData>
    <row r="1" customFormat="false" ht="39.55" hidden="false" customHeight="false" outlineLevel="0" collapsed="false">
      <c r="A1" s="6" t="s">
        <v>190</v>
      </c>
      <c r="B1" s="6" t="s">
        <v>63</v>
      </c>
      <c r="C1" s="6" t="s">
        <v>64</v>
      </c>
      <c r="D1" s="6" t="s">
        <v>49</v>
      </c>
      <c r="E1" s="6" t="s">
        <v>65</v>
      </c>
      <c r="F1" s="6" t="s">
        <v>191</v>
      </c>
      <c r="G1" s="6" t="s">
        <v>68</v>
      </c>
      <c r="H1" s="6" t="s">
        <v>192</v>
      </c>
      <c r="I1" s="6" t="s">
        <v>69</v>
      </c>
      <c r="J1" s="6" t="s">
        <v>193</v>
      </c>
      <c r="K1" s="6" t="s">
        <v>194</v>
      </c>
      <c r="L1" s="6" t="s">
        <v>195</v>
      </c>
      <c r="M1" s="6" t="s">
        <v>67</v>
      </c>
      <c r="N1" s="6" t="s">
        <v>196</v>
      </c>
      <c r="O1" s="6" t="s">
        <v>197</v>
      </c>
      <c r="P1" s="6" t="s">
        <v>198</v>
      </c>
      <c r="Q1" s="6" t="s">
        <v>199</v>
      </c>
      <c r="R1" s="6" t="s">
        <v>200</v>
      </c>
      <c r="S1" s="6" t="s">
        <v>201</v>
      </c>
      <c r="T1" s="6" t="s">
        <v>202</v>
      </c>
      <c r="U1" s="6" t="s">
        <v>203</v>
      </c>
      <c r="V1" s="6" t="s">
        <v>204</v>
      </c>
    </row>
    <row r="2" customFormat="false" ht="15" hidden="false" customHeight="false" outlineLevel="0" collapsed="false">
      <c r="A2" s="10" t="s">
        <v>205</v>
      </c>
      <c r="B2" s="10" t="s">
        <v>73</v>
      </c>
      <c r="C2" s="10" t="s">
        <v>74</v>
      </c>
      <c r="D2" s="10" t="s">
        <v>54</v>
      </c>
      <c r="E2" s="10" t="s">
        <v>75</v>
      </c>
      <c r="F2" s="11" t="n">
        <v>46119</v>
      </c>
      <c r="G2" s="10" t="s">
        <v>53</v>
      </c>
      <c r="H2" s="12" t="str">
        <f aca="false">IFERROR(INDEX(Users!$A:$A,MATCH($G2,Users!$B:$B,0)),"")</f>
        <v>Ritesh Garodia</v>
      </c>
      <c r="I2" s="10" t="s">
        <v>56</v>
      </c>
      <c r="J2" s="12" t="str">
        <f aca="false">IFERROR(INDEX(Users!$A:$A,MATCH($I2,Users!$B:$B,0)),"")</f>
        <v>Ritesh Garodia</v>
      </c>
      <c r="K2" s="12" t="str">
        <f aca="false">Users!$B$6</f>
        <v>garodia1.ritesh@gmail.com</v>
      </c>
      <c r="L2" s="12" t="str">
        <f aca="false">Users!$A$6</f>
        <v>Ritesh Garodia</v>
      </c>
      <c r="M2" s="10" t="s">
        <v>77</v>
      </c>
      <c r="N2" s="13"/>
      <c r="O2" s="13"/>
      <c r="P2" s="14"/>
      <c r="Q2" s="15" t="s">
        <v>206</v>
      </c>
      <c r="R2" s="16" t="n">
        <f aca="true">$F2-TODAY()</f>
        <v>-166</v>
      </c>
      <c r="S2" s="16" t="str">
        <f aca="true">IF($Q2="Y","Completed",IF(TODAY()&gt;$F2,"Overdue","Pending"))</f>
        <v>Overdue</v>
      </c>
      <c r="T2" s="16" t="str">
        <f aca="false">IF($Q2="Y","-",IF($R2&lt;=0,"Stage 3 - Final/Daily (due or overdue)",IF($R2=1,"Stage 2 - T-1 (CC Supervisor)",IF($R2=2,"Stage 1 - T-2","Not yet due"))))</f>
        <v>Stage 3 - Final/Daily (due or overdue)</v>
      </c>
      <c r="U2" s="10"/>
      <c r="V2" s="10"/>
    </row>
    <row r="3" customFormat="false" ht="15" hidden="false" customHeight="false" outlineLevel="0" collapsed="false">
      <c r="A3" s="10" t="s">
        <v>207</v>
      </c>
      <c r="B3" s="10" t="s">
        <v>73</v>
      </c>
      <c r="C3" s="10" t="s">
        <v>74</v>
      </c>
      <c r="D3" s="10" t="s">
        <v>54</v>
      </c>
      <c r="E3" s="10" t="s">
        <v>75</v>
      </c>
      <c r="F3" s="11" t="n">
        <v>46149</v>
      </c>
      <c r="G3" s="10" t="s">
        <v>53</v>
      </c>
      <c r="H3" s="12" t="str">
        <f aca="false">IFERROR(INDEX(Users!$A:$A,MATCH($G3,Users!$B:$B,0)),"")</f>
        <v>Ritesh Garodia</v>
      </c>
      <c r="I3" s="10" t="s">
        <v>56</v>
      </c>
      <c r="J3" s="12" t="str">
        <f aca="false">IFERROR(INDEX(Users!$A:$A,MATCH($I3,Users!$B:$B,0)),"")</f>
        <v>Ritesh Garodia</v>
      </c>
      <c r="K3" s="12" t="str">
        <f aca="false">Users!$B$6</f>
        <v>garodia1.ritesh@gmail.com</v>
      </c>
      <c r="L3" s="12" t="str">
        <f aca="false">Users!$A$6</f>
        <v>Ritesh Garodia</v>
      </c>
      <c r="M3" s="10" t="s">
        <v>77</v>
      </c>
      <c r="N3" s="13"/>
      <c r="O3" s="13"/>
      <c r="P3" s="14"/>
      <c r="Q3" s="15" t="s">
        <v>206</v>
      </c>
      <c r="R3" s="16" t="n">
        <f aca="true">$F3-TODAY()</f>
        <v>-136</v>
      </c>
      <c r="S3" s="16" t="str">
        <f aca="true">IF($Q3="Y","Completed",IF(TODAY()&gt;$F3,"Overdue","Pending"))</f>
        <v>Overdue</v>
      </c>
      <c r="T3" s="16" t="str">
        <f aca="false">IF($Q3="Y","-",IF($R3&lt;=0,"Stage 3 - Final/Daily (due or overdue)",IF($R3=1,"Stage 2 - T-1 (CC Supervisor)",IF($R3=2,"Stage 1 - T-2","Not yet due"))))</f>
        <v>Stage 3 - Final/Daily (due or overdue)</v>
      </c>
      <c r="U3" s="10"/>
      <c r="V3" s="10"/>
    </row>
    <row r="4" customFormat="false" ht="15" hidden="false" customHeight="false" outlineLevel="0" collapsed="false">
      <c r="A4" s="10" t="s">
        <v>208</v>
      </c>
      <c r="B4" s="10" t="s">
        <v>73</v>
      </c>
      <c r="C4" s="10" t="s">
        <v>74</v>
      </c>
      <c r="D4" s="10" t="s">
        <v>54</v>
      </c>
      <c r="E4" s="10" t="s">
        <v>75</v>
      </c>
      <c r="F4" s="11" t="n">
        <v>46180</v>
      </c>
      <c r="G4" s="10" t="s">
        <v>53</v>
      </c>
      <c r="H4" s="12" t="str">
        <f aca="false">IFERROR(INDEX(Users!$A:$A,MATCH($G4,Users!$B:$B,0)),"")</f>
        <v>Ritesh Garodia</v>
      </c>
      <c r="I4" s="10" t="s">
        <v>56</v>
      </c>
      <c r="J4" s="12" t="str">
        <f aca="false">IFERROR(INDEX(Users!$A:$A,MATCH($I4,Users!$B:$B,0)),"")</f>
        <v>Ritesh Garodia</v>
      </c>
      <c r="K4" s="12" t="str">
        <f aca="false">Users!$B$6</f>
        <v>garodia1.ritesh@gmail.com</v>
      </c>
      <c r="L4" s="12" t="str">
        <f aca="false">Users!$A$6</f>
        <v>Ritesh Garodia</v>
      </c>
      <c r="M4" s="10" t="s">
        <v>77</v>
      </c>
      <c r="N4" s="13"/>
      <c r="O4" s="13"/>
      <c r="P4" s="14"/>
      <c r="Q4" s="15" t="s">
        <v>206</v>
      </c>
      <c r="R4" s="16" t="n">
        <f aca="true">$F4-TODAY()</f>
        <v>-105</v>
      </c>
      <c r="S4" s="16" t="str">
        <f aca="true">IF($Q4="Y","Completed",IF(TODAY()&gt;$F4,"Overdue","Pending"))</f>
        <v>Overdue</v>
      </c>
      <c r="T4" s="16" t="str">
        <f aca="false">IF($Q4="Y","-",IF($R4&lt;=0,"Stage 3 - Final/Daily (due or overdue)",IF($R4=1,"Stage 2 - T-1 (CC Supervisor)",IF($R4=2,"Stage 1 - T-2","Not yet due"))))</f>
        <v>Stage 3 - Final/Daily (due or overdue)</v>
      </c>
      <c r="U4" s="10"/>
      <c r="V4" s="10"/>
    </row>
    <row r="5" customFormat="false" ht="15" hidden="false" customHeight="false" outlineLevel="0" collapsed="false">
      <c r="A5" s="10" t="s">
        <v>209</v>
      </c>
      <c r="B5" s="10" t="s">
        <v>73</v>
      </c>
      <c r="C5" s="10" t="s">
        <v>74</v>
      </c>
      <c r="D5" s="10" t="s">
        <v>54</v>
      </c>
      <c r="E5" s="10" t="s">
        <v>75</v>
      </c>
      <c r="F5" s="11" t="n">
        <v>46210</v>
      </c>
      <c r="G5" s="10" t="s">
        <v>53</v>
      </c>
      <c r="H5" s="12" t="str">
        <f aca="false">IFERROR(INDEX(Users!$A:$A,MATCH($G5,Users!$B:$B,0)),"")</f>
        <v>Ritesh Garodia</v>
      </c>
      <c r="I5" s="10" t="s">
        <v>56</v>
      </c>
      <c r="J5" s="12" t="str">
        <f aca="false">IFERROR(INDEX(Users!$A:$A,MATCH($I5,Users!$B:$B,0)),"")</f>
        <v>Ritesh Garodia</v>
      </c>
      <c r="K5" s="12" t="str">
        <f aca="false">Users!$B$6</f>
        <v>garodia1.ritesh@gmail.com</v>
      </c>
      <c r="L5" s="12" t="str">
        <f aca="false">Users!$A$6</f>
        <v>Ritesh Garodia</v>
      </c>
      <c r="M5" s="10" t="s">
        <v>77</v>
      </c>
      <c r="N5" s="13"/>
      <c r="O5" s="13"/>
      <c r="P5" s="14"/>
      <c r="Q5" s="15" t="s">
        <v>206</v>
      </c>
      <c r="R5" s="16" t="n">
        <f aca="true">$F5-TODAY()</f>
        <v>-75</v>
      </c>
      <c r="S5" s="16" t="str">
        <f aca="true">IF($Q5="Y","Completed",IF(TODAY()&gt;$F5,"Overdue","Pending"))</f>
        <v>Overdue</v>
      </c>
      <c r="T5" s="16" t="str">
        <f aca="false">IF($Q5="Y","-",IF($R5&lt;=0,"Stage 3 - Final/Daily (due or overdue)",IF($R5=1,"Stage 2 - T-1 (CC Supervisor)",IF($R5=2,"Stage 1 - T-2","Not yet due"))))</f>
        <v>Stage 3 - Final/Daily (due or overdue)</v>
      </c>
      <c r="U5" s="10"/>
      <c r="V5" s="10"/>
    </row>
    <row r="6" customFormat="false" ht="15" hidden="false" customHeight="false" outlineLevel="0" collapsed="false">
      <c r="A6" s="10" t="s">
        <v>210</v>
      </c>
      <c r="B6" s="10" t="s">
        <v>73</v>
      </c>
      <c r="C6" s="10" t="s">
        <v>74</v>
      </c>
      <c r="D6" s="10" t="s">
        <v>54</v>
      </c>
      <c r="E6" s="10" t="s">
        <v>75</v>
      </c>
      <c r="F6" s="11" t="n">
        <v>46241</v>
      </c>
      <c r="G6" s="10" t="s">
        <v>53</v>
      </c>
      <c r="H6" s="12" t="str">
        <f aca="false">IFERROR(INDEX(Users!$A:$A,MATCH($G6,Users!$B:$B,0)),"")</f>
        <v>Ritesh Garodia</v>
      </c>
      <c r="I6" s="10" t="s">
        <v>56</v>
      </c>
      <c r="J6" s="12" t="str">
        <f aca="false">IFERROR(INDEX(Users!$A:$A,MATCH($I6,Users!$B:$B,0)),"")</f>
        <v>Ritesh Garodia</v>
      </c>
      <c r="K6" s="12" t="str">
        <f aca="false">Users!$B$6</f>
        <v>garodia1.ritesh@gmail.com</v>
      </c>
      <c r="L6" s="12" t="str">
        <f aca="false">Users!$A$6</f>
        <v>Ritesh Garodia</v>
      </c>
      <c r="M6" s="10" t="s">
        <v>77</v>
      </c>
      <c r="N6" s="13"/>
      <c r="O6" s="13"/>
      <c r="P6" s="14"/>
      <c r="Q6" s="15" t="s">
        <v>206</v>
      </c>
      <c r="R6" s="16" t="n">
        <f aca="true">$F6-TODAY()</f>
        <v>-44</v>
      </c>
      <c r="S6" s="16" t="str">
        <f aca="true">IF($Q6="Y","Completed",IF(TODAY()&gt;$F6,"Overdue","Pending"))</f>
        <v>Overdue</v>
      </c>
      <c r="T6" s="16" t="str">
        <f aca="false">IF($Q6="Y","-",IF($R6&lt;=0,"Stage 3 - Final/Daily (due or overdue)",IF($R6=1,"Stage 2 - T-1 (CC Supervisor)",IF($R6=2,"Stage 1 - T-2","Not yet due"))))</f>
        <v>Stage 3 - Final/Daily (due or overdue)</v>
      </c>
      <c r="U6" s="10"/>
      <c r="V6" s="10"/>
    </row>
    <row r="7" customFormat="false" ht="15" hidden="false" customHeight="false" outlineLevel="0" collapsed="false">
      <c r="A7" s="10" t="s">
        <v>211</v>
      </c>
      <c r="B7" s="10" t="s">
        <v>73</v>
      </c>
      <c r="C7" s="10" t="s">
        <v>74</v>
      </c>
      <c r="D7" s="10" t="s">
        <v>54</v>
      </c>
      <c r="E7" s="10" t="s">
        <v>75</v>
      </c>
      <c r="F7" s="11" t="n">
        <v>46272</v>
      </c>
      <c r="G7" s="10" t="s">
        <v>53</v>
      </c>
      <c r="H7" s="12" t="str">
        <f aca="false">IFERROR(INDEX(Users!$A:$A,MATCH($G7,Users!$B:$B,0)),"")</f>
        <v>Ritesh Garodia</v>
      </c>
      <c r="I7" s="10" t="s">
        <v>56</v>
      </c>
      <c r="J7" s="12" t="str">
        <f aca="false">IFERROR(INDEX(Users!$A:$A,MATCH($I7,Users!$B:$B,0)),"")</f>
        <v>Ritesh Garodia</v>
      </c>
      <c r="K7" s="12" t="str">
        <f aca="false">Users!$B$6</f>
        <v>garodia1.ritesh@gmail.com</v>
      </c>
      <c r="L7" s="12" t="str">
        <f aca="false">Users!$A$6</f>
        <v>Ritesh Garodia</v>
      </c>
      <c r="M7" s="10" t="s">
        <v>77</v>
      </c>
      <c r="N7" s="13"/>
      <c r="O7" s="13"/>
      <c r="P7" s="14"/>
      <c r="Q7" s="15" t="s">
        <v>206</v>
      </c>
      <c r="R7" s="16" t="n">
        <f aca="true">$F7-TODAY()</f>
        <v>-13</v>
      </c>
      <c r="S7" s="16" t="str">
        <f aca="true">IF($Q7="Y","Completed",IF(TODAY()&gt;$F7,"Overdue","Pending"))</f>
        <v>Overdue</v>
      </c>
      <c r="T7" s="16" t="str">
        <f aca="false">IF($Q7="Y","-",IF($R7&lt;=0,"Stage 3 - Final/Daily (due or overdue)",IF($R7=1,"Stage 2 - T-1 (CC Supervisor)",IF($R7=2,"Stage 1 - T-2","Not yet due"))))</f>
        <v>Stage 3 - Final/Daily (due or overdue)</v>
      </c>
      <c r="U7" s="10"/>
      <c r="V7" s="10"/>
    </row>
    <row r="8" customFormat="false" ht="15" hidden="false" customHeight="false" outlineLevel="0" collapsed="false">
      <c r="A8" s="10" t="s">
        <v>212</v>
      </c>
      <c r="B8" s="10" t="s">
        <v>73</v>
      </c>
      <c r="C8" s="10" t="s">
        <v>74</v>
      </c>
      <c r="D8" s="10" t="s">
        <v>54</v>
      </c>
      <c r="E8" s="10" t="s">
        <v>75</v>
      </c>
      <c r="F8" s="11" t="n">
        <v>46302</v>
      </c>
      <c r="G8" s="10" t="s">
        <v>53</v>
      </c>
      <c r="H8" s="12" t="str">
        <f aca="false">IFERROR(INDEX(Users!$A:$A,MATCH($G8,Users!$B:$B,0)),"")</f>
        <v>Ritesh Garodia</v>
      </c>
      <c r="I8" s="10" t="s">
        <v>56</v>
      </c>
      <c r="J8" s="12" t="str">
        <f aca="false">IFERROR(INDEX(Users!$A:$A,MATCH($I8,Users!$B:$B,0)),"")</f>
        <v>Ritesh Garodia</v>
      </c>
      <c r="K8" s="12" t="str">
        <f aca="false">Users!$B$6</f>
        <v>garodia1.ritesh@gmail.com</v>
      </c>
      <c r="L8" s="12" t="str">
        <f aca="false">Users!$A$6</f>
        <v>Ritesh Garodia</v>
      </c>
      <c r="M8" s="10" t="s">
        <v>77</v>
      </c>
      <c r="N8" s="13"/>
      <c r="O8" s="13"/>
      <c r="P8" s="14"/>
      <c r="Q8" s="15" t="s">
        <v>206</v>
      </c>
      <c r="R8" s="16" t="n">
        <f aca="true">$F8-TODAY()</f>
        <v>17</v>
      </c>
      <c r="S8" s="16" t="str">
        <f aca="true">IF($Q8="Y","Completed",IF(TODAY()&gt;$F8,"Overdue","Pending"))</f>
        <v>Pending</v>
      </c>
      <c r="T8" s="16" t="str">
        <f aca="false">IF($Q8="Y","-",IF($R8&lt;=0,"Stage 3 - Final/Daily (due or overdue)",IF($R8=1,"Stage 2 - T-1 (CC Supervisor)",IF($R8=2,"Stage 1 - T-2","Not yet due"))))</f>
        <v>Not yet due</v>
      </c>
      <c r="U8" s="10"/>
      <c r="V8" s="10"/>
    </row>
    <row r="9" customFormat="false" ht="15" hidden="false" customHeight="false" outlineLevel="0" collapsed="false">
      <c r="A9" s="10" t="s">
        <v>213</v>
      </c>
      <c r="B9" s="10" t="s">
        <v>73</v>
      </c>
      <c r="C9" s="10" t="s">
        <v>74</v>
      </c>
      <c r="D9" s="10" t="s">
        <v>54</v>
      </c>
      <c r="E9" s="10" t="s">
        <v>75</v>
      </c>
      <c r="F9" s="11" t="n">
        <v>46333</v>
      </c>
      <c r="G9" s="10" t="s">
        <v>53</v>
      </c>
      <c r="H9" s="12" t="str">
        <f aca="false">IFERROR(INDEX(Users!$A:$A,MATCH($G9,Users!$B:$B,0)),"")</f>
        <v>Ritesh Garodia</v>
      </c>
      <c r="I9" s="10" t="s">
        <v>56</v>
      </c>
      <c r="J9" s="12" t="str">
        <f aca="false">IFERROR(INDEX(Users!$A:$A,MATCH($I9,Users!$B:$B,0)),"")</f>
        <v>Ritesh Garodia</v>
      </c>
      <c r="K9" s="12" t="str">
        <f aca="false">Users!$B$6</f>
        <v>garodia1.ritesh@gmail.com</v>
      </c>
      <c r="L9" s="12" t="str">
        <f aca="false">Users!$A$6</f>
        <v>Ritesh Garodia</v>
      </c>
      <c r="M9" s="10" t="s">
        <v>77</v>
      </c>
      <c r="N9" s="13"/>
      <c r="O9" s="13"/>
      <c r="P9" s="14"/>
      <c r="Q9" s="15" t="s">
        <v>206</v>
      </c>
      <c r="R9" s="16" t="n">
        <f aca="true">$F9-TODAY()</f>
        <v>48</v>
      </c>
      <c r="S9" s="16" t="str">
        <f aca="true">IF($Q9="Y","Completed",IF(TODAY()&gt;$F9,"Overdue","Pending"))</f>
        <v>Pending</v>
      </c>
      <c r="T9" s="16" t="str">
        <f aca="false">IF($Q9="Y","-",IF($R9&lt;=0,"Stage 3 - Final/Daily (due or overdue)",IF($R9=1,"Stage 2 - T-1 (CC Supervisor)",IF($R9=2,"Stage 1 - T-2","Not yet due"))))</f>
        <v>Not yet due</v>
      </c>
      <c r="U9" s="10"/>
      <c r="V9" s="10"/>
    </row>
    <row r="10" customFormat="false" ht="15" hidden="false" customHeight="false" outlineLevel="0" collapsed="false">
      <c r="A10" s="10" t="s">
        <v>214</v>
      </c>
      <c r="B10" s="10" t="s">
        <v>73</v>
      </c>
      <c r="C10" s="10" t="s">
        <v>74</v>
      </c>
      <c r="D10" s="10" t="s">
        <v>54</v>
      </c>
      <c r="E10" s="10" t="s">
        <v>75</v>
      </c>
      <c r="F10" s="11" t="n">
        <v>46363</v>
      </c>
      <c r="G10" s="10" t="s">
        <v>53</v>
      </c>
      <c r="H10" s="12" t="str">
        <f aca="false">IFERROR(INDEX(Users!$A:$A,MATCH($G10,Users!$B:$B,0)),"")</f>
        <v>Ritesh Garodia</v>
      </c>
      <c r="I10" s="10" t="s">
        <v>56</v>
      </c>
      <c r="J10" s="12" t="str">
        <f aca="false">IFERROR(INDEX(Users!$A:$A,MATCH($I10,Users!$B:$B,0)),"")</f>
        <v>Ritesh Garodia</v>
      </c>
      <c r="K10" s="12" t="str">
        <f aca="false">Users!$B$6</f>
        <v>garodia1.ritesh@gmail.com</v>
      </c>
      <c r="L10" s="12" t="str">
        <f aca="false">Users!$A$6</f>
        <v>Ritesh Garodia</v>
      </c>
      <c r="M10" s="10" t="s">
        <v>77</v>
      </c>
      <c r="N10" s="13"/>
      <c r="O10" s="13"/>
      <c r="P10" s="14"/>
      <c r="Q10" s="15" t="s">
        <v>206</v>
      </c>
      <c r="R10" s="16" t="n">
        <f aca="true">$F10-TODAY()</f>
        <v>78</v>
      </c>
      <c r="S10" s="16" t="str">
        <f aca="true">IF($Q10="Y","Completed",IF(TODAY()&gt;$F10,"Overdue","Pending"))</f>
        <v>Pending</v>
      </c>
      <c r="T10" s="16" t="str">
        <f aca="false">IF($Q10="Y","-",IF($R10&lt;=0,"Stage 3 - Final/Daily (due or overdue)",IF($R10=1,"Stage 2 - T-1 (CC Supervisor)",IF($R10=2,"Stage 1 - T-2","Not yet due"))))</f>
        <v>Not yet due</v>
      </c>
      <c r="U10" s="10"/>
      <c r="V10" s="10"/>
    </row>
    <row r="11" customFormat="false" ht="15" hidden="false" customHeight="false" outlineLevel="0" collapsed="false">
      <c r="A11" s="10" t="s">
        <v>215</v>
      </c>
      <c r="B11" s="10" t="s">
        <v>73</v>
      </c>
      <c r="C11" s="10" t="s">
        <v>74</v>
      </c>
      <c r="D11" s="10" t="s">
        <v>54</v>
      </c>
      <c r="E11" s="10" t="s">
        <v>75</v>
      </c>
      <c r="F11" s="11" t="n">
        <v>46394</v>
      </c>
      <c r="G11" s="10" t="s">
        <v>53</v>
      </c>
      <c r="H11" s="12" t="str">
        <f aca="false">IFERROR(INDEX(Users!$A:$A,MATCH($G11,Users!$B:$B,0)),"")</f>
        <v>Ritesh Garodia</v>
      </c>
      <c r="I11" s="10" t="s">
        <v>56</v>
      </c>
      <c r="J11" s="12" t="str">
        <f aca="false">IFERROR(INDEX(Users!$A:$A,MATCH($I11,Users!$B:$B,0)),"")</f>
        <v>Ritesh Garodia</v>
      </c>
      <c r="K11" s="12" t="str">
        <f aca="false">Users!$B$6</f>
        <v>garodia1.ritesh@gmail.com</v>
      </c>
      <c r="L11" s="12" t="str">
        <f aca="false">Users!$A$6</f>
        <v>Ritesh Garodia</v>
      </c>
      <c r="M11" s="10" t="s">
        <v>77</v>
      </c>
      <c r="N11" s="13"/>
      <c r="O11" s="13"/>
      <c r="P11" s="14"/>
      <c r="Q11" s="15" t="s">
        <v>206</v>
      </c>
      <c r="R11" s="16" t="n">
        <f aca="true">$F11-TODAY()</f>
        <v>109</v>
      </c>
      <c r="S11" s="16" t="str">
        <f aca="true">IF($Q11="Y","Completed",IF(TODAY()&gt;$F11,"Overdue","Pending"))</f>
        <v>Pending</v>
      </c>
      <c r="T11" s="16" t="str">
        <f aca="false">IF($Q11="Y","-",IF($R11&lt;=0,"Stage 3 - Final/Daily (due or overdue)",IF($R11=1,"Stage 2 - T-1 (CC Supervisor)",IF($R11=2,"Stage 1 - T-2","Not yet due"))))</f>
        <v>Not yet due</v>
      </c>
      <c r="U11" s="10"/>
      <c r="V11" s="10"/>
    </row>
    <row r="12" customFormat="false" ht="15" hidden="false" customHeight="false" outlineLevel="0" collapsed="false">
      <c r="A12" s="10" t="s">
        <v>216</v>
      </c>
      <c r="B12" s="10" t="s">
        <v>73</v>
      </c>
      <c r="C12" s="10" t="s">
        <v>74</v>
      </c>
      <c r="D12" s="10" t="s">
        <v>54</v>
      </c>
      <c r="E12" s="10" t="s">
        <v>75</v>
      </c>
      <c r="F12" s="11" t="n">
        <v>46425</v>
      </c>
      <c r="G12" s="10" t="s">
        <v>53</v>
      </c>
      <c r="H12" s="12" t="str">
        <f aca="false">IFERROR(INDEX(Users!$A:$A,MATCH($G12,Users!$B:$B,0)),"")</f>
        <v>Ritesh Garodia</v>
      </c>
      <c r="I12" s="10" t="s">
        <v>56</v>
      </c>
      <c r="J12" s="12" t="str">
        <f aca="false">IFERROR(INDEX(Users!$A:$A,MATCH($I12,Users!$B:$B,0)),"")</f>
        <v>Ritesh Garodia</v>
      </c>
      <c r="K12" s="12" t="str">
        <f aca="false">Users!$B$6</f>
        <v>garodia1.ritesh@gmail.com</v>
      </c>
      <c r="L12" s="12" t="str">
        <f aca="false">Users!$A$6</f>
        <v>Ritesh Garodia</v>
      </c>
      <c r="M12" s="10" t="s">
        <v>77</v>
      </c>
      <c r="N12" s="13"/>
      <c r="O12" s="13"/>
      <c r="P12" s="14"/>
      <c r="Q12" s="15" t="s">
        <v>206</v>
      </c>
      <c r="R12" s="16" t="n">
        <f aca="true">$F12-TODAY()</f>
        <v>140</v>
      </c>
      <c r="S12" s="16" t="str">
        <f aca="true">IF($Q12="Y","Completed",IF(TODAY()&gt;$F12,"Overdue","Pending"))</f>
        <v>Pending</v>
      </c>
      <c r="T12" s="16" t="str">
        <f aca="false">IF($Q12="Y","-",IF($R12&lt;=0,"Stage 3 - Final/Daily (due or overdue)",IF($R12=1,"Stage 2 - T-1 (CC Supervisor)",IF($R12=2,"Stage 1 - T-2","Not yet due"))))</f>
        <v>Not yet due</v>
      </c>
      <c r="U12" s="10"/>
      <c r="V12" s="10"/>
    </row>
    <row r="13" customFormat="false" ht="15" hidden="false" customHeight="false" outlineLevel="0" collapsed="false">
      <c r="A13" s="10" t="s">
        <v>217</v>
      </c>
      <c r="B13" s="10" t="s">
        <v>73</v>
      </c>
      <c r="C13" s="10" t="s">
        <v>74</v>
      </c>
      <c r="D13" s="10" t="s">
        <v>54</v>
      </c>
      <c r="E13" s="10" t="s">
        <v>75</v>
      </c>
      <c r="F13" s="11" t="n">
        <v>46453</v>
      </c>
      <c r="G13" s="10" t="s">
        <v>53</v>
      </c>
      <c r="H13" s="12" t="str">
        <f aca="false">IFERROR(INDEX(Users!$A:$A,MATCH($G13,Users!$B:$B,0)),"")</f>
        <v>Ritesh Garodia</v>
      </c>
      <c r="I13" s="10" t="s">
        <v>56</v>
      </c>
      <c r="J13" s="12" t="str">
        <f aca="false">IFERROR(INDEX(Users!$A:$A,MATCH($I13,Users!$B:$B,0)),"")</f>
        <v>Ritesh Garodia</v>
      </c>
      <c r="K13" s="12" t="str">
        <f aca="false">Users!$B$6</f>
        <v>garodia1.ritesh@gmail.com</v>
      </c>
      <c r="L13" s="12" t="str">
        <f aca="false">Users!$A$6</f>
        <v>Ritesh Garodia</v>
      </c>
      <c r="M13" s="10" t="s">
        <v>77</v>
      </c>
      <c r="N13" s="13"/>
      <c r="O13" s="13"/>
      <c r="P13" s="14"/>
      <c r="Q13" s="15" t="s">
        <v>206</v>
      </c>
      <c r="R13" s="16" t="n">
        <f aca="true">$F13-TODAY()</f>
        <v>168</v>
      </c>
      <c r="S13" s="16" t="str">
        <f aca="true">IF($Q13="Y","Completed",IF(TODAY()&gt;$F13,"Overdue","Pending"))</f>
        <v>Pending</v>
      </c>
      <c r="T13" s="16" t="str">
        <f aca="false">IF($Q13="Y","-",IF($R13&lt;=0,"Stage 3 - Final/Daily (due or overdue)",IF($R13=1,"Stage 2 - T-1 (CC Supervisor)",IF($R13=2,"Stage 1 - T-2","Not yet due"))))</f>
        <v>Not yet due</v>
      </c>
      <c r="U13" s="10"/>
      <c r="V13" s="10"/>
    </row>
    <row r="14" customFormat="false" ht="15" hidden="false" customHeight="false" outlineLevel="0" collapsed="false">
      <c r="A14" s="10" t="s">
        <v>218</v>
      </c>
      <c r="B14" s="10" t="s">
        <v>80</v>
      </c>
      <c r="C14" s="10" t="s">
        <v>81</v>
      </c>
      <c r="D14" s="10" t="s">
        <v>54</v>
      </c>
      <c r="E14" s="10" t="s">
        <v>82</v>
      </c>
      <c r="F14" s="11" t="n">
        <v>46157</v>
      </c>
      <c r="G14" s="10" t="s">
        <v>53</v>
      </c>
      <c r="H14" s="12" t="str">
        <f aca="false">IFERROR(INDEX(Users!$A:$A,MATCH($G14,Users!$B:$B,0)),"")</f>
        <v>Ritesh Garodia</v>
      </c>
      <c r="I14" s="10" t="s">
        <v>56</v>
      </c>
      <c r="J14" s="12" t="str">
        <f aca="false">IFERROR(INDEX(Users!$A:$A,MATCH($I14,Users!$B:$B,0)),"")</f>
        <v>Ritesh Garodia</v>
      </c>
      <c r="K14" s="12" t="str">
        <f aca="false">Users!$B$6</f>
        <v>garodia1.ritesh@gmail.com</v>
      </c>
      <c r="L14" s="12" t="str">
        <f aca="false">Users!$A$6</f>
        <v>Ritesh Garodia</v>
      </c>
      <c r="M14" s="10" t="s">
        <v>84</v>
      </c>
      <c r="N14" s="13"/>
      <c r="O14" s="13"/>
      <c r="P14" s="14"/>
      <c r="Q14" s="15" t="s">
        <v>206</v>
      </c>
      <c r="R14" s="16" t="n">
        <f aca="true">$F14-TODAY()</f>
        <v>-128</v>
      </c>
      <c r="S14" s="16" t="str">
        <f aca="true">IF($Q14="Y","Completed",IF(TODAY()&gt;$F14,"Overdue","Pending"))</f>
        <v>Overdue</v>
      </c>
      <c r="T14" s="16" t="str">
        <f aca="false">IF($Q14="Y","-",IF($R14&lt;=0,"Stage 3 - Final/Daily (due or overdue)",IF($R14=1,"Stage 2 - T-1 (CC Supervisor)",IF($R14=2,"Stage 1 - T-2","Not yet due"))))</f>
        <v>Stage 3 - Final/Daily (due or overdue)</v>
      </c>
      <c r="U14" s="10"/>
      <c r="V14" s="10"/>
    </row>
    <row r="15" customFormat="false" ht="15" hidden="false" customHeight="false" outlineLevel="0" collapsed="false">
      <c r="A15" s="10" t="s">
        <v>219</v>
      </c>
      <c r="B15" s="10" t="s">
        <v>80</v>
      </c>
      <c r="C15" s="10" t="s">
        <v>81</v>
      </c>
      <c r="D15" s="10" t="s">
        <v>54</v>
      </c>
      <c r="E15" s="10" t="s">
        <v>82</v>
      </c>
      <c r="F15" s="11" t="n">
        <v>46218</v>
      </c>
      <c r="G15" s="10" t="s">
        <v>53</v>
      </c>
      <c r="H15" s="12" t="str">
        <f aca="false">IFERROR(INDEX(Users!$A:$A,MATCH($G15,Users!$B:$B,0)),"")</f>
        <v>Ritesh Garodia</v>
      </c>
      <c r="I15" s="10" t="s">
        <v>56</v>
      </c>
      <c r="J15" s="12" t="str">
        <f aca="false">IFERROR(INDEX(Users!$A:$A,MATCH($I15,Users!$B:$B,0)),"")</f>
        <v>Ritesh Garodia</v>
      </c>
      <c r="K15" s="12" t="str">
        <f aca="false">Users!$B$6</f>
        <v>garodia1.ritesh@gmail.com</v>
      </c>
      <c r="L15" s="12" t="str">
        <f aca="false">Users!$A$6</f>
        <v>Ritesh Garodia</v>
      </c>
      <c r="M15" s="10" t="s">
        <v>84</v>
      </c>
      <c r="N15" s="13"/>
      <c r="O15" s="13"/>
      <c r="P15" s="14"/>
      <c r="Q15" s="15" t="s">
        <v>206</v>
      </c>
      <c r="R15" s="16" t="n">
        <f aca="true">$F15-TODAY()</f>
        <v>-67</v>
      </c>
      <c r="S15" s="16" t="str">
        <f aca="true">IF($Q15="Y","Completed",IF(TODAY()&gt;$F15,"Overdue","Pending"))</f>
        <v>Overdue</v>
      </c>
      <c r="T15" s="16" t="str">
        <f aca="false">IF($Q15="Y","-",IF($R15&lt;=0,"Stage 3 - Final/Daily (due or overdue)",IF($R15=1,"Stage 2 - T-1 (CC Supervisor)",IF($R15=2,"Stage 1 - T-2","Not yet due"))))</f>
        <v>Stage 3 - Final/Daily (due or overdue)</v>
      </c>
      <c r="U15" s="10"/>
      <c r="V15" s="10"/>
    </row>
    <row r="16" customFormat="false" ht="15" hidden="false" customHeight="false" outlineLevel="0" collapsed="false">
      <c r="A16" s="10" t="s">
        <v>220</v>
      </c>
      <c r="B16" s="10" t="s">
        <v>80</v>
      </c>
      <c r="C16" s="10" t="s">
        <v>81</v>
      </c>
      <c r="D16" s="10" t="s">
        <v>54</v>
      </c>
      <c r="E16" s="10" t="s">
        <v>82</v>
      </c>
      <c r="F16" s="11" t="n">
        <v>46310</v>
      </c>
      <c r="G16" s="10" t="s">
        <v>53</v>
      </c>
      <c r="H16" s="12" t="str">
        <f aca="false">IFERROR(INDEX(Users!$A:$A,MATCH($G16,Users!$B:$B,0)),"")</f>
        <v>Ritesh Garodia</v>
      </c>
      <c r="I16" s="10" t="s">
        <v>56</v>
      </c>
      <c r="J16" s="12" t="str">
        <f aca="false">IFERROR(INDEX(Users!$A:$A,MATCH($I16,Users!$B:$B,0)),"")</f>
        <v>Ritesh Garodia</v>
      </c>
      <c r="K16" s="12" t="str">
        <f aca="false">Users!$B$6</f>
        <v>garodia1.ritesh@gmail.com</v>
      </c>
      <c r="L16" s="12" t="str">
        <f aca="false">Users!$A$6</f>
        <v>Ritesh Garodia</v>
      </c>
      <c r="M16" s="10" t="s">
        <v>84</v>
      </c>
      <c r="N16" s="13"/>
      <c r="O16" s="13"/>
      <c r="P16" s="14"/>
      <c r="Q16" s="15" t="s">
        <v>206</v>
      </c>
      <c r="R16" s="16" t="n">
        <f aca="true">$F16-TODAY()</f>
        <v>25</v>
      </c>
      <c r="S16" s="16" t="str">
        <f aca="true">IF($Q16="Y","Completed",IF(TODAY()&gt;$F16,"Overdue","Pending"))</f>
        <v>Pending</v>
      </c>
      <c r="T16" s="16" t="str">
        <f aca="false">IF($Q16="Y","-",IF($R16&lt;=0,"Stage 3 - Final/Daily (due or overdue)",IF($R16=1,"Stage 2 - T-1 (CC Supervisor)",IF($R16=2,"Stage 1 - T-2","Not yet due"))))</f>
        <v>Not yet due</v>
      </c>
      <c r="U16" s="10"/>
      <c r="V16" s="10"/>
    </row>
    <row r="17" customFormat="false" ht="15" hidden="false" customHeight="false" outlineLevel="0" collapsed="false">
      <c r="A17" s="10" t="s">
        <v>221</v>
      </c>
      <c r="B17" s="10" t="s">
        <v>80</v>
      </c>
      <c r="C17" s="10" t="s">
        <v>81</v>
      </c>
      <c r="D17" s="10" t="s">
        <v>54</v>
      </c>
      <c r="E17" s="10" t="s">
        <v>82</v>
      </c>
      <c r="F17" s="11" t="n">
        <v>46402</v>
      </c>
      <c r="G17" s="10" t="s">
        <v>53</v>
      </c>
      <c r="H17" s="12" t="str">
        <f aca="false">IFERROR(INDEX(Users!$A:$A,MATCH($G17,Users!$B:$B,0)),"")</f>
        <v>Ritesh Garodia</v>
      </c>
      <c r="I17" s="10" t="s">
        <v>56</v>
      </c>
      <c r="J17" s="12" t="str">
        <f aca="false">IFERROR(INDEX(Users!$A:$A,MATCH($I17,Users!$B:$B,0)),"")</f>
        <v>Ritesh Garodia</v>
      </c>
      <c r="K17" s="12" t="str">
        <f aca="false">Users!$B$6</f>
        <v>garodia1.ritesh@gmail.com</v>
      </c>
      <c r="L17" s="12" t="str">
        <f aca="false">Users!$A$6</f>
        <v>Ritesh Garodia</v>
      </c>
      <c r="M17" s="10" t="s">
        <v>84</v>
      </c>
      <c r="N17" s="13"/>
      <c r="O17" s="13"/>
      <c r="P17" s="14"/>
      <c r="Q17" s="15" t="s">
        <v>206</v>
      </c>
      <c r="R17" s="16" t="n">
        <f aca="true">$F17-TODAY()</f>
        <v>117</v>
      </c>
      <c r="S17" s="16" t="str">
        <f aca="true">IF($Q17="Y","Completed",IF(TODAY()&gt;$F17,"Overdue","Pending"))</f>
        <v>Pending</v>
      </c>
      <c r="T17" s="16" t="str">
        <f aca="false">IF($Q17="Y","-",IF($R17&lt;=0,"Stage 3 - Final/Daily (due or overdue)",IF($R17=1,"Stage 2 - T-1 (CC Supervisor)",IF($R17=2,"Stage 1 - T-2","Not yet due"))))</f>
        <v>Not yet due</v>
      </c>
      <c r="U17" s="10"/>
      <c r="V17" s="10"/>
    </row>
    <row r="18" customFormat="false" ht="15" hidden="false" customHeight="false" outlineLevel="0" collapsed="false">
      <c r="A18" s="10" t="s">
        <v>222</v>
      </c>
      <c r="B18" s="10" t="s">
        <v>85</v>
      </c>
      <c r="C18" s="10" t="s">
        <v>86</v>
      </c>
      <c r="D18" s="10" t="s">
        <v>54</v>
      </c>
      <c r="E18" s="10" t="s">
        <v>82</v>
      </c>
      <c r="F18" s="11" t="n">
        <v>46173</v>
      </c>
      <c r="G18" s="10" t="s">
        <v>53</v>
      </c>
      <c r="H18" s="12" t="str">
        <f aca="false">IFERROR(INDEX(Users!$A:$A,MATCH($G18,Users!$B:$B,0)),"")</f>
        <v>Ritesh Garodia</v>
      </c>
      <c r="I18" s="10" t="s">
        <v>56</v>
      </c>
      <c r="J18" s="12" t="str">
        <f aca="false">IFERROR(INDEX(Users!$A:$A,MATCH($I18,Users!$B:$B,0)),"")</f>
        <v>Ritesh Garodia</v>
      </c>
      <c r="K18" s="12" t="str">
        <f aca="false">Users!$B$6</f>
        <v>garodia1.ritesh@gmail.com</v>
      </c>
      <c r="L18" s="12" t="str">
        <f aca="false">Users!$A$6</f>
        <v>Ritesh Garodia</v>
      </c>
      <c r="M18" s="10" t="s">
        <v>88</v>
      </c>
      <c r="N18" s="13"/>
      <c r="O18" s="13"/>
      <c r="P18" s="14"/>
      <c r="Q18" s="15" t="s">
        <v>206</v>
      </c>
      <c r="R18" s="16" t="n">
        <f aca="true">$F18-TODAY()</f>
        <v>-112</v>
      </c>
      <c r="S18" s="16" t="str">
        <f aca="true">IF($Q18="Y","Completed",IF(TODAY()&gt;$F18,"Overdue","Pending"))</f>
        <v>Overdue</v>
      </c>
      <c r="T18" s="16" t="str">
        <f aca="false">IF($Q18="Y","-",IF($R18&lt;=0,"Stage 3 - Final/Daily (due or overdue)",IF($R18=1,"Stage 2 - T-1 (CC Supervisor)",IF($R18=2,"Stage 1 - T-2","Not yet due"))))</f>
        <v>Stage 3 - Final/Daily (due or overdue)</v>
      </c>
      <c r="U18" s="10"/>
      <c r="V18" s="10"/>
    </row>
    <row r="19" customFormat="false" ht="15" hidden="false" customHeight="false" outlineLevel="0" collapsed="false">
      <c r="A19" s="10" t="s">
        <v>223</v>
      </c>
      <c r="B19" s="10" t="s">
        <v>85</v>
      </c>
      <c r="C19" s="10" t="s">
        <v>86</v>
      </c>
      <c r="D19" s="10" t="s">
        <v>54</v>
      </c>
      <c r="E19" s="10" t="s">
        <v>82</v>
      </c>
      <c r="F19" s="11" t="n">
        <v>46234</v>
      </c>
      <c r="G19" s="10" t="s">
        <v>53</v>
      </c>
      <c r="H19" s="12" t="str">
        <f aca="false">IFERROR(INDEX(Users!$A:$A,MATCH($G19,Users!$B:$B,0)),"")</f>
        <v>Ritesh Garodia</v>
      </c>
      <c r="I19" s="10" t="s">
        <v>56</v>
      </c>
      <c r="J19" s="12" t="str">
        <f aca="false">IFERROR(INDEX(Users!$A:$A,MATCH($I19,Users!$B:$B,0)),"")</f>
        <v>Ritesh Garodia</v>
      </c>
      <c r="K19" s="12" t="str">
        <f aca="false">Users!$B$6</f>
        <v>garodia1.ritesh@gmail.com</v>
      </c>
      <c r="L19" s="12" t="str">
        <f aca="false">Users!$A$6</f>
        <v>Ritesh Garodia</v>
      </c>
      <c r="M19" s="10" t="s">
        <v>88</v>
      </c>
      <c r="N19" s="13"/>
      <c r="O19" s="13"/>
      <c r="P19" s="14"/>
      <c r="Q19" s="15" t="s">
        <v>206</v>
      </c>
      <c r="R19" s="16" t="n">
        <f aca="true">$F19-TODAY()</f>
        <v>-51</v>
      </c>
      <c r="S19" s="16" t="str">
        <f aca="true">IF($Q19="Y","Completed",IF(TODAY()&gt;$F19,"Overdue","Pending"))</f>
        <v>Overdue</v>
      </c>
      <c r="T19" s="16" t="str">
        <f aca="false">IF($Q19="Y","-",IF($R19&lt;=0,"Stage 3 - Final/Daily (due or overdue)",IF($R19=1,"Stage 2 - T-1 (CC Supervisor)",IF($R19=2,"Stage 1 - T-2","Not yet due"))))</f>
        <v>Stage 3 - Final/Daily (due or overdue)</v>
      </c>
      <c r="U19" s="10"/>
      <c r="V19" s="10"/>
    </row>
    <row r="20" customFormat="false" ht="15" hidden="false" customHeight="false" outlineLevel="0" collapsed="false">
      <c r="A20" s="10" t="s">
        <v>224</v>
      </c>
      <c r="B20" s="10" t="s">
        <v>85</v>
      </c>
      <c r="C20" s="10" t="s">
        <v>86</v>
      </c>
      <c r="D20" s="10" t="s">
        <v>54</v>
      </c>
      <c r="E20" s="10" t="s">
        <v>82</v>
      </c>
      <c r="F20" s="11" t="n">
        <v>46326</v>
      </c>
      <c r="G20" s="10" t="s">
        <v>53</v>
      </c>
      <c r="H20" s="12" t="str">
        <f aca="false">IFERROR(INDEX(Users!$A:$A,MATCH($G20,Users!$B:$B,0)),"")</f>
        <v>Ritesh Garodia</v>
      </c>
      <c r="I20" s="10" t="s">
        <v>56</v>
      </c>
      <c r="J20" s="12" t="str">
        <f aca="false">IFERROR(INDEX(Users!$A:$A,MATCH($I20,Users!$B:$B,0)),"")</f>
        <v>Ritesh Garodia</v>
      </c>
      <c r="K20" s="12" t="str">
        <f aca="false">Users!$B$6</f>
        <v>garodia1.ritesh@gmail.com</v>
      </c>
      <c r="L20" s="12" t="str">
        <f aca="false">Users!$A$6</f>
        <v>Ritesh Garodia</v>
      </c>
      <c r="M20" s="10" t="s">
        <v>88</v>
      </c>
      <c r="N20" s="13"/>
      <c r="O20" s="13"/>
      <c r="P20" s="14"/>
      <c r="Q20" s="15" t="s">
        <v>206</v>
      </c>
      <c r="R20" s="16" t="n">
        <f aca="true">$F20-TODAY()</f>
        <v>41</v>
      </c>
      <c r="S20" s="16" t="str">
        <f aca="true">IF($Q20="Y","Completed",IF(TODAY()&gt;$F20,"Overdue","Pending"))</f>
        <v>Pending</v>
      </c>
      <c r="T20" s="16" t="str">
        <f aca="false">IF($Q20="Y","-",IF($R20&lt;=0,"Stage 3 - Final/Daily (due or overdue)",IF($R20=1,"Stage 2 - T-1 (CC Supervisor)",IF($R20=2,"Stage 1 - T-2","Not yet due"))))</f>
        <v>Not yet due</v>
      </c>
      <c r="U20" s="10"/>
      <c r="V20" s="10"/>
    </row>
    <row r="21" customFormat="false" ht="15" hidden="false" customHeight="false" outlineLevel="0" collapsed="false">
      <c r="A21" s="10" t="s">
        <v>225</v>
      </c>
      <c r="B21" s="10" t="s">
        <v>85</v>
      </c>
      <c r="C21" s="10" t="s">
        <v>86</v>
      </c>
      <c r="D21" s="10" t="s">
        <v>54</v>
      </c>
      <c r="E21" s="10" t="s">
        <v>82</v>
      </c>
      <c r="F21" s="11" t="n">
        <v>46418</v>
      </c>
      <c r="G21" s="10" t="s">
        <v>53</v>
      </c>
      <c r="H21" s="12" t="str">
        <f aca="false">IFERROR(INDEX(Users!$A:$A,MATCH($G21,Users!$B:$B,0)),"")</f>
        <v>Ritesh Garodia</v>
      </c>
      <c r="I21" s="10" t="s">
        <v>56</v>
      </c>
      <c r="J21" s="12" t="str">
        <f aca="false">IFERROR(INDEX(Users!$A:$A,MATCH($I21,Users!$B:$B,0)),"")</f>
        <v>Ritesh Garodia</v>
      </c>
      <c r="K21" s="12" t="str">
        <f aca="false">Users!$B$6</f>
        <v>garodia1.ritesh@gmail.com</v>
      </c>
      <c r="L21" s="12" t="str">
        <f aca="false">Users!$A$6</f>
        <v>Ritesh Garodia</v>
      </c>
      <c r="M21" s="10" t="s">
        <v>88</v>
      </c>
      <c r="N21" s="13"/>
      <c r="O21" s="13"/>
      <c r="P21" s="14"/>
      <c r="Q21" s="15" t="s">
        <v>206</v>
      </c>
      <c r="R21" s="16" t="n">
        <f aca="true">$F21-TODAY()</f>
        <v>133</v>
      </c>
      <c r="S21" s="16" t="str">
        <f aca="true">IF($Q21="Y","Completed",IF(TODAY()&gt;$F21,"Overdue","Pending"))</f>
        <v>Pending</v>
      </c>
      <c r="T21" s="16" t="str">
        <f aca="false">IF($Q21="Y","-",IF($R21&lt;=0,"Stage 3 - Final/Daily (due or overdue)",IF($R21=1,"Stage 2 - T-1 (CC Supervisor)",IF($R21=2,"Stage 1 - T-2","Not yet due"))))</f>
        <v>Not yet due</v>
      </c>
      <c r="U21" s="10"/>
      <c r="V21" s="10"/>
    </row>
    <row r="22" customFormat="false" ht="15" hidden="false" customHeight="false" outlineLevel="0" collapsed="false">
      <c r="A22" s="10" t="s">
        <v>226</v>
      </c>
      <c r="B22" s="10" t="s">
        <v>89</v>
      </c>
      <c r="C22" s="10" t="s">
        <v>90</v>
      </c>
      <c r="D22" s="10" t="s">
        <v>54</v>
      </c>
      <c r="E22" s="10" t="s">
        <v>91</v>
      </c>
      <c r="F22" s="11" t="n">
        <v>46142</v>
      </c>
      <c r="G22" s="10" t="s">
        <v>53</v>
      </c>
      <c r="H22" s="12" t="str">
        <f aca="false">IFERROR(INDEX(Users!$A:$A,MATCH($G22,Users!$B:$B,0)),"")</f>
        <v>Ritesh Garodia</v>
      </c>
      <c r="I22" s="10" t="s">
        <v>56</v>
      </c>
      <c r="J22" s="12" t="str">
        <f aca="false">IFERROR(INDEX(Users!$A:$A,MATCH($I22,Users!$B:$B,0)),"")</f>
        <v>Ritesh Garodia</v>
      </c>
      <c r="K22" s="12" t="str">
        <f aca="false">Users!$B$6</f>
        <v>garodia1.ritesh@gmail.com</v>
      </c>
      <c r="L22" s="12" t="str">
        <f aca="false">Users!$A$6</f>
        <v>Ritesh Garodia</v>
      </c>
      <c r="M22" s="10" t="s">
        <v>93</v>
      </c>
      <c r="N22" s="13"/>
      <c r="O22" s="13"/>
      <c r="P22" s="14"/>
      <c r="Q22" s="15" t="s">
        <v>206</v>
      </c>
      <c r="R22" s="16" t="n">
        <f aca="true">$F22-TODAY()</f>
        <v>-143</v>
      </c>
      <c r="S22" s="16" t="str">
        <f aca="true">IF($Q22="Y","Completed",IF(TODAY()&gt;$F22,"Overdue","Pending"))</f>
        <v>Overdue</v>
      </c>
      <c r="T22" s="16" t="str">
        <f aca="false">IF($Q22="Y","-",IF($R22&lt;=0,"Stage 3 - Final/Daily (due or overdue)",IF($R22=1,"Stage 2 - T-1 (CC Supervisor)",IF($R22=2,"Stage 1 - T-2","Not yet due"))))</f>
        <v>Stage 3 - Final/Daily (due or overdue)</v>
      </c>
      <c r="U22" s="10"/>
      <c r="V22" s="10"/>
    </row>
    <row r="23" customFormat="false" ht="15" hidden="false" customHeight="false" outlineLevel="0" collapsed="false">
      <c r="A23" s="10" t="s">
        <v>227</v>
      </c>
      <c r="B23" s="10" t="s">
        <v>89</v>
      </c>
      <c r="C23" s="10" t="s">
        <v>90</v>
      </c>
      <c r="D23" s="10" t="s">
        <v>54</v>
      </c>
      <c r="E23" s="10" t="s">
        <v>91</v>
      </c>
      <c r="F23" s="11" t="n">
        <v>46326</v>
      </c>
      <c r="G23" s="10" t="s">
        <v>53</v>
      </c>
      <c r="H23" s="12" t="str">
        <f aca="false">IFERROR(INDEX(Users!$A:$A,MATCH($G23,Users!$B:$B,0)),"")</f>
        <v>Ritesh Garodia</v>
      </c>
      <c r="I23" s="10" t="s">
        <v>56</v>
      </c>
      <c r="J23" s="12" t="str">
        <f aca="false">IFERROR(INDEX(Users!$A:$A,MATCH($I23,Users!$B:$B,0)),"")</f>
        <v>Ritesh Garodia</v>
      </c>
      <c r="K23" s="12" t="str">
        <f aca="false">Users!$B$6</f>
        <v>garodia1.ritesh@gmail.com</v>
      </c>
      <c r="L23" s="12" t="str">
        <f aca="false">Users!$A$6</f>
        <v>Ritesh Garodia</v>
      </c>
      <c r="M23" s="10" t="s">
        <v>93</v>
      </c>
      <c r="N23" s="13"/>
      <c r="O23" s="13"/>
      <c r="P23" s="14"/>
      <c r="Q23" s="15" t="s">
        <v>206</v>
      </c>
      <c r="R23" s="16" t="n">
        <f aca="true">$F23-TODAY()</f>
        <v>41</v>
      </c>
      <c r="S23" s="16" t="str">
        <f aca="true">IF($Q23="Y","Completed",IF(TODAY()&gt;$F23,"Overdue","Pending"))</f>
        <v>Pending</v>
      </c>
      <c r="T23" s="16" t="str">
        <f aca="false">IF($Q23="Y","-",IF($R23&lt;=0,"Stage 3 - Final/Daily (due or overdue)",IF($R23=1,"Stage 2 - T-1 (CC Supervisor)",IF($R23=2,"Stage 1 - T-2","Not yet due"))))</f>
        <v>Not yet due</v>
      </c>
      <c r="U23" s="10"/>
      <c r="V23" s="10"/>
    </row>
    <row r="24" customFormat="false" ht="15" hidden="false" customHeight="false" outlineLevel="0" collapsed="false">
      <c r="A24" s="10" t="s">
        <v>228</v>
      </c>
      <c r="B24" s="10" t="s">
        <v>94</v>
      </c>
      <c r="C24" s="10" t="s">
        <v>95</v>
      </c>
      <c r="D24" s="10" t="s">
        <v>54</v>
      </c>
      <c r="E24" s="10" t="s">
        <v>96</v>
      </c>
      <c r="F24" s="11" t="n">
        <v>46326</v>
      </c>
      <c r="G24" s="10" t="s">
        <v>53</v>
      </c>
      <c r="H24" s="12" t="str">
        <f aca="false">IFERROR(INDEX(Users!$A:$A,MATCH($G24,Users!$B:$B,0)),"")</f>
        <v>Ritesh Garodia</v>
      </c>
      <c r="I24" s="10" t="s">
        <v>56</v>
      </c>
      <c r="J24" s="12" t="str">
        <f aca="false">IFERROR(INDEX(Users!$A:$A,MATCH($I24,Users!$B:$B,0)),"")</f>
        <v>Ritesh Garodia</v>
      </c>
      <c r="K24" s="12" t="str">
        <f aca="false">Users!$B$6</f>
        <v>garodia1.ritesh@gmail.com</v>
      </c>
      <c r="L24" s="12" t="str">
        <f aca="false">Users!$A$6</f>
        <v>Ritesh Garodia</v>
      </c>
      <c r="M24" s="10" t="s">
        <v>98</v>
      </c>
      <c r="N24" s="13"/>
      <c r="O24" s="13"/>
      <c r="P24" s="14"/>
      <c r="Q24" s="15" t="s">
        <v>206</v>
      </c>
      <c r="R24" s="16" t="n">
        <f aca="true">$F24-TODAY()</f>
        <v>41</v>
      </c>
      <c r="S24" s="16" t="str">
        <f aca="true">IF($Q24="Y","Completed",IF(TODAY()&gt;$F24,"Overdue","Pending"))</f>
        <v>Pending</v>
      </c>
      <c r="T24" s="16" t="str">
        <f aca="false">IF($Q24="Y","-",IF($R24&lt;=0,"Stage 3 - Final/Daily (due or overdue)",IF($R24=1,"Stage 2 - T-1 (CC Supervisor)",IF($R24=2,"Stage 1 - T-2","Not yet due"))))</f>
        <v>Not yet due</v>
      </c>
      <c r="U24" s="10"/>
      <c r="V24" s="10"/>
    </row>
    <row r="25" customFormat="false" ht="15" hidden="false" customHeight="false" outlineLevel="0" collapsed="false">
      <c r="A25" s="10" t="s">
        <v>229</v>
      </c>
      <c r="B25" s="10" t="s">
        <v>100</v>
      </c>
      <c r="C25" s="10" t="s">
        <v>101</v>
      </c>
      <c r="D25" s="10" t="s">
        <v>54</v>
      </c>
      <c r="E25" s="10" t="s">
        <v>96</v>
      </c>
      <c r="F25" s="11" t="n">
        <v>46326</v>
      </c>
      <c r="G25" s="10" t="s">
        <v>53</v>
      </c>
      <c r="H25" s="12" t="str">
        <f aca="false">IFERROR(INDEX(Users!$A:$A,MATCH($G25,Users!$B:$B,0)),"")</f>
        <v>Ritesh Garodia</v>
      </c>
      <c r="I25" s="10" t="s">
        <v>56</v>
      </c>
      <c r="J25" s="12" t="str">
        <f aca="false">IFERROR(INDEX(Users!$A:$A,MATCH($I25,Users!$B:$B,0)),"")</f>
        <v>Ritesh Garodia</v>
      </c>
      <c r="K25" s="12" t="str">
        <f aca="false">Users!$B$6</f>
        <v>garodia1.ritesh@gmail.com</v>
      </c>
      <c r="L25" s="12" t="str">
        <f aca="false">Users!$A$6</f>
        <v>Ritesh Garodia</v>
      </c>
      <c r="M25" s="10" t="s">
        <v>102</v>
      </c>
      <c r="N25" s="13"/>
      <c r="O25" s="13"/>
      <c r="P25" s="14"/>
      <c r="Q25" s="15" t="s">
        <v>206</v>
      </c>
      <c r="R25" s="16" t="n">
        <f aca="true">$F25-TODAY()</f>
        <v>41</v>
      </c>
      <c r="S25" s="16" t="str">
        <f aca="true">IF($Q25="Y","Completed",IF(TODAY()&gt;$F25,"Overdue","Pending"))</f>
        <v>Pending</v>
      </c>
      <c r="T25" s="16" t="str">
        <f aca="false">IF($Q25="Y","-",IF($R25&lt;=0,"Stage 3 - Final/Daily (due or overdue)",IF($R25=1,"Stage 2 - T-1 (CC Supervisor)",IF($R25=2,"Stage 1 - T-2","Not yet due"))))</f>
        <v>Not yet due</v>
      </c>
      <c r="U25" s="10"/>
      <c r="V25" s="10"/>
    </row>
    <row r="26" customFormat="false" ht="15" hidden="false" customHeight="false" outlineLevel="0" collapsed="false">
      <c r="A26" s="10" t="s">
        <v>230</v>
      </c>
      <c r="B26" s="10" t="s">
        <v>103</v>
      </c>
      <c r="C26" s="10" t="s">
        <v>104</v>
      </c>
      <c r="D26" s="10" t="s">
        <v>54</v>
      </c>
      <c r="E26" s="10" t="s">
        <v>96</v>
      </c>
      <c r="F26" s="11" t="n">
        <v>46356</v>
      </c>
      <c r="G26" s="10" t="s">
        <v>53</v>
      </c>
      <c r="H26" s="12" t="str">
        <f aca="false">IFERROR(INDEX(Users!$A:$A,MATCH($G26,Users!$B:$B,0)),"")</f>
        <v>Ritesh Garodia</v>
      </c>
      <c r="I26" s="10" t="s">
        <v>56</v>
      </c>
      <c r="J26" s="12" t="str">
        <f aca="false">IFERROR(INDEX(Users!$A:$A,MATCH($I26,Users!$B:$B,0)),"")</f>
        <v>Ritesh Garodia</v>
      </c>
      <c r="K26" s="12" t="str">
        <f aca="false">Users!$B$6</f>
        <v>garodia1.ritesh@gmail.com</v>
      </c>
      <c r="L26" s="12" t="str">
        <f aca="false">Users!$A$6</f>
        <v>Ritesh Garodia</v>
      </c>
      <c r="M26" s="10" t="s">
        <v>106</v>
      </c>
      <c r="N26" s="13"/>
      <c r="O26" s="13"/>
      <c r="P26" s="14"/>
      <c r="Q26" s="15" t="s">
        <v>206</v>
      </c>
      <c r="R26" s="16" t="n">
        <f aca="true">$F26-TODAY()</f>
        <v>71</v>
      </c>
      <c r="S26" s="16" t="str">
        <f aca="true">IF($Q26="Y","Completed",IF(TODAY()&gt;$F26,"Overdue","Pending"))</f>
        <v>Pending</v>
      </c>
      <c r="T26" s="16" t="str">
        <f aca="false">IF($Q26="Y","-",IF($R26&lt;=0,"Stage 3 - Final/Daily (due or overdue)",IF($R26=1,"Stage 2 - T-1 (CC Supervisor)",IF($R26=2,"Stage 1 - T-2","Not yet due"))))</f>
        <v>Not yet due</v>
      </c>
      <c r="U26" s="10"/>
      <c r="V26" s="10"/>
    </row>
    <row r="27" customFormat="false" ht="15" hidden="false" customHeight="false" outlineLevel="0" collapsed="false">
      <c r="A27" s="10" t="s">
        <v>231</v>
      </c>
      <c r="B27" s="10" t="s">
        <v>107</v>
      </c>
      <c r="C27" s="10" t="s">
        <v>108</v>
      </c>
      <c r="D27" s="10" t="s">
        <v>54</v>
      </c>
      <c r="E27" s="10" t="s">
        <v>96</v>
      </c>
      <c r="F27" s="11" t="n">
        <v>46356</v>
      </c>
      <c r="G27" s="10" t="s">
        <v>53</v>
      </c>
      <c r="H27" s="12" t="str">
        <f aca="false">IFERROR(INDEX(Users!$A:$A,MATCH($G27,Users!$B:$B,0)),"")</f>
        <v>Ritesh Garodia</v>
      </c>
      <c r="I27" s="10" t="s">
        <v>56</v>
      </c>
      <c r="J27" s="12" t="str">
        <f aca="false">IFERROR(INDEX(Users!$A:$A,MATCH($I27,Users!$B:$B,0)),"")</f>
        <v>Ritesh Garodia</v>
      </c>
      <c r="K27" s="12" t="str">
        <f aca="false">Users!$B$6</f>
        <v>garodia1.ritesh@gmail.com</v>
      </c>
      <c r="L27" s="12" t="str">
        <f aca="false">Users!$A$6</f>
        <v>Ritesh Garodia</v>
      </c>
      <c r="M27" s="10" t="s">
        <v>109</v>
      </c>
      <c r="N27" s="13"/>
      <c r="O27" s="13"/>
      <c r="P27" s="14"/>
      <c r="Q27" s="15" t="s">
        <v>206</v>
      </c>
      <c r="R27" s="16" t="n">
        <f aca="true">$F27-TODAY()</f>
        <v>71</v>
      </c>
      <c r="S27" s="16" t="str">
        <f aca="true">IF($Q27="Y","Completed",IF(TODAY()&gt;$F27,"Overdue","Pending"))</f>
        <v>Pending</v>
      </c>
      <c r="T27" s="16" t="str">
        <f aca="false">IF($Q27="Y","-",IF($R27&lt;=0,"Stage 3 - Final/Daily (due or overdue)",IF($R27=1,"Stage 2 - T-1 (CC Supervisor)",IF($R27=2,"Stage 1 - T-2","Not yet due"))))</f>
        <v>Not yet due</v>
      </c>
      <c r="U27" s="10"/>
      <c r="V27" s="10"/>
    </row>
    <row r="28" customFormat="false" ht="15" hidden="false" customHeight="false" outlineLevel="0" collapsed="false">
      <c r="A28" s="10" t="s">
        <v>232</v>
      </c>
      <c r="B28" s="10" t="s">
        <v>110</v>
      </c>
      <c r="C28" s="10" t="s">
        <v>111</v>
      </c>
      <c r="D28" s="10" t="s">
        <v>54</v>
      </c>
      <c r="E28" s="10" t="s">
        <v>82</v>
      </c>
      <c r="F28" s="11" t="n">
        <v>46157</v>
      </c>
      <c r="G28" s="10" t="s">
        <v>53</v>
      </c>
      <c r="H28" s="12" t="str">
        <f aca="false">IFERROR(INDEX(Users!$A:$A,MATCH($G28,Users!$B:$B,0)),"")</f>
        <v>Ritesh Garodia</v>
      </c>
      <c r="I28" s="10" t="s">
        <v>56</v>
      </c>
      <c r="J28" s="12" t="str">
        <f aca="false">IFERROR(INDEX(Users!$A:$A,MATCH($I28,Users!$B:$B,0)),"")</f>
        <v>Ritesh Garodia</v>
      </c>
      <c r="K28" s="12" t="str">
        <f aca="false">Users!$B$6</f>
        <v>garodia1.ritesh@gmail.com</v>
      </c>
      <c r="L28" s="12" t="str">
        <f aca="false">Users!$A$6</f>
        <v>Ritesh Garodia</v>
      </c>
      <c r="M28" s="10" t="s">
        <v>112</v>
      </c>
      <c r="N28" s="13"/>
      <c r="O28" s="13"/>
      <c r="P28" s="14"/>
      <c r="Q28" s="15" t="s">
        <v>206</v>
      </c>
      <c r="R28" s="16" t="n">
        <f aca="true">$F28-TODAY()</f>
        <v>-128</v>
      </c>
      <c r="S28" s="16" t="str">
        <f aca="true">IF($Q28="Y","Completed",IF(TODAY()&gt;$F28,"Overdue","Pending"))</f>
        <v>Overdue</v>
      </c>
      <c r="T28" s="16" t="str">
        <f aca="false">IF($Q28="Y","-",IF($R28&lt;=0,"Stage 3 - Final/Daily (due or overdue)",IF($R28=1,"Stage 2 - T-1 (CC Supervisor)",IF($R28=2,"Stage 1 - T-2","Not yet due"))))</f>
        <v>Stage 3 - Final/Daily (due or overdue)</v>
      </c>
      <c r="U28" s="10"/>
      <c r="V28" s="10"/>
    </row>
    <row r="29" customFormat="false" ht="15" hidden="false" customHeight="false" outlineLevel="0" collapsed="false">
      <c r="A29" s="10" t="s">
        <v>233</v>
      </c>
      <c r="B29" s="10" t="s">
        <v>110</v>
      </c>
      <c r="C29" s="10" t="s">
        <v>111</v>
      </c>
      <c r="D29" s="10" t="s">
        <v>54</v>
      </c>
      <c r="E29" s="10" t="s">
        <v>82</v>
      </c>
      <c r="F29" s="11" t="n">
        <v>46218</v>
      </c>
      <c r="G29" s="10" t="s">
        <v>53</v>
      </c>
      <c r="H29" s="12" t="str">
        <f aca="false">IFERROR(INDEX(Users!$A:$A,MATCH($G29,Users!$B:$B,0)),"")</f>
        <v>Ritesh Garodia</v>
      </c>
      <c r="I29" s="10" t="s">
        <v>56</v>
      </c>
      <c r="J29" s="12" t="str">
        <f aca="false">IFERROR(INDEX(Users!$A:$A,MATCH($I29,Users!$B:$B,0)),"")</f>
        <v>Ritesh Garodia</v>
      </c>
      <c r="K29" s="12" t="str">
        <f aca="false">Users!$B$6</f>
        <v>garodia1.ritesh@gmail.com</v>
      </c>
      <c r="L29" s="12" t="str">
        <f aca="false">Users!$A$6</f>
        <v>Ritesh Garodia</v>
      </c>
      <c r="M29" s="10" t="s">
        <v>112</v>
      </c>
      <c r="N29" s="13"/>
      <c r="O29" s="13"/>
      <c r="P29" s="14"/>
      <c r="Q29" s="15" t="s">
        <v>206</v>
      </c>
      <c r="R29" s="16" t="n">
        <f aca="true">$F29-TODAY()</f>
        <v>-67</v>
      </c>
      <c r="S29" s="16" t="str">
        <f aca="true">IF($Q29="Y","Completed",IF(TODAY()&gt;$F29,"Overdue","Pending"))</f>
        <v>Overdue</v>
      </c>
      <c r="T29" s="16" t="str">
        <f aca="false">IF($Q29="Y","-",IF($R29&lt;=0,"Stage 3 - Final/Daily (due or overdue)",IF($R29=1,"Stage 2 - T-1 (CC Supervisor)",IF($R29=2,"Stage 1 - T-2","Not yet due"))))</f>
        <v>Stage 3 - Final/Daily (due or overdue)</v>
      </c>
      <c r="U29" s="10"/>
      <c r="V29" s="10"/>
    </row>
    <row r="30" customFormat="false" ht="15" hidden="false" customHeight="false" outlineLevel="0" collapsed="false">
      <c r="A30" s="10" t="s">
        <v>234</v>
      </c>
      <c r="B30" s="10" t="s">
        <v>110</v>
      </c>
      <c r="C30" s="10" t="s">
        <v>111</v>
      </c>
      <c r="D30" s="10" t="s">
        <v>54</v>
      </c>
      <c r="E30" s="10" t="s">
        <v>82</v>
      </c>
      <c r="F30" s="11" t="n">
        <v>46310</v>
      </c>
      <c r="G30" s="10" t="s">
        <v>53</v>
      </c>
      <c r="H30" s="12" t="str">
        <f aca="false">IFERROR(INDEX(Users!$A:$A,MATCH($G30,Users!$B:$B,0)),"")</f>
        <v>Ritesh Garodia</v>
      </c>
      <c r="I30" s="10" t="s">
        <v>56</v>
      </c>
      <c r="J30" s="12" t="str">
        <f aca="false">IFERROR(INDEX(Users!$A:$A,MATCH($I30,Users!$B:$B,0)),"")</f>
        <v>Ritesh Garodia</v>
      </c>
      <c r="K30" s="12" t="str">
        <f aca="false">Users!$B$6</f>
        <v>garodia1.ritesh@gmail.com</v>
      </c>
      <c r="L30" s="12" t="str">
        <f aca="false">Users!$A$6</f>
        <v>Ritesh Garodia</v>
      </c>
      <c r="M30" s="10" t="s">
        <v>112</v>
      </c>
      <c r="N30" s="13"/>
      <c r="O30" s="13"/>
      <c r="P30" s="14"/>
      <c r="Q30" s="15" t="s">
        <v>206</v>
      </c>
      <c r="R30" s="16" t="n">
        <f aca="true">$F30-TODAY()</f>
        <v>25</v>
      </c>
      <c r="S30" s="16" t="str">
        <f aca="true">IF($Q30="Y","Completed",IF(TODAY()&gt;$F30,"Overdue","Pending"))</f>
        <v>Pending</v>
      </c>
      <c r="T30" s="16" t="str">
        <f aca="false">IF($Q30="Y","-",IF($R30&lt;=0,"Stage 3 - Final/Daily (due or overdue)",IF($R30=1,"Stage 2 - T-1 (CC Supervisor)",IF($R30=2,"Stage 1 - T-2","Not yet due"))))</f>
        <v>Not yet due</v>
      </c>
      <c r="U30" s="10"/>
      <c r="V30" s="10"/>
    </row>
    <row r="31" customFormat="false" ht="15" hidden="false" customHeight="false" outlineLevel="0" collapsed="false">
      <c r="A31" s="10" t="s">
        <v>235</v>
      </c>
      <c r="B31" s="10" t="s">
        <v>110</v>
      </c>
      <c r="C31" s="10" t="s">
        <v>111</v>
      </c>
      <c r="D31" s="10" t="s">
        <v>54</v>
      </c>
      <c r="E31" s="10" t="s">
        <v>82</v>
      </c>
      <c r="F31" s="11" t="n">
        <v>46402</v>
      </c>
      <c r="G31" s="10" t="s">
        <v>53</v>
      </c>
      <c r="H31" s="12" t="str">
        <f aca="false">IFERROR(INDEX(Users!$A:$A,MATCH($G31,Users!$B:$B,0)),"")</f>
        <v>Ritesh Garodia</v>
      </c>
      <c r="I31" s="10" t="s">
        <v>56</v>
      </c>
      <c r="J31" s="12" t="str">
        <f aca="false">IFERROR(INDEX(Users!$A:$A,MATCH($I31,Users!$B:$B,0)),"")</f>
        <v>Ritesh Garodia</v>
      </c>
      <c r="K31" s="12" t="str">
        <f aca="false">Users!$B$6</f>
        <v>garodia1.ritesh@gmail.com</v>
      </c>
      <c r="L31" s="12" t="str">
        <f aca="false">Users!$A$6</f>
        <v>Ritesh Garodia</v>
      </c>
      <c r="M31" s="10" t="s">
        <v>112</v>
      </c>
      <c r="N31" s="13"/>
      <c r="O31" s="13"/>
      <c r="P31" s="14"/>
      <c r="Q31" s="15" t="s">
        <v>206</v>
      </c>
      <c r="R31" s="16" t="n">
        <f aca="true">$F31-TODAY()</f>
        <v>117</v>
      </c>
      <c r="S31" s="16" t="str">
        <f aca="true">IF($Q31="Y","Completed",IF(TODAY()&gt;$F31,"Overdue","Pending"))</f>
        <v>Pending</v>
      </c>
      <c r="T31" s="16" t="str">
        <f aca="false">IF($Q31="Y","-",IF($R31&lt;=0,"Stage 3 - Final/Daily (due or overdue)",IF($R31=1,"Stage 2 - T-1 (CC Supervisor)",IF($R31=2,"Stage 1 - T-2","Not yet due"))))</f>
        <v>Not yet due</v>
      </c>
      <c r="U31" s="10"/>
      <c r="V31" s="10"/>
    </row>
    <row r="32" customFormat="false" ht="15" hidden="false" customHeight="false" outlineLevel="0" collapsed="false">
      <c r="A32" s="10" t="s">
        <v>236</v>
      </c>
      <c r="B32" s="10" t="s">
        <v>113</v>
      </c>
      <c r="C32" s="10" t="s">
        <v>114</v>
      </c>
      <c r="D32" s="10" t="s">
        <v>54</v>
      </c>
      <c r="E32" s="10" t="s">
        <v>96</v>
      </c>
      <c r="F32" s="11" t="n">
        <v>46173</v>
      </c>
      <c r="G32" s="10" t="s">
        <v>53</v>
      </c>
      <c r="H32" s="12" t="str">
        <f aca="false">IFERROR(INDEX(Users!$A:$A,MATCH($G32,Users!$B:$B,0)),"")</f>
        <v>Ritesh Garodia</v>
      </c>
      <c r="I32" s="10" t="s">
        <v>56</v>
      </c>
      <c r="J32" s="12" t="str">
        <f aca="false">IFERROR(INDEX(Users!$A:$A,MATCH($I32,Users!$B:$B,0)),"")</f>
        <v>Ritesh Garodia</v>
      </c>
      <c r="K32" s="12" t="str">
        <f aca="false">Users!$B$6</f>
        <v>garodia1.ritesh@gmail.com</v>
      </c>
      <c r="L32" s="12" t="str">
        <f aca="false">Users!$A$6</f>
        <v>Ritesh Garodia</v>
      </c>
      <c r="M32" s="10" t="s">
        <v>116</v>
      </c>
      <c r="N32" s="13"/>
      <c r="O32" s="13"/>
      <c r="P32" s="14"/>
      <c r="Q32" s="15" t="s">
        <v>206</v>
      </c>
      <c r="R32" s="16" t="n">
        <f aca="true">$F32-TODAY()</f>
        <v>-112</v>
      </c>
      <c r="S32" s="16" t="str">
        <f aca="true">IF($Q32="Y","Completed",IF(TODAY()&gt;$F32,"Overdue","Pending"))</f>
        <v>Overdue</v>
      </c>
      <c r="T32" s="16" t="str">
        <f aca="false">IF($Q32="Y","-",IF($R32&lt;=0,"Stage 3 - Final/Daily (due or overdue)",IF($R32=1,"Stage 2 - T-1 (CC Supervisor)",IF($R32=2,"Stage 1 - T-2","Not yet due"))))</f>
        <v>Stage 3 - Final/Daily (due or overdue)</v>
      </c>
      <c r="U32" s="10"/>
      <c r="V32" s="10"/>
    </row>
    <row r="33" customFormat="false" ht="15" hidden="false" customHeight="false" outlineLevel="0" collapsed="false">
      <c r="A33" s="10" t="s">
        <v>237</v>
      </c>
      <c r="B33" s="10" t="s">
        <v>117</v>
      </c>
      <c r="C33" s="10" t="s">
        <v>118</v>
      </c>
      <c r="D33" s="10" t="s">
        <v>54</v>
      </c>
      <c r="E33" s="10" t="s">
        <v>96</v>
      </c>
      <c r="F33" s="11" t="n">
        <v>46173</v>
      </c>
      <c r="G33" s="10" t="s">
        <v>53</v>
      </c>
      <c r="H33" s="12" t="str">
        <f aca="false">IFERROR(INDEX(Users!$A:$A,MATCH($G33,Users!$B:$B,0)),"")</f>
        <v>Ritesh Garodia</v>
      </c>
      <c r="I33" s="10" t="s">
        <v>56</v>
      </c>
      <c r="J33" s="12" t="str">
        <f aca="false">IFERROR(INDEX(Users!$A:$A,MATCH($I33,Users!$B:$B,0)),"")</f>
        <v>Ritesh Garodia</v>
      </c>
      <c r="K33" s="12" t="str">
        <f aca="false">Users!$B$6</f>
        <v>garodia1.ritesh@gmail.com</v>
      </c>
      <c r="L33" s="12" t="str">
        <f aca="false">Users!$A$6</f>
        <v>Ritesh Garodia</v>
      </c>
      <c r="M33" s="10" t="s">
        <v>119</v>
      </c>
      <c r="N33" s="13"/>
      <c r="O33" s="13"/>
      <c r="P33" s="14"/>
      <c r="Q33" s="15" t="s">
        <v>206</v>
      </c>
      <c r="R33" s="16" t="n">
        <f aca="true">$F33-TODAY()</f>
        <v>-112</v>
      </c>
      <c r="S33" s="16" t="str">
        <f aca="true">IF($Q33="Y","Completed",IF(TODAY()&gt;$F33,"Overdue","Pending"))</f>
        <v>Overdue</v>
      </c>
      <c r="T33" s="16" t="str">
        <f aca="false">IF($Q33="Y","-",IF($R33&lt;=0,"Stage 3 - Final/Daily (due or overdue)",IF($R33=1,"Stage 2 - T-1 (CC Supervisor)",IF($R33=2,"Stage 1 - T-2","Not yet due"))))</f>
        <v>Stage 3 - Final/Daily (due or overdue)</v>
      </c>
      <c r="U33" s="10"/>
      <c r="V33" s="10"/>
    </row>
    <row r="34" customFormat="false" ht="15" hidden="false" customHeight="false" outlineLevel="0" collapsed="false">
      <c r="A34" s="10" t="s">
        <v>238</v>
      </c>
      <c r="B34" s="10" t="s">
        <v>120</v>
      </c>
      <c r="C34" s="10" t="s">
        <v>121</v>
      </c>
      <c r="D34" s="10" t="s">
        <v>54</v>
      </c>
      <c r="E34" s="10" t="s">
        <v>82</v>
      </c>
      <c r="F34" s="11" t="n">
        <v>46188</v>
      </c>
      <c r="G34" s="10" t="s">
        <v>53</v>
      </c>
      <c r="H34" s="12" t="str">
        <f aca="false">IFERROR(INDEX(Users!$A:$A,MATCH($G34,Users!$B:$B,0)),"")</f>
        <v>Ritesh Garodia</v>
      </c>
      <c r="I34" s="10" t="s">
        <v>56</v>
      </c>
      <c r="J34" s="12" t="str">
        <f aca="false">IFERROR(INDEX(Users!$A:$A,MATCH($I34,Users!$B:$B,0)),"")</f>
        <v>Ritesh Garodia</v>
      </c>
      <c r="K34" s="12" t="str">
        <f aca="false">Users!$B$6</f>
        <v>garodia1.ritesh@gmail.com</v>
      </c>
      <c r="L34" s="12" t="str">
        <f aca="false">Users!$A$6</f>
        <v>Ritesh Garodia</v>
      </c>
      <c r="M34" s="10" t="s">
        <v>123</v>
      </c>
      <c r="N34" s="13"/>
      <c r="O34" s="13"/>
      <c r="P34" s="14"/>
      <c r="Q34" s="15" t="s">
        <v>206</v>
      </c>
      <c r="R34" s="16" t="n">
        <f aca="true">$F34-TODAY()</f>
        <v>-97</v>
      </c>
      <c r="S34" s="16" t="str">
        <f aca="true">IF($Q34="Y","Completed",IF(TODAY()&gt;$F34,"Overdue","Pending"))</f>
        <v>Overdue</v>
      </c>
      <c r="T34" s="16" t="str">
        <f aca="false">IF($Q34="Y","-",IF($R34&lt;=0,"Stage 3 - Final/Daily (due or overdue)",IF($R34=1,"Stage 2 - T-1 (CC Supervisor)",IF($R34=2,"Stage 1 - T-2","Not yet due"))))</f>
        <v>Stage 3 - Final/Daily (due or overdue)</v>
      </c>
      <c r="U34" s="10"/>
      <c r="V34" s="10"/>
    </row>
    <row r="35" customFormat="false" ht="15" hidden="false" customHeight="false" outlineLevel="0" collapsed="false">
      <c r="A35" s="10" t="s">
        <v>239</v>
      </c>
      <c r="B35" s="10" t="s">
        <v>120</v>
      </c>
      <c r="C35" s="10" t="s">
        <v>121</v>
      </c>
      <c r="D35" s="10" t="s">
        <v>54</v>
      </c>
      <c r="E35" s="10" t="s">
        <v>82</v>
      </c>
      <c r="F35" s="11" t="n">
        <v>46280</v>
      </c>
      <c r="G35" s="10" t="s">
        <v>53</v>
      </c>
      <c r="H35" s="12" t="str">
        <f aca="false">IFERROR(INDEX(Users!$A:$A,MATCH($G35,Users!$B:$B,0)),"")</f>
        <v>Ritesh Garodia</v>
      </c>
      <c r="I35" s="10" t="s">
        <v>56</v>
      </c>
      <c r="J35" s="12" t="str">
        <f aca="false">IFERROR(INDEX(Users!$A:$A,MATCH($I35,Users!$B:$B,0)),"")</f>
        <v>Ritesh Garodia</v>
      </c>
      <c r="K35" s="12" t="str">
        <f aca="false">Users!$B$6</f>
        <v>garodia1.ritesh@gmail.com</v>
      </c>
      <c r="L35" s="12" t="str">
        <f aca="false">Users!$A$6</f>
        <v>Ritesh Garodia</v>
      </c>
      <c r="M35" s="10" t="s">
        <v>123</v>
      </c>
      <c r="N35" s="13"/>
      <c r="O35" s="13"/>
      <c r="P35" s="14"/>
      <c r="Q35" s="15" t="s">
        <v>206</v>
      </c>
      <c r="R35" s="16" t="n">
        <f aca="true">$F35-TODAY()</f>
        <v>-5</v>
      </c>
      <c r="S35" s="16" t="str">
        <f aca="true">IF($Q35="Y","Completed",IF(TODAY()&gt;$F35,"Overdue","Pending"))</f>
        <v>Overdue</v>
      </c>
      <c r="T35" s="16" t="str">
        <f aca="false">IF($Q35="Y","-",IF($R35&lt;=0,"Stage 3 - Final/Daily (due or overdue)",IF($R35=1,"Stage 2 - T-1 (CC Supervisor)",IF($R35=2,"Stage 1 - T-2","Not yet due"))))</f>
        <v>Stage 3 - Final/Daily (due or overdue)</v>
      </c>
      <c r="U35" s="10"/>
      <c r="V35" s="10"/>
    </row>
    <row r="36" customFormat="false" ht="15" hidden="false" customHeight="false" outlineLevel="0" collapsed="false">
      <c r="A36" s="10" t="s">
        <v>240</v>
      </c>
      <c r="B36" s="10" t="s">
        <v>120</v>
      </c>
      <c r="C36" s="10" t="s">
        <v>121</v>
      </c>
      <c r="D36" s="10" t="s">
        <v>54</v>
      </c>
      <c r="E36" s="10" t="s">
        <v>82</v>
      </c>
      <c r="F36" s="11" t="n">
        <v>46371</v>
      </c>
      <c r="G36" s="10" t="s">
        <v>53</v>
      </c>
      <c r="H36" s="12" t="str">
        <f aca="false">IFERROR(INDEX(Users!$A:$A,MATCH($G36,Users!$B:$B,0)),"")</f>
        <v>Ritesh Garodia</v>
      </c>
      <c r="I36" s="10" t="s">
        <v>56</v>
      </c>
      <c r="J36" s="12" t="str">
        <f aca="false">IFERROR(INDEX(Users!$A:$A,MATCH($I36,Users!$B:$B,0)),"")</f>
        <v>Ritesh Garodia</v>
      </c>
      <c r="K36" s="12" t="str">
        <f aca="false">Users!$B$6</f>
        <v>garodia1.ritesh@gmail.com</v>
      </c>
      <c r="L36" s="12" t="str">
        <f aca="false">Users!$A$6</f>
        <v>Ritesh Garodia</v>
      </c>
      <c r="M36" s="10" t="s">
        <v>123</v>
      </c>
      <c r="N36" s="13"/>
      <c r="O36" s="13"/>
      <c r="P36" s="14"/>
      <c r="Q36" s="15" t="s">
        <v>206</v>
      </c>
      <c r="R36" s="16" t="n">
        <f aca="true">$F36-TODAY()</f>
        <v>86</v>
      </c>
      <c r="S36" s="16" t="str">
        <f aca="true">IF($Q36="Y","Completed",IF(TODAY()&gt;$F36,"Overdue","Pending"))</f>
        <v>Pending</v>
      </c>
      <c r="T36" s="16" t="str">
        <f aca="false">IF($Q36="Y","-",IF($R36&lt;=0,"Stage 3 - Final/Daily (due or overdue)",IF($R36=1,"Stage 2 - T-1 (CC Supervisor)",IF($R36=2,"Stage 1 - T-2","Not yet due"))))</f>
        <v>Not yet due</v>
      </c>
      <c r="U36" s="10"/>
      <c r="V36" s="10"/>
    </row>
    <row r="37" customFormat="false" ht="15" hidden="false" customHeight="false" outlineLevel="0" collapsed="false">
      <c r="A37" s="10" t="s">
        <v>241</v>
      </c>
      <c r="B37" s="10" t="s">
        <v>120</v>
      </c>
      <c r="C37" s="10" t="s">
        <v>121</v>
      </c>
      <c r="D37" s="10" t="s">
        <v>54</v>
      </c>
      <c r="E37" s="10" t="s">
        <v>82</v>
      </c>
      <c r="F37" s="11" t="n">
        <v>46461</v>
      </c>
      <c r="G37" s="10" t="s">
        <v>53</v>
      </c>
      <c r="H37" s="12" t="str">
        <f aca="false">IFERROR(INDEX(Users!$A:$A,MATCH($G37,Users!$B:$B,0)),"")</f>
        <v>Ritesh Garodia</v>
      </c>
      <c r="I37" s="10" t="s">
        <v>56</v>
      </c>
      <c r="J37" s="12" t="str">
        <f aca="false">IFERROR(INDEX(Users!$A:$A,MATCH($I37,Users!$B:$B,0)),"")</f>
        <v>Ritesh Garodia</v>
      </c>
      <c r="K37" s="12" t="str">
        <f aca="false">Users!$B$6</f>
        <v>garodia1.ritesh@gmail.com</v>
      </c>
      <c r="L37" s="12" t="str">
        <f aca="false">Users!$A$6</f>
        <v>Ritesh Garodia</v>
      </c>
      <c r="M37" s="10" t="s">
        <v>123</v>
      </c>
      <c r="N37" s="13"/>
      <c r="O37" s="13"/>
      <c r="P37" s="14"/>
      <c r="Q37" s="15" t="s">
        <v>206</v>
      </c>
      <c r="R37" s="16" t="n">
        <f aca="true">$F37-TODAY()</f>
        <v>176</v>
      </c>
      <c r="S37" s="16" t="str">
        <f aca="true">IF($Q37="Y","Completed",IF(TODAY()&gt;$F37,"Overdue","Pending"))</f>
        <v>Pending</v>
      </c>
      <c r="T37" s="16" t="str">
        <f aca="false">IF($Q37="Y","-",IF($R37&lt;=0,"Stage 3 - Final/Daily (due or overdue)",IF($R37=1,"Stage 2 - T-1 (CC Supervisor)",IF($R37=2,"Stage 1 - T-2","Not yet due"))))</f>
        <v>Not yet due</v>
      </c>
      <c r="U37" s="10"/>
      <c r="V37" s="10"/>
    </row>
    <row r="38" customFormat="false" ht="15" hidden="false" customHeight="false" outlineLevel="0" collapsed="false">
      <c r="A38" s="10" t="s">
        <v>242</v>
      </c>
      <c r="B38" s="10" t="s">
        <v>124</v>
      </c>
      <c r="C38" s="10" t="s">
        <v>125</v>
      </c>
      <c r="D38" s="10" t="s">
        <v>54</v>
      </c>
      <c r="E38" s="10" t="s">
        <v>96</v>
      </c>
      <c r="F38" s="11" t="n">
        <v>46326</v>
      </c>
      <c r="G38" s="10" t="s">
        <v>53</v>
      </c>
      <c r="H38" s="12" t="str">
        <f aca="false">IFERROR(INDEX(Users!$A:$A,MATCH($G38,Users!$B:$B,0)),"")</f>
        <v>Ritesh Garodia</v>
      </c>
      <c r="I38" s="10" t="s">
        <v>56</v>
      </c>
      <c r="J38" s="12" t="str">
        <f aca="false">IFERROR(INDEX(Users!$A:$A,MATCH($I38,Users!$B:$B,0)),"")</f>
        <v>Ritesh Garodia</v>
      </c>
      <c r="K38" s="12" t="str">
        <f aca="false">Users!$B$6</f>
        <v>garodia1.ritesh@gmail.com</v>
      </c>
      <c r="L38" s="12" t="str">
        <f aca="false">Users!$A$6</f>
        <v>Ritesh Garodia</v>
      </c>
      <c r="M38" s="10" t="s">
        <v>126</v>
      </c>
      <c r="N38" s="13"/>
      <c r="O38" s="13"/>
      <c r="P38" s="14"/>
      <c r="Q38" s="15" t="s">
        <v>206</v>
      </c>
      <c r="R38" s="16" t="n">
        <f aca="true">$F38-TODAY()</f>
        <v>41</v>
      </c>
      <c r="S38" s="16" t="str">
        <f aca="true">IF($Q38="Y","Completed",IF(TODAY()&gt;$F38,"Overdue","Pending"))</f>
        <v>Pending</v>
      </c>
      <c r="T38" s="16" t="str">
        <f aca="false">IF($Q38="Y","-",IF($R38&lt;=0,"Stage 3 - Final/Daily (due or overdue)",IF($R38=1,"Stage 2 - T-1 (CC Supervisor)",IF($R38=2,"Stage 1 - T-2","Not yet due"))))</f>
        <v>Not yet due</v>
      </c>
      <c r="U38" s="10"/>
      <c r="V38" s="10"/>
    </row>
    <row r="39" customFormat="false" ht="15" hidden="false" customHeight="false" outlineLevel="0" collapsed="false">
      <c r="A39" s="10" t="s">
        <v>243</v>
      </c>
      <c r="B39" s="10" t="s">
        <v>127</v>
      </c>
      <c r="C39" s="10" t="s">
        <v>128</v>
      </c>
      <c r="D39" s="10" t="s">
        <v>54</v>
      </c>
      <c r="E39" s="10" t="s">
        <v>96</v>
      </c>
      <c r="F39" s="11" t="n">
        <v>46234</v>
      </c>
      <c r="G39" s="10" t="s">
        <v>53</v>
      </c>
      <c r="H39" s="12" t="str">
        <f aca="false">IFERROR(INDEX(Users!$A:$A,MATCH($G39,Users!$B:$B,0)),"")</f>
        <v>Ritesh Garodia</v>
      </c>
      <c r="I39" s="10" t="s">
        <v>56</v>
      </c>
      <c r="J39" s="12" t="str">
        <f aca="false">IFERROR(INDEX(Users!$A:$A,MATCH($I39,Users!$B:$B,0)),"")</f>
        <v>Ritesh Garodia</v>
      </c>
      <c r="K39" s="12" t="str">
        <f aca="false">Users!$B$6</f>
        <v>garodia1.ritesh@gmail.com</v>
      </c>
      <c r="L39" s="12" t="str">
        <f aca="false">Users!$A$6</f>
        <v>Ritesh Garodia</v>
      </c>
      <c r="M39" s="10" t="s">
        <v>130</v>
      </c>
      <c r="N39" s="13"/>
      <c r="O39" s="13"/>
      <c r="P39" s="14"/>
      <c r="Q39" s="15" t="s">
        <v>206</v>
      </c>
      <c r="R39" s="16" t="n">
        <f aca="true">$F39-TODAY()</f>
        <v>-51</v>
      </c>
      <c r="S39" s="16" t="str">
        <f aca="true">IF($Q39="Y","Completed",IF(TODAY()&gt;$F39,"Overdue","Pending"))</f>
        <v>Overdue</v>
      </c>
      <c r="T39" s="16" t="str">
        <f aca="false">IF($Q39="Y","-",IF($R39&lt;=0,"Stage 3 - Final/Daily (due or overdue)",IF($R39=1,"Stage 2 - T-1 (CC Supervisor)",IF($R39=2,"Stage 1 - T-2","Not yet due"))))</f>
        <v>Stage 3 - Final/Daily (due or overdue)</v>
      </c>
      <c r="U39" s="10"/>
      <c r="V39" s="10"/>
    </row>
    <row r="40" customFormat="false" ht="15" hidden="false" customHeight="false" outlineLevel="0" collapsed="false">
      <c r="A40" s="10" t="s">
        <v>244</v>
      </c>
      <c r="B40" s="10" t="s">
        <v>131</v>
      </c>
      <c r="C40" s="10" t="s">
        <v>132</v>
      </c>
      <c r="D40" s="10" t="s">
        <v>57</v>
      </c>
      <c r="E40" s="10" t="s">
        <v>75</v>
      </c>
      <c r="F40" s="11" t="n">
        <v>46123</v>
      </c>
      <c r="G40" s="10" t="s">
        <v>53</v>
      </c>
      <c r="H40" s="12" t="str">
        <f aca="false">IFERROR(INDEX(Users!$A:$A,MATCH($G40,Users!$B:$B,0)),"")</f>
        <v>Ritesh Garodia</v>
      </c>
      <c r="I40" s="10" t="s">
        <v>56</v>
      </c>
      <c r="J40" s="12" t="str">
        <f aca="false">IFERROR(INDEX(Users!$A:$A,MATCH($I40,Users!$B:$B,0)),"")</f>
        <v>Ritesh Garodia</v>
      </c>
      <c r="K40" s="12" t="str">
        <f aca="false">Users!$B$6</f>
        <v>garodia1.ritesh@gmail.com</v>
      </c>
      <c r="L40" s="12" t="str">
        <f aca="false">Users!$A$6</f>
        <v>Ritesh Garodia</v>
      </c>
      <c r="M40" s="10" t="s">
        <v>134</v>
      </c>
      <c r="N40" s="13"/>
      <c r="O40" s="13"/>
      <c r="P40" s="14"/>
      <c r="Q40" s="15" t="s">
        <v>206</v>
      </c>
      <c r="R40" s="16" t="n">
        <f aca="true">$F40-TODAY()</f>
        <v>-162</v>
      </c>
      <c r="S40" s="16" t="str">
        <f aca="true">IF($Q40="Y","Completed",IF(TODAY()&gt;$F40,"Overdue","Pending"))</f>
        <v>Overdue</v>
      </c>
      <c r="T40" s="16" t="str">
        <f aca="false">IF($Q40="Y","-",IF($R40&lt;=0,"Stage 3 - Final/Daily (due or overdue)",IF($R40=1,"Stage 2 - T-1 (CC Supervisor)",IF($R40=2,"Stage 1 - T-2","Not yet due"))))</f>
        <v>Stage 3 - Final/Daily (due or overdue)</v>
      </c>
      <c r="U40" s="10"/>
      <c r="V40" s="10"/>
    </row>
    <row r="41" customFormat="false" ht="15" hidden="false" customHeight="false" outlineLevel="0" collapsed="false">
      <c r="A41" s="10" t="s">
        <v>245</v>
      </c>
      <c r="B41" s="10" t="s">
        <v>131</v>
      </c>
      <c r="C41" s="10" t="s">
        <v>132</v>
      </c>
      <c r="D41" s="10" t="s">
        <v>57</v>
      </c>
      <c r="E41" s="10" t="s">
        <v>75</v>
      </c>
      <c r="F41" s="11" t="n">
        <v>46153</v>
      </c>
      <c r="G41" s="10" t="s">
        <v>53</v>
      </c>
      <c r="H41" s="12" t="str">
        <f aca="false">IFERROR(INDEX(Users!$A:$A,MATCH($G41,Users!$B:$B,0)),"")</f>
        <v>Ritesh Garodia</v>
      </c>
      <c r="I41" s="10" t="s">
        <v>56</v>
      </c>
      <c r="J41" s="12" t="str">
        <f aca="false">IFERROR(INDEX(Users!$A:$A,MATCH($I41,Users!$B:$B,0)),"")</f>
        <v>Ritesh Garodia</v>
      </c>
      <c r="K41" s="12" t="str">
        <f aca="false">Users!$B$6</f>
        <v>garodia1.ritesh@gmail.com</v>
      </c>
      <c r="L41" s="12" t="str">
        <f aca="false">Users!$A$6</f>
        <v>Ritesh Garodia</v>
      </c>
      <c r="M41" s="10" t="s">
        <v>134</v>
      </c>
      <c r="N41" s="13"/>
      <c r="O41" s="13"/>
      <c r="P41" s="14"/>
      <c r="Q41" s="15" t="s">
        <v>206</v>
      </c>
      <c r="R41" s="16" t="n">
        <f aca="true">$F41-TODAY()</f>
        <v>-132</v>
      </c>
      <c r="S41" s="16" t="str">
        <f aca="true">IF($Q41="Y","Completed",IF(TODAY()&gt;$F41,"Overdue","Pending"))</f>
        <v>Overdue</v>
      </c>
      <c r="T41" s="16" t="str">
        <f aca="false">IF($Q41="Y","-",IF($R41&lt;=0,"Stage 3 - Final/Daily (due or overdue)",IF($R41=1,"Stage 2 - T-1 (CC Supervisor)",IF($R41=2,"Stage 1 - T-2","Not yet due"))))</f>
        <v>Stage 3 - Final/Daily (due or overdue)</v>
      </c>
      <c r="U41" s="10"/>
      <c r="V41" s="10"/>
    </row>
    <row r="42" customFormat="false" ht="15" hidden="false" customHeight="false" outlineLevel="0" collapsed="false">
      <c r="A42" s="10" t="s">
        <v>246</v>
      </c>
      <c r="B42" s="10" t="s">
        <v>131</v>
      </c>
      <c r="C42" s="10" t="s">
        <v>132</v>
      </c>
      <c r="D42" s="10" t="s">
        <v>57</v>
      </c>
      <c r="E42" s="10" t="s">
        <v>75</v>
      </c>
      <c r="F42" s="11" t="n">
        <v>46184</v>
      </c>
      <c r="G42" s="10" t="s">
        <v>53</v>
      </c>
      <c r="H42" s="12" t="str">
        <f aca="false">IFERROR(INDEX(Users!$A:$A,MATCH($G42,Users!$B:$B,0)),"")</f>
        <v>Ritesh Garodia</v>
      </c>
      <c r="I42" s="10" t="s">
        <v>56</v>
      </c>
      <c r="J42" s="12" t="str">
        <f aca="false">IFERROR(INDEX(Users!$A:$A,MATCH($I42,Users!$B:$B,0)),"")</f>
        <v>Ritesh Garodia</v>
      </c>
      <c r="K42" s="12" t="str">
        <f aca="false">Users!$B$6</f>
        <v>garodia1.ritesh@gmail.com</v>
      </c>
      <c r="L42" s="12" t="str">
        <f aca="false">Users!$A$6</f>
        <v>Ritesh Garodia</v>
      </c>
      <c r="M42" s="10" t="s">
        <v>134</v>
      </c>
      <c r="N42" s="13"/>
      <c r="O42" s="13"/>
      <c r="P42" s="14"/>
      <c r="Q42" s="15" t="s">
        <v>206</v>
      </c>
      <c r="R42" s="16" t="n">
        <f aca="true">$F42-TODAY()</f>
        <v>-101</v>
      </c>
      <c r="S42" s="16" t="str">
        <f aca="true">IF($Q42="Y","Completed",IF(TODAY()&gt;$F42,"Overdue","Pending"))</f>
        <v>Overdue</v>
      </c>
      <c r="T42" s="16" t="str">
        <f aca="false">IF($Q42="Y","-",IF($R42&lt;=0,"Stage 3 - Final/Daily (due or overdue)",IF($R42=1,"Stage 2 - T-1 (CC Supervisor)",IF($R42=2,"Stage 1 - T-2","Not yet due"))))</f>
        <v>Stage 3 - Final/Daily (due or overdue)</v>
      </c>
      <c r="U42" s="10"/>
      <c r="V42" s="10"/>
    </row>
    <row r="43" customFormat="false" ht="15" hidden="false" customHeight="false" outlineLevel="0" collapsed="false">
      <c r="A43" s="10" t="s">
        <v>247</v>
      </c>
      <c r="B43" s="10" t="s">
        <v>131</v>
      </c>
      <c r="C43" s="10" t="s">
        <v>132</v>
      </c>
      <c r="D43" s="10" t="s">
        <v>57</v>
      </c>
      <c r="E43" s="10" t="s">
        <v>75</v>
      </c>
      <c r="F43" s="11" t="n">
        <v>46214</v>
      </c>
      <c r="G43" s="10" t="s">
        <v>53</v>
      </c>
      <c r="H43" s="12" t="str">
        <f aca="false">IFERROR(INDEX(Users!$A:$A,MATCH($G43,Users!$B:$B,0)),"")</f>
        <v>Ritesh Garodia</v>
      </c>
      <c r="I43" s="10" t="s">
        <v>56</v>
      </c>
      <c r="J43" s="12" t="str">
        <f aca="false">IFERROR(INDEX(Users!$A:$A,MATCH($I43,Users!$B:$B,0)),"")</f>
        <v>Ritesh Garodia</v>
      </c>
      <c r="K43" s="12" t="str">
        <f aca="false">Users!$B$6</f>
        <v>garodia1.ritesh@gmail.com</v>
      </c>
      <c r="L43" s="12" t="str">
        <f aca="false">Users!$A$6</f>
        <v>Ritesh Garodia</v>
      </c>
      <c r="M43" s="10" t="s">
        <v>134</v>
      </c>
      <c r="N43" s="13"/>
      <c r="O43" s="13"/>
      <c r="P43" s="14"/>
      <c r="Q43" s="15" t="s">
        <v>206</v>
      </c>
      <c r="R43" s="16" t="n">
        <f aca="true">$F43-TODAY()</f>
        <v>-71</v>
      </c>
      <c r="S43" s="16" t="str">
        <f aca="true">IF($Q43="Y","Completed",IF(TODAY()&gt;$F43,"Overdue","Pending"))</f>
        <v>Overdue</v>
      </c>
      <c r="T43" s="16" t="str">
        <f aca="false">IF($Q43="Y","-",IF($R43&lt;=0,"Stage 3 - Final/Daily (due or overdue)",IF($R43=1,"Stage 2 - T-1 (CC Supervisor)",IF($R43=2,"Stage 1 - T-2","Not yet due"))))</f>
        <v>Stage 3 - Final/Daily (due or overdue)</v>
      </c>
      <c r="U43" s="10"/>
      <c r="V43" s="10"/>
    </row>
    <row r="44" customFormat="false" ht="15" hidden="false" customHeight="false" outlineLevel="0" collapsed="false">
      <c r="A44" s="10" t="s">
        <v>248</v>
      </c>
      <c r="B44" s="10" t="s">
        <v>131</v>
      </c>
      <c r="C44" s="10" t="s">
        <v>132</v>
      </c>
      <c r="D44" s="10" t="s">
        <v>57</v>
      </c>
      <c r="E44" s="10" t="s">
        <v>75</v>
      </c>
      <c r="F44" s="11" t="n">
        <v>46245</v>
      </c>
      <c r="G44" s="10" t="s">
        <v>53</v>
      </c>
      <c r="H44" s="12" t="str">
        <f aca="false">IFERROR(INDEX(Users!$A:$A,MATCH($G44,Users!$B:$B,0)),"")</f>
        <v>Ritesh Garodia</v>
      </c>
      <c r="I44" s="10" t="s">
        <v>56</v>
      </c>
      <c r="J44" s="12" t="str">
        <f aca="false">IFERROR(INDEX(Users!$A:$A,MATCH($I44,Users!$B:$B,0)),"")</f>
        <v>Ritesh Garodia</v>
      </c>
      <c r="K44" s="12" t="str">
        <f aca="false">Users!$B$6</f>
        <v>garodia1.ritesh@gmail.com</v>
      </c>
      <c r="L44" s="12" t="str">
        <f aca="false">Users!$A$6</f>
        <v>Ritesh Garodia</v>
      </c>
      <c r="M44" s="10" t="s">
        <v>134</v>
      </c>
      <c r="N44" s="13"/>
      <c r="O44" s="13"/>
      <c r="P44" s="14"/>
      <c r="Q44" s="15" t="s">
        <v>206</v>
      </c>
      <c r="R44" s="16" t="n">
        <f aca="true">$F44-TODAY()</f>
        <v>-40</v>
      </c>
      <c r="S44" s="16" t="str">
        <f aca="true">IF($Q44="Y","Completed",IF(TODAY()&gt;$F44,"Overdue","Pending"))</f>
        <v>Overdue</v>
      </c>
      <c r="T44" s="16" t="str">
        <f aca="false">IF($Q44="Y","-",IF($R44&lt;=0,"Stage 3 - Final/Daily (due or overdue)",IF($R44=1,"Stage 2 - T-1 (CC Supervisor)",IF($R44=2,"Stage 1 - T-2","Not yet due"))))</f>
        <v>Stage 3 - Final/Daily (due or overdue)</v>
      </c>
      <c r="U44" s="10"/>
      <c r="V44" s="10"/>
    </row>
    <row r="45" customFormat="false" ht="15" hidden="false" customHeight="false" outlineLevel="0" collapsed="false">
      <c r="A45" s="10" t="s">
        <v>249</v>
      </c>
      <c r="B45" s="10" t="s">
        <v>131</v>
      </c>
      <c r="C45" s="10" t="s">
        <v>132</v>
      </c>
      <c r="D45" s="10" t="s">
        <v>57</v>
      </c>
      <c r="E45" s="10" t="s">
        <v>75</v>
      </c>
      <c r="F45" s="11" t="n">
        <v>46276</v>
      </c>
      <c r="G45" s="10" t="s">
        <v>53</v>
      </c>
      <c r="H45" s="12" t="str">
        <f aca="false">IFERROR(INDEX(Users!$A:$A,MATCH($G45,Users!$B:$B,0)),"")</f>
        <v>Ritesh Garodia</v>
      </c>
      <c r="I45" s="10" t="s">
        <v>56</v>
      </c>
      <c r="J45" s="12" t="str">
        <f aca="false">IFERROR(INDEX(Users!$A:$A,MATCH($I45,Users!$B:$B,0)),"")</f>
        <v>Ritesh Garodia</v>
      </c>
      <c r="K45" s="12" t="str">
        <f aca="false">Users!$B$6</f>
        <v>garodia1.ritesh@gmail.com</v>
      </c>
      <c r="L45" s="12" t="str">
        <f aca="false">Users!$A$6</f>
        <v>Ritesh Garodia</v>
      </c>
      <c r="M45" s="10" t="s">
        <v>134</v>
      </c>
      <c r="N45" s="13"/>
      <c r="O45" s="13"/>
      <c r="P45" s="14"/>
      <c r="Q45" s="15" t="s">
        <v>206</v>
      </c>
      <c r="R45" s="16" t="n">
        <f aca="true">$F45-TODAY()</f>
        <v>-9</v>
      </c>
      <c r="S45" s="16" t="str">
        <f aca="true">IF($Q45="Y","Completed",IF(TODAY()&gt;$F45,"Overdue","Pending"))</f>
        <v>Overdue</v>
      </c>
      <c r="T45" s="16" t="str">
        <f aca="false">IF($Q45="Y","-",IF($R45&lt;=0,"Stage 3 - Final/Daily (due or overdue)",IF($R45=1,"Stage 2 - T-1 (CC Supervisor)",IF($R45=2,"Stage 1 - T-2","Not yet due"))))</f>
        <v>Stage 3 - Final/Daily (due or overdue)</v>
      </c>
      <c r="U45" s="10"/>
      <c r="V45" s="10"/>
    </row>
    <row r="46" customFormat="false" ht="15" hidden="false" customHeight="false" outlineLevel="0" collapsed="false">
      <c r="A46" s="10" t="s">
        <v>250</v>
      </c>
      <c r="B46" s="10" t="s">
        <v>131</v>
      </c>
      <c r="C46" s="10" t="s">
        <v>132</v>
      </c>
      <c r="D46" s="10" t="s">
        <v>57</v>
      </c>
      <c r="E46" s="10" t="s">
        <v>75</v>
      </c>
      <c r="F46" s="11" t="n">
        <v>46306</v>
      </c>
      <c r="G46" s="10" t="s">
        <v>53</v>
      </c>
      <c r="H46" s="12" t="str">
        <f aca="false">IFERROR(INDEX(Users!$A:$A,MATCH($G46,Users!$B:$B,0)),"")</f>
        <v>Ritesh Garodia</v>
      </c>
      <c r="I46" s="10" t="s">
        <v>56</v>
      </c>
      <c r="J46" s="12" t="str">
        <f aca="false">IFERROR(INDEX(Users!$A:$A,MATCH($I46,Users!$B:$B,0)),"")</f>
        <v>Ritesh Garodia</v>
      </c>
      <c r="K46" s="12" t="str">
        <f aca="false">Users!$B$6</f>
        <v>garodia1.ritesh@gmail.com</v>
      </c>
      <c r="L46" s="12" t="str">
        <f aca="false">Users!$A$6</f>
        <v>Ritesh Garodia</v>
      </c>
      <c r="M46" s="10" t="s">
        <v>134</v>
      </c>
      <c r="N46" s="13"/>
      <c r="O46" s="13"/>
      <c r="P46" s="14"/>
      <c r="Q46" s="15" t="s">
        <v>206</v>
      </c>
      <c r="R46" s="16" t="n">
        <f aca="true">$F46-TODAY()</f>
        <v>21</v>
      </c>
      <c r="S46" s="16" t="str">
        <f aca="true">IF($Q46="Y","Completed",IF(TODAY()&gt;$F46,"Overdue","Pending"))</f>
        <v>Pending</v>
      </c>
      <c r="T46" s="16" t="str">
        <f aca="false">IF($Q46="Y","-",IF($R46&lt;=0,"Stage 3 - Final/Daily (due or overdue)",IF($R46=1,"Stage 2 - T-1 (CC Supervisor)",IF($R46=2,"Stage 1 - T-2","Not yet due"))))</f>
        <v>Not yet due</v>
      </c>
      <c r="U46" s="10"/>
      <c r="V46" s="10"/>
    </row>
    <row r="47" customFormat="false" ht="15" hidden="false" customHeight="false" outlineLevel="0" collapsed="false">
      <c r="A47" s="10" t="s">
        <v>251</v>
      </c>
      <c r="B47" s="10" t="s">
        <v>131</v>
      </c>
      <c r="C47" s="10" t="s">
        <v>132</v>
      </c>
      <c r="D47" s="10" t="s">
        <v>57</v>
      </c>
      <c r="E47" s="10" t="s">
        <v>75</v>
      </c>
      <c r="F47" s="11" t="n">
        <v>46337</v>
      </c>
      <c r="G47" s="10" t="s">
        <v>53</v>
      </c>
      <c r="H47" s="12" t="str">
        <f aca="false">IFERROR(INDEX(Users!$A:$A,MATCH($G47,Users!$B:$B,0)),"")</f>
        <v>Ritesh Garodia</v>
      </c>
      <c r="I47" s="10" t="s">
        <v>56</v>
      </c>
      <c r="J47" s="12" t="str">
        <f aca="false">IFERROR(INDEX(Users!$A:$A,MATCH($I47,Users!$B:$B,0)),"")</f>
        <v>Ritesh Garodia</v>
      </c>
      <c r="K47" s="12" t="str">
        <f aca="false">Users!$B$6</f>
        <v>garodia1.ritesh@gmail.com</v>
      </c>
      <c r="L47" s="12" t="str">
        <f aca="false">Users!$A$6</f>
        <v>Ritesh Garodia</v>
      </c>
      <c r="M47" s="10" t="s">
        <v>134</v>
      </c>
      <c r="N47" s="13"/>
      <c r="O47" s="13"/>
      <c r="P47" s="14"/>
      <c r="Q47" s="15" t="s">
        <v>206</v>
      </c>
      <c r="R47" s="16" t="n">
        <f aca="true">$F47-TODAY()</f>
        <v>52</v>
      </c>
      <c r="S47" s="16" t="str">
        <f aca="true">IF($Q47="Y","Completed",IF(TODAY()&gt;$F47,"Overdue","Pending"))</f>
        <v>Pending</v>
      </c>
      <c r="T47" s="16" t="str">
        <f aca="false">IF($Q47="Y","-",IF($R47&lt;=0,"Stage 3 - Final/Daily (due or overdue)",IF($R47=1,"Stage 2 - T-1 (CC Supervisor)",IF($R47=2,"Stage 1 - T-2","Not yet due"))))</f>
        <v>Not yet due</v>
      </c>
      <c r="U47" s="10"/>
      <c r="V47" s="10"/>
    </row>
    <row r="48" customFormat="false" ht="15" hidden="false" customHeight="false" outlineLevel="0" collapsed="false">
      <c r="A48" s="10" t="s">
        <v>252</v>
      </c>
      <c r="B48" s="10" t="s">
        <v>131</v>
      </c>
      <c r="C48" s="10" t="s">
        <v>132</v>
      </c>
      <c r="D48" s="10" t="s">
        <v>57</v>
      </c>
      <c r="E48" s="10" t="s">
        <v>75</v>
      </c>
      <c r="F48" s="11" t="n">
        <v>46367</v>
      </c>
      <c r="G48" s="10" t="s">
        <v>53</v>
      </c>
      <c r="H48" s="12" t="str">
        <f aca="false">IFERROR(INDEX(Users!$A:$A,MATCH($G48,Users!$B:$B,0)),"")</f>
        <v>Ritesh Garodia</v>
      </c>
      <c r="I48" s="10" t="s">
        <v>56</v>
      </c>
      <c r="J48" s="12" t="str">
        <f aca="false">IFERROR(INDEX(Users!$A:$A,MATCH($I48,Users!$B:$B,0)),"")</f>
        <v>Ritesh Garodia</v>
      </c>
      <c r="K48" s="12" t="str">
        <f aca="false">Users!$B$6</f>
        <v>garodia1.ritesh@gmail.com</v>
      </c>
      <c r="L48" s="12" t="str">
        <f aca="false">Users!$A$6</f>
        <v>Ritesh Garodia</v>
      </c>
      <c r="M48" s="10" t="s">
        <v>134</v>
      </c>
      <c r="N48" s="13"/>
      <c r="O48" s="13"/>
      <c r="P48" s="14"/>
      <c r="Q48" s="15" t="s">
        <v>206</v>
      </c>
      <c r="R48" s="16" t="n">
        <f aca="true">$F48-TODAY()</f>
        <v>82</v>
      </c>
      <c r="S48" s="16" t="str">
        <f aca="true">IF($Q48="Y","Completed",IF(TODAY()&gt;$F48,"Overdue","Pending"))</f>
        <v>Pending</v>
      </c>
      <c r="T48" s="16" t="str">
        <f aca="false">IF($Q48="Y","-",IF($R48&lt;=0,"Stage 3 - Final/Daily (due or overdue)",IF($R48=1,"Stage 2 - T-1 (CC Supervisor)",IF($R48=2,"Stage 1 - T-2","Not yet due"))))</f>
        <v>Not yet due</v>
      </c>
      <c r="U48" s="10"/>
      <c r="V48" s="10"/>
    </row>
    <row r="49" customFormat="false" ht="15" hidden="false" customHeight="false" outlineLevel="0" collapsed="false">
      <c r="A49" s="10" t="s">
        <v>253</v>
      </c>
      <c r="B49" s="10" t="s">
        <v>131</v>
      </c>
      <c r="C49" s="10" t="s">
        <v>132</v>
      </c>
      <c r="D49" s="10" t="s">
        <v>57</v>
      </c>
      <c r="E49" s="10" t="s">
        <v>75</v>
      </c>
      <c r="F49" s="11" t="n">
        <v>46398</v>
      </c>
      <c r="G49" s="10" t="s">
        <v>53</v>
      </c>
      <c r="H49" s="12" t="str">
        <f aca="false">IFERROR(INDEX(Users!$A:$A,MATCH($G49,Users!$B:$B,0)),"")</f>
        <v>Ritesh Garodia</v>
      </c>
      <c r="I49" s="10" t="s">
        <v>56</v>
      </c>
      <c r="J49" s="12" t="str">
        <f aca="false">IFERROR(INDEX(Users!$A:$A,MATCH($I49,Users!$B:$B,0)),"")</f>
        <v>Ritesh Garodia</v>
      </c>
      <c r="K49" s="12" t="str">
        <f aca="false">Users!$B$6</f>
        <v>garodia1.ritesh@gmail.com</v>
      </c>
      <c r="L49" s="12" t="str">
        <f aca="false">Users!$A$6</f>
        <v>Ritesh Garodia</v>
      </c>
      <c r="M49" s="10" t="s">
        <v>134</v>
      </c>
      <c r="N49" s="13"/>
      <c r="O49" s="13"/>
      <c r="P49" s="14"/>
      <c r="Q49" s="15" t="s">
        <v>206</v>
      </c>
      <c r="R49" s="16" t="n">
        <f aca="true">$F49-TODAY()</f>
        <v>113</v>
      </c>
      <c r="S49" s="16" t="str">
        <f aca="true">IF($Q49="Y","Completed",IF(TODAY()&gt;$F49,"Overdue","Pending"))</f>
        <v>Pending</v>
      </c>
      <c r="T49" s="16" t="str">
        <f aca="false">IF($Q49="Y","-",IF($R49&lt;=0,"Stage 3 - Final/Daily (due or overdue)",IF($R49=1,"Stage 2 - T-1 (CC Supervisor)",IF($R49=2,"Stage 1 - T-2","Not yet due"))))</f>
        <v>Not yet due</v>
      </c>
      <c r="U49" s="10"/>
      <c r="V49" s="10"/>
    </row>
    <row r="50" customFormat="false" ht="15" hidden="false" customHeight="false" outlineLevel="0" collapsed="false">
      <c r="A50" s="10" t="s">
        <v>254</v>
      </c>
      <c r="B50" s="10" t="s">
        <v>131</v>
      </c>
      <c r="C50" s="10" t="s">
        <v>132</v>
      </c>
      <c r="D50" s="10" t="s">
        <v>57</v>
      </c>
      <c r="E50" s="10" t="s">
        <v>75</v>
      </c>
      <c r="F50" s="11" t="n">
        <v>46429</v>
      </c>
      <c r="G50" s="10" t="s">
        <v>53</v>
      </c>
      <c r="H50" s="12" t="str">
        <f aca="false">IFERROR(INDEX(Users!$A:$A,MATCH($G50,Users!$B:$B,0)),"")</f>
        <v>Ritesh Garodia</v>
      </c>
      <c r="I50" s="10" t="s">
        <v>56</v>
      </c>
      <c r="J50" s="12" t="str">
        <f aca="false">IFERROR(INDEX(Users!$A:$A,MATCH($I50,Users!$B:$B,0)),"")</f>
        <v>Ritesh Garodia</v>
      </c>
      <c r="K50" s="12" t="str">
        <f aca="false">Users!$B$6</f>
        <v>garodia1.ritesh@gmail.com</v>
      </c>
      <c r="L50" s="12" t="str">
        <f aca="false">Users!$A$6</f>
        <v>Ritesh Garodia</v>
      </c>
      <c r="M50" s="10" t="s">
        <v>134</v>
      </c>
      <c r="N50" s="13"/>
      <c r="O50" s="13"/>
      <c r="P50" s="14"/>
      <c r="Q50" s="15" t="s">
        <v>206</v>
      </c>
      <c r="R50" s="16" t="n">
        <f aca="true">$F50-TODAY()</f>
        <v>144</v>
      </c>
      <c r="S50" s="16" t="str">
        <f aca="true">IF($Q50="Y","Completed",IF(TODAY()&gt;$F50,"Overdue","Pending"))</f>
        <v>Pending</v>
      </c>
      <c r="T50" s="16" t="str">
        <f aca="false">IF($Q50="Y","-",IF($R50&lt;=0,"Stage 3 - Final/Daily (due or overdue)",IF($R50=1,"Stage 2 - T-1 (CC Supervisor)",IF($R50=2,"Stage 1 - T-2","Not yet due"))))</f>
        <v>Not yet due</v>
      </c>
      <c r="U50" s="10"/>
      <c r="V50" s="10"/>
    </row>
    <row r="51" customFormat="false" ht="15" hidden="false" customHeight="false" outlineLevel="0" collapsed="false">
      <c r="A51" s="10" t="s">
        <v>255</v>
      </c>
      <c r="B51" s="10" t="s">
        <v>131</v>
      </c>
      <c r="C51" s="10" t="s">
        <v>132</v>
      </c>
      <c r="D51" s="10" t="s">
        <v>57</v>
      </c>
      <c r="E51" s="10" t="s">
        <v>75</v>
      </c>
      <c r="F51" s="11" t="n">
        <v>46457</v>
      </c>
      <c r="G51" s="10" t="s">
        <v>53</v>
      </c>
      <c r="H51" s="12" t="str">
        <f aca="false">IFERROR(INDEX(Users!$A:$A,MATCH($G51,Users!$B:$B,0)),"")</f>
        <v>Ritesh Garodia</v>
      </c>
      <c r="I51" s="10" t="s">
        <v>56</v>
      </c>
      <c r="J51" s="12" t="str">
        <f aca="false">IFERROR(INDEX(Users!$A:$A,MATCH($I51,Users!$B:$B,0)),"")</f>
        <v>Ritesh Garodia</v>
      </c>
      <c r="K51" s="12" t="str">
        <f aca="false">Users!$B$6</f>
        <v>garodia1.ritesh@gmail.com</v>
      </c>
      <c r="L51" s="12" t="str">
        <f aca="false">Users!$A$6</f>
        <v>Ritesh Garodia</v>
      </c>
      <c r="M51" s="10" t="s">
        <v>134</v>
      </c>
      <c r="N51" s="13"/>
      <c r="O51" s="13"/>
      <c r="P51" s="14"/>
      <c r="Q51" s="15" t="s">
        <v>206</v>
      </c>
      <c r="R51" s="16" t="n">
        <f aca="true">$F51-TODAY()</f>
        <v>172</v>
      </c>
      <c r="S51" s="16" t="str">
        <f aca="true">IF($Q51="Y","Completed",IF(TODAY()&gt;$F51,"Overdue","Pending"))</f>
        <v>Pending</v>
      </c>
      <c r="T51" s="16" t="str">
        <f aca="false">IF($Q51="Y","-",IF($R51&lt;=0,"Stage 3 - Final/Daily (due or overdue)",IF($R51=1,"Stage 2 - T-1 (CC Supervisor)",IF($R51=2,"Stage 1 - T-2","Not yet due"))))</f>
        <v>Not yet due</v>
      </c>
      <c r="U51" s="10"/>
      <c r="V51" s="10"/>
    </row>
    <row r="52" customFormat="false" ht="15" hidden="false" customHeight="false" outlineLevel="0" collapsed="false">
      <c r="A52" s="10" t="s">
        <v>256</v>
      </c>
      <c r="B52" s="10" t="s">
        <v>135</v>
      </c>
      <c r="C52" s="10" t="s">
        <v>136</v>
      </c>
      <c r="D52" s="10" t="s">
        <v>57</v>
      </c>
      <c r="E52" s="10" t="s">
        <v>75</v>
      </c>
      <c r="F52" s="11" t="n">
        <v>46132</v>
      </c>
      <c r="G52" s="10" t="s">
        <v>53</v>
      </c>
      <c r="H52" s="12" t="str">
        <f aca="false">IFERROR(INDEX(Users!$A:$A,MATCH($G52,Users!$B:$B,0)),"")</f>
        <v>Ritesh Garodia</v>
      </c>
      <c r="I52" s="10" t="s">
        <v>56</v>
      </c>
      <c r="J52" s="12" t="str">
        <f aca="false">IFERROR(INDEX(Users!$A:$A,MATCH($I52,Users!$B:$B,0)),"")</f>
        <v>Ritesh Garodia</v>
      </c>
      <c r="K52" s="12" t="str">
        <f aca="false">Users!$B$6</f>
        <v>garodia1.ritesh@gmail.com</v>
      </c>
      <c r="L52" s="12" t="str">
        <f aca="false">Users!$A$6</f>
        <v>Ritesh Garodia</v>
      </c>
      <c r="M52" s="10" t="s">
        <v>138</v>
      </c>
      <c r="N52" s="13"/>
      <c r="O52" s="13"/>
      <c r="P52" s="14"/>
      <c r="Q52" s="15" t="s">
        <v>206</v>
      </c>
      <c r="R52" s="16" t="n">
        <f aca="true">$F52-TODAY()</f>
        <v>-153</v>
      </c>
      <c r="S52" s="16" t="str">
        <f aca="true">IF($Q52="Y","Completed",IF(TODAY()&gt;$F52,"Overdue","Pending"))</f>
        <v>Overdue</v>
      </c>
      <c r="T52" s="16" t="str">
        <f aca="false">IF($Q52="Y","-",IF($R52&lt;=0,"Stage 3 - Final/Daily (due or overdue)",IF($R52=1,"Stage 2 - T-1 (CC Supervisor)",IF($R52=2,"Stage 1 - T-2","Not yet due"))))</f>
        <v>Stage 3 - Final/Daily (due or overdue)</v>
      </c>
      <c r="U52" s="10"/>
      <c r="V52" s="10"/>
    </row>
    <row r="53" customFormat="false" ht="15" hidden="false" customHeight="false" outlineLevel="0" collapsed="false">
      <c r="A53" s="10" t="s">
        <v>257</v>
      </c>
      <c r="B53" s="10" t="s">
        <v>135</v>
      </c>
      <c r="C53" s="10" t="s">
        <v>136</v>
      </c>
      <c r="D53" s="10" t="s">
        <v>57</v>
      </c>
      <c r="E53" s="10" t="s">
        <v>75</v>
      </c>
      <c r="F53" s="11" t="n">
        <v>46162</v>
      </c>
      <c r="G53" s="10" t="s">
        <v>53</v>
      </c>
      <c r="H53" s="12" t="str">
        <f aca="false">IFERROR(INDEX(Users!$A:$A,MATCH($G53,Users!$B:$B,0)),"")</f>
        <v>Ritesh Garodia</v>
      </c>
      <c r="I53" s="10" t="s">
        <v>56</v>
      </c>
      <c r="J53" s="12" t="str">
        <f aca="false">IFERROR(INDEX(Users!$A:$A,MATCH($I53,Users!$B:$B,0)),"")</f>
        <v>Ritesh Garodia</v>
      </c>
      <c r="K53" s="12" t="str">
        <f aca="false">Users!$B$6</f>
        <v>garodia1.ritesh@gmail.com</v>
      </c>
      <c r="L53" s="12" t="str">
        <f aca="false">Users!$A$6</f>
        <v>Ritesh Garodia</v>
      </c>
      <c r="M53" s="10" t="s">
        <v>138</v>
      </c>
      <c r="N53" s="13"/>
      <c r="O53" s="13"/>
      <c r="P53" s="14"/>
      <c r="Q53" s="15" t="s">
        <v>206</v>
      </c>
      <c r="R53" s="16" t="n">
        <f aca="true">$F53-TODAY()</f>
        <v>-123</v>
      </c>
      <c r="S53" s="16" t="str">
        <f aca="true">IF($Q53="Y","Completed",IF(TODAY()&gt;$F53,"Overdue","Pending"))</f>
        <v>Overdue</v>
      </c>
      <c r="T53" s="16" t="str">
        <f aca="false">IF($Q53="Y","-",IF($R53&lt;=0,"Stage 3 - Final/Daily (due or overdue)",IF($R53=1,"Stage 2 - T-1 (CC Supervisor)",IF($R53=2,"Stage 1 - T-2","Not yet due"))))</f>
        <v>Stage 3 - Final/Daily (due or overdue)</v>
      </c>
      <c r="U53" s="10"/>
      <c r="V53" s="10"/>
    </row>
    <row r="54" customFormat="false" ht="15" hidden="false" customHeight="false" outlineLevel="0" collapsed="false">
      <c r="A54" s="10" t="s">
        <v>258</v>
      </c>
      <c r="B54" s="10" t="s">
        <v>135</v>
      </c>
      <c r="C54" s="10" t="s">
        <v>136</v>
      </c>
      <c r="D54" s="10" t="s">
        <v>57</v>
      </c>
      <c r="E54" s="10" t="s">
        <v>75</v>
      </c>
      <c r="F54" s="11" t="n">
        <v>46193</v>
      </c>
      <c r="G54" s="10" t="s">
        <v>53</v>
      </c>
      <c r="H54" s="12" t="str">
        <f aca="false">IFERROR(INDEX(Users!$A:$A,MATCH($G54,Users!$B:$B,0)),"")</f>
        <v>Ritesh Garodia</v>
      </c>
      <c r="I54" s="10" t="s">
        <v>56</v>
      </c>
      <c r="J54" s="12" t="str">
        <f aca="false">IFERROR(INDEX(Users!$A:$A,MATCH($I54,Users!$B:$B,0)),"")</f>
        <v>Ritesh Garodia</v>
      </c>
      <c r="K54" s="12" t="str">
        <f aca="false">Users!$B$6</f>
        <v>garodia1.ritesh@gmail.com</v>
      </c>
      <c r="L54" s="12" t="str">
        <f aca="false">Users!$A$6</f>
        <v>Ritesh Garodia</v>
      </c>
      <c r="M54" s="10" t="s">
        <v>138</v>
      </c>
      <c r="N54" s="13"/>
      <c r="O54" s="13"/>
      <c r="P54" s="14"/>
      <c r="Q54" s="15" t="s">
        <v>206</v>
      </c>
      <c r="R54" s="16" t="n">
        <f aca="true">$F54-TODAY()</f>
        <v>-92</v>
      </c>
      <c r="S54" s="16" t="str">
        <f aca="true">IF($Q54="Y","Completed",IF(TODAY()&gt;$F54,"Overdue","Pending"))</f>
        <v>Overdue</v>
      </c>
      <c r="T54" s="16" t="str">
        <f aca="false">IF($Q54="Y","-",IF($R54&lt;=0,"Stage 3 - Final/Daily (due or overdue)",IF($R54=1,"Stage 2 - T-1 (CC Supervisor)",IF($R54=2,"Stage 1 - T-2","Not yet due"))))</f>
        <v>Stage 3 - Final/Daily (due or overdue)</v>
      </c>
      <c r="U54" s="10"/>
      <c r="V54" s="10"/>
    </row>
    <row r="55" customFormat="false" ht="15" hidden="false" customHeight="false" outlineLevel="0" collapsed="false">
      <c r="A55" s="10" t="s">
        <v>259</v>
      </c>
      <c r="B55" s="10" t="s">
        <v>135</v>
      </c>
      <c r="C55" s="10" t="s">
        <v>136</v>
      </c>
      <c r="D55" s="10" t="s">
        <v>57</v>
      </c>
      <c r="E55" s="10" t="s">
        <v>75</v>
      </c>
      <c r="F55" s="11" t="n">
        <v>46223</v>
      </c>
      <c r="G55" s="10" t="s">
        <v>53</v>
      </c>
      <c r="H55" s="12" t="str">
        <f aca="false">IFERROR(INDEX(Users!$A:$A,MATCH($G55,Users!$B:$B,0)),"")</f>
        <v>Ritesh Garodia</v>
      </c>
      <c r="I55" s="10" t="s">
        <v>56</v>
      </c>
      <c r="J55" s="12" t="str">
        <f aca="false">IFERROR(INDEX(Users!$A:$A,MATCH($I55,Users!$B:$B,0)),"")</f>
        <v>Ritesh Garodia</v>
      </c>
      <c r="K55" s="12" t="str">
        <f aca="false">Users!$B$6</f>
        <v>garodia1.ritesh@gmail.com</v>
      </c>
      <c r="L55" s="12" t="str">
        <f aca="false">Users!$A$6</f>
        <v>Ritesh Garodia</v>
      </c>
      <c r="M55" s="10" t="s">
        <v>138</v>
      </c>
      <c r="N55" s="13"/>
      <c r="O55" s="13"/>
      <c r="P55" s="14"/>
      <c r="Q55" s="15" t="s">
        <v>206</v>
      </c>
      <c r="R55" s="16" t="n">
        <f aca="true">$F55-TODAY()</f>
        <v>-62</v>
      </c>
      <c r="S55" s="16" t="str">
        <f aca="true">IF($Q55="Y","Completed",IF(TODAY()&gt;$F55,"Overdue","Pending"))</f>
        <v>Overdue</v>
      </c>
      <c r="T55" s="16" t="str">
        <f aca="false">IF($Q55="Y","-",IF($R55&lt;=0,"Stage 3 - Final/Daily (due or overdue)",IF($R55=1,"Stage 2 - T-1 (CC Supervisor)",IF($R55=2,"Stage 1 - T-2","Not yet due"))))</f>
        <v>Stage 3 - Final/Daily (due or overdue)</v>
      </c>
      <c r="U55" s="10"/>
      <c r="V55" s="10"/>
    </row>
    <row r="56" customFormat="false" ht="15" hidden="false" customHeight="false" outlineLevel="0" collapsed="false">
      <c r="A56" s="10" t="s">
        <v>260</v>
      </c>
      <c r="B56" s="10" t="s">
        <v>135</v>
      </c>
      <c r="C56" s="10" t="s">
        <v>136</v>
      </c>
      <c r="D56" s="10" t="s">
        <v>57</v>
      </c>
      <c r="E56" s="10" t="s">
        <v>75</v>
      </c>
      <c r="F56" s="11" t="n">
        <v>46254</v>
      </c>
      <c r="G56" s="10" t="s">
        <v>53</v>
      </c>
      <c r="H56" s="12" t="str">
        <f aca="false">IFERROR(INDEX(Users!$A:$A,MATCH($G56,Users!$B:$B,0)),"")</f>
        <v>Ritesh Garodia</v>
      </c>
      <c r="I56" s="10" t="s">
        <v>56</v>
      </c>
      <c r="J56" s="12" t="str">
        <f aca="false">IFERROR(INDEX(Users!$A:$A,MATCH($I56,Users!$B:$B,0)),"")</f>
        <v>Ritesh Garodia</v>
      </c>
      <c r="K56" s="12" t="str">
        <f aca="false">Users!$B$6</f>
        <v>garodia1.ritesh@gmail.com</v>
      </c>
      <c r="L56" s="12" t="str">
        <f aca="false">Users!$A$6</f>
        <v>Ritesh Garodia</v>
      </c>
      <c r="M56" s="10" t="s">
        <v>138</v>
      </c>
      <c r="N56" s="13"/>
      <c r="O56" s="13"/>
      <c r="P56" s="14"/>
      <c r="Q56" s="15" t="s">
        <v>206</v>
      </c>
      <c r="R56" s="16" t="n">
        <f aca="true">$F56-TODAY()</f>
        <v>-31</v>
      </c>
      <c r="S56" s="16" t="str">
        <f aca="true">IF($Q56="Y","Completed",IF(TODAY()&gt;$F56,"Overdue","Pending"))</f>
        <v>Overdue</v>
      </c>
      <c r="T56" s="16" t="str">
        <f aca="false">IF($Q56="Y","-",IF($R56&lt;=0,"Stage 3 - Final/Daily (due or overdue)",IF($R56=1,"Stage 2 - T-1 (CC Supervisor)",IF($R56=2,"Stage 1 - T-2","Not yet due"))))</f>
        <v>Stage 3 - Final/Daily (due or overdue)</v>
      </c>
      <c r="U56" s="10"/>
      <c r="V56" s="10"/>
    </row>
    <row r="57" customFormat="false" ht="15" hidden="false" customHeight="false" outlineLevel="0" collapsed="false">
      <c r="A57" s="10" t="s">
        <v>261</v>
      </c>
      <c r="B57" s="10" t="s">
        <v>135</v>
      </c>
      <c r="C57" s="10" t="s">
        <v>136</v>
      </c>
      <c r="D57" s="10" t="s">
        <v>57</v>
      </c>
      <c r="E57" s="10" t="s">
        <v>75</v>
      </c>
      <c r="F57" s="11" t="n">
        <v>46285</v>
      </c>
      <c r="G57" s="10" t="s">
        <v>53</v>
      </c>
      <c r="H57" s="12" t="str">
        <f aca="false">IFERROR(INDEX(Users!$A:$A,MATCH($G57,Users!$B:$B,0)),"")</f>
        <v>Ritesh Garodia</v>
      </c>
      <c r="I57" s="10" t="s">
        <v>56</v>
      </c>
      <c r="J57" s="12" t="str">
        <f aca="false">IFERROR(INDEX(Users!$A:$A,MATCH($I57,Users!$B:$B,0)),"")</f>
        <v>Ritesh Garodia</v>
      </c>
      <c r="K57" s="12" t="str">
        <f aca="false">Users!$B$6</f>
        <v>garodia1.ritesh@gmail.com</v>
      </c>
      <c r="L57" s="12" t="str">
        <f aca="false">Users!$A$6</f>
        <v>Ritesh Garodia</v>
      </c>
      <c r="M57" s="10" t="s">
        <v>138</v>
      </c>
      <c r="N57" s="13"/>
      <c r="O57" s="13"/>
      <c r="P57" s="14"/>
      <c r="Q57" s="15" t="s">
        <v>206</v>
      </c>
      <c r="R57" s="16" t="n">
        <f aca="true">$F57-TODAY()</f>
        <v>0</v>
      </c>
      <c r="S57" s="16" t="str">
        <f aca="true">IF($Q57="Y","Completed",IF(TODAY()&gt;$F57,"Overdue","Pending"))</f>
        <v>Pending</v>
      </c>
      <c r="T57" s="16" t="str">
        <f aca="false">IF($Q57="Y","-",IF($R57&lt;=0,"Stage 3 - Final/Daily (due or overdue)",IF($R57=1,"Stage 2 - T-1 (CC Supervisor)",IF($R57=2,"Stage 1 - T-2","Not yet due"))))</f>
        <v>Stage 3 - Final/Daily (due or overdue)</v>
      </c>
      <c r="U57" s="10"/>
      <c r="V57" s="10"/>
    </row>
    <row r="58" customFormat="false" ht="15" hidden="false" customHeight="false" outlineLevel="0" collapsed="false">
      <c r="A58" s="10" t="s">
        <v>262</v>
      </c>
      <c r="B58" s="10" t="s">
        <v>135</v>
      </c>
      <c r="C58" s="10" t="s">
        <v>136</v>
      </c>
      <c r="D58" s="10" t="s">
        <v>57</v>
      </c>
      <c r="E58" s="10" t="s">
        <v>75</v>
      </c>
      <c r="F58" s="11" t="n">
        <v>46315</v>
      </c>
      <c r="G58" s="10" t="s">
        <v>53</v>
      </c>
      <c r="H58" s="12" t="str">
        <f aca="false">IFERROR(INDEX(Users!$A:$A,MATCH($G58,Users!$B:$B,0)),"")</f>
        <v>Ritesh Garodia</v>
      </c>
      <c r="I58" s="10" t="s">
        <v>56</v>
      </c>
      <c r="J58" s="12" t="str">
        <f aca="false">IFERROR(INDEX(Users!$A:$A,MATCH($I58,Users!$B:$B,0)),"")</f>
        <v>Ritesh Garodia</v>
      </c>
      <c r="K58" s="12" t="str">
        <f aca="false">Users!$B$6</f>
        <v>garodia1.ritesh@gmail.com</v>
      </c>
      <c r="L58" s="12" t="str">
        <f aca="false">Users!$A$6</f>
        <v>Ritesh Garodia</v>
      </c>
      <c r="M58" s="10" t="s">
        <v>138</v>
      </c>
      <c r="N58" s="13"/>
      <c r="O58" s="13"/>
      <c r="P58" s="14"/>
      <c r="Q58" s="15" t="s">
        <v>206</v>
      </c>
      <c r="R58" s="16" t="n">
        <f aca="true">$F58-TODAY()</f>
        <v>30</v>
      </c>
      <c r="S58" s="16" t="str">
        <f aca="true">IF($Q58="Y","Completed",IF(TODAY()&gt;$F58,"Overdue","Pending"))</f>
        <v>Pending</v>
      </c>
      <c r="T58" s="16" t="str">
        <f aca="false">IF($Q58="Y","-",IF($R58&lt;=0,"Stage 3 - Final/Daily (due or overdue)",IF($R58=1,"Stage 2 - T-1 (CC Supervisor)",IF($R58=2,"Stage 1 - T-2","Not yet due"))))</f>
        <v>Not yet due</v>
      </c>
      <c r="U58" s="10"/>
      <c r="V58" s="10"/>
    </row>
    <row r="59" customFormat="false" ht="15" hidden="false" customHeight="false" outlineLevel="0" collapsed="false">
      <c r="A59" s="10" t="s">
        <v>263</v>
      </c>
      <c r="B59" s="10" t="s">
        <v>135</v>
      </c>
      <c r="C59" s="10" t="s">
        <v>136</v>
      </c>
      <c r="D59" s="10" t="s">
        <v>57</v>
      </c>
      <c r="E59" s="10" t="s">
        <v>75</v>
      </c>
      <c r="F59" s="11" t="n">
        <v>46346</v>
      </c>
      <c r="G59" s="10" t="s">
        <v>53</v>
      </c>
      <c r="H59" s="12" t="str">
        <f aca="false">IFERROR(INDEX(Users!$A:$A,MATCH($G59,Users!$B:$B,0)),"")</f>
        <v>Ritesh Garodia</v>
      </c>
      <c r="I59" s="10" t="s">
        <v>56</v>
      </c>
      <c r="J59" s="12" t="str">
        <f aca="false">IFERROR(INDEX(Users!$A:$A,MATCH($I59,Users!$B:$B,0)),"")</f>
        <v>Ritesh Garodia</v>
      </c>
      <c r="K59" s="12" t="str">
        <f aca="false">Users!$B$6</f>
        <v>garodia1.ritesh@gmail.com</v>
      </c>
      <c r="L59" s="12" t="str">
        <f aca="false">Users!$A$6</f>
        <v>Ritesh Garodia</v>
      </c>
      <c r="M59" s="10" t="s">
        <v>138</v>
      </c>
      <c r="N59" s="13"/>
      <c r="O59" s="13"/>
      <c r="P59" s="14"/>
      <c r="Q59" s="15" t="s">
        <v>206</v>
      </c>
      <c r="R59" s="16" t="n">
        <f aca="true">$F59-TODAY()</f>
        <v>61</v>
      </c>
      <c r="S59" s="16" t="str">
        <f aca="true">IF($Q59="Y","Completed",IF(TODAY()&gt;$F59,"Overdue","Pending"))</f>
        <v>Pending</v>
      </c>
      <c r="T59" s="16" t="str">
        <f aca="false">IF($Q59="Y","-",IF($R59&lt;=0,"Stage 3 - Final/Daily (due or overdue)",IF($R59=1,"Stage 2 - T-1 (CC Supervisor)",IF($R59=2,"Stage 1 - T-2","Not yet due"))))</f>
        <v>Not yet due</v>
      </c>
      <c r="U59" s="10"/>
      <c r="V59" s="10"/>
    </row>
    <row r="60" customFormat="false" ht="15" hidden="false" customHeight="false" outlineLevel="0" collapsed="false">
      <c r="A60" s="10" t="s">
        <v>264</v>
      </c>
      <c r="B60" s="10" t="s">
        <v>135</v>
      </c>
      <c r="C60" s="10" t="s">
        <v>136</v>
      </c>
      <c r="D60" s="10" t="s">
        <v>57</v>
      </c>
      <c r="E60" s="10" t="s">
        <v>75</v>
      </c>
      <c r="F60" s="11" t="n">
        <v>46376</v>
      </c>
      <c r="G60" s="10" t="s">
        <v>53</v>
      </c>
      <c r="H60" s="12" t="str">
        <f aca="false">IFERROR(INDEX(Users!$A:$A,MATCH($G60,Users!$B:$B,0)),"")</f>
        <v>Ritesh Garodia</v>
      </c>
      <c r="I60" s="10" t="s">
        <v>56</v>
      </c>
      <c r="J60" s="12" t="str">
        <f aca="false">IFERROR(INDEX(Users!$A:$A,MATCH($I60,Users!$B:$B,0)),"")</f>
        <v>Ritesh Garodia</v>
      </c>
      <c r="K60" s="12" t="str">
        <f aca="false">Users!$B$6</f>
        <v>garodia1.ritesh@gmail.com</v>
      </c>
      <c r="L60" s="12" t="str">
        <f aca="false">Users!$A$6</f>
        <v>Ritesh Garodia</v>
      </c>
      <c r="M60" s="10" t="s">
        <v>138</v>
      </c>
      <c r="N60" s="13"/>
      <c r="O60" s="13"/>
      <c r="P60" s="14"/>
      <c r="Q60" s="15" t="s">
        <v>206</v>
      </c>
      <c r="R60" s="16" t="n">
        <f aca="true">$F60-TODAY()</f>
        <v>91</v>
      </c>
      <c r="S60" s="16" t="str">
        <f aca="true">IF($Q60="Y","Completed",IF(TODAY()&gt;$F60,"Overdue","Pending"))</f>
        <v>Pending</v>
      </c>
      <c r="T60" s="16" t="str">
        <f aca="false">IF($Q60="Y","-",IF($R60&lt;=0,"Stage 3 - Final/Daily (due or overdue)",IF($R60=1,"Stage 2 - T-1 (CC Supervisor)",IF($R60=2,"Stage 1 - T-2","Not yet due"))))</f>
        <v>Not yet due</v>
      </c>
      <c r="U60" s="10"/>
      <c r="V60" s="10"/>
    </row>
    <row r="61" customFormat="false" ht="15" hidden="false" customHeight="false" outlineLevel="0" collapsed="false">
      <c r="A61" s="10" t="s">
        <v>265</v>
      </c>
      <c r="B61" s="10" t="s">
        <v>135</v>
      </c>
      <c r="C61" s="10" t="s">
        <v>136</v>
      </c>
      <c r="D61" s="10" t="s">
        <v>57</v>
      </c>
      <c r="E61" s="10" t="s">
        <v>75</v>
      </c>
      <c r="F61" s="11" t="n">
        <v>46407</v>
      </c>
      <c r="G61" s="10" t="s">
        <v>53</v>
      </c>
      <c r="H61" s="12" t="str">
        <f aca="false">IFERROR(INDEX(Users!$A:$A,MATCH($G61,Users!$B:$B,0)),"")</f>
        <v>Ritesh Garodia</v>
      </c>
      <c r="I61" s="10" t="s">
        <v>56</v>
      </c>
      <c r="J61" s="12" t="str">
        <f aca="false">IFERROR(INDEX(Users!$A:$A,MATCH($I61,Users!$B:$B,0)),"")</f>
        <v>Ritesh Garodia</v>
      </c>
      <c r="K61" s="12" t="str">
        <f aca="false">Users!$B$6</f>
        <v>garodia1.ritesh@gmail.com</v>
      </c>
      <c r="L61" s="12" t="str">
        <f aca="false">Users!$A$6</f>
        <v>Ritesh Garodia</v>
      </c>
      <c r="M61" s="10" t="s">
        <v>138</v>
      </c>
      <c r="N61" s="13"/>
      <c r="O61" s="13"/>
      <c r="P61" s="14"/>
      <c r="Q61" s="15" t="s">
        <v>206</v>
      </c>
      <c r="R61" s="16" t="n">
        <f aca="true">$F61-TODAY()</f>
        <v>122</v>
      </c>
      <c r="S61" s="16" t="str">
        <f aca="true">IF($Q61="Y","Completed",IF(TODAY()&gt;$F61,"Overdue","Pending"))</f>
        <v>Pending</v>
      </c>
      <c r="T61" s="16" t="str">
        <f aca="false">IF($Q61="Y","-",IF($R61&lt;=0,"Stage 3 - Final/Daily (due or overdue)",IF($R61=1,"Stage 2 - T-1 (CC Supervisor)",IF($R61=2,"Stage 1 - T-2","Not yet due"))))</f>
        <v>Not yet due</v>
      </c>
      <c r="U61" s="10"/>
      <c r="V61" s="10"/>
    </row>
    <row r="62" customFormat="false" ht="15" hidden="false" customHeight="false" outlineLevel="0" collapsed="false">
      <c r="A62" s="10" t="s">
        <v>266</v>
      </c>
      <c r="B62" s="10" t="s">
        <v>135</v>
      </c>
      <c r="C62" s="10" t="s">
        <v>136</v>
      </c>
      <c r="D62" s="10" t="s">
        <v>57</v>
      </c>
      <c r="E62" s="10" t="s">
        <v>75</v>
      </c>
      <c r="F62" s="11" t="n">
        <v>46438</v>
      </c>
      <c r="G62" s="10" t="s">
        <v>53</v>
      </c>
      <c r="H62" s="12" t="str">
        <f aca="false">IFERROR(INDEX(Users!$A:$A,MATCH($G62,Users!$B:$B,0)),"")</f>
        <v>Ritesh Garodia</v>
      </c>
      <c r="I62" s="10" t="s">
        <v>56</v>
      </c>
      <c r="J62" s="12" t="str">
        <f aca="false">IFERROR(INDEX(Users!$A:$A,MATCH($I62,Users!$B:$B,0)),"")</f>
        <v>Ritesh Garodia</v>
      </c>
      <c r="K62" s="12" t="str">
        <f aca="false">Users!$B$6</f>
        <v>garodia1.ritesh@gmail.com</v>
      </c>
      <c r="L62" s="12" t="str">
        <f aca="false">Users!$A$6</f>
        <v>Ritesh Garodia</v>
      </c>
      <c r="M62" s="10" t="s">
        <v>138</v>
      </c>
      <c r="N62" s="13"/>
      <c r="O62" s="13"/>
      <c r="P62" s="14"/>
      <c r="Q62" s="15" t="s">
        <v>206</v>
      </c>
      <c r="R62" s="16" t="n">
        <f aca="true">$F62-TODAY()</f>
        <v>153</v>
      </c>
      <c r="S62" s="16" t="str">
        <f aca="true">IF($Q62="Y","Completed",IF(TODAY()&gt;$F62,"Overdue","Pending"))</f>
        <v>Pending</v>
      </c>
      <c r="T62" s="16" t="str">
        <f aca="false">IF($Q62="Y","-",IF($R62&lt;=0,"Stage 3 - Final/Daily (due or overdue)",IF($R62=1,"Stage 2 - T-1 (CC Supervisor)",IF($R62=2,"Stage 1 - T-2","Not yet due"))))</f>
        <v>Not yet due</v>
      </c>
      <c r="U62" s="10"/>
      <c r="V62" s="10"/>
    </row>
    <row r="63" customFormat="false" ht="15" hidden="false" customHeight="false" outlineLevel="0" collapsed="false">
      <c r="A63" s="10" t="s">
        <v>267</v>
      </c>
      <c r="B63" s="10" t="s">
        <v>135</v>
      </c>
      <c r="C63" s="10" t="s">
        <v>136</v>
      </c>
      <c r="D63" s="10" t="s">
        <v>57</v>
      </c>
      <c r="E63" s="10" t="s">
        <v>75</v>
      </c>
      <c r="F63" s="11" t="n">
        <v>46466</v>
      </c>
      <c r="G63" s="10" t="s">
        <v>53</v>
      </c>
      <c r="H63" s="12" t="str">
        <f aca="false">IFERROR(INDEX(Users!$A:$A,MATCH($G63,Users!$B:$B,0)),"")</f>
        <v>Ritesh Garodia</v>
      </c>
      <c r="I63" s="10" t="s">
        <v>56</v>
      </c>
      <c r="J63" s="12" t="str">
        <f aca="false">IFERROR(INDEX(Users!$A:$A,MATCH($I63,Users!$B:$B,0)),"")</f>
        <v>Ritesh Garodia</v>
      </c>
      <c r="K63" s="12" t="str">
        <f aca="false">Users!$B$6</f>
        <v>garodia1.ritesh@gmail.com</v>
      </c>
      <c r="L63" s="12" t="str">
        <f aca="false">Users!$A$6</f>
        <v>Ritesh Garodia</v>
      </c>
      <c r="M63" s="10" t="s">
        <v>138</v>
      </c>
      <c r="N63" s="13"/>
      <c r="O63" s="13"/>
      <c r="P63" s="14"/>
      <c r="Q63" s="15" t="s">
        <v>206</v>
      </c>
      <c r="R63" s="16" t="n">
        <f aca="true">$F63-TODAY()</f>
        <v>181</v>
      </c>
      <c r="S63" s="16" t="str">
        <f aca="true">IF($Q63="Y","Completed",IF(TODAY()&gt;$F63,"Overdue","Pending"))</f>
        <v>Pending</v>
      </c>
      <c r="T63" s="16" t="str">
        <f aca="false">IF($Q63="Y","-",IF($R63&lt;=0,"Stage 3 - Final/Daily (due or overdue)",IF($R63=1,"Stage 2 - T-1 (CC Supervisor)",IF($R63=2,"Stage 1 - T-2","Not yet due"))))</f>
        <v>Not yet due</v>
      </c>
      <c r="U63" s="10"/>
      <c r="V63" s="10"/>
    </row>
    <row r="64" customFormat="false" ht="15" hidden="false" customHeight="false" outlineLevel="0" collapsed="false">
      <c r="A64" s="10" t="s">
        <v>268</v>
      </c>
      <c r="B64" s="10" t="s">
        <v>139</v>
      </c>
      <c r="C64" s="10" t="s">
        <v>140</v>
      </c>
      <c r="D64" s="10" t="s">
        <v>57</v>
      </c>
      <c r="E64" s="10" t="s">
        <v>96</v>
      </c>
      <c r="F64" s="11" t="n">
        <v>46387</v>
      </c>
      <c r="G64" s="10" t="s">
        <v>53</v>
      </c>
      <c r="H64" s="12" t="str">
        <f aca="false">IFERROR(INDEX(Users!$A:$A,MATCH($G64,Users!$B:$B,0)),"")</f>
        <v>Ritesh Garodia</v>
      </c>
      <c r="I64" s="10" t="s">
        <v>56</v>
      </c>
      <c r="J64" s="12" t="str">
        <f aca="false">IFERROR(INDEX(Users!$A:$A,MATCH($I64,Users!$B:$B,0)),"")</f>
        <v>Ritesh Garodia</v>
      </c>
      <c r="K64" s="12" t="str">
        <f aca="false">Users!$B$6</f>
        <v>garodia1.ritesh@gmail.com</v>
      </c>
      <c r="L64" s="12" t="str">
        <f aca="false">Users!$A$6</f>
        <v>Ritesh Garodia</v>
      </c>
      <c r="M64" s="10" t="s">
        <v>142</v>
      </c>
      <c r="N64" s="13"/>
      <c r="O64" s="13"/>
      <c r="P64" s="14"/>
      <c r="Q64" s="15" t="s">
        <v>206</v>
      </c>
      <c r="R64" s="16" t="n">
        <f aca="true">$F64-TODAY()</f>
        <v>102</v>
      </c>
      <c r="S64" s="16" t="str">
        <f aca="true">IF($Q64="Y","Completed",IF(TODAY()&gt;$F64,"Overdue","Pending"))</f>
        <v>Pending</v>
      </c>
      <c r="T64" s="16" t="str">
        <f aca="false">IF($Q64="Y","-",IF($R64&lt;=0,"Stage 3 - Final/Daily (due or overdue)",IF($R64=1,"Stage 2 - T-1 (CC Supervisor)",IF($R64=2,"Stage 1 - T-2","Not yet due"))))</f>
        <v>Not yet due</v>
      </c>
      <c r="U64" s="10"/>
      <c r="V64" s="10"/>
    </row>
    <row r="65" customFormat="false" ht="15" hidden="false" customHeight="false" outlineLevel="0" collapsed="false">
      <c r="A65" s="10" t="s">
        <v>269</v>
      </c>
      <c r="B65" s="10" t="s">
        <v>143</v>
      </c>
      <c r="C65" s="10" t="s">
        <v>144</v>
      </c>
      <c r="D65" s="10" t="s">
        <v>57</v>
      </c>
      <c r="E65" s="10" t="s">
        <v>96</v>
      </c>
      <c r="F65" s="11" t="n">
        <v>46346</v>
      </c>
      <c r="G65" s="10" t="s">
        <v>53</v>
      </c>
      <c r="H65" s="12" t="str">
        <f aca="false">IFERROR(INDEX(Users!$A:$A,MATCH($G65,Users!$B:$B,0)),"")</f>
        <v>Ritesh Garodia</v>
      </c>
      <c r="I65" s="10" t="s">
        <v>56</v>
      </c>
      <c r="J65" s="12" t="str">
        <f aca="false">IFERROR(INDEX(Users!$A:$A,MATCH($I65,Users!$B:$B,0)),"")</f>
        <v>Ritesh Garodia</v>
      </c>
      <c r="K65" s="12" t="str">
        <f aca="false">Users!$B$6</f>
        <v>garodia1.ritesh@gmail.com</v>
      </c>
      <c r="L65" s="12" t="str">
        <f aca="false">Users!$A$6</f>
        <v>Ritesh Garodia</v>
      </c>
      <c r="M65" s="10" t="s">
        <v>146</v>
      </c>
      <c r="N65" s="13"/>
      <c r="O65" s="13"/>
      <c r="P65" s="14"/>
      <c r="Q65" s="15" t="s">
        <v>206</v>
      </c>
      <c r="R65" s="16" t="n">
        <f aca="true">$F65-TODAY()</f>
        <v>61</v>
      </c>
      <c r="S65" s="16" t="str">
        <f aca="true">IF($Q65="Y","Completed",IF(TODAY()&gt;$F65,"Overdue","Pending"))</f>
        <v>Pending</v>
      </c>
      <c r="T65" s="16" t="str">
        <f aca="false">IF($Q65="Y","-",IF($R65&lt;=0,"Stage 3 - Final/Daily (due or overdue)",IF($R65=1,"Stage 2 - T-1 (CC Supervisor)",IF($R65=2,"Stage 1 - T-2","Not yet due"))))</f>
        <v>Not yet due</v>
      </c>
      <c r="U65" s="10"/>
      <c r="V65" s="10"/>
    </row>
    <row r="66" customFormat="false" ht="15" hidden="false" customHeight="false" outlineLevel="0" collapsed="false">
      <c r="A66" s="10" t="s">
        <v>270</v>
      </c>
      <c r="B66" s="10" t="s">
        <v>147</v>
      </c>
      <c r="C66" s="10" t="s">
        <v>148</v>
      </c>
      <c r="D66" s="10" t="s">
        <v>57</v>
      </c>
      <c r="E66" s="10" t="s">
        <v>75</v>
      </c>
      <c r="F66" s="11" t="n">
        <v>46125</v>
      </c>
      <c r="G66" s="10" t="s">
        <v>53</v>
      </c>
      <c r="H66" s="12" t="str">
        <f aca="false">IFERROR(INDEX(Users!$A:$A,MATCH($G66,Users!$B:$B,0)),"")</f>
        <v>Ritesh Garodia</v>
      </c>
      <c r="I66" s="10" t="s">
        <v>56</v>
      </c>
      <c r="J66" s="12" t="str">
        <f aca="false">IFERROR(INDEX(Users!$A:$A,MATCH($I66,Users!$B:$B,0)),"")</f>
        <v>Ritesh Garodia</v>
      </c>
      <c r="K66" s="12" t="str">
        <f aca="false">Users!$B$6</f>
        <v>garodia1.ritesh@gmail.com</v>
      </c>
      <c r="L66" s="12" t="str">
        <f aca="false">Users!$A$6</f>
        <v>Ritesh Garodia</v>
      </c>
      <c r="M66" s="10" t="s">
        <v>150</v>
      </c>
      <c r="N66" s="13"/>
      <c r="O66" s="13"/>
      <c r="P66" s="14"/>
      <c r="Q66" s="15" t="s">
        <v>206</v>
      </c>
      <c r="R66" s="16" t="n">
        <f aca="true">$F66-TODAY()</f>
        <v>-160</v>
      </c>
      <c r="S66" s="16" t="str">
        <f aca="true">IF($Q66="Y","Completed",IF(TODAY()&gt;$F66,"Overdue","Pending"))</f>
        <v>Overdue</v>
      </c>
      <c r="T66" s="16" t="str">
        <f aca="false">IF($Q66="Y","-",IF($R66&lt;=0,"Stage 3 - Final/Daily (due or overdue)",IF($R66=1,"Stage 2 - T-1 (CC Supervisor)",IF($R66=2,"Stage 1 - T-2","Not yet due"))))</f>
        <v>Stage 3 - Final/Daily (due or overdue)</v>
      </c>
      <c r="U66" s="10"/>
      <c r="V66" s="10"/>
    </row>
    <row r="67" customFormat="false" ht="15" hidden="false" customHeight="false" outlineLevel="0" collapsed="false">
      <c r="A67" s="10" t="s">
        <v>271</v>
      </c>
      <c r="B67" s="10" t="s">
        <v>147</v>
      </c>
      <c r="C67" s="10" t="s">
        <v>148</v>
      </c>
      <c r="D67" s="10" t="s">
        <v>57</v>
      </c>
      <c r="E67" s="10" t="s">
        <v>75</v>
      </c>
      <c r="F67" s="11" t="n">
        <v>46155</v>
      </c>
      <c r="G67" s="10" t="s">
        <v>53</v>
      </c>
      <c r="H67" s="12" t="str">
        <f aca="false">IFERROR(INDEX(Users!$A:$A,MATCH($G67,Users!$B:$B,0)),"")</f>
        <v>Ritesh Garodia</v>
      </c>
      <c r="I67" s="10" t="s">
        <v>56</v>
      </c>
      <c r="J67" s="12" t="str">
        <f aca="false">IFERROR(INDEX(Users!$A:$A,MATCH($I67,Users!$B:$B,0)),"")</f>
        <v>Ritesh Garodia</v>
      </c>
      <c r="K67" s="12" t="str">
        <f aca="false">Users!$B$6</f>
        <v>garodia1.ritesh@gmail.com</v>
      </c>
      <c r="L67" s="12" t="str">
        <f aca="false">Users!$A$6</f>
        <v>Ritesh Garodia</v>
      </c>
      <c r="M67" s="10" t="s">
        <v>150</v>
      </c>
      <c r="N67" s="13"/>
      <c r="O67" s="13"/>
      <c r="P67" s="14"/>
      <c r="Q67" s="15" t="s">
        <v>206</v>
      </c>
      <c r="R67" s="16" t="n">
        <f aca="true">$F67-TODAY()</f>
        <v>-130</v>
      </c>
      <c r="S67" s="16" t="str">
        <f aca="true">IF($Q67="Y","Completed",IF(TODAY()&gt;$F67,"Overdue","Pending"))</f>
        <v>Overdue</v>
      </c>
      <c r="T67" s="16" t="str">
        <f aca="false">IF($Q67="Y","-",IF($R67&lt;=0,"Stage 3 - Final/Daily (due or overdue)",IF($R67=1,"Stage 2 - T-1 (CC Supervisor)",IF($R67=2,"Stage 1 - T-2","Not yet due"))))</f>
        <v>Stage 3 - Final/Daily (due or overdue)</v>
      </c>
      <c r="U67" s="10"/>
      <c r="V67" s="10"/>
    </row>
    <row r="68" customFormat="false" ht="15" hidden="false" customHeight="false" outlineLevel="0" collapsed="false">
      <c r="A68" s="10" t="s">
        <v>272</v>
      </c>
      <c r="B68" s="10" t="s">
        <v>147</v>
      </c>
      <c r="C68" s="10" t="s">
        <v>148</v>
      </c>
      <c r="D68" s="10" t="s">
        <v>57</v>
      </c>
      <c r="E68" s="10" t="s">
        <v>75</v>
      </c>
      <c r="F68" s="11" t="n">
        <v>46186</v>
      </c>
      <c r="G68" s="10" t="s">
        <v>53</v>
      </c>
      <c r="H68" s="12" t="str">
        <f aca="false">IFERROR(INDEX(Users!$A:$A,MATCH($G68,Users!$B:$B,0)),"")</f>
        <v>Ritesh Garodia</v>
      </c>
      <c r="I68" s="10" t="s">
        <v>56</v>
      </c>
      <c r="J68" s="12" t="str">
        <f aca="false">IFERROR(INDEX(Users!$A:$A,MATCH($I68,Users!$B:$B,0)),"")</f>
        <v>Ritesh Garodia</v>
      </c>
      <c r="K68" s="12" t="str">
        <f aca="false">Users!$B$6</f>
        <v>garodia1.ritesh@gmail.com</v>
      </c>
      <c r="L68" s="12" t="str">
        <f aca="false">Users!$A$6</f>
        <v>Ritesh Garodia</v>
      </c>
      <c r="M68" s="10" t="s">
        <v>150</v>
      </c>
      <c r="N68" s="13"/>
      <c r="O68" s="13"/>
      <c r="P68" s="14"/>
      <c r="Q68" s="15" t="s">
        <v>206</v>
      </c>
      <c r="R68" s="16" t="n">
        <f aca="true">$F68-TODAY()</f>
        <v>-99</v>
      </c>
      <c r="S68" s="16" t="str">
        <f aca="true">IF($Q68="Y","Completed",IF(TODAY()&gt;$F68,"Overdue","Pending"))</f>
        <v>Overdue</v>
      </c>
      <c r="T68" s="16" t="str">
        <f aca="false">IF($Q68="Y","-",IF($R68&lt;=0,"Stage 3 - Final/Daily (due or overdue)",IF($R68=1,"Stage 2 - T-1 (CC Supervisor)",IF($R68=2,"Stage 1 - T-2","Not yet due"))))</f>
        <v>Stage 3 - Final/Daily (due or overdue)</v>
      </c>
      <c r="U68" s="10"/>
      <c r="V68" s="10"/>
    </row>
    <row r="69" customFormat="false" ht="15" hidden="false" customHeight="false" outlineLevel="0" collapsed="false">
      <c r="A69" s="10" t="s">
        <v>273</v>
      </c>
      <c r="B69" s="10" t="s">
        <v>147</v>
      </c>
      <c r="C69" s="10" t="s">
        <v>148</v>
      </c>
      <c r="D69" s="10" t="s">
        <v>57</v>
      </c>
      <c r="E69" s="10" t="s">
        <v>75</v>
      </c>
      <c r="F69" s="11" t="n">
        <v>46216</v>
      </c>
      <c r="G69" s="10" t="s">
        <v>53</v>
      </c>
      <c r="H69" s="12" t="str">
        <f aca="false">IFERROR(INDEX(Users!$A:$A,MATCH($G69,Users!$B:$B,0)),"")</f>
        <v>Ritesh Garodia</v>
      </c>
      <c r="I69" s="10" t="s">
        <v>56</v>
      </c>
      <c r="J69" s="12" t="str">
        <f aca="false">IFERROR(INDEX(Users!$A:$A,MATCH($I69,Users!$B:$B,0)),"")</f>
        <v>Ritesh Garodia</v>
      </c>
      <c r="K69" s="12" t="str">
        <f aca="false">Users!$B$6</f>
        <v>garodia1.ritesh@gmail.com</v>
      </c>
      <c r="L69" s="12" t="str">
        <f aca="false">Users!$A$6</f>
        <v>Ritesh Garodia</v>
      </c>
      <c r="M69" s="10" t="s">
        <v>150</v>
      </c>
      <c r="N69" s="13"/>
      <c r="O69" s="13"/>
      <c r="P69" s="14"/>
      <c r="Q69" s="15" t="s">
        <v>206</v>
      </c>
      <c r="R69" s="16" t="n">
        <f aca="true">$F69-TODAY()</f>
        <v>-69</v>
      </c>
      <c r="S69" s="16" t="str">
        <f aca="true">IF($Q69="Y","Completed",IF(TODAY()&gt;$F69,"Overdue","Pending"))</f>
        <v>Overdue</v>
      </c>
      <c r="T69" s="16" t="str">
        <f aca="false">IF($Q69="Y","-",IF($R69&lt;=0,"Stage 3 - Final/Daily (due or overdue)",IF($R69=1,"Stage 2 - T-1 (CC Supervisor)",IF($R69=2,"Stage 1 - T-2","Not yet due"))))</f>
        <v>Stage 3 - Final/Daily (due or overdue)</v>
      </c>
      <c r="U69" s="10"/>
      <c r="V69" s="10"/>
    </row>
    <row r="70" customFormat="false" ht="15" hidden="false" customHeight="false" outlineLevel="0" collapsed="false">
      <c r="A70" s="10" t="s">
        <v>274</v>
      </c>
      <c r="B70" s="10" t="s">
        <v>147</v>
      </c>
      <c r="C70" s="10" t="s">
        <v>148</v>
      </c>
      <c r="D70" s="10" t="s">
        <v>57</v>
      </c>
      <c r="E70" s="10" t="s">
        <v>75</v>
      </c>
      <c r="F70" s="11" t="n">
        <v>46247</v>
      </c>
      <c r="G70" s="10" t="s">
        <v>53</v>
      </c>
      <c r="H70" s="12" t="str">
        <f aca="false">IFERROR(INDEX(Users!$A:$A,MATCH($G70,Users!$B:$B,0)),"")</f>
        <v>Ritesh Garodia</v>
      </c>
      <c r="I70" s="10" t="s">
        <v>56</v>
      </c>
      <c r="J70" s="12" t="str">
        <f aca="false">IFERROR(INDEX(Users!$A:$A,MATCH($I70,Users!$B:$B,0)),"")</f>
        <v>Ritesh Garodia</v>
      </c>
      <c r="K70" s="12" t="str">
        <f aca="false">Users!$B$6</f>
        <v>garodia1.ritesh@gmail.com</v>
      </c>
      <c r="L70" s="12" t="str">
        <f aca="false">Users!$A$6</f>
        <v>Ritesh Garodia</v>
      </c>
      <c r="M70" s="10" t="s">
        <v>150</v>
      </c>
      <c r="N70" s="13"/>
      <c r="O70" s="13"/>
      <c r="P70" s="14"/>
      <c r="Q70" s="15" t="s">
        <v>206</v>
      </c>
      <c r="R70" s="16" t="n">
        <f aca="true">$F70-TODAY()</f>
        <v>-38</v>
      </c>
      <c r="S70" s="16" t="str">
        <f aca="true">IF($Q70="Y","Completed",IF(TODAY()&gt;$F70,"Overdue","Pending"))</f>
        <v>Overdue</v>
      </c>
      <c r="T70" s="16" t="str">
        <f aca="false">IF($Q70="Y","-",IF($R70&lt;=0,"Stage 3 - Final/Daily (due or overdue)",IF($R70=1,"Stage 2 - T-1 (CC Supervisor)",IF($R70=2,"Stage 1 - T-2","Not yet due"))))</f>
        <v>Stage 3 - Final/Daily (due or overdue)</v>
      </c>
      <c r="U70" s="10"/>
      <c r="V70" s="10"/>
    </row>
    <row r="71" customFormat="false" ht="15" hidden="false" customHeight="false" outlineLevel="0" collapsed="false">
      <c r="A71" s="10" t="s">
        <v>275</v>
      </c>
      <c r="B71" s="10" t="s">
        <v>147</v>
      </c>
      <c r="C71" s="10" t="s">
        <v>148</v>
      </c>
      <c r="D71" s="10" t="s">
        <v>57</v>
      </c>
      <c r="E71" s="10" t="s">
        <v>75</v>
      </c>
      <c r="F71" s="11" t="n">
        <v>46278</v>
      </c>
      <c r="G71" s="10" t="s">
        <v>53</v>
      </c>
      <c r="H71" s="12" t="str">
        <f aca="false">IFERROR(INDEX(Users!$A:$A,MATCH($G71,Users!$B:$B,0)),"")</f>
        <v>Ritesh Garodia</v>
      </c>
      <c r="I71" s="10" t="s">
        <v>56</v>
      </c>
      <c r="J71" s="12" t="str">
        <f aca="false">IFERROR(INDEX(Users!$A:$A,MATCH($I71,Users!$B:$B,0)),"")</f>
        <v>Ritesh Garodia</v>
      </c>
      <c r="K71" s="12" t="str">
        <f aca="false">Users!$B$6</f>
        <v>garodia1.ritesh@gmail.com</v>
      </c>
      <c r="L71" s="12" t="str">
        <f aca="false">Users!$A$6</f>
        <v>Ritesh Garodia</v>
      </c>
      <c r="M71" s="10" t="s">
        <v>150</v>
      </c>
      <c r="N71" s="13"/>
      <c r="O71" s="13"/>
      <c r="P71" s="14"/>
      <c r="Q71" s="15" t="s">
        <v>206</v>
      </c>
      <c r="R71" s="16" t="n">
        <f aca="true">$F71-TODAY()</f>
        <v>-7</v>
      </c>
      <c r="S71" s="16" t="str">
        <f aca="true">IF($Q71="Y","Completed",IF(TODAY()&gt;$F71,"Overdue","Pending"))</f>
        <v>Overdue</v>
      </c>
      <c r="T71" s="16" t="str">
        <f aca="false">IF($Q71="Y","-",IF($R71&lt;=0,"Stage 3 - Final/Daily (due or overdue)",IF($R71=1,"Stage 2 - T-1 (CC Supervisor)",IF($R71=2,"Stage 1 - T-2","Not yet due"))))</f>
        <v>Stage 3 - Final/Daily (due or overdue)</v>
      </c>
      <c r="U71" s="10"/>
      <c r="V71" s="10"/>
    </row>
    <row r="72" customFormat="false" ht="15" hidden="false" customHeight="false" outlineLevel="0" collapsed="false">
      <c r="A72" s="10" t="s">
        <v>276</v>
      </c>
      <c r="B72" s="10" t="s">
        <v>147</v>
      </c>
      <c r="C72" s="10" t="s">
        <v>148</v>
      </c>
      <c r="D72" s="10" t="s">
        <v>57</v>
      </c>
      <c r="E72" s="10" t="s">
        <v>75</v>
      </c>
      <c r="F72" s="11" t="n">
        <v>46308</v>
      </c>
      <c r="G72" s="10" t="s">
        <v>53</v>
      </c>
      <c r="H72" s="12" t="str">
        <f aca="false">IFERROR(INDEX(Users!$A:$A,MATCH($G72,Users!$B:$B,0)),"")</f>
        <v>Ritesh Garodia</v>
      </c>
      <c r="I72" s="10" t="s">
        <v>56</v>
      </c>
      <c r="J72" s="12" t="str">
        <f aca="false">IFERROR(INDEX(Users!$A:$A,MATCH($I72,Users!$B:$B,0)),"")</f>
        <v>Ritesh Garodia</v>
      </c>
      <c r="K72" s="12" t="str">
        <f aca="false">Users!$B$6</f>
        <v>garodia1.ritesh@gmail.com</v>
      </c>
      <c r="L72" s="12" t="str">
        <f aca="false">Users!$A$6</f>
        <v>Ritesh Garodia</v>
      </c>
      <c r="M72" s="10" t="s">
        <v>150</v>
      </c>
      <c r="N72" s="13"/>
      <c r="O72" s="13"/>
      <c r="P72" s="14"/>
      <c r="Q72" s="15" t="s">
        <v>206</v>
      </c>
      <c r="R72" s="16" t="n">
        <f aca="true">$F72-TODAY()</f>
        <v>23</v>
      </c>
      <c r="S72" s="16" t="str">
        <f aca="true">IF($Q72="Y","Completed",IF(TODAY()&gt;$F72,"Overdue","Pending"))</f>
        <v>Pending</v>
      </c>
      <c r="T72" s="16" t="str">
        <f aca="false">IF($Q72="Y","-",IF($R72&lt;=0,"Stage 3 - Final/Daily (due or overdue)",IF($R72=1,"Stage 2 - T-1 (CC Supervisor)",IF($R72=2,"Stage 1 - T-2","Not yet due"))))</f>
        <v>Not yet due</v>
      </c>
      <c r="U72" s="10"/>
      <c r="V72" s="10"/>
    </row>
    <row r="73" customFormat="false" ht="15" hidden="false" customHeight="false" outlineLevel="0" collapsed="false">
      <c r="A73" s="10" t="s">
        <v>277</v>
      </c>
      <c r="B73" s="10" t="s">
        <v>147</v>
      </c>
      <c r="C73" s="10" t="s">
        <v>148</v>
      </c>
      <c r="D73" s="10" t="s">
        <v>57</v>
      </c>
      <c r="E73" s="10" t="s">
        <v>75</v>
      </c>
      <c r="F73" s="11" t="n">
        <v>46339</v>
      </c>
      <c r="G73" s="10" t="s">
        <v>53</v>
      </c>
      <c r="H73" s="12" t="str">
        <f aca="false">IFERROR(INDEX(Users!$A:$A,MATCH($G73,Users!$B:$B,0)),"")</f>
        <v>Ritesh Garodia</v>
      </c>
      <c r="I73" s="10" t="s">
        <v>56</v>
      </c>
      <c r="J73" s="12" t="str">
        <f aca="false">IFERROR(INDEX(Users!$A:$A,MATCH($I73,Users!$B:$B,0)),"")</f>
        <v>Ritesh Garodia</v>
      </c>
      <c r="K73" s="12" t="str">
        <f aca="false">Users!$B$6</f>
        <v>garodia1.ritesh@gmail.com</v>
      </c>
      <c r="L73" s="12" t="str">
        <f aca="false">Users!$A$6</f>
        <v>Ritesh Garodia</v>
      </c>
      <c r="M73" s="10" t="s">
        <v>150</v>
      </c>
      <c r="N73" s="13"/>
      <c r="O73" s="13"/>
      <c r="P73" s="14"/>
      <c r="Q73" s="15" t="s">
        <v>206</v>
      </c>
      <c r="R73" s="16" t="n">
        <f aca="true">$F73-TODAY()</f>
        <v>54</v>
      </c>
      <c r="S73" s="16" t="str">
        <f aca="true">IF($Q73="Y","Completed",IF(TODAY()&gt;$F73,"Overdue","Pending"))</f>
        <v>Pending</v>
      </c>
      <c r="T73" s="16" t="str">
        <f aca="false">IF($Q73="Y","-",IF($R73&lt;=0,"Stage 3 - Final/Daily (due or overdue)",IF($R73=1,"Stage 2 - T-1 (CC Supervisor)",IF($R73=2,"Stage 1 - T-2","Not yet due"))))</f>
        <v>Not yet due</v>
      </c>
      <c r="U73" s="10"/>
      <c r="V73" s="10"/>
    </row>
    <row r="74" customFormat="false" ht="15" hidden="false" customHeight="false" outlineLevel="0" collapsed="false">
      <c r="A74" s="10" t="s">
        <v>278</v>
      </c>
      <c r="B74" s="10" t="s">
        <v>147</v>
      </c>
      <c r="C74" s="10" t="s">
        <v>148</v>
      </c>
      <c r="D74" s="10" t="s">
        <v>57</v>
      </c>
      <c r="E74" s="10" t="s">
        <v>75</v>
      </c>
      <c r="F74" s="11" t="n">
        <v>46369</v>
      </c>
      <c r="G74" s="10" t="s">
        <v>53</v>
      </c>
      <c r="H74" s="12" t="str">
        <f aca="false">IFERROR(INDEX(Users!$A:$A,MATCH($G74,Users!$B:$B,0)),"")</f>
        <v>Ritesh Garodia</v>
      </c>
      <c r="I74" s="10" t="s">
        <v>56</v>
      </c>
      <c r="J74" s="12" t="str">
        <f aca="false">IFERROR(INDEX(Users!$A:$A,MATCH($I74,Users!$B:$B,0)),"")</f>
        <v>Ritesh Garodia</v>
      </c>
      <c r="K74" s="12" t="str">
        <f aca="false">Users!$B$6</f>
        <v>garodia1.ritesh@gmail.com</v>
      </c>
      <c r="L74" s="12" t="str">
        <f aca="false">Users!$A$6</f>
        <v>Ritesh Garodia</v>
      </c>
      <c r="M74" s="10" t="s">
        <v>150</v>
      </c>
      <c r="N74" s="13"/>
      <c r="O74" s="13"/>
      <c r="P74" s="14"/>
      <c r="Q74" s="15" t="s">
        <v>206</v>
      </c>
      <c r="R74" s="16" t="n">
        <f aca="true">$F74-TODAY()</f>
        <v>84</v>
      </c>
      <c r="S74" s="16" t="str">
        <f aca="true">IF($Q74="Y","Completed",IF(TODAY()&gt;$F74,"Overdue","Pending"))</f>
        <v>Pending</v>
      </c>
      <c r="T74" s="16" t="str">
        <f aca="false">IF($Q74="Y","-",IF($R74&lt;=0,"Stage 3 - Final/Daily (due or overdue)",IF($R74=1,"Stage 2 - T-1 (CC Supervisor)",IF($R74=2,"Stage 1 - T-2","Not yet due"))))</f>
        <v>Not yet due</v>
      </c>
      <c r="U74" s="10"/>
      <c r="V74" s="10"/>
    </row>
    <row r="75" customFormat="false" ht="15" hidden="false" customHeight="false" outlineLevel="0" collapsed="false">
      <c r="A75" s="10" t="s">
        <v>279</v>
      </c>
      <c r="B75" s="10" t="s">
        <v>147</v>
      </c>
      <c r="C75" s="10" t="s">
        <v>148</v>
      </c>
      <c r="D75" s="10" t="s">
        <v>57</v>
      </c>
      <c r="E75" s="10" t="s">
        <v>75</v>
      </c>
      <c r="F75" s="11" t="n">
        <v>46400</v>
      </c>
      <c r="G75" s="10" t="s">
        <v>53</v>
      </c>
      <c r="H75" s="12" t="str">
        <f aca="false">IFERROR(INDEX(Users!$A:$A,MATCH($G75,Users!$B:$B,0)),"")</f>
        <v>Ritesh Garodia</v>
      </c>
      <c r="I75" s="10" t="s">
        <v>56</v>
      </c>
      <c r="J75" s="12" t="str">
        <f aca="false">IFERROR(INDEX(Users!$A:$A,MATCH($I75,Users!$B:$B,0)),"")</f>
        <v>Ritesh Garodia</v>
      </c>
      <c r="K75" s="12" t="str">
        <f aca="false">Users!$B$6</f>
        <v>garodia1.ritesh@gmail.com</v>
      </c>
      <c r="L75" s="12" t="str">
        <f aca="false">Users!$A$6</f>
        <v>Ritesh Garodia</v>
      </c>
      <c r="M75" s="10" t="s">
        <v>150</v>
      </c>
      <c r="N75" s="13"/>
      <c r="O75" s="13"/>
      <c r="P75" s="14"/>
      <c r="Q75" s="15" t="s">
        <v>206</v>
      </c>
      <c r="R75" s="16" t="n">
        <f aca="true">$F75-TODAY()</f>
        <v>115</v>
      </c>
      <c r="S75" s="16" t="str">
        <f aca="true">IF($Q75="Y","Completed",IF(TODAY()&gt;$F75,"Overdue","Pending"))</f>
        <v>Pending</v>
      </c>
      <c r="T75" s="16" t="str">
        <f aca="false">IF($Q75="Y","-",IF($R75&lt;=0,"Stage 3 - Final/Daily (due or overdue)",IF($R75=1,"Stage 2 - T-1 (CC Supervisor)",IF($R75=2,"Stage 1 - T-2","Not yet due"))))</f>
        <v>Not yet due</v>
      </c>
      <c r="U75" s="10"/>
      <c r="V75" s="10"/>
    </row>
    <row r="76" customFormat="false" ht="15" hidden="false" customHeight="false" outlineLevel="0" collapsed="false">
      <c r="A76" s="10" t="s">
        <v>280</v>
      </c>
      <c r="B76" s="10" t="s">
        <v>147</v>
      </c>
      <c r="C76" s="10" t="s">
        <v>148</v>
      </c>
      <c r="D76" s="10" t="s">
        <v>57</v>
      </c>
      <c r="E76" s="10" t="s">
        <v>75</v>
      </c>
      <c r="F76" s="11" t="n">
        <v>46431</v>
      </c>
      <c r="G76" s="10" t="s">
        <v>53</v>
      </c>
      <c r="H76" s="12" t="str">
        <f aca="false">IFERROR(INDEX(Users!$A:$A,MATCH($G76,Users!$B:$B,0)),"")</f>
        <v>Ritesh Garodia</v>
      </c>
      <c r="I76" s="10" t="s">
        <v>56</v>
      </c>
      <c r="J76" s="12" t="str">
        <f aca="false">IFERROR(INDEX(Users!$A:$A,MATCH($I76,Users!$B:$B,0)),"")</f>
        <v>Ritesh Garodia</v>
      </c>
      <c r="K76" s="12" t="str">
        <f aca="false">Users!$B$6</f>
        <v>garodia1.ritesh@gmail.com</v>
      </c>
      <c r="L76" s="12" t="str">
        <f aca="false">Users!$A$6</f>
        <v>Ritesh Garodia</v>
      </c>
      <c r="M76" s="10" t="s">
        <v>150</v>
      </c>
      <c r="N76" s="13"/>
      <c r="O76" s="13"/>
      <c r="P76" s="14"/>
      <c r="Q76" s="15" t="s">
        <v>206</v>
      </c>
      <c r="R76" s="16" t="n">
        <f aca="true">$F76-TODAY()</f>
        <v>146</v>
      </c>
      <c r="S76" s="16" t="str">
        <f aca="true">IF($Q76="Y","Completed",IF(TODAY()&gt;$F76,"Overdue","Pending"))</f>
        <v>Pending</v>
      </c>
      <c r="T76" s="16" t="str">
        <f aca="false">IF($Q76="Y","-",IF($R76&lt;=0,"Stage 3 - Final/Daily (due or overdue)",IF($R76=1,"Stage 2 - T-1 (CC Supervisor)",IF($R76=2,"Stage 1 - T-2","Not yet due"))))</f>
        <v>Not yet due</v>
      </c>
      <c r="U76" s="10"/>
      <c r="V76" s="10"/>
    </row>
    <row r="77" customFormat="false" ht="15" hidden="false" customHeight="false" outlineLevel="0" collapsed="false">
      <c r="A77" s="10" t="s">
        <v>281</v>
      </c>
      <c r="B77" s="10" t="s">
        <v>147</v>
      </c>
      <c r="C77" s="10" t="s">
        <v>148</v>
      </c>
      <c r="D77" s="10" t="s">
        <v>57</v>
      </c>
      <c r="E77" s="10" t="s">
        <v>75</v>
      </c>
      <c r="F77" s="11" t="n">
        <v>46459</v>
      </c>
      <c r="G77" s="10" t="s">
        <v>53</v>
      </c>
      <c r="H77" s="12" t="str">
        <f aca="false">IFERROR(INDEX(Users!$A:$A,MATCH($G77,Users!$B:$B,0)),"")</f>
        <v>Ritesh Garodia</v>
      </c>
      <c r="I77" s="10" t="s">
        <v>56</v>
      </c>
      <c r="J77" s="12" t="str">
        <f aca="false">IFERROR(INDEX(Users!$A:$A,MATCH($I77,Users!$B:$B,0)),"")</f>
        <v>Ritesh Garodia</v>
      </c>
      <c r="K77" s="12" t="str">
        <f aca="false">Users!$B$6</f>
        <v>garodia1.ritesh@gmail.com</v>
      </c>
      <c r="L77" s="12" t="str">
        <f aca="false">Users!$A$6</f>
        <v>Ritesh Garodia</v>
      </c>
      <c r="M77" s="10" t="s">
        <v>150</v>
      </c>
      <c r="N77" s="13"/>
      <c r="O77" s="13"/>
      <c r="P77" s="14"/>
      <c r="Q77" s="15" t="s">
        <v>206</v>
      </c>
      <c r="R77" s="16" t="n">
        <f aca="true">$F77-TODAY()</f>
        <v>174</v>
      </c>
      <c r="S77" s="16" t="str">
        <f aca="true">IF($Q77="Y","Completed",IF(TODAY()&gt;$F77,"Overdue","Pending"))</f>
        <v>Pending</v>
      </c>
      <c r="T77" s="16" t="str">
        <f aca="false">IF($Q77="Y","-",IF($R77&lt;=0,"Stage 3 - Final/Daily (due or overdue)",IF($R77=1,"Stage 2 - T-1 (CC Supervisor)",IF($R77=2,"Stage 1 - T-2","Not yet due"))))</f>
        <v>Not yet due</v>
      </c>
      <c r="U77" s="10"/>
      <c r="V77" s="10"/>
    </row>
    <row r="78" customFormat="false" ht="15" hidden="false" customHeight="false" outlineLevel="0" collapsed="false">
      <c r="A78" s="10" t="s">
        <v>282</v>
      </c>
      <c r="B78" s="10" t="s">
        <v>151</v>
      </c>
      <c r="C78" s="10" t="s">
        <v>152</v>
      </c>
      <c r="D78" s="10" t="s">
        <v>57</v>
      </c>
      <c r="E78" s="10" t="s">
        <v>75</v>
      </c>
      <c r="F78" s="11" t="n">
        <v>46132</v>
      </c>
      <c r="G78" s="10" t="s">
        <v>53</v>
      </c>
      <c r="H78" s="12" t="str">
        <f aca="false">IFERROR(INDEX(Users!$A:$A,MATCH($G78,Users!$B:$B,0)),"")</f>
        <v>Ritesh Garodia</v>
      </c>
      <c r="I78" s="10" t="s">
        <v>56</v>
      </c>
      <c r="J78" s="12" t="str">
        <f aca="false">IFERROR(INDEX(Users!$A:$A,MATCH($I78,Users!$B:$B,0)),"")</f>
        <v>Ritesh Garodia</v>
      </c>
      <c r="K78" s="12" t="str">
        <f aca="false">Users!$B$6</f>
        <v>garodia1.ritesh@gmail.com</v>
      </c>
      <c r="L78" s="12" t="str">
        <f aca="false">Users!$A$6</f>
        <v>Ritesh Garodia</v>
      </c>
      <c r="M78" s="10" t="s">
        <v>153</v>
      </c>
      <c r="N78" s="13"/>
      <c r="O78" s="13"/>
      <c r="P78" s="14"/>
      <c r="Q78" s="15" t="s">
        <v>206</v>
      </c>
      <c r="R78" s="16" t="n">
        <f aca="true">$F78-TODAY()</f>
        <v>-153</v>
      </c>
      <c r="S78" s="16" t="str">
        <f aca="true">IF($Q78="Y","Completed",IF(TODAY()&gt;$F78,"Overdue","Pending"))</f>
        <v>Overdue</v>
      </c>
      <c r="T78" s="16" t="str">
        <f aca="false">IF($Q78="Y","-",IF($R78&lt;=0,"Stage 3 - Final/Daily (due or overdue)",IF($R78=1,"Stage 2 - T-1 (CC Supervisor)",IF($R78=2,"Stage 1 - T-2","Not yet due"))))</f>
        <v>Stage 3 - Final/Daily (due or overdue)</v>
      </c>
      <c r="U78" s="10"/>
      <c r="V78" s="10"/>
    </row>
    <row r="79" customFormat="false" ht="15" hidden="false" customHeight="false" outlineLevel="0" collapsed="false">
      <c r="A79" s="10" t="s">
        <v>283</v>
      </c>
      <c r="B79" s="10" t="s">
        <v>151</v>
      </c>
      <c r="C79" s="10" t="s">
        <v>152</v>
      </c>
      <c r="D79" s="10" t="s">
        <v>57</v>
      </c>
      <c r="E79" s="10" t="s">
        <v>75</v>
      </c>
      <c r="F79" s="11" t="n">
        <v>46162</v>
      </c>
      <c r="G79" s="10" t="s">
        <v>53</v>
      </c>
      <c r="H79" s="12" t="str">
        <f aca="false">IFERROR(INDEX(Users!$A:$A,MATCH($G79,Users!$B:$B,0)),"")</f>
        <v>Ritesh Garodia</v>
      </c>
      <c r="I79" s="10" t="s">
        <v>56</v>
      </c>
      <c r="J79" s="12" t="str">
        <f aca="false">IFERROR(INDEX(Users!$A:$A,MATCH($I79,Users!$B:$B,0)),"")</f>
        <v>Ritesh Garodia</v>
      </c>
      <c r="K79" s="12" t="str">
        <f aca="false">Users!$B$6</f>
        <v>garodia1.ritesh@gmail.com</v>
      </c>
      <c r="L79" s="12" t="str">
        <f aca="false">Users!$A$6</f>
        <v>Ritesh Garodia</v>
      </c>
      <c r="M79" s="10" t="s">
        <v>153</v>
      </c>
      <c r="N79" s="13"/>
      <c r="O79" s="13"/>
      <c r="P79" s="14"/>
      <c r="Q79" s="15" t="s">
        <v>206</v>
      </c>
      <c r="R79" s="16" t="n">
        <f aca="true">$F79-TODAY()</f>
        <v>-123</v>
      </c>
      <c r="S79" s="16" t="str">
        <f aca="true">IF($Q79="Y","Completed",IF(TODAY()&gt;$F79,"Overdue","Pending"))</f>
        <v>Overdue</v>
      </c>
      <c r="T79" s="16" t="str">
        <f aca="false">IF($Q79="Y","-",IF($R79&lt;=0,"Stage 3 - Final/Daily (due or overdue)",IF($R79=1,"Stage 2 - T-1 (CC Supervisor)",IF($R79=2,"Stage 1 - T-2","Not yet due"))))</f>
        <v>Stage 3 - Final/Daily (due or overdue)</v>
      </c>
      <c r="U79" s="10"/>
      <c r="V79" s="10"/>
    </row>
    <row r="80" customFormat="false" ht="15" hidden="false" customHeight="false" outlineLevel="0" collapsed="false">
      <c r="A80" s="10" t="s">
        <v>284</v>
      </c>
      <c r="B80" s="10" t="s">
        <v>151</v>
      </c>
      <c r="C80" s="10" t="s">
        <v>152</v>
      </c>
      <c r="D80" s="10" t="s">
        <v>57</v>
      </c>
      <c r="E80" s="10" t="s">
        <v>75</v>
      </c>
      <c r="F80" s="11" t="n">
        <v>46193</v>
      </c>
      <c r="G80" s="10" t="s">
        <v>53</v>
      </c>
      <c r="H80" s="12" t="str">
        <f aca="false">IFERROR(INDEX(Users!$A:$A,MATCH($G80,Users!$B:$B,0)),"")</f>
        <v>Ritesh Garodia</v>
      </c>
      <c r="I80" s="10" t="s">
        <v>56</v>
      </c>
      <c r="J80" s="12" t="str">
        <f aca="false">IFERROR(INDEX(Users!$A:$A,MATCH($I80,Users!$B:$B,0)),"")</f>
        <v>Ritesh Garodia</v>
      </c>
      <c r="K80" s="12" t="str">
        <f aca="false">Users!$B$6</f>
        <v>garodia1.ritesh@gmail.com</v>
      </c>
      <c r="L80" s="12" t="str">
        <f aca="false">Users!$A$6</f>
        <v>Ritesh Garodia</v>
      </c>
      <c r="M80" s="10" t="s">
        <v>153</v>
      </c>
      <c r="N80" s="13"/>
      <c r="O80" s="13"/>
      <c r="P80" s="14"/>
      <c r="Q80" s="15" t="s">
        <v>206</v>
      </c>
      <c r="R80" s="16" t="n">
        <f aca="true">$F80-TODAY()</f>
        <v>-92</v>
      </c>
      <c r="S80" s="16" t="str">
        <f aca="true">IF($Q80="Y","Completed",IF(TODAY()&gt;$F80,"Overdue","Pending"))</f>
        <v>Overdue</v>
      </c>
      <c r="T80" s="16" t="str">
        <f aca="false">IF($Q80="Y","-",IF($R80&lt;=0,"Stage 3 - Final/Daily (due or overdue)",IF($R80=1,"Stage 2 - T-1 (CC Supervisor)",IF($R80=2,"Stage 1 - T-2","Not yet due"))))</f>
        <v>Stage 3 - Final/Daily (due or overdue)</v>
      </c>
      <c r="U80" s="10"/>
      <c r="V80" s="10"/>
    </row>
    <row r="81" customFormat="false" ht="15" hidden="false" customHeight="false" outlineLevel="0" collapsed="false">
      <c r="A81" s="10" t="s">
        <v>285</v>
      </c>
      <c r="B81" s="10" t="s">
        <v>151</v>
      </c>
      <c r="C81" s="10" t="s">
        <v>152</v>
      </c>
      <c r="D81" s="10" t="s">
        <v>57</v>
      </c>
      <c r="E81" s="10" t="s">
        <v>75</v>
      </c>
      <c r="F81" s="11" t="n">
        <v>46223</v>
      </c>
      <c r="G81" s="10" t="s">
        <v>53</v>
      </c>
      <c r="H81" s="12" t="str">
        <f aca="false">IFERROR(INDEX(Users!$A:$A,MATCH($G81,Users!$B:$B,0)),"")</f>
        <v>Ritesh Garodia</v>
      </c>
      <c r="I81" s="10" t="s">
        <v>56</v>
      </c>
      <c r="J81" s="12" t="str">
        <f aca="false">IFERROR(INDEX(Users!$A:$A,MATCH($I81,Users!$B:$B,0)),"")</f>
        <v>Ritesh Garodia</v>
      </c>
      <c r="K81" s="12" t="str">
        <f aca="false">Users!$B$6</f>
        <v>garodia1.ritesh@gmail.com</v>
      </c>
      <c r="L81" s="12" t="str">
        <f aca="false">Users!$A$6</f>
        <v>Ritesh Garodia</v>
      </c>
      <c r="M81" s="10" t="s">
        <v>153</v>
      </c>
      <c r="N81" s="13"/>
      <c r="O81" s="13"/>
      <c r="P81" s="14"/>
      <c r="Q81" s="15" t="s">
        <v>206</v>
      </c>
      <c r="R81" s="16" t="n">
        <f aca="true">$F81-TODAY()</f>
        <v>-62</v>
      </c>
      <c r="S81" s="16" t="str">
        <f aca="true">IF($Q81="Y","Completed",IF(TODAY()&gt;$F81,"Overdue","Pending"))</f>
        <v>Overdue</v>
      </c>
      <c r="T81" s="16" t="str">
        <f aca="false">IF($Q81="Y","-",IF($R81&lt;=0,"Stage 3 - Final/Daily (due or overdue)",IF($R81=1,"Stage 2 - T-1 (CC Supervisor)",IF($R81=2,"Stage 1 - T-2","Not yet due"))))</f>
        <v>Stage 3 - Final/Daily (due or overdue)</v>
      </c>
      <c r="U81" s="10"/>
      <c r="V81" s="10"/>
    </row>
    <row r="82" customFormat="false" ht="15" hidden="false" customHeight="false" outlineLevel="0" collapsed="false">
      <c r="A82" s="10" t="s">
        <v>286</v>
      </c>
      <c r="B82" s="10" t="s">
        <v>151</v>
      </c>
      <c r="C82" s="10" t="s">
        <v>152</v>
      </c>
      <c r="D82" s="10" t="s">
        <v>57</v>
      </c>
      <c r="E82" s="10" t="s">
        <v>75</v>
      </c>
      <c r="F82" s="11" t="n">
        <v>46254</v>
      </c>
      <c r="G82" s="10" t="s">
        <v>53</v>
      </c>
      <c r="H82" s="12" t="str">
        <f aca="false">IFERROR(INDEX(Users!$A:$A,MATCH($G82,Users!$B:$B,0)),"")</f>
        <v>Ritesh Garodia</v>
      </c>
      <c r="I82" s="10" t="s">
        <v>56</v>
      </c>
      <c r="J82" s="12" t="str">
        <f aca="false">IFERROR(INDEX(Users!$A:$A,MATCH($I82,Users!$B:$B,0)),"")</f>
        <v>Ritesh Garodia</v>
      </c>
      <c r="K82" s="12" t="str">
        <f aca="false">Users!$B$6</f>
        <v>garodia1.ritesh@gmail.com</v>
      </c>
      <c r="L82" s="12" t="str">
        <f aca="false">Users!$A$6</f>
        <v>Ritesh Garodia</v>
      </c>
      <c r="M82" s="10" t="s">
        <v>153</v>
      </c>
      <c r="N82" s="13"/>
      <c r="O82" s="13"/>
      <c r="P82" s="14"/>
      <c r="Q82" s="15" t="s">
        <v>206</v>
      </c>
      <c r="R82" s="16" t="n">
        <f aca="true">$F82-TODAY()</f>
        <v>-31</v>
      </c>
      <c r="S82" s="16" t="str">
        <f aca="true">IF($Q82="Y","Completed",IF(TODAY()&gt;$F82,"Overdue","Pending"))</f>
        <v>Overdue</v>
      </c>
      <c r="T82" s="16" t="str">
        <f aca="false">IF($Q82="Y","-",IF($R82&lt;=0,"Stage 3 - Final/Daily (due or overdue)",IF($R82=1,"Stage 2 - T-1 (CC Supervisor)",IF($R82=2,"Stage 1 - T-2","Not yet due"))))</f>
        <v>Stage 3 - Final/Daily (due or overdue)</v>
      </c>
      <c r="U82" s="10"/>
      <c r="V82" s="10"/>
    </row>
    <row r="83" customFormat="false" ht="15" hidden="false" customHeight="false" outlineLevel="0" collapsed="false">
      <c r="A83" s="10" t="s">
        <v>287</v>
      </c>
      <c r="B83" s="10" t="s">
        <v>151</v>
      </c>
      <c r="C83" s="10" t="s">
        <v>152</v>
      </c>
      <c r="D83" s="10" t="s">
        <v>57</v>
      </c>
      <c r="E83" s="10" t="s">
        <v>75</v>
      </c>
      <c r="F83" s="11" t="n">
        <v>46285</v>
      </c>
      <c r="G83" s="10" t="s">
        <v>53</v>
      </c>
      <c r="H83" s="12" t="str">
        <f aca="false">IFERROR(INDEX(Users!$A:$A,MATCH($G83,Users!$B:$B,0)),"")</f>
        <v>Ritesh Garodia</v>
      </c>
      <c r="I83" s="10" t="s">
        <v>56</v>
      </c>
      <c r="J83" s="12" t="str">
        <f aca="false">IFERROR(INDEX(Users!$A:$A,MATCH($I83,Users!$B:$B,0)),"")</f>
        <v>Ritesh Garodia</v>
      </c>
      <c r="K83" s="12" t="str">
        <f aca="false">Users!$B$6</f>
        <v>garodia1.ritesh@gmail.com</v>
      </c>
      <c r="L83" s="12" t="str">
        <f aca="false">Users!$A$6</f>
        <v>Ritesh Garodia</v>
      </c>
      <c r="M83" s="10" t="s">
        <v>153</v>
      </c>
      <c r="N83" s="13"/>
      <c r="O83" s="13"/>
      <c r="P83" s="14"/>
      <c r="Q83" s="15" t="s">
        <v>206</v>
      </c>
      <c r="R83" s="16" t="n">
        <f aca="true">$F83-TODAY()</f>
        <v>0</v>
      </c>
      <c r="S83" s="16" t="str">
        <f aca="true">IF($Q83="Y","Completed",IF(TODAY()&gt;$F83,"Overdue","Pending"))</f>
        <v>Pending</v>
      </c>
      <c r="T83" s="16" t="str">
        <f aca="false">IF($Q83="Y","-",IF($R83&lt;=0,"Stage 3 - Final/Daily (due or overdue)",IF($R83=1,"Stage 2 - T-1 (CC Supervisor)",IF($R83=2,"Stage 1 - T-2","Not yet due"))))</f>
        <v>Stage 3 - Final/Daily (due or overdue)</v>
      </c>
      <c r="U83" s="10"/>
      <c r="V83" s="10"/>
    </row>
    <row r="84" customFormat="false" ht="15" hidden="false" customHeight="false" outlineLevel="0" collapsed="false">
      <c r="A84" s="10" t="s">
        <v>288</v>
      </c>
      <c r="B84" s="10" t="s">
        <v>151</v>
      </c>
      <c r="C84" s="10" t="s">
        <v>152</v>
      </c>
      <c r="D84" s="10" t="s">
        <v>57</v>
      </c>
      <c r="E84" s="10" t="s">
        <v>75</v>
      </c>
      <c r="F84" s="11" t="n">
        <v>46315</v>
      </c>
      <c r="G84" s="10" t="s">
        <v>53</v>
      </c>
      <c r="H84" s="12" t="str">
        <f aca="false">IFERROR(INDEX(Users!$A:$A,MATCH($G84,Users!$B:$B,0)),"")</f>
        <v>Ritesh Garodia</v>
      </c>
      <c r="I84" s="10" t="s">
        <v>56</v>
      </c>
      <c r="J84" s="12" t="str">
        <f aca="false">IFERROR(INDEX(Users!$A:$A,MATCH($I84,Users!$B:$B,0)),"")</f>
        <v>Ritesh Garodia</v>
      </c>
      <c r="K84" s="12" t="str">
        <f aca="false">Users!$B$6</f>
        <v>garodia1.ritesh@gmail.com</v>
      </c>
      <c r="L84" s="12" t="str">
        <f aca="false">Users!$A$6</f>
        <v>Ritesh Garodia</v>
      </c>
      <c r="M84" s="10" t="s">
        <v>153</v>
      </c>
      <c r="N84" s="13"/>
      <c r="O84" s="13"/>
      <c r="P84" s="14"/>
      <c r="Q84" s="15" t="s">
        <v>206</v>
      </c>
      <c r="R84" s="16" t="n">
        <f aca="true">$F84-TODAY()</f>
        <v>30</v>
      </c>
      <c r="S84" s="16" t="str">
        <f aca="true">IF($Q84="Y","Completed",IF(TODAY()&gt;$F84,"Overdue","Pending"))</f>
        <v>Pending</v>
      </c>
      <c r="T84" s="16" t="str">
        <f aca="false">IF($Q84="Y","-",IF($R84&lt;=0,"Stage 3 - Final/Daily (due or overdue)",IF($R84=1,"Stage 2 - T-1 (CC Supervisor)",IF($R84=2,"Stage 1 - T-2","Not yet due"))))</f>
        <v>Not yet due</v>
      </c>
      <c r="U84" s="10"/>
      <c r="V84" s="10"/>
    </row>
    <row r="85" customFormat="false" ht="15" hidden="false" customHeight="false" outlineLevel="0" collapsed="false">
      <c r="A85" s="10" t="s">
        <v>289</v>
      </c>
      <c r="B85" s="10" t="s">
        <v>151</v>
      </c>
      <c r="C85" s="10" t="s">
        <v>152</v>
      </c>
      <c r="D85" s="10" t="s">
        <v>57</v>
      </c>
      <c r="E85" s="10" t="s">
        <v>75</v>
      </c>
      <c r="F85" s="11" t="n">
        <v>46346</v>
      </c>
      <c r="G85" s="10" t="s">
        <v>53</v>
      </c>
      <c r="H85" s="12" t="str">
        <f aca="false">IFERROR(INDEX(Users!$A:$A,MATCH($G85,Users!$B:$B,0)),"")</f>
        <v>Ritesh Garodia</v>
      </c>
      <c r="I85" s="10" t="s">
        <v>56</v>
      </c>
      <c r="J85" s="12" t="str">
        <f aca="false">IFERROR(INDEX(Users!$A:$A,MATCH($I85,Users!$B:$B,0)),"")</f>
        <v>Ritesh Garodia</v>
      </c>
      <c r="K85" s="12" t="str">
        <f aca="false">Users!$B$6</f>
        <v>garodia1.ritesh@gmail.com</v>
      </c>
      <c r="L85" s="12" t="str">
        <f aca="false">Users!$A$6</f>
        <v>Ritesh Garodia</v>
      </c>
      <c r="M85" s="10" t="s">
        <v>153</v>
      </c>
      <c r="N85" s="13"/>
      <c r="O85" s="13"/>
      <c r="P85" s="14"/>
      <c r="Q85" s="15" t="s">
        <v>206</v>
      </c>
      <c r="R85" s="16" t="n">
        <f aca="true">$F85-TODAY()</f>
        <v>61</v>
      </c>
      <c r="S85" s="16" t="str">
        <f aca="true">IF($Q85="Y","Completed",IF(TODAY()&gt;$F85,"Overdue","Pending"))</f>
        <v>Pending</v>
      </c>
      <c r="T85" s="16" t="str">
        <f aca="false">IF($Q85="Y","-",IF($R85&lt;=0,"Stage 3 - Final/Daily (due or overdue)",IF($R85=1,"Stage 2 - T-1 (CC Supervisor)",IF($R85=2,"Stage 1 - T-2","Not yet due"))))</f>
        <v>Not yet due</v>
      </c>
      <c r="U85" s="10"/>
      <c r="V85" s="10"/>
    </row>
    <row r="86" customFormat="false" ht="15" hidden="false" customHeight="false" outlineLevel="0" collapsed="false">
      <c r="A86" s="10" t="s">
        <v>290</v>
      </c>
      <c r="B86" s="10" t="s">
        <v>151</v>
      </c>
      <c r="C86" s="10" t="s">
        <v>152</v>
      </c>
      <c r="D86" s="10" t="s">
        <v>57</v>
      </c>
      <c r="E86" s="10" t="s">
        <v>75</v>
      </c>
      <c r="F86" s="11" t="n">
        <v>46376</v>
      </c>
      <c r="G86" s="10" t="s">
        <v>53</v>
      </c>
      <c r="H86" s="12" t="str">
        <f aca="false">IFERROR(INDEX(Users!$A:$A,MATCH($G86,Users!$B:$B,0)),"")</f>
        <v>Ritesh Garodia</v>
      </c>
      <c r="I86" s="10" t="s">
        <v>56</v>
      </c>
      <c r="J86" s="12" t="str">
        <f aca="false">IFERROR(INDEX(Users!$A:$A,MATCH($I86,Users!$B:$B,0)),"")</f>
        <v>Ritesh Garodia</v>
      </c>
      <c r="K86" s="12" t="str">
        <f aca="false">Users!$B$6</f>
        <v>garodia1.ritesh@gmail.com</v>
      </c>
      <c r="L86" s="12" t="str">
        <f aca="false">Users!$A$6</f>
        <v>Ritesh Garodia</v>
      </c>
      <c r="M86" s="10" t="s">
        <v>153</v>
      </c>
      <c r="N86" s="13"/>
      <c r="O86" s="13"/>
      <c r="P86" s="14"/>
      <c r="Q86" s="15" t="s">
        <v>206</v>
      </c>
      <c r="R86" s="16" t="n">
        <f aca="true">$F86-TODAY()</f>
        <v>91</v>
      </c>
      <c r="S86" s="16" t="str">
        <f aca="true">IF($Q86="Y","Completed",IF(TODAY()&gt;$F86,"Overdue","Pending"))</f>
        <v>Pending</v>
      </c>
      <c r="T86" s="16" t="str">
        <f aca="false">IF($Q86="Y","-",IF($R86&lt;=0,"Stage 3 - Final/Daily (due or overdue)",IF($R86=1,"Stage 2 - T-1 (CC Supervisor)",IF($R86=2,"Stage 1 - T-2","Not yet due"))))</f>
        <v>Not yet due</v>
      </c>
      <c r="U86" s="10"/>
      <c r="V86" s="10"/>
    </row>
    <row r="87" customFormat="false" ht="15" hidden="false" customHeight="false" outlineLevel="0" collapsed="false">
      <c r="A87" s="10" t="s">
        <v>291</v>
      </c>
      <c r="B87" s="10" t="s">
        <v>151</v>
      </c>
      <c r="C87" s="10" t="s">
        <v>152</v>
      </c>
      <c r="D87" s="10" t="s">
        <v>57</v>
      </c>
      <c r="E87" s="10" t="s">
        <v>75</v>
      </c>
      <c r="F87" s="11" t="n">
        <v>46407</v>
      </c>
      <c r="G87" s="10" t="s">
        <v>53</v>
      </c>
      <c r="H87" s="12" t="str">
        <f aca="false">IFERROR(INDEX(Users!$A:$A,MATCH($G87,Users!$B:$B,0)),"")</f>
        <v>Ritesh Garodia</v>
      </c>
      <c r="I87" s="10" t="s">
        <v>56</v>
      </c>
      <c r="J87" s="12" t="str">
        <f aca="false">IFERROR(INDEX(Users!$A:$A,MATCH($I87,Users!$B:$B,0)),"")</f>
        <v>Ritesh Garodia</v>
      </c>
      <c r="K87" s="12" t="str">
        <f aca="false">Users!$B$6</f>
        <v>garodia1.ritesh@gmail.com</v>
      </c>
      <c r="L87" s="12" t="str">
        <f aca="false">Users!$A$6</f>
        <v>Ritesh Garodia</v>
      </c>
      <c r="M87" s="10" t="s">
        <v>153</v>
      </c>
      <c r="N87" s="13"/>
      <c r="O87" s="13"/>
      <c r="P87" s="14"/>
      <c r="Q87" s="15" t="s">
        <v>206</v>
      </c>
      <c r="R87" s="16" t="n">
        <f aca="true">$F87-TODAY()</f>
        <v>122</v>
      </c>
      <c r="S87" s="16" t="str">
        <f aca="true">IF($Q87="Y","Completed",IF(TODAY()&gt;$F87,"Overdue","Pending"))</f>
        <v>Pending</v>
      </c>
      <c r="T87" s="16" t="str">
        <f aca="false">IF($Q87="Y","-",IF($R87&lt;=0,"Stage 3 - Final/Daily (due or overdue)",IF($R87=1,"Stage 2 - T-1 (CC Supervisor)",IF($R87=2,"Stage 1 - T-2","Not yet due"))))</f>
        <v>Not yet due</v>
      </c>
      <c r="U87" s="10"/>
      <c r="V87" s="10"/>
    </row>
    <row r="88" customFormat="false" ht="15" hidden="false" customHeight="false" outlineLevel="0" collapsed="false">
      <c r="A88" s="10" t="s">
        <v>292</v>
      </c>
      <c r="B88" s="10" t="s">
        <v>151</v>
      </c>
      <c r="C88" s="10" t="s">
        <v>152</v>
      </c>
      <c r="D88" s="10" t="s">
        <v>57</v>
      </c>
      <c r="E88" s="10" t="s">
        <v>75</v>
      </c>
      <c r="F88" s="11" t="n">
        <v>46438</v>
      </c>
      <c r="G88" s="10" t="s">
        <v>53</v>
      </c>
      <c r="H88" s="12" t="str">
        <f aca="false">IFERROR(INDEX(Users!$A:$A,MATCH($G88,Users!$B:$B,0)),"")</f>
        <v>Ritesh Garodia</v>
      </c>
      <c r="I88" s="10" t="s">
        <v>56</v>
      </c>
      <c r="J88" s="12" t="str">
        <f aca="false">IFERROR(INDEX(Users!$A:$A,MATCH($I88,Users!$B:$B,0)),"")</f>
        <v>Ritesh Garodia</v>
      </c>
      <c r="K88" s="12" t="str">
        <f aca="false">Users!$B$6</f>
        <v>garodia1.ritesh@gmail.com</v>
      </c>
      <c r="L88" s="12" t="str">
        <f aca="false">Users!$A$6</f>
        <v>Ritesh Garodia</v>
      </c>
      <c r="M88" s="10" t="s">
        <v>153</v>
      </c>
      <c r="N88" s="13"/>
      <c r="O88" s="13"/>
      <c r="P88" s="14"/>
      <c r="Q88" s="15" t="s">
        <v>206</v>
      </c>
      <c r="R88" s="16" t="n">
        <f aca="true">$F88-TODAY()</f>
        <v>153</v>
      </c>
      <c r="S88" s="16" t="str">
        <f aca="true">IF($Q88="Y","Completed",IF(TODAY()&gt;$F88,"Overdue","Pending"))</f>
        <v>Pending</v>
      </c>
      <c r="T88" s="16" t="str">
        <f aca="false">IF($Q88="Y","-",IF($R88&lt;=0,"Stage 3 - Final/Daily (due or overdue)",IF($R88=1,"Stage 2 - T-1 (CC Supervisor)",IF($R88=2,"Stage 1 - T-2","Not yet due"))))</f>
        <v>Not yet due</v>
      </c>
      <c r="U88" s="10"/>
      <c r="V88" s="10"/>
    </row>
    <row r="89" customFormat="false" ht="15" hidden="false" customHeight="false" outlineLevel="0" collapsed="false">
      <c r="A89" s="10" t="s">
        <v>293</v>
      </c>
      <c r="B89" s="10" t="s">
        <v>151</v>
      </c>
      <c r="C89" s="10" t="s">
        <v>152</v>
      </c>
      <c r="D89" s="10" t="s">
        <v>57</v>
      </c>
      <c r="E89" s="10" t="s">
        <v>75</v>
      </c>
      <c r="F89" s="11" t="n">
        <v>46466</v>
      </c>
      <c r="G89" s="10" t="s">
        <v>53</v>
      </c>
      <c r="H89" s="12" t="str">
        <f aca="false">IFERROR(INDEX(Users!$A:$A,MATCH($G89,Users!$B:$B,0)),"")</f>
        <v>Ritesh Garodia</v>
      </c>
      <c r="I89" s="10" t="s">
        <v>56</v>
      </c>
      <c r="J89" s="12" t="str">
        <f aca="false">IFERROR(INDEX(Users!$A:$A,MATCH($I89,Users!$B:$B,0)),"")</f>
        <v>Ritesh Garodia</v>
      </c>
      <c r="K89" s="12" t="str">
        <f aca="false">Users!$B$6</f>
        <v>garodia1.ritesh@gmail.com</v>
      </c>
      <c r="L89" s="12" t="str">
        <f aca="false">Users!$A$6</f>
        <v>Ritesh Garodia</v>
      </c>
      <c r="M89" s="10" t="s">
        <v>153</v>
      </c>
      <c r="N89" s="13"/>
      <c r="O89" s="13"/>
      <c r="P89" s="14"/>
      <c r="Q89" s="15" t="s">
        <v>206</v>
      </c>
      <c r="R89" s="16" t="n">
        <f aca="true">$F89-TODAY()</f>
        <v>181</v>
      </c>
      <c r="S89" s="16" t="str">
        <f aca="true">IF($Q89="Y","Completed",IF(TODAY()&gt;$F89,"Overdue","Pending"))</f>
        <v>Pending</v>
      </c>
      <c r="T89" s="16" t="str">
        <f aca="false">IF($Q89="Y","-",IF($R89&lt;=0,"Stage 3 - Final/Daily (due or overdue)",IF($R89=1,"Stage 2 - T-1 (CC Supervisor)",IF($R89=2,"Stage 1 - T-2","Not yet due"))))</f>
        <v>Not yet due</v>
      </c>
      <c r="U89" s="10"/>
      <c r="V89" s="10"/>
    </row>
    <row r="90" customFormat="false" ht="15" hidden="false" customHeight="false" outlineLevel="0" collapsed="false">
      <c r="A90" s="10" t="s">
        <v>294</v>
      </c>
      <c r="B90" s="10" t="s">
        <v>155</v>
      </c>
      <c r="C90" s="10" t="s">
        <v>156</v>
      </c>
      <c r="D90" s="10" t="s">
        <v>58</v>
      </c>
      <c r="E90" s="10" t="s">
        <v>75</v>
      </c>
      <c r="F90" s="11" t="n">
        <v>46127</v>
      </c>
      <c r="G90" s="10" t="s">
        <v>53</v>
      </c>
      <c r="H90" s="12" t="str">
        <f aca="false">IFERROR(INDEX(Users!$A:$A,MATCH($G90,Users!$B:$B,0)),"")</f>
        <v>Ritesh Garodia</v>
      </c>
      <c r="I90" s="10" t="s">
        <v>56</v>
      </c>
      <c r="J90" s="12" t="str">
        <f aca="false">IFERROR(INDEX(Users!$A:$A,MATCH($I90,Users!$B:$B,0)),"")</f>
        <v>Ritesh Garodia</v>
      </c>
      <c r="K90" s="12" t="str">
        <f aca="false">Users!$B$6</f>
        <v>garodia1.ritesh@gmail.com</v>
      </c>
      <c r="L90" s="12" t="str">
        <f aca="false">Users!$A$6</f>
        <v>Ritesh Garodia</v>
      </c>
      <c r="M90" s="10" t="s">
        <v>158</v>
      </c>
      <c r="N90" s="13"/>
      <c r="O90" s="13"/>
      <c r="P90" s="14"/>
      <c r="Q90" s="15" t="s">
        <v>206</v>
      </c>
      <c r="R90" s="16" t="n">
        <f aca="true">$F90-TODAY()</f>
        <v>-158</v>
      </c>
      <c r="S90" s="16" t="str">
        <f aca="true">IF($Q90="Y","Completed",IF(TODAY()&gt;$F90,"Overdue","Pending"))</f>
        <v>Overdue</v>
      </c>
      <c r="T90" s="16" t="str">
        <f aca="false">IF($Q90="Y","-",IF($R90&lt;=0,"Stage 3 - Final/Daily (due or overdue)",IF($R90=1,"Stage 2 - T-1 (CC Supervisor)",IF($R90=2,"Stage 1 - T-2","Not yet due"))))</f>
        <v>Stage 3 - Final/Daily (due or overdue)</v>
      </c>
      <c r="U90" s="10"/>
      <c r="V90" s="10"/>
    </row>
    <row r="91" customFormat="false" ht="15" hidden="false" customHeight="false" outlineLevel="0" collapsed="false">
      <c r="A91" s="10" t="s">
        <v>295</v>
      </c>
      <c r="B91" s="10" t="s">
        <v>155</v>
      </c>
      <c r="C91" s="10" t="s">
        <v>156</v>
      </c>
      <c r="D91" s="10" t="s">
        <v>58</v>
      </c>
      <c r="E91" s="10" t="s">
        <v>75</v>
      </c>
      <c r="F91" s="11" t="n">
        <v>46157</v>
      </c>
      <c r="G91" s="10" t="s">
        <v>53</v>
      </c>
      <c r="H91" s="12" t="str">
        <f aca="false">IFERROR(INDEX(Users!$A:$A,MATCH($G91,Users!$B:$B,0)),"")</f>
        <v>Ritesh Garodia</v>
      </c>
      <c r="I91" s="10" t="s">
        <v>56</v>
      </c>
      <c r="J91" s="12" t="str">
        <f aca="false">IFERROR(INDEX(Users!$A:$A,MATCH($I91,Users!$B:$B,0)),"")</f>
        <v>Ritesh Garodia</v>
      </c>
      <c r="K91" s="12" t="str">
        <f aca="false">Users!$B$6</f>
        <v>garodia1.ritesh@gmail.com</v>
      </c>
      <c r="L91" s="12" t="str">
        <f aca="false">Users!$A$6</f>
        <v>Ritesh Garodia</v>
      </c>
      <c r="M91" s="10" t="s">
        <v>158</v>
      </c>
      <c r="N91" s="13"/>
      <c r="O91" s="13"/>
      <c r="P91" s="14"/>
      <c r="Q91" s="15" t="s">
        <v>206</v>
      </c>
      <c r="R91" s="16" t="n">
        <f aca="true">$F91-TODAY()</f>
        <v>-128</v>
      </c>
      <c r="S91" s="16" t="str">
        <f aca="true">IF($Q91="Y","Completed",IF(TODAY()&gt;$F91,"Overdue","Pending"))</f>
        <v>Overdue</v>
      </c>
      <c r="T91" s="16" t="str">
        <f aca="false">IF($Q91="Y","-",IF($R91&lt;=0,"Stage 3 - Final/Daily (due or overdue)",IF($R91=1,"Stage 2 - T-1 (CC Supervisor)",IF($R91=2,"Stage 1 - T-2","Not yet due"))))</f>
        <v>Stage 3 - Final/Daily (due or overdue)</v>
      </c>
      <c r="U91" s="10"/>
      <c r="V91" s="10"/>
    </row>
    <row r="92" customFormat="false" ht="15" hidden="false" customHeight="false" outlineLevel="0" collapsed="false">
      <c r="A92" s="10" t="s">
        <v>296</v>
      </c>
      <c r="B92" s="10" t="s">
        <v>155</v>
      </c>
      <c r="C92" s="10" t="s">
        <v>156</v>
      </c>
      <c r="D92" s="10" t="s">
        <v>58</v>
      </c>
      <c r="E92" s="10" t="s">
        <v>75</v>
      </c>
      <c r="F92" s="11" t="n">
        <v>46188</v>
      </c>
      <c r="G92" s="10" t="s">
        <v>53</v>
      </c>
      <c r="H92" s="12" t="str">
        <f aca="false">IFERROR(INDEX(Users!$A:$A,MATCH($G92,Users!$B:$B,0)),"")</f>
        <v>Ritesh Garodia</v>
      </c>
      <c r="I92" s="10" t="s">
        <v>56</v>
      </c>
      <c r="J92" s="12" t="str">
        <f aca="false">IFERROR(INDEX(Users!$A:$A,MATCH($I92,Users!$B:$B,0)),"")</f>
        <v>Ritesh Garodia</v>
      </c>
      <c r="K92" s="12" t="str">
        <f aca="false">Users!$B$6</f>
        <v>garodia1.ritesh@gmail.com</v>
      </c>
      <c r="L92" s="12" t="str">
        <f aca="false">Users!$A$6</f>
        <v>Ritesh Garodia</v>
      </c>
      <c r="M92" s="10" t="s">
        <v>158</v>
      </c>
      <c r="N92" s="13"/>
      <c r="O92" s="13"/>
      <c r="P92" s="14"/>
      <c r="Q92" s="15" t="s">
        <v>206</v>
      </c>
      <c r="R92" s="16" t="n">
        <f aca="true">$F92-TODAY()</f>
        <v>-97</v>
      </c>
      <c r="S92" s="16" t="str">
        <f aca="true">IF($Q92="Y","Completed",IF(TODAY()&gt;$F92,"Overdue","Pending"))</f>
        <v>Overdue</v>
      </c>
      <c r="T92" s="16" t="str">
        <f aca="false">IF($Q92="Y","-",IF($R92&lt;=0,"Stage 3 - Final/Daily (due or overdue)",IF($R92=1,"Stage 2 - T-1 (CC Supervisor)",IF($R92=2,"Stage 1 - T-2","Not yet due"))))</f>
        <v>Stage 3 - Final/Daily (due or overdue)</v>
      </c>
      <c r="U92" s="10"/>
      <c r="V92" s="10"/>
    </row>
    <row r="93" customFormat="false" ht="15" hidden="false" customHeight="false" outlineLevel="0" collapsed="false">
      <c r="A93" s="10" t="s">
        <v>297</v>
      </c>
      <c r="B93" s="10" t="s">
        <v>155</v>
      </c>
      <c r="C93" s="10" t="s">
        <v>156</v>
      </c>
      <c r="D93" s="10" t="s">
        <v>58</v>
      </c>
      <c r="E93" s="10" t="s">
        <v>75</v>
      </c>
      <c r="F93" s="11" t="n">
        <v>46218</v>
      </c>
      <c r="G93" s="10" t="s">
        <v>53</v>
      </c>
      <c r="H93" s="12" t="str">
        <f aca="false">IFERROR(INDEX(Users!$A:$A,MATCH($G93,Users!$B:$B,0)),"")</f>
        <v>Ritesh Garodia</v>
      </c>
      <c r="I93" s="10" t="s">
        <v>56</v>
      </c>
      <c r="J93" s="12" t="str">
        <f aca="false">IFERROR(INDEX(Users!$A:$A,MATCH($I93,Users!$B:$B,0)),"")</f>
        <v>Ritesh Garodia</v>
      </c>
      <c r="K93" s="12" t="str">
        <f aca="false">Users!$B$6</f>
        <v>garodia1.ritesh@gmail.com</v>
      </c>
      <c r="L93" s="12" t="str">
        <f aca="false">Users!$A$6</f>
        <v>Ritesh Garodia</v>
      </c>
      <c r="M93" s="10" t="s">
        <v>158</v>
      </c>
      <c r="N93" s="13"/>
      <c r="O93" s="13"/>
      <c r="P93" s="14"/>
      <c r="Q93" s="15" t="s">
        <v>206</v>
      </c>
      <c r="R93" s="16" t="n">
        <f aca="true">$F93-TODAY()</f>
        <v>-67</v>
      </c>
      <c r="S93" s="16" t="str">
        <f aca="true">IF($Q93="Y","Completed",IF(TODAY()&gt;$F93,"Overdue","Pending"))</f>
        <v>Overdue</v>
      </c>
      <c r="T93" s="16" t="str">
        <f aca="false">IF($Q93="Y","-",IF($R93&lt;=0,"Stage 3 - Final/Daily (due or overdue)",IF($R93=1,"Stage 2 - T-1 (CC Supervisor)",IF($R93=2,"Stage 1 - T-2","Not yet due"))))</f>
        <v>Stage 3 - Final/Daily (due or overdue)</v>
      </c>
      <c r="U93" s="10"/>
      <c r="V93" s="10"/>
    </row>
    <row r="94" customFormat="false" ht="15" hidden="false" customHeight="false" outlineLevel="0" collapsed="false">
      <c r="A94" s="10" t="s">
        <v>298</v>
      </c>
      <c r="B94" s="10" t="s">
        <v>155</v>
      </c>
      <c r="C94" s="10" t="s">
        <v>156</v>
      </c>
      <c r="D94" s="10" t="s">
        <v>58</v>
      </c>
      <c r="E94" s="10" t="s">
        <v>75</v>
      </c>
      <c r="F94" s="11" t="n">
        <v>46249</v>
      </c>
      <c r="G94" s="10" t="s">
        <v>53</v>
      </c>
      <c r="H94" s="12" t="str">
        <f aca="false">IFERROR(INDEX(Users!$A:$A,MATCH($G94,Users!$B:$B,0)),"")</f>
        <v>Ritesh Garodia</v>
      </c>
      <c r="I94" s="10" t="s">
        <v>56</v>
      </c>
      <c r="J94" s="12" t="str">
        <f aca="false">IFERROR(INDEX(Users!$A:$A,MATCH($I94,Users!$B:$B,0)),"")</f>
        <v>Ritesh Garodia</v>
      </c>
      <c r="K94" s="12" t="str">
        <f aca="false">Users!$B$6</f>
        <v>garodia1.ritesh@gmail.com</v>
      </c>
      <c r="L94" s="12" t="str">
        <f aca="false">Users!$A$6</f>
        <v>Ritesh Garodia</v>
      </c>
      <c r="M94" s="10" t="s">
        <v>158</v>
      </c>
      <c r="N94" s="13"/>
      <c r="O94" s="13"/>
      <c r="P94" s="14"/>
      <c r="Q94" s="15" t="s">
        <v>206</v>
      </c>
      <c r="R94" s="16" t="n">
        <f aca="true">$F94-TODAY()</f>
        <v>-36</v>
      </c>
      <c r="S94" s="16" t="str">
        <f aca="true">IF($Q94="Y","Completed",IF(TODAY()&gt;$F94,"Overdue","Pending"))</f>
        <v>Overdue</v>
      </c>
      <c r="T94" s="16" t="str">
        <f aca="false">IF($Q94="Y","-",IF($R94&lt;=0,"Stage 3 - Final/Daily (due or overdue)",IF($R94=1,"Stage 2 - T-1 (CC Supervisor)",IF($R94=2,"Stage 1 - T-2","Not yet due"))))</f>
        <v>Stage 3 - Final/Daily (due or overdue)</v>
      </c>
      <c r="U94" s="10"/>
      <c r="V94" s="10"/>
    </row>
    <row r="95" customFormat="false" ht="15" hidden="false" customHeight="false" outlineLevel="0" collapsed="false">
      <c r="A95" s="10" t="s">
        <v>299</v>
      </c>
      <c r="B95" s="10" t="s">
        <v>155</v>
      </c>
      <c r="C95" s="10" t="s">
        <v>156</v>
      </c>
      <c r="D95" s="10" t="s">
        <v>58</v>
      </c>
      <c r="E95" s="10" t="s">
        <v>75</v>
      </c>
      <c r="F95" s="11" t="n">
        <v>46280</v>
      </c>
      <c r="G95" s="10" t="s">
        <v>53</v>
      </c>
      <c r="H95" s="12" t="str">
        <f aca="false">IFERROR(INDEX(Users!$A:$A,MATCH($G95,Users!$B:$B,0)),"")</f>
        <v>Ritesh Garodia</v>
      </c>
      <c r="I95" s="10" t="s">
        <v>56</v>
      </c>
      <c r="J95" s="12" t="str">
        <f aca="false">IFERROR(INDEX(Users!$A:$A,MATCH($I95,Users!$B:$B,0)),"")</f>
        <v>Ritesh Garodia</v>
      </c>
      <c r="K95" s="12" t="str">
        <f aca="false">Users!$B$6</f>
        <v>garodia1.ritesh@gmail.com</v>
      </c>
      <c r="L95" s="12" t="str">
        <f aca="false">Users!$A$6</f>
        <v>Ritesh Garodia</v>
      </c>
      <c r="M95" s="10" t="s">
        <v>158</v>
      </c>
      <c r="N95" s="13"/>
      <c r="O95" s="13"/>
      <c r="P95" s="14"/>
      <c r="Q95" s="15" t="s">
        <v>206</v>
      </c>
      <c r="R95" s="16" t="n">
        <f aca="true">$F95-TODAY()</f>
        <v>-5</v>
      </c>
      <c r="S95" s="16" t="str">
        <f aca="true">IF($Q95="Y","Completed",IF(TODAY()&gt;$F95,"Overdue","Pending"))</f>
        <v>Overdue</v>
      </c>
      <c r="T95" s="16" t="str">
        <f aca="false">IF($Q95="Y","-",IF($R95&lt;=0,"Stage 3 - Final/Daily (due or overdue)",IF($R95=1,"Stage 2 - T-1 (CC Supervisor)",IF($R95=2,"Stage 1 - T-2","Not yet due"))))</f>
        <v>Stage 3 - Final/Daily (due or overdue)</v>
      </c>
      <c r="U95" s="10"/>
      <c r="V95" s="10"/>
    </row>
    <row r="96" customFormat="false" ht="15" hidden="false" customHeight="false" outlineLevel="0" collapsed="false">
      <c r="A96" s="10" t="s">
        <v>300</v>
      </c>
      <c r="B96" s="10" t="s">
        <v>155</v>
      </c>
      <c r="C96" s="10" t="s">
        <v>156</v>
      </c>
      <c r="D96" s="10" t="s">
        <v>58</v>
      </c>
      <c r="E96" s="10" t="s">
        <v>75</v>
      </c>
      <c r="F96" s="11" t="n">
        <v>46310</v>
      </c>
      <c r="G96" s="10" t="s">
        <v>53</v>
      </c>
      <c r="H96" s="12" t="str">
        <f aca="false">IFERROR(INDEX(Users!$A:$A,MATCH($G96,Users!$B:$B,0)),"")</f>
        <v>Ritesh Garodia</v>
      </c>
      <c r="I96" s="10" t="s">
        <v>56</v>
      </c>
      <c r="J96" s="12" t="str">
        <f aca="false">IFERROR(INDEX(Users!$A:$A,MATCH($I96,Users!$B:$B,0)),"")</f>
        <v>Ritesh Garodia</v>
      </c>
      <c r="K96" s="12" t="str">
        <f aca="false">Users!$B$6</f>
        <v>garodia1.ritesh@gmail.com</v>
      </c>
      <c r="L96" s="12" t="str">
        <f aca="false">Users!$A$6</f>
        <v>Ritesh Garodia</v>
      </c>
      <c r="M96" s="10" t="s">
        <v>158</v>
      </c>
      <c r="N96" s="13"/>
      <c r="O96" s="13"/>
      <c r="P96" s="14"/>
      <c r="Q96" s="15" t="s">
        <v>206</v>
      </c>
      <c r="R96" s="16" t="n">
        <f aca="true">$F96-TODAY()</f>
        <v>25</v>
      </c>
      <c r="S96" s="16" t="str">
        <f aca="true">IF($Q96="Y","Completed",IF(TODAY()&gt;$F96,"Overdue","Pending"))</f>
        <v>Pending</v>
      </c>
      <c r="T96" s="16" t="str">
        <f aca="false">IF($Q96="Y","-",IF($R96&lt;=0,"Stage 3 - Final/Daily (due or overdue)",IF($R96=1,"Stage 2 - T-1 (CC Supervisor)",IF($R96=2,"Stage 1 - T-2","Not yet due"))))</f>
        <v>Not yet due</v>
      </c>
      <c r="U96" s="10"/>
      <c r="V96" s="10"/>
    </row>
    <row r="97" customFormat="false" ht="15" hidden="false" customHeight="false" outlineLevel="0" collapsed="false">
      <c r="A97" s="10" t="s">
        <v>301</v>
      </c>
      <c r="B97" s="10" t="s">
        <v>155</v>
      </c>
      <c r="C97" s="10" t="s">
        <v>156</v>
      </c>
      <c r="D97" s="10" t="s">
        <v>58</v>
      </c>
      <c r="E97" s="10" t="s">
        <v>75</v>
      </c>
      <c r="F97" s="11" t="n">
        <v>46341</v>
      </c>
      <c r="G97" s="10" t="s">
        <v>53</v>
      </c>
      <c r="H97" s="12" t="str">
        <f aca="false">IFERROR(INDEX(Users!$A:$A,MATCH($G97,Users!$B:$B,0)),"")</f>
        <v>Ritesh Garodia</v>
      </c>
      <c r="I97" s="10" t="s">
        <v>56</v>
      </c>
      <c r="J97" s="12" t="str">
        <f aca="false">IFERROR(INDEX(Users!$A:$A,MATCH($I97,Users!$B:$B,0)),"")</f>
        <v>Ritesh Garodia</v>
      </c>
      <c r="K97" s="12" t="str">
        <f aca="false">Users!$B$6</f>
        <v>garodia1.ritesh@gmail.com</v>
      </c>
      <c r="L97" s="12" t="str">
        <f aca="false">Users!$A$6</f>
        <v>Ritesh Garodia</v>
      </c>
      <c r="M97" s="10" t="s">
        <v>158</v>
      </c>
      <c r="N97" s="13"/>
      <c r="O97" s="13"/>
      <c r="P97" s="14"/>
      <c r="Q97" s="15" t="s">
        <v>206</v>
      </c>
      <c r="R97" s="16" t="n">
        <f aca="true">$F97-TODAY()</f>
        <v>56</v>
      </c>
      <c r="S97" s="16" t="str">
        <f aca="true">IF($Q97="Y","Completed",IF(TODAY()&gt;$F97,"Overdue","Pending"))</f>
        <v>Pending</v>
      </c>
      <c r="T97" s="16" t="str">
        <f aca="false">IF($Q97="Y","-",IF($R97&lt;=0,"Stage 3 - Final/Daily (due or overdue)",IF($R97=1,"Stage 2 - T-1 (CC Supervisor)",IF($R97=2,"Stage 1 - T-2","Not yet due"))))</f>
        <v>Not yet due</v>
      </c>
      <c r="U97" s="10"/>
      <c r="V97" s="10"/>
    </row>
    <row r="98" customFormat="false" ht="15" hidden="false" customHeight="false" outlineLevel="0" collapsed="false">
      <c r="A98" s="10" t="s">
        <v>302</v>
      </c>
      <c r="B98" s="10" t="s">
        <v>155</v>
      </c>
      <c r="C98" s="10" t="s">
        <v>156</v>
      </c>
      <c r="D98" s="10" t="s">
        <v>58</v>
      </c>
      <c r="E98" s="10" t="s">
        <v>75</v>
      </c>
      <c r="F98" s="11" t="n">
        <v>46371</v>
      </c>
      <c r="G98" s="10" t="s">
        <v>53</v>
      </c>
      <c r="H98" s="12" t="str">
        <f aca="false">IFERROR(INDEX(Users!$A:$A,MATCH($G98,Users!$B:$B,0)),"")</f>
        <v>Ritesh Garodia</v>
      </c>
      <c r="I98" s="10" t="s">
        <v>56</v>
      </c>
      <c r="J98" s="12" t="str">
        <f aca="false">IFERROR(INDEX(Users!$A:$A,MATCH($I98,Users!$B:$B,0)),"")</f>
        <v>Ritesh Garodia</v>
      </c>
      <c r="K98" s="12" t="str">
        <f aca="false">Users!$B$6</f>
        <v>garodia1.ritesh@gmail.com</v>
      </c>
      <c r="L98" s="12" t="str">
        <f aca="false">Users!$A$6</f>
        <v>Ritesh Garodia</v>
      </c>
      <c r="M98" s="10" t="s">
        <v>158</v>
      </c>
      <c r="N98" s="13"/>
      <c r="O98" s="13"/>
      <c r="P98" s="14"/>
      <c r="Q98" s="15" t="s">
        <v>206</v>
      </c>
      <c r="R98" s="16" t="n">
        <f aca="true">$F98-TODAY()</f>
        <v>86</v>
      </c>
      <c r="S98" s="16" t="str">
        <f aca="true">IF($Q98="Y","Completed",IF(TODAY()&gt;$F98,"Overdue","Pending"))</f>
        <v>Pending</v>
      </c>
      <c r="T98" s="16" t="str">
        <f aca="false">IF($Q98="Y","-",IF($R98&lt;=0,"Stage 3 - Final/Daily (due or overdue)",IF($R98=1,"Stage 2 - T-1 (CC Supervisor)",IF($R98=2,"Stage 1 - T-2","Not yet due"))))</f>
        <v>Not yet due</v>
      </c>
      <c r="U98" s="10"/>
      <c r="V98" s="10"/>
    </row>
    <row r="99" customFormat="false" ht="15" hidden="false" customHeight="false" outlineLevel="0" collapsed="false">
      <c r="A99" s="10" t="s">
        <v>303</v>
      </c>
      <c r="B99" s="10" t="s">
        <v>155</v>
      </c>
      <c r="C99" s="10" t="s">
        <v>156</v>
      </c>
      <c r="D99" s="10" t="s">
        <v>58</v>
      </c>
      <c r="E99" s="10" t="s">
        <v>75</v>
      </c>
      <c r="F99" s="11" t="n">
        <v>46402</v>
      </c>
      <c r="G99" s="10" t="s">
        <v>53</v>
      </c>
      <c r="H99" s="12" t="str">
        <f aca="false">IFERROR(INDEX(Users!$A:$A,MATCH($G99,Users!$B:$B,0)),"")</f>
        <v>Ritesh Garodia</v>
      </c>
      <c r="I99" s="10" t="s">
        <v>56</v>
      </c>
      <c r="J99" s="12" t="str">
        <f aca="false">IFERROR(INDEX(Users!$A:$A,MATCH($I99,Users!$B:$B,0)),"")</f>
        <v>Ritesh Garodia</v>
      </c>
      <c r="K99" s="12" t="str">
        <f aca="false">Users!$B$6</f>
        <v>garodia1.ritesh@gmail.com</v>
      </c>
      <c r="L99" s="12" t="str">
        <f aca="false">Users!$A$6</f>
        <v>Ritesh Garodia</v>
      </c>
      <c r="M99" s="10" t="s">
        <v>158</v>
      </c>
      <c r="N99" s="13"/>
      <c r="O99" s="13"/>
      <c r="P99" s="14"/>
      <c r="Q99" s="15" t="s">
        <v>206</v>
      </c>
      <c r="R99" s="16" t="n">
        <f aca="true">$F99-TODAY()</f>
        <v>117</v>
      </c>
      <c r="S99" s="16" t="str">
        <f aca="true">IF($Q99="Y","Completed",IF(TODAY()&gt;$F99,"Overdue","Pending"))</f>
        <v>Pending</v>
      </c>
      <c r="T99" s="16" t="str">
        <f aca="false">IF($Q99="Y","-",IF($R99&lt;=0,"Stage 3 - Final/Daily (due or overdue)",IF($R99=1,"Stage 2 - T-1 (CC Supervisor)",IF($R99=2,"Stage 1 - T-2","Not yet due"))))</f>
        <v>Not yet due</v>
      </c>
      <c r="U99" s="10"/>
      <c r="V99" s="10"/>
    </row>
    <row r="100" customFormat="false" ht="15" hidden="false" customHeight="false" outlineLevel="0" collapsed="false">
      <c r="A100" s="10" t="s">
        <v>304</v>
      </c>
      <c r="B100" s="10" t="s">
        <v>155</v>
      </c>
      <c r="C100" s="10" t="s">
        <v>156</v>
      </c>
      <c r="D100" s="10" t="s">
        <v>58</v>
      </c>
      <c r="E100" s="10" t="s">
        <v>75</v>
      </c>
      <c r="F100" s="11" t="n">
        <v>46433</v>
      </c>
      <c r="G100" s="10" t="s">
        <v>53</v>
      </c>
      <c r="H100" s="12" t="str">
        <f aca="false">IFERROR(INDEX(Users!$A:$A,MATCH($G100,Users!$B:$B,0)),"")</f>
        <v>Ritesh Garodia</v>
      </c>
      <c r="I100" s="10" t="s">
        <v>56</v>
      </c>
      <c r="J100" s="12" t="str">
        <f aca="false">IFERROR(INDEX(Users!$A:$A,MATCH($I100,Users!$B:$B,0)),"")</f>
        <v>Ritesh Garodia</v>
      </c>
      <c r="K100" s="12" t="str">
        <f aca="false">Users!$B$6</f>
        <v>garodia1.ritesh@gmail.com</v>
      </c>
      <c r="L100" s="12" t="str">
        <f aca="false">Users!$A$6</f>
        <v>Ritesh Garodia</v>
      </c>
      <c r="M100" s="10" t="s">
        <v>158</v>
      </c>
      <c r="N100" s="13"/>
      <c r="O100" s="13"/>
      <c r="P100" s="14"/>
      <c r="Q100" s="15" t="s">
        <v>206</v>
      </c>
      <c r="R100" s="16" t="n">
        <f aca="true">$F100-TODAY()</f>
        <v>148</v>
      </c>
      <c r="S100" s="16" t="str">
        <f aca="true">IF($Q100="Y","Completed",IF(TODAY()&gt;$F100,"Overdue","Pending"))</f>
        <v>Pending</v>
      </c>
      <c r="T100" s="16" t="str">
        <f aca="false">IF($Q100="Y","-",IF($R100&lt;=0,"Stage 3 - Final/Daily (due or overdue)",IF($R100=1,"Stage 2 - T-1 (CC Supervisor)",IF($R100=2,"Stage 1 - T-2","Not yet due"))))</f>
        <v>Not yet due</v>
      </c>
      <c r="U100" s="10"/>
      <c r="V100" s="10"/>
    </row>
    <row r="101" customFormat="false" ht="15" hidden="false" customHeight="false" outlineLevel="0" collapsed="false">
      <c r="A101" s="10" t="s">
        <v>305</v>
      </c>
      <c r="B101" s="10" t="s">
        <v>155</v>
      </c>
      <c r="C101" s="10" t="s">
        <v>156</v>
      </c>
      <c r="D101" s="10" t="s">
        <v>58</v>
      </c>
      <c r="E101" s="10" t="s">
        <v>75</v>
      </c>
      <c r="F101" s="11" t="n">
        <v>46461</v>
      </c>
      <c r="G101" s="10" t="s">
        <v>53</v>
      </c>
      <c r="H101" s="12" t="str">
        <f aca="false">IFERROR(INDEX(Users!$A:$A,MATCH($G101,Users!$B:$B,0)),"")</f>
        <v>Ritesh Garodia</v>
      </c>
      <c r="I101" s="10" t="s">
        <v>56</v>
      </c>
      <c r="J101" s="12" t="str">
        <f aca="false">IFERROR(INDEX(Users!$A:$A,MATCH($I101,Users!$B:$B,0)),"")</f>
        <v>Ritesh Garodia</v>
      </c>
      <c r="K101" s="12" t="str">
        <f aca="false">Users!$B$6</f>
        <v>garodia1.ritesh@gmail.com</v>
      </c>
      <c r="L101" s="12" t="str">
        <f aca="false">Users!$A$6</f>
        <v>Ritesh Garodia</v>
      </c>
      <c r="M101" s="10" t="s">
        <v>158</v>
      </c>
      <c r="N101" s="13"/>
      <c r="O101" s="13"/>
      <c r="P101" s="14"/>
      <c r="Q101" s="15" t="s">
        <v>206</v>
      </c>
      <c r="R101" s="16" t="n">
        <f aca="true">$F101-TODAY()</f>
        <v>176</v>
      </c>
      <c r="S101" s="16" t="str">
        <f aca="true">IF($Q101="Y","Completed",IF(TODAY()&gt;$F101,"Overdue","Pending"))</f>
        <v>Pending</v>
      </c>
      <c r="T101" s="16" t="str">
        <f aca="false">IF($Q101="Y","-",IF($R101&lt;=0,"Stage 3 - Final/Daily (due or overdue)",IF($R101=1,"Stage 2 - T-1 (CC Supervisor)",IF($R101=2,"Stage 1 - T-2","Not yet due"))))</f>
        <v>Not yet due</v>
      </c>
      <c r="U101" s="10"/>
      <c r="V101" s="10"/>
    </row>
    <row r="102" customFormat="false" ht="15" hidden="false" customHeight="false" outlineLevel="0" collapsed="false">
      <c r="A102" s="10" t="s">
        <v>306</v>
      </c>
      <c r="B102" s="10" t="s">
        <v>160</v>
      </c>
      <c r="C102" s="10" t="s">
        <v>161</v>
      </c>
      <c r="D102" s="10" t="s">
        <v>58</v>
      </c>
      <c r="E102" s="10" t="s">
        <v>75</v>
      </c>
      <c r="F102" s="11" t="n">
        <v>46127</v>
      </c>
      <c r="G102" s="10" t="s">
        <v>53</v>
      </c>
      <c r="H102" s="12" t="str">
        <f aca="false">IFERROR(INDEX(Users!$A:$A,MATCH($G102,Users!$B:$B,0)),"")</f>
        <v>Ritesh Garodia</v>
      </c>
      <c r="I102" s="10" t="s">
        <v>56</v>
      </c>
      <c r="J102" s="12" t="str">
        <f aca="false">IFERROR(INDEX(Users!$A:$A,MATCH($I102,Users!$B:$B,0)),"")</f>
        <v>Ritesh Garodia</v>
      </c>
      <c r="K102" s="12" t="str">
        <f aca="false">Users!$B$6</f>
        <v>garodia1.ritesh@gmail.com</v>
      </c>
      <c r="L102" s="12" t="str">
        <f aca="false">Users!$A$6</f>
        <v>Ritesh Garodia</v>
      </c>
      <c r="M102" s="10" t="s">
        <v>162</v>
      </c>
      <c r="N102" s="13"/>
      <c r="O102" s="13"/>
      <c r="P102" s="14"/>
      <c r="Q102" s="15" t="s">
        <v>206</v>
      </c>
      <c r="R102" s="16" t="n">
        <f aca="true">$F102-TODAY()</f>
        <v>-158</v>
      </c>
      <c r="S102" s="16" t="str">
        <f aca="true">IF($Q102="Y","Completed",IF(TODAY()&gt;$F102,"Overdue","Pending"))</f>
        <v>Overdue</v>
      </c>
      <c r="T102" s="16" t="str">
        <f aca="false">IF($Q102="Y","-",IF($R102&lt;=0,"Stage 3 - Final/Daily (due or overdue)",IF($R102=1,"Stage 2 - T-1 (CC Supervisor)",IF($R102=2,"Stage 1 - T-2","Not yet due"))))</f>
        <v>Stage 3 - Final/Daily (due or overdue)</v>
      </c>
      <c r="U102" s="10"/>
      <c r="V102" s="10"/>
    </row>
    <row r="103" customFormat="false" ht="15" hidden="false" customHeight="false" outlineLevel="0" collapsed="false">
      <c r="A103" s="10" t="s">
        <v>307</v>
      </c>
      <c r="B103" s="10" t="s">
        <v>160</v>
      </c>
      <c r="C103" s="10" t="s">
        <v>161</v>
      </c>
      <c r="D103" s="10" t="s">
        <v>58</v>
      </c>
      <c r="E103" s="10" t="s">
        <v>75</v>
      </c>
      <c r="F103" s="11" t="n">
        <v>46157</v>
      </c>
      <c r="G103" s="10" t="s">
        <v>53</v>
      </c>
      <c r="H103" s="12" t="str">
        <f aca="false">IFERROR(INDEX(Users!$A:$A,MATCH($G103,Users!$B:$B,0)),"")</f>
        <v>Ritesh Garodia</v>
      </c>
      <c r="I103" s="10" t="s">
        <v>56</v>
      </c>
      <c r="J103" s="12" t="str">
        <f aca="false">IFERROR(INDEX(Users!$A:$A,MATCH($I103,Users!$B:$B,0)),"")</f>
        <v>Ritesh Garodia</v>
      </c>
      <c r="K103" s="12" t="str">
        <f aca="false">Users!$B$6</f>
        <v>garodia1.ritesh@gmail.com</v>
      </c>
      <c r="L103" s="12" t="str">
        <f aca="false">Users!$A$6</f>
        <v>Ritesh Garodia</v>
      </c>
      <c r="M103" s="10" t="s">
        <v>162</v>
      </c>
      <c r="N103" s="13"/>
      <c r="O103" s="13"/>
      <c r="P103" s="14"/>
      <c r="Q103" s="15" t="s">
        <v>206</v>
      </c>
      <c r="R103" s="16" t="n">
        <f aca="true">$F103-TODAY()</f>
        <v>-128</v>
      </c>
      <c r="S103" s="16" t="str">
        <f aca="true">IF($Q103="Y","Completed",IF(TODAY()&gt;$F103,"Overdue","Pending"))</f>
        <v>Overdue</v>
      </c>
      <c r="T103" s="16" t="str">
        <f aca="false">IF($Q103="Y","-",IF($R103&lt;=0,"Stage 3 - Final/Daily (due or overdue)",IF($R103=1,"Stage 2 - T-1 (CC Supervisor)",IF($R103=2,"Stage 1 - T-2","Not yet due"))))</f>
        <v>Stage 3 - Final/Daily (due or overdue)</v>
      </c>
      <c r="U103" s="10"/>
      <c r="V103" s="10"/>
    </row>
    <row r="104" customFormat="false" ht="15" hidden="false" customHeight="false" outlineLevel="0" collapsed="false">
      <c r="A104" s="10" t="s">
        <v>308</v>
      </c>
      <c r="B104" s="10" t="s">
        <v>160</v>
      </c>
      <c r="C104" s="10" t="s">
        <v>161</v>
      </c>
      <c r="D104" s="10" t="s">
        <v>58</v>
      </c>
      <c r="E104" s="10" t="s">
        <v>75</v>
      </c>
      <c r="F104" s="11" t="n">
        <v>46188</v>
      </c>
      <c r="G104" s="10" t="s">
        <v>53</v>
      </c>
      <c r="H104" s="12" t="str">
        <f aca="false">IFERROR(INDEX(Users!$A:$A,MATCH($G104,Users!$B:$B,0)),"")</f>
        <v>Ritesh Garodia</v>
      </c>
      <c r="I104" s="10" t="s">
        <v>56</v>
      </c>
      <c r="J104" s="12" t="str">
        <f aca="false">IFERROR(INDEX(Users!$A:$A,MATCH($I104,Users!$B:$B,0)),"")</f>
        <v>Ritesh Garodia</v>
      </c>
      <c r="K104" s="12" t="str">
        <f aca="false">Users!$B$6</f>
        <v>garodia1.ritesh@gmail.com</v>
      </c>
      <c r="L104" s="12" t="str">
        <f aca="false">Users!$A$6</f>
        <v>Ritesh Garodia</v>
      </c>
      <c r="M104" s="10" t="s">
        <v>162</v>
      </c>
      <c r="N104" s="13"/>
      <c r="O104" s="13"/>
      <c r="P104" s="14"/>
      <c r="Q104" s="15" t="s">
        <v>206</v>
      </c>
      <c r="R104" s="16" t="n">
        <f aca="true">$F104-TODAY()</f>
        <v>-97</v>
      </c>
      <c r="S104" s="16" t="str">
        <f aca="true">IF($Q104="Y","Completed",IF(TODAY()&gt;$F104,"Overdue","Pending"))</f>
        <v>Overdue</v>
      </c>
      <c r="T104" s="16" t="str">
        <f aca="false">IF($Q104="Y","-",IF($R104&lt;=0,"Stage 3 - Final/Daily (due or overdue)",IF($R104=1,"Stage 2 - T-1 (CC Supervisor)",IF($R104=2,"Stage 1 - T-2","Not yet due"))))</f>
        <v>Stage 3 - Final/Daily (due or overdue)</v>
      </c>
      <c r="U104" s="10"/>
      <c r="V104" s="10"/>
    </row>
    <row r="105" customFormat="false" ht="15" hidden="false" customHeight="false" outlineLevel="0" collapsed="false">
      <c r="A105" s="10" t="s">
        <v>309</v>
      </c>
      <c r="B105" s="10" t="s">
        <v>160</v>
      </c>
      <c r="C105" s="10" t="s">
        <v>161</v>
      </c>
      <c r="D105" s="10" t="s">
        <v>58</v>
      </c>
      <c r="E105" s="10" t="s">
        <v>75</v>
      </c>
      <c r="F105" s="11" t="n">
        <v>46218</v>
      </c>
      <c r="G105" s="10" t="s">
        <v>53</v>
      </c>
      <c r="H105" s="12" t="str">
        <f aca="false">IFERROR(INDEX(Users!$A:$A,MATCH($G105,Users!$B:$B,0)),"")</f>
        <v>Ritesh Garodia</v>
      </c>
      <c r="I105" s="10" t="s">
        <v>56</v>
      </c>
      <c r="J105" s="12" t="str">
        <f aca="false">IFERROR(INDEX(Users!$A:$A,MATCH($I105,Users!$B:$B,0)),"")</f>
        <v>Ritesh Garodia</v>
      </c>
      <c r="K105" s="12" t="str">
        <f aca="false">Users!$B$6</f>
        <v>garodia1.ritesh@gmail.com</v>
      </c>
      <c r="L105" s="12" t="str">
        <f aca="false">Users!$A$6</f>
        <v>Ritesh Garodia</v>
      </c>
      <c r="M105" s="10" t="s">
        <v>162</v>
      </c>
      <c r="N105" s="13"/>
      <c r="O105" s="13"/>
      <c r="P105" s="14"/>
      <c r="Q105" s="15" t="s">
        <v>206</v>
      </c>
      <c r="R105" s="16" t="n">
        <f aca="true">$F105-TODAY()</f>
        <v>-67</v>
      </c>
      <c r="S105" s="16" t="str">
        <f aca="true">IF($Q105="Y","Completed",IF(TODAY()&gt;$F105,"Overdue","Pending"))</f>
        <v>Overdue</v>
      </c>
      <c r="T105" s="16" t="str">
        <f aca="false">IF($Q105="Y","-",IF($R105&lt;=0,"Stage 3 - Final/Daily (due or overdue)",IF($R105=1,"Stage 2 - T-1 (CC Supervisor)",IF($R105=2,"Stage 1 - T-2","Not yet due"))))</f>
        <v>Stage 3 - Final/Daily (due or overdue)</v>
      </c>
      <c r="U105" s="10"/>
      <c r="V105" s="10"/>
    </row>
    <row r="106" customFormat="false" ht="15" hidden="false" customHeight="false" outlineLevel="0" collapsed="false">
      <c r="A106" s="10" t="s">
        <v>310</v>
      </c>
      <c r="B106" s="10" t="s">
        <v>160</v>
      </c>
      <c r="C106" s="10" t="s">
        <v>161</v>
      </c>
      <c r="D106" s="10" t="s">
        <v>58</v>
      </c>
      <c r="E106" s="10" t="s">
        <v>75</v>
      </c>
      <c r="F106" s="11" t="n">
        <v>46249</v>
      </c>
      <c r="G106" s="10" t="s">
        <v>53</v>
      </c>
      <c r="H106" s="12" t="str">
        <f aca="false">IFERROR(INDEX(Users!$A:$A,MATCH($G106,Users!$B:$B,0)),"")</f>
        <v>Ritesh Garodia</v>
      </c>
      <c r="I106" s="10" t="s">
        <v>56</v>
      </c>
      <c r="J106" s="12" t="str">
        <f aca="false">IFERROR(INDEX(Users!$A:$A,MATCH($I106,Users!$B:$B,0)),"")</f>
        <v>Ritesh Garodia</v>
      </c>
      <c r="K106" s="12" t="str">
        <f aca="false">Users!$B$6</f>
        <v>garodia1.ritesh@gmail.com</v>
      </c>
      <c r="L106" s="12" t="str">
        <f aca="false">Users!$A$6</f>
        <v>Ritesh Garodia</v>
      </c>
      <c r="M106" s="10" t="s">
        <v>162</v>
      </c>
      <c r="N106" s="13"/>
      <c r="O106" s="13"/>
      <c r="P106" s="14"/>
      <c r="Q106" s="15" t="s">
        <v>206</v>
      </c>
      <c r="R106" s="16" t="n">
        <f aca="true">$F106-TODAY()</f>
        <v>-36</v>
      </c>
      <c r="S106" s="16" t="str">
        <f aca="true">IF($Q106="Y","Completed",IF(TODAY()&gt;$F106,"Overdue","Pending"))</f>
        <v>Overdue</v>
      </c>
      <c r="T106" s="16" t="str">
        <f aca="false">IF($Q106="Y","-",IF($R106&lt;=0,"Stage 3 - Final/Daily (due or overdue)",IF($R106=1,"Stage 2 - T-1 (CC Supervisor)",IF($R106=2,"Stage 1 - T-2","Not yet due"))))</f>
        <v>Stage 3 - Final/Daily (due or overdue)</v>
      </c>
      <c r="U106" s="10"/>
      <c r="V106" s="10"/>
    </row>
    <row r="107" customFormat="false" ht="15" hidden="false" customHeight="false" outlineLevel="0" collapsed="false">
      <c r="A107" s="10" t="s">
        <v>311</v>
      </c>
      <c r="B107" s="10" t="s">
        <v>160</v>
      </c>
      <c r="C107" s="10" t="s">
        <v>161</v>
      </c>
      <c r="D107" s="10" t="s">
        <v>58</v>
      </c>
      <c r="E107" s="10" t="s">
        <v>75</v>
      </c>
      <c r="F107" s="11" t="n">
        <v>46280</v>
      </c>
      <c r="G107" s="10" t="s">
        <v>53</v>
      </c>
      <c r="H107" s="12" t="str">
        <f aca="false">IFERROR(INDEX(Users!$A:$A,MATCH($G107,Users!$B:$B,0)),"")</f>
        <v>Ritesh Garodia</v>
      </c>
      <c r="I107" s="10" t="s">
        <v>56</v>
      </c>
      <c r="J107" s="12" t="str">
        <f aca="false">IFERROR(INDEX(Users!$A:$A,MATCH($I107,Users!$B:$B,0)),"")</f>
        <v>Ritesh Garodia</v>
      </c>
      <c r="K107" s="12" t="str">
        <f aca="false">Users!$B$6</f>
        <v>garodia1.ritesh@gmail.com</v>
      </c>
      <c r="L107" s="12" t="str">
        <f aca="false">Users!$A$6</f>
        <v>Ritesh Garodia</v>
      </c>
      <c r="M107" s="10" t="s">
        <v>162</v>
      </c>
      <c r="N107" s="13"/>
      <c r="O107" s="13"/>
      <c r="P107" s="14"/>
      <c r="Q107" s="15" t="s">
        <v>206</v>
      </c>
      <c r="R107" s="16" t="n">
        <f aca="true">$F107-TODAY()</f>
        <v>-5</v>
      </c>
      <c r="S107" s="16" t="str">
        <f aca="true">IF($Q107="Y","Completed",IF(TODAY()&gt;$F107,"Overdue","Pending"))</f>
        <v>Overdue</v>
      </c>
      <c r="T107" s="16" t="str">
        <f aca="false">IF($Q107="Y","-",IF($R107&lt;=0,"Stage 3 - Final/Daily (due or overdue)",IF($R107=1,"Stage 2 - T-1 (CC Supervisor)",IF($R107=2,"Stage 1 - T-2","Not yet due"))))</f>
        <v>Stage 3 - Final/Daily (due or overdue)</v>
      </c>
      <c r="U107" s="10"/>
      <c r="V107" s="10"/>
    </row>
    <row r="108" customFormat="false" ht="15" hidden="false" customHeight="false" outlineLevel="0" collapsed="false">
      <c r="A108" s="10" t="s">
        <v>312</v>
      </c>
      <c r="B108" s="10" t="s">
        <v>160</v>
      </c>
      <c r="C108" s="10" t="s">
        <v>161</v>
      </c>
      <c r="D108" s="10" t="s">
        <v>58</v>
      </c>
      <c r="E108" s="10" t="s">
        <v>75</v>
      </c>
      <c r="F108" s="11" t="n">
        <v>46310</v>
      </c>
      <c r="G108" s="10" t="s">
        <v>53</v>
      </c>
      <c r="H108" s="12" t="str">
        <f aca="false">IFERROR(INDEX(Users!$A:$A,MATCH($G108,Users!$B:$B,0)),"")</f>
        <v>Ritesh Garodia</v>
      </c>
      <c r="I108" s="10" t="s">
        <v>56</v>
      </c>
      <c r="J108" s="12" t="str">
        <f aca="false">IFERROR(INDEX(Users!$A:$A,MATCH($I108,Users!$B:$B,0)),"")</f>
        <v>Ritesh Garodia</v>
      </c>
      <c r="K108" s="12" t="str">
        <f aca="false">Users!$B$6</f>
        <v>garodia1.ritesh@gmail.com</v>
      </c>
      <c r="L108" s="12" t="str">
        <f aca="false">Users!$A$6</f>
        <v>Ritesh Garodia</v>
      </c>
      <c r="M108" s="10" t="s">
        <v>162</v>
      </c>
      <c r="N108" s="13"/>
      <c r="O108" s="13"/>
      <c r="P108" s="14"/>
      <c r="Q108" s="15" t="s">
        <v>206</v>
      </c>
      <c r="R108" s="16" t="n">
        <f aca="true">$F108-TODAY()</f>
        <v>25</v>
      </c>
      <c r="S108" s="16" t="str">
        <f aca="true">IF($Q108="Y","Completed",IF(TODAY()&gt;$F108,"Overdue","Pending"))</f>
        <v>Pending</v>
      </c>
      <c r="T108" s="16" t="str">
        <f aca="false">IF($Q108="Y","-",IF($R108&lt;=0,"Stage 3 - Final/Daily (due or overdue)",IF($R108=1,"Stage 2 - T-1 (CC Supervisor)",IF($R108=2,"Stage 1 - T-2","Not yet due"))))</f>
        <v>Not yet due</v>
      </c>
      <c r="U108" s="10"/>
      <c r="V108" s="10"/>
    </row>
    <row r="109" customFormat="false" ht="15" hidden="false" customHeight="false" outlineLevel="0" collapsed="false">
      <c r="A109" s="10" t="s">
        <v>313</v>
      </c>
      <c r="B109" s="10" t="s">
        <v>160</v>
      </c>
      <c r="C109" s="10" t="s">
        <v>161</v>
      </c>
      <c r="D109" s="10" t="s">
        <v>58</v>
      </c>
      <c r="E109" s="10" t="s">
        <v>75</v>
      </c>
      <c r="F109" s="11" t="n">
        <v>46341</v>
      </c>
      <c r="G109" s="10" t="s">
        <v>53</v>
      </c>
      <c r="H109" s="12" t="str">
        <f aca="false">IFERROR(INDEX(Users!$A:$A,MATCH($G109,Users!$B:$B,0)),"")</f>
        <v>Ritesh Garodia</v>
      </c>
      <c r="I109" s="10" t="s">
        <v>56</v>
      </c>
      <c r="J109" s="12" t="str">
        <f aca="false">IFERROR(INDEX(Users!$A:$A,MATCH($I109,Users!$B:$B,0)),"")</f>
        <v>Ritesh Garodia</v>
      </c>
      <c r="K109" s="12" t="str">
        <f aca="false">Users!$B$6</f>
        <v>garodia1.ritesh@gmail.com</v>
      </c>
      <c r="L109" s="12" t="str">
        <f aca="false">Users!$A$6</f>
        <v>Ritesh Garodia</v>
      </c>
      <c r="M109" s="10" t="s">
        <v>162</v>
      </c>
      <c r="N109" s="13"/>
      <c r="O109" s="13"/>
      <c r="P109" s="14"/>
      <c r="Q109" s="15" t="s">
        <v>206</v>
      </c>
      <c r="R109" s="16" t="n">
        <f aca="true">$F109-TODAY()</f>
        <v>56</v>
      </c>
      <c r="S109" s="16" t="str">
        <f aca="true">IF($Q109="Y","Completed",IF(TODAY()&gt;$F109,"Overdue","Pending"))</f>
        <v>Pending</v>
      </c>
      <c r="T109" s="16" t="str">
        <f aca="false">IF($Q109="Y","-",IF($R109&lt;=0,"Stage 3 - Final/Daily (due or overdue)",IF($R109=1,"Stage 2 - T-1 (CC Supervisor)",IF($R109=2,"Stage 1 - T-2","Not yet due"))))</f>
        <v>Not yet due</v>
      </c>
      <c r="U109" s="10"/>
      <c r="V109" s="10"/>
    </row>
    <row r="110" customFormat="false" ht="15" hidden="false" customHeight="false" outlineLevel="0" collapsed="false">
      <c r="A110" s="10" t="s">
        <v>314</v>
      </c>
      <c r="B110" s="10" t="s">
        <v>160</v>
      </c>
      <c r="C110" s="10" t="s">
        <v>161</v>
      </c>
      <c r="D110" s="10" t="s">
        <v>58</v>
      </c>
      <c r="E110" s="10" t="s">
        <v>75</v>
      </c>
      <c r="F110" s="11" t="n">
        <v>46371</v>
      </c>
      <c r="G110" s="10" t="s">
        <v>53</v>
      </c>
      <c r="H110" s="12" t="str">
        <f aca="false">IFERROR(INDEX(Users!$A:$A,MATCH($G110,Users!$B:$B,0)),"")</f>
        <v>Ritesh Garodia</v>
      </c>
      <c r="I110" s="10" t="s">
        <v>56</v>
      </c>
      <c r="J110" s="12" t="str">
        <f aca="false">IFERROR(INDEX(Users!$A:$A,MATCH($I110,Users!$B:$B,0)),"")</f>
        <v>Ritesh Garodia</v>
      </c>
      <c r="K110" s="12" t="str">
        <f aca="false">Users!$B$6</f>
        <v>garodia1.ritesh@gmail.com</v>
      </c>
      <c r="L110" s="12" t="str">
        <f aca="false">Users!$A$6</f>
        <v>Ritesh Garodia</v>
      </c>
      <c r="M110" s="10" t="s">
        <v>162</v>
      </c>
      <c r="N110" s="13"/>
      <c r="O110" s="13"/>
      <c r="P110" s="14"/>
      <c r="Q110" s="15" t="s">
        <v>206</v>
      </c>
      <c r="R110" s="16" t="n">
        <f aca="true">$F110-TODAY()</f>
        <v>86</v>
      </c>
      <c r="S110" s="16" t="str">
        <f aca="true">IF($Q110="Y","Completed",IF(TODAY()&gt;$F110,"Overdue","Pending"))</f>
        <v>Pending</v>
      </c>
      <c r="T110" s="16" t="str">
        <f aca="false">IF($Q110="Y","-",IF($R110&lt;=0,"Stage 3 - Final/Daily (due or overdue)",IF($R110=1,"Stage 2 - T-1 (CC Supervisor)",IF($R110=2,"Stage 1 - T-2","Not yet due"))))</f>
        <v>Not yet due</v>
      </c>
      <c r="U110" s="10"/>
      <c r="V110" s="10"/>
    </row>
    <row r="111" customFormat="false" ht="15" hidden="false" customHeight="false" outlineLevel="0" collapsed="false">
      <c r="A111" s="10" t="s">
        <v>315</v>
      </c>
      <c r="B111" s="10" t="s">
        <v>160</v>
      </c>
      <c r="C111" s="10" t="s">
        <v>161</v>
      </c>
      <c r="D111" s="10" t="s">
        <v>58</v>
      </c>
      <c r="E111" s="10" t="s">
        <v>75</v>
      </c>
      <c r="F111" s="11" t="n">
        <v>46402</v>
      </c>
      <c r="G111" s="10" t="s">
        <v>53</v>
      </c>
      <c r="H111" s="12" t="str">
        <f aca="false">IFERROR(INDEX(Users!$A:$A,MATCH($G111,Users!$B:$B,0)),"")</f>
        <v>Ritesh Garodia</v>
      </c>
      <c r="I111" s="10" t="s">
        <v>56</v>
      </c>
      <c r="J111" s="12" t="str">
        <f aca="false">IFERROR(INDEX(Users!$A:$A,MATCH($I111,Users!$B:$B,0)),"")</f>
        <v>Ritesh Garodia</v>
      </c>
      <c r="K111" s="12" t="str">
        <f aca="false">Users!$B$6</f>
        <v>garodia1.ritesh@gmail.com</v>
      </c>
      <c r="L111" s="12" t="str">
        <f aca="false">Users!$A$6</f>
        <v>Ritesh Garodia</v>
      </c>
      <c r="M111" s="10" t="s">
        <v>162</v>
      </c>
      <c r="N111" s="13"/>
      <c r="O111" s="13"/>
      <c r="P111" s="14"/>
      <c r="Q111" s="15" t="s">
        <v>206</v>
      </c>
      <c r="R111" s="16" t="n">
        <f aca="true">$F111-TODAY()</f>
        <v>117</v>
      </c>
      <c r="S111" s="16" t="str">
        <f aca="true">IF($Q111="Y","Completed",IF(TODAY()&gt;$F111,"Overdue","Pending"))</f>
        <v>Pending</v>
      </c>
      <c r="T111" s="16" t="str">
        <f aca="false">IF($Q111="Y","-",IF($R111&lt;=0,"Stage 3 - Final/Daily (due or overdue)",IF($R111=1,"Stage 2 - T-1 (CC Supervisor)",IF($R111=2,"Stage 1 - T-2","Not yet due"))))</f>
        <v>Not yet due</v>
      </c>
      <c r="U111" s="10"/>
      <c r="V111" s="10"/>
    </row>
    <row r="112" customFormat="false" ht="15" hidden="false" customHeight="false" outlineLevel="0" collapsed="false">
      <c r="A112" s="10" t="s">
        <v>316</v>
      </c>
      <c r="B112" s="10" t="s">
        <v>160</v>
      </c>
      <c r="C112" s="10" t="s">
        <v>161</v>
      </c>
      <c r="D112" s="10" t="s">
        <v>58</v>
      </c>
      <c r="E112" s="10" t="s">
        <v>75</v>
      </c>
      <c r="F112" s="11" t="n">
        <v>46433</v>
      </c>
      <c r="G112" s="10" t="s">
        <v>53</v>
      </c>
      <c r="H112" s="12" t="str">
        <f aca="false">IFERROR(INDEX(Users!$A:$A,MATCH($G112,Users!$B:$B,0)),"")</f>
        <v>Ritesh Garodia</v>
      </c>
      <c r="I112" s="10" t="s">
        <v>56</v>
      </c>
      <c r="J112" s="12" t="str">
        <f aca="false">IFERROR(INDEX(Users!$A:$A,MATCH($I112,Users!$B:$B,0)),"")</f>
        <v>Ritesh Garodia</v>
      </c>
      <c r="K112" s="12" t="str">
        <f aca="false">Users!$B$6</f>
        <v>garodia1.ritesh@gmail.com</v>
      </c>
      <c r="L112" s="12" t="str">
        <f aca="false">Users!$A$6</f>
        <v>Ritesh Garodia</v>
      </c>
      <c r="M112" s="10" t="s">
        <v>162</v>
      </c>
      <c r="N112" s="13"/>
      <c r="O112" s="13"/>
      <c r="P112" s="14"/>
      <c r="Q112" s="15" t="s">
        <v>206</v>
      </c>
      <c r="R112" s="16" t="n">
        <f aca="true">$F112-TODAY()</f>
        <v>148</v>
      </c>
      <c r="S112" s="16" t="str">
        <f aca="true">IF($Q112="Y","Completed",IF(TODAY()&gt;$F112,"Overdue","Pending"))</f>
        <v>Pending</v>
      </c>
      <c r="T112" s="16" t="str">
        <f aca="false">IF($Q112="Y","-",IF($R112&lt;=0,"Stage 3 - Final/Daily (due or overdue)",IF($R112=1,"Stage 2 - T-1 (CC Supervisor)",IF($R112=2,"Stage 1 - T-2","Not yet due"))))</f>
        <v>Not yet due</v>
      </c>
      <c r="U112" s="10"/>
      <c r="V112" s="10"/>
    </row>
    <row r="113" customFormat="false" ht="15" hidden="false" customHeight="false" outlineLevel="0" collapsed="false">
      <c r="A113" s="10" t="s">
        <v>317</v>
      </c>
      <c r="B113" s="10" t="s">
        <v>160</v>
      </c>
      <c r="C113" s="10" t="s">
        <v>161</v>
      </c>
      <c r="D113" s="10" t="s">
        <v>58</v>
      </c>
      <c r="E113" s="10" t="s">
        <v>75</v>
      </c>
      <c r="F113" s="11" t="n">
        <v>46461</v>
      </c>
      <c r="G113" s="10" t="s">
        <v>53</v>
      </c>
      <c r="H113" s="12" t="str">
        <f aca="false">IFERROR(INDEX(Users!$A:$A,MATCH($G113,Users!$B:$B,0)),"")</f>
        <v>Ritesh Garodia</v>
      </c>
      <c r="I113" s="10" t="s">
        <v>56</v>
      </c>
      <c r="J113" s="12" t="str">
        <f aca="false">IFERROR(INDEX(Users!$A:$A,MATCH($I113,Users!$B:$B,0)),"")</f>
        <v>Ritesh Garodia</v>
      </c>
      <c r="K113" s="12" t="str">
        <f aca="false">Users!$B$6</f>
        <v>garodia1.ritesh@gmail.com</v>
      </c>
      <c r="L113" s="12" t="str">
        <f aca="false">Users!$A$6</f>
        <v>Ritesh Garodia</v>
      </c>
      <c r="M113" s="10" t="s">
        <v>162</v>
      </c>
      <c r="N113" s="13"/>
      <c r="O113" s="13"/>
      <c r="P113" s="14"/>
      <c r="Q113" s="15" t="s">
        <v>206</v>
      </c>
      <c r="R113" s="16" t="n">
        <f aca="true">$F113-TODAY()</f>
        <v>176</v>
      </c>
      <c r="S113" s="16" t="str">
        <f aca="true">IF($Q113="Y","Completed",IF(TODAY()&gt;$F113,"Overdue","Pending"))</f>
        <v>Pending</v>
      </c>
      <c r="T113" s="16" t="str">
        <f aca="false">IF($Q113="Y","-",IF($R113&lt;=0,"Stage 3 - Final/Daily (due or overdue)",IF($R113=1,"Stage 2 - T-1 (CC Supervisor)",IF($R113=2,"Stage 1 - T-2","Not yet due"))))</f>
        <v>Not yet due</v>
      </c>
      <c r="U113" s="10"/>
      <c r="V113" s="10"/>
    </row>
    <row r="114" customFormat="false" ht="15" hidden="false" customHeight="false" outlineLevel="0" collapsed="false">
      <c r="A114" s="10" t="s">
        <v>318</v>
      </c>
      <c r="B114" s="10" t="s">
        <v>163</v>
      </c>
      <c r="C114" s="10" t="s">
        <v>164</v>
      </c>
      <c r="D114" s="10" t="s">
        <v>58</v>
      </c>
      <c r="E114" s="10" t="s">
        <v>75</v>
      </c>
      <c r="F114" s="11" t="n">
        <v>46127</v>
      </c>
      <c r="G114" s="10" t="s">
        <v>53</v>
      </c>
      <c r="H114" s="12" t="str">
        <f aca="false">IFERROR(INDEX(Users!$A:$A,MATCH($G114,Users!$B:$B,0)),"")</f>
        <v>Ritesh Garodia</v>
      </c>
      <c r="I114" s="10" t="s">
        <v>56</v>
      </c>
      <c r="J114" s="12" t="str">
        <f aca="false">IFERROR(INDEX(Users!$A:$A,MATCH($I114,Users!$B:$B,0)),"")</f>
        <v>Ritesh Garodia</v>
      </c>
      <c r="K114" s="12" t="str">
        <f aca="false">Users!$B$6</f>
        <v>garodia1.ritesh@gmail.com</v>
      </c>
      <c r="L114" s="12" t="str">
        <f aca="false">Users!$A$6</f>
        <v>Ritesh Garodia</v>
      </c>
      <c r="M114" s="10" t="s">
        <v>165</v>
      </c>
      <c r="N114" s="13"/>
      <c r="O114" s="13"/>
      <c r="P114" s="14"/>
      <c r="Q114" s="15" t="s">
        <v>206</v>
      </c>
      <c r="R114" s="16" t="n">
        <f aca="true">$F114-TODAY()</f>
        <v>-158</v>
      </c>
      <c r="S114" s="16" t="str">
        <f aca="true">IF($Q114="Y","Completed",IF(TODAY()&gt;$F114,"Overdue","Pending"))</f>
        <v>Overdue</v>
      </c>
      <c r="T114" s="16" t="str">
        <f aca="false">IF($Q114="Y","-",IF($R114&lt;=0,"Stage 3 - Final/Daily (due or overdue)",IF($R114=1,"Stage 2 - T-1 (CC Supervisor)",IF($R114=2,"Stage 1 - T-2","Not yet due"))))</f>
        <v>Stage 3 - Final/Daily (due or overdue)</v>
      </c>
      <c r="U114" s="10"/>
      <c r="V114" s="10"/>
    </row>
    <row r="115" customFormat="false" ht="15" hidden="false" customHeight="false" outlineLevel="0" collapsed="false">
      <c r="A115" s="10" t="s">
        <v>319</v>
      </c>
      <c r="B115" s="10" t="s">
        <v>163</v>
      </c>
      <c r="C115" s="10" t="s">
        <v>164</v>
      </c>
      <c r="D115" s="10" t="s">
        <v>58</v>
      </c>
      <c r="E115" s="10" t="s">
        <v>75</v>
      </c>
      <c r="F115" s="11" t="n">
        <v>46157</v>
      </c>
      <c r="G115" s="10" t="s">
        <v>53</v>
      </c>
      <c r="H115" s="12" t="str">
        <f aca="false">IFERROR(INDEX(Users!$A:$A,MATCH($G115,Users!$B:$B,0)),"")</f>
        <v>Ritesh Garodia</v>
      </c>
      <c r="I115" s="10" t="s">
        <v>56</v>
      </c>
      <c r="J115" s="12" t="str">
        <f aca="false">IFERROR(INDEX(Users!$A:$A,MATCH($I115,Users!$B:$B,0)),"")</f>
        <v>Ritesh Garodia</v>
      </c>
      <c r="K115" s="12" t="str">
        <f aca="false">Users!$B$6</f>
        <v>garodia1.ritesh@gmail.com</v>
      </c>
      <c r="L115" s="12" t="str">
        <f aca="false">Users!$A$6</f>
        <v>Ritesh Garodia</v>
      </c>
      <c r="M115" s="10" t="s">
        <v>165</v>
      </c>
      <c r="N115" s="13"/>
      <c r="O115" s="13"/>
      <c r="P115" s="14"/>
      <c r="Q115" s="15" t="s">
        <v>206</v>
      </c>
      <c r="R115" s="16" t="n">
        <f aca="true">$F115-TODAY()</f>
        <v>-128</v>
      </c>
      <c r="S115" s="16" t="str">
        <f aca="true">IF($Q115="Y","Completed",IF(TODAY()&gt;$F115,"Overdue","Pending"))</f>
        <v>Overdue</v>
      </c>
      <c r="T115" s="16" t="str">
        <f aca="false">IF($Q115="Y","-",IF($R115&lt;=0,"Stage 3 - Final/Daily (due or overdue)",IF($R115=1,"Stage 2 - T-1 (CC Supervisor)",IF($R115=2,"Stage 1 - T-2","Not yet due"))))</f>
        <v>Stage 3 - Final/Daily (due or overdue)</v>
      </c>
      <c r="U115" s="10"/>
      <c r="V115" s="10"/>
    </row>
    <row r="116" customFormat="false" ht="15" hidden="false" customHeight="false" outlineLevel="0" collapsed="false">
      <c r="A116" s="10" t="s">
        <v>320</v>
      </c>
      <c r="B116" s="10" t="s">
        <v>163</v>
      </c>
      <c r="C116" s="10" t="s">
        <v>164</v>
      </c>
      <c r="D116" s="10" t="s">
        <v>58</v>
      </c>
      <c r="E116" s="10" t="s">
        <v>75</v>
      </c>
      <c r="F116" s="11" t="n">
        <v>46188</v>
      </c>
      <c r="G116" s="10" t="s">
        <v>53</v>
      </c>
      <c r="H116" s="12" t="str">
        <f aca="false">IFERROR(INDEX(Users!$A:$A,MATCH($G116,Users!$B:$B,0)),"")</f>
        <v>Ritesh Garodia</v>
      </c>
      <c r="I116" s="10" t="s">
        <v>56</v>
      </c>
      <c r="J116" s="12" t="str">
        <f aca="false">IFERROR(INDEX(Users!$A:$A,MATCH($I116,Users!$B:$B,0)),"")</f>
        <v>Ritesh Garodia</v>
      </c>
      <c r="K116" s="12" t="str">
        <f aca="false">Users!$B$6</f>
        <v>garodia1.ritesh@gmail.com</v>
      </c>
      <c r="L116" s="12" t="str">
        <f aca="false">Users!$A$6</f>
        <v>Ritesh Garodia</v>
      </c>
      <c r="M116" s="10" t="s">
        <v>165</v>
      </c>
      <c r="N116" s="13"/>
      <c r="O116" s="13"/>
      <c r="P116" s="14"/>
      <c r="Q116" s="15" t="s">
        <v>206</v>
      </c>
      <c r="R116" s="16" t="n">
        <f aca="true">$F116-TODAY()</f>
        <v>-97</v>
      </c>
      <c r="S116" s="16" t="str">
        <f aca="true">IF($Q116="Y","Completed",IF(TODAY()&gt;$F116,"Overdue","Pending"))</f>
        <v>Overdue</v>
      </c>
      <c r="T116" s="16" t="str">
        <f aca="false">IF($Q116="Y","-",IF($R116&lt;=0,"Stage 3 - Final/Daily (due or overdue)",IF($R116=1,"Stage 2 - T-1 (CC Supervisor)",IF($R116=2,"Stage 1 - T-2","Not yet due"))))</f>
        <v>Stage 3 - Final/Daily (due or overdue)</v>
      </c>
      <c r="U116" s="10"/>
      <c r="V116" s="10"/>
    </row>
    <row r="117" customFormat="false" ht="15" hidden="false" customHeight="false" outlineLevel="0" collapsed="false">
      <c r="A117" s="10" t="s">
        <v>321</v>
      </c>
      <c r="B117" s="10" t="s">
        <v>163</v>
      </c>
      <c r="C117" s="10" t="s">
        <v>164</v>
      </c>
      <c r="D117" s="10" t="s">
        <v>58</v>
      </c>
      <c r="E117" s="10" t="s">
        <v>75</v>
      </c>
      <c r="F117" s="11" t="n">
        <v>46218</v>
      </c>
      <c r="G117" s="10" t="s">
        <v>53</v>
      </c>
      <c r="H117" s="12" t="str">
        <f aca="false">IFERROR(INDEX(Users!$A:$A,MATCH($G117,Users!$B:$B,0)),"")</f>
        <v>Ritesh Garodia</v>
      </c>
      <c r="I117" s="10" t="s">
        <v>56</v>
      </c>
      <c r="J117" s="12" t="str">
        <f aca="false">IFERROR(INDEX(Users!$A:$A,MATCH($I117,Users!$B:$B,0)),"")</f>
        <v>Ritesh Garodia</v>
      </c>
      <c r="K117" s="12" t="str">
        <f aca="false">Users!$B$6</f>
        <v>garodia1.ritesh@gmail.com</v>
      </c>
      <c r="L117" s="12" t="str">
        <f aca="false">Users!$A$6</f>
        <v>Ritesh Garodia</v>
      </c>
      <c r="M117" s="10" t="s">
        <v>165</v>
      </c>
      <c r="N117" s="13"/>
      <c r="O117" s="13"/>
      <c r="P117" s="14"/>
      <c r="Q117" s="15" t="s">
        <v>206</v>
      </c>
      <c r="R117" s="16" t="n">
        <f aca="true">$F117-TODAY()</f>
        <v>-67</v>
      </c>
      <c r="S117" s="16" t="str">
        <f aca="true">IF($Q117="Y","Completed",IF(TODAY()&gt;$F117,"Overdue","Pending"))</f>
        <v>Overdue</v>
      </c>
      <c r="T117" s="16" t="str">
        <f aca="false">IF($Q117="Y","-",IF($R117&lt;=0,"Stage 3 - Final/Daily (due or overdue)",IF($R117=1,"Stage 2 - T-1 (CC Supervisor)",IF($R117=2,"Stage 1 - T-2","Not yet due"))))</f>
        <v>Stage 3 - Final/Daily (due or overdue)</v>
      </c>
      <c r="U117" s="10"/>
      <c r="V117" s="10"/>
    </row>
    <row r="118" customFormat="false" ht="15" hidden="false" customHeight="false" outlineLevel="0" collapsed="false">
      <c r="A118" s="10" t="s">
        <v>322</v>
      </c>
      <c r="B118" s="10" t="s">
        <v>163</v>
      </c>
      <c r="C118" s="10" t="s">
        <v>164</v>
      </c>
      <c r="D118" s="10" t="s">
        <v>58</v>
      </c>
      <c r="E118" s="10" t="s">
        <v>75</v>
      </c>
      <c r="F118" s="11" t="n">
        <v>46249</v>
      </c>
      <c r="G118" s="10" t="s">
        <v>53</v>
      </c>
      <c r="H118" s="12" t="str">
        <f aca="false">IFERROR(INDEX(Users!$A:$A,MATCH($G118,Users!$B:$B,0)),"")</f>
        <v>Ritesh Garodia</v>
      </c>
      <c r="I118" s="10" t="s">
        <v>56</v>
      </c>
      <c r="J118" s="12" t="str">
        <f aca="false">IFERROR(INDEX(Users!$A:$A,MATCH($I118,Users!$B:$B,0)),"")</f>
        <v>Ritesh Garodia</v>
      </c>
      <c r="K118" s="12" t="str">
        <f aca="false">Users!$B$6</f>
        <v>garodia1.ritesh@gmail.com</v>
      </c>
      <c r="L118" s="12" t="str">
        <f aca="false">Users!$A$6</f>
        <v>Ritesh Garodia</v>
      </c>
      <c r="M118" s="10" t="s">
        <v>165</v>
      </c>
      <c r="N118" s="13"/>
      <c r="O118" s="13"/>
      <c r="P118" s="14"/>
      <c r="Q118" s="15" t="s">
        <v>206</v>
      </c>
      <c r="R118" s="16" t="n">
        <f aca="true">$F118-TODAY()</f>
        <v>-36</v>
      </c>
      <c r="S118" s="16" t="str">
        <f aca="true">IF($Q118="Y","Completed",IF(TODAY()&gt;$F118,"Overdue","Pending"))</f>
        <v>Overdue</v>
      </c>
      <c r="T118" s="16" t="str">
        <f aca="false">IF($Q118="Y","-",IF($R118&lt;=0,"Stage 3 - Final/Daily (due or overdue)",IF($R118=1,"Stage 2 - T-1 (CC Supervisor)",IF($R118=2,"Stage 1 - T-2","Not yet due"))))</f>
        <v>Stage 3 - Final/Daily (due or overdue)</v>
      </c>
      <c r="U118" s="10"/>
      <c r="V118" s="10"/>
    </row>
    <row r="119" customFormat="false" ht="15" hidden="false" customHeight="false" outlineLevel="0" collapsed="false">
      <c r="A119" s="10" t="s">
        <v>323</v>
      </c>
      <c r="B119" s="10" t="s">
        <v>163</v>
      </c>
      <c r="C119" s="10" t="s">
        <v>164</v>
      </c>
      <c r="D119" s="10" t="s">
        <v>58</v>
      </c>
      <c r="E119" s="10" t="s">
        <v>75</v>
      </c>
      <c r="F119" s="11" t="n">
        <v>46280</v>
      </c>
      <c r="G119" s="10" t="s">
        <v>53</v>
      </c>
      <c r="H119" s="12" t="str">
        <f aca="false">IFERROR(INDEX(Users!$A:$A,MATCH($G119,Users!$B:$B,0)),"")</f>
        <v>Ritesh Garodia</v>
      </c>
      <c r="I119" s="10" t="s">
        <v>56</v>
      </c>
      <c r="J119" s="12" t="str">
        <f aca="false">IFERROR(INDEX(Users!$A:$A,MATCH($I119,Users!$B:$B,0)),"")</f>
        <v>Ritesh Garodia</v>
      </c>
      <c r="K119" s="12" t="str">
        <f aca="false">Users!$B$6</f>
        <v>garodia1.ritesh@gmail.com</v>
      </c>
      <c r="L119" s="12" t="str">
        <f aca="false">Users!$A$6</f>
        <v>Ritesh Garodia</v>
      </c>
      <c r="M119" s="10" t="s">
        <v>165</v>
      </c>
      <c r="N119" s="13"/>
      <c r="O119" s="13"/>
      <c r="P119" s="14"/>
      <c r="Q119" s="15" t="s">
        <v>206</v>
      </c>
      <c r="R119" s="16" t="n">
        <f aca="true">$F119-TODAY()</f>
        <v>-5</v>
      </c>
      <c r="S119" s="16" t="str">
        <f aca="true">IF($Q119="Y","Completed",IF(TODAY()&gt;$F119,"Overdue","Pending"))</f>
        <v>Overdue</v>
      </c>
      <c r="T119" s="16" t="str">
        <f aca="false">IF($Q119="Y","-",IF($R119&lt;=0,"Stage 3 - Final/Daily (due or overdue)",IF($R119=1,"Stage 2 - T-1 (CC Supervisor)",IF($R119=2,"Stage 1 - T-2","Not yet due"))))</f>
        <v>Stage 3 - Final/Daily (due or overdue)</v>
      </c>
      <c r="U119" s="10"/>
      <c r="V119" s="10"/>
    </row>
    <row r="120" customFormat="false" ht="15" hidden="false" customHeight="false" outlineLevel="0" collapsed="false">
      <c r="A120" s="10" t="s">
        <v>324</v>
      </c>
      <c r="B120" s="10" t="s">
        <v>163</v>
      </c>
      <c r="C120" s="10" t="s">
        <v>164</v>
      </c>
      <c r="D120" s="10" t="s">
        <v>58</v>
      </c>
      <c r="E120" s="10" t="s">
        <v>75</v>
      </c>
      <c r="F120" s="11" t="n">
        <v>46310</v>
      </c>
      <c r="G120" s="10" t="s">
        <v>53</v>
      </c>
      <c r="H120" s="12" t="str">
        <f aca="false">IFERROR(INDEX(Users!$A:$A,MATCH($G120,Users!$B:$B,0)),"")</f>
        <v>Ritesh Garodia</v>
      </c>
      <c r="I120" s="10" t="s">
        <v>56</v>
      </c>
      <c r="J120" s="12" t="str">
        <f aca="false">IFERROR(INDEX(Users!$A:$A,MATCH($I120,Users!$B:$B,0)),"")</f>
        <v>Ritesh Garodia</v>
      </c>
      <c r="K120" s="12" t="str">
        <f aca="false">Users!$B$6</f>
        <v>garodia1.ritesh@gmail.com</v>
      </c>
      <c r="L120" s="12" t="str">
        <f aca="false">Users!$A$6</f>
        <v>Ritesh Garodia</v>
      </c>
      <c r="M120" s="10" t="s">
        <v>165</v>
      </c>
      <c r="N120" s="13"/>
      <c r="O120" s="13"/>
      <c r="P120" s="14"/>
      <c r="Q120" s="15" t="s">
        <v>206</v>
      </c>
      <c r="R120" s="16" t="n">
        <f aca="true">$F120-TODAY()</f>
        <v>25</v>
      </c>
      <c r="S120" s="16" t="str">
        <f aca="true">IF($Q120="Y","Completed",IF(TODAY()&gt;$F120,"Overdue","Pending"))</f>
        <v>Pending</v>
      </c>
      <c r="T120" s="16" t="str">
        <f aca="false">IF($Q120="Y","-",IF($R120&lt;=0,"Stage 3 - Final/Daily (due or overdue)",IF($R120=1,"Stage 2 - T-1 (CC Supervisor)",IF($R120=2,"Stage 1 - T-2","Not yet due"))))</f>
        <v>Not yet due</v>
      </c>
      <c r="U120" s="10"/>
      <c r="V120" s="10"/>
    </row>
    <row r="121" customFormat="false" ht="15" hidden="false" customHeight="false" outlineLevel="0" collapsed="false">
      <c r="A121" s="10" t="s">
        <v>325</v>
      </c>
      <c r="B121" s="10" t="s">
        <v>163</v>
      </c>
      <c r="C121" s="10" t="s">
        <v>164</v>
      </c>
      <c r="D121" s="10" t="s">
        <v>58</v>
      </c>
      <c r="E121" s="10" t="s">
        <v>75</v>
      </c>
      <c r="F121" s="11" t="n">
        <v>46341</v>
      </c>
      <c r="G121" s="10" t="s">
        <v>53</v>
      </c>
      <c r="H121" s="12" t="str">
        <f aca="false">IFERROR(INDEX(Users!$A:$A,MATCH($G121,Users!$B:$B,0)),"")</f>
        <v>Ritesh Garodia</v>
      </c>
      <c r="I121" s="10" t="s">
        <v>56</v>
      </c>
      <c r="J121" s="12" t="str">
        <f aca="false">IFERROR(INDEX(Users!$A:$A,MATCH($I121,Users!$B:$B,0)),"")</f>
        <v>Ritesh Garodia</v>
      </c>
      <c r="K121" s="12" t="str">
        <f aca="false">Users!$B$6</f>
        <v>garodia1.ritesh@gmail.com</v>
      </c>
      <c r="L121" s="12" t="str">
        <f aca="false">Users!$A$6</f>
        <v>Ritesh Garodia</v>
      </c>
      <c r="M121" s="10" t="s">
        <v>165</v>
      </c>
      <c r="N121" s="13"/>
      <c r="O121" s="13"/>
      <c r="P121" s="14"/>
      <c r="Q121" s="15" t="s">
        <v>206</v>
      </c>
      <c r="R121" s="16" t="n">
        <f aca="true">$F121-TODAY()</f>
        <v>56</v>
      </c>
      <c r="S121" s="16" t="str">
        <f aca="true">IF($Q121="Y","Completed",IF(TODAY()&gt;$F121,"Overdue","Pending"))</f>
        <v>Pending</v>
      </c>
      <c r="T121" s="16" t="str">
        <f aca="false">IF($Q121="Y","-",IF($R121&lt;=0,"Stage 3 - Final/Daily (due or overdue)",IF($R121=1,"Stage 2 - T-1 (CC Supervisor)",IF($R121=2,"Stage 1 - T-2","Not yet due"))))</f>
        <v>Not yet due</v>
      </c>
      <c r="U121" s="10"/>
      <c r="V121" s="10"/>
    </row>
    <row r="122" customFormat="false" ht="15" hidden="false" customHeight="false" outlineLevel="0" collapsed="false">
      <c r="A122" s="10" t="s">
        <v>326</v>
      </c>
      <c r="B122" s="10" t="s">
        <v>163</v>
      </c>
      <c r="C122" s="10" t="s">
        <v>164</v>
      </c>
      <c r="D122" s="10" t="s">
        <v>58</v>
      </c>
      <c r="E122" s="10" t="s">
        <v>75</v>
      </c>
      <c r="F122" s="11" t="n">
        <v>46371</v>
      </c>
      <c r="G122" s="10" t="s">
        <v>53</v>
      </c>
      <c r="H122" s="12" t="str">
        <f aca="false">IFERROR(INDEX(Users!$A:$A,MATCH($G122,Users!$B:$B,0)),"")</f>
        <v>Ritesh Garodia</v>
      </c>
      <c r="I122" s="10" t="s">
        <v>56</v>
      </c>
      <c r="J122" s="12" t="str">
        <f aca="false">IFERROR(INDEX(Users!$A:$A,MATCH($I122,Users!$B:$B,0)),"")</f>
        <v>Ritesh Garodia</v>
      </c>
      <c r="K122" s="12" t="str">
        <f aca="false">Users!$B$6</f>
        <v>garodia1.ritesh@gmail.com</v>
      </c>
      <c r="L122" s="12" t="str">
        <f aca="false">Users!$A$6</f>
        <v>Ritesh Garodia</v>
      </c>
      <c r="M122" s="10" t="s">
        <v>165</v>
      </c>
      <c r="N122" s="13"/>
      <c r="O122" s="13"/>
      <c r="P122" s="14"/>
      <c r="Q122" s="15" t="s">
        <v>206</v>
      </c>
      <c r="R122" s="16" t="n">
        <f aca="true">$F122-TODAY()</f>
        <v>86</v>
      </c>
      <c r="S122" s="16" t="str">
        <f aca="true">IF($Q122="Y","Completed",IF(TODAY()&gt;$F122,"Overdue","Pending"))</f>
        <v>Pending</v>
      </c>
      <c r="T122" s="16" t="str">
        <f aca="false">IF($Q122="Y","-",IF($R122&lt;=0,"Stage 3 - Final/Daily (due or overdue)",IF($R122=1,"Stage 2 - T-1 (CC Supervisor)",IF($R122=2,"Stage 1 - T-2","Not yet due"))))</f>
        <v>Not yet due</v>
      </c>
      <c r="U122" s="10"/>
      <c r="V122" s="10"/>
    </row>
    <row r="123" customFormat="false" ht="15" hidden="false" customHeight="false" outlineLevel="0" collapsed="false">
      <c r="A123" s="10" t="s">
        <v>327</v>
      </c>
      <c r="B123" s="10" t="s">
        <v>163</v>
      </c>
      <c r="C123" s="10" t="s">
        <v>164</v>
      </c>
      <c r="D123" s="10" t="s">
        <v>58</v>
      </c>
      <c r="E123" s="10" t="s">
        <v>75</v>
      </c>
      <c r="F123" s="11" t="n">
        <v>46402</v>
      </c>
      <c r="G123" s="10" t="s">
        <v>53</v>
      </c>
      <c r="H123" s="12" t="str">
        <f aca="false">IFERROR(INDEX(Users!$A:$A,MATCH($G123,Users!$B:$B,0)),"")</f>
        <v>Ritesh Garodia</v>
      </c>
      <c r="I123" s="10" t="s">
        <v>56</v>
      </c>
      <c r="J123" s="12" t="str">
        <f aca="false">IFERROR(INDEX(Users!$A:$A,MATCH($I123,Users!$B:$B,0)),"")</f>
        <v>Ritesh Garodia</v>
      </c>
      <c r="K123" s="12" t="str">
        <f aca="false">Users!$B$6</f>
        <v>garodia1.ritesh@gmail.com</v>
      </c>
      <c r="L123" s="12" t="str">
        <f aca="false">Users!$A$6</f>
        <v>Ritesh Garodia</v>
      </c>
      <c r="M123" s="10" t="s">
        <v>165</v>
      </c>
      <c r="N123" s="13"/>
      <c r="O123" s="13"/>
      <c r="P123" s="14"/>
      <c r="Q123" s="15" t="s">
        <v>206</v>
      </c>
      <c r="R123" s="16" t="n">
        <f aca="true">$F123-TODAY()</f>
        <v>117</v>
      </c>
      <c r="S123" s="16" t="str">
        <f aca="true">IF($Q123="Y","Completed",IF(TODAY()&gt;$F123,"Overdue","Pending"))</f>
        <v>Pending</v>
      </c>
      <c r="T123" s="16" t="str">
        <f aca="false">IF($Q123="Y","-",IF($R123&lt;=0,"Stage 3 - Final/Daily (due or overdue)",IF($R123=1,"Stage 2 - T-1 (CC Supervisor)",IF($R123=2,"Stage 1 - T-2","Not yet due"))))</f>
        <v>Not yet due</v>
      </c>
      <c r="U123" s="10"/>
      <c r="V123" s="10"/>
    </row>
    <row r="124" customFormat="false" ht="15" hidden="false" customHeight="false" outlineLevel="0" collapsed="false">
      <c r="A124" s="10" t="s">
        <v>328</v>
      </c>
      <c r="B124" s="10" t="s">
        <v>163</v>
      </c>
      <c r="C124" s="10" t="s">
        <v>164</v>
      </c>
      <c r="D124" s="10" t="s">
        <v>58</v>
      </c>
      <c r="E124" s="10" t="s">
        <v>75</v>
      </c>
      <c r="F124" s="11" t="n">
        <v>46433</v>
      </c>
      <c r="G124" s="10" t="s">
        <v>53</v>
      </c>
      <c r="H124" s="12" t="str">
        <f aca="false">IFERROR(INDEX(Users!$A:$A,MATCH($G124,Users!$B:$B,0)),"")</f>
        <v>Ritesh Garodia</v>
      </c>
      <c r="I124" s="10" t="s">
        <v>56</v>
      </c>
      <c r="J124" s="12" t="str">
        <f aca="false">IFERROR(INDEX(Users!$A:$A,MATCH($I124,Users!$B:$B,0)),"")</f>
        <v>Ritesh Garodia</v>
      </c>
      <c r="K124" s="12" t="str">
        <f aca="false">Users!$B$6</f>
        <v>garodia1.ritesh@gmail.com</v>
      </c>
      <c r="L124" s="12" t="str">
        <f aca="false">Users!$A$6</f>
        <v>Ritesh Garodia</v>
      </c>
      <c r="M124" s="10" t="s">
        <v>165</v>
      </c>
      <c r="N124" s="13"/>
      <c r="O124" s="13"/>
      <c r="P124" s="14"/>
      <c r="Q124" s="15" t="s">
        <v>206</v>
      </c>
      <c r="R124" s="16" t="n">
        <f aca="true">$F124-TODAY()</f>
        <v>148</v>
      </c>
      <c r="S124" s="16" t="str">
        <f aca="true">IF($Q124="Y","Completed",IF(TODAY()&gt;$F124,"Overdue","Pending"))</f>
        <v>Pending</v>
      </c>
      <c r="T124" s="16" t="str">
        <f aca="false">IF($Q124="Y","-",IF($R124&lt;=0,"Stage 3 - Final/Daily (due or overdue)",IF($R124=1,"Stage 2 - T-1 (CC Supervisor)",IF($R124=2,"Stage 1 - T-2","Not yet due"))))</f>
        <v>Not yet due</v>
      </c>
      <c r="U124" s="10"/>
      <c r="V124" s="10"/>
    </row>
    <row r="125" customFormat="false" ht="15" hidden="false" customHeight="false" outlineLevel="0" collapsed="false">
      <c r="A125" s="10" t="s">
        <v>329</v>
      </c>
      <c r="B125" s="10" t="s">
        <v>163</v>
      </c>
      <c r="C125" s="10" t="s">
        <v>164</v>
      </c>
      <c r="D125" s="10" t="s">
        <v>58</v>
      </c>
      <c r="E125" s="10" t="s">
        <v>75</v>
      </c>
      <c r="F125" s="11" t="n">
        <v>46461</v>
      </c>
      <c r="G125" s="10" t="s">
        <v>53</v>
      </c>
      <c r="H125" s="12" t="str">
        <f aca="false">IFERROR(INDEX(Users!$A:$A,MATCH($G125,Users!$B:$B,0)),"")</f>
        <v>Ritesh Garodia</v>
      </c>
      <c r="I125" s="10" t="s">
        <v>56</v>
      </c>
      <c r="J125" s="12" t="str">
        <f aca="false">IFERROR(INDEX(Users!$A:$A,MATCH($I125,Users!$B:$B,0)),"")</f>
        <v>Ritesh Garodia</v>
      </c>
      <c r="K125" s="12" t="str">
        <f aca="false">Users!$B$6</f>
        <v>garodia1.ritesh@gmail.com</v>
      </c>
      <c r="L125" s="12" t="str">
        <f aca="false">Users!$A$6</f>
        <v>Ritesh Garodia</v>
      </c>
      <c r="M125" s="10" t="s">
        <v>165</v>
      </c>
      <c r="N125" s="13"/>
      <c r="O125" s="13"/>
      <c r="P125" s="14"/>
      <c r="Q125" s="15" t="s">
        <v>206</v>
      </c>
      <c r="R125" s="16" t="n">
        <f aca="true">$F125-TODAY()</f>
        <v>176</v>
      </c>
      <c r="S125" s="16" t="str">
        <f aca="true">IF($Q125="Y","Completed",IF(TODAY()&gt;$F125,"Overdue","Pending"))</f>
        <v>Pending</v>
      </c>
      <c r="T125" s="16" t="str">
        <f aca="false">IF($Q125="Y","-",IF($R125&lt;=0,"Stage 3 - Final/Daily (due or overdue)",IF($R125=1,"Stage 2 - T-1 (CC Supervisor)",IF($R125=2,"Stage 1 - T-2","Not yet due"))))</f>
        <v>Not yet due</v>
      </c>
      <c r="U125" s="10"/>
      <c r="V125" s="10"/>
    </row>
    <row r="126" customFormat="false" ht="15" hidden="false" customHeight="false" outlineLevel="0" collapsed="false">
      <c r="A126" s="10" t="s">
        <v>330</v>
      </c>
      <c r="B126" s="10" t="s">
        <v>166</v>
      </c>
      <c r="C126" s="10" t="s">
        <v>167</v>
      </c>
      <c r="D126" s="10" t="s">
        <v>58</v>
      </c>
      <c r="E126" s="10" t="s">
        <v>75</v>
      </c>
      <c r="F126" s="11" t="n">
        <v>46132</v>
      </c>
      <c r="G126" s="10" t="s">
        <v>53</v>
      </c>
      <c r="H126" s="12" t="str">
        <f aca="false">IFERROR(INDEX(Users!$A:$A,MATCH($G126,Users!$B:$B,0)),"")</f>
        <v>Ritesh Garodia</v>
      </c>
      <c r="I126" s="10" t="s">
        <v>56</v>
      </c>
      <c r="J126" s="12" t="str">
        <f aca="false">IFERROR(INDEX(Users!$A:$A,MATCH($I126,Users!$B:$B,0)),"")</f>
        <v>Ritesh Garodia</v>
      </c>
      <c r="K126" s="12" t="str">
        <f aca="false">Users!$B$6</f>
        <v>garodia1.ritesh@gmail.com</v>
      </c>
      <c r="L126" s="12" t="str">
        <f aca="false">Users!$A$6</f>
        <v>Ritesh Garodia</v>
      </c>
      <c r="M126" s="10" t="s">
        <v>168</v>
      </c>
      <c r="N126" s="13"/>
      <c r="O126" s="13"/>
      <c r="P126" s="14"/>
      <c r="Q126" s="15" t="s">
        <v>206</v>
      </c>
      <c r="R126" s="16" t="n">
        <f aca="true">$F126-TODAY()</f>
        <v>-153</v>
      </c>
      <c r="S126" s="16" t="str">
        <f aca="true">IF($Q126="Y","Completed",IF(TODAY()&gt;$F126,"Overdue","Pending"))</f>
        <v>Overdue</v>
      </c>
      <c r="T126" s="16" t="str">
        <f aca="false">IF($Q126="Y","-",IF($R126&lt;=0,"Stage 3 - Final/Daily (due or overdue)",IF($R126=1,"Stage 2 - T-1 (CC Supervisor)",IF($R126=2,"Stage 1 - T-2","Not yet due"))))</f>
        <v>Stage 3 - Final/Daily (due or overdue)</v>
      </c>
      <c r="U126" s="10"/>
      <c r="V126" s="10"/>
    </row>
    <row r="127" customFormat="false" ht="15" hidden="false" customHeight="false" outlineLevel="0" collapsed="false">
      <c r="A127" s="10" t="s">
        <v>331</v>
      </c>
      <c r="B127" s="10" t="s">
        <v>166</v>
      </c>
      <c r="C127" s="10" t="s">
        <v>167</v>
      </c>
      <c r="D127" s="10" t="s">
        <v>58</v>
      </c>
      <c r="E127" s="10" t="s">
        <v>75</v>
      </c>
      <c r="F127" s="11" t="n">
        <v>46162</v>
      </c>
      <c r="G127" s="10" t="s">
        <v>53</v>
      </c>
      <c r="H127" s="12" t="str">
        <f aca="false">IFERROR(INDEX(Users!$A:$A,MATCH($G127,Users!$B:$B,0)),"")</f>
        <v>Ritesh Garodia</v>
      </c>
      <c r="I127" s="10" t="s">
        <v>56</v>
      </c>
      <c r="J127" s="12" t="str">
        <f aca="false">IFERROR(INDEX(Users!$A:$A,MATCH($I127,Users!$B:$B,0)),"")</f>
        <v>Ritesh Garodia</v>
      </c>
      <c r="K127" s="12" t="str">
        <f aca="false">Users!$B$6</f>
        <v>garodia1.ritesh@gmail.com</v>
      </c>
      <c r="L127" s="12" t="str">
        <f aca="false">Users!$A$6</f>
        <v>Ritesh Garodia</v>
      </c>
      <c r="M127" s="10" t="s">
        <v>168</v>
      </c>
      <c r="N127" s="13"/>
      <c r="O127" s="13"/>
      <c r="P127" s="14"/>
      <c r="Q127" s="15" t="s">
        <v>206</v>
      </c>
      <c r="R127" s="16" t="n">
        <f aca="true">$F127-TODAY()</f>
        <v>-123</v>
      </c>
      <c r="S127" s="16" t="str">
        <f aca="true">IF($Q127="Y","Completed",IF(TODAY()&gt;$F127,"Overdue","Pending"))</f>
        <v>Overdue</v>
      </c>
      <c r="T127" s="16" t="str">
        <f aca="false">IF($Q127="Y","-",IF($R127&lt;=0,"Stage 3 - Final/Daily (due or overdue)",IF($R127=1,"Stage 2 - T-1 (CC Supervisor)",IF($R127=2,"Stage 1 - T-2","Not yet due"))))</f>
        <v>Stage 3 - Final/Daily (due or overdue)</v>
      </c>
      <c r="U127" s="10"/>
      <c r="V127" s="10"/>
    </row>
    <row r="128" customFormat="false" ht="15" hidden="false" customHeight="false" outlineLevel="0" collapsed="false">
      <c r="A128" s="10" t="s">
        <v>332</v>
      </c>
      <c r="B128" s="10" t="s">
        <v>166</v>
      </c>
      <c r="C128" s="10" t="s">
        <v>167</v>
      </c>
      <c r="D128" s="10" t="s">
        <v>58</v>
      </c>
      <c r="E128" s="10" t="s">
        <v>75</v>
      </c>
      <c r="F128" s="11" t="n">
        <v>46193</v>
      </c>
      <c r="G128" s="10" t="s">
        <v>53</v>
      </c>
      <c r="H128" s="12" t="str">
        <f aca="false">IFERROR(INDEX(Users!$A:$A,MATCH($G128,Users!$B:$B,0)),"")</f>
        <v>Ritesh Garodia</v>
      </c>
      <c r="I128" s="10" t="s">
        <v>56</v>
      </c>
      <c r="J128" s="12" t="str">
        <f aca="false">IFERROR(INDEX(Users!$A:$A,MATCH($I128,Users!$B:$B,0)),"")</f>
        <v>Ritesh Garodia</v>
      </c>
      <c r="K128" s="12" t="str">
        <f aca="false">Users!$B$6</f>
        <v>garodia1.ritesh@gmail.com</v>
      </c>
      <c r="L128" s="12" t="str">
        <f aca="false">Users!$A$6</f>
        <v>Ritesh Garodia</v>
      </c>
      <c r="M128" s="10" t="s">
        <v>168</v>
      </c>
      <c r="N128" s="13"/>
      <c r="O128" s="13"/>
      <c r="P128" s="14"/>
      <c r="Q128" s="15" t="s">
        <v>206</v>
      </c>
      <c r="R128" s="16" t="n">
        <f aca="true">$F128-TODAY()</f>
        <v>-92</v>
      </c>
      <c r="S128" s="16" t="str">
        <f aca="true">IF($Q128="Y","Completed",IF(TODAY()&gt;$F128,"Overdue","Pending"))</f>
        <v>Overdue</v>
      </c>
      <c r="T128" s="16" t="str">
        <f aca="false">IF($Q128="Y","-",IF($R128&lt;=0,"Stage 3 - Final/Daily (due or overdue)",IF($R128=1,"Stage 2 - T-1 (CC Supervisor)",IF($R128=2,"Stage 1 - T-2","Not yet due"))))</f>
        <v>Stage 3 - Final/Daily (due or overdue)</v>
      </c>
      <c r="U128" s="10"/>
      <c r="V128" s="10"/>
    </row>
    <row r="129" customFormat="false" ht="15" hidden="false" customHeight="false" outlineLevel="0" collapsed="false">
      <c r="A129" s="10" t="s">
        <v>333</v>
      </c>
      <c r="B129" s="10" t="s">
        <v>166</v>
      </c>
      <c r="C129" s="10" t="s">
        <v>167</v>
      </c>
      <c r="D129" s="10" t="s">
        <v>58</v>
      </c>
      <c r="E129" s="10" t="s">
        <v>75</v>
      </c>
      <c r="F129" s="11" t="n">
        <v>46223</v>
      </c>
      <c r="G129" s="10" t="s">
        <v>53</v>
      </c>
      <c r="H129" s="12" t="str">
        <f aca="false">IFERROR(INDEX(Users!$A:$A,MATCH($G129,Users!$B:$B,0)),"")</f>
        <v>Ritesh Garodia</v>
      </c>
      <c r="I129" s="10" t="s">
        <v>56</v>
      </c>
      <c r="J129" s="12" t="str">
        <f aca="false">IFERROR(INDEX(Users!$A:$A,MATCH($I129,Users!$B:$B,0)),"")</f>
        <v>Ritesh Garodia</v>
      </c>
      <c r="K129" s="12" t="str">
        <f aca="false">Users!$B$6</f>
        <v>garodia1.ritesh@gmail.com</v>
      </c>
      <c r="L129" s="12" t="str">
        <f aca="false">Users!$A$6</f>
        <v>Ritesh Garodia</v>
      </c>
      <c r="M129" s="10" t="s">
        <v>168</v>
      </c>
      <c r="N129" s="13"/>
      <c r="O129" s="13"/>
      <c r="P129" s="14"/>
      <c r="Q129" s="15" t="s">
        <v>206</v>
      </c>
      <c r="R129" s="16" t="n">
        <f aca="true">$F129-TODAY()</f>
        <v>-62</v>
      </c>
      <c r="S129" s="16" t="str">
        <f aca="true">IF($Q129="Y","Completed",IF(TODAY()&gt;$F129,"Overdue","Pending"))</f>
        <v>Overdue</v>
      </c>
      <c r="T129" s="16" t="str">
        <f aca="false">IF($Q129="Y","-",IF($R129&lt;=0,"Stage 3 - Final/Daily (due or overdue)",IF($R129=1,"Stage 2 - T-1 (CC Supervisor)",IF($R129=2,"Stage 1 - T-2","Not yet due"))))</f>
        <v>Stage 3 - Final/Daily (due or overdue)</v>
      </c>
      <c r="U129" s="10"/>
      <c r="V129" s="10"/>
    </row>
    <row r="130" customFormat="false" ht="15" hidden="false" customHeight="false" outlineLevel="0" collapsed="false">
      <c r="A130" s="10" t="s">
        <v>334</v>
      </c>
      <c r="B130" s="10" t="s">
        <v>166</v>
      </c>
      <c r="C130" s="10" t="s">
        <v>167</v>
      </c>
      <c r="D130" s="10" t="s">
        <v>58</v>
      </c>
      <c r="E130" s="10" t="s">
        <v>75</v>
      </c>
      <c r="F130" s="11" t="n">
        <v>46254</v>
      </c>
      <c r="G130" s="10" t="s">
        <v>53</v>
      </c>
      <c r="H130" s="12" t="str">
        <f aca="false">IFERROR(INDEX(Users!$A:$A,MATCH($G130,Users!$B:$B,0)),"")</f>
        <v>Ritesh Garodia</v>
      </c>
      <c r="I130" s="10" t="s">
        <v>56</v>
      </c>
      <c r="J130" s="12" t="str">
        <f aca="false">IFERROR(INDEX(Users!$A:$A,MATCH($I130,Users!$B:$B,0)),"")</f>
        <v>Ritesh Garodia</v>
      </c>
      <c r="K130" s="12" t="str">
        <f aca="false">Users!$B$6</f>
        <v>garodia1.ritesh@gmail.com</v>
      </c>
      <c r="L130" s="12" t="str">
        <f aca="false">Users!$A$6</f>
        <v>Ritesh Garodia</v>
      </c>
      <c r="M130" s="10" t="s">
        <v>168</v>
      </c>
      <c r="N130" s="13"/>
      <c r="O130" s="13"/>
      <c r="P130" s="14"/>
      <c r="Q130" s="15" t="s">
        <v>206</v>
      </c>
      <c r="R130" s="16" t="n">
        <f aca="true">$F130-TODAY()</f>
        <v>-31</v>
      </c>
      <c r="S130" s="16" t="str">
        <f aca="true">IF($Q130="Y","Completed",IF(TODAY()&gt;$F130,"Overdue","Pending"))</f>
        <v>Overdue</v>
      </c>
      <c r="T130" s="16" t="str">
        <f aca="false">IF($Q130="Y","-",IF($R130&lt;=0,"Stage 3 - Final/Daily (due or overdue)",IF($R130=1,"Stage 2 - T-1 (CC Supervisor)",IF($R130=2,"Stage 1 - T-2","Not yet due"))))</f>
        <v>Stage 3 - Final/Daily (due or overdue)</v>
      </c>
      <c r="U130" s="10"/>
      <c r="V130" s="10"/>
    </row>
    <row r="131" customFormat="false" ht="15" hidden="false" customHeight="false" outlineLevel="0" collapsed="false">
      <c r="A131" s="10" t="s">
        <v>335</v>
      </c>
      <c r="B131" s="10" t="s">
        <v>166</v>
      </c>
      <c r="C131" s="10" t="s">
        <v>167</v>
      </c>
      <c r="D131" s="10" t="s">
        <v>58</v>
      </c>
      <c r="E131" s="10" t="s">
        <v>75</v>
      </c>
      <c r="F131" s="11" t="n">
        <v>46285</v>
      </c>
      <c r="G131" s="10" t="s">
        <v>53</v>
      </c>
      <c r="H131" s="12" t="str">
        <f aca="false">IFERROR(INDEX(Users!$A:$A,MATCH($G131,Users!$B:$B,0)),"")</f>
        <v>Ritesh Garodia</v>
      </c>
      <c r="I131" s="10" t="s">
        <v>56</v>
      </c>
      <c r="J131" s="12" t="str">
        <f aca="false">IFERROR(INDEX(Users!$A:$A,MATCH($I131,Users!$B:$B,0)),"")</f>
        <v>Ritesh Garodia</v>
      </c>
      <c r="K131" s="12" t="str">
        <f aca="false">Users!$B$6</f>
        <v>garodia1.ritesh@gmail.com</v>
      </c>
      <c r="L131" s="12" t="str">
        <f aca="false">Users!$A$6</f>
        <v>Ritesh Garodia</v>
      </c>
      <c r="M131" s="10" t="s">
        <v>168</v>
      </c>
      <c r="N131" s="13"/>
      <c r="O131" s="13"/>
      <c r="P131" s="14"/>
      <c r="Q131" s="15" t="s">
        <v>206</v>
      </c>
      <c r="R131" s="16" t="n">
        <f aca="true">$F131-TODAY()</f>
        <v>0</v>
      </c>
      <c r="S131" s="16" t="str">
        <f aca="true">IF($Q131="Y","Completed",IF(TODAY()&gt;$F131,"Overdue","Pending"))</f>
        <v>Pending</v>
      </c>
      <c r="T131" s="16" t="str">
        <f aca="false">IF($Q131="Y","-",IF($R131&lt;=0,"Stage 3 - Final/Daily (due or overdue)",IF($R131=1,"Stage 2 - T-1 (CC Supervisor)",IF($R131=2,"Stage 1 - T-2","Not yet due"))))</f>
        <v>Stage 3 - Final/Daily (due or overdue)</v>
      </c>
      <c r="U131" s="10"/>
      <c r="V131" s="10"/>
    </row>
    <row r="132" customFormat="false" ht="15" hidden="false" customHeight="false" outlineLevel="0" collapsed="false">
      <c r="A132" s="10" t="s">
        <v>336</v>
      </c>
      <c r="B132" s="10" t="s">
        <v>166</v>
      </c>
      <c r="C132" s="10" t="s">
        <v>167</v>
      </c>
      <c r="D132" s="10" t="s">
        <v>58</v>
      </c>
      <c r="E132" s="10" t="s">
        <v>75</v>
      </c>
      <c r="F132" s="11" t="n">
        <v>46315</v>
      </c>
      <c r="G132" s="10" t="s">
        <v>53</v>
      </c>
      <c r="H132" s="12" t="str">
        <f aca="false">IFERROR(INDEX(Users!$A:$A,MATCH($G132,Users!$B:$B,0)),"")</f>
        <v>Ritesh Garodia</v>
      </c>
      <c r="I132" s="10" t="s">
        <v>56</v>
      </c>
      <c r="J132" s="12" t="str">
        <f aca="false">IFERROR(INDEX(Users!$A:$A,MATCH($I132,Users!$B:$B,0)),"")</f>
        <v>Ritesh Garodia</v>
      </c>
      <c r="K132" s="12" t="str">
        <f aca="false">Users!$B$6</f>
        <v>garodia1.ritesh@gmail.com</v>
      </c>
      <c r="L132" s="12" t="str">
        <f aca="false">Users!$A$6</f>
        <v>Ritesh Garodia</v>
      </c>
      <c r="M132" s="10" t="s">
        <v>168</v>
      </c>
      <c r="N132" s="13"/>
      <c r="O132" s="13"/>
      <c r="P132" s="14"/>
      <c r="Q132" s="15" t="s">
        <v>206</v>
      </c>
      <c r="R132" s="16" t="n">
        <f aca="true">$F132-TODAY()</f>
        <v>30</v>
      </c>
      <c r="S132" s="16" t="str">
        <f aca="true">IF($Q132="Y","Completed",IF(TODAY()&gt;$F132,"Overdue","Pending"))</f>
        <v>Pending</v>
      </c>
      <c r="T132" s="16" t="str">
        <f aca="false">IF($Q132="Y","-",IF($R132&lt;=0,"Stage 3 - Final/Daily (due or overdue)",IF($R132=1,"Stage 2 - T-1 (CC Supervisor)",IF($R132=2,"Stage 1 - T-2","Not yet due"))))</f>
        <v>Not yet due</v>
      </c>
      <c r="U132" s="10"/>
      <c r="V132" s="10"/>
    </row>
    <row r="133" customFormat="false" ht="15" hidden="false" customHeight="false" outlineLevel="0" collapsed="false">
      <c r="A133" s="10" t="s">
        <v>337</v>
      </c>
      <c r="B133" s="10" t="s">
        <v>166</v>
      </c>
      <c r="C133" s="10" t="s">
        <v>167</v>
      </c>
      <c r="D133" s="10" t="s">
        <v>58</v>
      </c>
      <c r="E133" s="10" t="s">
        <v>75</v>
      </c>
      <c r="F133" s="11" t="n">
        <v>46346</v>
      </c>
      <c r="G133" s="10" t="s">
        <v>53</v>
      </c>
      <c r="H133" s="12" t="str">
        <f aca="false">IFERROR(INDEX(Users!$A:$A,MATCH($G133,Users!$B:$B,0)),"")</f>
        <v>Ritesh Garodia</v>
      </c>
      <c r="I133" s="10" t="s">
        <v>56</v>
      </c>
      <c r="J133" s="12" t="str">
        <f aca="false">IFERROR(INDEX(Users!$A:$A,MATCH($I133,Users!$B:$B,0)),"")</f>
        <v>Ritesh Garodia</v>
      </c>
      <c r="K133" s="12" t="str">
        <f aca="false">Users!$B$6</f>
        <v>garodia1.ritesh@gmail.com</v>
      </c>
      <c r="L133" s="12" t="str">
        <f aca="false">Users!$A$6</f>
        <v>Ritesh Garodia</v>
      </c>
      <c r="M133" s="10" t="s">
        <v>168</v>
      </c>
      <c r="N133" s="13"/>
      <c r="O133" s="13"/>
      <c r="P133" s="14"/>
      <c r="Q133" s="15" t="s">
        <v>206</v>
      </c>
      <c r="R133" s="16" t="n">
        <f aca="true">$F133-TODAY()</f>
        <v>61</v>
      </c>
      <c r="S133" s="16" t="str">
        <f aca="true">IF($Q133="Y","Completed",IF(TODAY()&gt;$F133,"Overdue","Pending"))</f>
        <v>Pending</v>
      </c>
      <c r="T133" s="16" t="str">
        <f aca="false">IF($Q133="Y","-",IF($R133&lt;=0,"Stage 3 - Final/Daily (due or overdue)",IF($R133=1,"Stage 2 - T-1 (CC Supervisor)",IF($R133=2,"Stage 1 - T-2","Not yet due"))))</f>
        <v>Not yet due</v>
      </c>
      <c r="U133" s="10"/>
      <c r="V133" s="10"/>
    </row>
    <row r="134" customFormat="false" ht="15" hidden="false" customHeight="false" outlineLevel="0" collapsed="false">
      <c r="A134" s="10" t="s">
        <v>338</v>
      </c>
      <c r="B134" s="10" t="s">
        <v>166</v>
      </c>
      <c r="C134" s="10" t="s">
        <v>167</v>
      </c>
      <c r="D134" s="10" t="s">
        <v>58</v>
      </c>
      <c r="E134" s="10" t="s">
        <v>75</v>
      </c>
      <c r="F134" s="11" t="n">
        <v>46376</v>
      </c>
      <c r="G134" s="10" t="s">
        <v>53</v>
      </c>
      <c r="H134" s="12" t="str">
        <f aca="false">IFERROR(INDEX(Users!$A:$A,MATCH($G134,Users!$B:$B,0)),"")</f>
        <v>Ritesh Garodia</v>
      </c>
      <c r="I134" s="10" t="s">
        <v>56</v>
      </c>
      <c r="J134" s="12" t="str">
        <f aca="false">IFERROR(INDEX(Users!$A:$A,MATCH($I134,Users!$B:$B,0)),"")</f>
        <v>Ritesh Garodia</v>
      </c>
      <c r="K134" s="12" t="str">
        <f aca="false">Users!$B$6</f>
        <v>garodia1.ritesh@gmail.com</v>
      </c>
      <c r="L134" s="12" t="str">
        <f aca="false">Users!$A$6</f>
        <v>Ritesh Garodia</v>
      </c>
      <c r="M134" s="10" t="s">
        <v>168</v>
      </c>
      <c r="N134" s="13"/>
      <c r="O134" s="13"/>
      <c r="P134" s="14"/>
      <c r="Q134" s="15" t="s">
        <v>206</v>
      </c>
      <c r="R134" s="16" t="n">
        <f aca="true">$F134-TODAY()</f>
        <v>91</v>
      </c>
      <c r="S134" s="16" t="str">
        <f aca="true">IF($Q134="Y","Completed",IF(TODAY()&gt;$F134,"Overdue","Pending"))</f>
        <v>Pending</v>
      </c>
      <c r="T134" s="16" t="str">
        <f aca="false">IF($Q134="Y","-",IF($R134&lt;=0,"Stage 3 - Final/Daily (due or overdue)",IF($R134=1,"Stage 2 - T-1 (CC Supervisor)",IF($R134=2,"Stage 1 - T-2","Not yet due"))))</f>
        <v>Not yet due</v>
      </c>
      <c r="U134" s="10"/>
      <c r="V134" s="10"/>
    </row>
    <row r="135" customFormat="false" ht="15" hidden="false" customHeight="false" outlineLevel="0" collapsed="false">
      <c r="A135" s="10" t="s">
        <v>339</v>
      </c>
      <c r="B135" s="10" t="s">
        <v>166</v>
      </c>
      <c r="C135" s="10" t="s">
        <v>167</v>
      </c>
      <c r="D135" s="10" t="s">
        <v>58</v>
      </c>
      <c r="E135" s="10" t="s">
        <v>75</v>
      </c>
      <c r="F135" s="11" t="n">
        <v>46407</v>
      </c>
      <c r="G135" s="10" t="s">
        <v>53</v>
      </c>
      <c r="H135" s="12" t="str">
        <f aca="false">IFERROR(INDEX(Users!$A:$A,MATCH($G135,Users!$B:$B,0)),"")</f>
        <v>Ritesh Garodia</v>
      </c>
      <c r="I135" s="10" t="s">
        <v>56</v>
      </c>
      <c r="J135" s="12" t="str">
        <f aca="false">IFERROR(INDEX(Users!$A:$A,MATCH($I135,Users!$B:$B,0)),"")</f>
        <v>Ritesh Garodia</v>
      </c>
      <c r="K135" s="12" t="str">
        <f aca="false">Users!$B$6</f>
        <v>garodia1.ritesh@gmail.com</v>
      </c>
      <c r="L135" s="12" t="str">
        <f aca="false">Users!$A$6</f>
        <v>Ritesh Garodia</v>
      </c>
      <c r="M135" s="10" t="s">
        <v>168</v>
      </c>
      <c r="N135" s="13"/>
      <c r="O135" s="13"/>
      <c r="P135" s="14"/>
      <c r="Q135" s="15" t="s">
        <v>206</v>
      </c>
      <c r="R135" s="16" t="n">
        <f aca="true">$F135-TODAY()</f>
        <v>122</v>
      </c>
      <c r="S135" s="16" t="str">
        <f aca="true">IF($Q135="Y","Completed",IF(TODAY()&gt;$F135,"Overdue","Pending"))</f>
        <v>Pending</v>
      </c>
      <c r="T135" s="16" t="str">
        <f aca="false">IF($Q135="Y","-",IF($R135&lt;=0,"Stage 3 - Final/Daily (due or overdue)",IF($R135=1,"Stage 2 - T-1 (CC Supervisor)",IF($R135=2,"Stage 1 - T-2","Not yet due"))))</f>
        <v>Not yet due</v>
      </c>
      <c r="U135" s="10"/>
      <c r="V135" s="10"/>
    </row>
    <row r="136" customFormat="false" ht="15" hidden="false" customHeight="false" outlineLevel="0" collapsed="false">
      <c r="A136" s="10" t="s">
        <v>340</v>
      </c>
      <c r="B136" s="10" t="s">
        <v>166</v>
      </c>
      <c r="C136" s="10" t="s">
        <v>167</v>
      </c>
      <c r="D136" s="10" t="s">
        <v>58</v>
      </c>
      <c r="E136" s="10" t="s">
        <v>75</v>
      </c>
      <c r="F136" s="11" t="n">
        <v>46438</v>
      </c>
      <c r="G136" s="10" t="s">
        <v>53</v>
      </c>
      <c r="H136" s="12" t="str">
        <f aca="false">IFERROR(INDEX(Users!$A:$A,MATCH($G136,Users!$B:$B,0)),"")</f>
        <v>Ritesh Garodia</v>
      </c>
      <c r="I136" s="10" t="s">
        <v>56</v>
      </c>
      <c r="J136" s="12" t="str">
        <f aca="false">IFERROR(INDEX(Users!$A:$A,MATCH($I136,Users!$B:$B,0)),"")</f>
        <v>Ritesh Garodia</v>
      </c>
      <c r="K136" s="12" t="str">
        <f aca="false">Users!$B$6</f>
        <v>garodia1.ritesh@gmail.com</v>
      </c>
      <c r="L136" s="12" t="str">
        <f aca="false">Users!$A$6</f>
        <v>Ritesh Garodia</v>
      </c>
      <c r="M136" s="10" t="s">
        <v>168</v>
      </c>
      <c r="N136" s="13"/>
      <c r="O136" s="13"/>
      <c r="P136" s="14"/>
      <c r="Q136" s="15" t="s">
        <v>206</v>
      </c>
      <c r="R136" s="16" t="n">
        <f aca="true">$F136-TODAY()</f>
        <v>153</v>
      </c>
      <c r="S136" s="16" t="str">
        <f aca="true">IF($Q136="Y","Completed",IF(TODAY()&gt;$F136,"Overdue","Pending"))</f>
        <v>Pending</v>
      </c>
      <c r="T136" s="16" t="str">
        <f aca="false">IF($Q136="Y","-",IF($R136&lt;=0,"Stage 3 - Final/Daily (due or overdue)",IF($R136=1,"Stage 2 - T-1 (CC Supervisor)",IF($R136=2,"Stage 1 - T-2","Not yet due"))))</f>
        <v>Not yet due</v>
      </c>
      <c r="U136" s="10"/>
      <c r="V136" s="10"/>
    </row>
    <row r="137" customFormat="false" ht="15" hidden="false" customHeight="false" outlineLevel="0" collapsed="false">
      <c r="A137" s="10" t="s">
        <v>341</v>
      </c>
      <c r="B137" s="10" t="s">
        <v>166</v>
      </c>
      <c r="C137" s="10" t="s">
        <v>167</v>
      </c>
      <c r="D137" s="10" t="s">
        <v>58</v>
      </c>
      <c r="E137" s="10" t="s">
        <v>75</v>
      </c>
      <c r="F137" s="11" t="n">
        <v>46466</v>
      </c>
      <c r="G137" s="10" t="s">
        <v>53</v>
      </c>
      <c r="H137" s="12" t="str">
        <f aca="false">IFERROR(INDEX(Users!$A:$A,MATCH($G137,Users!$B:$B,0)),"")</f>
        <v>Ritesh Garodia</v>
      </c>
      <c r="I137" s="10" t="s">
        <v>56</v>
      </c>
      <c r="J137" s="12" t="str">
        <f aca="false">IFERROR(INDEX(Users!$A:$A,MATCH($I137,Users!$B:$B,0)),"")</f>
        <v>Ritesh Garodia</v>
      </c>
      <c r="K137" s="12" t="str">
        <f aca="false">Users!$B$6</f>
        <v>garodia1.ritesh@gmail.com</v>
      </c>
      <c r="L137" s="12" t="str">
        <f aca="false">Users!$A$6</f>
        <v>Ritesh Garodia</v>
      </c>
      <c r="M137" s="10" t="s">
        <v>168</v>
      </c>
      <c r="N137" s="13"/>
      <c r="O137" s="13"/>
      <c r="P137" s="14"/>
      <c r="Q137" s="15" t="s">
        <v>206</v>
      </c>
      <c r="R137" s="16" t="n">
        <f aca="true">$F137-TODAY()</f>
        <v>181</v>
      </c>
      <c r="S137" s="16" t="str">
        <f aca="true">IF($Q137="Y","Completed",IF(TODAY()&gt;$F137,"Overdue","Pending"))</f>
        <v>Pending</v>
      </c>
      <c r="T137" s="16" t="str">
        <f aca="false">IF($Q137="Y","-",IF($R137&lt;=0,"Stage 3 - Final/Daily (due or overdue)",IF($R137=1,"Stage 2 - T-1 (CC Supervisor)",IF($R137=2,"Stage 1 - T-2","Not yet due"))))</f>
        <v>Not yet due</v>
      </c>
      <c r="U137" s="10"/>
      <c r="V137" s="10"/>
    </row>
    <row r="138" customFormat="false" ht="15" hidden="false" customHeight="false" outlineLevel="0" collapsed="false">
      <c r="A138" s="10" t="s">
        <v>342</v>
      </c>
      <c r="B138" s="10" t="s">
        <v>170</v>
      </c>
      <c r="C138" s="10" t="s">
        <v>171</v>
      </c>
      <c r="D138" s="10" t="s">
        <v>58</v>
      </c>
      <c r="E138" s="10" t="s">
        <v>82</v>
      </c>
      <c r="F138" s="11" t="n">
        <v>46173</v>
      </c>
      <c r="G138" s="10" t="s">
        <v>53</v>
      </c>
      <c r="H138" s="12" t="str">
        <f aca="false">IFERROR(INDEX(Users!$A:$A,MATCH($G138,Users!$B:$B,0)),"")</f>
        <v>Ritesh Garodia</v>
      </c>
      <c r="I138" s="10" t="s">
        <v>56</v>
      </c>
      <c r="J138" s="12" t="str">
        <f aca="false">IFERROR(INDEX(Users!$A:$A,MATCH($I138,Users!$B:$B,0)),"")</f>
        <v>Ritesh Garodia</v>
      </c>
      <c r="K138" s="12" t="str">
        <f aca="false">Users!$B$6</f>
        <v>garodia1.ritesh@gmail.com</v>
      </c>
      <c r="L138" s="12" t="str">
        <f aca="false">Users!$A$6</f>
        <v>Ritesh Garodia</v>
      </c>
      <c r="M138" s="10" t="s">
        <v>172</v>
      </c>
      <c r="N138" s="13"/>
      <c r="O138" s="13"/>
      <c r="P138" s="14"/>
      <c r="Q138" s="15" t="s">
        <v>206</v>
      </c>
      <c r="R138" s="16" t="n">
        <f aca="true">$F138-TODAY()</f>
        <v>-112</v>
      </c>
      <c r="S138" s="16" t="str">
        <f aca="true">IF($Q138="Y","Completed",IF(TODAY()&gt;$F138,"Overdue","Pending"))</f>
        <v>Overdue</v>
      </c>
      <c r="T138" s="16" t="str">
        <f aca="false">IF($Q138="Y","-",IF($R138&lt;=0,"Stage 3 - Final/Daily (due or overdue)",IF($R138=1,"Stage 2 - T-1 (CC Supervisor)",IF($R138=2,"Stage 1 - T-2","Not yet due"))))</f>
        <v>Stage 3 - Final/Daily (due or overdue)</v>
      </c>
      <c r="U138" s="10"/>
      <c r="V138" s="10"/>
    </row>
    <row r="139" customFormat="false" ht="15" hidden="false" customHeight="false" outlineLevel="0" collapsed="false">
      <c r="A139" s="10" t="s">
        <v>343</v>
      </c>
      <c r="B139" s="10" t="s">
        <v>170</v>
      </c>
      <c r="C139" s="10" t="s">
        <v>171</v>
      </c>
      <c r="D139" s="10" t="s">
        <v>58</v>
      </c>
      <c r="E139" s="10" t="s">
        <v>82</v>
      </c>
      <c r="F139" s="11" t="n">
        <v>46234</v>
      </c>
      <c r="G139" s="10" t="s">
        <v>53</v>
      </c>
      <c r="H139" s="12" t="str">
        <f aca="false">IFERROR(INDEX(Users!$A:$A,MATCH($G139,Users!$B:$B,0)),"")</f>
        <v>Ritesh Garodia</v>
      </c>
      <c r="I139" s="10" t="s">
        <v>56</v>
      </c>
      <c r="J139" s="12" t="str">
        <f aca="false">IFERROR(INDEX(Users!$A:$A,MATCH($I139,Users!$B:$B,0)),"")</f>
        <v>Ritesh Garodia</v>
      </c>
      <c r="K139" s="12" t="str">
        <f aca="false">Users!$B$6</f>
        <v>garodia1.ritesh@gmail.com</v>
      </c>
      <c r="L139" s="12" t="str">
        <f aca="false">Users!$A$6</f>
        <v>Ritesh Garodia</v>
      </c>
      <c r="M139" s="10" t="s">
        <v>172</v>
      </c>
      <c r="N139" s="13"/>
      <c r="O139" s="13"/>
      <c r="P139" s="14"/>
      <c r="Q139" s="15" t="s">
        <v>206</v>
      </c>
      <c r="R139" s="16" t="n">
        <f aca="true">$F139-TODAY()</f>
        <v>-51</v>
      </c>
      <c r="S139" s="16" t="str">
        <f aca="true">IF($Q139="Y","Completed",IF(TODAY()&gt;$F139,"Overdue","Pending"))</f>
        <v>Overdue</v>
      </c>
      <c r="T139" s="16" t="str">
        <f aca="false">IF($Q139="Y","-",IF($R139&lt;=0,"Stage 3 - Final/Daily (due or overdue)",IF($R139=1,"Stage 2 - T-1 (CC Supervisor)",IF($R139=2,"Stage 1 - T-2","Not yet due"))))</f>
        <v>Stage 3 - Final/Daily (due or overdue)</v>
      </c>
      <c r="U139" s="10"/>
      <c r="V139" s="10"/>
    </row>
    <row r="140" customFormat="false" ht="15" hidden="false" customHeight="false" outlineLevel="0" collapsed="false">
      <c r="A140" s="10" t="s">
        <v>344</v>
      </c>
      <c r="B140" s="10" t="s">
        <v>170</v>
      </c>
      <c r="C140" s="10" t="s">
        <v>171</v>
      </c>
      <c r="D140" s="10" t="s">
        <v>58</v>
      </c>
      <c r="E140" s="10" t="s">
        <v>82</v>
      </c>
      <c r="F140" s="11" t="n">
        <v>46326</v>
      </c>
      <c r="G140" s="10" t="s">
        <v>53</v>
      </c>
      <c r="H140" s="12" t="str">
        <f aca="false">IFERROR(INDEX(Users!$A:$A,MATCH($G140,Users!$B:$B,0)),"")</f>
        <v>Ritesh Garodia</v>
      </c>
      <c r="I140" s="10" t="s">
        <v>56</v>
      </c>
      <c r="J140" s="12" t="str">
        <f aca="false">IFERROR(INDEX(Users!$A:$A,MATCH($I140,Users!$B:$B,0)),"")</f>
        <v>Ritesh Garodia</v>
      </c>
      <c r="K140" s="12" t="str">
        <f aca="false">Users!$B$6</f>
        <v>garodia1.ritesh@gmail.com</v>
      </c>
      <c r="L140" s="12" t="str">
        <f aca="false">Users!$A$6</f>
        <v>Ritesh Garodia</v>
      </c>
      <c r="M140" s="10" t="s">
        <v>172</v>
      </c>
      <c r="N140" s="13"/>
      <c r="O140" s="13"/>
      <c r="P140" s="14"/>
      <c r="Q140" s="15" t="s">
        <v>206</v>
      </c>
      <c r="R140" s="16" t="n">
        <f aca="true">$F140-TODAY()</f>
        <v>41</v>
      </c>
      <c r="S140" s="16" t="str">
        <f aca="true">IF($Q140="Y","Completed",IF(TODAY()&gt;$F140,"Overdue","Pending"))</f>
        <v>Pending</v>
      </c>
      <c r="T140" s="16" t="str">
        <f aca="false">IF($Q140="Y","-",IF($R140&lt;=0,"Stage 3 - Final/Daily (due or overdue)",IF($R140=1,"Stage 2 - T-1 (CC Supervisor)",IF($R140=2,"Stage 1 - T-2","Not yet due"))))</f>
        <v>Not yet due</v>
      </c>
      <c r="U140" s="10"/>
      <c r="V140" s="10"/>
    </row>
    <row r="141" customFormat="false" ht="15" hidden="false" customHeight="false" outlineLevel="0" collapsed="false">
      <c r="A141" s="10" t="s">
        <v>345</v>
      </c>
      <c r="B141" s="10" t="s">
        <v>170</v>
      </c>
      <c r="C141" s="10" t="s">
        <v>171</v>
      </c>
      <c r="D141" s="10" t="s">
        <v>58</v>
      </c>
      <c r="E141" s="10" t="s">
        <v>82</v>
      </c>
      <c r="F141" s="11" t="n">
        <v>46418</v>
      </c>
      <c r="G141" s="10" t="s">
        <v>53</v>
      </c>
      <c r="H141" s="12" t="str">
        <f aca="false">IFERROR(INDEX(Users!$A:$A,MATCH($G141,Users!$B:$B,0)),"")</f>
        <v>Ritesh Garodia</v>
      </c>
      <c r="I141" s="10" t="s">
        <v>56</v>
      </c>
      <c r="J141" s="12" t="str">
        <f aca="false">IFERROR(INDEX(Users!$A:$A,MATCH($I141,Users!$B:$B,0)),"")</f>
        <v>Ritesh Garodia</v>
      </c>
      <c r="K141" s="12" t="str">
        <f aca="false">Users!$B$6</f>
        <v>garodia1.ritesh@gmail.com</v>
      </c>
      <c r="L141" s="12" t="str">
        <f aca="false">Users!$A$6</f>
        <v>Ritesh Garodia</v>
      </c>
      <c r="M141" s="10" t="s">
        <v>172</v>
      </c>
      <c r="N141" s="13"/>
      <c r="O141" s="13"/>
      <c r="P141" s="14"/>
      <c r="Q141" s="15" t="s">
        <v>206</v>
      </c>
      <c r="R141" s="16" t="n">
        <f aca="true">$F141-TODAY()</f>
        <v>133</v>
      </c>
      <c r="S141" s="16" t="str">
        <f aca="true">IF($Q141="Y","Completed",IF(TODAY()&gt;$F141,"Overdue","Pending"))</f>
        <v>Pending</v>
      </c>
      <c r="T141" s="16" t="str">
        <f aca="false">IF($Q141="Y","-",IF($R141&lt;=0,"Stage 3 - Final/Daily (due or overdue)",IF($R141=1,"Stage 2 - T-1 (CC Supervisor)",IF($R141=2,"Stage 1 - T-2","Not yet due"))))</f>
        <v>Not yet due</v>
      </c>
      <c r="U141" s="10"/>
      <c r="V141" s="10"/>
    </row>
    <row r="142" customFormat="false" ht="15" hidden="false" customHeight="false" outlineLevel="0" collapsed="false">
      <c r="A142" s="10" t="s">
        <v>346</v>
      </c>
      <c r="B142" s="10" t="s">
        <v>173</v>
      </c>
      <c r="C142" s="10" t="s">
        <v>174</v>
      </c>
      <c r="D142" s="10" t="s">
        <v>58</v>
      </c>
      <c r="E142" s="10" t="s">
        <v>91</v>
      </c>
      <c r="F142" s="11" t="n">
        <v>46203</v>
      </c>
      <c r="G142" s="10" t="s">
        <v>53</v>
      </c>
      <c r="H142" s="12" t="str">
        <f aca="false">IFERROR(INDEX(Users!$A:$A,MATCH($G142,Users!$B:$B,0)),"")</f>
        <v>Ritesh Garodia</v>
      </c>
      <c r="I142" s="10" t="s">
        <v>56</v>
      </c>
      <c r="J142" s="12" t="str">
        <f aca="false">IFERROR(INDEX(Users!$A:$A,MATCH($I142,Users!$B:$B,0)),"")</f>
        <v>Ritesh Garodia</v>
      </c>
      <c r="K142" s="12" t="str">
        <f aca="false">Users!$B$6</f>
        <v>garodia1.ritesh@gmail.com</v>
      </c>
      <c r="L142" s="12" t="str">
        <f aca="false">Users!$A$6</f>
        <v>Ritesh Garodia</v>
      </c>
      <c r="M142" s="10" t="s">
        <v>176</v>
      </c>
      <c r="N142" s="13"/>
      <c r="O142" s="13"/>
      <c r="P142" s="14"/>
      <c r="Q142" s="15" t="s">
        <v>206</v>
      </c>
      <c r="R142" s="16" t="n">
        <f aca="true">$F142-TODAY()</f>
        <v>-82</v>
      </c>
      <c r="S142" s="16" t="str">
        <f aca="true">IF($Q142="Y","Completed",IF(TODAY()&gt;$F142,"Overdue","Pending"))</f>
        <v>Overdue</v>
      </c>
      <c r="T142" s="16" t="str">
        <f aca="false">IF($Q142="Y","-",IF($R142&lt;=0,"Stage 3 - Final/Daily (due or overdue)",IF($R142=1,"Stage 2 - T-1 (CC Supervisor)",IF($R142=2,"Stage 1 - T-2","Not yet due"))))</f>
        <v>Stage 3 - Final/Daily (due or overdue)</v>
      </c>
      <c r="U142" s="10"/>
      <c r="V142" s="10"/>
    </row>
    <row r="143" customFormat="false" ht="15" hidden="false" customHeight="false" outlineLevel="0" collapsed="false">
      <c r="A143" s="10" t="s">
        <v>347</v>
      </c>
      <c r="B143" s="10" t="s">
        <v>173</v>
      </c>
      <c r="C143" s="10" t="s">
        <v>174</v>
      </c>
      <c r="D143" s="10" t="s">
        <v>58</v>
      </c>
      <c r="E143" s="10" t="s">
        <v>91</v>
      </c>
      <c r="F143" s="11" t="n">
        <v>46387</v>
      </c>
      <c r="G143" s="10" t="s">
        <v>53</v>
      </c>
      <c r="H143" s="12" t="str">
        <f aca="false">IFERROR(INDEX(Users!$A:$A,MATCH($G143,Users!$B:$B,0)),"")</f>
        <v>Ritesh Garodia</v>
      </c>
      <c r="I143" s="10" t="s">
        <v>56</v>
      </c>
      <c r="J143" s="12" t="str">
        <f aca="false">IFERROR(INDEX(Users!$A:$A,MATCH($I143,Users!$B:$B,0)),"")</f>
        <v>Ritesh Garodia</v>
      </c>
      <c r="K143" s="12" t="str">
        <f aca="false">Users!$B$6</f>
        <v>garodia1.ritesh@gmail.com</v>
      </c>
      <c r="L143" s="12" t="str">
        <f aca="false">Users!$A$6</f>
        <v>Ritesh Garodia</v>
      </c>
      <c r="M143" s="10" t="s">
        <v>176</v>
      </c>
      <c r="N143" s="13"/>
      <c r="O143" s="13"/>
      <c r="P143" s="14"/>
      <c r="Q143" s="15" t="s">
        <v>206</v>
      </c>
      <c r="R143" s="16" t="n">
        <f aca="true">$F143-TODAY()</f>
        <v>102</v>
      </c>
      <c r="S143" s="16" t="str">
        <f aca="true">IF($Q143="Y","Completed",IF(TODAY()&gt;$F143,"Overdue","Pending"))</f>
        <v>Pending</v>
      </c>
      <c r="T143" s="16" t="str">
        <f aca="false">IF($Q143="Y","-",IF($R143&lt;=0,"Stage 3 - Final/Daily (due or overdue)",IF($R143=1,"Stage 2 - T-1 (CC Supervisor)",IF($R143=2,"Stage 1 - T-2","Not yet due"))))</f>
        <v>Not yet due</v>
      </c>
      <c r="U143" s="10"/>
      <c r="V143" s="10"/>
    </row>
    <row r="144" customFormat="false" ht="15" hidden="false" customHeight="false" outlineLevel="0" collapsed="false">
      <c r="A144" s="10" t="s">
        <v>348</v>
      </c>
      <c r="B144" s="10" t="s">
        <v>178</v>
      </c>
      <c r="C144" s="10" t="s">
        <v>179</v>
      </c>
      <c r="D144" s="10" t="s">
        <v>58</v>
      </c>
      <c r="E144" s="10" t="s">
        <v>96</v>
      </c>
      <c r="F144" s="11" t="n">
        <v>46356</v>
      </c>
      <c r="G144" s="10" t="s">
        <v>53</v>
      </c>
      <c r="H144" s="12" t="str">
        <f aca="false">IFERROR(INDEX(Users!$A:$A,MATCH($G144,Users!$B:$B,0)),"")</f>
        <v>Ritesh Garodia</v>
      </c>
      <c r="I144" s="10" t="s">
        <v>56</v>
      </c>
      <c r="J144" s="12" t="str">
        <f aca="false">IFERROR(INDEX(Users!$A:$A,MATCH($I144,Users!$B:$B,0)),"")</f>
        <v>Ritesh Garodia</v>
      </c>
      <c r="K144" s="12" t="str">
        <f aca="false">Users!$B$6</f>
        <v>garodia1.ritesh@gmail.com</v>
      </c>
      <c r="L144" s="12" t="str">
        <f aca="false">Users!$A$6</f>
        <v>Ritesh Garodia</v>
      </c>
      <c r="M144" s="10" t="s">
        <v>180</v>
      </c>
      <c r="N144" s="13"/>
      <c r="O144" s="13"/>
      <c r="P144" s="14"/>
      <c r="Q144" s="15" t="s">
        <v>206</v>
      </c>
      <c r="R144" s="16" t="n">
        <f aca="true">$F144-TODAY()</f>
        <v>71</v>
      </c>
      <c r="S144" s="16" t="str">
        <f aca="true">IF($Q144="Y","Completed",IF(TODAY()&gt;$F144,"Overdue","Pending"))</f>
        <v>Pending</v>
      </c>
      <c r="T144" s="16" t="str">
        <f aca="false">IF($Q144="Y","-",IF($R144&lt;=0,"Stage 3 - Final/Daily (due or overdue)",IF($R144=1,"Stage 2 - T-1 (CC Supervisor)",IF($R144=2,"Stage 1 - T-2","Not yet due"))))</f>
        <v>Not yet due</v>
      </c>
      <c r="U144" s="10"/>
      <c r="V144" s="10"/>
    </row>
    <row r="145" customFormat="false" ht="15" hidden="false" customHeight="false" outlineLevel="0" collapsed="false">
      <c r="A145" s="10" t="s">
        <v>349</v>
      </c>
      <c r="B145" s="10" t="s">
        <v>182</v>
      </c>
      <c r="C145" s="10" t="s">
        <v>183</v>
      </c>
      <c r="D145" s="10" t="s">
        <v>58</v>
      </c>
      <c r="E145" s="10" t="s">
        <v>96</v>
      </c>
      <c r="F145" s="11" t="n">
        <v>46477</v>
      </c>
      <c r="G145" s="10" t="s">
        <v>53</v>
      </c>
      <c r="H145" s="12" t="str">
        <f aca="false">IFERROR(INDEX(Users!$A:$A,MATCH($G145,Users!$B:$B,0)),"")</f>
        <v>Ritesh Garodia</v>
      </c>
      <c r="I145" s="10" t="s">
        <v>56</v>
      </c>
      <c r="J145" s="12" t="str">
        <f aca="false">IFERROR(INDEX(Users!$A:$A,MATCH($I145,Users!$B:$B,0)),"")</f>
        <v>Ritesh Garodia</v>
      </c>
      <c r="K145" s="12" t="str">
        <f aca="false">Users!$B$6</f>
        <v>garodia1.ritesh@gmail.com</v>
      </c>
      <c r="L145" s="12" t="str">
        <f aca="false">Users!$A$6</f>
        <v>Ritesh Garodia</v>
      </c>
      <c r="M145" s="10" t="s">
        <v>185</v>
      </c>
      <c r="N145" s="13"/>
      <c r="O145" s="13"/>
      <c r="P145" s="14"/>
      <c r="Q145" s="15" t="s">
        <v>206</v>
      </c>
      <c r="R145" s="16" t="n">
        <f aca="true">$F145-TODAY()</f>
        <v>192</v>
      </c>
      <c r="S145" s="16" t="str">
        <f aca="true">IF($Q145="Y","Completed",IF(TODAY()&gt;$F145,"Overdue","Pending"))</f>
        <v>Pending</v>
      </c>
      <c r="T145" s="16" t="str">
        <f aca="false">IF($Q145="Y","-",IF($R145&lt;=0,"Stage 3 - Final/Daily (due or overdue)",IF($R145=1,"Stage 2 - T-1 (CC Supervisor)",IF($R145=2,"Stage 1 - T-2","Not yet due"))))</f>
        <v>Not yet due</v>
      </c>
      <c r="U145" s="10"/>
      <c r="V145" s="10"/>
    </row>
    <row r="146" customFormat="false" ht="15" hidden="false" customHeight="false" outlineLevel="0" collapsed="false">
      <c r="A146" s="10" t="s">
        <v>350</v>
      </c>
      <c r="B146" s="10" t="s">
        <v>186</v>
      </c>
      <c r="C146" s="10" t="s">
        <v>187</v>
      </c>
      <c r="D146" s="10" t="s">
        <v>58</v>
      </c>
      <c r="E146" s="10" t="s">
        <v>96</v>
      </c>
      <c r="F146" s="11" t="n">
        <v>46142</v>
      </c>
      <c r="G146" s="10" t="s">
        <v>53</v>
      </c>
      <c r="H146" s="12" t="str">
        <f aca="false">IFERROR(INDEX(Users!$A:$A,MATCH($G146,Users!$B:$B,0)),"")</f>
        <v>Ritesh Garodia</v>
      </c>
      <c r="I146" s="10" t="s">
        <v>56</v>
      </c>
      <c r="J146" s="12" t="str">
        <f aca="false">IFERROR(INDEX(Users!$A:$A,MATCH($I146,Users!$B:$B,0)),"")</f>
        <v>Ritesh Garodia</v>
      </c>
      <c r="K146" s="12" t="str">
        <f aca="false">Users!$B$6</f>
        <v>garodia1.ritesh@gmail.com</v>
      </c>
      <c r="L146" s="12" t="str">
        <f aca="false">Users!$A$6</f>
        <v>Ritesh Garodia</v>
      </c>
      <c r="M146" s="10" t="s">
        <v>189</v>
      </c>
      <c r="N146" s="13"/>
      <c r="O146" s="13"/>
      <c r="P146" s="14"/>
      <c r="Q146" s="15" t="s">
        <v>206</v>
      </c>
      <c r="R146" s="16" t="n">
        <f aca="true">$F146-TODAY()</f>
        <v>-143</v>
      </c>
      <c r="S146" s="16" t="str">
        <f aca="true">IF($Q146="Y","Completed",IF(TODAY()&gt;$F146,"Overdue","Pending"))</f>
        <v>Overdue</v>
      </c>
      <c r="T146" s="16" t="str">
        <f aca="false">IF($Q146="Y","-",IF($R146&lt;=0,"Stage 3 - Final/Daily (due or overdue)",IF($R146=1,"Stage 2 - T-1 (CC Supervisor)",IF($R146=2,"Stage 1 - T-2","Not yet due"))))</f>
        <v>Stage 3 - Final/Daily (due or overdue)</v>
      </c>
      <c r="U146" s="10"/>
      <c r="V146" s="10"/>
    </row>
  </sheetData>
  <dataValidations count="1">
    <dataValidation allowBlank="false" errorStyle="stop" operator="between" showDropDown="false" showErrorMessage="false" showInputMessage="false" sqref="Q2:Q147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6"/>
  </cols>
  <sheetData>
    <row r="1" customFormat="false" ht="26.85" hidden="false" customHeight="false" outlineLevel="0" collapsed="false">
      <c r="A1" s="6" t="s">
        <v>351</v>
      </c>
      <c r="B1" s="6" t="s">
        <v>67</v>
      </c>
      <c r="C1" s="6" t="s">
        <v>352</v>
      </c>
      <c r="D1" s="6" t="s">
        <v>353</v>
      </c>
    </row>
    <row r="2" customFormat="false" ht="15" hidden="false" customHeight="false" outlineLevel="0" collapsed="false">
      <c r="A2" s="17" t="s">
        <v>354</v>
      </c>
      <c r="B2" s="17" t="s">
        <v>138</v>
      </c>
      <c r="C2" s="17" t="s">
        <v>355</v>
      </c>
      <c r="D2" s="17" t="n">
        <v>125000</v>
      </c>
    </row>
    <row r="3" customFormat="false" ht="15" hidden="false" customHeight="false" outlineLevel="0" collapsed="false">
      <c r="A3" s="17" t="s">
        <v>354</v>
      </c>
      <c r="B3" s="17" t="s">
        <v>77</v>
      </c>
      <c r="C3" s="17" t="s">
        <v>356</v>
      </c>
      <c r="D3" s="17" t="n">
        <v>48000</v>
      </c>
    </row>
    <row r="4" customFormat="false" ht="15" hidden="false" customHeight="false" outlineLevel="0" collapsed="false">
      <c r="A4" s="17" t="s">
        <v>354</v>
      </c>
      <c r="B4" s="17" t="s">
        <v>158</v>
      </c>
      <c r="C4" s="17" t="s">
        <v>357</v>
      </c>
      <c r="D4" s="17" t="n">
        <v>62000</v>
      </c>
    </row>
    <row r="6" customFormat="false" ht="15" hidden="false" customHeight="false" outlineLevel="0" collapsed="false">
      <c r="A6" s="8" t="s">
        <v>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26.85" hidden="false" customHeight="false" outlineLevel="0" collapsed="false">
      <c r="A1" s="6" t="s">
        <v>351</v>
      </c>
      <c r="B1" s="6" t="s">
        <v>67</v>
      </c>
      <c r="C1" s="6" t="s">
        <v>352</v>
      </c>
      <c r="D1" s="6" t="s">
        <v>359</v>
      </c>
      <c r="E1" s="6" t="s">
        <v>360</v>
      </c>
      <c r="F1" s="6" t="s">
        <v>361</v>
      </c>
      <c r="G1" s="6" t="s">
        <v>362</v>
      </c>
    </row>
    <row r="2" customFormat="false" ht="15" hidden="false" customHeight="false" outlineLevel="0" collapsed="false">
      <c r="A2" s="12" t="str">
        <f aca="false">'Trial Balance'!A2</f>
        <v>Apr-2026</v>
      </c>
      <c r="B2" s="12" t="str">
        <f aca="false">'Trial Balance'!B2</f>
        <v>GSTR3B</v>
      </c>
      <c r="C2" s="12" t="str">
        <f aca="false">'Trial Balance'!C2</f>
        <v>GST Payable - Output</v>
      </c>
      <c r="D2" s="12" t="n">
        <f aca="false">'Trial Balance'!D2</f>
        <v>125000</v>
      </c>
      <c r="E2" s="16" t="n">
        <f aca="false">SUMPRODUCT(('Task Instances'!$M$2:$M$147=$B2)*(TEXT('Task Instances'!$P$2:$P$147,"mmm-yyyy")=$A2)*'Task Instances'!$O$2:$O$147)</f>
        <v>0</v>
      </c>
      <c r="F2" s="16" t="n">
        <f aca="false">$D2-$E2</f>
        <v>125000</v>
      </c>
      <c r="G2" s="16" t="str">
        <f aca="false">IF(ABS($F2)&lt;=1,"OK","VARIANCE")</f>
        <v>VARIANCE</v>
      </c>
    </row>
    <row r="3" customFormat="false" ht="15" hidden="false" customHeight="false" outlineLevel="0" collapsed="false">
      <c r="A3" s="12" t="str">
        <f aca="false">'Trial Balance'!A3</f>
        <v>Apr-2026</v>
      </c>
      <c r="B3" s="12" t="str">
        <f aca="false">'Trial Balance'!B3</f>
        <v>TDS-PAY</v>
      </c>
      <c r="C3" s="12" t="str">
        <f aca="false">'Trial Balance'!C3</f>
        <v>TDS Payable - Contractors</v>
      </c>
      <c r="D3" s="12" t="n">
        <f aca="false">'Trial Balance'!D3</f>
        <v>48000</v>
      </c>
      <c r="E3" s="16" t="n">
        <f aca="false">SUMPRODUCT(('Task Instances'!$M$2:$M$147=$B3)*(TEXT('Task Instances'!$P$2:$P$147,"mmm-yyyy")=$A3)*'Task Instances'!$O$2:$O$147)</f>
        <v>0</v>
      </c>
      <c r="F3" s="16" t="n">
        <f aca="false">$D3-$E3</f>
        <v>48000</v>
      </c>
      <c r="G3" s="16" t="str">
        <f aca="false">IF(ABS($F3)&lt;=1,"OK","VARIANCE")</f>
        <v>VARIANCE</v>
      </c>
    </row>
    <row r="4" customFormat="false" ht="15" hidden="false" customHeight="false" outlineLevel="0" collapsed="false">
      <c r="A4" s="12" t="str">
        <f aca="false">'Trial Balance'!A4</f>
        <v>Apr-2026</v>
      </c>
      <c r="B4" s="12" t="str">
        <f aca="false">'Trial Balance'!B4</f>
        <v>PF-PAY</v>
      </c>
      <c r="C4" s="12" t="str">
        <f aca="false">'Trial Balance'!C4</f>
        <v>PF Payable</v>
      </c>
      <c r="D4" s="12" t="n">
        <f aca="false">'Trial Balance'!D4</f>
        <v>62000</v>
      </c>
      <c r="E4" s="16" t="n">
        <f aca="false">SUMPRODUCT(('Task Instances'!$M$2:$M$147=$B4)*(TEXT('Task Instances'!$P$2:$P$147,"mmm-yyyy")=$A4)*'Task Instances'!$O$2:$O$147)</f>
        <v>0</v>
      </c>
      <c r="F4" s="16" t="n">
        <f aca="false">$D4-$E4</f>
        <v>62000</v>
      </c>
      <c r="G4" s="16" t="str">
        <f aca="false">IF(ABS($F4)&lt;=1,"OK","VARIANCE")</f>
        <v>VARIANCE</v>
      </c>
    </row>
    <row r="6" customFormat="false" ht="15" hidden="false" customHeight="false" outlineLevel="0" collapsed="false">
      <c r="A6" s="18" t="s">
        <v>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2026-09-20T14:18:10Z</dcterms:created>
  <dc:creator>openpyxl</dc:creator>
  <dc:description/>
  <dc:language>en-US</dc:language>
  <cp:lastModifiedBy/>
  <dcterms:modified xsi:type="dcterms:W3CDTF">2026-09-20T14:18:10Z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