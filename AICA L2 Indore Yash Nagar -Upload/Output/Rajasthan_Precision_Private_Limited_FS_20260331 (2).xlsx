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heetId="1" state="visible" r:id="rId1"/>
    <sheet xmlns:r="http://schemas.openxmlformats.org/officeDocument/2006/relationships" name="P&amp;L" sheetId="2" state="visible" r:id="rId2"/>
    <sheet xmlns:r="http://schemas.openxmlformats.org/officeDocument/2006/relationships" name="Cash Flow" sheetId="3" state="visible" r:id="rId3"/>
    <sheet xmlns:r="http://schemas.openxmlformats.org/officeDocument/2006/relationships" name="Notes" sheetId="4" state="visible" r:id="rId4"/>
    <sheet xmlns:r="http://schemas.openxmlformats.org/officeDocument/2006/relationships" name="Disclosures" sheetId="5" state="visible" r:id="rId5"/>
    <sheet xmlns:r="http://schemas.openxmlformats.org/officeDocument/2006/relationships" name="AI analysis" sheetId="6" state="visible" r:id="rId6"/>
    <sheet xmlns:r="http://schemas.openxmlformats.org/officeDocument/2006/relationships" name="Open items" sheetId="7" state="visible" r:id="rId7"/>
    <sheet xmlns:r="http://schemas.openxmlformats.org/officeDocument/2006/relationships" name="Mapping" sheetId="8" state="visible" r:id="rId8"/>
  </sheets>
  <definedNames>
    <definedName name="_xlnm._FilterDatabase" localSheetId="7" hidden="1">'Mapping'!$A$3:$I$62</definedName>
  </definedNames>
  <calcPr calcId="124519" fullCalcOnLoad="1"/>
</workbook>
</file>

<file path=xl/styles.xml><?xml version="1.0" encoding="utf-8"?>
<styleSheet xmlns="http://schemas.openxmlformats.org/spreadsheetml/2006/main">
  <numFmts count="2">
    <numFmt numFmtId="164" formatCode="#,##0.00_);(#,##0.00);&quot;-&quot;_)"/>
    <numFmt numFmtId="165" formatCode="#,##0_);(#,##0);&quot;-&quot;_)"/>
  </numFmts>
  <fonts count="7">
    <font>
      <name val="Calibri"/>
      <family val="2"/>
      <color theme="1"/>
      <sz val="11"/>
      <scheme val="minor"/>
    </font>
    <font>
      <name val="Times New Roman"/>
      <b val="1"/>
      <sz val="12"/>
    </font>
    <font>
      <name val="Times New Roman"/>
      <b val="1"/>
      <sz val="10"/>
    </font>
    <font>
      <name val="Times New Roman"/>
      <sz val="10"/>
    </font>
    <font>
      <name val="Times New Roman"/>
      <i val="1"/>
      <sz val="10"/>
    </font>
    <font>
      <name val="Times New Roman"/>
      <b val="1"/>
      <sz val="14"/>
    </font>
    <font>
      <name val="Times New Roman"/>
      <color rgb="001F4E79"/>
      <sz val="10"/>
      <u val="single"/>
    </font>
  </fonts>
  <fills count="4">
    <fill>
      <patternFill/>
    </fill>
    <fill>
      <patternFill patternType="gray125"/>
    </fill>
    <fill>
      <patternFill patternType="solid">
        <fgColor rgb="00D9E2F3"/>
      </patternFill>
    </fill>
    <fill>
      <patternFill patternType="solid">
        <fgColor rgb="00F2F2F2"/>
      </patternFill>
    </fill>
  </fills>
  <borders count="2">
    <border>
      <left/>
      <right/>
      <top/>
      <bottom/>
      <diagonal/>
    </border>
    <border>
      <top style="thin">
        <color rgb="00808080"/>
      </top>
    </border>
  </borders>
  <cellStyleXfs count="1">
    <xf numFmtId="0" fontId="0" fillId="0" borderId="0"/>
  </cellStyleXfs>
  <cellXfs count="21">
    <xf numFmtId="0" fontId="0" fillId="0" borderId="0" pivotButton="0" quotePrefix="0" xfId="0"/>
    <xf numFmtId="0" fontId="5" fillId="0" borderId="0" applyAlignment="1" pivotButton="0" quotePrefix="0" xfId="0">
      <alignment horizontal="left" vertical="top"/>
    </xf>
    <xf numFmtId="0" fontId="1" fillId="0" borderId="0" applyAlignment="1" pivotButton="0" quotePrefix="0" xfId="0">
      <alignment horizontal="left" vertical="top"/>
    </xf>
    <xf numFmtId="0" fontId="4" fillId="0" borderId="0" applyAlignment="1" pivotButton="0" quotePrefix="0" xfId="0">
      <alignment horizontal="left" vertical="top"/>
    </xf>
    <xf numFmtId="0" fontId="2" fillId="2" borderId="0" applyAlignment="1" pivotButton="0" quotePrefix="0" xfId="0">
      <alignment horizontal="left" vertical="top"/>
    </xf>
    <xf numFmtId="0" fontId="2" fillId="2" borderId="0" applyAlignment="1" pivotButton="0" quotePrefix="0" xfId="0">
      <alignment horizontal="right" vertical="top"/>
    </xf>
    <xf numFmtId="0" fontId="2" fillId="3" borderId="0" applyAlignment="1" pivotButton="0" quotePrefix="0" xfId="0">
      <alignment horizontal="left" vertical="top"/>
    </xf>
    <xf numFmtId="0" fontId="2" fillId="0" borderId="0" applyAlignment="1" pivotButton="0" quotePrefix="0" xfId="0">
      <alignment horizontal="left" vertical="top"/>
    </xf>
    <xf numFmtId="0" fontId="3" fillId="0" borderId="0" applyAlignment="1" pivotButton="0" quotePrefix="0" xfId="0">
      <alignment horizontal="left" vertical="top" indent="1"/>
    </xf>
    <xf numFmtId="0" fontId="6" fillId="0" borderId="0" applyAlignment="1" pivotButton="0" quotePrefix="0" xfId="0">
      <alignment horizontal="right" vertical="top"/>
    </xf>
    <xf numFmtId="164" fontId="3" fillId="0" borderId="0" applyAlignment="1" pivotButton="0" quotePrefix="0" xfId="0">
      <alignment horizontal="right" vertical="top"/>
    </xf>
    <xf numFmtId="0" fontId="2" fillId="0" borderId="1" applyAlignment="1" pivotButton="0" quotePrefix="0" xfId="0">
      <alignment horizontal="left" vertical="top"/>
    </xf>
    <xf numFmtId="164" fontId="2" fillId="0" borderId="1" applyAlignment="1" pivotButton="0" quotePrefix="0" xfId="0">
      <alignment horizontal="right" vertical="top"/>
    </xf>
    <xf numFmtId="0" fontId="3" fillId="0" borderId="0" applyAlignment="1" pivotButton="0" quotePrefix="0" xfId="0">
      <alignment horizontal="left" vertical="top" indent="2"/>
    </xf>
    <xf numFmtId="0" fontId="3" fillId="0" borderId="0" applyAlignment="1" pivotButton="0" quotePrefix="0" xfId="0">
      <alignment horizontal="left" vertical="top"/>
    </xf>
    <xf numFmtId="0" fontId="3" fillId="0" borderId="0" applyAlignment="1" pivotButton="0" quotePrefix="0" xfId="0">
      <alignment horizontal="right" vertical="top"/>
    </xf>
    <xf numFmtId="0" fontId="3" fillId="0" borderId="0" applyAlignment="1" pivotButton="0" quotePrefix="0" xfId="0">
      <alignment horizontal="left" vertical="top" wrapText="1"/>
    </xf>
    <xf numFmtId="0" fontId="6" fillId="0" borderId="0" applyAlignment="1" pivotButton="0" quotePrefix="0" xfId="0">
      <alignment horizontal="left" vertical="top"/>
    </xf>
    <xf numFmtId="0" fontId="4" fillId="0" borderId="0" applyAlignment="1" pivotButton="0" quotePrefix="0" xfId="0">
      <alignment horizontal="left" vertical="top" wrapText="1"/>
    </xf>
    <xf numFmtId="0" fontId="2" fillId="2" borderId="0" applyAlignment="1" pivotButton="0" quotePrefix="0" xfId="0">
      <alignment horizontal="left" vertical="top" wrapText="1"/>
    </xf>
    <xf numFmtId="165" fontId="3"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7"/>
  <sheetViews>
    <sheetView workbookViewId="0">
      <pane ySplit="5" topLeftCell="A6" activePane="bottomLeft" state="frozen"/>
      <selection pane="bottomLeft" activeCell="A1" sqref="A1"/>
    </sheetView>
  </sheetViews>
  <sheetFormatPr baseColWidth="8" defaultRowHeight="15"/>
  <cols>
    <col width="62" customWidth="1" min="1" max="1"/>
    <col width="7" customWidth="1" min="2" max="2"/>
    <col width="18" customWidth="1" min="3" max="3"/>
    <col width="18" customWidth="1" min="4" max="4"/>
  </cols>
  <sheetData>
    <row r="1">
      <c r="A1" s="1" t="inlineStr">
        <is>
          <t>Rajasthan Precision Private Limited</t>
        </is>
      </c>
    </row>
    <row r="2">
      <c r="A2" s="2" t="inlineStr">
        <is>
          <t>Balance Sheet as at 31/03/2026</t>
        </is>
      </c>
    </row>
    <row r="3">
      <c r="A3" s="3" t="inlineStr">
        <is>
          <t>(Rs in lakhs, rounded off as required by Schedule III)</t>
        </is>
      </c>
    </row>
    <row r="5">
      <c r="A5" s="4" t="inlineStr">
        <is>
          <t>Particulars</t>
        </is>
      </c>
      <c r="B5" s="5" t="inlineStr">
        <is>
          <t>Note</t>
        </is>
      </c>
      <c r="C5" s="5" t="inlineStr">
        <is>
          <t>As at 31/03/2026</t>
        </is>
      </c>
      <c r="D5" s="5" t="inlineStr">
        <is>
          <t>As at 31/03/2025</t>
        </is>
      </c>
    </row>
    <row r="6">
      <c r="A6" s="6" t="inlineStr">
        <is>
          <t>EQUITY AND LIABILITIES</t>
        </is>
      </c>
    </row>
    <row r="7">
      <c r="A7" s="7" t="inlineStr">
        <is>
          <t>1. Shareholders' funds</t>
        </is>
      </c>
    </row>
    <row r="8">
      <c r="A8" s="8" t="inlineStr">
        <is>
          <t>(a) Share capital</t>
        </is>
      </c>
      <c r="B8" s="9" t="n">
        <v>1</v>
      </c>
      <c r="C8" s="10">
        <f>Notes!B6</f>
        <v>29.3</v>
      </c>
      <c r="D8" s="10">
        <f>Notes!C6</f>
        <v>29.3</v>
      </c>
    </row>
    <row r="9">
      <c r="A9" s="8" t="inlineStr">
        <is>
          <t>(b) Reserves and surplus</t>
        </is>
      </c>
      <c r="B9" s="9" t="n">
        <v>2</v>
      </c>
      <c r="C9" s="10">
        <f>Notes!B19</f>
        <v>51.06</v>
      </c>
      <c r="D9" s="10">
        <f>Notes!C19</f>
        <v>33.34</v>
      </c>
    </row>
    <row r="10">
      <c r="A10" s="7" t="inlineStr">
        <is>
          <t>2. Non-current liabilities</t>
        </is>
      </c>
    </row>
    <row r="11">
      <c r="A11" s="8" t="inlineStr">
        <is>
          <t>(a) Long-term borrowings  [R17, R18]</t>
        </is>
      </c>
      <c r="B11" s="9" t="n">
        <v>3</v>
      </c>
      <c r="C11" s="10">
        <f>Notes!B27</f>
        <v>15.5</v>
      </c>
      <c r="D11" s="10">
        <f>Notes!C27</f>
        <v>15.5</v>
      </c>
    </row>
    <row r="12">
      <c r="A12" s="7" t="inlineStr">
        <is>
          <t>3. Current liabilities</t>
        </is>
      </c>
    </row>
    <row r="13">
      <c r="A13" s="8" t="inlineStr">
        <is>
          <t>(a) Trade payables  [R4, R8, R13, R14, R15]</t>
        </is>
      </c>
      <c r="B13" s="9" t="n">
        <v>4</v>
      </c>
      <c r="C13" s="10">
        <f>Notes!B35</f>
        <v>138.56</v>
      </c>
      <c r="D13" s="10">
        <f>Notes!C35</f>
        <v>65.01</v>
      </c>
    </row>
    <row r="14">
      <c r="A14" s="8" t="inlineStr">
        <is>
          <t>(b) Other current liabilities  [R11, R12]</t>
        </is>
      </c>
      <c r="B14" s="9" t="n">
        <v>5</v>
      </c>
      <c r="C14" s="10">
        <f>Notes!B45</f>
        <v>15.69</v>
      </c>
      <c r="D14" s="10">
        <f>Notes!C45</f>
        <v>7.71</v>
      </c>
    </row>
    <row r="15">
      <c r="A15" s="11" t="inlineStr">
        <is>
          <t>TOTAL EQUITY AND LIABILITIES</t>
        </is>
      </c>
      <c r="C15" s="12">
        <f>SUM(C7:C14)</f>
        <v>250.11</v>
      </c>
      <c r="D15" s="12">
        <f>SUM(D7:D14)</f>
        <v>150.86</v>
      </c>
    </row>
    <row r="16">
      <c r="A16" s="6" t="inlineStr">
        <is>
          <t>ASSETS</t>
        </is>
      </c>
    </row>
    <row r="17">
      <c r="A17" s="7" t="inlineStr">
        <is>
          <t>1. Non-current assets</t>
        </is>
      </c>
    </row>
    <row r="18">
      <c r="A18" s="8" t="inlineStr">
        <is>
          <t>(a) Property, plant and equipment and intangible assets</t>
        </is>
      </c>
    </row>
    <row r="19">
      <c r="A19" s="13" t="inlineStr">
        <is>
          <t>(i) Property, plant and equipment</t>
        </is>
      </c>
      <c r="B19" s="9" t="n">
        <v>6</v>
      </c>
      <c r="C19" s="10">
        <f>Notes!B56</f>
        <v>22.67</v>
      </c>
      <c r="D19" s="10">
        <f>Notes!C56</f>
        <v>24.47</v>
      </c>
    </row>
    <row r="20">
      <c r="A20" s="7" t="inlineStr">
        <is>
          <t>2. Current assets</t>
        </is>
      </c>
    </row>
    <row r="21">
      <c r="A21" s="8" t="inlineStr">
        <is>
          <t>(a) Inventories  [R1]</t>
        </is>
      </c>
      <c r="B21" s="9" t="n">
        <v>7</v>
      </c>
      <c r="C21" s="10">
        <f>Notes!B74</f>
        <v>10.75</v>
      </c>
      <c r="D21" s="10">
        <f>Notes!C74</f>
        <v>10.75</v>
      </c>
    </row>
    <row r="22">
      <c r="A22" s="8" t="inlineStr">
        <is>
          <t>(b) Trade receivables  [R2, R7, R9, R10, R16]</t>
        </is>
      </c>
      <c r="B22" s="9" t="n">
        <v>8</v>
      </c>
      <c r="C22" s="10">
        <f>Notes!B81</f>
        <v>179.23</v>
      </c>
      <c r="D22" s="10">
        <f>Notes!C81</f>
        <v>86.12</v>
      </c>
    </row>
    <row r="23">
      <c r="A23" s="8" t="inlineStr">
        <is>
          <t>(c) Cash and bank balances  [R6]</t>
        </is>
      </c>
      <c r="B23" s="9" t="n">
        <v>9</v>
      </c>
      <c r="C23" s="10">
        <f>Notes!B91</f>
        <v>37.46</v>
      </c>
      <c r="D23" s="10">
        <f>Notes!C91</f>
        <v>29.52</v>
      </c>
    </row>
    <row r="24">
      <c r="A24" s="11" t="inlineStr">
        <is>
          <t>TOTAL ASSETS</t>
        </is>
      </c>
      <c r="C24" s="12">
        <f>SUM(C17:C23)</f>
        <v>250.11</v>
      </c>
      <c r="D24" s="12">
        <f>SUM(D17:D23)</f>
        <v>150.86</v>
      </c>
    </row>
    <row r="26">
      <c r="A26" s="3" t="inlineStr">
        <is>
          <t>Check: total assets less total equity and liabilities</t>
        </is>
      </c>
      <c r="C26" s="10">
        <f>C24-C15</f>
        <v>0</v>
      </c>
      <c r="D26" s="10">
        <f>D24-D15</f>
        <v>0</v>
      </c>
    </row>
    <row r="28">
      <c r="A28" s="3" t="inlineStr">
        <is>
          <t>DRAFT: generated from Tally data for review. Unaudited. Items marked [R#] need a reviewer's decision.</t>
        </is>
      </c>
    </row>
    <row r="30">
      <c r="A30" s="7" t="inlineStr">
        <is>
          <t>For XYZ Chartered Accountants</t>
        </is>
      </c>
      <c r="C30" s="7" t="inlineStr">
        <is>
          <t>For and on behalf of the Board of Directors of</t>
        </is>
      </c>
    </row>
    <row r="31">
      <c r="A31" s="14" t="inlineStr">
        <is>
          <t>Chartered Accountants</t>
        </is>
      </c>
      <c r="C31" s="14" t="inlineStr">
        <is>
          <t>Rajasthan Precision Private Limited</t>
        </is>
      </c>
    </row>
    <row r="32">
      <c r="A32" s="14" t="inlineStr">
        <is>
          <t>Firm Registration No.: 1111111</t>
        </is>
      </c>
    </row>
    <row r="33">
      <c r="C33" s="14" t="inlineStr">
        <is>
          <t>Director: QWE</t>
        </is>
      </c>
    </row>
    <row r="34">
      <c r="A34" s="14" t="inlineStr">
        <is>
          <t>Partner: ABC</t>
        </is>
      </c>
      <c r="C34" s="14" t="inlineStr">
        <is>
          <t>DIN: 89766654</t>
        </is>
      </c>
    </row>
    <row r="35">
      <c r="A35" s="14" t="inlineStr">
        <is>
          <t>Membership No.: 234543</t>
        </is>
      </c>
      <c r="C35" s="14" t="inlineStr">
        <is>
          <t>Director: DFG</t>
        </is>
      </c>
    </row>
    <row r="36">
      <c r="A36" s="14" t="inlineStr">
        <is>
          <t>Place: Indore</t>
        </is>
      </c>
      <c r="C36" s="14" t="inlineStr">
        <is>
          <t>DIN: 77654354</t>
        </is>
      </c>
    </row>
    <row r="37">
      <c r="A37" s="14" t="inlineStr">
        <is>
          <t>Date of signing: 23/10/2026</t>
        </is>
      </c>
      <c r="C37" s="14" t="inlineStr">
        <is>
          <t>Date of signing: 23/10/2026</t>
        </is>
      </c>
    </row>
  </sheetData>
  <hyperlinks>
    <hyperlink ref="B8" location="'Notes'!A3" display="1"/>
    <hyperlink ref="B9" location="'Notes'!A12" display="2"/>
    <hyperlink ref="B11" location="'Notes'!A23" display="3"/>
    <hyperlink ref="B13" location="'Notes'!A32" display="4"/>
    <hyperlink ref="B14" location="'Notes'!A40" display="5"/>
    <hyperlink ref="B19" location="'Notes'!A49" display="6"/>
    <hyperlink ref="B21" location="'Notes'!A71" display="7"/>
    <hyperlink ref="B22" location="'Notes'!A78" display="8"/>
    <hyperlink ref="B23" location="'Notes'!A86" display="9"/>
  </hyperlink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32"/>
  <sheetViews>
    <sheetView workbookViewId="0">
      <pane ySplit="5" topLeftCell="A6" activePane="bottomLeft" state="frozen"/>
      <selection pane="bottomLeft" activeCell="A1" sqref="A1"/>
    </sheetView>
  </sheetViews>
  <sheetFormatPr baseColWidth="8" defaultRowHeight="15"/>
  <cols>
    <col width="62" customWidth="1" min="1" max="1"/>
    <col width="7" customWidth="1" min="2" max="2"/>
    <col width="18" customWidth="1" min="3" max="3"/>
    <col width="18" customWidth="1" min="4" max="4"/>
  </cols>
  <sheetData>
    <row r="1">
      <c r="A1" s="1" t="inlineStr">
        <is>
          <t>Rajasthan Precision Private Limited</t>
        </is>
      </c>
    </row>
    <row r="2">
      <c r="A2" s="2" t="inlineStr">
        <is>
          <t>Statement of Profit and Loss for the year ended 31/03/2026</t>
        </is>
      </c>
    </row>
    <row r="3">
      <c r="A3" s="3" t="inlineStr">
        <is>
          <t>(Rs in lakhs, rounded off as required by Schedule III)</t>
        </is>
      </c>
    </row>
    <row r="5">
      <c r="A5" s="4" t="inlineStr">
        <is>
          <t>Particulars</t>
        </is>
      </c>
      <c r="B5" s="5" t="inlineStr">
        <is>
          <t>Note</t>
        </is>
      </c>
      <c r="C5" s="5" t="inlineStr">
        <is>
          <t>Year ended 31/03/2026</t>
        </is>
      </c>
      <c r="D5" s="5" t="inlineStr">
        <is>
          <t>Year ended 31/03/2025</t>
        </is>
      </c>
    </row>
    <row r="6">
      <c r="A6" s="8" t="inlineStr">
        <is>
          <t>I. Revenue from operations</t>
        </is>
      </c>
      <c r="B6" s="9" t="n">
        <v>10</v>
      </c>
      <c r="C6" s="10">
        <f>Notes!B98</f>
        <v>127.29</v>
      </c>
      <c r="D6" s="15" t="inlineStr">
        <is>
          <t>-</t>
        </is>
      </c>
    </row>
    <row r="7">
      <c r="A7" s="8" t="inlineStr">
        <is>
          <t>II. Other income</t>
        </is>
      </c>
      <c r="B7" s="9" t="n">
        <v>11</v>
      </c>
      <c r="C7" s="10">
        <f>Notes!B106</f>
        <v>0.87</v>
      </c>
      <c r="D7" s="15" t="inlineStr">
        <is>
          <t>-</t>
        </is>
      </c>
    </row>
    <row r="8">
      <c r="A8" s="11" t="inlineStr">
        <is>
          <t>III. Total income (I + II)</t>
        </is>
      </c>
      <c r="C8" s="12">
        <f>C6+C7</f>
        <v>128.16</v>
      </c>
      <c r="D8" s="15" t="inlineStr">
        <is>
          <t>-</t>
        </is>
      </c>
    </row>
    <row r="9">
      <c r="A9" s="7" t="inlineStr">
        <is>
          <t>IV. Expenses:</t>
        </is>
      </c>
    </row>
    <row r="10">
      <c r="A10" s="8" t="inlineStr">
        <is>
          <t>Cost of materials consumed</t>
        </is>
      </c>
      <c r="B10" s="9" t="n">
        <v>12</v>
      </c>
      <c r="C10" s="10">
        <f>Notes!B111</f>
        <v>89.43</v>
      </c>
      <c r="D10" s="15" t="inlineStr">
        <is>
          <t>-</t>
        </is>
      </c>
    </row>
    <row r="11">
      <c r="A11" s="8" t="inlineStr">
        <is>
          <t>Employee benefit expense  [R5]</t>
        </is>
      </c>
      <c r="B11" s="9" t="n">
        <v>13</v>
      </c>
      <c r="C11" s="10">
        <f>Notes!B118</f>
        <v>3.79</v>
      </c>
      <c r="D11" s="15" t="inlineStr">
        <is>
          <t>-</t>
        </is>
      </c>
    </row>
    <row r="12">
      <c r="A12" s="8" t="inlineStr">
        <is>
          <t>Finance costs</t>
        </is>
      </c>
      <c r="B12" s="9" t="n">
        <v>14</v>
      </c>
      <c r="C12" s="10">
        <f>Notes!B123</f>
        <v>0.77</v>
      </c>
      <c r="D12" s="15" t="inlineStr">
        <is>
          <t>-</t>
        </is>
      </c>
    </row>
    <row r="13">
      <c r="A13" s="8" t="inlineStr">
        <is>
          <t>Depreciation and amortisation expense</t>
        </is>
      </c>
      <c r="B13" s="9" t="n">
        <v>15</v>
      </c>
      <c r="C13" s="10">
        <f>Notes!B128</f>
        <v>1.8</v>
      </c>
      <c r="D13" s="15" t="inlineStr">
        <is>
          <t>-</t>
        </is>
      </c>
    </row>
    <row r="14">
      <c r="A14" s="8" t="inlineStr">
        <is>
          <t>Other expenses  [R3]</t>
        </is>
      </c>
      <c r="B14" s="9" t="n">
        <v>16</v>
      </c>
      <c r="C14" s="10">
        <f>Notes!B144</f>
        <v>14.65</v>
      </c>
      <c r="D14" s="15" t="inlineStr">
        <is>
          <t>-</t>
        </is>
      </c>
    </row>
    <row r="15">
      <c r="A15" s="11" t="inlineStr">
        <is>
          <t>Total expenses</t>
        </is>
      </c>
      <c r="C15" s="12">
        <f>SUM(C10:C14)</f>
        <v>110.44</v>
      </c>
      <c r="D15" s="15" t="inlineStr">
        <is>
          <t>-</t>
        </is>
      </c>
    </row>
    <row r="16">
      <c r="A16" s="11" t="inlineStr">
        <is>
          <t>V. Profit / (loss) before tax (III - IV)</t>
        </is>
      </c>
      <c r="C16" s="12">
        <f>C8-C15</f>
        <v>17.72</v>
      </c>
      <c r="D16" s="15" t="inlineStr">
        <is>
          <t>-</t>
        </is>
      </c>
    </row>
    <row r="17">
      <c r="A17" s="7" t="inlineStr">
        <is>
          <t>VI. Tax expense:</t>
        </is>
      </c>
    </row>
    <row r="18">
      <c r="A18" s="13" t="inlineStr">
        <is>
          <t>(1) Current tax</t>
        </is>
      </c>
      <c r="C18" s="10" t="n">
        <v>0</v>
      </c>
      <c r="D18" s="15" t="inlineStr">
        <is>
          <t>-</t>
        </is>
      </c>
    </row>
    <row r="19">
      <c r="A19" s="13" t="inlineStr">
        <is>
          <t>(2) Deferred tax</t>
        </is>
      </c>
      <c r="C19" s="10" t="n">
        <v>0</v>
      </c>
      <c r="D19" s="15" t="inlineStr">
        <is>
          <t>-</t>
        </is>
      </c>
    </row>
    <row r="20">
      <c r="A20" s="11" t="inlineStr">
        <is>
          <t>VII. Profit / (loss) for the year (V - VI)</t>
        </is>
      </c>
      <c r="C20" s="12">
        <f>C16-C18-C19</f>
        <v>17.72</v>
      </c>
      <c r="D20" s="15" t="inlineStr">
        <is>
          <t>-</t>
        </is>
      </c>
    </row>
    <row r="21">
      <c r="A21" s="8" t="inlineStr">
        <is>
          <t>VIII. Earnings per equity share (Rs): to be computed</t>
        </is>
      </c>
    </row>
    <row r="23">
      <c r="A23" s="3" t="inlineStr">
        <is>
          <t>Previous-year figures were not loaded; see open item O1.</t>
        </is>
      </c>
    </row>
    <row r="25">
      <c r="A25" s="7" t="inlineStr">
        <is>
          <t>For XYZ Chartered Accountants</t>
        </is>
      </c>
      <c r="C25" s="7" t="inlineStr">
        <is>
          <t>For and on behalf of the Board of Directors of</t>
        </is>
      </c>
    </row>
    <row r="26">
      <c r="A26" s="14" t="inlineStr">
        <is>
          <t>Chartered Accountants</t>
        </is>
      </c>
      <c r="C26" s="14" t="inlineStr">
        <is>
          <t>Rajasthan Precision Private Limited</t>
        </is>
      </c>
    </row>
    <row r="27">
      <c r="A27" s="14" t="inlineStr">
        <is>
          <t>Firm Registration No.: 1111111</t>
        </is>
      </c>
    </row>
    <row r="28">
      <c r="C28" s="14" t="inlineStr">
        <is>
          <t>Director: QWE</t>
        </is>
      </c>
    </row>
    <row r="29">
      <c r="A29" s="14" t="inlineStr">
        <is>
          <t>Partner: ABC</t>
        </is>
      </c>
      <c r="C29" s="14" t="inlineStr">
        <is>
          <t>DIN: 89766654</t>
        </is>
      </c>
    </row>
    <row r="30">
      <c r="A30" s="14" t="inlineStr">
        <is>
          <t>Membership No.: 234543</t>
        </is>
      </c>
      <c r="C30" s="14" t="inlineStr">
        <is>
          <t>Director: DFG</t>
        </is>
      </c>
    </row>
    <row r="31">
      <c r="A31" s="14" t="inlineStr">
        <is>
          <t>Place: Indore</t>
        </is>
      </c>
      <c r="C31" s="14" t="inlineStr">
        <is>
          <t>DIN: 77654354</t>
        </is>
      </c>
    </row>
    <row r="32">
      <c r="A32" s="14" t="inlineStr">
        <is>
          <t>Date of signing: 23/10/2026</t>
        </is>
      </c>
      <c r="C32" s="14" t="inlineStr">
        <is>
          <t>Date of signing: 23/10/2026</t>
        </is>
      </c>
    </row>
  </sheetData>
  <hyperlinks>
    <hyperlink ref="B6" location="'Notes'!A95" display="10"/>
    <hyperlink ref="B7" location="'Notes'!A102" display="11"/>
    <hyperlink ref="B10" location="'Notes'!A108" display="12"/>
    <hyperlink ref="B11" location="'Notes'!A113" display="13"/>
    <hyperlink ref="B12" location="'Notes'!A120" display="14"/>
    <hyperlink ref="B13" location="'Notes'!A125" display="15"/>
    <hyperlink ref="B14" location="'Notes'!A130" display="16"/>
  </hyperlink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D50"/>
  <sheetViews>
    <sheetView workbookViewId="0">
      <pane ySplit="5" topLeftCell="A6" activePane="bottomLeft" state="frozen"/>
      <selection pane="bottomLeft" activeCell="A1" sqref="A1"/>
    </sheetView>
  </sheetViews>
  <sheetFormatPr baseColWidth="8" defaultRowHeight="15"/>
  <cols>
    <col width="62" customWidth="1" min="1" max="1"/>
    <col width="2" customWidth="1" min="2" max="2"/>
    <col width="18" customWidth="1" min="3" max="3"/>
    <col width="18" customWidth="1" min="4" max="4"/>
  </cols>
  <sheetData>
    <row r="1">
      <c r="A1" s="1" t="inlineStr">
        <is>
          <t>Rajasthan Precision Private Limited</t>
        </is>
      </c>
    </row>
    <row r="2">
      <c r="A2" s="2" t="inlineStr">
        <is>
          <t>Cash Flow Statement for the year ended 31/03/2026</t>
        </is>
      </c>
    </row>
    <row r="3">
      <c r="A3" s="3" t="inlineStr">
        <is>
          <t>(Rs in lakhs, rounded off as required by Schedule III)</t>
        </is>
      </c>
    </row>
    <row r="5">
      <c r="A5" s="4" t="inlineStr">
        <is>
          <t>Particulars</t>
        </is>
      </c>
      <c r="B5" s="5" t="inlineStr"/>
      <c r="C5" s="5" t="inlineStr">
        <is>
          <t>Year ended 31/03/2026</t>
        </is>
      </c>
      <c r="D5" s="5" t="inlineStr">
        <is>
          <t>Year ended 31/03/2025</t>
        </is>
      </c>
    </row>
    <row r="6">
      <c r="A6" s="6" t="inlineStr">
        <is>
          <t>A. CASH FLOW FROM OPERATING ACTIVITIES</t>
        </is>
      </c>
    </row>
    <row r="7">
      <c r="A7" s="8" t="inlineStr">
        <is>
          <t>Net profit / (loss) before tax</t>
        </is>
      </c>
      <c r="C7" s="10">
        <f>'P&amp;L'!C16</f>
        <v>17.72</v>
      </c>
      <c r="D7" s="15" t="inlineStr">
        <is>
          <t>-</t>
        </is>
      </c>
    </row>
    <row r="8">
      <c r="A8" s="7" t="inlineStr">
        <is>
          <t>Adjustments for:</t>
        </is>
      </c>
    </row>
    <row r="9">
      <c r="A9" s="13" t="inlineStr">
        <is>
          <t>Depreciation and amortisation expense</t>
        </is>
      </c>
      <c r="C9" s="10" t="n">
        <v>1.8</v>
      </c>
      <c r="D9" s="15" t="inlineStr">
        <is>
          <t>-</t>
        </is>
      </c>
    </row>
    <row r="10">
      <c r="A10" s="13" t="inlineStr">
        <is>
          <t>Finance costs</t>
        </is>
      </c>
      <c r="C10" s="10" t="n">
        <v>0.77</v>
      </c>
      <c r="D10" s="15" t="inlineStr">
        <is>
          <t>-</t>
        </is>
      </c>
    </row>
    <row r="11">
      <c r="A11" s="13" t="inlineStr">
        <is>
          <t>Interest income</t>
        </is>
      </c>
      <c r="C11" s="10" t="n">
        <v>-0.53</v>
      </c>
      <c r="D11" s="15" t="inlineStr">
        <is>
          <t>-</t>
        </is>
      </c>
    </row>
    <row r="12">
      <c r="A12" s="11" t="inlineStr">
        <is>
          <t>Operating profit before working capital changes</t>
        </is>
      </c>
      <c r="C12" s="12">
        <f>SUM(C7:C11)</f>
        <v>19.76</v>
      </c>
      <c r="D12" s="15" t="inlineStr">
        <is>
          <t>-</t>
        </is>
      </c>
    </row>
    <row r="13">
      <c r="A13" s="7" t="inlineStr">
        <is>
          <t>Adjustments for changes in working capital:</t>
        </is>
      </c>
    </row>
    <row r="14">
      <c r="A14" s="13" t="inlineStr">
        <is>
          <t>(Increase) / decrease in trade receivables</t>
        </is>
      </c>
      <c r="C14" s="10" t="n">
        <v>-93.11</v>
      </c>
      <c r="D14" s="15" t="inlineStr">
        <is>
          <t>-</t>
        </is>
      </c>
    </row>
    <row r="15">
      <c r="A15" s="13" t="inlineStr">
        <is>
          <t>Increase / (decrease) in trade payables</t>
        </is>
      </c>
      <c r="C15" s="10" t="n">
        <v>73.55</v>
      </c>
      <c r="D15" s="15" t="inlineStr">
        <is>
          <t>-</t>
        </is>
      </c>
    </row>
    <row r="16">
      <c r="A16" s="13" t="inlineStr">
        <is>
          <t>Increase / (decrease) in other liabilities and provisions</t>
        </is>
      </c>
      <c r="C16" s="10" t="n">
        <v>7.98</v>
      </c>
      <c r="D16" s="15" t="inlineStr">
        <is>
          <t>-</t>
        </is>
      </c>
    </row>
    <row r="17">
      <c r="A17" s="11" t="inlineStr">
        <is>
          <t>Cash generated from operations</t>
        </is>
      </c>
      <c r="C17" s="12">
        <f>C12+SUM(C13:C16)</f>
        <v>8.18</v>
      </c>
      <c r="D17" s="15" t="inlineStr">
        <is>
          <t>-</t>
        </is>
      </c>
    </row>
    <row r="18">
      <c r="A18" s="13" t="inlineStr">
        <is>
          <t>Direct taxes paid (net of refunds)</t>
        </is>
      </c>
      <c r="C18" s="10" t="n">
        <v>0</v>
      </c>
      <c r="D18" s="15" t="inlineStr">
        <is>
          <t>-</t>
        </is>
      </c>
    </row>
    <row r="19">
      <c r="A19" s="11" t="inlineStr">
        <is>
          <t>Net cash from / (used in) operating activities (A)</t>
        </is>
      </c>
      <c r="C19" s="12">
        <f>C17+C18</f>
        <v>8.18</v>
      </c>
      <c r="D19" s="15" t="inlineStr">
        <is>
          <t>-</t>
        </is>
      </c>
    </row>
    <row r="20">
      <c r="A20" s="6" t="inlineStr">
        <is>
          <t>B. CASH FLOW FROM INVESTING ACTIVITIES</t>
        </is>
      </c>
    </row>
    <row r="21">
      <c r="A21" s="13" t="inlineStr">
        <is>
          <t>Interest received</t>
        </is>
      </c>
      <c r="C21" s="10" t="n">
        <v>0.53</v>
      </c>
      <c r="D21" s="15" t="inlineStr">
        <is>
          <t>-</t>
        </is>
      </c>
    </row>
    <row r="22">
      <c r="A22" s="11" t="inlineStr">
        <is>
          <t>Net cash from / (used in) investing activities (B)</t>
        </is>
      </c>
      <c r="C22" s="12">
        <f>SUM(C21:C21)</f>
        <v>0.53</v>
      </c>
      <c r="D22" s="15" t="inlineStr">
        <is>
          <t>-</t>
        </is>
      </c>
    </row>
    <row r="23">
      <c r="A23" s="6" t="inlineStr">
        <is>
          <t>C. CASH FLOW FROM FINANCING ACTIVITIES</t>
        </is>
      </c>
    </row>
    <row r="24">
      <c r="A24" s="13" t="inlineStr">
        <is>
          <t>Finance costs paid</t>
        </is>
      </c>
      <c r="C24" s="10" t="n">
        <v>-0.77</v>
      </c>
      <c r="D24" s="15" t="inlineStr">
        <is>
          <t>-</t>
        </is>
      </c>
    </row>
    <row r="25">
      <c r="A25" s="11" t="inlineStr">
        <is>
          <t>Net cash from / (used in) financing activities (C)</t>
        </is>
      </c>
      <c r="C25" s="12">
        <f>SUM(C24:C24)</f>
        <v>-0.77</v>
      </c>
      <c r="D25" s="15" t="inlineStr">
        <is>
          <t>-</t>
        </is>
      </c>
    </row>
    <row r="26">
      <c r="A26" s="11" t="inlineStr">
        <is>
          <t>D. NET INCREASE / (DECREASE) IN CASH AND CASH EQUIVALENTS (A + B + C)</t>
        </is>
      </c>
      <c r="C26" s="12">
        <f>C19+C22+C25</f>
        <v>7.94</v>
      </c>
      <c r="D26" s="15" t="inlineStr">
        <is>
          <t>-</t>
        </is>
      </c>
    </row>
    <row r="27">
      <c r="A27" s="8" t="inlineStr">
        <is>
          <t>Cash and cash equivalents at the beginning of the year</t>
        </is>
      </c>
      <c r="C27" s="10">
        <f>D33</f>
        <v>24.52</v>
      </c>
      <c r="D27" s="15" t="inlineStr">
        <is>
          <t>-</t>
        </is>
      </c>
    </row>
    <row r="28">
      <c r="A28" s="11" t="inlineStr">
        <is>
          <t>Cash and cash equivalents at the end of the year</t>
        </is>
      </c>
      <c r="C28" s="12">
        <f>C27+C26</f>
        <v>32.46</v>
      </c>
      <c r="D28" s="15" t="inlineStr">
        <is>
          <t>-</t>
        </is>
      </c>
    </row>
    <row r="30">
      <c r="A30" s="4" t="inlineStr">
        <is>
          <t>Cash and cash equivalents comprise:</t>
        </is>
      </c>
      <c r="C30" s="5" t="inlineStr">
        <is>
          <t>As at 31/03/2026</t>
        </is>
      </c>
      <c r="D30" s="5" t="inlineStr">
        <is>
          <t>As at 31/03/2025</t>
        </is>
      </c>
    </row>
    <row r="31">
      <c r="A31" s="8" t="inlineStr">
        <is>
          <t>Balances with banks (current accounts)</t>
        </is>
      </c>
      <c r="C31" s="10" t="n">
        <v>32.18</v>
      </c>
      <c r="D31" s="10" t="n">
        <v>24.17</v>
      </c>
    </row>
    <row r="32">
      <c r="A32" s="8" t="inlineStr">
        <is>
          <t>Cash on hand</t>
        </is>
      </c>
      <c r="C32" s="10" t="n">
        <v>0.28</v>
      </c>
      <c r="D32" s="10" t="n">
        <v>0.35</v>
      </c>
    </row>
    <row r="33">
      <c r="A33" s="11" t="inlineStr">
        <is>
          <t>Total</t>
        </is>
      </c>
      <c r="C33" s="12">
        <f>SUM(C31:C32)</f>
        <v>32.46</v>
      </c>
      <c r="D33" s="12">
        <f>SUM(D31:D32)</f>
        <v>24.52</v>
      </c>
    </row>
    <row r="34">
      <c r="A34" s="3" t="inlineStr">
        <is>
          <t>Check: closing cash less cash and cash equivalents above</t>
        </is>
      </c>
      <c r="C34" s="10">
        <f>C28-C33</f>
        <v>0</v>
      </c>
    </row>
    <row r="36">
      <c r="A36" s="7" t="inlineStr">
        <is>
          <t>Basis of the cash flow statement</t>
        </is>
      </c>
    </row>
    <row r="37" ht="28" customHeight="1">
      <c r="A37" s="16" t="inlineStr">
        <is>
          <t>• Cash and cash equivalents are cash on hand and balances with banks in current accounts. Bank deposits are shown under investing activities until their maturity is confirmed.</t>
        </is>
      </c>
    </row>
    <row r="38" ht="28" customHeight="1">
      <c r="A38" s="16" t="inlineStr">
        <is>
          <t>• Interest paid and received are taken as equal to the amounts in the statement of profit and loss, because Tally holds no accrued-interest ledgers.</t>
        </is>
      </c>
    </row>
    <row r="39" ht="28" customHeight="1">
      <c r="A39" s="16" t="inlineStr">
        <is>
          <t>• Purchase of property, plant and equipment is derived from the change in net book value plus depreciation, because gross block is not available in Tally.</t>
        </is>
      </c>
    </row>
    <row r="40" ht="28" customHeight="1">
      <c r="A40" s="16" t="inlineStr">
        <is>
          <t>• Previous-year cash flows need the balance sheet at the start of the previous year and its statement of profit and loss; only the current year was loaded.</t>
        </is>
      </c>
    </row>
    <row r="43">
      <c r="A43" s="7" t="inlineStr">
        <is>
          <t>For XYZ Chartered Accountants</t>
        </is>
      </c>
      <c r="C43" s="7" t="inlineStr">
        <is>
          <t>For and on behalf of the Board of Directors of</t>
        </is>
      </c>
    </row>
    <row r="44">
      <c r="A44" s="14" t="inlineStr">
        <is>
          <t>Chartered Accountants</t>
        </is>
      </c>
      <c r="C44" s="14" t="inlineStr">
        <is>
          <t>Rajasthan Precision Private Limited</t>
        </is>
      </c>
    </row>
    <row r="45">
      <c r="A45" s="14" t="inlineStr">
        <is>
          <t>Firm Registration No.: 1111111</t>
        </is>
      </c>
    </row>
    <row r="46">
      <c r="C46" s="14" t="inlineStr">
        <is>
          <t>Director: QWE</t>
        </is>
      </c>
    </row>
    <row r="47">
      <c r="A47" s="14" t="inlineStr">
        <is>
          <t>Partner: ABC</t>
        </is>
      </c>
      <c r="C47" s="14" t="inlineStr">
        <is>
          <t>DIN: 89766654</t>
        </is>
      </c>
    </row>
    <row r="48">
      <c r="A48" s="14" t="inlineStr">
        <is>
          <t>Membership No.: 234543</t>
        </is>
      </c>
      <c r="C48" s="14" t="inlineStr">
        <is>
          <t>Director: DFG</t>
        </is>
      </c>
    </row>
    <row r="49">
      <c r="A49" s="14" t="inlineStr">
        <is>
          <t>Place: Indore</t>
        </is>
      </c>
      <c r="C49" s="14" t="inlineStr">
        <is>
          <t>DIN: 77654354</t>
        </is>
      </c>
    </row>
    <row r="50">
      <c r="A50" s="14" t="inlineStr">
        <is>
          <t>Date of signing: 23/10/2026</t>
        </is>
      </c>
      <c r="C50" s="14" t="inlineStr">
        <is>
          <t>Date of signing: 23/10/2026</t>
        </is>
      </c>
    </row>
  </sheetData>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F179"/>
  <sheetViews>
    <sheetView workbookViewId="0">
      <selection activeCell="A1" sqref="A1"/>
    </sheetView>
  </sheetViews>
  <sheetFormatPr baseColWidth="8" defaultRowHeight="15"/>
  <cols>
    <col width="50" customWidth="1" min="1" max="1"/>
    <col width="17" customWidth="1" min="2" max="2"/>
    <col width="17" customWidth="1" min="3" max="3"/>
    <col width="17" customWidth="1" min="4" max="4"/>
    <col width="17" customWidth="1" min="5" max="5"/>
    <col width="22" customWidth="1" min="6" max="6"/>
  </cols>
  <sheetData>
    <row r="1">
      <c r="A1" s="2" t="inlineStr">
        <is>
          <t>Notes forming part of the financial statements</t>
        </is>
      </c>
    </row>
    <row r="3">
      <c r="A3" s="7" t="inlineStr">
        <is>
          <t>Note 1: Share capital</t>
        </is>
      </c>
      <c r="F3" s="17" t="inlineStr">
        <is>
          <t>↩ Balance Sheet</t>
        </is>
      </c>
    </row>
    <row r="4">
      <c r="A4" s="4" t="inlineStr">
        <is>
          <t>Particulars</t>
        </is>
      </c>
      <c r="B4" s="5" t="inlineStr">
        <is>
          <t>As at 31/03/2026</t>
        </is>
      </c>
      <c r="C4" s="5" t="inlineStr">
        <is>
          <t>As at 31/03/2025</t>
        </is>
      </c>
    </row>
    <row r="5">
      <c r="A5" s="8" t="inlineStr">
        <is>
          <t>Equity share capital</t>
        </is>
      </c>
      <c r="B5" s="10" t="n">
        <v>29.3</v>
      </c>
      <c r="C5" s="10" t="n">
        <v>29.3</v>
      </c>
    </row>
    <row r="6">
      <c r="A6" s="11" t="inlineStr">
        <is>
          <t>Total</t>
        </is>
      </c>
      <c r="B6" s="12">
        <f>B5</f>
        <v>29.3</v>
      </c>
      <c r="C6" s="12">
        <f>C5</f>
        <v>29.3</v>
      </c>
    </row>
    <row r="7">
      <c r="A7" s="3" t="inlineStr">
        <is>
          <t>Information required (not available in Tally):</t>
        </is>
      </c>
    </row>
    <row r="8">
      <c r="A8" s="8" t="inlineStr">
        <is>
          <t>• Authorised, issued, subscribed and paid-up shares (number and amount), par value and rights/preferences</t>
        </is>
      </c>
    </row>
    <row r="9">
      <c r="A9" s="8" t="inlineStr">
        <is>
          <t>• Reconciliation of shares outstanding at the start and end of the year</t>
        </is>
      </c>
    </row>
    <row r="10">
      <c r="A10" s="8" t="inlineStr">
        <is>
          <t>• Shareholders holding more than 5%, and promoter shareholding at the end and at the beginning of the year with the % change</t>
        </is>
      </c>
    </row>
    <row r="12">
      <c r="A12" s="7" t="inlineStr">
        <is>
          <t>Note 2: Reserves and surplus</t>
        </is>
      </c>
      <c r="F12" s="17" t="inlineStr">
        <is>
          <t>↩ Balance Sheet</t>
        </is>
      </c>
    </row>
    <row r="13">
      <c r="A13" s="4" t="inlineStr">
        <is>
          <t>Particulars</t>
        </is>
      </c>
      <c r="B13" s="5" t="inlineStr">
        <is>
          <t>As at 31/03/2026</t>
        </is>
      </c>
      <c r="C13" s="5" t="inlineStr">
        <is>
          <t>As at 31/03/2025</t>
        </is>
      </c>
    </row>
    <row r="14">
      <c r="A14" s="8" t="inlineStr">
        <is>
          <t>General reserve</t>
        </is>
      </c>
      <c r="B14" s="10" t="n">
        <v>33.34</v>
      </c>
      <c r="C14" s="10" t="n">
        <v>33.34</v>
      </c>
    </row>
    <row r="15">
      <c r="A15" s="7" t="inlineStr">
        <is>
          <t>Surplus in the statement of profit and loss:</t>
        </is>
      </c>
    </row>
    <row r="16">
      <c r="A16" s="8" t="inlineStr">
        <is>
          <t>Opening balance</t>
        </is>
      </c>
      <c r="B16" s="10" t="n">
        <v>0</v>
      </c>
      <c r="C16" s="15" t="inlineStr">
        <is>
          <t>-</t>
        </is>
      </c>
    </row>
    <row r="17">
      <c r="A17" s="8" t="inlineStr">
        <is>
          <t>Add: profit for the year</t>
        </is>
      </c>
      <c r="B17" s="10" t="n">
        <v>17.72</v>
      </c>
      <c r="C17" s="15" t="inlineStr">
        <is>
          <t>-</t>
        </is>
      </c>
    </row>
    <row r="18">
      <c r="A18" s="8" t="inlineStr">
        <is>
          <t>Closing balance</t>
        </is>
      </c>
      <c r="B18" s="10" t="n">
        <v>17.72</v>
      </c>
      <c r="C18" s="10" t="n">
        <v>0</v>
      </c>
    </row>
    <row r="19">
      <c r="A19" s="11" t="inlineStr">
        <is>
          <t>Total</t>
        </is>
      </c>
      <c r="B19" s="12">
        <f>SUM(B14,B18)</f>
        <v>51.06</v>
      </c>
      <c r="C19" s="12">
        <f>SUM(C14,C18)</f>
        <v>33.34</v>
      </c>
    </row>
    <row r="20">
      <c r="A20" s="3" t="inlineStr">
        <is>
          <t>Information required (not available in Tally):</t>
        </is>
      </c>
    </row>
    <row r="21">
      <c r="A21" s="8" t="inlineStr">
        <is>
          <t>• Nature and purpose of each reserve; any appropriations (dividend, transfer to reserves) for the year</t>
        </is>
      </c>
    </row>
    <row r="23">
      <c r="A23" s="7" t="inlineStr">
        <is>
          <t>Note 3: Long-term borrowings</t>
        </is>
      </c>
      <c r="F23" s="17" t="inlineStr">
        <is>
          <t>↩ Balance Sheet</t>
        </is>
      </c>
    </row>
    <row r="24">
      <c r="A24" s="4" t="inlineStr">
        <is>
          <t>Particulars</t>
        </is>
      </c>
      <c r="B24" s="5" t="inlineStr">
        <is>
          <t>As at 31/03/2026</t>
        </is>
      </c>
      <c r="C24" s="5" t="inlineStr">
        <is>
          <t>As at 31/03/2025</t>
        </is>
      </c>
    </row>
    <row r="25">
      <c r="A25" s="8" t="inlineStr">
        <is>
          <t>Term loans from banks (secured)</t>
        </is>
      </c>
      <c r="B25" s="10" t="n">
        <v>12.5</v>
      </c>
      <c r="C25" s="10" t="n">
        <v>12.5</v>
      </c>
    </row>
    <row r="26">
      <c r="A26" s="8" t="inlineStr">
        <is>
          <t>Loans from directors / related parties (unsecured)</t>
        </is>
      </c>
      <c r="B26" s="10" t="n">
        <v>3</v>
      </c>
      <c r="C26" s="10" t="n">
        <v>3</v>
      </c>
    </row>
    <row r="27">
      <c r="A27" s="11" t="inlineStr">
        <is>
          <t>Total</t>
        </is>
      </c>
      <c r="B27" s="12">
        <f>SUM(B25:B26)</f>
        <v>15.5</v>
      </c>
      <c r="C27" s="12">
        <f>SUM(C25:C26)</f>
        <v>15.5</v>
      </c>
    </row>
    <row r="28">
      <c r="A28" s="3" t="inlineStr">
        <is>
          <t>Information required (not available in Tally):</t>
        </is>
      </c>
    </row>
    <row r="29">
      <c r="A29" s="8" t="inlineStr">
        <is>
          <t>• Terms of repayment, rate of interest and security for each loan; defaults; current maturities of long-term debt (to be shown under other current liabilities)</t>
        </is>
      </c>
    </row>
    <row r="30">
      <c r="A30" s="8" t="inlineStr">
        <is>
          <t>• Loans from directors and other related parties: terms and amounts (related-party disclosure)</t>
        </is>
      </c>
    </row>
    <row r="32">
      <c r="A32" s="7" t="inlineStr">
        <is>
          <t>Note 4: Trade payables</t>
        </is>
      </c>
      <c r="F32" s="17" t="inlineStr">
        <is>
          <t>↩ Balance Sheet</t>
        </is>
      </c>
    </row>
    <row r="33">
      <c r="A33" s="4" t="inlineStr">
        <is>
          <t>Particulars</t>
        </is>
      </c>
      <c r="B33" s="5" t="inlineStr">
        <is>
          <t>As at 31/03/2026</t>
        </is>
      </c>
      <c r="C33" s="5" t="inlineStr">
        <is>
          <t>As at 31/03/2025</t>
        </is>
      </c>
    </row>
    <row r="34">
      <c r="A34" s="8" t="inlineStr">
        <is>
          <t>Trade payables</t>
        </is>
      </c>
      <c r="B34" s="10" t="n">
        <v>138.56</v>
      </c>
      <c r="C34" s="10" t="n">
        <v>65.01000000000001</v>
      </c>
    </row>
    <row r="35">
      <c r="A35" s="11" t="inlineStr">
        <is>
          <t>Total</t>
        </is>
      </c>
      <c r="B35" s="12">
        <f>B34</f>
        <v>138.56</v>
      </c>
      <c r="C35" s="12">
        <f>C34</f>
        <v>65.01</v>
      </c>
    </row>
    <row r="36">
      <c r="A36" s="3" t="inlineStr">
        <is>
          <t>Information required (not available in Tally):</t>
        </is>
      </c>
    </row>
    <row r="37">
      <c r="A37" s="8" t="inlineStr">
        <is>
          <t>• Ageing of trade payables from the due date of payment (less than 1 year, 1-2, 2-3, more than 3 years): MSME, others and disputed dues</t>
        </is>
      </c>
    </row>
    <row r="38">
      <c r="A38" s="8" t="inlineStr">
        <is>
          <t>• Dues to micro and small enterprises (MSMED Act, 2006): principal, interest, payments beyond 45 days</t>
        </is>
      </c>
    </row>
    <row r="40">
      <c r="A40" s="7" t="inlineStr">
        <is>
          <t>Note 5: Other current liabilities</t>
        </is>
      </c>
      <c r="F40" s="17" t="inlineStr">
        <is>
          <t>↩ Balance Sheet</t>
        </is>
      </c>
    </row>
    <row r="41">
      <c r="A41" s="4" t="inlineStr">
        <is>
          <t>Particulars</t>
        </is>
      </c>
      <c r="B41" s="5" t="inlineStr">
        <is>
          <t>As at 31/03/2026</t>
        </is>
      </c>
      <c r="C41" s="5" t="inlineStr">
        <is>
          <t>As at 31/03/2025</t>
        </is>
      </c>
    </row>
    <row r="42">
      <c r="A42" s="8" t="inlineStr">
        <is>
          <t>Statutory dues: GST payable (net of input tax credit)</t>
        </is>
      </c>
      <c r="B42" s="10" t="n">
        <v>12.31</v>
      </c>
      <c r="C42" s="10" t="n">
        <v>6.04</v>
      </c>
    </row>
    <row r="43">
      <c r="A43" s="8" t="inlineStr">
        <is>
          <t>Outstanding expenses</t>
        </is>
      </c>
      <c r="B43" s="10" t="n">
        <v>3.25</v>
      </c>
      <c r="C43" s="10" t="n">
        <v>1.6</v>
      </c>
    </row>
    <row r="44">
      <c r="A44" s="8" t="inlineStr">
        <is>
          <t>Statutory dues: TDS / TCS payable</t>
        </is>
      </c>
      <c r="B44" s="10" t="n">
        <v>0.13</v>
      </c>
      <c r="C44" s="10" t="n">
        <v>0.07000000000000001</v>
      </c>
    </row>
    <row r="45">
      <c r="A45" s="11" t="inlineStr">
        <is>
          <t>Total</t>
        </is>
      </c>
      <c r="B45" s="12">
        <f>SUM(B42:B44)</f>
        <v>15.69</v>
      </c>
      <c r="C45" s="12">
        <f>SUM(C42:C44)</f>
        <v>7.71</v>
      </c>
    </row>
    <row r="46">
      <c r="A46" s="3" t="inlineStr">
        <is>
          <t>Information required (not available in Tally):</t>
        </is>
      </c>
    </row>
    <row r="47">
      <c r="A47" s="8" t="inlineStr">
        <is>
          <t>• Current maturities of long-term borrowings; statutory dues overdue, if any</t>
        </is>
      </c>
    </row>
    <row r="49">
      <c r="A49" s="7" t="inlineStr">
        <is>
          <t>Note 6: Property, plant and equipment</t>
        </is>
      </c>
      <c r="F49" s="17" t="inlineStr">
        <is>
          <t>↩ Balance Sheet</t>
        </is>
      </c>
    </row>
    <row r="50">
      <c r="A50" s="4" t="inlineStr">
        <is>
          <t>Particulars</t>
        </is>
      </c>
      <c r="B50" s="5" t="inlineStr">
        <is>
          <t>As at 31/03/2026</t>
        </is>
      </c>
      <c r="C50" s="5" t="inlineStr">
        <is>
          <t>As at 31/03/2025</t>
        </is>
      </c>
    </row>
    <row r="51">
      <c r="A51" s="8" t="inlineStr">
        <is>
          <t>Plant and equipment</t>
        </is>
      </c>
      <c r="B51" s="10" t="n">
        <v>15.47</v>
      </c>
      <c r="C51" s="10" t="n">
        <v>17.27</v>
      </c>
    </row>
    <row r="52">
      <c r="A52" s="8" t="inlineStr">
        <is>
          <t>Vehicles</t>
        </is>
      </c>
      <c r="B52" s="10" t="n">
        <v>4.5</v>
      </c>
      <c r="C52" s="10" t="n">
        <v>4.5</v>
      </c>
    </row>
    <row r="53">
      <c r="A53" s="8" t="inlineStr">
        <is>
          <t>Office equipment</t>
        </is>
      </c>
      <c r="B53" s="10" t="n">
        <v>1.2</v>
      </c>
      <c r="C53" s="10" t="n">
        <v>1.2</v>
      </c>
    </row>
    <row r="54">
      <c r="A54" s="8" t="inlineStr">
        <is>
          <t>Computers</t>
        </is>
      </c>
      <c r="B54" s="10" t="n">
        <v>0.85</v>
      </c>
      <c r="C54" s="10" t="n">
        <v>0.85</v>
      </c>
    </row>
    <row r="55">
      <c r="A55" s="8" t="inlineStr">
        <is>
          <t>Furniture and fixtures</t>
        </is>
      </c>
      <c r="B55" s="10" t="n">
        <v>0.65</v>
      </c>
      <c r="C55" s="10" t="n">
        <v>0.65</v>
      </c>
    </row>
    <row r="56">
      <c r="A56" s="11" t="inlineStr">
        <is>
          <t>Total</t>
        </is>
      </c>
      <c r="B56" s="12">
        <f>SUM(B51:B55)</f>
        <v>22.67</v>
      </c>
      <c r="C56" s="12">
        <f>SUM(C51:C55)</f>
        <v>24.47</v>
      </c>
    </row>
    <row r="58">
      <c r="A58" s="7" t="inlineStr">
        <is>
          <t>Movement in net book value during the year</t>
        </is>
      </c>
    </row>
    <row r="59">
      <c r="A59" s="4" t="inlineStr">
        <is>
          <t>Class</t>
        </is>
      </c>
      <c r="B59" s="5" t="inlineStr">
        <is>
          <t>Opening</t>
        </is>
      </c>
      <c r="C59" s="5" t="inlineStr">
        <is>
          <t>Additions</t>
        </is>
      </c>
      <c r="D59" s="5" t="inlineStr">
        <is>
          <t>Deductions / depreciation</t>
        </is>
      </c>
      <c r="E59" s="5" t="inlineStr">
        <is>
          <t>Closing</t>
        </is>
      </c>
    </row>
    <row r="60">
      <c r="A60" s="8" t="inlineStr">
        <is>
          <t>Plant and equipment</t>
        </is>
      </c>
      <c r="B60" s="10" t="n">
        <v>17.27</v>
      </c>
      <c r="C60" s="10" t="n">
        <v>0</v>
      </c>
      <c r="D60" s="10" t="n">
        <v>-1.8</v>
      </c>
      <c r="E60" s="10" t="n">
        <v>15.47</v>
      </c>
    </row>
    <row r="61">
      <c r="A61" s="8" t="inlineStr">
        <is>
          <t>Vehicles</t>
        </is>
      </c>
      <c r="B61" s="10" t="n">
        <v>4.5</v>
      </c>
      <c r="C61" s="10" t="n">
        <v>0</v>
      </c>
      <c r="D61" s="10" t="n">
        <v>0</v>
      </c>
      <c r="E61" s="10" t="n">
        <v>4.5</v>
      </c>
    </row>
    <row r="62">
      <c r="A62" s="8" t="inlineStr">
        <is>
          <t>Office equipment</t>
        </is>
      </c>
      <c r="B62" s="10" t="n">
        <v>1.2</v>
      </c>
      <c r="C62" s="10" t="n">
        <v>0</v>
      </c>
      <c r="D62" s="10" t="n">
        <v>0</v>
      </c>
      <c r="E62" s="10" t="n">
        <v>1.2</v>
      </c>
    </row>
    <row r="63">
      <c r="A63" s="8" t="inlineStr">
        <is>
          <t>Computers</t>
        </is>
      </c>
      <c r="B63" s="10" t="n">
        <v>0.85</v>
      </c>
      <c r="C63" s="10" t="n">
        <v>0</v>
      </c>
      <c r="D63" s="10" t="n">
        <v>0</v>
      </c>
      <c r="E63" s="10" t="n">
        <v>0.85</v>
      </c>
    </row>
    <row r="64">
      <c r="A64" s="8" t="inlineStr">
        <is>
          <t>Furniture and fixtures</t>
        </is>
      </c>
      <c r="B64" s="10" t="n">
        <v>0.65</v>
      </c>
      <c r="C64" s="10" t="n">
        <v>0</v>
      </c>
      <c r="D64" s="10" t="n">
        <v>0</v>
      </c>
      <c r="E64" s="10" t="n">
        <v>0.65</v>
      </c>
    </row>
    <row r="65">
      <c r="A65" s="11" t="inlineStr">
        <is>
          <t>Total</t>
        </is>
      </c>
      <c r="B65" s="12">
        <f>SUM(B60:B64)</f>
        <v>24.47</v>
      </c>
      <c r="C65" s="12">
        <f>SUM(C60:C64)</f>
        <v>0</v>
      </c>
      <c r="D65" s="12">
        <f>SUM(D60:D64)</f>
        <v>-1.8</v>
      </c>
      <c r="E65" s="12">
        <f>SUM(E60:E64)</f>
        <v>22.67</v>
      </c>
    </row>
    <row r="66">
      <c r="A66" s="3" t="inlineStr">
        <is>
          <t>Net book values as recorded in Tally. Depreciation is credited directly to the asset in the books, so gross block and accumulated depreciation are not available.</t>
        </is>
      </c>
    </row>
    <row r="67">
      <c r="A67" s="3" t="inlineStr">
        <is>
          <t>Information required (not available in Tally):</t>
        </is>
      </c>
    </row>
    <row r="68">
      <c r="A68" s="8" t="inlineStr">
        <is>
          <t>• Gross block, accumulated depreciation and impairment for each class; additions, disposals and transfers (Tally shows only the net book value here)</t>
        </is>
      </c>
    </row>
    <row r="69">
      <c r="A69" s="8" t="inlineStr">
        <is>
          <t>• Useful lives or depreciation rates and method; title deeds of immovable property; revaluation, if any</t>
        </is>
      </c>
    </row>
    <row r="71">
      <c r="A71" s="7" t="inlineStr">
        <is>
          <t>Note 7: Inventories</t>
        </is>
      </c>
      <c r="F71" s="17" t="inlineStr">
        <is>
          <t>↩ Balance Sheet</t>
        </is>
      </c>
    </row>
    <row r="72">
      <c r="A72" s="4" t="inlineStr">
        <is>
          <t>Particulars</t>
        </is>
      </c>
      <c r="B72" s="5" t="inlineStr">
        <is>
          <t>As at 31/03/2026</t>
        </is>
      </c>
      <c r="C72" s="5" t="inlineStr">
        <is>
          <t>As at 31/03/2025</t>
        </is>
      </c>
    </row>
    <row r="73">
      <c r="A73" s="8" t="inlineStr">
        <is>
          <t>Stock in hand (as shown in the trial balance)</t>
        </is>
      </c>
      <c r="B73" s="10" t="n">
        <v>10.75</v>
      </c>
      <c r="C73" s="10" t="n">
        <v>10.75</v>
      </c>
    </row>
    <row r="74">
      <c r="A74" s="11" t="inlineStr">
        <is>
          <t>Total</t>
        </is>
      </c>
      <c r="B74" s="12">
        <f>B73</f>
        <v>10.75</v>
      </c>
      <c r="C74" s="12">
        <f>C73</f>
        <v>10.75</v>
      </c>
    </row>
    <row r="75">
      <c r="A75" s="3" t="inlineStr">
        <is>
          <t>Information required (not available in Tally):</t>
        </is>
      </c>
    </row>
    <row r="76">
      <c r="A76" s="8" t="inlineStr">
        <is>
          <t>• Basis of valuation (lower of cost and net realisable value) and how closing stock was determined</t>
        </is>
      </c>
    </row>
    <row r="78">
      <c r="A78" s="7" t="inlineStr">
        <is>
          <t>Note 8: Trade receivables</t>
        </is>
      </c>
      <c r="F78" s="17" t="inlineStr">
        <is>
          <t>↩ Balance Sheet</t>
        </is>
      </c>
    </row>
    <row r="79">
      <c r="A79" s="4" t="inlineStr">
        <is>
          <t>Particulars</t>
        </is>
      </c>
      <c r="B79" s="5" t="inlineStr">
        <is>
          <t>As at 31/03/2026</t>
        </is>
      </c>
      <c r="C79" s="5" t="inlineStr">
        <is>
          <t>As at 31/03/2025</t>
        </is>
      </c>
    </row>
    <row r="80">
      <c r="A80" s="8" t="inlineStr">
        <is>
          <t>Trade receivables</t>
        </is>
      </c>
      <c r="B80" s="10" t="n">
        <v>179.23</v>
      </c>
      <c r="C80" s="10" t="n">
        <v>86.12</v>
      </c>
    </row>
    <row r="81">
      <c r="A81" s="11" t="inlineStr">
        <is>
          <t>Total</t>
        </is>
      </c>
      <c r="B81" s="12">
        <f>B80</f>
        <v>179.23</v>
      </c>
      <c r="C81" s="12">
        <f>C80</f>
        <v>86.12</v>
      </c>
    </row>
    <row r="82">
      <c r="A82" s="3" t="inlineStr">
        <is>
          <t>Information required (not available in Tally):</t>
        </is>
      </c>
    </row>
    <row r="83">
      <c r="A83" s="8" t="inlineStr">
        <is>
          <t>• Ageing of trade receivables from the due date of payment (under 6 months, 6 months to 1 year, 1-2, 2-3, over 3 years): undisputed and disputed, good and doubtful</t>
        </is>
      </c>
    </row>
    <row r="84">
      <c r="A84" s="8" t="inlineStr">
        <is>
          <t>• Receivables from related parties and from directors; provision for doubtful debts</t>
        </is>
      </c>
    </row>
    <row r="86">
      <c r="A86" s="7" t="inlineStr">
        <is>
          <t>Note 9: Cash and bank balances</t>
        </is>
      </c>
      <c r="F86" s="17" t="inlineStr">
        <is>
          <t>↩ Balance Sheet</t>
        </is>
      </c>
    </row>
    <row r="87">
      <c r="A87" s="4" t="inlineStr">
        <is>
          <t>Particulars</t>
        </is>
      </c>
      <c r="B87" s="5" t="inlineStr">
        <is>
          <t>As at 31/03/2026</t>
        </is>
      </c>
      <c r="C87" s="5" t="inlineStr">
        <is>
          <t>As at 31/03/2025</t>
        </is>
      </c>
    </row>
    <row r="88">
      <c r="A88" s="8" t="inlineStr">
        <is>
          <t>Balances with banks (current accounts)</t>
        </is>
      </c>
      <c r="B88" s="10" t="n">
        <v>32.18</v>
      </c>
      <c r="C88" s="10" t="n">
        <v>24.17</v>
      </c>
    </row>
    <row r="89">
      <c r="A89" s="8" t="inlineStr">
        <is>
          <t>Other bank balances (bank deposits)</t>
        </is>
      </c>
      <c r="B89" s="10" t="n">
        <v>5</v>
      </c>
      <c r="C89" s="10" t="n">
        <v>5</v>
      </c>
    </row>
    <row r="90">
      <c r="A90" s="8" t="inlineStr">
        <is>
          <t>Cash on hand</t>
        </is>
      </c>
      <c r="B90" s="10" t="n">
        <v>0.28</v>
      </c>
      <c r="C90" s="10" t="n">
        <v>0.35</v>
      </c>
    </row>
    <row r="91">
      <c r="A91" s="11" t="inlineStr">
        <is>
          <t>Total</t>
        </is>
      </c>
      <c r="B91" s="12">
        <f>SUM(B88:B90)</f>
        <v>37.46</v>
      </c>
      <c r="C91" s="12">
        <f>SUM(C88:C90)</f>
        <v>29.52</v>
      </c>
    </row>
    <row r="92">
      <c r="A92" s="3" t="inlineStr">
        <is>
          <t>Information required (not available in Tally):</t>
        </is>
      </c>
    </row>
    <row r="93">
      <c r="A93" s="8" t="inlineStr">
        <is>
          <t>• Maturity and any lien/margin on bank deposits; earmarked balances</t>
        </is>
      </c>
    </row>
    <row r="95">
      <c r="A95" s="7" t="inlineStr">
        <is>
          <t>Note 10: Revenue from operations</t>
        </is>
      </c>
      <c r="F95" s="17" t="inlineStr">
        <is>
          <t>↩ P&amp;L</t>
        </is>
      </c>
    </row>
    <row r="96">
      <c r="A96" s="4" t="inlineStr">
        <is>
          <t>Particulars</t>
        </is>
      </c>
      <c r="B96" s="5" t="inlineStr">
        <is>
          <t>Year ended 31/03/2026</t>
        </is>
      </c>
    </row>
    <row r="97">
      <c r="A97" s="8" t="inlineStr">
        <is>
          <t>Sale of products</t>
        </is>
      </c>
      <c r="B97" s="10" t="n">
        <v>127.29</v>
      </c>
    </row>
    <row r="98">
      <c r="A98" s="11" t="inlineStr">
        <is>
          <t>Total</t>
        </is>
      </c>
      <c r="B98" s="12">
        <f>B97</f>
        <v>127.29</v>
      </c>
    </row>
    <row r="99">
      <c r="A99" s="3" t="inlineStr">
        <is>
          <t>Information required (not available in Tally):</t>
        </is>
      </c>
    </row>
    <row r="100">
      <c r="A100" s="8" t="inlineStr">
        <is>
          <t>• Break-up of revenue by product/service where material; GST treatment of sales</t>
        </is>
      </c>
    </row>
    <row r="102">
      <c r="A102" s="7" t="inlineStr">
        <is>
          <t>Note 11: Other income</t>
        </is>
      </c>
      <c r="F102" s="17" t="inlineStr">
        <is>
          <t>↩ P&amp;L</t>
        </is>
      </c>
    </row>
    <row r="103">
      <c r="A103" s="4" t="inlineStr">
        <is>
          <t>Particulars</t>
        </is>
      </c>
      <c r="B103" s="5" t="inlineStr">
        <is>
          <t>Year ended 31/03/2026</t>
        </is>
      </c>
    </row>
    <row r="104">
      <c r="A104" s="8" t="inlineStr">
        <is>
          <t>Interest income</t>
        </is>
      </c>
      <c r="B104" s="10" t="n">
        <v>0.53</v>
      </c>
    </row>
    <row r="105">
      <c r="A105" s="8" t="inlineStr">
        <is>
          <t>Other non-operating income</t>
        </is>
      </c>
      <c r="B105" s="10" t="n">
        <v>0.34</v>
      </c>
    </row>
    <row r="106">
      <c r="A106" s="11" t="inlineStr">
        <is>
          <t>Total</t>
        </is>
      </c>
      <c r="B106" s="12">
        <f>SUM(B104:B105)</f>
        <v>0.87</v>
      </c>
    </row>
    <row r="108">
      <c r="A108" s="7" t="inlineStr">
        <is>
          <t>Note 12: Cost of materials consumed</t>
        </is>
      </c>
      <c r="F108" s="17" t="inlineStr">
        <is>
          <t>↩ P&amp;L</t>
        </is>
      </c>
    </row>
    <row r="109">
      <c r="A109" s="4" t="inlineStr">
        <is>
          <t>Particulars</t>
        </is>
      </c>
      <c r="B109" s="5" t="inlineStr">
        <is>
          <t>Year ended 31/03/2026</t>
        </is>
      </c>
    </row>
    <row r="110">
      <c r="A110" s="8" t="inlineStr">
        <is>
          <t>Purchases of raw materials</t>
        </is>
      </c>
      <c r="B110" s="10" t="n">
        <v>89.43000000000001</v>
      </c>
    </row>
    <row r="111">
      <c r="A111" s="11" t="inlineStr">
        <is>
          <t>Total</t>
        </is>
      </c>
      <c r="B111" s="12">
        <f>B110</f>
        <v>89.43</v>
      </c>
    </row>
    <row r="113">
      <c r="A113" s="7" t="inlineStr">
        <is>
          <t>Note 13: Employee benefit expense</t>
        </is>
      </c>
      <c r="F113" s="17" t="inlineStr">
        <is>
          <t>↩ P&amp;L</t>
        </is>
      </c>
    </row>
    <row r="114">
      <c r="A114" s="4" t="inlineStr">
        <is>
          <t>Particulars</t>
        </is>
      </c>
      <c r="B114" s="5" t="inlineStr">
        <is>
          <t>Year ended 31/03/2026</t>
        </is>
      </c>
    </row>
    <row r="115">
      <c r="A115" s="8" t="inlineStr">
        <is>
          <t>Factory wages</t>
        </is>
      </c>
      <c r="B115" s="10" t="n">
        <v>1.7</v>
      </c>
    </row>
    <row r="116">
      <c r="A116" s="8" t="inlineStr">
        <is>
          <t>Salaries, wages and staff welfare</t>
        </is>
      </c>
      <c r="B116" s="10" t="n">
        <v>1.65</v>
      </c>
    </row>
    <row r="117">
      <c r="A117" s="8" t="inlineStr">
        <is>
          <t>Directors' remuneration</t>
        </is>
      </c>
      <c r="B117" s="10" t="n">
        <v>0.44</v>
      </c>
    </row>
    <row r="118">
      <c r="A118" s="11" t="inlineStr">
        <is>
          <t>Total</t>
        </is>
      </c>
      <c r="B118" s="12">
        <f>SUM(B115:B117)</f>
        <v>3.79</v>
      </c>
    </row>
    <row r="120">
      <c r="A120" s="7" t="inlineStr">
        <is>
          <t>Note 14: Finance costs</t>
        </is>
      </c>
      <c r="F120" s="17" t="inlineStr">
        <is>
          <t>↩ P&amp;L</t>
        </is>
      </c>
    </row>
    <row r="121">
      <c r="A121" s="4" t="inlineStr">
        <is>
          <t>Particulars</t>
        </is>
      </c>
      <c r="B121" s="5" t="inlineStr">
        <is>
          <t>Year ended 31/03/2026</t>
        </is>
      </c>
    </row>
    <row r="122">
      <c r="A122" s="8" t="inlineStr">
        <is>
          <t>Interest expense</t>
        </is>
      </c>
      <c r="B122" s="10" t="n">
        <v>0.77</v>
      </c>
    </row>
    <row r="123">
      <c r="A123" s="11" t="inlineStr">
        <is>
          <t>Total</t>
        </is>
      </c>
      <c r="B123" s="12">
        <f>B122</f>
        <v>0.77</v>
      </c>
    </row>
    <row r="125">
      <c r="A125" s="7" t="inlineStr">
        <is>
          <t>Note 15: Depreciation and amortisation expense</t>
        </is>
      </c>
      <c r="F125" s="17" t="inlineStr">
        <is>
          <t>↩ P&amp;L</t>
        </is>
      </c>
    </row>
    <row r="126">
      <c r="A126" s="4" t="inlineStr">
        <is>
          <t>Particulars</t>
        </is>
      </c>
      <c r="B126" s="5" t="inlineStr">
        <is>
          <t>Year ended 31/03/2026</t>
        </is>
      </c>
    </row>
    <row r="127">
      <c r="A127" s="8" t="inlineStr">
        <is>
          <t>Depreciation and amortisation</t>
        </is>
      </c>
      <c r="B127" s="10" t="n">
        <v>1.8</v>
      </c>
    </row>
    <row r="128">
      <c r="A128" s="11" t="inlineStr">
        <is>
          <t>Total</t>
        </is>
      </c>
      <c r="B128" s="12">
        <f>B127</f>
        <v>1.8</v>
      </c>
    </row>
    <row r="130">
      <c r="A130" s="7" t="inlineStr">
        <is>
          <t>Note 16: Other expenses</t>
        </is>
      </c>
      <c r="F130" s="17" t="inlineStr">
        <is>
          <t>↩ P&amp;L</t>
        </is>
      </c>
    </row>
    <row r="131">
      <c r="A131" s="4" t="inlineStr">
        <is>
          <t>Particulars</t>
        </is>
      </c>
      <c r="B131" s="5" t="inlineStr">
        <is>
          <t>Year ended 31/03/2026</t>
        </is>
      </c>
    </row>
    <row r="132">
      <c r="A132" s="8" t="inlineStr">
        <is>
          <t>Repairs to machinery</t>
        </is>
      </c>
      <c r="B132" s="10" t="n">
        <v>2.56</v>
      </c>
    </row>
    <row r="133">
      <c r="A133" s="8" t="inlineStr">
        <is>
          <t>Job work charges</t>
        </is>
      </c>
      <c r="B133" s="10" t="n">
        <v>2.41</v>
      </c>
    </row>
    <row r="134">
      <c r="A134" s="8" t="inlineStr">
        <is>
          <t>Selling and distribution expenses</t>
        </is>
      </c>
      <c r="B134" s="10" t="n">
        <v>2.35</v>
      </c>
    </row>
    <row r="135">
      <c r="A135" s="8" t="inlineStr">
        <is>
          <t>Rent</t>
        </is>
      </c>
      <c r="B135" s="10" t="n">
        <v>2.13</v>
      </c>
    </row>
    <row r="136">
      <c r="A136" s="8" t="inlineStr">
        <is>
          <t>Legal and professional fees</t>
        </is>
      </c>
      <c r="B136" s="10" t="n">
        <v>1.54</v>
      </c>
    </row>
    <row r="137">
      <c r="A137" s="8" t="inlineStr">
        <is>
          <t>Travelling and conveyance</t>
        </is>
      </c>
      <c r="B137" s="10" t="n">
        <v>1.48</v>
      </c>
    </row>
    <row r="138">
      <c r="A138" s="8" t="inlineStr">
        <is>
          <t>Miscellaneous expenses</t>
        </is>
      </c>
      <c r="B138" s="10" t="n">
        <v>1</v>
      </c>
    </row>
    <row r="139">
      <c r="A139" s="8" t="inlineStr">
        <is>
          <t>Payment to auditors</t>
        </is>
      </c>
      <c r="B139" s="10" t="n">
        <v>0.4</v>
      </c>
    </row>
    <row r="140">
      <c r="A140" s="8" t="inlineStr">
        <is>
          <t>Insurance</t>
        </is>
      </c>
      <c r="B140" s="10" t="n">
        <v>0.35</v>
      </c>
    </row>
    <row r="141">
      <c r="A141" s="8" t="inlineStr">
        <is>
          <t>Bank charges</t>
        </is>
      </c>
      <c r="B141" s="10" t="n">
        <v>0.23</v>
      </c>
    </row>
    <row r="142">
      <c r="A142" s="8" t="inlineStr">
        <is>
          <t>Printing and stationery</t>
        </is>
      </c>
      <c r="B142" s="10" t="n">
        <v>0.13</v>
      </c>
    </row>
    <row r="143">
      <c r="A143" s="8" t="inlineStr">
        <is>
          <t>Communication expenses</t>
        </is>
      </c>
      <c r="B143" s="10" t="n">
        <v>0.07000000000000001</v>
      </c>
    </row>
    <row r="144">
      <c r="A144" s="11" t="inlineStr">
        <is>
          <t>Total</t>
        </is>
      </c>
      <c r="B144" s="12">
        <f>SUM(B132:B143)</f>
        <v>14.65</v>
      </c>
    </row>
    <row r="145">
      <c r="A145" s="3" t="inlineStr">
        <is>
          <t>Information required (not available in Tally):</t>
        </is>
      </c>
    </row>
    <row r="146">
      <c r="A146" s="8" t="inlineStr">
        <is>
          <t>• Payment to auditors: audit fee, tax audit, other services, reimbursements</t>
        </is>
      </c>
    </row>
    <row r="147">
      <c r="A147" s="8" t="inlineStr">
        <is>
          <t>• Items of other expenses exceeding 1% of revenue or Rs 1,00,000, whichever is higher, shown separately</t>
        </is>
      </c>
    </row>
    <row r="148">
      <c r="A148" s="8" t="inlineStr">
        <is>
          <t>• CSR expenditure (Sec 135) if applicable; value of imports and foreign exchange earnings/outgo</t>
        </is>
      </c>
    </row>
    <row r="150">
      <c r="A150" s="7" t="inlineStr">
        <is>
          <t>Note 17: Analytical ratios</t>
        </is>
      </c>
    </row>
    <row r="151">
      <c r="A151" s="4" t="inlineStr">
        <is>
          <t>Ratio</t>
        </is>
      </c>
      <c r="B151" s="5" t="inlineStr">
        <is>
          <t>Current year</t>
        </is>
      </c>
      <c r="C151" s="5" t="inlineStr">
        <is>
          <t>Previous year</t>
        </is>
      </c>
      <c r="D151" s="5" t="inlineStr">
        <is>
          <t>% change</t>
        </is>
      </c>
      <c r="E151" s="5" t="inlineStr">
        <is>
          <t>Reason for change over 25%</t>
        </is>
      </c>
    </row>
    <row r="152">
      <c r="A152" s="8" t="inlineStr">
        <is>
          <t>Current ratio</t>
        </is>
      </c>
      <c r="B152" s="10" t="inlineStr">
        <is>
          <t>1.47x</t>
        </is>
      </c>
      <c r="C152" s="10" t="inlineStr">
        <is>
          <t>1.74x</t>
        </is>
      </c>
      <c r="D152" s="10" t="inlineStr">
        <is>
          <t>(15.2%)</t>
        </is>
      </c>
      <c r="E152" s="10" t="inlineStr">
        <is>
          <t>-</t>
        </is>
      </c>
    </row>
    <row r="153">
      <c r="A153" s="8" t="inlineStr">
        <is>
          <t>Debt-equity ratio</t>
        </is>
      </c>
      <c r="B153" s="10" t="inlineStr">
        <is>
          <t>0.19x</t>
        </is>
      </c>
      <c r="C153" s="10" t="inlineStr">
        <is>
          <t>0.25x</t>
        </is>
      </c>
      <c r="D153" s="10" t="inlineStr">
        <is>
          <t>(22.1%)</t>
        </is>
      </c>
      <c r="E153" s="10" t="inlineStr">
        <is>
          <t>-</t>
        </is>
      </c>
    </row>
    <row r="154">
      <c r="A154" s="8" t="inlineStr">
        <is>
          <t>Debt service coverage ratio</t>
        </is>
      </c>
      <c r="B154" s="10" t="inlineStr">
        <is>
          <t>26.35x</t>
        </is>
      </c>
      <c r="C154" s="10" t="inlineStr">
        <is>
          <t>n/a</t>
        </is>
      </c>
      <c r="D154" s="10" t="inlineStr">
        <is>
          <t>n/a</t>
        </is>
      </c>
      <c r="E154" s="10" t="inlineStr">
        <is>
          <t>Previous-year figure needs the previous year's profit and loss.</t>
        </is>
      </c>
    </row>
    <row r="155">
      <c r="A155" s="8" t="inlineStr">
        <is>
          <t>Return on equity</t>
        </is>
      </c>
      <c r="B155" s="10" t="inlineStr">
        <is>
          <t>24.78%</t>
        </is>
      </c>
      <c r="C155" s="10" t="inlineStr">
        <is>
          <t>n/a</t>
        </is>
      </c>
      <c r="D155" s="10" t="inlineStr">
        <is>
          <t>n/a</t>
        </is>
      </c>
      <c r="E155" s="10" t="inlineStr">
        <is>
          <t>Previous-year figure needs the previous year's profit and loss.</t>
        </is>
      </c>
    </row>
    <row r="156">
      <c r="A156" s="8" t="inlineStr">
        <is>
          <t>Inventory turnover ratio</t>
        </is>
      </c>
      <c r="B156" s="10" t="inlineStr">
        <is>
          <t>8.32x</t>
        </is>
      </c>
      <c r="C156" s="10" t="inlineStr">
        <is>
          <t>n/a</t>
        </is>
      </c>
      <c r="D156" s="10" t="inlineStr">
        <is>
          <t>n/a</t>
        </is>
      </c>
      <c r="E156" s="10" t="inlineStr">
        <is>
          <t>Previous-year figure needs the previous year's profit and loss.</t>
        </is>
      </c>
    </row>
    <row r="157">
      <c r="A157" s="8" t="inlineStr">
        <is>
          <t>Trade receivables turnover ratio</t>
        </is>
      </c>
      <c r="B157" s="10" t="inlineStr">
        <is>
          <t>0.96x</t>
        </is>
      </c>
      <c r="C157" s="10" t="inlineStr">
        <is>
          <t>n/a</t>
        </is>
      </c>
      <c r="D157" s="10" t="inlineStr">
        <is>
          <t>n/a</t>
        </is>
      </c>
      <c r="E157" s="10" t="inlineStr">
        <is>
          <t>Previous-year figure needs the previous year's profit and loss.</t>
        </is>
      </c>
    </row>
    <row r="158">
      <c r="A158" s="8" t="inlineStr">
        <is>
          <t>Trade payables turnover ratio</t>
        </is>
      </c>
      <c r="B158" s="10" t="inlineStr">
        <is>
          <t>0.88x</t>
        </is>
      </c>
      <c r="C158" s="10" t="inlineStr">
        <is>
          <t>n/a</t>
        </is>
      </c>
      <c r="D158" s="10" t="inlineStr">
        <is>
          <t>n/a</t>
        </is>
      </c>
      <c r="E158" s="10" t="inlineStr">
        <is>
          <t>Previous-year figure needs the previous year's profit and loss.</t>
        </is>
      </c>
    </row>
    <row r="159">
      <c r="A159" s="8" t="inlineStr">
        <is>
          <t>Net capital turnover ratio</t>
        </is>
      </c>
      <c r="B159" s="10" t="inlineStr">
        <is>
          <t>2.01x</t>
        </is>
      </c>
      <c r="C159" s="10" t="inlineStr">
        <is>
          <t>n/a</t>
        </is>
      </c>
      <c r="D159" s="10" t="inlineStr">
        <is>
          <t>n/a</t>
        </is>
      </c>
      <c r="E159" s="10" t="inlineStr">
        <is>
          <t>Previous-year figure needs the previous year's profit and loss.</t>
        </is>
      </c>
    </row>
    <row r="160">
      <c r="A160" s="8" t="inlineStr">
        <is>
          <t>Net profit ratio</t>
        </is>
      </c>
      <c r="B160" s="10" t="inlineStr">
        <is>
          <t>13.92%</t>
        </is>
      </c>
      <c r="C160" s="10" t="inlineStr">
        <is>
          <t>n/a</t>
        </is>
      </c>
      <c r="D160" s="10" t="inlineStr">
        <is>
          <t>n/a</t>
        </is>
      </c>
      <c r="E160" s="10" t="inlineStr">
        <is>
          <t>Previous-year figure needs the previous year's profit and loss.</t>
        </is>
      </c>
    </row>
    <row r="161">
      <c r="A161" s="8" t="inlineStr">
        <is>
          <t>Return on capital employed</t>
        </is>
      </c>
      <c r="B161" s="10" t="inlineStr">
        <is>
          <t>19.29%</t>
        </is>
      </c>
      <c r="C161" s="10" t="inlineStr">
        <is>
          <t>n/a</t>
        </is>
      </c>
      <c r="D161" s="10" t="inlineStr">
        <is>
          <t>n/a</t>
        </is>
      </c>
      <c r="E161" s="10" t="inlineStr">
        <is>
          <t>Previous-year figure needs the previous year's profit and loss.</t>
        </is>
      </c>
    </row>
    <row r="162">
      <c r="A162" s="8" t="inlineStr">
        <is>
          <t>Return on investment</t>
        </is>
      </c>
      <c r="B162" s="10" t="inlineStr">
        <is>
          <t>n/a</t>
        </is>
      </c>
      <c r="C162" s="10" t="inlineStr">
        <is>
          <t>n/a</t>
        </is>
      </c>
      <c r="D162" s="10" t="inlineStr">
        <is>
          <t>n/a</t>
        </is>
      </c>
      <c r="E162" s="10" t="inlineStr">
        <is>
          <t>Not applicable</t>
        </is>
      </c>
    </row>
    <row r="164">
      <c r="A164" s="7" t="inlineStr">
        <is>
          <t>Items included in the numerator and denominator</t>
        </is>
      </c>
    </row>
    <row r="165">
      <c r="A165" s="4" t="inlineStr">
        <is>
          <t>Ratio</t>
        </is>
      </c>
      <c r="B165" s="5" t="inlineStr">
        <is>
          <t>Numerator</t>
        </is>
      </c>
      <c r="C165" s="5" t="inlineStr">
        <is>
          <t>Denominator</t>
        </is>
      </c>
    </row>
    <row r="166">
      <c r="A166" s="8" t="inlineStr">
        <is>
          <t>Current ratio</t>
        </is>
      </c>
      <c r="B166" s="10" t="inlineStr">
        <is>
          <t>Current assets</t>
        </is>
      </c>
      <c r="C166" s="10" t="inlineStr">
        <is>
          <t>current liabilities</t>
        </is>
      </c>
    </row>
    <row r="167">
      <c r="A167" s="8" t="inlineStr">
        <is>
          <t>Debt-equity ratio</t>
        </is>
      </c>
      <c r="B167" s="10" t="inlineStr">
        <is>
          <t>Total borrowings</t>
        </is>
      </c>
      <c r="C167" s="10" t="inlineStr">
        <is>
          <t>shareholders' equity</t>
        </is>
      </c>
    </row>
    <row r="168">
      <c r="A168" s="8" t="inlineStr">
        <is>
          <t>Debt service coverage ratio</t>
        </is>
      </c>
      <c r="B168" s="10" t="inlineStr">
        <is>
          <t>(Profit before tax + depreciation + finance costs)</t>
        </is>
      </c>
      <c r="C168" s="10" t="inlineStr">
        <is>
          <t>(finance costs + principal repaid)</t>
        </is>
      </c>
    </row>
    <row r="169">
      <c r="A169" s="8" t="inlineStr">
        <is>
          <t>Return on equity</t>
        </is>
      </c>
      <c r="B169" s="10" t="inlineStr">
        <is>
          <t>Profit after tax</t>
        </is>
      </c>
      <c r="C169" s="10" t="inlineStr">
        <is>
          <t>average shareholders' equity</t>
        </is>
      </c>
    </row>
    <row r="170">
      <c r="A170" s="8" t="inlineStr">
        <is>
          <t>Inventory turnover ratio</t>
        </is>
      </c>
      <c r="B170" s="10" t="inlineStr">
        <is>
          <t>Cost of goods sold</t>
        </is>
      </c>
      <c r="C170" s="10" t="inlineStr">
        <is>
          <t>average inventory</t>
        </is>
      </c>
    </row>
    <row r="171">
      <c r="A171" s="8" t="inlineStr">
        <is>
          <t>Trade receivables turnover ratio</t>
        </is>
      </c>
      <c r="B171" s="10" t="inlineStr">
        <is>
          <t>Net credit sales</t>
        </is>
      </c>
      <c r="C171" s="10" t="inlineStr">
        <is>
          <t>average trade receivables</t>
        </is>
      </c>
    </row>
    <row r="172">
      <c r="A172" s="8" t="inlineStr">
        <is>
          <t>Trade payables turnover ratio</t>
        </is>
      </c>
      <c r="B172" s="10" t="inlineStr">
        <is>
          <t>Net credit purchases</t>
        </is>
      </c>
      <c r="C172" s="10" t="inlineStr">
        <is>
          <t>average trade payables</t>
        </is>
      </c>
    </row>
    <row r="173">
      <c r="A173" s="8" t="inlineStr">
        <is>
          <t>Net capital turnover ratio</t>
        </is>
      </c>
      <c r="B173" s="10" t="inlineStr">
        <is>
          <t>Net sales</t>
        </is>
      </c>
      <c r="C173" s="10" t="inlineStr">
        <is>
          <t>average working capital</t>
        </is>
      </c>
    </row>
    <row r="174">
      <c r="A174" s="8" t="inlineStr">
        <is>
          <t>Net profit ratio</t>
        </is>
      </c>
      <c r="B174" s="10" t="inlineStr">
        <is>
          <t>Profit after tax</t>
        </is>
      </c>
      <c r="C174" s="10" t="inlineStr">
        <is>
          <t>net sales</t>
        </is>
      </c>
    </row>
    <row r="175">
      <c r="A175" s="8" t="inlineStr">
        <is>
          <t>Return on capital employed</t>
        </is>
      </c>
      <c r="B175" s="10" t="inlineStr">
        <is>
          <t>EBIT</t>
        </is>
      </c>
      <c r="C175" s="10" t="inlineStr">
        <is>
          <t>(tangible net worth + total debt + deferred tax liability)</t>
        </is>
      </c>
    </row>
    <row r="176">
      <c r="A176" s="8" t="inlineStr">
        <is>
          <t>Return on investment</t>
        </is>
      </c>
      <c r="B176" s="10" t="inlineStr">
        <is>
          <t>Income from investments</t>
        </is>
      </c>
      <c r="C176" s="10" t="inlineStr">
        <is>
          <t>average investments</t>
        </is>
      </c>
    </row>
    <row r="177">
      <c r="A177" s="3" t="inlineStr">
        <is>
          <t>A ratio is shown as not measurable where it needs the previous year's profit and loss, which was not loaded.</t>
        </is>
      </c>
    </row>
    <row r="178">
      <c r="A178" s="3" t="inlineStr">
        <is>
          <t>Information required (not available in Tally):</t>
        </is>
      </c>
    </row>
    <row r="179">
      <c r="A179" s="8" t="inlineStr">
        <is>
          <t>• Return on investment: the time-weighted method needs the market value and cash flows of the investment portfolio</t>
        </is>
      </c>
    </row>
  </sheetData>
  <hyperlinks>
    <hyperlink ref="F3" location="'Balance Sheet'!A8" display="↩ Balance Sheet"/>
    <hyperlink ref="F12" location="'Balance Sheet'!A9" display="↩ Balance Sheet"/>
    <hyperlink ref="F23" location="'Balance Sheet'!A11" display="↩ Balance Sheet"/>
    <hyperlink ref="F32" location="'Balance Sheet'!A13" display="↩ Balance Sheet"/>
    <hyperlink ref="F40" location="'Balance Sheet'!A14" display="↩ Balance Sheet"/>
    <hyperlink ref="F49" location="'Balance Sheet'!A19" display="↩ Balance Sheet"/>
    <hyperlink ref="F71" location="'Balance Sheet'!A21" display="↩ Balance Sheet"/>
    <hyperlink ref="F78" location="'Balance Sheet'!A22" display="↩ Balance Sheet"/>
    <hyperlink ref="F86" location="'Balance Sheet'!A23" display="↩ Balance Sheet"/>
    <hyperlink ref="F95" location="'P&amp;L'!A6" display="↩ P&amp;L"/>
    <hyperlink ref="F102" location="'P&amp;L'!A7" display="↩ P&amp;L"/>
    <hyperlink ref="F108" location="'P&amp;L'!A10" display="↩ P&amp;L"/>
    <hyperlink ref="F113" location="'P&amp;L'!A11" display="↩ P&amp;L"/>
    <hyperlink ref="F120" location="'P&amp;L'!A12" display="↩ P&amp;L"/>
    <hyperlink ref="F125" location="'P&amp;L'!A13" display="↩ P&amp;L"/>
    <hyperlink ref="F130" location="'P&amp;L'!A14" display="↩ P&amp;L"/>
  </hyperlinks>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H136"/>
  <sheetViews>
    <sheetView workbookViewId="0">
      <selection activeCell="A1" sqref="A1"/>
    </sheetView>
  </sheetViews>
  <sheetFormatPr baseColWidth="8" defaultRowHeight="15"/>
  <cols>
    <col width="46" customWidth="1" min="1" max="1"/>
    <col width="34" customWidth="1" min="2" max="2"/>
    <col width="34" customWidth="1" min="3" max="3"/>
    <col width="28" customWidth="1" min="4" max="4"/>
    <col width="16" customWidth="1" min="5" max="5"/>
    <col width="16" customWidth="1" min="6" max="6"/>
    <col width="16" customWidth="1" min="7" max="7"/>
    <col width="16" customWidth="1" min="8" max="8"/>
  </cols>
  <sheetData>
    <row r="1">
      <c r="A1" s="2" t="inlineStr">
        <is>
          <t>Additional regulatory information and other statutory disclosures</t>
        </is>
      </c>
    </row>
    <row r="2">
      <c r="A2" s="3" t="inlineStr">
        <is>
          <t>Facts the books show are stated with their source; where only management can answer the cell says so. A blank or bracketed cell is not a statement that the item is nil.</t>
        </is>
      </c>
    </row>
    <row r="4">
      <c r="A4" s="7" t="inlineStr">
        <is>
          <t>D1. Payment to auditors</t>
        </is>
      </c>
      <c r="B4" s="18" t="inlineStr">
        <is>
          <t>Schedule III, Division I (other expenses); Sec 143</t>
        </is>
      </c>
    </row>
    <row r="5">
      <c r="A5" s="19" t="inlineStr">
        <is>
          <t>Particulars</t>
        </is>
      </c>
      <c r="B5" s="19" t="inlineStr">
        <is>
          <t>Current year</t>
        </is>
      </c>
      <c r="C5" s="19" t="inlineStr">
        <is>
          <t>Previous year</t>
        </is>
      </c>
    </row>
    <row r="6" ht="15" customHeight="1">
      <c r="A6" s="16" t="inlineStr">
        <is>
          <t>Statutory audit fee</t>
        </is>
      </c>
      <c r="B6" s="16" t="inlineStr">
        <is>
          <t>0.40</t>
        </is>
      </c>
      <c r="C6" s="16" t="inlineStr">
        <is>
          <t>Not loaded</t>
        </is>
      </c>
    </row>
    <row r="7" ht="15" customHeight="1">
      <c r="A7" s="16" t="inlineStr">
        <is>
          <t>Tax audit fee</t>
        </is>
      </c>
      <c r="B7" s="16" t="inlineStr">
        <is>
          <t>[Management to provide]</t>
        </is>
      </c>
      <c r="C7" s="16" t="inlineStr">
        <is>
          <t>[Management to provide]</t>
        </is>
      </c>
    </row>
    <row r="8" ht="30" customHeight="1">
      <c r="A8" s="16" t="inlineStr">
        <is>
          <t>Other services (certification, limited review)</t>
        </is>
      </c>
      <c r="B8" s="16" t="inlineStr">
        <is>
          <t>[Management to provide]</t>
        </is>
      </c>
      <c r="C8" s="16" t="inlineStr">
        <is>
          <t>[Management to provide]</t>
        </is>
      </c>
    </row>
    <row r="9" ht="15" customHeight="1">
      <c r="A9" s="16" t="inlineStr">
        <is>
          <t>Reimbursement of out-of-pocket expenses</t>
        </is>
      </c>
      <c r="B9" s="16" t="inlineStr">
        <is>
          <t>[Management to provide]</t>
        </is>
      </c>
      <c r="C9" s="16" t="inlineStr">
        <is>
          <t>[Management to provide]</t>
        </is>
      </c>
    </row>
    <row r="10" ht="30" customHeight="1">
      <c r="A10" s="16" t="inlineStr">
        <is>
          <t>Total charged to the statement of profit and loss</t>
        </is>
      </c>
      <c r="B10" s="16" t="inlineStr">
        <is>
          <t>0.40</t>
        </is>
      </c>
      <c r="C10" s="16" t="inlineStr">
        <is>
          <t>Not loaded</t>
        </is>
      </c>
    </row>
    <row r="11" ht="15" customHeight="1">
      <c r="A11" s="18" t="inlineStr">
        <is>
          <t>Source: expense ledgers with 'audit' in the name.</t>
        </is>
      </c>
    </row>
    <row r="13">
      <c r="A13" s="7" t="inlineStr">
        <is>
          <t>D2. Managerial remuneration (Sec 197)</t>
        </is>
      </c>
      <c r="B13" s="18" t="inlineStr">
        <is>
          <t>Companies Act 2013, Sec 197 and Schedule V</t>
        </is>
      </c>
    </row>
    <row r="14">
      <c r="A14" s="19" t="inlineStr">
        <is>
          <t>Particulars</t>
        </is>
      </c>
      <c r="B14" s="19" t="inlineStr">
        <is>
          <t>Current year</t>
        </is>
      </c>
      <c r="C14" s="19" t="inlineStr">
        <is>
          <t>Previous year</t>
        </is>
      </c>
    </row>
    <row r="15" ht="30" customHeight="1">
      <c r="A15" s="16" t="inlineStr">
        <is>
          <t>Remuneration to directors booked in the year</t>
        </is>
      </c>
      <c r="B15" s="16" t="inlineStr">
        <is>
          <t>0.44</t>
        </is>
      </c>
      <c r="C15" s="16" t="inlineStr">
        <is>
          <t>Not loaded</t>
        </is>
      </c>
    </row>
    <row r="16" ht="30" customHeight="1">
      <c r="A16" s="16" t="inlineStr">
        <is>
          <t>Net profit before tax (approximation of net profit under Sec 198)</t>
        </is>
      </c>
      <c r="B16" s="16" t="inlineStr">
        <is>
          <t>17.72</t>
        </is>
      </c>
      <c r="C16" s="16" t="inlineStr">
        <is>
          <t>Not loaded</t>
        </is>
      </c>
    </row>
    <row r="17" ht="30" customHeight="1">
      <c r="A17" s="16" t="inlineStr">
        <is>
          <t>11% of that profit (overall ceiling, Sec 197(1))</t>
        </is>
      </c>
      <c r="B17" s="16" t="inlineStr">
        <is>
          <t>1.95</t>
        </is>
      </c>
      <c r="C17" s="16" t="inlineStr">
        <is>
          <t>Not loaded</t>
        </is>
      </c>
    </row>
    <row r="18" ht="15" customHeight="1">
      <c r="A18" s="16" t="inlineStr">
        <is>
          <t>Booked remuneration within the ceiling?</t>
        </is>
      </c>
      <c r="B18" s="16" t="inlineStr">
        <is>
          <t>Yes</t>
        </is>
      </c>
      <c r="C18" s="16" t="inlineStr">
        <is>
          <t>Not loaded</t>
        </is>
      </c>
    </row>
    <row r="19" ht="45" customHeight="1">
      <c r="A19" s="18" t="inlineStr">
        <is>
          <t>The ceiling applies to a public company; a private company is outside Sec 197. Sec 198 adjusts profit in ways Tally does not hold, so the ceiling shown is indicative. Company type is not in the books. Remuneration to each director and KMP is also a related-party disclosure (D3).</t>
        </is>
      </c>
    </row>
    <row r="21">
      <c r="A21" s="7" t="inlineStr">
        <is>
          <t>D3. Related-party disclosures (AS 18)</t>
        </is>
      </c>
      <c r="B21" s="18" t="inlineStr">
        <is>
          <t>AS 18; Companies Act 2013, Sec 188</t>
        </is>
      </c>
    </row>
    <row r="22">
      <c r="A22" s="19" t="inlineStr">
        <is>
          <t>Name</t>
        </is>
      </c>
      <c r="B22" s="19" t="inlineStr">
        <is>
          <t>Relationship</t>
        </is>
      </c>
      <c r="C22" s="19" t="inlineStr">
        <is>
          <t>Nature</t>
        </is>
      </c>
      <c r="D22" s="19" t="inlineStr">
        <is>
          <t>Current year</t>
        </is>
      </c>
      <c r="E22" s="19" t="inlineStr">
        <is>
          <t>Previous year</t>
        </is>
      </c>
    </row>
    <row r="23" ht="30" customHeight="1">
      <c r="A23" s="16" t="inlineStr">
        <is>
          <t>Directors Remuneration</t>
        </is>
      </c>
      <c r="B23" s="16" t="inlineStr">
        <is>
          <t>Director / KMP / related party (from the ledger name)</t>
        </is>
      </c>
      <c r="C23" s="16" t="inlineStr">
        <is>
          <t>Remuneration</t>
        </is>
      </c>
      <c r="D23" s="16" t="inlineStr">
        <is>
          <t>0.44</t>
        </is>
      </c>
      <c r="E23" s="16" t="inlineStr">
        <is>
          <t>Not loaded</t>
        </is>
      </c>
    </row>
    <row r="24" ht="30" customHeight="1">
      <c r="A24" s="16" t="inlineStr">
        <is>
          <t>Unsecured Loan - Director</t>
        </is>
      </c>
      <c r="B24" s="16" t="inlineStr">
        <is>
          <t>Director / KMP / related party (from the ledger name)</t>
        </is>
      </c>
      <c r="C24" s="16" t="inlineStr">
        <is>
          <t>Loan received</t>
        </is>
      </c>
      <c r="D24" s="16" t="inlineStr">
        <is>
          <t>3.00</t>
        </is>
      </c>
      <c r="E24" s="16" t="inlineStr">
        <is>
          <t>3.00</t>
        </is>
      </c>
    </row>
    <row r="25" ht="30" customHeight="1">
      <c r="A25" s="16" t="inlineStr">
        <is>
          <t>[Management to provide]</t>
        </is>
      </c>
      <c r="B25" s="16" t="inlineStr">
        <is>
          <t>Holding, subsidiary, associate, relatives, enterprises under common control</t>
        </is>
      </c>
      <c r="C25" s="16" t="inlineStr">
        <is>
          <t>[Management to provide]</t>
        </is>
      </c>
      <c r="D25" s="16" t="inlineStr">
        <is>
          <t>[Management to provide]</t>
        </is>
      </c>
      <c r="E25" s="16" t="inlineStr">
        <is>
          <t>[Management to provide]</t>
        </is>
      </c>
    </row>
    <row r="26" ht="45" customHeight="1">
      <c r="A26" s="18" t="inlineStr">
        <is>
          <t>Rows above come from ledger names that suggest a related party and the balance shown in Tally; the relationship has to be confirmed. AS 18 also needs transactions in the year and balances outstanding for each party, which only the party-wise ledgers can supply. Transactions with related parties not named in a ledger are not visible.</t>
        </is>
      </c>
    </row>
    <row r="28">
      <c r="A28" s="7" t="inlineStr">
        <is>
          <t>D4. Earnings per share (AS 20)</t>
        </is>
      </c>
      <c r="B28" s="18" t="inlineStr">
        <is>
          <t>AS 20</t>
        </is>
      </c>
    </row>
    <row r="29">
      <c r="A29" s="19" t="inlineStr">
        <is>
          <t>Particulars</t>
        </is>
      </c>
      <c r="B29" s="19" t="inlineStr">
        <is>
          <t>Current year</t>
        </is>
      </c>
      <c r="C29" s="19" t="inlineStr">
        <is>
          <t>Previous year</t>
        </is>
      </c>
    </row>
    <row r="30" ht="30" customHeight="1">
      <c r="A30" s="16" t="inlineStr">
        <is>
          <t>Profit after tax available to equity shareholders</t>
        </is>
      </c>
      <c r="B30" s="16" t="inlineStr">
        <is>
          <t>17.72</t>
        </is>
      </c>
      <c r="C30" s="16" t="inlineStr">
        <is>
          <t>Not loaded</t>
        </is>
      </c>
    </row>
    <row r="31" ht="15" customHeight="1">
      <c r="A31" s="16" t="inlineStr">
        <is>
          <t>Weighted average number of equity shares</t>
        </is>
      </c>
      <c r="B31" s="16" t="inlineStr">
        <is>
          <t>[Management to provide]</t>
        </is>
      </c>
      <c r="C31" s="16" t="inlineStr">
        <is>
          <t>[Management to provide]</t>
        </is>
      </c>
    </row>
    <row r="32" ht="15" customHeight="1">
      <c r="A32" s="16" t="inlineStr">
        <is>
          <t>Nominal value per share</t>
        </is>
      </c>
      <c r="B32" s="16" t="inlineStr">
        <is>
          <t>[Management to provide]</t>
        </is>
      </c>
      <c r="C32" s="16" t="inlineStr">
        <is>
          <t>[Management to provide]</t>
        </is>
      </c>
    </row>
    <row r="33" ht="30" customHeight="1">
      <c r="A33" s="16" t="inlineStr">
        <is>
          <t>Basic and diluted earnings per share (Rs)</t>
        </is>
      </c>
      <c r="B33" s="16" t="inlineStr">
        <is>
          <t>[Profit after tax / weighted average shares]</t>
        </is>
      </c>
      <c r="C33" s="16" t="inlineStr">
        <is>
          <t>Not loaded</t>
        </is>
      </c>
    </row>
    <row r="34" ht="15" customHeight="1">
      <c r="A34" s="18" t="inlineStr">
        <is>
          <t>Paid-up share capital is 29.30; the number of shares is not held in Tally.</t>
        </is>
      </c>
    </row>
    <row r="36">
      <c r="A36" s="7" t="inlineStr">
        <is>
          <t>D5. Corporate social responsibility (Sec 135)</t>
        </is>
      </c>
      <c r="B36" s="18" t="inlineStr">
        <is>
          <t>Companies Act 2013, Sec 135; CSR Rules 2014</t>
        </is>
      </c>
    </row>
    <row r="37">
      <c r="A37" s="19" t="inlineStr">
        <is>
          <t>Threshold</t>
        </is>
      </c>
      <c r="B37" s="19" t="inlineStr">
        <is>
          <t>Current year</t>
        </is>
      </c>
      <c r="C37" s="19" t="inlineStr">
        <is>
          <t>Met, current year</t>
        </is>
      </c>
      <c r="D37" s="19" t="inlineStr">
        <is>
          <t>Previous year</t>
        </is>
      </c>
      <c r="E37" s="19" t="inlineStr">
        <is>
          <t>Met, previous year</t>
        </is>
      </c>
    </row>
    <row r="38" ht="15" customHeight="1">
      <c r="A38" s="16" t="inlineStr">
        <is>
          <t>Net worth of Rs 500 crore or more</t>
        </is>
      </c>
      <c r="B38" s="16" t="inlineStr">
        <is>
          <t>80.36</t>
        </is>
      </c>
      <c r="C38" s="16" t="inlineStr">
        <is>
          <t>No</t>
        </is>
      </c>
      <c r="D38" s="16" t="inlineStr">
        <is>
          <t>62.64</t>
        </is>
      </c>
      <c r="E38" s="16" t="inlineStr">
        <is>
          <t>No</t>
        </is>
      </c>
    </row>
    <row r="39" ht="15" customHeight="1">
      <c r="A39" s="16" t="inlineStr">
        <is>
          <t>Turnover of Rs 1,000 crore or more</t>
        </is>
      </c>
      <c r="B39" s="16" t="inlineStr">
        <is>
          <t>127.29</t>
        </is>
      </c>
      <c r="C39" s="16" t="inlineStr">
        <is>
          <t>No</t>
        </is>
      </c>
      <c r="D39" s="16" t="inlineStr">
        <is>
          <t>Not loaded</t>
        </is>
      </c>
      <c r="E39" s="16" t="inlineStr">
        <is>
          <t>-</t>
        </is>
      </c>
    </row>
    <row r="40" ht="30" customHeight="1">
      <c r="A40" s="16" t="inlineStr">
        <is>
          <t>Net profit (before tax, approximation) of Rs 5 crore or more</t>
        </is>
      </c>
      <c r="B40" s="16" t="inlineStr">
        <is>
          <t>17.72</t>
        </is>
      </c>
      <c r="C40" s="16" t="inlineStr">
        <is>
          <t>No</t>
        </is>
      </c>
      <c r="D40" s="16" t="inlineStr">
        <is>
          <t>Not loaded</t>
        </is>
      </c>
      <c r="E40" s="16" t="inlineStr">
        <is>
          <t>-</t>
        </is>
      </c>
    </row>
    <row r="41" ht="15" customHeight="1">
      <c r="A41" s="16" t="inlineStr">
        <is>
          <t>CSR expenditure booked in the year</t>
        </is>
      </c>
      <c r="B41" s="16" t="inlineStr">
        <is>
          <t>No CSR ledger found</t>
        </is>
      </c>
      <c r="C41" s="16" t="inlineStr"/>
      <c r="D41" s="16" t="inlineStr">
        <is>
          <t>Not loaded</t>
        </is>
      </c>
      <c r="E41" s="16" t="inlineStr"/>
    </row>
    <row r="42" ht="45" customHeight="1">
      <c r="A42" s="18" t="inlineStr">
        <is>
          <t>None of the three thresholds is met on current-year figures, so CSR does not appear to apply. The test is made on the immediately preceding financial year's figures, which is the previous-year column; only its net worth can be taken from the books (the opening balances), because its profit and loss was not loaded.</t>
        </is>
      </c>
    </row>
    <row r="44">
      <c r="A44" s="7" t="inlineStr">
        <is>
          <t>D6. Contingent liabilities and commitments (AS 29)</t>
        </is>
      </c>
      <c r="B44" s="18" t="inlineStr">
        <is>
          <t>AS 29; Schedule III, Division I</t>
        </is>
      </c>
    </row>
    <row r="45">
      <c r="A45" s="19" t="inlineStr">
        <is>
          <t>Particulars</t>
        </is>
      </c>
      <c r="B45" s="19" t="inlineStr">
        <is>
          <t>Current year</t>
        </is>
      </c>
      <c r="C45" s="19" t="inlineStr">
        <is>
          <t>Previous year</t>
        </is>
      </c>
    </row>
    <row r="46" ht="30" customHeight="1">
      <c r="A46" s="16" t="inlineStr">
        <is>
          <t>Claims against the company not acknowledged as debt</t>
        </is>
      </c>
      <c r="B46" s="16" t="inlineStr">
        <is>
          <t>[Management to provide]</t>
        </is>
      </c>
      <c r="C46" s="16" t="inlineStr">
        <is>
          <t>[Management to provide]</t>
        </is>
      </c>
    </row>
    <row r="47" ht="30" customHeight="1">
      <c r="A47" s="16" t="inlineStr">
        <is>
          <t>Guarantees given (including by banks on the company's behalf)</t>
        </is>
      </c>
      <c r="B47" s="16" t="inlineStr">
        <is>
          <t>[Management to provide]</t>
        </is>
      </c>
      <c r="C47" s="16" t="inlineStr">
        <is>
          <t>[Management to provide]</t>
        </is>
      </c>
    </row>
    <row r="48" ht="15" customHeight="1">
      <c r="A48" s="16" t="inlineStr">
        <is>
          <t>Bills discounted and not matured</t>
        </is>
      </c>
      <c r="B48" s="16" t="inlineStr">
        <is>
          <t>[Management to provide]</t>
        </is>
      </c>
      <c r="C48" s="16" t="inlineStr">
        <is>
          <t>[Management to provide]</t>
        </is>
      </c>
    </row>
    <row r="49" ht="30" customHeight="1">
      <c r="A49" s="16" t="inlineStr">
        <is>
          <t>Disputed statutory dues: income tax, GST, other</t>
        </is>
      </c>
      <c r="B49" s="16" t="inlineStr">
        <is>
          <t>[Management to provide]</t>
        </is>
      </c>
      <c r="C49" s="16" t="inlineStr">
        <is>
          <t>[Management to provide]</t>
        </is>
      </c>
    </row>
    <row r="50" ht="30" customHeight="1">
      <c r="A50" s="16" t="inlineStr">
        <is>
          <t>Other money for which the company is contingently liable</t>
        </is>
      </c>
      <c r="B50" s="16" t="inlineStr">
        <is>
          <t>[Management to provide]</t>
        </is>
      </c>
      <c r="C50" s="16" t="inlineStr">
        <is>
          <t>[Management to provide]</t>
        </is>
      </c>
    </row>
    <row r="51" ht="30" customHeight="1">
      <c r="A51" s="16" t="inlineStr">
        <is>
          <t>Estimated capital commitments (net of advances)</t>
        </is>
      </c>
      <c r="B51" s="16" t="inlineStr">
        <is>
          <t>[Management to provide]</t>
        </is>
      </c>
      <c r="C51" s="16" t="inlineStr">
        <is>
          <t>[Management to provide]</t>
        </is>
      </c>
    </row>
    <row r="52" ht="15" customHeight="1">
      <c r="A52" s="16" t="inlineStr">
        <is>
          <t>Other commitments</t>
        </is>
      </c>
      <c r="B52" s="16" t="inlineStr">
        <is>
          <t>[Management to provide]</t>
        </is>
      </c>
      <c r="C52" s="16" t="inlineStr">
        <is>
          <t>[Management to provide]</t>
        </is>
      </c>
    </row>
    <row r="53" ht="15" customHeight="1">
      <c r="A53" s="18" t="inlineStr">
        <is>
          <t>Tally does not record contingent items. If there are none, management should say so; the tool does not assume it.</t>
        </is>
      </c>
    </row>
    <row r="55">
      <c r="A55" s="7" t="inlineStr">
        <is>
          <t>D7. Dues to micro and small enterprises</t>
        </is>
      </c>
      <c r="B55" s="18" t="inlineStr">
        <is>
          <t>MSMED Act 2006, Sec 22; Schedule III, Division I</t>
        </is>
      </c>
    </row>
    <row r="56">
      <c r="A56" s="19" t="inlineStr">
        <is>
          <t>Particulars</t>
        </is>
      </c>
      <c r="B56" s="19" t="inlineStr">
        <is>
          <t>Current year</t>
        </is>
      </c>
      <c r="C56" s="19" t="inlineStr">
        <is>
          <t>Previous year</t>
        </is>
      </c>
    </row>
    <row r="57" ht="15" customHeight="1">
      <c r="A57" s="16" t="inlineStr">
        <is>
          <t>Total trade payables per the books</t>
        </is>
      </c>
      <c r="B57" s="16" t="inlineStr">
        <is>
          <t>138.56</t>
        </is>
      </c>
      <c r="C57" s="16" t="inlineStr">
        <is>
          <t>65.01</t>
        </is>
      </c>
    </row>
    <row r="58" ht="30" customHeight="1">
      <c r="A58" s="16" t="inlineStr">
        <is>
          <t>Principal amount remaining unpaid to micro and small enterprises at the year end</t>
        </is>
      </c>
      <c r="B58" s="16" t="inlineStr">
        <is>
          <t>[Management to provide]</t>
        </is>
      </c>
      <c r="C58" s="16" t="inlineStr">
        <is>
          <t>[Management to provide]</t>
        </is>
      </c>
    </row>
    <row r="59" ht="30" customHeight="1">
      <c r="A59" s="16" t="inlineStr">
        <is>
          <t>Interest due and remaining unpaid on that principal</t>
        </is>
      </c>
      <c r="B59" s="16" t="inlineStr">
        <is>
          <t>[Management to provide]</t>
        </is>
      </c>
      <c r="C59" s="16" t="inlineStr">
        <is>
          <t>[Management to provide]</t>
        </is>
      </c>
    </row>
    <row r="60" ht="30" customHeight="1">
      <c r="A60" s="16" t="inlineStr">
        <is>
          <t>Interest paid under Sec 16, with payments made beyond the appointed day</t>
        </is>
      </c>
      <c r="B60" s="16" t="inlineStr">
        <is>
          <t>[Management to provide]</t>
        </is>
      </c>
      <c r="C60" s="16" t="inlineStr">
        <is>
          <t>[Management to provide]</t>
        </is>
      </c>
    </row>
    <row r="61" ht="30" customHeight="1">
      <c r="A61" s="16" t="inlineStr">
        <is>
          <t>Interest due and payable for delay in payment (without the interest specified)</t>
        </is>
      </c>
      <c r="B61" s="16" t="inlineStr">
        <is>
          <t>[Management to provide]</t>
        </is>
      </c>
      <c r="C61" s="16" t="inlineStr">
        <is>
          <t>[Management to provide]</t>
        </is>
      </c>
    </row>
    <row r="62" ht="30" customHeight="1">
      <c r="A62" s="16" t="inlineStr">
        <is>
          <t>Interest accrued and remaining unpaid at the year end</t>
        </is>
      </c>
      <c r="B62" s="16" t="inlineStr">
        <is>
          <t>[Management to provide]</t>
        </is>
      </c>
      <c r="C62" s="16" t="inlineStr">
        <is>
          <t>[Management to provide]</t>
        </is>
      </c>
    </row>
    <row r="63" ht="30" customHeight="1">
      <c r="A63" s="16" t="inlineStr">
        <is>
          <t>Further interest remaining due until the actual payment</t>
        </is>
      </c>
      <c r="B63" s="16" t="inlineStr">
        <is>
          <t>[Management to provide]</t>
        </is>
      </c>
      <c r="C63" s="16" t="inlineStr">
        <is>
          <t>[Management to provide]</t>
        </is>
      </c>
    </row>
    <row r="64" ht="30" customHeight="1">
      <c r="A64" s="18" t="inlineStr">
        <is>
          <t>Needs each supplier's MSME registration (Udyam) and the payment dates. The Day Book audit flags payments to suppliers whose narration mentions MSME.</t>
        </is>
      </c>
    </row>
    <row r="66">
      <c r="A66" s="7" t="inlineStr">
        <is>
          <t>D8. Trade receivables ageing schedule</t>
        </is>
      </c>
      <c r="B66" s="18" t="inlineStr">
        <is>
          <t>Schedule III, Division I, Note on trade receivables</t>
        </is>
      </c>
    </row>
    <row r="67">
      <c r="A67" s="19" t="inlineStr">
        <is>
          <t>Particulars</t>
        </is>
      </c>
      <c r="B67" s="19" t="inlineStr">
        <is>
          <t>Not due</t>
        </is>
      </c>
      <c r="C67" s="19" t="inlineStr">
        <is>
          <t>Under 6 months</t>
        </is>
      </c>
      <c r="D67" s="19" t="inlineStr">
        <is>
          <t>6 months to 1 year</t>
        </is>
      </c>
      <c r="E67" s="19" t="inlineStr">
        <is>
          <t>1 to 2 years</t>
        </is>
      </c>
      <c r="F67" s="19" t="inlineStr">
        <is>
          <t>2 to 3 years</t>
        </is>
      </c>
      <c r="G67" s="19" t="inlineStr">
        <is>
          <t>Over 3 years</t>
        </is>
      </c>
      <c r="H67" s="19" t="inlineStr">
        <is>
          <t>Total</t>
        </is>
      </c>
    </row>
    <row r="68" ht="15" customHeight="1">
      <c r="A68" s="16" t="inlineStr">
        <is>
          <t>As at 31/03/2026</t>
        </is>
      </c>
      <c r="B68" s="16" t="inlineStr"/>
      <c r="C68" s="16" t="inlineStr"/>
      <c r="D68" s="16" t="inlineStr"/>
      <c r="E68" s="16" t="inlineStr"/>
      <c r="F68" s="16" t="inlineStr"/>
      <c r="G68" s="16" t="inlineStr"/>
      <c r="H68" s="16" t="inlineStr"/>
    </row>
    <row r="69" ht="15" customHeight="1">
      <c r="A69" s="16" t="inlineStr">
        <is>
          <t>Undisputed, considered good</t>
        </is>
      </c>
      <c r="B69" s="16" t="inlineStr"/>
      <c r="C69" s="16" t="inlineStr"/>
      <c r="D69" s="16" t="inlineStr"/>
      <c r="E69" s="16" t="inlineStr"/>
      <c r="F69" s="16" t="inlineStr"/>
      <c r="G69" s="16" t="inlineStr"/>
      <c r="H69" s="16" t="inlineStr"/>
    </row>
    <row r="70" ht="15" customHeight="1">
      <c r="A70" s="16" t="inlineStr">
        <is>
          <t>Undisputed, credit impaired</t>
        </is>
      </c>
      <c r="B70" s="16" t="inlineStr"/>
      <c r="C70" s="16" t="inlineStr"/>
      <c r="D70" s="16" t="inlineStr"/>
      <c r="E70" s="16" t="inlineStr"/>
      <c r="F70" s="16" t="inlineStr"/>
      <c r="G70" s="16" t="inlineStr"/>
      <c r="H70" s="16" t="inlineStr"/>
    </row>
    <row r="71" ht="15" customHeight="1">
      <c r="A71" s="16" t="inlineStr">
        <is>
          <t>Disputed, considered good</t>
        </is>
      </c>
      <c r="B71" s="16" t="inlineStr"/>
      <c r="C71" s="16" t="inlineStr"/>
      <c r="D71" s="16" t="inlineStr"/>
      <c r="E71" s="16" t="inlineStr"/>
      <c r="F71" s="16" t="inlineStr"/>
      <c r="G71" s="16" t="inlineStr"/>
      <c r="H71" s="16" t="inlineStr"/>
    </row>
    <row r="72" ht="15" customHeight="1">
      <c r="A72" s="16" t="inlineStr">
        <is>
          <t>Disputed, credit impaired</t>
        </is>
      </c>
      <c r="B72" s="16" t="inlineStr"/>
      <c r="C72" s="16" t="inlineStr"/>
      <c r="D72" s="16" t="inlineStr"/>
      <c r="E72" s="16" t="inlineStr"/>
      <c r="F72" s="16" t="inlineStr"/>
      <c r="G72" s="16" t="inlineStr"/>
      <c r="H72" s="16" t="inlineStr"/>
    </row>
    <row r="73" ht="15" customHeight="1">
      <c r="A73" s="16" t="inlineStr">
        <is>
          <t>Total per the trial balance</t>
        </is>
      </c>
      <c r="B73" s="16" t="inlineStr"/>
      <c r="C73" s="16" t="inlineStr"/>
      <c r="D73" s="16" t="inlineStr"/>
      <c r="E73" s="16" t="inlineStr"/>
      <c r="F73" s="16" t="inlineStr"/>
      <c r="G73" s="16" t="inlineStr"/>
      <c r="H73" s="16" t="inlineStr">
        <is>
          <t>179.23</t>
        </is>
      </c>
    </row>
    <row r="74" ht="15" customHeight="1">
      <c r="A74" s="16" t="inlineStr">
        <is>
          <t>As at 31/03/2025</t>
        </is>
      </c>
      <c r="B74" s="16" t="inlineStr"/>
      <c r="C74" s="16" t="inlineStr"/>
      <c r="D74" s="16" t="inlineStr"/>
      <c r="E74" s="16" t="inlineStr"/>
      <c r="F74" s="16" t="inlineStr"/>
      <c r="G74" s="16" t="inlineStr"/>
      <c r="H74" s="16" t="inlineStr"/>
    </row>
    <row r="75" ht="15" customHeight="1">
      <c r="A75" s="16" t="inlineStr">
        <is>
          <t>Undisputed, considered good</t>
        </is>
      </c>
      <c r="B75" s="16" t="inlineStr"/>
      <c r="C75" s="16" t="inlineStr"/>
      <c r="D75" s="16" t="inlineStr"/>
      <c r="E75" s="16" t="inlineStr"/>
      <c r="F75" s="16" t="inlineStr"/>
      <c r="G75" s="16" t="inlineStr"/>
      <c r="H75" s="16" t="inlineStr"/>
    </row>
    <row r="76" ht="15" customHeight="1">
      <c r="A76" s="16" t="inlineStr">
        <is>
          <t>Undisputed, credit impaired</t>
        </is>
      </c>
      <c r="B76" s="16" t="inlineStr"/>
      <c r="C76" s="16" t="inlineStr"/>
      <c r="D76" s="16" t="inlineStr"/>
      <c r="E76" s="16" t="inlineStr"/>
      <c r="F76" s="16" t="inlineStr"/>
      <c r="G76" s="16" t="inlineStr"/>
      <c r="H76" s="16" t="inlineStr"/>
    </row>
    <row r="77" ht="15" customHeight="1">
      <c r="A77" s="16" t="inlineStr">
        <is>
          <t>Disputed, considered good</t>
        </is>
      </c>
      <c r="B77" s="16" t="inlineStr"/>
      <c r="C77" s="16" t="inlineStr"/>
      <c r="D77" s="16" t="inlineStr"/>
      <c r="E77" s="16" t="inlineStr"/>
      <c r="F77" s="16" t="inlineStr"/>
      <c r="G77" s="16" t="inlineStr"/>
      <c r="H77" s="16" t="inlineStr"/>
    </row>
    <row r="78" ht="15" customHeight="1">
      <c r="A78" s="16" t="inlineStr">
        <is>
          <t>Disputed, credit impaired</t>
        </is>
      </c>
      <c r="B78" s="16" t="inlineStr"/>
      <c r="C78" s="16" t="inlineStr"/>
      <c r="D78" s="16" t="inlineStr"/>
      <c r="E78" s="16" t="inlineStr"/>
      <c r="F78" s="16" t="inlineStr"/>
      <c r="G78" s="16" t="inlineStr"/>
      <c r="H78" s="16" t="inlineStr"/>
    </row>
    <row r="79" ht="15" customHeight="1">
      <c r="A79" s="16" t="inlineStr">
        <is>
          <t>Total per the opening balances</t>
        </is>
      </c>
      <c r="B79" s="16" t="inlineStr"/>
      <c r="C79" s="16" t="inlineStr"/>
      <c r="D79" s="16" t="inlineStr"/>
      <c r="E79" s="16" t="inlineStr"/>
      <c r="F79" s="16" t="inlineStr"/>
      <c r="G79" s="16" t="inlineStr"/>
      <c r="H79" s="16" t="inlineStr">
        <is>
          <t>86.12</t>
        </is>
      </c>
    </row>
    <row r="80" ht="45" customHeight="1">
      <c r="A80" s="18" t="inlineStr">
        <is>
          <t>Shown for both years as Schedule III requires. Ageing runs from the due date of payment, or the date of the transaction where no due date is set. The totals agree to the balance sheet; the buckets need Tally's bill-wise outstanding ageing (Receivables), and the previous year's buckets need the previous year's bills.</t>
        </is>
      </c>
    </row>
    <row r="82">
      <c r="A82" s="7" t="inlineStr">
        <is>
          <t>D9. Trade payables ageing schedule</t>
        </is>
      </c>
      <c r="B82" s="18" t="inlineStr">
        <is>
          <t>Schedule III, Division I, Note on trade payables</t>
        </is>
      </c>
    </row>
    <row r="83">
      <c r="A83" s="19" t="inlineStr">
        <is>
          <t>Particulars</t>
        </is>
      </c>
      <c r="B83" s="19" t="inlineStr">
        <is>
          <t>Not due</t>
        </is>
      </c>
      <c r="C83" s="19" t="inlineStr">
        <is>
          <t>Under 1 year</t>
        </is>
      </c>
      <c r="D83" s="19" t="inlineStr">
        <is>
          <t>1 to 2 years</t>
        </is>
      </c>
      <c r="E83" s="19" t="inlineStr">
        <is>
          <t>2 to 3 years</t>
        </is>
      </c>
      <c r="F83" s="19" t="inlineStr">
        <is>
          <t>Over 3 years</t>
        </is>
      </c>
      <c r="G83" s="19" t="inlineStr">
        <is>
          <t>Total</t>
        </is>
      </c>
    </row>
    <row r="84" ht="15" customHeight="1">
      <c r="A84" s="16" t="inlineStr">
        <is>
          <t>As at 31/03/2026</t>
        </is>
      </c>
      <c r="B84" s="16" t="inlineStr"/>
      <c r="C84" s="16" t="inlineStr"/>
      <c r="D84" s="16" t="inlineStr"/>
      <c r="E84" s="16" t="inlineStr"/>
      <c r="F84" s="16" t="inlineStr"/>
      <c r="G84" s="16" t="inlineStr"/>
    </row>
    <row r="85" ht="15" customHeight="1">
      <c r="A85" s="16" t="inlineStr">
        <is>
          <t>MSME</t>
        </is>
      </c>
      <c r="B85" s="16" t="inlineStr"/>
      <c r="C85" s="16" t="inlineStr"/>
      <c r="D85" s="16" t="inlineStr"/>
      <c r="E85" s="16" t="inlineStr"/>
      <c r="F85" s="16" t="inlineStr"/>
      <c r="G85" s="16" t="inlineStr"/>
    </row>
    <row r="86" ht="15" customHeight="1">
      <c r="A86" s="16" t="inlineStr">
        <is>
          <t>Others</t>
        </is>
      </c>
      <c r="B86" s="16" t="inlineStr"/>
      <c r="C86" s="16" t="inlineStr"/>
      <c r="D86" s="16" t="inlineStr"/>
      <c r="E86" s="16" t="inlineStr"/>
      <c r="F86" s="16" t="inlineStr"/>
      <c r="G86" s="16" t="inlineStr"/>
    </row>
    <row r="87" ht="15" customHeight="1">
      <c r="A87" s="16" t="inlineStr">
        <is>
          <t>Disputed dues, MSME</t>
        </is>
      </c>
      <c r="B87" s="16" t="inlineStr"/>
      <c r="C87" s="16" t="inlineStr"/>
      <c r="D87" s="16" t="inlineStr"/>
      <c r="E87" s="16" t="inlineStr"/>
      <c r="F87" s="16" t="inlineStr"/>
      <c r="G87" s="16" t="inlineStr"/>
    </row>
    <row r="88" ht="15" customHeight="1">
      <c r="A88" s="16" t="inlineStr">
        <is>
          <t>Disputed dues, others</t>
        </is>
      </c>
      <c r="B88" s="16" t="inlineStr"/>
      <c r="C88" s="16" t="inlineStr"/>
      <c r="D88" s="16" t="inlineStr"/>
      <c r="E88" s="16" t="inlineStr"/>
      <c r="F88" s="16" t="inlineStr"/>
      <c r="G88" s="16" t="inlineStr"/>
    </row>
    <row r="89" ht="15" customHeight="1">
      <c r="A89" s="16" t="inlineStr">
        <is>
          <t>Total per the trial balance</t>
        </is>
      </c>
      <c r="B89" s="16" t="inlineStr"/>
      <c r="C89" s="16" t="inlineStr"/>
      <c r="D89" s="16" t="inlineStr"/>
      <c r="E89" s="16" t="inlineStr"/>
      <c r="F89" s="16" t="inlineStr"/>
      <c r="G89" s="16" t="inlineStr">
        <is>
          <t>138.56</t>
        </is>
      </c>
    </row>
    <row r="90" ht="15" customHeight="1">
      <c r="A90" s="16" t="inlineStr">
        <is>
          <t>As at 31/03/2025</t>
        </is>
      </c>
      <c r="B90" s="16" t="inlineStr"/>
      <c r="C90" s="16" t="inlineStr"/>
      <c r="D90" s="16" t="inlineStr"/>
      <c r="E90" s="16" t="inlineStr"/>
      <c r="F90" s="16" t="inlineStr"/>
      <c r="G90" s="16" t="inlineStr"/>
    </row>
    <row r="91" ht="15" customHeight="1">
      <c r="A91" s="16" t="inlineStr">
        <is>
          <t>MSME</t>
        </is>
      </c>
      <c r="B91" s="16" t="inlineStr"/>
      <c r="C91" s="16" t="inlineStr"/>
      <c r="D91" s="16" t="inlineStr"/>
      <c r="E91" s="16" t="inlineStr"/>
      <c r="F91" s="16" t="inlineStr"/>
      <c r="G91" s="16" t="inlineStr"/>
    </row>
    <row r="92" ht="15" customHeight="1">
      <c r="A92" s="16" t="inlineStr">
        <is>
          <t>Others</t>
        </is>
      </c>
      <c r="B92" s="16" t="inlineStr"/>
      <c r="C92" s="16" t="inlineStr"/>
      <c r="D92" s="16" t="inlineStr"/>
      <c r="E92" s="16" t="inlineStr"/>
      <c r="F92" s="16" t="inlineStr"/>
      <c r="G92" s="16" t="inlineStr"/>
    </row>
    <row r="93" ht="15" customHeight="1">
      <c r="A93" s="16" t="inlineStr">
        <is>
          <t>Disputed dues, MSME</t>
        </is>
      </c>
      <c r="B93" s="16" t="inlineStr"/>
      <c r="C93" s="16" t="inlineStr"/>
      <c r="D93" s="16" t="inlineStr"/>
      <c r="E93" s="16" t="inlineStr"/>
      <c r="F93" s="16" t="inlineStr"/>
      <c r="G93" s="16" t="inlineStr"/>
    </row>
    <row r="94" ht="15" customHeight="1">
      <c r="A94" s="16" t="inlineStr">
        <is>
          <t>Disputed dues, others</t>
        </is>
      </c>
      <c r="B94" s="16" t="inlineStr"/>
      <c r="C94" s="16" t="inlineStr"/>
      <c r="D94" s="16" t="inlineStr"/>
      <c r="E94" s="16" t="inlineStr"/>
      <c r="F94" s="16" t="inlineStr"/>
      <c r="G94" s="16" t="inlineStr"/>
    </row>
    <row r="95" ht="15" customHeight="1">
      <c r="A95" s="16" t="inlineStr">
        <is>
          <t>Total per the opening balances</t>
        </is>
      </c>
      <c r="B95" s="16" t="inlineStr"/>
      <c r="C95" s="16" t="inlineStr"/>
      <c r="D95" s="16" t="inlineStr"/>
      <c r="E95" s="16" t="inlineStr"/>
      <c r="F95" s="16" t="inlineStr"/>
      <c r="G95" s="16" t="inlineStr">
        <is>
          <t>65.01</t>
        </is>
      </c>
    </row>
    <row r="96" ht="30" customHeight="1">
      <c r="A96" s="18" t="inlineStr">
        <is>
          <t>Shown for both years as Schedule III requires. Ageing runs from the due date of payment; the buckets need Tally's bill-wise outstanding ageing (Payables).</t>
        </is>
      </c>
    </row>
    <row r="98">
      <c r="A98" s="7" t="inlineStr">
        <is>
          <t>D10. Additional regulatory information</t>
        </is>
      </c>
      <c r="B98" s="18" t="inlineStr">
        <is>
          <t>Schedule III, Division I, General Instructions; ICAI Guidance Note (Revised 2022) para 8.9</t>
        </is>
      </c>
    </row>
    <row r="99">
      <c r="A99" s="19" t="inlineStr">
        <is>
          <t>Disclosure required</t>
        </is>
      </c>
      <c r="B99" s="19" t="inlineStr">
        <is>
          <t>Reference</t>
        </is>
      </c>
      <c r="C99" s="19" t="inlineStr">
        <is>
          <t>What the books show</t>
        </is>
      </c>
      <c r="D99" s="19" t="inlineStr">
        <is>
          <t>Management</t>
        </is>
      </c>
    </row>
    <row r="100" ht="30" customHeight="1">
      <c r="A100" s="16" t="inlineStr">
        <is>
          <t>Title deeds of immovable property not held in the company's name</t>
        </is>
      </c>
      <c r="B100" s="16" t="inlineStr">
        <is>
          <t>Sch III (Asset side), PPE</t>
        </is>
      </c>
      <c r="C100" s="16" t="inlineStr">
        <is>
          <t>No land or building ledger found (property may be rented)</t>
        </is>
      </c>
      <c r="D100" s="16" t="inlineStr">
        <is>
          <t>[Management to confirm]</t>
        </is>
      </c>
    </row>
    <row r="101" ht="30" customHeight="1">
      <c r="A101" s="16" t="inlineStr">
        <is>
          <t>Revaluation of property, plant and equipment or intangible assets</t>
        </is>
      </c>
      <c r="B101" s="16" t="inlineStr">
        <is>
          <t>Sch III, additional regulatory information</t>
        </is>
      </c>
      <c r="C101" s="16" t="inlineStr">
        <is>
          <t>No revaluation ledger found</t>
        </is>
      </c>
      <c r="D101" s="16" t="inlineStr">
        <is>
          <t>[Management to confirm]</t>
        </is>
      </c>
    </row>
    <row r="102" ht="30" customHeight="1">
      <c r="A102" s="16" t="inlineStr">
        <is>
          <t>Loans or advances to promoters, directors, KMP and related parties</t>
        </is>
      </c>
      <c r="B102" s="16" t="inlineStr">
        <is>
          <t>Sch III, additional regulatory information</t>
        </is>
      </c>
      <c r="C102" s="16" t="inlineStr">
        <is>
          <t>None identified from ledger names</t>
        </is>
      </c>
      <c r="D102" s="16" t="inlineStr">
        <is>
          <t>[Management to confirm]</t>
        </is>
      </c>
    </row>
    <row r="103" ht="30" customHeight="1">
      <c r="A103" s="16" t="inlineStr">
        <is>
          <t>Capital work-in-progress: ageing and projects overdue or over cost</t>
        </is>
      </c>
      <c r="B103" s="16" t="inlineStr">
        <is>
          <t>Sch III, additional regulatory information</t>
        </is>
      </c>
      <c r="C103" s="16" t="inlineStr">
        <is>
          <t>No capital work-in-progress ledger found</t>
        </is>
      </c>
      <c r="D103" s="16" t="inlineStr">
        <is>
          <t>[Management to confirm]</t>
        </is>
      </c>
    </row>
    <row r="104" ht="30" customHeight="1">
      <c r="A104" s="16" t="inlineStr">
        <is>
          <t>Intangible assets under development: ageing and completion schedule</t>
        </is>
      </c>
      <c r="B104" s="16" t="inlineStr">
        <is>
          <t>Sch III, additional regulatory information</t>
        </is>
      </c>
      <c r="C104" s="16" t="inlineStr">
        <is>
          <t>No intangible assets in the books</t>
        </is>
      </c>
      <c r="D104" s="16" t="inlineStr">
        <is>
          <t>[Management to confirm]</t>
        </is>
      </c>
    </row>
    <row r="105" ht="45" customHeight="1">
      <c r="A105" s="16" t="inlineStr">
        <is>
          <t>Proceedings for benami property under the Prohibition of Benami Property Transactions Act 1988</t>
        </is>
      </c>
      <c r="B105" s="16" t="inlineStr">
        <is>
          <t>Sch III, additional regulatory information</t>
        </is>
      </c>
      <c r="C105" s="16" t="inlineStr">
        <is>
          <t>Not visible in the books</t>
        </is>
      </c>
      <c r="D105" s="16" t="inlineStr">
        <is>
          <t>[Management to confirm]</t>
        </is>
      </c>
    </row>
    <row r="106" ht="60" customHeight="1">
      <c r="A106" s="16" t="inlineStr">
        <is>
          <t>Borrowings from banks or financial institutions on the security of current assets: quarterly returns agree with the books</t>
        </is>
      </c>
      <c r="B106" s="16" t="inlineStr">
        <is>
          <t>GN 8.9.7</t>
        </is>
      </c>
      <c r="C106" s="16" t="inlineStr">
        <is>
          <t>Borrowings of 15.50 in the books (Term Loan - HDFC Bank, Unsecured Loan - Director); security is not recorded in Tally</t>
        </is>
      </c>
      <c r="D106" s="16" t="inlineStr">
        <is>
          <t>[Management to confirm]</t>
        </is>
      </c>
    </row>
    <row r="107" ht="30" customHeight="1">
      <c r="A107" s="16" t="inlineStr">
        <is>
          <t>Wilful defaulter declared by a bank, financial institution or other lender</t>
        </is>
      </c>
      <c r="B107" s="16" t="inlineStr">
        <is>
          <t>Sch III, additional regulatory information</t>
        </is>
      </c>
      <c r="C107" s="16" t="inlineStr">
        <is>
          <t>Lenders exist; the status is not in the books</t>
        </is>
      </c>
      <c r="D107" s="16" t="inlineStr">
        <is>
          <t>[Management to confirm]</t>
        </is>
      </c>
    </row>
    <row r="108" ht="30" customHeight="1">
      <c r="A108" s="16" t="inlineStr">
        <is>
          <t>Transactions with companies struck off under Sec 248 of the Companies Act</t>
        </is>
      </c>
      <c r="B108" s="16" t="inlineStr">
        <is>
          <t>Sch III, additional regulatory information</t>
        </is>
      </c>
      <c r="C108" s="16" t="inlineStr">
        <is>
          <t>10 customer and supplier ledgers to be checked against the MCA list</t>
        </is>
      </c>
      <c r="D108" s="16" t="inlineStr">
        <is>
          <t>[Management to confirm]</t>
        </is>
      </c>
    </row>
    <row r="109" ht="45" customHeight="1">
      <c r="A109" s="16" t="inlineStr">
        <is>
          <t>Registration of charges or satisfaction of charges with the Registrar of Companies</t>
        </is>
      </c>
      <c r="B109" s="16" t="inlineStr">
        <is>
          <t>Sch III, additional regulatory information</t>
        </is>
      </c>
      <c r="C109" s="16" t="inlineStr">
        <is>
          <t>Charges on secured borrowings to be matched with MCA records</t>
        </is>
      </c>
      <c r="D109" s="16" t="inlineStr">
        <is>
          <t>[Management to confirm]</t>
        </is>
      </c>
    </row>
    <row r="110" ht="30" customHeight="1">
      <c r="A110" s="16" t="inlineStr">
        <is>
          <t>Compliance with the number of layers of companies</t>
        </is>
      </c>
      <c r="B110" s="16" t="inlineStr">
        <is>
          <t>GN 8.9.11</t>
        </is>
      </c>
      <c r="C110" s="16" t="inlineStr">
        <is>
          <t>Group structure is not in the books</t>
        </is>
      </c>
      <c r="D110" s="16" t="inlineStr">
        <is>
          <t>[Management to confirm]</t>
        </is>
      </c>
    </row>
    <row r="111" ht="30" customHeight="1">
      <c r="A111" s="16" t="inlineStr">
        <is>
          <t>Compliance with an approved scheme of arrangement (Sec 230 to 237)</t>
        </is>
      </c>
      <c r="B111" s="16" t="inlineStr">
        <is>
          <t>GN 8.9.13</t>
        </is>
      </c>
      <c r="C111" s="16" t="inlineStr">
        <is>
          <t>Not visible in the books</t>
        </is>
      </c>
      <c r="D111" s="16" t="inlineStr">
        <is>
          <t>[Management to confirm]</t>
        </is>
      </c>
    </row>
    <row r="112" ht="45" customHeight="1">
      <c r="A112" s="16" t="inlineStr">
        <is>
          <t>Utilisation of borrowed funds and share premium: funds advanced or received through intermediaries</t>
        </is>
      </c>
      <c r="B112" s="16" t="inlineStr">
        <is>
          <t>Sch III, additional regulatory information</t>
        </is>
      </c>
      <c r="C112" s="16" t="inlineStr">
        <is>
          <t>Borrowings 15.50</t>
        </is>
      </c>
      <c r="D112" s="16" t="inlineStr">
        <is>
          <t>[Management to confirm]</t>
        </is>
      </c>
    </row>
    <row r="113" ht="30" customHeight="1">
      <c r="A113" s="16" t="inlineStr">
        <is>
          <t>Undisclosed income surrendered or disclosed in tax assessments</t>
        </is>
      </c>
      <c r="B113" s="16" t="inlineStr">
        <is>
          <t>Sch III, additional regulatory information</t>
        </is>
      </c>
      <c r="C113" s="16" t="inlineStr">
        <is>
          <t>Not visible in the books</t>
        </is>
      </c>
      <c r="D113" s="16" t="inlineStr">
        <is>
          <t>[Management to confirm]</t>
        </is>
      </c>
    </row>
    <row r="114" ht="45" customHeight="1">
      <c r="A114" s="16" t="inlineStr">
        <is>
          <t>Corporate social responsibility: amount required to be spent, spent, and shortfall</t>
        </is>
      </c>
      <c r="B114" s="16" t="inlineStr">
        <is>
          <t>Sec 135; Sch III</t>
        </is>
      </c>
      <c r="C114" s="16" t="inlineStr">
        <is>
          <t>See D5: not applicable on the thresholds</t>
        </is>
      </c>
      <c r="D114" s="16" t="inlineStr">
        <is>
          <t>[Management to confirm]</t>
        </is>
      </c>
    </row>
    <row r="115" ht="30" customHeight="1">
      <c r="A115" s="16" t="inlineStr">
        <is>
          <t>Trade or investment in crypto currency or virtual currency</t>
        </is>
      </c>
      <c r="B115" s="16" t="inlineStr">
        <is>
          <t>Sch III, additional regulatory information</t>
        </is>
      </c>
      <c r="C115" s="16" t="inlineStr">
        <is>
          <t>No such ledger found</t>
        </is>
      </c>
      <c r="D115" s="16" t="inlineStr">
        <is>
          <t>[Management to confirm]</t>
        </is>
      </c>
    </row>
    <row r="116" ht="30" customHeight="1">
      <c r="A116" s="16" t="inlineStr">
        <is>
          <t>Analytical ratios, with reasons for a change of more than 25%</t>
        </is>
      </c>
      <c r="B116" s="16" t="inlineStr">
        <is>
          <t>GN 8.9.12; Annexure B</t>
        </is>
      </c>
      <c r="C116" s="16" t="inlineStr">
        <is>
          <t>Computed from the books: Note 17</t>
        </is>
      </c>
      <c r="D116" s="16" t="inlineStr">
        <is>
          <t>Explain each flagged ratio</t>
        </is>
      </c>
    </row>
    <row r="117" ht="30" customHeight="1">
      <c r="A117" s="18" t="inlineStr">
        <is>
          <t>A disclosure is made only where there is something to report; where the books show nothing, the statement 'Nil' or 'complied' is a declaration only management can give, so it is left as [Management to confirm].</t>
        </is>
      </c>
    </row>
    <row r="119">
      <c r="A119" s="7" t="inlineStr">
        <is>
          <t>D11. Other statutory disclosures the books point to</t>
        </is>
      </c>
      <c r="B119" s="18" t="inlineStr">
        <is>
          <t>Companies Act 2013 and Rules; AS 15</t>
        </is>
      </c>
    </row>
    <row r="120">
      <c r="A120" s="19" t="inlineStr">
        <is>
          <t>Matter</t>
        </is>
      </c>
      <c r="B120" s="19" t="inlineStr">
        <is>
          <t>Reference</t>
        </is>
      </c>
      <c r="C120" s="19" t="inlineStr">
        <is>
          <t>What the books show</t>
        </is>
      </c>
      <c r="D120" s="19" t="inlineStr">
        <is>
          <t>Needed</t>
        </is>
      </c>
    </row>
    <row r="121" ht="45" customHeight="1">
      <c r="A121" s="16" t="inlineStr">
        <is>
          <t>Loans received from directors or their relatives</t>
        </is>
      </c>
      <c r="B121" s="16" t="inlineStr">
        <is>
          <t>Companies (Acceptance of Deposits) Rules 2014, Rule 2(1)(c)(viii)</t>
        </is>
      </c>
      <c r="C121" s="16" t="inlineStr">
        <is>
          <t>Unsecured Loan - Director: 3.00 (previous year 3.00)</t>
        </is>
      </c>
      <c r="D121" s="16" t="inlineStr">
        <is>
          <t>Written declaration from the director that the amount is not borrowed from others; disclose in the notes</t>
        </is>
      </c>
    </row>
    <row r="122" ht="30" customHeight="1">
      <c r="A122" s="16" t="inlineStr">
        <is>
          <t>Value of imports (CIF), expenditure and earnings in foreign currency</t>
        </is>
      </c>
      <c r="B122" s="16" t="inlineStr">
        <is>
          <t>Companies (Accounts) Rules 2014, Rule 8(3) and Sch III (Gen. Instr.)</t>
        </is>
      </c>
      <c r="C122" s="16" t="inlineStr">
        <is>
          <t>No foreign-currency ledger found</t>
        </is>
      </c>
      <c r="D122" s="16" t="inlineStr">
        <is>
          <t>[Management to provide]</t>
        </is>
      </c>
    </row>
    <row r="123" ht="45" customHeight="1">
      <c r="A123" s="16" t="inlineStr">
        <is>
          <t>Employee benefits: gratuity, leave encashment, provident fund and ESI</t>
        </is>
      </c>
      <c r="B123" s="16" t="inlineStr">
        <is>
          <t>AS 15</t>
        </is>
      </c>
      <c r="C123" s="16" t="inlineStr">
        <is>
          <t>No gratuity, leave or provident fund ledger found; the liability may be unrecorded</t>
        </is>
      </c>
      <c r="D123" s="16" t="inlineStr">
        <is>
          <t>Actuarial valuation or a management estimate of the gratuity liability</t>
        </is>
      </c>
    </row>
    <row r="124" ht="30" customHeight="1">
      <c r="A124" s="16" t="inlineStr">
        <is>
          <t>Dividend proposed or declared, and transfer to reserves</t>
        </is>
      </c>
      <c r="B124" s="16" t="inlineStr">
        <is>
          <t>Schedule III, Division I (Reserves and surplus)</t>
        </is>
      </c>
      <c r="C124" s="16" t="inlineStr">
        <is>
          <t>Not in the books</t>
        </is>
      </c>
      <c r="D124" s="16" t="inlineStr">
        <is>
          <t>[Management to provide]</t>
        </is>
      </c>
    </row>
    <row r="125" ht="45" customHeight="1">
      <c r="A125" s="16" t="inlineStr">
        <is>
          <t>Statutory dues (PF, ESI, TDS, GST) payable, and any overdue at the year end</t>
        </is>
      </c>
      <c r="B125" s="16" t="inlineStr">
        <is>
          <t>Various</t>
        </is>
      </c>
      <c r="C125" s="16" t="inlineStr">
        <is>
          <t>Statutory dues payable appear under other current liabilities (Note on other current liabilities)</t>
        </is>
      </c>
      <c r="D125" s="16" t="inlineStr">
        <is>
          <t>Confirm none is overdue at the year end</t>
        </is>
      </c>
    </row>
    <row r="126" ht="30" customHeight="1">
      <c r="A126" s="18" t="inlineStr">
        <is>
          <t>These are matters visible from ledger names. The list is not exhaustive and does not replace the Companies Act checklist.</t>
        </is>
      </c>
    </row>
    <row r="129">
      <c r="A129" s="7" t="inlineStr">
        <is>
          <t>For XYZ Chartered Accountants</t>
        </is>
      </c>
      <c r="B129" s="7" t="inlineStr">
        <is>
          <t>For and on behalf of the Board of Directors of</t>
        </is>
      </c>
    </row>
    <row r="130">
      <c r="A130" s="14" t="inlineStr">
        <is>
          <t>Chartered Accountants</t>
        </is>
      </c>
      <c r="B130" s="14" t="inlineStr">
        <is>
          <t>Rajasthan Precision Private Limited</t>
        </is>
      </c>
    </row>
    <row r="131">
      <c r="A131" s="14" t="inlineStr">
        <is>
          <t>Firm Registration No.: 1111111</t>
        </is>
      </c>
    </row>
    <row r="132">
      <c r="B132" s="14" t="inlineStr">
        <is>
          <t>Director: QWE</t>
        </is>
      </c>
    </row>
    <row r="133">
      <c r="A133" s="14" t="inlineStr">
        <is>
          <t>Partner: ABC</t>
        </is>
      </c>
      <c r="B133" s="14" t="inlineStr">
        <is>
          <t>DIN: 89766654</t>
        </is>
      </c>
    </row>
    <row r="134">
      <c r="A134" s="14" t="inlineStr">
        <is>
          <t>Membership No.: 234543</t>
        </is>
      </c>
      <c r="B134" s="14" t="inlineStr">
        <is>
          <t>Director: DFG</t>
        </is>
      </c>
    </row>
    <row r="135">
      <c r="A135" s="14" t="inlineStr">
        <is>
          <t>Place: Indore</t>
        </is>
      </c>
      <c r="B135" s="14" t="inlineStr">
        <is>
          <t>DIN: 77654354</t>
        </is>
      </c>
    </row>
    <row r="136">
      <c r="A136" s="14" t="inlineStr">
        <is>
          <t>Date of signing: 23/10/2026</t>
        </is>
      </c>
      <c r="B136" s="14" t="inlineStr">
        <is>
          <t>Date of signing: 23/10/2026</t>
        </is>
      </c>
    </row>
  </sheetData>
  <mergeCells count="11">
    <mergeCell ref="A80:D80"/>
    <mergeCell ref="A126:D126"/>
    <mergeCell ref="A117:D117"/>
    <mergeCell ref="A53:D53"/>
    <mergeCell ref="A34:D34"/>
    <mergeCell ref="A26:D26"/>
    <mergeCell ref="A96:D96"/>
    <mergeCell ref="A64:D64"/>
    <mergeCell ref="A19:D19"/>
    <mergeCell ref="A11:D11"/>
    <mergeCell ref="A42:D42"/>
  </mergeCells>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G24"/>
  <sheetViews>
    <sheetView workbookViewId="0">
      <pane ySplit="3" topLeftCell="A4" activePane="bottomLeft" state="frozen"/>
      <selection pane="bottomLeft" activeCell="A1" sqref="A1"/>
    </sheetView>
  </sheetViews>
  <sheetFormatPr baseColWidth="8" defaultRowHeight="15"/>
  <cols>
    <col width="34" customWidth="1" min="1" max="1"/>
    <col width="18" customWidth="1" min="2" max="2"/>
    <col width="18" customWidth="1" min="3" max="3"/>
    <col width="12" customWidth="1" min="4" max="4"/>
    <col width="10" customWidth="1" min="5" max="5"/>
    <col width="90" customWidth="1" min="6" max="6"/>
    <col width="34" customWidth="1" min="7" max="7"/>
    <col width="12" customWidth="1" min="8" max="8"/>
  </cols>
  <sheetData>
    <row r="1">
      <c r="A1" s="2" t="inlineStr">
        <is>
          <t>Ratio analysis and AI remarks</t>
        </is>
      </c>
    </row>
    <row r="2">
      <c r="A2" s="3" t="inlineStr">
        <is>
          <t>AI review run. Reasons marked 'AI draft' and the observations below are drafts for the reviewer to confirm with management; the model saw figures and labels only and cited the facts it relied on.</t>
        </is>
      </c>
    </row>
    <row r="4">
      <c r="A4" s="7" t="inlineStr">
        <is>
          <t>Schedule III ratios (ICAI Guidance Note, Annexure B)</t>
        </is>
      </c>
    </row>
    <row r="5">
      <c r="A5" s="19" t="inlineStr">
        <is>
          <t>Ratio</t>
        </is>
      </c>
      <c r="B5" s="19" t="inlineStr">
        <is>
          <t>Current year</t>
        </is>
      </c>
      <c r="C5" s="19" t="inlineStr">
        <is>
          <t>Previous year</t>
        </is>
      </c>
      <c r="D5" s="19" t="inlineStr">
        <is>
          <t>% change</t>
        </is>
      </c>
      <c r="E5" s="19" t="inlineStr">
        <is>
          <t>Over 25%</t>
        </is>
      </c>
      <c r="F5" s="19" t="inlineStr">
        <is>
          <t>Reason for change / note</t>
        </is>
      </c>
      <c r="G5" s="19" t="inlineStr">
        <is>
          <t>Source of the reason</t>
        </is>
      </c>
    </row>
    <row r="6" ht="15" customHeight="1">
      <c r="A6" s="14" t="inlineStr">
        <is>
          <t>Current ratio</t>
        </is>
      </c>
      <c r="B6" s="15" t="inlineStr">
        <is>
          <t>1.47x</t>
        </is>
      </c>
      <c r="C6" s="15" t="inlineStr">
        <is>
          <t>1.74x</t>
        </is>
      </c>
      <c r="D6" s="15" t="inlineStr">
        <is>
          <t>(15.2%)</t>
        </is>
      </c>
      <c r="E6" s="14" t="inlineStr"/>
      <c r="F6" s="16" t="inlineStr"/>
      <c r="G6" s="16" t="inlineStr"/>
    </row>
    <row r="7" ht="30" customHeight="1">
      <c r="A7" s="14" t="inlineStr">
        <is>
          <t>Debt-equity ratio</t>
        </is>
      </c>
      <c r="B7" s="15" t="inlineStr">
        <is>
          <t>0.19x</t>
        </is>
      </c>
      <c r="C7" s="15" t="inlineStr">
        <is>
          <t>0.25x</t>
        </is>
      </c>
      <c r="D7" s="15" t="inlineStr">
        <is>
          <t>(22.1%)</t>
        </is>
      </c>
      <c r="E7" s="14" t="inlineStr"/>
      <c r="F7" s="16" t="inlineStr">
        <is>
          <t>Current maturities of long-term debt cannot be separated in Tally, so borrowings may be understated.</t>
        </is>
      </c>
      <c r="G7" s="16" t="inlineStr"/>
    </row>
    <row r="8" ht="15" customHeight="1">
      <c r="A8" s="14" t="inlineStr">
        <is>
          <t>Debt service coverage ratio</t>
        </is>
      </c>
      <c r="B8" s="15" t="inlineStr">
        <is>
          <t>26.35x</t>
        </is>
      </c>
      <c r="C8" s="15" t="inlineStr">
        <is>
          <t>n/a</t>
        </is>
      </c>
      <c r="D8" s="15" t="inlineStr">
        <is>
          <t>n/a</t>
        </is>
      </c>
      <c r="E8" s="14" t="inlineStr"/>
      <c r="F8" s="16" t="inlineStr"/>
      <c r="G8" s="16" t="inlineStr"/>
    </row>
    <row r="9" ht="15" customHeight="1">
      <c r="A9" s="14" t="inlineStr">
        <is>
          <t>Return on equity</t>
        </is>
      </c>
      <c r="B9" s="15" t="inlineStr">
        <is>
          <t>24.78%</t>
        </is>
      </c>
      <c r="C9" s="15" t="inlineStr">
        <is>
          <t>n/a</t>
        </is>
      </c>
      <c r="D9" s="15" t="inlineStr">
        <is>
          <t>n/a</t>
        </is>
      </c>
      <c r="E9" s="14" t="inlineStr"/>
      <c r="F9" s="16" t="inlineStr"/>
      <c r="G9" s="16" t="inlineStr"/>
    </row>
    <row r="10" ht="30" customHeight="1">
      <c r="A10" s="14" t="inlineStr">
        <is>
          <t>Inventory turnover ratio</t>
        </is>
      </c>
      <c r="B10" s="15" t="inlineStr">
        <is>
          <t>8.32x</t>
        </is>
      </c>
      <c r="C10" s="15" t="inlineStr">
        <is>
          <t>n/a</t>
        </is>
      </c>
      <c r="D10" s="15" t="inlineStr">
        <is>
          <t>n/a</t>
        </is>
      </c>
      <c r="E10" s="14" t="inlineStr"/>
      <c r="F10" s="16" t="inlineStr">
        <is>
          <t>Direct manufacturing expenses (job work, power, wages) are excluded from cost of goods sold.</t>
        </is>
      </c>
      <c r="G10" s="16" t="inlineStr"/>
    </row>
    <row r="11" ht="15" customHeight="1">
      <c r="A11" s="14" t="inlineStr">
        <is>
          <t>Trade receivables turnover ratio</t>
        </is>
      </c>
      <c r="B11" s="15" t="inlineStr">
        <is>
          <t>0.96x</t>
        </is>
      </c>
      <c r="C11" s="15" t="inlineStr">
        <is>
          <t>n/a</t>
        </is>
      </c>
      <c r="D11" s="15" t="inlineStr">
        <is>
          <t>n/a</t>
        </is>
      </c>
      <c r="E11" s="14" t="inlineStr"/>
      <c r="F11" s="16" t="inlineStr">
        <is>
          <t>All revenue is assumed to be on credit; cash sales are not separable in Tally.</t>
        </is>
      </c>
      <c r="G11" s="16" t="inlineStr"/>
    </row>
    <row r="12" ht="15" customHeight="1">
      <c r="A12" s="14" t="inlineStr">
        <is>
          <t>Trade payables turnover ratio</t>
        </is>
      </c>
      <c r="B12" s="15" t="inlineStr">
        <is>
          <t>0.88x</t>
        </is>
      </c>
      <c r="C12" s="15" t="inlineStr">
        <is>
          <t>n/a</t>
        </is>
      </c>
      <c r="D12" s="15" t="inlineStr">
        <is>
          <t>n/a</t>
        </is>
      </c>
      <c r="E12" s="14" t="inlineStr"/>
      <c r="F12" s="16" t="inlineStr"/>
      <c r="G12" s="16" t="inlineStr"/>
    </row>
    <row r="13" ht="15" customHeight="1">
      <c r="A13" s="14" t="inlineStr">
        <is>
          <t>Net capital turnover ratio</t>
        </is>
      </c>
      <c r="B13" s="15" t="inlineStr">
        <is>
          <t>2.01x</t>
        </is>
      </c>
      <c r="C13" s="15" t="inlineStr">
        <is>
          <t>n/a</t>
        </is>
      </c>
      <c r="D13" s="15" t="inlineStr">
        <is>
          <t>n/a</t>
        </is>
      </c>
      <c r="E13" s="14" t="inlineStr"/>
      <c r="F13" s="16" t="inlineStr"/>
      <c r="G13" s="16" t="inlineStr"/>
    </row>
    <row r="14" ht="15" customHeight="1">
      <c r="A14" s="14" t="inlineStr">
        <is>
          <t>Net profit ratio</t>
        </is>
      </c>
      <c r="B14" s="15" t="inlineStr">
        <is>
          <t>13.92%</t>
        </is>
      </c>
      <c r="C14" s="15" t="inlineStr">
        <is>
          <t>n/a</t>
        </is>
      </c>
      <c r="D14" s="15" t="inlineStr">
        <is>
          <t>n/a</t>
        </is>
      </c>
      <c r="E14" s="14" t="inlineStr"/>
      <c r="F14" s="16" t="inlineStr"/>
      <c r="G14" s="16" t="inlineStr"/>
    </row>
    <row r="15" ht="15" customHeight="1">
      <c r="A15" s="14" t="inlineStr">
        <is>
          <t>Return on capital employed</t>
        </is>
      </c>
      <c r="B15" s="15" t="inlineStr">
        <is>
          <t>19.29%</t>
        </is>
      </c>
      <c r="C15" s="15" t="inlineStr">
        <is>
          <t>n/a</t>
        </is>
      </c>
      <c r="D15" s="15" t="inlineStr">
        <is>
          <t>n/a</t>
        </is>
      </c>
      <c r="E15" s="14" t="inlineStr"/>
      <c r="F15" s="16" t="inlineStr"/>
      <c r="G15" s="16" t="inlineStr"/>
    </row>
    <row r="16" ht="30" customHeight="1">
      <c r="A16" s="14" t="inlineStr">
        <is>
          <t>Return on investment</t>
        </is>
      </c>
      <c r="B16" s="15" t="inlineStr">
        <is>
          <t>n/a</t>
        </is>
      </c>
      <c r="C16" s="15" t="inlineStr">
        <is>
          <t>n/a</t>
        </is>
      </c>
      <c r="D16" s="15" t="inlineStr">
        <is>
          <t>n/a</t>
        </is>
      </c>
      <c r="E16" s="14" t="inlineStr"/>
      <c r="F16" s="16" t="inlineStr">
        <is>
          <t>Not applicable: the company holds no investments (a bank deposit is shown as a bank balance).</t>
        </is>
      </c>
      <c r="G16" s="16" t="inlineStr"/>
    </row>
    <row r="18">
      <c r="A18" s="7" t="inlineStr">
        <is>
          <t>Analytical observations</t>
        </is>
      </c>
    </row>
    <row r="19">
      <c r="A19" s="19" t="inlineStr">
        <is>
          <t>Observation</t>
        </is>
      </c>
      <c r="B19" s="19" t="inlineStr">
        <is>
          <t>Severity</t>
        </is>
      </c>
      <c r="C19" s="19" t="inlineStr">
        <is>
          <t>Figures verified</t>
        </is>
      </c>
      <c r="F19" s="19" t="inlineStr">
        <is>
          <t>Why it matters and the procedure</t>
        </is>
      </c>
      <c r="G19" s="19" t="inlineStr">
        <is>
          <t>Facts relied on</t>
        </is>
      </c>
    </row>
    <row r="20" ht="105" customHeight="1">
      <c r="A20" s="16" t="inlineStr">
        <is>
          <t>High Trade Receivables Days</t>
        </is>
      </c>
      <c r="B20" s="16" t="inlineStr">
        <is>
          <t>High</t>
        </is>
      </c>
      <c r="C20" s="16" t="inlineStr">
        <is>
          <t>Yes</t>
        </is>
      </c>
      <c r="F20" s="16" t="inlineStr">
        <is>
          <t>Trade receivables represent 514 days days of revenue, which is extremely high and indicates significant collection issues or potential revenue recognition concerns, impacting liquidity.
Procedure: Obtain detailed ageing of trade receivables; discuss collection policies and any significant overdue balances with management.</t>
        </is>
      </c>
      <c r="G20" s="16" t="inlineStr">
        <is>
          <t>Trade receivables, current year: Rs 1,79,23,000; Revenue from operations: Rs 1,27,29,000; Trade receivables at year end, in days of revenue: 514 days; Trade receivables turnover ratio, current year: 0.96x</t>
        </is>
      </c>
    </row>
    <row r="21" ht="105" customHeight="1">
      <c r="A21" s="16" t="inlineStr">
        <is>
          <t>High Trade Payables Days</t>
        </is>
      </c>
      <c r="B21" s="16" t="inlineStr">
        <is>
          <t>High</t>
        </is>
      </c>
      <c r="C21" s="16" t="inlineStr">
        <is>
          <t>Yes</t>
        </is>
      </c>
      <c r="F21" s="16" t="inlineStr">
        <is>
          <t>Trade payables represent 566 days days of purchases, indicating very long payment cycles to suppliers, which could strain supplier relationships or suggest liquidity management issues.
Procedure: Obtain detailed ageing of trade payables; discuss payment policies and any significant overdue balances with management.</t>
        </is>
      </c>
      <c r="G21" s="16" t="inlineStr">
        <is>
          <t>Trade payables, current year: Rs 1,38,56,000; Purchases: Rs 89,43,000; Trade payables at year end, in days of purchases: 566 days; Trade payables turnover ratio, current year: 0.88x</t>
        </is>
      </c>
    </row>
    <row r="22" ht="75" customHeight="1">
      <c r="A22" s="16" t="inlineStr">
        <is>
          <t>Divergence of Profit and Operating Cash Flow</t>
        </is>
      </c>
      <c r="B22" s="16" t="inlineStr">
        <is>
          <t>High</t>
        </is>
      </c>
      <c r="C22" s="16" t="inlineStr">
        <is>
          <t>Yes</t>
        </is>
      </c>
      <c r="F22" s="16" t="inlineStr">
        <is>
          <t>Profit after tax is Rs 17,72,000, but net cash from operating activities is only Rs 8,18,000, resulting in a significant difference of Rs 9,54,000. This divergence needs detailed reconciliation and explanation.
Procedure: Review the detailed cash flow statement to understand the non-cash adjustments and working capital changes causing this difference.</t>
        </is>
      </c>
      <c r="G22" s="16" t="inlineStr">
        <is>
          <t>Profit after tax: Rs 17,72,000; Net cash from operating activities: Rs 8,18,000; Profit after tax less operating cash flow: Rs 9,54,000</t>
        </is>
      </c>
    </row>
    <row r="23" ht="75" customHeight="1">
      <c r="A23" s="16" t="inlineStr">
        <is>
          <t>Low Implied Interest Rate on Borrowings</t>
        </is>
      </c>
      <c r="B23" s="16" t="inlineStr">
        <is>
          <t>Medium</t>
        </is>
      </c>
      <c r="C23" s="16" t="inlineStr">
        <is>
          <t>No: contains figures not in the books</t>
        </is>
      </c>
      <c r="F23" s="16" t="inlineStr">
        <is>
          <t>Total borrowings of Rs 15,50,000 yield finance costs of only Rs 77,000, implying an interest rate of approximately 4.97%. This seems unusually low for commercial borrowings in India.
Procedure: Obtain loan agreements for all borrowings, especially the unsecured loan from directors, to confirm interest rates and terms.</t>
        </is>
      </c>
      <c r="G23" s="16" t="inlineStr">
        <is>
          <t>Total borrowings (long and short term), current year: Rs 15,50,000; Finance costs: Rs 77,000; Unsecured loan from directors: Rs 3,00,000</t>
        </is>
      </c>
    </row>
    <row r="24" ht="105" customHeight="1">
      <c r="A24" s="16" t="inlineStr">
        <is>
          <t>Rapid Growth in Working Capital Components</t>
        </is>
      </c>
      <c r="B24" s="16" t="inlineStr">
        <is>
          <t>Medium</t>
        </is>
      </c>
      <c r="C24" s="16" t="inlineStr">
        <is>
          <t>No: contains figures not in the books</t>
        </is>
      </c>
      <c r="F24" s="16" t="inlineStr">
        <is>
          <t>Current assets increased by ~100% from Rs 1,26,39,000 to Rs 2,27,44,000 and current liabilities by ~112% from Rs 72,72,000 to Rs 1,54,25,000. This rapid expansion needs to be understood and justified by business operations.
Procedure: Discuss with management the reasons for the substantial increase in both current assets and liabilities and their impact on working capital management.</t>
        </is>
      </c>
      <c r="G24" s="16" t="inlineStr">
        <is>
          <t>Current assets, current year: Rs 2,27,44,000; Current assets, previous year: Rs 1,26,39,000; Current liabilities, current year: Rs 1,54,25,000; Current liabilities, previous year: Rs 72,72,000</t>
        </is>
      </c>
    </row>
  </sheetData>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G52"/>
  <sheetViews>
    <sheetView workbookViewId="0">
      <pane ySplit="3" topLeftCell="A4" activePane="bottomLeft" state="frozen"/>
      <selection pane="bottomLeft" activeCell="A1" sqref="A1"/>
    </sheetView>
  </sheetViews>
  <sheetFormatPr baseColWidth="8" defaultRowHeight="15"/>
  <cols>
    <col width="7" customWidth="1" min="1" max="1"/>
    <col width="16" customWidth="1" min="2" max="2"/>
    <col width="22" customWidth="1" min="3" max="3"/>
    <col width="26" customWidth="1" min="4" max="4"/>
    <col width="14" customWidth="1" min="5" max="5"/>
    <col width="80" customWidth="1" min="6" max="6"/>
    <col width="28" customWidth="1" min="7" max="7"/>
  </cols>
  <sheetData>
    <row r="1">
      <c r="A1" s="2" t="inlineStr">
        <is>
          <t>Open items for the reviewer</t>
        </is>
      </c>
    </row>
    <row r="3">
      <c r="A3" s="4" t="inlineStr">
        <is>
          <t>Ref</t>
        </is>
      </c>
      <c r="B3" s="4" t="inlineStr">
        <is>
          <t>Type</t>
        </is>
      </c>
      <c r="C3" s="4" t="inlineStr">
        <is>
          <t>Area</t>
        </is>
      </c>
      <c r="D3" s="4" t="inlineStr">
        <is>
          <t>Ledger</t>
        </is>
      </c>
      <c r="E3" s="5" t="inlineStr">
        <is>
          <t>Amount</t>
        </is>
      </c>
      <c r="F3" s="4" t="inlineStr">
        <is>
          <t>Matter</t>
        </is>
      </c>
      <c r="G3" s="4" t="inlineStr">
        <is>
          <t>Reviewer response</t>
        </is>
      </c>
    </row>
    <row r="4">
      <c r="A4" s="14" t="inlineStr">
        <is>
          <t>R1</t>
        </is>
      </c>
      <c r="B4" s="14" t="inlineStr">
        <is>
          <t>Classification</t>
        </is>
      </c>
      <c r="C4" s="14" t="inlineStr">
        <is>
          <t>Inventories</t>
        </is>
      </c>
      <c r="D4" s="14" t="inlineStr">
        <is>
          <t>Opening Stock</t>
        </is>
      </c>
      <c r="E4" s="10" t="n">
        <v>10.75</v>
      </c>
      <c r="F4" s="16" t="inlineStr">
        <is>
          <t>Tally's trial balance shows stock as one 'Opening Stock' line and does not include the closing stock. Confirm the closing stock value for the year; split it into raw materials, work-in-progress and finished goods.</t>
        </is>
      </c>
    </row>
    <row r="5">
      <c r="A5" s="14" t="inlineStr">
        <is>
          <t>R2</t>
        </is>
      </c>
      <c r="B5" s="14" t="inlineStr">
        <is>
          <t>Classification</t>
        </is>
      </c>
      <c r="C5" s="14" t="inlineStr">
        <is>
          <t>Trade receivables</t>
        </is>
      </c>
      <c r="D5" s="14" t="inlineStr">
        <is>
          <t>Apex Motors Pvt Ltd</t>
        </is>
      </c>
      <c r="E5" s="10" t="n">
        <v>29.72</v>
      </c>
      <c r="F5" s="16" t="inlineStr">
        <is>
          <t>The file gives no ledger group; 'Sundry Debtors' was guessed from the balance side. Confirm what this ledger is.</t>
        </is>
      </c>
    </row>
    <row r="6">
      <c r="A6" s="14" t="inlineStr">
        <is>
          <t>R3</t>
        </is>
      </c>
      <c r="B6" s="14" t="inlineStr">
        <is>
          <t>Classification</t>
        </is>
      </c>
      <c r="C6" s="14" t="inlineStr">
        <is>
          <t>Other expenses</t>
        </is>
      </c>
      <c r="D6" s="14" t="inlineStr">
        <is>
          <t>Audit Fees</t>
        </is>
      </c>
      <c r="E6" s="10" t="n">
        <v>0.4</v>
      </c>
      <c r="F6" s="16" t="inlineStr">
        <is>
          <t>Schedule III requires the split: audit fee, tax audit, other services, reimbursements.</t>
        </is>
      </c>
    </row>
    <row r="7">
      <c r="A7" s="14" t="inlineStr">
        <is>
          <t>R4</t>
        </is>
      </c>
      <c r="B7" s="14" t="inlineStr">
        <is>
          <t>Classification</t>
        </is>
      </c>
      <c r="C7" s="14" t="inlineStr">
        <is>
          <t>Trade payables</t>
        </is>
      </c>
      <c r="D7" s="14" t="inlineStr">
        <is>
          <t>Bright Bearings Co.</t>
        </is>
      </c>
      <c r="E7" s="10" t="n">
        <v>35.03</v>
      </c>
      <c r="F7" s="16" t="inlineStr">
        <is>
          <t>The file gives no ledger group; 'Sundry Creditors' was guessed from the balance side. Confirm what this ledger is.</t>
        </is>
      </c>
    </row>
    <row r="8">
      <c r="A8" s="14" t="inlineStr">
        <is>
          <t>R5</t>
        </is>
      </c>
      <c r="B8" s="14" t="inlineStr">
        <is>
          <t>Classification</t>
        </is>
      </c>
      <c r="C8" s="14" t="inlineStr">
        <is>
          <t>Employee benefit expense</t>
        </is>
      </c>
      <c r="D8" s="14" t="inlineStr">
        <is>
          <t>Directors Remuneration</t>
        </is>
      </c>
      <c r="E8" s="10" t="n">
        <v>0.44</v>
      </c>
      <c r="F8" s="16" t="inlineStr">
        <is>
          <t>Key managerial personnel: related-party disclosure (AS 18) and Sec 197 / Sch V limits.</t>
        </is>
      </c>
    </row>
    <row r="9">
      <c r="A9" s="14" t="inlineStr">
        <is>
          <t>R6</t>
        </is>
      </c>
      <c r="B9" s="14" t="inlineStr">
        <is>
          <t>Classification</t>
        </is>
      </c>
      <c r="C9" s="14" t="inlineStr">
        <is>
          <t>Cash and bank balances</t>
        </is>
      </c>
      <c r="D9" s="14" t="inlineStr">
        <is>
          <t>Fixed Deposit - HDFC Bank</t>
        </is>
      </c>
      <c r="E9" s="10" t="n">
        <v>5</v>
      </c>
      <c r="F9" s="16" t="inlineStr">
        <is>
          <t>A bank deposit is not an 'investment' under Schedule III. Confirm maturity: over 12 months is an other non-current asset; up to 3 months is a cash equivalent.</t>
        </is>
      </c>
    </row>
    <row r="10">
      <c r="A10" s="14" t="inlineStr">
        <is>
          <t>R7</t>
        </is>
      </c>
      <c r="B10" s="14" t="inlineStr">
        <is>
          <t>Classification</t>
        </is>
      </c>
      <c r="C10" s="14" t="inlineStr">
        <is>
          <t>Trade receivables</t>
        </is>
      </c>
      <c r="D10" s="14" t="inlineStr">
        <is>
          <t>Jaipur Machine Tools</t>
        </is>
      </c>
      <c r="E10" s="10" t="n">
        <v>42.31</v>
      </c>
      <c r="F10" s="16" t="inlineStr">
        <is>
          <t>The file gives no ledger group; 'Sundry Debtors' was guessed from the balance side. Confirm what this ledger is.</t>
        </is>
      </c>
    </row>
    <row r="11">
      <c r="A11" s="14" t="inlineStr">
        <is>
          <t>R8</t>
        </is>
      </c>
      <c r="B11" s="14" t="inlineStr">
        <is>
          <t>Classification</t>
        </is>
      </c>
      <c r="C11" s="14" t="inlineStr">
        <is>
          <t>Trade payables</t>
        </is>
      </c>
      <c r="D11" s="14" t="inlineStr">
        <is>
          <t>Jaipur Packaging Works</t>
        </is>
      </c>
      <c r="E11" s="10" t="n">
        <v>22.89</v>
      </c>
      <c r="F11" s="16" t="inlineStr">
        <is>
          <t>The file gives no ledger group; 'Sundry Creditors' was guessed from the balance side. Confirm what this ledger is.</t>
        </is>
      </c>
    </row>
    <row r="12">
      <c r="A12" s="14" t="inlineStr">
        <is>
          <t>R9</t>
        </is>
      </c>
      <c r="B12" s="14" t="inlineStr">
        <is>
          <t>Classification</t>
        </is>
      </c>
      <c r="C12" s="14" t="inlineStr">
        <is>
          <t>Trade receivables</t>
        </is>
      </c>
      <c r="D12" s="14" t="inlineStr">
        <is>
          <t>Metro Auto Components Ltd</t>
        </is>
      </c>
      <c r="E12" s="10" t="n">
        <v>37.01</v>
      </c>
      <c r="F12" s="16" t="inlineStr">
        <is>
          <t>The file gives no ledger group; 'Sundry Debtors' was guessed from the balance side. Confirm what this ledger is.</t>
        </is>
      </c>
    </row>
    <row r="13">
      <c r="A13" s="14" t="inlineStr">
        <is>
          <t>R10</t>
        </is>
      </c>
      <c r="B13" s="14" t="inlineStr">
        <is>
          <t>Classification</t>
        </is>
      </c>
      <c r="C13" s="14" t="inlineStr">
        <is>
          <t>Trade receivables</t>
        </is>
      </c>
      <c r="D13" s="14" t="inlineStr">
        <is>
          <t>National Fabricators</t>
        </is>
      </c>
      <c r="E13" s="10" t="n">
        <v>30.22</v>
      </c>
      <c r="F13" s="16" t="inlineStr">
        <is>
          <t>The file gives no ledger group; 'Sundry Debtors' was guessed from the balance side. Confirm what this ledger is.</t>
        </is>
      </c>
    </row>
    <row r="14">
      <c r="A14" s="14" t="inlineStr">
        <is>
          <t>R11</t>
        </is>
      </c>
      <c r="B14" s="14" t="inlineStr">
        <is>
          <t>Classification</t>
        </is>
      </c>
      <c r="C14" s="14" t="inlineStr">
        <is>
          <t>Other current liabilities</t>
        </is>
      </c>
      <c r="D14" s="14" t="inlineStr">
        <is>
          <t>Outstanding Audit Fees</t>
        </is>
      </c>
      <c r="E14" s="10" t="n">
        <v>0.8</v>
      </c>
      <c r="F14" s="16" t="inlineStr">
        <is>
          <t>Expenses already incurred and payable are not 'provisions' (AS 29); shown under other current liabilities.</t>
        </is>
      </c>
    </row>
    <row r="15">
      <c r="A15" s="14" t="inlineStr">
        <is>
          <t>R12</t>
        </is>
      </c>
      <c r="B15" s="14" t="inlineStr">
        <is>
          <t>Classification</t>
        </is>
      </c>
      <c r="C15" s="14" t="inlineStr">
        <is>
          <t>Other current liabilities</t>
        </is>
      </c>
      <c r="D15" s="14" t="inlineStr">
        <is>
          <t>Outstanding Salary</t>
        </is>
      </c>
      <c r="E15" s="10" t="n">
        <v>2.45</v>
      </c>
      <c r="F15" s="16" t="inlineStr">
        <is>
          <t>Expenses already incurred and payable are not 'provisions' (AS 29); shown under other current liabilities.</t>
        </is>
      </c>
    </row>
    <row r="16">
      <c r="A16" s="14" t="inlineStr">
        <is>
          <t>R13</t>
        </is>
      </c>
      <c r="B16" s="14" t="inlineStr">
        <is>
          <t>Classification</t>
        </is>
      </c>
      <c r="C16" s="14" t="inlineStr">
        <is>
          <t>Trade payables</t>
        </is>
      </c>
      <c r="D16" s="14" t="inlineStr">
        <is>
          <t>Precision Tools Suppliers</t>
        </is>
      </c>
      <c r="E16" s="10" t="n">
        <v>23.25</v>
      </c>
      <c r="F16" s="16" t="inlineStr">
        <is>
          <t>The file gives no ledger group; 'Sundry Creditors' was guessed from the balance side. Confirm what this ledger is.</t>
        </is>
      </c>
    </row>
    <row r="17">
      <c r="A17" s="14" t="inlineStr">
        <is>
          <t>R14</t>
        </is>
      </c>
      <c r="B17" s="14" t="inlineStr">
        <is>
          <t>Classification</t>
        </is>
      </c>
      <c r="C17" s="14" t="inlineStr">
        <is>
          <t>Trade payables</t>
        </is>
      </c>
      <c r="D17" s="14" t="inlineStr">
        <is>
          <t>Rajasthan Alloys Pvt Ltd</t>
        </is>
      </c>
      <c r="E17" s="10" t="n">
        <v>30.79</v>
      </c>
      <c r="F17" s="16" t="inlineStr">
        <is>
          <t>The file gives no ledger group; 'Sundry Creditors' was guessed from the balance side. Confirm what this ledger is.</t>
        </is>
      </c>
    </row>
    <row r="18">
      <c r="A18" s="14" t="inlineStr">
        <is>
          <t>R15</t>
        </is>
      </c>
      <c r="B18" s="14" t="inlineStr">
        <is>
          <t>Classification</t>
        </is>
      </c>
      <c r="C18" s="14" t="inlineStr">
        <is>
          <t>Trade payables</t>
        </is>
      </c>
      <c r="D18" s="14" t="inlineStr">
        <is>
          <t>Sharma Steel Traders</t>
        </is>
      </c>
      <c r="E18" s="10" t="n">
        <v>26.59</v>
      </c>
      <c r="F18" s="16" t="inlineStr">
        <is>
          <t>The file gives no ledger group; 'Sundry Creditors' was guessed from the balance side. Confirm what this ledger is.</t>
        </is>
      </c>
    </row>
    <row r="19">
      <c r="A19" s="14" t="inlineStr">
        <is>
          <t>R16</t>
        </is>
      </c>
      <c r="B19" s="14" t="inlineStr">
        <is>
          <t>Classification</t>
        </is>
      </c>
      <c r="C19" s="14" t="inlineStr">
        <is>
          <t>Trade receivables</t>
        </is>
      </c>
      <c r="D19" s="14" t="inlineStr">
        <is>
          <t>Sunrise Engineering Works</t>
        </is>
      </c>
      <c r="E19" s="10" t="n">
        <v>39.98</v>
      </c>
      <c r="F19" s="16" t="inlineStr">
        <is>
          <t>The file gives no ledger group; 'Sundry Debtors' was guessed from the balance side. Confirm what this ledger is.</t>
        </is>
      </c>
    </row>
    <row r="20">
      <c r="A20" s="14" t="inlineStr">
        <is>
          <t>R17</t>
        </is>
      </c>
      <c r="B20" s="14" t="inlineStr">
        <is>
          <t>Classification</t>
        </is>
      </c>
      <c r="C20" s="14" t="inlineStr">
        <is>
          <t>Long-term borrowings</t>
        </is>
      </c>
      <c r="D20" s="14" t="inlineStr">
        <is>
          <t>Term Loan - HDFC Bank</t>
        </is>
      </c>
      <c r="E20" s="10" t="n">
        <v>12.5</v>
      </c>
      <c r="F20" s="16" t="inlineStr">
        <is>
          <t>Long-term vs short-term cannot be told from Tally. Instalments due within 12 months (current maturities) belong in other current liabilities; add the repayment schedule.</t>
        </is>
      </c>
    </row>
    <row r="21">
      <c r="A21" s="14" t="inlineStr">
        <is>
          <t>R18</t>
        </is>
      </c>
      <c r="B21" s="14" t="inlineStr">
        <is>
          <t>Classification</t>
        </is>
      </c>
      <c r="C21" s="14" t="inlineStr">
        <is>
          <t>Long-term borrowings</t>
        </is>
      </c>
      <c r="D21" s="14" t="inlineStr">
        <is>
          <t>Unsecured Loan - Director</t>
        </is>
      </c>
      <c r="E21" s="10" t="n">
        <v>3</v>
      </c>
      <c r="F21" s="16" t="inlineStr">
        <is>
          <t>Related-party loan: needs related-party disclosure (AS 18), Sec 73/Rule 2(1)(c)(viii) declaration from director, and repayment terms. Confirm long-term.</t>
        </is>
      </c>
    </row>
    <row r="22">
      <c r="A22" s="14" t="inlineStr">
        <is>
          <t>O1</t>
        </is>
      </c>
      <c r="B22" s="14" t="inlineStr">
        <is>
          <t>Observation</t>
        </is>
      </c>
      <c r="C22" s="14" t="inlineStr">
        <is>
          <t>Comparatives</t>
        </is>
      </c>
      <c r="D22" s="14" t="inlineStr"/>
      <c r="E22" s="15" t="inlineStr">
        <is>
          <t>-</t>
        </is>
      </c>
      <c r="F22" s="16" t="inlineStr">
        <is>
          <t>Only one year's trial balance was loaded, so the previous-year columns of the statement of profit and loss and the cash flow statement are blank. Load the previous year's data to complete them.</t>
        </is>
      </c>
    </row>
    <row r="23">
      <c r="A23" s="14" t="inlineStr">
        <is>
          <t>O2</t>
        </is>
      </c>
      <c r="B23" s="14" t="inlineStr">
        <is>
          <t>Observation</t>
        </is>
      </c>
      <c r="C23" s="14" t="inlineStr">
        <is>
          <t>Tax</t>
        </is>
      </c>
      <c r="D23" s="14" t="inlineStr"/>
      <c r="E23" s="10" t="n">
        <v>17.72</v>
      </c>
      <c r="F23" s="16" t="inlineStr">
        <is>
          <t>The books show a profit of Rs 17,72,000 but no income-tax expense or provision (current or deferred). Confirm the tax computation and book the provision before finalising.</t>
        </is>
      </c>
    </row>
    <row r="24">
      <c r="A24" s="14" t="inlineStr">
        <is>
          <t>O3</t>
        </is>
      </c>
      <c r="B24" s="14" t="inlineStr">
        <is>
          <t>Observation</t>
        </is>
      </c>
      <c r="C24" s="14" t="inlineStr">
        <is>
          <t>Inventories</t>
        </is>
      </c>
      <c r="D24" s="14" t="inlineStr"/>
      <c r="E24" s="10" t="n">
        <v>10.75</v>
      </c>
      <c r="F24" s="16" t="inlineStr">
        <is>
          <t>Closing stock equals opening stock for every inventory ledger although purchases were Rs 89,43,000. Confirm the year-end stock was recorded; otherwise cost of materials and profit are misstated.</t>
        </is>
      </c>
    </row>
    <row r="25">
      <c r="A25" s="14" t="inlineStr">
        <is>
          <t>O4</t>
        </is>
      </c>
      <c r="B25" s="14" t="inlineStr">
        <is>
          <t>Observation</t>
        </is>
      </c>
      <c r="C25" s="14" t="inlineStr">
        <is>
          <t>Cash flow statement</t>
        </is>
      </c>
      <c r="D25" s="14" t="inlineStr"/>
      <c r="E25" s="15" t="inlineStr">
        <is>
          <t>-</t>
        </is>
      </c>
      <c r="F25" s="16" t="inlineStr">
        <is>
          <t>Paid-up capital of Rs 29,30,000 and turnover of Rs 1,27,29,000 are within the small-company limits (Rs 4 crore and Rs 40 crore, as currently notified), in which case a cash flow statement is not mandatory (Sec 2(40)). Confirm the company's status; it is included for completeness.</t>
        </is>
      </c>
    </row>
    <row r="27">
      <c r="A27" s="7" t="inlineStr">
        <is>
          <t>Information required for the notes (not available in Tally)</t>
        </is>
      </c>
    </row>
    <row r="28">
      <c r="A28" s="14" t="inlineStr">
        <is>
          <t>Note 1</t>
        </is>
      </c>
      <c r="C28" s="14" t="inlineStr">
        <is>
          <t>Share capital</t>
        </is>
      </c>
      <c r="F28" s="16" t="inlineStr">
        <is>
          <t>Authorised, issued, subscribed and paid-up shares (number and amount), par value and rights/preferences</t>
        </is>
      </c>
    </row>
    <row r="29">
      <c r="A29" s="14" t="inlineStr">
        <is>
          <t>Note 1</t>
        </is>
      </c>
      <c r="C29" s="14" t="inlineStr">
        <is>
          <t>Share capital</t>
        </is>
      </c>
      <c r="F29" s="16" t="inlineStr">
        <is>
          <t>Reconciliation of shares outstanding at the start and end of the year</t>
        </is>
      </c>
    </row>
    <row r="30">
      <c r="A30" s="14" t="inlineStr">
        <is>
          <t>Note 1</t>
        </is>
      </c>
      <c r="C30" s="14" t="inlineStr">
        <is>
          <t>Share capital</t>
        </is>
      </c>
      <c r="F30" s="16" t="inlineStr">
        <is>
          <t>Shareholders holding more than 5%, and promoter shareholding at the end and at the beginning of the year with the % change</t>
        </is>
      </c>
    </row>
    <row r="31">
      <c r="A31" s="14" t="inlineStr">
        <is>
          <t>Note 2</t>
        </is>
      </c>
      <c r="C31" s="14" t="inlineStr">
        <is>
          <t>Reserves and surplus</t>
        </is>
      </c>
      <c r="F31" s="16" t="inlineStr">
        <is>
          <t>Nature and purpose of each reserve; any appropriations (dividend, transfer to reserves) for the year</t>
        </is>
      </c>
    </row>
    <row r="32">
      <c r="A32" s="14" t="inlineStr">
        <is>
          <t>Note 3</t>
        </is>
      </c>
      <c r="C32" s="14" t="inlineStr">
        <is>
          <t>Long-term borrowings</t>
        </is>
      </c>
      <c r="F32" s="16" t="inlineStr">
        <is>
          <t>Terms of repayment, rate of interest and security for each loan; defaults; current maturities of long-term debt (to be shown under other current liabilities)</t>
        </is>
      </c>
    </row>
    <row r="33">
      <c r="A33" s="14" t="inlineStr">
        <is>
          <t>Note 3</t>
        </is>
      </c>
      <c r="C33" s="14" t="inlineStr">
        <is>
          <t>Long-term borrowings</t>
        </is>
      </c>
      <c r="F33" s="16" t="inlineStr">
        <is>
          <t>Loans from directors and other related parties: terms and amounts (related-party disclosure)</t>
        </is>
      </c>
    </row>
    <row r="34">
      <c r="A34" s="14" t="inlineStr">
        <is>
          <t>Note 4</t>
        </is>
      </c>
      <c r="C34" s="14" t="inlineStr">
        <is>
          <t>Trade payables</t>
        </is>
      </c>
      <c r="F34" s="16" t="inlineStr">
        <is>
          <t>Ageing of trade payables from the due date of payment (less than 1 year, 1-2, 2-3, more than 3 years): MSME, others and disputed dues</t>
        </is>
      </c>
    </row>
    <row r="35">
      <c r="A35" s="14" t="inlineStr">
        <is>
          <t>Note 4</t>
        </is>
      </c>
      <c r="C35" s="14" t="inlineStr">
        <is>
          <t>Trade payables</t>
        </is>
      </c>
      <c r="F35" s="16" t="inlineStr">
        <is>
          <t>Dues to micro and small enterprises (MSMED Act, 2006): principal, interest, payments beyond 45 days</t>
        </is>
      </c>
    </row>
    <row r="36">
      <c r="A36" s="14" t="inlineStr">
        <is>
          <t>Note 5</t>
        </is>
      </c>
      <c r="C36" s="14" t="inlineStr">
        <is>
          <t>Other current liabilities</t>
        </is>
      </c>
      <c r="F36" s="16" t="inlineStr">
        <is>
          <t>Current maturities of long-term borrowings; statutory dues overdue, if any</t>
        </is>
      </c>
    </row>
    <row r="37">
      <c r="A37" s="14" t="inlineStr">
        <is>
          <t>Note 6</t>
        </is>
      </c>
      <c r="C37" s="14" t="inlineStr">
        <is>
          <t>Property, plant and equipment</t>
        </is>
      </c>
      <c r="F37" s="16" t="inlineStr">
        <is>
          <t>Gross block, accumulated depreciation and impairment for each class; additions, disposals and transfers (Tally shows only the net book value here)</t>
        </is>
      </c>
    </row>
    <row r="38">
      <c r="A38" s="14" t="inlineStr">
        <is>
          <t>Note 6</t>
        </is>
      </c>
      <c r="C38" s="14" t="inlineStr">
        <is>
          <t>Property, plant and equipment</t>
        </is>
      </c>
      <c r="F38" s="16" t="inlineStr">
        <is>
          <t>Useful lives or depreciation rates and method; title deeds of immovable property; revaluation, if any</t>
        </is>
      </c>
    </row>
    <row r="39">
      <c r="A39" s="14" t="inlineStr">
        <is>
          <t>Note 7</t>
        </is>
      </c>
      <c r="C39" s="14" t="inlineStr">
        <is>
          <t>Inventories</t>
        </is>
      </c>
      <c r="F39" s="16" t="inlineStr">
        <is>
          <t>Basis of valuation (lower of cost and net realisable value) and how closing stock was determined</t>
        </is>
      </c>
    </row>
    <row r="40">
      <c r="A40" s="14" t="inlineStr">
        <is>
          <t>Note 8</t>
        </is>
      </c>
      <c r="C40" s="14" t="inlineStr">
        <is>
          <t>Trade receivables</t>
        </is>
      </c>
      <c r="F40" s="16" t="inlineStr">
        <is>
          <t>Ageing of trade receivables from the due date of payment (under 6 months, 6 months to 1 year, 1-2, 2-3, over 3 years): undisputed and disputed, good and doubtful</t>
        </is>
      </c>
    </row>
    <row r="41">
      <c r="A41" s="14" t="inlineStr">
        <is>
          <t>Note 8</t>
        </is>
      </c>
      <c r="C41" s="14" t="inlineStr">
        <is>
          <t>Trade receivables</t>
        </is>
      </c>
      <c r="F41" s="16" t="inlineStr">
        <is>
          <t>Receivables from related parties and from directors; provision for doubtful debts</t>
        </is>
      </c>
    </row>
    <row r="42">
      <c r="A42" s="14" t="inlineStr">
        <is>
          <t>Note 9</t>
        </is>
      </c>
      <c r="C42" s="14" t="inlineStr">
        <is>
          <t>Cash and bank balances</t>
        </is>
      </c>
      <c r="F42" s="16" t="inlineStr">
        <is>
          <t>Maturity and any lien/margin on bank deposits; earmarked balances</t>
        </is>
      </c>
    </row>
    <row r="43">
      <c r="A43" s="14" t="inlineStr">
        <is>
          <t>Note 10</t>
        </is>
      </c>
      <c r="C43" s="14" t="inlineStr">
        <is>
          <t>Revenue from operations</t>
        </is>
      </c>
      <c r="F43" s="16" t="inlineStr">
        <is>
          <t>Break-up of revenue by product/service where material; GST treatment of sales</t>
        </is>
      </c>
    </row>
    <row r="44">
      <c r="A44" s="14" t="inlineStr">
        <is>
          <t>Note 16</t>
        </is>
      </c>
      <c r="C44" s="14" t="inlineStr">
        <is>
          <t>Other expenses</t>
        </is>
      </c>
      <c r="F44" s="16" t="inlineStr">
        <is>
          <t>Payment to auditors: audit fee, tax audit, other services, reimbursements</t>
        </is>
      </c>
    </row>
    <row r="45">
      <c r="A45" s="14" t="inlineStr">
        <is>
          <t>Note 16</t>
        </is>
      </c>
      <c r="C45" s="14" t="inlineStr">
        <is>
          <t>Other expenses</t>
        </is>
      </c>
      <c r="F45" s="16" t="inlineStr">
        <is>
          <t>Items of other expenses exceeding 1% of revenue or Rs 1,00,000, whichever is higher, shown separately</t>
        </is>
      </c>
    </row>
    <row r="46">
      <c r="A46" s="14" t="inlineStr">
        <is>
          <t>Note 16</t>
        </is>
      </c>
      <c r="C46" s="14" t="inlineStr">
        <is>
          <t>Other expenses</t>
        </is>
      </c>
      <c r="F46" s="16" t="inlineStr">
        <is>
          <t>CSR expenditure (Sec 135) if applicable; value of imports and foreign exchange earnings/outgo</t>
        </is>
      </c>
    </row>
    <row r="47">
      <c r="A47" s="14" t="inlineStr">
        <is>
          <t>Note 17</t>
        </is>
      </c>
      <c r="C47" s="14" t="inlineStr">
        <is>
          <t>Analytical ratios</t>
        </is>
      </c>
      <c r="F47" s="16" t="inlineStr">
        <is>
          <t>Return on investment: the time-weighted method needs the market value and cash flows of the investment portfolio</t>
        </is>
      </c>
    </row>
    <row r="48">
      <c r="A48" s="14" t="inlineStr">
        <is>
          <t>General</t>
        </is>
      </c>
      <c r="F48" s="16" t="inlineStr">
        <is>
          <t>Significant accounting policies (AS 1) and the basis of preparation</t>
        </is>
      </c>
    </row>
    <row r="49">
      <c r="A49" s="14" t="inlineStr">
        <is>
          <t>General</t>
        </is>
      </c>
      <c r="F49" s="16" t="inlineStr">
        <is>
          <t>Earnings per share (AS 20): number of equity shares and weighted average</t>
        </is>
      </c>
    </row>
    <row r="50">
      <c r="A50" s="14" t="inlineStr">
        <is>
          <t>General</t>
        </is>
      </c>
      <c r="F50" s="16" t="inlineStr">
        <is>
          <t>Related-party disclosures (AS 18): names, relationships, transactions and balances (including director remuneration)</t>
        </is>
      </c>
    </row>
    <row r="51">
      <c r="A51" s="14" t="inlineStr">
        <is>
          <t>General</t>
        </is>
      </c>
      <c r="F51" s="16" t="inlineStr">
        <is>
          <t>Contingent liabilities and commitments (AS 29); employee benefits (AS 15); segment information (AS 17) if applicable</t>
        </is>
      </c>
    </row>
    <row r="52">
      <c r="A52" s="14" t="inlineStr">
        <is>
          <t>General</t>
        </is>
      </c>
      <c r="F52" s="16" t="inlineStr">
        <is>
          <t>The 11 ratios required by Schedule III with explanations for changes above 25%</t>
        </is>
      </c>
    </row>
  </sheetData>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I62"/>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40" customWidth="1" min="3" max="3"/>
    <col width="44" customWidth="1" min="4" max="4"/>
    <col width="16" customWidth="1" min="5" max="5"/>
    <col width="16" customWidth="1" min="6" max="6"/>
    <col width="10" customWidth="1" min="7" max="7"/>
    <col width="12" customWidth="1" min="8" max="8"/>
    <col width="70" customWidth="1" min="9" max="9"/>
  </cols>
  <sheetData>
    <row r="1">
      <c r="A1" s="2" t="inlineStr">
        <is>
          <t>Ledger to Schedule III mapping (balances shown Dr / (Cr), as in Tally)</t>
        </is>
      </c>
    </row>
    <row r="3">
      <c r="A3" s="4" t="inlineStr">
        <is>
          <t>Ledger</t>
        </is>
      </c>
      <c r="B3" s="4" t="inlineStr">
        <is>
          <t>Tally group</t>
        </is>
      </c>
      <c r="C3" s="4" t="inlineStr">
        <is>
          <t>Schedule III line</t>
        </is>
      </c>
      <c r="D3" s="4" t="inlineStr">
        <is>
          <t>Sub-head</t>
        </is>
      </c>
      <c r="E3" s="5" t="inlineStr">
        <is>
          <t>Opening</t>
        </is>
      </c>
      <c r="F3" s="5" t="inlineStr">
        <is>
          <t>Closing</t>
        </is>
      </c>
      <c r="G3" s="4" t="inlineStr">
        <is>
          <t>Source</t>
        </is>
      </c>
      <c r="H3" s="4" t="inlineStr">
        <is>
          <t>Rule</t>
        </is>
      </c>
      <c r="I3" s="4" t="inlineStr">
        <is>
          <t>Review note</t>
        </is>
      </c>
    </row>
    <row r="4">
      <c r="A4" s="14" t="inlineStr">
        <is>
          <t>Opening Stock</t>
        </is>
      </c>
      <c r="B4" s="14" t="inlineStr">
        <is>
          <t>Stock-in-Hand</t>
        </is>
      </c>
      <c r="C4" s="14" t="inlineStr">
        <is>
          <t>Inventories</t>
        </is>
      </c>
      <c r="D4" s="14" t="inlineStr">
        <is>
          <t>Stock in hand (as shown in the trial balance)</t>
        </is>
      </c>
      <c r="E4" s="20" t="n">
        <v>1075000</v>
      </c>
      <c r="F4" s="20" t="n">
        <v>1075000</v>
      </c>
      <c r="G4" s="14" t="inlineStr">
        <is>
          <t>rule</t>
        </is>
      </c>
      <c r="H4" s="14" t="inlineStr">
        <is>
          <t>R-STK</t>
        </is>
      </c>
      <c r="I4" s="16" t="inlineStr">
        <is>
          <t>Tally's trial balance shows stock as one 'Opening Stock' line and does not include the closing stock. Confirm the closing stock value for the year; split it into raw materials, work-in-progress and finished goods.</t>
        </is>
      </c>
    </row>
    <row r="5">
      <c r="A5" s="14" t="inlineStr">
        <is>
          <t>Advertisement Expenses</t>
        </is>
      </c>
      <c r="B5" s="14" t="inlineStr">
        <is>
          <t>Indirect Expenses</t>
        </is>
      </c>
      <c r="C5" s="14" t="inlineStr">
        <is>
          <t>Other expenses</t>
        </is>
      </c>
      <c r="D5" s="14" t="inlineStr">
        <is>
          <t>Selling and distribution expenses</t>
        </is>
      </c>
      <c r="E5" s="20" t="n">
        <v>0</v>
      </c>
      <c r="F5" s="20" t="n">
        <v>154546</v>
      </c>
      <c r="G5" s="14" t="inlineStr">
        <is>
          <t>rule</t>
        </is>
      </c>
      <c r="H5" s="14" t="inlineStr">
        <is>
          <t>R-IE</t>
        </is>
      </c>
      <c r="I5" s="16" t="inlineStr"/>
    </row>
    <row r="6">
      <c r="A6" s="14" t="inlineStr">
        <is>
          <t>Apex Motors Pvt Ltd</t>
        </is>
      </c>
      <c r="B6" s="14" t="inlineStr">
        <is>
          <t>Sundry Debtors</t>
        </is>
      </c>
      <c r="C6" s="14" t="inlineStr">
        <is>
          <t>Trade receivables</t>
        </is>
      </c>
      <c r="D6" s="14" t="inlineStr">
        <is>
          <t>Trade receivables</t>
        </is>
      </c>
      <c r="E6" s="20" t="n">
        <v>1452639</v>
      </c>
      <c r="F6" s="20" t="n">
        <v>2971589</v>
      </c>
      <c r="G6" s="14" t="inlineStr">
        <is>
          <t>rule</t>
        </is>
      </c>
      <c r="H6" s="14" t="inlineStr">
        <is>
          <t>R-SD</t>
        </is>
      </c>
      <c r="I6" s="16" t="inlineStr">
        <is>
          <t>The file gives no ledger group; 'Sundry Debtors' was guessed from the balance side. Confirm what this ledger is.</t>
        </is>
      </c>
    </row>
    <row r="7">
      <c r="A7" s="14" t="inlineStr">
        <is>
          <t>Audit Fees</t>
        </is>
      </c>
      <c r="B7" s="14" t="inlineStr">
        <is>
          <t>Indirect Expenses</t>
        </is>
      </c>
      <c r="C7" s="14" t="inlineStr">
        <is>
          <t>Other expenses</t>
        </is>
      </c>
      <c r="D7" s="14" t="inlineStr">
        <is>
          <t>Payment to auditors</t>
        </is>
      </c>
      <c r="E7" s="20" t="n">
        <v>0</v>
      </c>
      <c r="F7" s="20" t="n">
        <v>39765</v>
      </c>
      <c r="G7" s="14" t="inlineStr">
        <is>
          <t>rule</t>
        </is>
      </c>
      <c r="H7" s="14" t="inlineStr">
        <is>
          <t>R-IE</t>
        </is>
      </c>
      <c r="I7" s="16" t="inlineStr">
        <is>
          <t>Schedule III requires the split: audit fee, tax audit, other services, reimbursements.</t>
        </is>
      </c>
    </row>
    <row r="8">
      <c r="A8" s="14" t="inlineStr">
        <is>
          <t>Bank Charges</t>
        </is>
      </c>
      <c r="B8" s="14" t="inlineStr">
        <is>
          <t>Indirect Expenses</t>
        </is>
      </c>
      <c r="C8" s="14" t="inlineStr">
        <is>
          <t>Other expenses</t>
        </is>
      </c>
      <c r="D8" s="14" t="inlineStr">
        <is>
          <t>Bank charges</t>
        </is>
      </c>
      <c r="E8" s="20" t="n">
        <v>0</v>
      </c>
      <c r="F8" s="20" t="n">
        <v>23072</v>
      </c>
      <c r="G8" s="14" t="inlineStr">
        <is>
          <t>rule</t>
        </is>
      </c>
      <c r="H8" s="14" t="inlineStr">
        <is>
          <t>R-IE</t>
        </is>
      </c>
      <c r="I8" s="16" t="inlineStr"/>
    </row>
    <row r="9">
      <c r="A9" s="14" t="inlineStr">
        <is>
          <t>Bright Bearings Co.</t>
        </is>
      </c>
      <c r="B9" s="14" t="inlineStr">
        <is>
          <t>Sundry Creditors</t>
        </is>
      </c>
      <c r="C9" s="14" t="inlineStr">
        <is>
          <t>Trade payables</t>
        </is>
      </c>
      <c r="D9" s="14" t="inlineStr">
        <is>
          <t>Trade payables</t>
        </is>
      </c>
      <c r="E9" s="20" t="n">
        <v>-1428161</v>
      </c>
      <c r="F9" s="20" t="n">
        <v>-3503119</v>
      </c>
      <c r="G9" s="14" t="inlineStr">
        <is>
          <t>rule</t>
        </is>
      </c>
      <c r="H9" s="14" t="inlineStr">
        <is>
          <t>R-SCR</t>
        </is>
      </c>
      <c r="I9" s="16" t="inlineStr">
        <is>
          <t>The file gives no ledger group; 'Sundry Creditors' was guessed from the balance side. Confirm what this ledger is.</t>
        </is>
      </c>
    </row>
    <row r="10">
      <c r="A10" s="14" t="inlineStr">
        <is>
          <t>Cash</t>
        </is>
      </c>
      <c r="B10" s="14" t="inlineStr">
        <is>
          <t>Cash-in-Hand</t>
        </is>
      </c>
      <c r="C10" s="14" t="inlineStr">
        <is>
          <t>Cash and bank balances</t>
        </is>
      </c>
      <c r="D10" s="14" t="inlineStr">
        <is>
          <t>Cash on hand</t>
        </is>
      </c>
      <c r="E10" s="20" t="n">
        <v>35325</v>
      </c>
      <c r="F10" s="20" t="n">
        <v>27781</v>
      </c>
      <c r="G10" s="14" t="inlineStr">
        <is>
          <t>rule</t>
        </is>
      </c>
      <c r="H10" s="14" t="inlineStr">
        <is>
          <t>R-CASH</t>
        </is>
      </c>
      <c r="I10" s="16" t="inlineStr"/>
    </row>
    <row r="11">
      <c r="A11" s="14" t="inlineStr">
        <is>
          <t>CGST Input</t>
        </is>
      </c>
      <c r="B11" s="14" t="inlineStr">
        <is>
          <t>Duties &amp; Taxes</t>
        </is>
      </c>
      <c r="C11" s="14" t="inlineStr">
        <is>
          <t>Other current liabilities</t>
        </is>
      </c>
      <c r="D11" s="14" t="inlineStr">
        <is>
          <t>Statutory dues: GST payable (net of input tax credit)</t>
        </is>
      </c>
      <c r="E11" s="20" t="n">
        <v>613591</v>
      </c>
      <c r="F11" s="20" t="n">
        <v>1319685</v>
      </c>
      <c r="G11" s="14" t="inlineStr">
        <is>
          <t>rule</t>
        </is>
      </c>
      <c r="H11" s="14" t="inlineStr">
        <is>
          <t>R-DT</t>
        </is>
      </c>
      <c r="I11" s="16" t="inlineStr"/>
    </row>
    <row r="12">
      <c r="A12" s="14" t="inlineStr">
        <is>
          <t>CGST Output</t>
        </is>
      </c>
      <c r="B12" s="14" t="inlineStr">
        <is>
          <t>Duties &amp; Taxes</t>
        </is>
      </c>
      <c r="C12" s="14" t="inlineStr">
        <is>
          <t>Other current liabilities</t>
        </is>
      </c>
      <c r="D12" s="14" t="inlineStr">
        <is>
          <t>Statutory dues: GST payable (net of input tax credit)</t>
        </is>
      </c>
      <c r="E12" s="20" t="n">
        <v>-712285</v>
      </c>
      <c r="F12" s="20" t="n">
        <v>-1520380</v>
      </c>
      <c r="G12" s="14" t="inlineStr">
        <is>
          <t>rule</t>
        </is>
      </c>
      <c r="H12" s="14" t="inlineStr">
        <is>
          <t>R-DT</t>
        </is>
      </c>
      <c r="I12" s="16" t="inlineStr"/>
    </row>
    <row r="13">
      <c r="A13" s="14" t="inlineStr">
        <is>
          <t>Computers</t>
        </is>
      </c>
      <c r="B13" s="14" t="inlineStr">
        <is>
          <t>Fixed Assets</t>
        </is>
      </c>
      <c r="C13" s="14" t="inlineStr">
        <is>
          <t>Property, plant and equipment</t>
        </is>
      </c>
      <c r="D13" s="14" t="inlineStr">
        <is>
          <t>Computers</t>
        </is>
      </c>
      <c r="E13" s="20" t="n">
        <v>85000</v>
      </c>
      <c r="F13" s="20" t="n">
        <v>85000</v>
      </c>
      <c r="G13" s="14" t="inlineStr">
        <is>
          <t>rule</t>
        </is>
      </c>
      <c r="H13" s="14" t="inlineStr">
        <is>
          <t>R-FA</t>
        </is>
      </c>
      <c r="I13" s="16" t="inlineStr"/>
    </row>
    <row r="14">
      <c r="A14" s="14" t="inlineStr">
        <is>
          <t>Consultancy Charges</t>
        </is>
      </c>
      <c r="B14" s="14" t="inlineStr">
        <is>
          <t>Indirect Expenses</t>
        </is>
      </c>
      <c r="C14" s="14" t="inlineStr">
        <is>
          <t>Other expenses</t>
        </is>
      </c>
      <c r="D14" s="14" t="inlineStr">
        <is>
          <t>Legal and professional fees</t>
        </is>
      </c>
      <c r="E14" s="20" t="n">
        <v>0</v>
      </c>
      <c r="F14" s="20" t="n">
        <v>89390</v>
      </c>
      <c r="G14" s="14" t="inlineStr">
        <is>
          <t>rule</t>
        </is>
      </c>
      <c r="H14" s="14" t="inlineStr">
        <is>
          <t>R-IE</t>
        </is>
      </c>
      <c r="I14" s="16" t="inlineStr"/>
    </row>
    <row r="15">
      <c r="A15" s="14" t="inlineStr">
        <is>
          <t>Depreciation</t>
        </is>
      </c>
      <c r="B15" s="14" t="inlineStr">
        <is>
          <t>Indirect Expenses</t>
        </is>
      </c>
      <c r="C15" s="14" t="inlineStr">
        <is>
          <t>Depreciation and amortisation expense</t>
        </is>
      </c>
      <c r="D15" s="14" t="inlineStr">
        <is>
          <t>Depreciation and amortisation</t>
        </is>
      </c>
      <c r="E15" s="20" t="n">
        <v>0</v>
      </c>
      <c r="F15" s="20" t="n">
        <v>180066</v>
      </c>
      <c r="G15" s="14" t="inlineStr">
        <is>
          <t>rule</t>
        </is>
      </c>
      <c r="H15" s="14" t="inlineStr">
        <is>
          <t>R-IE</t>
        </is>
      </c>
      <c r="I15" s="16" t="inlineStr"/>
    </row>
    <row r="16">
      <c r="A16" s="14" t="inlineStr">
        <is>
          <t>Directors Remuneration</t>
        </is>
      </c>
      <c r="B16" s="14" t="inlineStr">
        <is>
          <t>Indirect Expenses</t>
        </is>
      </c>
      <c r="C16" s="14" t="inlineStr">
        <is>
          <t>Employee benefit expense</t>
        </is>
      </c>
      <c r="D16" s="14" t="inlineStr">
        <is>
          <t>Directors' remuneration</t>
        </is>
      </c>
      <c r="E16" s="20" t="n">
        <v>0</v>
      </c>
      <c r="F16" s="20" t="n">
        <v>43639</v>
      </c>
      <c r="G16" s="14" t="inlineStr">
        <is>
          <t>rule</t>
        </is>
      </c>
      <c r="H16" s="14" t="inlineStr">
        <is>
          <t>R-IE</t>
        </is>
      </c>
      <c r="I16" s="16" t="inlineStr">
        <is>
          <t>Key managerial personnel: related-party disclosure (AS 18) and Sec 197 / Sch V limits.</t>
        </is>
      </c>
    </row>
    <row r="17">
      <c r="A17" s="14" t="inlineStr">
        <is>
          <t>Discount Allowed</t>
        </is>
      </c>
      <c r="B17" s="14" t="inlineStr">
        <is>
          <t>Indirect Expenses</t>
        </is>
      </c>
      <c r="C17" s="14" t="inlineStr">
        <is>
          <t>Other expenses</t>
        </is>
      </c>
      <c r="D17" s="14" t="inlineStr">
        <is>
          <t>Selling and distribution expenses</t>
        </is>
      </c>
      <c r="E17" s="20" t="n">
        <v>0</v>
      </c>
      <c r="F17" s="20" t="n">
        <v>80214</v>
      </c>
      <c r="G17" s="14" t="inlineStr">
        <is>
          <t>rule</t>
        </is>
      </c>
      <c r="H17" s="14" t="inlineStr">
        <is>
          <t>R-IE</t>
        </is>
      </c>
      <c r="I17" s="16" t="inlineStr"/>
    </row>
    <row r="18">
      <c r="A18" s="14" t="inlineStr">
        <is>
          <t>Discount Received</t>
        </is>
      </c>
      <c r="B18" s="14" t="inlineStr">
        <is>
          <t>Indirect Incomes</t>
        </is>
      </c>
      <c r="C18" s="14" t="inlineStr">
        <is>
          <t>Other income</t>
        </is>
      </c>
      <c r="D18" s="14" t="inlineStr">
        <is>
          <t>Other non-operating income</t>
        </is>
      </c>
      <c r="E18" s="20" t="n">
        <v>0</v>
      </c>
      <c r="F18" s="20" t="n">
        <v>-19919</v>
      </c>
      <c r="G18" s="14" t="inlineStr">
        <is>
          <t>rule</t>
        </is>
      </c>
      <c r="H18" s="14" t="inlineStr">
        <is>
          <t>R-II</t>
        </is>
      </c>
      <c r="I18" s="16" t="inlineStr"/>
    </row>
    <row r="19">
      <c r="A19" s="14" t="inlineStr">
        <is>
          <t>Factory Wages</t>
        </is>
      </c>
      <c r="B19" s="14" t="inlineStr">
        <is>
          <t>Direct Expenses</t>
        </is>
      </c>
      <c r="C19" s="14" t="inlineStr">
        <is>
          <t>Employee benefit expense</t>
        </is>
      </c>
      <c r="D19" s="14" t="inlineStr">
        <is>
          <t>Factory wages</t>
        </is>
      </c>
      <c r="E19" s="20" t="n">
        <v>0</v>
      </c>
      <c r="F19" s="20" t="n">
        <v>170222</v>
      </c>
      <c r="G19" s="14" t="inlineStr">
        <is>
          <t>rule</t>
        </is>
      </c>
      <c r="H19" s="14" t="inlineStr">
        <is>
          <t>R-DE</t>
        </is>
      </c>
      <c r="I19" s="16" t="inlineStr"/>
    </row>
    <row r="20">
      <c r="A20" s="14" t="inlineStr">
        <is>
          <t>Fixed Deposit - HDFC Bank</t>
        </is>
      </c>
      <c r="B20" s="14" t="inlineStr">
        <is>
          <t>Investments</t>
        </is>
      </c>
      <c r="C20" s="14" t="inlineStr">
        <is>
          <t>Cash and bank balances</t>
        </is>
      </c>
      <c r="D20" s="14" t="inlineStr">
        <is>
          <t>Other bank balances (bank deposits)</t>
        </is>
      </c>
      <c r="E20" s="20" t="n">
        <v>500000</v>
      </c>
      <c r="F20" s="20" t="n">
        <v>500000</v>
      </c>
      <c r="G20" s="14" t="inlineStr">
        <is>
          <t>rule</t>
        </is>
      </c>
      <c r="H20" s="14" t="inlineStr">
        <is>
          <t>R-INV</t>
        </is>
      </c>
      <c r="I20" s="16" t="inlineStr">
        <is>
          <t>A bank deposit is not an 'investment' under Schedule III. Confirm maturity: over 12 months is an other non-current asset; up to 3 months is a cash equivalent.</t>
        </is>
      </c>
    </row>
    <row r="21">
      <c r="A21" s="14" t="inlineStr">
        <is>
          <t>Furniture &amp; Fixtures</t>
        </is>
      </c>
      <c r="B21" s="14" t="inlineStr">
        <is>
          <t>Fixed Assets</t>
        </is>
      </c>
      <c r="C21" s="14" t="inlineStr">
        <is>
          <t>Property, plant and equipment</t>
        </is>
      </c>
      <c r="D21" s="14" t="inlineStr">
        <is>
          <t>Furniture and fixtures</t>
        </is>
      </c>
      <c r="E21" s="20" t="n">
        <v>65000</v>
      </c>
      <c r="F21" s="20" t="n">
        <v>65000</v>
      </c>
      <c r="G21" s="14" t="inlineStr">
        <is>
          <t>rule</t>
        </is>
      </c>
      <c r="H21" s="14" t="inlineStr">
        <is>
          <t>R-FA</t>
        </is>
      </c>
      <c r="I21" s="16" t="inlineStr"/>
    </row>
    <row r="22">
      <c r="A22" s="14" t="inlineStr">
        <is>
          <t>General Reserve</t>
        </is>
      </c>
      <c r="B22" s="14" t="inlineStr">
        <is>
          <t>Reserves &amp; Surplus</t>
        </is>
      </c>
      <c r="C22" s="14" t="inlineStr">
        <is>
          <t>Reserves and surplus</t>
        </is>
      </c>
      <c r="D22" s="14" t="inlineStr">
        <is>
          <t>General reserve</t>
        </is>
      </c>
      <c r="E22" s="20" t="n">
        <v>-3334416</v>
      </c>
      <c r="F22" s="20" t="n">
        <v>-3334416</v>
      </c>
      <c r="G22" s="14" t="inlineStr">
        <is>
          <t>rule</t>
        </is>
      </c>
      <c r="H22" s="14" t="inlineStr">
        <is>
          <t>R-RS</t>
        </is>
      </c>
      <c r="I22" s="16" t="inlineStr"/>
    </row>
    <row r="23">
      <c r="A23" s="14" t="inlineStr">
        <is>
          <t>HDFC Bank - Current A/c</t>
        </is>
      </c>
      <c r="B23" s="14" t="inlineStr">
        <is>
          <t>Bank Accounts</t>
        </is>
      </c>
      <c r="C23" s="14" t="inlineStr">
        <is>
          <t>Cash and bank balances</t>
        </is>
      </c>
      <c r="D23" s="14" t="inlineStr">
        <is>
          <t>Balances with banks (current accounts)</t>
        </is>
      </c>
      <c r="E23" s="20" t="n">
        <v>1071233</v>
      </c>
      <c r="F23" s="20" t="n">
        <v>1217138</v>
      </c>
      <c r="G23" s="14" t="inlineStr">
        <is>
          <t>rule</t>
        </is>
      </c>
      <c r="H23" s="14" t="inlineStr">
        <is>
          <t>R-BANK</t>
        </is>
      </c>
      <c r="I23" s="16" t="inlineStr"/>
    </row>
    <row r="24">
      <c r="A24" s="14" t="inlineStr">
        <is>
          <t>ICICI Bank - Current A/c</t>
        </is>
      </c>
      <c r="B24" s="14" t="inlineStr">
        <is>
          <t>Bank Accounts</t>
        </is>
      </c>
      <c r="C24" s="14" t="inlineStr">
        <is>
          <t>Cash and bank balances</t>
        </is>
      </c>
      <c r="D24" s="14" t="inlineStr">
        <is>
          <t>Balances with banks (current accounts)</t>
        </is>
      </c>
      <c r="E24" s="20" t="n">
        <v>1345741</v>
      </c>
      <c r="F24" s="20" t="n">
        <v>2001329</v>
      </c>
      <c r="G24" s="14" t="inlineStr">
        <is>
          <t>rule</t>
        </is>
      </c>
      <c r="H24" s="14" t="inlineStr">
        <is>
          <t>R-BANK</t>
        </is>
      </c>
      <c r="I24" s="16" t="inlineStr"/>
    </row>
    <row r="25">
      <c r="A25" s="14" t="inlineStr">
        <is>
          <t>IGST Output</t>
        </is>
      </c>
      <c r="B25" s="14" t="inlineStr">
        <is>
          <t>Duties &amp; Taxes</t>
        </is>
      </c>
      <c r="C25" s="14" t="inlineStr">
        <is>
          <t>Other current liabilities</t>
        </is>
      </c>
      <c r="D25" s="14" t="inlineStr">
        <is>
          <t>Statutory dues: GST payable (net of input tax credit)</t>
        </is>
      </c>
      <c r="E25" s="20" t="n">
        <v>-406207</v>
      </c>
      <c r="F25" s="20" t="n">
        <v>-829421</v>
      </c>
      <c r="G25" s="14" t="inlineStr">
        <is>
          <t>rule</t>
        </is>
      </c>
      <c r="H25" s="14" t="inlineStr">
        <is>
          <t>R-DT</t>
        </is>
      </c>
      <c r="I25" s="16" t="inlineStr"/>
    </row>
    <row r="26">
      <c r="A26" s="14" t="inlineStr">
        <is>
          <t>Insurance Expenses</t>
        </is>
      </c>
      <c r="B26" s="14" t="inlineStr">
        <is>
          <t>Indirect Expenses</t>
        </is>
      </c>
      <c r="C26" s="14" t="inlineStr">
        <is>
          <t>Other expenses</t>
        </is>
      </c>
      <c r="D26" s="14" t="inlineStr">
        <is>
          <t>Insurance</t>
        </is>
      </c>
      <c r="E26" s="20" t="n">
        <v>0</v>
      </c>
      <c r="F26" s="20" t="n">
        <v>34757</v>
      </c>
      <c r="G26" s="14" t="inlineStr">
        <is>
          <t>rule</t>
        </is>
      </c>
      <c r="H26" s="14" t="inlineStr">
        <is>
          <t>R-IE</t>
        </is>
      </c>
      <c r="I26" s="16" t="inlineStr"/>
    </row>
    <row r="27">
      <c r="A27" s="14" t="inlineStr">
        <is>
          <t>Interest on Term Loan</t>
        </is>
      </c>
      <c r="B27" s="14" t="inlineStr">
        <is>
          <t>Indirect Expenses</t>
        </is>
      </c>
      <c r="C27" s="14" t="inlineStr">
        <is>
          <t>Finance costs</t>
        </is>
      </c>
      <c r="D27" s="14" t="inlineStr">
        <is>
          <t>Interest expense</t>
        </is>
      </c>
      <c r="E27" s="20" t="n">
        <v>0</v>
      </c>
      <c r="F27" s="20" t="n">
        <v>76980</v>
      </c>
      <c r="G27" s="14" t="inlineStr">
        <is>
          <t>rule</t>
        </is>
      </c>
      <c r="H27" s="14" t="inlineStr">
        <is>
          <t>R-IE</t>
        </is>
      </c>
      <c r="I27" s="16" t="inlineStr"/>
    </row>
    <row r="28">
      <c r="A28" s="14" t="inlineStr">
        <is>
          <t>Interest Received - FD</t>
        </is>
      </c>
      <c r="B28" s="14" t="inlineStr">
        <is>
          <t>Indirect Incomes</t>
        </is>
      </c>
      <c r="C28" s="14" t="inlineStr">
        <is>
          <t>Other income</t>
        </is>
      </c>
      <c r="D28" s="14" t="inlineStr">
        <is>
          <t>Interest income</t>
        </is>
      </c>
      <c r="E28" s="20" t="n">
        <v>0</v>
      </c>
      <c r="F28" s="20" t="n">
        <v>-52911</v>
      </c>
      <c r="G28" s="14" t="inlineStr">
        <is>
          <t>rule</t>
        </is>
      </c>
      <c r="H28" s="14" t="inlineStr">
        <is>
          <t>R-II</t>
        </is>
      </c>
      <c r="I28" s="16" t="inlineStr"/>
    </row>
    <row r="29">
      <c r="A29" s="14" t="inlineStr">
        <is>
          <t>Jaipur Machine Tools</t>
        </is>
      </c>
      <c r="B29" s="14" t="inlineStr">
        <is>
          <t>Sundry Debtors</t>
        </is>
      </c>
      <c r="C29" s="14" t="inlineStr">
        <is>
          <t>Trade receivables</t>
        </is>
      </c>
      <c r="D29" s="14" t="inlineStr">
        <is>
          <t>Trade receivables</t>
        </is>
      </c>
      <c r="E29" s="20" t="n">
        <v>1913796</v>
      </c>
      <c r="F29" s="20" t="n">
        <v>4231066</v>
      </c>
      <c r="G29" s="14" t="inlineStr">
        <is>
          <t>rule</t>
        </is>
      </c>
      <c r="H29" s="14" t="inlineStr">
        <is>
          <t>R-SD</t>
        </is>
      </c>
      <c r="I29" s="16" t="inlineStr">
        <is>
          <t>The file gives no ledger group; 'Sundry Debtors' was guessed from the balance side. Confirm what this ledger is.</t>
        </is>
      </c>
    </row>
    <row r="30">
      <c r="A30" s="14" t="inlineStr">
        <is>
          <t>Jaipur Packaging Works</t>
        </is>
      </c>
      <c r="B30" s="14" t="inlineStr">
        <is>
          <t>Sundry Creditors</t>
        </is>
      </c>
      <c r="C30" s="14" t="inlineStr">
        <is>
          <t>Trade payables</t>
        </is>
      </c>
      <c r="D30" s="14" t="inlineStr">
        <is>
          <t>Trade payables</t>
        </is>
      </c>
      <c r="E30" s="20" t="n">
        <v>-1148354</v>
      </c>
      <c r="F30" s="20" t="n">
        <v>-2289430</v>
      </c>
      <c r="G30" s="14" t="inlineStr">
        <is>
          <t>rule</t>
        </is>
      </c>
      <c r="H30" s="14" t="inlineStr">
        <is>
          <t>R-SCR</t>
        </is>
      </c>
      <c r="I30" s="16" t="inlineStr">
        <is>
          <t>The file gives no ledger group; 'Sundry Creditors' was guessed from the balance side. Confirm what this ledger is.</t>
        </is>
      </c>
    </row>
    <row r="31">
      <c r="A31" s="14" t="inlineStr">
        <is>
          <t>Job Work Charges</t>
        </is>
      </c>
      <c r="B31" s="14" t="inlineStr">
        <is>
          <t>Direct Expenses</t>
        </is>
      </c>
      <c r="C31" s="14" t="inlineStr">
        <is>
          <t>Other expenses</t>
        </is>
      </c>
      <c r="D31" s="14" t="inlineStr">
        <is>
          <t>Job work charges</t>
        </is>
      </c>
      <c r="E31" s="20" t="n">
        <v>0</v>
      </c>
      <c r="F31" s="20" t="n">
        <v>240810</v>
      </c>
      <c r="G31" s="14" t="inlineStr">
        <is>
          <t>rule</t>
        </is>
      </c>
      <c r="H31" s="14" t="inlineStr">
        <is>
          <t>R-DE</t>
        </is>
      </c>
      <c r="I31" s="16" t="inlineStr"/>
    </row>
    <row r="32">
      <c r="A32" s="14" t="inlineStr">
        <is>
          <t>Legal &amp; Professional Charges</t>
        </is>
      </c>
      <c r="B32" s="14" t="inlineStr">
        <is>
          <t>Indirect Expenses</t>
        </is>
      </c>
      <c r="C32" s="14" t="inlineStr">
        <is>
          <t>Other expenses</t>
        </is>
      </c>
      <c r="D32" s="14" t="inlineStr">
        <is>
          <t>Legal and professional fees</t>
        </is>
      </c>
      <c r="E32" s="20" t="n">
        <v>0</v>
      </c>
      <c r="F32" s="20" t="n">
        <v>65080</v>
      </c>
      <c r="G32" s="14" t="inlineStr">
        <is>
          <t>rule</t>
        </is>
      </c>
      <c r="H32" s="14" t="inlineStr">
        <is>
          <t>R-IE</t>
        </is>
      </c>
      <c r="I32" s="16" t="inlineStr"/>
    </row>
    <row r="33">
      <c r="A33" s="14" t="inlineStr">
        <is>
          <t>Metro Auto Components Ltd</t>
        </is>
      </c>
      <c r="B33" s="14" t="inlineStr">
        <is>
          <t>Sundry Debtors</t>
        </is>
      </c>
      <c r="C33" s="14" t="inlineStr">
        <is>
          <t>Trade receivables</t>
        </is>
      </c>
      <c r="D33" s="14" t="inlineStr">
        <is>
          <t>Trade receivables</t>
        </is>
      </c>
      <c r="E33" s="20" t="n">
        <v>1897471</v>
      </c>
      <c r="F33" s="20" t="n">
        <v>3700532</v>
      </c>
      <c r="G33" s="14" t="inlineStr">
        <is>
          <t>rule</t>
        </is>
      </c>
      <c r="H33" s="14" t="inlineStr">
        <is>
          <t>R-SD</t>
        </is>
      </c>
      <c r="I33" s="16" t="inlineStr">
        <is>
          <t>The file gives no ledger group; 'Sundry Debtors' was guessed from the balance side. Confirm what this ledger is.</t>
        </is>
      </c>
    </row>
    <row r="34">
      <c r="A34" s="14" t="inlineStr">
        <is>
          <t>Miscellaneous Income</t>
        </is>
      </c>
      <c r="B34" s="14" t="inlineStr">
        <is>
          <t>Indirect Incomes</t>
        </is>
      </c>
      <c r="C34" s="14" t="inlineStr">
        <is>
          <t>Other income</t>
        </is>
      </c>
      <c r="D34" s="14" t="inlineStr">
        <is>
          <t>Other non-operating income</t>
        </is>
      </c>
      <c r="E34" s="20" t="n">
        <v>0</v>
      </c>
      <c r="F34" s="20" t="n">
        <v>-14081</v>
      </c>
      <c r="G34" s="14" t="inlineStr">
        <is>
          <t>rule</t>
        </is>
      </c>
      <c r="H34" s="14" t="inlineStr">
        <is>
          <t>R-II</t>
        </is>
      </c>
      <c r="I34" s="16" t="inlineStr"/>
    </row>
    <row r="35">
      <c r="A35" s="14" t="inlineStr">
        <is>
          <t>National Fabricators</t>
        </is>
      </c>
      <c r="B35" s="14" t="inlineStr">
        <is>
          <t>Sundry Debtors</t>
        </is>
      </c>
      <c r="C35" s="14" t="inlineStr">
        <is>
          <t>Trade receivables</t>
        </is>
      </c>
      <c r="D35" s="14" t="inlineStr">
        <is>
          <t>Trade receivables</t>
        </is>
      </c>
      <c r="E35" s="20" t="n">
        <v>1530807</v>
      </c>
      <c r="F35" s="20" t="n">
        <v>3022239</v>
      </c>
      <c r="G35" s="14" t="inlineStr">
        <is>
          <t>rule</t>
        </is>
      </c>
      <c r="H35" s="14" t="inlineStr">
        <is>
          <t>R-SD</t>
        </is>
      </c>
      <c r="I35" s="16" t="inlineStr">
        <is>
          <t>The file gives no ledger group; 'Sundry Debtors' was guessed from the balance side. Confirm what this ledger is.</t>
        </is>
      </c>
    </row>
    <row r="36">
      <c r="A36" s="14" t="inlineStr">
        <is>
          <t>Office Equipment</t>
        </is>
      </c>
      <c r="B36" s="14" t="inlineStr">
        <is>
          <t>Fixed Assets</t>
        </is>
      </c>
      <c r="C36" s="14" t="inlineStr">
        <is>
          <t>Property, plant and equipment</t>
        </is>
      </c>
      <c r="D36" s="14" t="inlineStr">
        <is>
          <t>Office equipment</t>
        </is>
      </c>
      <c r="E36" s="20" t="n">
        <v>120000</v>
      </c>
      <c r="F36" s="20" t="n">
        <v>120000</v>
      </c>
      <c r="G36" s="14" t="inlineStr">
        <is>
          <t>rule</t>
        </is>
      </c>
      <c r="H36" s="14" t="inlineStr">
        <is>
          <t>R-FA</t>
        </is>
      </c>
      <c r="I36" s="16" t="inlineStr"/>
    </row>
    <row r="37">
      <c r="A37" s="14" t="inlineStr">
        <is>
          <t>Office Expenses</t>
        </is>
      </c>
      <c r="B37" s="14" t="inlineStr">
        <is>
          <t>Indirect Expenses</t>
        </is>
      </c>
      <c r="C37" s="14" t="inlineStr">
        <is>
          <t>Other expenses</t>
        </is>
      </c>
      <c r="D37" s="14" t="inlineStr">
        <is>
          <t>Miscellaneous expenses</t>
        </is>
      </c>
      <c r="E37" s="20" t="n">
        <v>0</v>
      </c>
      <c r="F37" s="20" t="n">
        <v>99678</v>
      </c>
      <c r="G37" s="14" t="inlineStr">
        <is>
          <t>rule</t>
        </is>
      </c>
      <c r="H37" s="14" t="inlineStr">
        <is>
          <t>R-IE</t>
        </is>
      </c>
      <c r="I37" s="16" t="inlineStr"/>
    </row>
    <row r="38">
      <c r="A38" s="14" t="inlineStr">
        <is>
          <t>Outstanding Audit Fees</t>
        </is>
      </c>
      <c r="B38" s="14" t="inlineStr">
        <is>
          <t>Provisions</t>
        </is>
      </c>
      <c r="C38" s="14" t="inlineStr">
        <is>
          <t>Other current liabilities</t>
        </is>
      </c>
      <c r="D38" s="14" t="inlineStr">
        <is>
          <t>Outstanding expenses</t>
        </is>
      </c>
      <c r="E38" s="20" t="n">
        <v>-40000</v>
      </c>
      <c r="F38" s="20" t="n">
        <v>-79765</v>
      </c>
      <c r="G38" s="14" t="inlineStr">
        <is>
          <t>rule</t>
        </is>
      </c>
      <c r="H38" s="14" t="inlineStr">
        <is>
          <t>R-PROV</t>
        </is>
      </c>
      <c r="I38" s="16" t="inlineStr">
        <is>
          <t>Expenses already incurred and payable are not 'provisions' (AS 29); shown under other current liabilities.</t>
        </is>
      </c>
    </row>
    <row r="39">
      <c r="A39" s="14" t="inlineStr">
        <is>
          <t>Outstanding Salary</t>
        </is>
      </c>
      <c r="B39" s="14" t="inlineStr">
        <is>
          <t>Provisions</t>
        </is>
      </c>
      <c r="C39" s="14" t="inlineStr">
        <is>
          <t>Other current liabilities</t>
        </is>
      </c>
      <c r="D39" s="14" t="inlineStr">
        <is>
          <t>Outstanding expenses</t>
        </is>
      </c>
      <c r="E39" s="20" t="n">
        <v>-120000</v>
      </c>
      <c r="F39" s="20" t="n">
        <v>-244850</v>
      </c>
      <c r="G39" s="14" t="inlineStr">
        <is>
          <t>rule</t>
        </is>
      </c>
      <c r="H39" s="14" t="inlineStr">
        <is>
          <t>R-PROV</t>
        </is>
      </c>
      <c r="I39" s="16" t="inlineStr">
        <is>
          <t>Expenses already incurred and payable are not 'provisions' (AS 29); shown under other current liabilities.</t>
        </is>
      </c>
    </row>
    <row r="40">
      <c r="A40" s="14" t="inlineStr">
        <is>
          <t>Plant &amp; Machinery</t>
        </is>
      </c>
      <c r="B40" s="14" t="inlineStr">
        <is>
          <t>Fixed Assets</t>
        </is>
      </c>
      <c r="C40" s="14" t="inlineStr">
        <is>
          <t>Property, plant and equipment</t>
        </is>
      </c>
      <c r="D40" s="14" t="inlineStr">
        <is>
          <t>Plant and equipment</t>
        </is>
      </c>
      <c r="E40" s="20" t="n">
        <v>1726741</v>
      </c>
      <c r="F40" s="20" t="n">
        <v>1546675</v>
      </c>
      <c r="G40" s="14" t="inlineStr">
        <is>
          <t>rule</t>
        </is>
      </c>
      <c r="H40" s="14" t="inlineStr">
        <is>
          <t>R-FA</t>
        </is>
      </c>
      <c r="I40" s="16" t="inlineStr"/>
    </row>
    <row r="41">
      <c r="A41" s="14" t="inlineStr">
        <is>
          <t>Precision Tools Suppliers</t>
        </is>
      </c>
      <c r="B41" s="14" t="inlineStr">
        <is>
          <t>Sundry Creditors</t>
        </is>
      </c>
      <c r="C41" s="14" t="inlineStr">
        <is>
          <t>Trade payables</t>
        </is>
      </c>
      <c r="D41" s="14" t="inlineStr">
        <is>
          <t>Trade payables</t>
        </is>
      </c>
      <c r="E41" s="20" t="n">
        <v>-1025741</v>
      </c>
      <c r="F41" s="20" t="n">
        <v>-2325135</v>
      </c>
      <c r="G41" s="14" t="inlineStr">
        <is>
          <t>rule</t>
        </is>
      </c>
      <c r="H41" s="14" t="inlineStr">
        <is>
          <t>R-SCR</t>
        </is>
      </c>
      <c r="I41" s="16" t="inlineStr">
        <is>
          <t>The file gives no ledger group; 'Sundry Creditors' was guessed from the balance side. Confirm what this ledger is.</t>
        </is>
      </c>
    </row>
    <row r="42">
      <c r="A42" s="14" t="inlineStr">
        <is>
          <t>Printing &amp; Stationery</t>
        </is>
      </c>
      <c r="B42" s="14" t="inlineStr">
        <is>
          <t>Indirect Expenses</t>
        </is>
      </c>
      <c r="C42" s="14" t="inlineStr">
        <is>
          <t>Other expenses</t>
        </is>
      </c>
      <c r="D42" s="14" t="inlineStr">
        <is>
          <t>Printing and stationery</t>
        </is>
      </c>
      <c r="E42" s="20" t="n">
        <v>0</v>
      </c>
      <c r="F42" s="20" t="n">
        <v>12906</v>
      </c>
      <c r="G42" s="14" t="inlineStr">
        <is>
          <t>rule</t>
        </is>
      </c>
      <c r="H42" s="14" t="inlineStr">
        <is>
          <t>R-IE</t>
        </is>
      </c>
      <c r="I42" s="16" t="inlineStr"/>
    </row>
    <row r="43">
      <c r="A43" s="14" t="inlineStr">
        <is>
          <t>Purchase - Raw Material</t>
        </is>
      </c>
      <c r="B43" s="14" t="inlineStr">
        <is>
          <t>Purchase Accounts</t>
        </is>
      </c>
      <c r="C43" s="14" t="inlineStr">
        <is>
          <t>Cost of materials consumed</t>
        </is>
      </c>
      <c r="D43" s="14" t="inlineStr">
        <is>
          <t>Purchases of raw materials</t>
        </is>
      </c>
      <c r="E43" s="20" t="n">
        <v>0</v>
      </c>
      <c r="F43" s="20" t="n">
        <v>8942754</v>
      </c>
      <c r="G43" s="14" t="inlineStr">
        <is>
          <t>rule</t>
        </is>
      </c>
      <c r="H43" s="14" t="inlineStr">
        <is>
          <t>R-PUR</t>
        </is>
      </c>
      <c r="I43" s="16" t="inlineStr"/>
    </row>
    <row r="44">
      <c r="A44" s="14" t="inlineStr">
        <is>
          <t>Rajasthan Alloys Pvt Ltd</t>
        </is>
      </c>
      <c r="B44" s="14" t="inlineStr">
        <is>
          <t>Sundry Creditors</t>
        </is>
      </c>
      <c r="C44" s="14" t="inlineStr">
        <is>
          <t>Trade payables</t>
        </is>
      </c>
      <c r="D44" s="14" t="inlineStr">
        <is>
          <t>Trade payables</t>
        </is>
      </c>
      <c r="E44" s="20" t="n">
        <v>-1694387</v>
      </c>
      <c r="F44" s="20" t="n">
        <v>-3078508</v>
      </c>
      <c r="G44" s="14" t="inlineStr">
        <is>
          <t>rule</t>
        </is>
      </c>
      <c r="H44" s="14" t="inlineStr">
        <is>
          <t>R-SCR</t>
        </is>
      </c>
      <c r="I44" s="16" t="inlineStr">
        <is>
          <t>The file gives no ledger group; 'Sundry Creditors' was guessed from the balance side. Confirm what this ledger is.</t>
        </is>
      </c>
    </row>
    <row r="45">
      <c r="A45" s="14" t="inlineStr">
        <is>
          <t>Rent - Factory Premises</t>
        </is>
      </c>
      <c r="B45" s="14" t="inlineStr">
        <is>
          <t>Indirect Expenses</t>
        </is>
      </c>
      <c r="C45" s="14" t="inlineStr">
        <is>
          <t>Other expenses</t>
        </is>
      </c>
      <c r="D45" s="14" t="inlineStr">
        <is>
          <t>Rent</t>
        </is>
      </c>
      <c r="E45" s="20" t="n">
        <v>0</v>
      </c>
      <c r="F45" s="20" t="n">
        <v>82543</v>
      </c>
      <c r="G45" s="14" t="inlineStr">
        <is>
          <t>rule</t>
        </is>
      </c>
      <c r="H45" s="14" t="inlineStr">
        <is>
          <t>R-IE</t>
        </is>
      </c>
      <c r="I45" s="16" t="inlineStr"/>
    </row>
    <row r="46">
      <c r="A46" s="14" t="inlineStr">
        <is>
          <t>Rent - Office Premises</t>
        </is>
      </c>
      <c r="B46" s="14" t="inlineStr">
        <is>
          <t>Indirect Expenses</t>
        </is>
      </c>
      <c r="C46" s="14" t="inlineStr">
        <is>
          <t>Other expenses</t>
        </is>
      </c>
      <c r="D46" s="14" t="inlineStr">
        <is>
          <t>Rent</t>
        </is>
      </c>
      <c r="E46" s="20" t="n">
        <v>0</v>
      </c>
      <c r="F46" s="20" t="n">
        <v>130015</v>
      </c>
      <c r="G46" s="14" t="inlineStr">
        <is>
          <t>rule</t>
        </is>
      </c>
      <c r="H46" s="14" t="inlineStr">
        <is>
          <t>R-IE</t>
        </is>
      </c>
      <c r="I46" s="16" t="inlineStr"/>
    </row>
    <row r="47">
      <c r="A47" s="14" t="inlineStr">
        <is>
          <t>Repairs &amp; Maintenance - Machinery</t>
        </is>
      </c>
      <c r="B47" s="14" t="inlineStr">
        <is>
          <t>Indirect Expenses</t>
        </is>
      </c>
      <c r="C47" s="14" t="inlineStr">
        <is>
          <t>Other expenses</t>
        </is>
      </c>
      <c r="D47" s="14" t="inlineStr">
        <is>
          <t>Repairs to machinery</t>
        </is>
      </c>
      <c r="E47" s="20" t="n">
        <v>0</v>
      </c>
      <c r="F47" s="20" t="n">
        <v>256350</v>
      </c>
      <c r="G47" s="14" t="inlineStr">
        <is>
          <t>rule</t>
        </is>
      </c>
      <c r="H47" s="14" t="inlineStr">
        <is>
          <t>R-IE</t>
        </is>
      </c>
      <c r="I47" s="16" t="inlineStr"/>
    </row>
    <row r="48">
      <c r="A48" s="14" t="inlineStr">
        <is>
          <t>Salary &amp; Wages - Staff</t>
        </is>
      </c>
      <c r="B48" s="14" t="inlineStr">
        <is>
          <t>Indirect Expenses</t>
        </is>
      </c>
      <c r="C48" s="14" t="inlineStr">
        <is>
          <t>Employee benefit expense</t>
        </is>
      </c>
      <c r="D48" s="14" t="inlineStr">
        <is>
          <t>Salaries, wages and staff welfare</t>
        </is>
      </c>
      <c r="E48" s="20" t="n">
        <v>0</v>
      </c>
      <c r="F48" s="20" t="n">
        <v>155260</v>
      </c>
      <c r="G48" s="14" t="inlineStr">
        <is>
          <t>rule</t>
        </is>
      </c>
      <c r="H48" s="14" t="inlineStr">
        <is>
          <t>R-IE</t>
        </is>
      </c>
      <c r="I48" s="16" t="inlineStr"/>
    </row>
    <row r="49">
      <c r="A49" s="14" t="inlineStr">
        <is>
          <t>Sales - Finished Goods</t>
        </is>
      </c>
      <c r="B49" s="14" t="inlineStr">
        <is>
          <t>Sales Accounts</t>
        </is>
      </c>
      <c r="C49" s="14" t="inlineStr">
        <is>
          <t>Revenue from operations</t>
        </is>
      </c>
      <c r="D49" s="14" t="inlineStr">
        <is>
          <t>Sale of products</t>
        </is>
      </c>
      <c r="E49" s="20" t="n">
        <v>0</v>
      </c>
      <c r="F49" s="20" t="n">
        <v>-12728887</v>
      </c>
      <c r="G49" s="14" t="inlineStr">
        <is>
          <t>rule</t>
        </is>
      </c>
      <c r="H49" s="14" t="inlineStr">
        <is>
          <t>R-SALES</t>
        </is>
      </c>
      <c r="I49" s="16" t="inlineStr"/>
    </row>
    <row r="50">
      <c r="A50" s="14" t="inlineStr">
        <is>
          <t>SGST Input</t>
        </is>
      </c>
      <c r="B50" s="14" t="inlineStr">
        <is>
          <t>Duties &amp; Taxes</t>
        </is>
      </c>
      <c r="C50" s="14" t="inlineStr">
        <is>
          <t>Other current liabilities</t>
        </is>
      </c>
      <c r="D50" s="14" t="inlineStr">
        <is>
          <t>Statutory dues: GST payable (net of input tax credit)</t>
        </is>
      </c>
      <c r="E50" s="20" t="n">
        <v>613591</v>
      </c>
      <c r="F50" s="20" t="n">
        <v>1319685</v>
      </c>
      <c r="G50" s="14" t="inlineStr">
        <is>
          <t>rule</t>
        </is>
      </c>
      <c r="H50" s="14" t="inlineStr">
        <is>
          <t>R-DT</t>
        </is>
      </c>
      <c r="I50" s="16" t="inlineStr"/>
    </row>
    <row r="51">
      <c r="A51" s="14" t="inlineStr">
        <is>
          <t>SGST Output</t>
        </is>
      </c>
      <c r="B51" s="14" t="inlineStr">
        <is>
          <t>Duties &amp; Taxes</t>
        </is>
      </c>
      <c r="C51" s="14" t="inlineStr">
        <is>
          <t>Other current liabilities</t>
        </is>
      </c>
      <c r="D51" s="14" t="inlineStr">
        <is>
          <t>Statutory dues: GST payable (net of input tax credit)</t>
        </is>
      </c>
      <c r="E51" s="20" t="n">
        <v>-712285</v>
      </c>
      <c r="F51" s="20" t="n">
        <v>-1520380</v>
      </c>
      <c r="G51" s="14" t="inlineStr">
        <is>
          <t>rule</t>
        </is>
      </c>
      <c r="H51" s="14" t="inlineStr">
        <is>
          <t>R-DT</t>
        </is>
      </c>
      <c r="I51" s="16" t="inlineStr"/>
    </row>
    <row r="52">
      <c r="A52" s="14" t="inlineStr">
        <is>
          <t>Share Capital</t>
        </is>
      </c>
      <c r="B52" s="14" t="inlineStr">
        <is>
          <t>Capital Account</t>
        </is>
      </c>
      <c r="C52" s="14" t="inlineStr">
        <is>
          <t>Share capital</t>
        </is>
      </c>
      <c r="D52" s="14" t="inlineStr">
        <is>
          <t>Equity share capital</t>
        </is>
      </c>
      <c r="E52" s="20" t="n">
        <v>-2930000</v>
      </c>
      <c r="F52" s="20" t="n">
        <v>-2930000</v>
      </c>
      <c r="G52" s="14" t="inlineStr">
        <is>
          <t>rule</t>
        </is>
      </c>
      <c r="H52" s="14" t="inlineStr">
        <is>
          <t>R-SC</t>
        </is>
      </c>
      <c r="I52" s="16" t="inlineStr"/>
    </row>
    <row r="53">
      <c r="A53" s="14" t="inlineStr">
        <is>
          <t>Sharma Steel Traders</t>
        </is>
      </c>
      <c r="B53" s="14" t="inlineStr">
        <is>
          <t>Sundry Creditors</t>
        </is>
      </c>
      <c r="C53" s="14" t="inlineStr">
        <is>
          <t>Trade payables</t>
        </is>
      </c>
      <c r="D53" s="14" t="inlineStr">
        <is>
          <t>Trade payables</t>
        </is>
      </c>
      <c r="E53" s="20" t="n">
        <v>-1205160</v>
      </c>
      <c r="F53" s="20" t="n">
        <v>-2659171</v>
      </c>
      <c r="G53" s="14" t="inlineStr">
        <is>
          <t>rule</t>
        </is>
      </c>
      <c r="H53" s="14" t="inlineStr">
        <is>
          <t>R-SCR</t>
        </is>
      </c>
      <c r="I53" s="16" t="inlineStr">
        <is>
          <t>The file gives no ledger group; 'Sundry Creditors' was guessed from the balance side. Confirm what this ledger is.</t>
        </is>
      </c>
    </row>
    <row r="54">
      <c r="A54" s="14" t="inlineStr">
        <is>
          <t>Staff Welfare Expenses</t>
        </is>
      </c>
      <c r="B54" s="14" t="inlineStr">
        <is>
          <t>Indirect Expenses</t>
        </is>
      </c>
      <c r="C54" s="14" t="inlineStr">
        <is>
          <t>Employee benefit expense</t>
        </is>
      </c>
      <c r="D54" s="14" t="inlineStr">
        <is>
          <t>Salaries, wages and staff welfare</t>
        </is>
      </c>
      <c r="E54" s="20" t="n">
        <v>0</v>
      </c>
      <c r="F54" s="20" t="n">
        <v>9343</v>
      </c>
      <c r="G54" s="14" t="inlineStr">
        <is>
          <t>rule</t>
        </is>
      </c>
      <c r="H54" s="14" t="inlineStr">
        <is>
          <t>R-IE</t>
        </is>
      </c>
      <c r="I54" s="16" t="inlineStr"/>
    </row>
    <row r="55">
      <c r="A55" s="14" t="inlineStr">
        <is>
          <t>Sunrise Engineering Works</t>
        </is>
      </c>
      <c r="B55" s="14" t="inlineStr">
        <is>
          <t>Sundry Debtors</t>
        </is>
      </c>
      <c r="C55" s="14" t="inlineStr">
        <is>
          <t>Trade receivables</t>
        </is>
      </c>
      <c r="D55" s="14" t="inlineStr">
        <is>
          <t>Trade receivables</t>
        </is>
      </c>
      <c r="E55" s="20" t="n">
        <v>1817662</v>
      </c>
      <c r="F55" s="20" t="n">
        <v>3997804</v>
      </c>
      <c r="G55" s="14" t="inlineStr">
        <is>
          <t>rule</t>
        </is>
      </c>
      <c r="H55" s="14" t="inlineStr">
        <is>
          <t>R-SD</t>
        </is>
      </c>
      <c r="I55" s="16" t="inlineStr">
        <is>
          <t>The file gives no ledger group; 'Sundry Debtors' was guessed from the balance side. Confirm what this ledger is.</t>
        </is>
      </c>
    </row>
    <row r="56">
      <c r="A56" s="14" t="inlineStr">
        <is>
          <t>TDS Payable - 194C</t>
        </is>
      </c>
      <c r="B56" s="14" t="inlineStr">
        <is>
          <t>Duties &amp; Taxes</t>
        </is>
      </c>
      <c r="C56" s="14" t="inlineStr">
        <is>
          <t>Other current liabilities</t>
        </is>
      </c>
      <c r="D56" s="14" t="inlineStr">
        <is>
          <t>Statutory dues: TDS / TCS payable</t>
        </is>
      </c>
      <c r="E56" s="20" t="n">
        <v>-1209</v>
      </c>
      <c r="F56" s="20" t="n">
        <v>-2354</v>
      </c>
      <c r="G56" s="14" t="inlineStr">
        <is>
          <t>rule</t>
        </is>
      </c>
      <c r="H56" s="14" t="inlineStr">
        <is>
          <t>R-DT</t>
        </is>
      </c>
      <c r="I56" s="16" t="inlineStr"/>
    </row>
    <row r="57">
      <c r="A57" s="14" t="inlineStr">
        <is>
          <t>TDS Payable - 194J</t>
        </is>
      </c>
      <c r="B57" s="14" t="inlineStr">
        <is>
          <t>Duties &amp; Taxes</t>
        </is>
      </c>
      <c r="C57" s="14" t="inlineStr">
        <is>
          <t>Other current liabilities</t>
        </is>
      </c>
      <c r="D57" s="14" t="inlineStr">
        <is>
          <t>Statutory dues: TDS / TCS payable</t>
        </is>
      </c>
      <c r="E57" s="20" t="n">
        <v>-5392</v>
      </c>
      <c r="F57" s="20" t="n">
        <v>-10745</v>
      </c>
      <c r="G57" s="14" t="inlineStr">
        <is>
          <t>rule</t>
        </is>
      </c>
      <c r="H57" s="14" t="inlineStr">
        <is>
          <t>R-DT</t>
        </is>
      </c>
      <c r="I57" s="16" t="inlineStr"/>
    </row>
    <row r="58">
      <c r="A58" s="14" t="inlineStr">
        <is>
          <t>Telephone Expenses</t>
        </is>
      </c>
      <c r="B58" s="14" t="inlineStr">
        <is>
          <t>Indirect Expenses</t>
        </is>
      </c>
      <c r="C58" s="14" t="inlineStr">
        <is>
          <t>Other expenses</t>
        </is>
      </c>
      <c r="D58" s="14" t="inlineStr">
        <is>
          <t>Communication expenses</t>
        </is>
      </c>
      <c r="E58" s="20" t="n">
        <v>0</v>
      </c>
      <c r="F58" s="20" t="n">
        <v>7491</v>
      </c>
      <c r="G58" s="14" t="inlineStr">
        <is>
          <t>rule</t>
        </is>
      </c>
      <c r="H58" s="14" t="inlineStr">
        <is>
          <t>R-IE</t>
        </is>
      </c>
      <c r="I58" s="16" t="inlineStr"/>
    </row>
    <row r="59">
      <c r="A59" s="14" t="inlineStr">
        <is>
          <t>Term Loan - HDFC Bank</t>
        </is>
      </c>
      <c r="B59" s="14" t="inlineStr">
        <is>
          <t>Secured Loans</t>
        </is>
      </c>
      <c r="C59" s="14" t="inlineStr">
        <is>
          <t>Long-term borrowings</t>
        </is>
      </c>
      <c r="D59" s="14" t="inlineStr">
        <is>
          <t>Term loans from banks (secured)</t>
        </is>
      </c>
      <c r="E59" s="20" t="n">
        <v>-1250000</v>
      </c>
      <c r="F59" s="20" t="n">
        <v>-1250000</v>
      </c>
      <c r="G59" s="14" t="inlineStr">
        <is>
          <t>rule</t>
        </is>
      </c>
      <c r="H59" s="14" t="inlineStr">
        <is>
          <t>R-SL</t>
        </is>
      </c>
      <c r="I59" s="16" t="inlineStr">
        <is>
          <t>Long-term vs short-term cannot be told from Tally. Instalments due within 12 months (current maturities) belong in other current liabilities; add the repayment schedule.</t>
        </is>
      </c>
    </row>
    <row r="60">
      <c r="A60" s="14" t="inlineStr">
        <is>
          <t>Travelling &amp; Conveyance</t>
        </is>
      </c>
      <c r="B60" s="14" t="inlineStr">
        <is>
          <t>Indirect Expenses</t>
        </is>
      </c>
      <c r="C60" s="14" t="inlineStr">
        <is>
          <t>Other expenses</t>
        </is>
      </c>
      <c r="D60" s="14" t="inlineStr">
        <is>
          <t>Travelling and conveyance</t>
        </is>
      </c>
      <c r="E60" s="20" t="n">
        <v>0</v>
      </c>
      <c r="F60" s="20" t="n">
        <v>148069</v>
      </c>
      <c r="G60" s="14" t="inlineStr">
        <is>
          <t>rule</t>
        </is>
      </c>
      <c r="H60" s="14" t="inlineStr">
        <is>
          <t>R-IE</t>
        </is>
      </c>
      <c r="I60" s="16" t="inlineStr"/>
    </row>
    <row r="61">
      <c r="A61" s="14" t="inlineStr">
        <is>
          <t>Unsecured Loan - Director</t>
        </is>
      </c>
      <c r="B61" s="14" t="inlineStr">
        <is>
          <t>Unsecured Loans</t>
        </is>
      </c>
      <c r="C61" s="14" t="inlineStr">
        <is>
          <t>Long-term borrowings</t>
        </is>
      </c>
      <c r="D61" s="14" t="inlineStr">
        <is>
          <t>Loans from directors / related parties (unsecured)</t>
        </is>
      </c>
      <c r="E61" s="20" t="n">
        <v>-300000</v>
      </c>
      <c r="F61" s="20" t="n">
        <v>-300000</v>
      </c>
      <c r="G61" s="14" t="inlineStr">
        <is>
          <t>rule</t>
        </is>
      </c>
      <c r="H61" s="14" t="inlineStr">
        <is>
          <t>R-UL</t>
        </is>
      </c>
      <c r="I61" s="16" t="inlineStr">
        <is>
          <t>Related-party loan: needs related-party disclosure (AS 18), Sec 73/Rule 2(1)(c)(viii) declaration from director, and repayment terms. Confirm long-term.</t>
        </is>
      </c>
    </row>
    <row r="62">
      <c r="A62" s="14" t="inlineStr">
        <is>
          <t>Vehicle - Company Car</t>
        </is>
      </c>
      <c r="B62" s="14" t="inlineStr">
        <is>
          <t>Fixed Assets</t>
        </is>
      </c>
      <c r="C62" s="14" t="inlineStr">
        <is>
          <t>Property, plant and equipment</t>
        </is>
      </c>
      <c r="D62" s="14" t="inlineStr">
        <is>
          <t>Vehicles</t>
        </is>
      </c>
      <c r="E62" s="20" t="n">
        <v>450000</v>
      </c>
      <c r="F62" s="20" t="n">
        <v>450000</v>
      </c>
      <c r="G62" s="14" t="inlineStr">
        <is>
          <t>rule</t>
        </is>
      </c>
      <c r="H62" s="14" t="inlineStr">
        <is>
          <t>R-FA</t>
        </is>
      </c>
      <c r="I62" s="16" t="inlineStr"/>
    </row>
  </sheetData>
  <autoFilter ref="A3:I62"/>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2026-10-23T10:13:33Z</dcterms:created>
  <dcterms:modified xmlns:dcterms="http://purl.org/dc/terms/" xmlns:xsi="http://www.w3.org/2001/XMLSchema-instance" xsi:type="dcterms:W3CDTF">2026-10-23T10:13:33Z</dcterms:modified>
</cp:coreProperties>
</file>