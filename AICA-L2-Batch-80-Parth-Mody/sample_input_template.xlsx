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B575C585-8638-4676-A750-B0FBEACE7DBF}" xr6:coauthVersionLast="47" xr6:coauthVersionMax="47" xr10:uidLastSave="{00000000-0000-0000-0000-000000000000}"/>
  <bookViews>
    <workbookView xWindow="-98" yWindow="-98" windowWidth="21795" windowHeight="12975" firstSheet="7" activeTab="8" xr2:uid="{00000000-000D-0000-FFFF-FFFF00000000}"/>
  </bookViews>
  <sheets>
    <sheet name="READ ME" sheetId="1" r:id="rId1"/>
    <sheet name="Field Guide" sheetId="2" r:id="rId2"/>
    <sheet name="Lists" sheetId="3" state="hidden" r:id="rId3"/>
    <sheet name="Debts" sheetId="4" r:id="rId4"/>
    <sheet name="Investments" sheetId="5" r:id="rId5"/>
    <sheet name="Recurring Expenses" sheetId="6" r:id="rId6"/>
    <sheet name="Annual &amp; Lumpy Expenses" sheetId="7" r:id="rId7"/>
    <sheet name="Passive Income" sheetId="8" r:id="rId8"/>
    <sheet name="Goals" sheetId="9" r:id="rId9"/>
    <sheet name="Assumptions" sheetId="10" r:id="rId10"/>
    <sheet name="Tax" sheetId="11" r:id="rId11"/>
    <sheet name="Income" sheetId="12" r:id="rId12"/>
  </sheets>
  <calcPr calcId="124519"/>
</workbook>
</file>

<file path=xl/sharedStrings.xml><?xml version="1.0" encoding="utf-8"?>
<sst xmlns="http://schemas.openxmlformats.org/spreadsheetml/2006/main" count="888" uniqueCount="373">
  <si>
    <t>Personal Finance &amp; Debt Impact Calculator — input template</t>
  </si>
  <si>
    <t>HOW TO USE</t>
  </si>
  <si>
    <t>1. Every sheet below is pre-filled with a worked demo so you can see the shape of the data.</t>
  </si>
  <si>
    <t>2. Overwrite the demo rows with your own. Delete any rows you do not need. Add as many as you like.</t>
  </si>
  <si>
    <t>3. Row 3 of each sheet is a grey NOTES row explaining every column. You may leave it or delete it — the app recognises it by its content and will not mistake one of your rows for it.</t>
  </si>
  <si>
    <t>4. Do not rename sheets or column headers. The app matches on them exactly.</t>
  </si>
  <si>
    <t>5. Columns with a dropdown (Loan Type, Asset Class, Category, and so on) only accept the listed options. Typed-in text is not recognised.</t>
  </si>
  <si>
    <t>6. Save, then upload the file in the app under Start &amp; Data Entry.</t>
  </si>
  <si>
    <t>RULES THAT MATTER</t>
  </si>
  <si>
    <t>• Enter POST-TAX, in-hand figures for salary and business income.</t>
  </si>
  <si>
    <t>• Do NOT include EMIs in the Expenses sheet — the debt engine handles them, and including them double-counts.</t>
  </si>
  <si>
    <t>• Goal costs go in TODAY's money. The engine inflates them at the rate you give.</t>
  </si>
  <si>
    <t>• Loan outstanding is what you owe today, not the original sanction.</t>
  </si>
  <si>
    <t>• Names must be unique. Goals and loans reference investments by their exact name.</t>
  </si>
  <si>
    <t>The Field Guide sheet lists every column with its full explanation.</t>
  </si>
  <si>
    <t>Sheet</t>
  </si>
  <si>
    <t>Column</t>
  </si>
  <si>
    <t>Type</t>
  </si>
  <si>
    <t>Explanation</t>
  </si>
  <si>
    <t>Debts</t>
  </si>
  <si>
    <t>Investments</t>
  </si>
  <si>
    <t>Recurring Expenses</t>
  </si>
  <si>
    <t>Annual &amp; Lumpy Expenses</t>
  </si>
  <si>
    <t>Passive Income</t>
  </si>
  <si>
    <t>Goals</t>
  </si>
  <si>
    <t>Assumptions</t>
  </si>
  <si>
    <t>Tax</t>
  </si>
  <si>
    <t>Income</t>
  </si>
  <si>
    <t>Loan / Lender</t>
  </si>
  <si>
    <t>Loan Type</t>
  </si>
  <si>
    <t>Secured?</t>
  </si>
  <si>
    <t>Collateral / Security</t>
  </si>
  <si>
    <t>Original Principal</t>
  </si>
  <si>
    <t>Outstanding Principal</t>
  </si>
  <si>
    <t>Interest Rate % p.a.</t>
  </si>
  <si>
    <t>Fixed / Floating</t>
  </si>
  <si>
    <t>Original Tenure (months)</t>
  </si>
  <si>
    <t>Remaining Tenure (months)</t>
  </si>
  <si>
    <t>EMI</t>
  </si>
  <si>
    <t>Flat / Add-on Rate?</t>
  </si>
  <si>
    <t>Prepayment Penalty %</t>
  </si>
  <si>
    <t>Min Due % (revolving)</t>
  </si>
  <si>
    <t>Linked Investment (collateral)</t>
  </si>
  <si>
    <t>Investment Name</t>
  </si>
  <si>
    <t>Asset Class</t>
  </si>
  <si>
    <t>Current Value</t>
  </si>
  <si>
    <t>Invested Cost</t>
  </si>
  <si>
    <t>Expected Return % p.a.</t>
  </si>
  <si>
    <t>Volatility % p.a.</t>
  </si>
  <si>
    <t>Days to Cash</t>
  </si>
  <si>
    <t>Lock-in Remaining (months)</t>
  </si>
  <si>
    <t>Exit Load %</t>
  </si>
  <si>
    <t>Monthly SIP</t>
  </si>
  <si>
    <t>SIP Step-up % p.a.</t>
  </si>
  <si>
    <t>Earmarked for Goal</t>
  </si>
  <si>
    <t>Never Liquidate</t>
  </si>
  <si>
    <t>Category</t>
  </si>
  <si>
    <t>Monthly Amount</t>
  </si>
  <si>
    <t>Category Inflation %</t>
  </si>
  <si>
    <t>Step-up Basis</t>
  </si>
  <si>
    <t>Custom Step-up % p.a.</t>
  </si>
  <si>
    <t>Item</t>
  </si>
  <si>
    <t>Annual Amount</t>
  </si>
  <si>
    <t>Month of Year</t>
  </si>
  <si>
    <t>Inflation % p.a.</t>
  </si>
  <si>
    <t>Source</t>
  </si>
  <si>
    <t>Amount</t>
  </si>
  <si>
    <t>Frequency</t>
  </si>
  <si>
    <t>Growth % p.a.</t>
  </si>
  <si>
    <t>Taxable?</t>
  </si>
  <si>
    <t>Entered As</t>
  </si>
  <si>
    <t>Start Month</t>
  </si>
  <si>
    <t>End Month</t>
  </si>
  <si>
    <t>Goal Name</t>
  </si>
  <si>
    <t>Target Year (from now)</t>
  </si>
  <si>
    <t>Cost in Today's Money</t>
  </si>
  <si>
    <t>Goal Inflation % p.a.</t>
  </si>
  <si>
    <t>Priority (1=highest)</t>
  </si>
  <si>
    <t>% From Own Corpus</t>
  </si>
  <si>
    <t>If Loan: Rate %</t>
  </si>
  <si>
    <t>If Loan: Tenure (yrs)</t>
  </si>
  <si>
    <t>Earmarked Investment</t>
  </si>
  <si>
    <t>Sell to Fund (asset name)</t>
  </si>
  <si>
    <t>Becomes Asset (class)</t>
  </si>
  <si>
    <t>Profile name</t>
  </si>
  <si>
    <t>Projection horizon (years)</t>
  </si>
  <si>
    <t>Start calendar month (1-12)</t>
  </si>
  <si>
    <t>Headline inflation % p.a.</t>
  </si>
  <si>
    <t>Risk-aversion coefficient</t>
  </si>
  <si>
    <t>Scale risk haircut by the decision horizon</t>
  </si>
  <si>
    <t>Benchmark loans against</t>
  </si>
  <si>
    <t>Custom benchmark % p.a.</t>
  </si>
  <si>
    <t>Residual surplus goes to</t>
  </si>
  <si>
    <t>Goal sinking-fund return % p.a.</t>
  </si>
  <si>
    <t>Emergency fund today</t>
  </si>
  <si>
    <t>EF target (months of expense)</t>
  </si>
  <si>
    <t>EF parking return % p.a.</t>
  </si>
  <si>
    <t>EF target includes EMIs</t>
  </si>
  <si>
    <t>Max % of surplus to EF top-up</t>
  </si>
  <si>
    <t>Max % of liquid portfolio deployable to debt</t>
  </si>
  <si>
    <t>Max days-to-cash to count as deployable</t>
  </si>
  <si>
    <t>Max % of monthly surplus to prepayment</t>
  </si>
  <si>
    <t>Prepayment reduces</t>
  </si>
  <si>
    <t>EMI-to-income ceiling %</t>
  </si>
  <si>
    <t>Flag refinance if rate exceeds market by (%)</t>
  </si>
  <si>
    <t>Warn if illiquid share exceeds %</t>
  </si>
  <si>
    <t>Allow prepaying healthy-leverage loans</t>
  </si>
  <si>
    <t>Tax regime (New / Old)</t>
  </si>
  <si>
    <t>Marginal tax rate %</t>
  </si>
  <si>
    <t>Cess %</t>
  </si>
  <si>
    <t>Equity LTCG %</t>
  </si>
  <si>
    <t>Equity LTCG annual exemption</t>
  </si>
  <si>
    <t>Equity STCG %</t>
  </si>
  <si>
    <t>Other-asset LTCG %</t>
  </si>
  <si>
    <t>Crypto / VDA rate %</t>
  </si>
  <si>
    <t>Apply capital-gains tax on redemptions</t>
  </si>
  <si>
    <t>Roll gains over on a home-to-home upgrade (Sec 54)</t>
  </si>
  <si>
    <t>Apply debt tax shields</t>
  </si>
  <si>
    <t>Section 24b cap (self-occupied)</t>
  </si>
  <si>
    <t>Include this earner</t>
  </si>
  <si>
    <t>Monthly in-hand (post-tax)</t>
  </si>
  <si>
    <t>Annual bonus (post-tax)</t>
  </si>
  <si>
    <t>Bonus calendar month (1-12)</t>
  </si>
  <si>
    <t>Annual increment %</t>
  </si>
  <si>
    <t>Increment calendar month (1-12)</t>
  </si>
  <si>
    <t>Business income / month (post-tax)</t>
  </si>
  <si>
    <t>Business growth % p.a.</t>
  </si>
  <si>
    <t>Income stops after month # (0 = never)</t>
  </si>
  <si>
    <t>text</t>
  </si>
  <si>
    <t>select</t>
  </si>
  <si>
    <t>bool</t>
  </si>
  <si>
    <t>money</t>
  </si>
  <si>
    <t>pct</t>
  </si>
  <si>
    <t>int</t>
  </si>
  <si>
    <t>num</t>
  </si>
  <si>
    <t>Your label for this loan, e.g. 'HDFC Home Loan'. Must be unique — it names the amortisation sheet.</t>
  </si>
  <si>
    <t>Determines the tax shield, whether it is treated as revolving credit, and the market benchmark rate used for refinance suggestions.</t>
  </si>
  <si>
    <t>Tick if an asset is pledged. Secured debt is cheaper to refinance and is treated differently in consolidation advice.</t>
  </si>
  <si>
    <t>What is pledged — 'Flat, Pune' / 'Car' / 'MF units'. Free text, used in the report only.</t>
  </si>
  <si>
    <t>Amount originally sanctioned. Used only for context; the engine runs off the outstanding.</t>
  </si>
  <si>
    <t>Principal still owed TODAY, from your latest statement. This drives everything.</t>
  </si>
  <si>
    <t>Current annual rate. For a floating loan use today's rate — stress tests shift it.</t>
  </si>
  <si>
    <t>Floating loans move with the rate-shift scenario; fixed loans do not.</t>
  </si>
  <si>
    <t>Total months at sanction. Context only.</t>
  </si>
  <si>
    <t>Months still to run. Leave 0 if you would rather the engine derive it from your EMI.</t>
  </si>
  <si>
    <t>Current monthly instalment. Leave 0 to have it derived from the remaining tenure.</t>
  </si>
  <si>
    <t>Tick ONLY if the rate quoted is flat/add-on (common on car, gold and some personal loans). The engine converts it to the true reducing-balance APR, which is roughly 1.8x the flat rate.</t>
  </si>
  <si>
    <t>Charge on prepaid principal. Floating-rate home loans to individuals are typically nil; fixed-rate and personal loans often 2-5%.</t>
  </si>
  <si>
    <t>Cards / overdrafts only: the minimum payment as a % of outstanding. Typically 5%. Ignored for term loans.</t>
  </si>
  <si>
    <t>If this loan is secured against a holding in your Investments sheet, name it so the engine never sells that asset while the loan is live.</t>
  </si>
  <si>
    <t>Your label, e.g. 'Parag Parikh Flexi Cap'. Must be unique — goals and loans reference it by name.</t>
  </si>
  <si>
    <t>Sets the tax treatment, and seeds the return, volatility and liquidity if you leave them blank.</t>
  </si>
  <si>
    <t>Today's market value of the holding.</t>
  </si>
  <si>
    <t>Total amount you put in (acquisition cost). The difference from current value is the embedded gain that gets taxed on exit.</t>
  </si>
  <si>
    <t>YOUR nominal pre-tax expectation. This is an assumption, not a forecast — the engine will not question it, so be conservative.</t>
  </si>
  <si>
    <t>Annual standard deviation. Drives the risk haircut: risk-adjusted return = post-tax return − (risk-aversion x volatility). Equity ~18, debt ~3, FD ~0.</t>
  </si>
  <si>
    <t>Realistic days from decision to money in your account. Equity MF 3, FD 7, property 180. Use 9999 for locked.</t>
  </si>
  <si>
    <t>Months until you can legally redeem. ELSS, PPF, NPS, tax-saver FDs. The optimiser treats this as a hard constraint.</t>
  </si>
  <si>
    <t>Charge on early redemption. Most equity funds 1% within a year; FDs often 0.5-1% penalty on premature closure.</t>
  </si>
  <si>
    <t>Ongoing monthly contribution. Set 0 for lump-sum holdings with no recurring investment.</t>
  </si>
  <si>
    <t>Annual increase in the SIP amount. 10% is a common target if your income rises at a similar rate.</t>
  </si>
  <si>
    <t>If this holding is reserved for a specific goal, type the exact goal name. Earmarked assets are ring-fenced from debt prepayment.</t>
  </si>
  <si>
    <t>Hard constraint — the optimiser will never propose selling this, regardless of the arithmetic.</t>
  </si>
  <si>
    <t>Pick the closest category. Grouping matters only for reporting and for applying different inflation rates.</t>
  </si>
  <si>
    <t>Typical monthly spend today. Use a 3-month average rather than last month's figure.</t>
  </si>
  <si>
    <t>Annual escalation for THIS category. Medical and education typically run well above headline inflation; fuel and utilities near it.</t>
  </si>
  <si>
    <t>'Inflation' uses the category rate above. 'Custom %' uses the next column instead — for planned lifestyle changes rather than price rises.</t>
  </si>
  <si>
    <t>Only used when Step-up Basis is 'Custom %'. Can be negative if you intend to cut this spend.</t>
  </si>
  <si>
    <t>What it is, e.g. 'Term + health insurance premium'.</t>
  </si>
  <si>
    <t>Total paid once per year.</t>
  </si>
  <si>
    <t>Calendar month it falls due, 1 = January.</t>
  </si>
  <si>
    <t>Annual escalation for this specific item.</t>
  </si>
  <si>
    <t>Your label, e.g. 'Rental - Andheri flat'.</t>
  </si>
  <si>
    <t>Rental gets the 30% standard deduction. Other types are taxed at your marginal rate if marked Gross.</t>
  </si>
  <si>
    <t>Amount received per occurrence — see Frequency.</t>
  </si>
  <si>
    <t>How often it lands. Quarterly and annual receipts are placed in the correct month, not smoothed.</t>
  </si>
  <si>
    <t>Annual escalation. Rents typically 4-6%; dividends vary.</t>
  </si>
  <si>
    <t>Untick for genuinely tax-free receipts.</t>
  </si>
  <si>
    <t>'Gross' means the engine deducts tax. 'Net' means you have already deducted it and the figure passes through untouched.</t>
  </si>
  <si>
    <t>Simulation month it begins. 1 = now.</t>
  </si>
  <si>
    <t>Simulation month it stops. 0 = runs for the whole horizon. Use this for a lease that expires or a pension that starts and later ends.</t>
  </si>
  <si>
    <t>Your label, e.g. 'Daughter UG education'. Investments reference this exact name when earmarked.</t>
  </si>
  <si>
    <t>Used for reporting and to decide the type of loan created if the goal is partly financed.</t>
  </si>
  <si>
    <t>Years from today. 5 means 60 months away.</t>
  </si>
  <si>
    <t>What it would cost if you paid for it TODAY. Do not pre-inflate it — that is the engine's job.</t>
  </si>
  <si>
    <t>Escalation for THIS goal. Education and medical typically 8-11%, property 5-7%, general 6%. This single number often matters more than your return assumption.</t>
  </si>
  <si>
    <t>1 to 5. When surplus is short, higher priority goals are funded first.</t>
  </si>
  <si>
    <t>100 = fully self-funded. 20 on a house means a 20% down payment and an 80% loan.</t>
  </si>
  <si>
    <t>Rate on the financed portion. Ignored if own corpus is 100%.</t>
  </si>
  <si>
    <t>Tenure of the financed portion. Ignored if own corpus is 100%.</t>
  </si>
  <si>
    <t>Exact name of a holding reserved for this goal. It will be used for this goal and protected from everything else.</t>
  </si>
  <si>
    <t>For a REPLACEMENT purchase: the exact name of the holding you dispose of to pay for this one — the flat you move out of, the car you trade in. It is sold in full at the goal date, any loan secured against it is settled out of the proceeds, and the EMI that frees up restores your borrowing capacity for the new loan. Leave blank if nothing is being sold.</t>
  </si>
  <si>
    <t>If this goal BUYS something that you still own afterwards — a house, a car — pick its asset class and the purchase is capitalised onto your balance sheet at what you actually paid. Leave blank for consumption goals such as education, a wedding or a holiday, where the money is simply spent.</t>
  </si>
  <si>
    <t>Label for this plan; appears on the report cover.</t>
  </si>
  <si>
    <t>How far to project. 10 is the brief; the engine supports 3-30.</t>
  </si>
  <si>
    <t>The real month the plan starts. Aligns bonuses and annual expenses correctly.</t>
  </si>
  <si>
    <t>General price inflation. Used where a category-specific rate is not given, and to compute real (inflation-adjusted) returns.</t>
  </si>
  <si>
    <t>The haircut applied per unit of volatility. Risk-adjusted return = post-tax return − (coefficient x volatility). At 0.25, an 18%-volatility equity fund loses 4.5 points. Set 0 to compare on raw post-tax returns — but then a 12% equity assumption competes with a guaranteed 9% loan saving on unequal terms.</t>
  </si>
  <si>
    <t>ON (recommended). Volatility is quoted per year, but prepaying-or-investing is a decision that runs for the life of the loan, and the spread of the annualised outcome narrows with the square root of time. With this ON, a 16-year home loan is judged against equity's 16-year risk rather than a single year's. OFF charges a full year of volatility against every decision, which makes almost any loan — including a cheap secured one — look loss-making.</t>
  </si>
  <si>
    <t>'Marginal surplus vehicle' (recommended) uses the risk-adjusted return of the holding your spare cash actually flows into. That is the true alternative to prepaying: if you do not repay the loan, this is where the rupee goes. 'Liquid portfolio blended' instead averages every deployable holding by value — which drags the benchmark down with money you park for liquidity rather than return, and can make sound leverage look loss-making. Locked money never votes under either mode, because it cannot repay a loan.</t>
  </si>
  <si>
    <t>Used when benchmark mode is 'Custom %', or as a fallback when no deployable assets exist.</t>
  </si>
  <si>
    <t>Exact name of the holding that receives leftover cash each month after every other priority is met.</t>
  </si>
  <si>
    <t>Return on money set aside for goals. Keep this conservative — goal money is usually parked in lower-risk instruments as the date approaches.</t>
  </si>
  <si>
    <t>Cash and near-cash held as a buffer.</t>
  </si>
  <si>
    <t>Months of expenses to hold. 6 is standard for salaried, 9-12 for business income.</t>
  </si>
  <si>
    <t>Return on the emergency fund.</t>
  </si>
  <si>
    <t>Tick if the buffer should cover EMIs too, not just living costs. Recommended when you carry significant debt.</t>
  </si>
  <si>
    <t>Caps how aggressively the buffer is rebuilt, so it does not starve everything else.</t>
  </si>
  <si>
    <t>Ceiling on how much of your liquid portfolio the optimiser may propose selling.</t>
  </si>
  <si>
    <t>Holdings slower than this are excluded from the benchmark and from swap proposals.</t>
  </si>
  <si>
    <t>Caps monthly prepayment so some surplus still reaches investments.</t>
  </si>
  <si>
    <t>'tenure' keeps the EMI and shortens the loan (saves the most interest). 'emi' keeps the tenure and cuts the instalment (maximises monthly cashflow relief).</t>
  </si>
  <si>
    <t>Comfort limit. Above 40% a single income shock forces asset sales at the worst time.</t>
  </si>
  <si>
    <t>Sensitivity of the balance-transfer recommendation.</t>
  </si>
  <si>
    <t>Portfolio concentration warning threshold.</t>
  </si>
  <si>
    <t>Normally off — prepaying positive-carry debt destroys value. Turn on only if you value being debt-free above the arithmetic.</t>
  </si>
  <si>
    <t>Regime-aware and material: Section 24b on a SELF-OCCUPIED home and Section 80E are recognised only under the old regime. Let-out property interest and business interest are recognised under both. Switching this can flip a loan's verdict.</t>
  </si>
  <si>
    <t>Your top slab rate, including surcharge if applicable.</t>
  </si>
  <si>
    <t>Health and education cess applied on tax.</t>
  </si>
  <si>
    <t>Long-term capital gains rate on listed equity.</t>
  </si>
  <si>
    <t>Annual exemption on long-term equity gains, applied per financial year and tracked across all redemptions the engine models.</t>
  </si>
  <si>
    <t>Short-term rate on listed equity.</t>
  </si>
  <si>
    <t>Gold, property, unlisted shares.</t>
  </si>
  <si>
    <t>Flat rate on virtual digital assets.</t>
  </si>
  <si>
    <t>Untick only to see the pre-tax picture. Leaving it on is what makes 'sell equity to kill a loan' an honest comparison.</t>
  </si>
  <si>
    <t>When a goal sells one residential property to buy another, the capital gain is exempt to the extent it is reinvested. Leave ON unless you want to see the gross-of-relief position.</t>
  </si>
  <si>
    <t>Applies 24b / 80E / business-interest deductibility to lower the effective cost of debt.</t>
  </si>
  <si>
    <t>Cap on deductible interest for a self-occupied property. Let-out property has no cap.</t>
  </si>
  <si>
    <t>Untick to exclude entirely.</t>
  </si>
  <si>
    <t>Take-home pay AFTER tax and deductions — the amount that actually reaches your bank.</t>
  </si>
  <si>
    <t>Post-tax bonus, paid once a year.</t>
  </si>
  <si>
    <t>1 = January.</t>
  </si>
  <si>
    <t>Expected annual raise.</t>
  </si>
  <si>
    <t>When the raise takes effect.</t>
  </si>
  <si>
    <t>Average monthly business drawings after tax. Leave 0 if salaried.</t>
  </si>
  <si>
    <t>Can be negative.</t>
  </si>
  <si>
    <t>For a planned retirement, sabbatical or contract end within the horizon.</t>
  </si>
  <si>
    <t>Field guide — what every input means</t>
  </si>
  <si>
    <t>options</t>
  </si>
  <si>
    <t>Home Loan (Self-occupied)</t>
  </si>
  <si>
    <t>Home Loan (Let-out)</t>
  </si>
  <si>
    <t>Top-up Home Loan</t>
  </si>
  <si>
    <t>Loan Against Property</t>
  </si>
  <si>
    <t>Car / Vehicle Loan</t>
  </si>
  <si>
    <t>Two-wheeler Loan</t>
  </si>
  <si>
    <t>Personal Loan</t>
  </si>
  <si>
    <t>Education Loan</t>
  </si>
  <si>
    <t>Gold Loan</t>
  </si>
  <si>
    <t>Loan Against Securities</t>
  </si>
  <si>
    <t>Business / Working Capital</t>
  </si>
  <si>
    <t>Overdraft / Cash Credit</t>
  </si>
  <si>
    <t>Credit Card Revolve</t>
  </si>
  <si>
    <t>BNPL / Consumer Durable</t>
  </si>
  <si>
    <t>Family / Informal Loan</t>
  </si>
  <si>
    <t>Floating</t>
  </si>
  <si>
    <t>Fixed</t>
  </si>
  <si>
    <t>Equity MF / Direct Stocks</t>
  </si>
  <si>
    <t>Index Fund / ETF</t>
  </si>
  <si>
    <t>ELSS (Tax Saver)</t>
  </si>
  <si>
    <t>Debt MF / Liquid Fund</t>
  </si>
  <si>
    <t>Fixed Deposit / RD</t>
  </si>
  <si>
    <t>PPF</t>
  </si>
  <si>
    <t>EPF / VPF</t>
  </si>
  <si>
    <t>NPS</t>
  </si>
  <si>
    <t>Sovereign Gold Bond / Gold</t>
  </si>
  <si>
    <t>Bonds / NCD</t>
  </si>
  <si>
    <t>Real Estate (Investment)</t>
  </si>
  <si>
    <t>Real Estate (Self-occupied)</t>
  </si>
  <si>
    <t>Vehicle (Personal Use)</t>
  </si>
  <si>
    <t>Jewellery / Personal Use</t>
  </si>
  <si>
    <t>ULIP / Traditional Policy</t>
  </si>
  <si>
    <t>Crypto</t>
  </si>
  <si>
    <t>Cash / Savings A/c</t>
  </si>
  <si>
    <t>Business Equity / Unlisted</t>
  </si>
  <si>
    <t>Other</t>
  </si>
  <si>
    <t>Household - Groceries &amp; Utilities</t>
  </si>
  <si>
    <t>Household - Help &amp; Maintenance</t>
  </si>
  <si>
    <t>Rent</t>
  </si>
  <si>
    <t>Transport &amp; Fuel</t>
  </si>
  <si>
    <t>Lifestyle - Dining &amp; Entertainment</t>
  </si>
  <si>
    <t>Lifestyle - Shopping &amp; Subscriptions</t>
  </si>
  <si>
    <t>Luxuries - Travel &amp; Holidays</t>
  </si>
  <si>
    <t>Luxuries - Gadgets &amp; Club</t>
  </si>
  <si>
    <t>Health &amp; Medical</t>
  </si>
  <si>
    <t>Insurance Premiums</t>
  </si>
  <si>
    <t>Children - School &amp; Tuition</t>
  </si>
  <si>
    <t>Dependents / Parents Support</t>
  </si>
  <si>
    <t>Professional / Business Overheads</t>
  </si>
  <si>
    <t>Inflation</t>
  </si>
  <si>
    <t>Custom %</t>
  </si>
  <si>
    <t>Rental Income</t>
  </si>
  <si>
    <t>Dividends</t>
  </si>
  <si>
    <t>Interest (FD/Bonds)</t>
  </si>
  <si>
    <t>Annuity / Pension</t>
  </si>
  <si>
    <t>Royalties</t>
  </si>
  <si>
    <t>Freelance / Consulting</t>
  </si>
  <si>
    <t>Digital / Content</t>
  </si>
  <si>
    <t>Monthly</t>
  </si>
  <si>
    <t>Quarterly</t>
  </si>
  <si>
    <t>Half-yearly</t>
  </si>
  <si>
    <t>Annual</t>
  </si>
  <si>
    <t>Gross</t>
  </si>
  <si>
    <t>Net</t>
  </si>
  <si>
    <t>Education</t>
  </si>
  <si>
    <t>Marriage</t>
  </si>
  <si>
    <t>House Purchase</t>
  </si>
  <si>
    <t>Vehicle Purchase</t>
  </si>
  <si>
    <t>Business Capital</t>
  </si>
  <si>
    <t>Travel / Sabbatical</t>
  </si>
  <si>
    <t>Retirement Corpus</t>
  </si>
  <si>
    <t>Medical Buffer</t>
  </si>
  <si>
    <t>TRUE</t>
  </si>
  <si>
    <t>FALSE</t>
  </si>
  <si>
    <t>Debts — One row per loan. Enter the CURRENT outstanding, not the original sanction. Leave EMI blank to derive it from remaining tenure, or leave tenure blank to derive it from EMI — the engine fills whichever is missing.</t>
  </si>
  <si>
    <t>Bajaj Personal Loan</t>
  </si>
  <si>
    <t>-</t>
  </si>
  <si>
    <t>Amex Card Revolve</t>
  </si>
  <si>
    <t>Investments — One row per holding. 'Invested Cost' drives the capital-gains calculation when the engine models a redemption — get it as close as you can.</t>
  </si>
  <si>
    <t>Equity MF Core</t>
  </si>
  <si>
    <t>Nifty Index Fund</t>
  </si>
  <si>
    <t>Bank FD 3yr</t>
  </si>
  <si>
    <t>Sibling Marriage Support</t>
  </si>
  <si>
    <t>EPF</t>
  </si>
  <si>
    <t>SGB Tranche</t>
  </si>
  <si>
    <t>Recurring Expenses — Monthly run-rate by category. EMIs are EXCLUDED here — the debt engine handles those, so including them would double-count.</t>
  </si>
  <si>
    <t>Annual &amp; Lumpy Expenses — Once-a-year outflows that create cashflow spikes — premiums, school fees, festivals, holidays. Keeping them separate is what makes the monthly cashflow realistic instead of a smooth average.</t>
  </si>
  <si>
    <t>Term + health insurance premium</t>
  </si>
  <si>
    <t>School annual fees &amp; books</t>
  </si>
  <si>
    <t>Festivals &amp; gifting</t>
  </si>
  <si>
    <t>Annual vacation</t>
  </si>
  <si>
    <t>Passive Income — Income not from your primary salary or business. Rental income automatically gets the 30% standard deduction before tax.</t>
  </si>
  <si>
    <t>Rental - Flat</t>
  </si>
  <si>
    <t>Consulting retainer</t>
  </si>
  <si>
    <t>Goals — Costs in TODAY's money — the engine inflates each at its own rate. If '% From Own Corpus' is below 100, the balance is financed: give the rate and tenure and the engine creates that future loan, checks the EMI fits your income ceiling, and services it. For a REPLACEMENT purchase, name the asset you are selling and the class the new one becomes: the old asset is sold, the loan secured on it is settled from the proceeds, the freed EMI restores your borrowing capacity, and what you buy lands on your balance sheet.</t>
  </si>
  <si>
    <t>House Upgrade</t>
  </si>
  <si>
    <t>Car Replacement</t>
  </si>
  <si>
    <t>Parameter</t>
  </si>
  <si>
    <t>Value</t>
  </si>
  <si>
    <t>Guidance</t>
  </si>
  <si>
    <t>Demo Profile</t>
  </si>
  <si>
    <t>Marginal surplus vehicle</t>
  </si>
  <si>
    <t>tenure</t>
  </si>
  <si>
    <t>Assumptions — edit the Value column only</t>
  </si>
  <si>
    <t>New</t>
  </si>
  <si>
    <t>Tax settings — edit the Value column only</t>
  </si>
  <si>
    <t>Earner 1 — Include this earner</t>
  </si>
  <si>
    <t>Earner 1 — Monthly in-hand (post-tax)</t>
  </si>
  <si>
    <t>Earner 1 — Annual bonus (post-tax)</t>
  </si>
  <si>
    <t>Earner 1 — Bonus calendar month (1-12)</t>
  </si>
  <si>
    <t>Earner 1 — Annual increment %</t>
  </si>
  <si>
    <t>Earner 1 — Increment calendar month (1-12)</t>
  </si>
  <si>
    <t>Earner 1 — Business income / month (post-tax)</t>
  </si>
  <si>
    <t>Earner 1 — Business growth % p.a.</t>
  </si>
  <si>
    <t>Earner 1 — Income stops after month # (0 = never)</t>
  </si>
  <si>
    <t>Earner 2 / Spouse — Include this earner</t>
  </si>
  <si>
    <t>Earner 2 / Spouse — Monthly in-hand (post-tax)</t>
  </si>
  <si>
    <t>Earner 2 / Spouse — Annual bonus (post-tax)</t>
  </si>
  <si>
    <t>Earner 2 / Spouse — Bonus calendar month (1-12)</t>
  </si>
  <si>
    <t>Earner 2 / Spouse — Annual increment %</t>
  </si>
  <si>
    <t>Earner 2 / Spouse — Increment calendar month (1-12)</t>
  </si>
  <si>
    <t>Earner 2 / Spouse — Business income / month (post-tax)</t>
  </si>
  <si>
    <t>Earner 2 / Spouse — Business growth % p.a.</t>
  </si>
  <si>
    <t>Earner 2 / Spouse — Income stops after month # (0 = never)</t>
  </si>
  <si>
    <t>Income — POST-TAX figures only</t>
  </si>
  <si>
    <t xml:space="preserve">Tata capital </t>
  </si>
  <si>
    <t xml:space="preserve">IDFC </t>
  </si>
  <si>
    <t>Flat Kandivali</t>
  </si>
  <si>
    <t>Office Ahmedabad</t>
  </si>
  <si>
    <t>Bonds</t>
  </si>
  <si>
    <t>Rental Office</t>
  </si>
  <si>
    <t>Own residential House</t>
  </si>
  <si>
    <t>Interest</t>
  </si>
  <si>
    <t>Own marriage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</si>
</sst>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0]##\,##\,##\,##0;[&gt;=100000]##\,##\,##0;##,##0"/>
  </numFmts>
  <fonts count="4" x14ac:knownFonts="1">
    <font>
      <sz val="11"/>
      <color theme="1"/>
      <name val="Calibri"/>
      <family val="2"/>
      <scheme val="minor"/>
    </font>
    <font>
      <b/>
      <sz val="15"/>
      <color rgb="FF0B3C49"/>
      <name val="Calibri"/>
      <family val="2"/>
      <scheme val="minor"/>
    </font>
    <font>
      <b/>
      <sz val="11"/>
      <color rgb="FFFFFFFF"/>
      <name val="Calibri"/>
      <family val="2"/>
      <scheme val="minor"/>
    </font>
    <font>
      <i/>
      <sz val="9"/>
      <color rgb="FF4A6A72"/>
      <name val="Calibri"/>
      <family val="2"/>
      <scheme val="minor"/>
    </font>
  </fonts>
  <fills count="4">
    <fill>
      <patternFill patternType="none"/>
    </fill>
    <fill>
      <patternFill patternType="gray125"/>
    </fill>
    <fill>
      <patternFill patternType="solid">
        <fgColor rgb="FF0B3C49"/>
        <bgColor indexed="64"/>
      </patternFill>
    </fill>
    <fill>
      <patternFill patternType="solid">
        <fgColor rgb="FFEEF6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vertical="top" wrapText="1"/>
    </xf>
    <xf numFmtId="0" fontId="2" fillId="2" borderId="1" xfId="0" applyFont="1" applyFill="1" applyBorder="1" applyAlignment="1">
      <alignment vertical="center" wrapText="1"/>
    </xf>
    <xf numFmtId="0" fontId="0" fillId="0" borderId="1" xfId="0" applyBorder="1"/>
    <xf numFmtId="164" fontId="0" fillId="0" borderId="1" xfId="0" applyNumberFormat="1" applyBorder="1"/>
    <xf numFmtId="2" fontId="0" fillId="0" borderId="1" xfId="0" applyNumberFormat="1" applyBorder="1"/>
    <xf numFmtId="0" fontId="3" fillId="3" borderId="1" xfId="0" applyFont="1" applyFill="1" applyBorder="1" applyAlignment="1">
      <alignment vertical="top" wrapText="1"/>
    </xf>
    <xf numFmtId="3" fontId="0" fillId="0" borderId="1"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workbookViewId="0"/>
  </sheetViews>
  <sheetFormatPr defaultRowHeight="14.25" x14ac:dyDescent="0.45"/>
  <cols>
    <col min="1" max="1" width="110.73046875" customWidth="1"/>
  </cols>
  <sheetData>
    <row r="1" spans="1:1" ht="19.5" x14ac:dyDescent="0.6">
      <c r="A1" s="1" t="s">
        <v>0</v>
      </c>
    </row>
    <row r="2" spans="1:1" x14ac:dyDescent="0.45">
      <c r="A2" s="2"/>
    </row>
    <row r="3" spans="1:1" x14ac:dyDescent="0.45">
      <c r="A3" s="2" t="s">
        <v>1</v>
      </c>
    </row>
    <row r="4" spans="1:1" x14ac:dyDescent="0.45">
      <c r="A4" s="2" t="s">
        <v>2</v>
      </c>
    </row>
    <row r="5" spans="1:1" x14ac:dyDescent="0.45">
      <c r="A5" s="2" t="s">
        <v>3</v>
      </c>
    </row>
    <row r="6" spans="1:1" ht="28.5" x14ac:dyDescent="0.45">
      <c r="A6" s="2" t="s">
        <v>4</v>
      </c>
    </row>
    <row r="7" spans="1:1" x14ac:dyDescent="0.45">
      <c r="A7" s="2" t="s">
        <v>5</v>
      </c>
    </row>
    <row r="8" spans="1:1" x14ac:dyDescent="0.45">
      <c r="A8" s="2" t="s">
        <v>6</v>
      </c>
    </row>
    <row r="9" spans="1:1" x14ac:dyDescent="0.45">
      <c r="A9" s="2" t="s">
        <v>7</v>
      </c>
    </row>
    <row r="10" spans="1:1" x14ac:dyDescent="0.45">
      <c r="A10" s="2"/>
    </row>
    <row r="11" spans="1:1" x14ac:dyDescent="0.45">
      <c r="A11" s="2" t="s">
        <v>8</v>
      </c>
    </row>
    <row r="12" spans="1:1" x14ac:dyDescent="0.45">
      <c r="A12" s="2" t="s">
        <v>9</v>
      </c>
    </row>
    <row r="13" spans="1:1" x14ac:dyDescent="0.45">
      <c r="A13" s="2" t="s">
        <v>10</v>
      </c>
    </row>
    <row r="14" spans="1:1" x14ac:dyDescent="0.45">
      <c r="A14" s="2" t="s">
        <v>11</v>
      </c>
    </row>
    <row r="15" spans="1:1" x14ac:dyDescent="0.45">
      <c r="A15" s="2" t="s">
        <v>12</v>
      </c>
    </row>
    <row r="16" spans="1:1" x14ac:dyDescent="0.45">
      <c r="A16" s="2" t="s">
        <v>13</v>
      </c>
    </row>
    <row r="17" spans="1:1" x14ac:dyDescent="0.45">
      <c r="A17" s="2"/>
    </row>
    <row r="18" spans="1:1" x14ac:dyDescent="0.45">
      <c r="A18" s="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4"/>
  <sheetViews>
    <sheetView workbookViewId="0">
      <pane ySplit="2" topLeftCell="A3" activePane="bottomLeft" state="frozen"/>
      <selection pane="bottomLeft"/>
    </sheetView>
  </sheetViews>
  <sheetFormatPr defaultRowHeight="14.25" x14ac:dyDescent="0.45"/>
  <cols>
    <col min="1" max="1" width="22.73046875" customWidth="1"/>
    <col min="2" max="2" width="32.73046875" customWidth="1"/>
    <col min="3" max="3" width="10.73046875" customWidth="1"/>
    <col min="4" max="4" width="105.73046875" style="2" customWidth="1"/>
  </cols>
  <sheetData>
    <row r="1" spans="1:4" ht="19.5" x14ac:dyDescent="0.6">
      <c r="A1" s="1" t="s">
        <v>237</v>
      </c>
    </row>
    <row r="2" spans="1:4" x14ac:dyDescent="0.45">
      <c r="A2" s="3" t="s">
        <v>15</v>
      </c>
      <c r="B2" s="3" t="s">
        <v>16</v>
      </c>
      <c r="C2" s="3" t="s">
        <v>17</v>
      </c>
      <c r="D2" s="3" t="s">
        <v>18</v>
      </c>
    </row>
    <row r="3" spans="1:4" x14ac:dyDescent="0.45">
      <c r="A3" t="s">
        <v>19</v>
      </c>
      <c r="B3" t="s">
        <v>28</v>
      </c>
      <c r="C3" t="s">
        <v>128</v>
      </c>
      <c r="D3" s="2" t="s">
        <v>135</v>
      </c>
    </row>
    <row r="4" spans="1:4" x14ac:dyDescent="0.45">
      <c r="A4" t="s">
        <v>19</v>
      </c>
      <c r="B4" t="s">
        <v>29</v>
      </c>
      <c r="C4" t="s">
        <v>129</v>
      </c>
      <c r="D4" s="2" t="s">
        <v>136</v>
      </c>
    </row>
    <row r="5" spans="1:4" x14ac:dyDescent="0.45">
      <c r="A5" t="s">
        <v>19</v>
      </c>
      <c r="B5" t="s">
        <v>30</v>
      </c>
      <c r="C5" t="s">
        <v>130</v>
      </c>
      <c r="D5" s="2" t="s">
        <v>137</v>
      </c>
    </row>
    <row r="6" spans="1:4" x14ac:dyDescent="0.45">
      <c r="A6" t="s">
        <v>19</v>
      </c>
      <c r="B6" t="s">
        <v>31</v>
      </c>
      <c r="C6" t="s">
        <v>128</v>
      </c>
      <c r="D6" s="2" t="s">
        <v>138</v>
      </c>
    </row>
    <row r="7" spans="1:4" x14ac:dyDescent="0.45">
      <c r="A7" t="s">
        <v>19</v>
      </c>
      <c r="B7" t="s">
        <v>32</v>
      </c>
      <c r="C7" t="s">
        <v>131</v>
      </c>
      <c r="D7" s="2" t="s">
        <v>139</v>
      </c>
    </row>
    <row r="8" spans="1:4" x14ac:dyDescent="0.45">
      <c r="A8" t="s">
        <v>19</v>
      </c>
      <c r="B8" t="s">
        <v>33</v>
      </c>
      <c r="C8" t="s">
        <v>131</v>
      </c>
      <c r="D8" s="2" t="s">
        <v>140</v>
      </c>
    </row>
    <row r="9" spans="1:4" x14ac:dyDescent="0.45">
      <c r="A9" t="s">
        <v>19</v>
      </c>
      <c r="B9" t="s">
        <v>34</v>
      </c>
      <c r="C9" t="s">
        <v>132</v>
      </c>
      <c r="D9" s="2" t="s">
        <v>141</v>
      </c>
    </row>
    <row r="10" spans="1:4" x14ac:dyDescent="0.45">
      <c r="A10" t="s">
        <v>19</v>
      </c>
      <c r="B10" t="s">
        <v>35</v>
      </c>
      <c r="C10" t="s">
        <v>129</v>
      </c>
      <c r="D10" s="2" t="s">
        <v>142</v>
      </c>
    </row>
    <row r="11" spans="1:4" x14ac:dyDescent="0.45">
      <c r="A11" t="s">
        <v>19</v>
      </c>
      <c r="B11" t="s">
        <v>36</v>
      </c>
      <c r="C11" t="s">
        <v>133</v>
      </c>
      <c r="D11" s="2" t="s">
        <v>143</v>
      </c>
    </row>
    <row r="12" spans="1:4" x14ac:dyDescent="0.45">
      <c r="A12" t="s">
        <v>19</v>
      </c>
      <c r="B12" t="s">
        <v>37</v>
      </c>
      <c r="C12" t="s">
        <v>133</v>
      </c>
      <c r="D12" s="2" t="s">
        <v>144</v>
      </c>
    </row>
    <row r="13" spans="1:4" x14ac:dyDescent="0.45">
      <c r="A13" t="s">
        <v>19</v>
      </c>
      <c r="B13" t="s">
        <v>38</v>
      </c>
      <c r="C13" t="s">
        <v>131</v>
      </c>
      <c r="D13" s="2" t="s">
        <v>145</v>
      </c>
    </row>
    <row r="14" spans="1:4" ht="28.5" x14ac:dyDescent="0.45">
      <c r="A14" t="s">
        <v>19</v>
      </c>
      <c r="B14" t="s">
        <v>39</v>
      </c>
      <c r="C14" t="s">
        <v>130</v>
      </c>
      <c r="D14" s="2" t="s">
        <v>146</v>
      </c>
    </row>
    <row r="15" spans="1:4" x14ac:dyDescent="0.45">
      <c r="A15" t="s">
        <v>19</v>
      </c>
      <c r="B15" t="s">
        <v>40</v>
      </c>
      <c r="C15" t="s">
        <v>132</v>
      </c>
      <c r="D15" s="2" t="s">
        <v>147</v>
      </c>
    </row>
    <row r="16" spans="1:4" x14ac:dyDescent="0.45">
      <c r="A16" t="s">
        <v>19</v>
      </c>
      <c r="B16" t="s">
        <v>41</v>
      </c>
      <c r="C16" t="s">
        <v>132</v>
      </c>
      <c r="D16" s="2" t="s">
        <v>148</v>
      </c>
    </row>
    <row r="17" spans="1:4" x14ac:dyDescent="0.45">
      <c r="A17" t="s">
        <v>19</v>
      </c>
      <c r="B17" t="s">
        <v>42</v>
      </c>
      <c r="C17" t="s">
        <v>128</v>
      </c>
      <c r="D17" s="2" t="s">
        <v>149</v>
      </c>
    </row>
    <row r="18" spans="1:4" x14ac:dyDescent="0.45">
      <c r="A18" t="s">
        <v>20</v>
      </c>
      <c r="B18" t="s">
        <v>43</v>
      </c>
      <c r="C18" t="s">
        <v>128</v>
      </c>
      <c r="D18" s="2" t="s">
        <v>150</v>
      </c>
    </row>
    <row r="19" spans="1:4" x14ac:dyDescent="0.45">
      <c r="A19" t="s">
        <v>20</v>
      </c>
      <c r="B19" t="s">
        <v>44</v>
      </c>
      <c r="C19" t="s">
        <v>129</v>
      </c>
      <c r="D19" s="2" t="s">
        <v>151</v>
      </c>
    </row>
    <row r="20" spans="1:4" x14ac:dyDescent="0.45">
      <c r="A20" t="s">
        <v>20</v>
      </c>
      <c r="B20" t="s">
        <v>45</v>
      </c>
      <c r="C20" t="s">
        <v>131</v>
      </c>
      <c r="D20" s="2" t="s">
        <v>152</v>
      </c>
    </row>
    <row r="21" spans="1:4" x14ac:dyDescent="0.45">
      <c r="A21" t="s">
        <v>20</v>
      </c>
      <c r="B21" t="s">
        <v>46</v>
      </c>
      <c r="C21" t="s">
        <v>131</v>
      </c>
      <c r="D21" s="2" t="s">
        <v>153</v>
      </c>
    </row>
    <row r="22" spans="1:4" x14ac:dyDescent="0.45">
      <c r="A22" t="s">
        <v>20</v>
      </c>
      <c r="B22" t="s">
        <v>47</v>
      </c>
      <c r="C22" t="s">
        <v>132</v>
      </c>
      <c r="D22" s="2" t="s">
        <v>154</v>
      </c>
    </row>
    <row r="23" spans="1:4" ht="28.5" x14ac:dyDescent="0.45">
      <c r="A23" t="s">
        <v>20</v>
      </c>
      <c r="B23" t="s">
        <v>48</v>
      </c>
      <c r="C23" t="s">
        <v>132</v>
      </c>
      <c r="D23" s="2" t="s">
        <v>155</v>
      </c>
    </row>
    <row r="24" spans="1:4" x14ac:dyDescent="0.45">
      <c r="A24" t="s">
        <v>20</v>
      </c>
      <c r="B24" t="s">
        <v>49</v>
      </c>
      <c r="C24" t="s">
        <v>133</v>
      </c>
      <c r="D24" s="2" t="s">
        <v>156</v>
      </c>
    </row>
    <row r="25" spans="1:4" x14ac:dyDescent="0.45">
      <c r="A25" t="s">
        <v>20</v>
      </c>
      <c r="B25" t="s">
        <v>50</v>
      </c>
      <c r="C25" t="s">
        <v>133</v>
      </c>
      <c r="D25" s="2" t="s">
        <v>157</v>
      </c>
    </row>
    <row r="26" spans="1:4" x14ac:dyDescent="0.45">
      <c r="A26" t="s">
        <v>20</v>
      </c>
      <c r="B26" t="s">
        <v>51</v>
      </c>
      <c r="C26" t="s">
        <v>132</v>
      </c>
      <c r="D26" s="2" t="s">
        <v>158</v>
      </c>
    </row>
    <row r="27" spans="1:4" x14ac:dyDescent="0.45">
      <c r="A27" t="s">
        <v>20</v>
      </c>
      <c r="B27" t="s">
        <v>52</v>
      </c>
      <c r="C27" t="s">
        <v>131</v>
      </c>
      <c r="D27" s="2" t="s">
        <v>159</v>
      </c>
    </row>
    <row r="28" spans="1:4" x14ac:dyDescent="0.45">
      <c r="A28" t="s">
        <v>20</v>
      </c>
      <c r="B28" t="s">
        <v>53</v>
      </c>
      <c r="C28" t="s">
        <v>132</v>
      </c>
      <c r="D28" s="2" t="s">
        <v>160</v>
      </c>
    </row>
    <row r="29" spans="1:4" x14ac:dyDescent="0.45">
      <c r="A29" t="s">
        <v>20</v>
      </c>
      <c r="B29" t="s">
        <v>54</v>
      </c>
      <c r="C29" t="s">
        <v>128</v>
      </c>
      <c r="D29" s="2" t="s">
        <v>161</v>
      </c>
    </row>
    <row r="30" spans="1:4" x14ac:dyDescent="0.45">
      <c r="A30" t="s">
        <v>20</v>
      </c>
      <c r="B30" t="s">
        <v>55</v>
      </c>
      <c r="C30" t="s">
        <v>130</v>
      </c>
      <c r="D30" s="2" t="s">
        <v>162</v>
      </c>
    </row>
    <row r="31" spans="1:4" x14ac:dyDescent="0.45">
      <c r="A31" t="s">
        <v>21</v>
      </c>
      <c r="B31" t="s">
        <v>56</v>
      </c>
      <c r="C31" t="s">
        <v>129</v>
      </c>
      <c r="D31" s="2" t="s">
        <v>163</v>
      </c>
    </row>
    <row r="32" spans="1:4" x14ac:dyDescent="0.45">
      <c r="A32" t="s">
        <v>21</v>
      </c>
      <c r="B32" t="s">
        <v>57</v>
      </c>
      <c r="C32" t="s">
        <v>131</v>
      </c>
      <c r="D32" s="2" t="s">
        <v>164</v>
      </c>
    </row>
    <row r="33" spans="1:4" x14ac:dyDescent="0.45">
      <c r="A33" t="s">
        <v>21</v>
      </c>
      <c r="B33" t="s">
        <v>58</v>
      </c>
      <c r="C33" t="s">
        <v>132</v>
      </c>
      <c r="D33" s="2" t="s">
        <v>165</v>
      </c>
    </row>
    <row r="34" spans="1:4" ht="28.5" x14ac:dyDescent="0.45">
      <c r="A34" t="s">
        <v>21</v>
      </c>
      <c r="B34" t="s">
        <v>59</v>
      </c>
      <c r="C34" t="s">
        <v>129</v>
      </c>
      <c r="D34" s="2" t="s">
        <v>166</v>
      </c>
    </row>
    <row r="35" spans="1:4" x14ac:dyDescent="0.45">
      <c r="A35" t="s">
        <v>21</v>
      </c>
      <c r="B35" t="s">
        <v>60</v>
      </c>
      <c r="C35" t="s">
        <v>132</v>
      </c>
      <c r="D35" s="2" t="s">
        <v>167</v>
      </c>
    </row>
    <row r="36" spans="1:4" x14ac:dyDescent="0.45">
      <c r="A36" t="s">
        <v>22</v>
      </c>
      <c r="B36" t="s">
        <v>61</v>
      </c>
      <c r="C36" t="s">
        <v>128</v>
      </c>
      <c r="D36" s="2" t="s">
        <v>168</v>
      </c>
    </row>
    <row r="37" spans="1:4" x14ac:dyDescent="0.45">
      <c r="A37" t="s">
        <v>22</v>
      </c>
      <c r="B37" t="s">
        <v>62</v>
      </c>
      <c r="C37" t="s">
        <v>131</v>
      </c>
      <c r="D37" s="2" t="s">
        <v>169</v>
      </c>
    </row>
    <row r="38" spans="1:4" x14ac:dyDescent="0.45">
      <c r="A38" t="s">
        <v>22</v>
      </c>
      <c r="B38" t="s">
        <v>63</v>
      </c>
      <c r="C38" t="s">
        <v>133</v>
      </c>
      <c r="D38" s="2" t="s">
        <v>170</v>
      </c>
    </row>
    <row r="39" spans="1:4" x14ac:dyDescent="0.45">
      <c r="A39" t="s">
        <v>22</v>
      </c>
      <c r="B39" t="s">
        <v>64</v>
      </c>
      <c r="C39" t="s">
        <v>132</v>
      </c>
      <c r="D39" s="2" t="s">
        <v>171</v>
      </c>
    </row>
    <row r="40" spans="1:4" x14ac:dyDescent="0.45">
      <c r="A40" t="s">
        <v>23</v>
      </c>
      <c r="B40" t="s">
        <v>65</v>
      </c>
      <c r="C40" t="s">
        <v>128</v>
      </c>
      <c r="D40" s="2" t="s">
        <v>172</v>
      </c>
    </row>
    <row r="41" spans="1:4" x14ac:dyDescent="0.45">
      <c r="A41" t="s">
        <v>23</v>
      </c>
      <c r="B41" t="s">
        <v>17</v>
      </c>
      <c r="C41" t="s">
        <v>129</v>
      </c>
      <c r="D41" s="2" t="s">
        <v>173</v>
      </c>
    </row>
    <row r="42" spans="1:4" x14ac:dyDescent="0.45">
      <c r="A42" t="s">
        <v>23</v>
      </c>
      <c r="B42" t="s">
        <v>66</v>
      </c>
      <c r="C42" t="s">
        <v>131</v>
      </c>
      <c r="D42" s="2" t="s">
        <v>174</v>
      </c>
    </row>
    <row r="43" spans="1:4" x14ac:dyDescent="0.45">
      <c r="A43" t="s">
        <v>23</v>
      </c>
      <c r="B43" t="s">
        <v>67</v>
      </c>
      <c r="C43" t="s">
        <v>129</v>
      </c>
      <c r="D43" s="2" t="s">
        <v>175</v>
      </c>
    </row>
    <row r="44" spans="1:4" x14ac:dyDescent="0.45">
      <c r="A44" t="s">
        <v>23</v>
      </c>
      <c r="B44" t="s">
        <v>68</v>
      </c>
      <c r="C44" t="s">
        <v>132</v>
      </c>
      <c r="D44" s="2" t="s">
        <v>176</v>
      </c>
    </row>
    <row r="45" spans="1:4" x14ac:dyDescent="0.45">
      <c r="A45" t="s">
        <v>23</v>
      </c>
      <c r="B45" t="s">
        <v>69</v>
      </c>
      <c r="C45" t="s">
        <v>130</v>
      </c>
      <c r="D45" s="2" t="s">
        <v>177</v>
      </c>
    </row>
    <row r="46" spans="1:4" x14ac:dyDescent="0.45">
      <c r="A46" t="s">
        <v>23</v>
      </c>
      <c r="B46" t="s">
        <v>70</v>
      </c>
      <c r="C46" t="s">
        <v>129</v>
      </c>
      <c r="D46" s="2" t="s">
        <v>178</v>
      </c>
    </row>
    <row r="47" spans="1:4" x14ac:dyDescent="0.45">
      <c r="A47" t="s">
        <v>23</v>
      </c>
      <c r="B47" t="s">
        <v>71</v>
      </c>
      <c r="C47" t="s">
        <v>133</v>
      </c>
      <c r="D47" s="2" t="s">
        <v>179</v>
      </c>
    </row>
    <row r="48" spans="1:4" x14ac:dyDescent="0.45">
      <c r="A48" t="s">
        <v>23</v>
      </c>
      <c r="B48" t="s">
        <v>72</v>
      </c>
      <c r="C48" t="s">
        <v>133</v>
      </c>
      <c r="D48" s="2" t="s">
        <v>180</v>
      </c>
    </row>
    <row r="49" spans="1:4" x14ac:dyDescent="0.45">
      <c r="A49" t="s">
        <v>24</v>
      </c>
      <c r="B49" t="s">
        <v>73</v>
      </c>
      <c r="C49" t="s">
        <v>128</v>
      </c>
      <c r="D49" s="2" t="s">
        <v>181</v>
      </c>
    </row>
    <row r="50" spans="1:4" x14ac:dyDescent="0.45">
      <c r="A50" t="s">
        <v>24</v>
      </c>
      <c r="B50" t="s">
        <v>56</v>
      </c>
      <c r="C50" t="s">
        <v>129</v>
      </c>
      <c r="D50" s="2" t="s">
        <v>182</v>
      </c>
    </row>
    <row r="51" spans="1:4" x14ac:dyDescent="0.45">
      <c r="A51" t="s">
        <v>24</v>
      </c>
      <c r="B51" t="s">
        <v>74</v>
      </c>
      <c r="C51" t="s">
        <v>133</v>
      </c>
      <c r="D51" s="2" t="s">
        <v>183</v>
      </c>
    </row>
    <row r="52" spans="1:4" x14ac:dyDescent="0.45">
      <c r="A52" t="s">
        <v>24</v>
      </c>
      <c r="B52" t="s">
        <v>75</v>
      </c>
      <c r="C52" t="s">
        <v>131</v>
      </c>
      <c r="D52" s="2" t="s">
        <v>184</v>
      </c>
    </row>
    <row r="53" spans="1:4" ht="28.5" x14ac:dyDescent="0.45">
      <c r="A53" t="s">
        <v>24</v>
      </c>
      <c r="B53" t="s">
        <v>76</v>
      </c>
      <c r="C53" t="s">
        <v>132</v>
      </c>
      <c r="D53" s="2" t="s">
        <v>185</v>
      </c>
    </row>
    <row r="54" spans="1:4" x14ac:dyDescent="0.45">
      <c r="A54" t="s">
        <v>24</v>
      </c>
      <c r="B54" t="s">
        <v>77</v>
      </c>
      <c r="C54" t="s">
        <v>133</v>
      </c>
      <c r="D54" s="2" t="s">
        <v>186</v>
      </c>
    </row>
    <row r="55" spans="1:4" x14ac:dyDescent="0.45">
      <c r="A55" t="s">
        <v>24</v>
      </c>
      <c r="B55" t="s">
        <v>78</v>
      </c>
      <c r="C55" t="s">
        <v>132</v>
      </c>
      <c r="D55" s="2" t="s">
        <v>187</v>
      </c>
    </row>
    <row r="56" spans="1:4" x14ac:dyDescent="0.45">
      <c r="A56" t="s">
        <v>24</v>
      </c>
      <c r="B56" t="s">
        <v>79</v>
      </c>
      <c r="C56" t="s">
        <v>132</v>
      </c>
      <c r="D56" s="2" t="s">
        <v>188</v>
      </c>
    </row>
    <row r="57" spans="1:4" x14ac:dyDescent="0.45">
      <c r="A57" t="s">
        <v>24</v>
      </c>
      <c r="B57" t="s">
        <v>80</v>
      </c>
      <c r="C57" t="s">
        <v>133</v>
      </c>
      <c r="D57" s="2" t="s">
        <v>189</v>
      </c>
    </row>
    <row r="58" spans="1:4" x14ac:dyDescent="0.45">
      <c r="A58" t="s">
        <v>24</v>
      </c>
      <c r="B58" t="s">
        <v>81</v>
      </c>
      <c r="C58" t="s">
        <v>128</v>
      </c>
      <c r="D58" s="2" t="s">
        <v>190</v>
      </c>
    </row>
    <row r="59" spans="1:4" ht="42.75" x14ac:dyDescent="0.45">
      <c r="A59" t="s">
        <v>24</v>
      </c>
      <c r="B59" t="s">
        <v>82</v>
      </c>
      <c r="C59" t="s">
        <v>128</v>
      </c>
      <c r="D59" s="2" t="s">
        <v>191</v>
      </c>
    </row>
    <row r="60" spans="1:4" ht="42.75" x14ac:dyDescent="0.45">
      <c r="A60" t="s">
        <v>24</v>
      </c>
      <c r="B60" t="s">
        <v>83</v>
      </c>
      <c r="C60" t="s">
        <v>129</v>
      </c>
      <c r="D60" s="2" t="s">
        <v>192</v>
      </c>
    </row>
    <row r="61" spans="1:4" x14ac:dyDescent="0.45">
      <c r="A61" t="s">
        <v>25</v>
      </c>
      <c r="B61" t="s">
        <v>84</v>
      </c>
      <c r="C61" t="s">
        <v>128</v>
      </c>
      <c r="D61" s="2" t="s">
        <v>193</v>
      </c>
    </row>
    <row r="62" spans="1:4" x14ac:dyDescent="0.45">
      <c r="A62" t="s">
        <v>25</v>
      </c>
      <c r="B62" t="s">
        <v>85</v>
      </c>
      <c r="C62" t="s">
        <v>133</v>
      </c>
      <c r="D62" s="2" t="s">
        <v>194</v>
      </c>
    </row>
    <row r="63" spans="1:4" x14ac:dyDescent="0.45">
      <c r="A63" t="s">
        <v>25</v>
      </c>
      <c r="B63" t="s">
        <v>86</v>
      </c>
      <c r="C63" t="s">
        <v>133</v>
      </c>
      <c r="D63" s="2" t="s">
        <v>195</v>
      </c>
    </row>
    <row r="64" spans="1:4" x14ac:dyDescent="0.45">
      <c r="A64" t="s">
        <v>25</v>
      </c>
      <c r="B64" t="s">
        <v>87</v>
      </c>
      <c r="C64" t="s">
        <v>132</v>
      </c>
      <c r="D64" s="2" t="s">
        <v>196</v>
      </c>
    </row>
    <row r="65" spans="1:4" ht="42.75" x14ac:dyDescent="0.45">
      <c r="A65" t="s">
        <v>25</v>
      </c>
      <c r="B65" t="s">
        <v>88</v>
      </c>
      <c r="C65" t="s">
        <v>134</v>
      </c>
      <c r="D65" s="2" t="s">
        <v>197</v>
      </c>
    </row>
    <row r="66" spans="1:4" ht="57" x14ac:dyDescent="0.45">
      <c r="A66" t="s">
        <v>25</v>
      </c>
      <c r="B66" t="s">
        <v>89</v>
      </c>
      <c r="C66" t="s">
        <v>130</v>
      </c>
      <c r="D66" s="2" t="s">
        <v>198</v>
      </c>
    </row>
    <row r="67" spans="1:4" ht="71.25" x14ac:dyDescent="0.45">
      <c r="A67" t="s">
        <v>25</v>
      </c>
      <c r="B67" t="s">
        <v>90</v>
      </c>
      <c r="C67" t="s">
        <v>128</v>
      </c>
      <c r="D67" s="2" t="s">
        <v>199</v>
      </c>
    </row>
    <row r="68" spans="1:4" x14ac:dyDescent="0.45">
      <c r="A68" t="s">
        <v>25</v>
      </c>
      <c r="B68" t="s">
        <v>91</v>
      </c>
      <c r="C68" t="s">
        <v>132</v>
      </c>
      <c r="D68" s="2" t="s">
        <v>200</v>
      </c>
    </row>
    <row r="69" spans="1:4" x14ac:dyDescent="0.45">
      <c r="A69" t="s">
        <v>25</v>
      </c>
      <c r="B69" t="s">
        <v>92</v>
      </c>
      <c r="C69" t="s">
        <v>128</v>
      </c>
      <c r="D69" s="2" t="s">
        <v>201</v>
      </c>
    </row>
    <row r="70" spans="1:4" ht="28.5" x14ac:dyDescent="0.45">
      <c r="A70" t="s">
        <v>25</v>
      </c>
      <c r="B70" t="s">
        <v>93</v>
      </c>
      <c r="C70" t="s">
        <v>132</v>
      </c>
      <c r="D70" s="2" t="s">
        <v>202</v>
      </c>
    </row>
    <row r="71" spans="1:4" x14ac:dyDescent="0.45">
      <c r="A71" t="s">
        <v>25</v>
      </c>
      <c r="B71" t="s">
        <v>94</v>
      </c>
      <c r="C71" t="s">
        <v>131</v>
      </c>
      <c r="D71" s="2" t="s">
        <v>203</v>
      </c>
    </row>
    <row r="72" spans="1:4" x14ac:dyDescent="0.45">
      <c r="A72" t="s">
        <v>25</v>
      </c>
      <c r="B72" t="s">
        <v>95</v>
      </c>
      <c r="C72" t="s">
        <v>134</v>
      </c>
      <c r="D72" s="2" t="s">
        <v>204</v>
      </c>
    </row>
    <row r="73" spans="1:4" x14ac:dyDescent="0.45">
      <c r="A73" t="s">
        <v>25</v>
      </c>
      <c r="B73" t="s">
        <v>96</v>
      </c>
      <c r="C73" t="s">
        <v>132</v>
      </c>
      <c r="D73" s="2" t="s">
        <v>205</v>
      </c>
    </row>
    <row r="74" spans="1:4" x14ac:dyDescent="0.45">
      <c r="A74" t="s">
        <v>25</v>
      </c>
      <c r="B74" t="s">
        <v>97</v>
      </c>
      <c r="C74" t="s">
        <v>130</v>
      </c>
      <c r="D74" s="2" t="s">
        <v>206</v>
      </c>
    </row>
    <row r="75" spans="1:4" x14ac:dyDescent="0.45">
      <c r="A75" t="s">
        <v>25</v>
      </c>
      <c r="B75" t="s">
        <v>98</v>
      </c>
      <c r="C75" t="s">
        <v>132</v>
      </c>
      <c r="D75" s="2" t="s">
        <v>207</v>
      </c>
    </row>
    <row r="76" spans="1:4" x14ac:dyDescent="0.45">
      <c r="A76" t="s">
        <v>25</v>
      </c>
      <c r="B76" t="s">
        <v>99</v>
      </c>
      <c r="C76" t="s">
        <v>132</v>
      </c>
      <c r="D76" s="2" t="s">
        <v>208</v>
      </c>
    </row>
    <row r="77" spans="1:4" x14ac:dyDescent="0.45">
      <c r="A77" t="s">
        <v>25</v>
      </c>
      <c r="B77" t="s">
        <v>100</v>
      </c>
      <c r="C77" t="s">
        <v>133</v>
      </c>
      <c r="D77" s="2" t="s">
        <v>209</v>
      </c>
    </row>
    <row r="78" spans="1:4" x14ac:dyDescent="0.45">
      <c r="A78" t="s">
        <v>25</v>
      </c>
      <c r="B78" t="s">
        <v>101</v>
      </c>
      <c r="C78" t="s">
        <v>132</v>
      </c>
      <c r="D78" s="2" t="s">
        <v>210</v>
      </c>
    </row>
    <row r="79" spans="1:4" ht="28.5" x14ac:dyDescent="0.45">
      <c r="A79" t="s">
        <v>25</v>
      </c>
      <c r="B79" t="s">
        <v>102</v>
      </c>
      <c r="C79" t="s">
        <v>128</v>
      </c>
      <c r="D79" s="2" t="s">
        <v>211</v>
      </c>
    </row>
    <row r="80" spans="1:4" x14ac:dyDescent="0.45">
      <c r="A80" t="s">
        <v>25</v>
      </c>
      <c r="B80" t="s">
        <v>103</v>
      </c>
      <c r="C80" t="s">
        <v>132</v>
      </c>
      <c r="D80" s="2" t="s">
        <v>212</v>
      </c>
    </row>
    <row r="81" spans="1:4" x14ac:dyDescent="0.45">
      <c r="A81" t="s">
        <v>25</v>
      </c>
      <c r="B81" t="s">
        <v>104</v>
      </c>
      <c r="C81" t="s">
        <v>132</v>
      </c>
      <c r="D81" s="2" t="s">
        <v>213</v>
      </c>
    </row>
    <row r="82" spans="1:4" x14ac:dyDescent="0.45">
      <c r="A82" t="s">
        <v>25</v>
      </c>
      <c r="B82" t="s">
        <v>105</v>
      </c>
      <c r="C82" t="s">
        <v>132</v>
      </c>
      <c r="D82" s="2" t="s">
        <v>214</v>
      </c>
    </row>
    <row r="83" spans="1:4" x14ac:dyDescent="0.45">
      <c r="A83" t="s">
        <v>25</v>
      </c>
      <c r="B83" t="s">
        <v>106</v>
      </c>
      <c r="C83" t="s">
        <v>130</v>
      </c>
      <c r="D83" s="2" t="s">
        <v>215</v>
      </c>
    </row>
    <row r="84" spans="1:4" ht="28.5" x14ac:dyDescent="0.45">
      <c r="A84" t="s">
        <v>26</v>
      </c>
      <c r="B84" t="s">
        <v>107</v>
      </c>
      <c r="C84" t="s">
        <v>128</v>
      </c>
      <c r="D84" s="2" t="s">
        <v>216</v>
      </c>
    </row>
    <row r="85" spans="1:4" x14ac:dyDescent="0.45">
      <c r="A85" t="s">
        <v>26</v>
      </c>
      <c r="B85" t="s">
        <v>108</v>
      </c>
      <c r="C85" t="s">
        <v>132</v>
      </c>
      <c r="D85" s="2" t="s">
        <v>217</v>
      </c>
    </row>
    <row r="86" spans="1:4" x14ac:dyDescent="0.45">
      <c r="A86" t="s">
        <v>26</v>
      </c>
      <c r="B86" t="s">
        <v>109</v>
      </c>
      <c r="C86" t="s">
        <v>132</v>
      </c>
      <c r="D86" s="2" t="s">
        <v>218</v>
      </c>
    </row>
    <row r="87" spans="1:4" x14ac:dyDescent="0.45">
      <c r="A87" t="s">
        <v>26</v>
      </c>
      <c r="B87" t="s">
        <v>110</v>
      </c>
      <c r="C87" t="s">
        <v>132</v>
      </c>
      <c r="D87" s="2" t="s">
        <v>219</v>
      </c>
    </row>
    <row r="88" spans="1:4" x14ac:dyDescent="0.45">
      <c r="A88" t="s">
        <v>26</v>
      </c>
      <c r="B88" t="s">
        <v>111</v>
      </c>
      <c r="C88" t="s">
        <v>131</v>
      </c>
      <c r="D88" s="2" t="s">
        <v>220</v>
      </c>
    </row>
    <row r="89" spans="1:4" x14ac:dyDescent="0.45">
      <c r="A89" t="s">
        <v>26</v>
      </c>
      <c r="B89" t="s">
        <v>112</v>
      </c>
      <c r="C89" t="s">
        <v>132</v>
      </c>
      <c r="D89" s="2" t="s">
        <v>221</v>
      </c>
    </row>
    <row r="90" spans="1:4" x14ac:dyDescent="0.45">
      <c r="A90" t="s">
        <v>26</v>
      </c>
      <c r="B90" t="s">
        <v>113</v>
      </c>
      <c r="C90" t="s">
        <v>132</v>
      </c>
      <c r="D90" s="2" t="s">
        <v>222</v>
      </c>
    </row>
    <row r="91" spans="1:4" x14ac:dyDescent="0.45">
      <c r="A91" t="s">
        <v>26</v>
      </c>
      <c r="B91" t="s">
        <v>114</v>
      </c>
      <c r="C91" t="s">
        <v>132</v>
      </c>
      <c r="D91" s="2" t="s">
        <v>223</v>
      </c>
    </row>
    <row r="92" spans="1:4" x14ac:dyDescent="0.45">
      <c r="A92" t="s">
        <v>26</v>
      </c>
      <c r="B92" t="s">
        <v>115</v>
      </c>
      <c r="C92" t="s">
        <v>130</v>
      </c>
      <c r="D92" s="2" t="s">
        <v>224</v>
      </c>
    </row>
    <row r="93" spans="1:4" ht="28.5" x14ac:dyDescent="0.45">
      <c r="A93" t="s">
        <v>26</v>
      </c>
      <c r="B93" t="s">
        <v>116</v>
      </c>
      <c r="C93" t="s">
        <v>130</v>
      </c>
      <c r="D93" s="2" t="s">
        <v>225</v>
      </c>
    </row>
    <row r="94" spans="1:4" x14ac:dyDescent="0.45">
      <c r="A94" t="s">
        <v>26</v>
      </c>
      <c r="B94" t="s">
        <v>117</v>
      </c>
      <c r="C94" t="s">
        <v>130</v>
      </c>
      <c r="D94" s="2" t="s">
        <v>226</v>
      </c>
    </row>
    <row r="95" spans="1:4" x14ac:dyDescent="0.45">
      <c r="A95" t="s">
        <v>26</v>
      </c>
      <c r="B95" t="s">
        <v>118</v>
      </c>
      <c r="C95" t="s">
        <v>131</v>
      </c>
      <c r="D95" s="2" t="s">
        <v>227</v>
      </c>
    </row>
    <row r="96" spans="1:4" x14ac:dyDescent="0.45">
      <c r="A96" t="s">
        <v>27</v>
      </c>
      <c r="B96" t="s">
        <v>119</v>
      </c>
      <c r="C96" t="s">
        <v>130</v>
      </c>
      <c r="D96" s="2" t="s">
        <v>228</v>
      </c>
    </row>
    <row r="97" spans="1:4" x14ac:dyDescent="0.45">
      <c r="A97" t="s">
        <v>27</v>
      </c>
      <c r="B97" t="s">
        <v>120</v>
      </c>
      <c r="C97" t="s">
        <v>131</v>
      </c>
      <c r="D97" s="2" t="s">
        <v>229</v>
      </c>
    </row>
    <row r="98" spans="1:4" x14ac:dyDescent="0.45">
      <c r="A98" t="s">
        <v>27</v>
      </c>
      <c r="B98" t="s">
        <v>121</v>
      </c>
      <c r="C98" t="s">
        <v>131</v>
      </c>
      <c r="D98" s="2" t="s">
        <v>230</v>
      </c>
    </row>
    <row r="99" spans="1:4" x14ac:dyDescent="0.45">
      <c r="A99" t="s">
        <v>27</v>
      </c>
      <c r="B99" t="s">
        <v>122</v>
      </c>
      <c r="C99" t="s">
        <v>133</v>
      </c>
      <c r="D99" s="2" t="s">
        <v>231</v>
      </c>
    </row>
    <row r="100" spans="1:4" x14ac:dyDescent="0.45">
      <c r="A100" t="s">
        <v>27</v>
      </c>
      <c r="B100" t="s">
        <v>123</v>
      </c>
      <c r="C100" t="s">
        <v>132</v>
      </c>
      <c r="D100" s="2" t="s">
        <v>232</v>
      </c>
    </row>
    <row r="101" spans="1:4" x14ac:dyDescent="0.45">
      <c r="A101" t="s">
        <v>27</v>
      </c>
      <c r="B101" t="s">
        <v>124</v>
      </c>
      <c r="C101" t="s">
        <v>133</v>
      </c>
      <c r="D101" s="2" t="s">
        <v>233</v>
      </c>
    </row>
    <row r="102" spans="1:4" x14ac:dyDescent="0.45">
      <c r="A102" t="s">
        <v>27</v>
      </c>
      <c r="B102" t="s">
        <v>125</v>
      </c>
      <c r="C102" t="s">
        <v>131</v>
      </c>
      <c r="D102" s="2" t="s">
        <v>234</v>
      </c>
    </row>
    <row r="103" spans="1:4" x14ac:dyDescent="0.45">
      <c r="A103" t="s">
        <v>27</v>
      </c>
      <c r="B103" t="s">
        <v>126</v>
      </c>
      <c r="C103" t="s">
        <v>132</v>
      </c>
      <c r="D103" s="2" t="s">
        <v>235</v>
      </c>
    </row>
    <row r="104" spans="1:4" x14ac:dyDescent="0.45">
      <c r="A104" t="s">
        <v>27</v>
      </c>
      <c r="B104" t="s">
        <v>127</v>
      </c>
      <c r="C104" t="s">
        <v>133</v>
      </c>
      <c r="D104" s="2" t="s">
        <v>236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1"/>
  <sheetViews>
    <sheetView workbookViewId="0"/>
  </sheetViews>
  <sheetFormatPr defaultRowHeight="14.25" x14ac:dyDescent="0.45"/>
  <sheetData>
    <row r="1" spans="1:11" x14ac:dyDescent="0.45">
      <c r="A1" t="s">
        <v>238</v>
      </c>
      <c r="B1" t="s">
        <v>238</v>
      </c>
      <c r="C1" t="s">
        <v>238</v>
      </c>
      <c r="D1" t="s">
        <v>238</v>
      </c>
      <c r="E1" t="s">
        <v>238</v>
      </c>
      <c r="F1" t="s">
        <v>238</v>
      </c>
      <c r="G1" t="s">
        <v>238</v>
      </c>
      <c r="H1" t="s">
        <v>238</v>
      </c>
      <c r="I1" t="s">
        <v>238</v>
      </c>
      <c r="J1" t="s">
        <v>238</v>
      </c>
      <c r="K1" t="s">
        <v>238</v>
      </c>
    </row>
    <row r="2" spans="1:11" x14ac:dyDescent="0.45">
      <c r="A2" t="s">
        <v>239</v>
      </c>
      <c r="B2" t="s">
        <v>254</v>
      </c>
      <c r="C2" t="s">
        <v>256</v>
      </c>
      <c r="D2" t="s">
        <v>275</v>
      </c>
      <c r="E2" t="s">
        <v>288</v>
      </c>
      <c r="F2" t="s">
        <v>290</v>
      </c>
      <c r="G2" t="s">
        <v>297</v>
      </c>
      <c r="H2" t="s">
        <v>301</v>
      </c>
      <c r="I2" t="s">
        <v>303</v>
      </c>
      <c r="K2" t="s">
        <v>311</v>
      </c>
    </row>
    <row r="3" spans="1:11" x14ac:dyDescent="0.45">
      <c r="A3" t="s">
        <v>240</v>
      </c>
      <c r="B3" t="s">
        <v>255</v>
      </c>
      <c r="C3" t="s">
        <v>257</v>
      </c>
      <c r="D3" t="s">
        <v>276</v>
      </c>
      <c r="E3" t="s">
        <v>289</v>
      </c>
      <c r="F3" t="s">
        <v>291</v>
      </c>
      <c r="G3" t="s">
        <v>298</v>
      </c>
      <c r="H3" t="s">
        <v>302</v>
      </c>
      <c r="I3" t="s">
        <v>304</v>
      </c>
      <c r="J3" t="s">
        <v>256</v>
      </c>
      <c r="K3" t="s">
        <v>312</v>
      </c>
    </row>
    <row r="4" spans="1:11" x14ac:dyDescent="0.45">
      <c r="A4" t="s">
        <v>241</v>
      </c>
      <c r="C4" t="s">
        <v>258</v>
      </c>
      <c r="D4" t="s">
        <v>277</v>
      </c>
      <c r="F4" t="s">
        <v>292</v>
      </c>
      <c r="G4" t="s">
        <v>299</v>
      </c>
      <c r="I4" t="s">
        <v>305</v>
      </c>
      <c r="J4" t="s">
        <v>257</v>
      </c>
    </row>
    <row r="5" spans="1:11" x14ac:dyDescent="0.45">
      <c r="A5" t="s">
        <v>242</v>
      </c>
      <c r="C5" t="s">
        <v>259</v>
      </c>
      <c r="D5" t="s">
        <v>278</v>
      </c>
      <c r="F5" t="s">
        <v>293</v>
      </c>
      <c r="G5" t="s">
        <v>300</v>
      </c>
      <c r="I5" t="s">
        <v>306</v>
      </c>
      <c r="J5" t="s">
        <v>258</v>
      </c>
    </row>
    <row r="6" spans="1:11" x14ac:dyDescent="0.45">
      <c r="A6" t="s">
        <v>243</v>
      </c>
      <c r="C6" t="s">
        <v>260</v>
      </c>
      <c r="D6" t="s">
        <v>279</v>
      </c>
      <c r="F6" t="s">
        <v>294</v>
      </c>
      <c r="I6" t="s">
        <v>307</v>
      </c>
      <c r="J6" t="s">
        <v>259</v>
      </c>
    </row>
    <row r="7" spans="1:11" x14ac:dyDescent="0.45">
      <c r="A7" t="s">
        <v>244</v>
      </c>
      <c r="C7" t="s">
        <v>261</v>
      </c>
      <c r="D7" t="s">
        <v>280</v>
      </c>
      <c r="F7" t="s">
        <v>295</v>
      </c>
      <c r="I7" t="s">
        <v>308</v>
      </c>
      <c r="J7" t="s">
        <v>260</v>
      </c>
    </row>
    <row r="8" spans="1:11" x14ac:dyDescent="0.45">
      <c r="A8" t="s">
        <v>245</v>
      </c>
      <c r="C8" t="s">
        <v>262</v>
      </c>
      <c r="D8" t="s">
        <v>281</v>
      </c>
      <c r="F8" t="s">
        <v>296</v>
      </c>
      <c r="I8" t="s">
        <v>309</v>
      </c>
      <c r="J8" t="s">
        <v>261</v>
      </c>
    </row>
    <row r="9" spans="1:11" x14ac:dyDescent="0.45">
      <c r="A9" t="s">
        <v>246</v>
      </c>
      <c r="C9" t="s">
        <v>263</v>
      </c>
      <c r="D9" t="s">
        <v>282</v>
      </c>
      <c r="F9" t="s">
        <v>274</v>
      </c>
      <c r="I9" t="s">
        <v>310</v>
      </c>
      <c r="J9" t="s">
        <v>262</v>
      </c>
    </row>
    <row r="10" spans="1:11" x14ac:dyDescent="0.45">
      <c r="A10" t="s">
        <v>247</v>
      </c>
      <c r="C10" t="s">
        <v>264</v>
      </c>
      <c r="D10" t="s">
        <v>283</v>
      </c>
      <c r="I10" t="s">
        <v>274</v>
      </c>
      <c r="J10" t="s">
        <v>263</v>
      </c>
    </row>
    <row r="11" spans="1:11" x14ac:dyDescent="0.45">
      <c r="A11" t="s">
        <v>248</v>
      </c>
      <c r="C11" t="s">
        <v>265</v>
      </c>
      <c r="D11" t="s">
        <v>284</v>
      </c>
      <c r="J11" t="s">
        <v>264</v>
      </c>
    </row>
    <row r="12" spans="1:11" x14ac:dyDescent="0.45">
      <c r="A12" t="s">
        <v>249</v>
      </c>
      <c r="C12" t="s">
        <v>266</v>
      </c>
      <c r="D12" t="s">
        <v>285</v>
      </c>
      <c r="J12" t="s">
        <v>265</v>
      </c>
    </row>
    <row r="13" spans="1:11" x14ac:dyDescent="0.45">
      <c r="A13" t="s">
        <v>250</v>
      </c>
      <c r="C13" t="s">
        <v>267</v>
      </c>
      <c r="D13" t="s">
        <v>286</v>
      </c>
      <c r="J13" t="s">
        <v>266</v>
      </c>
    </row>
    <row r="14" spans="1:11" x14ac:dyDescent="0.45">
      <c r="A14" t="s">
        <v>251</v>
      </c>
      <c r="C14" t="s">
        <v>268</v>
      </c>
      <c r="D14" t="s">
        <v>287</v>
      </c>
      <c r="J14" t="s">
        <v>267</v>
      </c>
    </row>
    <row r="15" spans="1:11" x14ac:dyDescent="0.45">
      <c r="A15" t="s">
        <v>252</v>
      </c>
      <c r="C15" t="s">
        <v>269</v>
      </c>
      <c r="D15" t="s">
        <v>274</v>
      </c>
      <c r="J15" t="s">
        <v>268</v>
      </c>
    </row>
    <row r="16" spans="1:11" x14ac:dyDescent="0.45">
      <c r="A16" t="s">
        <v>253</v>
      </c>
      <c r="C16" t="s">
        <v>270</v>
      </c>
      <c r="J16" t="s">
        <v>269</v>
      </c>
    </row>
    <row r="17" spans="3:10" x14ac:dyDescent="0.45">
      <c r="C17" t="s">
        <v>271</v>
      </c>
      <c r="J17" t="s">
        <v>270</v>
      </c>
    </row>
    <row r="18" spans="3:10" x14ac:dyDescent="0.45">
      <c r="C18" t="s">
        <v>272</v>
      </c>
      <c r="J18" t="s">
        <v>271</v>
      </c>
    </row>
    <row r="19" spans="3:10" x14ac:dyDescent="0.45">
      <c r="C19" t="s">
        <v>273</v>
      </c>
      <c r="J19" t="s">
        <v>272</v>
      </c>
    </row>
    <row r="20" spans="3:10" x14ac:dyDescent="0.45">
      <c r="C20" t="s">
        <v>274</v>
      </c>
      <c r="J20" t="s">
        <v>273</v>
      </c>
    </row>
    <row r="21" spans="3:10" x14ac:dyDescent="0.45">
      <c r="J21" t="s">
        <v>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
  <sheetViews>
    <sheetView workbookViewId="0">
      <pane xSplit="1" ySplit="3" topLeftCell="B4" activePane="bottomRight" state="frozen"/>
      <selection pane="topRight" activeCell="B1" sqref="B1"/>
      <selection pane="bottomLeft" activeCell="A4" sqref="A4"/>
      <selection pane="bottomRight" activeCell="N10" sqref="N10"/>
    </sheetView>
  </sheetViews>
  <sheetFormatPr defaultRowHeight="14.25" x14ac:dyDescent="0.45"/>
  <cols>
    <col min="1" max="1" width="19.73046875" style="4" customWidth="1"/>
    <col min="2" max="3" width="15.73046875" style="4" customWidth="1"/>
    <col min="4" max="4" width="27.73046875" style="4" customWidth="1"/>
    <col min="5" max="5" width="24.73046875" style="5" customWidth="1"/>
    <col min="6" max="6" width="27.73046875" style="5" customWidth="1"/>
    <col min="7" max="7" width="26.73046875" style="6" customWidth="1"/>
    <col min="8" max="8" width="22.73046875" style="4" customWidth="1"/>
    <col min="9" max="10" width="30.73046875" style="4" customWidth="1"/>
    <col min="11" max="11" width="15.73046875" style="5" customWidth="1"/>
    <col min="12" max="12" width="25.73046875" style="4" customWidth="1"/>
    <col min="13" max="13" width="26.73046875" style="6" customWidth="1"/>
    <col min="14" max="14" width="27.73046875" style="6" customWidth="1"/>
    <col min="15" max="15" width="30.73046875" style="4" customWidth="1"/>
  </cols>
  <sheetData>
    <row r="1" spans="1:15" ht="34.049999999999997" customHeight="1" x14ac:dyDescent="0.45">
      <c r="A1" s="2" t="s">
        <v>313</v>
      </c>
    </row>
    <row r="2" spans="1:15" x14ac:dyDescent="0.45">
      <c r="A2" s="3" t="s">
        <v>28</v>
      </c>
      <c r="B2" s="3" t="s">
        <v>29</v>
      </c>
      <c r="C2" s="3" t="s">
        <v>30</v>
      </c>
      <c r="D2" s="3" t="s">
        <v>31</v>
      </c>
      <c r="E2" s="3" t="s">
        <v>32</v>
      </c>
      <c r="F2" s="3" t="s">
        <v>33</v>
      </c>
      <c r="G2" s="3" t="s">
        <v>34</v>
      </c>
      <c r="H2" s="3" t="s">
        <v>35</v>
      </c>
      <c r="I2" s="3" t="s">
        <v>36</v>
      </c>
      <c r="J2" s="3" t="s">
        <v>37</v>
      </c>
      <c r="K2" s="3" t="s">
        <v>38</v>
      </c>
      <c r="L2" s="3" t="s">
        <v>39</v>
      </c>
      <c r="M2" s="3" t="s">
        <v>40</v>
      </c>
      <c r="N2" s="3" t="s">
        <v>41</v>
      </c>
      <c r="O2" s="3" t="s">
        <v>42</v>
      </c>
    </row>
    <row r="3" spans="1:15" ht="46.05" customHeight="1" x14ac:dyDescent="0.45">
      <c r="A3" s="7" t="s">
        <v>135</v>
      </c>
      <c r="B3" s="7" t="s">
        <v>136</v>
      </c>
      <c r="C3" s="7" t="s">
        <v>137</v>
      </c>
      <c r="D3" s="7" t="s">
        <v>138</v>
      </c>
      <c r="E3" s="7" t="s">
        <v>139</v>
      </c>
      <c r="F3" s="7" t="s">
        <v>140</v>
      </c>
      <c r="G3" s="7" t="s">
        <v>141</v>
      </c>
      <c r="H3" s="7" t="s">
        <v>142</v>
      </c>
      <c r="I3" s="7" t="s">
        <v>143</v>
      </c>
      <c r="J3" s="7" t="s">
        <v>144</v>
      </c>
      <c r="K3" s="7" t="s">
        <v>145</v>
      </c>
      <c r="L3" s="7" t="s">
        <v>146</v>
      </c>
      <c r="M3" s="7" t="s">
        <v>147</v>
      </c>
      <c r="N3" s="7" t="s">
        <v>148</v>
      </c>
      <c r="O3" s="7" t="s">
        <v>149</v>
      </c>
    </row>
    <row r="4" spans="1:15" x14ac:dyDescent="0.45">
      <c r="A4" s="4" t="s">
        <v>364</v>
      </c>
      <c r="B4" s="4" t="s">
        <v>239</v>
      </c>
      <c r="C4" s="4" t="s">
        <v>311</v>
      </c>
      <c r="D4" s="4" t="s">
        <v>366</v>
      </c>
      <c r="E4" s="8">
        <v>30500000</v>
      </c>
      <c r="F4" s="8">
        <v>29000000</v>
      </c>
      <c r="G4" s="6">
        <v>7.95</v>
      </c>
      <c r="H4" s="4" t="s">
        <v>254</v>
      </c>
      <c r="I4" s="4">
        <v>240</v>
      </c>
      <c r="J4" s="4">
        <v>198</v>
      </c>
      <c r="K4" s="8">
        <v>270000</v>
      </c>
      <c r="L4" s="4" t="s">
        <v>312</v>
      </c>
      <c r="M4" s="6">
        <v>0</v>
      </c>
      <c r="N4" s="6">
        <v>0</v>
      </c>
      <c r="O4" s="4" t="s">
        <v>370</v>
      </c>
    </row>
    <row r="5" spans="1:15" x14ac:dyDescent="0.45">
      <c r="A5" s="4" t="s">
        <v>365</v>
      </c>
      <c r="B5" s="4" t="s">
        <v>242</v>
      </c>
      <c r="C5" s="4" t="s">
        <v>311</v>
      </c>
      <c r="D5" s="4" t="s">
        <v>367</v>
      </c>
      <c r="E5" s="8">
        <v>6000000</v>
      </c>
      <c r="F5" s="8">
        <v>4200000</v>
      </c>
      <c r="G5" s="6">
        <v>9.4</v>
      </c>
      <c r="H5" s="4" t="s">
        <v>254</v>
      </c>
      <c r="I5" s="4">
        <v>240</v>
      </c>
      <c r="J5" s="4">
        <v>120</v>
      </c>
      <c r="K5" s="8">
        <v>57000</v>
      </c>
      <c r="L5" s="4" t="s">
        <v>312</v>
      </c>
      <c r="M5" s="6">
        <v>0</v>
      </c>
      <c r="N5" s="6">
        <v>0</v>
      </c>
      <c r="O5" s="4" t="s">
        <v>369</v>
      </c>
    </row>
    <row r="6" spans="1:15" x14ac:dyDescent="0.45">
      <c r="A6" s="4" t="s">
        <v>314</v>
      </c>
      <c r="B6" s="4" t="s">
        <v>245</v>
      </c>
      <c r="C6" s="4" t="s">
        <v>312</v>
      </c>
      <c r="D6" s="4" t="s">
        <v>315</v>
      </c>
      <c r="E6" s="8">
        <v>800000</v>
      </c>
      <c r="F6" s="8">
        <v>610000</v>
      </c>
      <c r="G6" s="6">
        <v>15.5</v>
      </c>
      <c r="H6" s="4" t="s">
        <v>255</v>
      </c>
      <c r="I6" s="4">
        <v>48</v>
      </c>
      <c r="J6" s="4">
        <v>39</v>
      </c>
      <c r="K6" s="8">
        <v>20100</v>
      </c>
      <c r="L6" s="4" t="s">
        <v>312</v>
      </c>
      <c r="M6" s="6">
        <v>4</v>
      </c>
      <c r="N6" s="6">
        <v>0</v>
      </c>
    </row>
    <row r="7" spans="1:15" x14ac:dyDescent="0.45">
      <c r="A7" s="4" t="s">
        <v>316</v>
      </c>
      <c r="B7" s="4" t="s">
        <v>251</v>
      </c>
      <c r="C7" s="4" t="s">
        <v>312</v>
      </c>
      <c r="D7" s="4" t="s">
        <v>315</v>
      </c>
      <c r="E7" s="8">
        <v>180000</v>
      </c>
      <c r="F7" s="8">
        <v>180000</v>
      </c>
      <c r="G7" s="6">
        <v>40.799999999999997</v>
      </c>
      <c r="H7" s="4" t="s">
        <v>255</v>
      </c>
      <c r="I7" s="4">
        <v>0</v>
      </c>
      <c r="J7" s="4">
        <v>0</v>
      </c>
      <c r="K7" s="8">
        <v>0</v>
      </c>
      <c r="L7" s="4" t="s">
        <v>312</v>
      </c>
      <c r="M7" s="6">
        <v>0</v>
      </c>
      <c r="N7" s="6">
        <v>5</v>
      </c>
    </row>
  </sheetData>
  <dataValidations count="2">
    <dataValidation type="list" allowBlank="1" showInputMessage="1" showErrorMessage="1" sqref="H4:H7" xr:uid="{6C9C85FD-5507-4E3D-90E1-B633C1CBD7F1}">
      <formula1>"Floating,Fixed"</formula1>
    </dataValidation>
    <dataValidation type="list" allowBlank="1" showInputMessage="1" showErrorMessage="1" sqref="L4:L7" xr:uid="{B6D95463-4392-4415-957D-77FDFD37778B}">
      <formula1>"TRUE,FALSE"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errorTitle="Pick from the list" error="This column only accepts one of the listed options. Anything else is not recognised by the engine." xr:uid="{00000000-0002-0000-0300-000000000000}">
          <x14:formula1>
            <xm:f>Lists!$A$2:$A$16</xm:f>
          </x14:formula1>
          <xm:sqref>B8:B401</xm:sqref>
        </x14:dataValidation>
        <x14:dataValidation type="list" allowBlank="1" showInputMessage="1" showErrorMessage="1" xr:uid="{00000000-0002-0000-0300-000001000000}">
          <x14:formula1>
            <xm:f>Lists!$K$2:$K$3</xm:f>
          </x14:formula1>
          <xm:sqref>C4:C401 L8:L401</xm:sqref>
        </x14:dataValidation>
        <x14:dataValidation type="list" allowBlank="1" showInputMessage="1" showErrorMessage="1" errorTitle="Pick from the list" error="This column only accepts one of the listed options. Anything else is not recognised by the engine." xr:uid="{00000000-0002-0000-0300-000002000000}">
          <x14:formula1>
            <xm:f>Lists!$B$2:$B$3</xm:f>
          </x14:formula1>
          <xm:sqref>H8:H401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pane xSplit="1" ySplit="3" topLeftCell="B4" activePane="bottomRight" state="frozen"/>
      <selection pane="topRight" activeCell="B1" sqref="B1"/>
      <selection pane="bottomLeft" activeCell="A4" sqref="A4"/>
      <selection pane="bottomRight" activeCell="A12" sqref="A12"/>
    </sheetView>
  </sheetViews>
  <sheetFormatPr defaultRowHeight="14.25" x14ac:dyDescent="0.45"/>
  <cols>
    <col min="1" max="1" width="21.73046875" style="4" customWidth="1"/>
    <col min="2" max="2" width="17.73046875" style="4" customWidth="1"/>
    <col min="3" max="4" width="19.73046875" style="5" customWidth="1"/>
    <col min="5" max="5" width="28.73046875" style="6" customWidth="1"/>
    <col min="6" max="6" width="23.73046875" style="6" customWidth="1"/>
    <col min="7" max="7" width="18.73046875" style="4" customWidth="1"/>
    <col min="8" max="8" width="30.73046875" style="4" customWidth="1"/>
    <col min="9" max="9" width="17.73046875" style="6" customWidth="1"/>
    <col min="10" max="10" width="17.73046875" style="5" customWidth="1"/>
    <col min="11" max="11" width="24.73046875" style="6" customWidth="1"/>
    <col min="12" max="12" width="24.73046875" style="4" customWidth="1"/>
    <col min="13" max="13" width="21.73046875" style="4" customWidth="1"/>
  </cols>
  <sheetData>
    <row r="1" spans="1:13" ht="34.049999999999997" customHeight="1" x14ac:dyDescent="0.45">
      <c r="A1" s="2" t="s">
        <v>317</v>
      </c>
    </row>
    <row r="2" spans="1:13" x14ac:dyDescent="0.45">
      <c r="A2" s="3" t="s">
        <v>43</v>
      </c>
      <c r="B2" s="3" t="s">
        <v>44</v>
      </c>
      <c r="C2" s="3" t="s">
        <v>45</v>
      </c>
      <c r="D2" s="3" t="s">
        <v>46</v>
      </c>
      <c r="E2" s="3" t="s">
        <v>47</v>
      </c>
      <c r="F2" s="3" t="s">
        <v>48</v>
      </c>
      <c r="G2" s="3" t="s">
        <v>49</v>
      </c>
      <c r="H2" s="3" t="s">
        <v>50</v>
      </c>
      <c r="I2" s="3" t="s">
        <v>51</v>
      </c>
      <c r="J2" s="3" t="s">
        <v>52</v>
      </c>
      <c r="K2" s="3" t="s">
        <v>53</v>
      </c>
      <c r="L2" s="3" t="s">
        <v>54</v>
      </c>
      <c r="M2" s="3" t="s">
        <v>55</v>
      </c>
    </row>
    <row r="3" spans="1:13" ht="46.05" customHeight="1" x14ac:dyDescent="0.45">
      <c r="A3" s="7" t="s">
        <v>150</v>
      </c>
      <c r="B3" s="7" t="s">
        <v>151</v>
      </c>
      <c r="C3" s="7" t="s">
        <v>152</v>
      </c>
      <c r="D3" s="7" t="s">
        <v>153</v>
      </c>
      <c r="E3" s="7" t="s">
        <v>154</v>
      </c>
      <c r="F3" s="7" t="s">
        <v>155</v>
      </c>
      <c r="G3" s="7" t="s">
        <v>156</v>
      </c>
      <c r="H3" s="7" t="s">
        <v>157</v>
      </c>
      <c r="I3" s="7" t="s">
        <v>158</v>
      </c>
      <c r="J3" s="7" t="s">
        <v>159</v>
      </c>
      <c r="K3" s="7" t="s">
        <v>160</v>
      </c>
      <c r="L3" s="7" t="s">
        <v>161</v>
      </c>
      <c r="M3" s="7" t="s">
        <v>162</v>
      </c>
    </row>
    <row r="4" spans="1:13" x14ac:dyDescent="0.45">
      <c r="A4" s="4" t="s">
        <v>318</v>
      </c>
      <c r="B4" s="4" t="s">
        <v>256</v>
      </c>
      <c r="C4" s="8">
        <v>8500000</v>
      </c>
      <c r="D4" s="8">
        <v>6050000</v>
      </c>
      <c r="E4" s="6">
        <v>14</v>
      </c>
      <c r="F4" s="6">
        <v>18</v>
      </c>
      <c r="G4" s="4">
        <v>3</v>
      </c>
      <c r="H4" s="4">
        <v>0</v>
      </c>
      <c r="I4" s="6">
        <v>0</v>
      </c>
      <c r="J4" s="8">
        <v>150000</v>
      </c>
      <c r="K4" s="6">
        <v>10</v>
      </c>
      <c r="M4" s="4" t="s">
        <v>312</v>
      </c>
    </row>
    <row r="5" spans="1:13" x14ac:dyDescent="0.45">
      <c r="A5" s="4" t="s">
        <v>319</v>
      </c>
      <c r="B5" s="4" t="s">
        <v>257</v>
      </c>
      <c r="C5" s="8">
        <v>620000</v>
      </c>
      <c r="D5" s="8">
        <v>500000</v>
      </c>
      <c r="E5" s="6">
        <v>11.5</v>
      </c>
      <c r="F5" s="6">
        <v>17</v>
      </c>
      <c r="G5" s="4">
        <v>2</v>
      </c>
      <c r="H5" s="4">
        <v>0</v>
      </c>
      <c r="I5" s="6">
        <v>0</v>
      </c>
      <c r="J5" s="8">
        <v>100000</v>
      </c>
      <c r="K5" s="6">
        <v>10</v>
      </c>
      <c r="M5" s="4" t="s">
        <v>312</v>
      </c>
    </row>
    <row r="6" spans="1:13" x14ac:dyDescent="0.45">
      <c r="A6" s="4" t="s">
        <v>368</v>
      </c>
      <c r="B6" s="4" t="s">
        <v>259</v>
      </c>
      <c r="C6" s="8">
        <v>11000000</v>
      </c>
      <c r="D6" s="8">
        <v>11000000</v>
      </c>
      <c r="E6" s="6">
        <v>12</v>
      </c>
      <c r="F6" s="6">
        <v>3</v>
      </c>
      <c r="G6" s="4">
        <v>2</v>
      </c>
      <c r="H6" s="4">
        <v>0</v>
      </c>
      <c r="I6" s="6">
        <v>0</v>
      </c>
      <c r="J6" s="8">
        <v>0</v>
      </c>
      <c r="K6" s="6">
        <v>0</v>
      </c>
      <c r="M6" s="4" t="s">
        <v>312</v>
      </c>
    </row>
    <row r="7" spans="1:13" x14ac:dyDescent="0.45">
      <c r="A7" s="4" t="s">
        <v>320</v>
      </c>
      <c r="B7" s="4" t="s">
        <v>260</v>
      </c>
      <c r="C7" s="8">
        <v>900000</v>
      </c>
      <c r="D7" s="8">
        <v>850000</v>
      </c>
      <c r="E7" s="6">
        <v>6.75</v>
      </c>
      <c r="F7" s="6">
        <v>0.5</v>
      </c>
      <c r="G7" s="4">
        <v>7</v>
      </c>
      <c r="H7" s="4">
        <v>0</v>
      </c>
      <c r="I7" s="6">
        <v>1</v>
      </c>
      <c r="J7" s="8">
        <v>0</v>
      </c>
      <c r="K7" s="6">
        <v>0</v>
      </c>
      <c r="L7" s="4" t="s">
        <v>321</v>
      </c>
      <c r="M7" s="4" t="s">
        <v>312</v>
      </c>
    </row>
    <row r="8" spans="1:13" x14ac:dyDescent="0.45">
      <c r="A8" s="4" t="s">
        <v>261</v>
      </c>
      <c r="B8" s="4" t="s">
        <v>261</v>
      </c>
      <c r="C8" s="8">
        <v>780000</v>
      </c>
      <c r="D8" s="8">
        <v>780000</v>
      </c>
      <c r="E8" s="6">
        <v>7.1</v>
      </c>
      <c r="F8" s="6">
        <v>0</v>
      </c>
      <c r="G8" s="4">
        <v>9999</v>
      </c>
      <c r="H8" s="4">
        <v>84</v>
      </c>
      <c r="I8" s="6">
        <v>0</v>
      </c>
      <c r="J8" s="8">
        <v>12500</v>
      </c>
      <c r="K8" s="6">
        <v>0</v>
      </c>
      <c r="M8" s="4" t="s">
        <v>311</v>
      </c>
    </row>
    <row r="9" spans="1:13" x14ac:dyDescent="0.45">
      <c r="A9" s="4" t="s">
        <v>322</v>
      </c>
      <c r="B9" s="4" t="s">
        <v>262</v>
      </c>
      <c r="C9" s="8">
        <v>1450000</v>
      </c>
      <c r="D9" s="8">
        <v>1450000</v>
      </c>
      <c r="E9" s="6">
        <v>8.25</v>
      </c>
      <c r="F9" s="6">
        <v>0</v>
      </c>
      <c r="G9" s="4">
        <v>9999</v>
      </c>
      <c r="H9" s="4">
        <v>240</v>
      </c>
      <c r="I9" s="6">
        <v>0</v>
      </c>
      <c r="J9" s="8">
        <v>21000</v>
      </c>
      <c r="K9" s="6">
        <v>8</v>
      </c>
      <c r="M9" s="4" t="s">
        <v>311</v>
      </c>
    </row>
    <row r="10" spans="1:13" x14ac:dyDescent="0.45">
      <c r="A10" s="4" t="s">
        <v>323</v>
      </c>
      <c r="B10" s="4" t="s">
        <v>264</v>
      </c>
      <c r="C10" s="8">
        <v>420000</v>
      </c>
      <c r="D10" s="8">
        <v>300000</v>
      </c>
      <c r="E10" s="6">
        <v>8.5</v>
      </c>
      <c r="F10" s="6">
        <v>14</v>
      </c>
      <c r="G10" s="4">
        <v>7</v>
      </c>
      <c r="H10" s="4">
        <v>0</v>
      </c>
      <c r="I10" s="6">
        <v>0</v>
      </c>
      <c r="J10" s="8">
        <v>0</v>
      </c>
      <c r="K10" s="6">
        <v>0</v>
      </c>
      <c r="M10" s="4" t="s">
        <v>312</v>
      </c>
    </row>
    <row r="11" spans="1:13" x14ac:dyDescent="0.45">
      <c r="A11" s="4" t="s">
        <v>369</v>
      </c>
      <c r="B11" s="4" t="s">
        <v>266</v>
      </c>
      <c r="C11" s="8">
        <v>15000000</v>
      </c>
      <c r="D11" s="8">
        <v>12000000</v>
      </c>
      <c r="E11" s="6">
        <v>6</v>
      </c>
      <c r="F11" s="6">
        <v>12</v>
      </c>
      <c r="G11" s="4">
        <v>180</v>
      </c>
      <c r="H11" s="4">
        <v>0</v>
      </c>
      <c r="I11" s="6">
        <v>2</v>
      </c>
      <c r="J11" s="8">
        <v>0</v>
      </c>
      <c r="K11" s="6">
        <v>0</v>
      </c>
      <c r="M11" s="4" t="s">
        <v>312</v>
      </c>
    </row>
    <row r="12" spans="1:13" x14ac:dyDescent="0.45">
      <c r="A12" s="4" t="s">
        <v>370</v>
      </c>
      <c r="B12" s="4" t="s">
        <v>266</v>
      </c>
      <c r="C12" s="8">
        <v>50000000</v>
      </c>
      <c r="D12" s="8">
        <v>50000000</v>
      </c>
      <c r="E12" s="6">
        <v>7</v>
      </c>
      <c r="F12" s="6">
        <v>0</v>
      </c>
      <c r="G12" s="4">
        <v>180</v>
      </c>
      <c r="H12" s="4">
        <v>0</v>
      </c>
      <c r="I12" s="6">
        <v>2</v>
      </c>
      <c r="J12" s="8">
        <v>0</v>
      </c>
      <c r="K12" s="6">
        <v>0</v>
      </c>
      <c r="L12" s="4" t="s">
        <v>334</v>
      </c>
      <c r="M12" s="4" t="b">
        <v>1</v>
      </c>
    </row>
  </sheetData>
  <dataValidations count="1">
    <dataValidation type="list" allowBlank="1" showInputMessage="1" showErrorMessage="1" sqref="M4:M12" xr:uid="{9E6FFF08-6D43-4D01-B750-EB43A759FDF2}">
      <formula1>"TRUE,FALSE"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errorTitle="Pick from the list" error="This column only accepts one of the listed options. Anything else is not recognised by the engine." xr:uid="{00000000-0002-0000-0400-000000000000}">
          <x14:formula1>
            <xm:f>Lists!$C$2:$C$20</xm:f>
          </x14:formula1>
          <xm:sqref>B13:B401</xm:sqref>
        </x14:dataValidation>
        <x14:dataValidation type="list" allowBlank="1" showInputMessage="1" showErrorMessage="1" xr:uid="{00000000-0002-0000-0400-000001000000}">
          <x14:formula1>
            <xm:f>Lists!$K$2:$K$3</xm:f>
          </x14:formula1>
          <xm:sqref>M13:M401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2"/>
  <sheetViews>
    <sheetView workbookViewId="0">
      <pane xSplit="1" ySplit="3" topLeftCell="B4" activePane="bottomRight" state="frozen"/>
      <selection pane="topRight" activeCell="B1" sqref="B1"/>
      <selection pane="bottomLeft" activeCell="A4" sqref="A4"/>
      <selection pane="bottomRight" activeCell="C25" sqref="C25"/>
    </sheetView>
  </sheetViews>
  <sheetFormatPr defaultRowHeight="14.25" x14ac:dyDescent="0.45"/>
  <cols>
    <col min="1" max="1" width="15.73046875" style="4" customWidth="1"/>
    <col min="2" max="2" width="20.73046875" style="5" customWidth="1"/>
    <col min="3" max="3" width="26.73046875" style="6" customWidth="1"/>
    <col min="4" max="4" width="19.73046875" style="4" customWidth="1"/>
    <col min="5" max="5" width="27.73046875" style="6" customWidth="1"/>
  </cols>
  <sheetData>
    <row r="1" spans="1:5" ht="34.049999999999997" customHeight="1" x14ac:dyDescent="0.45">
      <c r="A1" s="2" t="s">
        <v>324</v>
      </c>
    </row>
    <row r="2" spans="1:5" x14ac:dyDescent="0.45">
      <c r="A2" s="3" t="s">
        <v>56</v>
      </c>
      <c r="B2" s="3" t="s">
        <v>57</v>
      </c>
      <c r="C2" s="3" t="s">
        <v>58</v>
      </c>
      <c r="D2" s="3" t="s">
        <v>59</v>
      </c>
      <c r="E2" s="3" t="s">
        <v>60</v>
      </c>
    </row>
    <row r="3" spans="1:5" ht="46.05" customHeight="1" x14ac:dyDescent="0.45">
      <c r="A3" s="7" t="s">
        <v>163</v>
      </c>
      <c r="B3" s="7" t="s">
        <v>164</v>
      </c>
      <c r="C3" s="7" t="s">
        <v>165</v>
      </c>
      <c r="D3" s="7" t="s">
        <v>166</v>
      </c>
      <c r="E3" s="7" t="s">
        <v>167</v>
      </c>
    </row>
    <row r="4" spans="1:5" x14ac:dyDescent="0.45">
      <c r="A4" s="4" t="s">
        <v>275</v>
      </c>
      <c r="B4" s="5">
        <v>38000</v>
      </c>
      <c r="C4" s="6">
        <v>6</v>
      </c>
      <c r="D4" s="4" t="s">
        <v>288</v>
      </c>
      <c r="E4" s="6">
        <v>0</v>
      </c>
    </row>
    <row r="5" spans="1:5" x14ac:dyDescent="0.45">
      <c r="A5" s="4" t="s">
        <v>276</v>
      </c>
      <c r="B5" s="5">
        <v>12000</v>
      </c>
      <c r="C5" s="6">
        <v>7</v>
      </c>
      <c r="D5" s="4" t="s">
        <v>288</v>
      </c>
      <c r="E5" s="6">
        <v>0</v>
      </c>
    </row>
    <row r="6" spans="1:5" x14ac:dyDescent="0.45">
      <c r="A6" s="4" t="s">
        <v>278</v>
      </c>
      <c r="B6" s="5">
        <v>11000</v>
      </c>
      <c r="C6" s="6">
        <v>6</v>
      </c>
      <c r="D6" s="4" t="s">
        <v>288</v>
      </c>
      <c r="E6" s="6">
        <v>0</v>
      </c>
    </row>
    <row r="7" spans="1:5" x14ac:dyDescent="0.45">
      <c r="A7" s="4" t="s">
        <v>279</v>
      </c>
      <c r="B7" s="5">
        <v>16000</v>
      </c>
      <c r="C7" s="6">
        <v>7</v>
      </c>
      <c r="D7" s="4" t="s">
        <v>288</v>
      </c>
      <c r="E7" s="6">
        <v>0</v>
      </c>
    </row>
    <row r="8" spans="1:5" x14ac:dyDescent="0.45">
      <c r="A8" s="4" t="s">
        <v>280</v>
      </c>
      <c r="B8" s="5">
        <v>12000</v>
      </c>
      <c r="C8" s="6">
        <v>6</v>
      </c>
      <c r="D8" s="4" t="s">
        <v>288</v>
      </c>
      <c r="E8" s="6">
        <v>0</v>
      </c>
    </row>
    <row r="9" spans="1:5" x14ac:dyDescent="0.45">
      <c r="A9" s="4" t="s">
        <v>281</v>
      </c>
      <c r="B9" s="5">
        <v>10000</v>
      </c>
      <c r="C9" s="6">
        <v>8</v>
      </c>
      <c r="D9" s="4" t="s">
        <v>288</v>
      </c>
      <c r="E9" s="6">
        <v>0</v>
      </c>
    </row>
    <row r="10" spans="1:5" x14ac:dyDescent="0.45">
      <c r="A10" s="4" t="s">
        <v>283</v>
      </c>
      <c r="B10" s="5">
        <v>6000</v>
      </c>
      <c r="C10" s="6">
        <v>10</v>
      </c>
      <c r="D10" s="4" t="s">
        <v>288</v>
      </c>
      <c r="E10" s="6">
        <v>0</v>
      </c>
    </row>
    <row r="11" spans="1:5" x14ac:dyDescent="0.45">
      <c r="A11" s="4" t="s">
        <v>285</v>
      </c>
      <c r="B11" s="5">
        <v>25000</v>
      </c>
      <c r="C11" s="6">
        <v>10</v>
      </c>
      <c r="D11" s="4" t="s">
        <v>288</v>
      </c>
      <c r="E11" s="6">
        <v>0</v>
      </c>
    </row>
    <row r="12" spans="1:5" x14ac:dyDescent="0.45">
      <c r="A12" s="4" t="s">
        <v>286</v>
      </c>
      <c r="B12" s="5">
        <v>15000</v>
      </c>
      <c r="C12" s="6">
        <v>6</v>
      </c>
      <c r="D12" s="4" t="s">
        <v>288</v>
      </c>
      <c r="E12" s="6">
        <v>0</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errorTitle="Pick from the list" error="This column only accepts one of the listed options. Anything else is not recognised by the engine." xr:uid="{00000000-0002-0000-0500-000000000000}">
          <x14:formula1>
            <xm:f>Lists!$D$2:$D$15</xm:f>
          </x14:formula1>
          <xm:sqref>A4:A401</xm:sqref>
        </x14:dataValidation>
        <x14:dataValidation type="list" allowBlank="1" showInputMessage="1" showErrorMessage="1" errorTitle="Pick from the list" error="This column only accepts one of the listed options. Anything else is not recognised by the engine." xr:uid="{00000000-0002-0000-0500-000001000000}">
          <x14:formula1>
            <xm:f>Lists!$E$2:$E$3</xm:f>
          </x14:formula1>
          <xm:sqref>D4:D401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
  <sheetViews>
    <sheetView workbookViewId="0">
      <pane xSplit="1" ySplit="3" topLeftCell="B4" activePane="bottomRight" state="frozen"/>
      <selection pane="topRight" activeCell="B1" sqref="B1"/>
      <selection pane="bottomLeft" activeCell="A4" sqref="A4"/>
      <selection pane="bottomRight"/>
    </sheetView>
  </sheetViews>
  <sheetFormatPr defaultRowHeight="14.25" x14ac:dyDescent="0.45"/>
  <cols>
    <col min="1" max="1" width="15.73046875" style="4" customWidth="1"/>
    <col min="2" max="2" width="19.73046875" style="5" customWidth="1"/>
    <col min="3" max="3" width="19.73046875" style="4" customWidth="1"/>
    <col min="4" max="4" width="22.73046875" style="6" customWidth="1"/>
  </cols>
  <sheetData>
    <row r="1" spans="1:4" ht="34.049999999999997" customHeight="1" x14ac:dyDescent="0.45">
      <c r="A1" s="2" t="s">
        <v>325</v>
      </c>
    </row>
    <row r="2" spans="1:4" x14ac:dyDescent="0.45">
      <c r="A2" s="3" t="s">
        <v>61</v>
      </c>
      <c r="B2" s="3" t="s">
        <v>62</v>
      </c>
      <c r="C2" s="3" t="s">
        <v>63</v>
      </c>
      <c r="D2" s="3" t="s">
        <v>64</v>
      </c>
    </row>
    <row r="3" spans="1:4" ht="46.05" customHeight="1" x14ac:dyDescent="0.45">
      <c r="A3" s="7" t="s">
        <v>168</v>
      </c>
      <c r="B3" s="7" t="s">
        <v>169</v>
      </c>
      <c r="C3" s="7" t="s">
        <v>170</v>
      </c>
      <c r="D3" s="7" t="s">
        <v>171</v>
      </c>
    </row>
    <row r="4" spans="1:4" x14ac:dyDescent="0.45">
      <c r="A4" s="4" t="s">
        <v>326</v>
      </c>
      <c r="B4" s="5">
        <v>78000</v>
      </c>
      <c r="C4" s="4">
        <v>6</v>
      </c>
      <c r="D4" s="6">
        <v>8</v>
      </c>
    </row>
    <row r="5" spans="1:4" x14ac:dyDescent="0.45">
      <c r="A5" s="4" t="s">
        <v>327</v>
      </c>
      <c r="B5" s="5">
        <v>120000</v>
      </c>
      <c r="C5" s="4">
        <v>4</v>
      </c>
      <c r="D5" s="6">
        <v>10</v>
      </c>
    </row>
    <row r="6" spans="1:4" x14ac:dyDescent="0.45">
      <c r="A6" s="4" t="s">
        <v>328</v>
      </c>
      <c r="B6" s="5">
        <v>90000</v>
      </c>
      <c r="C6" s="4">
        <v>10</v>
      </c>
      <c r="D6" s="6">
        <v>6</v>
      </c>
    </row>
    <row r="7" spans="1:4" x14ac:dyDescent="0.45">
      <c r="A7" s="4" t="s">
        <v>329</v>
      </c>
      <c r="B7" s="5">
        <v>200000</v>
      </c>
      <c r="C7" s="4">
        <v>12</v>
      </c>
      <c r="D7" s="6">
        <v>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
  <sheetViews>
    <sheetView workbookViewId="0">
      <pane xSplit="1" ySplit="3" topLeftCell="B4" activePane="bottomRight" state="frozen"/>
      <selection pane="topRight" activeCell="B1" sqref="B1"/>
      <selection pane="bottomLeft" activeCell="A4" sqref="A4"/>
      <selection pane="bottomRight" activeCell="C8" sqref="C8"/>
    </sheetView>
  </sheetViews>
  <sheetFormatPr defaultRowHeight="14.25" x14ac:dyDescent="0.45"/>
  <cols>
    <col min="1" max="2" width="15.73046875" style="4" customWidth="1"/>
    <col min="3" max="3" width="15.73046875" style="5" customWidth="1"/>
    <col min="4" max="4" width="15.73046875" style="4" customWidth="1"/>
    <col min="5" max="5" width="19.73046875" style="6" customWidth="1"/>
    <col min="6" max="6" width="15.73046875" style="4" customWidth="1"/>
    <col min="7" max="7" width="16.73046875" style="4" customWidth="1"/>
    <col min="8" max="8" width="17.73046875" style="4" customWidth="1"/>
    <col min="9" max="9" width="15.73046875" style="4" customWidth="1"/>
  </cols>
  <sheetData>
    <row r="1" spans="1:9" ht="34.049999999999997" customHeight="1" x14ac:dyDescent="0.45">
      <c r="A1" s="2" t="s">
        <v>330</v>
      </c>
    </row>
    <row r="2" spans="1:9" x14ac:dyDescent="0.45">
      <c r="A2" s="3" t="s">
        <v>65</v>
      </c>
      <c r="B2" s="3" t="s">
        <v>17</v>
      </c>
      <c r="C2" s="3" t="s">
        <v>66</v>
      </c>
      <c r="D2" s="3" t="s">
        <v>67</v>
      </c>
      <c r="E2" s="3" t="s">
        <v>68</v>
      </c>
      <c r="F2" s="3" t="s">
        <v>69</v>
      </c>
      <c r="G2" s="3" t="s">
        <v>70</v>
      </c>
      <c r="H2" s="3" t="s">
        <v>71</v>
      </c>
      <c r="I2" s="3" t="s">
        <v>72</v>
      </c>
    </row>
    <row r="3" spans="1:9" ht="46.05" customHeight="1" x14ac:dyDescent="0.45">
      <c r="A3" s="7" t="s">
        <v>172</v>
      </c>
      <c r="B3" s="7" t="s">
        <v>173</v>
      </c>
      <c r="C3" s="7" t="s">
        <v>174</v>
      </c>
      <c r="D3" s="7" t="s">
        <v>175</v>
      </c>
      <c r="E3" s="7" t="s">
        <v>176</v>
      </c>
      <c r="F3" s="7" t="s">
        <v>177</v>
      </c>
      <c r="G3" s="7" t="s">
        <v>178</v>
      </c>
      <c r="H3" s="7" t="s">
        <v>179</v>
      </c>
      <c r="I3" s="7" t="s">
        <v>180</v>
      </c>
    </row>
    <row r="4" spans="1:9" x14ac:dyDescent="0.45">
      <c r="A4" s="4" t="s">
        <v>331</v>
      </c>
      <c r="B4" s="4" t="s">
        <v>290</v>
      </c>
      <c r="C4" s="8">
        <v>95000</v>
      </c>
      <c r="D4" s="4" t="s">
        <v>297</v>
      </c>
      <c r="E4" s="6">
        <v>5</v>
      </c>
      <c r="F4" s="4" t="s">
        <v>311</v>
      </c>
      <c r="G4" s="4" t="s">
        <v>301</v>
      </c>
      <c r="H4" s="4">
        <v>1</v>
      </c>
      <c r="I4" s="4">
        <v>0</v>
      </c>
    </row>
    <row r="5" spans="1:9" x14ac:dyDescent="0.45">
      <c r="A5" s="4" t="s">
        <v>291</v>
      </c>
      <c r="B5" s="4" t="s">
        <v>291</v>
      </c>
      <c r="C5" s="8">
        <v>200000</v>
      </c>
      <c r="D5" s="4" t="s">
        <v>300</v>
      </c>
      <c r="E5" s="6">
        <v>8</v>
      </c>
      <c r="F5" s="4" t="s">
        <v>311</v>
      </c>
      <c r="G5" s="4" t="s">
        <v>301</v>
      </c>
      <c r="H5" s="4">
        <v>1</v>
      </c>
      <c r="I5" s="4">
        <v>0</v>
      </c>
    </row>
    <row r="6" spans="1:9" x14ac:dyDescent="0.45">
      <c r="A6" s="4" t="s">
        <v>332</v>
      </c>
      <c r="B6" s="4" t="s">
        <v>295</v>
      </c>
      <c r="C6" s="8">
        <v>35000</v>
      </c>
      <c r="D6" s="4" t="s">
        <v>297</v>
      </c>
      <c r="E6" s="6">
        <v>6</v>
      </c>
      <c r="F6" s="4" t="s">
        <v>311</v>
      </c>
      <c r="G6" s="4" t="s">
        <v>302</v>
      </c>
      <c r="H6" s="4">
        <v>1</v>
      </c>
      <c r="I6" s="4">
        <v>0</v>
      </c>
    </row>
    <row r="7" spans="1:9" x14ac:dyDescent="0.45">
      <c r="A7" s="4" t="s">
        <v>371</v>
      </c>
      <c r="B7" s="4" t="s">
        <v>292</v>
      </c>
      <c r="C7" s="8">
        <v>110000</v>
      </c>
      <c r="D7" s="4" t="s">
        <v>297</v>
      </c>
      <c r="F7" s="4" t="s">
        <v>311</v>
      </c>
      <c r="G7" s="4" t="s">
        <v>301</v>
      </c>
      <c r="H7" s="4">
        <v>1</v>
      </c>
      <c r="I7" s="4">
        <v>0</v>
      </c>
    </row>
  </sheetData>
  <dataValidations count="4">
    <dataValidation type="list" allowBlank="1" showInputMessage="1" showErrorMessage="1" sqref="G4:G7" xr:uid="{756F0A3B-398F-42D9-8902-564772FE421F}">
      <formula1>"Gross,Net"</formula1>
    </dataValidation>
    <dataValidation type="list" allowBlank="1" showInputMessage="1" showErrorMessage="1" sqref="F4:F7" xr:uid="{3C53FFAE-9F84-4675-8D17-3971954C72E1}">
      <formula1>"TRUE,FALSE"</formula1>
    </dataValidation>
    <dataValidation type="list" allowBlank="1" showInputMessage="1" showErrorMessage="1" sqref="D4:D7" xr:uid="{875CCE44-2777-4A45-AA77-BCA9E087CEB1}">
      <formula1>"Monthly,Quarterly,Half-yearly,Annual"</formula1>
    </dataValidation>
    <dataValidation type="list" allowBlank="1" showInputMessage="1" showErrorMessage="1" sqref="B4:B7" xr:uid="{CCD7F9C2-E669-4F5C-BB6D-0939954869F4}">
      <formula1>"Rental Income,Dividends,Interest (FD/Bonds),Annuity / Pension,Royalties,Freelance / Consulting,Digital / Content,Other"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errorTitle="Pick from the list" error="This column only accepts one of the listed options. Anything else is not recognised by the engine." xr:uid="{00000000-0002-0000-0700-000000000000}">
          <x14:formula1>
            <xm:f>Lists!$F$2:$F$9</xm:f>
          </x14:formula1>
          <xm:sqref>B8:B401</xm:sqref>
        </x14:dataValidation>
        <x14:dataValidation type="list" allowBlank="1" showInputMessage="1" showErrorMessage="1" errorTitle="Pick from the list" error="This column only accepts one of the listed options. Anything else is not recognised by the engine." xr:uid="{00000000-0002-0000-0700-000001000000}">
          <x14:formula1>
            <xm:f>Lists!$G$2:$G$5</xm:f>
          </x14:formula1>
          <xm:sqref>D8:D401</xm:sqref>
        </x14:dataValidation>
        <x14:dataValidation type="list" allowBlank="1" showInputMessage="1" showErrorMessage="1" xr:uid="{00000000-0002-0000-0700-000002000000}">
          <x14:formula1>
            <xm:f>Lists!$K$2:$K$3</xm:f>
          </x14:formula1>
          <xm:sqref>F8:F401</xm:sqref>
        </x14:dataValidation>
        <x14:dataValidation type="list" allowBlank="1" showInputMessage="1" showErrorMessage="1" errorTitle="Pick from the list" error="This column only accepts one of the listed options. Anything else is not recognised by the engine." xr:uid="{00000000-0002-0000-0700-000003000000}">
          <x14:formula1>
            <xm:f>Lists!$H$2:$H$3</xm:f>
          </x14:formula1>
          <xm:sqref>G8:G401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7"/>
  <sheetViews>
    <sheetView tabSelected="1" workbookViewId="0">
      <pane xSplit="1" ySplit="3" topLeftCell="B4" activePane="bottomRight" state="frozen"/>
      <selection pane="topRight" activeCell="B1" sqref="B1"/>
      <selection pane="bottomLeft" activeCell="A4" sqref="A4"/>
      <selection pane="bottomRight" activeCell="C6" sqref="C6"/>
    </sheetView>
  </sheetViews>
  <sheetFormatPr defaultRowHeight="14.25" x14ac:dyDescent="0.45"/>
  <cols>
    <col min="1" max="2" width="15.73046875" style="4" customWidth="1"/>
    <col min="3" max="3" width="28.73046875" style="4" customWidth="1"/>
    <col min="4" max="4" width="27.73046875" style="5" customWidth="1"/>
    <col min="5" max="5" width="27.73046875" style="6" customWidth="1"/>
    <col min="6" max="6" width="26.73046875" style="4" customWidth="1"/>
    <col min="7" max="7" width="23.73046875" style="6" customWidth="1"/>
    <col min="8" max="8" width="21.73046875" style="6" customWidth="1"/>
    <col min="9" max="9" width="27.73046875" style="4" customWidth="1"/>
    <col min="10" max="10" width="26.73046875" style="4" customWidth="1"/>
    <col min="11" max="11" width="30.73046875" style="4" customWidth="1"/>
    <col min="12" max="12" width="27.73046875" style="4" customWidth="1"/>
  </cols>
  <sheetData>
    <row r="1" spans="1:12" ht="34.049999999999997" customHeight="1" x14ac:dyDescent="0.45">
      <c r="A1" s="2" t="s">
        <v>333</v>
      </c>
    </row>
    <row r="2" spans="1:12" x14ac:dyDescent="0.45">
      <c r="A2" s="3" t="s">
        <v>73</v>
      </c>
      <c r="B2" s="3" t="s">
        <v>56</v>
      </c>
      <c r="C2" s="3" t="s">
        <v>74</v>
      </c>
      <c r="D2" s="3" t="s">
        <v>75</v>
      </c>
      <c r="E2" s="3" t="s">
        <v>76</v>
      </c>
      <c r="F2" s="3" t="s">
        <v>77</v>
      </c>
      <c r="G2" s="3" t="s">
        <v>78</v>
      </c>
      <c r="H2" s="3" t="s">
        <v>79</v>
      </c>
      <c r="I2" s="3" t="s">
        <v>80</v>
      </c>
      <c r="J2" s="3" t="s">
        <v>81</v>
      </c>
      <c r="K2" s="3" t="s">
        <v>82</v>
      </c>
      <c r="L2" s="3" t="s">
        <v>83</v>
      </c>
    </row>
    <row r="3" spans="1:12" ht="46.05" customHeight="1" x14ac:dyDescent="0.45">
      <c r="A3" s="7" t="s">
        <v>181</v>
      </c>
      <c r="B3" s="7" t="s">
        <v>182</v>
      </c>
      <c r="C3" s="7" t="s">
        <v>183</v>
      </c>
      <c r="D3" s="7" t="s">
        <v>184</v>
      </c>
      <c r="E3" s="7" t="s">
        <v>185</v>
      </c>
      <c r="F3" s="7" t="s">
        <v>186</v>
      </c>
      <c r="G3" s="7" t="s">
        <v>187</v>
      </c>
      <c r="H3" s="7" t="s">
        <v>188</v>
      </c>
      <c r="I3" s="7" t="s">
        <v>189</v>
      </c>
      <c r="J3" s="7" t="s">
        <v>190</v>
      </c>
      <c r="K3" s="7" t="s">
        <v>191</v>
      </c>
      <c r="L3" s="7" t="s">
        <v>192</v>
      </c>
    </row>
    <row r="4" spans="1:12" x14ac:dyDescent="0.45">
      <c r="A4" s="4" t="s">
        <v>372</v>
      </c>
      <c r="B4" s="4" t="s">
        <v>304</v>
      </c>
      <c r="C4" s="4">
        <v>3</v>
      </c>
      <c r="D4" s="8">
        <v>2500000</v>
      </c>
      <c r="E4" s="6">
        <v>8</v>
      </c>
      <c r="F4" s="4">
        <v>1</v>
      </c>
      <c r="G4" s="6">
        <v>70</v>
      </c>
      <c r="H4" s="6">
        <v>9.5</v>
      </c>
      <c r="I4" s="4">
        <v>8</v>
      </c>
      <c r="K4"/>
    </row>
    <row r="5" spans="1:12" x14ac:dyDescent="0.45">
      <c r="A5" s="4" t="s">
        <v>334</v>
      </c>
      <c r="B5" s="4" t="s">
        <v>305</v>
      </c>
      <c r="C5" s="4">
        <v>10</v>
      </c>
      <c r="D5" s="8">
        <v>120000000</v>
      </c>
      <c r="E5" s="6">
        <v>7</v>
      </c>
      <c r="F5" s="4">
        <v>2</v>
      </c>
      <c r="G5" s="6">
        <v>30</v>
      </c>
      <c r="H5" s="6">
        <v>8.6</v>
      </c>
      <c r="I5" s="4">
        <v>20</v>
      </c>
      <c r="K5" s="4" t="s">
        <v>370</v>
      </c>
      <c r="L5" s="4" t="s">
        <v>267</v>
      </c>
    </row>
    <row r="6" spans="1:12" x14ac:dyDescent="0.45">
      <c r="A6" s="4" t="s">
        <v>321</v>
      </c>
      <c r="B6" s="4" t="s">
        <v>304</v>
      </c>
      <c r="C6" s="4">
        <v>3</v>
      </c>
      <c r="D6" s="8">
        <v>1500000</v>
      </c>
      <c r="E6" s="6">
        <v>8</v>
      </c>
      <c r="F6" s="4">
        <v>2</v>
      </c>
      <c r="G6" s="6">
        <v>100</v>
      </c>
      <c r="H6" s="6">
        <v>0</v>
      </c>
      <c r="I6" s="4">
        <v>0</v>
      </c>
      <c r="J6" s="4" t="s">
        <v>320</v>
      </c>
      <c r="K6"/>
    </row>
    <row r="7" spans="1:12" x14ac:dyDescent="0.45">
      <c r="A7" s="4" t="s">
        <v>335</v>
      </c>
      <c r="B7" s="4" t="s">
        <v>306</v>
      </c>
      <c r="C7" s="4">
        <v>4</v>
      </c>
      <c r="D7" s="8">
        <v>1800000</v>
      </c>
      <c r="E7" s="6">
        <v>6</v>
      </c>
      <c r="F7" s="4">
        <v>4</v>
      </c>
      <c r="G7" s="6">
        <v>60</v>
      </c>
      <c r="H7" s="6">
        <v>9.25</v>
      </c>
      <c r="I7" s="4">
        <v>5</v>
      </c>
      <c r="K7"/>
      <c r="L7" s="4" t="s">
        <v>268</v>
      </c>
    </row>
  </sheetData>
  <dataValidations count="1">
    <dataValidation type="list" allowBlank="1" showInputMessage="1" showErrorMessage="1" sqref="B4:B7" xr:uid="{AD228AB3-DD95-4909-BB83-09C8A8648503}">
      <formula1>"Education,Marriage,House Purchase,Vehicle Purchase,Business Capital,Travel / Sabbatical,Retirement Corpus,Medical Buffer,Other"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errorTitle="Pick from the list" error="This column only accepts one of the listed options. Anything else is not recognised by the engine." xr:uid="{00000000-0002-0000-0800-000000000000}">
          <x14:formula1>
            <xm:f>Lists!$I$2:$I$10</xm:f>
          </x14:formula1>
          <xm:sqref>B8:B401</xm:sqref>
        </x14:dataValidation>
        <x14:dataValidation type="list" allowBlank="1" showInputMessage="1" showErrorMessage="1" errorTitle="Pick from the list" error="This column only accepts one of the listed options. Anything else is not recognised by the engine." xr:uid="{00000000-0002-0000-0800-000001000000}">
          <x14:formula1>
            <xm:f>Lists!$J$2:$J$21</xm:f>
          </x14:formula1>
          <xm:sqref>L4:L401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5"/>
  <sheetViews>
    <sheetView workbookViewId="0">
      <pane ySplit="2" topLeftCell="A3" activePane="bottomLeft" state="frozen"/>
      <selection pane="bottomLeft"/>
    </sheetView>
  </sheetViews>
  <sheetFormatPr defaultRowHeight="14.25" x14ac:dyDescent="0.45"/>
  <cols>
    <col min="1" max="1" width="38.73046875" customWidth="1"/>
    <col min="2" max="2" width="18.73046875" style="4" customWidth="1"/>
    <col min="3" max="3" width="100.73046875" style="2" customWidth="1"/>
  </cols>
  <sheetData>
    <row r="1" spans="1:3" ht="19.5" x14ac:dyDescent="0.6">
      <c r="A1" s="1" t="s">
        <v>342</v>
      </c>
    </row>
    <row r="2" spans="1:3" x14ac:dyDescent="0.45">
      <c r="A2" s="3" t="s">
        <v>336</v>
      </c>
      <c r="B2" s="3" t="s">
        <v>337</v>
      </c>
      <c r="C2" s="3" t="s">
        <v>338</v>
      </c>
    </row>
    <row r="3" spans="1:3" x14ac:dyDescent="0.45">
      <c r="A3" t="s">
        <v>84</v>
      </c>
      <c r="B3" s="4" t="s">
        <v>339</v>
      </c>
      <c r="C3" s="2" t="s">
        <v>193</v>
      </c>
    </row>
    <row r="4" spans="1:3" x14ac:dyDescent="0.45">
      <c r="A4" t="s">
        <v>85</v>
      </c>
      <c r="B4" s="4">
        <v>10</v>
      </c>
      <c r="C4" s="2" t="s">
        <v>194</v>
      </c>
    </row>
    <row r="5" spans="1:3" x14ac:dyDescent="0.45">
      <c r="A5" t="s">
        <v>86</v>
      </c>
      <c r="B5" s="4">
        <v>8</v>
      </c>
      <c r="C5" s="2" t="s">
        <v>195</v>
      </c>
    </row>
    <row r="6" spans="1:3" x14ac:dyDescent="0.45">
      <c r="A6" t="s">
        <v>87</v>
      </c>
      <c r="B6" s="4">
        <v>6</v>
      </c>
      <c r="C6" s="2" t="s">
        <v>196</v>
      </c>
    </row>
    <row r="7" spans="1:3" ht="42.75" x14ac:dyDescent="0.45">
      <c r="A7" t="s">
        <v>88</v>
      </c>
      <c r="B7" s="4">
        <v>0.25</v>
      </c>
      <c r="C7" s="2" t="s">
        <v>197</v>
      </c>
    </row>
    <row r="8" spans="1:3" ht="57" x14ac:dyDescent="0.45">
      <c r="A8" t="s">
        <v>89</v>
      </c>
      <c r="B8" s="4" t="b">
        <v>1</v>
      </c>
      <c r="C8" s="2" t="s">
        <v>198</v>
      </c>
    </row>
    <row r="9" spans="1:3" ht="71.25" x14ac:dyDescent="0.45">
      <c r="A9" t="s">
        <v>90</v>
      </c>
      <c r="B9" s="4" t="s">
        <v>340</v>
      </c>
      <c r="C9" s="2" t="s">
        <v>199</v>
      </c>
    </row>
    <row r="10" spans="1:3" x14ac:dyDescent="0.45">
      <c r="A10" t="s">
        <v>91</v>
      </c>
      <c r="B10" s="4">
        <v>10</v>
      </c>
      <c r="C10" s="2" t="s">
        <v>200</v>
      </c>
    </row>
    <row r="11" spans="1:3" x14ac:dyDescent="0.45">
      <c r="A11" t="s">
        <v>92</v>
      </c>
      <c r="B11" s="4" t="s">
        <v>318</v>
      </c>
      <c r="C11" s="2" t="s">
        <v>201</v>
      </c>
    </row>
    <row r="12" spans="1:3" ht="28.5" x14ac:dyDescent="0.45">
      <c r="A12" t="s">
        <v>93</v>
      </c>
      <c r="B12" s="4">
        <v>8</v>
      </c>
      <c r="C12" s="2" t="s">
        <v>202</v>
      </c>
    </row>
    <row r="13" spans="1:3" x14ac:dyDescent="0.45">
      <c r="A13" t="s">
        <v>94</v>
      </c>
      <c r="B13" s="4">
        <v>450000</v>
      </c>
      <c r="C13" s="2" t="s">
        <v>203</v>
      </c>
    </row>
    <row r="14" spans="1:3" x14ac:dyDescent="0.45">
      <c r="A14" t="s">
        <v>95</v>
      </c>
      <c r="B14" s="4">
        <v>6</v>
      </c>
      <c r="C14" s="2" t="s">
        <v>204</v>
      </c>
    </row>
    <row r="15" spans="1:3" x14ac:dyDescent="0.45">
      <c r="A15" t="s">
        <v>96</v>
      </c>
      <c r="B15" s="4">
        <v>6</v>
      </c>
      <c r="C15" s="2" t="s">
        <v>205</v>
      </c>
    </row>
    <row r="16" spans="1:3" x14ac:dyDescent="0.45">
      <c r="A16" t="s">
        <v>97</v>
      </c>
      <c r="B16" s="4" t="b">
        <v>1</v>
      </c>
      <c r="C16" s="2" t="s">
        <v>206</v>
      </c>
    </row>
    <row r="17" spans="1:3" x14ac:dyDescent="0.45">
      <c r="A17" t="s">
        <v>98</v>
      </c>
      <c r="B17" s="4">
        <v>40</v>
      </c>
      <c r="C17" s="2" t="s">
        <v>207</v>
      </c>
    </row>
    <row r="18" spans="1:3" x14ac:dyDescent="0.45">
      <c r="A18" t="s">
        <v>99</v>
      </c>
      <c r="B18" s="4">
        <v>50</v>
      </c>
      <c r="C18" s="2" t="s">
        <v>208</v>
      </c>
    </row>
    <row r="19" spans="1:3" x14ac:dyDescent="0.45">
      <c r="A19" t="s">
        <v>100</v>
      </c>
      <c r="B19" s="4">
        <v>30</v>
      </c>
      <c r="C19" s="2" t="s">
        <v>209</v>
      </c>
    </row>
    <row r="20" spans="1:3" x14ac:dyDescent="0.45">
      <c r="A20" t="s">
        <v>101</v>
      </c>
      <c r="B20" s="4">
        <v>100</v>
      </c>
      <c r="C20" s="2" t="s">
        <v>210</v>
      </c>
    </row>
    <row r="21" spans="1:3" ht="28.5" x14ac:dyDescent="0.45">
      <c r="A21" t="s">
        <v>102</v>
      </c>
      <c r="B21" s="4" t="s">
        <v>341</v>
      </c>
      <c r="C21" s="2" t="s">
        <v>211</v>
      </c>
    </row>
    <row r="22" spans="1:3" x14ac:dyDescent="0.45">
      <c r="A22" t="s">
        <v>103</v>
      </c>
      <c r="B22" s="4">
        <v>40</v>
      </c>
      <c r="C22" s="2" t="s">
        <v>212</v>
      </c>
    </row>
    <row r="23" spans="1:3" x14ac:dyDescent="0.45">
      <c r="A23" t="s">
        <v>104</v>
      </c>
      <c r="B23" s="4">
        <v>0.75</v>
      </c>
      <c r="C23" s="2" t="s">
        <v>213</v>
      </c>
    </row>
    <row r="24" spans="1:3" x14ac:dyDescent="0.45">
      <c r="A24" t="s">
        <v>105</v>
      </c>
      <c r="B24" s="4">
        <v>60</v>
      </c>
      <c r="C24" s="2" t="s">
        <v>214</v>
      </c>
    </row>
    <row r="25" spans="1:3" x14ac:dyDescent="0.45">
      <c r="A25" t="s">
        <v>106</v>
      </c>
      <c r="B25" s="4" t="b">
        <v>0</v>
      </c>
      <c r="C25" s="2" t="s">
        <v>215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4"/>
  <sheetViews>
    <sheetView workbookViewId="0">
      <pane ySplit="2" topLeftCell="A3" activePane="bottomLeft" state="frozen"/>
      <selection pane="bottomLeft"/>
    </sheetView>
  </sheetViews>
  <sheetFormatPr defaultRowHeight="14.25" x14ac:dyDescent="0.45"/>
  <cols>
    <col min="1" max="1" width="38.73046875" customWidth="1"/>
    <col min="2" max="2" width="18.73046875" style="4" customWidth="1"/>
    <col min="3" max="3" width="100.73046875" style="2" customWidth="1"/>
  </cols>
  <sheetData>
    <row r="1" spans="1:3" ht="19.5" x14ac:dyDescent="0.6">
      <c r="A1" s="1" t="s">
        <v>344</v>
      </c>
    </row>
    <row r="2" spans="1:3" x14ac:dyDescent="0.45">
      <c r="A2" s="3" t="s">
        <v>336</v>
      </c>
      <c r="B2" s="3" t="s">
        <v>337</v>
      </c>
      <c r="C2" s="3" t="s">
        <v>338</v>
      </c>
    </row>
    <row r="3" spans="1:3" ht="28.5" x14ac:dyDescent="0.45">
      <c r="A3" t="s">
        <v>107</v>
      </c>
      <c r="B3" s="4" t="s">
        <v>343</v>
      </c>
      <c r="C3" s="2" t="s">
        <v>216</v>
      </c>
    </row>
    <row r="4" spans="1:3" x14ac:dyDescent="0.45">
      <c r="A4" t="s">
        <v>108</v>
      </c>
      <c r="B4" s="4">
        <v>30</v>
      </c>
      <c r="C4" s="2" t="s">
        <v>217</v>
      </c>
    </row>
    <row r="5" spans="1:3" x14ac:dyDescent="0.45">
      <c r="A5" t="s">
        <v>109</v>
      </c>
      <c r="B5" s="4">
        <v>4</v>
      </c>
      <c r="C5" s="2" t="s">
        <v>218</v>
      </c>
    </row>
    <row r="6" spans="1:3" x14ac:dyDescent="0.45">
      <c r="A6" t="s">
        <v>110</v>
      </c>
      <c r="B6" s="4">
        <v>12.5</v>
      </c>
      <c r="C6" s="2" t="s">
        <v>219</v>
      </c>
    </row>
    <row r="7" spans="1:3" ht="28.5" x14ac:dyDescent="0.45">
      <c r="A7" t="s">
        <v>111</v>
      </c>
      <c r="B7" s="4">
        <v>125000</v>
      </c>
      <c r="C7" s="2" t="s">
        <v>220</v>
      </c>
    </row>
    <row r="8" spans="1:3" x14ac:dyDescent="0.45">
      <c r="A8" t="s">
        <v>112</v>
      </c>
      <c r="B8" s="4">
        <v>20</v>
      </c>
      <c r="C8" s="2" t="s">
        <v>221</v>
      </c>
    </row>
    <row r="9" spans="1:3" x14ac:dyDescent="0.45">
      <c r="A9" t="s">
        <v>113</v>
      </c>
      <c r="B9" s="4">
        <v>12.5</v>
      </c>
      <c r="C9" s="2" t="s">
        <v>222</v>
      </c>
    </row>
    <row r="10" spans="1:3" x14ac:dyDescent="0.45">
      <c r="A10" t="s">
        <v>114</v>
      </c>
      <c r="B10" s="4">
        <v>30</v>
      </c>
      <c r="C10" s="2" t="s">
        <v>223</v>
      </c>
    </row>
    <row r="11" spans="1:3" x14ac:dyDescent="0.45">
      <c r="A11" t="s">
        <v>115</v>
      </c>
      <c r="B11" s="4" t="b">
        <v>1</v>
      </c>
      <c r="C11" s="2" t="s">
        <v>224</v>
      </c>
    </row>
    <row r="12" spans="1:3" ht="28.5" x14ac:dyDescent="0.45">
      <c r="A12" t="s">
        <v>116</v>
      </c>
      <c r="B12" s="4" t="b">
        <v>1</v>
      </c>
      <c r="C12" s="2" t="s">
        <v>225</v>
      </c>
    </row>
    <row r="13" spans="1:3" x14ac:dyDescent="0.45">
      <c r="A13" t="s">
        <v>117</v>
      </c>
      <c r="B13" s="4" t="b">
        <v>1</v>
      </c>
      <c r="C13" s="2" t="s">
        <v>226</v>
      </c>
    </row>
    <row r="14" spans="1:3" x14ac:dyDescent="0.45">
      <c r="A14" t="s">
        <v>118</v>
      </c>
      <c r="B14" s="4">
        <v>200000</v>
      </c>
      <c r="C14" s="2" t="s">
        <v>227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0"/>
  <sheetViews>
    <sheetView workbookViewId="0">
      <pane ySplit="2" topLeftCell="A3" activePane="bottomLeft" state="frozen"/>
      <selection pane="bottomLeft" activeCell="B5" sqref="B5"/>
    </sheetView>
  </sheetViews>
  <sheetFormatPr defaultRowHeight="14.25" x14ac:dyDescent="0.45"/>
  <cols>
    <col min="1" max="1" width="42.73046875" customWidth="1"/>
    <col min="2" max="2" width="18.73046875" style="4" customWidth="1"/>
    <col min="3" max="3" width="95.73046875" style="2" customWidth="1"/>
  </cols>
  <sheetData>
    <row r="1" spans="1:3" ht="19.5" x14ac:dyDescent="0.6">
      <c r="A1" s="1" t="s">
        <v>363</v>
      </c>
    </row>
    <row r="2" spans="1:3" x14ac:dyDescent="0.45">
      <c r="A2" s="3" t="s">
        <v>336</v>
      </c>
      <c r="B2" s="3" t="s">
        <v>337</v>
      </c>
      <c r="C2" s="3" t="s">
        <v>338</v>
      </c>
    </row>
    <row r="3" spans="1:3" x14ac:dyDescent="0.45">
      <c r="A3" t="s">
        <v>345</v>
      </c>
      <c r="B3" s="4" t="b">
        <v>1</v>
      </c>
      <c r="C3" s="2" t="s">
        <v>228</v>
      </c>
    </row>
    <row r="4" spans="1:3" x14ac:dyDescent="0.45">
      <c r="A4" t="s">
        <v>346</v>
      </c>
      <c r="B4" s="4">
        <v>500000</v>
      </c>
      <c r="C4" s="2" t="s">
        <v>229</v>
      </c>
    </row>
    <row r="5" spans="1:3" x14ac:dyDescent="0.45">
      <c r="A5" t="s">
        <v>347</v>
      </c>
      <c r="B5" s="4">
        <v>600000</v>
      </c>
      <c r="C5" s="2" t="s">
        <v>230</v>
      </c>
    </row>
    <row r="6" spans="1:3" x14ac:dyDescent="0.45">
      <c r="A6" t="s">
        <v>348</v>
      </c>
      <c r="B6" s="4">
        <v>4</v>
      </c>
      <c r="C6" s="2" t="s">
        <v>231</v>
      </c>
    </row>
    <row r="7" spans="1:3" x14ac:dyDescent="0.45">
      <c r="A7" t="s">
        <v>349</v>
      </c>
      <c r="B7" s="4">
        <v>8</v>
      </c>
      <c r="C7" s="2" t="s">
        <v>232</v>
      </c>
    </row>
    <row r="8" spans="1:3" x14ac:dyDescent="0.45">
      <c r="A8" t="s">
        <v>350</v>
      </c>
      <c r="B8" s="4">
        <v>4</v>
      </c>
      <c r="C8" s="2" t="s">
        <v>233</v>
      </c>
    </row>
    <row r="9" spans="1:3" x14ac:dyDescent="0.45">
      <c r="A9" t="s">
        <v>351</v>
      </c>
      <c r="B9" s="4">
        <v>0</v>
      </c>
      <c r="C9" s="2" t="s">
        <v>234</v>
      </c>
    </row>
    <row r="10" spans="1:3" x14ac:dyDescent="0.45">
      <c r="A10" t="s">
        <v>352</v>
      </c>
      <c r="B10" s="4">
        <v>0</v>
      </c>
      <c r="C10" s="2" t="s">
        <v>235</v>
      </c>
    </row>
    <row r="11" spans="1:3" x14ac:dyDescent="0.45">
      <c r="A11" t="s">
        <v>353</v>
      </c>
      <c r="B11" s="4">
        <v>0</v>
      </c>
      <c r="C11" s="2" t="s">
        <v>236</v>
      </c>
    </row>
    <row r="12" spans="1:3" x14ac:dyDescent="0.45">
      <c r="A12" t="s">
        <v>354</v>
      </c>
      <c r="B12" s="4" t="b">
        <v>0</v>
      </c>
      <c r="C12" s="2" t="s">
        <v>228</v>
      </c>
    </row>
    <row r="13" spans="1:3" x14ac:dyDescent="0.45">
      <c r="A13" t="s">
        <v>355</v>
      </c>
      <c r="B13" s="4">
        <v>120000</v>
      </c>
      <c r="C13" s="2" t="s">
        <v>229</v>
      </c>
    </row>
    <row r="14" spans="1:3" x14ac:dyDescent="0.45">
      <c r="A14" t="s">
        <v>356</v>
      </c>
      <c r="B14" s="4">
        <v>150000</v>
      </c>
      <c r="C14" s="2" t="s">
        <v>230</v>
      </c>
    </row>
    <row r="15" spans="1:3" x14ac:dyDescent="0.45">
      <c r="A15" t="s">
        <v>357</v>
      </c>
      <c r="B15" s="4">
        <v>6</v>
      </c>
      <c r="C15" s="2" t="s">
        <v>231</v>
      </c>
    </row>
    <row r="16" spans="1:3" x14ac:dyDescent="0.45">
      <c r="A16" t="s">
        <v>358</v>
      </c>
      <c r="B16" s="4">
        <v>7</v>
      </c>
      <c r="C16" s="2" t="s">
        <v>232</v>
      </c>
    </row>
    <row r="17" spans="1:3" x14ac:dyDescent="0.45">
      <c r="A17" t="s">
        <v>359</v>
      </c>
      <c r="B17" s="4">
        <v>6</v>
      </c>
      <c r="C17" s="2" t="s">
        <v>233</v>
      </c>
    </row>
    <row r="18" spans="1:3" x14ac:dyDescent="0.45">
      <c r="A18" t="s">
        <v>360</v>
      </c>
      <c r="B18" s="4">
        <v>0</v>
      </c>
      <c r="C18" s="2" t="s">
        <v>234</v>
      </c>
    </row>
    <row r="19" spans="1:3" x14ac:dyDescent="0.45">
      <c r="A19" t="s">
        <v>361</v>
      </c>
      <c r="B19" s="4">
        <v>0</v>
      </c>
      <c r="C19" s="2" t="s">
        <v>235</v>
      </c>
    </row>
    <row r="20" spans="1:3" x14ac:dyDescent="0.45">
      <c r="A20" t="s">
        <v>362</v>
      </c>
      <c r="B20" s="4">
        <v>0</v>
      </c>
      <c r="C20" s="2"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Field Guide</vt:lpstr>
      <vt:lpstr>Lists</vt:lpstr>
      <vt:lpstr>Debts</vt:lpstr>
      <vt:lpstr>Investments</vt:lpstr>
      <vt:lpstr>Recurring Expenses</vt:lpstr>
      <vt:lpstr>Annual &amp; Lumpy Expenses</vt:lpstr>
      <vt:lpstr>Passive Income</vt:lpstr>
      <vt:lpstr>Goals</vt:lpstr>
      <vt:lpstr>Assumptions</vt:lpstr>
      <vt:lpstr>Tax</vt:lpstr>
      <vt:lpstr>Income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Parth Mody</cp:lastModifiedBy>
  <dcterms:created xsi:type="dcterms:W3CDTF">2026-08-24T13:57:24Z</dcterms:created>
  <dcterms:modified xsi:type="dcterms:W3CDTF">2026-08-24T14:48:13Z</dcterms:modified>
</cp:coreProperties>
</file>