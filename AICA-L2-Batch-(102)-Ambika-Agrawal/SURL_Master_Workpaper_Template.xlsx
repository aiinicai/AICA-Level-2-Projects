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YE AP Aging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Subsequent AP Aging" sheetId="5" state="visible" r:id="rId5"/>
    <sheet xmlns:r="http://schemas.openxmlformats.org/officeDocument/2006/relationships" name="Unprocessed Invoices" sheetId="6" state="visible" r:id="rId6"/>
    <sheet xmlns:r="http://schemas.openxmlformats.org/officeDocument/2006/relationships" name="Trial Balance" sheetId="7" state="visible" r:id="rId7"/>
    <sheet xmlns:r="http://schemas.openxmlformats.org/officeDocument/2006/relationships" name="Test Cases" sheetId="8" state="visible" r:id="rId8"/>
    <sheet xmlns:r="http://schemas.openxmlformats.org/officeDocument/2006/relationships" name="Sample Selection" sheetId="9" state="visible" r:id="rId9"/>
    <sheet xmlns:r="http://schemas.openxmlformats.org/officeDocument/2006/relationships" name="Invoice Testing" sheetId="10" state="visible" r:id="rId10"/>
    <sheet xmlns:r="http://schemas.openxmlformats.org/officeDocument/2006/relationships" name="Workpaper Summary" sheetId="11" state="visible" r:id="rId11"/>
    <sheet xmlns:r="http://schemas.openxmlformats.org/officeDocument/2006/relationships" name="Procedure Gui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YeApAging" displayName="TblYeApAging" ref="A4:I12" headerRowCount="1">
  <autoFilter ref="A4:I12"/>
  <tableColumns count="9">
    <tableColumn id="1" name="Vendor ID"/>
    <tableColumn id="2" name="Vendor Name"/>
    <tableColumn id="3" name="Invoice No."/>
    <tableColumn id="4" name="Invoice Date"/>
    <tableColumn id="5" name="Receipt / Service Date"/>
    <tableColumn id="6" name="Invoice Amount"/>
    <tableColumn id="7" name="Open Balance YE"/>
    <tableColumn id="8" name="GL Account"/>
    <tableColumn id="9" name="Status / 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sbursements" displayName="TblDisbursements" ref="A4:H14" headerRowCount="1">
  <autoFilter ref="A4:H14"/>
  <tableColumns count="8">
    <tableColumn id="1" name="Payment ID"/>
    <tableColumn id="2" name="Payment Date"/>
    <tableColumn id="3" name="Vendor ID"/>
    <tableColumn id="4" name="Vendor Name"/>
    <tableColumn id="5" name="Invoice Ref"/>
    <tableColumn id="6" name="Payment Amount"/>
    <tableColumn id="7" name="Method"/>
    <tableColumn id="8" name="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ubsequentApAging" displayName="TblSubsequentApAging" ref="A4:I18" headerRowCount="1">
  <autoFilter ref="A4:I18"/>
  <tableColumns count="9">
    <tableColumn id="1" name="Vendor ID"/>
    <tableColumn id="2" name="Vendor Name"/>
    <tableColumn id="3" name="Invoice No."/>
    <tableColumn id="4" name="Invoice Date"/>
    <tableColumn id="5" name="Receipt / Service Date"/>
    <tableColumn id="6" name="Invoice Amount"/>
    <tableColumn id="7" name="Open Balance 31-Mar"/>
    <tableColumn id="8" name="Payment Date if settled"/>
    <tableColumn id="9" name="Status /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UnprocessedInvoices" displayName="TblUnprocessedInvoices" ref="A4:I10" headerRowCount="1">
  <autoFilter ref="A4:I10"/>
  <tableColumns count="9">
    <tableColumn id="1" name="Voucher ID"/>
    <tableColumn id="2" name="Vendor ID"/>
    <tableColumn id="3" name="Vendor Name"/>
    <tableColumn id="4" name="Invoice No."/>
    <tableColumn id="5" name="Date Received"/>
    <tableColumn id="6" name="Amount"/>
    <tableColumn id="7" name="Receipt / Service Date"/>
    <tableColumn id="8" name="Description"/>
    <tableColumn id="9" name="Initial Scree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TrialBalance" displayName="TblTrialBalance" ref="A4:E20" headerRowCount="1">
  <autoFilter ref="A4:E20"/>
  <tableColumns count="5">
    <tableColumn id="1" name="Account No."/>
    <tableColumn id="2" name="Account Name"/>
    <tableColumn id="3" name="Classification"/>
    <tableColumn id="4" name="Debit"/>
    <tableColumn id="5" name="Credi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TestCases" displayName="TblTestCases" ref="A4:K8" headerRowCount="1">
  <autoFilter ref="A4:K8"/>
  <tableColumns count="11">
    <tableColumn id="1" name="Case ID"/>
    <tableColumn id="2" name="Scenario"/>
    <tableColumn id="3" name="Vendor ID"/>
    <tableColumn id="4" name="Vendor"/>
    <tableColumn id="5" name="Invoice"/>
    <tableColumn id="6" name="Amount"/>
    <tableColumn id="7" name="Receipt / Service Date"/>
    <tableColumn id="8" name="Payment Date"/>
    <tableColumn id="9" name="Test facts"/>
    <tableColumn id="10" name="Expected tool treatment"/>
    <tableColumn id="11" name="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5" customWidth="1" min="3" max="3"/>
    <col width="34" customWidth="1" min="4" max="4"/>
    <col width="60" customWidth="1" min="5" max="5"/>
  </cols>
  <sheetData>
    <row r="1" ht="27" customHeight="1">
      <c r="A1" s="1" t="inlineStr">
        <is>
          <t>SURL Audit Tool — Final Capstone Prototype</t>
        </is>
      </c>
    </row>
    <row r="2" ht="34" customHeight="1">
      <c r="A2" s="2" t="inlineStr">
        <is>
          <t>Fictional training dataset. This is an audit-support tool; all exceptions require auditor validation and conclusion.</t>
        </is>
      </c>
    </row>
    <row r="3"/>
    <row r="4" ht="34" customHeight="1">
      <c r="A4" s="3" t="inlineStr">
        <is>
          <t>Section</t>
        </is>
      </c>
      <c r="B4" s="3" t="inlineStr">
        <is>
          <t>Purpose</t>
        </is>
      </c>
      <c r="C4" s="3" t="inlineStr">
        <is>
          <t>What to do</t>
        </is>
      </c>
      <c r="D4" s="3" t="inlineStr">
        <is>
          <t>Output</t>
        </is>
      </c>
      <c r="E4" s="3" t="inlineStr">
        <is>
          <t>Important limitation</t>
        </is>
      </c>
    </row>
    <row r="5" ht="65" customHeight="1">
      <c r="A5" s="4" t="inlineStr">
        <is>
          <t>1. Inputs &amp; assumptions</t>
        </is>
      </c>
      <c r="B5" s="4" t="inlineStr">
        <is>
          <t>Set period, materiality and approved sampling parameters.</t>
        </is>
      </c>
      <c r="C5" s="4" t="inlineStr">
        <is>
          <t>Review Inputs tab and replace example values with engagement-approved values.</t>
        </is>
      </c>
      <c r="D5" s="4" t="inlineStr">
        <is>
          <t>Documented planning assumptions</t>
        </is>
      </c>
      <c r="E5" s="4" t="inlineStr">
        <is>
          <t>No universal sample size is determined by materiality/population count alone.</t>
        </is>
      </c>
    </row>
    <row r="6" ht="65" customHeight="1">
      <c r="A6" s="4" t="inlineStr">
        <is>
          <t>2. Four sample cases</t>
        </is>
      </c>
      <c r="B6" s="4" t="inlineStr">
        <is>
          <t>Test inclusion/exclusion logic using four controlled scenarios.</t>
        </is>
      </c>
      <c r="C6" s="4" t="inlineStr">
        <is>
          <t>See Test Cases and fictional invoice PDF.</t>
        </is>
      </c>
      <c r="D6" s="4" t="inlineStr">
        <is>
          <t>Expected outcome for each case</t>
        </is>
      </c>
      <c r="E6" s="4" t="inlineStr">
        <is>
          <t>Four invoices are only for prototype testing; not an adequate audit sample by themselves.</t>
        </is>
      </c>
    </row>
    <row r="7" ht="65" customHeight="1">
      <c r="A7" s="4" t="inlineStr">
        <is>
          <t>3. Population files</t>
        </is>
      </c>
      <c r="B7" s="4" t="inlineStr">
        <is>
          <t>Use YE AP aging, subsequent disbursements, subsequent AP aging, unprocessed invoices and trial balance.</t>
        </is>
      </c>
      <c r="C7" s="4" t="inlineStr">
        <is>
          <t>Replace sample data with approved/redacted client data; reconcile each population.</t>
        </is>
      </c>
      <c r="D7" s="4" t="inlineStr">
        <is>
          <t>Population counts and values</t>
        </is>
      </c>
      <c r="E7" s="4" t="inlineStr">
        <is>
          <t>Two core files alone do not establish completeness of all liabilities.</t>
        </is>
      </c>
    </row>
    <row r="8" ht="65" customHeight="1">
      <c r="A8" s="4" t="inlineStr">
        <is>
          <t>4. Auto sample selection</t>
        </is>
      </c>
      <c r="B8" s="4" t="inlineStr">
        <is>
          <t>Risk flags, large items, unmatched items and date buckets are surfaced.</t>
        </is>
      </c>
      <c r="C8" s="4" t="inlineStr">
        <is>
          <t>Review Sample Selection tab and approve/override selection.</t>
        </is>
      </c>
      <c r="D8" s="4" t="inlineStr">
        <is>
          <t>Suggested sample list</t>
        </is>
      </c>
      <c r="E8" s="4" t="inlineStr">
        <is>
          <t>Non-statistical risk-based selection unless a separate approved statistical method is implemented.</t>
        </is>
      </c>
    </row>
    <row r="9" ht="65" customHeight="1">
      <c r="A9" s="4" t="inlineStr">
        <is>
          <t>5. Invoice testing</t>
        </is>
      </c>
      <c r="B9" s="4" t="inlineStr">
        <is>
          <t>Document invoice, PO, receipt/service evidence, ledger trace and conclusion.</t>
        </is>
      </c>
      <c r="C9" s="4" t="inlineStr">
        <is>
          <t>Complete Invoice Testing tab and cross-reference supporting docs.</t>
        </is>
      </c>
      <c r="D9" s="4" t="inlineStr">
        <is>
          <t>Audit evidence trail</t>
        </is>
      </c>
      <c r="E9" s="4" t="inlineStr">
        <is>
          <t>Do not conclude unrecorded liability based only on payment date or AI flag.</t>
        </is>
      </c>
    </row>
    <row r="10" ht="65" customHeight="1">
      <c r="A10" s="4" t="inlineStr">
        <is>
          <t>6. Workpaper conclusion</t>
        </is>
      </c>
      <c r="B10" s="4" t="inlineStr">
        <is>
          <t>Summarise procedures, exceptions, follow-up and review.</t>
        </is>
      </c>
      <c r="C10" s="4" t="inlineStr">
        <is>
          <t>Complete Workpaper Summary and reviewer fields.</t>
        </is>
      </c>
      <c r="D10" s="4" t="inlineStr">
        <is>
          <t>Workpaper ready for review</t>
        </is>
      </c>
      <c r="E10" s="4" t="inlineStr">
        <is>
          <t>Engagement auditor must approve methodology and final conclusion.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85" customWidth="1" min="3" max="3"/>
    <col width="32" customWidth="1" min="4" max="4"/>
  </cols>
  <sheetData>
    <row r="1" ht="27" customHeight="1">
      <c r="A1" s="1" t="inlineStr">
        <is>
          <t>Engagement Inputs</t>
        </is>
      </c>
    </row>
    <row r="2" ht="34" customHeight="1">
      <c r="A2" s="2" t="inlineStr">
        <is>
          <t>Illustrative defaults only; replace with approved values. The sample size helper is planning support, not a substitute for professional judgment.</t>
        </is>
      </c>
    </row>
    <row r="3"/>
    <row r="4" ht="3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Purpose / guidance</t>
        </is>
      </c>
      <c r="D4" s="3" t="inlineStr">
        <is>
          <t>Notes</t>
        </is>
      </c>
    </row>
    <row r="5">
      <c r="A5" s="4" t="inlineStr">
        <is>
          <t>Entity</t>
        </is>
      </c>
      <c r="B5" s="5" t="inlineStr">
        <is>
          <t>Sample Co. Ltd.</t>
        </is>
      </c>
      <c r="C5" s="4" t="inlineStr">
        <is>
          <t>Fictional training entity</t>
        </is>
      </c>
      <c r="D5" s="4" t="inlineStr"/>
    </row>
    <row r="6">
      <c r="A6" s="4" t="inlineStr">
        <is>
          <t>Period start</t>
        </is>
      </c>
      <c r="B6" s="6" t="n">
        <v>45658</v>
      </c>
      <c r="C6" s="4" t="inlineStr">
        <is>
          <t>Start of audit period</t>
        </is>
      </c>
      <c r="D6" s="4" t="inlineStr">
        <is>
          <t>Date</t>
        </is>
      </c>
    </row>
    <row r="7">
      <c r="A7" s="4" t="inlineStr">
        <is>
          <t>Year-end date</t>
        </is>
      </c>
      <c r="B7" s="6" t="n">
        <v>46022</v>
      </c>
      <c r="C7" s="4" t="inlineStr">
        <is>
          <t>Reporting date</t>
        </is>
      </c>
      <c r="D7" s="4" t="inlineStr">
        <is>
          <t>Date</t>
        </is>
      </c>
    </row>
    <row r="8">
      <c r="A8" s="4" t="inlineStr">
        <is>
          <t>Subsequent search start</t>
        </is>
      </c>
      <c r="B8" s="6" t="n">
        <v>46023</v>
      </c>
      <c r="C8" s="4" t="inlineStr">
        <is>
          <t>First day after year-end</t>
        </is>
      </c>
      <c r="D8" s="4" t="inlineStr">
        <is>
          <t>Date</t>
        </is>
      </c>
    </row>
    <row r="9">
      <c r="A9" s="4" t="inlineStr">
        <is>
          <t>Subsequent search end</t>
        </is>
      </c>
      <c r="B9" s="6" t="n">
        <v>46112</v>
      </c>
      <c r="C9" s="4" t="inlineStr">
        <is>
          <t>Illustrative 90-day search window; align with report date and methodology</t>
        </is>
      </c>
      <c r="D9" s="4" t="inlineStr">
        <is>
          <t>Date</t>
        </is>
      </c>
    </row>
    <row r="10">
      <c r="A10" s="4" t="inlineStr">
        <is>
          <t>Overall materiality</t>
        </is>
      </c>
      <c r="B10" s="7" t="n">
        <v>250000</v>
      </c>
      <c r="C10" s="4" t="inlineStr">
        <is>
          <t>Approved financial statement materiality</t>
        </is>
      </c>
      <c r="D10" s="4" t="inlineStr">
        <is>
          <t>Currency</t>
        </is>
      </c>
    </row>
    <row r="11">
      <c r="A11" s="4" t="inlineStr">
        <is>
          <t>Performance materiality</t>
        </is>
      </c>
      <c r="B11" s="7" t="n">
        <v>175000</v>
      </c>
      <c r="C11" s="4" t="inlineStr">
        <is>
          <t>Approved engagement planning value</t>
        </is>
      </c>
      <c r="D11" s="4" t="inlineStr">
        <is>
          <t>Currency</t>
        </is>
      </c>
    </row>
    <row r="12">
      <c r="A12" s="4" t="inlineStr">
        <is>
          <t>SURL tolerable misstatement</t>
        </is>
      </c>
      <c r="B12" s="7" t="n">
        <v>100000</v>
      </c>
      <c r="C12" s="4" t="inlineStr">
        <is>
          <t>Procedure-specific tolerable misstatement approved by engagement team</t>
        </is>
      </c>
      <c r="D12" s="4" t="inlineStr">
        <is>
          <t>Currency</t>
        </is>
      </c>
    </row>
    <row r="13">
      <c r="A13" s="4" t="inlineStr">
        <is>
          <t>Individually significant threshold</t>
        </is>
      </c>
      <c r="B13" s="7" t="n">
        <v>50000</v>
      </c>
      <c r="C13" s="4" t="inlineStr">
        <is>
          <t>Risk-screening threshold; set based on methodology</t>
        </is>
      </c>
      <c r="D13" s="4" t="inlineStr">
        <is>
          <t>Currency</t>
        </is>
      </c>
    </row>
    <row r="14">
      <c r="A14" s="4" t="inlineStr">
        <is>
          <t>Confidence factor (planning only)</t>
        </is>
      </c>
      <c r="B14" s="5" t="n">
        <v>1</v>
      </c>
      <c r="C14" s="4" t="inlineStr">
        <is>
          <t>Placeholder for non-statistical planning; not a statistical confidence factor</t>
        </is>
      </c>
      <c r="D14" s="4" t="inlineStr">
        <is>
          <t>Do not use for statistical inference</t>
        </is>
      </c>
    </row>
    <row r="15">
      <c r="A15" s="4" t="inlineStr">
        <is>
          <t>Population count</t>
        </is>
      </c>
      <c r="B15" s="5">
        <f>COUNTA(Disbursements!A5:A500)</f>
        <v/>
      </c>
      <c r="C15" s="4" t="inlineStr">
        <is>
          <t>Calculated from disbursement population</t>
        </is>
      </c>
      <c r="D15" s="4" t="inlineStr">
        <is>
          <t>Formula</t>
        </is>
      </c>
    </row>
    <row r="16">
      <c r="A16" s="4" t="inlineStr">
        <is>
          <t>Disbursement population value</t>
        </is>
      </c>
      <c r="B16" s="5">
        <f>SUM(Disbursements!F5:F500)</f>
        <v/>
      </c>
      <c r="C16" s="4" t="inlineStr">
        <is>
          <t>Calculated from disbursement population</t>
        </is>
      </c>
      <c r="D16" s="4" t="inlineStr">
        <is>
          <t>Formula</t>
        </is>
      </c>
    </row>
    <row r="17">
      <c r="A17" s="4" t="inlineStr">
        <is>
          <t>Illustrative base coverage rate</t>
        </is>
      </c>
      <c r="B17" s="8" t="n">
        <v>0.25</v>
      </c>
      <c r="C17" s="4" t="inlineStr">
        <is>
          <t>Non-statistical planning knob; review with auditor, do not treat as standard</t>
        </is>
      </c>
      <c r="D17" s="4" t="inlineStr">
        <is>
          <t>0–1</t>
        </is>
      </c>
    </row>
    <row r="18">
      <c r="A18" s="4" t="inlineStr">
        <is>
          <t>Planning sample count (helper)</t>
        </is>
      </c>
      <c r="B18" s="5">
        <f>MIN(B15,MAX(4,ROUNDUP(B15*B17,0)))</f>
        <v/>
      </c>
      <c r="C18" s="4" t="inlineStr">
        <is>
          <t>Illustrative floor of 4 plus selected coverage rate; not an audit-standard formula</t>
        </is>
      </c>
      <c r="D18" s="4" t="inlineStr">
        <is>
          <t>Formula</t>
        </is>
      </c>
    </row>
    <row r="19">
      <c r="A19" s="4" t="inlineStr">
        <is>
          <t>Days bucket 1</t>
        </is>
      </c>
      <c r="B19" s="5" t="n">
        <v>30</v>
      </c>
      <c r="C19" s="4" t="inlineStr">
        <is>
          <t>Date coverage bucket boundary</t>
        </is>
      </c>
      <c r="D19" s="4" t="inlineStr">
        <is>
          <t>Days</t>
        </is>
      </c>
    </row>
    <row r="20">
      <c r="A20" s="4" t="inlineStr">
        <is>
          <t>Days bucket 2</t>
        </is>
      </c>
      <c r="B20" s="5" t="n">
        <v>60</v>
      </c>
      <c r="C20" s="4" t="inlineStr">
        <is>
          <t>Date coverage bucket boundary</t>
        </is>
      </c>
      <c r="D20" s="4" t="inlineStr">
        <is>
          <t>Days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23" customWidth="1" min="5" max="5"/>
    <col width="18" customWidth="1" min="6" max="6"/>
    <col width="20" customWidth="1" min="7" max="7"/>
    <col width="16" customWidth="1" min="8" max="8"/>
    <col width="30" customWidth="1" min="9" max="9"/>
  </cols>
  <sheetData>
    <row r="1" ht="27" customHeight="1">
      <c r="A1" s="1" t="inlineStr">
        <is>
          <t>Year-End AP Aging</t>
        </is>
      </c>
    </row>
    <row r="2" ht="34" customHeight="1">
      <c r="A2" s="2" t="inlineStr">
        <is>
          <t>Open AP invoice population as at 31-Dec-2025. Reconcile total to AP subledger and GL control account.</t>
        </is>
      </c>
    </row>
    <row r="3"/>
    <row r="4" ht="34" customHeight="1">
      <c r="A4" s="3" t="inlineStr">
        <is>
          <t>Vendor ID</t>
        </is>
      </c>
      <c r="B4" s="3" t="inlineStr">
        <is>
          <t>Vendor Name</t>
        </is>
      </c>
      <c r="C4" s="3" t="inlineStr">
        <is>
          <t>Invoice No.</t>
        </is>
      </c>
      <c r="D4" s="3" t="inlineStr">
        <is>
          <t>Invoice Date</t>
        </is>
      </c>
      <c r="E4" s="3" t="inlineStr">
        <is>
          <t>Receipt / Service Date</t>
        </is>
      </c>
      <c r="F4" s="3" t="inlineStr">
        <is>
          <t>Invoice Amount</t>
        </is>
      </c>
      <c r="G4" s="3" t="inlineStr">
        <is>
          <t>Open Balance YE</t>
        </is>
      </c>
      <c r="H4" s="3" t="inlineStr">
        <is>
          <t>GL Account</t>
        </is>
      </c>
      <c r="I4" s="3" t="inlineStr">
        <is>
          <t>Status / Notes</t>
        </is>
      </c>
    </row>
    <row r="5">
      <c r="A5" s="4" t="inlineStr">
        <is>
          <t>V001</t>
        </is>
      </c>
      <c r="B5" s="4" t="inlineStr">
        <is>
          <t>Northstar Office Supplies</t>
        </is>
      </c>
      <c r="C5" s="4" t="inlineStr">
        <is>
          <t>NS-251188</t>
        </is>
      </c>
      <c r="D5" s="9" t="n">
        <v>46001</v>
      </c>
      <c r="E5" s="9" t="n">
        <v>46006</v>
      </c>
      <c r="F5" s="10" t="n">
        <v>12500</v>
      </c>
      <c r="G5" s="10" t="n">
        <v>12500</v>
      </c>
      <c r="H5" s="4" t="inlineStr">
        <is>
          <t>2000-AP</t>
        </is>
      </c>
      <c r="I5" s="4" t="inlineStr">
        <is>
          <t>Included at YE</t>
        </is>
      </c>
    </row>
    <row r="6">
      <c r="A6" s="4" t="inlineStr">
        <is>
          <t>V002</t>
        </is>
      </c>
      <c r="B6" s="4" t="inlineStr">
        <is>
          <t>Metro Utilities</t>
        </is>
      </c>
      <c r="C6" s="4" t="inlineStr">
        <is>
          <t>MU-DEC25</t>
        </is>
      </c>
      <c r="D6" s="9" t="n">
        <v>46019</v>
      </c>
      <c r="E6" s="9" t="n">
        <v>46022</v>
      </c>
      <c r="F6" s="10" t="n">
        <v>18400</v>
      </c>
      <c r="G6" s="10" t="n">
        <v>18400</v>
      </c>
      <c r="H6" s="4" t="inlineStr">
        <is>
          <t>2000-AP</t>
        </is>
      </c>
      <c r="I6" s="4" t="inlineStr">
        <is>
          <t>Included at YE</t>
        </is>
      </c>
    </row>
    <row r="7">
      <c r="A7" s="4" t="inlineStr">
        <is>
          <t>V003</t>
        </is>
      </c>
      <c r="B7" s="4" t="inlineStr">
        <is>
          <t>Apex IT Services</t>
        </is>
      </c>
      <c r="C7" s="4" t="inlineStr">
        <is>
          <t>APX-4491</t>
        </is>
      </c>
      <c r="D7" s="9" t="n">
        <v>46011</v>
      </c>
      <c r="E7" s="9" t="n">
        <v>46013</v>
      </c>
      <c r="F7" s="10" t="n">
        <v>48500</v>
      </c>
      <c r="G7" s="10" t="n">
        <v>48500</v>
      </c>
      <c r="H7" s="4" t="inlineStr">
        <is>
          <t>2000-AP</t>
        </is>
      </c>
      <c r="I7" s="4" t="inlineStr">
        <is>
          <t>Included at YE</t>
        </is>
      </c>
    </row>
    <row r="8">
      <c r="A8" s="4" t="inlineStr">
        <is>
          <t>V004</t>
        </is>
      </c>
      <c r="B8" s="4" t="inlineStr">
        <is>
          <t>Greenline Logistics</t>
        </is>
      </c>
      <c r="C8" s="4" t="inlineStr">
        <is>
          <t>GL-9822</t>
        </is>
      </c>
      <c r="D8" s="9" t="n">
        <v>46020</v>
      </c>
      <c r="E8" s="9" t="n">
        <v>46024</v>
      </c>
      <c r="F8" s="10" t="n">
        <v>27600</v>
      </c>
      <c r="G8" s="10" t="n">
        <v>27600</v>
      </c>
      <c r="H8" s="4" t="inlineStr">
        <is>
          <t>2000-AP</t>
        </is>
      </c>
      <c r="I8" s="4" t="inlineStr">
        <is>
          <t>Included at YE</t>
        </is>
      </c>
    </row>
    <row r="9">
      <c r="A9" s="4" t="inlineStr">
        <is>
          <t>V005</t>
        </is>
      </c>
      <c r="B9" s="4" t="inlineStr">
        <is>
          <t>BrightBuild Maintenance</t>
        </is>
      </c>
      <c r="C9" s="4" t="inlineStr">
        <is>
          <t>BB-7720</t>
        </is>
      </c>
      <c r="D9" s="9" t="n">
        <v>46009</v>
      </c>
      <c r="E9" s="9" t="n">
        <v>46011</v>
      </c>
      <c r="F9" s="10" t="n">
        <v>63000</v>
      </c>
      <c r="G9" s="10" t="n">
        <v>63000</v>
      </c>
      <c r="H9" s="4" t="inlineStr">
        <is>
          <t>2000-AP</t>
        </is>
      </c>
      <c r="I9" s="4" t="inlineStr">
        <is>
          <t>Included at YE</t>
        </is>
      </c>
    </row>
    <row r="10">
      <c r="A10" s="4" t="inlineStr">
        <is>
          <t>V006</t>
        </is>
      </c>
      <c r="B10" s="4" t="inlineStr">
        <is>
          <t>Summit Marketing</t>
        </is>
      </c>
      <c r="C10" s="4" t="inlineStr">
        <is>
          <t>SM-1044</t>
        </is>
      </c>
      <c r="D10" s="9" t="n">
        <v>45991</v>
      </c>
      <c r="E10" s="9" t="n">
        <v>45993</v>
      </c>
      <c r="F10" s="10" t="n">
        <v>22000</v>
      </c>
      <c r="G10" s="10" t="n">
        <v>22000</v>
      </c>
      <c r="H10" s="4" t="inlineStr">
        <is>
          <t>2000-AP</t>
        </is>
      </c>
      <c r="I10" s="4" t="inlineStr">
        <is>
          <t>Included at YE</t>
        </is>
      </c>
    </row>
    <row r="11">
      <c r="A11" s="4" t="inlineStr">
        <is>
          <t>V007</t>
        </is>
      </c>
      <c r="B11" s="4" t="inlineStr">
        <is>
          <t>CloudNine Software</t>
        </is>
      </c>
      <c r="C11" s="4" t="inlineStr">
        <is>
          <t>C9-DEC25</t>
        </is>
      </c>
      <c r="D11" s="9" t="n">
        <v>45992</v>
      </c>
      <c r="E11" s="9" t="n">
        <v>45992</v>
      </c>
      <c r="F11" s="10" t="n">
        <v>96000</v>
      </c>
      <c r="G11" s="10" t="n">
        <v>96000</v>
      </c>
      <c r="H11" s="4" t="inlineStr">
        <is>
          <t>2000-AP</t>
        </is>
      </c>
      <c r="I11" s="4" t="inlineStr">
        <is>
          <t>Included at YE</t>
        </is>
      </c>
    </row>
    <row r="12">
      <c r="A12" s="4" t="inlineStr">
        <is>
          <t>V008</t>
        </is>
      </c>
      <c r="B12" s="4" t="inlineStr">
        <is>
          <t>Pioneer Packaging</t>
        </is>
      </c>
      <c r="C12" s="4" t="inlineStr">
        <is>
          <t>PP-8890</t>
        </is>
      </c>
      <c r="D12" s="9" t="n">
        <v>46013</v>
      </c>
      <c r="E12" s="9" t="n">
        <v>46015</v>
      </c>
      <c r="F12" s="10" t="n">
        <v>15800</v>
      </c>
      <c r="G12" s="10" t="n">
        <v>15800</v>
      </c>
      <c r="H12" s="4" t="inlineStr">
        <is>
          <t>2000-AP</t>
        </is>
      </c>
      <c r="I12" s="4" t="inlineStr">
        <is>
          <t>Included at YE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0" customWidth="1" min="5" max="5"/>
    <col width="18" customWidth="1" min="6" max="6"/>
    <col width="14" customWidth="1" min="7" max="7"/>
    <col width="48" customWidth="1" min="8" max="8"/>
  </cols>
  <sheetData>
    <row r="1" ht="27" customHeight="1">
      <c r="A1" s="1" t="inlineStr">
        <is>
          <t>Subsequent Bank Disbursement Register</t>
        </is>
      </c>
    </row>
    <row r="2" ht="34" customHeight="1">
      <c r="A2" s="2" t="inlineStr">
        <is>
          <t>Payments after year-end. Full fictional population; select samples from the full listing after reconciling to source.</t>
        </is>
      </c>
    </row>
    <row r="3"/>
    <row r="4" ht="34" customHeight="1">
      <c r="A4" s="3" t="inlineStr">
        <is>
          <t>Payment ID</t>
        </is>
      </c>
      <c r="B4" s="3" t="inlineStr">
        <is>
          <t>Payment Date</t>
        </is>
      </c>
      <c r="C4" s="3" t="inlineStr">
        <is>
          <t>Vendor ID</t>
        </is>
      </c>
      <c r="D4" s="3" t="inlineStr">
        <is>
          <t>Vendor Name</t>
        </is>
      </c>
      <c r="E4" s="3" t="inlineStr">
        <is>
          <t>Invoice Ref</t>
        </is>
      </c>
      <c r="F4" s="3" t="inlineStr">
        <is>
          <t>Payment Amount</t>
        </is>
      </c>
      <c r="G4" s="3" t="inlineStr">
        <is>
          <t>Method</t>
        </is>
      </c>
      <c r="H4" s="3" t="inlineStr">
        <is>
          <t>Description</t>
        </is>
      </c>
    </row>
    <row r="5">
      <c r="A5" s="4" t="inlineStr">
        <is>
          <t>D001</t>
        </is>
      </c>
      <c r="B5" s="9" t="n">
        <v>46030</v>
      </c>
      <c r="C5" s="4" t="inlineStr">
        <is>
          <t>V001</t>
        </is>
      </c>
      <c r="D5" s="4" t="inlineStr">
        <is>
          <t>Northstar Office Supplies</t>
        </is>
      </c>
      <c r="E5" s="4" t="inlineStr">
        <is>
          <t>NS-251188</t>
        </is>
      </c>
      <c r="F5" s="10" t="n">
        <v>12500</v>
      </c>
      <c r="G5" s="4" t="inlineStr">
        <is>
          <t>ACH</t>
        </is>
      </c>
      <c r="H5" s="4" t="inlineStr">
        <is>
          <t>Payment for year-end AP item</t>
        </is>
      </c>
    </row>
    <row r="6">
      <c r="A6" s="4" t="inlineStr">
        <is>
          <t>D002</t>
        </is>
      </c>
      <c r="B6" s="9" t="n">
        <v>46034</v>
      </c>
      <c r="C6" s="4" t="inlineStr">
        <is>
          <t>V021</t>
        </is>
      </c>
      <c r="D6" s="4" t="inlineStr">
        <is>
          <t>Delta Electric</t>
        </is>
      </c>
      <c r="E6" s="4" t="inlineStr">
        <is>
          <t>DE-5510</t>
        </is>
      </c>
      <c r="F6" s="10" t="n">
        <v>38700</v>
      </c>
      <c r="G6" s="4" t="inlineStr">
        <is>
          <t>ACH</t>
        </is>
      </c>
      <c r="H6" s="4" t="inlineStr">
        <is>
          <t>Invoice not in year-end AP aging; December service</t>
        </is>
      </c>
    </row>
    <row r="7">
      <c r="A7" s="4" t="inlineStr">
        <is>
          <t>D003</t>
        </is>
      </c>
      <c r="B7" s="9" t="n">
        <v>46042</v>
      </c>
      <c r="C7" s="4" t="inlineStr">
        <is>
          <t>V022</t>
        </is>
      </c>
      <c r="D7" s="4" t="inlineStr">
        <is>
          <t>Crown Legal LLP</t>
        </is>
      </c>
      <c r="E7" s="4" t="inlineStr">
        <is>
          <t>CL-DEC25</t>
        </is>
      </c>
      <c r="F7" s="10" t="n">
        <v>92000</v>
      </c>
      <c r="G7" s="4" t="inlineStr">
        <is>
          <t>Wire</t>
        </is>
      </c>
      <c r="H7" s="4" t="inlineStr">
        <is>
          <t>Invoice not in year-end AP aging; December legal services</t>
        </is>
      </c>
    </row>
    <row r="8">
      <c r="A8" s="4" t="inlineStr">
        <is>
          <t>D004</t>
        </is>
      </c>
      <c r="B8" s="9" t="n">
        <v>46058</v>
      </c>
      <c r="C8" s="4" t="inlineStr">
        <is>
          <t>V023</t>
        </is>
      </c>
      <c r="D8" s="4" t="inlineStr">
        <is>
          <t>Prime Janitorial</t>
        </is>
      </c>
      <c r="E8" s="4" t="inlineStr">
        <is>
          <t>PJ-0106</t>
        </is>
      </c>
      <c r="F8" s="10" t="n">
        <v>14500</v>
      </c>
      <c r="G8" s="4" t="inlineStr">
        <is>
          <t>ACH</t>
        </is>
      </c>
      <c r="H8" s="4" t="inlineStr">
        <is>
          <t>January service; post-period expense</t>
        </is>
      </c>
    </row>
    <row r="9">
      <c r="A9" s="4" t="inlineStr">
        <is>
          <t>D005</t>
        </is>
      </c>
      <c r="B9" s="9" t="n">
        <v>46067</v>
      </c>
      <c r="C9" s="4" t="inlineStr">
        <is>
          <t>V003</t>
        </is>
      </c>
      <c r="D9" s="4" t="inlineStr">
        <is>
          <t>Apex IT Services</t>
        </is>
      </c>
      <c r="E9" s="4" t="inlineStr">
        <is>
          <t>APX-4491</t>
        </is>
      </c>
      <c r="F9" s="10" t="n">
        <v>48500</v>
      </c>
      <c r="G9" s="4" t="inlineStr">
        <is>
          <t>ACH</t>
        </is>
      </c>
      <c r="H9" s="4" t="inlineStr">
        <is>
          <t>Payment for year-end AP item</t>
        </is>
      </c>
    </row>
    <row r="10">
      <c r="A10" s="4" t="inlineStr">
        <is>
          <t>D006</t>
        </is>
      </c>
      <c r="B10" s="9" t="n">
        <v>46099</v>
      </c>
      <c r="C10" s="4" t="inlineStr">
        <is>
          <t>V024</t>
        </is>
      </c>
      <c r="D10" s="4" t="inlineStr">
        <is>
          <t>Beacon Consulting</t>
        </is>
      </c>
      <c r="E10" s="4" t="inlineStr">
        <is>
          <t>BC-882</t>
        </is>
      </c>
      <c r="F10" s="10" t="n">
        <v>57000</v>
      </c>
      <c r="G10" s="4" t="inlineStr">
        <is>
          <t>Wire</t>
        </is>
      </c>
      <c r="H10" s="4" t="inlineStr">
        <is>
          <t>Potential omitted December milestone; invoice reference requires evidence</t>
        </is>
      </c>
    </row>
    <row r="11">
      <c r="A11" s="4" t="inlineStr">
        <is>
          <t>D007</t>
        </is>
      </c>
      <c r="B11" s="9" t="n">
        <v>46050</v>
      </c>
      <c r="C11" s="4" t="inlineStr">
        <is>
          <t>V004</t>
        </is>
      </c>
      <c r="D11" s="4" t="inlineStr">
        <is>
          <t>Greenline Logistics</t>
        </is>
      </c>
      <c r="E11" s="4" t="inlineStr">
        <is>
          <t>GL-9822</t>
        </is>
      </c>
      <c r="F11" s="10" t="n">
        <v>27600</v>
      </c>
      <c r="G11" s="4" t="inlineStr">
        <is>
          <t>ACH</t>
        </is>
      </c>
      <c r="H11" s="4" t="inlineStr">
        <is>
          <t>Payment for year-end AP item</t>
        </is>
      </c>
    </row>
    <row r="12">
      <c r="A12" s="4" t="inlineStr">
        <is>
          <t>D008</t>
        </is>
      </c>
      <c r="B12" s="9" t="n">
        <v>46080</v>
      </c>
      <c r="C12" s="4" t="inlineStr">
        <is>
          <t>V008</t>
        </is>
      </c>
      <c r="D12" s="4" t="inlineStr">
        <is>
          <t>Pioneer Packaging</t>
        </is>
      </c>
      <c r="E12" s="4" t="inlineStr">
        <is>
          <t>PP-8890</t>
        </is>
      </c>
      <c r="F12" s="10" t="n">
        <v>7900</v>
      </c>
      <c r="G12" s="4" t="inlineStr">
        <is>
          <t>ACH</t>
        </is>
      </c>
      <c r="H12" s="4" t="inlineStr">
        <is>
          <t>Partial payment of year-end AP item</t>
        </is>
      </c>
    </row>
    <row r="13">
      <c r="A13" s="4" t="inlineStr">
        <is>
          <t>D009</t>
        </is>
      </c>
      <c r="B13" s="9" t="n">
        <v>46086</v>
      </c>
      <c r="C13" s="4" t="inlineStr">
        <is>
          <t>V025</t>
        </is>
      </c>
      <c r="D13" s="4" t="inlineStr">
        <is>
          <t>Orion HVAC</t>
        </is>
      </c>
      <c r="E13" s="4" t="inlineStr">
        <is>
          <t>OH-DEC25</t>
        </is>
      </c>
      <c r="F13" s="10" t="n">
        <v>108000</v>
      </c>
      <c r="G13" s="4" t="inlineStr">
        <is>
          <t>Wire</t>
        </is>
      </c>
      <c r="H13" s="4" t="inlineStr">
        <is>
          <t>December maintenance; not in year-end AP aging</t>
        </is>
      </c>
    </row>
    <row r="14">
      <c r="A14" s="4" t="inlineStr">
        <is>
          <t>D010</t>
        </is>
      </c>
      <c r="B14" s="9" t="n">
        <v>46103</v>
      </c>
      <c r="C14" s="4" t="inlineStr">
        <is>
          <t>V026</t>
        </is>
      </c>
      <c r="D14" s="4" t="inlineStr">
        <is>
          <t>January Rent</t>
        </is>
      </c>
      <c r="E14" s="4" t="inlineStr">
        <is>
          <t>JR-0126</t>
        </is>
      </c>
      <c r="F14" s="10" t="n">
        <v>25000</v>
      </c>
      <c r="G14" s="4" t="inlineStr">
        <is>
          <t>ACH</t>
        </is>
      </c>
      <c r="H14" s="4" t="inlineStr">
        <is>
          <t>January rent; post-period expense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23" customWidth="1" min="5" max="5"/>
    <col width="18" customWidth="1" min="6" max="6"/>
    <col width="22" customWidth="1" min="7" max="7"/>
    <col width="22" customWidth="1" min="8" max="8"/>
    <col width="42" customWidth="1" min="9" max="9"/>
  </cols>
  <sheetData>
    <row r="1" ht="27" customHeight="1">
      <c r="A1" s="1" t="inlineStr">
        <is>
          <t>Subsequent AP Aging</t>
        </is>
      </c>
    </row>
    <row r="2" ht="34" customHeight="1">
      <c r="A2" s="2" t="inlineStr">
        <is>
          <t>Illustrative AP open item listing as at 31-Mar-2026. Helps identify items remaining open and subsequent settlement; does not replace YE AP aging.</t>
        </is>
      </c>
    </row>
    <row r="3"/>
    <row r="4" ht="34" customHeight="1">
      <c r="A4" s="3" t="inlineStr">
        <is>
          <t>Vendor ID</t>
        </is>
      </c>
      <c r="B4" s="3" t="inlineStr">
        <is>
          <t>Vendor Name</t>
        </is>
      </c>
      <c r="C4" s="3" t="inlineStr">
        <is>
          <t>Invoice No.</t>
        </is>
      </c>
      <c r="D4" s="3" t="inlineStr">
        <is>
          <t>Invoice Date</t>
        </is>
      </c>
      <c r="E4" s="3" t="inlineStr">
        <is>
          <t>Receipt / Service Date</t>
        </is>
      </c>
      <c r="F4" s="3" t="inlineStr">
        <is>
          <t>Invoice Amount</t>
        </is>
      </c>
      <c r="G4" s="3" t="inlineStr">
        <is>
          <t>Open Balance 31-Mar</t>
        </is>
      </c>
      <c r="H4" s="3" t="inlineStr">
        <is>
          <t>Payment Date if settled</t>
        </is>
      </c>
      <c r="I4" s="3" t="inlineStr">
        <is>
          <t>Status / Notes</t>
        </is>
      </c>
    </row>
    <row r="5">
      <c r="A5" s="4" t="inlineStr">
        <is>
          <t>V001</t>
        </is>
      </c>
      <c r="B5" s="4" t="inlineStr">
        <is>
          <t>Northstar Office Supplies</t>
        </is>
      </c>
      <c r="C5" s="4" t="inlineStr">
        <is>
          <t>NS-251188</t>
        </is>
      </c>
      <c r="D5" s="9" t="n">
        <v>46001</v>
      </c>
      <c r="E5" s="9" t="n">
        <v>46006</v>
      </c>
      <c r="F5" s="10" t="n">
        <v>12500</v>
      </c>
      <c r="G5" s="10" t="n">
        <v>0</v>
      </c>
      <c r="H5" s="9" t="n">
        <v>46030</v>
      </c>
      <c r="I5" s="4" t="inlineStr">
        <is>
          <t>Paid in full</t>
        </is>
      </c>
    </row>
    <row r="6">
      <c r="A6" s="4" t="inlineStr">
        <is>
          <t>V002</t>
        </is>
      </c>
      <c r="B6" s="4" t="inlineStr">
        <is>
          <t>Metro Utilities</t>
        </is>
      </c>
      <c r="C6" s="4" t="inlineStr">
        <is>
          <t>MU-DEC25</t>
        </is>
      </c>
      <c r="D6" s="9" t="n">
        <v>46019</v>
      </c>
      <c r="E6" s="9" t="n">
        <v>46022</v>
      </c>
      <c r="F6" s="10" t="n">
        <v>18400</v>
      </c>
      <c r="G6" s="10" t="n">
        <v>0</v>
      </c>
      <c r="H6" s="9" t="n">
        <v>46034</v>
      </c>
      <c r="I6" s="4" t="inlineStr">
        <is>
          <t>Paid in full</t>
        </is>
      </c>
    </row>
    <row r="7">
      <c r="A7" s="4" t="inlineStr">
        <is>
          <t>V003</t>
        </is>
      </c>
      <c r="B7" s="4" t="inlineStr">
        <is>
          <t>Apex IT Services</t>
        </is>
      </c>
      <c r="C7" s="4" t="inlineStr">
        <is>
          <t>APX-4491</t>
        </is>
      </c>
      <c r="D7" s="9" t="n">
        <v>46011</v>
      </c>
      <c r="E7" s="9" t="n">
        <v>46013</v>
      </c>
      <c r="F7" s="10" t="n">
        <v>48500</v>
      </c>
      <c r="G7" s="10" t="n">
        <v>0</v>
      </c>
      <c r="H7" s="9" t="n">
        <v>46067</v>
      </c>
      <c r="I7" s="4" t="inlineStr">
        <is>
          <t>Paid in full</t>
        </is>
      </c>
    </row>
    <row r="8">
      <c r="A8" s="4" t="inlineStr">
        <is>
          <t>V004</t>
        </is>
      </c>
      <c r="B8" s="4" t="inlineStr">
        <is>
          <t>Greenline Logistics</t>
        </is>
      </c>
      <c r="C8" s="4" t="inlineStr">
        <is>
          <t>GL-9822</t>
        </is>
      </c>
      <c r="D8" s="9" t="n">
        <v>46020</v>
      </c>
      <c r="E8" s="9" t="n">
        <v>46024</v>
      </c>
      <c r="F8" s="10" t="n">
        <v>27600</v>
      </c>
      <c r="G8" s="10" t="n">
        <v>0</v>
      </c>
      <c r="H8" s="9" t="n">
        <v>46050</v>
      </c>
      <c r="I8" s="4" t="inlineStr">
        <is>
          <t>Paid in full</t>
        </is>
      </c>
    </row>
    <row r="9">
      <c r="A9" s="4" t="inlineStr">
        <is>
          <t>V005</t>
        </is>
      </c>
      <c r="B9" s="4" t="inlineStr">
        <is>
          <t>BrightBuild Maintenance</t>
        </is>
      </c>
      <c r="C9" s="4" t="inlineStr">
        <is>
          <t>BB-7720</t>
        </is>
      </c>
      <c r="D9" s="9" t="n">
        <v>46009</v>
      </c>
      <c r="E9" s="9" t="n">
        <v>46011</v>
      </c>
      <c r="F9" s="10" t="n">
        <v>63000</v>
      </c>
      <c r="G9" s="10" t="n">
        <v>0</v>
      </c>
      <c r="H9" s="11" t="n"/>
      <c r="I9" s="4" t="inlineStr">
        <is>
          <t>Still open at subsequent date</t>
        </is>
      </c>
    </row>
    <row r="10">
      <c r="A10" s="4" t="inlineStr">
        <is>
          <t>V006</t>
        </is>
      </c>
      <c r="B10" s="4" t="inlineStr">
        <is>
          <t>Summit Marketing</t>
        </is>
      </c>
      <c r="C10" s="4" t="inlineStr">
        <is>
          <t>SM-1044</t>
        </is>
      </c>
      <c r="D10" s="9" t="n">
        <v>45991</v>
      </c>
      <c r="E10" s="9" t="n">
        <v>45993</v>
      </c>
      <c r="F10" s="10" t="n">
        <v>22000</v>
      </c>
      <c r="G10" s="10" t="n">
        <v>0</v>
      </c>
      <c r="H10" s="9" t="n">
        <v>46055</v>
      </c>
      <c r="I10" s="4" t="inlineStr">
        <is>
          <t>Paid in full</t>
        </is>
      </c>
    </row>
    <row r="11">
      <c r="A11" s="4" t="inlineStr">
        <is>
          <t>V007</t>
        </is>
      </c>
      <c r="B11" s="4" t="inlineStr">
        <is>
          <t>CloudNine Software</t>
        </is>
      </c>
      <c r="C11" s="4" t="inlineStr">
        <is>
          <t>C9-DEC25</t>
        </is>
      </c>
      <c r="D11" s="9" t="n">
        <v>45992</v>
      </c>
      <c r="E11" s="9" t="n">
        <v>45992</v>
      </c>
      <c r="F11" s="10" t="n">
        <v>96000</v>
      </c>
      <c r="G11" s="10" t="n">
        <v>0</v>
      </c>
      <c r="H11" s="9" t="n">
        <v>46062</v>
      </c>
      <c r="I11" s="4" t="inlineStr">
        <is>
          <t>Paid in full</t>
        </is>
      </c>
    </row>
    <row r="12">
      <c r="A12" s="4" t="inlineStr">
        <is>
          <t>V008</t>
        </is>
      </c>
      <c r="B12" s="4" t="inlineStr">
        <is>
          <t>Pioneer Packaging</t>
        </is>
      </c>
      <c r="C12" s="4" t="inlineStr">
        <is>
          <t>PP-8890</t>
        </is>
      </c>
      <c r="D12" s="9" t="n">
        <v>46013</v>
      </c>
      <c r="E12" s="9" t="n">
        <v>46015</v>
      </c>
      <c r="F12" s="10" t="n">
        <v>15800</v>
      </c>
      <c r="G12" s="10" t="n">
        <v>7900</v>
      </c>
      <c r="H12" s="9" t="n">
        <v>46080</v>
      </c>
      <c r="I12" s="4" t="inlineStr">
        <is>
          <t>Partially paid; remaining balance 7,900</t>
        </is>
      </c>
    </row>
    <row r="13">
      <c r="A13" s="4" t="inlineStr">
        <is>
          <t>V021</t>
        </is>
      </c>
      <c r="B13" s="4" t="inlineStr">
        <is>
          <t>Delta Electric</t>
        </is>
      </c>
      <c r="C13" s="4" t="inlineStr">
        <is>
          <t>DE-5510</t>
        </is>
      </c>
      <c r="D13" s="9" t="n">
        <v>46011</v>
      </c>
      <c r="E13" s="9" t="n">
        <v>46011</v>
      </c>
      <c r="F13" s="10" t="n">
        <v>38700</v>
      </c>
      <c r="G13" s="10" t="n">
        <v>0</v>
      </c>
      <c r="H13" s="9" t="n">
        <v>46034</v>
      </c>
      <c r="I13" s="4" t="inlineStr">
        <is>
          <t>Potential omitted liability; not in YE AP</t>
        </is>
      </c>
    </row>
    <row r="14">
      <c r="A14" s="4" t="inlineStr">
        <is>
          <t>V022</t>
        </is>
      </c>
      <c r="B14" s="4" t="inlineStr">
        <is>
          <t>Crown Legal LLP</t>
        </is>
      </c>
      <c r="C14" s="4" t="inlineStr">
        <is>
          <t>CL-DEC25</t>
        </is>
      </c>
      <c r="D14" s="9" t="n">
        <v>46022</v>
      </c>
      <c r="E14" s="9" t="n">
        <v>46022</v>
      </c>
      <c r="F14" s="10" t="n">
        <v>92000</v>
      </c>
      <c r="G14" s="10" t="n">
        <v>0</v>
      </c>
      <c r="H14" s="9" t="n">
        <v>46042</v>
      </c>
      <c r="I14" s="4" t="inlineStr">
        <is>
          <t>Potential omitted liability; not in YE AP</t>
        </is>
      </c>
    </row>
    <row r="15">
      <c r="A15" s="4" t="inlineStr">
        <is>
          <t>V023</t>
        </is>
      </c>
      <c r="B15" s="4" t="inlineStr">
        <is>
          <t>Prime Janitorial</t>
        </is>
      </c>
      <c r="C15" s="4" t="inlineStr">
        <is>
          <t>PJ-0106</t>
        </is>
      </c>
      <c r="D15" s="9" t="n">
        <v>46053</v>
      </c>
      <c r="E15" s="9" t="n">
        <v>46053</v>
      </c>
      <c r="F15" s="10" t="n">
        <v>14500</v>
      </c>
      <c r="G15" s="10" t="n">
        <v>0</v>
      </c>
      <c r="H15" s="9" t="n">
        <v>46058</v>
      </c>
      <c r="I15" s="4" t="inlineStr">
        <is>
          <t>Post-period service</t>
        </is>
      </c>
    </row>
    <row r="16">
      <c r="A16" s="4" t="inlineStr">
        <is>
          <t>V024</t>
        </is>
      </c>
      <c r="B16" s="4" t="inlineStr">
        <is>
          <t>Beacon Consulting</t>
        </is>
      </c>
      <c r="C16" s="4" t="inlineStr">
        <is>
          <t>BC-882</t>
        </is>
      </c>
      <c r="D16" s="9" t="n">
        <v>46009</v>
      </c>
      <c r="E16" s="9" t="n">
        <v>46009</v>
      </c>
      <c r="F16" s="10" t="n">
        <v>57000</v>
      </c>
      <c r="G16" s="10" t="n">
        <v>0</v>
      </c>
      <c r="H16" s="9" t="n">
        <v>46099</v>
      </c>
      <c r="I16" s="4" t="inlineStr">
        <is>
          <t>Potential omitted liability; investigate ledger</t>
        </is>
      </c>
    </row>
    <row r="17">
      <c r="A17" s="4" t="inlineStr">
        <is>
          <t>V025</t>
        </is>
      </c>
      <c r="B17" s="4" t="inlineStr">
        <is>
          <t>Orion HVAC</t>
        </is>
      </c>
      <c r="C17" s="4" t="inlineStr">
        <is>
          <t>OH-DEC25</t>
        </is>
      </c>
      <c r="D17" s="9" t="n">
        <v>46022</v>
      </c>
      <c r="E17" s="9" t="n">
        <v>46022</v>
      </c>
      <c r="F17" s="10" t="n">
        <v>108000</v>
      </c>
      <c r="G17" s="10" t="n">
        <v>0</v>
      </c>
      <c r="H17" s="9" t="n">
        <v>46086</v>
      </c>
      <c r="I17" s="4" t="inlineStr">
        <is>
          <t>Potential omitted liability; investigate ledger</t>
        </is>
      </c>
    </row>
    <row r="18">
      <c r="A18" s="4" t="inlineStr">
        <is>
          <t>V026</t>
        </is>
      </c>
      <c r="B18" s="4" t="inlineStr">
        <is>
          <t>January Rent</t>
        </is>
      </c>
      <c r="C18" s="4" t="inlineStr">
        <is>
          <t>JR-0126</t>
        </is>
      </c>
      <c r="D18" s="9" t="n">
        <v>46023</v>
      </c>
      <c r="E18" s="9" t="n">
        <v>46023</v>
      </c>
      <c r="F18" s="10" t="n">
        <v>25000</v>
      </c>
      <c r="G18" s="10" t="n">
        <v>0</v>
      </c>
      <c r="H18" s="9" t="n">
        <v>46103</v>
      </c>
      <c r="I18" s="4" t="inlineStr">
        <is>
          <t>Post-period expense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  <col width="23" customWidth="1" min="7" max="7"/>
    <col width="48" customWidth="1" min="8" max="8"/>
    <col width="22" customWidth="1" min="9" max="9"/>
  </cols>
  <sheetData>
    <row r="1" ht="27" customHeight="1">
      <c r="A1" s="1" t="inlineStr">
        <is>
          <t>Unprocessed Invoices &amp; Vouchers</t>
        </is>
      </c>
    </row>
    <row r="2" ht="34" customHeight="1">
      <c r="A2" s="2" t="inlineStr">
        <is>
          <t>Post-year-end invoices / vouchers received or processed after YE. Include date received, service/receipt date and posting status.</t>
        </is>
      </c>
    </row>
    <row r="3"/>
    <row r="4" ht="34" customHeight="1">
      <c r="A4" s="3" t="inlineStr">
        <is>
          <t>Voucher ID</t>
        </is>
      </c>
      <c r="B4" s="3" t="inlineStr">
        <is>
          <t>Vendor ID</t>
        </is>
      </c>
      <c r="C4" s="3" t="inlineStr">
        <is>
          <t>Vendor Name</t>
        </is>
      </c>
      <c r="D4" s="3" t="inlineStr">
        <is>
          <t>Invoice No.</t>
        </is>
      </c>
      <c r="E4" s="3" t="inlineStr">
        <is>
          <t>Date Received</t>
        </is>
      </c>
      <c r="F4" s="3" t="inlineStr">
        <is>
          <t>Amount</t>
        </is>
      </c>
      <c r="G4" s="3" t="inlineStr">
        <is>
          <t>Receipt / Service Date</t>
        </is>
      </c>
      <c r="H4" s="3" t="inlineStr">
        <is>
          <t>Description</t>
        </is>
      </c>
      <c r="I4" s="3" t="inlineStr">
        <is>
          <t>Initial Screen</t>
        </is>
      </c>
    </row>
    <row r="5">
      <c r="A5" s="4" t="inlineStr">
        <is>
          <t>U001</t>
        </is>
      </c>
      <c r="B5" s="4" t="inlineStr">
        <is>
          <t>V021</t>
        </is>
      </c>
      <c r="C5" s="4" t="inlineStr">
        <is>
          <t>Delta Electric</t>
        </is>
      </c>
      <c r="D5" s="4" t="inlineStr">
        <is>
          <t>DE-5510</t>
        </is>
      </c>
      <c r="E5" s="9" t="n">
        <v>46026</v>
      </c>
      <c r="F5" s="10" t="n">
        <v>38700</v>
      </c>
      <c r="G5" s="9" t="n">
        <v>46011</v>
      </c>
      <c r="H5" s="4" t="inlineStr">
        <is>
          <t>December electrical repairs; not posted at YE</t>
        </is>
      </c>
      <c r="I5" s="4" t="inlineStr">
        <is>
          <t>Potential SURL</t>
        </is>
      </c>
    </row>
    <row r="6">
      <c r="A6" s="4" t="inlineStr">
        <is>
          <t>U002</t>
        </is>
      </c>
      <c r="B6" s="4" t="inlineStr">
        <is>
          <t>V022</t>
        </is>
      </c>
      <c r="C6" s="4" t="inlineStr">
        <is>
          <t>Crown Legal LLP</t>
        </is>
      </c>
      <c r="D6" s="4" t="inlineStr">
        <is>
          <t>CL-DEC25</t>
        </is>
      </c>
      <c r="E6" s="9" t="n">
        <v>46029</v>
      </c>
      <c r="F6" s="10" t="n">
        <v>92000</v>
      </c>
      <c r="G6" s="9" t="n">
        <v>46022</v>
      </c>
      <c r="H6" s="4" t="inlineStr">
        <is>
          <t>Legal services through YE; not posted at YE</t>
        </is>
      </c>
      <c r="I6" s="4" t="inlineStr">
        <is>
          <t>Potential SURL</t>
        </is>
      </c>
    </row>
    <row r="7">
      <c r="A7" s="4" t="inlineStr">
        <is>
          <t>U003</t>
        </is>
      </c>
      <c r="B7" s="4" t="inlineStr">
        <is>
          <t>V023</t>
        </is>
      </c>
      <c r="C7" s="4" t="inlineStr">
        <is>
          <t>Prime Janitorial</t>
        </is>
      </c>
      <c r="D7" s="4" t="inlineStr">
        <is>
          <t>PJ-0106</t>
        </is>
      </c>
      <c r="E7" s="9" t="n">
        <v>46055</v>
      </c>
      <c r="F7" s="10" t="n">
        <v>14500</v>
      </c>
      <c r="G7" s="9" t="n">
        <v>46053</v>
      </c>
      <c r="H7" s="4" t="inlineStr">
        <is>
          <t>January cleaning service</t>
        </is>
      </c>
      <c r="I7" s="4" t="inlineStr">
        <is>
          <t>Post-period</t>
        </is>
      </c>
    </row>
    <row r="8">
      <c r="A8" s="4" t="inlineStr">
        <is>
          <t>U004</t>
        </is>
      </c>
      <c r="B8" s="4" t="inlineStr">
        <is>
          <t>V024</t>
        </is>
      </c>
      <c r="C8" s="4" t="inlineStr">
        <is>
          <t>Beacon Consulting</t>
        </is>
      </c>
      <c r="D8" s="4" t="inlineStr">
        <is>
          <t>BC-882</t>
        </is>
      </c>
      <c r="E8" s="9" t="n">
        <v>46037</v>
      </c>
      <c r="F8" s="10" t="n">
        <v>57000</v>
      </c>
      <c r="G8" s="9" t="n">
        <v>46009</v>
      </c>
      <c r="H8" s="4" t="inlineStr">
        <is>
          <t>December milestone; acceptance evidence needed</t>
        </is>
      </c>
      <c r="I8" s="4" t="inlineStr">
        <is>
          <t>Potential SURL</t>
        </is>
      </c>
    </row>
    <row r="9">
      <c r="A9" s="4" t="inlineStr">
        <is>
          <t>U005</t>
        </is>
      </c>
      <c r="B9" s="4" t="inlineStr">
        <is>
          <t>V025</t>
        </is>
      </c>
      <c r="C9" s="4" t="inlineStr">
        <is>
          <t>Orion HVAC</t>
        </is>
      </c>
      <c r="D9" s="4" t="inlineStr">
        <is>
          <t>OH-DEC25</t>
        </is>
      </c>
      <c r="E9" s="9" t="n">
        <v>46065</v>
      </c>
      <c r="F9" s="10" t="n">
        <v>108000</v>
      </c>
      <c r="G9" s="9" t="n">
        <v>46022</v>
      </c>
      <c r="H9" s="4" t="inlineStr">
        <is>
          <t>December maintenance; inspect service report</t>
        </is>
      </c>
      <c r="I9" s="4" t="inlineStr">
        <is>
          <t>Potential SURL</t>
        </is>
      </c>
    </row>
    <row r="10">
      <c r="A10" s="4" t="inlineStr">
        <is>
          <t>U006</t>
        </is>
      </c>
      <c r="B10" s="4" t="inlineStr">
        <is>
          <t>V026</t>
        </is>
      </c>
      <c r="C10" s="4" t="inlineStr">
        <is>
          <t>January Rent</t>
        </is>
      </c>
      <c r="D10" s="4" t="inlineStr">
        <is>
          <t>JR-0126</t>
        </is>
      </c>
      <c r="E10" s="9" t="n">
        <v>46103</v>
      </c>
      <c r="F10" s="10" t="n">
        <v>25000</v>
      </c>
      <c r="G10" s="9" t="n">
        <v>46023</v>
      </c>
      <c r="H10" s="4" t="inlineStr">
        <is>
          <t>January rent</t>
        </is>
      </c>
      <c r="I10" s="4" t="inlineStr">
        <is>
          <t>Post-period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0" customWidth="1" min="4" max="4"/>
    <col width="20" customWidth="1" min="5" max="5"/>
  </cols>
  <sheetData>
    <row r="1" ht="27" customHeight="1">
      <c r="A1" s="1" t="inlineStr">
        <is>
          <t>Trial Balance at YE</t>
        </is>
      </c>
    </row>
    <row r="2" ht="34" customHeight="1">
      <c r="A2" s="2" t="inlineStr">
        <is>
          <t>Fictional trial balance as at 31-Dec-2025. Agree AP and accrual accounts to the ledgers and investigate relevant expense accounts.</t>
        </is>
      </c>
    </row>
    <row r="3"/>
    <row r="4" ht="34" customHeight="1">
      <c r="A4" s="3" t="inlineStr">
        <is>
          <t>Account No.</t>
        </is>
      </c>
      <c r="B4" s="3" t="inlineStr">
        <is>
          <t>Account Name</t>
        </is>
      </c>
      <c r="C4" s="3" t="inlineStr">
        <is>
          <t>Classification</t>
        </is>
      </c>
      <c r="D4" s="3" t="inlineStr">
        <is>
          <t>Debit</t>
        </is>
      </c>
      <c r="E4" s="3" t="inlineStr">
        <is>
          <t>Credit</t>
        </is>
      </c>
    </row>
    <row r="5">
      <c r="A5" s="4" t="inlineStr">
        <is>
          <t>1000</t>
        </is>
      </c>
      <c r="B5" s="4" t="inlineStr">
        <is>
          <t>Cash and cash equivalents</t>
        </is>
      </c>
      <c r="C5" s="4" t="inlineStr">
        <is>
          <t>Asset</t>
        </is>
      </c>
      <c r="D5" s="10" t="n">
        <v>1250000</v>
      </c>
      <c r="E5" s="10" t="n">
        <v>0</v>
      </c>
    </row>
    <row r="6">
      <c r="A6" s="4" t="inlineStr">
        <is>
          <t>1200</t>
        </is>
      </c>
      <c r="B6" s="4" t="inlineStr">
        <is>
          <t>Accounts receivable</t>
        </is>
      </c>
      <c r="C6" s="4" t="inlineStr">
        <is>
          <t>Asset</t>
        </is>
      </c>
      <c r="D6" s="10" t="n">
        <v>845000</v>
      </c>
      <c r="E6" s="10" t="n">
        <v>0</v>
      </c>
    </row>
    <row r="7">
      <c r="A7" s="4" t="inlineStr">
        <is>
          <t>1500</t>
        </is>
      </c>
      <c r="B7" s="4" t="inlineStr">
        <is>
          <t>Inventory</t>
        </is>
      </c>
      <c r="C7" s="4" t="inlineStr">
        <is>
          <t>Asset</t>
        </is>
      </c>
      <c r="D7" s="10" t="n">
        <v>620000</v>
      </c>
      <c r="E7" s="10" t="n">
        <v>0</v>
      </c>
    </row>
    <row r="8">
      <c r="A8" s="4" t="inlineStr">
        <is>
          <t>1600</t>
        </is>
      </c>
      <c r="B8" s="4" t="inlineStr">
        <is>
          <t>Property, plant and equipment</t>
        </is>
      </c>
      <c r="C8" s="4" t="inlineStr">
        <is>
          <t>Asset</t>
        </is>
      </c>
      <c r="D8" s="10" t="n">
        <v>1800000</v>
      </c>
      <c r="E8" s="10" t="n">
        <v>0</v>
      </c>
    </row>
    <row r="9">
      <c r="A9" s="4" t="inlineStr">
        <is>
          <t>2000</t>
        </is>
      </c>
      <c r="B9" s="4" t="inlineStr">
        <is>
          <t>Accounts payable</t>
        </is>
      </c>
      <c r="C9" s="4" t="inlineStr">
        <is>
          <t>Liability</t>
        </is>
      </c>
      <c r="D9" s="10" t="n">
        <v>0</v>
      </c>
      <c r="E9" s="10" t="n">
        <v>253800</v>
      </c>
    </row>
    <row r="10">
      <c r="A10" s="4" t="inlineStr">
        <is>
          <t>2100</t>
        </is>
      </c>
      <c r="B10" s="4" t="inlineStr">
        <is>
          <t>Accrued expenses</t>
        </is>
      </c>
      <c r="C10" s="4" t="inlineStr">
        <is>
          <t>Liability</t>
        </is>
      </c>
      <c r="D10" s="10" t="n">
        <v>0</v>
      </c>
      <c r="E10" s="10" t="n">
        <v>95000</v>
      </c>
    </row>
    <row r="11">
      <c r="A11" s="4" t="inlineStr">
        <is>
          <t>2200</t>
        </is>
      </c>
      <c r="B11" s="4" t="inlineStr">
        <is>
          <t>Payroll liabilities</t>
        </is>
      </c>
      <c r="C11" s="4" t="inlineStr">
        <is>
          <t>Liability</t>
        </is>
      </c>
      <c r="D11" s="10" t="n">
        <v>0</v>
      </c>
      <c r="E11" s="10" t="n">
        <v>42000</v>
      </c>
    </row>
    <row r="12">
      <c r="A12" s="4" t="inlineStr">
        <is>
          <t>3000</t>
        </is>
      </c>
      <c r="B12" s="4" t="inlineStr">
        <is>
          <t>Share capital</t>
        </is>
      </c>
      <c r="C12" s="4" t="inlineStr">
        <is>
          <t>Equity</t>
        </is>
      </c>
      <c r="D12" s="10" t="n">
        <v>0</v>
      </c>
      <c r="E12" s="10" t="n">
        <v>500000</v>
      </c>
    </row>
    <row r="13">
      <c r="A13" s="4" t="inlineStr">
        <is>
          <t>3100</t>
        </is>
      </c>
      <c r="B13" s="4" t="inlineStr">
        <is>
          <t>Retained earnings</t>
        </is>
      </c>
      <c r="C13" s="4" t="inlineStr">
        <is>
          <t>Equity</t>
        </is>
      </c>
      <c r="D13" s="10" t="n">
        <v>0</v>
      </c>
      <c r="E13" s="10" t="n">
        <v>2414200</v>
      </c>
    </row>
    <row r="14">
      <c r="A14" s="4" t="inlineStr">
        <is>
          <t>4000</t>
        </is>
      </c>
      <c r="B14" s="4" t="inlineStr">
        <is>
          <t>Revenue</t>
        </is>
      </c>
      <c r="C14" s="4" t="inlineStr">
        <is>
          <t>Income</t>
        </is>
      </c>
      <c r="D14" s="10" t="n">
        <v>0</v>
      </c>
      <c r="E14" s="10" t="n">
        <v>3500000</v>
      </c>
    </row>
    <row r="15">
      <c r="A15" s="4" t="inlineStr">
        <is>
          <t>5000</t>
        </is>
      </c>
      <c r="B15" s="4" t="inlineStr">
        <is>
          <t>Cost of goods sold</t>
        </is>
      </c>
      <c r="C15" s="4" t="inlineStr">
        <is>
          <t>Expense</t>
        </is>
      </c>
      <c r="D15" s="10" t="n">
        <v>1650000</v>
      </c>
      <c r="E15" s="10" t="n">
        <v>0</v>
      </c>
    </row>
    <row r="16">
      <c r="A16" s="4" t="inlineStr">
        <is>
          <t>6100</t>
        </is>
      </c>
      <c r="B16" s="4" t="inlineStr">
        <is>
          <t>Utilities expense</t>
        </is>
      </c>
      <c r="C16" s="4" t="inlineStr">
        <is>
          <t>Expense</t>
        </is>
      </c>
      <c r="D16" s="10" t="n">
        <v>125000</v>
      </c>
      <c r="E16" s="10" t="n">
        <v>0</v>
      </c>
    </row>
    <row r="17">
      <c r="A17" s="4" t="inlineStr">
        <is>
          <t>6200</t>
        </is>
      </c>
      <c r="B17" s="4" t="inlineStr">
        <is>
          <t>Repairs and maintenance</t>
        </is>
      </c>
      <c r="C17" s="4" t="inlineStr">
        <is>
          <t>Expense</t>
        </is>
      </c>
      <c r="D17" s="10" t="n">
        <v>145000</v>
      </c>
      <c r="E17" s="10" t="n">
        <v>0</v>
      </c>
    </row>
    <row r="18">
      <c r="A18" s="4" t="inlineStr">
        <is>
          <t>6300</t>
        </is>
      </c>
      <c r="B18" s="4" t="inlineStr">
        <is>
          <t>Professional fees</t>
        </is>
      </c>
      <c r="C18" s="4" t="inlineStr">
        <is>
          <t>Expense</t>
        </is>
      </c>
      <c r="D18" s="10" t="n">
        <v>95000</v>
      </c>
      <c r="E18" s="10" t="n">
        <v>0</v>
      </c>
    </row>
    <row r="19">
      <c r="A19" s="4" t="inlineStr">
        <is>
          <t>6400</t>
        </is>
      </c>
      <c r="B19" s="4" t="inlineStr">
        <is>
          <t>Rent expense</t>
        </is>
      </c>
      <c r="C19" s="4" t="inlineStr">
        <is>
          <t>Expense</t>
        </is>
      </c>
      <c r="D19" s="10" t="n">
        <v>180000</v>
      </c>
      <c r="E19" s="10" t="n">
        <v>0</v>
      </c>
    </row>
    <row r="20">
      <c r="A20" s="4" t="inlineStr">
        <is>
          <t>6500</t>
        </is>
      </c>
      <c r="B20" s="4" t="inlineStr">
        <is>
          <t>IT expense</t>
        </is>
      </c>
      <c r="C20" s="4" t="inlineStr">
        <is>
          <t>Expense</t>
        </is>
      </c>
      <c r="D20" s="10" t="n">
        <v>95000</v>
      </c>
      <c r="E20" s="10" t="n">
        <v>0</v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28" customWidth="1" min="4" max="4"/>
    <col width="18" customWidth="1" min="5" max="5"/>
    <col width="16" customWidth="1" min="6" max="6"/>
    <col width="23" customWidth="1" min="7" max="7"/>
    <col width="18" customWidth="1" min="8" max="8"/>
    <col width="48" customWidth="1" min="9" max="9"/>
    <col width="55" customWidth="1" min="10" max="10"/>
    <col width="55" customWidth="1" min="11" max="11"/>
  </cols>
  <sheetData>
    <row r="1" ht="27" customHeight="1">
      <c r="A1" s="1" t="inlineStr">
        <is>
          <t>Four Controlled Test Cases</t>
        </is>
      </c>
    </row>
    <row r="2" ht="34" customHeight="1">
      <c r="A2" s="2" t="inlineStr">
        <is>
          <t>These four scenarios are for testing the tool's inclusion/exclusion logic only. They are not an audit sample.</t>
        </is>
      </c>
    </row>
    <row r="3"/>
    <row r="4" ht="34" customHeight="1">
      <c r="A4" s="3" t="inlineStr">
        <is>
          <t>Case ID</t>
        </is>
      </c>
      <c r="B4" s="3" t="inlineStr">
        <is>
          <t>Scenario</t>
        </is>
      </c>
      <c r="C4" s="3" t="inlineStr">
        <is>
          <t>Vendor ID</t>
        </is>
      </c>
      <c r="D4" s="3" t="inlineStr">
        <is>
          <t>Vendor</t>
        </is>
      </c>
      <c r="E4" s="3" t="inlineStr">
        <is>
          <t>Invoice</t>
        </is>
      </c>
      <c r="F4" s="3" t="inlineStr">
        <is>
          <t>Amount</t>
        </is>
      </c>
      <c r="G4" s="3" t="inlineStr">
        <is>
          <t>Receipt / Service Date</t>
        </is>
      </c>
      <c r="H4" s="3" t="inlineStr">
        <is>
          <t>Payment Date</t>
        </is>
      </c>
      <c r="I4" s="3" t="inlineStr">
        <is>
          <t>Test facts</t>
        </is>
      </c>
      <c r="J4" s="3" t="inlineStr">
        <is>
          <t>Expected tool treatment</t>
        </is>
      </c>
      <c r="K4" s="3" t="inlineStr">
        <is>
          <t>Reason</t>
        </is>
      </c>
    </row>
    <row r="5">
      <c r="A5" s="4" t="inlineStr">
        <is>
          <t>TC-01</t>
        </is>
      </c>
      <c r="B5" s="4" t="inlineStr">
        <is>
          <t>Included / recorded liability</t>
        </is>
      </c>
      <c r="C5" s="4" t="inlineStr">
        <is>
          <t>V001</t>
        </is>
      </c>
      <c r="D5" s="4" t="inlineStr">
        <is>
          <t>Northstar Office Supplies</t>
        </is>
      </c>
      <c r="E5" s="4" t="inlineStr">
        <is>
          <t>NS-251188</t>
        </is>
      </c>
      <c r="F5" s="10" t="n">
        <v>12500</v>
      </c>
      <c r="G5" s="9" t="n">
        <v>46006</v>
      </c>
      <c r="H5" s="9" t="n">
        <v>46030</v>
      </c>
      <c r="I5" s="4" t="inlineStr">
        <is>
          <t>Present in YE AP aging and paid subsequently.</t>
        </is>
      </c>
      <c r="J5" s="4" t="inlineStr">
        <is>
          <t>Should be treated as recorded at YE; clear if ledger tie-out confirms.</t>
        </is>
      </c>
      <c r="K5" s="4" t="inlineStr">
        <is>
          <t>Included at YE; subsequent payment settlement.</t>
        </is>
      </c>
    </row>
    <row r="6">
      <c r="A6" s="4" t="inlineStr">
        <is>
          <t>TC-02</t>
        </is>
      </c>
      <c r="B6" s="4" t="inlineStr">
        <is>
          <t>Potential omitted liability</t>
        </is>
      </c>
      <c r="C6" s="4" t="inlineStr">
        <is>
          <t>V021</t>
        </is>
      </c>
      <c r="D6" s="4" t="inlineStr">
        <is>
          <t>Delta Electric</t>
        </is>
      </c>
      <c r="E6" s="4" t="inlineStr">
        <is>
          <t>DE-5510</t>
        </is>
      </c>
      <c r="F6" s="10" t="n">
        <v>38700</v>
      </c>
      <c r="G6" s="9" t="n">
        <v>46011</v>
      </c>
      <c r="H6" s="9" t="n">
        <v>46034</v>
      </c>
      <c r="I6" s="4" t="inlineStr">
        <is>
          <t>Not in YE AP aging; invoice/service evidence says December work.</t>
        </is>
      </c>
      <c r="J6" s="4" t="inlineStr">
        <is>
          <t>Flag as potential SURL; inspect invoice, service evidence and GL/accruals.</t>
        </is>
      </c>
      <c r="K6" s="4" t="inlineStr">
        <is>
          <t>Potential omitted liability; not confirmed until ledger search and evidence.</t>
        </is>
      </c>
    </row>
    <row r="7">
      <c r="A7" s="4" t="inlineStr">
        <is>
          <t>TC-03</t>
        </is>
      </c>
      <c r="B7" s="4" t="inlineStr">
        <is>
          <t>Excluded / post-period expense</t>
        </is>
      </c>
      <c r="C7" s="4" t="inlineStr">
        <is>
          <t>V023</t>
        </is>
      </c>
      <c r="D7" s="4" t="inlineStr">
        <is>
          <t>Prime Janitorial</t>
        </is>
      </c>
      <c r="E7" s="4" t="inlineStr">
        <is>
          <t>PJ-0106</t>
        </is>
      </c>
      <c r="F7" s="10" t="n">
        <v>14500</v>
      </c>
      <c r="G7" s="9" t="n">
        <v>46053</v>
      </c>
      <c r="H7" s="9" t="n">
        <v>46058</v>
      </c>
      <c r="I7" s="4" t="inlineStr">
        <is>
          <t>Service date is January 2026, after year-end.</t>
        </is>
      </c>
      <c r="J7" s="4" t="inlineStr">
        <is>
          <t>Exclude from YE liability population unless other evidence shows pre-year-end service.</t>
        </is>
      </c>
      <c r="K7" s="4" t="inlineStr">
        <is>
          <t>Post-period service; not YE liability on current evidence.</t>
        </is>
      </c>
    </row>
    <row r="8">
      <c r="A8" s="4" t="inlineStr">
        <is>
          <t>TC-04</t>
        </is>
      </c>
      <c r="B8" s="4" t="inlineStr">
        <is>
          <t>Unclear / partial or unsupported</t>
        </is>
      </c>
      <c r="C8" s="4" t="inlineStr">
        <is>
          <t>V024</t>
        </is>
      </c>
      <c r="D8" s="4" t="inlineStr">
        <is>
          <t>Beacon Consulting</t>
        </is>
      </c>
      <c r="E8" s="4" t="inlineStr">
        <is>
          <t>BC-882</t>
        </is>
      </c>
      <c r="F8" s="10" t="n">
        <v>57000</v>
      </c>
      <c r="G8" s="9" t="n">
        <v>46009</v>
      </c>
      <c r="H8" s="9" t="n">
        <v>46099</v>
      </c>
      <c r="I8" s="4" t="inlineStr">
        <is>
          <t>Potential December milestone; invoice/acceptance and GL trace need corroboration.</t>
        </is>
      </c>
      <c r="J8" s="4" t="inlineStr">
        <is>
          <t>Flag for follow-up; do not conclude until contract, acceptance evidence and ledger search are reviewed.</t>
        </is>
      </c>
      <c r="K8" s="4" t="inlineStr">
        <is>
          <t>Unresolved; obtain contract, milestone acceptance and GL/accrual trace.</t>
        </is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  <col width="20" customWidth="1" min="5" max="5"/>
    <col width="18" customWidth="1" min="6" max="6"/>
    <col width="16" customWidth="1" min="7" max="7"/>
    <col width="20" customWidth="1" min="8" max="8"/>
    <col width="15" customWidth="1" min="9" max="9"/>
    <col width="20" customWidth="1" min="10" max="10"/>
    <col width="18" customWidth="1" min="11" max="11"/>
    <col width="20" customWidth="1" min="12" max="12"/>
    <col width="48" customWidth="1" min="13" max="13"/>
  </cols>
  <sheetData>
    <row r="1" ht="27" customHeight="1">
      <c r="A1" s="1" t="inlineStr">
        <is>
          <t>Suggested Sample Selection</t>
        </is>
      </c>
    </row>
    <row r="2" ht="34" customHeight="1">
      <c r="A2" s="2" t="inlineStr">
        <is>
          <t>Formula-based risk screen. The four controlled test cases are separate from this population sample. Validate the complete population and sampling approach.</t>
        </is>
      </c>
    </row>
    <row r="3"/>
    <row r="4" ht="34" customHeight="1">
      <c r="A4" s="3" t="inlineStr">
        <is>
          <t>Payment ID</t>
        </is>
      </c>
      <c r="B4" s="3" t="inlineStr">
        <is>
          <t>Payment Date</t>
        </is>
      </c>
      <c r="C4" s="3" t="inlineStr">
        <is>
          <t>Days after YE</t>
        </is>
      </c>
      <c r="D4" s="3" t="inlineStr">
        <is>
          <t>Vendor</t>
        </is>
      </c>
      <c r="E4" s="3" t="inlineStr">
        <is>
          <t>Invoice Ref</t>
        </is>
      </c>
      <c r="F4" s="3" t="inlineStr">
        <is>
          <t>Amount</t>
        </is>
      </c>
      <c r="G4" s="3" t="inlineStr">
        <is>
          <t>YE AP match?</t>
        </is>
      </c>
      <c r="H4" s="3" t="inlineStr">
        <is>
          <t>Unprocessed match?</t>
        </is>
      </c>
      <c r="I4" s="3" t="inlineStr">
        <is>
          <t>Risk flag</t>
        </is>
      </c>
      <c r="J4" s="3" t="inlineStr">
        <is>
          <t>Above threshold?</t>
        </is>
      </c>
      <c r="K4" s="3" t="inlineStr">
        <is>
          <t>Date bucket</t>
        </is>
      </c>
      <c r="L4" s="3" t="inlineStr">
        <is>
          <t>Suggested selection?</t>
        </is>
      </c>
      <c r="M4" s="3" t="inlineStr">
        <is>
          <t>Rationale</t>
        </is>
      </c>
    </row>
    <row r="5">
      <c r="A5" s="4">
        <f>Disbursements!A5</f>
        <v/>
      </c>
      <c r="B5" s="9">
        <f>Disbursements!B5</f>
        <v/>
      </c>
      <c r="C5" s="4">
        <f>B5-Inputs!$B$7</f>
        <v/>
      </c>
      <c r="D5" s="4">
        <f>Disbursements!D5</f>
        <v/>
      </c>
      <c r="E5" s="4">
        <f>Disbursements!E5</f>
        <v/>
      </c>
      <c r="F5" s="10">
        <f>Disbursements!F5</f>
        <v/>
      </c>
      <c r="G5" s="4">
        <f>IF(COUNTIFS('YE AP Aging'!$B$5:$B$500,D5,'YE AP Aging'!$C$5:$C$500,E5)&gt;0,"Yes","No")</f>
        <v/>
      </c>
      <c r="H5" s="4">
        <f>IF(COUNTIFS('Unprocessed Invoices'!$C$5:$C$500,D5,'Unprocessed Invoices'!$D$5:$D$500,E5)&gt;0,"Yes","No")</f>
        <v/>
      </c>
      <c r="I5" s="4">
        <f>IF(OR(G5="No",H5="Yes",COUNTIF($E$5:E5,E5)&gt;1),"Review","Routine")</f>
        <v/>
      </c>
      <c r="J5" s="4">
        <f>IF(F5&gt;=Inputs!$B$13,"Yes","No")</f>
        <v/>
      </c>
      <c r="K5" s="4">
        <f>IF(C5&lt;=Inputs!$B$19,"0-30 days",IF(C5&lt;=Inputs!$B$20,"31-60 days","61+ days"))</f>
        <v/>
      </c>
      <c r="L5" s="4">
        <f>IF(OR(I5="Review",J5="Yes",MOD(ROW()-5,3)=0),"SELECT","")</f>
        <v/>
      </c>
      <c r="M5" s="4">
        <f>IF(L5="SELECT",IF(I5="Review","Unmatched / voucher link / duplicate flag",IF(J5="Yes","Above individually significant threshold","Date/population coverage")),"Not auto-selected; auditor may add")</f>
        <v/>
      </c>
    </row>
    <row r="6">
      <c r="A6" s="4">
        <f>Disbursements!A6</f>
        <v/>
      </c>
      <c r="B6" s="9">
        <f>Disbursements!B6</f>
        <v/>
      </c>
      <c r="C6" s="4">
        <f>B6-Inputs!$B$7</f>
        <v/>
      </c>
      <c r="D6" s="4">
        <f>Disbursements!D6</f>
        <v/>
      </c>
      <c r="E6" s="4">
        <f>Disbursements!E6</f>
        <v/>
      </c>
      <c r="F6" s="10">
        <f>Disbursements!F6</f>
        <v/>
      </c>
      <c r="G6" s="4">
        <f>IF(COUNTIFS('YE AP Aging'!$B$5:$B$500,D6,'YE AP Aging'!$C$5:$C$500,E6)&gt;0,"Yes","No")</f>
        <v/>
      </c>
      <c r="H6" s="4">
        <f>IF(COUNTIFS('Unprocessed Invoices'!$C$5:$C$500,D6,'Unprocessed Invoices'!$D$5:$D$500,E6)&gt;0,"Yes","No")</f>
        <v/>
      </c>
      <c r="I6" s="4">
        <f>IF(OR(G6="No",H6="Yes",COUNTIF($E$5:E6,E6)&gt;1),"Review","Routine")</f>
        <v/>
      </c>
      <c r="J6" s="4">
        <f>IF(F6&gt;=Inputs!$B$13,"Yes","No")</f>
        <v/>
      </c>
      <c r="K6" s="4">
        <f>IF(C6&lt;=Inputs!$B$19,"0-30 days",IF(C6&lt;=Inputs!$B$20,"31-60 days","61+ days"))</f>
        <v/>
      </c>
      <c r="L6" s="4">
        <f>IF(OR(I6="Review",J6="Yes",MOD(ROW()-5,3)=0),"SELECT","")</f>
        <v/>
      </c>
      <c r="M6" s="4">
        <f>IF(L6="SELECT",IF(I6="Review","Unmatched / voucher link / duplicate flag",IF(J6="Yes","Above individually significant threshold","Date/population coverage")),"Not auto-selected; auditor may add")</f>
        <v/>
      </c>
    </row>
    <row r="7">
      <c r="A7" s="4">
        <f>Disbursements!A7</f>
        <v/>
      </c>
      <c r="B7" s="9">
        <f>Disbursements!B7</f>
        <v/>
      </c>
      <c r="C7" s="4">
        <f>B7-Inputs!$B$7</f>
        <v/>
      </c>
      <c r="D7" s="4">
        <f>Disbursements!D7</f>
        <v/>
      </c>
      <c r="E7" s="4">
        <f>Disbursements!E7</f>
        <v/>
      </c>
      <c r="F7" s="10">
        <f>Disbursements!F7</f>
        <v/>
      </c>
      <c r="G7" s="4">
        <f>IF(COUNTIFS('YE AP Aging'!$B$5:$B$500,D7,'YE AP Aging'!$C$5:$C$500,E7)&gt;0,"Yes","No")</f>
        <v/>
      </c>
      <c r="H7" s="4">
        <f>IF(COUNTIFS('Unprocessed Invoices'!$C$5:$C$500,D7,'Unprocessed Invoices'!$D$5:$D$500,E7)&gt;0,"Yes","No")</f>
        <v/>
      </c>
      <c r="I7" s="4">
        <f>IF(OR(G7="No",H7="Yes",COUNTIF($E$5:E7,E7)&gt;1),"Review","Routine")</f>
        <v/>
      </c>
      <c r="J7" s="4">
        <f>IF(F7&gt;=Inputs!$B$13,"Yes","No")</f>
        <v/>
      </c>
      <c r="K7" s="4">
        <f>IF(C7&lt;=Inputs!$B$19,"0-30 days",IF(C7&lt;=Inputs!$B$20,"31-60 days","61+ days"))</f>
        <v/>
      </c>
      <c r="L7" s="4">
        <f>IF(OR(I7="Review",J7="Yes",MOD(ROW()-5,3)=0),"SELECT","")</f>
        <v/>
      </c>
      <c r="M7" s="4">
        <f>IF(L7="SELECT",IF(I7="Review","Unmatched / voucher link / duplicate flag",IF(J7="Yes","Above individually significant threshold","Date/population coverage")),"Not auto-selected; auditor may add")</f>
        <v/>
      </c>
    </row>
    <row r="8">
      <c r="A8" s="4">
        <f>Disbursements!A8</f>
        <v/>
      </c>
      <c r="B8" s="9">
        <f>Disbursements!B8</f>
        <v/>
      </c>
      <c r="C8" s="4">
        <f>B8-Inputs!$B$7</f>
        <v/>
      </c>
      <c r="D8" s="4">
        <f>Disbursements!D8</f>
        <v/>
      </c>
      <c r="E8" s="4">
        <f>Disbursements!E8</f>
        <v/>
      </c>
      <c r="F8" s="10">
        <f>Disbursements!F8</f>
        <v/>
      </c>
      <c r="G8" s="4">
        <f>IF(COUNTIFS('YE AP Aging'!$B$5:$B$500,D8,'YE AP Aging'!$C$5:$C$500,E8)&gt;0,"Yes","No")</f>
        <v/>
      </c>
      <c r="H8" s="4">
        <f>IF(COUNTIFS('Unprocessed Invoices'!$C$5:$C$500,D8,'Unprocessed Invoices'!$D$5:$D$500,E8)&gt;0,"Yes","No")</f>
        <v/>
      </c>
      <c r="I8" s="4">
        <f>IF(OR(G8="No",H8="Yes",COUNTIF($E$5:E8,E8)&gt;1),"Review","Routine")</f>
        <v/>
      </c>
      <c r="J8" s="4">
        <f>IF(F8&gt;=Inputs!$B$13,"Yes","No")</f>
        <v/>
      </c>
      <c r="K8" s="4">
        <f>IF(C8&lt;=Inputs!$B$19,"0-30 days",IF(C8&lt;=Inputs!$B$20,"31-60 days","61+ days"))</f>
        <v/>
      </c>
      <c r="L8" s="4">
        <f>IF(OR(I8="Review",J8="Yes",MOD(ROW()-5,3)=0),"SELECT","")</f>
        <v/>
      </c>
      <c r="M8" s="4">
        <f>IF(L8="SELECT",IF(I8="Review","Unmatched / voucher link / duplicate flag",IF(J8="Yes","Above individually significant threshold","Date/population coverage")),"Not auto-selected; auditor may add")</f>
        <v/>
      </c>
    </row>
    <row r="9">
      <c r="A9" s="4">
        <f>Disbursements!A9</f>
        <v/>
      </c>
      <c r="B9" s="9">
        <f>Disbursements!B9</f>
        <v/>
      </c>
      <c r="C9" s="4">
        <f>B9-Inputs!$B$7</f>
        <v/>
      </c>
      <c r="D9" s="4">
        <f>Disbursements!D9</f>
        <v/>
      </c>
      <c r="E9" s="4">
        <f>Disbursements!E9</f>
        <v/>
      </c>
      <c r="F9" s="10">
        <f>Disbursements!F9</f>
        <v/>
      </c>
      <c r="G9" s="4">
        <f>IF(COUNTIFS('YE AP Aging'!$B$5:$B$500,D9,'YE AP Aging'!$C$5:$C$500,E9)&gt;0,"Yes","No")</f>
        <v/>
      </c>
      <c r="H9" s="4">
        <f>IF(COUNTIFS('Unprocessed Invoices'!$C$5:$C$500,D9,'Unprocessed Invoices'!$D$5:$D$500,E9)&gt;0,"Yes","No")</f>
        <v/>
      </c>
      <c r="I9" s="4">
        <f>IF(OR(G9="No",H9="Yes",COUNTIF($E$5:E9,E9)&gt;1),"Review","Routine")</f>
        <v/>
      </c>
      <c r="J9" s="4">
        <f>IF(F9&gt;=Inputs!$B$13,"Yes","No")</f>
        <v/>
      </c>
      <c r="K9" s="4">
        <f>IF(C9&lt;=Inputs!$B$19,"0-30 days",IF(C9&lt;=Inputs!$B$20,"31-60 days","61+ days"))</f>
        <v/>
      </c>
      <c r="L9" s="4">
        <f>IF(OR(I9="Review",J9="Yes",MOD(ROW()-5,3)=0),"SELECT","")</f>
        <v/>
      </c>
      <c r="M9" s="4">
        <f>IF(L9="SELECT",IF(I9="Review","Unmatched / voucher link / duplicate flag",IF(J9="Yes","Above individually significant threshold","Date/population coverage")),"Not auto-selected; auditor may add")</f>
        <v/>
      </c>
    </row>
    <row r="10">
      <c r="A10" s="4">
        <f>Disbursements!A10</f>
        <v/>
      </c>
      <c r="B10" s="9">
        <f>Disbursements!B10</f>
        <v/>
      </c>
      <c r="C10" s="4">
        <f>B10-Inputs!$B$7</f>
        <v/>
      </c>
      <c r="D10" s="4">
        <f>Disbursements!D10</f>
        <v/>
      </c>
      <c r="E10" s="4">
        <f>Disbursements!E10</f>
        <v/>
      </c>
      <c r="F10" s="10">
        <f>Disbursements!F10</f>
        <v/>
      </c>
      <c r="G10" s="4">
        <f>IF(COUNTIFS('YE AP Aging'!$B$5:$B$500,D10,'YE AP Aging'!$C$5:$C$500,E10)&gt;0,"Yes","No")</f>
        <v/>
      </c>
      <c r="H10" s="4">
        <f>IF(COUNTIFS('Unprocessed Invoices'!$C$5:$C$500,D10,'Unprocessed Invoices'!$D$5:$D$500,E10)&gt;0,"Yes","No")</f>
        <v/>
      </c>
      <c r="I10" s="4">
        <f>IF(OR(G10="No",H10="Yes",COUNTIF($E$5:E10,E10)&gt;1),"Review","Routine")</f>
        <v/>
      </c>
      <c r="J10" s="4">
        <f>IF(F10&gt;=Inputs!$B$13,"Yes","No")</f>
        <v/>
      </c>
      <c r="K10" s="4">
        <f>IF(C10&lt;=Inputs!$B$19,"0-30 days",IF(C10&lt;=Inputs!$B$20,"31-60 days","61+ days"))</f>
        <v/>
      </c>
      <c r="L10" s="4">
        <f>IF(OR(I10="Review",J10="Yes",MOD(ROW()-5,3)=0),"SELECT","")</f>
        <v/>
      </c>
      <c r="M10" s="4">
        <f>IF(L10="SELECT",IF(I10="Review","Unmatched / voucher link / duplicate flag",IF(J10="Yes","Above individually significant threshold","Date/population coverage")),"Not auto-selected; auditor may add")</f>
        <v/>
      </c>
    </row>
    <row r="11">
      <c r="A11" s="4">
        <f>Disbursements!A11</f>
        <v/>
      </c>
      <c r="B11" s="9">
        <f>Disbursements!B11</f>
        <v/>
      </c>
      <c r="C11" s="4">
        <f>B11-Inputs!$B$7</f>
        <v/>
      </c>
      <c r="D11" s="4">
        <f>Disbursements!D11</f>
        <v/>
      </c>
      <c r="E11" s="4">
        <f>Disbursements!E11</f>
        <v/>
      </c>
      <c r="F11" s="10">
        <f>Disbursements!F11</f>
        <v/>
      </c>
      <c r="G11" s="4">
        <f>IF(COUNTIFS('YE AP Aging'!$B$5:$B$500,D11,'YE AP Aging'!$C$5:$C$500,E11)&gt;0,"Yes","No")</f>
        <v/>
      </c>
      <c r="H11" s="4">
        <f>IF(COUNTIFS('Unprocessed Invoices'!$C$5:$C$500,D11,'Unprocessed Invoices'!$D$5:$D$500,E11)&gt;0,"Yes","No")</f>
        <v/>
      </c>
      <c r="I11" s="4">
        <f>IF(OR(G11="No",H11="Yes",COUNTIF($E$5:E11,E11)&gt;1),"Review","Routine")</f>
        <v/>
      </c>
      <c r="J11" s="4">
        <f>IF(F11&gt;=Inputs!$B$13,"Yes","No")</f>
        <v/>
      </c>
      <c r="K11" s="4">
        <f>IF(C11&lt;=Inputs!$B$19,"0-30 days",IF(C11&lt;=Inputs!$B$20,"31-60 days","61+ days"))</f>
        <v/>
      </c>
      <c r="L11" s="4">
        <f>IF(OR(I11="Review",J11="Yes",MOD(ROW()-5,3)=0),"SELECT","")</f>
        <v/>
      </c>
      <c r="M11" s="4">
        <f>IF(L11="SELECT",IF(I11="Review","Unmatched / voucher link / duplicate flag",IF(J11="Yes","Above individually significant threshold","Date/population coverage")),"Not auto-selected; auditor may add")</f>
        <v/>
      </c>
    </row>
    <row r="12">
      <c r="A12" s="4">
        <f>Disbursements!A12</f>
        <v/>
      </c>
      <c r="B12" s="9">
        <f>Disbursements!B12</f>
        <v/>
      </c>
      <c r="C12" s="4">
        <f>B12-Inputs!$B$7</f>
        <v/>
      </c>
      <c r="D12" s="4">
        <f>Disbursements!D12</f>
        <v/>
      </c>
      <c r="E12" s="4">
        <f>Disbursements!E12</f>
        <v/>
      </c>
      <c r="F12" s="10">
        <f>Disbursements!F12</f>
        <v/>
      </c>
      <c r="G12" s="4">
        <f>IF(COUNTIFS('YE AP Aging'!$B$5:$B$500,D12,'YE AP Aging'!$C$5:$C$500,E12)&gt;0,"Yes","No")</f>
        <v/>
      </c>
      <c r="H12" s="4">
        <f>IF(COUNTIFS('Unprocessed Invoices'!$C$5:$C$500,D12,'Unprocessed Invoices'!$D$5:$D$500,E12)&gt;0,"Yes","No")</f>
        <v/>
      </c>
      <c r="I12" s="4">
        <f>IF(OR(G12="No",H12="Yes",COUNTIF($E$5:E12,E12)&gt;1),"Review","Routine")</f>
        <v/>
      </c>
      <c r="J12" s="4">
        <f>IF(F12&gt;=Inputs!$B$13,"Yes","No")</f>
        <v/>
      </c>
      <c r="K12" s="4">
        <f>IF(C12&lt;=Inputs!$B$19,"0-30 days",IF(C12&lt;=Inputs!$B$20,"31-60 days","61+ days"))</f>
        <v/>
      </c>
      <c r="L12" s="4">
        <f>IF(OR(I12="Review",J12="Yes",MOD(ROW()-5,3)=0),"SELECT","")</f>
        <v/>
      </c>
      <c r="M12" s="4">
        <f>IF(L12="SELECT",IF(I12="Review","Unmatched / voucher link / duplicate flag",IF(J12="Yes","Above individually significant threshold","Date/population coverage")),"Not auto-selected; auditor may add")</f>
        <v/>
      </c>
    </row>
    <row r="13">
      <c r="A13" s="4">
        <f>Disbursements!A13</f>
        <v/>
      </c>
      <c r="B13" s="9">
        <f>Disbursements!B13</f>
        <v/>
      </c>
      <c r="C13" s="4">
        <f>B13-Inputs!$B$7</f>
        <v/>
      </c>
      <c r="D13" s="4">
        <f>Disbursements!D13</f>
        <v/>
      </c>
      <c r="E13" s="4">
        <f>Disbursements!E13</f>
        <v/>
      </c>
      <c r="F13" s="10">
        <f>Disbursements!F13</f>
        <v/>
      </c>
      <c r="G13" s="4">
        <f>IF(COUNTIFS('YE AP Aging'!$B$5:$B$500,D13,'YE AP Aging'!$C$5:$C$500,E13)&gt;0,"Yes","No")</f>
        <v/>
      </c>
      <c r="H13" s="4">
        <f>IF(COUNTIFS('Unprocessed Invoices'!$C$5:$C$500,D13,'Unprocessed Invoices'!$D$5:$D$500,E13)&gt;0,"Yes","No")</f>
        <v/>
      </c>
      <c r="I13" s="4">
        <f>IF(OR(G13="No",H13="Yes",COUNTIF($E$5:E13,E13)&gt;1),"Review","Routine")</f>
        <v/>
      </c>
      <c r="J13" s="4">
        <f>IF(F13&gt;=Inputs!$B$13,"Yes","No")</f>
        <v/>
      </c>
      <c r="K13" s="4">
        <f>IF(C13&lt;=Inputs!$B$19,"0-30 days",IF(C13&lt;=Inputs!$B$20,"31-60 days","61+ days"))</f>
        <v/>
      </c>
      <c r="L13" s="4">
        <f>IF(OR(I13="Review",J13="Yes",MOD(ROW()-5,3)=0),"SELECT","")</f>
        <v/>
      </c>
      <c r="M13" s="4">
        <f>IF(L13="SELECT",IF(I13="Review","Unmatched / voucher link / duplicate flag",IF(J13="Yes","Above individually significant threshold","Date/population coverage")),"Not auto-selected; auditor may add")</f>
        <v/>
      </c>
    </row>
    <row r="14">
      <c r="A14" s="4">
        <f>Disbursements!A14</f>
        <v/>
      </c>
      <c r="B14" s="9">
        <f>Disbursements!B14</f>
        <v/>
      </c>
      <c r="C14" s="4">
        <f>B14-Inputs!$B$7</f>
        <v/>
      </c>
      <c r="D14" s="4">
        <f>Disbursements!D14</f>
        <v/>
      </c>
      <c r="E14" s="4">
        <f>Disbursements!E14</f>
        <v/>
      </c>
      <c r="F14" s="10">
        <f>Disbursements!F14</f>
        <v/>
      </c>
      <c r="G14" s="4">
        <f>IF(COUNTIFS('YE AP Aging'!$B$5:$B$500,D14,'YE AP Aging'!$C$5:$C$500,E14)&gt;0,"Yes","No")</f>
        <v/>
      </c>
      <c r="H14" s="4">
        <f>IF(COUNTIFS('Unprocessed Invoices'!$C$5:$C$500,D14,'Unprocessed Invoices'!$D$5:$D$500,E14)&gt;0,"Yes","No")</f>
        <v/>
      </c>
      <c r="I14" s="4">
        <f>IF(OR(G14="No",H14="Yes",COUNTIF($E$5:E14,E14)&gt;1),"Review","Routine")</f>
        <v/>
      </c>
      <c r="J14" s="4">
        <f>IF(F14&gt;=Inputs!$B$13,"Yes","No")</f>
        <v/>
      </c>
      <c r="K14" s="4">
        <f>IF(C14&lt;=Inputs!$B$19,"0-30 days",IF(C14&lt;=Inputs!$B$20,"31-60 days","61+ days"))</f>
        <v/>
      </c>
      <c r="L14" s="4">
        <f>IF(OR(I14="Review",J14="Yes",MOD(ROW()-5,3)=0),"SELECT","")</f>
        <v/>
      </c>
      <c r="M14" s="4">
        <f>IF(L14="SELECT",IF(I14="Review","Unmatched / voucher link / duplicate flag",IF(J14="Yes","Above individually significant threshold","Date/population coverage")),"Not auto-selected; auditor may add")</f>
        <v/>
      </c>
    </row>
    <row r="16" ht="42" customHeight="1">
      <c r="A16" s="12" t="inlineStr">
        <is>
          <t>CAUTION</t>
        </is>
      </c>
      <c r="B16" s="13" t="inlineStr">
        <is>
          <t>This is a risk-based screening helper, not a statistically representative sample or a validated sample-size calculation. The engagement team must approve selection methodology, population completeness, sample size and any random selection.</t>
        </is>
      </c>
    </row>
  </sheetData>
  <mergeCells count="3">
    <mergeCell ref="B16:M16"/>
    <mergeCell ref="A2:M2"/>
    <mergeCell ref="A1:M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8" customWidth="1" min="4" max="4"/>
    <col width="16" customWidth="1" min="5" max="5"/>
    <col width="17" customWidth="1" min="6" max="6"/>
    <col width="17" customWidth="1" min="7" max="7"/>
    <col width="24" customWidth="1" min="8" max="8"/>
    <col width="22" customWidth="1" min="9" max="9"/>
    <col width="18" customWidth="1" min="10" max="10"/>
    <col width="22" customWidth="1" min="11" max="11"/>
    <col width="22" customWidth="1" min="12" max="12"/>
    <col width="24" customWidth="1" min="13" max="13"/>
    <col width="18" customWidth="1" min="14" max="14"/>
    <col width="42" customWidth="1" min="15" max="15"/>
    <col width="22" customWidth="1" min="16" max="16"/>
    <col width="20" customWidth="1" min="17" max="17"/>
  </cols>
  <sheetData>
    <row r="1" ht="27" customHeight="1">
      <c r="A1" s="1" t="inlineStr">
        <is>
          <t>Invoice Testing Workpaper</t>
        </is>
      </c>
    </row>
    <row r="2" ht="34" customHeight="1">
      <c r="A2" s="2" t="inlineStr">
        <is>
          <t>Complete for each selected item; attach or cross-reference invoice, PO/contract, receiving/service evidence, payment proof and GL/AP search.</t>
        </is>
      </c>
    </row>
    <row r="3"/>
    <row r="4" ht="34" customHeight="1">
      <c r="A4" s="3" t="inlineStr">
        <is>
          <t>Sample ID</t>
        </is>
      </c>
      <c r="B4" s="3" t="inlineStr">
        <is>
          <t>Case / Payment ID</t>
        </is>
      </c>
      <c r="C4" s="3" t="inlineStr">
        <is>
          <t>Vendor</t>
        </is>
      </c>
      <c r="D4" s="3" t="inlineStr">
        <is>
          <t>Invoice Ref</t>
        </is>
      </c>
      <c r="E4" s="3" t="inlineStr">
        <is>
          <t>Amount</t>
        </is>
      </c>
      <c r="F4" s="3" t="inlineStr">
        <is>
          <t>Invoice obtained?</t>
        </is>
      </c>
      <c r="G4" s="3" t="inlineStr">
        <is>
          <t>PO / contract?</t>
        </is>
      </c>
      <c r="H4" s="3" t="inlineStr">
        <is>
          <t>Receipt/service evidence?</t>
        </is>
      </c>
      <c r="I4" s="3" t="inlineStr">
        <is>
          <t>Receipt/service date</t>
        </is>
      </c>
      <c r="J4" s="3" t="inlineStr">
        <is>
          <t>Related to YE?</t>
        </is>
      </c>
      <c r="K4" s="3" t="inlineStr">
        <is>
          <t>YE AP/accrual found?</t>
        </is>
      </c>
      <c r="L4" s="3" t="inlineStr">
        <is>
          <t>GL account / trace</t>
        </is>
      </c>
      <c r="M4" s="3" t="inlineStr">
        <is>
          <t>Duplicate / partial check</t>
        </is>
      </c>
      <c r="N4" s="3" t="inlineStr">
        <is>
          <t>Exception amount</t>
        </is>
      </c>
      <c r="O4" s="3" t="inlineStr">
        <is>
          <t>Exception / follow-up</t>
        </is>
      </c>
      <c r="P4" s="3" t="inlineStr">
        <is>
          <t>Conclusion</t>
        </is>
      </c>
      <c r="Q4" s="3" t="inlineStr">
        <is>
          <t>Reviewer/date</t>
        </is>
      </c>
    </row>
    <row r="5">
      <c r="A5" s="4" t="inlineStr">
        <is>
          <t>S01</t>
        </is>
      </c>
      <c r="B5" s="4" t="inlineStr">
        <is>
          <t>TC-01</t>
        </is>
      </c>
      <c r="C5" s="4" t="inlineStr">
        <is>
          <t>Northstar Office Supplies</t>
        </is>
      </c>
      <c r="D5" s="4" t="inlineStr">
        <is>
          <t>NS-251188</t>
        </is>
      </c>
      <c r="E5" s="10" t="n">
        <v>12500</v>
      </c>
      <c r="F5" s="4" t="inlineStr">
        <is>
          <t>Pending</t>
        </is>
      </c>
      <c r="G5" s="4" t="inlineStr">
        <is>
          <t>Pending</t>
        </is>
      </c>
      <c r="H5" s="4" t="inlineStr">
        <is>
          <t>Pending</t>
        </is>
      </c>
      <c r="I5" s="9" t="n">
        <v>46006</v>
      </c>
      <c r="J5" s="4" t="inlineStr">
        <is>
          <t>Pending</t>
        </is>
      </c>
      <c r="K5" s="4" t="inlineStr">
        <is>
          <t>Pending</t>
        </is>
      </c>
      <c r="L5" s="4" t="inlineStr"/>
      <c r="M5" s="4" t="inlineStr">
        <is>
          <t>Pending</t>
        </is>
      </c>
      <c r="N5" s="10" t="n">
        <v>0</v>
      </c>
      <c r="O5" s="4" t="inlineStr"/>
      <c r="P5" s="4" t="inlineStr">
        <is>
          <t>Pending</t>
        </is>
      </c>
      <c r="Q5" s="4" t="inlineStr"/>
    </row>
    <row r="6">
      <c r="A6" s="4" t="inlineStr">
        <is>
          <t>S02</t>
        </is>
      </c>
      <c r="B6" s="4" t="inlineStr">
        <is>
          <t>TC-02</t>
        </is>
      </c>
      <c r="C6" s="4" t="inlineStr">
        <is>
          <t>Delta Electric</t>
        </is>
      </c>
      <c r="D6" s="4" t="inlineStr">
        <is>
          <t>DE-5510</t>
        </is>
      </c>
      <c r="E6" s="10" t="n">
        <v>38700</v>
      </c>
      <c r="F6" s="4" t="inlineStr">
        <is>
          <t>Pending</t>
        </is>
      </c>
      <c r="G6" s="4" t="inlineStr">
        <is>
          <t>Pending</t>
        </is>
      </c>
      <c r="H6" s="4" t="inlineStr">
        <is>
          <t>Pending</t>
        </is>
      </c>
      <c r="I6" s="9" t="n">
        <v>46011</v>
      </c>
      <c r="J6" s="4" t="inlineStr">
        <is>
          <t>Pending</t>
        </is>
      </c>
      <c r="K6" s="4" t="inlineStr">
        <is>
          <t>Pending</t>
        </is>
      </c>
      <c r="L6" s="4" t="inlineStr"/>
      <c r="M6" s="4" t="inlineStr">
        <is>
          <t>Pending</t>
        </is>
      </c>
      <c r="N6" s="10" t="n">
        <v>0</v>
      </c>
      <c r="O6" s="4" t="inlineStr"/>
      <c r="P6" s="4" t="inlineStr">
        <is>
          <t>Pending</t>
        </is>
      </c>
      <c r="Q6" s="4" t="inlineStr"/>
    </row>
    <row r="7">
      <c r="A7" s="4" t="inlineStr">
        <is>
          <t>S03</t>
        </is>
      </c>
      <c r="B7" s="4" t="inlineStr">
        <is>
          <t>TC-03</t>
        </is>
      </c>
      <c r="C7" s="4" t="inlineStr">
        <is>
          <t>Prime Janitorial</t>
        </is>
      </c>
      <c r="D7" s="4" t="inlineStr">
        <is>
          <t>PJ-0106</t>
        </is>
      </c>
      <c r="E7" s="10" t="n">
        <v>14500</v>
      </c>
      <c r="F7" s="4" t="inlineStr">
        <is>
          <t>Pending</t>
        </is>
      </c>
      <c r="G7" s="4" t="inlineStr">
        <is>
          <t>Pending</t>
        </is>
      </c>
      <c r="H7" s="4" t="inlineStr">
        <is>
          <t>Pending</t>
        </is>
      </c>
      <c r="I7" s="9" t="n">
        <v>46053</v>
      </c>
      <c r="J7" s="4" t="inlineStr">
        <is>
          <t>Pending</t>
        </is>
      </c>
      <c r="K7" s="4" t="inlineStr">
        <is>
          <t>Pending</t>
        </is>
      </c>
      <c r="L7" s="4" t="inlineStr"/>
      <c r="M7" s="4" t="inlineStr">
        <is>
          <t>Pending</t>
        </is>
      </c>
      <c r="N7" s="10" t="n">
        <v>0</v>
      </c>
      <c r="O7" s="4" t="inlineStr"/>
      <c r="P7" s="4" t="inlineStr">
        <is>
          <t>Pending</t>
        </is>
      </c>
      <c r="Q7" s="4" t="inlineStr"/>
    </row>
    <row r="8">
      <c r="A8" s="4" t="inlineStr">
        <is>
          <t>S04</t>
        </is>
      </c>
      <c r="B8" s="4" t="inlineStr">
        <is>
          <t>TC-04</t>
        </is>
      </c>
      <c r="C8" s="4" t="inlineStr">
        <is>
          <t>Beacon Consulting</t>
        </is>
      </c>
      <c r="D8" s="4" t="inlineStr">
        <is>
          <t>BC-882</t>
        </is>
      </c>
      <c r="E8" s="10" t="n">
        <v>57000</v>
      </c>
      <c r="F8" s="4" t="inlineStr">
        <is>
          <t>Pending</t>
        </is>
      </c>
      <c r="G8" s="4" t="inlineStr">
        <is>
          <t>Pending</t>
        </is>
      </c>
      <c r="H8" s="4" t="inlineStr">
        <is>
          <t>Pending</t>
        </is>
      </c>
      <c r="I8" s="9" t="n">
        <v>46009</v>
      </c>
      <c r="J8" s="4" t="inlineStr">
        <is>
          <t>Pending</t>
        </is>
      </c>
      <c r="K8" s="4" t="inlineStr">
        <is>
          <t>Pending</t>
        </is>
      </c>
      <c r="L8" s="4" t="inlineStr"/>
      <c r="M8" s="4" t="inlineStr">
        <is>
          <t>Pending</t>
        </is>
      </c>
      <c r="N8" s="10" t="n">
        <v>0</v>
      </c>
      <c r="O8" s="4" t="inlineStr"/>
      <c r="P8" s="4" t="inlineStr">
        <is>
          <t>Pending</t>
        </is>
      </c>
      <c r="Q8" s="4" t="inlineStr"/>
    </row>
  </sheetData>
  <mergeCells count="2">
    <mergeCell ref="A2:Q2"/>
    <mergeCell ref="A1:Q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  <col width="62" customWidth="1" min="4" max="4"/>
    <col width="22" customWidth="1" min="5" max="5"/>
    <col width="22" customWidth="1" min="6" max="6"/>
  </cols>
  <sheetData>
    <row r="1" ht="27" customHeight="1">
      <c r="A1" s="1" t="inlineStr">
        <is>
          <t>SURL Workpaper — Planning, Results &amp; Conclusion</t>
        </is>
      </c>
    </row>
    <row r="2" ht="34" customHeight="1">
      <c r="A2" s="2" t="inlineStr">
        <is>
          <t>Fill out preparer/reviewer fields and cross-reference evidence. This is a draft template for auditor review.</t>
        </is>
      </c>
    </row>
    <row r="3"/>
    <row r="4" ht="34" customHeight="1">
      <c r="A4" s="3" t="inlineStr">
        <is>
          <t>Section</t>
        </is>
      </c>
      <c r="B4" s="3" t="inlineStr">
        <is>
          <t>Field</t>
        </is>
      </c>
      <c r="C4" s="3" t="inlineStr">
        <is>
          <t>Value / Formula</t>
        </is>
      </c>
      <c r="D4" s="3" t="inlineStr">
        <is>
          <t>Evidence reference / explanation</t>
        </is>
      </c>
      <c r="E4" s="3" t="inlineStr">
        <is>
          <t>Prepared by/date</t>
        </is>
      </c>
      <c r="F4" s="3" t="inlineStr">
        <is>
          <t>Reviewer/date</t>
        </is>
      </c>
    </row>
    <row r="5" ht="39" customHeight="1">
      <c r="A5" s="4" t="inlineStr">
        <is>
          <t>Objective</t>
        </is>
      </c>
      <c r="B5" s="4" t="inlineStr">
        <is>
          <t>Audit objective</t>
        </is>
      </c>
      <c r="C5" s="4" t="inlineStr">
        <is>
          <t>Search for liabilities relating to the audit period that may have been omitted or recorded in the wrong period.</t>
        </is>
      </c>
      <c r="D5" s="4" t="inlineStr"/>
      <c r="E5" s="4" t="inlineStr"/>
      <c r="F5" s="4" t="inlineStr"/>
    </row>
    <row r="6" ht="39" customHeight="1">
      <c r="A6" s="4" t="inlineStr">
        <is>
          <t>Scope</t>
        </is>
      </c>
      <c r="B6" s="4" t="inlineStr">
        <is>
          <t>Audit period</t>
        </is>
      </c>
      <c r="C6" s="4">
        <f>Inputs!B6</f>
        <v/>
      </c>
      <c r="D6" s="4" t="inlineStr">
        <is>
          <t>Inputs tab</t>
        </is>
      </c>
      <c r="E6" s="4" t="inlineStr"/>
      <c r="F6" s="4" t="inlineStr"/>
    </row>
    <row r="7" ht="39" customHeight="1">
      <c r="A7" s="4" t="inlineStr">
        <is>
          <t>Scope</t>
        </is>
      </c>
      <c r="B7" s="4" t="inlineStr">
        <is>
          <t>Year-end date</t>
        </is>
      </c>
      <c r="C7" s="4">
        <f>Inputs!B7</f>
        <v/>
      </c>
      <c r="D7" s="4" t="inlineStr">
        <is>
          <t>Inputs tab</t>
        </is>
      </c>
      <c r="E7" s="4" t="inlineStr"/>
      <c r="F7" s="4" t="inlineStr"/>
    </row>
    <row r="8" ht="39" customHeight="1">
      <c r="A8" s="4" t="inlineStr">
        <is>
          <t>Population</t>
        </is>
      </c>
      <c r="B8" s="4" t="inlineStr">
        <is>
          <t>YE AP aging count</t>
        </is>
      </c>
      <c r="C8" s="10">
        <f>COUNTA('YE AP Aging'!A5:A500)</f>
        <v/>
      </c>
      <c r="D8" s="4" t="inlineStr">
        <is>
          <t>Reconcile to AP subledger</t>
        </is>
      </c>
      <c r="E8" s="4" t="inlineStr"/>
      <c r="F8" s="4" t="inlineStr"/>
    </row>
    <row r="9" ht="39" customHeight="1">
      <c r="A9" s="4" t="inlineStr">
        <is>
          <t>Population</t>
        </is>
      </c>
      <c r="B9" s="4" t="inlineStr">
        <is>
          <t>YE AP aging open balance</t>
        </is>
      </c>
      <c r="C9" s="10">
        <f>SUM('YE AP Aging'!G5:G500)</f>
        <v/>
      </c>
      <c r="D9" s="4" t="inlineStr">
        <is>
          <t>Reconcile to AP control account / GL</t>
        </is>
      </c>
      <c r="E9" s="4" t="inlineStr"/>
      <c r="F9" s="4" t="inlineStr"/>
    </row>
    <row r="10" ht="39" customHeight="1">
      <c r="A10" s="4" t="inlineStr">
        <is>
          <t>Population</t>
        </is>
      </c>
      <c r="B10" s="4" t="inlineStr">
        <is>
          <t>Subsequent disbursement count</t>
        </is>
      </c>
      <c r="C10" s="10">
        <f>COUNTA(Disbursements!A5:A500)</f>
        <v/>
      </c>
      <c r="D10" s="4" t="inlineStr">
        <is>
          <t>Reconcile to bank/cash disbursement report</t>
        </is>
      </c>
      <c r="E10" s="4" t="inlineStr"/>
      <c r="F10" s="4" t="inlineStr"/>
    </row>
    <row r="11" ht="39" customHeight="1">
      <c r="A11" s="4" t="inlineStr">
        <is>
          <t>Population</t>
        </is>
      </c>
      <c r="B11" s="4" t="inlineStr">
        <is>
          <t>Subsequent disbursement value</t>
        </is>
      </c>
      <c r="C11" s="10">
        <f>SUM(Disbursements!F5:F500)</f>
        <v/>
      </c>
      <c r="D11" s="4" t="inlineStr">
        <is>
          <t>Reconcile to bank and cash disbursement GL</t>
        </is>
      </c>
      <c r="E11" s="4" t="inlineStr"/>
      <c r="F11" s="4" t="inlineStr"/>
    </row>
    <row r="12" ht="39" customHeight="1">
      <c r="A12" s="4" t="inlineStr">
        <is>
          <t>Population</t>
        </is>
      </c>
      <c r="B12" s="4" t="inlineStr">
        <is>
          <t>Subsequent AP aging count</t>
        </is>
      </c>
      <c r="C12" s="10">
        <f>COUNTA('Subsequent AP Aging'!A5:A500)</f>
        <v/>
      </c>
      <c r="D12" s="4" t="inlineStr">
        <is>
          <t>Tie to AP subledger as of subsequent date</t>
        </is>
      </c>
      <c r="E12" s="4" t="inlineStr"/>
      <c r="F12" s="4" t="inlineStr"/>
    </row>
    <row r="13" ht="39" customHeight="1">
      <c r="A13" s="4" t="inlineStr">
        <is>
          <t>Population</t>
        </is>
      </c>
      <c r="B13" s="4" t="inlineStr">
        <is>
          <t>Unprocessed invoice count</t>
        </is>
      </c>
      <c r="C13" s="10">
        <f>COUNTA('Unprocessed Invoices'!A5:A500)</f>
        <v/>
      </c>
      <c r="D13" s="4" t="inlineStr">
        <is>
          <t>Agree to AP system report / invoice register</t>
        </is>
      </c>
      <c r="E13" s="4" t="inlineStr"/>
      <c r="F13" s="4" t="inlineStr"/>
    </row>
    <row r="14" ht="39" customHeight="1">
      <c r="A14" s="4" t="inlineStr">
        <is>
          <t>Population</t>
        </is>
      </c>
      <c r="B14" s="4" t="inlineStr">
        <is>
          <t>Trial balance total debits</t>
        </is>
      </c>
      <c r="C14" s="10">
        <f>SUM('Trial Balance'!D5:D500)</f>
        <v/>
      </c>
      <c r="D14" s="4" t="inlineStr">
        <is>
          <t>Tie to signed trial balance</t>
        </is>
      </c>
      <c r="E14" s="4" t="inlineStr"/>
      <c r="F14" s="4" t="inlineStr"/>
    </row>
    <row r="15" ht="39" customHeight="1">
      <c r="A15" s="4" t="inlineStr">
        <is>
          <t>Population</t>
        </is>
      </c>
      <c r="B15" s="4" t="inlineStr">
        <is>
          <t>Trial balance total credits</t>
        </is>
      </c>
      <c r="C15" s="10">
        <f>SUM('Trial Balance'!E5:E500)</f>
        <v/>
      </c>
      <c r="D15" s="4" t="inlineStr">
        <is>
          <t>Tie to signed trial balance</t>
        </is>
      </c>
      <c r="E15" s="4" t="inlineStr"/>
      <c r="F15" s="4" t="inlineStr"/>
    </row>
    <row r="16" ht="39" customHeight="1">
      <c r="A16" s="4" t="inlineStr">
        <is>
          <t>Sampling</t>
        </is>
      </c>
      <c r="B16" s="4" t="inlineStr">
        <is>
          <t>Suggested selected payments</t>
        </is>
      </c>
      <c r="C16" s="10">
        <f>COUNTIF('Sample Selection'!L5:L500,"SELECT")</f>
        <v/>
      </c>
      <c r="D16" s="4" t="inlineStr">
        <is>
          <t>Selection helper; review and document rationale</t>
        </is>
      </c>
      <c r="E16" s="4" t="inlineStr"/>
      <c r="F16" s="4" t="inlineStr"/>
    </row>
    <row r="17" ht="39" customHeight="1">
      <c r="A17" s="4" t="inlineStr">
        <is>
          <t>Sampling</t>
        </is>
      </c>
      <c r="B17" s="4" t="inlineStr">
        <is>
          <t>Selected payment value</t>
        </is>
      </c>
      <c r="C17" s="10">
        <f>SUMIF('Sample Selection'!L5:L500,"SELECT",'Sample Selection'!F5:F500)</f>
        <v/>
      </c>
      <c r="D17" s="4" t="inlineStr">
        <is>
          <t>Coverage is descriptive, not a sufficiency criterion</t>
        </is>
      </c>
      <c r="E17" s="4" t="inlineStr"/>
      <c r="F17" s="4" t="inlineStr"/>
    </row>
    <row r="18" ht="39" customHeight="1">
      <c r="A18" s="4" t="inlineStr">
        <is>
          <t>Materiality</t>
        </is>
      </c>
      <c r="B18" s="4" t="inlineStr">
        <is>
          <t>Overall materiality</t>
        </is>
      </c>
      <c r="C18" s="4">
        <f>Inputs!B10</f>
        <v/>
      </c>
      <c r="D18" s="4" t="inlineStr">
        <is>
          <t>Approved planning memo</t>
        </is>
      </c>
      <c r="E18" s="4" t="inlineStr"/>
      <c r="F18" s="4" t="inlineStr"/>
    </row>
    <row r="19" ht="39" customHeight="1">
      <c r="A19" s="4" t="inlineStr">
        <is>
          <t>Materiality</t>
        </is>
      </c>
      <c r="B19" s="4" t="inlineStr">
        <is>
          <t>Performance materiality</t>
        </is>
      </c>
      <c r="C19" s="4">
        <f>Inputs!B11</f>
        <v/>
      </c>
      <c r="D19" s="4" t="inlineStr">
        <is>
          <t>Approved planning memo</t>
        </is>
      </c>
      <c r="E19" s="4" t="inlineStr"/>
      <c r="F19" s="4" t="inlineStr"/>
    </row>
    <row r="20" ht="39" customHeight="1">
      <c r="A20" s="4" t="inlineStr">
        <is>
          <t>Materiality</t>
        </is>
      </c>
      <c r="B20" s="4" t="inlineStr">
        <is>
          <t>SURL tolerable misstatement</t>
        </is>
      </c>
      <c r="C20" s="4">
        <f>Inputs!B12</f>
        <v/>
      </c>
      <c r="D20" s="4" t="inlineStr">
        <is>
          <t>Approved procedure-specific threshold</t>
        </is>
      </c>
      <c r="E20" s="4" t="inlineStr"/>
      <c r="F20" s="4" t="inlineStr"/>
    </row>
    <row r="21" ht="39" customHeight="1">
      <c r="A21" s="4" t="inlineStr">
        <is>
          <t>Procedures</t>
        </is>
      </c>
      <c r="B21" s="4" t="inlineStr">
        <is>
          <t>YE AP aging reconciled?</t>
        </is>
      </c>
      <c r="C21" s="4" t="inlineStr">
        <is>
          <t>Yes / No / N/A</t>
        </is>
      </c>
      <c r="D21" s="4" t="inlineStr">
        <is>
          <t>Document differences and resolution</t>
        </is>
      </c>
      <c r="E21" s="4" t="inlineStr"/>
      <c r="F21" s="4" t="inlineStr"/>
    </row>
    <row r="22" ht="39" customHeight="1">
      <c r="A22" s="4" t="inlineStr">
        <is>
          <t>Procedures</t>
        </is>
      </c>
      <c r="B22" s="4" t="inlineStr">
        <is>
          <t>Subsequent disbursement listing reconciled?</t>
        </is>
      </c>
      <c r="C22" s="4" t="inlineStr">
        <is>
          <t>Yes / No / N/A</t>
        </is>
      </c>
      <c r="D22" s="4" t="inlineStr">
        <is>
          <t>Document source, date range, reconciliation</t>
        </is>
      </c>
      <c r="E22" s="4" t="inlineStr"/>
      <c r="F22" s="4" t="inlineStr"/>
    </row>
    <row r="23" ht="39" customHeight="1">
      <c r="A23" s="4" t="inlineStr">
        <is>
          <t>Procedures</t>
        </is>
      </c>
      <c r="B23" s="4" t="inlineStr">
        <is>
          <t>Subsequent AP aging tested?</t>
        </is>
      </c>
      <c r="C23" s="4" t="inlineStr">
        <is>
          <t>Yes / No / N/A</t>
        </is>
      </c>
      <c r="D23" s="4" t="inlineStr">
        <is>
          <t>Use as complementary source, not replacement for YE aging</t>
        </is>
      </c>
      <c r="E23" s="4" t="inlineStr"/>
      <c r="F23" s="4" t="inlineStr"/>
    </row>
    <row r="24" ht="39" customHeight="1">
      <c r="A24" s="4" t="inlineStr">
        <is>
          <t>Procedures</t>
        </is>
      </c>
      <c r="B24" s="4" t="inlineStr">
        <is>
          <t>Unprocessed invoices/vouchers tested?</t>
        </is>
      </c>
      <c r="C24" s="4" t="inlineStr">
        <is>
          <t>Yes / No / N/A</t>
        </is>
      </c>
      <c r="D24" s="4" t="inlineStr">
        <is>
          <t>Trace invoice/service/receipt dates and search ledger</t>
        </is>
      </c>
      <c r="E24" s="4" t="inlineStr"/>
      <c r="F24" s="4" t="inlineStr"/>
    </row>
    <row r="25" ht="39" customHeight="1">
      <c r="A25" s="4" t="inlineStr">
        <is>
          <t>Procedures</t>
        </is>
      </c>
      <c r="B25" s="4" t="inlineStr">
        <is>
          <t>Unmatched receiving reports / open POs considered?</t>
        </is>
      </c>
      <c r="C25" s="4" t="inlineStr">
        <is>
          <t>Yes / No / N/A</t>
        </is>
      </c>
      <c r="D25" s="4" t="inlineStr">
        <is>
          <t>Document sources considered</t>
        </is>
      </c>
      <c r="E25" s="4" t="inlineStr"/>
      <c r="F25" s="4" t="inlineStr"/>
    </row>
    <row r="26" ht="39" customHeight="1">
      <c r="A26" s="4" t="inlineStr">
        <is>
          <t>Results</t>
        </is>
      </c>
      <c r="B26" s="4" t="inlineStr">
        <is>
          <t>Exceptions identified (count)</t>
        </is>
      </c>
      <c r="C26" s="4" t="inlineStr">
        <is>
          <t>Enter count</t>
        </is>
      </c>
      <c r="D26" s="4" t="inlineStr">
        <is>
          <t>Cross-reference Invoice Testing</t>
        </is>
      </c>
      <c r="E26" s="4" t="inlineStr"/>
      <c r="F26" s="4" t="inlineStr"/>
    </row>
    <row r="27" ht="39" customHeight="1">
      <c r="A27" s="4" t="inlineStr">
        <is>
          <t>Results</t>
        </is>
      </c>
      <c r="B27" s="4" t="inlineStr">
        <is>
          <t>Potential omitted liability amount</t>
        </is>
      </c>
      <c r="C27" s="4" t="inlineStr">
        <is>
          <t>Enter amount</t>
        </is>
      </c>
      <c r="D27" s="4" t="inlineStr">
        <is>
          <t>Evidence-based; avoid double counting the same invoice across sources</t>
        </is>
      </c>
      <c r="E27" s="4" t="inlineStr"/>
      <c r="F27" s="4" t="inlineStr"/>
    </row>
    <row r="28" ht="39" customHeight="1">
      <c r="A28" s="4" t="inlineStr">
        <is>
          <t>Conclusion</t>
        </is>
      </c>
      <c r="B28" s="4" t="inlineStr">
        <is>
          <t>Conclusion</t>
        </is>
      </c>
      <c r="C28" s="4" t="inlineStr">
        <is>
          <t>Draft only — based on procedures performed and evidence obtained, determine whether additional procedures or adjustment are required.</t>
        </is>
      </c>
      <c r="D28" s="4" t="inlineStr">
        <is>
          <t>Must be completed by auditor and reviewed</t>
        </is>
      </c>
      <c r="E28" s="4" t="inlineStr"/>
      <c r="F28" s="4" t="inlineStr"/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8" customWidth="1" min="2" max="2"/>
    <col width="62" customWidth="1" min="3" max="3"/>
    <col width="62" customWidth="1" min="4" max="4"/>
  </cols>
  <sheetData>
    <row r="1" ht="27" customHeight="1">
      <c r="A1" s="1" t="inlineStr">
        <is>
          <t>Procedure Guide — SURL</t>
        </is>
      </c>
    </row>
    <row r="2" ht="34" customHeight="1">
      <c r="A2" s="2" t="inlineStr">
        <is>
          <t>Use with applicable auditing standards and the firm's methodology. Not a substitute for professional judgment.</t>
        </is>
      </c>
    </row>
    <row r="3"/>
    <row r="4" ht="34" customHeight="1">
      <c r="A4" s="3" t="inlineStr">
        <is>
          <t>Topic</t>
        </is>
      </c>
      <c r="B4" s="3" t="inlineStr">
        <is>
          <t>Procedure / decision</t>
        </is>
      </c>
      <c r="C4" s="3" t="inlineStr">
        <is>
          <t>Documentation expected</t>
        </is>
      </c>
      <c r="D4" s="3" t="inlineStr">
        <is>
          <t>Key caution</t>
        </is>
      </c>
    </row>
    <row r="5" ht="70" customHeight="1">
      <c r="A5" s="4" t="inlineStr">
        <is>
          <t>Year-end AP aging</t>
        </is>
      </c>
      <c r="B5" s="4" t="inlineStr">
        <is>
          <t>Obtain full aging as of reporting date; agree totals to AP subledger and GL control account; investigate unusual balances, credit balances and cut-off.</t>
        </is>
      </c>
      <c r="C5" s="4" t="inlineStr">
        <is>
          <t>Population count/value, reconciliation, differences and resolution.</t>
        </is>
      </c>
      <c r="D5" s="4" t="inlineStr">
        <is>
          <t>Recorded AP testing does not by itself find omitted liabilities.</t>
        </is>
      </c>
    </row>
    <row r="6" ht="70" customHeight="1">
      <c r="A6" s="4" t="inlineStr">
        <is>
          <t>Subsequent disbursements</t>
        </is>
      </c>
      <c r="B6" s="4" t="inlineStr">
        <is>
          <t>Obtain full listing from year-end to appropriate cutoff/report date; reconcile to bank statements, cash disbursement journal and GL where possible.</t>
        </is>
      </c>
      <c r="C6" s="4" t="inlineStr">
        <is>
          <t>Source, date window, population count/value, reconciliation, selection method.</t>
        </is>
      </c>
      <c r="D6" s="4" t="inlineStr">
        <is>
          <t>Payment date alone does not prove period relevance.</t>
        </is>
      </c>
    </row>
    <row r="7" ht="70" customHeight="1">
      <c r="A7" s="4" t="inlineStr">
        <is>
          <t>Subsequent AP aging</t>
        </is>
      </c>
      <c r="B7" s="4" t="inlineStr">
        <is>
          <t>Obtain AP aging as of a later date to identify items still open and settlements; trace relevant items back to YE and source docs.</t>
        </is>
      </c>
      <c r="C7" s="4" t="inlineStr">
        <is>
          <t>Subsequent balance, invoice date, receipt/service date, posting and settlement dates.</t>
        </is>
      </c>
      <c r="D7" s="4" t="inlineStr">
        <is>
          <t>Useful corroborative source, not a replacement for year-end AP aging.</t>
        </is>
      </c>
    </row>
    <row r="8" ht="70" customHeight="1">
      <c r="A8" s="4" t="inlineStr">
        <is>
          <t>Unprocessed invoices</t>
        </is>
      </c>
      <c r="B8" s="4" t="inlineStr">
        <is>
          <t>Obtain invoices received/processed after YE, voucher hold/unmatched register, unmatched receiving reports and relevant vendor statements.</t>
        </is>
      </c>
      <c r="C8" s="4" t="inlineStr">
        <is>
          <t>Date received, invoice date, goods receipt/service date, posting date and ledger trace.</t>
        </is>
      </c>
      <c r="D8" s="4" t="inlineStr">
        <is>
          <t>Can identify unpaid or unprocessed obligations missed by payment search.</t>
        </is>
      </c>
    </row>
    <row r="9" ht="70" customHeight="1">
      <c r="A9" s="4" t="inlineStr">
        <is>
          <t>Trial balance</t>
        </is>
      </c>
      <c r="B9" s="4" t="inlineStr">
        <is>
          <t>Tie AP control and accrual accounts to ledgers; scan relevant expense accounts and unusual journal entries; search for liabilities posted to other accounts.</t>
        </is>
      </c>
      <c r="C9" s="4" t="inlineStr">
        <is>
          <t>TB date, AP/accrual account totals, reconciliations and unusual entries.</t>
        </is>
      </c>
      <c r="D9" s="4" t="inlineStr">
        <is>
          <t>The TB must be balanced and agree to the ledger; do not infer completeness from balance alone.</t>
        </is>
      </c>
    </row>
    <row r="10" ht="70" customHeight="1">
      <c r="A10" s="4" t="inlineStr">
        <is>
          <t>Materiality</t>
        </is>
      </c>
      <c r="B10" s="4" t="inlineStr">
        <is>
          <t>Use approved overall materiality, performance materiality and SURL tolerable misstatement; set a documented individually significant threshold.</t>
        </is>
      </c>
      <c r="C10" s="4" t="inlineStr">
        <is>
          <t>Planning memo references and rationale.</t>
        </is>
      </c>
      <c r="D10" s="4" t="inlineStr">
        <is>
          <t>Do not automatically change materiality based on payment date.</t>
        </is>
      </c>
    </row>
    <row r="11" ht="70" customHeight="1">
      <c r="A11" s="4" t="inlineStr">
        <is>
          <t>Sample size</t>
        </is>
      </c>
      <c r="B11" s="4" t="inlineStr">
        <is>
          <t>Determine whether specific-item, non-statistical or statistical sampling is appropriate. Consider population, tolerable misstatement, expected error, risk and other substantive evidence.</t>
        </is>
      </c>
      <c r="C11" s="4" t="inlineStr">
        <is>
          <t>Sampling objective, population, sample method, factors, rationale and selected items.</t>
        </is>
      </c>
      <c r="D11" s="4" t="inlineStr">
        <is>
          <t>No universal formula using only materiality and population count. Statistical inference requires a valid statistical design.</t>
        </is>
      </c>
    </row>
    <row r="12" ht="70" customHeight="1">
      <c r="A12" s="4" t="inlineStr">
        <is>
          <t>Date window</t>
        </is>
      </c>
      <c r="B12" s="4" t="inlineStr">
        <is>
          <t>Consider reporting date, audit report date, payment cycle, risks and available evidence; date buckets help ensure temporal coverage.</t>
        </is>
      </c>
      <c r="C12" s="4" t="inlineStr">
        <is>
          <t>Why the start/end date is appropriate; whether later window added more risk coverage.</t>
        </is>
      </c>
      <c r="D12" s="4" t="inlineStr">
        <is>
          <t>A later payment may settle an old liability; an early payment may relate to post-period services.</t>
        </is>
      </c>
    </row>
    <row r="13" ht="70" customHeight="1">
      <c r="A13" s="4" t="inlineStr">
        <is>
          <t>Include / exclude</t>
        </is>
      </c>
      <c r="B13" s="4" t="inlineStr">
        <is>
          <t>Include as potential SURL when goods/services relate to the audit period and no year-end liability is identified. Exclude post-period goods/services unless other facts indicate a YE obligation. Escalate uncertain cases.</t>
        </is>
      </c>
      <c r="C13" s="4" t="inlineStr">
        <is>
          <t>Invoice, PO/contract, receiving/service evidence, AP/accrual/GL search and conclusion.</t>
        </is>
      </c>
      <c r="D13" s="4" t="inlineStr">
        <is>
          <t>Distinguish potential exception from confirmed unrecorded liability.</t>
        </is>
      </c>
    </row>
    <row r="14" ht="70" customHeight="1">
      <c r="A14" s="4" t="inlineStr">
        <is>
          <t>Duplicate / partial payment</t>
        </is>
      </c>
      <c r="B14" s="4" t="inlineStr">
        <is>
          <t>Compare vendor, invoice number, amount, payment history and open balance; investigate repeated refs and split/partial payments.</t>
        </is>
      </c>
      <c r="C14" s="4" t="inlineStr">
        <is>
          <t>Payment-to-invoice reconciliation and remaining balance calculation.</t>
        </is>
      </c>
      <c r="D14" s="4" t="inlineStr">
        <is>
          <t>Duplicates are not automatically omitted liabilities; they may indicate payment error or data issue.</t>
        </is>
      </c>
    </row>
    <row r="15" ht="70" customHeight="1">
      <c r="A15" s="4" t="inlineStr">
        <is>
          <t>Conclusion</t>
        </is>
      </c>
      <c r="B15" s="4" t="inlineStr">
        <is>
          <t>Aggregate exceptions without double counting and evaluate against tolerable misstatement/materiality and qualitative factors; expand work when warranted.</t>
        </is>
      </c>
      <c r="C15" s="4" t="inlineStr">
        <is>
          <t>Exception log, proposed adjustment, follow-up and reviewer sign-off.</t>
        </is>
      </c>
      <c r="D15" s="4" t="inlineStr">
        <is>
          <t>Tool-generated flags are not final audit judgments.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2026-10-23T15:00:42Z</dcterms:created>
  <dcterms:modified xmlns:dcterms="http://purl.org/dc/terms/" xmlns:xsi="http://www.w3.org/2001/XMLSchema-instance" xsi:type="dcterms:W3CDTF">2026-10-23T15:00:42Z</dcterms:modified>
</cp:coreProperties>
</file>