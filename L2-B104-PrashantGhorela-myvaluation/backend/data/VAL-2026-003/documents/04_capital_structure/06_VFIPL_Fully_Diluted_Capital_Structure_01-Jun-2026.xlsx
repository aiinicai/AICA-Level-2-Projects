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ments Outstanding" sheetId="2" state="visible" r:id="rId4"/>
    <sheet name="Fully Diluted Table" sheetId="3" state="visible" r:id="rId5"/>
    <sheet name="ESOP Detail" sheetId="4" state="visible" r:id="rId6"/>
    <sheet name="Warrant Detai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<sst xmlns="http://schemas.openxmlformats.org/spreadsheetml/2006/main" count="111" uniqueCount="104">
  <si>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Vanraj Furniture Industries Private Limited</t>
  </si>
  <si>
    <t xml:space="preserve">CIN: U36101MH2009PTC194327 | Registered office: Plot No. 47, Anjur Phata Industrial Area, Bhiwandi, Thane 421302, Maharashtra</t>
  </si>
  <si>
    <t xml:space="preserve">Fully diluted capital structure as at 1 June 2026 (valuation date)</t>
  </si>
  <si>
    <t xml:space="preserve">Equity shares, CCPS, share warrants and employee stock options</t>
  </si>
  <si>
    <t xml:space="preserve">Contents: Instruments Outstanding, Fully Diluted Table, ESOP Detail, Warrant Detail.</t>
  </si>
  <si>
    <t xml:space="preserve">Certified by: Priya Nair, Company Secretary (ACS 41207), and Nikhil Rathi, CFO, on 3 June 2026.</t>
  </si>
  <si>
    <t xml:space="preserve">All data in this workbook is imaginary and has been prepared solely for testing a valuation model. Any resemblance to an actual company or person is coincidental.</t>
  </si>
  <si>
    <t xml:space="preserve">Outstanding securities and convertible instruments as at 1 June 2026</t>
  </si>
  <si>
    <t xml:space="preserve">Instrument</t>
  </si>
  <si>
    <t xml:space="preserve">Number outstanding</t>
  </si>
  <si>
    <t xml:space="preserve">Conversion / exercise ratio</t>
  </si>
  <si>
    <t xml:space="preserve">Equity shares on conversion</t>
  </si>
  <si>
    <t xml:space="preserve">Exercise / conversion price per equity share (Rs.)</t>
  </si>
  <si>
    <t xml:space="preserve">Key terms</t>
  </si>
  <si>
    <t xml:space="preserve">Equity shares of Rs. 10 each (fully paid)</t>
  </si>
  <si>
    <t xml:space="preserve">Ordinary voting equity shares</t>
  </si>
  <si>
    <t xml:space="preserve">0.01% Compulsorily Convertible Preference Shares of Rs. 100 each</t>
  </si>
  <si>
    <t xml:space="preserve">Issued 12 Nov 2025 at Rs. 200; compulsory conversion by 11 Nov 2030; anti-dilution protection; 1x non-participating liquidation preference</t>
  </si>
  <si>
    <t xml:space="preserve">Share warrants (issued to Anand Deshpande)</t>
  </si>
  <si>
    <t xml:space="preserve">Issued 15 Sep 2024; 25% upfront (Rs. 45 per warrant) received; balance Rs. 135 payable on exercise; exercisable up to 14 Sep 2027</t>
  </si>
  <si>
    <t xml:space="preserve">Employee stock options: ESOP 2022 (vested)</t>
  </si>
  <si>
    <t xml:space="preserve">Exercise price Rs. 50; exercisable within 5 years of vesting; settled from shares held by Vanraj Employees Welfare Trust and fresh issue</t>
  </si>
  <si>
    <t xml:space="preserve">Employee stock options: ESOP 2022 (unvested)</t>
  </si>
  <si>
    <t xml:space="preserve">Vesting over FY27 and FY28; forfeited on resignation before vesting</t>
  </si>
  <si>
    <t xml:space="preserve">Total equity shares on a fully diluted basis</t>
  </si>
  <si>
    <t xml:space="preserve">Notes:</t>
  </si>
  <si>
    <t xml:space="preserve">1. The 2,00,000 equity shares held by Vanraj Employees Welfare Trust are already included in the issued equity shares; options settled from the trust will not increase the share count. For a conservative fully diluted count, all options are shown as if settled by fresh issue.</t>
  </si>
  <si>
    <t xml:space="preserve">2. No compulsorily convertible debentures, optionally convertible instruments or other rights to subscribe to shares are outstanding.</t>
  </si>
  <si>
    <t xml:space="preserve">3. Cash receivable on exercise of warrants and options (treasury stock method) is shown on the Fully Diluted Table sheet.</t>
  </si>
  <si>
    <t xml:space="preserve">Holder-wise fully diluted equity as at 1 June 2026</t>
  </si>
  <si>
    <t xml:space="preserve">Assumes conversion of all CCPS and exercise of all warrants and options (vested and unvested)</t>
  </si>
  <si>
    <t xml:space="preserve">Holder</t>
  </si>
  <si>
    <t xml:space="preserve">Equity shares held</t>
  </si>
  <si>
    <t xml:space="preserve">% (basic)</t>
  </si>
  <si>
    <t xml:space="preserve">Equity from CCPS</t>
  </si>
  <si>
    <t xml:space="preserve">Equity from warrants</t>
  </si>
  <si>
    <t xml:space="preserve">Equity from ESOPs</t>
  </si>
  <si>
    <t xml:space="preserve">Fully diluted shares</t>
  </si>
  <si>
    <t xml:space="preserve">% (fully diluted)</t>
  </si>
  <si>
    <t xml:space="preserve">Vikram Malhotra</t>
  </si>
  <si>
    <t xml:space="preserve">Sunita Malhotra</t>
  </si>
  <si>
    <t xml:space="preserve">Rohan Malhotra</t>
  </si>
  <si>
    <t xml:space="preserve">Malhotra Family Trust</t>
  </si>
  <si>
    <t xml:space="preserve">Orchid Growth Ventures LLP</t>
  </si>
  <si>
    <t xml:space="preserve">Meridian Capital Partners Fund II</t>
  </si>
  <si>
    <t xml:space="preserve">Anand Deshpande</t>
  </si>
  <si>
    <t xml:space="preserve">Vanraj Employees Welfare Trust</t>
  </si>
  <si>
    <t xml:space="preserve">Employees (ESOP 2022 holders, 38 employees)</t>
  </si>
  <si>
    <t xml:space="preserve">Kavita Bhargava</t>
  </si>
  <si>
    <t xml:space="preserve">Sameer Kulkarni</t>
  </si>
  <si>
    <t xml:space="preserve">Other individual shareholders</t>
  </si>
  <si>
    <t xml:space="preserve">Total</t>
  </si>
  <si>
    <t xml:space="preserve">Check: fully diluted total agrees with Instruments Outstanding sheet (should be nil)</t>
  </si>
  <si>
    <t xml:space="preserve">Cash receivable on exercise (for treasury stock method, Rs. Lakhs)</t>
  </si>
  <si>
    <t xml:space="preserve">Warrants: 1,50,000 x Rs. 135 balance payable</t>
  </si>
  <si>
    <t xml:space="preserve">ESOPs: 2,50,000 x Rs. 50 exercise price</t>
  </si>
  <si>
    <t xml:space="preserve">Total cash receivable on exercise</t>
  </si>
  <si>
    <t xml:space="preserve">Summary by category (fully diluted)</t>
  </si>
  <si>
    <t xml:space="preserve">Promoter and promoter group</t>
  </si>
  <si>
    <t xml:space="preserve">Financial investors (Orchid and Meridian)</t>
  </si>
  <si>
    <t xml:space="preserve">Directors, employees and others</t>
  </si>
  <si>
    <t xml:space="preserve">Legend: blue figures are hardcoded inputs; black figures are formulas within the sheet; green figures are links to other sheets.</t>
  </si>
  <si>
    <t xml:space="preserve">All figures are illustrative and imaginary, prepared solely for testing a valuation model. Amounts in Rs. Lakhs unless stated otherwise.</t>
  </si>
  <si>
    <t xml:space="preserve">Vanraj ESOP 2022: grant-wise status as at 1 June 2026</t>
  </si>
  <si>
    <t xml:space="preserve">Options over equity shares of Rs. 10 each, one option = one share; exercise price Rs. 50</t>
  </si>
  <si>
    <t xml:space="preserve">Grant date</t>
  </si>
  <si>
    <t xml:space="preserve">Grant no.</t>
  </si>
  <si>
    <t xml:space="preserve">Options granted</t>
  </si>
  <si>
    <t xml:space="preserve">Forfeited / lapsed</t>
  </si>
  <si>
    <t xml:space="preserve">Exercised</t>
  </si>
  <si>
    <t xml:space="preserve">Vested and outstanding</t>
  </si>
  <si>
    <t xml:space="preserve">Unvested</t>
  </si>
  <si>
    <t xml:space="preserve">Total outstanding</t>
  </si>
  <si>
    <t xml:space="preserve">Vesting schedule</t>
  </si>
  <si>
    <t xml:space="preserve">01-Oct-2022</t>
  </si>
  <si>
    <t xml:space="preserve">G1</t>
  </si>
  <si>
    <t xml:space="preserve">25% each year from Oct 2023 to Oct 2026; final 25% vested early on Board approval in Apr 2026</t>
  </si>
  <si>
    <t xml:space="preserve">01-Oct-2023</t>
  </si>
  <si>
    <t xml:space="preserve">G2</t>
  </si>
  <si>
    <t xml:space="preserve">25% each year from Oct 2024</t>
  </si>
  <si>
    <t xml:space="preserve">01-Apr-2025</t>
  </si>
  <si>
    <t xml:space="preserve">G3</t>
  </si>
  <si>
    <t xml:space="preserve">33% each year from Apr 2026 (first tranche vests on completion of appraisal cycle in Jul 2026)</t>
  </si>
  <si>
    <t xml:space="preserve">Check: granted - forfeited - exercised - outstanding (should be nil)</t>
  </si>
  <si>
    <t xml:space="preserve">Pool: 3,00,000 options approved by shareholders on 12 September 2022 (approximately 6.5% of then paid-up equity). Options remaining in pool: 30,000.</t>
  </si>
  <si>
    <t xml:space="preserve">Exercise period: 5 years from vesting. Fair value of options at grant (Black-Scholes) as per ESOP accounting: G1 Rs. 62, G2 Rs. 71, G3 Rs. 84 per option.</t>
  </si>
  <si>
    <t xml:space="preserve">Share warrants as at 1 June 2026</t>
  </si>
  <si>
    <t xml:space="preserve">Particular</t>
  </si>
  <si>
    <t xml:space="preserve">Detail</t>
  </si>
  <si>
    <t xml:space="preserve">Anand Deshpande (Non-executive Director)</t>
  </si>
  <si>
    <t xml:space="preserve">Number of warrants</t>
  </si>
  <si>
    <t xml:space="preserve">1,50,000</t>
  </si>
  <si>
    <t xml:space="preserve">Date of allotment</t>
  </si>
  <si>
    <t xml:space="preserve">15 September 2024 (Board resolution 20 August 2024; shareholders' special resolution 10 September 2024)</t>
  </si>
  <si>
    <t xml:space="preserve">Issue price per warrant</t>
  </si>
  <si>
    <t xml:space="preserve">Rs. 180 (each warrant entitles the holder to one equity share of Rs. 10)</t>
  </si>
  <si>
    <t xml:space="preserve">Amount received upfront</t>
  </si>
  <si>
    <t xml:space="preserve">Rs. 45 per warrant (25%), total Rs. 67.50 Lakhs, included in other payables under other current liabilities in the audited balance sheet</t>
  </si>
  <si>
    <t xml:space="preserve">Balance payable on exercise</t>
  </si>
  <si>
    <t xml:space="preserve">Rs. 135 per warrant, total Rs. 202.50 Lakhs</t>
  </si>
  <si>
    <t xml:space="preserve">Exercise period</t>
  </si>
  <si>
    <t xml:space="preserve">Any time up to 14 September 2027; unexercised warrants lapse and upfront amount is forfeited</t>
  </si>
  <si>
    <t xml:space="preserve">Valuation at issue</t>
  </si>
  <si>
    <t xml:space="preserve">Rs. 180 per share as per registered valuer report dated 5 August 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</si>
</sst>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"/>
    <numFmt numFmtId="167" formatCode="0.00%"/>
    <numFmt numFmtId="168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i val="true"/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36" hidden="false" customHeight="true" outlineLevel="0" collapsed="false">
      <c r="A6" s="5" t="s">
        <v>4</v>
      </c>
    </row>
    <row r="7" customFormat="false" ht="36" hidden="false" customHeight="true" outlineLevel="0" collapsed="false">
      <c r="A7" s="5" t="s">
        <v>5</v>
      </c>
    </row>
    <row r="8" customFormat="false" ht="36" hidden="false" customHeight="true" outlineLevel="0" collapsed="false">
      <c r="A8" s="5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5" min="4" style="0" width="20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7</v>
      </c>
    </row>
    <row r="4" customFormat="false" ht="30" hidden="false" customHeight="true" outlineLevel="0" collapsed="false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</row>
    <row r="5" customFormat="false" ht="45" hidden="false" customHeight="true" outlineLevel="0" collapsed="false">
      <c r="A5" s="2" t="s">
        <v>14</v>
      </c>
      <c r="B5" s="8" t="n">
        <v>5000000</v>
      </c>
      <c r="C5" s="9" t="n">
        <v>1</v>
      </c>
      <c r="D5" s="10" t="n">
        <f aca="false">B5*C5</f>
        <v>5000000</v>
      </c>
      <c r="E5" s="11"/>
      <c r="F5" s="12" t="s">
        <v>15</v>
      </c>
    </row>
    <row r="6" customFormat="false" ht="45" hidden="false" customHeight="true" outlineLevel="0" collapsed="false">
      <c r="A6" s="2" t="s">
        <v>16</v>
      </c>
      <c r="B6" s="8" t="n">
        <v>300000</v>
      </c>
      <c r="C6" s="9" t="n">
        <v>2.5</v>
      </c>
      <c r="D6" s="10" t="n">
        <f aca="false">B6*C6</f>
        <v>750000</v>
      </c>
      <c r="E6" s="8" t="n">
        <v>80</v>
      </c>
      <c r="F6" s="12" t="s">
        <v>17</v>
      </c>
    </row>
    <row r="7" customFormat="false" ht="45" hidden="false" customHeight="true" outlineLevel="0" collapsed="false">
      <c r="A7" s="2" t="s">
        <v>18</v>
      </c>
      <c r="B7" s="8" t="n">
        <v>150000</v>
      </c>
      <c r="C7" s="9" t="n">
        <v>1</v>
      </c>
      <c r="D7" s="10" t="n">
        <f aca="false">B7*C7</f>
        <v>150000</v>
      </c>
      <c r="E7" s="8" t="n">
        <v>180</v>
      </c>
      <c r="F7" s="12" t="s">
        <v>19</v>
      </c>
    </row>
    <row r="8" customFormat="false" ht="45" hidden="false" customHeight="true" outlineLevel="0" collapsed="false">
      <c r="A8" s="2" t="s">
        <v>20</v>
      </c>
      <c r="B8" s="8" t="n">
        <v>160000</v>
      </c>
      <c r="C8" s="9" t="n">
        <v>1</v>
      </c>
      <c r="D8" s="10" t="n">
        <f aca="false">B8*C8</f>
        <v>160000</v>
      </c>
      <c r="E8" s="8" t="n">
        <v>50</v>
      </c>
      <c r="F8" s="12" t="s">
        <v>21</v>
      </c>
    </row>
    <row r="9" customFormat="false" ht="45" hidden="false" customHeight="true" outlineLevel="0" collapsed="false">
      <c r="A9" s="2" t="s">
        <v>22</v>
      </c>
      <c r="B9" s="8" t="n">
        <v>90000</v>
      </c>
      <c r="C9" s="9" t="n">
        <v>1</v>
      </c>
      <c r="D9" s="10" t="n">
        <f aca="false">B9*C9</f>
        <v>90000</v>
      </c>
      <c r="E9" s="8" t="n">
        <v>50</v>
      </c>
      <c r="F9" s="12" t="s">
        <v>23</v>
      </c>
    </row>
    <row r="10" customFormat="false" ht="15" hidden="false" customHeight="false" outlineLevel="0" collapsed="false">
      <c r="A10" s="13" t="s">
        <v>24</v>
      </c>
      <c r="D10" s="14" t="n">
        <f aca="false">SUM(D5:D9)</f>
        <v>6150000</v>
      </c>
      <c r="F10" s="14"/>
    </row>
    <row r="12" customFormat="false" ht="15" hidden="false" customHeight="false" outlineLevel="0" collapsed="false">
      <c r="A12" s="13" t="s">
        <v>25</v>
      </c>
    </row>
    <row r="13" customFormat="false" ht="57.45" hidden="false" customHeight="false" outlineLevel="0" collapsed="false">
      <c r="A13" s="5" t="s">
        <v>26</v>
      </c>
    </row>
    <row r="14" customFormat="false" ht="35.05" hidden="false" customHeight="false" outlineLevel="0" collapsed="false">
      <c r="A14" s="5" t="s">
        <v>27</v>
      </c>
    </row>
    <row r="15" customFormat="false" ht="35.05" hidden="false" customHeight="false" outlineLevel="0" collapsed="false">
      <c r="A15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29</v>
      </c>
    </row>
    <row r="3" customFormat="false" ht="15" hidden="false" customHeight="false" outlineLevel="0" collapsed="false">
      <c r="A3" s="2" t="s">
        <v>30</v>
      </c>
    </row>
    <row r="5" customFormat="false" ht="30" hidden="false" customHeight="true" outlineLevel="0" collapsed="false">
      <c r="A5" s="6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</row>
    <row r="6" customFormat="false" ht="15" hidden="false" customHeight="false" outlineLevel="0" collapsed="false">
      <c r="A6" s="2" t="s">
        <v>39</v>
      </c>
      <c r="B6" s="8" t="n">
        <v>1850000</v>
      </c>
      <c r="C6" s="15" t="n">
        <f aca="false">IF($B$18=0,0,B6/$B$18)</f>
        <v>0.37</v>
      </c>
      <c r="D6" s="8" t="n">
        <v>0</v>
      </c>
      <c r="E6" s="8" t="n">
        <v>0</v>
      </c>
      <c r="F6" s="8" t="n">
        <v>0</v>
      </c>
      <c r="G6" s="10" t="n">
        <f aca="false">B6+D6+E6+F6</f>
        <v>1850000</v>
      </c>
      <c r="H6" s="15" t="n">
        <f aca="false">IF($G$18=0,0,G6/$G$18)</f>
        <v>0.300813008130081</v>
      </c>
    </row>
    <row r="7" customFormat="false" ht="15" hidden="false" customHeight="false" outlineLevel="0" collapsed="false">
      <c r="A7" s="2" t="s">
        <v>40</v>
      </c>
      <c r="B7" s="8" t="n">
        <v>900000</v>
      </c>
      <c r="C7" s="15" t="n">
        <f aca="false">IF($B$18=0,0,B7/$B$18)</f>
        <v>0.18</v>
      </c>
      <c r="D7" s="8" t="n">
        <v>0</v>
      </c>
      <c r="E7" s="8" t="n">
        <v>0</v>
      </c>
      <c r="F7" s="8" t="n">
        <v>0</v>
      </c>
      <c r="G7" s="10" t="n">
        <f aca="false">B7+D7+E7+F7</f>
        <v>900000</v>
      </c>
      <c r="H7" s="15" t="n">
        <f aca="false">IF($G$18=0,0,G7/$G$18)</f>
        <v>0.146341463414634</v>
      </c>
    </row>
    <row r="8" customFormat="false" ht="15" hidden="false" customHeight="false" outlineLevel="0" collapsed="false">
      <c r="A8" s="2" t="s">
        <v>41</v>
      </c>
      <c r="B8" s="8" t="n">
        <v>550000</v>
      </c>
      <c r="C8" s="15" t="n">
        <f aca="false">IF($B$18=0,0,B8/$B$18)</f>
        <v>0.11</v>
      </c>
      <c r="D8" s="8" t="n">
        <v>0</v>
      </c>
      <c r="E8" s="8" t="n">
        <v>0</v>
      </c>
      <c r="F8" s="8" t="n">
        <v>0</v>
      </c>
      <c r="G8" s="10" t="n">
        <f aca="false">B8+D8+E8+F8</f>
        <v>550000</v>
      </c>
      <c r="H8" s="15" t="n">
        <f aca="false">IF($G$18=0,0,G8/$G$18)</f>
        <v>0.0894308943089431</v>
      </c>
    </row>
    <row r="9" customFormat="false" ht="15" hidden="false" customHeight="false" outlineLevel="0" collapsed="false">
      <c r="A9" s="2" t="s">
        <v>42</v>
      </c>
      <c r="B9" s="8" t="n">
        <v>400000</v>
      </c>
      <c r="C9" s="15" t="n">
        <f aca="false">IF($B$18=0,0,B9/$B$18)</f>
        <v>0.08</v>
      </c>
      <c r="D9" s="8" t="n">
        <v>0</v>
      </c>
      <c r="E9" s="8" t="n">
        <v>0</v>
      </c>
      <c r="F9" s="8" t="n">
        <v>0</v>
      </c>
      <c r="G9" s="10" t="n">
        <f aca="false">B9+D9+E9+F9</f>
        <v>400000</v>
      </c>
      <c r="H9" s="15" t="n">
        <f aca="false">IF($G$18=0,0,G9/$G$18)</f>
        <v>0.0650406504065041</v>
      </c>
    </row>
    <row r="10" customFormat="false" ht="15" hidden="false" customHeight="false" outlineLevel="0" collapsed="false">
      <c r="A10" s="2" t="s">
        <v>43</v>
      </c>
      <c r="B10" s="8" t="n">
        <v>600000</v>
      </c>
      <c r="C10" s="15" t="n">
        <f aca="false">IF($B$18=0,0,B10/$B$18)</f>
        <v>0.12</v>
      </c>
      <c r="D10" s="8" t="n">
        <v>500000</v>
      </c>
      <c r="E10" s="8" t="n">
        <v>0</v>
      </c>
      <c r="F10" s="8" t="n">
        <v>0</v>
      </c>
      <c r="G10" s="10" t="n">
        <f aca="false">B10+D10+E10+F10</f>
        <v>1100000</v>
      </c>
      <c r="H10" s="15" t="n">
        <f aca="false">IF($G$18=0,0,G10/$G$18)</f>
        <v>0.178861788617886</v>
      </c>
    </row>
    <row r="11" customFormat="false" ht="15" hidden="false" customHeight="false" outlineLevel="0" collapsed="false">
      <c r="A11" s="2" t="s">
        <v>44</v>
      </c>
      <c r="B11" s="8" t="n">
        <v>0</v>
      </c>
      <c r="C11" s="15" t="n">
        <f aca="false">IF($B$18=0,0,B11/$B$18)</f>
        <v>0</v>
      </c>
      <c r="D11" s="8" t="n">
        <v>250000</v>
      </c>
      <c r="E11" s="8" t="n">
        <v>0</v>
      </c>
      <c r="F11" s="8" t="n">
        <v>0</v>
      </c>
      <c r="G11" s="10" t="n">
        <f aca="false">B11+D11+E11+F11</f>
        <v>250000</v>
      </c>
      <c r="H11" s="15" t="n">
        <f aca="false">IF($G$18=0,0,G11/$G$18)</f>
        <v>0.040650406504065</v>
      </c>
    </row>
    <row r="12" customFormat="false" ht="15" hidden="false" customHeight="false" outlineLevel="0" collapsed="false">
      <c r="A12" s="2" t="s">
        <v>45</v>
      </c>
      <c r="B12" s="8" t="n">
        <v>350000</v>
      </c>
      <c r="C12" s="15" t="n">
        <f aca="false">IF($B$18=0,0,B12/$B$18)</f>
        <v>0.07</v>
      </c>
      <c r="D12" s="8" t="n">
        <v>0</v>
      </c>
      <c r="E12" s="8" t="n">
        <v>150000</v>
      </c>
      <c r="F12" s="8" t="n">
        <v>0</v>
      </c>
      <c r="G12" s="10" t="n">
        <f aca="false">B12+D12+E12+F12</f>
        <v>500000</v>
      </c>
      <c r="H12" s="15" t="n">
        <f aca="false">IF($G$18=0,0,G12/$G$18)</f>
        <v>0.0813008130081301</v>
      </c>
    </row>
    <row r="13" customFormat="false" ht="15" hidden="false" customHeight="false" outlineLevel="0" collapsed="false">
      <c r="A13" s="2" t="s">
        <v>46</v>
      </c>
      <c r="B13" s="8" t="n">
        <v>200000</v>
      </c>
      <c r="C13" s="15" t="n">
        <f aca="false">IF($B$18=0,0,B13/$B$18)</f>
        <v>0.04</v>
      </c>
      <c r="D13" s="8" t="n">
        <v>0</v>
      </c>
      <c r="E13" s="8" t="n">
        <v>0</v>
      </c>
      <c r="F13" s="8" t="n">
        <v>0</v>
      </c>
      <c r="G13" s="10" t="n">
        <f aca="false">B13+D13+E13+F13</f>
        <v>200000</v>
      </c>
      <c r="H13" s="15" t="n">
        <f aca="false">IF($G$18=0,0,G13/$G$18)</f>
        <v>0.032520325203252</v>
      </c>
    </row>
    <row r="14" customFormat="false" ht="15" hidden="false" customHeight="false" outlineLevel="0" collapsed="false">
      <c r="A14" s="2" t="s">
        <v>47</v>
      </c>
      <c r="B14" s="8" t="n">
        <v>0</v>
      </c>
      <c r="C14" s="15" t="n">
        <f aca="false">IF($B$18=0,0,B14/$B$18)</f>
        <v>0</v>
      </c>
      <c r="D14" s="8" t="n">
        <v>0</v>
      </c>
      <c r="E14" s="8" t="n">
        <v>0</v>
      </c>
      <c r="F14" s="8" t="n">
        <v>250000</v>
      </c>
      <c r="G14" s="10" t="n">
        <f aca="false">B14+D14+E14+F14</f>
        <v>250000</v>
      </c>
      <c r="H14" s="15" t="n">
        <f aca="false">IF($G$18=0,0,G14/$G$18)</f>
        <v>0.040650406504065</v>
      </c>
    </row>
    <row r="15" customFormat="false" ht="15" hidden="false" customHeight="false" outlineLevel="0" collapsed="false">
      <c r="A15" s="2" t="s">
        <v>48</v>
      </c>
      <c r="B15" s="8" t="n">
        <v>80000</v>
      </c>
      <c r="C15" s="15" t="n">
        <f aca="false">IF($B$18=0,0,B15/$B$18)</f>
        <v>0.016</v>
      </c>
      <c r="D15" s="8" t="n">
        <v>0</v>
      </c>
      <c r="E15" s="8" t="n">
        <v>0</v>
      </c>
      <c r="F15" s="8" t="n">
        <v>0</v>
      </c>
      <c r="G15" s="10" t="n">
        <f aca="false">B15+D15+E15+F15</f>
        <v>80000</v>
      </c>
      <c r="H15" s="15" t="n">
        <f aca="false">IF($G$18=0,0,G15/$G$18)</f>
        <v>0.0130081300813008</v>
      </c>
    </row>
    <row r="16" customFormat="false" ht="15" hidden="false" customHeight="false" outlineLevel="0" collapsed="false">
      <c r="A16" s="2" t="s">
        <v>49</v>
      </c>
      <c r="B16" s="8" t="n">
        <v>45000</v>
      </c>
      <c r="C16" s="15" t="n">
        <f aca="false">IF($B$18=0,0,B16/$B$18)</f>
        <v>0.009</v>
      </c>
      <c r="D16" s="8" t="n">
        <v>0</v>
      </c>
      <c r="E16" s="8" t="n">
        <v>0</v>
      </c>
      <c r="F16" s="8" t="n">
        <v>0</v>
      </c>
      <c r="G16" s="10" t="n">
        <f aca="false">B16+D16+E16+F16</f>
        <v>45000</v>
      </c>
      <c r="H16" s="15" t="n">
        <f aca="false">IF($G$18=0,0,G16/$G$18)</f>
        <v>0.00731707317073171</v>
      </c>
    </row>
    <row r="17" customFormat="false" ht="15" hidden="false" customHeight="false" outlineLevel="0" collapsed="false">
      <c r="A17" s="2" t="s">
        <v>50</v>
      </c>
      <c r="B17" s="8" t="n">
        <v>25000</v>
      </c>
      <c r="C17" s="15" t="n">
        <f aca="false">IF($B$18=0,0,B17/$B$18)</f>
        <v>0.005</v>
      </c>
      <c r="D17" s="8" t="n">
        <v>0</v>
      </c>
      <c r="E17" s="8" t="n">
        <v>0</v>
      </c>
      <c r="F17" s="8" t="n">
        <v>0</v>
      </c>
      <c r="G17" s="10" t="n">
        <f aca="false">B17+D17+E17+F17</f>
        <v>25000</v>
      </c>
      <c r="H17" s="15" t="n">
        <f aca="false">IF($G$18=0,0,G17/$G$18)</f>
        <v>0.0040650406504065</v>
      </c>
    </row>
    <row r="18" customFormat="false" ht="15" hidden="false" customHeight="false" outlineLevel="0" collapsed="false">
      <c r="A18" s="13" t="s">
        <v>51</v>
      </c>
      <c r="B18" s="14" t="n">
        <f aca="false">SUM(B6:B17)</f>
        <v>5000000</v>
      </c>
      <c r="C18" s="16" t="n">
        <f aca="false">SUM(C6:C17)</f>
        <v>1</v>
      </c>
      <c r="D18" s="14" t="n">
        <f aca="false">SUM(D6:D17)</f>
        <v>750000</v>
      </c>
      <c r="E18" s="14" t="n">
        <f aca="false">SUM(E6:E17)</f>
        <v>150000</v>
      </c>
      <c r="F18" s="14" t="n">
        <f aca="false">SUM(F6:F17)</f>
        <v>250000</v>
      </c>
      <c r="G18" s="14" t="n">
        <f aca="false">SUM(G6:G17)</f>
        <v>6150000</v>
      </c>
      <c r="H18" s="16" t="n">
        <f aca="false">SUM(H6:H17)</f>
        <v>1</v>
      </c>
    </row>
    <row r="20" customFormat="false" ht="15" hidden="false" customHeight="false" outlineLevel="0" collapsed="false">
      <c r="A20" s="2" t="s">
        <v>52</v>
      </c>
      <c r="B20" s="17" t="n">
        <f aca="false">G18-'Instruments Outstanding'!D10</f>
        <v>0</v>
      </c>
    </row>
    <row r="22" customFormat="false" ht="15" hidden="false" customHeight="false" outlineLevel="0" collapsed="false">
      <c r="A22" s="13" t="s">
        <v>53</v>
      </c>
    </row>
    <row r="23" customFormat="false" ht="15" hidden="false" customHeight="false" outlineLevel="0" collapsed="false">
      <c r="A23" s="2" t="s">
        <v>54</v>
      </c>
      <c r="B23" s="18" t="n">
        <f aca="false">150000*135/100000</f>
        <v>202.5</v>
      </c>
    </row>
    <row r="24" customFormat="false" ht="15" hidden="false" customHeight="false" outlineLevel="0" collapsed="false">
      <c r="A24" s="2" t="s">
        <v>55</v>
      </c>
      <c r="B24" s="18" t="n">
        <f aca="false">250000*50/100000</f>
        <v>125</v>
      </c>
    </row>
    <row r="25" customFormat="false" ht="15" hidden="false" customHeight="false" outlineLevel="0" collapsed="false">
      <c r="A25" s="13" t="s">
        <v>56</v>
      </c>
      <c r="B25" s="19" t="n">
        <f aca="false">B23+B24</f>
        <v>327.5</v>
      </c>
    </row>
    <row r="27" customFormat="false" ht="15" hidden="false" customHeight="false" outlineLevel="0" collapsed="false">
      <c r="A27" s="13" t="s">
        <v>57</v>
      </c>
    </row>
    <row r="28" customFormat="false" ht="15" hidden="false" customHeight="false" outlineLevel="0" collapsed="false">
      <c r="A28" s="2" t="s">
        <v>58</v>
      </c>
      <c r="B28" s="10" t="n">
        <f aca="false">SUM(G6:G9)</f>
        <v>3700000</v>
      </c>
      <c r="C28" s="15" t="n">
        <f aca="false">IF($G$18=0,0,B28/$G$18)</f>
        <v>0.601626016260163</v>
      </c>
    </row>
    <row r="29" customFormat="false" ht="15" hidden="false" customHeight="false" outlineLevel="0" collapsed="false">
      <c r="A29" s="2" t="s">
        <v>59</v>
      </c>
      <c r="B29" s="10" t="n">
        <f aca="false">SUM(G10:G11)</f>
        <v>1350000</v>
      </c>
      <c r="C29" s="15" t="n">
        <f aca="false">IF($G$18=0,0,B29/$G$18)</f>
        <v>0.219512195121951</v>
      </c>
    </row>
    <row r="30" customFormat="false" ht="15" hidden="false" customHeight="false" outlineLevel="0" collapsed="false">
      <c r="A30" s="2" t="s">
        <v>60</v>
      </c>
      <c r="B30" s="10" t="n">
        <f aca="false">SUM(G12:G17)</f>
        <v>1100000</v>
      </c>
      <c r="C30" s="15" t="n">
        <f aca="false">IF($G$18=0,0,B30/$G$18)</f>
        <v>0.178861788617886</v>
      </c>
    </row>
    <row r="31" customFormat="false" ht="15" hidden="false" customHeight="false" outlineLevel="0" collapsed="false">
      <c r="A31" s="13" t="s">
        <v>51</v>
      </c>
      <c r="B31" s="14" t="n">
        <f aca="false">SUM(B28:B30)</f>
        <v>6150000</v>
      </c>
      <c r="C31" s="16" t="n">
        <f aca="false">SUM(C28:C30)</f>
        <v>1</v>
      </c>
    </row>
    <row r="33" customFormat="false" ht="15" hidden="false" customHeight="false" outlineLevel="0" collapsed="false">
      <c r="A33" s="20" t="s">
        <v>61</v>
      </c>
    </row>
    <row r="34" customFormat="false" ht="15" hidden="false" customHeight="false" outlineLevel="0" collapsed="false">
      <c r="A34" s="2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8" min="3" style="0" width="16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63</v>
      </c>
    </row>
    <row r="3" customFormat="false" ht="15" hidden="false" customHeight="false" outlineLevel="0" collapsed="false">
      <c r="A3" s="2" t="s">
        <v>64</v>
      </c>
    </row>
    <row r="5" customFormat="false" ht="30" hidden="false" customHeight="true" outlineLevel="0" collapsed="false">
      <c r="A5" s="6" t="s">
        <v>65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71</v>
      </c>
      <c r="H5" s="7" t="s">
        <v>72</v>
      </c>
      <c r="I5" s="7" t="s">
        <v>73</v>
      </c>
    </row>
    <row r="6" customFormat="false" ht="39.75" hidden="false" customHeight="true" outlineLevel="0" collapsed="false">
      <c r="A6" s="2" t="s">
        <v>74</v>
      </c>
      <c r="B6" s="21" t="s">
        <v>75</v>
      </c>
      <c r="C6" s="8" t="n">
        <v>120000</v>
      </c>
      <c r="D6" s="8" t="n">
        <v>15000</v>
      </c>
      <c r="E6" s="8" t="n">
        <v>0</v>
      </c>
      <c r="F6" s="8" t="n">
        <v>105000</v>
      </c>
      <c r="G6" s="8" t="n">
        <v>0</v>
      </c>
      <c r="H6" s="10" t="n">
        <f aca="false">F6+G6</f>
        <v>105000</v>
      </c>
      <c r="I6" s="12" t="s">
        <v>76</v>
      </c>
    </row>
    <row r="7" customFormat="false" ht="39.75" hidden="false" customHeight="true" outlineLevel="0" collapsed="false">
      <c r="A7" s="2" t="s">
        <v>77</v>
      </c>
      <c r="B7" s="21" t="s">
        <v>78</v>
      </c>
      <c r="C7" s="8" t="n">
        <v>80000</v>
      </c>
      <c r="D7" s="8" t="n">
        <v>5000</v>
      </c>
      <c r="E7" s="8" t="n">
        <v>0</v>
      </c>
      <c r="F7" s="8" t="n">
        <v>55000</v>
      </c>
      <c r="G7" s="8" t="n">
        <v>20000</v>
      </c>
      <c r="H7" s="10" t="n">
        <f aca="false">F7+G7</f>
        <v>75000</v>
      </c>
      <c r="I7" s="12" t="s">
        <v>79</v>
      </c>
    </row>
    <row r="8" customFormat="false" ht="39.75" hidden="false" customHeight="true" outlineLevel="0" collapsed="false">
      <c r="A8" s="2" t="s">
        <v>80</v>
      </c>
      <c r="B8" s="21" t="s">
        <v>81</v>
      </c>
      <c r="C8" s="8" t="n">
        <v>70000</v>
      </c>
      <c r="D8" s="8" t="n">
        <v>0</v>
      </c>
      <c r="E8" s="8" t="n">
        <v>0</v>
      </c>
      <c r="F8" s="8" t="n">
        <v>0</v>
      </c>
      <c r="G8" s="8" t="n">
        <v>70000</v>
      </c>
      <c r="H8" s="10" t="n">
        <f aca="false">F8+G8</f>
        <v>70000</v>
      </c>
      <c r="I8" s="12" t="s">
        <v>82</v>
      </c>
    </row>
    <row r="9" customFormat="false" ht="15" hidden="false" customHeight="false" outlineLevel="0" collapsed="false">
      <c r="A9" s="13" t="s">
        <v>51</v>
      </c>
      <c r="B9" s="14"/>
      <c r="C9" s="14" t="n">
        <f aca="false">SUM(C6:C8)</f>
        <v>270000</v>
      </c>
      <c r="D9" s="14" t="n">
        <f aca="false">SUM(D6:D8)</f>
        <v>20000</v>
      </c>
      <c r="E9" s="14" t="n">
        <f aca="false">SUM(E6:E8)</f>
        <v>0</v>
      </c>
      <c r="F9" s="14" t="n">
        <f aca="false">SUM(F6:F8)</f>
        <v>160000</v>
      </c>
      <c r="G9" s="14" t="n">
        <f aca="false">SUM(G6:G8)</f>
        <v>90000</v>
      </c>
      <c r="H9" s="14" t="n">
        <f aca="false">SUM(H6:H8)</f>
        <v>250000</v>
      </c>
      <c r="I9" s="14"/>
    </row>
    <row r="10" customFormat="false" ht="15" hidden="false" customHeight="false" outlineLevel="0" collapsed="false">
      <c r="A10" s="2" t="s">
        <v>83</v>
      </c>
      <c r="B10" s="10"/>
      <c r="C10" s="10" t="n">
        <f aca="false">C9-D9-E9-H9</f>
        <v>0</v>
      </c>
    </row>
    <row r="12" customFormat="false" ht="68.65" hidden="false" customHeight="false" outlineLevel="0" collapsed="false">
      <c r="A12" s="5" t="s">
        <v>84</v>
      </c>
    </row>
    <row r="13" customFormat="false" ht="68.65" hidden="false" customHeight="false" outlineLevel="0" collapsed="false">
      <c r="A13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86</v>
      </c>
    </row>
    <row r="4" customFormat="false" ht="30" hidden="false" customHeight="true" outlineLevel="0" collapsed="false">
      <c r="A4" s="6" t="s">
        <v>87</v>
      </c>
      <c r="B4" s="7" t="s">
        <v>88</v>
      </c>
    </row>
    <row r="5" customFormat="false" ht="31.5" hidden="false" customHeight="true" outlineLevel="0" collapsed="false">
      <c r="A5" s="22" t="s">
        <v>31</v>
      </c>
      <c r="B5" s="5" t="s">
        <v>89</v>
      </c>
    </row>
    <row r="6" customFormat="false" ht="31.5" hidden="false" customHeight="true" outlineLevel="0" collapsed="false">
      <c r="A6" s="22" t="s">
        <v>90</v>
      </c>
      <c r="B6" s="5" t="s">
        <v>91</v>
      </c>
    </row>
    <row r="7" customFormat="false" ht="31.5" hidden="false" customHeight="true" outlineLevel="0" collapsed="false">
      <c r="A7" s="22" t="s">
        <v>92</v>
      </c>
      <c r="B7" s="5" t="s">
        <v>93</v>
      </c>
    </row>
    <row r="8" customFormat="false" ht="31.5" hidden="false" customHeight="true" outlineLevel="0" collapsed="false">
      <c r="A8" s="22" t="s">
        <v>94</v>
      </c>
      <c r="B8" s="5" t="s">
        <v>95</v>
      </c>
    </row>
    <row r="9" customFormat="false" ht="31.5" hidden="false" customHeight="true" outlineLevel="0" collapsed="false">
      <c r="A9" s="22" t="s">
        <v>96</v>
      </c>
      <c r="B9" s="5" t="s">
        <v>97</v>
      </c>
    </row>
    <row r="10" customFormat="false" ht="31.5" hidden="false" customHeight="true" outlineLevel="0" collapsed="false">
      <c r="A10" s="22" t="s">
        <v>98</v>
      </c>
      <c r="B10" s="5" t="s">
        <v>99</v>
      </c>
    </row>
    <row r="11" customFormat="false" ht="31.5" hidden="false" customHeight="true" outlineLevel="0" collapsed="false">
      <c r="A11" s="22" t="s">
        <v>100</v>
      </c>
      <c r="B11" s="5" t="s">
        <v>101</v>
      </c>
    </row>
    <row r="12" customFormat="false" ht="31.5" hidden="false" customHeight="true" outlineLevel="0" collapsed="false">
      <c r="A12" s="22" t="s">
        <v>102</v>
      </c>
      <c r="B12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2026-09-04T14:34:20Z</dcterms:created>
  <dc:creator>openpyxl</dc:creator>
  <dc:description/>
  <dc:language>en-US</dc:language>
  <cp:lastModifiedBy/>
  <dcterms:modified xsi:type="dcterms:W3CDTF">2026-09-04T14:34:20Z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