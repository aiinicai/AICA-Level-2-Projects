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Notes" sheetId="2" state="visible" r:id="rId4"/>
    <sheet name="Balance Sheet" sheetId="3" state="visible" r:id="rId5"/>
    <sheet name="Profit and Loss" sheetId="4" state="visible" r:id="rId6"/>
    <sheet name="Cash Flow"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<sst xmlns="http://schemas.openxmlformats.org/spreadsheetml/2006/main" count="324" uniqueCount="277">
  <si>
    <t xml:space="preserve">Vanraj Furniture Industries Private Limited</t>
  </si>
  <si>
    <t xml:space="preserve">CIN: U36101MH2009PTC194327 | Registered office: Plot No. 47, Anjur Phata Industrial Area, Bhiwandi, Thane 421302, Maharashtra</t>
  </si>
  <si>
    <t xml:space="preserve">Financial statements for the period Year ended 31 March 2025</t>
  </si>
  <si>
    <t xml:space="preserve">Status: Audited</t>
  </si>
  <si>
    <t xml:space="preserve">Amounts in Rs. Lakhs</t>
  </si>
  <si>
    <t xml:space="preserve">Contents of this workbook: Balance Sheet, Statement of Profit and Loss, Cash Flow Statement and Notes forming part of the financial statements.</t>
  </si>
  <si>
    <t xml:space="preserve">Nature of business: manufacture and sale of home, office and institutional furniture (solid wood, engineered wood and upholstered products) from the factory at Bhiwandi, Thane, sold through company-owned showrooms, dealers, e-commerce marketplaces and contract supplies.</t>
  </si>
  <si>
    <t xml:space="preserve">Basis of preparation: Indian GAAP (Accounting Standards notified under the Companies (Accounting Standards) Rules, 2021), Schedule III Division I format, historical cost convention, accrual basis.</t>
  </si>
  <si>
    <t xml:space="preserve">Significant accounting policies: inventories at lower of cost (weighted average) and net realisable value; depreciation on WDV basis using Schedule II useful lives; revenue recognised on transfer of significant risks and rewards (dispatch), net of GST, returns and discounts; gratuity provided on actuarial valuation; deferred tax on timing differences.</t>
  </si>
  <si>
    <t xml:space="preserve">Statutory auditors: Mehta Sanghvi &amp; Co., Chartered Accountants (Firm Registration No. 108541W), Mumbai. Audit report dated 30 August 2025, unmodified opinion.</t>
  </si>
  <si>
    <t xml:space="preserve">Approved by the Board of Directors on 30 August 2025.</t>
  </si>
  <si>
    <t xml:space="preserve">All data in this workbook is imaginary and has been prepared solely for the purpose of testing a valuation model. Any resemblance to an actual company is coincidental.</t>
  </si>
  <si>
    <t xml:space="preserve">CIN: U36101MH2009PTC194327</t>
  </si>
  <si>
    <t xml:space="preserve">Notes forming part of the financial statements (Audited financial statements)</t>
  </si>
  <si>
    <t xml:space="preserve">Particulars</t>
  </si>
  <si>
    <t xml:space="preserve">As at 31 March 2025</t>
  </si>
  <si>
    <t xml:space="preserve">As at 31 March 2024</t>
  </si>
  <si>
    <t xml:space="preserve">Note 1: Share capital</t>
  </si>
  <si>
    <t xml:space="preserve">Authorised</t>
  </si>
  <si>
    <t xml:space="preserve">   60,00,000 equity shares of Rs. 10 each</t>
  </si>
  <si>
    <t xml:space="preserve">   5,00,000 preference shares of Rs. 100 each</t>
  </si>
  <si>
    <t xml:space="preserve">Issued, subscribed and fully paid up</t>
  </si>
  <si>
    <t xml:space="preserve">   Number of equity shares of Rs. 10 each (in numbers)</t>
  </si>
  <si>
    <t xml:space="preserve">   Face value per equity share (Rs.)</t>
  </si>
  <si>
    <t xml:space="preserve">   Equity share capital</t>
  </si>
  <si>
    <t xml:space="preserve">   Number of 0.01% Compulsorily Convertible Preference Shares (CCPS) of Rs. 100 each (in numbers)</t>
  </si>
  <si>
    <t xml:space="preserve">   Face value per CCPS (Rs.)</t>
  </si>
  <si>
    <t xml:space="preserve">   Preference share capital (CCPS)</t>
  </si>
  <si>
    <t xml:space="preserve">Total share capital</t>
  </si>
  <si>
    <t xml:space="preserve">CCPS were issued on 12 November 2025 at Rs. 200 per share (face value Rs. 100, premium Rs. 100). Each CCPS is convertible into 2.5 equity shares of Rs. 10 each at the option of the holder or compulsorily on 11 November 2030.</t>
  </si>
  <si>
    <t xml:space="preserve">Shares held by shareholders holding more than 5% (see separate shareholding pattern file).</t>
  </si>
  <si>
    <t xml:space="preserve">Note 2: Reserves and surplus</t>
  </si>
  <si>
    <t xml:space="preserve">Securities premium</t>
  </si>
  <si>
    <t xml:space="preserve">   Opening balance</t>
  </si>
  <si>
    <t xml:space="preserve">   Add: premium received on issue of CCPS during the period</t>
  </si>
  <si>
    <t xml:space="preserve">   Closing balance</t>
  </si>
  <si>
    <t xml:space="preserve">Surplus in statement of profit and loss</t>
  </si>
  <si>
    <t xml:space="preserve">   Add: profit for the period (from Statement of Profit and Loss)</t>
  </si>
  <si>
    <t xml:space="preserve">Total reserves and surplus</t>
  </si>
  <si>
    <t xml:space="preserve">No dividend has been declared or paid in any of the periods presented.</t>
  </si>
  <si>
    <t xml:space="preserve">Note 3: Long-term borrowings</t>
  </si>
  <si>
    <t xml:space="preserve">   Term loans from banks (secured)</t>
  </si>
  <si>
    <t xml:space="preserve">   Vehicle loans from banks (secured)</t>
  </si>
  <si>
    <t xml:space="preserve">   Unsecured loans from directors</t>
  </si>
  <si>
    <t xml:space="preserve">Total</t>
  </si>
  <si>
    <t xml:space="preserve">Term loans are secured by hypothecation of plant and machinery and equitable mortgage of factory land and building at Bhiwandi, Thane, and carry interest at 9.25% p.a. Unsecured loans from directors carry interest at 9% p.a. and are repayable after 31 March 2028. Current maturities are disclosed under other current liabilities.</t>
  </si>
  <si>
    <t xml:space="preserve">Note 4: Deferred tax liabilities (net)</t>
  </si>
  <si>
    <t xml:space="preserve">   Deferred tax liability on difference between book and tax depreciation</t>
  </si>
  <si>
    <t xml:space="preserve">Note 5: Long-term provisions</t>
  </si>
  <si>
    <t xml:space="preserve">   Provision for gratuity</t>
  </si>
  <si>
    <t xml:space="preserve">   Provision for leave encashment</t>
  </si>
  <si>
    <t xml:space="preserve">Note 6: Short-term borrowings</t>
  </si>
  <si>
    <t xml:space="preserve">   Cash credit from banks (secured)</t>
  </si>
  <si>
    <t xml:space="preserve">   Working capital demand loan (secured)</t>
  </si>
  <si>
    <t xml:space="preserve">Cash credit facility of Rs. 1,200 Lakhs from State Bank of India, secured by hypothecation of inventories and book debts, carrying interest at 10.00% p.a.</t>
  </si>
  <si>
    <t xml:space="preserve">Note 7: Trade payables</t>
  </si>
  <si>
    <t xml:space="preserve">   Dues to micro and small enterprises</t>
  </si>
  <si>
    <t xml:space="preserve">   Dues to creditors other than micro and small enterprises</t>
  </si>
  <si>
    <t xml:space="preserve">Note 8: Other current liabilities</t>
  </si>
  <si>
    <t xml:space="preserve">   Current maturities of long-term borrowings</t>
  </si>
  <si>
    <t xml:space="preserve">   Statutory dues (GST, TDS, PF, ESI)</t>
  </si>
  <si>
    <t xml:space="preserve">   Advances from customers</t>
  </si>
  <si>
    <t xml:space="preserve">   Creditors for capital goods</t>
  </si>
  <si>
    <t xml:space="preserve">   Employee dues payable</t>
  </si>
  <si>
    <t xml:space="preserve">   Other payables (including money received against share warrants, where applicable)</t>
  </si>
  <si>
    <t xml:space="preserve">Note 9: Short-term provisions</t>
  </si>
  <si>
    <t xml:space="preserve">   Provision for income tax (net of advance tax)</t>
  </si>
  <si>
    <t xml:space="preserve">   Provision for bonus</t>
  </si>
  <si>
    <t xml:space="preserve">Note 10: Property, plant and equipment</t>
  </si>
  <si>
    <t xml:space="preserve">Asset class</t>
  </si>
  <si>
    <t xml:space="preserve">Gross block opening</t>
  </si>
  <si>
    <t xml:space="preserve">Additions</t>
  </si>
  <si>
    <t xml:space="preserve">Deletions</t>
  </si>
  <si>
    <t xml:space="preserve">Gross block closing</t>
  </si>
  <si>
    <t xml:space="preserve">Acc. depreciation opening</t>
  </si>
  <si>
    <t xml:space="preserve">Depreciation for the period</t>
  </si>
  <si>
    <t xml:space="preserve">Acc. depreciation closing</t>
  </si>
  <si>
    <t xml:space="preserve">Net block closing</t>
  </si>
  <si>
    <t xml:space="preserve">Net block opening</t>
  </si>
  <si>
    <t xml:space="preserve">   Freehold land</t>
  </si>
  <si>
    <t xml:space="preserve">   Buildings</t>
  </si>
  <si>
    <t xml:space="preserve">   Plant and machinery</t>
  </si>
  <si>
    <t xml:space="preserve">   Furniture and fixtures</t>
  </si>
  <si>
    <t xml:space="preserve">   Vehicles</t>
  </si>
  <si>
    <t xml:space="preserve">   Office equipment</t>
  </si>
  <si>
    <t xml:space="preserve">   Computers</t>
  </si>
  <si>
    <t xml:space="preserve">Depreciation is provided on the written down value method at rates derived from useful lives prescribed in Schedule II to the Companies Act, 2013. Freehold land is not depreciated.</t>
  </si>
  <si>
    <t xml:space="preserve">Note 11: Capital work-in-progress</t>
  </si>
  <si>
    <t xml:space="preserve">   Plant and machinery under installation and factory extension (Bhiwandi unit)</t>
  </si>
  <si>
    <t xml:space="preserve">Note 12: Intangible assets</t>
  </si>
  <si>
    <t xml:space="preserve">   Opening net carrying amount (ERP and design software)</t>
  </si>
  <si>
    <t xml:space="preserve">   Additions during the period</t>
  </si>
  <si>
    <t xml:space="preserve">   Less: amortisation for the period</t>
  </si>
  <si>
    <t xml:space="preserve">Closing net carrying amount</t>
  </si>
  <si>
    <t xml:space="preserve">Note 13: Long-term loans and advances</t>
  </si>
  <si>
    <t xml:space="preserve">   Security deposits</t>
  </si>
  <si>
    <t xml:space="preserve">   Capital advances</t>
  </si>
  <si>
    <t xml:space="preserve">   Other loans and advances</t>
  </si>
  <si>
    <t xml:space="preserve">Note 14: Other non-current assets</t>
  </si>
  <si>
    <t xml:space="preserve">   Fixed deposits with maturity of more than 12 months (margin money)</t>
  </si>
  <si>
    <t xml:space="preserve">Note 15: Inventories (valued at lower of cost and net realisable value)</t>
  </si>
  <si>
    <t xml:space="preserve">   Raw materials (timber, plywood, laminates, hardware, fabric, foam)</t>
  </si>
  <si>
    <t xml:space="preserve">   Work-in-progress</t>
  </si>
  <si>
    <t xml:space="preserve">   Finished goods</t>
  </si>
  <si>
    <t xml:space="preserve">   Stores, spares and packing materials</t>
  </si>
  <si>
    <t xml:space="preserve">Note 16: Trade receivables (unsecured, considered good)</t>
  </si>
  <si>
    <t xml:space="preserve">   Outstanding for more than six months</t>
  </si>
  <si>
    <t xml:space="preserve">   Others</t>
  </si>
  <si>
    <t xml:space="preserve">Note 17: Cash and bank balances</t>
  </si>
  <si>
    <t xml:space="preserve">   Cash in hand</t>
  </si>
  <si>
    <t xml:space="preserve">   Balances with banks in current accounts</t>
  </si>
  <si>
    <t xml:space="preserve">   Fixed deposits with maturity of less than 12 months</t>
  </si>
  <si>
    <t xml:space="preserve">Note 18: Short-term loans and advances (unsecured, considered good)</t>
  </si>
  <si>
    <t xml:space="preserve">   Advances to suppliers</t>
  </si>
  <si>
    <t xml:space="preserve">   Prepaid expenses</t>
  </si>
  <si>
    <t xml:space="preserve">   Balances with government authorities (GST input credit)</t>
  </si>
  <si>
    <t xml:space="preserve">   Advances to employees</t>
  </si>
  <si>
    <t xml:space="preserve">Note 19: Other current assets</t>
  </si>
  <si>
    <t xml:space="preserve">   Interest accrued on deposits</t>
  </si>
  <si>
    <t xml:space="preserve">   Unbilled revenue</t>
  </si>
  <si>
    <t xml:space="preserve">Note 20: Revenue from operations (net of GST)</t>
  </si>
  <si>
    <t xml:space="preserve">   Sofas and seating systems</t>
  </si>
  <si>
    <t xml:space="preserve">   Beds, wardrobes and bedroom sets</t>
  </si>
  <si>
    <t xml:space="preserve">   Dining tables and chairs</t>
  </si>
  <si>
    <t xml:space="preserve">   Office and institutional furniture</t>
  </si>
  <si>
    <t xml:space="preserve">   Contract / project supplies</t>
  </si>
  <si>
    <t xml:space="preserve">Sale of products, net of returns and trade discounts. Export sales included above: approximately 6% of revenue (to UAE and Sri Lanka).</t>
  </si>
  <si>
    <t xml:space="preserve">Note 21: Other income</t>
  </si>
  <si>
    <t xml:space="preserve">   Interest on fixed deposits</t>
  </si>
  <si>
    <t xml:space="preserve">   Sale of scrap and wood offcuts</t>
  </si>
  <si>
    <t xml:space="preserve">   Miscellaneous income</t>
  </si>
  <si>
    <t xml:space="preserve">Note 22: Cost of materials consumed</t>
  </si>
  <si>
    <t xml:space="preserve">   Opening stock of raw materials</t>
  </si>
  <si>
    <t xml:space="preserve">   Add: purchases during the period</t>
  </si>
  <si>
    <t xml:space="preserve">   Less: closing stock of raw materials</t>
  </si>
  <si>
    <t xml:space="preserve">Cost of materials consumed</t>
  </si>
  <si>
    <t xml:space="preserve">Note 23: Changes in inventories of finished goods and work-in-progress</t>
  </si>
  <si>
    <t xml:space="preserve">   Opening: work-in-progress</t>
  </si>
  <si>
    <t xml:space="preserve">   Opening: finished goods</t>
  </si>
  <si>
    <t xml:space="preserve">   Closing: work-in-progress</t>
  </si>
  <si>
    <t xml:space="preserve">   Closing: finished goods</t>
  </si>
  <si>
    <t xml:space="preserve">(Increase) / decrease in inventories</t>
  </si>
  <si>
    <t xml:space="preserve">Note 24: Employee benefits expense</t>
  </si>
  <si>
    <t xml:space="preserve">   Salaries, wages and bonus</t>
  </si>
  <si>
    <t xml:space="preserve">   Contribution to provident and other funds</t>
  </si>
  <si>
    <t xml:space="preserve">   Gratuity and leave encashment</t>
  </si>
  <si>
    <t xml:space="preserve">   Staff welfare expenses</t>
  </si>
  <si>
    <t xml:space="preserve">Average number of employees during the period: 412 (previous period: 378).</t>
  </si>
  <si>
    <t xml:space="preserve">Note 25: Finance costs</t>
  </si>
  <si>
    <t xml:space="preserve">   Interest on term loans</t>
  </si>
  <si>
    <t xml:space="preserve">   Interest on cash credit and working capital loans</t>
  </si>
  <si>
    <t xml:space="preserve">   Interest on unsecured loans from directors</t>
  </si>
  <si>
    <t xml:space="preserve">   Bank charges and processing fees</t>
  </si>
  <si>
    <t xml:space="preserve">Note 26: Depreciation and amortisation expense</t>
  </si>
  <si>
    <t xml:space="preserve">   Depreciation on property, plant and equipment</t>
  </si>
  <si>
    <t xml:space="preserve">   Amortisation of intangible assets</t>
  </si>
  <si>
    <t xml:space="preserve">Note 27: Other expenses</t>
  </si>
  <si>
    <t xml:space="preserve">   Power and fuel</t>
  </si>
  <si>
    <t xml:space="preserve">   Consumables, stores and packing materials</t>
  </si>
  <si>
    <t xml:space="preserve">   Job work and processing charges</t>
  </si>
  <si>
    <t xml:space="preserve">   Repairs and maintenance</t>
  </si>
  <si>
    <t xml:space="preserve">   Rent (showrooms and warehouse)</t>
  </si>
  <si>
    <t xml:space="preserve">   Freight, forwarding and transportation</t>
  </si>
  <si>
    <t xml:space="preserve">   Advertisement and sales promotion</t>
  </si>
  <si>
    <t xml:space="preserve">   Commission and discounts</t>
  </si>
  <si>
    <t xml:space="preserve">   Travelling and conveyance</t>
  </si>
  <si>
    <t xml:space="preserve">   Legal and professional fees</t>
  </si>
  <si>
    <t xml:space="preserve">   Insurance</t>
  </si>
  <si>
    <t xml:space="preserve">   Auditor's remuneration</t>
  </si>
  <si>
    <t xml:space="preserve">   Miscellaneous expenses</t>
  </si>
  <si>
    <t xml:space="preserve">Note 28: Tax expense</t>
  </si>
  <si>
    <t xml:space="preserve">   Current tax</t>
  </si>
  <si>
    <t xml:space="preserve">   Deferred tax charge / (credit)</t>
  </si>
  <si>
    <t xml:space="preserve">Total tax expense</t>
  </si>
  <si>
    <t xml:space="preserve">The company is assessed under the concessional corporate tax regime of section 115BAA of the Income-tax Act, 1961 (effective rate 25.17%).</t>
  </si>
  <si>
    <t xml:space="preserve">Legend: blue figures are hardcoded inputs; black figures are formulas within the sheet; green figures are links to other sheets.</t>
  </si>
  <si>
    <t xml:space="preserve">All figures are illustrative and imaginary, prepared solely for testing a valuation model. Amounts in Rs. Lakhs unless stated otherwise.</t>
  </si>
  <si>
    <t xml:space="preserve">Balance Sheet as at 31 March 2025 (Audited)</t>
  </si>
  <si>
    <t xml:space="preserve">Note</t>
  </si>
  <si>
    <t xml:space="preserve">As at 31 March 2025
(Audited)</t>
  </si>
  <si>
    <t xml:space="preserve">As at 31 March 2024
(Audited)</t>
  </si>
  <si>
    <t xml:space="preserve">EQUITY AND LIABILITIES</t>
  </si>
  <si>
    <t xml:space="preserve">Shareholders' funds</t>
  </si>
  <si>
    <t xml:space="preserve">   Share capital</t>
  </si>
  <si>
    <t xml:space="preserve">   Reserves and surplus</t>
  </si>
  <si>
    <t xml:space="preserve">Total shareholders' funds</t>
  </si>
  <si>
    <t xml:space="preserve">Non-current liabilities</t>
  </si>
  <si>
    <t xml:space="preserve">   Long-term borrowings</t>
  </si>
  <si>
    <t xml:space="preserve">   Deferred tax liabilities (net)</t>
  </si>
  <si>
    <t xml:space="preserve">   Long-term provisions</t>
  </si>
  <si>
    <t xml:space="preserve">Total non-current liabilities</t>
  </si>
  <si>
    <t xml:space="preserve">Current liabilities</t>
  </si>
  <si>
    <t xml:space="preserve">   Short-term borrowings</t>
  </si>
  <si>
    <t xml:space="preserve">   Trade payables</t>
  </si>
  <si>
    <t xml:space="preserve">   Other current liabilities</t>
  </si>
  <si>
    <t xml:space="preserve">   Short-term provisions</t>
  </si>
  <si>
    <t xml:space="preserve">Total current liabilities</t>
  </si>
  <si>
    <t xml:space="preserve">TOTAL EQUITY AND LIABILITIES</t>
  </si>
  <si>
    <t xml:space="preserve">ASSETS</t>
  </si>
  <si>
    <t xml:space="preserve">Non-current assets</t>
  </si>
  <si>
    <t xml:space="preserve">   Property, plant and equipment</t>
  </si>
  <si>
    <t xml:space="preserve">   Capital work-in-progress</t>
  </si>
  <si>
    <t xml:space="preserve">   Intangible assets</t>
  </si>
  <si>
    <t xml:space="preserve">   Long-term loans and advances</t>
  </si>
  <si>
    <t xml:space="preserve">   Other non-current assets</t>
  </si>
  <si>
    <t xml:space="preserve">Total non-current assets</t>
  </si>
  <si>
    <t xml:space="preserve">Current assets</t>
  </si>
  <si>
    <t xml:space="preserve">   Inventories</t>
  </si>
  <si>
    <t xml:space="preserve">   Trade receivables</t>
  </si>
  <si>
    <t xml:space="preserve">   Cash and bank balances</t>
  </si>
  <si>
    <t xml:space="preserve">   Short-term loans and advances</t>
  </si>
  <si>
    <t xml:space="preserve">   Other current assets</t>
  </si>
  <si>
    <t xml:space="preserve">Total current assets</t>
  </si>
  <si>
    <t xml:space="preserve">TOTAL ASSETS</t>
  </si>
  <si>
    <t xml:space="preserve">Check: total assets less total equity and liabilities (should be nil)</t>
  </si>
  <si>
    <t xml:space="preserve">Prepared in the format of Schedule III (Division I) to the Companies Act, 2013, as applicable to a private company following Indian GAAP (AS).</t>
  </si>
  <si>
    <t xml:space="preserve">Statement of Profit and Loss for the period Year ended 31 March 2025 (Audited)</t>
  </si>
  <si>
    <t xml:space="preserve">Year ended 31 March 2025
(Audited)</t>
  </si>
  <si>
    <t xml:space="preserve">Year ended 31 March 2024
(Audited)</t>
  </si>
  <si>
    <t xml:space="preserve">INCOME</t>
  </si>
  <si>
    <t xml:space="preserve">   Revenue from operations</t>
  </si>
  <si>
    <t xml:space="preserve">   Other income</t>
  </si>
  <si>
    <t xml:space="preserve">Total income</t>
  </si>
  <si>
    <t xml:space="preserve">EXPENSES</t>
  </si>
  <si>
    <t xml:space="preserve">   Cost of materials consumed</t>
  </si>
  <si>
    <t xml:space="preserve">   Changes in inventories of finished goods and work-in-progress</t>
  </si>
  <si>
    <t xml:space="preserve">   Employee benefits expense</t>
  </si>
  <si>
    <t xml:space="preserve">   Finance costs</t>
  </si>
  <si>
    <t xml:space="preserve">   Depreciation and amortisation expense</t>
  </si>
  <si>
    <t xml:space="preserve">   Other expenses</t>
  </si>
  <si>
    <t xml:space="preserve">Total expenses</t>
  </si>
  <si>
    <t xml:space="preserve">Profit before tax</t>
  </si>
  <si>
    <t xml:space="preserve">Tax expense</t>
  </si>
  <si>
    <t xml:space="preserve">   Deferred tax</t>
  </si>
  <si>
    <t xml:space="preserve">Profit for the period</t>
  </si>
  <si>
    <t xml:space="preserve">Supplementary information (not part of the statutory format)</t>
  </si>
  <si>
    <t xml:space="preserve">EBITDA (profit before tax + finance costs + depreciation and amortisation - other income)</t>
  </si>
  <si>
    <t xml:space="preserve">EBITDA margin (% of revenue from operations)</t>
  </si>
  <si>
    <t xml:space="preserve">Net profit margin (% of revenue from operations)</t>
  </si>
  <si>
    <t xml:space="preserve">Basic earnings per equity share (Rs.) (not annualised)</t>
  </si>
  <si>
    <t xml:space="preserve">Cash Flow Statement for the period Year ended 31 March 2025 (Audited) - indirect method</t>
  </si>
  <si>
    <t xml:space="preserve">A. Cash flow from operating activities</t>
  </si>
  <si>
    <t xml:space="preserve">   Profit before tax</t>
  </si>
  <si>
    <t xml:space="preserve">Adjustments for:</t>
  </si>
  <si>
    <t xml:space="preserve">      Depreciation and amortisation</t>
  </si>
  <si>
    <t xml:space="preserve">      Finance costs</t>
  </si>
  <si>
    <t xml:space="preserve">      Other income (interest and other non-operating income)</t>
  </si>
  <si>
    <t xml:space="preserve">Operating profit before working capital changes</t>
  </si>
  <si>
    <t xml:space="preserve">Movements in working capital:</t>
  </si>
  <si>
    <t xml:space="preserve">      (Increase) / decrease in inventories</t>
  </si>
  <si>
    <t xml:space="preserve">      (Increase) / decrease in trade receivables</t>
  </si>
  <si>
    <t xml:space="preserve">      (Increase) / decrease in short-term loans and advances</t>
  </si>
  <si>
    <t xml:space="preserve">      (Increase) / decrease in other current assets</t>
  </si>
  <si>
    <t xml:space="preserve">      (Increase) / decrease in long-term loans and advances</t>
  </si>
  <si>
    <t xml:space="preserve">      (Increase) / decrease in other non-current assets</t>
  </si>
  <si>
    <t xml:space="preserve">      Increase / (decrease) in trade payables</t>
  </si>
  <si>
    <t xml:space="preserve">      Increase / (decrease) in other current liabilities</t>
  </si>
  <si>
    <t xml:space="preserve">      Increase / (decrease) in long-term provisions</t>
  </si>
  <si>
    <t xml:space="preserve">      Increase / (decrease) in short-term provisions</t>
  </si>
  <si>
    <t xml:space="preserve">Cash generated from operations</t>
  </si>
  <si>
    <t xml:space="preserve">      Less: income taxes paid (net)</t>
  </si>
  <si>
    <t xml:space="preserve">Net cash from operating activities (A)</t>
  </si>
  <si>
    <t xml:space="preserve">B. Cash flow from investing activities</t>
  </si>
  <si>
    <t xml:space="preserve">   Purchase of property, plant and equipment, intangibles and capital work-in-progress</t>
  </si>
  <si>
    <t xml:space="preserve">   Interest and other income received</t>
  </si>
  <si>
    <t xml:space="preserve">Net cash used in investing activities (B)</t>
  </si>
  <si>
    <t xml:space="preserve">C. Cash flow from financing activities</t>
  </si>
  <si>
    <t xml:space="preserve">   Proceeds from issue of share capital (including securities premium)</t>
  </si>
  <si>
    <t xml:space="preserve">   Proceeds from / (repayment of) long-term borrowings (net)</t>
  </si>
  <si>
    <t xml:space="preserve">   Proceeds from / (repayment of) short-term borrowings (net)</t>
  </si>
  <si>
    <t xml:space="preserve">   Finance costs paid</t>
  </si>
  <si>
    <t xml:space="preserve">Net cash from / (used in) financing activities (C)</t>
  </si>
  <si>
    <t xml:space="preserve">Net increase / (decrease) in cash and bank balances (A+B+C)</t>
  </si>
  <si>
    <t xml:space="preserve">   Cash and bank balances at the beginning of the period</t>
  </si>
  <si>
    <t xml:space="preserve">Cash and bank balances at the end of the period</t>
  </si>
  <si>
    <t xml:space="preserve">Check: closing cash per cash flow less cash per balance sheet (should be nil)</t>
  </si>
  <si>
    <t xml:space="preserve">Comparative period figures are taken from the previous period's cash flow statement and entered as inputs. Deferred tax is a non-cash item and is excluded through the balance-sheet movement in deferred tax liability.</t>
  </si>
</sst>
</file>

<file path=xl/styles.xml><?xml version="1.0" encoding="utf-8"?>
<styleSheet xmlns="http://schemas.openxmlformats.org/spreadsheetml/2006/main">
  <numFmts count="5">
    <numFmt numFmtId="164" formatCode="General"/>
    <numFmt numFmtId="165" formatCode="#,##0.00;\(#,##0.0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4"/>
      <color rgb="FF000000"/>
      <name val="Calibri"/>
      <family val="0"/>
      <charset val="1"/>
    </font>
    <font>
      <sz val="10"/>
      <color rgb="FF000000"/>
      <name val="Calibri"/>
      <family val="0"/>
      <charset val="1"/>
    </font>
    <font>
      <b val="true"/>
      <sz val="12"/>
      <color rgb="FF000000"/>
      <name val="Calibri"/>
      <family val="0"/>
      <charset val="1"/>
    </font>
    <font>
      <b val="true"/>
      <sz val="11"/>
      <color rgb="FF000000"/>
      <name val="Calibri"/>
      <family val="0"/>
      <charset val="1"/>
    </font>
    <font>
      <b val="true"/>
      <sz val="10"/>
      <color rgb="FFFFFFFF"/>
      <name val="Calibri"/>
      <family val="0"/>
      <charset val="1"/>
    </font>
    <font>
      <b val="true"/>
      <sz val="10"/>
      <color rgb="FF000000"/>
      <name val="Calibri"/>
      <family val="0"/>
      <charset val="1"/>
    </font>
    <font>
      <sz val="10"/>
      <color rgb="FF0000FF"/>
      <name val="Calibri"/>
      <family val="0"/>
      <charset val="1"/>
    </font>
    <font>
      <i val="true"/>
      <sz val="10"/>
      <color rgb="FF000000"/>
      <name val="Calibri"/>
      <family val="0"/>
      <charset val="1"/>
    </font>
    <font>
      <sz val="10"/>
      <color rgb="FF008000"/>
      <name val="Calibri"/>
      <family val="0"/>
      <charset val="1"/>
    </font>
    <font>
      <b val="true"/>
      <sz val="10"/>
      <color rgb="FF0000FF"/>
      <name val="Calibri"/>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right/>
      <top style="thin">
        <color rgb="FF808080"/>
      </top>
      <bottom style="double">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left" vertical="center"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right" vertical="bottom" textRotation="0" wrapText="false" indent="0" shrinkToFit="false"/>
      <protection locked="true" hidden="false"/>
    </xf>
    <xf numFmtId="166" fontId="10"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5" fontId="9" fillId="0" borderId="1" xfId="0" applyFont="true" applyBorder="true" applyAlignment="true" applyProtection="false">
      <alignment horizontal="right"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right" vertical="bottom" textRotation="0" wrapText="false" indent="0" shrinkToFit="false"/>
      <protection locked="true" hidden="false"/>
    </xf>
    <xf numFmtId="165" fontId="12" fillId="0" borderId="0" xfId="0" applyFont="true" applyBorder="false" applyAlignment="true" applyProtection="false">
      <alignment horizontal="right" vertical="bottom" textRotation="0" wrapText="false" indent="0" shrinkToFit="false"/>
      <protection locked="true" hidden="false"/>
    </xf>
    <xf numFmtId="165" fontId="13" fillId="0" borderId="1" xfId="0" applyFont="true" applyBorder="tru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7" fontId="5" fillId="0" borderId="0" xfId="0" applyFont="true" applyBorder="false" applyAlignment="true" applyProtection="false">
      <alignment horizontal="right" vertical="bottom" textRotation="0" wrapText="false" indent="0" shrinkToFit="false"/>
      <protection locked="true" hidden="false"/>
    </xf>
    <xf numFmtId="168" fontId="12"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15" hidden="false" customHeight="false" outlineLevel="0" collapsed="false">
      <c r="A4" s="4" t="s">
        <v>3</v>
      </c>
    </row>
    <row r="5" customFormat="false" ht="15" hidden="false" customHeight="false" outlineLevel="0" collapsed="false">
      <c r="A5" s="2" t="s">
        <v>4</v>
      </c>
    </row>
    <row r="7" customFormat="false" ht="45" hidden="false" customHeight="true" outlineLevel="0" collapsed="false">
      <c r="A7" s="5" t="s">
        <v>5</v>
      </c>
    </row>
    <row r="8" customFormat="false" ht="45" hidden="false" customHeight="true" outlineLevel="0" collapsed="false">
      <c r="A8" s="5" t="s">
        <v>6</v>
      </c>
    </row>
    <row r="9" customFormat="false" ht="45" hidden="false" customHeight="true" outlineLevel="0" collapsed="false">
      <c r="A9" s="5" t="s">
        <v>7</v>
      </c>
    </row>
    <row r="10" customFormat="false" ht="45" hidden="false" customHeight="true" outlineLevel="0" collapsed="false">
      <c r="A10" s="5" t="s">
        <v>8</v>
      </c>
    </row>
    <row r="11" customFormat="false" ht="45" hidden="false" customHeight="true" outlineLevel="0" collapsed="false">
      <c r="A11" s="5" t="s">
        <v>9</v>
      </c>
    </row>
    <row r="12" customFormat="false" ht="45" hidden="false" customHeight="true" outlineLevel="0" collapsed="false">
      <c r="A12" s="5" t="s">
        <v>10</v>
      </c>
    </row>
    <row r="13" customFormat="false" ht="45" hidden="false" customHeight="true" outlineLevel="0" collapsed="false">
      <c r="A13" s="5"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8"/>
    <col collapsed="false" customWidth="true" hidden="false" outlineLevel="0" max="4" min="3" style="0" width="20"/>
    <col collapsed="false" customWidth="true" hidden="false" outlineLevel="0" max="12" min="5" style="0" width="16"/>
  </cols>
  <sheetData>
    <row r="1" customFormat="false" ht="15" hidden="false" customHeight="false" outlineLevel="0" collapsed="false">
      <c r="A1" s="3" t="s">
        <v>0</v>
      </c>
    </row>
    <row r="2" customFormat="false" ht="15" hidden="false" customHeight="false" outlineLevel="0" collapsed="false">
      <c r="A2" s="2" t="s">
        <v>12</v>
      </c>
    </row>
    <row r="3" customFormat="false" ht="15" hidden="false" customHeight="false" outlineLevel="0" collapsed="false">
      <c r="A3" s="4" t="s">
        <v>13</v>
      </c>
    </row>
    <row r="4" customFormat="false" ht="15" hidden="false" customHeight="false" outlineLevel="0" collapsed="false">
      <c r="A4" s="2" t="s">
        <v>4</v>
      </c>
    </row>
    <row r="6" customFormat="false" ht="30" hidden="false" customHeight="true" outlineLevel="0" collapsed="false">
      <c r="A6" s="6" t="s">
        <v>14</v>
      </c>
      <c r="B6" s="7"/>
      <c r="C6" s="7" t="s">
        <v>15</v>
      </c>
      <c r="D6" s="7" t="s">
        <v>16</v>
      </c>
    </row>
    <row r="8" customFormat="false" ht="15" hidden="false" customHeight="false" outlineLevel="0" collapsed="false">
      <c r="A8" s="8" t="s">
        <v>17</v>
      </c>
    </row>
    <row r="9" customFormat="false" ht="15" hidden="false" customHeight="false" outlineLevel="0" collapsed="false">
      <c r="A9" s="8" t="s">
        <v>18</v>
      </c>
    </row>
    <row r="10" customFormat="false" ht="15" hidden="false" customHeight="false" outlineLevel="0" collapsed="false">
      <c r="A10" s="2" t="s">
        <v>19</v>
      </c>
      <c r="C10" s="9" t="n">
        <v>600</v>
      </c>
      <c r="D10" s="9" t="n">
        <v>600</v>
      </c>
    </row>
    <row r="11" customFormat="false" ht="15" hidden="false" customHeight="false" outlineLevel="0" collapsed="false">
      <c r="A11" s="2" t="s">
        <v>20</v>
      </c>
      <c r="C11" s="9" t="n">
        <v>500</v>
      </c>
      <c r="D11" s="9" t="n">
        <v>500</v>
      </c>
    </row>
    <row r="12" customFormat="false" ht="15" hidden="false" customHeight="false" outlineLevel="0" collapsed="false">
      <c r="A12" s="8" t="s">
        <v>21</v>
      </c>
    </row>
    <row r="13" customFormat="false" ht="15" hidden="false" customHeight="false" outlineLevel="0" collapsed="false">
      <c r="A13" s="2" t="s">
        <v>22</v>
      </c>
      <c r="C13" s="10" t="n">
        <v>5000000</v>
      </c>
      <c r="D13" s="10" t="n">
        <v>5000000</v>
      </c>
    </row>
    <row r="14" customFormat="false" ht="15" hidden="false" customHeight="false" outlineLevel="0" collapsed="false">
      <c r="A14" s="2" t="s">
        <v>23</v>
      </c>
      <c r="C14" s="10" t="n">
        <v>10</v>
      </c>
      <c r="D14" s="10" t="n">
        <v>10</v>
      </c>
    </row>
    <row r="15" customFormat="false" ht="15" hidden="false" customHeight="false" outlineLevel="0" collapsed="false">
      <c r="A15" s="2" t="s">
        <v>24</v>
      </c>
      <c r="C15" s="11" t="n">
        <f aca="false">C13*C14/100000</f>
        <v>500</v>
      </c>
      <c r="D15" s="11" t="n">
        <f aca="false">D13*D14/100000</f>
        <v>500</v>
      </c>
    </row>
    <row r="16" customFormat="false" ht="15" hidden="false" customHeight="false" outlineLevel="0" collapsed="false">
      <c r="A16" s="2" t="s">
        <v>25</v>
      </c>
      <c r="C16" s="10" t="n">
        <v>0</v>
      </c>
      <c r="D16" s="10" t="n">
        <v>0</v>
      </c>
    </row>
    <row r="17" customFormat="false" ht="15" hidden="false" customHeight="false" outlineLevel="0" collapsed="false">
      <c r="A17" s="2" t="s">
        <v>26</v>
      </c>
      <c r="C17" s="10" t="n">
        <v>100</v>
      </c>
      <c r="D17" s="10" t="n">
        <v>100</v>
      </c>
    </row>
    <row r="18" customFormat="false" ht="15" hidden="false" customHeight="false" outlineLevel="0" collapsed="false">
      <c r="A18" s="2" t="s">
        <v>27</v>
      </c>
      <c r="C18" s="11" t="n">
        <f aca="false">C16*C17/100000</f>
        <v>0</v>
      </c>
      <c r="D18" s="11" t="n">
        <f aca="false">D16*D17/100000</f>
        <v>0</v>
      </c>
    </row>
    <row r="19" customFormat="false" ht="15" hidden="false" customHeight="false" outlineLevel="0" collapsed="false">
      <c r="A19" s="8" t="s">
        <v>28</v>
      </c>
      <c r="C19" s="12" t="n">
        <f aca="false">C15+C18</f>
        <v>500</v>
      </c>
      <c r="D19" s="12" t="n">
        <f aca="false">D15+D18</f>
        <v>500</v>
      </c>
    </row>
    <row r="20" customFormat="false" ht="35.05" hidden="false" customHeight="false" outlineLevel="0" collapsed="false">
      <c r="A20" s="13" t="s">
        <v>29</v>
      </c>
    </row>
    <row r="21" customFormat="false" ht="15" hidden="false" customHeight="false" outlineLevel="0" collapsed="false">
      <c r="A21" s="14" t="s">
        <v>30</v>
      </c>
    </row>
    <row r="23" customFormat="false" ht="15" hidden="false" customHeight="false" outlineLevel="0" collapsed="false">
      <c r="A23" s="8" t="s">
        <v>31</v>
      </c>
    </row>
    <row r="24" customFormat="false" ht="15" hidden="false" customHeight="false" outlineLevel="0" collapsed="false">
      <c r="A24" s="8" t="s">
        <v>32</v>
      </c>
    </row>
    <row r="25" customFormat="false" ht="15" hidden="false" customHeight="false" outlineLevel="0" collapsed="false">
      <c r="A25" s="2" t="s">
        <v>33</v>
      </c>
      <c r="C25" s="9" t="n">
        <v>0</v>
      </c>
      <c r="D25" s="9" t="n">
        <v>0</v>
      </c>
    </row>
    <row r="26" customFormat="false" ht="15" hidden="false" customHeight="false" outlineLevel="0" collapsed="false">
      <c r="A26" s="2" t="s">
        <v>34</v>
      </c>
      <c r="C26" s="9" t="n">
        <v>0</v>
      </c>
      <c r="D26" s="9" t="n">
        <v>0</v>
      </c>
    </row>
    <row r="27" customFormat="false" ht="15" hidden="false" customHeight="false" outlineLevel="0" collapsed="false">
      <c r="A27" s="8" t="s">
        <v>35</v>
      </c>
      <c r="C27" s="15" t="n">
        <f aca="false">C25+C26</f>
        <v>0</v>
      </c>
      <c r="D27" s="15" t="n">
        <f aca="false">D25+D26</f>
        <v>0</v>
      </c>
    </row>
    <row r="28" customFormat="false" ht="15" hidden="false" customHeight="false" outlineLevel="0" collapsed="false">
      <c r="A28" s="8" t="s">
        <v>36</v>
      </c>
    </row>
    <row r="29" customFormat="false" ht="15" hidden="false" customHeight="false" outlineLevel="0" collapsed="false">
      <c r="A29" s="2" t="s">
        <v>33</v>
      </c>
      <c r="C29" s="9" t="n">
        <v>2140</v>
      </c>
      <c r="D29" s="9" t="n">
        <v>1618</v>
      </c>
    </row>
    <row r="30" customFormat="false" ht="15" hidden="false" customHeight="false" outlineLevel="0" collapsed="false">
      <c r="A30" s="2" t="s">
        <v>37</v>
      </c>
      <c r="C30" s="16" t="n">
        <f aca="false">'Profit and Loss'!C24</f>
        <v>478</v>
      </c>
      <c r="D30" s="9" t="n">
        <v>522</v>
      </c>
    </row>
    <row r="31" customFormat="false" ht="15" hidden="false" customHeight="false" outlineLevel="0" collapsed="false">
      <c r="A31" s="8" t="s">
        <v>35</v>
      </c>
      <c r="C31" s="15" t="n">
        <f aca="false">C29+C30</f>
        <v>2618</v>
      </c>
      <c r="D31" s="15" t="n">
        <f aca="false">D29+D30</f>
        <v>2140</v>
      </c>
    </row>
    <row r="32" customFormat="false" ht="15" hidden="false" customHeight="false" outlineLevel="0" collapsed="false">
      <c r="A32" s="8" t="s">
        <v>38</v>
      </c>
      <c r="C32" s="12" t="n">
        <f aca="false">C27+C31</f>
        <v>2618</v>
      </c>
      <c r="D32" s="12" t="n">
        <f aca="false">D27+D31</f>
        <v>2140</v>
      </c>
    </row>
    <row r="33" customFormat="false" ht="15" hidden="false" customHeight="false" outlineLevel="0" collapsed="false">
      <c r="A33" s="14" t="s">
        <v>39</v>
      </c>
    </row>
    <row r="35" customFormat="false" ht="15" hidden="false" customHeight="false" outlineLevel="0" collapsed="false">
      <c r="A35" s="8" t="s">
        <v>40</v>
      </c>
    </row>
    <row r="36" customFormat="false" ht="15" hidden="false" customHeight="false" outlineLevel="0" collapsed="false">
      <c r="A36" s="2" t="s">
        <v>41</v>
      </c>
      <c r="C36" s="9" t="n">
        <v>714</v>
      </c>
      <c r="D36" s="9" t="n">
        <v>805</v>
      </c>
    </row>
    <row r="37" customFormat="false" ht="15" hidden="false" customHeight="false" outlineLevel="0" collapsed="false">
      <c r="A37" s="2" t="s">
        <v>42</v>
      </c>
      <c r="C37" s="9" t="n">
        <v>51</v>
      </c>
      <c r="D37" s="9" t="n">
        <v>57.5</v>
      </c>
    </row>
    <row r="38" customFormat="false" ht="15" hidden="false" customHeight="false" outlineLevel="0" collapsed="false">
      <c r="A38" s="2" t="s">
        <v>43</v>
      </c>
      <c r="C38" s="9" t="n">
        <v>255</v>
      </c>
      <c r="D38" s="9" t="n">
        <v>287.5</v>
      </c>
    </row>
    <row r="39" customFormat="false" ht="15" hidden="false" customHeight="false" outlineLevel="0" collapsed="false">
      <c r="A39" s="8" t="s">
        <v>44</v>
      </c>
      <c r="C39" s="12" t="n">
        <f aca="false">SUM(C36:C38)</f>
        <v>1020</v>
      </c>
      <c r="D39" s="12" t="n">
        <f aca="false">SUM(D36:D38)</f>
        <v>1150</v>
      </c>
    </row>
    <row r="40" customFormat="false" ht="57.45" hidden="false" customHeight="false" outlineLevel="0" collapsed="false">
      <c r="A40" s="13" t="s">
        <v>45</v>
      </c>
    </row>
    <row r="42" customFormat="false" ht="15" hidden="false" customHeight="false" outlineLevel="0" collapsed="false">
      <c r="A42" s="8" t="s">
        <v>46</v>
      </c>
    </row>
    <row r="43" customFormat="false" ht="15" hidden="false" customHeight="false" outlineLevel="0" collapsed="false">
      <c r="A43" s="8" t="s">
        <v>47</v>
      </c>
      <c r="C43" s="17" t="n">
        <v>110</v>
      </c>
      <c r="D43" s="17" t="n">
        <v>95</v>
      </c>
    </row>
    <row r="45" customFormat="false" ht="15" hidden="false" customHeight="false" outlineLevel="0" collapsed="false">
      <c r="A45" s="8" t="s">
        <v>48</v>
      </c>
    </row>
    <row r="46" customFormat="false" ht="15" hidden="false" customHeight="false" outlineLevel="0" collapsed="false">
      <c r="A46" s="2" t="s">
        <v>49</v>
      </c>
      <c r="C46" s="9" t="n">
        <v>49</v>
      </c>
      <c r="D46" s="9" t="n">
        <v>42</v>
      </c>
    </row>
    <row r="47" customFormat="false" ht="15" hidden="false" customHeight="false" outlineLevel="0" collapsed="false">
      <c r="A47" s="2" t="s">
        <v>50</v>
      </c>
      <c r="C47" s="9" t="n">
        <v>21</v>
      </c>
      <c r="D47" s="9" t="n">
        <v>18</v>
      </c>
    </row>
    <row r="48" customFormat="false" ht="15" hidden="false" customHeight="false" outlineLevel="0" collapsed="false">
      <c r="A48" s="8" t="s">
        <v>44</v>
      </c>
      <c r="C48" s="12" t="n">
        <f aca="false">SUM(C46:C47)</f>
        <v>70</v>
      </c>
      <c r="D48" s="12" t="n">
        <f aca="false">SUM(D46:D47)</f>
        <v>60</v>
      </c>
    </row>
    <row r="50" customFormat="false" ht="15" hidden="false" customHeight="false" outlineLevel="0" collapsed="false">
      <c r="A50" s="8" t="s">
        <v>51</v>
      </c>
    </row>
    <row r="51" customFormat="false" ht="15" hidden="false" customHeight="false" outlineLevel="0" collapsed="false">
      <c r="A51" s="2" t="s">
        <v>52</v>
      </c>
      <c r="C51" s="9" t="n">
        <v>731</v>
      </c>
      <c r="D51" s="9" t="n">
        <v>663</v>
      </c>
    </row>
    <row r="52" customFormat="false" ht="15" hidden="false" customHeight="false" outlineLevel="0" collapsed="false">
      <c r="A52" s="2" t="s">
        <v>53</v>
      </c>
      <c r="C52" s="9" t="n">
        <v>129</v>
      </c>
      <c r="D52" s="9" t="n">
        <v>117</v>
      </c>
    </row>
    <row r="53" customFormat="false" ht="15" hidden="false" customHeight="false" outlineLevel="0" collapsed="false">
      <c r="A53" s="8" t="s">
        <v>44</v>
      </c>
      <c r="C53" s="12" t="n">
        <f aca="false">SUM(C51:C52)</f>
        <v>860</v>
      </c>
      <c r="D53" s="12" t="n">
        <f aca="false">SUM(D51:D52)</f>
        <v>780</v>
      </c>
    </row>
    <row r="54" customFormat="false" ht="23.85" hidden="false" customHeight="false" outlineLevel="0" collapsed="false">
      <c r="A54" s="13" t="s">
        <v>54</v>
      </c>
    </row>
    <row r="56" customFormat="false" ht="15" hidden="false" customHeight="false" outlineLevel="0" collapsed="false">
      <c r="A56" s="8" t="s">
        <v>55</v>
      </c>
    </row>
    <row r="57" customFormat="false" ht="15" hidden="false" customHeight="false" outlineLevel="0" collapsed="false">
      <c r="A57" s="2" t="s">
        <v>56</v>
      </c>
      <c r="C57" s="9" t="n">
        <v>270</v>
      </c>
      <c r="D57" s="9" t="n">
        <v>235</v>
      </c>
    </row>
    <row r="58" customFormat="false" ht="15" hidden="false" customHeight="false" outlineLevel="0" collapsed="false">
      <c r="A58" s="2" t="s">
        <v>57</v>
      </c>
      <c r="C58" s="9" t="n">
        <v>810</v>
      </c>
      <c r="D58" s="9" t="n">
        <v>705</v>
      </c>
    </row>
    <row r="59" customFormat="false" ht="15" hidden="false" customHeight="false" outlineLevel="0" collapsed="false">
      <c r="A59" s="8" t="s">
        <v>44</v>
      </c>
      <c r="C59" s="12" t="n">
        <f aca="false">SUM(C57:C58)</f>
        <v>1080</v>
      </c>
      <c r="D59" s="12" t="n">
        <f aca="false">SUM(D57:D58)</f>
        <v>940</v>
      </c>
    </row>
    <row r="61" customFormat="false" ht="15" hidden="false" customHeight="false" outlineLevel="0" collapsed="false">
      <c r="A61" s="8" t="s">
        <v>58</v>
      </c>
    </row>
    <row r="62" customFormat="false" ht="15" hidden="false" customHeight="false" outlineLevel="0" collapsed="false">
      <c r="A62" s="2" t="s">
        <v>59</v>
      </c>
      <c r="C62" s="9" t="n">
        <v>175</v>
      </c>
      <c r="D62" s="9" t="n">
        <v>155</v>
      </c>
    </row>
    <row r="63" customFormat="false" ht="15" hidden="false" customHeight="false" outlineLevel="0" collapsed="false">
      <c r="A63" s="2" t="s">
        <v>60</v>
      </c>
      <c r="C63" s="9" t="n">
        <v>38.5</v>
      </c>
      <c r="D63" s="9" t="n">
        <v>34.1</v>
      </c>
    </row>
    <row r="64" customFormat="false" ht="15" hidden="false" customHeight="false" outlineLevel="0" collapsed="false">
      <c r="A64" s="2" t="s">
        <v>61</v>
      </c>
      <c r="C64" s="9" t="n">
        <v>31.5</v>
      </c>
      <c r="D64" s="9" t="n">
        <v>27.9</v>
      </c>
    </row>
    <row r="65" customFormat="false" ht="15" hidden="false" customHeight="false" outlineLevel="0" collapsed="false">
      <c r="A65" s="2" t="s">
        <v>62</v>
      </c>
      <c r="C65" s="9" t="n">
        <v>17.5</v>
      </c>
      <c r="D65" s="9" t="n">
        <v>15.5</v>
      </c>
    </row>
    <row r="66" customFormat="false" ht="15" hidden="false" customHeight="false" outlineLevel="0" collapsed="false">
      <c r="A66" s="2" t="s">
        <v>63</v>
      </c>
      <c r="C66" s="9" t="n">
        <v>17.5</v>
      </c>
      <c r="D66" s="9" t="n">
        <v>15.5</v>
      </c>
    </row>
    <row r="67" customFormat="false" ht="15" hidden="false" customHeight="false" outlineLevel="0" collapsed="false">
      <c r="A67" s="2" t="s">
        <v>64</v>
      </c>
      <c r="C67" s="9" t="n">
        <v>70</v>
      </c>
      <c r="D67" s="9" t="n">
        <v>62</v>
      </c>
    </row>
    <row r="68" customFormat="false" ht="15" hidden="false" customHeight="false" outlineLevel="0" collapsed="false">
      <c r="A68" s="8" t="s">
        <v>44</v>
      </c>
      <c r="C68" s="12" t="n">
        <f aca="false">SUM(C62:C67)</f>
        <v>350</v>
      </c>
      <c r="D68" s="12" t="n">
        <f aca="false">SUM(D62:D67)</f>
        <v>310</v>
      </c>
    </row>
    <row r="70" customFormat="false" ht="15" hidden="false" customHeight="false" outlineLevel="0" collapsed="false">
      <c r="A70" s="8" t="s">
        <v>65</v>
      </c>
    </row>
    <row r="71" customFormat="false" ht="15" hidden="false" customHeight="false" outlineLevel="0" collapsed="false">
      <c r="A71" s="2" t="s">
        <v>66</v>
      </c>
      <c r="C71" s="9" t="n">
        <v>57</v>
      </c>
      <c r="D71" s="9" t="n">
        <v>51</v>
      </c>
    </row>
    <row r="72" customFormat="false" ht="15" hidden="false" customHeight="false" outlineLevel="0" collapsed="false">
      <c r="A72" s="2" t="s">
        <v>67</v>
      </c>
      <c r="C72" s="9" t="n">
        <v>23.75</v>
      </c>
      <c r="D72" s="9" t="n">
        <v>21.25</v>
      </c>
    </row>
    <row r="73" customFormat="false" ht="15" hidden="false" customHeight="false" outlineLevel="0" collapsed="false">
      <c r="A73" s="2" t="s">
        <v>50</v>
      </c>
      <c r="C73" s="9" t="n">
        <v>14.25</v>
      </c>
      <c r="D73" s="9" t="n">
        <v>12.75</v>
      </c>
    </row>
    <row r="74" customFormat="false" ht="15" hidden="false" customHeight="false" outlineLevel="0" collapsed="false">
      <c r="A74" s="8" t="s">
        <v>44</v>
      </c>
      <c r="C74" s="12" t="n">
        <f aca="false">SUM(C71:C73)</f>
        <v>95</v>
      </c>
      <c r="D74" s="12" t="n">
        <f aca="false">SUM(D71:D73)</f>
        <v>85</v>
      </c>
    </row>
    <row r="76" customFormat="false" ht="15" hidden="false" customHeight="false" outlineLevel="0" collapsed="false">
      <c r="A76" s="8" t="s">
        <v>68</v>
      </c>
    </row>
    <row r="77" customFormat="false" ht="42" hidden="false" customHeight="true" outlineLevel="0" collapsed="false">
      <c r="A77" s="6" t="s">
        <v>69</v>
      </c>
      <c r="B77" s="7"/>
      <c r="C77" s="7" t="s">
        <v>70</v>
      </c>
      <c r="D77" s="7" t="s">
        <v>71</v>
      </c>
      <c r="E77" s="7" t="s">
        <v>72</v>
      </c>
      <c r="F77" s="7" t="s">
        <v>73</v>
      </c>
      <c r="G77" s="7" t="s">
        <v>74</v>
      </c>
      <c r="H77" s="7" t="s">
        <v>75</v>
      </c>
      <c r="I77" s="7" t="s">
        <v>72</v>
      </c>
      <c r="J77" s="7" t="s">
        <v>76</v>
      </c>
      <c r="K77" s="7" t="s">
        <v>77</v>
      </c>
      <c r="L77" s="7" t="s">
        <v>78</v>
      </c>
    </row>
    <row r="78" customFormat="false" ht="15" hidden="false" customHeight="false" outlineLevel="0" collapsed="false">
      <c r="A78" s="2" t="s">
        <v>79</v>
      </c>
      <c r="C78" s="9" t="n">
        <v>380</v>
      </c>
      <c r="D78" s="9" t="n">
        <v>0</v>
      </c>
      <c r="E78" s="9" t="n">
        <v>0</v>
      </c>
      <c r="F78" s="11" t="n">
        <f aca="false">C78+D78-E78</f>
        <v>380</v>
      </c>
      <c r="G78" s="9" t="n">
        <v>0</v>
      </c>
      <c r="H78" s="9" t="n">
        <v>0</v>
      </c>
      <c r="I78" s="9" t="n">
        <v>0</v>
      </c>
      <c r="J78" s="11" t="n">
        <f aca="false">G78+H78-I78</f>
        <v>0</v>
      </c>
      <c r="K78" s="11" t="n">
        <f aca="false">F78-J78</f>
        <v>380</v>
      </c>
      <c r="L78" s="11" t="n">
        <f aca="false">C78-G78</f>
        <v>380</v>
      </c>
    </row>
    <row r="79" customFormat="false" ht="15" hidden="false" customHeight="false" outlineLevel="0" collapsed="false">
      <c r="A79" s="2" t="s">
        <v>80</v>
      </c>
      <c r="C79" s="9" t="n">
        <v>920</v>
      </c>
      <c r="D79" s="9" t="n">
        <v>0</v>
      </c>
      <c r="E79" s="9" t="n">
        <v>0</v>
      </c>
      <c r="F79" s="11" t="n">
        <f aca="false">C79+D79-E79</f>
        <v>920</v>
      </c>
      <c r="G79" s="9" t="n">
        <v>210</v>
      </c>
      <c r="H79" s="9" t="n">
        <v>30</v>
      </c>
      <c r="I79" s="9" t="n">
        <v>0</v>
      </c>
      <c r="J79" s="11" t="n">
        <f aca="false">G79+H79-I79</f>
        <v>240</v>
      </c>
      <c r="K79" s="11" t="n">
        <f aca="false">F79-J79</f>
        <v>680</v>
      </c>
      <c r="L79" s="11" t="n">
        <f aca="false">C79-G79</f>
        <v>710</v>
      </c>
    </row>
    <row r="80" customFormat="false" ht="15" hidden="false" customHeight="false" outlineLevel="0" collapsed="false">
      <c r="A80" s="2" t="s">
        <v>81</v>
      </c>
      <c r="C80" s="9" t="n">
        <v>1970</v>
      </c>
      <c r="D80" s="9" t="n">
        <v>380</v>
      </c>
      <c r="E80" s="9" t="n">
        <v>0</v>
      </c>
      <c r="F80" s="11" t="n">
        <f aca="false">C80+D80-E80</f>
        <v>2350</v>
      </c>
      <c r="G80" s="9" t="n">
        <v>830</v>
      </c>
      <c r="H80" s="9" t="n">
        <v>205</v>
      </c>
      <c r="I80" s="9" t="n">
        <v>0</v>
      </c>
      <c r="J80" s="11" t="n">
        <f aca="false">G80+H80-I80</f>
        <v>1035</v>
      </c>
      <c r="K80" s="11" t="n">
        <f aca="false">F80-J80</f>
        <v>1315</v>
      </c>
      <c r="L80" s="11" t="n">
        <f aca="false">C80-G80</f>
        <v>1140</v>
      </c>
    </row>
    <row r="81" customFormat="false" ht="15" hidden="false" customHeight="false" outlineLevel="0" collapsed="false">
      <c r="A81" s="2" t="s">
        <v>82</v>
      </c>
      <c r="C81" s="9" t="n">
        <v>140</v>
      </c>
      <c r="D81" s="9" t="n">
        <v>20</v>
      </c>
      <c r="E81" s="9" t="n">
        <v>0</v>
      </c>
      <c r="F81" s="11" t="n">
        <f aca="false">C81+D81-E81</f>
        <v>160</v>
      </c>
      <c r="G81" s="9" t="n">
        <v>65</v>
      </c>
      <c r="H81" s="9" t="n">
        <v>15</v>
      </c>
      <c r="I81" s="9" t="n">
        <v>0</v>
      </c>
      <c r="J81" s="11" t="n">
        <f aca="false">G81+H81-I81</f>
        <v>80</v>
      </c>
      <c r="K81" s="11" t="n">
        <f aca="false">F81-J81</f>
        <v>80</v>
      </c>
      <c r="L81" s="11" t="n">
        <f aca="false">C81-G81</f>
        <v>75</v>
      </c>
    </row>
    <row r="82" customFormat="false" ht="15" hidden="false" customHeight="false" outlineLevel="0" collapsed="false">
      <c r="A82" s="2" t="s">
        <v>83</v>
      </c>
      <c r="C82" s="9" t="n">
        <v>160</v>
      </c>
      <c r="D82" s="9" t="n">
        <v>35</v>
      </c>
      <c r="E82" s="9" t="n">
        <v>0</v>
      </c>
      <c r="F82" s="11" t="n">
        <f aca="false">C82+D82-E82</f>
        <v>195</v>
      </c>
      <c r="G82" s="9" t="n">
        <v>85</v>
      </c>
      <c r="H82" s="9" t="n">
        <v>22</v>
      </c>
      <c r="I82" s="9" t="n">
        <v>0</v>
      </c>
      <c r="J82" s="11" t="n">
        <f aca="false">G82+H82-I82</f>
        <v>107</v>
      </c>
      <c r="K82" s="11" t="n">
        <f aca="false">F82-J82</f>
        <v>88</v>
      </c>
      <c r="L82" s="11" t="n">
        <f aca="false">C82-G82</f>
        <v>75</v>
      </c>
    </row>
    <row r="83" customFormat="false" ht="15" hidden="false" customHeight="false" outlineLevel="0" collapsed="false">
      <c r="A83" s="2" t="s">
        <v>84</v>
      </c>
      <c r="C83" s="9" t="n">
        <v>95</v>
      </c>
      <c r="D83" s="9" t="n">
        <v>15</v>
      </c>
      <c r="E83" s="9" t="n">
        <v>0</v>
      </c>
      <c r="F83" s="11" t="n">
        <f aca="false">C83+D83-E83</f>
        <v>110</v>
      </c>
      <c r="G83" s="9" t="n">
        <v>50</v>
      </c>
      <c r="H83" s="9" t="n">
        <v>12</v>
      </c>
      <c r="I83" s="9" t="n">
        <v>0</v>
      </c>
      <c r="J83" s="11" t="n">
        <f aca="false">G83+H83-I83</f>
        <v>62</v>
      </c>
      <c r="K83" s="11" t="n">
        <f aca="false">F83-J83</f>
        <v>48</v>
      </c>
      <c r="L83" s="11" t="n">
        <f aca="false">C83-G83</f>
        <v>45</v>
      </c>
    </row>
    <row r="84" customFormat="false" ht="15" hidden="false" customHeight="false" outlineLevel="0" collapsed="false">
      <c r="A84" s="2" t="s">
        <v>85</v>
      </c>
      <c r="C84" s="9" t="n">
        <v>110</v>
      </c>
      <c r="D84" s="9" t="n">
        <v>20</v>
      </c>
      <c r="E84" s="9" t="n">
        <v>0</v>
      </c>
      <c r="F84" s="11" t="n">
        <f aca="false">C84+D84-E84</f>
        <v>130</v>
      </c>
      <c r="G84" s="9" t="n">
        <v>85</v>
      </c>
      <c r="H84" s="9" t="n">
        <v>16</v>
      </c>
      <c r="I84" s="9" t="n">
        <v>0</v>
      </c>
      <c r="J84" s="11" t="n">
        <f aca="false">G84+H84-I84</f>
        <v>101</v>
      </c>
      <c r="K84" s="11" t="n">
        <f aca="false">F84-J84</f>
        <v>29</v>
      </c>
      <c r="L84" s="11" t="n">
        <f aca="false">C84-G84</f>
        <v>25</v>
      </c>
    </row>
    <row r="85" customFormat="false" ht="15" hidden="false" customHeight="false" outlineLevel="0" collapsed="false">
      <c r="A85" s="8" t="s">
        <v>44</v>
      </c>
      <c r="C85" s="12" t="n">
        <f aca="false">SUM(C78:C84)</f>
        <v>3775</v>
      </c>
      <c r="D85" s="12" t="n">
        <f aca="false">SUM(D78:D84)</f>
        <v>470</v>
      </c>
      <c r="E85" s="12" t="n">
        <f aca="false">SUM(E78:E84)</f>
        <v>0</v>
      </c>
      <c r="F85" s="12" t="n">
        <f aca="false">SUM(F78:F84)</f>
        <v>4245</v>
      </c>
      <c r="G85" s="12" t="n">
        <f aca="false">SUM(G78:G84)</f>
        <v>1325</v>
      </c>
      <c r="H85" s="12" t="n">
        <f aca="false">SUM(H78:H84)</f>
        <v>300</v>
      </c>
      <c r="I85" s="12" t="n">
        <f aca="false">SUM(I78:I84)</f>
        <v>0</v>
      </c>
      <c r="J85" s="12" t="n">
        <f aca="false">SUM(J78:J84)</f>
        <v>1625</v>
      </c>
      <c r="K85" s="12" t="n">
        <f aca="false">SUM(K78:K84)</f>
        <v>2620</v>
      </c>
      <c r="L85" s="12" t="n">
        <f aca="false">SUM(L78:L84)</f>
        <v>2450</v>
      </c>
    </row>
    <row r="86" customFormat="false" ht="35.05" hidden="false" customHeight="false" outlineLevel="0" collapsed="false">
      <c r="A86" s="13" t="s">
        <v>86</v>
      </c>
    </row>
    <row r="88" customFormat="false" ht="15" hidden="false" customHeight="false" outlineLevel="0" collapsed="false">
      <c r="A88" s="8" t="s">
        <v>87</v>
      </c>
    </row>
    <row r="89" customFormat="false" ht="15" hidden="false" customHeight="false" outlineLevel="0" collapsed="false">
      <c r="A89" s="8" t="s">
        <v>88</v>
      </c>
      <c r="C89" s="17" t="n">
        <v>180</v>
      </c>
      <c r="D89" s="17" t="n">
        <v>120</v>
      </c>
    </row>
    <row r="91" customFormat="false" ht="15" hidden="false" customHeight="false" outlineLevel="0" collapsed="false">
      <c r="A91" s="8" t="s">
        <v>89</v>
      </c>
    </row>
    <row r="92" customFormat="false" ht="15" hidden="false" customHeight="false" outlineLevel="0" collapsed="false">
      <c r="A92" s="2" t="s">
        <v>90</v>
      </c>
      <c r="C92" s="9" t="n">
        <v>35</v>
      </c>
      <c r="D92" s="9" t="n">
        <v>30</v>
      </c>
    </row>
    <row r="93" customFormat="false" ht="15" hidden="false" customHeight="false" outlineLevel="0" collapsed="false">
      <c r="A93" s="2" t="s">
        <v>91</v>
      </c>
      <c r="C93" s="9" t="n">
        <v>5</v>
      </c>
      <c r="D93" s="9" t="n">
        <v>13</v>
      </c>
    </row>
    <row r="94" customFormat="false" ht="15" hidden="false" customHeight="false" outlineLevel="0" collapsed="false">
      <c r="A94" s="2" t="s">
        <v>92</v>
      </c>
      <c r="C94" s="9" t="n">
        <v>10</v>
      </c>
      <c r="D94" s="9" t="n">
        <v>8</v>
      </c>
    </row>
    <row r="95" customFormat="false" ht="15" hidden="false" customHeight="false" outlineLevel="0" collapsed="false">
      <c r="A95" s="8" t="s">
        <v>93</v>
      </c>
      <c r="C95" s="12" t="n">
        <f aca="false">C92+C93-C94</f>
        <v>30</v>
      </c>
      <c r="D95" s="12" t="n">
        <f aca="false">D92+D93-D94</f>
        <v>35</v>
      </c>
    </row>
    <row r="97" customFormat="false" ht="15" hidden="false" customHeight="false" outlineLevel="0" collapsed="false">
      <c r="A97" s="8" t="s">
        <v>94</v>
      </c>
    </row>
    <row r="98" customFormat="false" ht="15" hidden="false" customHeight="false" outlineLevel="0" collapsed="false">
      <c r="A98" s="2" t="s">
        <v>95</v>
      </c>
      <c r="C98" s="9" t="n">
        <v>90</v>
      </c>
      <c r="D98" s="9" t="n">
        <v>84</v>
      </c>
    </row>
    <row r="99" customFormat="false" ht="15" hidden="false" customHeight="false" outlineLevel="0" collapsed="false">
      <c r="A99" s="2" t="s">
        <v>96</v>
      </c>
      <c r="C99" s="9" t="n">
        <v>45</v>
      </c>
      <c r="D99" s="9" t="n">
        <v>42</v>
      </c>
    </row>
    <row r="100" customFormat="false" ht="15" hidden="false" customHeight="false" outlineLevel="0" collapsed="false">
      <c r="A100" s="2" t="s">
        <v>97</v>
      </c>
      <c r="C100" s="9" t="n">
        <v>15</v>
      </c>
      <c r="D100" s="9" t="n">
        <v>14</v>
      </c>
    </row>
    <row r="101" customFormat="false" ht="15" hidden="false" customHeight="false" outlineLevel="0" collapsed="false">
      <c r="A101" s="8" t="s">
        <v>44</v>
      </c>
      <c r="C101" s="12" t="n">
        <f aca="false">SUM(C98:C100)</f>
        <v>150</v>
      </c>
      <c r="D101" s="12" t="n">
        <f aca="false">SUM(D98:D100)</f>
        <v>140</v>
      </c>
    </row>
    <row r="103" customFormat="false" ht="15" hidden="false" customHeight="false" outlineLevel="0" collapsed="false">
      <c r="A103" s="8" t="s">
        <v>98</v>
      </c>
    </row>
    <row r="104" customFormat="false" ht="15" hidden="false" customHeight="false" outlineLevel="0" collapsed="false">
      <c r="A104" s="2" t="s">
        <v>99</v>
      </c>
      <c r="C104" s="9" t="n">
        <v>45</v>
      </c>
      <c r="D104" s="9" t="n">
        <v>40</v>
      </c>
    </row>
    <row r="105" customFormat="false" ht="15" hidden="false" customHeight="false" outlineLevel="0" collapsed="false">
      <c r="A105" s="8" t="s">
        <v>44</v>
      </c>
      <c r="C105" s="12" t="n">
        <f aca="false">SUM(C104:C104)</f>
        <v>45</v>
      </c>
      <c r="D105" s="12" t="n">
        <f aca="false">SUM(D104:D104)</f>
        <v>40</v>
      </c>
    </row>
    <row r="107" customFormat="false" ht="15" hidden="false" customHeight="false" outlineLevel="0" collapsed="false">
      <c r="A107" s="8" t="s">
        <v>100</v>
      </c>
    </row>
    <row r="108" customFormat="false" ht="15" hidden="false" customHeight="false" outlineLevel="0" collapsed="false">
      <c r="A108" s="2" t="s">
        <v>101</v>
      </c>
      <c r="C108" s="9" t="n">
        <v>690</v>
      </c>
      <c r="D108" s="9" t="n">
        <v>620</v>
      </c>
    </row>
    <row r="109" customFormat="false" ht="15" hidden="false" customHeight="false" outlineLevel="0" collapsed="false">
      <c r="A109" s="2" t="s">
        <v>102</v>
      </c>
      <c r="C109" s="9" t="n">
        <v>285</v>
      </c>
      <c r="D109" s="9" t="n">
        <v>250</v>
      </c>
    </row>
    <row r="110" customFormat="false" ht="15" hidden="false" customHeight="false" outlineLevel="0" collapsed="false">
      <c r="A110" s="2" t="s">
        <v>103</v>
      </c>
      <c r="C110" s="9" t="n">
        <v>430</v>
      </c>
      <c r="D110" s="9" t="n">
        <v>370</v>
      </c>
    </row>
    <row r="111" customFormat="false" ht="15" hidden="false" customHeight="false" outlineLevel="0" collapsed="false">
      <c r="A111" s="2" t="s">
        <v>104</v>
      </c>
      <c r="C111" s="9" t="n">
        <v>155</v>
      </c>
      <c r="D111" s="9" t="n">
        <v>140</v>
      </c>
    </row>
    <row r="112" customFormat="false" ht="15" hidden="false" customHeight="false" outlineLevel="0" collapsed="false">
      <c r="A112" s="8" t="s">
        <v>44</v>
      </c>
      <c r="C112" s="12" t="n">
        <f aca="false">SUM(C108:C111)</f>
        <v>1560</v>
      </c>
      <c r="D112" s="12" t="n">
        <f aca="false">SUM(D108:D111)</f>
        <v>1380</v>
      </c>
    </row>
    <row r="114" customFormat="false" ht="15" hidden="false" customHeight="false" outlineLevel="0" collapsed="false">
      <c r="A114" s="8" t="s">
        <v>105</v>
      </c>
    </row>
    <row r="115" customFormat="false" ht="15" hidden="false" customHeight="false" outlineLevel="0" collapsed="false">
      <c r="A115" s="2" t="s">
        <v>106</v>
      </c>
      <c r="C115" s="9" t="n">
        <v>112.8</v>
      </c>
      <c r="D115" s="9" t="n">
        <v>96.8</v>
      </c>
    </row>
    <row r="116" customFormat="false" ht="15" hidden="false" customHeight="false" outlineLevel="0" collapsed="false">
      <c r="A116" s="2" t="s">
        <v>107</v>
      </c>
      <c r="C116" s="9" t="n">
        <v>1297.2</v>
      </c>
      <c r="D116" s="9" t="n">
        <v>1113.2</v>
      </c>
    </row>
    <row r="117" customFormat="false" ht="15" hidden="false" customHeight="false" outlineLevel="0" collapsed="false">
      <c r="A117" s="8" t="s">
        <v>44</v>
      </c>
      <c r="C117" s="12" t="n">
        <f aca="false">SUM(C115:C116)</f>
        <v>1410</v>
      </c>
      <c r="D117" s="12" t="n">
        <f aca="false">SUM(D115:D116)</f>
        <v>1210</v>
      </c>
    </row>
    <row r="119" customFormat="false" ht="15" hidden="false" customHeight="false" outlineLevel="0" collapsed="false">
      <c r="A119" s="8" t="s">
        <v>108</v>
      </c>
    </row>
    <row r="120" customFormat="false" ht="15" hidden="false" customHeight="false" outlineLevel="0" collapsed="false">
      <c r="A120" s="2" t="s">
        <v>109</v>
      </c>
      <c r="C120" s="9" t="n">
        <v>7.76</v>
      </c>
      <c r="D120" s="9" t="n">
        <v>8</v>
      </c>
    </row>
    <row r="121" customFormat="false" ht="15" hidden="false" customHeight="false" outlineLevel="0" collapsed="false">
      <c r="A121" s="2" t="s">
        <v>110</v>
      </c>
      <c r="C121" s="9" t="n">
        <v>147.44</v>
      </c>
      <c r="D121" s="9" t="n">
        <v>152</v>
      </c>
    </row>
    <row r="122" customFormat="false" ht="15" hidden="false" customHeight="false" outlineLevel="0" collapsed="false">
      <c r="A122" s="2" t="s">
        <v>111</v>
      </c>
      <c r="C122" s="9" t="n">
        <v>232.8</v>
      </c>
      <c r="D122" s="9" t="n">
        <v>240</v>
      </c>
    </row>
    <row r="123" customFormat="false" ht="15" hidden="false" customHeight="false" outlineLevel="0" collapsed="false">
      <c r="A123" s="8" t="s">
        <v>44</v>
      </c>
      <c r="C123" s="12" t="n">
        <f aca="false">SUM(C120:C122)</f>
        <v>388</v>
      </c>
      <c r="D123" s="12" t="n">
        <f aca="false">SUM(D120:D122)</f>
        <v>400</v>
      </c>
    </row>
    <row r="125" customFormat="false" ht="15" hidden="false" customHeight="false" outlineLevel="0" collapsed="false">
      <c r="A125" s="8" t="s">
        <v>112</v>
      </c>
    </row>
    <row r="126" customFormat="false" ht="15" hidden="false" customHeight="false" outlineLevel="0" collapsed="false">
      <c r="A126" s="2" t="s">
        <v>113</v>
      </c>
      <c r="C126" s="9" t="n">
        <v>94.5</v>
      </c>
      <c r="D126" s="9" t="n">
        <v>85.5</v>
      </c>
    </row>
    <row r="127" customFormat="false" ht="15" hidden="false" customHeight="false" outlineLevel="0" collapsed="false">
      <c r="A127" s="2" t="s">
        <v>114</v>
      </c>
      <c r="C127" s="9" t="n">
        <v>42</v>
      </c>
      <c r="D127" s="9" t="n">
        <v>38</v>
      </c>
    </row>
    <row r="128" customFormat="false" ht="15" hidden="false" customHeight="false" outlineLevel="0" collapsed="false">
      <c r="A128" s="2" t="s">
        <v>115</v>
      </c>
      <c r="C128" s="9" t="n">
        <v>63</v>
      </c>
      <c r="D128" s="9" t="n">
        <v>57</v>
      </c>
    </row>
    <row r="129" customFormat="false" ht="15" hidden="false" customHeight="false" outlineLevel="0" collapsed="false">
      <c r="A129" s="2" t="s">
        <v>116</v>
      </c>
      <c r="C129" s="9" t="n">
        <v>10.5</v>
      </c>
      <c r="D129" s="9" t="n">
        <v>9.5</v>
      </c>
    </row>
    <row r="130" customFormat="false" ht="15" hidden="false" customHeight="false" outlineLevel="0" collapsed="false">
      <c r="A130" s="8" t="s">
        <v>44</v>
      </c>
      <c r="C130" s="12" t="n">
        <f aca="false">SUM(C126:C129)</f>
        <v>210</v>
      </c>
      <c r="D130" s="12" t="n">
        <f aca="false">SUM(D126:D129)</f>
        <v>190</v>
      </c>
    </row>
    <row r="132" customFormat="false" ht="15" hidden="false" customHeight="false" outlineLevel="0" collapsed="false">
      <c r="A132" s="8" t="s">
        <v>117</v>
      </c>
    </row>
    <row r="133" customFormat="false" ht="15" hidden="false" customHeight="false" outlineLevel="0" collapsed="false">
      <c r="A133" s="2" t="s">
        <v>118</v>
      </c>
      <c r="C133" s="9" t="n">
        <v>33</v>
      </c>
      <c r="D133" s="9" t="n">
        <v>28.5</v>
      </c>
    </row>
    <row r="134" customFormat="false" ht="15" hidden="false" customHeight="false" outlineLevel="0" collapsed="false">
      <c r="A134" s="2" t="s">
        <v>119</v>
      </c>
      <c r="C134" s="9" t="n">
        <v>77</v>
      </c>
      <c r="D134" s="9" t="n">
        <v>66.5</v>
      </c>
    </row>
    <row r="135" customFormat="false" ht="15" hidden="false" customHeight="false" outlineLevel="0" collapsed="false">
      <c r="A135" s="8" t="s">
        <v>44</v>
      </c>
      <c r="C135" s="12" t="n">
        <f aca="false">SUM(C133:C134)</f>
        <v>110</v>
      </c>
      <c r="D135" s="12" t="n">
        <f aca="false">SUM(D133:D134)</f>
        <v>95</v>
      </c>
    </row>
    <row r="137" customFormat="false" ht="15" hidden="false" customHeight="false" outlineLevel="0" collapsed="false">
      <c r="A137" s="8" t="s">
        <v>120</v>
      </c>
    </row>
    <row r="138" customFormat="false" ht="15" hidden="false" customHeight="false" outlineLevel="0" collapsed="false">
      <c r="A138" s="2" t="s">
        <v>121</v>
      </c>
      <c r="C138" s="9" t="n">
        <v>2895</v>
      </c>
      <c r="D138" s="9" t="n">
        <v>2460</v>
      </c>
    </row>
    <row r="139" customFormat="false" ht="15" hidden="false" customHeight="false" outlineLevel="0" collapsed="false">
      <c r="A139" s="2" t="s">
        <v>122</v>
      </c>
      <c r="C139" s="9" t="n">
        <v>2316</v>
      </c>
      <c r="D139" s="9" t="n">
        <v>1968</v>
      </c>
    </row>
    <row r="140" customFormat="false" ht="15" hidden="false" customHeight="false" outlineLevel="0" collapsed="false">
      <c r="A140" s="2" t="s">
        <v>123</v>
      </c>
      <c r="C140" s="9" t="n">
        <v>1737</v>
      </c>
      <c r="D140" s="9" t="n">
        <v>1476</v>
      </c>
    </row>
    <row r="141" customFormat="false" ht="15" hidden="false" customHeight="false" outlineLevel="0" collapsed="false">
      <c r="A141" s="2" t="s">
        <v>124</v>
      </c>
      <c r="C141" s="9" t="n">
        <v>1544</v>
      </c>
      <c r="D141" s="9" t="n">
        <v>1312</v>
      </c>
    </row>
    <row r="142" customFormat="false" ht="15" hidden="false" customHeight="false" outlineLevel="0" collapsed="false">
      <c r="A142" s="2" t="s">
        <v>125</v>
      </c>
      <c r="C142" s="9" t="n">
        <v>1158</v>
      </c>
      <c r="D142" s="9" t="n">
        <v>984</v>
      </c>
    </row>
    <row r="143" customFormat="false" ht="15" hidden="false" customHeight="false" outlineLevel="0" collapsed="false">
      <c r="A143" s="8" t="s">
        <v>44</v>
      </c>
      <c r="C143" s="12" t="n">
        <f aca="false">SUM(C138:C142)</f>
        <v>9650</v>
      </c>
      <c r="D143" s="12" t="n">
        <f aca="false">SUM(D138:D142)</f>
        <v>8200</v>
      </c>
    </row>
    <row r="144" customFormat="false" ht="23.85" hidden="false" customHeight="false" outlineLevel="0" collapsed="false">
      <c r="A144" s="13" t="s">
        <v>126</v>
      </c>
    </row>
    <row r="146" customFormat="false" ht="15" hidden="false" customHeight="false" outlineLevel="0" collapsed="false">
      <c r="A146" s="8" t="s">
        <v>127</v>
      </c>
    </row>
    <row r="147" customFormat="false" ht="15" hidden="false" customHeight="false" outlineLevel="0" collapsed="false">
      <c r="A147" s="2" t="s">
        <v>128</v>
      </c>
      <c r="C147" s="9" t="n">
        <v>26.4</v>
      </c>
      <c r="D147" s="9" t="n">
        <v>23.1</v>
      </c>
    </row>
    <row r="148" customFormat="false" ht="15" hidden="false" customHeight="false" outlineLevel="0" collapsed="false">
      <c r="A148" s="2" t="s">
        <v>129</v>
      </c>
      <c r="C148" s="9" t="n">
        <v>14.4</v>
      </c>
      <c r="D148" s="9" t="n">
        <v>12.6</v>
      </c>
    </row>
    <row r="149" customFormat="false" ht="15" hidden="false" customHeight="false" outlineLevel="0" collapsed="false">
      <c r="A149" s="2" t="s">
        <v>130</v>
      </c>
      <c r="C149" s="9" t="n">
        <v>7.2</v>
      </c>
      <c r="D149" s="9" t="n">
        <v>6.3</v>
      </c>
    </row>
    <row r="150" customFormat="false" ht="15" hidden="false" customHeight="false" outlineLevel="0" collapsed="false">
      <c r="A150" s="8" t="s">
        <v>44</v>
      </c>
      <c r="C150" s="12" t="n">
        <f aca="false">SUM(C147:C149)</f>
        <v>48</v>
      </c>
      <c r="D150" s="12" t="n">
        <f aca="false">SUM(D147:D149)</f>
        <v>42</v>
      </c>
    </row>
    <row r="152" customFormat="false" ht="15" hidden="false" customHeight="false" outlineLevel="0" collapsed="false">
      <c r="A152" s="8" t="s">
        <v>131</v>
      </c>
    </row>
    <row r="153" customFormat="false" ht="15" hidden="false" customHeight="false" outlineLevel="0" collapsed="false">
      <c r="A153" s="2" t="s">
        <v>132</v>
      </c>
      <c r="C153" s="11" t="n">
        <f aca="false">D108</f>
        <v>620</v>
      </c>
      <c r="D153" s="9" t="n">
        <v>560</v>
      </c>
    </row>
    <row r="154" customFormat="false" ht="15" hidden="false" customHeight="false" outlineLevel="0" collapsed="false">
      <c r="A154" s="2" t="s">
        <v>133</v>
      </c>
      <c r="C154" s="9" t="n">
        <v>5330</v>
      </c>
      <c r="D154" s="9" t="n">
        <v>4580</v>
      </c>
    </row>
    <row r="155" customFormat="false" ht="15" hidden="false" customHeight="false" outlineLevel="0" collapsed="false">
      <c r="A155" s="2" t="s">
        <v>134</v>
      </c>
      <c r="C155" s="11" t="n">
        <f aca="false">C108</f>
        <v>690</v>
      </c>
      <c r="D155" s="11" t="n">
        <f aca="false">D108</f>
        <v>620</v>
      </c>
    </row>
    <row r="156" customFormat="false" ht="15" hidden="false" customHeight="false" outlineLevel="0" collapsed="false">
      <c r="A156" s="8" t="s">
        <v>135</v>
      </c>
      <c r="C156" s="12" t="n">
        <f aca="false">C153+C154-C155</f>
        <v>5260</v>
      </c>
      <c r="D156" s="12" t="n">
        <f aca="false">D153+D154-D155</f>
        <v>4520</v>
      </c>
    </row>
    <row r="158" customFormat="false" ht="15" hidden="false" customHeight="false" outlineLevel="0" collapsed="false">
      <c r="A158" s="8" t="s">
        <v>136</v>
      </c>
    </row>
    <row r="159" customFormat="false" ht="15" hidden="false" customHeight="false" outlineLevel="0" collapsed="false">
      <c r="A159" s="2" t="s">
        <v>137</v>
      </c>
      <c r="C159" s="11" t="n">
        <f aca="false">D109</f>
        <v>250</v>
      </c>
      <c r="D159" s="9" t="n">
        <v>230</v>
      </c>
    </row>
    <row r="160" customFormat="false" ht="15" hidden="false" customHeight="false" outlineLevel="0" collapsed="false">
      <c r="A160" s="2" t="s">
        <v>138</v>
      </c>
      <c r="C160" s="11" t="n">
        <f aca="false">D110</f>
        <v>370</v>
      </c>
      <c r="D160" s="9" t="n">
        <v>330</v>
      </c>
    </row>
    <row r="161" customFormat="false" ht="15" hidden="false" customHeight="false" outlineLevel="0" collapsed="false">
      <c r="A161" s="2" t="s">
        <v>139</v>
      </c>
      <c r="C161" s="11" t="n">
        <f aca="false">C109</f>
        <v>285</v>
      </c>
      <c r="D161" s="11" t="n">
        <f aca="false">D109</f>
        <v>250</v>
      </c>
    </row>
    <row r="162" customFormat="false" ht="15" hidden="false" customHeight="false" outlineLevel="0" collapsed="false">
      <c r="A162" s="2" t="s">
        <v>140</v>
      </c>
      <c r="C162" s="11" t="n">
        <f aca="false">C110</f>
        <v>430</v>
      </c>
      <c r="D162" s="11" t="n">
        <f aca="false">D110</f>
        <v>370</v>
      </c>
    </row>
    <row r="163" customFormat="false" ht="15" hidden="false" customHeight="false" outlineLevel="0" collapsed="false">
      <c r="A163" s="8" t="s">
        <v>141</v>
      </c>
      <c r="C163" s="12" t="n">
        <f aca="false">C159+C160-C161-C162</f>
        <v>-95</v>
      </c>
      <c r="D163" s="12" t="n">
        <f aca="false">D159+D160-D161-D162</f>
        <v>-60</v>
      </c>
    </row>
    <row r="165" customFormat="false" ht="15" hidden="false" customHeight="false" outlineLevel="0" collapsed="false">
      <c r="A165" s="8" t="s">
        <v>142</v>
      </c>
    </row>
    <row r="166" customFormat="false" ht="15" hidden="false" customHeight="false" outlineLevel="0" collapsed="false">
      <c r="A166" s="2" t="s">
        <v>143</v>
      </c>
      <c r="C166" s="9" t="n">
        <v>943.8</v>
      </c>
      <c r="D166" s="9" t="n">
        <v>811.2</v>
      </c>
    </row>
    <row r="167" customFormat="false" ht="15" hidden="false" customHeight="false" outlineLevel="0" collapsed="false">
      <c r="A167" s="2" t="s">
        <v>144</v>
      </c>
      <c r="C167" s="9" t="n">
        <v>96.8</v>
      </c>
      <c r="D167" s="9" t="n">
        <v>83.2</v>
      </c>
    </row>
    <row r="168" customFormat="false" ht="15" hidden="false" customHeight="false" outlineLevel="0" collapsed="false">
      <c r="A168" s="2" t="s">
        <v>145</v>
      </c>
      <c r="C168" s="9" t="n">
        <v>96.8</v>
      </c>
      <c r="D168" s="9" t="n">
        <v>83.2</v>
      </c>
    </row>
    <row r="169" customFormat="false" ht="15" hidden="false" customHeight="false" outlineLevel="0" collapsed="false">
      <c r="A169" s="2" t="s">
        <v>146</v>
      </c>
      <c r="C169" s="9" t="n">
        <v>72.6</v>
      </c>
      <c r="D169" s="9" t="n">
        <v>62.4</v>
      </c>
    </row>
    <row r="170" customFormat="false" ht="15" hidden="false" customHeight="false" outlineLevel="0" collapsed="false">
      <c r="A170" s="8" t="s">
        <v>44</v>
      </c>
      <c r="C170" s="12" t="n">
        <f aca="false">SUM(C166:C169)</f>
        <v>1210</v>
      </c>
      <c r="D170" s="12" t="n">
        <f aca="false">SUM(D166:D169)</f>
        <v>1040</v>
      </c>
    </row>
    <row r="171" customFormat="false" ht="15" hidden="false" customHeight="false" outlineLevel="0" collapsed="false">
      <c r="A171" s="13" t="s">
        <v>147</v>
      </c>
    </row>
    <row r="173" customFormat="false" ht="15" hidden="false" customHeight="false" outlineLevel="0" collapsed="false">
      <c r="A173" s="8" t="s">
        <v>148</v>
      </c>
    </row>
    <row r="174" customFormat="false" ht="15" hidden="false" customHeight="false" outlineLevel="0" collapsed="false">
      <c r="A174" s="2" t="s">
        <v>149</v>
      </c>
      <c r="C174" s="9" t="n">
        <v>117</v>
      </c>
      <c r="D174" s="9" t="n">
        <v>110.25</v>
      </c>
    </row>
    <row r="175" customFormat="false" ht="15" hidden="false" customHeight="false" outlineLevel="0" collapsed="false">
      <c r="A175" s="2" t="s">
        <v>150</v>
      </c>
      <c r="C175" s="9" t="n">
        <v>104</v>
      </c>
      <c r="D175" s="9" t="n">
        <v>98</v>
      </c>
    </row>
    <row r="176" customFormat="false" ht="15" hidden="false" customHeight="false" outlineLevel="0" collapsed="false">
      <c r="A176" s="2" t="s">
        <v>151</v>
      </c>
      <c r="C176" s="9" t="n">
        <v>18.2</v>
      </c>
      <c r="D176" s="9" t="n">
        <v>17.15</v>
      </c>
    </row>
    <row r="177" customFormat="false" ht="15" hidden="false" customHeight="false" outlineLevel="0" collapsed="false">
      <c r="A177" s="2" t="s">
        <v>152</v>
      </c>
      <c r="C177" s="9" t="n">
        <v>20.8</v>
      </c>
      <c r="D177" s="9" t="n">
        <v>19.6</v>
      </c>
    </row>
    <row r="178" customFormat="false" ht="15" hidden="false" customHeight="false" outlineLevel="0" collapsed="false">
      <c r="A178" s="8" t="s">
        <v>44</v>
      </c>
      <c r="C178" s="12" t="n">
        <f aca="false">SUM(C174:C177)</f>
        <v>260</v>
      </c>
      <c r="D178" s="12" t="n">
        <f aca="false">SUM(D174:D177)</f>
        <v>245</v>
      </c>
    </row>
    <row r="180" customFormat="false" ht="15" hidden="false" customHeight="false" outlineLevel="0" collapsed="false">
      <c r="A180" s="8" t="s">
        <v>153</v>
      </c>
    </row>
    <row r="181" customFormat="false" ht="15" hidden="false" customHeight="false" outlineLevel="0" collapsed="false">
      <c r="A181" s="2" t="s">
        <v>154</v>
      </c>
      <c r="C181" s="11" t="n">
        <f aca="false">H85</f>
        <v>300</v>
      </c>
      <c r="D181" s="9" t="n">
        <v>277</v>
      </c>
    </row>
    <row r="182" customFormat="false" ht="15" hidden="false" customHeight="false" outlineLevel="0" collapsed="false">
      <c r="A182" s="2" t="s">
        <v>155</v>
      </c>
      <c r="C182" s="11" t="n">
        <f aca="false">C94</f>
        <v>10</v>
      </c>
      <c r="D182" s="11" t="n">
        <f aca="false">D94</f>
        <v>8</v>
      </c>
    </row>
    <row r="183" customFormat="false" ht="15" hidden="false" customHeight="false" outlineLevel="0" collapsed="false">
      <c r="A183" s="8" t="s">
        <v>44</v>
      </c>
      <c r="C183" s="12" t="n">
        <f aca="false">C181+C182</f>
        <v>310</v>
      </c>
      <c r="D183" s="12" t="n">
        <f aca="false">D181+D182</f>
        <v>285</v>
      </c>
    </row>
    <row r="185" customFormat="false" ht="15" hidden="false" customHeight="false" outlineLevel="0" collapsed="false">
      <c r="A185" s="8" t="s">
        <v>156</v>
      </c>
    </row>
    <row r="186" customFormat="false" ht="15" hidden="false" customHeight="false" outlineLevel="0" collapsed="false">
      <c r="A186" s="2" t="s">
        <v>157</v>
      </c>
      <c r="C186" s="9" t="n">
        <v>287</v>
      </c>
      <c r="D186" s="9" t="n">
        <v>207.2</v>
      </c>
    </row>
    <row r="187" customFormat="false" ht="15" hidden="false" customHeight="false" outlineLevel="0" collapsed="false">
      <c r="A187" s="2" t="s">
        <v>158</v>
      </c>
      <c r="C187" s="9" t="n">
        <v>184.5</v>
      </c>
      <c r="D187" s="9" t="n">
        <v>133.2</v>
      </c>
    </row>
    <row r="188" customFormat="false" ht="15" hidden="false" customHeight="false" outlineLevel="0" collapsed="false">
      <c r="A188" s="2" t="s">
        <v>159</v>
      </c>
      <c r="C188" s="9" t="n">
        <v>205</v>
      </c>
      <c r="D188" s="9" t="n">
        <v>148</v>
      </c>
    </row>
    <row r="189" customFormat="false" ht="15" hidden="false" customHeight="false" outlineLevel="0" collapsed="false">
      <c r="A189" s="2" t="s">
        <v>160</v>
      </c>
      <c r="C189" s="9" t="n">
        <v>123</v>
      </c>
      <c r="D189" s="9" t="n">
        <v>88.8</v>
      </c>
    </row>
    <row r="190" customFormat="false" ht="15" hidden="false" customHeight="false" outlineLevel="0" collapsed="false">
      <c r="A190" s="2" t="s">
        <v>161</v>
      </c>
      <c r="C190" s="9" t="n">
        <v>143.5</v>
      </c>
      <c r="D190" s="9" t="n">
        <v>103.6</v>
      </c>
    </row>
    <row r="191" customFormat="false" ht="15" hidden="false" customHeight="false" outlineLevel="0" collapsed="false">
      <c r="A191" s="2" t="s">
        <v>162</v>
      </c>
      <c r="C191" s="9" t="n">
        <v>307.5</v>
      </c>
      <c r="D191" s="9" t="n">
        <v>222</v>
      </c>
    </row>
    <row r="192" customFormat="false" ht="15" hidden="false" customHeight="false" outlineLevel="0" collapsed="false">
      <c r="A192" s="2" t="s">
        <v>163</v>
      </c>
      <c r="C192" s="9" t="n">
        <v>184.5</v>
      </c>
      <c r="D192" s="9" t="n">
        <v>133.2</v>
      </c>
    </row>
    <row r="193" customFormat="false" ht="15" hidden="false" customHeight="false" outlineLevel="0" collapsed="false">
      <c r="A193" s="2" t="s">
        <v>164</v>
      </c>
      <c r="C193" s="9" t="n">
        <v>123</v>
      </c>
      <c r="D193" s="9" t="n">
        <v>88.8</v>
      </c>
    </row>
    <row r="194" customFormat="false" ht="15" hidden="false" customHeight="false" outlineLevel="0" collapsed="false">
      <c r="A194" s="2" t="s">
        <v>165</v>
      </c>
      <c r="C194" s="9" t="n">
        <v>82</v>
      </c>
      <c r="D194" s="9" t="n">
        <v>59.2</v>
      </c>
    </row>
    <row r="195" customFormat="false" ht="15" hidden="false" customHeight="false" outlineLevel="0" collapsed="false">
      <c r="A195" s="2" t="s">
        <v>166</v>
      </c>
      <c r="C195" s="9" t="n">
        <v>71.75</v>
      </c>
      <c r="D195" s="9" t="n">
        <v>51.8</v>
      </c>
    </row>
    <row r="196" customFormat="false" ht="15" hidden="false" customHeight="false" outlineLevel="0" collapsed="false">
      <c r="A196" s="2" t="s">
        <v>167</v>
      </c>
      <c r="C196" s="9" t="n">
        <v>41</v>
      </c>
      <c r="D196" s="9" t="n">
        <v>29.6</v>
      </c>
    </row>
    <row r="197" customFormat="false" ht="15" hidden="false" customHeight="false" outlineLevel="0" collapsed="false">
      <c r="A197" s="2" t="s">
        <v>168</v>
      </c>
      <c r="C197" s="9" t="n">
        <v>10.25</v>
      </c>
      <c r="D197" s="9" t="n">
        <v>7.4</v>
      </c>
    </row>
    <row r="198" customFormat="false" ht="15" hidden="false" customHeight="false" outlineLevel="0" collapsed="false">
      <c r="A198" s="2" t="s">
        <v>169</v>
      </c>
      <c r="C198" s="9" t="n">
        <v>287</v>
      </c>
      <c r="D198" s="9" t="n">
        <v>207.2</v>
      </c>
    </row>
    <row r="199" customFormat="false" ht="15" hidden="false" customHeight="false" outlineLevel="0" collapsed="false">
      <c r="A199" s="8" t="s">
        <v>44</v>
      </c>
      <c r="C199" s="12" t="n">
        <f aca="false">SUM(C186:C198)</f>
        <v>2050</v>
      </c>
      <c r="D199" s="12" t="n">
        <f aca="false">SUM(D186:D198)</f>
        <v>1480</v>
      </c>
    </row>
    <row r="201" customFormat="false" ht="15" hidden="false" customHeight="false" outlineLevel="0" collapsed="false">
      <c r="A201" s="8" t="s">
        <v>170</v>
      </c>
    </row>
    <row r="202" customFormat="false" ht="15" hidden="false" customHeight="false" outlineLevel="0" collapsed="false">
      <c r="A202" s="2" t="s">
        <v>171</v>
      </c>
      <c r="C202" s="9" t="n">
        <v>210</v>
      </c>
      <c r="D202" s="9" t="n">
        <v>190</v>
      </c>
    </row>
    <row r="203" customFormat="false" ht="15" hidden="false" customHeight="false" outlineLevel="0" collapsed="false">
      <c r="A203" s="2" t="s">
        <v>172</v>
      </c>
      <c r="C203" s="9" t="n">
        <v>15</v>
      </c>
      <c r="D203" s="9" t="n">
        <v>20</v>
      </c>
    </row>
    <row r="204" customFormat="false" ht="15" hidden="false" customHeight="false" outlineLevel="0" collapsed="false">
      <c r="A204" s="8" t="s">
        <v>173</v>
      </c>
      <c r="C204" s="12" t="n">
        <f aca="false">C202+C203</f>
        <v>225</v>
      </c>
      <c r="D204" s="12" t="n">
        <f aca="false">D202+D203</f>
        <v>210</v>
      </c>
    </row>
    <row r="205" customFormat="false" ht="15" hidden="false" customHeight="false" outlineLevel="0" collapsed="false">
      <c r="A205" s="14" t="s">
        <v>174</v>
      </c>
    </row>
    <row r="207" customFormat="false" ht="15" hidden="false" customHeight="false" outlineLevel="0" collapsed="false">
      <c r="A207" s="14" t="s">
        <v>175</v>
      </c>
    </row>
    <row r="208" customFormat="false" ht="15" hidden="false" customHeight="false" outlineLevel="0" collapsed="false">
      <c r="A208" s="14" t="s">
        <v>176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8"/>
    <col collapsed="false" customWidth="true" hidden="false" outlineLevel="0" max="4" min="3" style="0" width="22"/>
  </cols>
  <sheetData>
    <row r="1" customFormat="false" ht="15" hidden="false" customHeight="false" outlineLevel="0" collapsed="false">
      <c r="A1" s="3" t="s">
        <v>0</v>
      </c>
    </row>
    <row r="2" customFormat="false" ht="15" hidden="false" customHeight="false" outlineLevel="0" collapsed="false">
      <c r="A2" s="2" t="s">
        <v>12</v>
      </c>
    </row>
    <row r="3" customFormat="false" ht="15" hidden="false" customHeight="false" outlineLevel="0" collapsed="false">
      <c r="A3" s="4" t="s">
        <v>177</v>
      </c>
    </row>
    <row r="4" customFormat="false" ht="15" hidden="false" customHeight="false" outlineLevel="0" collapsed="false">
      <c r="A4" s="2" t="s">
        <v>4</v>
      </c>
    </row>
    <row r="6" customFormat="false" ht="30" hidden="false" customHeight="true" outlineLevel="0" collapsed="false">
      <c r="A6" s="6" t="s">
        <v>14</v>
      </c>
      <c r="B6" s="7" t="s">
        <v>178</v>
      </c>
      <c r="C6" s="7" t="s">
        <v>179</v>
      </c>
      <c r="D6" s="7" t="s">
        <v>180</v>
      </c>
    </row>
    <row r="7" customFormat="false" ht="15" hidden="false" customHeight="false" outlineLevel="0" collapsed="false">
      <c r="A7" s="8" t="s">
        <v>181</v>
      </c>
    </row>
    <row r="8" customFormat="false" ht="15" hidden="false" customHeight="false" outlineLevel="0" collapsed="false">
      <c r="A8" s="8" t="s">
        <v>182</v>
      </c>
    </row>
    <row r="9" customFormat="false" ht="15" hidden="false" customHeight="false" outlineLevel="0" collapsed="false">
      <c r="A9" s="2" t="s">
        <v>183</v>
      </c>
      <c r="B9" s="18" t="n">
        <v>1</v>
      </c>
      <c r="C9" s="16" t="n">
        <f aca="false">Notes!C19</f>
        <v>500</v>
      </c>
      <c r="D9" s="16" t="n">
        <f aca="false">Notes!D19</f>
        <v>500</v>
      </c>
    </row>
    <row r="10" customFormat="false" ht="15" hidden="false" customHeight="false" outlineLevel="0" collapsed="false">
      <c r="A10" s="2" t="s">
        <v>184</v>
      </c>
      <c r="B10" s="18" t="n">
        <v>2</v>
      </c>
      <c r="C10" s="16" t="n">
        <f aca="false">Notes!C32</f>
        <v>2618</v>
      </c>
      <c r="D10" s="16" t="n">
        <f aca="false">Notes!D32</f>
        <v>2140</v>
      </c>
    </row>
    <row r="11" customFormat="false" ht="15" hidden="false" customHeight="false" outlineLevel="0" collapsed="false">
      <c r="A11" s="8" t="s">
        <v>185</v>
      </c>
      <c r="C11" s="15" t="n">
        <f aca="false">C9+C10</f>
        <v>3118</v>
      </c>
      <c r="D11" s="15" t="n">
        <f aca="false">D9+D10</f>
        <v>2640</v>
      </c>
    </row>
    <row r="12" customFormat="false" ht="15" hidden="false" customHeight="false" outlineLevel="0" collapsed="false">
      <c r="A12" s="8" t="s">
        <v>186</v>
      </c>
    </row>
    <row r="13" customFormat="false" ht="15" hidden="false" customHeight="false" outlineLevel="0" collapsed="false">
      <c r="A13" s="2" t="s">
        <v>187</v>
      </c>
      <c r="B13" s="18" t="n">
        <v>3</v>
      </c>
      <c r="C13" s="16" t="n">
        <f aca="false">Notes!C39</f>
        <v>1020</v>
      </c>
      <c r="D13" s="16" t="n">
        <f aca="false">Notes!D39</f>
        <v>1150</v>
      </c>
    </row>
    <row r="14" customFormat="false" ht="15" hidden="false" customHeight="false" outlineLevel="0" collapsed="false">
      <c r="A14" s="2" t="s">
        <v>188</v>
      </c>
      <c r="B14" s="18" t="n">
        <v>4</v>
      </c>
      <c r="C14" s="16" t="n">
        <f aca="false">Notes!C43</f>
        <v>110</v>
      </c>
      <c r="D14" s="16" t="n">
        <f aca="false">Notes!D43</f>
        <v>95</v>
      </c>
    </row>
    <row r="15" customFormat="false" ht="15" hidden="false" customHeight="false" outlineLevel="0" collapsed="false">
      <c r="A15" s="2" t="s">
        <v>189</v>
      </c>
      <c r="B15" s="18" t="n">
        <v>5</v>
      </c>
      <c r="C15" s="16" t="n">
        <f aca="false">Notes!C48</f>
        <v>70</v>
      </c>
      <c r="D15" s="16" t="n">
        <f aca="false">Notes!D48</f>
        <v>60</v>
      </c>
    </row>
    <row r="16" customFormat="false" ht="15" hidden="false" customHeight="false" outlineLevel="0" collapsed="false">
      <c r="A16" s="8" t="s">
        <v>190</v>
      </c>
      <c r="C16" s="15" t="n">
        <f aca="false">SUM(C13:C15)</f>
        <v>1200</v>
      </c>
      <c r="D16" s="15" t="n">
        <f aca="false">SUM(D13:D15)</f>
        <v>1305</v>
      </c>
    </row>
    <row r="17" customFormat="false" ht="15" hidden="false" customHeight="false" outlineLevel="0" collapsed="false">
      <c r="A17" s="8" t="s">
        <v>191</v>
      </c>
    </row>
    <row r="18" customFormat="false" ht="15" hidden="false" customHeight="false" outlineLevel="0" collapsed="false">
      <c r="A18" s="2" t="s">
        <v>192</v>
      </c>
      <c r="B18" s="18" t="n">
        <v>6</v>
      </c>
      <c r="C18" s="16" t="n">
        <f aca="false">Notes!C53</f>
        <v>860</v>
      </c>
      <c r="D18" s="16" t="n">
        <f aca="false">Notes!D53</f>
        <v>780</v>
      </c>
    </row>
    <row r="19" customFormat="false" ht="15" hidden="false" customHeight="false" outlineLevel="0" collapsed="false">
      <c r="A19" s="2" t="s">
        <v>193</v>
      </c>
      <c r="B19" s="18" t="n">
        <v>7</v>
      </c>
      <c r="C19" s="16" t="n">
        <f aca="false">Notes!C59</f>
        <v>1080</v>
      </c>
      <c r="D19" s="16" t="n">
        <f aca="false">Notes!D59</f>
        <v>940</v>
      </c>
    </row>
    <row r="20" customFormat="false" ht="15" hidden="false" customHeight="false" outlineLevel="0" collapsed="false">
      <c r="A20" s="2" t="s">
        <v>194</v>
      </c>
      <c r="B20" s="18" t="n">
        <v>8</v>
      </c>
      <c r="C20" s="16" t="n">
        <f aca="false">Notes!C68</f>
        <v>350</v>
      </c>
      <c r="D20" s="16" t="n">
        <f aca="false">Notes!D68</f>
        <v>310</v>
      </c>
    </row>
    <row r="21" customFormat="false" ht="15" hidden="false" customHeight="false" outlineLevel="0" collapsed="false">
      <c r="A21" s="2" t="s">
        <v>195</v>
      </c>
      <c r="B21" s="18" t="n">
        <v>9</v>
      </c>
      <c r="C21" s="16" t="n">
        <f aca="false">Notes!C74</f>
        <v>95</v>
      </c>
      <c r="D21" s="16" t="n">
        <f aca="false">Notes!D74</f>
        <v>85</v>
      </c>
    </row>
    <row r="22" customFormat="false" ht="15" hidden="false" customHeight="false" outlineLevel="0" collapsed="false">
      <c r="A22" s="8" t="s">
        <v>196</v>
      </c>
      <c r="C22" s="15" t="n">
        <f aca="false">SUM(C18:C21)</f>
        <v>2385</v>
      </c>
      <c r="D22" s="15" t="n">
        <f aca="false">SUM(D18:D21)</f>
        <v>2115</v>
      </c>
    </row>
    <row r="23" customFormat="false" ht="15" hidden="false" customHeight="false" outlineLevel="0" collapsed="false">
      <c r="A23" s="8" t="s">
        <v>197</v>
      </c>
      <c r="C23" s="12" t="n">
        <f aca="false">C11+C16+C22</f>
        <v>6703</v>
      </c>
      <c r="D23" s="12" t="n">
        <f aca="false">D11+D16+D22</f>
        <v>6060</v>
      </c>
    </row>
    <row r="25" customFormat="false" ht="15" hidden="false" customHeight="false" outlineLevel="0" collapsed="false">
      <c r="A25" s="8" t="s">
        <v>198</v>
      </c>
    </row>
    <row r="26" customFormat="false" ht="15" hidden="false" customHeight="false" outlineLevel="0" collapsed="false">
      <c r="A26" s="8" t="s">
        <v>199</v>
      </c>
    </row>
    <row r="27" customFormat="false" ht="15" hidden="false" customHeight="false" outlineLevel="0" collapsed="false">
      <c r="A27" s="2" t="s">
        <v>200</v>
      </c>
      <c r="B27" s="18" t="n">
        <v>10</v>
      </c>
      <c r="C27" s="16" t="n">
        <f aca="false">Notes!K85</f>
        <v>2620</v>
      </c>
      <c r="D27" s="16" t="n">
        <f aca="false">Notes!L85</f>
        <v>2450</v>
      </c>
    </row>
    <row r="28" customFormat="false" ht="15" hidden="false" customHeight="false" outlineLevel="0" collapsed="false">
      <c r="A28" s="2" t="s">
        <v>201</v>
      </c>
      <c r="B28" s="18" t="n">
        <v>11</v>
      </c>
      <c r="C28" s="16" t="n">
        <f aca="false">Notes!C89</f>
        <v>180</v>
      </c>
      <c r="D28" s="16" t="n">
        <f aca="false">Notes!D89</f>
        <v>120</v>
      </c>
    </row>
    <row r="29" customFormat="false" ht="15" hidden="false" customHeight="false" outlineLevel="0" collapsed="false">
      <c r="A29" s="2" t="s">
        <v>202</v>
      </c>
      <c r="B29" s="18" t="n">
        <v>12</v>
      </c>
      <c r="C29" s="16" t="n">
        <f aca="false">Notes!C95</f>
        <v>30</v>
      </c>
      <c r="D29" s="16" t="n">
        <f aca="false">Notes!D95</f>
        <v>35</v>
      </c>
    </row>
    <row r="30" customFormat="false" ht="15" hidden="false" customHeight="false" outlineLevel="0" collapsed="false">
      <c r="A30" s="2" t="s">
        <v>203</v>
      </c>
      <c r="B30" s="18" t="n">
        <v>13</v>
      </c>
      <c r="C30" s="16" t="n">
        <f aca="false">Notes!C101</f>
        <v>150</v>
      </c>
      <c r="D30" s="16" t="n">
        <f aca="false">Notes!D101</f>
        <v>140</v>
      </c>
    </row>
    <row r="31" customFormat="false" ht="15" hidden="false" customHeight="false" outlineLevel="0" collapsed="false">
      <c r="A31" s="2" t="s">
        <v>204</v>
      </c>
      <c r="B31" s="18" t="n">
        <v>14</v>
      </c>
      <c r="C31" s="16" t="n">
        <f aca="false">Notes!C105</f>
        <v>45</v>
      </c>
      <c r="D31" s="16" t="n">
        <f aca="false">Notes!D105</f>
        <v>40</v>
      </c>
    </row>
    <row r="32" customFormat="false" ht="15" hidden="false" customHeight="false" outlineLevel="0" collapsed="false">
      <c r="A32" s="8" t="s">
        <v>205</v>
      </c>
      <c r="C32" s="15" t="n">
        <f aca="false">SUM(C27:C31)</f>
        <v>3025</v>
      </c>
      <c r="D32" s="15" t="n">
        <f aca="false">SUM(D27:D31)</f>
        <v>2785</v>
      </c>
    </row>
    <row r="33" customFormat="false" ht="15" hidden="false" customHeight="false" outlineLevel="0" collapsed="false">
      <c r="A33" s="8" t="s">
        <v>206</v>
      </c>
    </row>
    <row r="34" customFormat="false" ht="15" hidden="false" customHeight="false" outlineLevel="0" collapsed="false">
      <c r="A34" s="2" t="s">
        <v>207</v>
      </c>
      <c r="B34" s="18" t="n">
        <v>15</v>
      </c>
      <c r="C34" s="16" t="n">
        <f aca="false">Notes!C112</f>
        <v>1560</v>
      </c>
      <c r="D34" s="16" t="n">
        <f aca="false">Notes!D112</f>
        <v>1380</v>
      </c>
    </row>
    <row r="35" customFormat="false" ht="15" hidden="false" customHeight="false" outlineLevel="0" collapsed="false">
      <c r="A35" s="2" t="s">
        <v>208</v>
      </c>
      <c r="B35" s="18" t="n">
        <v>16</v>
      </c>
      <c r="C35" s="16" t="n">
        <f aca="false">Notes!C117</f>
        <v>1410</v>
      </c>
      <c r="D35" s="16" t="n">
        <f aca="false">Notes!D117</f>
        <v>1210</v>
      </c>
    </row>
    <row r="36" customFormat="false" ht="15" hidden="false" customHeight="false" outlineLevel="0" collapsed="false">
      <c r="A36" s="2" t="s">
        <v>209</v>
      </c>
      <c r="B36" s="18" t="n">
        <v>17</v>
      </c>
      <c r="C36" s="16" t="n">
        <f aca="false">Notes!C123</f>
        <v>388</v>
      </c>
      <c r="D36" s="16" t="n">
        <f aca="false">Notes!D123</f>
        <v>400</v>
      </c>
    </row>
    <row r="37" customFormat="false" ht="15" hidden="false" customHeight="false" outlineLevel="0" collapsed="false">
      <c r="A37" s="2" t="s">
        <v>210</v>
      </c>
      <c r="B37" s="18" t="n">
        <v>18</v>
      </c>
      <c r="C37" s="16" t="n">
        <f aca="false">Notes!C130</f>
        <v>210</v>
      </c>
      <c r="D37" s="16" t="n">
        <f aca="false">Notes!D130</f>
        <v>190</v>
      </c>
    </row>
    <row r="38" customFormat="false" ht="15" hidden="false" customHeight="false" outlineLevel="0" collapsed="false">
      <c r="A38" s="2" t="s">
        <v>211</v>
      </c>
      <c r="B38" s="18" t="n">
        <v>19</v>
      </c>
      <c r="C38" s="16" t="n">
        <f aca="false">Notes!C135</f>
        <v>110</v>
      </c>
      <c r="D38" s="16" t="n">
        <f aca="false">Notes!D135</f>
        <v>95</v>
      </c>
    </row>
    <row r="39" customFormat="false" ht="15" hidden="false" customHeight="false" outlineLevel="0" collapsed="false">
      <c r="A39" s="8" t="s">
        <v>212</v>
      </c>
      <c r="C39" s="15" t="n">
        <f aca="false">SUM(C34:C38)</f>
        <v>3678</v>
      </c>
      <c r="D39" s="15" t="n">
        <f aca="false">SUM(D34:D38)</f>
        <v>3275</v>
      </c>
    </row>
    <row r="40" customFormat="false" ht="15" hidden="false" customHeight="false" outlineLevel="0" collapsed="false">
      <c r="A40" s="8" t="s">
        <v>213</v>
      </c>
      <c r="C40" s="12" t="n">
        <f aca="false">C32+C39</f>
        <v>6703</v>
      </c>
      <c r="D40" s="12" t="n">
        <f aca="false">D32+D39</f>
        <v>6060</v>
      </c>
    </row>
    <row r="42" customFormat="false" ht="15" hidden="false" customHeight="false" outlineLevel="0" collapsed="false">
      <c r="A42" s="2" t="s">
        <v>214</v>
      </c>
      <c r="C42" s="11" t="n">
        <f aca="false">ROUND(C40-C23,2)</f>
        <v>0</v>
      </c>
      <c r="D42" s="11" t="n">
        <f aca="false">ROUND(D40-D23,2)</f>
        <v>0</v>
      </c>
    </row>
    <row r="44" customFormat="false" ht="15" hidden="false" customHeight="false" outlineLevel="0" collapsed="false">
      <c r="A44" s="14" t="s">
        <v>175</v>
      </c>
    </row>
    <row r="45" customFormat="false" ht="15" hidden="false" customHeight="false" outlineLevel="0" collapsed="false">
      <c r="A45" s="14" t="s">
        <v>176</v>
      </c>
    </row>
    <row r="46" customFormat="false" ht="15" hidden="false" customHeight="false" outlineLevel="0" collapsed="false">
      <c r="A46" s="14" t="s">
        <v>215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8"/>
    <col collapsed="false" customWidth="true" hidden="false" outlineLevel="0" max="4" min="3" style="0" width="22"/>
  </cols>
  <sheetData>
    <row r="1" customFormat="false" ht="15" hidden="false" customHeight="false" outlineLevel="0" collapsed="false">
      <c r="A1" s="3" t="s">
        <v>0</v>
      </c>
    </row>
    <row r="2" customFormat="false" ht="15" hidden="false" customHeight="false" outlineLevel="0" collapsed="false">
      <c r="A2" s="2" t="s">
        <v>12</v>
      </c>
    </row>
    <row r="3" customFormat="false" ht="15" hidden="false" customHeight="false" outlineLevel="0" collapsed="false">
      <c r="A3" s="4" t="s">
        <v>216</v>
      </c>
    </row>
    <row r="4" customFormat="false" ht="15" hidden="false" customHeight="false" outlineLevel="0" collapsed="false">
      <c r="A4" s="2" t="s">
        <v>4</v>
      </c>
    </row>
    <row r="6" customFormat="false" ht="30" hidden="false" customHeight="true" outlineLevel="0" collapsed="false">
      <c r="A6" s="6" t="s">
        <v>14</v>
      </c>
      <c r="B6" s="7" t="s">
        <v>178</v>
      </c>
      <c r="C6" s="7" t="s">
        <v>217</v>
      </c>
      <c r="D6" s="7" t="s">
        <v>218</v>
      </c>
    </row>
    <row r="7" customFormat="false" ht="15" hidden="false" customHeight="false" outlineLevel="0" collapsed="false">
      <c r="A7" s="8" t="s">
        <v>219</v>
      </c>
    </row>
    <row r="8" customFormat="false" ht="15" hidden="false" customHeight="false" outlineLevel="0" collapsed="false">
      <c r="A8" s="2" t="s">
        <v>220</v>
      </c>
      <c r="B8" s="18" t="n">
        <v>20</v>
      </c>
      <c r="C8" s="16" t="n">
        <f aca="false">Notes!C143</f>
        <v>9650</v>
      </c>
      <c r="D8" s="16" t="n">
        <f aca="false">Notes!D143</f>
        <v>8200</v>
      </c>
    </row>
    <row r="9" customFormat="false" ht="15" hidden="false" customHeight="false" outlineLevel="0" collapsed="false">
      <c r="A9" s="2" t="s">
        <v>221</v>
      </c>
      <c r="B9" s="18" t="n">
        <v>21</v>
      </c>
      <c r="C9" s="16" t="n">
        <f aca="false">Notes!C150</f>
        <v>48</v>
      </c>
      <c r="D9" s="16" t="n">
        <f aca="false">Notes!D150</f>
        <v>42</v>
      </c>
    </row>
    <row r="10" customFormat="false" ht="15" hidden="false" customHeight="false" outlineLevel="0" collapsed="false">
      <c r="A10" s="8" t="s">
        <v>222</v>
      </c>
      <c r="C10" s="15" t="n">
        <f aca="false">C8+C9</f>
        <v>9698</v>
      </c>
      <c r="D10" s="15" t="n">
        <f aca="false">D8+D9</f>
        <v>8242</v>
      </c>
    </row>
    <row r="11" customFormat="false" ht="15" hidden="false" customHeight="false" outlineLevel="0" collapsed="false">
      <c r="A11" s="8" t="s">
        <v>223</v>
      </c>
    </row>
    <row r="12" customFormat="false" ht="15" hidden="false" customHeight="false" outlineLevel="0" collapsed="false">
      <c r="A12" s="2" t="s">
        <v>224</v>
      </c>
      <c r="B12" s="18" t="n">
        <v>22</v>
      </c>
      <c r="C12" s="16" t="n">
        <f aca="false">Notes!C156</f>
        <v>5260</v>
      </c>
      <c r="D12" s="16" t="n">
        <f aca="false">Notes!D156</f>
        <v>4520</v>
      </c>
    </row>
    <row r="13" customFormat="false" ht="15" hidden="false" customHeight="false" outlineLevel="0" collapsed="false">
      <c r="A13" s="2" t="s">
        <v>225</v>
      </c>
      <c r="B13" s="18" t="n">
        <v>23</v>
      </c>
      <c r="C13" s="16" t="n">
        <f aca="false">Notes!C163</f>
        <v>-95</v>
      </c>
      <c r="D13" s="16" t="n">
        <f aca="false">Notes!D163</f>
        <v>-60</v>
      </c>
    </row>
    <row r="14" customFormat="false" ht="15" hidden="false" customHeight="false" outlineLevel="0" collapsed="false">
      <c r="A14" s="2" t="s">
        <v>226</v>
      </c>
      <c r="B14" s="18" t="n">
        <v>24</v>
      </c>
      <c r="C14" s="16" t="n">
        <f aca="false">Notes!C170</f>
        <v>1210</v>
      </c>
      <c r="D14" s="16" t="n">
        <f aca="false">Notes!D170</f>
        <v>1040</v>
      </c>
    </row>
    <row r="15" customFormat="false" ht="15" hidden="false" customHeight="false" outlineLevel="0" collapsed="false">
      <c r="A15" s="2" t="s">
        <v>227</v>
      </c>
      <c r="B15" s="18" t="n">
        <v>25</v>
      </c>
      <c r="C15" s="16" t="n">
        <f aca="false">Notes!C178</f>
        <v>260</v>
      </c>
      <c r="D15" s="16" t="n">
        <f aca="false">Notes!D178</f>
        <v>245</v>
      </c>
    </row>
    <row r="16" customFormat="false" ht="15" hidden="false" customHeight="false" outlineLevel="0" collapsed="false">
      <c r="A16" s="2" t="s">
        <v>228</v>
      </c>
      <c r="B16" s="18" t="n">
        <v>26</v>
      </c>
      <c r="C16" s="16" t="n">
        <f aca="false">Notes!C183</f>
        <v>310</v>
      </c>
      <c r="D16" s="16" t="n">
        <f aca="false">Notes!D183</f>
        <v>285</v>
      </c>
    </row>
    <row r="17" customFormat="false" ht="15" hidden="false" customHeight="false" outlineLevel="0" collapsed="false">
      <c r="A17" s="2" t="s">
        <v>229</v>
      </c>
      <c r="B17" s="18" t="n">
        <v>27</v>
      </c>
      <c r="C17" s="16" t="n">
        <f aca="false">Notes!C199</f>
        <v>2050</v>
      </c>
      <c r="D17" s="16" t="n">
        <f aca="false">Notes!D199</f>
        <v>1480</v>
      </c>
    </row>
    <row r="18" customFormat="false" ht="15" hidden="false" customHeight="false" outlineLevel="0" collapsed="false">
      <c r="A18" s="8" t="s">
        <v>230</v>
      </c>
      <c r="C18" s="15" t="n">
        <f aca="false">SUM(C12:C17)</f>
        <v>8995</v>
      </c>
      <c r="D18" s="15" t="n">
        <f aca="false">SUM(D12:D17)</f>
        <v>7510</v>
      </c>
    </row>
    <row r="20" customFormat="false" ht="15" hidden="false" customHeight="false" outlineLevel="0" collapsed="false">
      <c r="A20" s="8" t="s">
        <v>231</v>
      </c>
      <c r="C20" s="15" t="n">
        <f aca="false">C10-C18</f>
        <v>703</v>
      </c>
      <c r="D20" s="15" t="n">
        <f aca="false">D10-D18</f>
        <v>732</v>
      </c>
    </row>
    <row r="21" customFormat="false" ht="15" hidden="false" customHeight="false" outlineLevel="0" collapsed="false">
      <c r="A21" s="8" t="s">
        <v>232</v>
      </c>
    </row>
    <row r="22" customFormat="false" ht="15" hidden="false" customHeight="false" outlineLevel="0" collapsed="false">
      <c r="A22" s="2" t="s">
        <v>171</v>
      </c>
      <c r="B22" s="18" t="n">
        <v>28</v>
      </c>
      <c r="C22" s="16" t="n">
        <f aca="false">Notes!C202</f>
        <v>210</v>
      </c>
      <c r="D22" s="16" t="n">
        <f aca="false">Notes!D202</f>
        <v>190</v>
      </c>
    </row>
    <row r="23" customFormat="false" ht="15" hidden="false" customHeight="false" outlineLevel="0" collapsed="false">
      <c r="A23" s="2" t="s">
        <v>233</v>
      </c>
      <c r="B23" s="18" t="n">
        <v>28</v>
      </c>
      <c r="C23" s="16" t="n">
        <f aca="false">Notes!C203</f>
        <v>15</v>
      </c>
      <c r="D23" s="16" t="n">
        <f aca="false">Notes!D203</f>
        <v>20</v>
      </c>
    </row>
    <row r="24" customFormat="false" ht="15" hidden="false" customHeight="false" outlineLevel="0" collapsed="false">
      <c r="A24" s="8" t="s">
        <v>234</v>
      </c>
      <c r="C24" s="12" t="n">
        <f aca="false">C20-C22-C23</f>
        <v>478</v>
      </c>
      <c r="D24" s="12" t="n">
        <f aca="false">D20-D22-D23</f>
        <v>522</v>
      </c>
    </row>
    <row r="26" customFormat="false" ht="15" hidden="false" customHeight="false" outlineLevel="0" collapsed="false">
      <c r="A26" s="8" t="s">
        <v>235</v>
      </c>
    </row>
    <row r="27" customFormat="false" ht="15" hidden="false" customHeight="false" outlineLevel="0" collapsed="false">
      <c r="A27" s="2" t="s">
        <v>236</v>
      </c>
      <c r="C27" s="11" t="n">
        <f aca="false">C20+C15+C16-C9</f>
        <v>1225</v>
      </c>
      <c r="D27" s="11" t="n">
        <f aca="false">D20+D15+D16-D9</f>
        <v>1220</v>
      </c>
    </row>
    <row r="28" customFormat="false" ht="15" hidden="false" customHeight="false" outlineLevel="0" collapsed="false">
      <c r="A28" s="2" t="s">
        <v>237</v>
      </c>
      <c r="C28" s="19" t="n">
        <f aca="false">IF(C8=0,0,C27/C8)</f>
        <v>0.126943005181347</v>
      </c>
      <c r="D28" s="19" t="n">
        <f aca="false">IF(D8=0,0,D27/D8)</f>
        <v>0.148780487804878</v>
      </c>
    </row>
    <row r="29" customFormat="false" ht="15" hidden="false" customHeight="false" outlineLevel="0" collapsed="false">
      <c r="A29" s="2" t="s">
        <v>238</v>
      </c>
      <c r="C29" s="19" t="n">
        <f aca="false">IF(C8=0,0,C24/C8)</f>
        <v>0.0495336787564767</v>
      </c>
      <c r="D29" s="19" t="n">
        <f aca="false">IF(D8=0,0,D24/D8)</f>
        <v>0.0636585365853659</v>
      </c>
    </row>
    <row r="30" customFormat="false" ht="15" hidden="false" customHeight="false" outlineLevel="0" collapsed="false">
      <c r="A30" s="2" t="s">
        <v>239</v>
      </c>
      <c r="C30" s="20" t="n">
        <f aca="false">C24*100000/Notes!C13</f>
        <v>9.56</v>
      </c>
      <c r="D30" s="20" t="n">
        <f aca="false">D24*100000/Notes!D13</f>
        <v>10.44</v>
      </c>
    </row>
    <row r="32" customFormat="false" ht="15" hidden="false" customHeight="false" outlineLevel="0" collapsed="false">
      <c r="A32" s="14" t="s">
        <v>175</v>
      </c>
    </row>
    <row r="33" customFormat="false" ht="15" hidden="false" customHeight="false" outlineLevel="0" collapsed="false">
      <c r="A33" s="14" t="s">
        <v>176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8"/>
    <col collapsed="false" customWidth="true" hidden="false" outlineLevel="0" max="4" min="3" style="0" width="22"/>
  </cols>
  <sheetData>
    <row r="1" customFormat="false" ht="15" hidden="false" customHeight="false" outlineLevel="0" collapsed="false">
      <c r="A1" s="3" t="s">
        <v>0</v>
      </c>
    </row>
    <row r="2" customFormat="false" ht="15" hidden="false" customHeight="false" outlineLevel="0" collapsed="false">
      <c r="A2" s="2" t="s">
        <v>12</v>
      </c>
    </row>
    <row r="3" customFormat="false" ht="15" hidden="false" customHeight="false" outlineLevel="0" collapsed="false">
      <c r="A3" s="4" t="s">
        <v>240</v>
      </c>
    </row>
    <row r="4" customFormat="false" ht="15" hidden="false" customHeight="false" outlineLevel="0" collapsed="false">
      <c r="A4" s="2" t="s">
        <v>4</v>
      </c>
    </row>
    <row r="6" customFormat="false" ht="30" hidden="false" customHeight="true" outlineLevel="0" collapsed="false">
      <c r="A6" s="6" t="s">
        <v>14</v>
      </c>
      <c r="B6" s="7"/>
      <c r="C6" s="7" t="s">
        <v>217</v>
      </c>
      <c r="D6" s="7" t="s">
        <v>218</v>
      </c>
    </row>
    <row r="7" customFormat="false" ht="15" hidden="false" customHeight="false" outlineLevel="0" collapsed="false">
      <c r="A7" s="8" t="s">
        <v>241</v>
      </c>
    </row>
    <row r="8" customFormat="false" ht="15" hidden="false" customHeight="false" outlineLevel="0" collapsed="false">
      <c r="A8" s="2" t="s">
        <v>242</v>
      </c>
      <c r="C8" s="16" t="n">
        <f aca="false">'Profit and Loss'!C20</f>
        <v>703</v>
      </c>
      <c r="D8" s="9" t="n">
        <v>732</v>
      </c>
    </row>
    <row r="9" customFormat="false" ht="15" hidden="false" customHeight="false" outlineLevel="0" collapsed="false">
      <c r="A9" s="8" t="s">
        <v>243</v>
      </c>
    </row>
    <row r="10" customFormat="false" ht="15" hidden="false" customHeight="false" outlineLevel="0" collapsed="false">
      <c r="A10" s="2" t="s">
        <v>244</v>
      </c>
      <c r="C10" s="16" t="n">
        <f aca="false">'Profit and Loss'!C16</f>
        <v>310</v>
      </c>
      <c r="D10" s="9" t="n">
        <v>285</v>
      </c>
    </row>
    <row r="11" customFormat="false" ht="15" hidden="false" customHeight="false" outlineLevel="0" collapsed="false">
      <c r="A11" s="2" t="s">
        <v>245</v>
      </c>
      <c r="C11" s="16" t="n">
        <f aca="false">'Profit and Loss'!C15</f>
        <v>260</v>
      </c>
      <c r="D11" s="9" t="n">
        <v>245</v>
      </c>
    </row>
    <row r="12" customFormat="false" ht="15" hidden="false" customHeight="false" outlineLevel="0" collapsed="false">
      <c r="A12" s="2" t="s">
        <v>246</v>
      </c>
      <c r="C12" s="16" t="n">
        <f aca="false">-'Profit and Loss'!C9</f>
        <v>-48</v>
      </c>
      <c r="D12" s="9" t="n">
        <v>-42</v>
      </c>
    </row>
    <row r="13" customFormat="false" ht="15" hidden="false" customHeight="false" outlineLevel="0" collapsed="false">
      <c r="A13" s="8" t="s">
        <v>247</v>
      </c>
      <c r="C13" s="15" t="n">
        <f aca="false">SUM(C8:C12)</f>
        <v>1225</v>
      </c>
      <c r="D13" s="15" t="n">
        <f aca="false">SUM(D8:D12)</f>
        <v>1220</v>
      </c>
    </row>
    <row r="14" customFormat="false" ht="15" hidden="false" customHeight="false" outlineLevel="0" collapsed="false">
      <c r="A14" s="8" t="s">
        <v>248</v>
      </c>
    </row>
    <row r="15" customFormat="false" ht="15" hidden="false" customHeight="false" outlineLevel="0" collapsed="false">
      <c r="A15" s="2" t="s">
        <v>249</v>
      </c>
      <c r="C15" s="16" t="n">
        <f aca="false">'Balance Sheet'!D34-'Balance Sheet'!C34</f>
        <v>-180</v>
      </c>
      <c r="D15" s="9" t="n">
        <v>-130</v>
      </c>
    </row>
    <row r="16" customFormat="false" ht="15" hidden="false" customHeight="false" outlineLevel="0" collapsed="false">
      <c r="A16" s="2" t="s">
        <v>250</v>
      </c>
      <c r="C16" s="16" t="n">
        <f aca="false">'Balance Sheet'!D35-'Balance Sheet'!C35</f>
        <v>-200</v>
      </c>
      <c r="D16" s="9" t="n">
        <v>-130</v>
      </c>
    </row>
    <row r="17" customFormat="false" ht="15" hidden="false" customHeight="false" outlineLevel="0" collapsed="false">
      <c r="A17" s="2" t="s">
        <v>251</v>
      </c>
      <c r="C17" s="16" t="n">
        <f aca="false">'Balance Sheet'!D37-'Balance Sheet'!C37</f>
        <v>-20</v>
      </c>
      <c r="D17" s="9" t="n">
        <v>-20</v>
      </c>
    </row>
    <row r="18" customFormat="false" ht="15" hidden="false" customHeight="false" outlineLevel="0" collapsed="false">
      <c r="A18" s="2" t="s">
        <v>252</v>
      </c>
      <c r="C18" s="16" t="n">
        <f aca="false">'Balance Sheet'!D38-'Balance Sheet'!C38</f>
        <v>-15</v>
      </c>
      <c r="D18" s="9" t="n">
        <v>-10</v>
      </c>
    </row>
    <row r="19" customFormat="false" ht="15" hidden="false" customHeight="false" outlineLevel="0" collapsed="false">
      <c r="A19" s="2" t="s">
        <v>253</v>
      </c>
      <c r="C19" s="16" t="n">
        <f aca="false">'Balance Sheet'!D30-'Balance Sheet'!C30</f>
        <v>-10</v>
      </c>
      <c r="D19" s="9" t="n">
        <v>-10</v>
      </c>
    </row>
    <row r="20" customFormat="false" ht="15" hidden="false" customHeight="false" outlineLevel="0" collapsed="false">
      <c r="A20" s="2" t="s">
        <v>254</v>
      </c>
      <c r="C20" s="16" t="n">
        <f aca="false">'Balance Sheet'!D31-'Balance Sheet'!C31</f>
        <v>-5</v>
      </c>
      <c r="D20" s="9" t="n">
        <v>-5</v>
      </c>
    </row>
    <row r="21" customFormat="false" ht="15" hidden="false" customHeight="false" outlineLevel="0" collapsed="false">
      <c r="A21" s="2" t="s">
        <v>255</v>
      </c>
      <c r="C21" s="16" t="n">
        <f aca="false">'Balance Sheet'!C19-'Balance Sheet'!D19</f>
        <v>140</v>
      </c>
      <c r="D21" s="9" t="n">
        <v>120</v>
      </c>
    </row>
    <row r="22" customFormat="false" ht="15" hidden="false" customHeight="false" outlineLevel="0" collapsed="false">
      <c r="A22" s="2" t="s">
        <v>256</v>
      </c>
      <c r="C22" s="16" t="n">
        <f aca="false">'Balance Sheet'!C20-'Balance Sheet'!D20</f>
        <v>40</v>
      </c>
      <c r="D22" s="9" t="n">
        <v>30</v>
      </c>
    </row>
    <row r="23" customFormat="false" ht="15" hidden="false" customHeight="false" outlineLevel="0" collapsed="false">
      <c r="A23" s="2" t="s">
        <v>257</v>
      </c>
      <c r="C23" s="16" t="n">
        <f aca="false">'Balance Sheet'!C15-'Balance Sheet'!D15</f>
        <v>10</v>
      </c>
      <c r="D23" s="9" t="n">
        <v>10</v>
      </c>
    </row>
    <row r="24" customFormat="false" ht="15" hidden="false" customHeight="false" outlineLevel="0" collapsed="false">
      <c r="A24" s="2" t="s">
        <v>258</v>
      </c>
      <c r="C24" s="16" t="n">
        <f aca="false">'Balance Sheet'!C21-'Balance Sheet'!D21</f>
        <v>10</v>
      </c>
      <c r="D24" s="9" t="n">
        <v>10</v>
      </c>
    </row>
    <row r="25" customFormat="false" ht="15" hidden="false" customHeight="false" outlineLevel="0" collapsed="false">
      <c r="A25" s="8" t="s">
        <v>259</v>
      </c>
      <c r="C25" s="15" t="n">
        <f aca="false">C13+SUM(C15:C24)</f>
        <v>995</v>
      </c>
      <c r="D25" s="15" t="n">
        <f aca="false">D13+SUM(D15:D24)</f>
        <v>1085</v>
      </c>
    </row>
    <row r="26" customFormat="false" ht="15" hidden="false" customHeight="false" outlineLevel="0" collapsed="false">
      <c r="A26" s="2" t="s">
        <v>260</v>
      </c>
      <c r="C26" s="16" t="n">
        <f aca="false">-'Profit and Loss'!C22</f>
        <v>-210</v>
      </c>
      <c r="D26" s="9" t="n">
        <v>-190</v>
      </c>
    </row>
    <row r="27" customFormat="false" ht="15" hidden="false" customHeight="false" outlineLevel="0" collapsed="false">
      <c r="A27" s="8" t="s">
        <v>261</v>
      </c>
      <c r="C27" s="12" t="n">
        <f aca="false">C25+C26</f>
        <v>785</v>
      </c>
      <c r="D27" s="12" t="n">
        <f aca="false">D25+D26</f>
        <v>895</v>
      </c>
    </row>
    <row r="29" customFormat="false" ht="15" hidden="false" customHeight="false" outlineLevel="0" collapsed="false">
      <c r="A29" s="8" t="s">
        <v>262</v>
      </c>
    </row>
    <row r="30" customFormat="false" ht="15" hidden="false" customHeight="false" outlineLevel="0" collapsed="false">
      <c r="A30" s="2" t="s">
        <v>263</v>
      </c>
      <c r="C30" s="16" t="n">
        <f aca="false">-(('Balance Sheet'!C27-'Balance Sheet'!D27)+('Balance Sheet'!C28-'Balance Sheet'!D28)+('Balance Sheet'!C29-'Balance Sheet'!D29)+'Profit and Loss'!C16)</f>
        <v>-535</v>
      </c>
      <c r="D30" s="9" t="n">
        <v>-370</v>
      </c>
    </row>
    <row r="31" customFormat="false" ht="15" hidden="false" customHeight="false" outlineLevel="0" collapsed="false">
      <c r="A31" s="2" t="s">
        <v>264</v>
      </c>
      <c r="C31" s="16" t="n">
        <f aca="false">'Profit and Loss'!C9</f>
        <v>48</v>
      </c>
      <c r="D31" s="9" t="n">
        <v>42</v>
      </c>
    </row>
    <row r="32" customFormat="false" ht="15" hidden="false" customHeight="false" outlineLevel="0" collapsed="false">
      <c r="A32" s="8" t="s">
        <v>265</v>
      </c>
      <c r="C32" s="12" t="n">
        <f aca="false">C30+C31</f>
        <v>-487</v>
      </c>
      <c r="D32" s="12" t="n">
        <f aca="false">D30+D31</f>
        <v>-328</v>
      </c>
    </row>
    <row r="34" customFormat="false" ht="15" hidden="false" customHeight="false" outlineLevel="0" collapsed="false">
      <c r="A34" s="8" t="s">
        <v>266</v>
      </c>
    </row>
    <row r="35" customFormat="false" ht="15" hidden="false" customHeight="false" outlineLevel="0" collapsed="false">
      <c r="A35" s="2" t="s">
        <v>267</v>
      </c>
      <c r="C35" s="16" t="n">
        <f aca="false">('Balance Sheet'!C9-'Balance Sheet'!D9)+(Notes!C26)</f>
        <v>0</v>
      </c>
      <c r="D35" s="9" t="n">
        <v>0</v>
      </c>
    </row>
    <row r="36" customFormat="false" ht="15" hidden="false" customHeight="false" outlineLevel="0" collapsed="false">
      <c r="A36" s="2" t="s">
        <v>268</v>
      </c>
      <c r="C36" s="16" t="n">
        <f aca="false">'Balance Sheet'!C13-'Balance Sheet'!D13</f>
        <v>-130</v>
      </c>
      <c r="D36" s="9" t="n">
        <v>-250</v>
      </c>
    </row>
    <row r="37" customFormat="false" ht="15" hidden="false" customHeight="false" outlineLevel="0" collapsed="false">
      <c r="A37" s="2" t="s">
        <v>269</v>
      </c>
      <c r="C37" s="16" t="n">
        <f aca="false">'Balance Sheet'!C18-'Balance Sheet'!D18</f>
        <v>80</v>
      </c>
      <c r="D37" s="9" t="n">
        <v>80</v>
      </c>
    </row>
    <row r="38" customFormat="false" ht="15" hidden="false" customHeight="false" outlineLevel="0" collapsed="false">
      <c r="A38" s="2" t="s">
        <v>270</v>
      </c>
      <c r="C38" s="16" t="n">
        <f aca="false">-'Profit and Loss'!C15</f>
        <v>-260</v>
      </c>
      <c r="D38" s="9" t="n">
        <v>-245</v>
      </c>
    </row>
    <row r="39" customFormat="false" ht="15" hidden="false" customHeight="false" outlineLevel="0" collapsed="false">
      <c r="A39" s="8" t="s">
        <v>271</v>
      </c>
      <c r="C39" s="12" t="n">
        <f aca="false">SUM(C35:C38)</f>
        <v>-310</v>
      </c>
      <c r="D39" s="12" t="n">
        <f aca="false">SUM(D35:D38)</f>
        <v>-415</v>
      </c>
    </row>
    <row r="41" customFormat="false" ht="15" hidden="false" customHeight="false" outlineLevel="0" collapsed="false">
      <c r="A41" s="8" t="s">
        <v>272</v>
      </c>
      <c r="C41" s="15" t="n">
        <f aca="false">C27+C32+C39</f>
        <v>-12</v>
      </c>
      <c r="D41" s="15" t="n">
        <f aca="false">D27+D32+D39</f>
        <v>152</v>
      </c>
    </row>
    <row r="42" customFormat="false" ht="15" hidden="false" customHeight="false" outlineLevel="0" collapsed="false">
      <c r="A42" s="2" t="s">
        <v>273</v>
      </c>
      <c r="C42" s="16" t="n">
        <f aca="false">'Balance Sheet'!D36</f>
        <v>400</v>
      </c>
      <c r="D42" s="9" t="n">
        <v>248</v>
      </c>
    </row>
    <row r="43" customFormat="false" ht="15" hidden="false" customHeight="false" outlineLevel="0" collapsed="false">
      <c r="A43" s="8" t="s">
        <v>274</v>
      </c>
      <c r="C43" s="12" t="n">
        <f aca="false">C41+C42</f>
        <v>388</v>
      </c>
      <c r="D43" s="12" t="n">
        <f aca="false">D41+D42</f>
        <v>400</v>
      </c>
    </row>
    <row r="44" customFormat="false" ht="15" hidden="false" customHeight="false" outlineLevel="0" collapsed="false">
      <c r="A44" s="2" t="s">
        <v>275</v>
      </c>
      <c r="C44" s="16" t="n">
        <f aca="false">ROUND(C43-'Balance Sheet'!C36,2)</f>
        <v>0</v>
      </c>
      <c r="D44" s="16" t="n">
        <f aca="false">ROUND(D43-'Balance Sheet'!D36,2)</f>
        <v>0</v>
      </c>
    </row>
    <row r="46" customFormat="false" ht="15" hidden="false" customHeight="false" outlineLevel="0" collapsed="false">
      <c r="A46" s="14" t="s">
        <v>175</v>
      </c>
    </row>
    <row r="47" customFormat="false" ht="15" hidden="false" customHeight="false" outlineLevel="0" collapsed="false">
      <c r="A47" s="14" t="s">
        <v>176</v>
      </c>
    </row>
    <row r="48" customFormat="false" ht="15" hidden="false" customHeight="false" outlineLevel="0" collapsed="false">
      <c r="A48" s="14" t="s">
        <v>276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2026-09-04T14:34:20Z</dcterms:created>
  <dc:creator>openpyxl</dc:creator>
  <dc:description/>
  <dc:language>en-US</dc:language>
  <cp:lastModifiedBy/>
  <dcterms:modified xsi:type="dcterms:W3CDTF">2026-09-04T14:34:20Z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