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Projected P&amp;L" sheetId="3" state="visible" r:id="rId5"/>
    <sheet name="Projected Balance Sheet" sheetId="4" state="visible" r:id="rId6"/>
    <sheet name="Projected Cash Flow" sheetId="5" state="visible" r:id="rId7"/>
    <sheet name="Fixed Assets" sheetId="6" state="visible" r:id="rId8"/>
    <sheet name="Debt Schedule" sheetId="7" state="visible" r:id="rId9"/>
    <sheet name="Working Capital" sheetId="8" state="visible" r:id="rId10"/>
    <sheet name="Stub Period"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<sst xmlns="http://schemas.openxmlformats.org/spreadsheetml/2006/main" count="309" uniqueCount="206">
  <si>
    <t xml:space="preserve">Vanraj Furniture Industries Private Limited</t>
  </si>
  <si>
    <t xml:space="preserve">CIN: U36101MH2009PTC194327</t>
  </si>
  <si>
    <t xml:space="preserve">Projected financial statements for five years: FY 2026-27 to FY 2030-31</t>
  </si>
  <si>
    <t xml:space="preserve">Prepared by management for the purpose of valuation as at 1 June 2026</t>
  </si>
  <si>
    <t xml:space="preserve">Amounts in Rs. Lakhs</t>
  </si>
  <si>
    <t xml:space="preserve">Contents: Assumptions, Projected P&amp;L, Projected Balance Sheet, Projected Cash Flow, Fixed Assets, Debt Schedule, Working Capital, Stub Period.</t>
  </si>
  <si>
    <t xml:space="preserve">The model is fully formula-driven: changing any assumption on the Assumptions sheet flows through all statements. The balance sheet balances through the cash flow statement; a check row on the Projected Balance Sheet should read nil in every year.</t>
  </si>
  <si>
    <t xml:space="preserve">Projections are management's estimates and have not been examined by the statutory auditors. Actual results may differ materially.</t>
  </si>
  <si>
    <t xml:space="preserve">All data in this workbook is imaginary and has been prepared solely for testing a valuation model.</t>
  </si>
  <si>
    <t xml:space="preserve">Key assumptions for projected financial statements FY 2026-27 to FY 2030-31 (management projections)</t>
  </si>
  <si>
    <t xml:space="preserve">Amounts in Rs. Lakhs unless stated otherwise; percentages stored as fractions</t>
  </si>
  <si>
    <t xml:space="preserve">Assumption</t>
  </si>
  <si>
    <t xml:space="preserve">Basis / unit</t>
  </si>
  <si>
    <t xml:space="preserve">FY 2026-27</t>
  </si>
  <si>
    <t xml:space="preserve">FY 2027-28</t>
  </si>
  <si>
    <t xml:space="preserve">FY 2028-29</t>
  </si>
  <si>
    <t xml:space="preserve">FY 2029-30</t>
  </si>
  <si>
    <t xml:space="preserve">FY 2030-31</t>
  </si>
  <si>
    <t xml:space="preserve">Revenue and operating costs</t>
  </si>
  <si>
    <t xml:space="preserve">Revenue growth (year on year)</t>
  </si>
  <si>
    <t xml:space="preserve">% growth</t>
  </si>
  <si>
    <t xml:space="preserve">Material cost (cost of materials consumed net of inventory change)</t>
  </si>
  <si>
    <t xml:space="preserve">% of revenue</t>
  </si>
  <si>
    <t xml:space="preserve">Employee benefits expense</t>
  </si>
  <si>
    <t xml:space="preserve">Other expenses</t>
  </si>
  <si>
    <t xml:space="preserve">Other income (interest) on opening cash and bank balances</t>
  </si>
  <si>
    <t xml:space="preserve">% p.a.</t>
  </si>
  <si>
    <t xml:space="preserve">Capital expenditure and depreciation</t>
  </si>
  <si>
    <t xml:space="preserve">Capital expenditure on property, plant and equipment (cash)</t>
  </si>
  <si>
    <t xml:space="preserve">Rs. Lakhs</t>
  </si>
  <si>
    <t xml:space="preserve">Opening capital work-in-progress capitalised during the year</t>
  </si>
  <si>
    <t xml:space="preserve">Depreciation on opening net block of PPE</t>
  </si>
  <si>
    <t xml:space="preserve">% of opening net block</t>
  </si>
  <si>
    <t xml:space="preserve">Depreciation on additions (half-year convention)</t>
  </si>
  <si>
    <t xml:space="preserve">% of additions</t>
  </si>
  <si>
    <t xml:space="preserve">Additions to intangible assets (software)</t>
  </si>
  <si>
    <t xml:space="preserve">Amortisation of intangible assets</t>
  </si>
  <si>
    <t xml:space="preserve">Borrowings</t>
  </si>
  <si>
    <t xml:space="preserve">Fresh term loan drawdown (Bhiwandi capacity expansion)</t>
  </si>
  <si>
    <t xml:space="preserve">Scheduled repayment of term borrowings</t>
  </si>
  <si>
    <t xml:space="preserve">Interest rate on term borrowings (on average balance)</t>
  </si>
  <si>
    <t xml:space="preserve">Cash credit utilisation</t>
  </si>
  <si>
    <t xml:space="preserve">% of (inventories + receivables)</t>
  </si>
  <si>
    <t xml:space="preserve">Interest rate on cash credit (on average balance)</t>
  </si>
  <si>
    <t xml:space="preserve">Working capital</t>
  </si>
  <si>
    <t xml:space="preserve">Trade receivables</t>
  </si>
  <si>
    <t xml:space="preserve">days of revenue</t>
  </si>
  <si>
    <t xml:space="preserve">Inventories</t>
  </si>
  <si>
    <t xml:space="preserve">days of material cost</t>
  </si>
  <si>
    <t xml:space="preserve">Trade payables</t>
  </si>
  <si>
    <t xml:space="preserve">Short-term loans and advances and other current assets</t>
  </si>
  <si>
    <t xml:space="preserve">Long-term loans and advances and other non-current assets</t>
  </si>
  <si>
    <t xml:space="preserve">Rs. Lakhs (closing)</t>
  </si>
  <si>
    <t xml:space="preserve">Other current liabilities (excluding current maturities of borrowings)</t>
  </si>
  <si>
    <t xml:space="preserve">Long-term provisions (gratuity and leave)</t>
  </si>
  <si>
    <t xml:space="preserve">% of employee cost</t>
  </si>
  <si>
    <t xml:space="preserve">Short-term provisions</t>
  </si>
  <si>
    <t xml:space="preserve">Deferred tax liability (net)</t>
  </si>
  <si>
    <t xml:space="preserve">Taxation and other</t>
  </si>
  <si>
    <t xml:space="preserve">Effective income tax rate (section 115BAA)</t>
  </si>
  <si>
    <t xml:space="preserve">% of profit before tax</t>
  </si>
  <si>
    <t xml:space="preserve">Days in year</t>
  </si>
  <si>
    <t xml:space="preserve">days</t>
  </si>
  <si>
    <t xml:space="preserve">Dividend payout</t>
  </si>
  <si>
    <t xml:space="preserve">% of profit after tax</t>
  </si>
  <si>
    <t xml:space="preserve">Basis: management projections prepared in August 2026 and approved by the Board on 20 August 2026. Growth is driven by the Bhiwandi capacity expansion (commissioned June 2026), new dealer network in South India and growth in institutional and e-commerce channels.</t>
  </si>
  <si>
    <t xml:space="preserve">Opening balances are taken from the audited financial statements for FY 2025-26. Term borrowings are shown gross of current maturities in these projections.</t>
  </si>
  <si>
    <t xml:space="preserve">All data is imaginary and prepared solely for testing a valuation model.</t>
  </si>
  <si>
    <t xml:space="preserve">Legend: blue figures are hardcoded inputs; black figures are formulas within the sheet; green figures are links to other sheets.</t>
  </si>
  <si>
    <t xml:space="preserve">All figures are illustrative and imaginary, prepared solely for testing a valuation model. Amounts in Rs. Lakhs unless stated otherwise.</t>
  </si>
  <si>
    <t xml:space="preserve">Projected Statement of Profit and Loss</t>
  </si>
  <si>
    <t xml:space="preserve">Particulars</t>
  </si>
  <si>
    <t xml:space="preserve">FY 2025-26
(Actual, audited)</t>
  </si>
  <si>
    <t xml:space="preserve">FY 2026-27
(Projected)</t>
  </si>
  <si>
    <t xml:space="preserve">FY 2027-28
(Projected)</t>
  </si>
  <si>
    <t xml:space="preserve">FY 2028-29
(Projected)</t>
  </si>
  <si>
    <t xml:space="preserve">FY 2029-30
(Projected)</t>
  </si>
  <si>
    <t xml:space="preserve">FY 2030-31
(Projected)</t>
  </si>
  <si>
    <t xml:space="preserve">Revenue from operations</t>
  </si>
  <si>
    <t xml:space="preserve">Other income</t>
  </si>
  <si>
    <t xml:space="preserve">Total income</t>
  </si>
  <si>
    <t xml:space="preserve">Material cost (cost of materials consumed net of change in inventories)</t>
  </si>
  <si>
    <t xml:space="preserve">EBITDA (excluding other income)</t>
  </si>
  <si>
    <t xml:space="preserve">Depreciation and amortisation expense</t>
  </si>
  <si>
    <t xml:space="preserve">EBIT</t>
  </si>
  <si>
    <t xml:space="preserve">Finance costs</t>
  </si>
  <si>
    <t xml:space="preserve">Profit before tax</t>
  </si>
  <si>
    <t xml:space="preserve">Tax expense</t>
  </si>
  <si>
    <t xml:space="preserve">Profit after tax</t>
  </si>
  <si>
    <t xml:space="preserve">Dividend (including tax, if any)</t>
  </si>
  <si>
    <t xml:space="preserve">Profit retained</t>
  </si>
  <si>
    <t xml:space="preserve">Margins and growth</t>
  </si>
  <si>
    <t xml:space="preserve">Revenue growth</t>
  </si>
  <si>
    <t xml:space="preserve">EBITDA margin</t>
  </si>
  <si>
    <t xml:space="preserve">PAT margin</t>
  </si>
  <si>
    <t xml:space="preserve">FY 2025-26 column shows audited figures entered as inputs; material cost of Rs. 6,010 Lakhs is cost of materials consumed (Rs. 6,150) net of the increase in inventories (Rs. 140).</t>
  </si>
  <si>
    <t xml:space="preserve">Projected Balance Sheet</t>
  </si>
  <si>
    <t xml:space="preserve">EQUITY AND LIABILITIES</t>
  </si>
  <si>
    <t xml:space="preserve">   Share capital (equity Rs. 500 Lakhs and CCPS Rs. 300 Lakhs)</t>
  </si>
  <si>
    <t xml:space="preserve">   Reserves and surplus</t>
  </si>
  <si>
    <t xml:space="preserve">Total shareholders' funds</t>
  </si>
  <si>
    <t xml:space="preserve">   Term borrowings (including current maturities)</t>
  </si>
  <si>
    <t xml:space="preserve">   Deferred tax liabilities (net)</t>
  </si>
  <si>
    <t xml:space="preserve">   Long-term provisions</t>
  </si>
  <si>
    <t xml:space="preserve">   Short-term borrowings (cash credit)</t>
  </si>
  <si>
    <t xml:space="preserve">   Trade payables</t>
  </si>
  <si>
    <t xml:space="preserve">   Other current liabilities (excluding current maturities)</t>
  </si>
  <si>
    <t xml:space="preserve">   Short-term provisions</t>
  </si>
  <si>
    <t xml:space="preserve">TOTAL EQUITY AND LIABILITIES</t>
  </si>
  <si>
    <t xml:space="preserve">ASSETS</t>
  </si>
  <si>
    <t xml:space="preserve">   Property, plant and equipment (net)</t>
  </si>
  <si>
    <t xml:space="preserve">   Capital work-in-progress</t>
  </si>
  <si>
    <t xml:space="preserve">   Intangible assets</t>
  </si>
  <si>
    <t xml:space="preserve">   Long-term loans and advances and other non-current assets</t>
  </si>
  <si>
    <t xml:space="preserve">   Inventories</t>
  </si>
  <si>
    <t xml:space="preserve">   Trade receivables</t>
  </si>
  <si>
    <t xml:space="preserve">   Cash and bank balances</t>
  </si>
  <si>
    <t xml:space="preserve">   Short-term loans and advances and other current assets</t>
  </si>
  <si>
    <t xml:space="preserve">TOTAL ASSETS</t>
  </si>
  <si>
    <t xml:space="preserve">Check: total assets less total equity and liabilities (should be nil)</t>
  </si>
  <si>
    <t xml:space="preserve">Memorandum</t>
  </si>
  <si>
    <t xml:space="preserve">Net debt (total borrowings less cash and bank balances)</t>
  </si>
  <si>
    <t xml:space="preserve">Debt to equity (total borrowings / shareholders' funds)</t>
  </si>
  <si>
    <t xml:space="preserve">Return on capital employed (EBIT / (shareholders' funds + borrowings))</t>
  </si>
  <si>
    <t xml:space="preserve">Interest coverage (EBITDA / finance costs)</t>
  </si>
  <si>
    <t xml:space="preserve">FY 2025-26 column reconciles to the audited balance sheet (total Rs. 8,663 Lakhs) with current maturities regrouped into term borrowings.</t>
  </si>
  <si>
    <t xml:space="preserve">Projected Cash Flow Statement</t>
  </si>
  <si>
    <t xml:space="preserve">A. Cash flow from operating activities</t>
  </si>
  <si>
    <t xml:space="preserve">   Profit before tax</t>
  </si>
  <si>
    <t xml:space="preserve">      Add: depreciation and amortisation</t>
  </si>
  <si>
    <t xml:space="preserve">      Add: finance costs</t>
  </si>
  <si>
    <t xml:space="preserve">      Less: other income</t>
  </si>
  <si>
    <t xml:space="preserve">Operating profit before working capital changes</t>
  </si>
  <si>
    <t xml:space="preserve">      (Increase) / decrease in inventories</t>
  </si>
  <si>
    <t xml:space="preserve">      (Increase) / decrease in trade receivables</t>
  </si>
  <si>
    <t xml:space="preserve">      (Increase) / decrease in other current assets and short-term loans and advances</t>
  </si>
  <si>
    <t xml:space="preserve">      (Increase) / decrease in non-current loans, advances and other assets</t>
  </si>
  <si>
    <t xml:space="preserve">      Increase / (decrease) in trade payables</t>
  </si>
  <si>
    <t xml:space="preserve">      Increase / (decrease) in other current liabilities</t>
  </si>
  <si>
    <t xml:space="preserve">      Increase / (decrease) in provisions</t>
  </si>
  <si>
    <t xml:space="preserve">Cash generated from operations</t>
  </si>
  <si>
    <t xml:space="preserve">      Less: income taxes paid</t>
  </si>
  <si>
    <t xml:space="preserve">Net cash from operating activities (A)</t>
  </si>
  <si>
    <t xml:space="preserve">B. Cash flow from investing activities</t>
  </si>
  <si>
    <t xml:space="preserve">   Purchase of property, plant and equipment and intangibles</t>
  </si>
  <si>
    <t xml:space="preserve">   Interest and other income received</t>
  </si>
  <si>
    <t xml:space="preserve">Net cash used in investing activities (B)</t>
  </si>
  <si>
    <t xml:space="preserve">C. Cash flow from financing activities</t>
  </si>
  <si>
    <t xml:space="preserve">   Proceeds from term borrowings</t>
  </si>
  <si>
    <t xml:space="preserve">   Repayment of term borrowings</t>
  </si>
  <si>
    <t xml:space="preserve">   Increase / (decrease) in cash credit (net)</t>
  </si>
  <si>
    <t xml:space="preserve">   Finance costs paid</t>
  </si>
  <si>
    <t xml:space="preserve">   Dividend paid</t>
  </si>
  <si>
    <t xml:space="preserve">Net cash from / (used in) financing activities (C)</t>
  </si>
  <si>
    <t xml:space="preserve">Net increase / (decrease) in cash and bank balances (A+B+C)</t>
  </si>
  <si>
    <t xml:space="preserve">   Opening cash and bank balances</t>
  </si>
  <si>
    <t xml:space="preserve">Closing cash and bank balances</t>
  </si>
  <si>
    <t xml:space="preserve">Free cash flow (memorandum, for valuation)</t>
  </si>
  <si>
    <t xml:space="preserve">Free cash flow to the firm (EBIT x (1 - tax rate) + D&amp;A - capex - increase in net working capital)</t>
  </si>
  <si>
    <t xml:space="preserve">Free cash flow to equity (net cash from operations + investing + net borrowings - finance costs)</t>
  </si>
  <si>
    <t xml:space="preserve">Fixed assets and depreciation schedule</t>
  </si>
  <si>
    <t xml:space="preserve">Property, plant and equipment</t>
  </si>
  <si>
    <t xml:space="preserve">   Opening net block</t>
  </si>
  <si>
    <t xml:space="preserve">   Add: capital work-in-progress capitalised</t>
  </si>
  <si>
    <t xml:space="preserve">   Add: capital expenditure during the year</t>
  </si>
  <si>
    <t xml:space="preserve">   Less: depreciation for the year</t>
  </si>
  <si>
    <t xml:space="preserve">   Closing net block</t>
  </si>
  <si>
    <t xml:space="preserve">Capital work-in-progress</t>
  </si>
  <si>
    <t xml:space="preserve">   Opening balance</t>
  </si>
  <si>
    <t xml:space="preserve">   Less: capitalised to PPE</t>
  </si>
  <si>
    <t xml:space="preserve">   Closing balance</t>
  </si>
  <si>
    <t xml:space="preserve">Intangible assets</t>
  </si>
  <si>
    <t xml:space="preserve">   Opening net carrying amount</t>
  </si>
  <si>
    <t xml:space="preserve">   Add: additions</t>
  </si>
  <si>
    <t xml:space="preserve">   Less: amortisation</t>
  </si>
  <si>
    <t xml:space="preserve">   Closing net carrying amount</t>
  </si>
  <si>
    <t xml:space="preserve">Total depreciation and amortisation</t>
  </si>
  <si>
    <t xml:space="preserve">Total cash capital expenditure (PPE and intangibles)</t>
  </si>
  <si>
    <t xml:space="preserve">FY 2025-26 column shows audited closing balances entered as inputs.</t>
  </si>
  <si>
    <t xml:space="preserve">Borrowings and finance cost schedule</t>
  </si>
  <si>
    <t xml:space="preserve">Term borrowings (term loans, vehicle loans and unsecured loans from directors, including current maturities)</t>
  </si>
  <si>
    <t xml:space="preserve">   Add: fresh drawdown</t>
  </si>
  <si>
    <t xml:space="preserve">   Less: repayments</t>
  </si>
  <si>
    <t xml:space="preserve">   Interest on term borrowings</t>
  </si>
  <si>
    <t xml:space="preserve">Cash credit and working capital borrowings</t>
  </si>
  <si>
    <t xml:space="preserve">   Interest on cash credit</t>
  </si>
  <si>
    <t xml:space="preserve">Total finance costs</t>
  </si>
  <si>
    <t xml:space="preserve">Total borrowings (closing)</t>
  </si>
  <si>
    <t xml:space="preserve">FY 2025-26 term borrowings of Rs. 1,555 Lakhs comprise long-term borrowings of Rs. 1,350 Lakhs and current maturities of Rs. 205 Lakhs per the audited balance sheet.</t>
  </si>
  <si>
    <t xml:space="preserve">Working capital schedule</t>
  </si>
  <si>
    <t xml:space="preserve">Long-term provisions</t>
  </si>
  <si>
    <t xml:space="preserve">Net working capital (receivables + inventories + other current assets - payables - other current liabilities - short-term provisions)</t>
  </si>
  <si>
    <t xml:space="preserve">Increase / (decrease) in net working capital</t>
  </si>
  <si>
    <t xml:space="preserve">Net working capital as % of revenue</t>
  </si>
  <si>
    <t xml:space="preserve">FY 2025-26 other current liabilities of Rs. 410 Lakhs are shown net of current maturities of borrowings of Rs. 205 Lakhs, which are included in term borrowings in the debt schedule.</t>
  </si>
  <si>
    <t xml:space="preserve">Stub period derivation: 2 June 2026 to 31 March 2027 (valuation date 1 June 2026)</t>
  </si>
  <si>
    <t xml:space="preserve">FY 2026-27
(full year projected)</t>
  </si>
  <si>
    <t xml:space="preserve">1 Apr 2026 to 1 Jun 2026
(provisional actual)</t>
  </si>
  <si>
    <t xml:space="preserve">Stub: 2 Jun 2026 to
31 Mar 2027</t>
  </si>
  <si>
    <t xml:space="preserve">Material cost (net of change in inventories)</t>
  </si>
  <si>
    <t xml:space="preserve">Depreciation and amortisation</t>
  </si>
  <si>
    <t xml:space="preserve">Capital expenditure (PPE and intangibles)</t>
  </si>
  <si>
    <t xml:space="preserve">Increase in net working capital</t>
  </si>
  <si>
    <t xml:space="preserve">Time fraction of the year (for mid-period discounting)</t>
  </si>
  <si>
    <t xml:space="preserve">The 2-month provisional column is taken from the provisional financial statements as at 1 June 2026 (separate file) and entered as inputs. Provisional 'change in net working capital' is computed from the provisional and audited balance sheets on the same basis as the working capital schedule (current maturities of Rs. 205 Lakhs at 31 March 2026 and Rs. 190 Lakhs at 1 June 2026 excluded from other current liabilities).</t>
  </si>
  <si>
    <t xml:space="preserve">The stub column is the balance of FY 2026-27 after the valuation date and is intended to be the first discounting period in a DCF model.</t>
  </si>
</sst>
</file>

<file path=xl/styles.xml><?xml version="1.0" encoding="utf-8"?>
<styleSheet xmlns="http://schemas.openxmlformats.org/spreadsheetml/2006/main">
  <numFmts count="6">
    <numFmt numFmtId="164" formatCode="General"/>
    <numFmt numFmtId="165" formatCode="0.0%;\(0.0%\);\-"/>
    <numFmt numFmtId="166" formatCode="#,##0.00;\(#,##0.00\);\-"/>
    <numFmt numFmtId="167" formatCode="#,##0;\(#,##0\);\-"/>
    <numFmt numFmtId="168" formatCode="0.00\x"/>
    <numFmt numFmtId="169" formatCode="0.0000"/>
  </numFmts>
  <fonts count="15">
    <font>
      <sz val="11"/>
      <color theme="1"/>
      <name val="Calibri"/>
      <family val="2"/>
      <charset val="1"/>
    </font>
    <font>
      <sz val="10"/>
      <name val="Arial"/>
      <family val="0"/>
    </font>
    <font>
      <sz val="10"/>
      <name val="Arial"/>
      <family val="0"/>
    </font>
    <font>
      <sz val="10"/>
      <name val="Arial"/>
      <family val="0"/>
    </font>
    <font>
      <b val="true"/>
      <sz val="14"/>
      <color rgb="FF000000"/>
      <name val="Calibri"/>
      <family val="0"/>
      <charset val="1"/>
    </font>
    <font>
      <sz val="10"/>
      <color rgb="FF000000"/>
      <name val="Calibri"/>
      <family val="0"/>
      <charset val="1"/>
    </font>
    <font>
      <b val="true"/>
      <sz val="12"/>
      <color rgb="FF000000"/>
      <name val="Calibri"/>
      <family val="0"/>
      <charset val="1"/>
    </font>
    <font>
      <b val="true"/>
      <sz val="11"/>
      <color rgb="FF000000"/>
      <name val="Calibri"/>
      <family val="0"/>
      <charset val="1"/>
    </font>
    <font>
      <b val="true"/>
      <sz val="10"/>
      <color rgb="FFFFFFFF"/>
      <name val="Calibri"/>
      <family val="0"/>
      <charset val="1"/>
    </font>
    <font>
      <b val="true"/>
      <sz val="10"/>
      <color rgb="FF000000"/>
      <name val="Calibri"/>
      <family val="0"/>
      <charset val="1"/>
    </font>
    <font>
      <sz val="10"/>
      <color rgb="FF0000FF"/>
      <name val="Calibri"/>
      <family val="0"/>
      <charset val="1"/>
    </font>
    <font>
      <i val="true"/>
      <sz val="10"/>
      <color rgb="FF000000"/>
      <name val="Calibri"/>
      <family val="0"/>
      <charset val="1"/>
    </font>
    <font>
      <sz val="10"/>
      <color rgb="FF008000"/>
      <name val="Calibri"/>
      <family val="0"/>
      <charset val="1"/>
    </font>
    <font>
      <b val="true"/>
      <sz val="10"/>
      <color rgb="FF0000FF"/>
      <name val="Calibri"/>
      <family val="0"/>
      <charset val="1"/>
    </font>
    <font>
      <b val="true"/>
      <sz val="10"/>
      <color rgb="FF008000"/>
      <name val="Calibri"/>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style="thin">
        <color rgb="FF808080"/>
      </top>
      <bottom style="double">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8" fillId="2" borderId="0" xfId="0" applyFont="true" applyBorder="false" applyAlignment="true" applyProtection="true">
      <alignment horizontal="left"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left" vertical="bottom" textRotation="0" wrapText="false" indent="0" shrinkToFit="false"/>
      <protection locked="true" hidden="false"/>
    </xf>
    <xf numFmtId="165" fontId="10" fillId="0" borderId="0" xfId="0" applyFont="true" applyBorder="false" applyAlignment="true" applyProtection="true">
      <alignment horizontal="right" vertical="bottom" textRotation="0" wrapText="false" indent="0" shrinkToFit="false"/>
      <protection locked="true" hidden="false"/>
    </xf>
    <xf numFmtId="166" fontId="5" fillId="0" borderId="0" xfId="0" applyFont="true" applyBorder="false" applyAlignment="true" applyProtection="true">
      <alignment horizontal="left" vertical="bottom" textRotation="0" wrapText="false" indent="0" shrinkToFit="false"/>
      <protection locked="true" hidden="false"/>
    </xf>
    <xf numFmtId="166" fontId="10" fillId="0" borderId="0" xfId="0" applyFont="true" applyBorder="false" applyAlignment="true" applyProtection="true">
      <alignment horizontal="right" vertical="bottom" textRotation="0" wrapText="false" indent="0" shrinkToFit="false"/>
      <protection locked="true" hidden="false"/>
    </xf>
    <xf numFmtId="167" fontId="5" fillId="0" borderId="0" xfId="0" applyFont="true" applyBorder="false" applyAlignment="true" applyProtection="true">
      <alignment horizontal="left" vertical="bottom" textRotation="0" wrapText="false" indent="0" shrinkToFit="false"/>
      <protection locked="true" hidden="false"/>
    </xf>
    <xf numFmtId="167" fontId="10" fillId="0" borderId="0" xfId="0" applyFont="true" applyBorder="false" applyAlignment="true" applyProtection="true">
      <alignment horizontal="right" vertical="bottom" textRotation="0" wrapText="fals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6" fontId="12" fillId="0" borderId="0" xfId="0" applyFont="true" applyBorder="false" applyAlignment="true" applyProtection="true">
      <alignment horizontal="right" vertical="bottom" textRotation="0" wrapText="false" indent="0" shrinkToFit="false"/>
      <protection locked="true" hidden="false"/>
    </xf>
    <xf numFmtId="166" fontId="9" fillId="0" borderId="0" xfId="0" applyFont="true" applyBorder="false" applyAlignment="true" applyProtection="true">
      <alignment horizontal="right" vertical="bottom" textRotation="0" wrapText="false" indent="0" shrinkToFit="false"/>
      <protection locked="true" hidden="false"/>
    </xf>
    <xf numFmtId="166" fontId="9" fillId="0" borderId="1" xfId="0" applyFont="true" applyBorder="true" applyAlignment="true" applyProtection="true">
      <alignment horizontal="right" vertical="bottom" textRotation="0" wrapText="false" indent="0" shrinkToFit="false"/>
      <protection locked="true" hidden="false"/>
    </xf>
    <xf numFmtId="165" fontId="5" fillId="0" borderId="0" xfId="0" applyFont="true" applyBorder="false" applyAlignment="true" applyProtection="true">
      <alignment horizontal="right" vertical="bottom" textRotation="0" wrapText="false" indent="0" shrinkToFit="false"/>
      <protection locked="true" hidden="false"/>
    </xf>
    <xf numFmtId="166" fontId="5" fillId="0" borderId="0" xfId="0" applyFont="true" applyBorder="false" applyAlignment="true" applyProtection="true">
      <alignment horizontal="right" vertical="bottom" textRotation="0" wrapText="false" indent="0" shrinkToFit="false"/>
      <protection locked="true" hidden="false"/>
    </xf>
    <xf numFmtId="168" fontId="5" fillId="0" borderId="0" xfId="0" applyFont="true" applyBorder="false" applyAlignment="true" applyProtection="true">
      <alignment horizontal="right" vertical="bottom" textRotation="0" wrapText="false" indent="0" shrinkToFit="false"/>
      <protection locked="true" hidden="false"/>
    </xf>
    <xf numFmtId="165" fontId="12" fillId="0" borderId="0" xfId="0" applyFont="true" applyBorder="false" applyAlignment="true" applyProtection="true">
      <alignment horizontal="right" vertical="bottom" textRotation="0" wrapText="false" indent="0" shrinkToFit="false"/>
      <protection locked="true" hidden="false"/>
    </xf>
    <xf numFmtId="168" fontId="12" fillId="0" borderId="0" xfId="0" applyFont="true" applyBorder="false" applyAlignment="true" applyProtection="true">
      <alignment horizontal="right" vertical="bottom" textRotation="0" wrapText="false" indent="0" shrinkToFit="false"/>
      <protection locked="true" hidden="false"/>
    </xf>
    <xf numFmtId="166" fontId="13" fillId="0" borderId="1" xfId="0" applyFont="true" applyBorder="true" applyAlignment="true" applyProtection="true">
      <alignment horizontal="right" vertical="bottom" textRotation="0" wrapText="false" indent="0" shrinkToFit="false"/>
      <protection locked="true" hidden="false"/>
    </xf>
    <xf numFmtId="166" fontId="13" fillId="0" borderId="0" xfId="0" applyFont="true" applyBorder="false" applyAlignment="true" applyProtection="true">
      <alignment horizontal="right" vertical="bottom" textRotation="0" wrapText="false" indent="0" shrinkToFit="false"/>
      <protection locked="true" hidden="false"/>
    </xf>
    <xf numFmtId="166" fontId="14" fillId="0" borderId="0" xfId="0" applyFont="true" applyBorder="false" applyAlignment="true" applyProtection="true">
      <alignment horizontal="right" vertical="bottom" textRotation="0" wrapText="false" indent="0" shrinkToFit="false"/>
      <protection locked="true" hidden="false"/>
    </xf>
    <xf numFmtId="169" fontId="10" fillId="0" borderId="0" xfId="0" applyFont="true" applyBorder="false" applyAlignment="true" applyProtection="true">
      <alignment horizontal="right" vertical="bottom" textRotation="0" wrapText="false" indent="0" shrinkToFit="false"/>
      <protection locked="true" hidden="false"/>
    </xf>
    <xf numFmtId="169" fontId="5"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t="s">
        <v>2</v>
      </c>
    </row>
    <row r="4" customFormat="false" ht="15" hidden="false" customHeight="false" outlineLevel="0" collapsed="false">
      <c r="A4" s="5" t="s">
        <v>3</v>
      </c>
    </row>
    <row r="5" customFormat="false" ht="15" hidden="false" customHeight="false" outlineLevel="0" collapsed="false">
      <c r="A5" s="3" t="s">
        <v>4</v>
      </c>
    </row>
    <row r="7" customFormat="false" ht="39.75" hidden="false" customHeight="true" outlineLevel="0" collapsed="false">
      <c r="A7" s="6" t="s">
        <v>5</v>
      </c>
    </row>
    <row r="8" customFormat="false" ht="39.75" hidden="false" customHeight="true" outlineLevel="0" collapsed="false">
      <c r="A8" s="6" t="s">
        <v>6</v>
      </c>
    </row>
    <row r="9" customFormat="false" ht="39.75" hidden="false" customHeight="true" outlineLevel="0" collapsed="false">
      <c r="A9" s="6" t="s">
        <v>7</v>
      </c>
    </row>
    <row r="10" customFormat="false" ht="39.75" hidden="false" customHeight="true" outlineLevel="0" collapsed="false">
      <c r="A10" s="6"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4"/>
    <col collapsed="false" customWidth="true" hidden="false" outlineLevel="0" max="2" min="2" style="1" width="18"/>
    <col collapsed="false" customWidth="true" hidden="false" outlineLevel="0" max="7" min="3" style="1" width="15"/>
  </cols>
  <sheetData>
    <row r="1" customFormat="false" ht="15" hidden="false" customHeight="false" outlineLevel="0" collapsed="false">
      <c r="A1" s="4" t="s">
        <v>0</v>
      </c>
    </row>
    <row r="2" customFormat="false" ht="15" hidden="false" customHeight="false" outlineLevel="0" collapsed="false">
      <c r="A2" s="5" t="s">
        <v>9</v>
      </c>
    </row>
    <row r="3" customFormat="false" ht="15" hidden="false" customHeight="false" outlineLevel="0" collapsed="false">
      <c r="A3" s="3" t="s">
        <v>10</v>
      </c>
    </row>
    <row r="5" customFormat="false" ht="30" hidden="false" customHeight="true" outlineLevel="0" collapsed="false">
      <c r="A5" s="7" t="s">
        <v>11</v>
      </c>
      <c r="B5" s="8" t="s">
        <v>12</v>
      </c>
      <c r="C5" s="8" t="s">
        <v>13</v>
      </c>
      <c r="D5" s="8" t="s">
        <v>14</v>
      </c>
      <c r="E5" s="8" t="s">
        <v>15</v>
      </c>
      <c r="F5" s="8" t="s">
        <v>16</v>
      </c>
      <c r="G5" s="8" t="s">
        <v>17</v>
      </c>
    </row>
    <row r="6" customFormat="false" ht="15" hidden="false" customHeight="false" outlineLevel="0" collapsed="false">
      <c r="A6" s="9" t="s">
        <v>18</v>
      </c>
    </row>
    <row r="7" customFormat="false" ht="15" hidden="false" customHeight="false" outlineLevel="0" collapsed="false">
      <c r="A7" s="3" t="s">
        <v>19</v>
      </c>
      <c r="B7" s="10" t="s">
        <v>20</v>
      </c>
      <c r="C7" s="11" t="n">
        <v>0.18</v>
      </c>
      <c r="D7" s="11" t="n">
        <v>0.16</v>
      </c>
      <c r="E7" s="11" t="n">
        <v>0.14</v>
      </c>
      <c r="F7" s="11" t="n">
        <v>0.12</v>
      </c>
      <c r="G7" s="11" t="n">
        <v>0.1</v>
      </c>
    </row>
    <row r="8" customFormat="false" ht="15" hidden="false" customHeight="false" outlineLevel="0" collapsed="false">
      <c r="A8" s="3" t="s">
        <v>21</v>
      </c>
      <c r="B8" s="10" t="s">
        <v>22</v>
      </c>
      <c r="C8" s="11" t="n">
        <v>0.528</v>
      </c>
      <c r="D8" s="11" t="n">
        <v>0.526</v>
      </c>
      <c r="E8" s="11" t="n">
        <v>0.525</v>
      </c>
      <c r="F8" s="11" t="n">
        <v>0.524</v>
      </c>
      <c r="G8" s="11" t="n">
        <v>0.523</v>
      </c>
    </row>
    <row r="9" customFormat="false" ht="15" hidden="false" customHeight="false" outlineLevel="0" collapsed="false">
      <c r="A9" s="3" t="s">
        <v>23</v>
      </c>
      <c r="B9" s="10" t="s">
        <v>22</v>
      </c>
      <c r="C9" s="11" t="n">
        <v>0.123</v>
      </c>
      <c r="D9" s="11" t="n">
        <v>0.122</v>
      </c>
      <c r="E9" s="11" t="n">
        <v>0.121</v>
      </c>
      <c r="F9" s="11" t="n">
        <v>0.12</v>
      </c>
      <c r="G9" s="11" t="n">
        <v>0.12</v>
      </c>
    </row>
    <row r="10" customFormat="false" ht="15" hidden="false" customHeight="false" outlineLevel="0" collapsed="false">
      <c r="A10" s="3" t="s">
        <v>24</v>
      </c>
      <c r="B10" s="10" t="s">
        <v>22</v>
      </c>
      <c r="C10" s="11" t="n">
        <v>0.21</v>
      </c>
      <c r="D10" s="11" t="n">
        <v>0.208</v>
      </c>
      <c r="E10" s="11" t="n">
        <v>0.206</v>
      </c>
      <c r="F10" s="11" t="n">
        <v>0.205</v>
      </c>
      <c r="G10" s="11" t="n">
        <v>0.204</v>
      </c>
    </row>
    <row r="11" customFormat="false" ht="15" hidden="false" customHeight="false" outlineLevel="0" collapsed="false">
      <c r="A11" s="3" t="s">
        <v>25</v>
      </c>
      <c r="B11" s="10" t="s">
        <v>26</v>
      </c>
      <c r="C11" s="11" t="n">
        <v>0.05</v>
      </c>
      <c r="D11" s="11" t="n">
        <v>0.05</v>
      </c>
      <c r="E11" s="11" t="n">
        <v>0.05</v>
      </c>
      <c r="F11" s="11" t="n">
        <v>0.05</v>
      </c>
      <c r="G11" s="11" t="n">
        <v>0.05</v>
      </c>
    </row>
    <row r="12" customFormat="false" ht="15" hidden="false" customHeight="false" outlineLevel="0" collapsed="false">
      <c r="A12" s="9" t="s">
        <v>27</v>
      </c>
    </row>
    <row r="13" customFormat="false" ht="15" hidden="false" customHeight="false" outlineLevel="0" collapsed="false">
      <c r="A13" s="3" t="s">
        <v>28</v>
      </c>
      <c r="B13" s="12" t="s">
        <v>29</v>
      </c>
      <c r="C13" s="13" t="n">
        <v>650</v>
      </c>
      <c r="D13" s="13" t="n">
        <v>450</v>
      </c>
      <c r="E13" s="13" t="n">
        <v>500</v>
      </c>
      <c r="F13" s="13" t="n">
        <v>400</v>
      </c>
      <c r="G13" s="13" t="n">
        <v>450</v>
      </c>
    </row>
    <row r="14" customFormat="false" ht="15" hidden="false" customHeight="false" outlineLevel="0" collapsed="false">
      <c r="A14" s="3" t="s">
        <v>30</v>
      </c>
      <c r="B14" s="12" t="s">
        <v>29</v>
      </c>
      <c r="C14" s="13" t="n">
        <v>260</v>
      </c>
      <c r="D14" s="13" t="n">
        <v>0</v>
      </c>
      <c r="E14" s="13" t="n">
        <v>0</v>
      </c>
      <c r="F14" s="13" t="n">
        <v>0</v>
      </c>
      <c r="G14" s="13" t="n">
        <v>0</v>
      </c>
    </row>
    <row r="15" customFormat="false" ht="15" hidden="false" customHeight="false" outlineLevel="0" collapsed="false">
      <c r="A15" s="3" t="s">
        <v>31</v>
      </c>
      <c r="B15" s="10" t="s">
        <v>32</v>
      </c>
      <c r="C15" s="11" t="n">
        <v>0.105</v>
      </c>
      <c r="D15" s="11" t="n">
        <v>0.105</v>
      </c>
      <c r="E15" s="11" t="n">
        <v>0.105</v>
      </c>
      <c r="F15" s="11" t="n">
        <v>0.105</v>
      </c>
      <c r="G15" s="11" t="n">
        <v>0.105</v>
      </c>
    </row>
    <row r="16" customFormat="false" ht="15" hidden="false" customHeight="false" outlineLevel="0" collapsed="false">
      <c r="A16" s="3" t="s">
        <v>33</v>
      </c>
      <c r="B16" s="10" t="s">
        <v>34</v>
      </c>
      <c r="C16" s="11" t="n">
        <v>0.0525</v>
      </c>
      <c r="D16" s="11" t="n">
        <v>0.0525</v>
      </c>
      <c r="E16" s="11" t="n">
        <v>0.0525</v>
      </c>
      <c r="F16" s="11" t="n">
        <v>0.0525</v>
      </c>
      <c r="G16" s="11" t="n">
        <v>0.0525</v>
      </c>
    </row>
    <row r="17" customFormat="false" ht="15" hidden="false" customHeight="false" outlineLevel="0" collapsed="false">
      <c r="A17" s="3" t="s">
        <v>35</v>
      </c>
      <c r="B17" s="12" t="s">
        <v>29</v>
      </c>
      <c r="C17" s="13" t="n">
        <v>12</v>
      </c>
      <c r="D17" s="13" t="n">
        <v>12</v>
      </c>
      <c r="E17" s="13" t="n">
        <v>12</v>
      </c>
      <c r="F17" s="13" t="n">
        <v>12</v>
      </c>
      <c r="G17" s="13" t="n">
        <v>12</v>
      </c>
    </row>
    <row r="18" customFormat="false" ht="15" hidden="false" customHeight="false" outlineLevel="0" collapsed="false">
      <c r="A18" s="3" t="s">
        <v>36</v>
      </c>
      <c r="B18" s="12" t="s">
        <v>29</v>
      </c>
      <c r="C18" s="13" t="n">
        <v>12</v>
      </c>
      <c r="D18" s="13" t="n">
        <v>12</v>
      </c>
      <c r="E18" s="13" t="n">
        <v>12</v>
      </c>
      <c r="F18" s="13" t="n">
        <v>12</v>
      </c>
      <c r="G18" s="13" t="n">
        <v>12</v>
      </c>
    </row>
    <row r="19" customFormat="false" ht="15" hidden="false" customHeight="false" outlineLevel="0" collapsed="false">
      <c r="A19" s="9" t="s">
        <v>37</v>
      </c>
    </row>
    <row r="20" customFormat="false" ht="15" hidden="false" customHeight="false" outlineLevel="0" collapsed="false">
      <c r="A20" s="3" t="s">
        <v>38</v>
      </c>
      <c r="B20" s="12" t="s">
        <v>29</v>
      </c>
      <c r="C20" s="13" t="n">
        <v>400</v>
      </c>
      <c r="D20" s="13" t="n">
        <v>0</v>
      </c>
      <c r="E20" s="13" t="n">
        <v>0</v>
      </c>
      <c r="F20" s="13" t="n">
        <v>0</v>
      </c>
      <c r="G20" s="13" t="n">
        <v>0</v>
      </c>
    </row>
    <row r="21" customFormat="false" ht="15" hidden="false" customHeight="false" outlineLevel="0" collapsed="false">
      <c r="A21" s="3" t="s">
        <v>39</v>
      </c>
      <c r="B21" s="12" t="s">
        <v>29</v>
      </c>
      <c r="C21" s="13" t="n">
        <v>280</v>
      </c>
      <c r="D21" s="13" t="n">
        <v>280</v>
      </c>
      <c r="E21" s="13" t="n">
        <v>280</v>
      </c>
      <c r="F21" s="13" t="n">
        <v>280</v>
      </c>
      <c r="G21" s="13" t="n">
        <v>280</v>
      </c>
    </row>
    <row r="22" customFormat="false" ht="15" hidden="false" customHeight="false" outlineLevel="0" collapsed="false">
      <c r="A22" s="3" t="s">
        <v>40</v>
      </c>
      <c r="B22" s="10" t="s">
        <v>26</v>
      </c>
      <c r="C22" s="11" t="n">
        <v>0.0925</v>
      </c>
      <c r="D22" s="11" t="n">
        <v>0.0925</v>
      </c>
      <c r="E22" s="11" t="n">
        <v>0.0925</v>
      </c>
      <c r="F22" s="11" t="n">
        <v>0.0925</v>
      </c>
      <c r="G22" s="11" t="n">
        <v>0.0925</v>
      </c>
    </row>
    <row r="23" customFormat="false" ht="15" hidden="false" customHeight="false" outlineLevel="0" collapsed="false">
      <c r="A23" s="3" t="s">
        <v>41</v>
      </c>
      <c r="B23" s="10" t="s">
        <v>42</v>
      </c>
      <c r="C23" s="11" t="n">
        <v>0.25</v>
      </c>
      <c r="D23" s="11" t="n">
        <v>0.23</v>
      </c>
      <c r="E23" s="11" t="n">
        <v>0.21</v>
      </c>
      <c r="F23" s="11" t="n">
        <v>0.19</v>
      </c>
      <c r="G23" s="11" t="n">
        <v>0.17</v>
      </c>
    </row>
    <row r="24" customFormat="false" ht="15" hidden="false" customHeight="false" outlineLevel="0" collapsed="false">
      <c r="A24" s="3" t="s">
        <v>43</v>
      </c>
      <c r="B24" s="10" t="s">
        <v>26</v>
      </c>
      <c r="C24" s="11" t="n">
        <v>0.1</v>
      </c>
      <c r="D24" s="11" t="n">
        <v>0.1</v>
      </c>
      <c r="E24" s="11" t="n">
        <v>0.1</v>
      </c>
      <c r="F24" s="11" t="n">
        <v>0.1</v>
      </c>
      <c r="G24" s="11" t="n">
        <v>0.1</v>
      </c>
    </row>
    <row r="25" customFormat="false" ht="15" hidden="false" customHeight="false" outlineLevel="0" collapsed="false">
      <c r="A25" s="9" t="s">
        <v>44</v>
      </c>
    </row>
    <row r="26" customFormat="false" ht="15" hidden="false" customHeight="false" outlineLevel="0" collapsed="false">
      <c r="A26" s="3" t="s">
        <v>45</v>
      </c>
      <c r="B26" s="14" t="s">
        <v>46</v>
      </c>
      <c r="C26" s="15" t="n">
        <v>52</v>
      </c>
      <c r="D26" s="15" t="n">
        <v>52</v>
      </c>
      <c r="E26" s="15" t="n">
        <v>51</v>
      </c>
      <c r="F26" s="15" t="n">
        <v>50</v>
      </c>
      <c r="G26" s="15" t="n">
        <v>50</v>
      </c>
    </row>
    <row r="27" customFormat="false" ht="15" hidden="false" customHeight="false" outlineLevel="0" collapsed="false">
      <c r="A27" s="3" t="s">
        <v>47</v>
      </c>
      <c r="B27" s="14" t="s">
        <v>48</v>
      </c>
      <c r="C27" s="15" t="n">
        <v>108</v>
      </c>
      <c r="D27" s="15" t="n">
        <v>106</v>
      </c>
      <c r="E27" s="15" t="n">
        <v>104</v>
      </c>
      <c r="F27" s="15" t="n">
        <v>102</v>
      </c>
      <c r="G27" s="15" t="n">
        <v>100</v>
      </c>
    </row>
    <row r="28" customFormat="false" ht="15" hidden="false" customHeight="false" outlineLevel="0" collapsed="false">
      <c r="A28" s="3" t="s">
        <v>49</v>
      </c>
      <c r="B28" s="14" t="s">
        <v>48</v>
      </c>
      <c r="C28" s="15" t="n">
        <v>75</v>
      </c>
      <c r="D28" s="15" t="n">
        <v>74</v>
      </c>
      <c r="E28" s="15" t="n">
        <v>73</v>
      </c>
      <c r="F28" s="15" t="n">
        <v>72</v>
      </c>
      <c r="G28" s="15" t="n">
        <v>72</v>
      </c>
    </row>
    <row r="29" customFormat="false" ht="15" hidden="false" customHeight="false" outlineLevel="0" collapsed="false">
      <c r="A29" s="3" t="s">
        <v>50</v>
      </c>
      <c r="B29" s="10" t="s">
        <v>22</v>
      </c>
      <c r="C29" s="11" t="n">
        <v>0.032</v>
      </c>
      <c r="D29" s="11" t="n">
        <v>0.032</v>
      </c>
      <c r="E29" s="11" t="n">
        <v>0.032</v>
      </c>
      <c r="F29" s="11" t="n">
        <v>0.032</v>
      </c>
      <c r="G29" s="11" t="n">
        <v>0.032</v>
      </c>
    </row>
    <row r="30" customFormat="false" ht="15" hidden="false" customHeight="false" outlineLevel="0" collapsed="false">
      <c r="A30" s="3" t="s">
        <v>51</v>
      </c>
      <c r="B30" s="12" t="s">
        <v>52</v>
      </c>
      <c r="C30" s="13" t="n">
        <v>220</v>
      </c>
      <c r="D30" s="13" t="n">
        <v>220</v>
      </c>
      <c r="E30" s="13" t="n">
        <v>220</v>
      </c>
      <c r="F30" s="13" t="n">
        <v>220</v>
      </c>
      <c r="G30" s="13" t="n">
        <v>220</v>
      </c>
    </row>
    <row r="31" customFormat="false" ht="15" hidden="false" customHeight="false" outlineLevel="0" collapsed="false">
      <c r="A31" s="3" t="s">
        <v>53</v>
      </c>
      <c r="B31" s="10" t="s">
        <v>22</v>
      </c>
      <c r="C31" s="11" t="n">
        <v>0.018</v>
      </c>
      <c r="D31" s="11" t="n">
        <v>0.018</v>
      </c>
      <c r="E31" s="11" t="n">
        <v>0.018</v>
      </c>
      <c r="F31" s="11" t="n">
        <v>0.018</v>
      </c>
      <c r="G31" s="11" t="n">
        <v>0.018</v>
      </c>
    </row>
    <row r="32" customFormat="false" ht="15" hidden="false" customHeight="false" outlineLevel="0" collapsed="false">
      <c r="A32" s="3" t="s">
        <v>54</v>
      </c>
      <c r="B32" s="10" t="s">
        <v>55</v>
      </c>
      <c r="C32" s="11" t="n">
        <v>0.06</v>
      </c>
      <c r="D32" s="11" t="n">
        <v>0.06</v>
      </c>
      <c r="E32" s="11" t="n">
        <v>0.06</v>
      </c>
      <c r="F32" s="11" t="n">
        <v>0.06</v>
      </c>
      <c r="G32" s="11" t="n">
        <v>0.06</v>
      </c>
    </row>
    <row r="33" customFormat="false" ht="15" hidden="false" customHeight="false" outlineLevel="0" collapsed="false">
      <c r="A33" s="3" t="s">
        <v>56</v>
      </c>
      <c r="B33" s="12" t="s">
        <v>52</v>
      </c>
      <c r="C33" s="13" t="n">
        <v>115</v>
      </c>
      <c r="D33" s="13" t="n">
        <v>115</v>
      </c>
      <c r="E33" s="13" t="n">
        <v>115</v>
      </c>
      <c r="F33" s="13" t="n">
        <v>115</v>
      </c>
      <c r="G33" s="13" t="n">
        <v>115</v>
      </c>
    </row>
    <row r="34" customFormat="false" ht="15" hidden="false" customHeight="false" outlineLevel="0" collapsed="false">
      <c r="A34" s="3" t="s">
        <v>57</v>
      </c>
      <c r="B34" s="12" t="s">
        <v>52</v>
      </c>
      <c r="C34" s="13" t="n">
        <v>130</v>
      </c>
      <c r="D34" s="13" t="n">
        <v>130</v>
      </c>
      <c r="E34" s="13" t="n">
        <v>130</v>
      </c>
      <c r="F34" s="13" t="n">
        <v>130</v>
      </c>
      <c r="G34" s="13" t="n">
        <v>130</v>
      </c>
    </row>
    <row r="35" customFormat="false" ht="15" hidden="false" customHeight="false" outlineLevel="0" collapsed="false">
      <c r="A35" s="9" t="s">
        <v>58</v>
      </c>
    </row>
    <row r="36" customFormat="false" ht="15" hidden="false" customHeight="false" outlineLevel="0" collapsed="false">
      <c r="A36" s="3" t="s">
        <v>59</v>
      </c>
      <c r="B36" s="10" t="s">
        <v>60</v>
      </c>
      <c r="C36" s="11" t="n">
        <v>0.25168</v>
      </c>
      <c r="D36" s="11" t="n">
        <v>0.25168</v>
      </c>
      <c r="E36" s="11" t="n">
        <v>0.25168</v>
      </c>
      <c r="F36" s="11" t="n">
        <v>0.25168</v>
      </c>
      <c r="G36" s="11" t="n">
        <v>0.25168</v>
      </c>
    </row>
    <row r="37" customFormat="false" ht="15" hidden="false" customHeight="false" outlineLevel="0" collapsed="false">
      <c r="A37" s="3" t="s">
        <v>61</v>
      </c>
      <c r="B37" s="14" t="s">
        <v>62</v>
      </c>
      <c r="C37" s="15" t="n">
        <v>365</v>
      </c>
      <c r="D37" s="15" t="n">
        <v>365</v>
      </c>
      <c r="E37" s="15" t="n">
        <v>365</v>
      </c>
      <c r="F37" s="15" t="n">
        <v>365</v>
      </c>
      <c r="G37" s="15" t="n">
        <v>365</v>
      </c>
    </row>
    <row r="38" customFormat="false" ht="15" hidden="false" customHeight="false" outlineLevel="0" collapsed="false">
      <c r="A38" s="3" t="s">
        <v>63</v>
      </c>
      <c r="B38" s="10" t="s">
        <v>64</v>
      </c>
      <c r="C38" s="11" t="n">
        <v>0</v>
      </c>
      <c r="D38" s="11" t="n">
        <v>0.15</v>
      </c>
      <c r="E38" s="11" t="n">
        <v>0.2</v>
      </c>
      <c r="F38" s="11" t="n">
        <v>0.25</v>
      </c>
      <c r="G38" s="11" t="n">
        <v>0.25</v>
      </c>
    </row>
    <row r="40" customFormat="false" ht="31.5" hidden="false" customHeight="true" outlineLevel="0" collapsed="false">
      <c r="A40" s="16" t="s">
        <v>65</v>
      </c>
    </row>
    <row r="41" customFormat="false" ht="31.5" hidden="false" customHeight="true" outlineLevel="0" collapsed="false">
      <c r="A41" s="16" t="s">
        <v>66</v>
      </c>
    </row>
    <row r="42" customFormat="false" ht="31.5" hidden="false" customHeight="true" outlineLevel="0" collapsed="false">
      <c r="A42" s="16" t="s">
        <v>67</v>
      </c>
    </row>
    <row r="44" customFormat="false" ht="15" hidden="false" customHeight="false" outlineLevel="0" collapsed="false">
      <c r="A44" s="17" t="s">
        <v>68</v>
      </c>
    </row>
    <row r="45" customFormat="false" ht="15" hidden="false" customHeight="false" outlineLevel="0" collapsed="false">
      <c r="A45" s="17"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7" min="3" style="1" width="15"/>
  </cols>
  <sheetData>
    <row r="1" customFormat="false" ht="15" hidden="false" customHeight="false" outlineLevel="0" collapsed="false">
      <c r="A1" s="4" t="s">
        <v>0</v>
      </c>
    </row>
    <row r="2" customFormat="false" ht="15" hidden="false" customHeight="false" outlineLevel="0" collapsed="false">
      <c r="A2" s="5" t="s">
        <v>70</v>
      </c>
    </row>
    <row r="3" customFormat="false" ht="15" hidden="false" customHeight="false" outlineLevel="0" collapsed="false">
      <c r="A3" s="3" t="s">
        <v>4</v>
      </c>
    </row>
    <row r="5" customFormat="false" ht="30" hidden="false" customHeight="true" outlineLevel="0" collapsed="false">
      <c r="A5" s="7" t="s">
        <v>71</v>
      </c>
      <c r="B5" s="8" t="s">
        <v>72</v>
      </c>
      <c r="C5" s="8" t="s">
        <v>73</v>
      </c>
      <c r="D5" s="8" t="s">
        <v>74</v>
      </c>
      <c r="E5" s="8" t="s">
        <v>75</v>
      </c>
      <c r="F5" s="8" t="s">
        <v>76</v>
      </c>
      <c r="G5" s="8" t="s">
        <v>77</v>
      </c>
    </row>
    <row r="6" customFormat="false" ht="15" hidden="false" customHeight="false" outlineLevel="0" collapsed="false">
      <c r="A6" s="3" t="s">
        <v>78</v>
      </c>
      <c r="B6" s="13" t="n">
        <v>11400</v>
      </c>
      <c r="C6" s="18" t="n">
        <f aca="false">B6*(1+Assumptions!C7)</f>
        <v>13452</v>
      </c>
      <c r="D6" s="18" t="n">
        <f aca="false">C6*(1+Assumptions!D7)</f>
        <v>15604.32</v>
      </c>
      <c r="E6" s="18" t="n">
        <f aca="false">D6*(1+Assumptions!E7)</f>
        <v>17788.9248</v>
      </c>
      <c r="F6" s="18" t="n">
        <f aca="false">E6*(1+Assumptions!F7)</f>
        <v>19923.595776</v>
      </c>
      <c r="G6" s="18" t="n">
        <f aca="false">F6*(1+Assumptions!G7)</f>
        <v>21915.9553536</v>
      </c>
    </row>
    <row r="7" customFormat="false" ht="15" hidden="false" customHeight="false" outlineLevel="0" collapsed="false">
      <c r="A7" s="3" t="s">
        <v>79</v>
      </c>
      <c r="B7" s="13" t="n">
        <v>55</v>
      </c>
      <c r="C7" s="18" t="n">
        <f aca="false">'Projected Balance Sheet'!B26*Assumptions!C11</f>
        <v>44.65</v>
      </c>
      <c r="D7" s="18" t="n">
        <f aca="false">'Projected Balance Sheet'!C26*Assumptions!D11</f>
        <v>72.1435230668778</v>
      </c>
      <c r="E7" s="18" t="n">
        <f aca="false">'Projected Balance Sheet'!D26*Assumptions!E11</f>
        <v>91.9363692248596</v>
      </c>
      <c r="F7" s="18" t="n">
        <f aca="false">'Projected Balance Sheet'!E26*Assumptions!F11</f>
        <v>119.754573012035</v>
      </c>
      <c r="G7" s="18" t="n">
        <f aca="false">'Projected Balance Sheet'!F26*Assumptions!G11</f>
        <v>160.715814683257</v>
      </c>
    </row>
    <row r="8" customFormat="false" ht="15" hidden="false" customHeight="false" outlineLevel="0" collapsed="false">
      <c r="A8" s="9" t="s">
        <v>80</v>
      </c>
      <c r="B8" s="19" t="n">
        <f aca="false">B6+B7</f>
        <v>11455</v>
      </c>
      <c r="C8" s="19" t="n">
        <f aca="false">C6+C7</f>
        <v>13496.65</v>
      </c>
      <c r="D8" s="19" t="n">
        <f aca="false">D6+D7</f>
        <v>15676.4635230669</v>
      </c>
      <c r="E8" s="19" t="n">
        <f aca="false">E6+E7</f>
        <v>17880.8611692249</v>
      </c>
      <c r="F8" s="19" t="n">
        <f aca="false">F6+F7</f>
        <v>20043.350349012</v>
      </c>
      <c r="G8" s="19" t="n">
        <f aca="false">G6+G7</f>
        <v>22076.6711682833</v>
      </c>
    </row>
    <row r="10" customFormat="false" ht="15" hidden="false" customHeight="false" outlineLevel="0" collapsed="false">
      <c r="A10" s="3" t="s">
        <v>81</v>
      </c>
      <c r="B10" s="13" t="n">
        <v>6010</v>
      </c>
      <c r="C10" s="18" t="n">
        <f aca="false">C6*Assumptions!C8</f>
        <v>7102.656</v>
      </c>
      <c r="D10" s="18" t="n">
        <f aca="false">D6*Assumptions!D8</f>
        <v>8207.87232</v>
      </c>
      <c r="E10" s="18" t="n">
        <f aca="false">E6*Assumptions!E8</f>
        <v>9339.18552</v>
      </c>
      <c r="F10" s="18" t="n">
        <f aca="false">F6*Assumptions!F8</f>
        <v>10439.964186624</v>
      </c>
      <c r="G10" s="18" t="n">
        <f aca="false">G6*Assumptions!G8</f>
        <v>11462.0446499328</v>
      </c>
    </row>
    <row r="11" customFormat="false" ht="15" hidden="false" customHeight="false" outlineLevel="0" collapsed="false">
      <c r="A11" s="3" t="s">
        <v>23</v>
      </c>
      <c r="B11" s="13" t="n">
        <v>1410</v>
      </c>
      <c r="C11" s="18" t="n">
        <f aca="false">C6*Assumptions!C9</f>
        <v>1654.596</v>
      </c>
      <c r="D11" s="18" t="n">
        <f aca="false">D6*Assumptions!D9</f>
        <v>1903.72704</v>
      </c>
      <c r="E11" s="18" t="n">
        <f aca="false">E6*Assumptions!E9</f>
        <v>2152.4599008</v>
      </c>
      <c r="F11" s="18" t="n">
        <f aca="false">F6*Assumptions!F9</f>
        <v>2390.83149312</v>
      </c>
      <c r="G11" s="18" t="n">
        <f aca="false">G6*Assumptions!G9</f>
        <v>2629.914642432</v>
      </c>
    </row>
    <row r="12" customFormat="false" ht="15" hidden="false" customHeight="false" outlineLevel="0" collapsed="false">
      <c r="A12" s="3" t="s">
        <v>24</v>
      </c>
      <c r="B12" s="13" t="n">
        <v>2420</v>
      </c>
      <c r="C12" s="18" t="n">
        <f aca="false">C6*Assumptions!C10</f>
        <v>2824.92</v>
      </c>
      <c r="D12" s="18" t="n">
        <f aca="false">D6*Assumptions!D10</f>
        <v>3245.69856</v>
      </c>
      <c r="E12" s="18" t="n">
        <f aca="false">E6*Assumptions!E10</f>
        <v>3664.5185088</v>
      </c>
      <c r="F12" s="18" t="n">
        <f aca="false">F6*Assumptions!F10</f>
        <v>4084.33713408</v>
      </c>
      <c r="G12" s="18" t="n">
        <f aca="false">G6*Assumptions!G10</f>
        <v>4470.8548921344</v>
      </c>
    </row>
    <row r="13" customFormat="false" ht="15" hidden="false" customHeight="false" outlineLevel="0" collapsed="false">
      <c r="A13" s="9" t="s">
        <v>82</v>
      </c>
      <c r="B13" s="19" t="n">
        <f aca="false">B6-B10-B11-B12</f>
        <v>1560</v>
      </c>
      <c r="C13" s="19" t="n">
        <f aca="false">C6-C10-C11-C12</f>
        <v>1869.828</v>
      </c>
      <c r="D13" s="19" t="n">
        <f aca="false">D6-D10-D11-D12</f>
        <v>2247.02208</v>
      </c>
      <c r="E13" s="19" t="n">
        <f aca="false">E6-E10-E11-E12</f>
        <v>2632.7608704</v>
      </c>
      <c r="F13" s="19" t="n">
        <f aca="false">F6-F10-F11-F12</f>
        <v>3008.462962176</v>
      </c>
      <c r="G13" s="19" t="n">
        <f aca="false">G6-G10-G11-G12</f>
        <v>3353.1411691008</v>
      </c>
    </row>
    <row r="14" customFormat="false" ht="15" hidden="false" customHeight="false" outlineLevel="0" collapsed="false">
      <c r="A14" s="3" t="s">
        <v>83</v>
      </c>
      <c r="B14" s="18" t="n">
        <f aca="false">'Fixed Assets'!B22</f>
        <v>360</v>
      </c>
      <c r="C14" s="18" t="n">
        <f aca="false">'Fixed Assets'!C22</f>
        <v>418.875</v>
      </c>
      <c r="D14" s="18" t="n">
        <f aca="false">'Fixed Assets'!D22</f>
        <v>447.553125</v>
      </c>
      <c r="E14" s="18" t="n">
        <f aca="false">'Fixed Assets'!E22</f>
        <v>451.695046875</v>
      </c>
      <c r="F14" s="18" t="n">
        <f aca="false">'Fixed Assets'!F22</f>
        <v>452.777066953125</v>
      </c>
      <c r="G14" s="18" t="n">
        <f aca="false">'Fixed Assets'!G22</f>
        <v>451.120474923047</v>
      </c>
    </row>
    <row r="15" customFormat="false" ht="15" hidden="false" customHeight="false" outlineLevel="0" collapsed="false">
      <c r="A15" s="9" t="s">
        <v>84</v>
      </c>
      <c r="B15" s="19" t="n">
        <f aca="false">B13-B14</f>
        <v>1200</v>
      </c>
      <c r="C15" s="19" t="n">
        <f aca="false">C13-C14</f>
        <v>1450.953</v>
      </c>
      <c r="D15" s="19" t="n">
        <f aca="false">D13-D14</f>
        <v>1799.468955</v>
      </c>
      <c r="E15" s="19" t="n">
        <f aca="false">E13-E14</f>
        <v>2181.065823525</v>
      </c>
      <c r="F15" s="19" t="n">
        <f aca="false">F13-F14</f>
        <v>2555.68589522288</v>
      </c>
      <c r="G15" s="19" t="n">
        <f aca="false">G13-G14</f>
        <v>2902.02069417775</v>
      </c>
    </row>
    <row r="16" customFormat="false" ht="15" hidden="false" customHeight="false" outlineLevel="0" collapsed="false">
      <c r="A16" s="3" t="s">
        <v>85</v>
      </c>
      <c r="B16" s="13" t="n">
        <v>290</v>
      </c>
      <c r="C16" s="18" t="n">
        <f aca="false">'Debt Schedule'!C17</f>
        <v>244.613213972603</v>
      </c>
      <c r="D16" s="18" t="n">
        <f aca="false">'Debt Schedule'!D17</f>
        <v>245.190692652274</v>
      </c>
      <c r="E16" s="18" t="n">
        <f aca="false">'Debt Schedule'!E17</f>
        <v>223.104320647452</v>
      </c>
      <c r="F16" s="18" t="n">
        <f aca="false">'Debt Schedule'!F17</f>
        <v>197.8707687909</v>
      </c>
      <c r="G16" s="18" t="n">
        <f aca="false">'Debt Schedule'!G17</f>
        <v>170.142437720991</v>
      </c>
    </row>
    <row r="17" customFormat="false" ht="15" hidden="false" customHeight="false" outlineLevel="0" collapsed="false">
      <c r="A17" s="9" t="s">
        <v>86</v>
      </c>
      <c r="B17" s="19" t="n">
        <f aca="false">B15-B16+B7</f>
        <v>965</v>
      </c>
      <c r="C17" s="19" t="n">
        <f aca="false">C15-C16+C7</f>
        <v>1250.9897860274</v>
      </c>
      <c r="D17" s="19" t="n">
        <f aca="false">D15-D16+D7</f>
        <v>1626.4217854146</v>
      </c>
      <c r="E17" s="19" t="n">
        <f aca="false">E15-E16+E7</f>
        <v>2049.89787210241</v>
      </c>
      <c r="F17" s="19" t="n">
        <f aca="false">F15-F16+F7</f>
        <v>2477.56969944401</v>
      </c>
      <c r="G17" s="19" t="n">
        <f aca="false">G15-G16+G7</f>
        <v>2892.59407114002</v>
      </c>
    </row>
    <row r="18" customFormat="false" ht="15" hidden="false" customHeight="false" outlineLevel="0" collapsed="false">
      <c r="A18" s="3" t="s">
        <v>87</v>
      </c>
      <c r="B18" s="13" t="n">
        <v>270</v>
      </c>
      <c r="C18" s="18" t="n">
        <f aca="false">MAX(0,C17)*Assumptions!C36</f>
        <v>314.849109347375</v>
      </c>
      <c r="D18" s="18" t="n">
        <f aca="false">MAX(0,D17)*Assumptions!D36</f>
        <v>409.337834953148</v>
      </c>
      <c r="E18" s="18" t="n">
        <f aca="false">MAX(0,E17)*Assumptions!E36</f>
        <v>515.918296450734</v>
      </c>
      <c r="F18" s="18" t="n">
        <f aca="false">MAX(0,F17)*Assumptions!F36</f>
        <v>623.554741956069</v>
      </c>
      <c r="G18" s="18" t="n">
        <f aca="false">MAX(0,G17)*Assumptions!G36</f>
        <v>728.00807582452</v>
      </c>
    </row>
    <row r="19" customFormat="false" ht="15" hidden="false" customHeight="false" outlineLevel="0" collapsed="false">
      <c r="A19" s="9" t="s">
        <v>88</v>
      </c>
      <c r="B19" s="20" t="n">
        <f aca="false">B17-B18</f>
        <v>695</v>
      </c>
      <c r="C19" s="20" t="n">
        <f aca="false">C17-C18</f>
        <v>936.140676680022</v>
      </c>
      <c r="D19" s="20" t="n">
        <f aca="false">D17-D18</f>
        <v>1217.08395046146</v>
      </c>
      <c r="E19" s="20" t="n">
        <f aca="false">E17-E18</f>
        <v>1533.97957565167</v>
      </c>
      <c r="F19" s="20" t="n">
        <f aca="false">F17-F18</f>
        <v>1854.01495748794</v>
      </c>
      <c r="G19" s="20" t="n">
        <f aca="false">G17-G18</f>
        <v>2164.5859953155</v>
      </c>
    </row>
    <row r="20" customFormat="false" ht="15" hidden="false" customHeight="false" outlineLevel="0" collapsed="false">
      <c r="A20" s="3" t="s">
        <v>89</v>
      </c>
      <c r="B20" s="13" t="n">
        <v>0</v>
      </c>
      <c r="C20" s="18" t="n">
        <f aca="false">C19*Assumptions!C38</f>
        <v>0</v>
      </c>
      <c r="D20" s="18" t="n">
        <f aca="false">D19*Assumptions!D38</f>
        <v>182.562592569218</v>
      </c>
      <c r="E20" s="18" t="n">
        <f aca="false">E19*Assumptions!E38</f>
        <v>306.795915130335</v>
      </c>
      <c r="F20" s="18" t="n">
        <f aca="false">F19*Assumptions!F38</f>
        <v>463.503739371985</v>
      </c>
      <c r="G20" s="18" t="n">
        <f aca="false">G19*Assumptions!G38</f>
        <v>541.146498828875</v>
      </c>
    </row>
    <row r="21" customFormat="false" ht="15" hidden="false" customHeight="false" outlineLevel="0" collapsed="false">
      <c r="A21" s="9" t="s">
        <v>90</v>
      </c>
      <c r="B21" s="19" t="n">
        <f aca="false">B19-B20</f>
        <v>695</v>
      </c>
      <c r="C21" s="19" t="n">
        <f aca="false">C19-C20</f>
        <v>936.140676680022</v>
      </c>
      <c r="D21" s="19" t="n">
        <f aca="false">D19-D20</f>
        <v>1034.52135789224</v>
      </c>
      <c r="E21" s="19" t="n">
        <f aca="false">E19-E20</f>
        <v>1227.18366052134</v>
      </c>
      <c r="F21" s="19" t="n">
        <f aca="false">F19-F20</f>
        <v>1390.51121811596</v>
      </c>
      <c r="G21" s="19" t="n">
        <f aca="false">G19-G20</f>
        <v>1623.43949648662</v>
      </c>
    </row>
    <row r="23" customFormat="false" ht="15" hidden="false" customHeight="false" outlineLevel="0" collapsed="false">
      <c r="A23" s="9" t="s">
        <v>91</v>
      </c>
    </row>
    <row r="24" customFormat="false" ht="15" hidden="false" customHeight="false" outlineLevel="0" collapsed="false">
      <c r="A24" s="3" t="s">
        <v>92</v>
      </c>
      <c r="C24" s="21" t="n">
        <f aca="false">IF(B6=0,0,C6/B6-1)</f>
        <v>0.18</v>
      </c>
      <c r="D24" s="21" t="n">
        <f aca="false">IF(C6=0,0,D6/C6-1)</f>
        <v>0.16</v>
      </c>
      <c r="E24" s="21" t="n">
        <f aca="false">IF(D6=0,0,E6/D6-1)</f>
        <v>0.14</v>
      </c>
      <c r="F24" s="21" t="n">
        <f aca="false">IF(E6=0,0,F6/E6-1)</f>
        <v>0.12</v>
      </c>
      <c r="G24" s="21" t="n">
        <f aca="false">IF(F6=0,0,G6/F6-1)</f>
        <v>0.1</v>
      </c>
    </row>
    <row r="25" customFormat="false" ht="15" hidden="false" customHeight="false" outlineLevel="0" collapsed="false">
      <c r="A25" s="3" t="s">
        <v>93</v>
      </c>
      <c r="B25" s="21" t="n">
        <f aca="false">IF(B6=0,0,B13/B6)</f>
        <v>0.136842105263158</v>
      </c>
      <c r="C25" s="21" t="n">
        <f aca="false">IF(C6=0,0,C13/C6)</f>
        <v>0.139</v>
      </c>
      <c r="D25" s="21" t="n">
        <f aca="false">IF(D6=0,0,D13/D6)</f>
        <v>0.144</v>
      </c>
      <c r="E25" s="21" t="n">
        <f aca="false">IF(E6=0,0,E13/E6)</f>
        <v>0.148</v>
      </c>
      <c r="F25" s="21" t="n">
        <f aca="false">IF(F6=0,0,F13/F6)</f>
        <v>0.151</v>
      </c>
      <c r="G25" s="21" t="n">
        <f aca="false">IF(G6=0,0,G13/G6)</f>
        <v>0.153</v>
      </c>
    </row>
    <row r="26" customFormat="false" ht="15" hidden="false" customHeight="false" outlineLevel="0" collapsed="false">
      <c r="A26" s="3" t="s">
        <v>94</v>
      </c>
      <c r="B26" s="21" t="n">
        <f aca="false">IF(B6=0,0,B19/B6)</f>
        <v>0.0609649122807018</v>
      </c>
      <c r="C26" s="21" t="n">
        <f aca="false">IF(C6=0,0,C19/C6)</f>
        <v>0.0695911891674117</v>
      </c>
      <c r="D26" s="21" t="n">
        <f aca="false">IF(D6=0,0,D19/D6)</f>
        <v>0.0779966028933947</v>
      </c>
      <c r="E26" s="21" t="n">
        <f aca="false">IF(E6=0,0,E19/E6)</f>
        <v>0.0862322817650943</v>
      </c>
      <c r="F26" s="21" t="n">
        <f aca="false">IF(F6=0,0,F19/F6)</f>
        <v>0.0930562423737432</v>
      </c>
      <c r="G26" s="21" t="n">
        <f aca="false">IF(G6=0,0,G19/G6)</f>
        <v>0.0987675855508592</v>
      </c>
    </row>
    <row r="28" customFormat="false" ht="15" hidden="false" customHeight="false" outlineLevel="0" collapsed="false">
      <c r="A28" s="17" t="s">
        <v>68</v>
      </c>
    </row>
    <row r="29" customFormat="false" ht="15" hidden="false" customHeight="false" outlineLevel="0" collapsed="false">
      <c r="A29" s="17" t="s">
        <v>69</v>
      </c>
    </row>
    <row r="30" customFormat="false" ht="15" hidden="false" customHeight="false" outlineLevel="0" collapsed="false">
      <c r="A30" s="17"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7" min="3" style="1" width="15"/>
  </cols>
  <sheetData>
    <row r="1" customFormat="false" ht="15" hidden="false" customHeight="false" outlineLevel="0" collapsed="false">
      <c r="A1" s="4" t="s">
        <v>0</v>
      </c>
    </row>
    <row r="2" customFormat="false" ht="15" hidden="false" customHeight="false" outlineLevel="0" collapsed="false">
      <c r="A2" s="5" t="s">
        <v>96</v>
      </c>
    </row>
    <row r="3" customFormat="false" ht="15" hidden="false" customHeight="false" outlineLevel="0" collapsed="false">
      <c r="A3" s="3" t="s">
        <v>4</v>
      </c>
    </row>
    <row r="5" customFormat="false" ht="30" hidden="false" customHeight="true" outlineLevel="0" collapsed="false">
      <c r="A5" s="7" t="s">
        <v>71</v>
      </c>
      <c r="B5" s="8" t="s">
        <v>72</v>
      </c>
      <c r="C5" s="8" t="s">
        <v>73</v>
      </c>
      <c r="D5" s="8" t="s">
        <v>74</v>
      </c>
      <c r="E5" s="8" t="s">
        <v>75</v>
      </c>
      <c r="F5" s="8" t="s">
        <v>76</v>
      </c>
      <c r="G5" s="8" t="s">
        <v>77</v>
      </c>
    </row>
    <row r="6" customFormat="false" ht="15" hidden="false" customHeight="false" outlineLevel="0" collapsed="false">
      <c r="A6" s="9" t="s">
        <v>97</v>
      </c>
    </row>
    <row r="7" customFormat="false" ht="15" hidden="false" customHeight="false" outlineLevel="0" collapsed="false">
      <c r="A7" s="3" t="s">
        <v>98</v>
      </c>
      <c r="B7" s="13" t="n">
        <v>800</v>
      </c>
      <c r="C7" s="22" t="n">
        <f aca="false">B7</f>
        <v>800</v>
      </c>
      <c r="D7" s="22" t="n">
        <f aca="false">C7</f>
        <v>800</v>
      </c>
      <c r="E7" s="22" t="n">
        <f aca="false">D7</f>
        <v>800</v>
      </c>
      <c r="F7" s="22" t="n">
        <f aca="false">E7</f>
        <v>800</v>
      </c>
      <c r="G7" s="22" t="n">
        <f aca="false">F7</f>
        <v>800</v>
      </c>
    </row>
    <row r="8" customFormat="false" ht="15" hidden="false" customHeight="false" outlineLevel="0" collapsed="false">
      <c r="A8" s="3" t="s">
        <v>99</v>
      </c>
      <c r="B8" s="13" t="n">
        <v>3613</v>
      </c>
      <c r="C8" s="18" t="n">
        <f aca="false">B8+'Projected P&amp;L'!C21</f>
        <v>4549.14067668002</v>
      </c>
      <c r="D8" s="18" t="n">
        <f aca="false">C8+'Projected P&amp;L'!D21</f>
        <v>5583.66203457226</v>
      </c>
      <c r="E8" s="18" t="n">
        <f aca="false">D8+'Projected P&amp;L'!E21</f>
        <v>6810.8456950936</v>
      </c>
      <c r="F8" s="18" t="n">
        <f aca="false">E8+'Projected P&amp;L'!F21</f>
        <v>8201.35691320955</v>
      </c>
      <c r="G8" s="18" t="n">
        <f aca="false">F8+'Projected P&amp;L'!G21</f>
        <v>9824.79640969618</v>
      </c>
    </row>
    <row r="9" customFormat="false" ht="15" hidden="false" customHeight="false" outlineLevel="0" collapsed="false">
      <c r="A9" s="9" t="s">
        <v>100</v>
      </c>
      <c r="B9" s="19" t="n">
        <f aca="false">B7+B8</f>
        <v>4413</v>
      </c>
      <c r="C9" s="19" t="n">
        <f aca="false">C7+C8</f>
        <v>5349.14067668002</v>
      </c>
      <c r="D9" s="19" t="n">
        <f aca="false">D7+D8</f>
        <v>6383.66203457226</v>
      </c>
      <c r="E9" s="19" t="n">
        <f aca="false">E7+E8</f>
        <v>7610.8456950936</v>
      </c>
      <c r="F9" s="19" t="n">
        <f aca="false">F7+F8</f>
        <v>9001.35691320955</v>
      </c>
      <c r="G9" s="19" t="n">
        <f aca="false">G7+G8</f>
        <v>10624.7964096962</v>
      </c>
    </row>
    <row r="10" customFormat="false" ht="15" hidden="false" customHeight="false" outlineLevel="0" collapsed="false">
      <c r="A10" s="3" t="s">
        <v>101</v>
      </c>
      <c r="B10" s="18" t="n">
        <f aca="false">'Debt Schedule'!B10</f>
        <v>1555</v>
      </c>
      <c r="C10" s="18" t="n">
        <f aca="false">'Debt Schedule'!C10</f>
        <v>1675</v>
      </c>
      <c r="D10" s="18" t="n">
        <f aca="false">'Debt Schedule'!D10</f>
        <v>1395</v>
      </c>
      <c r="E10" s="18" t="n">
        <f aca="false">'Debt Schedule'!E10</f>
        <v>1115</v>
      </c>
      <c r="F10" s="18" t="n">
        <f aca="false">'Debt Schedule'!F10</f>
        <v>835</v>
      </c>
      <c r="G10" s="18" t="n">
        <f aca="false">'Debt Schedule'!G10</f>
        <v>555</v>
      </c>
    </row>
    <row r="11" customFormat="false" ht="15" hidden="false" customHeight="false" outlineLevel="0" collapsed="false">
      <c r="A11" s="3" t="s">
        <v>102</v>
      </c>
      <c r="B11" s="18" t="n">
        <f aca="false">'Working Capital'!B14</f>
        <v>130</v>
      </c>
      <c r="C11" s="18" t="n">
        <f aca="false">'Working Capital'!C14</f>
        <v>130</v>
      </c>
      <c r="D11" s="18" t="n">
        <f aca="false">'Working Capital'!D14</f>
        <v>130</v>
      </c>
      <c r="E11" s="18" t="n">
        <f aca="false">'Working Capital'!E14</f>
        <v>130</v>
      </c>
      <c r="F11" s="18" t="n">
        <f aca="false">'Working Capital'!F14</f>
        <v>130</v>
      </c>
      <c r="G11" s="18" t="n">
        <f aca="false">'Working Capital'!G14</f>
        <v>130</v>
      </c>
    </row>
    <row r="12" customFormat="false" ht="15" hidden="false" customHeight="false" outlineLevel="0" collapsed="false">
      <c r="A12" s="3" t="s">
        <v>103</v>
      </c>
      <c r="B12" s="18" t="n">
        <f aca="false">'Working Capital'!B12</f>
        <v>85</v>
      </c>
      <c r="C12" s="18" t="n">
        <f aca="false">'Working Capital'!C12</f>
        <v>99.27576</v>
      </c>
      <c r="D12" s="18" t="n">
        <f aca="false">'Working Capital'!D12</f>
        <v>114.2236224</v>
      </c>
      <c r="E12" s="18" t="n">
        <f aca="false">'Working Capital'!E12</f>
        <v>129.147594048</v>
      </c>
      <c r="F12" s="18" t="n">
        <f aca="false">'Working Capital'!F12</f>
        <v>143.4498895872</v>
      </c>
      <c r="G12" s="18" t="n">
        <f aca="false">'Working Capital'!G12</f>
        <v>157.79487854592</v>
      </c>
    </row>
    <row r="13" customFormat="false" ht="15" hidden="false" customHeight="false" outlineLevel="0" collapsed="false">
      <c r="A13" s="3" t="s">
        <v>104</v>
      </c>
      <c r="B13" s="18" t="n">
        <f aca="false">'Debt Schedule'!B14</f>
        <v>900</v>
      </c>
      <c r="C13" s="18" t="n">
        <f aca="false">'Debt Schedule'!C14</f>
        <v>1004.51427945205</v>
      </c>
      <c r="D13" s="18" t="n">
        <f aca="false">'Debt Schedule'!D14</f>
        <v>1059.54957359342</v>
      </c>
      <c r="E13" s="18" t="n">
        <f aca="false">'Debt Schedule'!E14</f>
        <v>1080.78683935562</v>
      </c>
      <c r="F13" s="18" t="n">
        <f aca="false">'Debt Schedule'!F14</f>
        <v>1072.87853646239</v>
      </c>
      <c r="G13" s="18" t="n">
        <f aca="false">'Debt Schedule'!G14</f>
        <v>1044.22021795742</v>
      </c>
    </row>
    <row r="14" customFormat="false" ht="15" hidden="false" customHeight="false" outlineLevel="0" collapsed="false">
      <c r="A14" s="3" t="s">
        <v>105</v>
      </c>
      <c r="B14" s="18" t="n">
        <f aca="false">'Working Capital'!B10</f>
        <v>1260</v>
      </c>
      <c r="C14" s="18" t="n">
        <f aca="false">'Working Capital'!C10</f>
        <v>1459.4498630137</v>
      </c>
      <c r="D14" s="18" t="n">
        <f aca="false">'Working Capital'!D10</f>
        <v>1664.06178542466</v>
      </c>
      <c r="E14" s="18" t="n">
        <f aca="false">'Working Capital'!E10</f>
        <v>1867.837104</v>
      </c>
      <c r="F14" s="18" t="n">
        <f aca="false">'Working Capital'!F10</f>
        <v>2059.39019571761</v>
      </c>
      <c r="G14" s="18" t="n">
        <f aca="false">'Working Capital'!G10</f>
        <v>2261.00606793195</v>
      </c>
    </row>
    <row r="15" customFormat="false" ht="15" hidden="false" customHeight="false" outlineLevel="0" collapsed="false">
      <c r="A15" s="3" t="s">
        <v>106</v>
      </c>
      <c r="B15" s="18" t="n">
        <f aca="false">'Working Capital'!B11</f>
        <v>205</v>
      </c>
      <c r="C15" s="18" t="n">
        <f aca="false">'Working Capital'!C11</f>
        <v>242.136</v>
      </c>
      <c r="D15" s="18" t="n">
        <f aca="false">'Working Capital'!D11</f>
        <v>280.87776</v>
      </c>
      <c r="E15" s="18" t="n">
        <f aca="false">'Working Capital'!E11</f>
        <v>320.2006464</v>
      </c>
      <c r="F15" s="18" t="n">
        <f aca="false">'Working Capital'!F11</f>
        <v>358.624723968</v>
      </c>
      <c r="G15" s="18" t="n">
        <f aca="false">'Working Capital'!G11</f>
        <v>394.4871963648</v>
      </c>
    </row>
    <row r="16" customFormat="false" ht="15" hidden="false" customHeight="false" outlineLevel="0" collapsed="false">
      <c r="A16" s="3" t="s">
        <v>107</v>
      </c>
      <c r="B16" s="18" t="n">
        <f aca="false">'Working Capital'!B13</f>
        <v>115</v>
      </c>
      <c r="C16" s="18" t="n">
        <f aca="false">'Working Capital'!C13</f>
        <v>115</v>
      </c>
      <c r="D16" s="18" t="n">
        <f aca="false">'Working Capital'!D13</f>
        <v>115</v>
      </c>
      <c r="E16" s="18" t="n">
        <f aca="false">'Working Capital'!E13</f>
        <v>115</v>
      </c>
      <c r="F16" s="18" t="n">
        <f aca="false">'Working Capital'!F13</f>
        <v>115</v>
      </c>
      <c r="G16" s="18" t="n">
        <f aca="false">'Working Capital'!G13</f>
        <v>115</v>
      </c>
    </row>
    <row r="17" customFormat="false" ht="15" hidden="false" customHeight="false" outlineLevel="0" collapsed="false">
      <c r="A17" s="9" t="s">
        <v>108</v>
      </c>
      <c r="B17" s="20" t="n">
        <f aca="false">B9+SUM(B10:B16)</f>
        <v>8663</v>
      </c>
      <c r="C17" s="20" t="n">
        <f aca="false">C9+SUM(C10:C16)</f>
        <v>10074.5165791458</v>
      </c>
      <c r="D17" s="20" t="n">
        <f aca="false">D9+SUM(D10:D16)</f>
        <v>11142.3747759903</v>
      </c>
      <c r="E17" s="20" t="n">
        <f aca="false">E9+SUM(E10:E16)</f>
        <v>12368.8178788972</v>
      </c>
      <c r="F17" s="20" t="n">
        <f aca="false">F9+SUM(F10:F16)</f>
        <v>13715.7002589448</v>
      </c>
      <c r="G17" s="20" t="n">
        <f aca="false">G9+SUM(G10:G16)</f>
        <v>15282.3047704963</v>
      </c>
    </row>
    <row r="19" customFormat="false" ht="15" hidden="false" customHeight="false" outlineLevel="0" collapsed="false">
      <c r="A19" s="9" t="s">
        <v>109</v>
      </c>
    </row>
    <row r="20" customFormat="false" ht="15" hidden="false" customHeight="false" outlineLevel="0" collapsed="false">
      <c r="A20" s="3" t="s">
        <v>110</v>
      </c>
      <c r="B20" s="18" t="n">
        <f aca="false">'Fixed Assets'!B11</f>
        <v>3420</v>
      </c>
      <c r="C20" s="18" t="n">
        <f aca="false">'Fixed Assets'!C11</f>
        <v>3923.125</v>
      </c>
      <c r="D20" s="18" t="n">
        <f aca="false">'Fixed Assets'!D11</f>
        <v>3937.571875</v>
      </c>
      <c r="E20" s="18" t="n">
        <f aca="false">'Fixed Assets'!E11</f>
        <v>3997.876828125</v>
      </c>
      <c r="F20" s="18" t="n">
        <f aca="false">'Fixed Assets'!F11</f>
        <v>3957.09976117187</v>
      </c>
      <c r="G20" s="18" t="n">
        <f aca="false">'Fixed Assets'!G11</f>
        <v>3967.97928624883</v>
      </c>
    </row>
    <row r="21" customFormat="false" ht="15" hidden="false" customHeight="false" outlineLevel="0" collapsed="false">
      <c r="A21" s="3" t="s">
        <v>111</v>
      </c>
      <c r="B21" s="18" t="n">
        <f aca="false">'Fixed Assets'!B15</f>
        <v>260</v>
      </c>
      <c r="C21" s="18" t="n">
        <f aca="false">'Fixed Assets'!C15</f>
        <v>0</v>
      </c>
      <c r="D21" s="18" t="n">
        <f aca="false">'Fixed Assets'!D15</f>
        <v>0</v>
      </c>
      <c r="E21" s="18" t="n">
        <f aca="false">'Fixed Assets'!E15</f>
        <v>0</v>
      </c>
      <c r="F21" s="18" t="n">
        <f aca="false">'Fixed Assets'!F15</f>
        <v>0</v>
      </c>
      <c r="G21" s="18" t="n">
        <f aca="false">'Fixed Assets'!G15</f>
        <v>0</v>
      </c>
    </row>
    <row r="22" customFormat="false" ht="15" hidden="false" customHeight="false" outlineLevel="0" collapsed="false">
      <c r="A22" s="3" t="s">
        <v>112</v>
      </c>
      <c r="B22" s="18" t="n">
        <f aca="false">'Fixed Assets'!B20</f>
        <v>40</v>
      </c>
      <c r="C22" s="18" t="n">
        <f aca="false">'Fixed Assets'!C20</f>
        <v>40</v>
      </c>
      <c r="D22" s="18" t="n">
        <f aca="false">'Fixed Assets'!D20</f>
        <v>40</v>
      </c>
      <c r="E22" s="18" t="n">
        <f aca="false">'Fixed Assets'!E20</f>
        <v>40</v>
      </c>
      <c r="F22" s="18" t="n">
        <f aca="false">'Fixed Assets'!F20</f>
        <v>40</v>
      </c>
      <c r="G22" s="18" t="n">
        <f aca="false">'Fixed Assets'!G20</f>
        <v>40</v>
      </c>
    </row>
    <row r="23" customFormat="false" ht="15" hidden="false" customHeight="false" outlineLevel="0" collapsed="false">
      <c r="A23" s="3" t="s">
        <v>113</v>
      </c>
      <c r="B23" s="18" t="n">
        <f aca="false">'Working Capital'!B9</f>
        <v>220</v>
      </c>
      <c r="C23" s="18" t="n">
        <f aca="false">'Working Capital'!C9</f>
        <v>220</v>
      </c>
      <c r="D23" s="18" t="n">
        <f aca="false">'Working Capital'!D9</f>
        <v>220</v>
      </c>
      <c r="E23" s="18" t="n">
        <f aca="false">'Working Capital'!E9</f>
        <v>220</v>
      </c>
      <c r="F23" s="18" t="n">
        <f aca="false">'Working Capital'!F9</f>
        <v>220</v>
      </c>
      <c r="G23" s="18" t="n">
        <f aca="false">'Working Capital'!G9</f>
        <v>220</v>
      </c>
    </row>
    <row r="24" customFormat="false" ht="15" hidden="false" customHeight="false" outlineLevel="0" collapsed="false">
      <c r="A24" s="3" t="s">
        <v>114</v>
      </c>
      <c r="B24" s="18" t="n">
        <f aca="false">'Working Capital'!B7</f>
        <v>1810</v>
      </c>
      <c r="C24" s="18" t="n">
        <f aca="false">'Working Capital'!C7</f>
        <v>2101.60780273973</v>
      </c>
      <c r="D24" s="18" t="n">
        <f aca="false">'Working Capital'!D7</f>
        <v>2383.6560710137</v>
      </c>
      <c r="E24" s="18" t="n">
        <f aca="false">'Working Capital'!E7</f>
        <v>2661.0282029589</v>
      </c>
      <c r="F24" s="18" t="n">
        <f aca="false">'Working Capital'!F7</f>
        <v>2917.46944393328</v>
      </c>
      <c r="G24" s="18" t="n">
        <f aca="false">'Working Capital'!G7</f>
        <v>3140.28620546104</v>
      </c>
    </row>
    <row r="25" customFormat="false" ht="15" hidden="false" customHeight="false" outlineLevel="0" collapsed="false">
      <c r="A25" s="3" t="s">
        <v>115</v>
      </c>
      <c r="B25" s="18" t="n">
        <f aca="false">'Working Capital'!B6</f>
        <v>1650</v>
      </c>
      <c r="C25" s="18" t="n">
        <f aca="false">'Working Capital'!C6</f>
        <v>1916.44931506849</v>
      </c>
      <c r="D25" s="18" t="n">
        <f aca="false">'Working Capital'!D6</f>
        <v>2223.08120547945</v>
      </c>
      <c r="E25" s="18" t="n">
        <f aca="false">'Working Capital'!E6</f>
        <v>2485.5757939726</v>
      </c>
      <c r="F25" s="18" t="n">
        <f aca="false">'Working Capital'!F6</f>
        <v>2729.25969534247</v>
      </c>
      <c r="G25" s="18" t="n">
        <f aca="false">'Working Capital'!G6</f>
        <v>3002.18566487671</v>
      </c>
    </row>
    <row r="26" customFormat="false" ht="15" hidden="false" customHeight="false" outlineLevel="0" collapsed="false">
      <c r="A26" s="3" t="s">
        <v>116</v>
      </c>
      <c r="B26" s="13" t="n">
        <v>893</v>
      </c>
      <c r="C26" s="18" t="n">
        <f aca="false">'Projected Cash Flow'!C38</f>
        <v>1442.87046133756</v>
      </c>
      <c r="D26" s="18" t="n">
        <f aca="false">'Projected Cash Flow'!D38</f>
        <v>1838.72738449719</v>
      </c>
      <c r="E26" s="18" t="n">
        <f aca="false">'Projected Cash Flow'!E38</f>
        <v>2395.09146024071</v>
      </c>
      <c r="F26" s="18" t="n">
        <f aca="false">'Projected Cash Flow'!F38</f>
        <v>3214.31629366513</v>
      </c>
      <c r="G26" s="18" t="n">
        <f aca="false">'Projected Cash Flow'!G38</f>
        <v>4210.54304259449</v>
      </c>
    </row>
    <row r="27" customFormat="false" ht="15" hidden="false" customHeight="false" outlineLevel="0" collapsed="false">
      <c r="A27" s="3" t="s">
        <v>117</v>
      </c>
      <c r="B27" s="18" t="n">
        <f aca="false">'Working Capital'!B8</f>
        <v>370</v>
      </c>
      <c r="C27" s="18" t="n">
        <f aca="false">'Working Capital'!C8</f>
        <v>430.464</v>
      </c>
      <c r="D27" s="18" t="n">
        <f aca="false">'Working Capital'!D8</f>
        <v>499.33824</v>
      </c>
      <c r="E27" s="18" t="n">
        <f aca="false">'Working Capital'!E8</f>
        <v>569.2455936</v>
      </c>
      <c r="F27" s="18" t="n">
        <f aca="false">'Working Capital'!F8</f>
        <v>637.555064832</v>
      </c>
      <c r="G27" s="18" t="n">
        <f aca="false">'Working Capital'!G8</f>
        <v>701.3105713152</v>
      </c>
    </row>
    <row r="28" customFormat="false" ht="15" hidden="false" customHeight="false" outlineLevel="0" collapsed="false">
      <c r="A28" s="9" t="s">
        <v>118</v>
      </c>
      <c r="B28" s="20" t="n">
        <f aca="false">SUM(B20:B27)</f>
        <v>8663</v>
      </c>
      <c r="C28" s="20" t="n">
        <f aca="false">SUM(C20:C27)</f>
        <v>10074.5165791458</v>
      </c>
      <c r="D28" s="20" t="n">
        <f aca="false">SUM(D20:D27)</f>
        <v>11142.3747759903</v>
      </c>
      <c r="E28" s="20" t="n">
        <f aca="false">SUM(E20:E27)</f>
        <v>12368.8178788972</v>
      </c>
      <c r="F28" s="20" t="n">
        <f aca="false">SUM(F20:F27)</f>
        <v>13715.7002589448</v>
      </c>
      <c r="G28" s="20" t="n">
        <f aca="false">SUM(G20:G27)</f>
        <v>15282.3047704963</v>
      </c>
    </row>
    <row r="30" customFormat="false" ht="15" hidden="false" customHeight="false" outlineLevel="0" collapsed="false">
      <c r="A30" s="3" t="s">
        <v>119</v>
      </c>
      <c r="B30" s="22" t="n">
        <f aca="false">ROUND(B28-B17,2)</f>
        <v>0</v>
      </c>
      <c r="C30" s="22" t="n">
        <f aca="false">ROUND(C28-C17,2)</f>
        <v>0</v>
      </c>
      <c r="D30" s="22" t="n">
        <f aca="false">ROUND(D28-D17,2)</f>
        <v>0</v>
      </c>
      <c r="E30" s="22" t="n">
        <f aca="false">ROUND(E28-E17,2)</f>
        <v>0</v>
      </c>
      <c r="F30" s="22" t="n">
        <f aca="false">ROUND(F28-F17,2)</f>
        <v>0</v>
      </c>
      <c r="G30" s="22" t="n">
        <f aca="false">ROUND(G28-G17,2)</f>
        <v>0</v>
      </c>
    </row>
    <row r="32" customFormat="false" ht="15" hidden="false" customHeight="false" outlineLevel="0" collapsed="false">
      <c r="A32" s="9" t="s">
        <v>120</v>
      </c>
    </row>
    <row r="33" customFormat="false" ht="15" hidden="false" customHeight="false" outlineLevel="0" collapsed="false">
      <c r="A33" s="3" t="s">
        <v>121</v>
      </c>
      <c r="B33" s="22" t="n">
        <f aca="false">B10+B13-B26</f>
        <v>1562</v>
      </c>
      <c r="C33" s="22" t="n">
        <f aca="false">C10+C13-C26</f>
        <v>1236.6438181145</v>
      </c>
      <c r="D33" s="22" t="n">
        <f aca="false">D10+D13-D26</f>
        <v>615.822189096234</v>
      </c>
      <c r="E33" s="22" t="n">
        <f aca="false">E10+E13-E26</f>
        <v>-199.304620885091</v>
      </c>
      <c r="F33" s="22" t="n">
        <f aca="false">F10+F13-F26</f>
        <v>-1306.43775720274</v>
      </c>
      <c r="G33" s="22" t="n">
        <f aca="false">G10+G13-G26</f>
        <v>-2611.32282463707</v>
      </c>
    </row>
    <row r="34" customFormat="false" ht="15" hidden="false" customHeight="false" outlineLevel="0" collapsed="false">
      <c r="A34" s="3" t="s">
        <v>122</v>
      </c>
      <c r="B34" s="23" t="n">
        <f aca="false">IF(B9=0,0,(B10+B13)/B9)</f>
        <v>0.556310899614775</v>
      </c>
      <c r="C34" s="23" t="n">
        <f aca="false">IF(C9=0,0,(C10+C13)/C9)</f>
        <v>0.5009242495965</v>
      </c>
      <c r="D34" s="23" t="n">
        <f aca="false">IF(D9=0,0,(D10+D13)/D9)</f>
        <v>0.384504937808459</v>
      </c>
      <c r="E34" s="23" t="n">
        <f aca="false">IF(E9=0,0,(E10+E13)/E9)</f>
        <v>0.288507601825531</v>
      </c>
      <c r="F34" s="23" t="n">
        <f aca="false">IF(F9=0,0,(F10+F13)/F9)</f>
        <v>0.211954548059589</v>
      </c>
      <c r="G34" s="23" t="n">
        <f aca="false">IF(G9=0,0,(G10+G13)/G9)</f>
        <v>0.150517728179523</v>
      </c>
    </row>
    <row r="35" customFormat="false" ht="15" hidden="false" customHeight="false" outlineLevel="0" collapsed="false">
      <c r="A35" s="3" t="s">
        <v>123</v>
      </c>
      <c r="B35" s="24" t="n">
        <f aca="false">IF((B9+B10+B13)=0,0,'Projected P&amp;L'!B15/(B9+B10+B13))</f>
        <v>0.17472335468841</v>
      </c>
      <c r="C35" s="24" t="n">
        <f aca="false">IF((C9+C10+C13)=0,0,'Projected P&amp;L'!C15/(C9+C10+C13))</f>
        <v>0.18072180308257</v>
      </c>
      <c r="D35" s="24" t="n">
        <f aca="false">IF((D9+D10+D13)=0,0,'Projected P&amp;L'!D15/(D9+D10+D13))</f>
        <v>0.203601026404195</v>
      </c>
      <c r="E35" s="24" t="n">
        <f aca="false">IF((E9+E10+E13)=0,0,'Projected P&amp;L'!E15/(E9+E10+E13))</f>
        <v>0.222407214287192</v>
      </c>
      <c r="F35" s="24" t="n">
        <f aca="false">IF((F9+F10+F13)=0,0,'Projected P&amp;L'!F15/(F9+F10+F13))</f>
        <v>0.234268103114387</v>
      </c>
      <c r="G35" s="24" t="n">
        <f aca="false">IF((G9+G10+G13)=0,0,'Projected P&amp;L'!G15/(G9+G10+G13))</f>
        <v>0.237403202447606</v>
      </c>
    </row>
    <row r="36" customFormat="false" ht="15" hidden="false" customHeight="false" outlineLevel="0" collapsed="false">
      <c r="A36" s="3" t="s">
        <v>124</v>
      </c>
      <c r="B36" s="25" t="n">
        <f aca="false">IF('Projected P&amp;L'!B16=0,0,'Projected P&amp;L'!B13/'Projected P&amp;L'!B16)</f>
        <v>5.37931034482759</v>
      </c>
      <c r="C36" s="25" t="n">
        <f aca="false">IF('Projected P&amp;L'!C16=0,0,'Projected P&amp;L'!C13/'Projected P&amp;L'!C16)</f>
        <v>7.64401877410198</v>
      </c>
      <c r="D36" s="25" t="n">
        <f aca="false">IF('Projected P&amp;L'!D16=0,0,'Projected P&amp;L'!D13/'Projected P&amp;L'!D16)</f>
        <v>9.16438571013254</v>
      </c>
      <c r="E36" s="25" t="n">
        <f aca="false">IF('Projected P&amp;L'!E16=0,0,'Projected P&amp;L'!E13/'Projected P&amp;L'!E16)</f>
        <v>11.800582179492</v>
      </c>
      <c r="F36" s="25" t="n">
        <f aca="false">IF('Projected P&amp;L'!F16=0,0,'Projected P&amp;L'!F13/'Projected P&amp;L'!F16)</f>
        <v>15.2041808932131</v>
      </c>
      <c r="G36" s="25" t="n">
        <f aca="false">IF('Projected P&amp;L'!G16=0,0,'Projected P&amp;L'!G13/'Projected P&amp;L'!G16)</f>
        <v>19.7078472250379</v>
      </c>
    </row>
    <row r="38" customFormat="false" ht="15" hidden="false" customHeight="false" outlineLevel="0" collapsed="false">
      <c r="A38" s="17" t="s">
        <v>68</v>
      </c>
    </row>
    <row r="39" customFormat="false" ht="15" hidden="false" customHeight="false" outlineLevel="0" collapsed="false">
      <c r="A39" s="17" t="s">
        <v>69</v>
      </c>
    </row>
    <row r="40" customFormat="false" ht="15" hidden="false" customHeight="false" outlineLevel="0" collapsed="false">
      <c r="A40" s="17"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8"/>
    <col collapsed="false" customWidth="true" hidden="false" outlineLevel="0" max="7" min="3" style="1" width="15"/>
  </cols>
  <sheetData>
    <row r="1" customFormat="false" ht="15" hidden="false" customHeight="false" outlineLevel="0" collapsed="false">
      <c r="A1" s="4" t="s">
        <v>0</v>
      </c>
    </row>
    <row r="2" customFormat="false" ht="15" hidden="false" customHeight="false" outlineLevel="0" collapsed="false">
      <c r="A2" s="5" t="s">
        <v>126</v>
      </c>
    </row>
    <row r="3" customFormat="false" ht="15" hidden="false" customHeight="false" outlineLevel="0" collapsed="false">
      <c r="A3" s="3" t="s">
        <v>4</v>
      </c>
    </row>
    <row r="5" customFormat="false" ht="30" hidden="false" customHeight="true" outlineLevel="0" collapsed="false">
      <c r="A5" s="7" t="s">
        <v>71</v>
      </c>
      <c r="B5" s="8" t="s">
        <v>72</v>
      </c>
      <c r="C5" s="8" t="s">
        <v>73</v>
      </c>
      <c r="D5" s="8" t="s">
        <v>74</v>
      </c>
      <c r="E5" s="8" t="s">
        <v>75</v>
      </c>
      <c r="F5" s="8" t="s">
        <v>76</v>
      </c>
      <c r="G5" s="8" t="s">
        <v>77</v>
      </c>
    </row>
    <row r="6" customFormat="false" ht="15" hidden="false" customHeight="false" outlineLevel="0" collapsed="false">
      <c r="A6" s="9" t="s">
        <v>127</v>
      </c>
    </row>
    <row r="7" customFormat="false" ht="15" hidden="false" customHeight="false" outlineLevel="0" collapsed="false">
      <c r="A7" s="3" t="s">
        <v>128</v>
      </c>
      <c r="C7" s="18" t="n">
        <f aca="false">'Projected P&amp;L'!C17</f>
        <v>1250.9897860274</v>
      </c>
      <c r="D7" s="18" t="n">
        <f aca="false">'Projected P&amp;L'!D17</f>
        <v>1626.4217854146</v>
      </c>
      <c r="E7" s="18" t="n">
        <f aca="false">'Projected P&amp;L'!E17</f>
        <v>2049.89787210241</v>
      </c>
      <c r="F7" s="18" t="n">
        <f aca="false">'Projected P&amp;L'!F17</f>
        <v>2477.56969944401</v>
      </c>
      <c r="G7" s="18" t="n">
        <f aca="false">'Projected P&amp;L'!G17</f>
        <v>2892.59407114002</v>
      </c>
    </row>
    <row r="8" customFormat="false" ht="15" hidden="false" customHeight="false" outlineLevel="0" collapsed="false">
      <c r="A8" s="3" t="s">
        <v>129</v>
      </c>
      <c r="C8" s="18" t="n">
        <f aca="false">'Projected P&amp;L'!C14</f>
        <v>418.875</v>
      </c>
      <c r="D8" s="18" t="n">
        <f aca="false">'Projected P&amp;L'!D14</f>
        <v>447.553125</v>
      </c>
      <c r="E8" s="18" t="n">
        <f aca="false">'Projected P&amp;L'!E14</f>
        <v>451.695046875</v>
      </c>
      <c r="F8" s="18" t="n">
        <f aca="false">'Projected P&amp;L'!F14</f>
        <v>452.777066953125</v>
      </c>
      <c r="G8" s="18" t="n">
        <f aca="false">'Projected P&amp;L'!G14</f>
        <v>451.120474923047</v>
      </c>
    </row>
    <row r="9" customFormat="false" ht="15" hidden="false" customHeight="false" outlineLevel="0" collapsed="false">
      <c r="A9" s="3" t="s">
        <v>130</v>
      </c>
      <c r="C9" s="18" t="n">
        <f aca="false">'Projected P&amp;L'!C16</f>
        <v>244.613213972603</v>
      </c>
      <c r="D9" s="18" t="n">
        <f aca="false">'Projected P&amp;L'!D16</f>
        <v>245.190692652274</v>
      </c>
      <c r="E9" s="18" t="n">
        <f aca="false">'Projected P&amp;L'!E16</f>
        <v>223.104320647452</v>
      </c>
      <c r="F9" s="18" t="n">
        <f aca="false">'Projected P&amp;L'!F16</f>
        <v>197.8707687909</v>
      </c>
      <c r="G9" s="18" t="n">
        <f aca="false">'Projected P&amp;L'!G16</f>
        <v>170.142437720991</v>
      </c>
    </row>
    <row r="10" customFormat="false" ht="15" hidden="false" customHeight="false" outlineLevel="0" collapsed="false">
      <c r="A10" s="3" t="s">
        <v>131</v>
      </c>
      <c r="C10" s="18" t="n">
        <f aca="false">-'Projected P&amp;L'!C7</f>
        <v>-44.65</v>
      </c>
      <c r="D10" s="18" t="n">
        <f aca="false">-'Projected P&amp;L'!D7</f>
        <v>-72.1435230668778</v>
      </c>
      <c r="E10" s="18" t="n">
        <f aca="false">-'Projected P&amp;L'!E7</f>
        <v>-91.9363692248596</v>
      </c>
      <c r="F10" s="18" t="n">
        <f aca="false">-'Projected P&amp;L'!F7</f>
        <v>-119.754573012035</v>
      </c>
      <c r="G10" s="18" t="n">
        <f aca="false">-'Projected P&amp;L'!G7</f>
        <v>-160.715814683257</v>
      </c>
    </row>
    <row r="11" customFormat="false" ht="15" hidden="false" customHeight="false" outlineLevel="0" collapsed="false">
      <c r="A11" s="9" t="s">
        <v>132</v>
      </c>
      <c r="C11" s="19" t="n">
        <f aca="false">SUM(C7:C10)</f>
        <v>1869.828</v>
      </c>
      <c r="D11" s="19" t="n">
        <f aca="false">SUM(D7:D10)</f>
        <v>2247.02208</v>
      </c>
      <c r="E11" s="19" t="n">
        <f aca="false">SUM(E7:E10)</f>
        <v>2632.7608704</v>
      </c>
      <c r="F11" s="19" t="n">
        <f aca="false">SUM(F7:F10)</f>
        <v>3008.462962176</v>
      </c>
      <c r="G11" s="19" t="n">
        <f aca="false">SUM(G7:G10)</f>
        <v>3353.1411691008</v>
      </c>
    </row>
    <row r="12" customFormat="false" ht="15" hidden="false" customHeight="false" outlineLevel="0" collapsed="false">
      <c r="A12" s="3" t="s">
        <v>133</v>
      </c>
      <c r="C12" s="18" t="n">
        <f aca="false">'Working Capital'!B7-'Working Capital'!C7</f>
        <v>-291.607802739726</v>
      </c>
      <c r="D12" s="18" t="n">
        <f aca="false">'Working Capital'!C7-'Working Capital'!D7</f>
        <v>-282.048268273973</v>
      </c>
      <c r="E12" s="18" t="n">
        <f aca="false">'Working Capital'!D7-'Working Capital'!E7</f>
        <v>-277.372131945206</v>
      </c>
      <c r="F12" s="18" t="n">
        <f aca="false">'Working Capital'!E7-'Working Capital'!F7</f>
        <v>-256.441240974378</v>
      </c>
      <c r="G12" s="18" t="n">
        <f aca="false">'Working Capital'!F7-'Working Capital'!G7</f>
        <v>-222.816761527759</v>
      </c>
    </row>
    <row r="13" customFormat="false" ht="15" hidden="false" customHeight="false" outlineLevel="0" collapsed="false">
      <c r="A13" s="3" t="s">
        <v>134</v>
      </c>
      <c r="C13" s="18" t="n">
        <f aca="false">'Working Capital'!B6-'Working Capital'!C6</f>
        <v>-266.449315068493</v>
      </c>
      <c r="D13" s="18" t="n">
        <f aca="false">'Working Capital'!C6-'Working Capital'!D6</f>
        <v>-306.631890410959</v>
      </c>
      <c r="E13" s="18" t="n">
        <f aca="false">'Working Capital'!D6-'Working Capital'!E6</f>
        <v>-262.494588493151</v>
      </c>
      <c r="F13" s="18" t="n">
        <f aca="false">'Working Capital'!E6-'Working Capital'!F6</f>
        <v>-243.683901369863</v>
      </c>
      <c r="G13" s="18" t="n">
        <f aca="false">'Working Capital'!F6-'Working Capital'!G6</f>
        <v>-272.925969534247</v>
      </c>
    </row>
    <row r="14" customFormat="false" ht="15" hidden="false" customHeight="false" outlineLevel="0" collapsed="false">
      <c r="A14" s="3" t="s">
        <v>135</v>
      </c>
      <c r="C14" s="18" t="n">
        <f aca="false">'Working Capital'!B8-'Working Capital'!C8</f>
        <v>-60.464</v>
      </c>
      <c r="D14" s="18" t="n">
        <f aca="false">'Working Capital'!C8-'Working Capital'!D8</f>
        <v>-68.87424</v>
      </c>
      <c r="E14" s="18" t="n">
        <f aca="false">'Working Capital'!D8-'Working Capital'!E8</f>
        <v>-69.9073536</v>
      </c>
      <c r="F14" s="18" t="n">
        <f aca="false">'Working Capital'!E8-'Working Capital'!F8</f>
        <v>-68.3094712320001</v>
      </c>
      <c r="G14" s="18" t="n">
        <f aca="false">'Working Capital'!F8-'Working Capital'!G8</f>
        <v>-63.7555064832</v>
      </c>
    </row>
    <row r="15" customFormat="false" ht="15" hidden="false" customHeight="false" outlineLevel="0" collapsed="false">
      <c r="A15" s="3" t="s">
        <v>136</v>
      </c>
      <c r="C15" s="18" t="n">
        <f aca="false">'Working Capital'!B9-'Working Capital'!C9</f>
        <v>0</v>
      </c>
      <c r="D15" s="18" t="n">
        <f aca="false">'Working Capital'!C9-'Working Capital'!D9</f>
        <v>0</v>
      </c>
      <c r="E15" s="18" t="n">
        <f aca="false">'Working Capital'!D9-'Working Capital'!E9</f>
        <v>0</v>
      </c>
      <c r="F15" s="18" t="n">
        <f aca="false">'Working Capital'!E9-'Working Capital'!F9</f>
        <v>0</v>
      </c>
      <c r="G15" s="18" t="n">
        <f aca="false">'Working Capital'!F9-'Working Capital'!G9</f>
        <v>0</v>
      </c>
    </row>
    <row r="16" customFormat="false" ht="15" hidden="false" customHeight="false" outlineLevel="0" collapsed="false">
      <c r="A16" s="3" t="s">
        <v>137</v>
      </c>
      <c r="C16" s="18" t="n">
        <f aca="false">'Working Capital'!C10-'Working Capital'!B10</f>
        <v>199.449863013698</v>
      </c>
      <c r="D16" s="18" t="n">
        <f aca="false">'Working Capital'!D10-'Working Capital'!C10</f>
        <v>204.611922410959</v>
      </c>
      <c r="E16" s="18" t="n">
        <f aca="false">'Working Capital'!E10-'Working Capital'!D10</f>
        <v>203.775318575343</v>
      </c>
      <c r="F16" s="18" t="n">
        <f aca="false">'Working Capital'!F10-'Working Capital'!E10</f>
        <v>191.553091717611</v>
      </c>
      <c r="G16" s="18" t="n">
        <f aca="false">'Working Capital'!G10-'Working Capital'!F10</f>
        <v>201.615872214338</v>
      </c>
    </row>
    <row r="17" customFormat="false" ht="15" hidden="false" customHeight="false" outlineLevel="0" collapsed="false">
      <c r="A17" s="3" t="s">
        <v>138</v>
      </c>
      <c r="C17" s="18" t="n">
        <f aca="false">'Working Capital'!C11-'Working Capital'!B11</f>
        <v>37.136</v>
      </c>
      <c r="D17" s="18" t="n">
        <f aca="false">'Working Capital'!D11-'Working Capital'!C11</f>
        <v>38.74176</v>
      </c>
      <c r="E17" s="18" t="n">
        <f aca="false">'Working Capital'!E11-'Working Capital'!D11</f>
        <v>39.3228864</v>
      </c>
      <c r="F17" s="18" t="n">
        <f aca="false">'Working Capital'!F11-'Working Capital'!E11</f>
        <v>38.424077568</v>
      </c>
      <c r="G17" s="18" t="n">
        <f aca="false">'Working Capital'!G11-'Working Capital'!F11</f>
        <v>35.8624723968</v>
      </c>
    </row>
    <row r="18" customFormat="false" ht="15" hidden="false" customHeight="false" outlineLevel="0" collapsed="false">
      <c r="A18" s="3" t="s">
        <v>139</v>
      </c>
      <c r="C18" s="18" t="n">
        <f aca="false">('Working Capital'!C12+'Working Capital'!C13)-('Working Capital'!B12+'Working Capital'!B13)</f>
        <v>14.27576</v>
      </c>
      <c r="D18" s="18" t="n">
        <f aca="false">('Working Capital'!D12+'Working Capital'!D13)-('Working Capital'!C12+'Working Capital'!C13)</f>
        <v>14.9478624</v>
      </c>
      <c r="E18" s="18" t="n">
        <f aca="false">('Working Capital'!E12+'Working Capital'!E13)-('Working Capital'!D12+'Working Capital'!D13)</f>
        <v>14.923971648</v>
      </c>
      <c r="F18" s="18" t="n">
        <f aca="false">('Working Capital'!F12+'Working Capital'!F13)-('Working Capital'!E12+'Working Capital'!E13)</f>
        <v>14.3022955392</v>
      </c>
      <c r="G18" s="18" t="n">
        <f aca="false">('Working Capital'!G12+'Working Capital'!G13)-('Working Capital'!F12+'Working Capital'!F13)</f>
        <v>14.34498895872</v>
      </c>
    </row>
    <row r="19" customFormat="false" ht="15" hidden="false" customHeight="false" outlineLevel="0" collapsed="false">
      <c r="A19" s="9" t="s">
        <v>140</v>
      </c>
      <c r="C19" s="19" t="n">
        <f aca="false">C11+SUM(C12:C18)</f>
        <v>1502.16850520548</v>
      </c>
      <c r="D19" s="19" t="n">
        <f aca="false">D11+SUM(D12:D18)</f>
        <v>1847.76922612603</v>
      </c>
      <c r="E19" s="19" t="n">
        <f aca="false">E11+SUM(E12:E18)</f>
        <v>2281.00897298499</v>
      </c>
      <c r="F19" s="19" t="n">
        <f aca="false">F11+SUM(F12:F18)</f>
        <v>2684.30781342457</v>
      </c>
      <c r="G19" s="19" t="n">
        <f aca="false">G11+SUM(G12:G18)</f>
        <v>3045.46626512545</v>
      </c>
    </row>
    <row r="20" customFormat="false" ht="15" hidden="false" customHeight="false" outlineLevel="0" collapsed="false">
      <c r="A20" s="3" t="s">
        <v>141</v>
      </c>
      <c r="C20" s="18" t="n">
        <f aca="false">-'Projected P&amp;L'!C18</f>
        <v>-314.849109347375</v>
      </c>
      <c r="D20" s="18" t="n">
        <f aca="false">-'Projected P&amp;L'!D18</f>
        <v>-409.337834953148</v>
      </c>
      <c r="E20" s="18" t="n">
        <f aca="false">-'Projected P&amp;L'!E18</f>
        <v>-515.918296450734</v>
      </c>
      <c r="F20" s="18" t="n">
        <f aca="false">-'Projected P&amp;L'!F18</f>
        <v>-623.554741956069</v>
      </c>
      <c r="G20" s="18" t="n">
        <f aca="false">-'Projected P&amp;L'!G18</f>
        <v>-728.00807582452</v>
      </c>
    </row>
    <row r="21" customFormat="false" ht="15" hidden="false" customHeight="false" outlineLevel="0" collapsed="false">
      <c r="A21" s="9" t="s">
        <v>142</v>
      </c>
      <c r="C21" s="20" t="n">
        <f aca="false">C19+C20</f>
        <v>1187.3193958581</v>
      </c>
      <c r="D21" s="20" t="n">
        <f aca="false">D19+D20</f>
        <v>1438.43139117288</v>
      </c>
      <c r="E21" s="20" t="n">
        <f aca="false">E19+E20</f>
        <v>1765.09067653425</v>
      </c>
      <c r="F21" s="20" t="n">
        <f aca="false">F19+F20</f>
        <v>2060.7530714685</v>
      </c>
      <c r="G21" s="20" t="n">
        <f aca="false">G19+G20</f>
        <v>2317.45818930093</v>
      </c>
    </row>
    <row r="23" customFormat="false" ht="15" hidden="false" customHeight="false" outlineLevel="0" collapsed="false">
      <c r="A23" s="9" t="s">
        <v>143</v>
      </c>
    </row>
    <row r="24" customFormat="false" ht="15" hidden="false" customHeight="false" outlineLevel="0" collapsed="false">
      <c r="A24" s="3" t="s">
        <v>144</v>
      </c>
      <c r="C24" s="18" t="n">
        <f aca="false">-'Fixed Assets'!C23</f>
        <v>-662</v>
      </c>
      <c r="D24" s="18" t="n">
        <f aca="false">-'Fixed Assets'!D23</f>
        <v>-462</v>
      </c>
      <c r="E24" s="18" t="n">
        <f aca="false">-'Fixed Assets'!E23</f>
        <v>-512</v>
      </c>
      <c r="F24" s="18" t="n">
        <f aca="false">-'Fixed Assets'!F23</f>
        <v>-412</v>
      </c>
      <c r="G24" s="18" t="n">
        <f aca="false">-'Fixed Assets'!G23</f>
        <v>-462</v>
      </c>
    </row>
    <row r="25" customFormat="false" ht="15" hidden="false" customHeight="false" outlineLevel="0" collapsed="false">
      <c r="A25" s="3" t="s">
        <v>145</v>
      </c>
      <c r="C25" s="18" t="n">
        <f aca="false">'Projected P&amp;L'!C7</f>
        <v>44.65</v>
      </c>
      <c r="D25" s="18" t="n">
        <f aca="false">'Projected P&amp;L'!D7</f>
        <v>72.1435230668778</v>
      </c>
      <c r="E25" s="18" t="n">
        <f aca="false">'Projected P&amp;L'!E7</f>
        <v>91.9363692248596</v>
      </c>
      <c r="F25" s="18" t="n">
        <f aca="false">'Projected P&amp;L'!F7</f>
        <v>119.754573012035</v>
      </c>
      <c r="G25" s="18" t="n">
        <f aca="false">'Projected P&amp;L'!G7</f>
        <v>160.715814683257</v>
      </c>
    </row>
    <row r="26" customFormat="false" ht="15" hidden="false" customHeight="false" outlineLevel="0" collapsed="false">
      <c r="A26" s="9" t="s">
        <v>146</v>
      </c>
      <c r="C26" s="20" t="n">
        <f aca="false">C24+C25</f>
        <v>-617.35</v>
      </c>
      <c r="D26" s="20" t="n">
        <f aca="false">D24+D25</f>
        <v>-389.856476933122</v>
      </c>
      <c r="E26" s="20" t="n">
        <f aca="false">E24+E25</f>
        <v>-420.06363077514</v>
      </c>
      <c r="F26" s="20" t="n">
        <f aca="false">F24+F25</f>
        <v>-292.245426987965</v>
      </c>
      <c r="G26" s="20" t="n">
        <f aca="false">G24+G25</f>
        <v>-301.284185316743</v>
      </c>
    </row>
    <row r="28" customFormat="false" ht="15" hidden="false" customHeight="false" outlineLevel="0" collapsed="false">
      <c r="A28" s="9" t="s">
        <v>147</v>
      </c>
    </row>
    <row r="29" customFormat="false" ht="15" hidden="false" customHeight="false" outlineLevel="0" collapsed="false">
      <c r="A29" s="3" t="s">
        <v>148</v>
      </c>
      <c r="C29" s="18" t="n">
        <f aca="false">'Debt Schedule'!C8</f>
        <v>400</v>
      </c>
      <c r="D29" s="18" t="n">
        <f aca="false">'Debt Schedule'!D8</f>
        <v>0</v>
      </c>
      <c r="E29" s="18" t="n">
        <f aca="false">'Debt Schedule'!E8</f>
        <v>0</v>
      </c>
      <c r="F29" s="18" t="n">
        <f aca="false">'Debt Schedule'!F8</f>
        <v>0</v>
      </c>
      <c r="G29" s="18" t="n">
        <f aca="false">'Debt Schedule'!G8</f>
        <v>0</v>
      </c>
    </row>
    <row r="30" customFormat="false" ht="15" hidden="false" customHeight="false" outlineLevel="0" collapsed="false">
      <c r="A30" s="3" t="s">
        <v>149</v>
      </c>
      <c r="C30" s="18" t="n">
        <f aca="false">-'Debt Schedule'!C9</f>
        <v>-280</v>
      </c>
      <c r="D30" s="18" t="n">
        <f aca="false">-'Debt Schedule'!D9</f>
        <v>-280</v>
      </c>
      <c r="E30" s="18" t="n">
        <f aca="false">-'Debt Schedule'!E9</f>
        <v>-280</v>
      </c>
      <c r="F30" s="18" t="n">
        <f aca="false">-'Debt Schedule'!F9</f>
        <v>-280</v>
      </c>
      <c r="G30" s="18" t="n">
        <f aca="false">-'Debt Schedule'!G9</f>
        <v>-280</v>
      </c>
    </row>
    <row r="31" customFormat="false" ht="15" hidden="false" customHeight="false" outlineLevel="0" collapsed="false">
      <c r="A31" s="3" t="s">
        <v>150</v>
      </c>
      <c r="C31" s="18" t="n">
        <f aca="false">'Debt Schedule'!C14-'Debt Schedule'!B14</f>
        <v>104.514279452055</v>
      </c>
      <c r="D31" s="18" t="n">
        <f aca="false">'Debt Schedule'!D14-'Debt Schedule'!C14</f>
        <v>55.0352941413698</v>
      </c>
      <c r="E31" s="18" t="n">
        <f aca="false">'Debt Schedule'!E14-'Debt Schedule'!D14</f>
        <v>21.2372657621918</v>
      </c>
      <c r="F31" s="18" t="n">
        <f aca="false">'Debt Schedule'!F14-'Debt Schedule'!E14</f>
        <v>-7.90830289322412</v>
      </c>
      <c r="G31" s="18" t="n">
        <f aca="false">'Debt Schedule'!G14-'Debt Schedule'!F14</f>
        <v>-28.658318504974</v>
      </c>
    </row>
    <row r="32" customFormat="false" ht="15" hidden="false" customHeight="false" outlineLevel="0" collapsed="false">
      <c r="A32" s="3" t="s">
        <v>151</v>
      </c>
      <c r="C32" s="18" t="n">
        <f aca="false">-'Projected P&amp;L'!C16</f>
        <v>-244.613213972603</v>
      </c>
      <c r="D32" s="18" t="n">
        <f aca="false">-'Projected P&amp;L'!D16</f>
        <v>-245.190692652274</v>
      </c>
      <c r="E32" s="18" t="n">
        <f aca="false">-'Projected P&amp;L'!E16</f>
        <v>-223.104320647452</v>
      </c>
      <c r="F32" s="18" t="n">
        <f aca="false">-'Projected P&amp;L'!F16</f>
        <v>-197.8707687909</v>
      </c>
      <c r="G32" s="18" t="n">
        <f aca="false">-'Projected P&amp;L'!G16</f>
        <v>-170.142437720991</v>
      </c>
    </row>
    <row r="33" customFormat="false" ht="15" hidden="false" customHeight="false" outlineLevel="0" collapsed="false">
      <c r="A33" s="3" t="s">
        <v>152</v>
      </c>
      <c r="C33" s="18" t="n">
        <f aca="false">-'Projected P&amp;L'!C20</f>
        <v>-0</v>
      </c>
      <c r="D33" s="18" t="n">
        <f aca="false">-'Projected P&amp;L'!D20</f>
        <v>-182.562592569218</v>
      </c>
      <c r="E33" s="18" t="n">
        <f aca="false">-'Projected P&amp;L'!E20</f>
        <v>-306.795915130335</v>
      </c>
      <c r="F33" s="18" t="n">
        <f aca="false">-'Projected P&amp;L'!F20</f>
        <v>-463.503739371985</v>
      </c>
      <c r="G33" s="18" t="n">
        <f aca="false">-'Projected P&amp;L'!G20</f>
        <v>-541.146498828875</v>
      </c>
    </row>
    <row r="34" customFormat="false" ht="15" hidden="false" customHeight="false" outlineLevel="0" collapsed="false">
      <c r="A34" s="9" t="s">
        <v>153</v>
      </c>
      <c r="C34" s="20" t="n">
        <f aca="false">SUM(C29:C33)</f>
        <v>-20.098934520548</v>
      </c>
      <c r="D34" s="20" t="n">
        <f aca="false">SUM(D29:D33)</f>
        <v>-652.717991080123</v>
      </c>
      <c r="E34" s="20" t="n">
        <f aca="false">SUM(E29:E33)</f>
        <v>-788.662970015595</v>
      </c>
      <c r="F34" s="20" t="n">
        <f aca="false">SUM(F29:F33)</f>
        <v>-949.28281105611</v>
      </c>
      <c r="G34" s="20" t="n">
        <f aca="false">SUM(G29:G33)</f>
        <v>-1019.94725505484</v>
      </c>
    </row>
    <row r="36" customFormat="false" ht="15" hidden="false" customHeight="false" outlineLevel="0" collapsed="false">
      <c r="A36" s="9" t="s">
        <v>154</v>
      </c>
      <c r="C36" s="19" t="n">
        <f aca="false">C21+C26+C34</f>
        <v>549.870461337555</v>
      </c>
      <c r="D36" s="19" t="n">
        <f aca="false">D21+D26+D34</f>
        <v>395.856923159636</v>
      </c>
      <c r="E36" s="19" t="n">
        <f aca="false">E21+E26+E34</f>
        <v>556.364075743517</v>
      </c>
      <c r="F36" s="19" t="n">
        <f aca="false">F21+F26+F34</f>
        <v>819.224833424427</v>
      </c>
      <c r="G36" s="19" t="n">
        <f aca="false">G21+G26+G34</f>
        <v>996.22674892935</v>
      </c>
    </row>
    <row r="37" customFormat="false" ht="15" hidden="false" customHeight="false" outlineLevel="0" collapsed="false">
      <c r="A37" s="3" t="s">
        <v>155</v>
      </c>
      <c r="C37" s="18" t="n">
        <f aca="false">'Projected Balance Sheet'!B26</f>
        <v>893</v>
      </c>
      <c r="D37" s="18" t="n">
        <f aca="false">'Projected Balance Sheet'!C26</f>
        <v>1442.87046133756</v>
      </c>
      <c r="E37" s="18" t="n">
        <f aca="false">'Projected Balance Sheet'!D26</f>
        <v>1838.72738449719</v>
      </c>
      <c r="F37" s="18" t="n">
        <f aca="false">'Projected Balance Sheet'!E26</f>
        <v>2395.09146024071</v>
      </c>
      <c r="G37" s="18" t="n">
        <f aca="false">'Projected Balance Sheet'!F26</f>
        <v>3214.31629366513</v>
      </c>
    </row>
    <row r="38" customFormat="false" ht="15" hidden="false" customHeight="false" outlineLevel="0" collapsed="false">
      <c r="A38" s="9" t="s">
        <v>156</v>
      </c>
      <c r="B38" s="26" t="n">
        <v>893</v>
      </c>
      <c r="C38" s="20" t="n">
        <f aca="false">C36+C37</f>
        <v>1442.87046133756</v>
      </c>
      <c r="D38" s="20" t="n">
        <f aca="false">D36+D37</f>
        <v>1838.72738449719</v>
      </c>
      <c r="E38" s="20" t="n">
        <f aca="false">E36+E37</f>
        <v>2395.09146024071</v>
      </c>
      <c r="F38" s="20" t="n">
        <f aca="false">F36+F37</f>
        <v>3214.31629366513</v>
      </c>
      <c r="G38" s="20" t="n">
        <f aca="false">G36+G37</f>
        <v>4210.54304259449</v>
      </c>
    </row>
    <row r="40" customFormat="false" ht="15" hidden="false" customHeight="false" outlineLevel="0" collapsed="false">
      <c r="A40" s="9" t="s">
        <v>157</v>
      </c>
    </row>
    <row r="41" customFormat="false" ht="15" hidden="false" customHeight="false" outlineLevel="0" collapsed="false">
      <c r="A41" s="3" t="s">
        <v>158</v>
      </c>
      <c r="C41" s="18" t="n">
        <f aca="false">'Projected P&amp;L'!C15*(1-Assumptions!C36)+'Projected P&amp;L'!C14-'Fixed Assets'!C23-'Working Capital'!C17</f>
        <v>460.716894165479</v>
      </c>
      <c r="D41" s="18" t="n">
        <f aca="false">'Projected P&amp;L'!D15*(1-Assumptions!D36)+'Projected P&amp;L'!D14-'Fixed Assets'!D23-'Working Capital'!D17</f>
        <v>917.931017131627</v>
      </c>
      <c r="E41" s="18" t="n">
        <f aca="false">'Projected P&amp;L'!E15*(1-Assumptions!E36)+'Projected P&amp;L'!E14-'Fixed Assets'!E23-'Working Capital'!E17</f>
        <v>1205.15435487221</v>
      </c>
      <c r="F41" s="18" t="n">
        <f aca="false">'Projected P&amp;L'!F15*(1-Assumptions!F36)+'Projected P&amp;L'!F14-'Fixed Assets'!F23-'Working Capital'!F17</f>
        <v>1614.79049177568</v>
      </c>
      <c r="G41" s="18" t="n">
        <f aca="false">'Projected P&amp;L'!G15*(1-Assumptions!G36)+'Projected P&amp;L'!G14-'Fixed Assets'!G23-'Working Capital'!G17</f>
        <v>1838.74070785608</v>
      </c>
    </row>
    <row r="42" customFormat="false" ht="15" hidden="false" customHeight="false" outlineLevel="0" collapsed="false">
      <c r="A42" s="3" t="s">
        <v>159</v>
      </c>
      <c r="C42" s="22" t="n">
        <f aca="false">C21+C26+C29+C30+C31+C32</f>
        <v>549.870461337555</v>
      </c>
      <c r="D42" s="22" t="n">
        <f aca="false">D21+D26+D29+D30+D31+D32</f>
        <v>578.419515728854</v>
      </c>
      <c r="E42" s="22" t="n">
        <f aca="false">E21+E26+E29+E30+E31+E32</f>
        <v>863.159990873851</v>
      </c>
      <c r="F42" s="22" t="n">
        <f aca="false">F21+F26+F29+F30+F31+F32</f>
        <v>1282.72857279641</v>
      </c>
      <c r="G42" s="22" t="n">
        <f aca="false">G21+G26+G29+G30+G31+G32</f>
        <v>1537.37324775823</v>
      </c>
    </row>
    <row r="44" customFormat="false" ht="15" hidden="false" customHeight="false" outlineLevel="0" collapsed="false">
      <c r="A44" s="17" t="s">
        <v>68</v>
      </c>
    </row>
    <row r="45" customFormat="false" ht="15" hidden="false" customHeight="false" outlineLevel="0" collapsed="false">
      <c r="A45" s="17"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7" min="3" style="1" width="15"/>
  </cols>
  <sheetData>
    <row r="1" customFormat="false" ht="15" hidden="false" customHeight="false" outlineLevel="0" collapsed="false">
      <c r="A1" s="4" t="s">
        <v>0</v>
      </c>
    </row>
    <row r="2" customFormat="false" ht="15" hidden="false" customHeight="false" outlineLevel="0" collapsed="false">
      <c r="A2" s="5" t="s">
        <v>160</v>
      </c>
    </row>
    <row r="3" customFormat="false" ht="15" hidden="false" customHeight="false" outlineLevel="0" collapsed="false">
      <c r="A3" s="3" t="s">
        <v>4</v>
      </c>
    </row>
    <row r="5" customFormat="false" ht="30" hidden="false" customHeight="true" outlineLevel="0" collapsed="false">
      <c r="A5" s="7" t="s">
        <v>71</v>
      </c>
      <c r="B5" s="8" t="s">
        <v>72</v>
      </c>
      <c r="C5" s="8" t="s">
        <v>73</v>
      </c>
      <c r="D5" s="8" t="s">
        <v>74</v>
      </c>
      <c r="E5" s="8" t="s">
        <v>75</v>
      </c>
      <c r="F5" s="8" t="s">
        <v>76</v>
      </c>
      <c r="G5" s="8" t="s">
        <v>77</v>
      </c>
    </row>
    <row r="6" customFormat="false" ht="15" hidden="false" customHeight="false" outlineLevel="0" collapsed="false">
      <c r="A6" s="9" t="s">
        <v>161</v>
      </c>
    </row>
    <row r="7" customFormat="false" ht="15" hidden="false" customHeight="false" outlineLevel="0" collapsed="false">
      <c r="A7" s="3" t="s">
        <v>162</v>
      </c>
      <c r="C7" s="22" t="n">
        <f aca="false">B11</f>
        <v>3420</v>
      </c>
      <c r="D7" s="22" t="n">
        <f aca="false">C11</f>
        <v>3923.125</v>
      </c>
      <c r="E7" s="22" t="n">
        <f aca="false">D11</f>
        <v>3937.571875</v>
      </c>
      <c r="F7" s="22" t="n">
        <f aca="false">E11</f>
        <v>3997.876828125</v>
      </c>
      <c r="G7" s="22" t="n">
        <f aca="false">F11</f>
        <v>3957.09976117187</v>
      </c>
    </row>
    <row r="8" customFormat="false" ht="15" hidden="false" customHeight="false" outlineLevel="0" collapsed="false">
      <c r="A8" s="3" t="s">
        <v>163</v>
      </c>
      <c r="C8" s="18" t="n">
        <f aca="false">Assumptions!C14</f>
        <v>260</v>
      </c>
      <c r="D8" s="18" t="n">
        <f aca="false">Assumptions!D14</f>
        <v>0</v>
      </c>
      <c r="E8" s="18" t="n">
        <f aca="false">Assumptions!E14</f>
        <v>0</v>
      </c>
      <c r="F8" s="18" t="n">
        <f aca="false">Assumptions!F14</f>
        <v>0</v>
      </c>
      <c r="G8" s="18" t="n">
        <f aca="false">Assumptions!G14</f>
        <v>0</v>
      </c>
    </row>
    <row r="9" customFormat="false" ht="15" hidden="false" customHeight="false" outlineLevel="0" collapsed="false">
      <c r="A9" s="3" t="s">
        <v>164</v>
      </c>
      <c r="C9" s="18" t="n">
        <f aca="false">Assumptions!C13</f>
        <v>650</v>
      </c>
      <c r="D9" s="18" t="n">
        <f aca="false">Assumptions!D13</f>
        <v>450</v>
      </c>
      <c r="E9" s="18" t="n">
        <f aca="false">Assumptions!E13</f>
        <v>500</v>
      </c>
      <c r="F9" s="18" t="n">
        <f aca="false">Assumptions!F13</f>
        <v>400</v>
      </c>
      <c r="G9" s="18" t="n">
        <f aca="false">Assumptions!G13</f>
        <v>450</v>
      </c>
    </row>
    <row r="10" customFormat="false" ht="15" hidden="false" customHeight="false" outlineLevel="0" collapsed="false">
      <c r="A10" s="3" t="s">
        <v>165</v>
      </c>
      <c r="B10" s="13" t="n">
        <v>348</v>
      </c>
      <c r="C10" s="18" t="n">
        <f aca="false">C7*Assumptions!C15+(C8+C9)*Assumptions!C16</f>
        <v>406.875</v>
      </c>
      <c r="D10" s="18" t="n">
        <f aca="false">D7*Assumptions!D15+(D8+D9)*Assumptions!D16</f>
        <v>435.553125</v>
      </c>
      <c r="E10" s="18" t="n">
        <f aca="false">E7*Assumptions!E15+(E8+E9)*Assumptions!E16</f>
        <v>439.695046875</v>
      </c>
      <c r="F10" s="18" t="n">
        <f aca="false">F7*Assumptions!F15+(F8+F9)*Assumptions!F16</f>
        <v>440.777066953125</v>
      </c>
      <c r="G10" s="18" t="n">
        <f aca="false">G7*Assumptions!G15+(G8+G9)*Assumptions!G16</f>
        <v>439.120474923047</v>
      </c>
    </row>
    <row r="11" customFormat="false" ht="15" hidden="false" customHeight="false" outlineLevel="0" collapsed="false">
      <c r="A11" s="9" t="s">
        <v>166</v>
      </c>
      <c r="B11" s="27" t="n">
        <v>3420</v>
      </c>
      <c r="C11" s="19" t="n">
        <f aca="false">C7+C8+C9-C10</f>
        <v>3923.125</v>
      </c>
      <c r="D11" s="19" t="n">
        <f aca="false">D7+D8+D9-D10</f>
        <v>3937.571875</v>
      </c>
      <c r="E11" s="19" t="n">
        <f aca="false">E7+E8+E9-E10</f>
        <v>3997.876828125</v>
      </c>
      <c r="F11" s="19" t="n">
        <f aca="false">F7+F8+F9-F10</f>
        <v>3957.09976117187</v>
      </c>
      <c r="G11" s="19" t="n">
        <f aca="false">G7+G8+G9-G10</f>
        <v>3967.97928624883</v>
      </c>
    </row>
    <row r="12" customFormat="false" ht="15" hidden="false" customHeight="false" outlineLevel="0" collapsed="false">
      <c r="A12" s="9" t="s">
        <v>167</v>
      </c>
    </row>
    <row r="13" customFormat="false" ht="15" hidden="false" customHeight="false" outlineLevel="0" collapsed="false">
      <c r="A13" s="3" t="s">
        <v>168</v>
      </c>
      <c r="C13" s="22" t="n">
        <f aca="false">B15</f>
        <v>260</v>
      </c>
      <c r="D13" s="22" t="n">
        <f aca="false">C15</f>
        <v>0</v>
      </c>
      <c r="E13" s="22" t="n">
        <f aca="false">D15</f>
        <v>0</v>
      </c>
      <c r="F13" s="22" t="n">
        <f aca="false">E15</f>
        <v>0</v>
      </c>
      <c r="G13" s="22" t="n">
        <f aca="false">F15</f>
        <v>0</v>
      </c>
    </row>
    <row r="14" customFormat="false" ht="15" hidden="false" customHeight="false" outlineLevel="0" collapsed="false">
      <c r="A14" s="3" t="s">
        <v>169</v>
      </c>
      <c r="C14" s="18" t="n">
        <f aca="false">Assumptions!C14</f>
        <v>260</v>
      </c>
      <c r="D14" s="18" t="n">
        <f aca="false">Assumptions!D14</f>
        <v>0</v>
      </c>
      <c r="E14" s="18" t="n">
        <f aca="false">Assumptions!E14</f>
        <v>0</v>
      </c>
      <c r="F14" s="18" t="n">
        <f aca="false">Assumptions!F14</f>
        <v>0</v>
      </c>
      <c r="G14" s="18" t="n">
        <f aca="false">Assumptions!G14</f>
        <v>0</v>
      </c>
    </row>
    <row r="15" customFormat="false" ht="15" hidden="false" customHeight="false" outlineLevel="0" collapsed="false">
      <c r="A15" s="9" t="s">
        <v>170</v>
      </c>
      <c r="B15" s="27" t="n">
        <v>260</v>
      </c>
      <c r="C15" s="19" t="n">
        <f aca="false">C13-C14</f>
        <v>0</v>
      </c>
      <c r="D15" s="19" t="n">
        <f aca="false">D13-D14</f>
        <v>0</v>
      </c>
      <c r="E15" s="19" t="n">
        <f aca="false">E13-E14</f>
        <v>0</v>
      </c>
      <c r="F15" s="19" t="n">
        <f aca="false">F13-F14</f>
        <v>0</v>
      </c>
      <c r="G15" s="19" t="n">
        <f aca="false">G13-G14</f>
        <v>0</v>
      </c>
    </row>
    <row r="16" customFormat="false" ht="15" hidden="false" customHeight="false" outlineLevel="0" collapsed="false">
      <c r="A16" s="9" t="s">
        <v>171</v>
      </c>
    </row>
    <row r="17" customFormat="false" ht="15" hidden="false" customHeight="false" outlineLevel="0" collapsed="false">
      <c r="A17" s="3" t="s">
        <v>172</v>
      </c>
      <c r="C17" s="22" t="n">
        <f aca="false">B20</f>
        <v>40</v>
      </c>
      <c r="D17" s="22" t="n">
        <f aca="false">C20</f>
        <v>40</v>
      </c>
      <c r="E17" s="22" t="n">
        <f aca="false">D20</f>
        <v>40</v>
      </c>
      <c r="F17" s="22" t="n">
        <f aca="false">E20</f>
        <v>40</v>
      </c>
      <c r="G17" s="22" t="n">
        <f aca="false">F20</f>
        <v>40</v>
      </c>
    </row>
    <row r="18" customFormat="false" ht="15" hidden="false" customHeight="false" outlineLevel="0" collapsed="false">
      <c r="A18" s="3" t="s">
        <v>173</v>
      </c>
      <c r="C18" s="18" t="n">
        <f aca="false">Assumptions!C17</f>
        <v>12</v>
      </c>
      <c r="D18" s="18" t="n">
        <f aca="false">Assumptions!D17</f>
        <v>12</v>
      </c>
      <c r="E18" s="18" t="n">
        <f aca="false">Assumptions!E17</f>
        <v>12</v>
      </c>
      <c r="F18" s="18" t="n">
        <f aca="false">Assumptions!F17</f>
        <v>12</v>
      </c>
      <c r="G18" s="18" t="n">
        <f aca="false">Assumptions!G17</f>
        <v>12</v>
      </c>
    </row>
    <row r="19" customFormat="false" ht="15" hidden="false" customHeight="false" outlineLevel="0" collapsed="false">
      <c r="A19" s="3" t="s">
        <v>174</v>
      </c>
      <c r="B19" s="13" t="n">
        <v>12</v>
      </c>
      <c r="C19" s="18" t="n">
        <f aca="false">Assumptions!C18</f>
        <v>12</v>
      </c>
      <c r="D19" s="18" t="n">
        <f aca="false">Assumptions!D18</f>
        <v>12</v>
      </c>
      <c r="E19" s="18" t="n">
        <f aca="false">Assumptions!E18</f>
        <v>12</v>
      </c>
      <c r="F19" s="18" t="n">
        <f aca="false">Assumptions!F18</f>
        <v>12</v>
      </c>
      <c r="G19" s="18" t="n">
        <f aca="false">Assumptions!G18</f>
        <v>12</v>
      </c>
    </row>
    <row r="20" customFormat="false" ht="15" hidden="false" customHeight="false" outlineLevel="0" collapsed="false">
      <c r="A20" s="9" t="s">
        <v>175</v>
      </c>
      <c r="B20" s="27" t="n">
        <v>40</v>
      </c>
      <c r="C20" s="19" t="n">
        <f aca="false">C17+C18-C19</f>
        <v>40</v>
      </c>
      <c r="D20" s="19" t="n">
        <f aca="false">D17+D18-D19</f>
        <v>40</v>
      </c>
      <c r="E20" s="19" t="n">
        <f aca="false">E17+E18-E19</f>
        <v>40</v>
      </c>
      <c r="F20" s="19" t="n">
        <f aca="false">F17+F18-F19</f>
        <v>40</v>
      </c>
      <c r="G20" s="19" t="n">
        <f aca="false">G17+G18-G19</f>
        <v>40</v>
      </c>
    </row>
    <row r="22" customFormat="false" ht="15" hidden="false" customHeight="false" outlineLevel="0" collapsed="false">
      <c r="A22" s="9" t="s">
        <v>176</v>
      </c>
      <c r="B22" s="20" t="n">
        <f aca="false">B10+B19</f>
        <v>360</v>
      </c>
      <c r="C22" s="20" t="n">
        <f aca="false">C10+C19</f>
        <v>418.875</v>
      </c>
      <c r="D22" s="20" t="n">
        <f aca="false">D10+D19</f>
        <v>447.553125</v>
      </c>
      <c r="E22" s="20" t="n">
        <f aca="false">E10+E19</f>
        <v>451.695046875</v>
      </c>
      <c r="F22" s="20" t="n">
        <f aca="false">F10+F19</f>
        <v>452.777066953125</v>
      </c>
      <c r="G22" s="20" t="n">
        <f aca="false">G10+G19</f>
        <v>451.120474923047</v>
      </c>
    </row>
    <row r="23" customFormat="false" ht="15" hidden="false" customHeight="false" outlineLevel="0" collapsed="false">
      <c r="A23" s="9" t="s">
        <v>177</v>
      </c>
      <c r="C23" s="19" t="n">
        <f aca="false">C9+C18</f>
        <v>662</v>
      </c>
      <c r="D23" s="19" t="n">
        <f aca="false">D9+D18</f>
        <v>462</v>
      </c>
      <c r="E23" s="19" t="n">
        <f aca="false">E9+E18</f>
        <v>512</v>
      </c>
      <c r="F23" s="19" t="n">
        <f aca="false">F9+F18</f>
        <v>412</v>
      </c>
      <c r="G23" s="19" t="n">
        <f aca="false">G9+G18</f>
        <v>462</v>
      </c>
    </row>
    <row r="25" customFormat="false" ht="15" hidden="false" customHeight="false" outlineLevel="0" collapsed="false">
      <c r="A25" s="17" t="s">
        <v>68</v>
      </c>
    </row>
    <row r="26" customFormat="false" ht="15" hidden="false" customHeight="false" outlineLevel="0" collapsed="false">
      <c r="A26" s="17" t="s">
        <v>69</v>
      </c>
    </row>
    <row r="27" customFormat="false" ht="15" hidden="false" customHeight="false" outlineLevel="0" collapsed="false">
      <c r="A27" s="17" t="s">
        <v>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7" min="3" style="1" width="15"/>
  </cols>
  <sheetData>
    <row r="1" customFormat="false" ht="15" hidden="false" customHeight="false" outlineLevel="0" collapsed="false">
      <c r="A1" s="4" t="s">
        <v>0</v>
      </c>
    </row>
    <row r="2" customFormat="false" ht="15" hidden="false" customHeight="false" outlineLevel="0" collapsed="false">
      <c r="A2" s="5" t="s">
        <v>179</v>
      </c>
    </row>
    <row r="3" customFormat="false" ht="15" hidden="false" customHeight="false" outlineLevel="0" collapsed="false">
      <c r="A3" s="3" t="s">
        <v>4</v>
      </c>
    </row>
    <row r="5" customFormat="false" ht="30" hidden="false" customHeight="true" outlineLevel="0" collapsed="false">
      <c r="A5" s="7" t="s">
        <v>71</v>
      </c>
      <c r="B5" s="8" t="s">
        <v>72</v>
      </c>
      <c r="C5" s="8" t="s">
        <v>73</v>
      </c>
      <c r="D5" s="8" t="s">
        <v>74</v>
      </c>
      <c r="E5" s="8" t="s">
        <v>75</v>
      </c>
      <c r="F5" s="8" t="s">
        <v>76</v>
      </c>
      <c r="G5" s="8" t="s">
        <v>77</v>
      </c>
    </row>
    <row r="6" customFormat="false" ht="15" hidden="false" customHeight="false" outlineLevel="0" collapsed="false">
      <c r="A6" s="9" t="s">
        <v>180</v>
      </c>
    </row>
    <row r="7" customFormat="false" ht="15" hidden="false" customHeight="false" outlineLevel="0" collapsed="false">
      <c r="A7" s="3" t="s">
        <v>168</v>
      </c>
      <c r="C7" s="22" t="n">
        <f aca="false">B10</f>
        <v>1555</v>
      </c>
      <c r="D7" s="22" t="n">
        <f aca="false">C10</f>
        <v>1675</v>
      </c>
      <c r="E7" s="22" t="n">
        <f aca="false">D10</f>
        <v>1395</v>
      </c>
      <c r="F7" s="22" t="n">
        <f aca="false">E10</f>
        <v>1115</v>
      </c>
      <c r="G7" s="22" t="n">
        <f aca="false">F10</f>
        <v>835</v>
      </c>
    </row>
    <row r="8" customFormat="false" ht="15" hidden="false" customHeight="false" outlineLevel="0" collapsed="false">
      <c r="A8" s="3" t="s">
        <v>181</v>
      </c>
      <c r="C8" s="18" t="n">
        <f aca="false">Assumptions!C20</f>
        <v>400</v>
      </c>
      <c r="D8" s="18" t="n">
        <f aca="false">Assumptions!D20</f>
        <v>0</v>
      </c>
      <c r="E8" s="18" t="n">
        <f aca="false">Assumptions!E20</f>
        <v>0</v>
      </c>
      <c r="F8" s="18" t="n">
        <f aca="false">Assumptions!F20</f>
        <v>0</v>
      </c>
      <c r="G8" s="18" t="n">
        <f aca="false">Assumptions!G20</f>
        <v>0</v>
      </c>
    </row>
    <row r="9" customFormat="false" ht="15" hidden="false" customHeight="false" outlineLevel="0" collapsed="false">
      <c r="A9" s="3" t="s">
        <v>182</v>
      </c>
      <c r="C9" s="18" t="n">
        <f aca="false">Assumptions!C21</f>
        <v>280</v>
      </c>
      <c r="D9" s="18" t="n">
        <f aca="false">Assumptions!D21</f>
        <v>280</v>
      </c>
      <c r="E9" s="18" t="n">
        <f aca="false">Assumptions!E21</f>
        <v>280</v>
      </c>
      <c r="F9" s="18" t="n">
        <f aca="false">Assumptions!F21</f>
        <v>280</v>
      </c>
      <c r="G9" s="18" t="n">
        <f aca="false">Assumptions!G21</f>
        <v>280</v>
      </c>
    </row>
    <row r="10" customFormat="false" ht="15" hidden="false" customHeight="false" outlineLevel="0" collapsed="false">
      <c r="A10" s="9" t="s">
        <v>170</v>
      </c>
      <c r="B10" s="27" t="n">
        <v>1555</v>
      </c>
      <c r="C10" s="19" t="n">
        <f aca="false">C7+C8-C9</f>
        <v>1675</v>
      </c>
      <c r="D10" s="19" t="n">
        <f aca="false">D7+D8-D9</f>
        <v>1395</v>
      </c>
      <c r="E10" s="19" t="n">
        <f aca="false">E7+E8-E9</f>
        <v>1115</v>
      </c>
      <c r="F10" s="19" t="n">
        <f aca="false">F7+F8-F9</f>
        <v>835</v>
      </c>
      <c r="G10" s="19" t="n">
        <f aca="false">G7+G8-G9</f>
        <v>555</v>
      </c>
    </row>
    <row r="11" customFormat="false" ht="15" hidden="false" customHeight="false" outlineLevel="0" collapsed="false">
      <c r="A11" s="3" t="s">
        <v>183</v>
      </c>
      <c r="C11" s="18" t="n">
        <f aca="false">(C7+C10)/2*Assumptions!C22</f>
        <v>149.3875</v>
      </c>
      <c r="D11" s="18" t="n">
        <f aca="false">(D7+D10)/2*Assumptions!D22</f>
        <v>141.9875</v>
      </c>
      <c r="E11" s="18" t="n">
        <f aca="false">(E7+E10)/2*Assumptions!E22</f>
        <v>116.0875</v>
      </c>
      <c r="F11" s="18" t="n">
        <f aca="false">(F7+F10)/2*Assumptions!F22</f>
        <v>90.1875</v>
      </c>
      <c r="G11" s="18" t="n">
        <f aca="false">(G7+G10)/2*Assumptions!G22</f>
        <v>64.2875</v>
      </c>
    </row>
    <row r="12" customFormat="false" ht="15" hidden="false" customHeight="false" outlineLevel="0" collapsed="false">
      <c r="A12" s="9" t="s">
        <v>184</v>
      </c>
    </row>
    <row r="13" customFormat="false" ht="15" hidden="false" customHeight="false" outlineLevel="0" collapsed="false">
      <c r="A13" s="3" t="s">
        <v>168</v>
      </c>
      <c r="C13" s="22" t="n">
        <f aca="false">B14</f>
        <v>900</v>
      </c>
      <c r="D13" s="22" t="n">
        <f aca="false">C14</f>
        <v>1004.51427945205</v>
      </c>
      <c r="E13" s="22" t="n">
        <f aca="false">D14</f>
        <v>1059.54957359342</v>
      </c>
      <c r="F13" s="22" t="n">
        <f aca="false">E14</f>
        <v>1080.78683935562</v>
      </c>
      <c r="G13" s="22" t="n">
        <f aca="false">F14</f>
        <v>1072.87853646239</v>
      </c>
    </row>
    <row r="14" customFormat="false" ht="15" hidden="false" customHeight="false" outlineLevel="0" collapsed="false">
      <c r="A14" s="9" t="s">
        <v>170</v>
      </c>
      <c r="B14" s="27" t="n">
        <v>900</v>
      </c>
      <c r="C14" s="28" t="n">
        <f aca="false">('Working Capital'!C7+'Working Capital'!C6)*Assumptions!C23</f>
        <v>1004.51427945205</v>
      </c>
      <c r="D14" s="28" t="n">
        <f aca="false">('Working Capital'!D7+'Working Capital'!D6)*Assumptions!D23</f>
        <v>1059.54957359342</v>
      </c>
      <c r="E14" s="28" t="n">
        <f aca="false">('Working Capital'!E7+'Working Capital'!E6)*Assumptions!E23</f>
        <v>1080.78683935562</v>
      </c>
      <c r="F14" s="28" t="n">
        <f aca="false">('Working Capital'!F7+'Working Capital'!F6)*Assumptions!F23</f>
        <v>1072.87853646239</v>
      </c>
      <c r="G14" s="28" t="n">
        <f aca="false">('Working Capital'!G7+'Working Capital'!G6)*Assumptions!G23</f>
        <v>1044.22021795742</v>
      </c>
    </row>
    <row r="15" customFormat="false" ht="15" hidden="false" customHeight="false" outlineLevel="0" collapsed="false">
      <c r="A15" s="3" t="s">
        <v>185</v>
      </c>
      <c r="C15" s="18" t="n">
        <f aca="false">(C13+C14)/2*Assumptions!C24</f>
        <v>95.2257139726028</v>
      </c>
      <c r="D15" s="18" t="n">
        <f aca="false">(D13+D14)/2*Assumptions!D24</f>
        <v>103.203192652274</v>
      </c>
      <c r="E15" s="18" t="n">
        <f aca="false">(E13+E14)/2*Assumptions!E24</f>
        <v>107.016820647452</v>
      </c>
      <c r="F15" s="18" t="n">
        <f aca="false">(F13+F14)/2*Assumptions!F24</f>
        <v>107.6832687909</v>
      </c>
      <c r="G15" s="18" t="n">
        <f aca="false">(G13+G14)/2*Assumptions!G24</f>
        <v>105.854937720991</v>
      </c>
    </row>
    <row r="17" customFormat="false" ht="15" hidden="false" customHeight="false" outlineLevel="0" collapsed="false">
      <c r="A17" s="9" t="s">
        <v>186</v>
      </c>
      <c r="B17" s="26" t="n">
        <v>290</v>
      </c>
      <c r="C17" s="20" t="n">
        <f aca="false">C11+C15</f>
        <v>244.613213972603</v>
      </c>
      <c r="D17" s="20" t="n">
        <f aca="false">D11+D15</f>
        <v>245.190692652274</v>
      </c>
      <c r="E17" s="20" t="n">
        <f aca="false">E11+E15</f>
        <v>223.104320647452</v>
      </c>
      <c r="F17" s="20" t="n">
        <f aca="false">F11+F15</f>
        <v>197.8707687909</v>
      </c>
      <c r="G17" s="20" t="n">
        <f aca="false">G11+G15</f>
        <v>170.142437720991</v>
      </c>
    </row>
    <row r="18" customFormat="false" ht="15" hidden="false" customHeight="false" outlineLevel="0" collapsed="false">
      <c r="A18" s="9" t="s">
        <v>187</v>
      </c>
      <c r="B18" s="19" t="n">
        <f aca="false">B10+B14</f>
        <v>2455</v>
      </c>
      <c r="C18" s="19" t="n">
        <f aca="false">C10+C14</f>
        <v>2679.51427945206</v>
      </c>
      <c r="D18" s="19" t="n">
        <f aca="false">D10+D14</f>
        <v>2454.54957359342</v>
      </c>
      <c r="E18" s="19" t="n">
        <f aca="false">E10+E14</f>
        <v>2195.78683935562</v>
      </c>
      <c r="F18" s="19" t="n">
        <f aca="false">F10+F14</f>
        <v>1907.87853646239</v>
      </c>
      <c r="G18" s="19" t="n">
        <f aca="false">G10+G14</f>
        <v>1599.22021795742</v>
      </c>
    </row>
    <row r="20" customFormat="false" ht="15" hidden="false" customHeight="false" outlineLevel="0" collapsed="false">
      <c r="A20" s="17" t="s">
        <v>68</v>
      </c>
    </row>
    <row r="21" customFormat="false" ht="15" hidden="false" customHeight="false" outlineLevel="0" collapsed="false">
      <c r="A21" s="17" t="s">
        <v>69</v>
      </c>
    </row>
    <row r="22" customFormat="false" ht="15" hidden="false" customHeight="false" outlineLevel="0" collapsed="false">
      <c r="A22" s="17"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8"/>
    <col collapsed="false" customWidth="true" hidden="false" outlineLevel="0" max="7" min="3" style="1" width="15"/>
  </cols>
  <sheetData>
    <row r="1" customFormat="false" ht="15" hidden="false" customHeight="false" outlineLevel="0" collapsed="false">
      <c r="A1" s="4" t="s">
        <v>0</v>
      </c>
    </row>
    <row r="2" customFormat="false" ht="15" hidden="false" customHeight="false" outlineLevel="0" collapsed="false">
      <c r="A2" s="5" t="s">
        <v>189</v>
      </c>
    </row>
    <row r="3" customFormat="false" ht="15" hidden="false" customHeight="false" outlineLevel="0" collapsed="false">
      <c r="A3" s="3" t="s">
        <v>4</v>
      </c>
    </row>
    <row r="5" customFormat="false" ht="30" hidden="false" customHeight="true" outlineLevel="0" collapsed="false">
      <c r="A5" s="7" t="s">
        <v>71</v>
      </c>
      <c r="B5" s="8" t="s">
        <v>72</v>
      </c>
      <c r="C5" s="8" t="s">
        <v>73</v>
      </c>
      <c r="D5" s="8" t="s">
        <v>74</v>
      </c>
      <c r="E5" s="8" t="s">
        <v>75</v>
      </c>
      <c r="F5" s="8" t="s">
        <v>76</v>
      </c>
      <c r="G5" s="8" t="s">
        <v>77</v>
      </c>
    </row>
    <row r="6" customFormat="false" ht="15" hidden="false" customHeight="false" outlineLevel="0" collapsed="false">
      <c r="A6" s="3" t="s">
        <v>45</v>
      </c>
      <c r="B6" s="13" t="n">
        <v>1650</v>
      </c>
      <c r="C6" s="18" t="n">
        <f aca="false">'Projected P&amp;L'!C6*Assumptions!C26/Assumptions!C37</f>
        <v>1916.44931506849</v>
      </c>
      <c r="D6" s="18" t="n">
        <f aca="false">'Projected P&amp;L'!D6*Assumptions!D26/Assumptions!D37</f>
        <v>2223.08120547945</v>
      </c>
      <c r="E6" s="18" t="n">
        <f aca="false">'Projected P&amp;L'!E6*Assumptions!E26/Assumptions!E37</f>
        <v>2485.5757939726</v>
      </c>
      <c r="F6" s="18" t="n">
        <f aca="false">'Projected P&amp;L'!F6*Assumptions!F26/Assumptions!F37</f>
        <v>2729.25969534247</v>
      </c>
      <c r="G6" s="18" t="n">
        <f aca="false">'Projected P&amp;L'!G6*Assumptions!G26/Assumptions!G37</f>
        <v>3002.18566487671</v>
      </c>
    </row>
    <row r="7" customFormat="false" ht="15" hidden="false" customHeight="false" outlineLevel="0" collapsed="false">
      <c r="A7" s="3" t="s">
        <v>47</v>
      </c>
      <c r="B7" s="13" t="n">
        <v>1810</v>
      </c>
      <c r="C7" s="18" t="n">
        <f aca="false">'Projected P&amp;L'!C10*Assumptions!C27/Assumptions!C37</f>
        <v>2101.60780273973</v>
      </c>
      <c r="D7" s="18" t="n">
        <f aca="false">'Projected P&amp;L'!D10*Assumptions!D27/Assumptions!D37</f>
        <v>2383.6560710137</v>
      </c>
      <c r="E7" s="18" t="n">
        <f aca="false">'Projected P&amp;L'!E10*Assumptions!E27/Assumptions!E37</f>
        <v>2661.0282029589</v>
      </c>
      <c r="F7" s="18" t="n">
        <f aca="false">'Projected P&amp;L'!F10*Assumptions!F27/Assumptions!F37</f>
        <v>2917.46944393328</v>
      </c>
      <c r="G7" s="18" t="n">
        <f aca="false">'Projected P&amp;L'!G10*Assumptions!G27/Assumptions!G37</f>
        <v>3140.28620546104</v>
      </c>
    </row>
    <row r="8" customFormat="false" ht="15" hidden="false" customHeight="false" outlineLevel="0" collapsed="false">
      <c r="A8" s="3" t="s">
        <v>50</v>
      </c>
      <c r="B8" s="13" t="n">
        <v>370</v>
      </c>
      <c r="C8" s="18" t="n">
        <f aca="false">'Projected P&amp;L'!C6*Assumptions!C29</f>
        <v>430.464</v>
      </c>
      <c r="D8" s="18" t="n">
        <f aca="false">'Projected P&amp;L'!D6*Assumptions!D29</f>
        <v>499.33824</v>
      </c>
      <c r="E8" s="18" t="n">
        <f aca="false">'Projected P&amp;L'!E6*Assumptions!E29</f>
        <v>569.2455936</v>
      </c>
      <c r="F8" s="18" t="n">
        <f aca="false">'Projected P&amp;L'!F6*Assumptions!F29</f>
        <v>637.555064832</v>
      </c>
      <c r="G8" s="18" t="n">
        <f aca="false">'Projected P&amp;L'!G6*Assumptions!G29</f>
        <v>701.3105713152</v>
      </c>
    </row>
    <row r="9" customFormat="false" ht="15" hidden="false" customHeight="false" outlineLevel="0" collapsed="false">
      <c r="A9" s="3" t="s">
        <v>51</v>
      </c>
      <c r="B9" s="13" t="n">
        <v>220</v>
      </c>
      <c r="C9" s="18" t="n">
        <f aca="false">Assumptions!C30</f>
        <v>220</v>
      </c>
      <c r="D9" s="18" t="n">
        <f aca="false">Assumptions!D30</f>
        <v>220</v>
      </c>
      <c r="E9" s="18" t="n">
        <f aca="false">Assumptions!E30</f>
        <v>220</v>
      </c>
      <c r="F9" s="18" t="n">
        <f aca="false">Assumptions!F30</f>
        <v>220</v>
      </c>
      <c r="G9" s="18" t="n">
        <f aca="false">Assumptions!G30</f>
        <v>220</v>
      </c>
    </row>
    <row r="10" customFormat="false" ht="15" hidden="false" customHeight="false" outlineLevel="0" collapsed="false">
      <c r="A10" s="3" t="s">
        <v>49</v>
      </c>
      <c r="B10" s="13" t="n">
        <v>1260</v>
      </c>
      <c r="C10" s="18" t="n">
        <f aca="false">'Projected P&amp;L'!C10*Assumptions!C28/Assumptions!C37</f>
        <v>1459.4498630137</v>
      </c>
      <c r="D10" s="18" t="n">
        <f aca="false">'Projected P&amp;L'!D10*Assumptions!D28/Assumptions!D37</f>
        <v>1664.06178542466</v>
      </c>
      <c r="E10" s="18" t="n">
        <f aca="false">'Projected P&amp;L'!E10*Assumptions!E28/Assumptions!E37</f>
        <v>1867.837104</v>
      </c>
      <c r="F10" s="18" t="n">
        <f aca="false">'Projected P&amp;L'!F10*Assumptions!F28/Assumptions!F37</f>
        <v>2059.39019571761</v>
      </c>
      <c r="G10" s="18" t="n">
        <f aca="false">'Projected P&amp;L'!G10*Assumptions!G28/Assumptions!G37</f>
        <v>2261.00606793195</v>
      </c>
    </row>
    <row r="11" customFormat="false" ht="15" hidden="false" customHeight="false" outlineLevel="0" collapsed="false">
      <c r="A11" s="3" t="s">
        <v>53</v>
      </c>
      <c r="B11" s="13" t="n">
        <v>205</v>
      </c>
      <c r="C11" s="18" t="n">
        <f aca="false">'Projected P&amp;L'!C6*Assumptions!C31</f>
        <v>242.136</v>
      </c>
      <c r="D11" s="18" t="n">
        <f aca="false">'Projected P&amp;L'!D6*Assumptions!D31</f>
        <v>280.87776</v>
      </c>
      <c r="E11" s="18" t="n">
        <f aca="false">'Projected P&amp;L'!E6*Assumptions!E31</f>
        <v>320.2006464</v>
      </c>
      <c r="F11" s="18" t="n">
        <f aca="false">'Projected P&amp;L'!F6*Assumptions!F31</f>
        <v>358.624723968</v>
      </c>
      <c r="G11" s="18" t="n">
        <f aca="false">'Projected P&amp;L'!G6*Assumptions!G31</f>
        <v>394.4871963648</v>
      </c>
    </row>
    <row r="12" customFormat="false" ht="15" hidden="false" customHeight="false" outlineLevel="0" collapsed="false">
      <c r="A12" s="3" t="s">
        <v>190</v>
      </c>
      <c r="B12" s="13" t="n">
        <v>85</v>
      </c>
      <c r="C12" s="18" t="n">
        <f aca="false">'Projected P&amp;L'!C11*Assumptions!C32</f>
        <v>99.27576</v>
      </c>
      <c r="D12" s="18" t="n">
        <f aca="false">'Projected P&amp;L'!D11*Assumptions!D32</f>
        <v>114.2236224</v>
      </c>
      <c r="E12" s="18" t="n">
        <f aca="false">'Projected P&amp;L'!E11*Assumptions!E32</f>
        <v>129.147594048</v>
      </c>
      <c r="F12" s="18" t="n">
        <f aca="false">'Projected P&amp;L'!F11*Assumptions!F32</f>
        <v>143.4498895872</v>
      </c>
      <c r="G12" s="18" t="n">
        <f aca="false">'Projected P&amp;L'!G11*Assumptions!G32</f>
        <v>157.79487854592</v>
      </c>
    </row>
    <row r="13" customFormat="false" ht="15" hidden="false" customHeight="false" outlineLevel="0" collapsed="false">
      <c r="A13" s="3" t="s">
        <v>56</v>
      </c>
      <c r="B13" s="13" t="n">
        <v>115</v>
      </c>
      <c r="C13" s="18" t="n">
        <f aca="false">Assumptions!C33</f>
        <v>115</v>
      </c>
      <c r="D13" s="18" t="n">
        <f aca="false">Assumptions!D33</f>
        <v>115</v>
      </c>
      <c r="E13" s="18" t="n">
        <f aca="false">Assumptions!E33</f>
        <v>115</v>
      </c>
      <c r="F13" s="18" t="n">
        <f aca="false">Assumptions!F33</f>
        <v>115</v>
      </c>
      <c r="G13" s="18" t="n">
        <f aca="false">Assumptions!G33</f>
        <v>115</v>
      </c>
    </row>
    <row r="14" customFormat="false" ht="15" hidden="false" customHeight="false" outlineLevel="0" collapsed="false">
      <c r="A14" s="3" t="s">
        <v>57</v>
      </c>
      <c r="B14" s="13" t="n">
        <v>130</v>
      </c>
      <c r="C14" s="18" t="n">
        <f aca="false">Assumptions!C34</f>
        <v>130</v>
      </c>
      <c r="D14" s="18" t="n">
        <f aca="false">Assumptions!D34</f>
        <v>130</v>
      </c>
      <c r="E14" s="18" t="n">
        <f aca="false">Assumptions!E34</f>
        <v>130</v>
      </c>
      <c r="F14" s="18" t="n">
        <f aca="false">Assumptions!F34</f>
        <v>130</v>
      </c>
      <c r="G14" s="18" t="n">
        <f aca="false">Assumptions!G34</f>
        <v>130</v>
      </c>
    </row>
    <row r="16" customFormat="false" ht="15" hidden="false" customHeight="false" outlineLevel="0" collapsed="false">
      <c r="A16" s="9" t="s">
        <v>191</v>
      </c>
      <c r="B16" s="19" t="n">
        <f aca="false">B6+B7+B8-B10-B11-B13</f>
        <v>2250</v>
      </c>
      <c r="C16" s="19" t="n">
        <f aca="false">C6+C7+C8-C10-C11-C13</f>
        <v>2631.93525479452</v>
      </c>
      <c r="D16" s="19" t="n">
        <f aca="false">D6+D7+D8-D10-D11-D13</f>
        <v>3046.13597106849</v>
      </c>
      <c r="E16" s="19" t="n">
        <f aca="false">E6+E7+E8-E10-E11-E13</f>
        <v>3412.81184013151</v>
      </c>
      <c r="F16" s="19" t="n">
        <f aca="false">F6+F7+F8-F10-F11-F13</f>
        <v>3751.26928442214</v>
      </c>
      <c r="G16" s="19" t="n">
        <f aca="false">G6+G7+G8-G10-G11-G13</f>
        <v>4073.2891773562</v>
      </c>
    </row>
    <row r="17" customFormat="false" ht="15" hidden="false" customHeight="false" outlineLevel="0" collapsed="false">
      <c r="A17" s="3" t="s">
        <v>192</v>
      </c>
      <c r="C17" s="22" t="n">
        <f aca="false">C16-B16</f>
        <v>381.93525479452</v>
      </c>
      <c r="D17" s="22" t="n">
        <f aca="false">D16-C16</f>
        <v>414.200716273973</v>
      </c>
      <c r="E17" s="22" t="n">
        <f aca="false">E16-D16</f>
        <v>366.675869063013</v>
      </c>
      <c r="F17" s="22" t="n">
        <f aca="false">F16-E16</f>
        <v>338.457444290631</v>
      </c>
      <c r="G17" s="22" t="n">
        <f aca="false">G16-F16</f>
        <v>322.019892934066</v>
      </c>
    </row>
    <row r="18" customFormat="false" ht="15" hidden="false" customHeight="false" outlineLevel="0" collapsed="false">
      <c r="A18" s="3" t="s">
        <v>193</v>
      </c>
      <c r="B18" s="24" t="n">
        <f aca="false">IF('Projected P&amp;L'!B6=0,0,B16/'Projected P&amp;L'!B6)</f>
        <v>0.197368421052632</v>
      </c>
      <c r="C18" s="24" t="n">
        <f aca="false">IF('Projected P&amp;L'!C6=0,0,C16/'Projected P&amp;L'!C6)</f>
        <v>0.195653825066497</v>
      </c>
      <c r="D18" s="24" t="n">
        <f aca="false">IF('Projected P&amp;L'!D6=0,0,D16/'Projected P&amp;L'!D6)</f>
        <v>0.195211067900972</v>
      </c>
      <c r="E18" s="24" t="n">
        <f aca="false">IF('Projected P&amp;L'!E6=0,0,E16/'Projected P&amp;L'!E6)</f>
        <v>0.191850371987154</v>
      </c>
      <c r="F18" s="24" t="n">
        <f aca="false">IF('Projected P&amp;L'!F6=0,0,F16/'Projected P&amp;L'!F6)</f>
        <v>0.188282744068765</v>
      </c>
      <c r="G18" s="24" t="n">
        <f aca="false">IF('Projected P&amp;L'!G6=0,0,G16/'Projected P&amp;L'!G6)</f>
        <v>0.185859530722539</v>
      </c>
    </row>
    <row r="20" customFormat="false" ht="15" hidden="false" customHeight="false" outlineLevel="0" collapsed="false">
      <c r="A20" s="17" t="s">
        <v>68</v>
      </c>
    </row>
    <row r="21" customFormat="false" ht="15" hidden="false" customHeight="false" outlineLevel="0" collapsed="false">
      <c r="A21" s="17" t="s">
        <v>69</v>
      </c>
    </row>
    <row r="22" customFormat="false" ht="15" hidden="false" customHeight="false" outlineLevel="0" collapsed="false">
      <c r="A22" s="17"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4" min="2" style="1" width="20"/>
  </cols>
  <sheetData>
    <row r="1" customFormat="false" ht="15" hidden="false" customHeight="false" outlineLevel="0" collapsed="false">
      <c r="A1" s="4" t="s">
        <v>0</v>
      </c>
    </row>
    <row r="2" customFormat="false" ht="15" hidden="false" customHeight="false" outlineLevel="0" collapsed="false">
      <c r="A2" s="5" t="s">
        <v>195</v>
      </c>
    </row>
    <row r="3" customFormat="false" ht="15" hidden="false" customHeight="false" outlineLevel="0" collapsed="false">
      <c r="A3" s="3" t="s">
        <v>4</v>
      </c>
    </row>
    <row r="5" customFormat="false" ht="30" hidden="false" customHeight="true" outlineLevel="0" collapsed="false">
      <c r="A5" s="7" t="s">
        <v>71</v>
      </c>
      <c r="B5" s="8" t="s">
        <v>196</v>
      </c>
      <c r="C5" s="8" t="s">
        <v>197</v>
      </c>
      <c r="D5" s="8" t="s">
        <v>198</v>
      </c>
    </row>
    <row r="6" customFormat="false" ht="15" hidden="false" customHeight="false" outlineLevel="0" collapsed="false">
      <c r="A6" s="3" t="s">
        <v>78</v>
      </c>
      <c r="B6" s="18" t="n">
        <f aca="false">'Projected P&amp;L'!C6</f>
        <v>13452</v>
      </c>
      <c r="C6" s="13" t="n">
        <v>2050</v>
      </c>
      <c r="D6" s="22" t="n">
        <f aca="false">B6-C6</f>
        <v>11402</v>
      </c>
    </row>
    <row r="7" customFormat="false" ht="15" hidden="false" customHeight="false" outlineLevel="0" collapsed="false">
      <c r="A7" s="3" t="s">
        <v>79</v>
      </c>
      <c r="B7" s="18" t="n">
        <f aca="false">'Projected P&amp;L'!C7</f>
        <v>44.65</v>
      </c>
      <c r="C7" s="13" t="n">
        <v>9</v>
      </c>
      <c r="D7" s="22" t="n">
        <f aca="false">B7-C7</f>
        <v>35.65</v>
      </c>
    </row>
    <row r="8" customFormat="false" ht="15" hidden="false" customHeight="false" outlineLevel="0" collapsed="false">
      <c r="A8" s="3" t="s">
        <v>199</v>
      </c>
      <c r="B8" s="18" t="n">
        <f aca="false">'Projected P&amp;L'!C10</f>
        <v>7102.656</v>
      </c>
      <c r="C8" s="13" t="n">
        <v>1075</v>
      </c>
      <c r="D8" s="22" t="n">
        <f aca="false">B8-C8</f>
        <v>6027.656</v>
      </c>
    </row>
    <row r="9" customFormat="false" ht="15" hidden="false" customHeight="false" outlineLevel="0" collapsed="false">
      <c r="A9" s="3" t="s">
        <v>23</v>
      </c>
      <c r="B9" s="18" t="n">
        <f aca="false">'Projected P&amp;L'!C11</f>
        <v>1654.596</v>
      </c>
      <c r="C9" s="13" t="n">
        <v>255</v>
      </c>
      <c r="D9" s="22" t="n">
        <f aca="false">B9-C9</f>
        <v>1399.596</v>
      </c>
    </row>
    <row r="10" customFormat="false" ht="15" hidden="false" customHeight="false" outlineLevel="0" collapsed="false">
      <c r="A10" s="3" t="s">
        <v>24</v>
      </c>
      <c r="B10" s="18" t="n">
        <f aca="false">'Projected P&amp;L'!C12</f>
        <v>2824.92</v>
      </c>
      <c r="C10" s="13" t="n">
        <v>445</v>
      </c>
      <c r="D10" s="22" t="n">
        <f aca="false">B10-C10</f>
        <v>2379.92</v>
      </c>
    </row>
    <row r="11" customFormat="false" ht="15" hidden="false" customHeight="false" outlineLevel="0" collapsed="false">
      <c r="A11" s="9" t="s">
        <v>82</v>
      </c>
      <c r="B11" s="28" t="n">
        <f aca="false">'Projected P&amp;L'!C13</f>
        <v>1869.828</v>
      </c>
      <c r="C11" s="19" t="n">
        <f aca="false">C6-C8-C9-C10</f>
        <v>275</v>
      </c>
      <c r="D11" s="19" t="n">
        <f aca="false">D6-D8-D9-D10</f>
        <v>1594.828</v>
      </c>
    </row>
    <row r="12" customFormat="false" ht="15" hidden="false" customHeight="false" outlineLevel="0" collapsed="false">
      <c r="A12" s="3" t="s">
        <v>200</v>
      </c>
      <c r="B12" s="18" t="n">
        <f aca="false">'Projected P&amp;L'!C14</f>
        <v>418.875</v>
      </c>
      <c r="C12" s="13" t="n">
        <v>65</v>
      </c>
      <c r="D12" s="22" t="n">
        <f aca="false">B12-C12</f>
        <v>353.875</v>
      </c>
    </row>
    <row r="13" customFormat="false" ht="15" hidden="false" customHeight="false" outlineLevel="0" collapsed="false">
      <c r="A13" s="9" t="s">
        <v>84</v>
      </c>
      <c r="B13" s="28" t="n">
        <f aca="false">'Projected P&amp;L'!C15</f>
        <v>1450.953</v>
      </c>
      <c r="C13" s="19" t="n">
        <f aca="false">C11-C12</f>
        <v>210</v>
      </c>
      <c r="D13" s="19" t="n">
        <f aca="false">D11-D12</f>
        <v>1240.953</v>
      </c>
    </row>
    <row r="14" customFormat="false" ht="15" hidden="false" customHeight="false" outlineLevel="0" collapsed="false">
      <c r="A14" s="3" t="s">
        <v>85</v>
      </c>
      <c r="B14" s="18" t="n">
        <f aca="false">'Projected P&amp;L'!C16</f>
        <v>244.613213972603</v>
      </c>
      <c r="C14" s="13" t="n">
        <v>50</v>
      </c>
      <c r="D14" s="22" t="n">
        <f aca="false">B14-C14</f>
        <v>194.613213972603</v>
      </c>
    </row>
    <row r="15" customFormat="false" ht="15" hidden="false" customHeight="false" outlineLevel="0" collapsed="false">
      <c r="A15" s="9" t="s">
        <v>86</v>
      </c>
      <c r="B15" s="28" t="n">
        <f aca="false">'Projected P&amp;L'!C17</f>
        <v>1250.9897860274</v>
      </c>
      <c r="C15" s="19" t="n">
        <f aca="false">C13-C14+C7</f>
        <v>169</v>
      </c>
      <c r="D15" s="19" t="n">
        <f aca="false">D13-D14+D7</f>
        <v>1081.9897860274</v>
      </c>
    </row>
    <row r="16" customFormat="false" ht="15" hidden="false" customHeight="false" outlineLevel="0" collapsed="false">
      <c r="A16" s="3" t="s">
        <v>87</v>
      </c>
      <c r="B16" s="18" t="n">
        <f aca="false">'Projected P&amp;L'!C18</f>
        <v>314.849109347375</v>
      </c>
      <c r="C16" s="13" t="n">
        <v>44</v>
      </c>
      <c r="D16" s="22" t="n">
        <f aca="false">B16-C16</f>
        <v>270.849109347375</v>
      </c>
    </row>
    <row r="17" customFormat="false" ht="15" hidden="false" customHeight="false" outlineLevel="0" collapsed="false">
      <c r="A17" s="9" t="s">
        <v>88</v>
      </c>
      <c r="B17" s="28" t="n">
        <f aca="false">'Projected P&amp;L'!C19</f>
        <v>936.140676680022</v>
      </c>
      <c r="C17" s="19" t="n">
        <f aca="false">C15-C16</f>
        <v>125</v>
      </c>
      <c r="D17" s="19" t="n">
        <f aca="false">D15-D16</f>
        <v>811.140676680022</v>
      </c>
    </row>
    <row r="19" customFormat="false" ht="15" hidden="false" customHeight="false" outlineLevel="0" collapsed="false">
      <c r="A19" s="3" t="s">
        <v>201</v>
      </c>
      <c r="B19" s="18" t="n">
        <f aca="false">'Fixed Assets'!C23</f>
        <v>662</v>
      </c>
      <c r="C19" s="13" t="n">
        <v>39</v>
      </c>
      <c r="D19" s="22" t="n">
        <f aca="false">B19-C19</f>
        <v>623</v>
      </c>
    </row>
    <row r="20" customFormat="false" ht="15" hidden="false" customHeight="false" outlineLevel="0" collapsed="false">
      <c r="A20" s="3" t="s">
        <v>202</v>
      </c>
      <c r="B20" s="18" t="n">
        <f aca="false">'Working Capital'!C17</f>
        <v>381.93525479452</v>
      </c>
      <c r="C20" s="22" t="n">
        <f aca="false">(1870+1720+380)-(1810+1650+370)-((1290+380-190+60)-(1260+410-205+115))</f>
        <v>180</v>
      </c>
      <c r="D20" s="22" t="n">
        <f aca="false">B20-C20</f>
        <v>201.93525479452</v>
      </c>
    </row>
    <row r="21" customFormat="false" ht="15" hidden="false" customHeight="false" outlineLevel="0" collapsed="false">
      <c r="A21" s="3" t="s">
        <v>203</v>
      </c>
      <c r="B21" s="29" t="n">
        <v>1</v>
      </c>
      <c r="C21" s="30" t="n">
        <f aca="false">62/365</f>
        <v>0.16986301369863</v>
      </c>
      <c r="D21" s="30" t="n">
        <f aca="false">B21-C21</f>
        <v>0.83013698630137</v>
      </c>
    </row>
    <row r="23" customFormat="false" ht="45" hidden="false" customHeight="true" outlineLevel="0" collapsed="false">
      <c r="A23" s="16" t="s">
        <v>204</v>
      </c>
    </row>
    <row r="24" customFormat="false" ht="45" hidden="false" customHeight="true" outlineLevel="0" collapsed="false">
      <c r="A24" s="16" t="s">
        <v>205</v>
      </c>
    </row>
    <row r="26" customFormat="false" ht="15" hidden="false" customHeight="false" outlineLevel="0" collapsed="false">
      <c r="A26" s="17" t="s">
        <v>68</v>
      </c>
    </row>
    <row r="27" customFormat="false" ht="15" hidden="false" customHeight="false" outlineLevel="0" collapsed="false">
      <c r="A27" s="17"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2026-09-04T14:31:11Z</dcterms:created>
  <dc:creator>openpyxl</dc:creator>
  <dc:description/>
  <dc:language>en-US</dc:language>
  <cp:lastModifiedBy/>
  <dcterms:modified xsi:type="dcterms:W3CDTF">2026-09-04T14:31:11Z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