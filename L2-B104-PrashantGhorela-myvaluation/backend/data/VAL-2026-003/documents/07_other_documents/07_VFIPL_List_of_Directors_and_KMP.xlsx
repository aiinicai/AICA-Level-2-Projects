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oard of Directors" sheetId="2" state="visible" r:id="rId4"/>
    <sheet name="Key Managerial Personnel" sheetId="3" state="visible" r:id="rId5"/>
    <sheet name="Board Committees" sheetId="4" state="visible" r:id="rId6"/>
    <sheet name="Related Part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<sst xmlns="http://schemas.openxmlformats.org/spreadsheetml/2006/main" count="159" uniqueCount="127">
  <si>
    <t xml:space="preserve">Vanraj Furniture Industries Private Limited</t>
  </si>
  <si>
    <t xml:space="preserve">CIN: U36101MH2009PTC194327 | Registered office: Plot No. 47, Anjur Phata Industrial Area, Bhiwandi, Thane 421302, Maharashtra</t>
  </si>
  <si>
    <t xml:space="preserve">List of directors and key managerial personnel as at 1 June 2026</t>
  </si>
  <si>
    <t xml:space="preserve">As per Register of Directors and KMP (section 170 of the Companies Act, 2013) and Form DIR-12 filings</t>
  </si>
  <si>
    <t xml:space="preserve">Contents: Board of Directors, Key Managerial Personnel, Board Committees, Related Parties.</t>
  </si>
  <si>
    <t xml:space="preserve">Certified by: Priya Nair, Company Secretary (ACS 41207), on 3 June 2026.</t>
  </si>
  <si>
    <t xml:space="preserve">All data in this workbook is imaginary and has been prepared solely for testing a valuation model. Any resemblance to an actual company or person is coincidental.</t>
  </si>
  <si>
    <t xml:space="preserve">Board of Directors as at 1 June 2026</t>
  </si>
  <si>
    <t xml:space="preserve">Sr.</t>
  </si>
  <si>
    <t xml:space="preserve">Name</t>
  </si>
  <si>
    <t xml:space="preserve">DIN</t>
  </si>
  <si>
    <t xml:space="preserve">Designation</t>
  </si>
  <si>
    <t xml:space="preserve">Date of birth</t>
  </si>
  <si>
    <t xml:space="preserve">Date of appointment</t>
  </si>
  <si>
    <t xml:space="preserve">Qualification and experience</t>
  </si>
  <si>
    <t xml:space="preserve">Address (as per DIR-12)</t>
  </si>
  <si>
    <t xml:space="preserve">Equity shares held</t>
  </si>
  <si>
    <t xml:space="preserve">Other directorships / interests</t>
  </si>
  <si>
    <t xml:space="preserve">1</t>
  </si>
  <si>
    <t xml:space="preserve">Vikram Malhotra</t>
  </si>
  <si>
    <t xml:space="preserve">01847265</t>
  </si>
  <si>
    <t xml:space="preserve">Managing Director (Promoter)</t>
  </si>
  <si>
    <t xml:space="preserve">12-Mar-1966</t>
  </si>
  <si>
    <t xml:space="preserve">14-Aug-2009</t>
  </si>
  <si>
    <t xml:space="preserve">B.Com; 32 years in furniture manufacturing; founded the company in 2009 after running a family timber trading business</t>
  </si>
  <si>
    <t xml:space="preserve">14, Sea Breeze, Carter Road, Bandra West, Mumbai 400050</t>
  </si>
  <si>
    <t xml:space="preserve">Vanraj Timber Traders LLP (Designated Partner); Malhotra Family Trust (Trustee)</t>
  </si>
  <si>
    <t xml:space="preserve">2</t>
  </si>
  <si>
    <t xml:space="preserve">Sunita Malhotra</t>
  </si>
  <si>
    <t xml:space="preserve">01847301</t>
  </si>
  <si>
    <t xml:space="preserve">Whole-time Director (Promoter)</t>
  </si>
  <si>
    <t xml:space="preserve">25-Jul-1969</t>
  </si>
  <si>
    <t xml:space="preserve">B.A. (Interior Design); heads product design and retail showrooms</t>
  </si>
  <si>
    <t xml:space="preserve">Vanraj Timber Traders LLP (Partner)</t>
  </si>
  <si>
    <t xml:space="preserve">3</t>
  </si>
  <si>
    <t xml:space="preserve">Rohan Malhotra</t>
  </si>
  <si>
    <t xml:space="preserve">08914527</t>
  </si>
  <si>
    <t xml:space="preserve">Executive Director (Promoter group)</t>
  </si>
  <si>
    <t xml:space="preserve">03-Nov-1994</t>
  </si>
  <si>
    <t xml:space="preserve">01-Apr-2021</t>
  </si>
  <si>
    <t xml:space="preserve">MBA (SP Jain); B.E. (Mechanical); heads operations, e-commerce and the Bhiwandi expansion</t>
  </si>
  <si>
    <t xml:space="preserve">None</t>
  </si>
  <si>
    <t xml:space="preserve">4</t>
  </si>
  <si>
    <t xml:space="preserve">Anand Deshpande</t>
  </si>
  <si>
    <t xml:space="preserve">00562148</t>
  </si>
  <si>
    <t xml:space="preserve">Non-executive Director</t>
  </si>
  <si>
    <t xml:space="preserve">18-Sep-1961</t>
  </si>
  <si>
    <t xml:space="preserve">30-Sep-2022</t>
  </si>
  <si>
    <t xml:space="preserve">Chartered Accountant; former CFO of a listed consumer durables company; 35 years in finance</t>
  </si>
  <si>
    <t xml:space="preserve">702, Ganga Heights, Aundh, Pune 411007</t>
  </si>
  <si>
    <t xml:space="preserve">Deshpande Advisory Services Pvt Ltd (Director); Independent Director of Sunflex Polymers Ltd (listed)</t>
  </si>
  <si>
    <t xml:space="preserve">5</t>
  </si>
  <si>
    <t xml:space="preserve">Meera Krishnan</t>
  </si>
  <si>
    <t xml:space="preserve">07235819</t>
  </si>
  <si>
    <t xml:space="preserve">Nominee Director (Orchid Growth Ventures LLP)</t>
  </si>
  <si>
    <t xml:space="preserve">09-Feb-1978</t>
  </si>
  <si>
    <t xml:space="preserve">22-Mar-2022</t>
  </si>
  <si>
    <t xml:space="preserve">MBA (IIM Bangalore); Partner at Orchid Growth Ventures; 18 years in private equity</t>
  </si>
  <si>
    <t xml:space="preserve">B-1203, Prestige Lakeside Habitat, Whitefield, Bengaluru 560066</t>
  </si>
  <si>
    <t xml:space="preserve">Nominee director on boards of 4 other Orchid portfolio companies</t>
  </si>
  <si>
    <t xml:space="preserve">6</t>
  </si>
  <si>
    <t xml:space="preserve">Dr. Ashok Bhatnagar</t>
  </si>
  <si>
    <t xml:space="preserve">02918476</t>
  </si>
  <si>
    <t xml:space="preserve">Independent Director (voluntary appointment)</t>
  </si>
  <si>
    <t xml:space="preserve">30-May-1958</t>
  </si>
  <si>
    <t xml:space="preserve">01-Oct-2023</t>
  </si>
  <si>
    <t xml:space="preserve">Ph.D. (Wood Science, FRI Dehradun); former Director of Indian Plywood Industries Research and Training Institute</t>
  </si>
  <si>
    <t xml:space="preserve">12, Rajpur Road, Dehradun 248001</t>
  </si>
  <si>
    <t xml:space="preserve">Board composition: 6 directors (3 executive promoter directors, 1 non-executive, 1 nominee, 1 independent). The company is a private company and is not required to appoint independent directors; Dr. Bhatnagar was appointed voluntarily under the shareholders' agreement.</t>
  </si>
  <si>
    <t xml:space="preserve">No director has resigned or been appointed between 31 March 2026 and 1 June 2026. All directors have filed DIR-8 and MBP-1 disclosures for FY 2026-27. None of the directors is disqualified under section 164 of the Companies Act, 2013.</t>
  </si>
  <si>
    <t xml:space="preserve">Key managerial personnel and senior management as at 1 June 2026</t>
  </si>
  <si>
    <t xml:space="preserve">Annual remuneration FY26 (Rs. Lakhs)</t>
  </si>
  <si>
    <t xml:space="preserve">Managing Director</t>
  </si>
  <si>
    <t xml:space="preserve">See Board of Directors</t>
  </si>
  <si>
    <t xml:space="preserve">Whole-time Director</t>
  </si>
  <si>
    <t xml:space="preserve">Executive Director</t>
  </si>
  <si>
    <t xml:space="preserve">Nikhil Rathi</t>
  </si>
  <si>
    <t xml:space="preserve">Chief Financial Officer</t>
  </si>
  <si>
    <t xml:space="preserve">01-Jul-2020</t>
  </si>
  <si>
    <t xml:space="preserve">Chartered Accountant; 16 years in manufacturing finance; earlier with a listed plywood company</t>
  </si>
  <si>
    <t xml:space="preserve">Priya Nair</t>
  </si>
  <si>
    <t xml:space="preserve">Company Secretary (ACS 41207)</t>
  </si>
  <si>
    <t xml:space="preserve">15-Jan-2019</t>
  </si>
  <si>
    <t xml:space="preserve">Company Secretary and LL.B.; 11 years experience</t>
  </si>
  <si>
    <t xml:space="preserve">Suresh Iyer</t>
  </si>
  <si>
    <t xml:space="preserve">Vice President - Manufacturing</t>
  </si>
  <si>
    <t xml:space="preserve">01-Apr-2016</t>
  </si>
  <si>
    <t xml:space="preserve">B.E. (Production); 24 years in furniture and modular kitchen manufacturing</t>
  </si>
  <si>
    <t xml:space="preserve">7</t>
  </si>
  <si>
    <t xml:space="preserve">Neha Kapoor</t>
  </si>
  <si>
    <t xml:space="preserve">Head - Sales and Marketing</t>
  </si>
  <si>
    <t xml:space="preserve">01-Aug-2022</t>
  </si>
  <si>
    <t xml:space="preserve">MBA (Marketing); 14 years in consumer durables and home furnishing</t>
  </si>
  <si>
    <t xml:space="preserve">Total</t>
  </si>
  <si>
    <t xml:space="preserve">Managerial remuneration is within the limits of section 197 read with Schedule V of the Companies Act, 2013 (not applicable to private companies but followed voluntarily).</t>
  </si>
  <si>
    <t xml:space="preserve">Board committees (constituted voluntarily under the shareholders' agreement)</t>
  </si>
  <si>
    <t xml:space="preserve">Committee</t>
  </si>
  <si>
    <t xml:space="preserve">Members</t>
  </si>
  <si>
    <t xml:space="preserve">Scope</t>
  </si>
  <si>
    <t xml:space="preserve">Audit and Risk Committee</t>
  </si>
  <si>
    <t xml:space="preserve">Anand Deshpande (Chair), Meera Krishnan, Dr. Ashok Bhatnagar</t>
  </si>
  <si>
    <t xml:space="preserve">Financial statements, internal audit, related party transactions, statutory audit oversight</t>
  </si>
  <si>
    <t xml:space="preserve">Nomination, Remuneration and ESOP Committee</t>
  </si>
  <si>
    <t xml:space="preserve">Dr. Ashok Bhatnagar (Chair), Anand Deshpande, Vikram Malhotra</t>
  </si>
  <si>
    <t xml:space="preserve">Appointment and remuneration of directors and KMP; administration of ESOP 2022</t>
  </si>
  <si>
    <t xml:space="preserve">Capex and Expansion Committee</t>
  </si>
  <si>
    <t xml:space="preserve">Rohan Malhotra (Chair), Meera Krishnan, Suresh Iyer (invitee)</t>
  </si>
  <si>
    <t xml:space="preserve">Monitoring of the Bhiwandi Plot No. 48 expansion project and capital budgets above Rs. 50 Lakhs</t>
  </si>
  <si>
    <t xml:space="preserve">Related parties and transactions during FY 2025-26 (as disclosed under AS 18)</t>
  </si>
  <si>
    <t xml:space="preserve">Related party</t>
  </si>
  <si>
    <t xml:space="preserve">Relationship</t>
  </si>
  <si>
    <t xml:space="preserve">Nature of transaction</t>
  </si>
  <si>
    <t xml:space="preserve">Amount FY26 (Rs. Lakhs)</t>
  </si>
  <si>
    <t xml:space="preserve">Vanraj Timber Traders LLP</t>
  </si>
  <si>
    <t xml:space="preserve">Entity controlled by promoters</t>
  </si>
  <si>
    <t xml:space="preserve">Purchase of timber and plywood (arm's length, Board approved)</t>
  </si>
  <si>
    <t xml:space="preserve">Unsecured loan from director outstanding at year end (interest 9% p.a.)</t>
  </si>
  <si>
    <t xml:space="preserve">Interest paid on unsecured loan</t>
  </si>
  <si>
    <t xml:space="preserve">Vikram Malhotra, Sunita Malhotra, Rohan Malhotra</t>
  </si>
  <si>
    <t xml:space="preserve">Directors</t>
  </si>
  <si>
    <t xml:space="preserve">Managerial remuneration</t>
  </si>
  <si>
    <t xml:space="preserve">Malhotra Family Trust</t>
  </si>
  <si>
    <t xml:space="preserve">Promoter group entity</t>
  </si>
  <si>
    <t xml:space="preserve">Rent for Andheri showroom premises</t>
  </si>
  <si>
    <t xml:space="preserve">Deshpande Advisory Services Pvt Ltd</t>
  </si>
  <si>
    <t xml:space="preserve">Entity in which a director is interested</t>
  </si>
  <si>
    <t xml:space="preserve">Professional fees (financial advisory)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</si>
</sst>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36" hidden="false" customHeight="true" outlineLevel="0" collapsed="false">
      <c r="A6" s="5" t="s">
        <v>4</v>
      </c>
    </row>
    <row r="7" customFormat="false" ht="36" hidden="false" customHeight="true" outlineLevel="0" collapsed="false">
      <c r="A7" s="5" t="s">
        <v>5</v>
      </c>
    </row>
    <row r="8" customFormat="false" ht="36" hidden="false" customHeight="true" outlineLevel="0" collapsed="false">
      <c r="A8" s="5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7</v>
      </c>
    </row>
    <row r="4" customFormat="false" ht="30" hidden="false" customHeight="tru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</row>
    <row r="5" customFormat="false" ht="60" hidden="false" customHeight="true" outlineLevel="0" collapsed="false">
      <c r="A5" s="2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9" t="n">
        <v>1850000</v>
      </c>
      <c r="J5" s="8" t="s">
        <v>26</v>
      </c>
    </row>
    <row r="6" customFormat="false" ht="60" hidden="false" customHeight="true" outlineLevel="0" collapsed="false">
      <c r="A6" s="2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23</v>
      </c>
      <c r="G6" s="8" t="s">
        <v>32</v>
      </c>
      <c r="H6" s="8" t="s">
        <v>25</v>
      </c>
      <c r="I6" s="9" t="n">
        <v>900000</v>
      </c>
      <c r="J6" s="8" t="s">
        <v>33</v>
      </c>
    </row>
    <row r="7" customFormat="false" ht="60" hidden="false" customHeight="true" outlineLevel="0" collapsed="false">
      <c r="A7" s="2" t="s">
        <v>34</v>
      </c>
      <c r="B7" s="8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8" t="s">
        <v>40</v>
      </c>
      <c r="H7" s="8" t="s">
        <v>25</v>
      </c>
      <c r="I7" s="9" t="n">
        <v>550000</v>
      </c>
      <c r="J7" s="8" t="s">
        <v>41</v>
      </c>
    </row>
    <row r="8" customFormat="false" ht="60" hidden="false" customHeight="true" outlineLevel="0" collapsed="false">
      <c r="A8" s="2" t="s">
        <v>42</v>
      </c>
      <c r="B8" s="8" t="s">
        <v>43</v>
      </c>
      <c r="C8" s="8" t="s">
        <v>44</v>
      </c>
      <c r="D8" s="8" t="s">
        <v>45</v>
      </c>
      <c r="E8" s="8" t="s">
        <v>46</v>
      </c>
      <c r="F8" s="8" t="s">
        <v>47</v>
      </c>
      <c r="G8" s="8" t="s">
        <v>48</v>
      </c>
      <c r="H8" s="8" t="s">
        <v>49</v>
      </c>
      <c r="I8" s="9" t="n">
        <v>350000</v>
      </c>
      <c r="J8" s="8" t="s">
        <v>50</v>
      </c>
    </row>
    <row r="9" customFormat="false" ht="60" hidden="false" customHeight="true" outlineLevel="0" collapsed="false">
      <c r="A9" s="2" t="s">
        <v>51</v>
      </c>
      <c r="B9" s="8" t="s">
        <v>52</v>
      </c>
      <c r="C9" s="8" t="s">
        <v>53</v>
      </c>
      <c r="D9" s="8" t="s">
        <v>54</v>
      </c>
      <c r="E9" s="8" t="s">
        <v>55</v>
      </c>
      <c r="F9" s="8" t="s">
        <v>56</v>
      </c>
      <c r="G9" s="8" t="s">
        <v>57</v>
      </c>
      <c r="H9" s="8" t="s">
        <v>58</v>
      </c>
      <c r="I9" s="9" t="n">
        <v>0</v>
      </c>
      <c r="J9" s="8" t="s">
        <v>59</v>
      </c>
    </row>
    <row r="10" customFormat="false" ht="60" hidden="false" customHeight="true" outlineLevel="0" collapsed="false">
      <c r="A10" s="2" t="s">
        <v>60</v>
      </c>
      <c r="B10" s="8" t="s">
        <v>61</v>
      </c>
      <c r="C10" s="8" t="s">
        <v>62</v>
      </c>
      <c r="D10" s="8" t="s">
        <v>63</v>
      </c>
      <c r="E10" s="8" t="s">
        <v>64</v>
      </c>
      <c r="F10" s="8" t="s">
        <v>65</v>
      </c>
      <c r="G10" s="8" t="s">
        <v>66</v>
      </c>
      <c r="H10" s="8" t="s">
        <v>67</v>
      </c>
      <c r="I10" s="9" t="n">
        <v>0</v>
      </c>
      <c r="J10" s="8" t="s">
        <v>41</v>
      </c>
    </row>
    <row r="12" customFormat="false" ht="31.5" hidden="false" customHeight="true" outlineLevel="0" collapsed="false">
      <c r="A12" s="5" t="s">
        <v>68</v>
      </c>
    </row>
    <row r="13" customFormat="false" ht="31.5" hidden="false" customHeight="true" outlineLevel="0" collapsed="false">
      <c r="A13" s="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70</v>
      </c>
    </row>
    <row r="4" customFormat="false" ht="30" hidden="false" customHeight="true" outlineLevel="0" collapsed="false">
      <c r="A4" s="6" t="s">
        <v>8</v>
      </c>
      <c r="B4" s="7" t="s">
        <v>9</v>
      </c>
      <c r="C4" s="7" t="s">
        <v>11</v>
      </c>
      <c r="D4" s="7" t="s">
        <v>13</v>
      </c>
      <c r="E4" s="7" t="s">
        <v>14</v>
      </c>
      <c r="F4" s="7" t="s">
        <v>71</v>
      </c>
    </row>
    <row r="5" customFormat="false" ht="39.75" hidden="false" customHeight="true" outlineLevel="0" collapsed="false">
      <c r="A5" s="2" t="s">
        <v>18</v>
      </c>
      <c r="B5" s="10" t="s">
        <v>19</v>
      </c>
      <c r="C5" s="10" t="s">
        <v>72</v>
      </c>
      <c r="D5" s="10" t="s">
        <v>23</v>
      </c>
      <c r="E5" s="10" t="s">
        <v>73</v>
      </c>
      <c r="F5" s="11" t="n">
        <v>96</v>
      </c>
    </row>
    <row r="6" customFormat="false" ht="39.75" hidden="false" customHeight="true" outlineLevel="0" collapsed="false">
      <c r="A6" s="2" t="s">
        <v>27</v>
      </c>
      <c r="B6" s="10" t="s">
        <v>28</v>
      </c>
      <c r="C6" s="10" t="s">
        <v>74</v>
      </c>
      <c r="D6" s="10" t="s">
        <v>23</v>
      </c>
      <c r="E6" s="10" t="s">
        <v>73</v>
      </c>
      <c r="F6" s="11" t="n">
        <v>60</v>
      </c>
    </row>
    <row r="7" customFormat="false" ht="39.75" hidden="false" customHeight="true" outlineLevel="0" collapsed="false">
      <c r="A7" s="2" t="s">
        <v>34</v>
      </c>
      <c r="B7" s="10" t="s">
        <v>35</v>
      </c>
      <c r="C7" s="10" t="s">
        <v>75</v>
      </c>
      <c r="D7" s="10" t="s">
        <v>39</v>
      </c>
      <c r="E7" s="10" t="s">
        <v>73</v>
      </c>
      <c r="F7" s="11" t="n">
        <v>54</v>
      </c>
    </row>
    <row r="8" customFormat="false" ht="39.75" hidden="false" customHeight="true" outlineLevel="0" collapsed="false">
      <c r="A8" s="2" t="s">
        <v>42</v>
      </c>
      <c r="B8" s="10" t="s">
        <v>76</v>
      </c>
      <c r="C8" s="10" t="s">
        <v>77</v>
      </c>
      <c r="D8" s="10" t="s">
        <v>78</v>
      </c>
      <c r="E8" s="10" t="s">
        <v>79</v>
      </c>
      <c r="F8" s="11" t="n">
        <v>42</v>
      </c>
    </row>
    <row r="9" customFormat="false" ht="39.75" hidden="false" customHeight="true" outlineLevel="0" collapsed="false">
      <c r="A9" s="2" t="s">
        <v>51</v>
      </c>
      <c r="B9" s="10" t="s">
        <v>80</v>
      </c>
      <c r="C9" s="10" t="s">
        <v>81</v>
      </c>
      <c r="D9" s="10" t="s">
        <v>82</v>
      </c>
      <c r="E9" s="10" t="s">
        <v>83</v>
      </c>
      <c r="F9" s="11" t="n">
        <v>18.5</v>
      </c>
    </row>
    <row r="10" customFormat="false" ht="39.75" hidden="false" customHeight="true" outlineLevel="0" collapsed="false">
      <c r="A10" s="2" t="s">
        <v>60</v>
      </c>
      <c r="B10" s="10" t="s">
        <v>84</v>
      </c>
      <c r="C10" s="10" t="s">
        <v>85</v>
      </c>
      <c r="D10" s="10" t="s">
        <v>86</v>
      </c>
      <c r="E10" s="10" t="s">
        <v>87</v>
      </c>
      <c r="F10" s="11" t="n">
        <v>36</v>
      </c>
    </row>
    <row r="11" customFormat="false" ht="39.75" hidden="false" customHeight="true" outlineLevel="0" collapsed="false">
      <c r="A11" s="2" t="s">
        <v>88</v>
      </c>
      <c r="B11" s="10" t="s">
        <v>89</v>
      </c>
      <c r="C11" s="10" t="s">
        <v>90</v>
      </c>
      <c r="D11" s="10" t="s">
        <v>91</v>
      </c>
      <c r="E11" s="10" t="s">
        <v>92</v>
      </c>
      <c r="F11" s="11" t="n">
        <v>33</v>
      </c>
    </row>
    <row r="12" customFormat="false" ht="15" hidden="false" customHeight="false" outlineLevel="0" collapsed="false">
      <c r="A12" s="12"/>
      <c r="B12" s="13" t="s">
        <v>93</v>
      </c>
      <c r="C12" s="13"/>
      <c r="D12" s="13"/>
      <c r="E12" s="13"/>
      <c r="F12" s="13" t="n">
        <f aca="false">SUM(F5:F11)</f>
        <v>339.5</v>
      </c>
    </row>
    <row r="14" customFormat="false" ht="348.5" hidden="false" customHeight="false" outlineLevel="0" collapsed="false">
      <c r="A14" s="1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95</v>
      </c>
    </row>
    <row r="4" customFormat="false" ht="30" hidden="false" customHeight="true" outlineLevel="0" collapsed="false">
      <c r="A4" s="6" t="s">
        <v>96</v>
      </c>
      <c r="B4" s="7" t="s">
        <v>97</v>
      </c>
      <c r="C4" s="7" t="s">
        <v>98</v>
      </c>
    </row>
    <row r="5" customFormat="false" ht="39.75" hidden="false" customHeight="true" outlineLevel="0" collapsed="false">
      <c r="A5" s="5" t="s">
        <v>99</v>
      </c>
      <c r="B5" s="5" t="s">
        <v>100</v>
      </c>
      <c r="C5" s="5" t="s">
        <v>101</v>
      </c>
    </row>
    <row r="6" customFormat="false" ht="39.75" hidden="false" customHeight="true" outlineLevel="0" collapsed="false">
      <c r="A6" s="5" t="s">
        <v>102</v>
      </c>
      <c r="B6" s="5" t="s">
        <v>103</v>
      </c>
      <c r="C6" s="5" t="s">
        <v>104</v>
      </c>
    </row>
    <row r="7" customFormat="false" ht="39.75" hidden="false" customHeight="true" outlineLevel="0" collapsed="false">
      <c r="A7" s="5" t="s">
        <v>105</v>
      </c>
      <c r="B7" s="5" t="s">
        <v>106</v>
      </c>
      <c r="C7" s="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108</v>
      </c>
    </row>
    <row r="4" customFormat="false" ht="30" hidden="false" customHeight="true" outlineLevel="0" collapsed="false">
      <c r="A4" s="6" t="s">
        <v>109</v>
      </c>
      <c r="B4" s="7" t="s">
        <v>110</v>
      </c>
      <c r="C4" s="7" t="s">
        <v>111</v>
      </c>
      <c r="D4" s="7" t="s">
        <v>112</v>
      </c>
    </row>
    <row r="5" customFormat="false" ht="30" hidden="false" customHeight="true" outlineLevel="0" collapsed="false">
      <c r="A5" s="15" t="s">
        <v>113</v>
      </c>
      <c r="B5" s="10" t="s">
        <v>114</v>
      </c>
      <c r="C5" s="10" t="s">
        <v>115</v>
      </c>
      <c r="D5" s="11" t="n">
        <v>412.5</v>
      </c>
    </row>
    <row r="6" customFormat="false" ht="30" hidden="false" customHeight="true" outlineLevel="0" collapsed="false">
      <c r="A6" s="15" t="s">
        <v>19</v>
      </c>
      <c r="B6" s="10" t="s">
        <v>72</v>
      </c>
      <c r="C6" s="10" t="s">
        <v>116</v>
      </c>
      <c r="D6" s="11" t="n">
        <v>337.5</v>
      </c>
    </row>
    <row r="7" customFormat="false" ht="30" hidden="false" customHeight="true" outlineLevel="0" collapsed="false">
      <c r="A7" s="15" t="s">
        <v>19</v>
      </c>
      <c r="B7" s="10" t="s">
        <v>72</v>
      </c>
      <c r="C7" s="10" t="s">
        <v>117</v>
      </c>
      <c r="D7" s="11" t="n">
        <v>30.4</v>
      </c>
    </row>
    <row r="8" customFormat="false" ht="30" hidden="false" customHeight="true" outlineLevel="0" collapsed="false">
      <c r="A8" s="15" t="s">
        <v>118</v>
      </c>
      <c r="B8" s="10" t="s">
        <v>119</v>
      </c>
      <c r="C8" s="10" t="s">
        <v>120</v>
      </c>
      <c r="D8" s="11" t="n">
        <v>210</v>
      </c>
    </row>
    <row r="9" customFormat="false" ht="30" hidden="false" customHeight="true" outlineLevel="0" collapsed="false">
      <c r="A9" s="15" t="s">
        <v>121</v>
      </c>
      <c r="B9" s="10" t="s">
        <v>122</v>
      </c>
      <c r="C9" s="10" t="s">
        <v>123</v>
      </c>
      <c r="D9" s="11" t="n">
        <v>36</v>
      </c>
    </row>
    <row r="10" customFormat="false" ht="30" hidden="false" customHeight="true" outlineLevel="0" collapsed="false">
      <c r="A10" s="15" t="s">
        <v>124</v>
      </c>
      <c r="B10" s="10" t="s">
        <v>125</v>
      </c>
      <c r="C10" s="10" t="s">
        <v>126</v>
      </c>
      <c r="D10" s="11" t="n">
        <v>12</v>
      </c>
    </row>
    <row r="11" customFormat="false" ht="15" hidden="false" customHeight="false" outlineLevel="0" collapsed="false">
      <c r="A11" s="12" t="s">
        <v>93</v>
      </c>
      <c r="B11" s="13"/>
      <c r="C11" s="13"/>
      <c r="D11" s="13" t="n">
        <f aca="false">SUM(D5:D10)</f>
        <v>1038.4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2026-09-04T14:34:20Z</dcterms:created>
  <dc:creator>openpyxl</dc:creator>
  <dc:description/>
  <dc:language>en-US</dc:language>
  <cp:lastModifiedBy/>
  <dcterms:modified xsi:type="dcterms:W3CDTF">2026-09-04T14:34:20Z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