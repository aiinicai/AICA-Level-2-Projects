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Company Profile" sheetId="3" state="visible" r:id="rId3"/>
    <sheet xmlns:r="http://schemas.openxmlformats.org/officeDocument/2006/relationships" name="BS - Valuation Date" sheetId="4" state="visible" r:id="rId4"/>
    <sheet xmlns:r="http://schemas.openxmlformats.org/officeDocument/2006/relationships" name="Projected Financials" sheetId="5" state="visible" r:id="rId5"/>
    <sheet xmlns:r="http://schemas.openxmlformats.org/officeDocument/2006/relationships" name="WACC" sheetId="6" state="visible" r:id="rId6"/>
    <sheet xmlns:r="http://schemas.openxmlformats.org/officeDocument/2006/relationships" name="DCF Valuation" sheetId="7" state="visible" r:id="rId7"/>
    <sheet xmlns:r="http://schemas.openxmlformats.org/officeDocument/2006/relationships" name="DCF Sensitivity" sheetId="8" state="visible" r:id="rId8"/>
    <sheet xmlns:r="http://schemas.openxmlformats.org/officeDocument/2006/relationships" name="NAV Valuation" sheetId="9" state="visible" r:id="rId9"/>
    <sheet xmlns:r="http://schemas.openxmlformats.org/officeDocument/2006/relationships" name="Capital Structure" sheetId="10" state="visible" r:id="rId10"/>
    <sheet xmlns:r="http://schemas.openxmlformats.org/officeDocument/2006/relationships" name="Valuation Summary" sheetId="11" state="visible" r:id="rId11"/>
    <sheet xmlns:r="http://schemas.openxmlformats.org/officeDocument/2006/relationships" name="Review &amp; Controls" sheetId="12" state="visible" r:id="rId12"/>
  </sheets>
  <definedNames/>
  <calcPr calcId="124519" fullCalcOnLoad="1"/>
</workbook>
</file>

<file path=xl/styles.xml><?xml version="1.0" encoding="utf-8"?>
<styleSheet xmlns="http://schemas.openxmlformats.org/spreadsheetml/2006/main">
  <numFmts count="6">
    <numFmt numFmtId="164" formatCode="0.00x"/>
    <numFmt numFmtId="165" formatCode="#,##0.00;[Red](#,##0.00);-"/>
    <numFmt numFmtId="166" formatCode="#,##0;[Red](#,##0);-"/>
    <numFmt numFmtId="167" formatCode="0.00&quot;%&quot;"/>
    <numFmt numFmtId="168" formatCode="0.0000"/>
    <numFmt numFmtId="169" formatCode="&quot;Rs. &quot; #,##0.00"/>
  </numFmts>
  <fonts count="16">
    <font>
      <name val="Calibri"/>
      <family val="2"/>
      <color theme="1"/>
      <sz val="11"/>
      <scheme val="minor"/>
    </font>
    <font>
      <name val="Arial"/>
      <b val="1"/>
      <color rgb="00203E6B"/>
      <sz val="22"/>
    </font>
    <font>
      <name val="Arial"/>
      <b val="1"/>
      <color rgb="00000000"/>
      <sz val="17"/>
    </font>
    <font>
      <name val="Arial"/>
      <b val="1"/>
      <color rgb="00203E6B"/>
    </font>
    <font>
      <name val="Arial"/>
      <b val="1"/>
      <color rgb="00FFFFFF"/>
      <sz val="10"/>
    </font>
    <font>
      <name val="Arial"/>
      <b val="1"/>
      <color rgb="00FFFFFF"/>
      <sz val="14"/>
    </font>
    <font>
      <name val="Arial"/>
      <i val="1"/>
      <color rgb="00666666"/>
      <sz val="10"/>
    </font>
    <font>
      <name val="Arial"/>
      <b val="1"/>
      <color rgb="00FFFFFF"/>
      <sz val="11"/>
    </font>
    <font>
      <name val="Arial"/>
      <color rgb="000000FF"/>
      <sz val="10"/>
    </font>
    <font>
      <name val="Arial"/>
      <color rgb="00008000"/>
      <sz val="10"/>
    </font>
    <font>
      <name val="Arial"/>
      <color rgb="00000000"/>
      <sz val="10"/>
    </font>
    <font>
      <name val="Arial"/>
      <b val="1"/>
      <color rgb="00000000"/>
    </font>
    <font>
      <name val="Arial"/>
      <b val="1"/>
    </font>
    <font>
      <name val="Arial"/>
      <b val="1"/>
      <sz val="12"/>
    </font>
    <font>
      <name val="Arial"/>
      <b val="1"/>
      <i val="1"/>
      <sz val="13"/>
    </font>
    <font>
      <name val="Arial"/>
      <color rgb="00FF0000"/>
      <sz val="10"/>
    </font>
  </fonts>
  <fills count="7">
    <fill>
      <patternFill/>
    </fill>
    <fill>
      <patternFill patternType="gray125"/>
    </fill>
    <fill>
      <patternFill patternType="solid">
        <fgColor rgb="00203E6B"/>
      </patternFill>
    </fill>
    <fill>
      <patternFill patternType="solid">
        <fgColor rgb="00F2F2F2"/>
      </patternFill>
    </fill>
    <fill>
      <patternFill patternType="solid">
        <fgColor rgb="00FFFF00"/>
      </patternFill>
    </fill>
    <fill>
      <patternFill patternType="solid">
        <fgColor rgb="00D9E2F3"/>
      </patternFill>
    </fill>
    <fill>
      <patternFill patternType="solid">
        <fgColor rgb="00C6E0B4"/>
      </patternFill>
    </fill>
  </fills>
  <borders count="3">
    <border>
      <left/>
      <right/>
      <top/>
      <bottom/>
      <diagonal/>
    </border>
    <border>
      <bottom style="thin">
        <color rgb="00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0" fillId="0" borderId="1" applyAlignment="1" pivotButton="0" quotePrefix="0" xfId="0">
      <alignment wrapText="1"/>
    </xf>
    <xf numFmtId="0" fontId="4" fillId="2" borderId="0" applyAlignment="1" pivotButton="0" quotePrefix="0" xfId="0">
      <alignment horizontal="center" vertical="center" wrapText="1"/>
    </xf>
    <xf numFmtId="0" fontId="5" fillId="2" borderId="0" applyAlignment="1" pivotButton="0" quotePrefix="0" xfId="0">
      <alignment horizontal="left" vertical="center"/>
    </xf>
    <xf numFmtId="0" fontId="6" fillId="0" borderId="0" applyAlignment="1" pivotButton="0" quotePrefix="0" xfId="0">
      <alignment horizontal="left" vertical="center" wrapText="1"/>
    </xf>
    <xf numFmtId="0" fontId="7" fillId="2" borderId="0" applyAlignment="1" pivotButton="0" quotePrefix="0" xfId="0">
      <alignment horizontal="left" vertical="center"/>
    </xf>
    <xf numFmtId="0" fontId="4" fillId="2" borderId="2" applyAlignment="1" pivotButton="0" quotePrefix="0" xfId="0">
      <alignment horizontal="center" vertical="center" wrapText="1"/>
    </xf>
    <xf numFmtId="0" fontId="0" fillId="0" borderId="2" applyAlignment="1" pivotButton="0" quotePrefix="0" xfId="0">
      <alignment vertical="center" wrapText="1"/>
    </xf>
    <xf numFmtId="10" fontId="8" fillId="0" borderId="2" applyAlignment="1" pivotButton="0" quotePrefix="0" xfId="0">
      <alignment vertical="center" wrapText="1"/>
    </xf>
    <xf numFmtId="0" fontId="0" fillId="3" borderId="2" applyAlignment="1" pivotButton="0" quotePrefix="0" xfId="0">
      <alignment vertical="center" wrapText="1"/>
    </xf>
    <xf numFmtId="10" fontId="8" fillId="3" borderId="2" applyAlignment="1" pivotButton="0" quotePrefix="0" xfId="0">
      <alignment vertical="center" wrapText="1"/>
    </xf>
    <xf numFmtId="164" fontId="8" fillId="3" borderId="2" applyAlignment="1" pivotButton="0" quotePrefix="0" xfId="0">
      <alignment vertical="center" wrapText="1"/>
    </xf>
    <xf numFmtId="165" fontId="8" fillId="0" borderId="2" applyAlignment="1" pivotButton="0" quotePrefix="0" xfId="0">
      <alignment vertical="center" wrapText="1"/>
    </xf>
    <xf numFmtId="165" fontId="8" fillId="3" borderId="2" applyAlignment="1" pivotButton="0" quotePrefix="0" xfId="0">
      <alignment vertical="center" wrapText="1"/>
    </xf>
    <xf numFmtId="166" fontId="8" fillId="3" borderId="2" applyAlignment="1" pivotButton="0" quotePrefix="0" xfId="0">
      <alignment vertical="center" wrapText="1"/>
    </xf>
    <xf numFmtId="0" fontId="8" fillId="0" borderId="2" applyAlignment="1" pivotButton="0" quotePrefix="0" xfId="0">
      <alignment vertical="center" wrapText="1"/>
    </xf>
    <xf numFmtId="0" fontId="0" fillId="0" borderId="1" applyAlignment="1" pivotButton="0" quotePrefix="0" xfId="0">
      <alignment vertical="top" wrapText="1"/>
    </xf>
    <xf numFmtId="165" fontId="9" fillId="0" borderId="2" applyAlignment="1" pivotButton="0" quotePrefix="0" xfId="0">
      <alignment vertical="center" wrapText="1"/>
    </xf>
    <xf numFmtId="165" fontId="9" fillId="3" borderId="2" applyAlignment="1" pivotButton="0" quotePrefix="0" xfId="0">
      <alignment vertical="center" wrapText="1"/>
    </xf>
    <xf numFmtId="167" fontId="9" fillId="0" borderId="2" applyAlignment="1" pivotButton="0" quotePrefix="0" xfId="0">
      <alignment vertical="center" wrapText="1"/>
    </xf>
    <xf numFmtId="164" fontId="9" fillId="0" borderId="2" applyAlignment="1" pivotButton="0" quotePrefix="0" xfId="0">
      <alignment vertical="center" wrapText="1"/>
    </xf>
    <xf numFmtId="10" fontId="8" fillId="0" borderId="0" pivotButton="0" quotePrefix="0" xfId="0"/>
    <xf numFmtId="164" fontId="8" fillId="0" borderId="0" pivotButton="0" quotePrefix="0" xfId="0"/>
    <xf numFmtId="10" fontId="10" fillId="0" borderId="0" pivotButton="0" quotePrefix="0" xfId="0"/>
    <xf numFmtId="10" fontId="11" fillId="4" borderId="0" pivotButton="0" quotePrefix="0" xfId="0"/>
    <xf numFmtId="165" fontId="0" fillId="0" borderId="2" applyAlignment="1" pivotButton="0" quotePrefix="0" xfId="0">
      <alignment vertical="center" wrapText="1"/>
    </xf>
    <xf numFmtId="0" fontId="11" fillId="0" borderId="2" applyAlignment="1" pivotButton="0" quotePrefix="0" xfId="0">
      <alignment vertical="center" wrapText="1"/>
    </xf>
    <xf numFmtId="168" fontId="0" fillId="0" borderId="2" applyAlignment="1" pivotButton="0" quotePrefix="0" xfId="0">
      <alignment vertical="center" wrapText="1"/>
    </xf>
    <xf numFmtId="165" fontId="0" fillId="0" borderId="0" pivotButton="0" quotePrefix="0" xfId="0"/>
    <xf numFmtId="10" fontId="0" fillId="0" borderId="0" pivotButton="0" quotePrefix="0" xfId="0"/>
    <xf numFmtId="165" fontId="12" fillId="5" borderId="0" pivotButton="0" quotePrefix="0" xfId="0"/>
    <xf numFmtId="165" fontId="12" fillId="4" borderId="0" pivotButton="0" quotePrefix="0" xfId="0"/>
    <xf numFmtId="166" fontId="0" fillId="0" borderId="0" pivotButton="0" quotePrefix="0" xfId="0"/>
    <xf numFmtId="169" fontId="12" fillId="6" borderId="0" pivotButton="0" quotePrefix="0" xfId="0"/>
    <xf numFmtId="10" fontId="0" fillId="0" borderId="2" applyAlignment="1" pivotButton="0" quotePrefix="0" xfId="0">
      <alignment vertical="center" wrapText="1"/>
    </xf>
    <xf numFmtId="169" fontId="0" fillId="0" borderId="2" applyAlignment="1" pivotButton="0" quotePrefix="0" xfId="0">
      <alignment vertical="center" wrapText="1"/>
    </xf>
    <xf numFmtId="10" fontId="0" fillId="3" borderId="2" applyAlignment="1" pivotButton="0" quotePrefix="0" xfId="0">
      <alignment vertical="center" wrapText="1"/>
    </xf>
    <xf numFmtId="169" fontId="0" fillId="3" borderId="2" applyAlignment="1" pivotButton="0" quotePrefix="0" xfId="0">
      <alignment vertical="center" wrapText="1"/>
    </xf>
    <xf numFmtId="169" fontId="12" fillId="4" borderId="2" applyAlignment="1" pivotButton="0" quotePrefix="0" xfId="0">
      <alignment vertical="center" wrapText="1"/>
    </xf>
    <xf numFmtId="165" fontId="0" fillId="3" borderId="2" applyAlignment="1" pivotButton="0" quotePrefix="0" xfId="0">
      <alignment vertical="center" wrapText="1"/>
    </xf>
    <xf numFmtId="166" fontId="0" fillId="3" borderId="2" applyAlignment="1" pivotButton="0" quotePrefix="0" xfId="0">
      <alignment vertical="center" wrapText="1"/>
    </xf>
    <xf numFmtId="169" fontId="12" fillId="6" borderId="2" applyAlignment="1" pivotButton="0" quotePrefix="0" xfId="0">
      <alignment vertical="center" wrapText="1"/>
    </xf>
    <xf numFmtId="166" fontId="0" fillId="0" borderId="2" applyAlignment="1" pivotButton="0" quotePrefix="0" xfId="0">
      <alignment vertical="center" wrapText="1"/>
    </xf>
    <xf numFmtId="167" fontId="0" fillId="0" borderId="2" applyAlignment="1" pivotButton="0" quotePrefix="0" xfId="0">
      <alignment vertical="center" wrapText="1"/>
    </xf>
    <xf numFmtId="167" fontId="0" fillId="3" borderId="2" applyAlignment="1" pivotButton="0" quotePrefix="0" xfId="0">
      <alignment vertical="center" wrapText="1"/>
    </xf>
    <xf numFmtId="169" fontId="9" fillId="0" borderId="2" applyAlignment="1" pivotButton="0" quotePrefix="0" xfId="0">
      <alignment vertical="center" wrapText="1"/>
    </xf>
    <xf numFmtId="169" fontId="9" fillId="3" borderId="2" applyAlignment="1" pivotButton="0" quotePrefix="0" xfId="0">
      <alignment vertical="center" wrapText="1"/>
    </xf>
    <xf numFmtId="0" fontId="12" fillId="0" borderId="2" applyAlignment="1" pivotButton="0" quotePrefix="0" xfId="0">
      <alignment vertical="center" wrapText="1"/>
    </xf>
    <xf numFmtId="10" fontId="12" fillId="0" borderId="2" applyAlignment="1" pivotButton="0" quotePrefix="0" xfId="0">
      <alignment vertical="center" wrapText="1"/>
    </xf>
    <xf numFmtId="169" fontId="12" fillId="0" borderId="2" applyAlignment="1" pivotButton="0" quotePrefix="0" xfId="0">
      <alignment vertical="center" wrapText="1"/>
    </xf>
    <xf numFmtId="0" fontId="13" fillId="0" borderId="0" pivotButton="0" quotePrefix="0" xfId="0"/>
    <xf numFmtId="169" fontId="14" fillId="4" borderId="0" pivotButton="0" quotePrefix="0" xfId="0"/>
    <xf numFmtId="0" fontId="6" fillId="0" borderId="0" applyAlignment="1" pivotButton="0" quotePrefix="0" xfId="0">
      <alignment vertical="top" wrapText="1"/>
    </xf>
    <xf numFmtId="0" fontId="1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C30"/>
  <sheetViews>
    <sheetView showGridLines="0" workbookViewId="0">
      <selection activeCell="A1" sqref="A1"/>
    </sheetView>
  </sheetViews>
  <sheetFormatPr baseColWidth="8" defaultRowHeight="15"/>
  <cols>
    <col width="3" customWidth="1" min="1" max="1"/>
    <col width="35" customWidth="1" min="2" max="2"/>
    <col width="42" customWidth="1" min="3" max="3"/>
  </cols>
  <sheetData>
    <row r="3">
      <c r="B3" s="1" t="inlineStr">
        <is>
          <t>VALUATION WORKING</t>
        </is>
      </c>
    </row>
    <row r="5">
      <c r="B5" s="2" t="inlineStr">
        <is>
          <t>Vanraj Furniture Industries Private Limited</t>
        </is>
      </c>
    </row>
    <row r="8">
      <c r="B8" s="3" t="inlineStr">
        <is>
          <t>Assignment ID</t>
        </is>
      </c>
      <c r="C8" s="4" t="inlineStr">
        <is>
          <t>VAL-2026-003</t>
        </is>
      </c>
    </row>
    <row r="10">
      <c r="B10" s="3" t="inlineStr">
        <is>
          <t>Valuation Date</t>
        </is>
      </c>
      <c r="C10" s="4" t="inlineStr">
        <is>
          <t>2026-06-01</t>
        </is>
      </c>
    </row>
    <row r="12">
      <c r="B12" s="3" t="inlineStr">
        <is>
          <t>Engagement Date</t>
        </is>
      </c>
      <c r="C12" s="4" t="inlineStr">
        <is>
          <t>2026-06-02</t>
        </is>
      </c>
    </row>
    <row r="14">
      <c r="B14" s="3" t="inlineStr">
        <is>
          <t>Report Date</t>
        </is>
      </c>
      <c r="C14" s="4" t="inlineStr">
        <is>
          <t>2026-09-03</t>
        </is>
      </c>
    </row>
    <row r="16">
      <c r="B16" s="3" t="inlineStr">
        <is>
          <t>Purpose</t>
        </is>
      </c>
      <c r="C16" s="4" t="inlineStr">
        <is>
          <t>equity-issue</t>
        </is>
      </c>
    </row>
    <row r="18">
      <c r="B18" s="3" t="inlineStr">
        <is>
          <t>Security</t>
        </is>
      </c>
      <c r="C18" s="4" t="inlineStr">
        <is>
          <t>equity</t>
        </is>
      </c>
    </row>
    <row r="20">
      <c r="B20" s="3" t="inlineStr">
        <is>
          <t>Applicable Provision</t>
        </is>
      </c>
      <c r="C20" s="4" t="inlineStr">
        <is>
          <t>companies-act</t>
        </is>
      </c>
    </row>
    <row r="22">
      <c r="B22" s="3" t="inlineStr">
        <is>
          <t>Status</t>
        </is>
      </c>
      <c r="C22" s="4" t="inlineStr">
        <is>
          <t>DRAFT_ONLY_REVIEW_PENDING</t>
        </is>
      </c>
    </row>
    <row r="27">
      <c r="B27" s="5" t="inlineStr">
        <is>
          <t>PRIVATE &amp; CONFIDENTIAL
This working is generated for valuation analysis and remains subject to review and professional judgement of the Registered Valuer.</t>
        </is>
      </c>
    </row>
    <row r="28"/>
    <row r="29"/>
    <row r="30"/>
  </sheetData>
  <mergeCells count="1">
    <mergeCell ref="B27:C30"/>
  </mergeCells>
  <pageMargins left="0.35" right="0.35" top="0.45" bottom="0.45" header="0.5" footer="0.5"/>
  <pageSetup orientation="portrait" fitToHeight="0" fitToWidth="1"/>
  <headerFooter>
    <oddHeader/>
    <oddFooter>&amp;LValuation Working - Private &amp; Confidential&amp;RRegistered Valuer Review Required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E21"/>
  <sheetViews>
    <sheetView showGridLines="0" workbookViewId="0">
      <selection activeCell="A1" sqref="A1"/>
    </sheetView>
  </sheetViews>
  <sheetFormatPr baseColWidth="8" defaultRowHeight="15"/>
  <cols>
    <col width="3" customWidth="1" min="1" max="1"/>
    <col width="35" customWidth="1" min="2" max="2"/>
    <col width="20" customWidth="1" min="3" max="3"/>
    <col width="45" customWidth="1" min="4" max="4"/>
    <col width="32" customWidth="1" min="5" max="5"/>
  </cols>
  <sheetData>
    <row r="2" ht="24" customHeight="1">
      <c r="B2" s="6" t="inlineStr">
        <is>
          <t>VANRAJ FURNITURE INDUSTRIES PRIVATE LIMITED</t>
        </is>
      </c>
    </row>
    <row r="3" ht="22" customHeight="1">
      <c r="B3" s="7" t="inlineStr">
        <is>
          <t>Key valuation assumptions and control inputs</t>
        </is>
      </c>
    </row>
    <row r="5" ht="22" customHeight="1">
      <c r="B5" s="8" t="inlineStr">
        <is>
          <t>VALUATION ASSUMPTIONS</t>
        </is>
      </c>
    </row>
    <row r="6" ht="28" customHeight="1">
      <c r="B6" s="9" t="inlineStr">
        <is>
          <t>Particulars</t>
        </is>
      </c>
      <c r="C6" s="9" t="inlineStr">
        <is>
          <t>Value</t>
        </is>
      </c>
      <c r="D6" s="9" t="inlineStr">
        <is>
          <t>Basis / Source</t>
        </is>
      </c>
      <c r="E6" s="9" t="inlineStr">
        <is>
          <t>Review Note</t>
        </is>
      </c>
    </row>
    <row r="7">
      <c r="B7" s="10" t="inlineStr">
        <is>
          <t>Tax Rate</t>
        </is>
      </c>
      <c r="C7" s="11" t="n">
        <v>0.25</v>
      </c>
      <c r="D7" s="10" t="inlineStr">
        <is>
          <t>Valuer input</t>
        </is>
      </c>
      <c r="E7" s="10" t="inlineStr"/>
    </row>
    <row r="8">
      <c r="B8" s="12" t="inlineStr">
        <is>
          <t>WACC</t>
        </is>
      </c>
      <c r="C8" s="13" t="n">
        <v>0.15</v>
      </c>
      <c r="D8" s="12" t="inlineStr">
        <is>
          <t>Approved / selected WACC</t>
        </is>
      </c>
      <c r="E8" s="12" t="inlineStr"/>
    </row>
    <row r="9">
      <c r="B9" s="10" t="inlineStr">
        <is>
          <t>Terminal Growth Rate</t>
        </is>
      </c>
      <c r="C9" s="11" t="n">
        <v>0.05</v>
      </c>
      <c r="D9" s="10" t="inlineStr">
        <is>
          <t>Valuer input</t>
        </is>
      </c>
      <c r="E9" s="10" t="inlineStr"/>
    </row>
    <row r="10">
      <c r="B10" s="12" t="inlineStr">
        <is>
          <t>Risk-free Rate</t>
        </is>
      </c>
      <c r="C10" s="13" t="n">
        <v>0.0702</v>
      </c>
      <c r="D10" s="12" t="inlineStr">
        <is>
          <t>India 10-Year Government Bond historical yield - countryeconomy.com</t>
        </is>
      </c>
      <c r="E10" s="12" t="inlineStr"/>
    </row>
    <row r="11">
      <c r="B11" s="10" t="inlineStr">
        <is>
          <t>Equity Risk Premium</t>
        </is>
      </c>
      <c r="C11" s="11" t="n">
        <v>0.0727</v>
      </c>
      <c r="D11" s="10" t="inlineStr">
        <is>
          <t>Aswath Damodaran - Country Risk Premiums, India</t>
        </is>
      </c>
      <c r="E11" s="10" t="inlineStr"/>
    </row>
    <row r="12">
      <c r="B12" s="12" t="inlineStr">
        <is>
          <t>Beta</t>
        </is>
      </c>
      <c r="C12" s="14" t="n">
        <v>0.97</v>
      </c>
      <c r="D12" s="12" t="inlineStr">
        <is>
          <t>Aswath Damodaran - Betas by Sector (Global), Furn/Home Furnishings</t>
        </is>
      </c>
      <c r="E12" s="12" t="inlineStr"/>
    </row>
    <row r="13">
      <c r="B13" s="10" t="inlineStr">
        <is>
          <t>Company-specific Risk Premium</t>
        </is>
      </c>
      <c r="C13" s="11" t="n">
        <v>0</v>
      </c>
      <c r="D13" s="10" t="inlineStr">
        <is>
          <t>Valuer judgement</t>
        </is>
      </c>
      <c r="E13" s="10" t="inlineStr"/>
    </row>
    <row r="14">
      <c r="B14" s="12" t="inlineStr">
        <is>
          <t>Pre-tax Cost of Debt</t>
        </is>
      </c>
      <c r="C14" s="13" t="n">
        <v>0.1404</v>
      </c>
      <c r="D14" s="12" t="inlineStr">
        <is>
          <t>Derived from extracted audited financial statements</t>
        </is>
      </c>
      <c r="E14" s="12" t="inlineStr"/>
    </row>
    <row r="15">
      <c r="B15" s="10" t="inlineStr">
        <is>
          <t>Equity Weight</t>
        </is>
      </c>
      <c r="C15" s="11" t="n">
        <v>0.6675</v>
      </c>
      <c r="D15" s="10" t="inlineStr">
        <is>
          <t>Capital structure assumption</t>
        </is>
      </c>
      <c r="E15" s="10" t="inlineStr"/>
    </row>
    <row r="16">
      <c r="B16" s="12" t="inlineStr">
        <is>
          <t>Debt Weight</t>
        </is>
      </c>
      <c r="C16" s="13" t="n">
        <v>0.3325</v>
      </c>
      <c r="D16" s="12" t="inlineStr">
        <is>
          <t>Capital structure assumption</t>
        </is>
      </c>
      <c r="E16" s="12" t="inlineStr"/>
    </row>
    <row r="17">
      <c r="B17" s="10" t="inlineStr">
        <is>
          <t>Cash (Rs. Lakhs)</t>
        </is>
      </c>
      <c r="C17" s="15" t="n">
        <v>829</v>
      </c>
      <c r="D17" s="10" t="inlineStr">
        <is>
          <t>Valuation-date balance sheet / override</t>
        </is>
      </c>
      <c r="E17" s="10" t="inlineStr"/>
    </row>
    <row r="18">
      <c r="B18" s="12" t="inlineStr">
        <is>
          <t>Debt (Rs. Lakhs)</t>
        </is>
      </c>
      <c r="C18" s="16" t="n">
        <v>2260</v>
      </c>
      <c r="D18" s="12" t="inlineStr">
        <is>
          <t>Valuation-date balance sheet / override</t>
        </is>
      </c>
      <c r="E18" s="12" t="inlineStr"/>
    </row>
    <row r="19">
      <c r="B19" s="10" t="inlineStr">
        <is>
          <t>Non-operating Assets (Rs. Lakhs)</t>
        </is>
      </c>
      <c r="C19" s="15" t="n">
        <v>0</v>
      </c>
      <c r="D19" s="10" t="inlineStr">
        <is>
          <t>Valuer input</t>
        </is>
      </c>
      <c r="E19" s="10" t="inlineStr"/>
    </row>
    <row r="20">
      <c r="B20" s="12" t="inlineStr">
        <is>
          <t>Fully Diluted Shares</t>
        </is>
      </c>
      <c r="C20" s="17" t="n">
        <v>6150000</v>
      </c>
      <c r="D20" s="12" t="inlineStr">
        <is>
          <t>Capital structure working</t>
        </is>
      </c>
      <c r="E20" s="12" t="inlineStr"/>
    </row>
    <row r="21">
      <c r="B21" s="10" t="inlineStr">
        <is>
          <t>Final Report Ready</t>
        </is>
      </c>
      <c r="C21" s="18" t="inlineStr">
        <is>
          <t>No</t>
        </is>
      </c>
      <c r="D21" s="10" t="inlineStr">
        <is>
          <t>System review control</t>
        </is>
      </c>
      <c r="E21" s="10" t="inlineStr"/>
    </row>
  </sheetData>
  <mergeCells count="3">
    <mergeCell ref="B5:E5"/>
    <mergeCell ref="B3:E3"/>
    <mergeCell ref="B2:E2"/>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3" customWidth="1" min="1" max="1"/>
    <col width="30" customWidth="1" min="2" max="2"/>
    <col width="48" customWidth="1" min="3" max="3"/>
    <col width="25" customWidth="1" min="4" max="4"/>
  </cols>
  <sheetData>
    <row r="2" ht="24" customHeight="1">
      <c r="B2" s="6" t="inlineStr">
        <is>
          <t>VANRAJ FURNITURE INDUSTRIES PRIVATE LIMITED</t>
        </is>
      </c>
    </row>
    <row r="3" ht="22" customHeight="1">
      <c r="B3" s="7" t="inlineStr">
        <is>
          <t>Corporate and transaction profile</t>
        </is>
      </c>
    </row>
    <row r="5" ht="22" customHeight="1">
      <c r="B5" s="8" t="inlineStr">
        <is>
          <t>COMPANY / ASSIGNMENT PROFILE</t>
        </is>
      </c>
    </row>
    <row r="6">
      <c r="B6" s="3" t="inlineStr">
        <is>
          <t>Company Name</t>
        </is>
      </c>
      <c r="C6" s="19" t="inlineStr">
        <is>
          <t>Vanraj Furniture Industries Private Limited</t>
        </is>
      </c>
    </row>
    <row r="8">
      <c r="B8" s="3" t="inlineStr">
        <is>
          <t>CIN</t>
        </is>
      </c>
      <c r="C8" s="19" t="inlineStr">
        <is>
          <t>U36101MH2009PTC194327</t>
        </is>
      </c>
    </row>
    <row r="10">
      <c r="B10" s="3" t="inlineStr">
        <is>
          <t>PAN</t>
        </is>
      </c>
      <c r="C10" s="19" t="inlineStr">
        <is>
          <t>AMNPG1132E</t>
        </is>
      </c>
    </row>
    <row r="12">
      <c r="B12" s="3" t="inlineStr">
        <is>
          <t>Valuation Date</t>
        </is>
      </c>
      <c r="C12" s="19" t="inlineStr">
        <is>
          <t>2026-06-01</t>
        </is>
      </c>
    </row>
    <row r="14">
      <c r="B14" s="3" t="inlineStr">
        <is>
          <t>Purpose</t>
        </is>
      </c>
      <c r="C14" s="19" t="inlineStr">
        <is>
          <t>equity-issue</t>
        </is>
      </c>
    </row>
    <row r="16">
      <c r="B16" s="3" t="inlineStr">
        <is>
          <t>Security / Subject Interest</t>
        </is>
      </c>
      <c r="C16" s="19" t="inlineStr">
        <is>
          <t>equity</t>
        </is>
      </c>
    </row>
    <row r="18">
      <c r="B18" s="3" t="inlineStr">
        <is>
          <t>Applicable Provision</t>
        </is>
      </c>
      <c r="C18" s="19" t="inlineStr">
        <is>
          <t>companies-act</t>
        </is>
      </c>
    </row>
    <row r="20">
      <c r="B20" s="3" t="inlineStr">
        <is>
          <t>Transaction Details</t>
        </is>
      </c>
      <c r="C20" s="19" t="inlineStr">
        <is>
          <t>Valuation for issue of shares</t>
        </is>
      </c>
    </row>
  </sheetData>
  <mergeCells count="11">
    <mergeCell ref="C20:D20"/>
    <mergeCell ref="C12:D12"/>
    <mergeCell ref="B3:D3"/>
    <mergeCell ref="B5:D5"/>
    <mergeCell ref="C6:D6"/>
    <mergeCell ref="C10:D10"/>
    <mergeCell ref="C16:D16"/>
    <mergeCell ref="B2:D2"/>
    <mergeCell ref="C14:D14"/>
    <mergeCell ref="C18:D18"/>
    <mergeCell ref="C8:D8"/>
  </mergeCells>
  <pageMargins left="0.35" right="0.35" top="0.45" bottom="0.45" header="0.5" footer="0.5"/>
  <pageSetup orientation="portrait" fitToHeight="0" fitToWidth="1"/>
  <headerFooter>
    <oddHeader/>
    <oddFooter>&amp;LValuation Working - Private &amp; Confidential&amp;RRegistered Valuer Review Required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B2:E16"/>
  <sheetViews>
    <sheetView showGridLines="0" workbookViewId="0">
      <selection activeCell="A1" sqref="A1"/>
    </sheetView>
  </sheetViews>
  <sheetFormatPr baseColWidth="8" defaultRowHeight="15"/>
  <cols>
    <col width="3" customWidth="1" min="1" max="1"/>
    <col width="34" customWidth="1" min="2" max="2"/>
    <col width="18" customWidth="1" min="3" max="3"/>
    <col width="24" customWidth="1" min="4" max="4"/>
    <col width="35" customWidth="1" min="5" max="5"/>
  </cols>
  <sheetData>
    <row r="2" ht="24" customHeight="1">
      <c r="B2" s="6" t="inlineStr">
        <is>
          <t>VANRAJ FURNITURE INDUSTRIES PRIVATE LIMITED</t>
        </is>
      </c>
    </row>
    <row r="3" ht="22" customHeight="1">
      <c r="B3" s="7" t="inlineStr">
        <is>
          <t>Valuation-date / provisional balance sheet summary (Rs. Lakhs)</t>
        </is>
      </c>
    </row>
    <row r="5" ht="22" customHeight="1">
      <c r="B5" s="8" t="inlineStr">
        <is>
          <t>BALANCE SHEET SUMMARY</t>
        </is>
      </c>
    </row>
    <row r="6" ht="28" customHeight="1">
      <c r="B6" s="9" t="inlineStr">
        <is>
          <t>Particulars</t>
        </is>
      </c>
      <c r="C6" s="9" t="inlineStr">
        <is>
          <t>Amount</t>
        </is>
      </c>
      <c r="D6" s="9" t="inlineStr">
        <is>
          <t>Source / Period</t>
        </is>
      </c>
      <c r="E6" s="9" t="inlineStr">
        <is>
          <t>Review</t>
        </is>
      </c>
    </row>
    <row r="7">
      <c r="B7" s="10" t="inlineStr">
        <is>
          <t>Total Assets</t>
        </is>
      </c>
      <c r="C7" s="20" t="n">
        <v>8743</v>
      </c>
      <c r="D7" s="10" t="inlineStr">
        <is>
          <t>01-Jun-2026</t>
        </is>
      </c>
      <c r="E7" s="10" t="inlineStr"/>
    </row>
    <row r="8">
      <c r="B8" s="12" t="inlineStr">
        <is>
          <t>Current Assets</t>
        </is>
      </c>
      <c r="C8" s="21" t="n">
        <v>4799</v>
      </c>
      <c r="D8" s="12" t="inlineStr">
        <is>
          <t>01-Jun-2026</t>
        </is>
      </c>
      <c r="E8" s="12" t="inlineStr"/>
    </row>
    <row r="9">
      <c r="B9" s="10" t="inlineStr">
        <is>
          <t>Cash &amp; Cash Equivalents</t>
        </is>
      </c>
      <c r="C9" s="20" t="n">
        <v>829</v>
      </c>
      <c r="D9" s="10" t="inlineStr">
        <is>
          <t>01-Jun-2026</t>
        </is>
      </c>
      <c r="E9" s="10" t="inlineStr"/>
    </row>
    <row r="10">
      <c r="B10" s="12" t="inlineStr">
        <is>
          <t>Inventory</t>
        </is>
      </c>
      <c r="C10" s="21" t="n">
        <v>1870</v>
      </c>
      <c r="D10" s="12" t="inlineStr">
        <is>
          <t>01-Jun-2026</t>
        </is>
      </c>
      <c r="E10" s="12" t="inlineStr"/>
    </row>
    <row r="11">
      <c r="B11" s="10" t="inlineStr">
        <is>
          <t>Trade Receivables</t>
        </is>
      </c>
      <c r="C11" s="20" t="n">
        <v>1720</v>
      </c>
      <c r="D11" s="10" t="inlineStr">
        <is>
          <t>01-Jun-2026</t>
        </is>
      </c>
      <c r="E11" s="10" t="inlineStr"/>
    </row>
    <row r="12">
      <c r="B12" s="12" t="inlineStr">
        <is>
          <t>Net Worth / Shareholders' Funds</t>
        </is>
      </c>
      <c r="C12" s="21" t="n">
        <v>4538</v>
      </c>
      <c r="D12" s="12" t="inlineStr">
        <is>
          <t>01-Jun-2026</t>
        </is>
      </c>
      <c r="E12" s="12" t="inlineStr"/>
    </row>
    <row r="13">
      <c r="B13" s="10" t="inlineStr">
        <is>
          <t>Total Debt</t>
        </is>
      </c>
      <c r="C13" s="20" t="n">
        <v>2260</v>
      </c>
      <c r="D13" s="10" t="inlineStr">
        <is>
          <t>01-Jun-2026</t>
        </is>
      </c>
      <c r="E13" s="10" t="inlineStr"/>
    </row>
    <row r="14">
      <c r="B14" s="12" t="inlineStr">
        <is>
          <t>Current Liabilities</t>
        </is>
      </c>
      <c r="C14" s="21" t="n">
        <v>2680</v>
      </c>
      <c r="D14" s="12" t="inlineStr">
        <is>
          <t>01-Jun-2026</t>
        </is>
      </c>
      <c r="E14" s="12" t="inlineStr"/>
    </row>
    <row r="15">
      <c r="B15" s="10" t="inlineStr">
        <is>
          <t>Trade Payables</t>
        </is>
      </c>
      <c r="C15" s="20" t="n">
        <v>1290</v>
      </c>
      <c r="D15" s="10" t="inlineStr">
        <is>
          <t>01-Jun-2026</t>
        </is>
      </c>
      <c r="E15" s="10" t="inlineStr"/>
    </row>
    <row r="16">
      <c r="B16" s="12" t="inlineStr">
        <is>
          <t>Capital Employed</t>
        </is>
      </c>
      <c r="C16" s="21" t="n">
        <v>6798</v>
      </c>
      <c r="D16" s="12" t="inlineStr">
        <is>
          <t>01-Jun-2026</t>
        </is>
      </c>
      <c r="E16" s="12" t="inlineStr"/>
    </row>
  </sheetData>
  <mergeCells count="3">
    <mergeCell ref="B5:E5"/>
    <mergeCell ref="B3:E3"/>
    <mergeCell ref="B2:E2"/>
  </mergeCells>
  <pageMargins left="0.35" right="0.35" top="0.45" bottom="0.45" header="0.5" footer="0.5"/>
  <pageSetup orientation="portrait" fitToHeight="0" fitToWidth="1"/>
  <headerFooter>
    <oddHeader/>
    <oddFooter>&amp;LValuation Working - Private &amp; Confidential&amp;RRegistered Valuer Review Required</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J27"/>
  <sheetViews>
    <sheetView showGridLines="0" workbookViewId="0">
      <selection activeCell="A1" sqref="A1"/>
    </sheetView>
  </sheetViews>
  <sheetFormatPr baseColWidth="8" defaultRowHeight="15"/>
  <cols>
    <col width="3" customWidth="1" min="1" max="1"/>
    <col width="3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2" ht="24" customHeight="1">
      <c r="B2" s="6" t="inlineStr">
        <is>
          <t>VANRAJ FURNITURE INDUSTRIES PRIVATE LIMITED</t>
        </is>
      </c>
    </row>
    <row r="3" ht="22" customHeight="1">
      <c r="B3" s="7" t="inlineStr">
        <is>
          <t>Historical and projected financial statements (Rs. Lakhs)</t>
        </is>
      </c>
    </row>
    <row r="6" ht="22" customHeight="1">
      <c r="B6" s="8" t="inlineStr">
        <is>
          <t>PROFIT &amp; LOSS SUMMARY</t>
        </is>
      </c>
    </row>
    <row r="7" ht="28" customHeight="1">
      <c r="B7" s="9" t="inlineStr">
        <is>
          <t>Particulars</t>
        </is>
      </c>
      <c r="C7" s="9" t="inlineStr">
        <is>
          <t>FY 2023-24</t>
        </is>
      </c>
      <c r="D7" s="9" t="inlineStr">
        <is>
          <t>FY 2024-25</t>
        </is>
      </c>
      <c r="E7" s="9" t="inlineStr">
        <is>
          <t>FY 2025-26</t>
        </is>
      </c>
      <c r="F7" s="9" t="inlineStr">
        <is>
          <t>FY 2026-27</t>
        </is>
      </c>
      <c r="G7" s="9" t="inlineStr">
        <is>
          <t>FY 2027-28</t>
        </is>
      </c>
      <c r="H7" s="9" t="inlineStr">
        <is>
          <t>FY 2028-29</t>
        </is>
      </c>
      <c r="I7" s="9" t="inlineStr">
        <is>
          <t>FY 2029-30</t>
        </is>
      </c>
      <c r="J7" s="9" t="inlineStr">
        <is>
          <t>FY 2030-31</t>
        </is>
      </c>
    </row>
    <row r="8">
      <c r="B8" s="10" t="inlineStr">
        <is>
          <t>Revenue</t>
        </is>
      </c>
      <c r="C8" s="20" t="n">
        <v>8200</v>
      </c>
      <c r="D8" s="20" t="n">
        <v>9650</v>
      </c>
      <c r="E8" s="20" t="n">
        <v>11400</v>
      </c>
      <c r="F8" s="20" t="n">
        <v>13452</v>
      </c>
      <c r="G8" s="20" t="n">
        <v>15604.32</v>
      </c>
      <c r="H8" s="20" t="n">
        <v>17788.92</v>
      </c>
      <c r="I8" s="20" t="n">
        <v>19923.6</v>
      </c>
      <c r="J8" s="20" t="n">
        <v>21915.96</v>
      </c>
    </row>
    <row r="9">
      <c r="B9" s="10" t="inlineStr">
        <is>
          <t>EBITDA</t>
        </is>
      </c>
      <c r="C9" s="20" t="n">
        <v>1220</v>
      </c>
      <c r="D9" s="20" t="n">
        <v>1225</v>
      </c>
      <c r="E9" s="20" t="n">
        <v>1560</v>
      </c>
      <c r="F9" s="20" t="n">
        <v>1869.83</v>
      </c>
      <c r="G9" s="20" t="n">
        <v>2247.02</v>
      </c>
      <c r="H9" s="20" t="n">
        <v>2632.76</v>
      </c>
      <c r="I9" s="20" t="n">
        <v>3008.46</v>
      </c>
      <c r="J9" s="20" t="n">
        <v>3353.14</v>
      </c>
    </row>
    <row r="10">
      <c r="B10" s="10" t="inlineStr">
        <is>
          <t>EBITDA Margin</t>
        </is>
      </c>
      <c r="C10" s="22" t="n">
        <v>14.88</v>
      </c>
      <c r="D10" s="22" t="n">
        <v>12.69</v>
      </c>
      <c r="E10" s="22" t="n">
        <v>13.68</v>
      </c>
      <c r="F10" s="22" t="n">
        <v>13.9</v>
      </c>
      <c r="G10" s="22" t="n">
        <v>14.4</v>
      </c>
      <c r="H10" s="22" t="n">
        <v>14.8</v>
      </c>
      <c r="I10" s="22" t="n">
        <v>15.1</v>
      </c>
      <c r="J10" s="22" t="n">
        <v>15.3</v>
      </c>
    </row>
    <row r="11">
      <c r="B11" s="10" t="inlineStr">
        <is>
          <t>EBIT</t>
        </is>
      </c>
      <c r="C11" s="20" t="n">
        <v>935</v>
      </c>
      <c r="D11" s="20" t="n">
        <v>915</v>
      </c>
      <c r="E11" s="20" t="n">
        <v>1200</v>
      </c>
      <c r="F11" s="20" t="n">
        <v>1450.95</v>
      </c>
      <c r="G11" s="20" t="n">
        <v>1799.47</v>
      </c>
      <c r="H11" s="20" t="n">
        <v>2181.07</v>
      </c>
      <c r="I11" s="20" t="n">
        <v>2555.69</v>
      </c>
      <c r="J11" s="20" t="n">
        <v>2902.02</v>
      </c>
    </row>
    <row r="12">
      <c r="B12" s="10" t="inlineStr">
        <is>
          <t>PAT</t>
        </is>
      </c>
      <c r="C12" s="20" t="n">
        <v>522</v>
      </c>
      <c r="D12" s="20" t="n">
        <v>478</v>
      </c>
      <c r="E12" s="20" t="n">
        <v>695</v>
      </c>
      <c r="F12" s="20" t="n">
        <v>936.14</v>
      </c>
      <c r="G12" s="20" t="n">
        <v>1217.08</v>
      </c>
      <c r="H12" s="20" t="n">
        <v>1533.98</v>
      </c>
      <c r="I12" s="20" t="n">
        <v>1854.01</v>
      </c>
      <c r="J12" s="20" t="n">
        <v>2164.59</v>
      </c>
    </row>
    <row r="13">
      <c r="B13" s="10" t="inlineStr">
        <is>
          <t>PAT Margin</t>
        </is>
      </c>
      <c r="C13" s="22" t="n">
        <v>6.37</v>
      </c>
      <c r="D13" s="22" t="n">
        <v>4.95</v>
      </c>
      <c r="E13" s="22" t="n">
        <v>6.1</v>
      </c>
      <c r="F13" s="22" t="n">
        <v>6.96</v>
      </c>
      <c r="G13" s="22" t="n">
        <v>7.8</v>
      </c>
      <c r="H13" s="22" t="n">
        <v>8.619999999999999</v>
      </c>
      <c r="I13" s="22" t="n">
        <v>9.31</v>
      </c>
      <c r="J13" s="22" t="n">
        <v>9.880000000000001</v>
      </c>
    </row>
    <row r="14">
      <c r="B14" s="10" t="inlineStr">
        <is>
          <t>Depreciation</t>
        </is>
      </c>
      <c r="C14" s="20" t="n">
        <v>285</v>
      </c>
      <c r="D14" s="20" t="n">
        <v>310</v>
      </c>
      <c r="E14" s="20" t="n">
        <v>360</v>
      </c>
      <c r="F14" s="20" t="n">
        <v>418.88</v>
      </c>
      <c r="G14" s="20" t="n">
        <v>447.55</v>
      </c>
      <c r="H14" s="20" t="n">
        <v>451.7</v>
      </c>
      <c r="I14" s="20" t="n">
        <v>452.78</v>
      </c>
      <c r="J14" s="20" t="n">
        <v>451.12</v>
      </c>
    </row>
    <row r="15">
      <c r="B15" s="10" t="inlineStr">
        <is>
          <t>Capital Expenditure</t>
        </is>
      </c>
      <c r="C15" s="20" t="n"/>
      <c r="D15" s="20" t="n"/>
      <c r="E15" s="20" t="n"/>
      <c r="F15" s="20" t="n">
        <v>662</v>
      </c>
      <c r="G15" s="20" t="n">
        <v>462</v>
      </c>
      <c r="H15" s="20" t="n">
        <v>512</v>
      </c>
      <c r="I15" s="20" t="n">
        <v>412</v>
      </c>
      <c r="J15" s="20" t="n">
        <v>462</v>
      </c>
    </row>
    <row r="16">
      <c r="B16" s="10" t="inlineStr">
        <is>
          <t>Change in Working Capital</t>
        </is>
      </c>
      <c r="C16" s="20" t="n"/>
      <c r="D16" s="20" t="n"/>
      <c r="E16" s="20" t="n"/>
      <c r="F16" s="20" t="n">
        <v>381.94</v>
      </c>
      <c r="G16" s="20" t="n">
        <v>414.2</v>
      </c>
      <c r="H16" s="20" t="n">
        <v>366.68</v>
      </c>
      <c r="I16" s="20" t="n">
        <v>338.46</v>
      </c>
      <c r="J16" s="20" t="n">
        <v>322.02</v>
      </c>
    </row>
    <row r="19" ht="22" customHeight="1">
      <c r="B19" s="8" t="inlineStr">
        <is>
          <t>BALANCE SHEET / CAPITAL SUMMARY</t>
        </is>
      </c>
    </row>
    <row r="20" ht="28" customHeight="1">
      <c r="B20" s="9" t="inlineStr">
        <is>
          <t>Particulars</t>
        </is>
      </c>
      <c r="C20" s="9" t="inlineStr">
        <is>
          <t>FY 2023-24</t>
        </is>
      </c>
      <c r="D20" s="9" t="inlineStr">
        <is>
          <t>FY 2024-25</t>
        </is>
      </c>
      <c r="E20" s="9" t="inlineStr">
        <is>
          <t>FY 2025-26</t>
        </is>
      </c>
      <c r="F20" s="9" t="inlineStr">
        <is>
          <t>FY 2026-27</t>
        </is>
      </c>
      <c r="G20" s="9" t="inlineStr">
        <is>
          <t>FY 2027-28</t>
        </is>
      </c>
      <c r="H20" s="9" t="inlineStr">
        <is>
          <t>FY 2028-29</t>
        </is>
      </c>
      <c r="I20" s="9" t="inlineStr">
        <is>
          <t>FY 2029-30</t>
        </is>
      </c>
      <c r="J20" s="9" t="inlineStr">
        <is>
          <t>FY 2030-31</t>
        </is>
      </c>
    </row>
    <row r="21">
      <c r="B21" s="10" t="inlineStr">
        <is>
          <t>Net Worth</t>
        </is>
      </c>
      <c r="C21" s="20" t="n">
        <v>2640</v>
      </c>
      <c r="D21" s="20" t="n">
        <v>3118</v>
      </c>
      <c r="E21" s="20" t="n">
        <v>4413</v>
      </c>
      <c r="F21" s="20" t="n">
        <v>5349.14</v>
      </c>
      <c r="G21" s="20" t="n">
        <v>6383.66</v>
      </c>
      <c r="H21" s="20" t="n">
        <v>7610.85</v>
      </c>
      <c r="I21" s="20" t="n">
        <v>9001.360000000001</v>
      </c>
      <c r="J21" s="20" t="n">
        <v>10624.8</v>
      </c>
    </row>
    <row r="22">
      <c r="B22" s="10" t="inlineStr">
        <is>
          <t>Total Debt</t>
        </is>
      </c>
      <c r="C22" s="20" t="n">
        <v>1930</v>
      </c>
      <c r="D22" s="20" t="n">
        <v>1880</v>
      </c>
      <c r="E22" s="20" t="n">
        <v>2250</v>
      </c>
      <c r="F22" s="20" t="n">
        <v>2679.51</v>
      </c>
      <c r="G22" s="20" t="n">
        <v>2454.55</v>
      </c>
      <c r="H22" s="20" t="n">
        <v>2195.79</v>
      </c>
      <c r="I22" s="20" t="n">
        <v>1907.88</v>
      </c>
      <c r="J22" s="20" t="n">
        <v>1599.22</v>
      </c>
    </row>
    <row r="23">
      <c r="B23" s="10" t="inlineStr">
        <is>
          <t>Debt / Equity</t>
        </is>
      </c>
      <c r="C23" s="23" t="n">
        <v>0.73</v>
      </c>
      <c r="D23" s="23" t="n">
        <v>0.6</v>
      </c>
      <c r="E23" s="23" t="n">
        <v>0.51</v>
      </c>
      <c r="F23" s="23" t="n">
        <v>0.5</v>
      </c>
      <c r="G23" s="23" t="n">
        <v>0.38</v>
      </c>
      <c r="H23" s="23" t="n">
        <v>0.29</v>
      </c>
      <c r="I23" s="23" t="n">
        <v>0.21</v>
      </c>
      <c r="J23" s="23" t="n">
        <v>0.15</v>
      </c>
    </row>
    <row r="24">
      <c r="B24" s="10" t="inlineStr">
        <is>
          <t>Current Ratio</t>
        </is>
      </c>
      <c r="C24" s="23" t="n">
        <v>1.55</v>
      </c>
      <c r="D24" s="23" t="n">
        <v>1.54</v>
      </c>
      <c r="E24" s="23" t="n">
        <v>1.76</v>
      </c>
      <c r="F24" s="23" t="n">
        <v>1.94</v>
      </c>
      <c r="G24" s="23" t="n">
        <v>2.07</v>
      </c>
      <c r="H24" s="23" t="n">
        <v>2.23</v>
      </c>
      <c r="I24" s="23" t="n">
        <v>2.46</v>
      </c>
      <c r="J24" s="23" t="n">
        <v>2.71</v>
      </c>
    </row>
    <row r="25">
      <c r="B25" s="10" t="inlineStr">
        <is>
          <t>Interest Coverage</t>
        </is>
      </c>
      <c r="C25" s="23" t="n">
        <v>4.98</v>
      </c>
      <c r="D25" s="23" t="n">
        <v>4.71</v>
      </c>
      <c r="E25" s="23" t="n">
        <v>5.38</v>
      </c>
      <c r="F25" s="23" t="n">
        <v>7.64</v>
      </c>
      <c r="G25" s="23" t="n">
        <v>9.16</v>
      </c>
      <c r="H25" s="23" t="n">
        <v>11.8</v>
      </c>
      <c r="I25" s="23" t="n">
        <v>15.2</v>
      </c>
      <c r="J25" s="23" t="n">
        <v>19.71</v>
      </c>
    </row>
    <row r="26">
      <c r="B26" s="10" t="inlineStr">
        <is>
          <t>ROCE</t>
        </is>
      </c>
      <c r="C26" s="22" t="n">
        <v>20.46</v>
      </c>
      <c r="D26" s="22" t="n">
        <v>19.13</v>
      </c>
      <c r="E26" s="22" t="n">
        <v>20.58</v>
      </c>
      <c r="F26" s="22" t="n">
        <v>18.07</v>
      </c>
      <c r="G26" s="22" t="n">
        <v>21.34</v>
      </c>
      <c r="H26" s="22" t="n">
        <v>23.4</v>
      </c>
      <c r="I26" s="22" t="n">
        <v>24.67</v>
      </c>
      <c r="J26" s="22" t="n">
        <v>25.09</v>
      </c>
    </row>
    <row r="27">
      <c r="B27" s="10" t="inlineStr">
        <is>
          <t>ROE</t>
        </is>
      </c>
      <c r="C27" s="22" t="n">
        <v>19.77</v>
      </c>
      <c r="D27" s="22" t="n">
        <v>16.6</v>
      </c>
      <c r="E27" s="22" t="n">
        <v>18.46</v>
      </c>
      <c r="F27" s="22" t="n">
        <v>17.5</v>
      </c>
      <c r="G27" s="22" t="n">
        <v>20.75</v>
      </c>
      <c r="H27" s="22" t="n">
        <v>21.92</v>
      </c>
      <c r="I27" s="22" t="n">
        <v>22.32</v>
      </c>
      <c r="J27" s="22" t="n">
        <v>22.06</v>
      </c>
    </row>
  </sheetData>
  <mergeCells count="4">
    <mergeCell ref="B6:J6"/>
    <mergeCell ref="B3:J3"/>
    <mergeCell ref="B19:J19"/>
    <mergeCell ref="B2:J2"/>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2:D24"/>
  <sheetViews>
    <sheetView showGridLines="0" workbookViewId="0">
      <selection activeCell="A1" sqref="A1"/>
    </sheetView>
  </sheetViews>
  <sheetFormatPr baseColWidth="8" defaultRowHeight="15"/>
  <cols>
    <col width="3" customWidth="1" min="1" max="1"/>
    <col width="48" customWidth="1" min="2" max="2"/>
    <col width="18" customWidth="1" min="3" max="3"/>
    <col width="55" customWidth="1" min="4" max="4"/>
  </cols>
  <sheetData>
    <row r="2" ht="24" customHeight="1">
      <c r="B2" s="6" t="inlineStr">
        <is>
          <t>VANRAJ FURNITURE INDUSTRIES PRIVATE LIMITED</t>
        </is>
      </c>
    </row>
    <row r="3" ht="22" customHeight="1">
      <c r="B3" s="7" t="inlineStr">
        <is>
          <t>Weighted Average Cost of Capital - Working</t>
        </is>
      </c>
    </row>
    <row r="5" ht="22" customHeight="1">
      <c r="B5" s="8" t="inlineStr">
        <is>
          <t>COST OF EQUITY (CAPM)</t>
        </is>
      </c>
    </row>
    <row r="6">
      <c r="B6" t="inlineStr">
        <is>
          <t>Risk-free Rate (Rf)</t>
        </is>
      </c>
      <c r="C6" s="24" t="n">
        <v>0.0702</v>
      </c>
      <c r="D6" t="inlineStr">
        <is>
          <t>India 10-Year Government Bond historical yield - countryeconomy.com</t>
        </is>
      </c>
    </row>
    <row r="7">
      <c r="B7" t="inlineStr">
        <is>
          <t>Equity Risk Premium (ERP)</t>
        </is>
      </c>
      <c r="C7" s="24" t="n">
        <v>0.0727</v>
      </c>
      <c r="D7" t="inlineStr">
        <is>
          <t>Aswath Damodaran - Country Risk Premiums, India</t>
        </is>
      </c>
    </row>
    <row r="8">
      <c r="B8" t="inlineStr">
        <is>
          <t>Levered Beta (Beta)</t>
        </is>
      </c>
      <c r="C8" s="25" t="n">
        <v>0.97</v>
      </c>
      <c r="D8" t="inlineStr">
        <is>
          <t>Aswath Damodaran - Betas by Sector (Global), Furn/Home Furnishings</t>
        </is>
      </c>
    </row>
    <row r="9">
      <c r="B9" t="inlineStr">
        <is>
          <t>Cost of Equity: Ke = Rf + Beta x ERP + CSRP</t>
        </is>
      </c>
      <c r="C9" s="26" t="n">
        <v>0.140719</v>
      </c>
      <c r="D9" t="inlineStr">
        <is>
          <t>Calculated</t>
        </is>
      </c>
    </row>
    <row r="11" ht="22" customHeight="1">
      <c r="B11" s="8" t="inlineStr">
        <is>
          <t>COST OF DEBT</t>
        </is>
      </c>
    </row>
    <row r="12">
      <c r="B12" t="inlineStr">
        <is>
          <t>Pre-tax Cost of Debt (Kd)</t>
        </is>
      </c>
      <c r="C12" s="24" t="n">
        <v>0.1404</v>
      </c>
      <c r="D12" t="inlineStr">
        <is>
          <t>Derived from extracted audited financial statements</t>
        </is>
      </c>
    </row>
    <row r="13">
      <c r="B13" t="inlineStr">
        <is>
          <t>Corporate Tax Rate (t)</t>
        </is>
      </c>
      <c r="C13" s="24" t="n">
        <v>0.25</v>
      </c>
      <c r="D13" t="inlineStr">
        <is>
          <t>Applicable / selected rate</t>
        </is>
      </c>
    </row>
    <row r="14">
      <c r="B14" t="inlineStr">
        <is>
          <t>Post-tax Cost of Debt: Kd x (1-t)</t>
        </is>
      </c>
      <c r="C14" s="26" t="n">
        <v>0.1053</v>
      </c>
      <c r="D14" t="inlineStr">
        <is>
          <t>Calculated</t>
        </is>
      </c>
    </row>
    <row r="16" ht="22" customHeight="1">
      <c r="B16" s="8" t="inlineStr">
        <is>
          <t>CAPITAL STRUCTURE</t>
        </is>
      </c>
    </row>
    <row r="17">
      <c r="B17" t="inlineStr">
        <is>
          <t>Weight of Debt: D/(D+E)</t>
        </is>
      </c>
      <c r="C17" s="24" t="n">
        <v>0.3325</v>
      </c>
      <c r="D17" t="inlineStr">
        <is>
          <t>Selected capital structure</t>
        </is>
      </c>
    </row>
    <row r="18">
      <c r="B18" t="inlineStr">
        <is>
          <t>Weight of Equity: E/(D+E)</t>
        </is>
      </c>
      <c r="C18" s="24" t="n">
        <v>0.6675</v>
      </c>
      <c r="D18" t="inlineStr">
        <is>
          <t>Selected capital structure</t>
        </is>
      </c>
    </row>
    <row r="20" ht="22" customHeight="1">
      <c r="B20" s="8" t="inlineStr">
        <is>
          <t>WACC CONCLUSION</t>
        </is>
      </c>
    </row>
    <row r="21">
      <c r="B21" t="inlineStr">
        <is>
          <t>WACC = Ke x We + Kd(1-t) x Wd</t>
        </is>
      </c>
      <c r="C21" s="27" t="n">
        <v>0.15</v>
      </c>
    </row>
    <row r="23">
      <c r="B23" t="inlineStr">
        <is>
          <t>Terminal Growth Rate (g)</t>
        </is>
      </c>
      <c r="C23" s="24" t="n">
        <v>0.05</v>
      </c>
    </row>
    <row r="24">
      <c r="B24" t="inlineStr">
        <is>
          <t>Check: WACC &gt; g ?</t>
        </is>
      </c>
      <c r="C24" t="inlineStr">
        <is>
          <t>OK - WACC exceeds g</t>
        </is>
      </c>
    </row>
  </sheetData>
  <mergeCells count="6">
    <mergeCell ref="B11:D11"/>
    <mergeCell ref="B3:D3"/>
    <mergeCell ref="B5:D5"/>
    <mergeCell ref="B2:D2"/>
    <mergeCell ref="B16:D16"/>
    <mergeCell ref="B20:D20"/>
  </mergeCells>
  <pageMargins left="0.35" right="0.35" top="0.45" bottom="0.45" header="0.5" footer="0.5"/>
  <pageSetup orientation="portrait" fitToHeight="0" fitToWidth="1"/>
  <headerFooter>
    <oddHeader/>
    <oddFooter>&amp;LValuation Working - Private &amp; Confidential&amp;RRegistered Valuer Review Required</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H33"/>
  <sheetViews>
    <sheetView showGridLines="0" workbookViewId="0">
      <selection activeCell="A1" sqref="A1"/>
    </sheetView>
  </sheetViews>
  <sheetFormatPr baseColWidth="8" defaultRowHeight="15"/>
  <cols>
    <col width="3" customWidth="1" min="1" max="1"/>
    <col width="58" customWidth="1" min="2" max="2"/>
    <col width="18" customWidth="1" min="3" max="3"/>
    <col width="18" customWidth="1" min="4" max="4"/>
    <col width="18" customWidth="1" min="5" max="5"/>
    <col width="18" customWidth="1" min="6" max="6"/>
    <col width="18" customWidth="1" min="7" max="7"/>
  </cols>
  <sheetData>
    <row r="2" ht="24" customHeight="1">
      <c r="B2" s="6" t="inlineStr">
        <is>
          <t>VANRAJ FURNITURE INDUSTRIES PRIVATE LIMITED</t>
        </is>
      </c>
    </row>
    <row r="3" ht="22" customHeight="1">
      <c r="B3" s="7" t="inlineStr">
        <is>
          <t>Income Approach - Discounted Cash Flow (FCFF) Method | All figures in Rs. Lakhs unless stated otherwise</t>
        </is>
      </c>
    </row>
    <row r="6" ht="28" customHeight="1">
      <c r="B6" s="9" t="inlineStr">
        <is>
          <t>Particulars</t>
        </is>
      </c>
      <c r="C6" s="9" t="inlineStr">
        <is>
          <t>FY2027</t>
        </is>
      </c>
      <c r="D6" s="9" t="inlineStr">
        <is>
          <t>FY2028</t>
        </is>
      </c>
      <c r="E6" s="9" t="inlineStr">
        <is>
          <t>FY2029</t>
        </is>
      </c>
      <c r="F6" s="9" t="inlineStr">
        <is>
          <t>FY2030</t>
        </is>
      </c>
      <c r="G6" s="9" t="inlineStr">
        <is>
          <t>FY2031</t>
        </is>
      </c>
    </row>
    <row r="7">
      <c r="B7" s="10" t="inlineStr">
        <is>
          <t>EBIT (per Projected Financials)</t>
        </is>
      </c>
      <c r="C7" s="20" t="n">
        <v>1450.95</v>
      </c>
      <c r="D7" s="20" t="n">
        <v>1799.47</v>
      </c>
      <c r="E7" s="20" t="n">
        <v>2181.07</v>
      </c>
      <c r="F7" s="20" t="n">
        <v>2555.69</v>
      </c>
      <c r="G7" s="20" t="n">
        <v>2902.02</v>
      </c>
    </row>
    <row r="8">
      <c r="B8" s="10" t="inlineStr">
        <is>
          <t>Less: Tax on EBIT</t>
        </is>
      </c>
      <c r="C8" s="28" t="n">
        <v>362.74</v>
      </c>
      <c r="D8" s="28" t="n">
        <v>449.8700000000001</v>
      </c>
      <c r="E8" s="28" t="n">
        <v>545.2700000000002</v>
      </c>
      <c r="F8" s="28" t="n">
        <v>638.9200000000001</v>
      </c>
      <c r="G8" s="28" t="n">
        <v>725.5099999999998</v>
      </c>
    </row>
    <row r="9">
      <c r="B9" s="29" t="inlineStr">
        <is>
          <t>NOPAT (EBIT less tax)</t>
        </is>
      </c>
      <c r="C9" s="28" t="n">
        <v>1088.21</v>
      </c>
      <c r="D9" s="28" t="n">
        <v>1349.6</v>
      </c>
      <c r="E9" s="28" t="n">
        <v>1635.8</v>
      </c>
      <c r="F9" s="28" t="n">
        <v>1916.77</v>
      </c>
      <c r="G9" s="28" t="n">
        <v>2176.51</v>
      </c>
    </row>
    <row r="10">
      <c r="B10" s="10" t="inlineStr">
        <is>
          <t>Add: Depreciation &amp; Amortisation</t>
        </is>
      </c>
      <c r="C10" s="20" t="n">
        <v>418.88</v>
      </c>
      <c r="D10" s="20" t="n">
        <v>447.55</v>
      </c>
      <c r="E10" s="20" t="n">
        <v>451.7</v>
      </c>
      <c r="F10" s="20" t="n">
        <v>452.78</v>
      </c>
      <c r="G10" s="20" t="n">
        <v>451.12</v>
      </c>
    </row>
    <row r="11">
      <c r="B11" s="10" t="inlineStr">
        <is>
          <t>Less: Capital Expenditure</t>
        </is>
      </c>
      <c r="C11" s="28" t="n">
        <v>662</v>
      </c>
      <c r="D11" s="28" t="n">
        <v>462</v>
      </c>
      <c r="E11" s="28" t="n">
        <v>512</v>
      </c>
      <c r="F11" s="28" t="n">
        <v>412</v>
      </c>
      <c r="G11" s="28" t="n">
        <v>462</v>
      </c>
    </row>
    <row r="12">
      <c r="B12" s="10" t="inlineStr">
        <is>
          <t>Less: Increase in Net Working Capital</t>
        </is>
      </c>
      <c r="C12" s="28" t="n">
        <v>381.94</v>
      </c>
      <c r="D12" s="28" t="n">
        <v>414.2</v>
      </c>
      <c r="E12" s="28" t="n">
        <v>366.68</v>
      </c>
      <c r="F12" s="28" t="n">
        <v>338.46</v>
      </c>
      <c r="G12" s="28" t="n">
        <v>322.02</v>
      </c>
    </row>
    <row r="13">
      <c r="B13" s="29" t="inlineStr">
        <is>
          <t>Free Cash Flow to Firm (FCFF)</t>
        </is>
      </c>
      <c r="C13" s="28" t="n">
        <v>463.15</v>
      </c>
      <c r="D13" s="28" t="n">
        <v>920.95</v>
      </c>
      <c r="E13" s="28" t="n">
        <v>1208.82</v>
      </c>
      <c r="F13" s="28" t="n">
        <v>1619.09</v>
      </c>
      <c r="G13" s="28" t="n">
        <v>1843.61</v>
      </c>
    </row>
    <row r="14">
      <c r="B14" s="10" t="inlineStr"/>
      <c r="C14" s="28" t="n"/>
      <c r="D14" s="28" t="n"/>
      <c r="E14" s="28" t="n"/>
      <c r="F14" s="28" t="n"/>
      <c r="G14" s="28" t="n"/>
    </row>
    <row r="15">
      <c r="B15" s="10" t="inlineStr">
        <is>
          <t>Discount Factor @ WACC</t>
        </is>
      </c>
      <c r="C15" s="30" t="n">
        <v>0.869565</v>
      </c>
      <c r="D15" s="30" t="n">
        <v>0.756144</v>
      </c>
      <c r="E15" s="30" t="n">
        <v>0.657516</v>
      </c>
      <c r="F15" s="30" t="n">
        <v>0.571753</v>
      </c>
      <c r="G15" s="30" t="n">
        <v>0.497177</v>
      </c>
    </row>
    <row r="16">
      <c r="B16" s="29" t="inlineStr">
        <is>
          <t>Present Value of FCFF</t>
        </is>
      </c>
      <c r="C16" s="28" t="n">
        <v>402.74</v>
      </c>
      <c r="D16" s="28" t="n">
        <v>696.37</v>
      </c>
      <c r="E16" s="28" t="n">
        <v>794.8200000000001</v>
      </c>
      <c r="F16" s="28" t="n">
        <v>925.72</v>
      </c>
      <c r="G16" s="28" t="n">
        <v>916.6</v>
      </c>
    </row>
    <row r="18" ht="22" customHeight="1">
      <c r="B18" s="8" t="inlineStr">
        <is>
          <t>TERMINAL VALUE</t>
        </is>
      </c>
    </row>
    <row r="19">
      <c r="B19" t="inlineStr">
        <is>
          <t>FCFF - Final Forecast Year</t>
        </is>
      </c>
      <c r="C19" s="31" t="n">
        <v>1843.61</v>
      </c>
    </row>
    <row r="20">
      <c r="B20" t="inlineStr">
        <is>
          <t>Terminal Growth Rate (g)</t>
        </is>
      </c>
      <c r="C20" s="32" t="n">
        <v>0.05</v>
      </c>
    </row>
    <row r="21">
      <c r="B21" t="inlineStr">
        <is>
          <t>Terminal Value</t>
        </is>
      </c>
      <c r="C21" s="31" t="n">
        <v>19357.91</v>
      </c>
    </row>
    <row r="22">
      <c r="B22" t="inlineStr">
        <is>
          <t>Present Value of Terminal Value</t>
        </is>
      </c>
      <c r="C22" s="31" t="n">
        <v>9624.299999999999</v>
      </c>
    </row>
    <row r="24" ht="22" customHeight="1">
      <c r="B24" s="8" t="inlineStr">
        <is>
          <t>ENTERPRISE VALUE TO EQUITY VALUE BRIDGE</t>
        </is>
      </c>
    </row>
    <row r="25">
      <c r="B25" t="inlineStr">
        <is>
          <t>Sum of PV of explicit period FCFF</t>
        </is>
      </c>
      <c r="C25" s="31" t="n">
        <v>3736.25</v>
      </c>
    </row>
    <row r="26">
      <c r="B26" t="inlineStr">
        <is>
          <t>Add: PV of Terminal Value</t>
        </is>
      </c>
      <c r="C26" s="31" t="n">
        <v>9624.299999999999</v>
      </c>
    </row>
    <row r="27">
      <c r="B27" t="inlineStr">
        <is>
          <t>Enterprise Value (Operating Business)</t>
        </is>
      </c>
      <c r="C27" s="33" t="n">
        <v>13360.55</v>
      </c>
    </row>
    <row r="28">
      <c r="B28" t="inlineStr">
        <is>
          <t>Add: Cash &amp; Cash Equivalents</t>
        </is>
      </c>
      <c r="C28" s="31" t="n">
        <v>829</v>
      </c>
    </row>
    <row r="29">
      <c r="B29" t="inlineStr">
        <is>
          <t>Add: Non-Operating Assets</t>
        </is>
      </c>
      <c r="C29" s="31" t="n">
        <v>0</v>
      </c>
    </row>
    <row r="30">
      <c r="B30" t="inlineStr">
        <is>
          <t>Less: Debt</t>
        </is>
      </c>
      <c r="C30" s="31" t="n">
        <v>2260</v>
      </c>
    </row>
    <row r="31">
      <c r="B31" t="inlineStr">
        <is>
          <t>Equity Value under DCF</t>
        </is>
      </c>
      <c r="C31" s="34" t="n">
        <v>11929.55</v>
      </c>
    </row>
    <row r="32">
      <c r="B32" t="inlineStr">
        <is>
          <t>No. of Fully Diluted Equity Shares</t>
        </is>
      </c>
      <c r="C32" s="35" t="n">
        <v>6150000</v>
      </c>
    </row>
    <row r="33">
      <c r="B33" t="inlineStr">
        <is>
          <t>Value per Equity Share under DCF (Rs.)</t>
        </is>
      </c>
      <c r="C33" s="36" t="n">
        <v>193.98</v>
      </c>
    </row>
  </sheetData>
  <mergeCells count="4">
    <mergeCell ref="B3:H3"/>
    <mergeCell ref="B2:H2"/>
    <mergeCell ref="B24:E24"/>
    <mergeCell ref="B18:E18"/>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cols>
    <col width="3" customWidth="1" min="1" max="1"/>
    <col width="26" customWidth="1" min="2" max="2"/>
    <col width="18" customWidth="1" min="3" max="3"/>
    <col width="18" customWidth="1" min="4" max="4"/>
    <col width="18" customWidth="1" min="5" max="5"/>
    <col width="18" customWidth="1" min="6" max="6"/>
    <col width="18" customWidth="1" min="7" max="7"/>
  </cols>
  <sheetData>
    <row r="2" ht="24" customHeight="1">
      <c r="B2" s="6" t="inlineStr">
        <is>
          <t>VANRAJ FURNITURE INDUSTRIES PRIVATE LIMITED</t>
        </is>
      </c>
    </row>
    <row r="3" ht="22" customHeight="1">
      <c r="B3" s="7" t="inlineStr">
        <is>
          <t>DCF Sensitivity - Value per Equity Share (Rs.)</t>
        </is>
      </c>
    </row>
    <row r="6" ht="28" customHeight="1">
      <c r="B6" s="9" t="inlineStr">
        <is>
          <t>Terminal Growth / WACC</t>
        </is>
      </c>
      <c r="C6" s="9" t="inlineStr">
        <is>
          <t>13.00%</t>
        </is>
      </c>
      <c r="D6" s="9" t="inlineStr">
        <is>
          <t>14.00%</t>
        </is>
      </c>
      <c r="E6" s="9" t="inlineStr">
        <is>
          <t>15.00%</t>
        </is>
      </c>
      <c r="F6" s="9" t="inlineStr">
        <is>
          <t>16.00%</t>
        </is>
      </c>
      <c r="G6" s="9" t="inlineStr">
        <is>
          <t>17.00%</t>
        </is>
      </c>
    </row>
    <row r="7">
      <c r="B7" s="37" t="n">
        <v>0.04</v>
      </c>
      <c r="C7" s="38" t="n">
        <v>229.18</v>
      </c>
      <c r="D7" s="38" t="n">
        <v>201.21</v>
      </c>
      <c r="E7" s="38" t="n">
        <v>178.39</v>
      </c>
      <c r="F7" s="38" t="n">
        <v>159.45</v>
      </c>
      <c r="G7" s="38" t="n">
        <v>143.49</v>
      </c>
    </row>
    <row r="8">
      <c r="B8" s="39" t="n">
        <v>0.045</v>
      </c>
      <c r="C8" s="40" t="n">
        <v>241.19</v>
      </c>
      <c r="D8" s="40" t="n">
        <v>210.55</v>
      </c>
      <c r="E8" s="40" t="n">
        <v>185.81</v>
      </c>
      <c r="F8" s="40" t="n">
        <v>165.45</v>
      </c>
      <c r="G8" s="40" t="n">
        <v>148.41</v>
      </c>
    </row>
    <row r="9">
      <c r="B9" s="37" t="n">
        <v>0.05</v>
      </c>
      <c r="C9" s="38" t="n">
        <v>254.71</v>
      </c>
      <c r="D9" s="38" t="n">
        <v>220.93</v>
      </c>
      <c r="E9" s="41" t="n">
        <v>193.98</v>
      </c>
      <c r="F9" s="38" t="n">
        <v>172</v>
      </c>
      <c r="G9" s="38" t="n">
        <v>153.74</v>
      </c>
    </row>
    <row r="10">
      <c r="B10" s="39" t="n">
        <v>0.055</v>
      </c>
      <c r="C10" s="40" t="n">
        <v>270.04</v>
      </c>
      <c r="D10" s="40" t="n">
        <v>232.53</v>
      </c>
      <c r="E10" s="40" t="n">
        <v>203</v>
      </c>
      <c r="F10" s="40" t="n">
        <v>179.16</v>
      </c>
      <c r="G10" s="40" t="n">
        <v>159.54</v>
      </c>
    </row>
    <row r="11">
      <c r="B11" s="37" t="n">
        <v>0.06</v>
      </c>
      <c r="C11" s="38" t="n">
        <v>287.55</v>
      </c>
      <c r="D11" s="38" t="n">
        <v>245.58</v>
      </c>
      <c r="E11" s="38" t="n">
        <v>213.02</v>
      </c>
      <c r="F11" s="38" t="n">
        <v>187.05</v>
      </c>
      <c r="G11" s="38" t="n">
        <v>165.86</v>
      </c>
    </row>
  </sheetData>
  <mergeCells count="2">
    <mergeCell ref="B3:H3"/>
    <mergeCell ref="B2:H2"/>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B2:E11"/>
  <sheetViews>
    <sheetView showGridLines="0" workbookViewId="0">
      <selection activeCell="A1" sqref="A1"/>
    </sheetView>
  </sheetViews>
  <sheetFormatPr baseColWidth="8" defaultRowHeight="15"/>
  <cols>
    <col width="3" customWidth="1" min="1" max="1"/>
    <col width="45" customWidth="1" min="2" max="2"/>
    <col width="20" customWidth="1" min="3" max="3"/>
    <col width="48" customWidth="1" min="4" max="4"/>
    <col width="28" customWidth="1" min="5" max="5"/>
  </cols>
  <sheetData>
    <row r="2" ht="24" customHeight="1">
      <c r="B2" s="6" t="inlineStr">
        <is>
          <t>VANRAJ FURNITURE INDUSTRIES PRIVATE LIMITED</t>
        </is>
      </c>
    </row>
    <row r="3" ht="22" customHeight="1">
      <c r="B3" s="7" t="inlineStr">
        <is>
          <t>Asset Approach - Net Asset Value Method | All figures in Rs. Lakhs unless stated otherwise</t>
        </is>
      </c>
    </row>
    <row r="5" ht="22" customHeight="1">
      <c r="B5" s="8" t="inlineStr">
        <is>
          <t>NAV WORKING</t>
        </is>
      </c>
    </row>
    <row r="6" ht="28" customHeight="1">
      <c r="B6" s="9" t="inlineStr">
        <is>
          <t>Particulars</t>
        </is>
      </c>
      <c r="C6" s="9" t="inlineStr">
        <is>
          <t>Amount</t>
        </is>
      </c>
      <c r="D6" s="9" t="inlineStr">
        <is>
          <t>Basis / Comment</t>
        </is>
      </c>
      <c r="E6" s="9" t="inlineStr">
        <is>
          <t>Review</t>
        </is>
      </c>
    </row>
    <row r="7">
      <c r="B7" s="10" t="inlineStr">
        <is>
          <t>Total / Adjusted Assets</t>
        </is>
      </c>
      <c r="C7" s="28" t="n">
        <v>8743</v>
      </c>
      <c r="D7" s="10" t="inlineStr">
        <is>
          <t>Valuation-date balance sheet / valuer adjustment</t>
        </is>
      </c>
      <c r="E7" s="10" t="inlineStr"/>
    </row>
    <row r="8">
      <c r="B8" s="12" t="inlineStr">
        <is>
          <t>Less: Total / Adjusted Liabilities</t>
        </is>
      </c>
      <c r="C8" s="42" t="n">
        <v>4205</v>
      </c>
      <c r="D8" s="12" t="inlineStr">
        <is>
          <t>Valuation-date balance sheet / valuer adjustment</t>
        </is>
      </c>
      <c r="E8" s="12" t="inlineStr"/>
    </row>
    <row r="9">
      <c r="B9" s="10" t="inlineStr">
        <is>
          <t>Net Assets available to Equity Shareholders</t>
        </is>
      </c>
      <c r="C9" s="28" t="n">
        <v>4538</v>
      </c>
      <c r="D9" s="10" t="inlineStr">
        <is>
          <t>Assets less liabilities</t>
        </is>
      </c>
      <c r="E9" s="10" t="inlineStr"/>
    </row>
    <row r="10">
      <c r="B10" s="12" t="inlineStr">
        <is>
          <t>Fully Diluted Equity Shares</t>
        </is>
      </c>
      <c r="C10" s="43" t="n">
        <v>6150000</v>
      </c>
      <c r="D10" s="12" t="inlineStr">
        <is>
          <t>Capital structure working</t>
        </is>
      </c>
      <c r="E10" s="12" t="inlineStr"/>
    </row>
    <row r="11">
      <c r="B11" s="10" t="inlineStr">
        <is>
          <t>Value per Equity Share under NAV (Rs.)</t>
        </is>
      </c>
      <c r="C11" s="44" t="n">
        <v>73.79000000000001</v>
      </c>
      <c r="D11" s="10" t="inlineStr">
        <is>
          <t>NAV / diluted shares</t>
        </is>
      </c>
      <c r="E11" s="10" t="inlineStr"/>
    </row>
  </sheetData>
  <mergeCells count="3">
    <mergeCell ref="B5:E5"/>
    <mergeCell ref="B3:E3"/>
    <mergeCell ref="B2:E2"/>
  </mergeCells>
  <pageMargins left="0.35" right="0.35" top="0.45" bottom="0.45" header="0.5" footer="0.5"/>
  <pageSetup orientation="portrait" fitToHeight="0" fitToWidth="1"/>
  <headerFooter>
    <oddHeader/>
    <oddFooter>&amp;LValuation Working - Private &amp; Confidential&amp;RRegistered Valuer Review Required</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B2:H28"/>
  <sheetViews>
    <sheetView showGridLines="0" workbookViewId="0">
      <selection activeCell="A1" sqref="A1"/>
    </sheetView>
  </sheetViews>
  <sheetFormatPr baseColWidth="8" defaultRowHeight="15"/>
  <cols>
    <col width="3" customWidth="1" min="1" max="1"/>
    <col width="34" customWidth="1" min="2" max="2"/>
    <col width="18" customWidth="1" min="3" max="3"/>
    <col width="18" customWidth="1" min="4" max="4"/>
    <col width="18" customWidth="1" min="5" max="5"/>
    <col width="18" customWidth="1" min="6" max="6"/>
    <col width="18" customWidth="1" min="7" max="7"/>
    <col width="16" customWidth="1" min="8" max="8"/>
  </cols>
  <sheetData>
    <row r="2" ht="24" customHeight="1">
      <c r="B2" s="6" t="inlineStr">
        <is>
          <t>VANRAJ FURNITURE INDUSTRIES PRIVATE LIMITED</t>
        </is>
      </c>
    </row>
    <row r="3" ht="22" customHeight="1">
      <c r="B3" s="7" t="inlineStr">
        <is>
          <t>Fully diluted capital structure</t>
        </is>
      </c>
    </row>
    <row r="5" ht="22" customHeight="1">
      <c r="B5" s="8" t="inlineStr">
        <is>
          <t>FULLY DILUTED SHARE RECONCILIATION</t>
        </is>
      </c>
    </row>
    <row r="6">
      <c r="B6" t="inlineStr">
        <is>
          <t>Basic Equity Shares</t>
        </is>
      </c>
      <c r="C6" s="35" t="n">
        <v>5000000</v>
      </c>
    </row>
    <row r="7">
      <c r="B7" t="inlineStr">
        <is>
          <t>CCPS Outstanding</t>
        </is>
      </c>
      <c r="C7" s="35" t="n"/>
    </row>
    <row r="8">
      <c r="B8" t="inlineStr">
        <is>
          <t>Equity from CCPS</t>
        </is>
      </c>
      <c r="C8" s="35" t="n">
        <v>750000</v>
      </c>
    </row>
    <row r="9">
      <c r="B9" t="inlineStr">
        <is>
          <t>Equity from Warrants</t>
        </is>
      </c>
      <c r="C9" s="35" t="n">
        <v>150000</v>
      </c>
    </row>
    <row r="10">
      <c r="B10" t="inlineStr">
        <is>
          <t>Equity from ESOPs</t>
        </is>
      </c>
      <c r="C10" s="35" t="n">
        <v>250000</v>
      </c>
    </row>
    <row r="11">
      <c r="B11" t="inlineStr">
        <is>
          <t>Fully Diluted Shares</t>
        </is>
      </c>
      <c r="C11" s="35" t="n">
        <v>6150000</v>
      </c>
    </row>
    <row r="12">
      <c r="B12" t="inlineStr">
        <is>
          <t>Future Exercise Proceeds (Rs. Lakhs)</t>
        </is>
      </c>
      <c r="C12" s="31" t="n">
        <v>327.5</v>
      </c>
    </row>
    <row r="13">
      <c r="B13" t="inlineStr">
        <is>
          <t>Validation Status</t>
        </is>
      </c>
      <c r="C13" t="inlineStr">
        <is>
          <t>VALIDATED</t>
        </is>
      </c>
    </row>
    <row r="15" ht="22" customHeight="1">
      <c r="B15" s="8" t="inlineStr">
        <is>
          <t>HOLDER-WISE FULLY DILUTED SHAREHOLDING</t>
        </is>
      </c>
    </row>
    <row r="16" ht="28" customHeight="1">
      <c r="B16" s="9" t="inlineStr">
        <is>
          <t>Holder</t>
        </is>
      </c>
      <c r="C16" s="9" t="inlineStr">
        <is>
          <t>Basic Shares</t>
        </is>
      </c>
      <c r="D16" s="9" t="inlineStr">
        <is>
          <t>CCPS</t>
        </is>
      </c>
      <c r="E16" s="9" t="inlineStr">
        <is>
          <t>Warrants</t>
        </is>
      </c>
      <c r="F16" s="9" t="inlineStr">
        <is>
          <t>ESOPs</t>
        </is>
      </c>
      <c r="G16" s="9" t="inlineStr">
        <is>
          <t>Fully Diluted</t>
        </is>
      </c>
      <c r="H16" s="9" t="inlineStr">
        <is>
          <t>FD %</t>
        </is>
      </c>
    </row>
    <row r="17">
      <c r="B17" s="10" t="inlineStr">
        <is>
          <t>Vikram Malhotra</t>
        </is>
      </c>
      <c r="C17" s="45" t="n">
        <v>1850000</v>
      </c>
      <c r="D17" s="45" t="n">
        <v>0</v>
      </c>
      <c r="E17" s="45" t="n">
        <v>0</v>
      </c>
      <c r="F17" s="45" t="n">
        <v>0</v>
      </c>
      <c r="G17" s="45" t="n">
        <v>1850000</v>
      </c>
      <c r="H17" s="46" t="n">
        <v>30.08</v>
      </c>
    </row>
    <row r="18">
      <c r="B18" s="12" t="inlineStr">
        <is>
          <t>Sunita Malhotra</t>
        </is>
      </c>
      <c r="C18" s="43" t="n">
        <v>900000</v>
      </c>
      <c r="D18" s="43" t="n">
        <v>0</v>
      </c>
      <c r="E18" s="43" t="n">
        <v>0</v>
      </c>
      <c r="F18" s="43" t="n">
        <v>0</v>
      </c>
      <c r="G18" s="43" t="n">
        <v>900000</v>
      </c>
      <c r="H18" s="47" t="n">
        <v>14.63</v>
      </c>
    </row>
    <row r="19">
      <c r="B19" s="10" t="inlineStr">
        <is>
          <t>Rohan Malhotra</t>
        </is>
      </c>
      <c r="C19" s="45" t="n">
        <v>550000</v>
      </c>
      <c r="D19" s="45" t="n">
        <v>0</v>
      </c>
      <c r="E19" s="45" t="n">
        <v>0</v>
      </c>
      <c r="F19" s="45" t="n">
        <v>0</v>
      </c>
      <c r="G19" s="45" t="n">
        <v>550000</v>
      </c>
      <c r="H19" s="46" t="n">
        <v>8.94</v>
      </c>
    </row>
    <row r="20">
      <c r="B20" s="12" t="inlineStr">
        <is>
          <t>Malhotra Family Trust</t>
        </is>
      </c>
      <c r="C20" s="43" t="n">
        <v>400000</v>
      </c>
      <c r="D20" s="43" t="n">
        <v>0</v>
      </c>
      <c r="E20" s="43" t="n">
        <v>0</v>
      </c>
      <c r="F20" s="43" t="n">
        <v>0</v>
      </c>
      <c r="G20" s="43" t="n">
        <v>400000</v>
      </c>
      <c r="H20" s="47" t="n">
        <v>6.5</v>
      </c>
    </row>
    <row r="21">
      <c r="B21" s="10" t="inlineStr">
        <is>
          <t>Orchid Growth Ventures LLP</t>
        </is>
      </c>
      <c r="C21" s="45" t="n">
        <v>600000</v>
      </c>
      <c r="D21" s="45" t="n">
        <v>500000</v>
      </c>
      <c r="E21" s="45" t="n">
        <v>0</v>
      </c>
      <c r="F21" s="45" t="n">
        <v>0</v>
      </c>
      <c r="G21" s="45" t="n">
        <v>1100000</v>
      </c>
      <c r="H21" s="46" t="n">
        <v>17.89</v>
      </c>
    </row>
    <row r="22">
      <c r="B22" s="12" t="inlineStr">
        <is>
          <t>Meridian Capital Partners Fund II</t>
        </is>
      </c>
      <c r="C22" s="43" t="n">
        <v>0</v>
      </c>
      <c r="D22" s="43" t="n">
        <v>250000</v>
      </c>
      <c r="E22" s="43" t="n">
        <v>0</v>
      </c>
      <c r="F22" s="43" t="n">
        <v>0</v>
      </c>
      <c r="G22" s="43" t="n">
        <v>250000</v>
      </c>
      <c r="H22" s="47" t="n">
        <v>4.07</v>
      </c>
    </row>
    <row r="23">
      <c r="B23" s="10" t="inlineStr">
        <is>
          <t>Anand Deshpande</t>
        </is>
      </c>
      <c r="C23" s="45" t="n">
        <v>350000</v>
      </c>
      <c r="D23" s="45" t="n">
        <v>0</v>
      </c>
      <c r="E23" s="45" t="n">
        <v>150000</v>
      </c>
      <c r="F23" s="45" t="n">
        <v>0</v>
      </c>
      <c r="G23" s="45" t="n">
        <v>500000</v>
      </c>
      <c r="H23" s="46" t="n">
        <v>8.130000000000001</v>
      </c>
    </row>
    <row r="24">
      <c r="B24" s="12" t="inlineStr">
        <is>
          <t>Vanraj Employees Welfare Trust</t>
        </is>
      </c>
      <c r="C24" s="43" t="n">
        <v>200000</v>
      </c>
      <c r="D24" s="43" t="n">
        <v>0</v>
      </c>
      <c r="E24" s="43" t="n">
        <v>0</v>
      </c>
      <c r="F24" s="43" t="n">
        <v>0</v>
      </c>
      <c r="G24" s="43" t="n">
        <v>200000</v>
      </c>
      <c r="H24" s="47" t="n">
        <v>3.25</v>
      </c>
    </row>
    <row r="25">
      <c r="B25" s="10" t="inlineStr">
        <is>
          <t>Employees (ESOP 2022 holders, 38 employees)</t>
        </is>
      </c>
      <c r="C25" s="45" t="n">
        <v>0</v>
      </c>
      <c r="D25" s="45" t="n">
        <v>0</v>
      </c>
      <c r="E25" s="45" t="n">
        <v>0</v>
      </c>
      <c r="F25" s="45" t="n">
        <v>250000</v>
      </c>
      <c r="G25" s="45" t="n">
        <v>250000</v>
      </c>
      <c r="H25" s="46" t="n">
        <v>4.07</v>
      </c>
    </row>
    <row r="26">
      <c r="B26" s="12" t="inlineStr">
        <is>
          <t>Kavita Bhargava</t>
        </is>
      </c>
      <c r="C26" s="43" t="n">
        <v>80000</v>
      </c>
      <c r="D26" s="43" t="n">
        <v>0</v>
      </c>
      <c r="E26" s="43" t="n">
        <v>0</v>
      </c>
      <c r="F26" s="43" t="n">
        <v>0</v>
      </c>
      <c r="G26" s="43" t="n">
        <v>80000</v>
      </c>
      <c r="H26" s="47" t="n">
        <v>1.3</v>
      </c>
    </row>
    <row r="27">
      <c r="B27" s="10" t="inlineStr">
        <is>
          <t>Sameer Kulkarni</t>
        </is>
      </c>
      <c r="C27" s="45" t="n">
        <v>45000</v>
      </c>
      <c r="D27" s="45" t="n">
        <v>0</v>
      </c>
      <c r="E27" s="45" t="n">
        <v>0</v>
      </c>
      <c r="F27" s="45" t="n">
        <v>0</v>
      </c>
      <c r="G27" s="45" t="n">
        <v>45000</v>
      </c>
      <c r="H27" s="46" t="n">
        <v>0.73</v>
      </c>
    </row>
    <row r="28">
      <c r="B28" s="12" t="inlineStr">
        <is>
          <t>Other individual shareholders</t>
        </is>
      </c>
      <c r="C28" s="43" t="n">
        <v>25000</v>
      </c>
      <c r="D28" s="43" t="n">
        <v>0</v>
      </c>
      <c r="E28" s="43" t="n">
        <v>0</v>
      </c>
      <c r="F28" s="43" t="n">
        <v>0</v>
      </c>
      <c r="G28" s="43" t="n">
        <v>25000</v>
      </c>
      <c r="H28" s="47" t="n">
        <v>0.41</v>
      </c>
    </row>
  </sheetData>
  <mergeCells count="4">
    <mergeCell ref="B3:G3"/>
    <mergeCell ref="B2:G2"/>
    <mergeCell ref="B5:G5"/>
    <mergeCell ref="B15:H15"/>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B2:G27"/>
  <sheetViews>
    <sheetView showGridLines="0" workbookViewId="0">
      <selection activeCell="A1" sqref="A1"/>
    </sheetView>
  </sheetViews>
  <sheetFormatPr baseColWidth="8" defaultRowHeight="15"/>
  <cols>
    <col width="3" customWidth="1" min="1" max="1"/>
    <col width="38" customWidth="1" min="2" max="2"/>
    <col width="24" customWidth="1" min="3" max="3"/>
    <col width="22" customWidth="1" min="4" max="4"/>
    <col width="18" customWidth="1" min="5" max="5"/>
    <col width="22" customWidth="1" min="6" max="6"/>
    <col width="35" customWidth="1" min="7" max="7"/>
  </cols>
  <sheetData>
    <row r="2" ht="24" customHeight="1">
      <c r="B2" s="6" t="inlineStr">
        <is>
          <t>VANRAJ FURNITURE INDUSTRIES PRIVATE LIMITED</t>
        </is>
      </c>
    </row>
    <row r="3" ht="22" customHeight="1">
      <c r="B3" s="7" t="inlineStr">
        <is>
          <t>Valuation Date: 2026-06-01   |   Fair value per equity share</t>
        </is>
      </c>
    </row>
    <row r="5" ht="22" customHeight="1">
      <c r="B5" s="8" t="inlineStr">
        <is>
          <t>VALUATION SUMMARY - FAIR VALUE PER EQUITY SHARE</t>
        </is>
      </c>
    </row>
    <row r="6" ht="28" customHeight="1">
      <c r="B6" s="9" t="inlineStr">
        <is>
          <t>Method</t>
        </is>
      </c>
      <c r="C6" s="9" t="inlineStr">
        <is>
          <t>Approach</t>
        </is>
      </c>
      <c r="D6" s="9" t="inlineStr">
        <is>
          <t>Indicated Value per Share (Rs.)</t>
        </is>
      </c>
      <c r="E6" s="9" t="inlineStr">
        <is>
          <t>Weight Assigned</t>
        </is>
      </c>
      <c r="F6" s="9" t="inlineStr">
        <is>
          <t>Weighted Value (Rs.)</t>
        </is>
      </c>
      <c r="G6" s="9" t="inlineStr">
        <is>
          <t>Comment</t>
        </is>
      </c>
    </row>
    <row r="7">
      <c r="B7" s="10" t="inlineStr">
        <is>
          <t>DCF</t>
        </is>
      </c>
      <c r="C7" s="10" t="inlineStr">
        <is>
          <t>Income Approach</t>
        </is>
      </c>
      <c r="D7" s="48" t="n">
        <v>193.98</v>
      </c>
      <c r="E7" s="11" t="n">
        <v>0.5</v>
      </c>
      <c r="F7" s="38" t="n">
        <v>96.98999999999999</v>
      </c>
      <c r="G7" s="10" t="inlineStr"/>
    </row>
    <row r="8">
      <c r="B8" s="12" t="inlineStr">
        <is>
          <t>NAV</t>
        </is>
      </c>
      <c r="C8" s="12" t="inlineStr">
        <is>
          <t>Asset Approach</t>
        </is>
      </c>
      <c r="D8" s="49" t="n">
        <v>73.79000000000001</v>
      </c>
      <c r="E8" s="13" t="n">
        <v>0.5</v>
      </c>
      <c r="F8" s="40" t="n">
        <v>36.895</v>
      </c>
      <c r="G8" s="12" t="inlineStr"/>
    </row>
    <row r="9">
      <c r="B9" s="50" t="inlineStr">
        <is>
          <t>Total</t>
        </is>
      </c>
      <c r="C9" s="10" t="n"/>
      <c r="D9" s="10" t="n"/>
      <c r="E9" s="51">
        <f>SUM(E7:E8)</f>
        <v/>
      </c>
      <c r="F9" s="52">
        <f>SUM(F7:F8)</f>
        <v/>
      </c>
      <c r="G9" s="10" t="n"/>
    </row>
    <row r="11">
      <c r="B11" s="53" t="inlineStr">
        <is>
          <t>Fair Value per Equity Share (Rs.)</t>
        </is>
      </c>
      <c r="D11" s="54" t="n">
        <v>133.88</v>
      </c>
    </row>
    <row r="14" ht="22" customHeight="1">
      <c r="B14" s="8" t="inlineStr">
        <is>
          <t>BASIS FOR WEIGHTS ASSIGNED</t>
        </is>
      </c>
    </row>
    <row r="15">
      <c r="B15" s="55" t="inlineStr">
        <is>
          <t>The weighting of valuation methods is a matter of professional judgement. The generated working reflects the weights selected in the application. The final report should document the rationale for the relative reliability of each method having regard to the Company's circumstances, quality of data, purpose of valuation and valuation standards.</t>
        </is>
      </c>
    </row>
    <row r="16"/>
    <row r="17"/>
    <row r="18"/>
    <row r="19"/>
    <row r="20"/>
    <row r="21"/>
    <row r="23" ht="22" customHeight="1">
      <c r="B23" s="8" t="inlineStr">
        <is>
          <t>STATUS / CAVEATS</t>
        </is>
      </c>
    </row>
    <row r="24">
      <c r="B24" s="56" t="inlineStr">
        <is>
          <t>System output status: DRAFT_ONLY_REVIEW_PENDING. Final issuance remains subject to Registered Valuer review.</t>
        </is>
      </c>
    </row>
    <row r="25"/>
    <row r="26"/>
    <row r="27"/>
  </sheetData>
  <mergeCells count="7">
    <mergeCell ref="B3:G3"/>
    <mergeCell ref="B2:G2"/>
    <mergeCell ref="B5:G5"/>
    <mergeCell ref="B14:G14"/>
    <mergeCell ref="B24:G27"/>
    <mergeCell ref="B15:G21"/>
    <mergeCell ref="B23:G23"/>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B2:I36"/>
  <sheetViews>
    <sheetView showGridLines="0" workbookViewId="0">
      <selection activeCell="A1" sqref="A1"/>
    </sheetView>
  </sheetViews>
  <sheetFormatPr baseColWidth="8" defaultRowHeight="15"/>
  <cols>
    <col width="3" customWidth="1" min="1" max="1"/>
    <col width="20" customWidth="1" min="2" max="2"/>
    <col width="15" customWidth="1" min="3" max="3"/>
    <col width="28" customWidth="1" min="4" max="4"/>
    <col width="18" customWidth="1" min="5" max="5"/>
    <col width="10" customWidth="1" min="6" max="6"/>
    <col width="30" customWidth="1" min="7" max="7"/>
    <col width="25" customWidth="1" min="8" max="8"/>
    <col width="45" customWidth="1" min="9" max="9"/>
  </cols>
  <sheetData>
    <row r="2" ht="24" customHeight="1">
      <c r="B2" s="6" t="inlineStr">
        <is>
          <t>VANRAJ FURNITURE INDUSTRIES PRIVATE LIMITED</t>
        </is>
      </c>
    </row>
    <row r="3" ht="22" customHeight="1">
      <c r="B3" s="7" t="inlineStr">
        <is>
          <t>Data validation and Registered Valuer review status</t>
        </is>
      </c>
    </row>
    <row r="5" ht="22" customHeight="1">
      <c r="B5" s="8" t="inlineStr">
        <is>
          <t>REVIEW SUMMARY</t>
        </is>
      </c>
    </row>
    <row r="6">
      <c r="B6" t="inlineStr">
        <is>
          <t>Total Review Items</t>
        </is>
      </c>
      <c r="C6" t="n">
        <v>21</v>
      </c>
    </row>
    <row r="7">
      <c r="B7" t="inlineStr">
        <is>
          <t>Open Review Items</t>
        </is>
      </c>
      <c r="C7" t="n">
        <v>21</v>
      </c>
    </row>
    <row r="8">
      <c r="B8" t="inlineStr">
        <is>
          <t>Material Open Items</t>
        </is>
      </c>
      <c r="C8" t="n">
        <v>21</v>
      </c>
    </row>
    <row r="9">
      <c r="B9" t="inlineStr">
        <is>
          <t>Failed Financial Cross-checks</t>
        </is>
      </c>
      <c r="C9" t="n">
        <v>0</v>
      </c>
    </row>
    <row r="10">
      <c r="B10" t="inlineStr">
        <is>
          <t>Failed Capital Checks</t>
        </is>
      </c>
      <c r="C10" t="n">
        <v>0</v>
      </c>
    </row>
    <row r="11">
      <c r="B11" t="inlineStr">
        <is>
          <t>Data Ready for Valuation</t>
        </is>
      </c>
      <c r="C11" t="inlineStr">
        <is>
          <t>No</t>
        </is>
      </c>
    </row>
    <row r="12">
      <c r="B12" t="inlineStr">
        <is>
          <t>Final Report Ready</t>
        </is>
      </c>
      <c r="C12" t="inlineStr">
        <is>
          <t>No</t>
        </is>
      </c>
    </row>
    <row r="14" ht="22" customHeight="1">
      <c r="B14" s="8" t="inlineStr">
        <is>
          <t>REVIEW ITEMS</t>
        </is>
      </c>
    </row>
    <row r="15" ht="28" customHeight="1">
      <c r="B15" s="9" t="inlineStr">
        <is>
          <t>Status</t>
        </is>
      </c>
      <c r="C15" s="9" t="inlineStr">
        <is>
          <t>Material</t>
        </is>
      </c>
      <c r="D15" s="9" t="inlineStr">
        <is>
          <t>File</t>
        </is>
      </c>
      <c r="E15" s="9" t="inlineStr">
        <is>
          <t>Sheet</t>
        </is>
      </c>
      <c r="F15" s="9" t="inlineStr">
        <is>
          <t>Row</t>
        </is>
      </c>
      <c r="G15" s="9" t="inlineStr">
        <is>
          <t>Source Label</t>
        </is>
      </c>
      <c r="H15" s="9" t="inlineStr">
        <is>
          <t>Suggested Field</t>
        </is>
      </c>
      <c r="I15" s="9" t="inlineStr">
        <is>
          <t>Reason</t>
        </is>
      </c>
    </row>
    <row r="16">
      <c r="B16" s="10" t="inlineStr">
        <is>
          <t>pending</t>
        </is>
      </c>
      <c r="C16" s="10" t="inlineStr">
        <is>
          <t>Yes</t>
        </is>
      </c>
      <c r="D16" s="10" t="inlineStr">
        <is>
          <t>01_VFIPL_Provisional_Financials_01-Jun-2026.xlsx</t>
        </is>
      </c>
      <c r="E16" s="10" t="inlineStr">
        <is>
          <t>Notes</t>
        </is>
      </c>
      <c r="F16" s="10" t="n">
        <v>86</v>
      </c>
      <c r="G16" s="10" t="inlineStr">
        <is>
          <t>Other loans and advances</t>
        </is>
      </c>
      <c r="H16" s="10" t="inlineStr">
        <is>
          <t>long_term_loans_advances</t>
        </is>
      </c>
      <c r="I16" s="10" t="inlineStr">
        <is>
          <t>Fuzzy mapping requires review</t>
        </is>
      </c>
    </row>
    <row r="17">
      <c r="B17" s="12" t="inlineStr">
        <is>
          <t>pending</t>
        </is>
      </c>
      <c r="C17" s="12" t="inlineStr">
        <is>
          <t>Yes</t>
        </is>
      </c>
      <c r="D17" s="12" t="inlineStr">
        <is>
          <t>01_VFIPL_Provisional_Financials_01-Jun-2026.xlsx</t>
        </is>
      </c>
      <c r="E17" s="12" t="inlineStr">
        <is>
          <t>Cash Flow</t>
        </is>
      </c>
      <c r="F17" s="12" t="n">
        <v>26</v>
      </c>
      <c r="G17" s="12" t="inlineStr">
        <is>
          <t>Net cash from operating activities (A)</t>
        </is>
      </c>
      <c r="H17" s="12" t="inlineStr">
        <is>
          <t>cash_flow_from_operations</t>
        </is>
      </c>
      <c r="I17" s="12" t="inlineStr">
        <is>
          <t>Fuzzy mapping requires review</t>
        </is>
      </c>
    </row>
    <row r="18">
      <c r="B18" s="10" t="inlineStr">
        <is>
          <t>pending</t>
        </is>
      </c>
      <c r="C18" s="10" t="inlineStr">
        <is>
          <t>Yes</t>
        </is>
      </c>
      <c r="D18" s="10" t="inlineStr">
        <is>
          <t>01_VFIPL_Provisional_Financials_01-Jun-2026.xlsx</t>
        </is>
      </c>
      <c r="E18" s="10" t="inlineStr">
        <is>
          <t>Cash Flow</t>
        </is>
      </c>
      <c r="F18" s="10" t="n">
        <v>30</v>
      </c>
      <c r="G18" s="10" t="inlineStr">
        <is>
          <t>Net cash used in investing activities (B)</t>
        </is>
      </c>
      <c r="H18" s="10" t="inlineStr">
        <is>
          <t>cash_flow_from_investing</t>
        </is>
      </c>
      <c r="I18" s="10" t="inlineStr">
        <is>
          <t>Fuzzy mapping requires review</t>
        </is>
      </c>
    </row>
    <row r="19">
      <c r="B19" s="12" t="inlineStr">
        <is>
          <t>pending</t>
        </is>
      </c>
      <c r="C19" s="12" t="inlineStr">
        <is>
          <t>Yes</t>
        </is>
      </c>
      <c r="D19" s="12" t="inlineStr">
        <is>
          <t>01_VFIPL_Provisional_Financials_01-Jun-2026.xlsx</t>
        </is>
      </c>
      <c r="E19" s="12" t="inlineStr">
        <is>
          <t>Cash Flow</t>
        </is>
      </c>
      <c r="F19" s="12" t="n">
        <v>36</v>
      </c>
      <c r="G19" s="12" t="inlineStr">
        <is>
          <t>Net cash from / (used in) financing activities (C)</t>
        </is>
      </c>
      <c r="H19" s="12" t="inlineStr">
        <is>
          <t>cash_flow_from_financing</t>
        </is>
      </c>
      <c r="I19" s="12" t="inlineStr">
        <is>
          <t>Fuzzy mapping requires review</t>
        </is>
      </c>
    </row>
    <row r="20">
      <c r="B20" s="10" t="inlineStr">
        <is>
          <t>pending</t>
        </is>
      </c>
      <c r="C20" s="10" t="inlineStr">
        <is>
          <t>Yes</t>
        </is>
      </c>
      <c r="D20" s="10" t="inlineStr">
        <is>
          <t>02_VFIPL_Audited_Financials_FY2025-26.xlsx</t>
        </is>
      </c>
      <c r="E20" s="10" t="inlineStr">
        <is>
          <t>Notes</t>
        </is>
      </c>
      <c r="F20" s="10" t="n">
        <v>86</v>
      </c>
      <c r="G20" s="10" t="inlineStr">
        <is>
          <t>Other loans and advances</t>
        </is>
      </c>
      <c r="H20" s="10" t="inlineStr">
        <is>
          <t>long_term_loans_advances</t>
        </is>
      </c>
      <c r="I20" s="10" t="inlineStr">
        <is>
          <t>Fuzzy mapping requires review</t>
        </is>
      </c>
    </row>
    <row r="21">
      <c r="B21" s="12" t="inlineStr">
        <is>
          <t>pending</t>
        </is>
      </c>
      <c r="C21" s="12" t="inlineStr">
        <is>
          <t>Yes</t>
        </is>
      </c>
      <c r="D21" s="12" t="inlineStr">
        <is>
          <t>02_VFIPL_Audited_Financials_FY2025-26.xlsx</t>
        </is>
      </c>
      <c r="E21" s="12" t="inlineStr">
        <is>
          <t>Cash Flow</t>
        </is>
      </c>
      <c r="F21" s="12" t="n">
        <v>26</v>
      </c>
      <c r="G21" s="12" t="inlineStr">
        <is>
          <t>Net cash from operating activities (A)</t>
        </is>
      </c>
      <c r="H21" s="12" t="inlineStr">
        <is>
          <t>cash_flow_from_operations</t>
        </is>
      </c>
      <c r="I21" s="12" t="inlineStr">
        <is>
          <t>Fuzzy mapping requires review</t>
        </is>
      </c>
    </row>
    <row r="22">
      <c r="B22" s="10" t="inlineStr">
        <is>
          <t>pending</t>
        </is>
      </c>
      <c r="C22" s="10" t="inlineStr">
        <is>
          <t>Yes</t>
        </is>
      </c>
      <c r="D22" s="10" t="inlineStr">
        <is>
          <t>02_VFIPL_Audited_Financials_FY2025-26.xlsx</t>
        </is>
      </c>
      <c r="E22" s="10" t="inlineStr">
        <is>
          <t>Cash Flow</t>
        </is>
      </c>
      <c r="F22" s="10" t="n">
        <v>30</v>
      </c>
      <c r="G22" s="10" t="inlineStr">
        <is>
          <t>Net cash used in investing activities (B)</t>
        </is>
      </c>
      <c r="H22" s="10" t="inlineStr">
        <is>
          <t>cash_flow_from_investing</t>
        </is>
      </c>
      <c r="I22" s="10" t="inlineStr">
        <is>
          <t>Fuzzy mapping requires review</t>
        </is>
      </c>
    </row>
    <row r="23">
      <c r="B23" s="12" t="inlineStr">
        <is>
          <t>pending</t>
        </is>
      </c>
      <c r="C23" s="12" t="inlineStr">
        <is>
          <t>Yes</t>
        </is>
      </c>
      <c r="D23" s="12" t="inlineStr">
        <is>
          <t>02_VFIPL_Audited_Financials_FY2025-26.xlsx</t>
        </is>
      </c>
      <c r="E23" s="12" t="inlineStr">
        <is>
          <t>Cash Flow</t>
        </is>
      </c>
      <c r="F23" s="12" t="n">
        <v>36</v>
      </c>
      <c r="G23" s="12" t="inlineStr">
        <is>
          <t>Net cash from / (used in) financing activities (C)</t>
        </is>
      </c>
      <c r="H23" s="12" t="inlineStr">
        <is>
          <t>cash_flow_from_financing</t>
        </is>
      </c>
      <c r="I23" s="12" t="inlineStr">
        <is>
          <t>Fuzzy mapping requires review</t>
        </is>
      </c>
    </row>
    <row r="24">
      <c r="B24" s="10" t="inlineStr">
        <is>
          <t>pending</t>
        </is>
      </c>
      <c r="C24" s="10" t="inlineStr">
        <is>
          <t>Yes</t>
        </is>
      </c>
      <c r="D24" s="10" t="inlineStr">
        <is>
          <t>03_VFIPL_Audited_Financials_FY2024-25.xlsx</t>
        </is>
      </c>
      <c r="E24" s="10" t="inlineStr">
        <is>
          <t>Notes</t>
        </is>
      </c>
      <c r="F24" s="10" t="n">
        <v>86</v>
      </c>
      <c r="G24" s="10" t="inlineStr">
        <is>
          <t>Other loans and advances</t>
        </is>
      </c>
      <c r="H24" s="10" t="inlineStr">
        <is>
          <t>long_term_loans_advances</t>
        </is>
      </c>
      <c r="I24" s="10" t="inlineStr">
        <is>
          <t>Fuzzy mapping requires review</t>
        </is>
      </c>
    </row>
    <row r="25">
      <c r="B25" s="12" t="inlineStr">
        <is>
          <t>pending</t>
        </is>
      </c>
      <c r="C25" s="12" t="inlineStr">
        <is>
          <t>Yes</t>
        </is>
      </c>
      <c r="D25" s="12" t="inlineStr">
        <is>
          <t>03_VFIPL_Audited_Financials_FY2024-25.xlsx</t>
        </is>
      </c>
      <c r="E25" s="12" t="inlineStr">
        <is>
          <t>Cash Flow</t>
        </is>
      </c>
      <c r="F25" s="12" t="n">
        <v>26</v>
      </c>
      <c r="G25" s="12" t="inlineStr">
        <is>
          <t>Net cash from operating activities (A)</t>
        </is>
      </c>
      <c r="H25" s="12" t="inlineStr">
        <is>
          <t>cash_flow_from_operations</t>
        </is>
      </c>
      <c r="I25" s="12" t="inlineStr">
        <is>
          <t>Fuzzy mapping requires review</t>
        </is>
      </c>
    </row>
    <row r="26">
      <c r="B26" s="10" t="inlineStr">
        <is>
          <t>pending</t>
        </is>
      </c>
      <c r="C26" s="10" t="inlineStr">
        <is>
          <t>Yes</t>
        </is>
      </c>
      <c r="D26" s="10" t="inlineStr">
        <is>
          <t>03_VFIPL_Audited_Financials_FY2024-25.xlsx</t>
        </is>
      </c>
      <c r="E26" s="10" t="inlineStr">
        <is>
          <t>Cash Flow</t>
        </is>
      </c>
      <c r="F26" s="10" t="n">
        <v>30</v>
      </c>
      <c r="G26" s="10" t="inlineStr">
        <is>
          <t>Net cash used in investing activities (B)</t>
        </is>
      </c>
      <c r="H26" s="10" t="inlineStr">
        <is>
          <t>cash_flow_from_investing</t>
        </is>
      </c>
      <c r="I26" s="10" t="inlineStr">
        <is>
          <t>Fuzzy mapping requires review</t>
        </is>
      </c>
    </row>
    <row r="27">
      <c r="B27" s="12" t="inlineStr">
        <is>
          <t>pending</t>
        </is>
      </c>
      <c r="C27" s="12" t="inlineStr">
        <is>
          <t>Yes</t>
        </is>
      </c>
      <c r="D27" s="12" t="inlineStr">
        <is>
          <t>03_VFIPL_Audited_Financials_FY2024-25.xlsx</t>
        </is>
      </c>
      <c r="E27" s="12" t="inlineStr">
        <is>
          <t>Cash Flow</t>
        </is>
      </c>
      <c r="F27" s="12" t="n">
        <v>36</v>
      </c>
      <c r="G27" s="12" t="inlineStr">
        <is>
          <t>Net cash from / (used in) financing activities (C)</t>
        </is>
      </c>
      <c r="H27" s="12" t="inlineStr">
        <is>
          <t>cash_flow_from_financing</t>
        </is>
      </c>
      <c r="I27" s="12" t="inlineStr">
        <is>
          <t>Fuzzy mapping requires review</t>
        </is>
      </c>
    </row>
    <row r="28">
      <c r="B28" s="10" t="inlineStr">
        <is>
          <t>pending</t>
        </is>
      </c>
      <c r="C28" s="10" t="inlineStr">
        <is>
          <t>Yes</t>
        </is>
      </c>
      <c r="D28" s="10" t="inlineStr">
        <is>
          <t>04_VFIPL_Projected_Financials_FY2027-FY2031.xlsx</t>
        </is>
      </c>
      <c r="E28" s="10" t="inlineStr">
        <is>
          <t>Projected P&amp;L</t>
        </is>
      </c>
      <c r="F28" s="10" t="n">
        <v>18</v>
      </c>
      <c r="G28" s="10" t="inlineStr">
        <is>
          <t>Dividend (including tax, if any)</t>
        </is>
      </c>
      <c r="H28" s="10" t="inlineStr"/>
      <c r="I28" s="10" t="inlineStr">
        <is>
          <t>No confident canonical mapping</t>
        </is>
      </c>
    </row>
    <row r="29">
      <c r="B29" s="12" t="inlineStr">
        <is>
          <t>pending</t>
        </is>
      </c>
      <c r="C29" s="12" t="inlineStr">
        <is>
          <t>Yes</t>
        </is>
      </c>
      <c r="D29" s="12" t="inlineStr">
        <is>
          <t>04_VFIPL_Projected_Financials_FY2027-FY2031.xlsx</t>
        </is>
      </c>
      <c r="E29" s="12" t="inlineStr">
        <is>
          <t>Projected P&amp;L</t>
        </is>
      </c>
      <c r="F29" s="12" t="n">
        <v>19</v>
      </c>
      <c r="G29" s="12" t="inlineStr">
        <is>
          <t>Profit retained</t>
        </is>
      </c>
      <c r="H29" s="12" t="inlineStr"/>
      <c r="I29" s="12" t="inlineStr">
        <is>
          <t>No confident canonical mapping</t>
        </is>
      </c>
    </row>
    <row r="30">
      <c r="B30" s="10" t="inlineStr">
        <is>
          <t>pending</t>
        </is>
      </c>
      <c r="C30" s="10" t="inlineStr">
        <is>
          <t>Yes</t>
        </is>
      </c>
      <c r="D30" s="10" t="inlineStr">
        <is>
          <t>04_VFIPL_Projected_Financials_FY2027-FY2031.xlsx</t>
        </is>
      </c>
      <c r="E30" s="10" t="inlineStr">
        <is>
          <t>Projected Balance Sheet</t>
        </is>
      </c>
      <c r="F30" s="10" t="n">
        <v>6</v>
      </c>
      <c r="G30" s="10" t="inlineStr">
        <is>
          <t>Share capital (equity Rs. 500 Lakhs and CCPS Rs. 300 Lakhs)</t>
        </is>
      </c>
      <c r="H30" s="10" t="inlineStr"/>
      <c r="I30" s="10" t="inlineStr">
        <is>
          <t>No confident canonical mapping</t>
        </is>
      </c>
    </row>
    <row r="31">
      <c r="B31" s="12" t="inlineStr">
        <is>
          <t>pending</t>
        </is>
      </c>
      <c r="C31" s="12" t="inlineStr">
        <is>
          <t>Yes</t>
        </is>
      </c>
      <c r="D31" s="12" t="inlineStr">
        <is>
          <t>04_VFIPL_Projected_Financials_FY2027-FY2031.xlsx</t>
        </is>
      </c>
      <c r="E31" s="12" t="inlineStr">
        <is>
          <t>Projected Balance Sheet</t>
        </is>
      </c>
      <c r="F31" s="12" t="n">
        <v>29</v>
      </c>
      <c r="G31" s="12" t="inlineStr">
        <is>
          <t>Net debt (total borrowings less cash and bank balances)</t>
        </is>
      </c>
      <c r="H31" s="12" t="inlineStr"/>
      <c r="I31" s="12" t="inlineStr">
        <is>
          <t>No confident canonical mapping</t>
        </is>
      </c>
    </row>
    <row r="32">
      <c r="B32" s="10" t="inlineStr">
        <is>
          <t>pending</t>
        </is>
      </c>
      <c r="C32" s="10" t="inlineStr">
        <is>
          <t>Yes</t>
        </is>
      </c>
      <c r="D32" s="10" t="inlineStr">
        <is>
          <t>04_VFIPL_Projected_Financials_FY2027-FY2031.xlsx</t>
        </is>
      </c>
      <c r="E32" s="10" t="inlineStr">
        <is>
          <t>Projected Balance Sheet</t>
        </is>
      </c>
      <c r="F32" s="10" t="n">
        <v>31</v>
      </c>
      <c r="G32" s="10" t="inlineStr">
        <is>
          <t>Return on capital employed (EBIT / (shareholders' funds + borrowings))</t>
        </is>
      </c>
      <c r="H32" s="10" t="inlineStr"/>
      <c r="I32" s="10" t="inlineStr">
        <is>
          <t>No confident canonical mapping</t>
        </is>
      </c>
    </row>
    <row r="33">
      <c r="B33" s="12" t="inlineStr">
        <is>
          <t>pending</t>
        </is>
      </c>
      <c r="C33" s="12" t="inlineStr">
        <is>
          <t>Yes</t>
        </is>
      </c>
      <c r="D33" s="12" t="inlineStr">
        <is>
          <t>04_VFIPL_Projected_Financials_FY2027-FY2031.xlsx</t>
        </is>
      </c>
      <c r="E33" s="12" t="inlineStr">
        <is>
          <t>Projected Balance Sheet</t>
        </is>
      </c>
      <c r="F33" s="12" t="n">
        <v>18</v>
      </c>
      <c r="G33" s="12" t="inlineStr">
        <is>
          <t>Property, plant and equipment (net)</t>
        </is>
      </c>
      <c r="H33" s="12" t="inlineStr">
        <is>
          <t>property_plant_equipment</t>
        </is>
      </c>
      <c r="I33" s="12" t="inlineStr">
        <is>
          <t>Fuzzy mapping requires review</t>
        </is>
      </c>
    </row>
    <row r="34">
      <c r="B34" s="10" t="inlineStr">
        <is>
          <t>pending</t>
        </is>
      </c>
      <c r="C34" s="10" t="inlineStr">
        <is>
          <t>Yes</t>
        </is>
      </c>
      <c r="D34" s="10" t="inlineStr">
        <is>
          <t>04_VFIPL_Projected_Financials_FY2027-FY2031.xlsx</t>
        </is>
      </c>
      <c r="E34" s="10" t="inlineStr">
        <is>
          <t>Projected Cash Flow</t>
        </is>
      </c>
      <c r="F34" s="10" t="n">
        <v>20</v>
      </c>
      <c r="G34" s="10" t="inlineStr">
        <is>
          <t>Net cash from operating activities (A)</t>
        </is>
      </c>
      <c r="H34" s="10" t="inlineStr">
        <is>
          <t>cash_flow_from_operations</t>
        </is>
      </c>
      <c r="I34" s="10" t="inlineStr">
        <is>
          <t>Fuzzy mapping requires review</t>
        </is>
      </c>
    </row>
    <row r="35">
      <c r="B35" s="12" t="inlineStr">
        <is>
          <t>pending</t>
        </is>
      </c>
      <c r="C35" s="12" t="inlineStr">
        <is>
          <t>Yes</t>
        </is>
      </c>
      <c r="D35" s="12" t="inlineStr">
        <is>
          <t>04_VFIPL_Projected_Financials_FY2027-FY2031.xlsx</t>
        </is>
      </c>
      <c r="E35" s="12" t="inlineStr">
        <is>
          <t>Projected Cash Flow</t>
        </is>
      </c>
      <c r="F35" s="12" t="n">
        <v>24</v>
      </c>
      <c r="G35" s="12" t="inlineStr">
        <is>
          <t>Net cash used in investing activities (B)</t>
        </is>
      </c>
      <c r="H35" s="12" t="inlineStr">
        <is>
          <t>cash_flow_from_investing</t>
        </is>
      </c>
      <c r="I35" s="12" t="inlineStr">
        <is>
          <t>Fuzzy mapping requires review</t>
        </is>
      </c>
    </row>
    <row r="36">
      <c r="B36" s="10" t="inlineStr">
        <is>
          <t>pending</t>
        </is>
      </c>
      <c r="C36" s="10" t="inlineStr">
        <is>
          <t>Yes</t>
        </is>
      </c>
      <c r="D36" s="10" t="inlineStr">
        <is>
          <t>04_VFIPL_Projected_Financials_FY2027-FY2031.xlsx</t>
        </is>
      </c>
      <c r="E36" s="10" t="inlineStr">
        <is>
          <t>Projected Cash Flow</t>
        </is>
      </c>
      <c r="F36" s="10" t="n">
        <v>31</v>
      </c>
      <c r="G36" s="10" t="inlineStr">
        <is>
          <t>Net cash from / (used in) financing activities (C)</t>
        </is>
      </c>
      <c r="H36" s="10" t="inlineStr">
        <is>
          <t>cash_flow_from_financing</t>
        </is>
      </c>
      <c r="I36" s="10" t="inlineStr">
        <is>
          <t>Fuzzy mapping requires review</t>
        </is>
      </c>
    </row>
  </sheetData>
  <mergeCells count="4">
    <mergeCell ref="B3:H3"/>
    <mergeCell ref="B5:H5"/>
    <mergeCell ref="B2:H2"/>
    <mergeCell ref="B14:I14"/>
  </mergeCells>
  <pageMargins left="0.35" right="0.35" top="0.45" bottom="0.45" header="0.5" footer="0.5"/>
  <pageSetup orientation="landscape" fitToHeight="0" fitToWidth="1"/>
  <headerFooter>
    <oddHeader/>
    <oddFooter>&amp;LValuation Working - Private &amp; Confidential&amp;RRegistered Valuer Review Required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2026-09-04T19:15:31Z</dcterms:created>
  <dcterms:modified xmlns:dcterms="http://purl.org/dc/terms/" xmlns:xsi="http://www.w3.org/2001/XMLSchema-instance" xsi:type="dcterms:W3CDTF">2026-09-04T19:15:32Z</dcterms:modified>
</cp:coreProperties>
</file>