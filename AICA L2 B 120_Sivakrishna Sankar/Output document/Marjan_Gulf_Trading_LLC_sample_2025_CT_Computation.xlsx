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890" firstSheet="3" activeTab="0" autoFilterDateGrouping="1"/>
  </bookViews>
  <sheets>
    <sheet xmlns:r="http://schemas.openxmlformats.org/officeDocument/2006/relationships" name="Assumptions" sheetId="1" state="visible" r:id="rId1"/>
    <sheet xmlns:r="http://schemas.openxmlformats.org/officeDocument/2006/relationships" name="Calculation of CT" sheetId="2" state="visible" r:id="rId2"/>
    <sheet xmlns:r="http://schemas.openxmlformats.org/officeDocument/2006/relationships" name="Profit and Loss" sheetId="3" state="visible" r:id="rId3"/>
    <sheet xmlns:r="http://schemas.openxmlformats.org/officeDocument/2006/relationships" name="Balance Sheet" sheetId="4" state="visible" r:id="rId4"/>
    <sheet xmlns:r="http://schemas.openxmlformats.org/officeDocument/2006/relationships" name="Adjustments" sheetId="5" state="visible" r:id="rId5"/>
    <sheet xmlns:r="http://schemas.openxmlformats.org/officeDocument/2006/relationships" name="Disallowed Expenses" sheetId="6" state="visible" r:id="rId6"/>
    <sheet xmlns:r="http://schemas.openxmlformats.org/officeDocument/2006/relationships" name="Provision" sheetId="7" state="visible" r:id="rId7"/>
    <sheet xmlns:r="http://schemas.openxmlformats.org/officeDocument/2006/relationships" name="TB (AED)" sheetId="8" state="visible" r:id="rId8"/>
  </sheets>
  <definedNames>
    <definedName name="_xlnm.Print_Titles" localSheetId="1">'Calculation of CT'!$1:$8</definedName>
    <definedName name="_xlnm.Print_Area" localSheetId="1">'Calculation of CT'!$A$1:$I$74</definedName>
    <definedName name="_xlnm.Print_Area" localSheetId="2">'Profit and Loss'!$B$1:$D$33</definedName>
    <definedName name="_xlnm.Print_Area" localSheetId="3">'Balance Sheet'!$B$1:$D$30</definedName>
    <definedName name="_xlnm.Print_Titles" localSheetId="4">'Adjustments'!$5:$5</definedName>
    <definedName name="_xlnm.Print_Area" localSheetId="4">'Adjustments'!$A$1:$K$11</definedName>
    <definedName name="_xlnm.Print_Area" localSheetId="5">'Disallowed Expenses'!$A$1:$F$27</definedName>
    <definedName name="_xlnm.Print_Area" localSheetId="6">'Provision'!$A$1:$H$13</definedName>
    <definedName name="_xlnm.Print_Titles" localSheetId="7">'TB (AED)'!$5:$5</definedName>
    <definedName name="_xlnm.Print_Area" localSheetId="7">'TB (AED)'!$A$1:$O$53</definedName>
  </definedNames>
  <calcPr calcId="191028" fullCalcOnLoad="1"/>
</workbook>
</file>

<file path=xl/styles.xml><?xml version="1.0" encoding="utf-8"?>
<styleSheet xmlns="http://schemas.openxmlformats.org/spreadsheetml/2006/main">
  <numFmts count="5">
    <numFmt numFmtId="164" formatCode="_(* #,##0_);_(* \(#,##0\);_(* &quot;-&quot;??_);_(@_)"/>
    <numFmt numFmtId="165" formatCode="_-* #,##0.00_-;\-* #,##0.00_-;_-* &quot;-&quot;??_-;_-@_-"/>
    <numFmt numFmtId="166" formatCode="_ * #,##0.00_ ;_ * \-#,##0.00_ ;_ * &quot;-&quot;??_ ;_ @_ "/>
    <numFmt numFmtId="167" formatCode="0.000000"/>
    <numFmt numFmtId="168" formatCode="0.0%"/>
  </numFmts>
  <fonts count="44">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color rgb="FFFF0000"/>
      <sz val="10"/>
    </font>
    <font>
      <name val="Arial"/>
      <family val="2"/>
      <b val="1"/>
      <color theme="0"/>
      <sz val="10"/>
    </font>
    <font>
      <name val="Arial"/>
      <family val="2"/>
      <i val="1"/>
      <sz val="10"/>
    </font>
    <font>
      <name val="Arial"/>
      <family val="2"/>
      <b val="1"/>
      <sz val="10"/>
    </font>
    <font>
      <name val="Arial"/>
      <family val="2"/>
      <color theme="1"/>
      <sz val="10"/>
    </font>
    <font>
      <name val="Arial"/>
      <family val="2"/>
      <b val="1"/>
      <color theme="1"/>
      <sz val="10"/>
    </font>
    <font>
      <name val="Arial"/>
      <family val="2"/>
      <sz val="10"/>
    </font>
    <font>
      <name val="Arial"/>
      <family val="2"/>
      <i val="1"/>
      <sz val="8"/>
    </font>
    <font>
      <name val="Arial"/>
      <family val="2"/>
      <i val="1"/>
      <sz val="9"/>
    </font>
    <font>
      <name val="Arial"/>
      <family val="2"/>
      <b val="1"/>
      <color rgb="FFAE0405"/>
      <sz val="10"/>
    </font>
    <font>
      <name val="Arial"/>
      <family val="2"/>
      <b val="1"/>
      <i val="1"/>
      <color theme="0"/>
      <sz val="10"/>
    </font>
    <font>
      <name val="Arial"/>
      <family val="2"/>
      <b val="1"/>
      <sz val="11"/>
    </font>
    <font>
      <name val="Arial"/>
      <family val="2"/>
      <b val="1"/>
      <i val="1"/>
      <color rgb="FFFF0000"/>
      <sz val="8"/>
    </font>
    <font>
      <name val="Arial"/>
      <family val="2"/>
      <b val="1"/>
      <i val="1"/>
      <color theme="1"/>
      <sz val="10"/>
    </font>
    <font>
      <name val="Arial"/>
      <family val="2"/>
      <color theme="0"/>
      <sz val="10"/>
    </font>
    <font>
      <name val="Arial"/>
      <family val="2"/>
      <i val="1"/>
      <color rgb="FFFF0000"/>
      <sz val="8"/>
    </font>
    <font>
      <name val="Times New Roman"/>
      <family val="1"/>
      <color rgb="FF000000"/>
      <sz val="10"/>
    </font>
    <font>
      <name val="Times New Roman"/>
      <family val="1"/>
      <b val="1"/>
      <color theme="0"/>
      <sz val="11"/>
    </font>
    <font>
      <name val="Times New Roman"/>
      <family val="1"/>
      <color theme="0"/>
      <sz val="11"/>
    </font>
    <font>
      <name val="Times New Roman"/>
      <family val="1"/>
      <color rgb="FF000000"/>
      <sz val="11"/>
    </font>
    <font>
      <name val="Times New Roman"/>
      <family val="1"/>
      <b val="1"/>
      <color rgb="FF000000"/>
      <sz val="11"/>
    </font>
    <font>
      <name val="Times New Roman"/>
      <family val="1"/>
      <sz val="11"/>
    </font>
    <font>
      <name val="Gotham"/>
      <color rgb="FF000000"/>
      <sz val="10"/>
    </font>
    <font>
      <name val="Arial"/>
      <b val="1"/>
      <sz val="11"/>
    </font>
    <font>
      <name val="Arial"/>
      <i val="1"/>
      <sz val="9"/>
    </font>
    <font>
      <name val="Arial"/>
      <b val="1"/>
      <color rgb="00FFFFFF"/>
      <sz val="10"/>
    </font>
    <font>
      <name val="Arial"/>
      <color rgb="000000FF"/>
      <sz val="10"/>
    </font>
    <font>
      <name val="Arial"/>
      <sz val="9"/>
    </font>
    <font>
      <name val="Arial"/>
      <b val="1"/>
      <sz val="10"/>
    </font>
    <font>
      <name val="Arial"/>
      <i val="1"/>
      <sz val="10"/>
    </font>
    <font>
      <name val="Arial"/>
      <color rgb="00C00000"/>
      <sz val="10"/>
    </font>
    <font>
      <name val="Arial"/>
      <b val="1"/>
      <color rgb="00C00000"/>
      <sz val="10"/>
    </font>
    <font>
      <name val="Arial"/>
      <color rgb="007F7F7F"/>
      <sz val="9"/>
    </font>
  </fonts>
  <fills count="15">
    <fill>
      <patternFill/>
    </fill>
    <fill>
      <patternFill patternType="gray125"/>
    </fill>
    <fill>
      <patternFill patternType="solid">
        <fgColor rgb="FF92D050"/>
        <bgColor indexed="64"/>
      </patternFill>
    </fill>
    <fill>
      <patternFill patternType="solid">
        <fgColor rgb="FFFFFF00"/>
        <bgColor indexed="64"/>
      </patternFill>
    </fill>
    <fill>
      <patternFill patternType="solid">
        <fgColor rgb="FFFDC50A"/>
        <bgColor indexed="64"/>
      </patternFill>
    </fill>
    <fill>
      <patternFill patternType="solid">
        <fgColor rgb="FF283A4A"/>
        <bgColor indexed="64"/>
      </patternFill>
    </fill>
    <fill>
      <patternFill patternType="solid">
        <fgColor rgb="FFFF3300"/>
        <bgColor indexed="64"/>
      </patternFill>
    </fill>
    <fill>
      <patternFill patternType="solid">
        <fgColor theme="0"/>
        <bgColor indexed="64"/>
      </patternFill>
    </fill>
    <fill>
      <patternFill patternType="solid">
        <fgColor theme="5" tint="0.7999816888943144"/>
        <bgColor indexed="64"/>
      </patternFill>
    </fill>
    <fill>
      <patternFill patternType="solid">
        <fgColor rgb="FF002060"/>
        <bgColor indexed="64"/>
      </patternFill>
    </fill>
    <fill>
      <patternFill patternType="solid">
        <fgColor rgb="FFFFFFFF"/>
        <bgColor indexed="64"/>
      </patternFill>
    </fill>
    <fill>
      <patternFill patternType="solid">
        <fgColor rgb="00283A4A"/>
      </patternFill>
    </fill>
    <fill>
      <patternFill patternType="solid">
        <fgColor rgb="00FDC50A"/>
      </patternFill>
    </fill>
    <fill>
      <patternFill patternType="solid">
        <fgColor rgb="00E2EFDA"/>
      </patternFill>
    </fill>
    <fill>
      <patternFill patternType="solid">
        <fgColor rgb="00D9E1F2"/>
      </patternFill>
    </fill>
  </fills>
  <borders count="46">
    <border>
      <left/>
      <right/>
      <top/>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theme="0"/>
      </left>
      <right style="thin">
        <color theme="0"/>
      </right>
      <top/>
      <bottom style="thin">
        <color indexed="64"/>
      </bottom>
      <diagonal/>
    </border>
    <border>
      <left style="thin">
        <color theme="0"/>
      </left>
      <right style="thin">
        <color theme="0"/>
      </right>
      <top/>
      <bottom/>
      <diagonal/>
    </border>
    <border>
      <left style="thin">
        <color indexed="64"/>
      </left>
      <right style="medium">
        <color rgb="FFFFFFFF"/>
      </right>
      <top style="medium">
        <color rgb="FFFFFFFF"/>
      </top>
      <bottom/>
      <diagonal/>
    </border>
    <border>
      <left style="thin">
        <color indexed="64"/>
      </left>
      <right/>
      <top style="medium">
        <color rgb="FFFFFFFF"/>
      </top>
      <bottom/>
      <diagonal/>
    </border>
    <border>
      <left/>
      <right style="thin">
        <color indexed="64"/>
      </right>
      <top style="thin">
        <color indexed="64"/>
      </top>
      <bottom/>
      <diagonal/>
    </border>
    <border>
      <left/>
      <right/>
      <top style="medium">
        <color rgb="FFFFFFFF"/>
      </top>
      <bottom/>
      <diagonal/>
    </border>
    <border>
      <left/>
      <right style="medium">
        <color rgb="FFFFFFFF"/>
      </right>
      <top style="medium">
        <color rgb="FFFFFFFF"/>
      </top>
      <bottom/>
      <diagonal/>
    </border>
    <border>
      <left/>
      <right style="thin">
        <color indexed="64"/>
      </right>
      <top style="medium">
        <color rgb="FFFFFFFF"/>
      </top>
      <bottom/>
      <diagonal/>
    </border>
    <border>
      <left style="thin">
        <color indexed="64"/>
      </left>
      <right style="medium">
        <color rgb="FFFFFFFF"/>
      </right>
      <top style="thin">
        <color indexed="64"/>
      </top>
      <bottom/>
      <diagonal/>
    </border>
    <border>
      <left style="thin">
        <color theme="0"/>
      </left>
      <right/>
      <top/>
      <bottom/>
      <diagonal/>
    </border>
    <border>
      <left/>
      <right style="thin">
        <color theme="0"/>
      </right>
      <top/>
      <bottom/>
      <diagonal/>
    </border>
    <border>
      <left style="thin">
        <color indexed="64"/>
      </left>
      <right style="thin">
        <color indexed="64"/>
      </right>
      <top style="thin">
        <color indexed="64"/>
      </top>
      <bottom style="double">
        <color indexed="64"/>
      </bottom>
      <diagonal/>
    </border>
    <border>
      <left/>
      <right style="thin">
        <color indexed="64"/>
      </right>
      <top/>
      <bottom/>
      <diagonal/>
    </border>
    <border>
      <left style="medium">
        <color rgb="FFFFFFFF"/>
      </left>
      <right/>
      <top style="medium">
        <color rgb="FFFFFFFF"/>
      </top>
      <bottom style="thin">
        <color indexed="64"/>
      </bottom>
      <diagonal/>
    </border>
    <border>
      <left/>
      <right/>
      <top style="medium">
        <color rgb="FFFFFFFF"/>
      </top>
      <bottom style="thin">
        <color indexed="64"/>
      </bottom>
      <diagonal/>
    </border>
    <border>
      <left/>
      <right style="medium">
        <color rgb="FFFFFFFF"/>
      </right>
      <top style="medium">
        <color rgb="FFFFFFFF"/>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ECECEC"/>
      </bottom>
      <diagonal/>
    </border>
    <border>
      <left/>
      <right/>
      <top style="thin">
        <color rgb="FFECECEC"/>
      </top>
      <bottom style="thin">
        <color rgb="FFECECEC"/>
      </bottom>
      <diagonal/>
    </border>
    <border>
      <left/>
      <right/>
      <top style="thin">
        <color rgb="FFECECEC"/>
      </top>
      <bottom/>
      <diagonal/>
    </border>
    <border>
      <left/>
      <right/>
      <top style="thin">
        <color indexed="64"/>
      </top>
      <bottom style="double">
        <color indexed="64"/>
      </bottom>
      <diagonal/>
    </border>
    <border>
      <left/>
      <right/>
      <top/>
      <bottom style="medium">
        <color rgb="FFCCCCCC"/>
      </bottom>
      <diagonal/>
    </border>
    <border>
      <left style="thin">
        <color indexed="64"/>
      </left>
      <right style="thin">
        <color indexed="64"/>
      </right>
      <top style="medium">
        <color rgb="FFFFFFFF"/>
      </top>
      <bottom/>
      <diagonal/>
    </border>
    <border>
      <left style="thin">
        <color rgb="00999999"/>
      </left>
      <right style="thin">
        <color rgb="00999999"/>
      </right>
      <top style="thin">
        <color rgb="00999999"/>
      </top>
      <bottom style="thin">
        <color rgb="00999999"/>
      </bottom>
    </border>
    <border>
      <top style="thin">
        <color rgb="00999999"/>
      </top>
      <bottom style="thin">
        <color rgb="00999999"/>
      </bottom>
    </border>
  </borders>
  <cellStyleXfs count="26">
    <xf numFmtId="0" fontId="0" fillId="0" borderId="0"/>
    <xf numFmtId="43" fontId="17" fillId="0" borderId="0"/>
    <xf numFmtId="0" fontId="9" fillId="0" borderId="0"/>
    <xf numFmtId="165" fontId="9" fillId="0" borderId="0"/>
    <xf numFmtId="0" fontId="17" fillId="0" borderId="0"/>
    <xf numFmtId="43" fontId="17" fillId="0" borderId="0"/>
    <xf numFmtId="0" fontId="9" fillId="0" borderId="0"/>
    <xf numFmtId="166" fontId="17" fillId="0" borderId="0"/>
    <xf numFmtId="0" fontId="17" fillId="0" borderId="0"/>
    <xf numFmtId="0" fontId="9" fillId="0" borderId="0"/>
    <xf numFmtId="9" fontId="17" fillId="0" borderId="0"/>
    <xf numFmtId="0" fontId="9" fillId="0" borderId="0"/>
    <xf numFmtId="9" fontId="17" fillId="0" borderId="0"/>
    <xf numFmtId="43" fontId="17" fillId="0" borderId="0"/>
    <xf numFmtId="165" fontId="9" fillId="0" borderId="0"/>
    <xf numFmtId="0" fontId="1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xf numFmtId="43" fontId="27" fillId="0" borderId="0"/>
  </cellStyleXfs>
  <cellXfs count="349">
    <xf numFmtId="0" fontId="0" fillId="0" borderId="0" pivotButton="0" quotePrefix="0" xfId="0"/>
    <xf numFmtId="164" fontId="10" fillId="0" borderId="0" applyAlignment="1" pivotButton="0" quotePrefix="0" xfId="1">
      <alignment vertical="center"/>
    </xf>
    <xf numFmtId="164" fontId="10" fillId="0" borderId="0" applyAlignment="1" pivotButton="0" quotePrefix="0" xfId="1">
      <alignment horizontal="center" vertical="center"/>
    </xf>
    <xf numFmtId="164" fontId="14" fillId="0" borderId="0" applyAlignment="1" pivotButton="0" quotePrefix="0" xfId="1">
      <alignment horizontal="center" vertical="center"/>
    </xf>
    <xf numFmtId="164" fontId="14" fillId="0" borderId="0" applyAlignment="1" pivotButton="0" quotePrefix="0" xfId="1">
      <alignment vertical="center"/>
    </xf>
    <xf numFmtId="164" fontId="14" fillId="0" borderId="0" applyAlignment="1" pivotButton="0" quotePrefix="0" xfId="1">
      <alignment vertical="center"/>
    </xf>
    <xf numFmtId="164" fontId="11" fillId="0" borderId="0" applyAlignment="1" pivotButton="0" quotePrefix="0" xfId="1">
      <alignment vertical="center"/>
    </xf>
    <xf numFmtId="164" fontId="14" fillId="0" borderId="11" applyAlignment="1" pivotButton="0" quotePrefix="0" xfId="1">
      <alignment horizontal="center" vertical="center"/>
    </xf>
    <xf numFmtId="164" fontId="10" fillId="0" borderId="7" applyAlignment="1" pivotButton="0" quotePrefix="0" xfId="7">
      <alignment horizontal="center" vertical="center"/>
    </xf>
    <xf numFmtId="0" fontId="16" fillId="0" borderId="8" applyAlignment="1" pivotButton="0" quotePrefix="0" xfId="8">
      <alignment vertical="center" wrapText="1"/>
    </xf>
    <xf numFmtId="0" fontId="16" fillId="0" borderId="9" applyAlignment="1" pivotButton="0" quotePrefix="0" xfId="8">
      <alignment vertical="center" wrapText="1"/>
    </xf>
    <xf numFmtId="164" fontId="14" fillId="0" borderId="1" applyAlignment="1" pivotButton="0" quotePrefix="0" xfId="1">
      <alignment horizontal="left" vertical="center"/>
    </xf>
    <xf numFmtId="164" fontId="10" fillId="0" borderId="5" applyAlignment="1" pivotButton="0" quotePrefix="0" xfId="1">
      <alignment horizontal="left" vertical="center"/>
    </xf>
    <xf numFmtId="164" fontId="10" fillId="0" borderId="1" applyAlignment="1" pivotButton="0" quotePrefix="0" xfId="1">
      <alignment horizontal="left" vertical="center"/>
    </xf>
    <xf numFmtId="164" fontId="10" fillId="0" borderId="7" applyAlignment="1" pivotButton="0" quotePrefix="0" xfId="7">
      <alignment vertical="center"/>
    </xf>
    <xf numFmtId="0" fontId="10" fillId="0" borderId="9" applyAlignment="1" pivotButton="0" quotePrefix="0" xfId="8">
      <alignment horizontal="justify" vertical="center" wrapText="1"/>
    </xf>
    <xf numFmtId="0" fontId="10" fillId="0" borderId="6" applyAlignment="1" pivotButton="0" quotePrefix="0" xfId="8">
      <alignment horizontal="center" vertical="center"/>
    </xf>
    <xf numFmtId="164" fontId="10" fillId="0" borderId="3" applyAlignment="1" pivotButton="0" quotePrefix="0" xfId="7">
      <alignment vertical="center"/>
    </xf>
    <xf numFmtId="164" fontId="10" fillId="0" borderId="4" applyAlignment="1" pivotButton="0" quotePrefix="0" xfId="1">
      <alignment horizontal="left" vertical="center"/>
    </xf>
    <xf numFmtId="164" fontId="14" fillId="0" borderId="5" applyAlignment="1" pivotButton="0" quotePrefix="0" xfId="1">
      <alignment horizontal="left" vertical="center"/>
    </xf>
    <xf numFmtId="164" fontId="10" fillId="0" borderId="5" applyAlignment="1" pivotButton="0" quotePrefix="0" xfId="7">
      <alignment vertical="center"/>
    </xf>
    <xf numFmtId="0" fontId="10" fillId="0" borderId="8" applyAlignment="1" pivotButton="0" quotePrefix="0" xfId="8">
      <alignment horizontal="center" vertical="center"/>
    </xf>
    <xf numFmtId="164" fontId="10" fillId="0" borderId="17" applyAlignment="1" pivotButton="0" quotePrefix="0" xfId="7">
      <alignment vertical="center"/>
    </xf>
    <xf numFmtId="0" fontId="10" fillId="0" borderId="13" applyAlignment="1" pivotButton="0" quotePrefix="0" xfId="8">
      <alignment vertical="center"/>
    </xf>
    <xf numFmtId="164" fontId="10" fillId="0" borderId="18" applyAlignment="1" pivotButton="0" quotePrefix="0" xfId="7">
      <alignment vertical="center"/>
    </xf>
    <xf numFmtId="164" fontId="12" fillId="5" borderId="10" applyAlignment="1" pivotButton="0" quotePrefix="0" xfId="1">
      <alignment horizontal="left" vertical="center"/>
    </xf>
    <xf numFmtId="0" fontId="10" fillId="0" borderId="14" applyAlignment="1" pivotButton="0" quotePrefix="0" xfId="8">
      <alignment horizontal="center" vertical="center"/>
    </xf>
    <xf numFmtId="0" fontId="10" fillId="0" borderId="0" applyAlignment="1" pivotButton="0" quotePrefix="0" xfId="8">
      <alignment horizontal="center" vertical="center"/>
    </xf>
    <xf numFmtId="164" fontId="10" fillId="0" borderId="0" applyAlignment="1" pivotButton="0" quotePrefix="0" xfId="1">
      <alignment vertical="center"/>
    </xf>
    <xf numFmtId="164" fontId="10" fillId="0" borderId="1" applyAlignment="1" pivotButton="0" quotePrefix="0" xfId="7">
      <alignment vertical="center"/>
    </xf>
    <xf numFmtId="164" fontId="10" fillId="0" borderId="7" applyAlignment="1" pivotButton="0" quotePrefix="0" xfId="7">
      <alignment vertical="center"/>
    </xf>
    <xf numFmtId="164" fontId="10" fillId="0" borderId="0" applyAlignment="1" pivotButton="0" quotePrefix="0" xfId="7">
      <alignment vertical="center"/>
    </xf>
    <xf numFmtId="164" fontId="10" fillId="0" borderId="0" applyAlignment="1" pivotButton="0" quotePrefix="0" xfId="7">
      <alignment vertical="center"/>
    </xf>
    <xf numFmtId="0" fontId="16" fillId="0" borderId="12" applyAlignment="1" pivotButton="0" quotePrefix="0" xfId="8">
      <alignment vertical="center"/>
    </xf>
    <xf numFmtId="0" fontId="16" fillId="0" borderId="6" applyAlignment="1" pivotButton="0" quotePrefix="0" xfId="8">
      <alignment vertical="center"/>
    </xf>
    <xf numFmtId="0" fontId="16" fillId="0" borderId="0" applyAlignment="1" pivotButton="0" quotePrefix="0" xfId="8">
      <alignment horizontal="center" vertical="center"/>
    </xf>
    <xf numFmtId="0" fontId="16" fillId="0" borderId="7" applyAlignment="1" pivotButton="0" quotePrefix="0" xfId="8">
      <alignment vertical="center" wrapText="1"/>
    </xf>
    <xf numFmtId="164" fontId="10" fillId="0" borderId="0" applyAlignment="1" pivotButton="0" quotePrefix="0" xfId="7">
      <alignment vertical="center"/>
    </xf>
    <xf numFmtId="164" fontId="10" fillId="0" borderId="1" applyAlignment="1" pivotButton="0" quotePrefix="0" xfId="7">
      <alignment horizontal="center" vertical="center"/>
    </xf>
    <xf numFmtId="164" fontId="10" fillId="0" borderId="0" applyAlignment="1" pivotButton="0" quotePrefix="0" xfId="7">
      <alignment horizontal="left" vertical="center"/>
    </xf>
    <xf numFmtId="164" fontId="10" fillId="0" borderId="0" applyAlignment="1" pivotButton="0" quotePrefix="0" xfId="7">
      <alignment horizontal="left" vertical="center"/>
    </xf>
    <xf numFmtId="164" fontId="10" fillId="0" borderId="18" applyAlignment="1" pivotButton="0" quotePrefix="0" xfId="7">
      <alignment horizontal="center" vertical="center"/>
    </xf>
    <xf numFmtId="164" fontId="16" fillId="4" borderId="8" applyAlignment="1" pivotButton="0" quotePrefix="0" xfId="1">
      <alignment vertical="center"/>
    </xf>
    <xf numFmtId="164" fontId="16" fillId="4" borderId="6" applyAlignment="1" pivotButton="0" quotePrefix="0" xfId="1">
      <alignment vertical="center"/>
    </xf>
    <xf numFmtId="164" fontId="16" fillId="4" borderId="6" applyAlignment="1" pivotButton="0" quotePrefix="0" xfId="1">
      <alignment horizontal="center" vertical="center"/>
    </xf>
    <xf numFmtId="164" fontId="16" fillId="4" borderId="7" applyAlignment="1" pivotButton="0" quotePrefix="0" xfId="1">
      <alignment horizontal="center" vertical="center"/>
    </xf>
    <xf numFmtId="164" fontId="12" fillId="5" borderId="8" applyAlignment="1" pivotButton="0" quotePrefix="0" xfId="1">
      <alignment vertical="center"/>
    </xf>
    <xf numFmtId="164" fontId="12" fillId="5" borderId="13" applyAlignment="1" pivotButton="0" quotePrefix="0" xfId="1">
      <alignment vertical="center"/>
    </xf>
    <xf numFmtId="164" fontId="12" fillId="5" borderId="9" applyAlignment="1" pivotButton="0" quotePrefix="0" xfId="1">
      <alignment horizontal="center" vertical="center"/>
    </xf>
    <xf numFmtId="164" fontId="16" fillId="0" borderId="0" applyAlignment="1" pivotButton="0" quotePrefix="0" xfId="1">
      <alignment vertical="center"/>
    </xf>
    <xf numFmtId="164" fontId="16" fillId="0" borderId="0" applyAlignment="1" pivotButton="0" quotePrefix="0" xfId="1">
      <alignment horizontal="center" vertical="center"/>
    </xf>
    <xf numFmtId="0" fontId="12" fillId="5" borderId="8" applyAlignment="1" pivotButton="0" quotePrefix="0" xfId="8">
      <alignment horizontal="center" vertical="center" wrapText="1"/>
    </xf>
    <xf numFmtId="0" fontId="12" fillId="5" borderId="9" applyAlignment="1" pivotButton="0" quotePrefix="0" xfId="8">
      <alignment horizontal="left" vertical="center" wrapText="1"/>
    </xf>
    <xf numFmtId="0" fontId="12" fillId="5" borderId="6" applyAlignment="1" pivotButton="0" quotePrefix="0" xfId="8">
      <alignment horizontal="center" vertical="center"/>
    </xf>
    <xf numFmtId="0" fontId="12" fillId="5" borderId="10" applyAlignment="1" pivotButton="0" quotePrefix="0" xfId="8">
      <alignment horizontal="center" vertical="center" wrapText="1"/>
    </xf>
    <xf numFmtId="0" fontId="12" fillId="5" borderId="1" applyAlignment="1" pivotButton="0" quotePrefix="0" xfId="8">
      <alignment horizontal="center" vertical="center" wrapText="1"/>
    </xf>
    <xf numFmtId="0" fontId="10" fillId="0" borderId="0" applyAlignment="1" pivotButton="0" quotePrefix="0" xfId="8">
      <alignment vertical="center"/>
    </xf>
    <xf numFmtId="0" fontId="10" fillId="0" borderId="8" applyAlignment="1" pivotButton="0" quotePrefix="0" xfId="8">
      <alignment vertical="center"/>
    </xf>
    <xf numFmtId="0" fontId="10" fillId="0" borderId="9" applyAlignment="1" pivotButton="0" quotePrefix="0" xfId="8">
      <alignment vertical="center"/>
    </xf>
    <xf numFmtId="0" fontId="10" fillId="0" borderId="0" applyAlignment="1" pivotButton="0" quotePrefix="0" xfId="8">
      <alignment horizontal="left" vertical="center"/>
    </xf>
    <xf numFmtId="0" fontId="12" fillId="5" borderId="19" applyAlignment="1" pivotButton="0" quotePrefix="0" xfId="8">
      <alignment horizontal="center" vertical="center"/>
    </xf>
    <xf numFmtId="0" fontId="10" fillId="0" borderId="12" applyAlignment="1" pivotButton="0" quotePrefix="0" xfId="8">
      <alignment vertical="center"/>
    </xf>
    <xf numFmtId="0" fontId="10" fillId="0" borderId="13" applyAlignment="1" pivotButton="0" quotePrefix="0" xfId="8">
      <alignment horizontal="center" vertical="center"/>
    </xf>
    <xf numFmtId="0" fontId="14" fillId="2" borderId="8" applyAlignment="1" pivotButton="0" quotePrefix="0" xfId="8">
      <alignment horizontal="center" vertical="center"/>
    </xf>
    <xf numFmtId="0" fontId="14" fillId="2" borderId="9" applyAlignment="1" pivotButton="0" quotePrefix="0" xfId="8">
      <alignment vertical="center"/>
    </xf>
    <xf numFmtId="0" fontId="14" fillId="0" borderId="9" applyAlignment="1" pivotButton="0" quotePrefix="0" xfId="8">
      <alignment horizontal="center" vertical="center"/>
    </xf>
    <xf numFmtId="0" fontId="10" fillId="0" borderId="14" applyAlignment="1" pivotButton="0" quotePrefix="0" xfId="8">
      <alignment horizontal="center" vertical="center" wrapText="1"/>
    </xf>
    <xf numFmtId="0" fontId="10" fillId="0" borderId="9" applyAlignment="1" pivotButton="0" quotePrefix="0" xfId="8">
      <alignment horizontal="justify" vertical="center"/>
    </xf>
    <xf numFmtId="0" fontId="10" fillId="0" borderId="8" applyAlignment="1" pivotButton="0" quotePrefix="0" xfId="8">
      <alignment horizontal="center" vertical="center" wrapText="1"/>
    </xf>
    <xf numFmtId="0" fontId="10" fillId="0" borderId="15" applyAlignment="1" pivotButton="0" quotePrefix="0" xfId="8">
      <alignment horizontal="center" vertical="center"/>
    </xf>
    <xf numFmtId="0" fontId="10" fillId="0" borderId="9" applyAlignment="1" pivotButton="0" quotePrefix="0" xfId="8">
      <alignment horizontal="center" vertical="center"/>
    </xf>
    <xf numFmtId="0" fontId="10" fillId="0" borderId="16" applyAlignment="1" pivotButton="0" quotePrefix="0" xfId="8">
      <alignment horizontal="center" vertical="center"/>
    </xf>
    <xf numFmtId="0" fontId="10" fillId="0" borderId="6" applyAlignment="1" pivotButton="0" quotePrefix="0" xfId="8">
      <alignment horizontal="justify" vertical="center" wrapText="1"/>
    </xf>
    <xf numFmtId="0" fontId="14" fillId="0" borderId="9" applyAlignment="1" pivotButton="0" quotePrefix="0" xfId="8">
      <alignment horizontal="justify" vertical="center" wrapText="1"/>
    </xf>
    <xf numFmtId="0" fontId="14" fillId="2" borderId="9" applyAlignment="1" pivotButton="0" quotePrefix="0" xfId="8">
      <alignment horizontal="center" vertical="center"/>
    </xf>
    <xf numFmtId="0" fontId="12" fillId="6" borderId="8" applyAlignment="1" pivotButton="0" quotePrefix="0" xfId="8">
      <alignment horizontal="center" vertical="center"/>
    </xf>
    <xf numFmtId="0" fontId="12" fillId="6" borderId="9" applyAlignment="1" pivotButton="0" quotePrefix="0" xfId="8">
      <alignment vertical="center"/>
    </xf>
    <xf numFmtId="0" fontId="12" fillId="0" borderId="13" applyAlignment="1" pivotButton="0" quotePrefix="0" xfId="8">
      <alignment horizontal="center" vertical="center"/>
    </xf>
    <xf numFmtId="0" fontId="10" fillId="0" borderId="13" applyAlignment="1" pivotButton="0" quotePrefix="0" xfId="8">
      <alignment horizontal="justify" vertical="center"/>
    </xf>
    <xf numFmtId="0" fontId="10" fillId="0" borderId="0" applyAlignment="1" pivotButton="0" quotePrefix="0" xfId="8">
      <alignment vertical="center" wrapText="1"/>
    </xf>
    <xf numFmtId="0" fontId="10" fillId="0" borderId="6" applyAlignment="1" pivotButton="0" quotePrefix="0" xfId="8">
      <alignment horizontal="justify" vertical="center"/>
    </xf>
    <xf numFmtId="0" fontId="12" fillId="6" borderId="9" applyAlignment="1" pivotButton="0" quotePrefix="0" xfId="8">
      <alignment horizontal="center" vertical="center"/>
    </xf>
    <xf numFmtId="0" fontId="15" fillId="7" borderId="0" applyAlignment="1" pivotButton="0" quotePrefix="0" xfId="11">
      <alignment vertical="center"/>
    </xf>
    <xf numFmtId="0" fontId="12" fillId="5" borderId="14" applyAlignment="1" pivotButton="0" quotePrefix="0" xfId="8">
      <alignment horizontal="center" vertical="center" wrapText="1"/>
    </xf>
    <xf numFmtId="0" fontId="10" fillId="0" borderId="9" applyAlignment="1" pivotButton="0" quotePrefix="0" xfId="8">
      <alignment horizontal="left" vertical="center"/>
    </xf>
    <xf numFmtId="0" fontId="12" fillId="5" borderId="0" applyAlignment="1" pivotButton="0" quotePrefix="0" xfId="8">
      <alignment horizontal="center" vertical="center" wrapText="1"/>
    </xf>
    <xf numFmtId="0" fontId="12" fillId="5" borderId="6" applyAlignment="1" pivotButton="0" quotePrefix="0" xfId="8">
      <alignment horizontal="left" vertical="center" wrapText="1"/>
    </xf>
    <xf numFmtId="0" fontId="12" fillId="5" borderId="20" applyAlignment="1" pivotButton="0" quotePrefix="0" xfId="8">
      <alignment horizontal="center" vertical="center"/>
    </xf>
    <xf numFmtId="0" fontId="10" fillId="0" borderId="6" applyAlignment="1" pivotButton="0" quotePrefix="0" xfId="8">
      <alignment vertical="center"/>
    </xf>
    <xf numFmtId="0" fontId="13" fillId="0" borderId="9" applyAlignment="1" pivotButton="0" quotePrefix="0" xfId="8">
      <alignment horizontal="center" vertical="center"/>
    </xf>
    <xf numFmtId="9" fontId="12" fillId="5" borderId="10" applyAlignment="1" pivotButton="0" quotePrefix="0" xfId="12">
      <alignment horizontal="center" vertical="center"/>
    </xf>
    <xf numFmtId="0" fontId="15" fillId="0" borderId="0" applyAlignment="1" pivotButton="0" quotePrefix="0" xfId="11">
      <alignment vertical="center"/>
    </xf>
    <xf numFmtId="0" fontId="18" fillId="0" borderId="15" applyAlignment="1" pivotButton="0" quotePrefix="0" xfId="8">
      <alignment horizontal="center" vertical="center" wrapText="1"/>
    </xf>
    <xf numFmtId="0" fontId="12" fillId="5" borderId="21" applyAlignment="1" pivotButton="0" quotePrefix="0" xfId="0">
      <alignment horizontal="center" vertical="center" wrapText="1" readingOrder="1"/>
    </xf>
    <xf numFmtId="0" fontId="10" fillId="0" borderId="7" applyAlignment="1" pivotButton="0" quotePrefix="0" xfId="8">
      <alignment horizontal="center" vertical="center"/>
    </xf>
    <xf numFmtId="164" fontId="10" fillId="0" borderId="23" applyAlignment="1" pivotButton="0" quotePrefix="0" xfId="7">
      <alignment vertical="center"/>
    </xf>
    <xf numFmtId="0" fontId="15" fillId="0" borderId="0" applyAlignment="1" pivotButton="0" quotePrefix="0" xfId="19">
      <alignment vertical="center"/>
    </xf>
    <xf numFmtId="0" fontId="16" fillId="0" borderId="0" applyAlignment="1" pivotButton="0" quotePrefix="0" xfId="19">
      <alignment vertical="center"/>
    </xf>
    <xf numFmtId="164" fontId="15" fillId="0" borderId="0" applyAlignment="1" pivotButton="0" quotePrefix="0" xfId="1">
      <alignment vertical="center"/>
    </xf>
    <xf numFmtId="0" fontId="12" fillId="0" borderId="0" applyAlignment="1" pivotButton="0" quotePrefix="0" xfId="19">
      <alignment vertical="center"/>
    </xf>
    <xf numFmtId="164" fontId="20" fillId="0" borderId="0" applyAlignment="1" pivotButton="0" quotePrefix="0" xfId="1">
      <alignment vertical="center"/>
    </xf>
    <xf numFmtId="0" fontId="20" fillId="0" borderId="0" applyAlignment="1" pivotButton="0" quotePrefix="0" xfId="19">
      <alignment vertical="center"/>
    </xf>
    <xf numFmtId="0" fontId="20" fillId="0" borderId="0" applyAlignment="1" pivotButton="0" quotePrefix="0" xfId="19">
      <alignment horizontal="right" vertical="center"/>
    </xf>
    <xf numFmtId="0" fontId="12" fillId="0" borderId="0" applyAlignment="1" pivotButton="0" quotePrefix="0" xfId="19">
      <alignment horizontal="left" vertical="center"/>
    </xf>
    <xf numFmtId="0" fontId="12" fillId="0" borderId="0" applyAlignment="1" pivotButton="0" quotePrefix="0" xfId="19">
      <alignment vertical="center" wrapText="1"/>
    </xf>
    <xf numFmtId="0" fontId="15" fillId="7" borderId="0" applyAlignment="1" pivotButton="0" quotePrefix="0" xfId="20">
      <alignment vertical="center"/>
    </xf>
    <xf numFmtId="164" fontId="10" fillId="0" borderId="0" applyAlignment="1" pivotButton="0" quotePrefix="0" xfId="1">
      <alignment vertical="center"/>
    </xf>
    <xf numFmtId="0" fontId="15" fillId="0" borderId="0" applyAlignment="1" pivotButton="0" quotePrefix="0" xfId="20">
      <alignment vertical="center"/>
    </xf>
    <xf numFmtId="0" fontId="10" fillId="0" borderId="1" applyAlignment="1" pivotButton="0" quotePrefix="0" xfId="8">
      <alignment horizontal="left" vertical="center"/>
    </xf>
    <xf numFmtId="164" fontId="10" fillId="0" borderId="1" applyAlignment="1" pivotButton="0" quotePrefix="0" xfId="1">
      <alignment horizontal="center" vertical="center"/>
    </xf>
    <xf numFmtId="164" fontId="10" fillId="0" borderId="1" applyAlignment="1" pivotButton="0" quotePrefix="0" xfId="1">
      <alignment horizontal="left" vertical="center"/>
    </xf>
    <xf numFmtId="9" fontId="10" fillId="0" borderId="1" applyAlignment="1" pivotButton="0" quotePrefix="0" xfId="8">
      <alignment horizontal="center" vertical="center"/>
    </xf>
    <xf numFmtId="164" fontId="10" fillId="0" borderId="1" applyAlignment="1" pivotButton="0" quotePrefix="0" xfId="7">
      <alignment vertical="center"/>
    </xf>
    <xf numFmtId="164" fontId="10" fillId="0" borderId="0" applyAlignment="1" pivotButton="0" quotePrefix="0" xfId="1">
      <alignment vertical="center"/>
    </xf>
    <xf numFmtId="164" fontId="10" fillId="0" borderId="1" applyAlignment="1" pivotButton="0" quotePrefix="0" xfId="1">
      <alignment horizontal="left" vertical="center"/>
    </xf>
    <xf numFmtId="0" fontId="14" fillId="3" borderId="1" applyAlignment="1" pivotButton="0" quotePrefix="0" xfId="8">
      <alignment horizontal="left" vertical="center"/>
    </xf>
    <xf numFmtId="164" fontId="14" fillId="3" borderId="1" applyAlignment="1" pivotButton="0" quotePrefix="0" xfId="1">
      <alignment horizontal="center" vertical="center"/>
    </xf>
    <xf numFmtId="164" fontId="14" fillId="3" borderId="1" applyAlignment="1" pivotButton="0" quotePrefix="0" xfId="1">
      <alignment horizontal="left" vertical="center"/>
    </xf>
    <xf numFmtId="9" fontId="14" fillId="3" borderId="1" applyAlignment="1" pivotButton="0" quotePrefix="0" xfId="8">
      <alignment horizontal="center" vertical="center"/>
    </xf>
    <xf numFmtId="164" fontId="14" fillId="3" borderId="1" applyAlignment="1" pivotButton="0" quotePrefix="0" xfId="7">
      <alignment vertical="center"/>
    </xf>
    <xf numFmtId="0" fontId="14" fillId="0" borderId="0" applyAlignment="1" pivotButton="0" quotePrefix="0" xfId="8">
      <alignment vertical="center"/>
    </xf>
    <xf numFmtId="0" fontId="10" fillId="0" borderId="1" applyAlignment="1" pivotButton="0" quotePrefix="0" xfId="8">
      <alignment horizontal="center" vertical="center"/>
    </xf>
    <xf numFmtId="0" fontId="16" fillId="0" borderId="0" applyAlignment="1" pivotButton="0" quotePrefix="0" xfId="20">
      <alignment vertical="center"/>
    </xf>
    <xf numFmtId="165" fontId="14" fillId="0" borderId="0" applyAlignment="1" pivotButton="0" quotePrefix="0" xfId="8">
      <alignment vertical="center"/>
    </xf>
    <xf numFmtId="0" fontId="14" fillId="0" borderId="8" applyAlignment="1" pivotButton="0" quotePrefix="0" xfId="8">
      <alignment vertical="center"/>
    </xf>
    <xf numFmtId="0" fontId="14" fillId="0" borderId="9" applyAlignment="1" pivotButton="0" quotePrefix="0" xfId="8">
      <alignment vertical="center"/>
    </xf>
    <xf numFmtId="0" fontId="14" fillId="0" borderId="15" applyAlignment="1" pivotButton="0" quotePrefix="0" xfId="8">
      <alignment vertical="center"/>
    </xf>
    <xf numFmtId="164" fontId="14" fillId="8" borderId="1" applyAlignment="1" pivotButton="0" quotePrefix="0" xfId="7">
      <alignment vertical="center"/>
    </xf>
    <xf numFmtId="164" fontId="18" fillId="0" borderId="13" applyAlignment="1" pivotButton="0" quotePrefix="0" xfId="1">
      <alignment vertical="center"/>
    </xf>
    <xf numFmtId="0" fontId="10" fillId="0" borderId="23" applyAlignment="1" pivotButton="0" quotePrefix="0" xfId="8">
      <alignment horizontal="left" vertical="center"/>
    </xf>
    <xf numFmtId="164" fontId="19" fillId="0" borderId="2" applyAlignment="1" pivotButton="0" quotePrefix="0" xfId="1">
      <alignment horizontal="center" vertical="center"/>
    </xf>
    <xf numFmtId="164" fontId="10" fillId="0" borderId="7" applyAlignment="1" pivotButton="0" quotePrefix="0" xfId="8">
      <alignment horizontal="center" vertical="center"/>
    </xf>
    <xf numFmtId="164" fontId="14" fillId="4" borderId="0" applyAlignment="1" pivotButton="0" quotePrefix="0" xfId="1">
      <alignment vertical="center"/>
    </xf>
    <xf numFmtId="164" fontId="22" fillId="0" borderId="0" applyAlignment="1" pivotButton="0" quotePrefix="0" xfId="1">
      <alignment horizontal="left" vertical="center"/>
    </xf>
    <xf numFmtId="164" fontId="22" fillId="0" borderId="0" applyAlignment="1" pivotButton="0" quotePrefix="0" xfId="1">
      <alignment vertical="center"/>
    </xf>
    <xf numFmtId="0" fontId="16" fillId="7" borderId="0" applyAlignment="1" pivotButton="0" quotePrefix="0" xfId="11">
      <alignment vertical="center"/>
    </xf>
    <xf numFmtId="0" fontId="14" fillId="0" borderId="8" applyAlignment="1" pivotButton="0" quotePrefix="0" xfId="8">
      <alignment horizontal="center" vertical="center" wrapText="1"/>
    </xf>
    <xf numFmtId="0" fontId="14" fillId="0" borderId="0" applyAlignment="1" pivotButton="0" quotePrefix="0" xfId="8">
      <alignment vertical="center" wrapText="1"/>
    </xf>
    <xf numFmtId="164" fontId="14" fillId="0" borderId="7" applyAlignment="1" pivotButton="0" quotePrefix="0" xfId="7">
      <alignment vertical="center"/>
    </xf>
    <xf numFmtId="0" fontId="14" fillId="0" borderId="0" applyAlignment="1" pivotButton="0" quotePrefix="0" xfId="8">
      <alignment horizontal="left" vertical="center"/>
    </xf>
    <xf numFmtId="0" fontId="23" fillId="0" borderId="15" applyAlignment="1" pivotButton="0" quotePrefix="0" xfId="8">
      <alignment horizontal="center" vertical="center" wrapText="1"/>
    </xf>
    <xf numFmtId="164" fontId="14" fillId="0" borderId="0" applyAlignment="1" pivotButton="0" quotePrefix="0" xfId="1">
      <alignment horizontal="center" vertical="center"/>
    </xf>
    <xf numFmtId="0" fontId="12" fillId="5" borderId="27" applyAlignment="1" pivotButton="0" quotePrefix="0" xfId="0">
      <alignment horizontal="center" vertical="center" wrapText="1" readingOrder="1"/>
    </xf>
    <xf numFmtId="0" fontId="12" fillId="5" borderId="7" applyAlignment="1" pivotButton="0" quotePrefix="0" xfId="0">
      <alignment horizontal="center" vertical="center" wrapText="1" readingOrder="1"/>
    </xf>
    <xf numFmtId="0" fontId="14" fillId="0" borderId="1" applyAlignment="1" pivotButton="0" quotePrefix="0" xfId="0">
      <alignment vertical="center" wrapText="1"/>
    </xf>
    <xf numFmtId="0" fontId="10" fillId="0" borderId="1" applyAlignment="1" pivotButton="0" quotePrefix="0" xfId="0">
      <alignment horizontal="center" vertical="center" wrapText="1"/>
    </xf>
    <xf numFmtId="0" fontId="15" fillId="0" borderId="0" applyAlignment="1" pivotButton="0" quotePrefix="0" xfId="22">
      <alignment vertical="center"/>
    </xf>
    <xf numFmtId="0" fontId="12" fillId="0" borderId="0" applyAlignment="1" pivotButton="0" quotePrefix="0" xfId="22">
      <alignment vertical="center"/>
    </xf>
    <xf numFmtId="0" fontId="20" fillId="0" borderId="0" applyAlignment="1" pivotButton="0" quotePrefix="0" xfId="22">
      <alignment vertical="center"/>
    </xf>
    <xf numFmtId="0" fontId="20" fillId="0" borderId="0" applyAlignment="1" pivotButton="0" quotePrefix="0" xfId="22">
      <alignment horizontal="right" vertical="center"/>
    </xf>
    <xf numFmtId="0" fontId="24" fillId="0" borderId="0" applyAlignment="1" pivotButton="0" quotePrefix="0" xfId="23">
      <alignment horizontal="left" vertical="center"/>
    </xf>
    <xf numFmtId="0" fontId="15" fillId="0" borderId="0" applyAlignment="1" pivotButton="0" quotePrefix="0" xfId="23">
      <alignment vertical="center"/>
    </xf>
    <xf numFmtId="0" fontId="12" fillId="0" borderId="0" applyAlignment="1" pivotButton="0" quotePrefix="0" xfId="23">
      <alignment vertical="center"/>
    </xf>
    <xf numFmtId="0" fontId="12" fillId="0" borderId="29" applyAlignment="1" pivotButton="0" quotePrefix="0" xfId="23">
      <alignment vertical="center"/>
    </xf>
    <xf numFmtId="0" fontId="20" fillId="0" borderId="28" applyAlignment="1" pivotButton="0" quotePrefix="0" xfId="23">
      <alignment vertical="center"/>
    </xf>
    <xf numFmtId="0" fontId="20" fillId="0" borderId="0" applyAlignment="1" pivotButton="0" quotePrefix="0" xfId="23">
      <alignment vertical="center"/>
    </xf>
    <xf numFmtId="0" fontId="15" fillId="0" borderId="1" applyAlignment="1" pivotButton="0" quotePrefix="0" xfId="23">
      <alignment vertical="center"/>
    </xf>
    <xf numFmtId="0" fontId="15" fillId="0" borderId="1" applyAlignment="1" pivotButton="0" quotePrefix="0" xfId="23">
      <alignment horizontal="center" vertical="center"/>
    </xf>
    <xf numFmtId="43" fontId="16" fillId="0" borderId="0" applyAlignment="1" pivotButton="0" quotePrefix="0" xfId="1">
      <alignment vertical="center"/>
    </xf>
    <xf numFmtId="43" fontId="15" fillId="0" borderId="0" applyAlignment="1" pivotButton="0" quotePrefix="0" xfId="1">
      <alignment vertical="center"/>
    </xf>
    <xf numFmtId="43" fontId="14" fillId="0" borderId="0" applyAlignment="1" pivotButton="0" quotePrefix="0" xfId="1">
      <alignment vertical="center"/>
    </xf>
    <xf numFmtId="43" fontId="10" fillId="0" borderId="0" applyAlignment="1" pivotButton="0" quotePrefix="0" xfId="1">
      <alignment vertical="center"/>
    </xf>
    <xf numFmtId="43" fontId="12" fillId="5" borderId="27" applyAlignment="1" pivotButton="0" quotePrefix="0" xfId="1">
      <alignment horizontal="center" vertical="center" wrapText="1" readingOrder="1"/>
    </xf>
    <xf numFmtId="43" fontId="10" fillId="0" borderId="1" applyAlignment="1" pivotButton="0" quotePrefix="0" xfId="1">
      <alignment horizontal="center" vertical="center"/>
    </xf>
    <xf numFmtId="43" fontId="14" fillId="3" borderId="1" applyAlignment="1" pivotButton="0" quotePrefix="0" xfId="1">
      <alignment horizontal="center" vertical="center"/>
    </xf>
    <xf numFmtId="43" fontId="14" fillId="0" borderId="9" applyAlignment="1" pivotButton="0" quotePrefix="0" xfId="1">
      <alignment vertical="center"/>
    </xf>
    <xf numFmtId="43" fontId="10" fillId="0" borderId="0" applyAlignment="1" pivotButton="0" quotePrefix="0" xfId="1">
      <alignment vertical="center"/>
    </xf>
    <xf numFmtId="0" fontId="14" fillId="0" borderId="0" applyAlignment="1" pivotButton="0" quotePrefix="0" xfId="19">
      <alignment vertical="center"/>
    </xf>
    <xf numFmtId="43" fontId="14" fillId="0" borderId="0" applyAlignment="1" pivotButton="0" quotePrefix="0" xfId="19">
      <alignment vertical="center"/>
    </xf>
    <xf numFmtId="164" fontId="14" fillId="8" borderId="25" applyAlignment="1" pivotButton="0" quotePrefix="0" xfId="1">
      <alignment horizontal="center" vertical="center" wrapText="1" readingOrder="1"/>
    </xf>
    <xf numFmtId="0" fontId="14" fillId="8" borderId="25" applyAlignment="1" pivotButton="0" quotePrefix="0" xfId="0">
      <alignment horizontal="center" vertical="center" wrapText="1" readingOrder="1"/>
    </xf>
    <xf numFmtId="0" fontId="14" fillId="0" borderId="0" applyAlignment="1" pivotButton="0" quotePrefix="0" xfId="0">
      <alignment horizontal="center" vertical="center" wrapText="1"/>
    </xf>
    <xf numFmtId="0" fontId="0" fillId="0" borderId="0" applyAlignment="1" pivotButton="0" quotePrefix="0" xfId="0">
      <alignment wrapText="1"/>
    </xf>
    <xf numFmtId="0" fontId="14" fillId="0" borderId="1" pivotButton="0" quotePrefix="0" xfId="0"/>
    <xf numFmtId="0" fontId="0" fillId="0" borderId="1" applyAlignment="1" pivotButton="0" quotePrefix="0" xfId="0">
      <alignment wrapText="1"/>
    </xf>
    <xf numFmtId="164" fontId="10" fillId="0" borderId="31" applyAlignment="1" pivotButton="0" quotePrefix="0" xfId="7">
      <alignment vertical="center"/>
    </xf>
    <xf numFmtId="0" fontId="25" fillId="5" borderId="23" applyAlignment="1" pivotButton="0" quotePrefix="0" xfId="8">
      <alignment horizontal="left" vertical="center"/>
    </xf>
    <xf numFmtId="164" fontId="25" fillId="5" borderId="23" applyAlignment="1" pivotButton="0" quotePrefix="0" xfId="7">
      <alignment vertical="center"/>
    </xf>
    <xf numFmtId="164" fontId="12" fillId="5" borderId="30" applyAlignment="1" pivotButton="0" quotePrefix="0" xfId="7">
      <alignment vertical="center"/>
    </xf>
    <xf numFmtId="0" fontId="10" fillId="0" borderId="1" applyAlignment="1" pivotButton="0" quotePrefix="0" xfId="0">
      <alignment wrapText="1"/>
    </xf>
    <xf numFmtId="0" fontId="15" fillId="0" borderId="0" applyAlignment="1" pivotButton="0" quotePrefix="0" xfId="16">
      <alignment vertical="center"/>
    </xf>
    <xf numFmtId="0" fontId="14" fillId="4" borderId="0" applyAlignment="1" pivotButton="0" quotePrefix="0" xfId="0">
      <alignment horizontal="center" vertical="center"/>
    </xf>
    <xf numFmtId="0" fontId="12" fillId="0" borderId="0" applyAlignment="1" pivotButton="0" quotePrefix="0" xfId="16">
      <alignment horizontal="center" vertical="center"/>
    </xf>
    <xf numFmtId="0" fontId="12" fillId="0" borderId="0" applyAlignment="1" pivotButton="0" quotePrefix="0" xfId="16">
      <alignment vertical="center"/>
    </xf>
    <xf numFmtId="0" fontId="12" fillId="0" borderId="0" applyAlignment="1" pivotButton="0" quotePrefix="0" xfId="16">
      <alignment horizontal="left" vertical="center"/>
    </xf>
    <xf numFmtId="0" fontId="12" fillId="0" borderId="0" applyAlignment="1" pivotButton="0" quotePrefix="0" xfId="16">
      <alignment vertical="center" wrapText="1"/>
    </xf>
    <xf numFmtId="164" fontId="19" fillId="0" borderId="2" applyAlignment="1" pivotButton="0" quotePrefix="0" xfId="1">
      <alignment vertical="center"/>
    </xf>
    <xf numFmtId="0" fontId="10" fillId="0" borderId="1" applyAlignment="1" pivotButton="0" quotePrefix="0" xfId="8">
      <alignment horizontal="left" vertical="center" wrapText="1"/>
    </xf>
    <xf numFmtId="164" fontId="10" fillId="0" borderId="1" applyAlignment="1" pivotButton="0" quotePrefix="0" xfId="1">
      <alignment horizontal="right" vertical="center"/>
    </xf>
    <xf numFmtId="164" fontId="10" fillId="0" borderId="1" applyAlignment="1" pivotButton="0" quotePrefix="0" xfId="1">
      <alignment horizontal="right" vertical="center" wrapText="1"/>
    </xf>
    <xf numFmtId="164" fontId="10" fillId="0" borderId="1" applyAlignment="1" pivotButton="0" quotePrefix="0" xfId="1">
      <alignment horizontal="right" vertical="center" wrapText="1"/>
    </xf>
    <xf numFmtId="164" fontId="10" fillId="0" borderId="0" applyAlignment="1" pivotButton="0" quotePrefix="0" xfId="8">
      <alignment vertical="center"/>
    </xf>
    <xf numFmtId="164" fontId="12" fillId="5" borderId="1" applyAlignment="1" pivotButton="0" quotePrefix="0" xfId="1">
      <alignment horizontal="right" vertical="center" wrapText="1"/>
    </xf>
    <xf numFmtId="0" fontId="10" fillId="0" borderId="1" applyAlignment="1" pivotButton="0" quotePrefix="0" xfId="8">
      <alignment vertical="center"/>
    </xf>
    <xf numFmtId="164" fontId="14" fillId="8" borderId="1" applyAlignment="1" pivotButton="0" quotePrefix="0" xfId="1">
      <alignment horizontal="center" vertical="center" wrapText="1" readingOrder="1"/>
    </xf>
    <xf numFmtId="164" fontId="10" fillId="0" borderId="0" applyAlignment="1" pivotButton="0" quotePrefix="0" xfId="8">
      <alignment horizontal="center" vertical="center"/>
    </xf>
    <xf numFmtId="0" fontId="12" fillId="5" borderId="22" applyAlignment="1" pivotButton="0" quotePrefix="0" xfId="0">
      <alignment horizontal="center" vertical="center" wrapText="1" readingOrder="1"/>
    </xf>
    <xf numFmtId="0" fontId="12" fillId="5" borderId="1" applyAlignment="1" pivotButton="0" quotePrefix="0" xfId="0">
      <alignment horizontal="center" vertical="center" wrapText="1" readingOrder="1"/>
    </xf>
    <xf numFmtId="164" fontId="12" fillId="5" borderId="1" applyAlignment="1" pivotButton="0" quotePrefix="0" xfId="7">
      <alignment vertical="center"/>
    </xf>
    <xf numFmtId="0" fontId="25" fillId="5" borderId="1" applyAlignment="1" pivotButton="0" quotePrefix="0" xfId="8">
      <alignment horizontal="left" vertical="center"/>
    </xf>
    <xf numFmtId="0" fontId="10" fillId="0" borderId="0" pivotButton="0" quotePrefix="0" xfId="0"/>
    <xf numFmtId="164" fontId="0" fillId="0" borderId="0" pivotButton="0" quotePrefix="0" xfId="0"/>
    <xf numFmtId="164" fontId="14" fillId="0" borderId="0" pivotButton="0" quotePrefix="0" xfId="0"/>
    <xf numFmtId="0" fontId="14" fillId="0" borderId="1" applyAlignment="1" pivotButton="0" quotePrefix="0" xfId="8">
      <alignment horizontal="left" vertical="center"/>
    </xf>
    <xf numFmtId="0" fontId="12" fillId="5" borderId="32" applyAlignment="1" pivotButton="0" quotePrefix="0" xfId="0">
      <alignment vertical="center" wrapText="1" readingOrder="1"/>
    </xf>
    <xf numFmtId="0" fontId="12" fillId="5" borderId="33" applyAlignment="1" pivotButton="0" quotePrefix="0" xfId="0">
      <alignment vertical="center" wrapText="1" readingOrder="1"/>
    </xf>
    <xf numFmtId="0" fontId="12" fillId="5" borderId="34" applyAlignment="1" pivotButton="0" quotePrefix="0" xfId="0">
      <alignment vertical="center" wrapText="1" readingOrder="1"/>
    </xf>
    <xf numFmtId="0" fontId="10" fillId="0" borderId="15" applyAlignment="1" pivotButton="0" quotePrefix="0" xfId="8">
      <alignment vertical="center"/>
    </xf>
    <xf numFmtId="0" fontId="10" fillId="0" borderId="1" pivotButton="0" quotePrefix="0" xfId="0"/>
    <xf numFmtId="0" fontId="28" fillId="9" borderId="0" applyAlignment="1" pivotButton="0" quotePrefix="0" xfId="24">
      <alignment horizontal="left" vertical="top"/>
    </xf>
    <xf numFmtId="0" fontId="29" fillId="9" borderId="0" applyAlignment="1" pivotButton="0" quotePrefix="0" xfId="24">
      <alignment horizontal="left" vertical="top"/>
    </xf>
    <xf numFmtId="0" fontId="30" fillId="0" borderId="0" applyAlignment="1" pivotButton="0" quotePrefix="0" xfId="24">
      <alignment horizontal="left" vertical="top"/>
    </xf>
    <xf numFmtId="0" fontId="31" fillId="0" borderId="35" applyAlignment="1" pivotButton="0" quotePrefix="0" xfId="24">
      <alignment horizontal="left" vertical="top"/>
    </xf>
    <xf numFmtId="0" fontId="31" fillId="0" borderId="36" applyAlignment="1" pivotButton="0" quotePrefix="0" xfId="24">
      <alignment horizontal="left" vertical="top"/>
    </xf>
    <xf numFmtId="0" fontId="31" fillId="0" borderId="37" applyAlignment="1" pivotButton="0" quotePrefix="0" xfId="24">
      <alignment horizontal="left" vertical="top"/>
    </xf>
    <xf numFmtId="0" fontId="32" fillId="0" borderId="38" applyAlignment="1" pivotButton="0" quotePrefix="0" xfId="24">
      <alignment horizontal="left" vertical="top" indent="1"/>
    </xf>
    <xf numFmtId="43" fontId="30" fillId="0" borderId="0" applyAlignment="1" pivotButton="0" quotePrefix="0" xfId="25">
      <alignment horizontal="left" vertical="top"/>
    </xf>
    <xf numFmtId="43" fontId="30" fillId="0" borderId="0" applyAlignment="1" pivotButton="0" quotePrefix="0" xfId="24">
      <alignment horizontal="left" vertical="top"/>
    </xf>
    <xf numFmtId="165" fontId="30" fillId="0" borderId="0" applyAlignment="1" pivotButton="0" quotePrefix="0" xfId="24">
      <alignment horizontal="left" vertical="top"/>
    </xf>
    <xf numFmtId="0" fontId="32" fillId="0" borderId="39" applyAlignment="1" pivotButton="0" quotePrefix="0" xfId="24">
      <alignment horizontal="left" vertical="top" indent="1"/>
    </xf>
    <xf numFmtId="0" fontId="30" fillId="0" borderId="39" applyAlignment="1" pivotButton="0" quotePrefix="0" xfId="24">
      <alignment horizontal="left" vertical="top" indent="1"/>
    </xf>
    <xf numFmtId="0" fontId="32" fillId="0" borderId="38" applyAlignment="1" pivotButton="0" quotePrefix="0" xfId="24">
      <alignment horizontal="left" vertical="top" wrapText="1" indent="1"/>
    </xf>
    <xf numFmtId="0" fontId="32" fillId="0" borderId="39" applyAlignment="1" pivotButton="0" quotePrefix="0" xfId="24">
      <alignment horizontal="left" vertical="top" wrapText="1" indent="1"/>
    </xf>
    <xf numFmtId="0" fontId="32" fillId="0" borderId="40" applyAlignment="1" pivotButton="0" quotePrefix="0" xfId="24">
      <alignment horizontal="left" vertical="top" wrapText="1" indent="1"/>
    </xf>
    <xf numFmtId="0" fontId="32" fillId="0" borderId="0" applyAlignment="1" pivotButton="0" quotePrefix="0" xfId="24">
      <alignment horizontal="left" vertical="top" wrapText="1" indent="1"/>
    </xf>
    <xf numFmtId="43" fontId="31" fillId="0" borderId="41" applyAlignment="1" pivotButton="0" quotePrefix="0" xfId="25">
      <alignment horizontal="left" vertical="top"/>
    </xf>
    <xf numFmtId="0" fontId="14" fillId="0" borderId="0" pivotButton="0" quotePrefix="0" xfId="0"/>
    <xf numFmtId="43" fontId="0" fillId="0" borderId="0" pivotButton="0" quotePrefix="0" xfId="1"/>
    <xf numFmtId="0" fontId="0" fillId="0" borderId="1" pivotButton="0" quotePrefix="0" xfId="0"/>
    <xf numFmtId="43" fontId="0" fillId="0" borderId="1" pivotButton="0" quotePrefix="0" xfId="1"/>
    <xf numFmtId="43" fontId="14" fillId="0" borderId="1" applyAlignment="1" pivotButton="0" quotePrefix="0" xfId="1">
      <alignment horizontal="center"/>
    </xf>
    <xf numFmtId="43" fontId="14" fillId="0" borderId="1" pivotButton="0" quotePrefix="0" xfId="1"/>
    <xf numFmtId="0" fontId="14" fillId="0" borderId="1" applyAlignment="1" pivotButton="0" quotePrefix="0" xfId="8">
      <alignment horizontal="justify" vertical="center" wrapText="1"/>
    </xf>
    <xf numFmtId="43" fontId="10" fillId="0" borderId="0" applyAlignment="1" pivotButton="0" quotePrefix="0" xfId="8">
      <alignment horizontal="left" vertical="center"/>
    </xf>
    <xf numFmtId="164" fontId="10" fillId="0" borderId="0" applyAlignment="1" pivotButton="0" quotePrefix="0" xfId="7">
      <alignment vertical="center"/>
    </xf>
    <xf numFmtId="164" fontId="10" fillId="0" borderId="0" applyAlignment="1" pivotButton="0" quotePrefix="0" xfId="1">
      <alignment vertical="center"/>
    </xf>
    <xf numFmtId="0" fontId="15" fillId="0" borderId="0" applyAlignment="1" pivotButton="0" quotePrefix="0" xfId="19">
      <alignment vertical="center" wrapText="1"/>
    </xf>
    <xf numFmtId="0" fontId="14" fillId="0" borderId="0" applyAlignment="1" pivotButton="0" quotePrefix="0" xfId="19">
      <alignment vertical="center" wrapText="1"/>
    </xf>
    <xf numFmtId="0" fontId="33" fillId="10" borderId="42" applyAlignment="1" pivotButton="0" quotePrefix="0" xfId="0">
      <alignment horizontal="left" vertical="center" wrapText="1"/>
    </xf>
    <xf numFmtId="14" fontId="33" fillId="10" borderId="42" applyAlignment="1" pivotButton="0" quotePrefix="0" xfId="0">
      <alignment horizontal="left" vertical="center" wrapText="1"/>
    </xf>
    <xf numFmtId="0" fontId="12" fillId="5" borderId="1" pivotButton="0" quotePrefix="0" xfId="0"/>
    <xf numFmtId="0" fontId="12" fillId="5" borderId="1" applyAlignment="1" pivotButton="0" quotePrefix="0" xfId="0">
      <alignment wrapText="1"/>
    </xf>
    <xf numFmtId="0" fontId="10" fillId="0" borderId="0" applyAlignment="1" pivotButton="0" quotePrefix="0" xfId="8">
      <alignment horizontal="center" vertical="center" wrapText="1"/>
    </xf>
    <xf numFmtId="0" fontId="10" fillId="0" borderId="0" applyAlignment="1" pivotButton="0" quotePrefix="0" xfId="8">
      <alignment horizontal="justify" vertical="center" wrapText="1"/>
    </xf>
    <xf numFmtId="164" fontId="33" fillId="10" borderId="42" applyAlignment="1" pivotButton="0" quotePrefix="0" xfId="1">
      <alignment horizontal="left" vertical="center" wrapText="1"/>
    </xf>
    <xf numFmtId="0" fontId="14" fillId="5" borderId="18" applyAlignment="1" pivotButton="0" quotePrefix="0" xfId="0">
      <alignment wrapText="1"/>
    </xf>
    <xf numFmtId="0" fontId="14" fillId="0" borderId="1" applyAlignment="1" pivotButton="0" quotePrefix="0" xfId="0">
      <alignment wrapText="1"/>
    </xf>
    <xf numFmtId="164" fontId="14" fillId="0" borderId="1" applyAlignment="1" pivotButton="0" quotePrefix="0" xfId="0">
      <alignment wrapText="1"/>
    </xf>
    <xf numFmtId="164" fontId="14" fillId="0" borderId="1" applyAlignment="1" pivotButton="0" quotePrefix="0" xfId="1">
      <alignment wrapText="1"/>
    </xf>
    <xf numFmtId="0" fontId="10" fillId="0" borderId="0" applyAlignment="1" pivotButton="0" quotePrefix="0" xfId="8">
      <alignment horizontal="justify" vertical="center"/>
    </xf>
    <xf numFmtId="0" fontId="14" fillId="0" borderId="6" applyAlignment="1" pivotButton="0" quotePrefix="0" xfId="8">
      <alignment horizontal="justify" vertical="center"/>
    </xf>
    <xf numFmtId="0" fontId="12" fillId="9" borderId="0" pivotButton="0" quotePrefix="0" xfId="0"/>
    <xf numFmtId="0" fontId="10" fillId="0" borderId="1" pivotButton="0" quotePrefix="0" xfId="0"/>
    <xf numFmtId="0" fontId="26" fillId="0" borderId="0" applyAlignment="1" pivotButton="0" quotePrefix="0" xfId="0">
      <alignment wrapText="1"/>
    </xf>
    <xf numFmtId="0" fontId="11" fillId="0" borderId="0" pivotButton="0" quotePrefix="0" xfId="0"/>
    <xf numFmtId="164" fontId="14" fillId="4" borderId="13" applyAlignment="1" pivotButton="0" quotePrefix="0" xfId="1">
      <alignment vertical="center"/>
    </xf>
    <xf numFmtId="0" fontId="12" fillId="5" borderId="1" applyAlignment="1" pivotButton="0" quotePrefix="0" xfId="8">
      <alignment horizontal="center" vertical="center" wrapText="1"/>
    </xf>
    <xf numFmtId="0" fontId="14" fillId="8" borderId="8" applyAlignment="1" pivotButton="0" quotePrefix="0" xfId="0">
      <alignment horizontal="left" vertical="center" wrapText="1" readingOrder="1"/>
    </xf>
    <xf numFmtId="0" fontId="14" fillId="8" borderId="9" applyAlignment="1" pivotButton="0" quotePrefix="0" xfId="0">
      <alignment horizontal="left" vertical="center" wrapText="1" readingOrder="1"/>
    </xf>
    <xf numFmtId="0" fontId="14" fillId="8" borderId="15" applyAlignment="1" pivotButton="0" quotePrefix="0" xfId="0">
      <alignment horizontal="left" vertical="center" wrapText="1" readingOrder="1"/>
    </xf>
    <xf numFmtId="164" fontId="18" fillId="0" borderId="0" applyAlignment="1" pivotButton="0" quotePrefix="0" xfId="1">
      <alignment horizontal="right" vertical="center"/>
    </xf>
    <xf numFmtId="164" fontId="14" fillId="4" borderId="0" applyAlignment="1" pivotButton="0" quotePrefix="0" xfId="1">
      <alignment horizontal="left" vertical="center"/>
    </xf>
    <xf numFmtId="0" fontId="14" fillId="8" borderId="22" applyAlignment="1" pivotButton="0" quotePrefix="0" xfId="0">
      <alignment horizontal="center" vertical="center" wrapText="1" readingOrder="1"/>
    </xf>
    <xf numFmtId="0" fontId="14" fillId="8" borderId="24" applyAlignment="1" pivotButton="0" quotePrefix="0" xfId="0">
      <alignment horizontal="center" vertical="center" wrapText="1" readingOrder="1"/>
    </xf>
    <xf numFmtId="0" fontId="14" fillId="8" borderId="26" applyAlignment="1" pivotButton="0" quotePrefix="0" xfId="0">
      <alignment horizontal="center" vertical="center" wrapText="1" readingOrder="1"/>
    </xf>
    <xf numFmtId="0" fontId="14" fillId="0" borderId="8" applyAlignment="1" pivotButton="0" quotePrefix="0" xfId="8">
      <alignment horizontal="left" vertical="center" wrapText="1"/>
    </xf>
    <xf numFmtId="0" fontId="14" fillId="0" borderId="9" applyAlignment="1" pivotButton="0" quotePrefix="0" xfId="8">
      <alignment horizontal="left" vertical="center" wrapText="1"/>
    </xf>
    <xf numFmtId="0" fontId="14" fillId="0" borderId="15" applyAlignment="1" pivotButton="0" quotePrefix="0" xfId="8">
      <alignment horizontal="left" vertical="center" wrapText="1"/>
    </xf>
    <xf numFmtId="0" fontId="12" fillId="5" borderId="22" applyAlignment="1" pivotButton="0" quotePrefix="0" xfId="0">
      <alignment horizontal="center" vertical="center" wrapText="1" readingOrder="1"/>
    </xf>
    <xf numFmtId="0" fontId="12" fillId="5" borderId="24" applyAlignment="1" pivotButton="0" quotePrefix="0" xfId="0">
      <alignment horizontal="center" vertical="center" wrapText="1" readingOrder="1"/>
    </xf>
    <xf numFmtId="0" fontId="12" fillId="5" borderId="26" applyAlignment="1" pivotButton="0" quotePrefix="0" xfId="0">
      <alignment horizontal="center" vertical="center" wrapText="1" readingOrder="1"/>
    </xf>
    <xf numFmtId="0" fontId="12" fillId="5" borderId="1" applyAlignment="1" pivotButton="0" quotePrefix="0" xfId="0">
      <alignment horizontal="center" vertical="center" wrapText="1" readingOrder="1"/>
    </xf>
    <xf numFmtId="164" fontId="22" fillId="0" borderId="0" applyAlignment="1" pivotButton="0" quotePrefix="0" xfId="1">
      <alignment horizontal="left" vertical="center"/>
    </xf>
    <xf numFmtId="164" fontId="22" fillId="0" borderId="0" applyAlignment="1" pivotButton="0" quotePrefix="0" xfId="1">
      <alignment vertical="center"/>
    </xf>
    <xf numFmtId="0" fontId="42" fillId="0" borderId="0" pivotButton="0" quotePrefix="0" xfId="0"/>
    <xf numFmtId="0" fontId="0" fillId="0" borderId="15" pivotButton="0" quotePrefix="0" xfId="0"/>
    <xf numFmtId="0" fontId="10" fillId="0" borderId="1" applyAlignment="1" pivotButton="0" quotePrefix="0" xfId="0">
      <alignment vertical="top" wrapText="1"/>
    </xf>
    <xf numFmtId="0" fontId="0" fillId="0" borderId="1" applyAlignment="1" pivotButton="0" quotePrefix="0" xfId="0">
      <alignment vertical="top" wrapText="1"/>
    </xf>
    <xf numFmtId="0" fontId="39" fillId="12" borderId="0" pivotButton="0" quotePrefix="0" xfId="0"/>
    <xf numFmtId="0" fontId="0" fillId="12" borderId="0" pivotButton="0" quotePrefix="0" xfId="0"/>
    <xf numFmtId="0" fontId="39" fillId="0" borderId="44" pivotButton="0" quotePrefix="0" xfId="0"/>
    <xf numFmtId="0" fontId="38" fillId="0" borderId="44" pivotButton="0" quotePrefix="0" xfId="0"/>
    <xf numFmtId="0" fontId="0" fillId="0" borderId="44" pivotButton="0" quotePrefix="0" xfId="0"/>
    <xf numFmtId="0" fontId="43" fillId="0" borderId="44" pivotButton="0" quotePrefix="0" xfId="0"/>
    <xf numFmtId="0" fontId="38" fillId="0" borderId="44" applyAlignment="1" pivotButton="0" quotePrefix="0" xfId="0">
      <alignment vertical="center" wrapText="1"/>
    </xf>
    <xf numFmtId="164" fontId="10" fillId="0" borderId="0" applyAlignment="1" pivotButton="0" quotePrefix="0" xfId="7">
      <alignment vertical="center"/>
    </xf>
    <xf numFmtId="164" fontId="10" fillId="0" borderId="0" applyAlignment="1" pivotButton="0" quotePrefix="0" xfId="1">
      <alignment vertical="center"/>
    </xf>
    <xf numFmtId="164" fontId="10" fillId="0" borderId="0" applyAlignment="1" pivotButton="0" quotePrefix="0" xfId="1">
      <alignment horizontal="center" vertical="center"/>
    </xf>
    <xf numFmtId="164" fontId="14" fillId="0" borderId="0" applyAlignment="1" pivotButton="0" quotePrefix="0" xfId="1">
      <alignment horizontal="center" vertical="center"/>
    </xf>
    <xf numFmtId="164" fontId="14" fillId="0" borderId="0" applyAlignment="1" pivotButton="0" quotePrefix="0" xfId="1">
      <alignment vertical="center"/>
    </xf>
    <xf numFmtId="0" fontId="42" fillId="0" borderId="9" applyAlignment="1" pivotButton="0" quotePrefix="0" xfId="8">
      <alignment vertical="center"/>
    </xf>
    <xf numFmtId="164" fontId="11" fillId="0" borderId="0" applyAlignment="1" pivotButton="0" quotePrefix="0" xfId="1">
      <alignment vertical="center"/>
    </xf>
    <xf numFmtId="164" fontId="14" fillId="0" borderId="11" applyAlignment="1" pivotButton="0" quotePrefix="0" xfId="1">
      <alignment horizontal="center" vertical="center"/>
    </xf>
    <xf numFmtId="164" fontId="10" fillId="0" borderId="7" applyAlignment="1" pivotButton="0" quotePrefix="0" xfId="7">
      <alignment horizontal="center" vertical="center"/>
    </xf>
    <xf numFmtId="164" fontId="14" fillId="0" borderId="1" applyAlignment="1" pivotButton="0" quotePrefix="0" xfId="1">
      <alignment horizontal="left" vertical="center"/>
    </xf>
    <xf numFmtId="164" fontId="10" fillId="0" borderId="5" applyAlignment="1" pivotButton="0" quotePrefix="0" xfId="1">
      <alignment horizontal="left" vertical="center"/>
    </xf>
    <xf numFmtId="164" fontId="10" fillId="0" borderId="1" applyAlignment="1" pivotButton="0" quotePrefix="0" xfId="1">
      <alignment horizontal="left" vertical="center"/>
    </xf>
    <xf numFmtId="164" fontId="0" fillId="0" borderId="1" applyAlignment="1" pivotButton="0" quotePrefix="0" xfId="7">
      <alignment vertical="center"/>
    </xf>
    <xf numFmtId="164" fontId="10" fillId="0" borderId="7" applyAlignment="1" pivotButton="0" quotePrefix="0" xfId="7">
      <alignment vertical="center"/>
    </xf>
    <xf numFmtId="164" fontId="0" fillId="0" borderId="7" applyAlignment="1" pivotButton="0" quotePrefix="0" xfId="7">
      <alignment vertical="center"/>
    </xf>
    <xf numFmtId="0" fontId="38" fillId="0" borderId="0" pivotButton="0" quotePrefix="0" xfId="0"/>
    <xf numFmtId="164" fontId="10" fillId="0" borderId="3" applyAlignment="1" pivotButton="0" quotePrefix="0" xfId="7">
      <alignment vertical="center"/>
    </xf>
    <xf numFmtId="164" fontId="10" fillId="0" borderId="4" applyAlignment="1" pivotButton="0" quotePrefix="0" xfId="1">
      <alignment horizontal="left" vertical="center"/>
    </xf>
    <xf numFmtId="164" fontId="14" fillId="0" borderId="5" applyAlignment="1" pivotButton="0" quotePrefix="0" xfId="1">
      <alignment horizontal="left" vertical="center"/>
    </xf>
    <xf numFmtId="164" fontId="10" fillId="0" borderId="5" applyAlignment="1" pivotButton="0" quotePrefix="0" xfId="7">
      <alignment vertical="center"/>
    </xf>
    <xf numFmtId="164" fontId="0" fillId="0" borderId="0" applyAlignment="1" pivotButton="0" quotePrefix="0" xfId="7">
      <alignment vertical="center"/>
    </xf>
    <xf numFmtId="0" fontId="38" fillId="0" borderId="0" applyAlignment="1" pivotButton="0" quotePrefix="0" xfId="8">
      <alignment vertical="center"/>
    </xf>
    <xf numFmtId="164" fontId="14" fillId="0" borderId="7" applyAlignment="1" pivotButton="0" quotePrefix="0" xfId="7">
      <alignment vertical="center"/>
    </xf>
    <xf numFmtId="164" fontId="10" fillId="0" borderId="17" applyAlignment="1" pivotButton="0" quotePrefix="0" xfId="7">
      <alignment vertical="center"/>
    </xf>
    <xf numFmtId="164" fontId="12" fillId="5" borderId="10" applyAlignment="1" pivotButton="0" quotePrefix="0" xfId="1">
      <alignment horizontal="left" vertical="center"/>
    </xf>
    <xf numFmtId="164" fontId="10" fillId="0" borderId="18" applyAlignment="1" pivotButton="0" quotePrefix="0" xfId="7">
      <alignment vertical="center"/>
    </xf>
    <xf numFmtId="164" fontId="10" fillId="0" borderId="1" applyAlignment="1" pivotButton="0" quotePrefix="0" xfId="7">
      <alignment vertical="center"/>
    </xf>
    <xf numFmtId="164" fontId="10" fillId="0" borderId="1" applyAlignment="1" pivotButton="0" quotePrefix="0" xfId="7">
      <alignment horizontal="center" vertical="center"/>
    </xf>
    <xf numFmtId="164" fontId="10" fillId="0" borderId="0" applyAlignment="1" pivotButton="0" quotePrefix="0" xfId="7">
      <alignment horizontal="left" vertical="center"/>
    </xf>
    <xf numFmtId="164" fontId="10" fillId="0" borderId="18" applyAlignment="1" pivotButton="0" quotePrefix="0" xfId="7">
      <alignment horizontal="center" vertical="center"/>
    </xf>
    <xf numFmtId="164" fontId="16" fillId="4" borderId="8" applyAlignment="1" pivotButton="0" quotePrefix="0" xfId="1">
      <alignment vertical="center"/>
    </xf>
    <xf numFmtId="164" fontId="16" fillId="4" borderId="6" applyAlignment="1" pivotButton="0" quotePrefix="0" xfId="1">
      <alignment vertical="center"/>
    </xf>
    <xf numFmtId="164" fontId="16" fillId="4" borderId="6" applyAlignment="1" pivotButton="0" quotePrefix="0" xfId="1">
      <alignment horizontal="center" vertical="center"/>
    </xf>
    <xf numFmtId="164" fontId="16" fillId="4" borderId="7" applyAlignment="1" pivotButton="0" quotePrefix="0" xfId="1">
      <alignment horizontal="center" vertical="center"/>
    </xf>
    <xf numFmtId="164" fontId="12" fillId="5" borderId="8" applyAlignment="1" pivotButton="0" quotePrefix="0" xfId="1">
      <alignment vertical="center"/>
    </xf>
    <xf numFmtId="164" fontId="12" fillId="5" borderId="13" applyAlignment="1" pivotButton="0" quotePrefix="0" xfId="1">
      <alignment vertical="center"/>
    </xf>
    <xf numFmtId="164" fontId="12" fillId="5" borderId="9" applyAlignment="1" pivotButton="0" quotePrefix="0" xfId="1">
      <alignment horizontal="center" vertical="center"/>
    </xf>
    <xf numFmtId="168" fontId="12" fillId="5" borderId="10" applyAlignment="1" pivotButton="0" quotePrefix="0" xfId="12">
      <alignment horizontal="center" vertical="center"/>
    </xf>
    <xf numFmtId="164" fontId="16" fillId="0" borderId="0" applyAlignment="1" pivotButton="0" quotePrefix="0" xfId="1">
      <alignment vertical="center"/>
    </xf>
    <xf numFmtId="164" fontId="16" fillId="0" borderId="0" applyAlignment="1" pivotButton="0" quotePrefix="0" xfId="1">
      <alignment horizontal="center" vertical="center"/>
    </xf>
    <xf numFmtId="0" fontId="34" fillId="0" borderId="0" pivotButton="0" quotePrefix="0" xfId="0"/>
    <xf numFmtId="0" fontId="35" fillId="0" borderId="0" pivotButton="0" quotePrefix="0" xfId="0"/>
    <xf numFmtId="0" fontId="36" fillId="11" borderId="44" applyAlignment="1" pivotButton="0" quotePrefix="0" xfId="0">
      <alignment horizontal="center" vertical="center" wrapText="1"/>
    </xf>
    <xf numFmtId="164" fontId="0" fillId="0" borderId="44" pivotButton="0" quotePrefix="0" xfId="0"/>
    <xf numFmtId="0" fontId="39" fillId="0" borderId="0" pivotButton="0" quotePrefix="0" xfId="0"/>
    <xf numFmtId="164" fontId="39" fillId="0" borderId="45" pivotButton="0" quotePrefix="0" xfId="0"/>
    <xf numFmtId="0" fontId="39" fillId="14" borderId="0" pivotButton="0" quotePrefix="0" xfId="0"/>
    <xf numFmtId="164" fontId="39" fillId="14" borderId="45" pivotButton="0" quotePrefix="0" xfId="0"/>
    <xf numFmtId="0" fontId="0" fillId="14" borderId="0" pivotButton="0" quotePrefix="0" xfId="0"/>
    <xf numFmtId="0" fontId="40" fillId="0" borderId="0" pivotButton="0" quotePrefix="0" xfId="0"/>
    <xf numFmtId="43" fontId="0" fillId="0" borderId="0" pivotButton="0" quotePrefix="0" xfId="0"/>
    <xf numFmtId="0" fontId="39" fillId="12" borderId="44" pivotButton="0" quotePrefix="0" xfId="0"/>
    <xf numFmtId="0" fontId="38" fillId="13" borderId="44" pivotButton="0" quotePrefix="0" xfId="0"/>
    <xf numFmtId="0" fontId="0" fillId="0" borderId="44" applyAlignment="1" pivotButton="0" quotePrefix="0" xfId="0">
      <alignment vertical="center" wrapText="1"/>
    </xf>
    <xf numFmtId="164" fontId="37" fillId="0" borderId="44" pivotButton="0" quotePrefix="0" xfId="0"/>
    <xf numFmtId="164" fontId="34" fillId="0" borderId="0" applyAlignment="1" pivotButton="0" quotePrefix="0" xfId="1">
      <alignment horizontal="left" vertical="center"/>
    </xf>
    <xf numFmtId="0" fontId="39" fillId="12" borderId="0" applyAlignment="1" pivotButton="0" quotePrefix="0" xfId="0">
      <alignment vertical="center" wrapText="1"/>
    </xf>
    <xf numFmtId="164" fontId="34" fillId="0" borderId="0" applyAlignment="1" pivotButton="0" quotePrefix="0" xfId="1">
      <alignment vertical="center"/>
    </xf>
    <xf numFmtId="0" fontId="41" fillId="0" borderId="0" pivotButton="0" quotePrefix="0" xfId="0"/>
    <xf numFmtId="0" fontId="37" fillId="0" borderId="44" pivotButton="0" quotePrefix="0" xfId="0"/>
    <xf numFmtId="43" fontId="37" fillId="0" borderId="44" pivotButton="0" quotePrefix="0" xfId="0"/>
    <xf numFmtId="43" fontId="0" fillId="0" borderId="44" pivotButton="0" quotePrefix="0" xfId="0"/>
    <xf numFmtId="167" fontId="37" fillId="0" borderId="44" pivotButton="0" quotePrefix="0" xfId="0"/>
    <xf numFmtId="43" fontId="39" fillId="0" borderId="45" pivotButton="0" quotePrefix="0" xfId="0"/>
  </cellXfs>
  <cellStyles count="26">
    <cellStyle name="Normal" xfId="0" builtinId="0"/>
    <cellStyle name="Comma" xfId="1" builtinId="3"/>
    <cellStyle name="Normal 2" xfId="2"/>
    <cellStyle name="Comma 2" xfId="3"/>
    <cellStyle name="Normal 3" xfId="4"/>
    <cellStyle name="Comma 2 2" xfId="5"/>
    <cellStyle name="Normal 4" xfId="6"/>
    <cellStyle name="Comma 2 4 2" xfId="7"/>
    <cellStyle name="Normal 2 2" xfId="8"/>
    <cellStyle name="Normal 248" xfId="9"/>
    <cellStyle name="Percent 2" xfId="10"/>
    <cellStyle name="Normal 248 2" xfId="11"/>
    <cellStyle name="Percent 2 2" xfId="12"/>
    <cellStyle name="Comma 10 2" xfId="13"/>
    <cellStyle name="Comma 10" xfId="14"/>
    <cellStyle name="Normal 25" xfId="15"/>
    <cellStyle name="Normal 3 2" xfId="16"/>
    <cellStyle name="Normal 12" xfId="17"/>
    <cellStyle name="Normal 2 3" xfId="18"/>
    <cellStyle name="Normal 3 2 2" xfId="19"/>
    <cellStyle name="Normal 248 2 2" xfId="20"/>
    <cellStyle name="Normal 12 2" xfId="21"/>
    <cellStyle name="Normal 3 2 3" xfId="22"/>
    <cellStyle name="Normal 12 3" xfId="23"/>
    <cellStyle name="Normal 5" xfId="24"/>
    <cellStyle name="Comma 3" xfId="2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B2:C43"/>
  <sheetViews>
    <sheetView zoomScaleNormal="115" workbookViewId="0">
      <selection activeCell="B3" sqref="B3"/>
    </sheetView>
  </sheetViews>
  <sheetFormatPr baseColWidth="8" defaultRowHeight="12.5"/>
  <cols>
    <col width="38.453125" bestFit="1" customWidth="1" min="2" max="2"/>
    <col width="91.26953125" customWidth="1" style="172" min="3" max="3"/>
  </cols>
  <sheetData>
    <row r="2" ht="14" customHeight="1">
      <c r="B2" s="272" t="inlineStr">
        <is>
          <t>Marjan Gulf Trading LLC (sample)</t>
        </is>
      </c>
    </row>
    <row r="3" ht="14" customHeight="1">
      <c r="B3" s="273" t="inlineStr">
        <is>
          <t>Year ended: 31 December 2025</t>
        </is>
      </c>
    </row>
    <row r="4">
      <c r="B4" s="274" t="inlineStr">
        <is>
          <t>DRAFT - 0 proposed adjustment(s) and 6 open item(s) awaiting confirmation. Figures are preliminary.</t>
        </is>
      </c>
    </row>
    <row r="5" ht="13" customHeight="1">
      <c r="B5" s="251" t="inlineStr">
        <is>
          <t>Assumptions and Confirmations from Management</t>
        </is>
      </c>
    </row>
    <row r="6">
      <c r="B6" s="252" t="inlineStr">
        <is>
          <t>The following assumptions and confirmations from management form the basis for the Corporate Tax computation presented in the following pages:</t>
        </is>
      </c>
      <c r="C6" s="275" t="n"/>
    </row>
    <row r="8" ht="25.5" customHeight="1">
      <c r="B8" s="173" t="inlineStr">
        <is>
          <t>Qualifying Free Zone Person</t>
        </is>
      </c>
      <c r="C8" s="276" t="inlineStr">
        <is>
          <t>The company is not claiming Qualifying Free Zone Person status.</t>
        </is>
      </c>
    </row>
    <row r="9" ht="26" customHeight="1">
      <c r="B9" s="173" t="inlineStr">
        <is>
          <t>Realisation Basis</t>
        </is>
      </c>
      <c r="C9" s="276" t="inlineStr">
        <is>
          <t>The management has not elected the realisation basis; unrealised gains and losses are taken into account as recorded (current basis, Option 3).</t>
        </is>
      </c>
    </row>
    <row r="10" ht="25.5" customHeight="1">
      <c r="B10" s="173" t="inlineStr">
        <is>
          <t>Transitional Rules</t>
        </is>
      </c>
      <c r="C10" s="276" t="inlineStr">
        <is>
          <t>The management has not claimed Transitional Rules.</t>
        </is>
      </c>
    </row>
    <row r="11" ht="26" customHeight="1">
      <c r="B11" s="173" t="inlineStr">
        <is>
          <t>Expense Documentation</t>
        </is>
      </c>
      <c r="C11" s="277" t="inlineStr">
        <is>
          <t xml:space="preserve"> The management has been informed of the requirement to maintain proper supporting documents for all expenses incurred by the company and recorded in the statement of profit and loss.</t>
        </is>
      </c>
    </row>
    <row r="12" ht="26" customHeight="1">
      <c r="B12" s="173" t="inlineStr">
        <is>
          <t>Business Purpose of Expenses</t>
        </is>
      </c>
      <c r="C12" s="277" t="inlineStr">
        <is>
          <t xml:space="preserve"> Management confirmation that all expenses were incurred wholly and exclusively for business purposes is outstanding.</t>
        </is>
      </c>
    </row>
    <row r="13" ht="26" customHeight="1">
      <c r="B13" s="173" t="inlineStr">
        <is>
          <t>Disallowed Expenses</t>
        </is>
      </c>
      <c r="C13" s="277" t="inlineStr">
        <is>
          <t xml:space="preserve"> Management confirmation that no other expenses of a disallowable nature are recorded is outstanding.</t>
        </is>
      </c>
    </row>
    <row r="14" ht="25.5" customHeight="1">
      <c r="B14" s="173" t="inlineStr">
        <is>
          <t>Exempt Income</t>
        </is>
      </c>
      <c r="C14" s="277" t="inlineStr">
        <is>
          <t xml:space="preserve"> Management confirmation of the exempt-income position is outstanding.</t>
        </is>
      </c>
    </row>
    <row r="15" ht="26" customHeight="1">
      <c r="B15" s="173" t="inlineStr">
        <is>
          <t>Related Party Transactions</t>
        </is>
      </c>
      <c r="C15" s="276" t="inlineStr">
        <is>
          <t>Management confirmation that related party transactions are at arm's length is outstanding; no transfer pricing adjustment has been made.</t>
        </is>
      </c>
    </row>
    <row r="16" hidden="1" ht="26" customHeight="1">
      <c r="B16" s="173" t="inlineStr">
        <is>
          <t>Investments in Subsidiary</t>
        </is>
      </c>
      <c r="C16" s="277" t="inlineStr">
        <is>
          <t>The position on investments in subsidiaries (including the basis of preparation of their accounts under Ministerial Decision No. 134 of 2023 and IFRS) has not been confirmed by management.</t>
        </is>
      </c>
    </row>
    <row r="18" ht="153.65" customHeight="1">
      <c r="B18" s="253" t="inlineStr">
        <is>
          <t>Disclaimer
This Corporate Tax computation has been prepared based on the information, documents, and explanations made available to us as of the date of this report. In the absence of formal confirmations and supporting evidence from the management, certain assumptions have been made in good faith to facilitate the preparation of this computation. These assumptions are outlined above.
This computation is intended solely for internal use by the company for preliminary assessment purposes and does not constitute a final or binding tax filing with the Federal Tax Authority. We have not independently verified the completeness or accuracy of the financial information or the factual representations provided by the management.
We do not express an audit or assurance opinion on the financial information or tax positions. Any deviation from the stated assumptions or changes in the applicable laws, guidance, or interpretations by the authorities may impact the final tax liability of the company.
The responsibility for ensuring the accuracy and completeness of the information submitted to the FTA, including compliance with Corporate Tax regulations, rests solely with the company’s management.
We recommend that the company obtain formal tax advice where necessary and maintain adequate documentation to support its tax positions in line with the requirements of the UAE Corporate Tax Law and relevant Executive Regulations.</t>
        </is>
      </c>
    </row>
    <row r="21">
      <c r="B21" s="278" t="inlineStr">
        <is>
          <t>Sheet applicability log</t>
        </is>
      </c>
      <c r="C21" s="279" t="n"/>
    </row>
    <row r="22">
      <c r="B22" s="280" t="inlineStr">
        <is>
          <t>Assumptions</t>
        </is>
      </c>
      <c r="C22" s="281" t="inlineStr">
        <is>
          <t>Included - Always produced</t>
        </is>
      </c>
    </row>
    <row r="23">
      <c r="B23" s="280" t="inlineStr">
        <is>
          <t>Calculation of CT</t>
        </is>
      </c>
      <c r="C23" s="281" t="inlineStr">
        <is>
          <t>Included - Always produced</t>
        </is>
      </c>
    </row>
    <row r="24">
      <c r="B24" s="280" t="inlineStr">
        <is>
          <t>Profit and Loss</t>
        </is>
      </c>
      <c r="C24" s="281" t="inlineStr">
        <is>
          <t>Included - Always produced - AED</t>
        </is>
      </c>
    </row>
    <row r="25">
      <c r="B25" s="280" t="inlineStr">
        <is>
          <t>Balance Sheet</t>
        </is>
      </c>
      <c r="C25" s="281" t="inlineStr">
        <is>
          <t>Included - Always produced - AED</t>
        </is>
      </c>
    </row>
    <row r="26">
      <c r="B26" s="282" t="inlineStr">
        <is>
          <t>FX Rates</t>
        </is>
      </c>
      <c r="C26" s="283" t="inlineStr">
        <is>
          <t>Not applicable, not produced - TB is already in AED - no conversion sheet needed</t>
        </is>
      </c>
    </row>
    <row r="27">
      <c r="B27" s="280" t="inlineStr">
        <is>
          <t>TB (AED)</t>
        </is>
      </c>
      <c r="C27" s="281" t="inlineStr">
        <is>
          <t>Included - Source of the P&amp;L and balance sheet</t>
        </is>
      </c>
    </row>
    <row r="28">
      <c r="B28" s="280" t="inlineStr">
        <is>
          <t>Adjustments</t>
        </is>
      </c>
      <c r="C28" s="281" t="inlineStr">
        <is>
          <t>Included - Confirmed adjustments feed the computation</t>
        </is>
      </c>
    </row>
    <row r="29">
      <c r="B29" s="282" t="inlineStr">
        <is>
          <t>UGUL</t>
        </is>
      </c>
      <c r="C29" s="283" t="inlineStr">
        <is>
          <t>Not applicable, not produced - No realisation-basis election confirmed</t>
        </is>
      </c>
    </row>
    <row r="30">
      <c r="B30" s="280" t="inlineStr">
        <is>
          <t>Provision</t>
        </is>
      </c>
      <c r="C30" s="281" t="inlineStr">
        <is>
          <t>Included - Provision accounts or movements exist</t>
        </is>
      </c>
    </row>
    <row r="31">
      <c r="B31" s="282" t="inlineStr">
        <is>
          <t>DTA &amp; DTL Working</t>
        </is>
      </c>
      <c r="C31" s="283" t="inlineStr">
        <is>
          <t>Not applicable, not produced - Optional accounting working - not requested</t>
        </is>
      </c>
    </row>
    <row r="32">
      <c r="B32" s="282" t="inlineStr">
        <is>
          <t>Tax Loss Carried Forward</t>
        </is>
      </c>
      <c r="C32" s="283" t="inlineStr">
        <is>
          <t>Not applicable, not produced - No tax losses involved</t>
        </is>
      </c>
    </row>
    <row r="33">
      <c r="B33" s="280" t="inlineStr">
        <is>
          <t>Disallowed Expenses</t>
        </is>
      </c>
      <c r="C33" s="281" t="inlineStr">
        <is>
          <t>Included - Confirmed non-deductible expenses exist</t>
        </is>
      </c>
    </row>
    <row r="34">
      <c r="B34" s="282" t="inlineStr">
        <is>
          <t>Freezone</t>
        </is>
      </c>
      <c r="C34" s="283" t="inlineStr">
        <is>
          <t>Not applicable, not produced - QFZP not claimed</t>
        </is>
      </c>
    </row>
    <row r="35">
      <c r="B35" s="282" t="inlineStr">
        <is>
          <t>Taxes Paid Abroad</t>
        </is>
      </c>
      <c r="C35" s="283" t="inlineStr">
        <is>
          <t>Not applicable, not produced - No foreign tax reported</t>
        </is>
      </c>
    </row>
    <row r="37">
      <c r="B37" s="278" t="inlineStr">
        <is>
          <t>Template changes</t>
        </is>
      </c>
      <c r="C37" s="279" t="n"/>
    </row>
    <row r="38" ht="26" customHeight="1">
      <c r="B38" s="282" t="inlineStr">
        <is>
          <t>-</t>
        </is>
      </c>
      <c r="C38" s="284" t="inlineStr">
        <is>
          <t>Removed 27,709 stale defined names carried inside the template (leftovers from unrelated workbooks, mostly #REF!).</t>
        </is>
      </c>
    </row>
    <row r="39" ht="26" customHeight="1">
      <c r="B39" s="282" t="inlineStr">
        <is>
          <t>-</t>
        </is>
      </c>
      <c r="C39" s="284" t="inlineStr">
        <is>
          <t>Sheet 'UGUL' omitted: No realisation-basis election confirmed.</t>
        </is>
      </c>
    </row>
    <row r="40" ht="26" customHeight="1">
      <c r="B40" s="282" t="inlineStr">
        <is>
          <t>-</t>
        </is>
      </c>
      <c r="C40" s="284" t="inlineStr">
        <is>
          <t>Sheet 'DTA &amp; DTL Working' omitted: Optional accounting working - not requested.</t>
        </is>
      </c>
    </row>
    <row r="41" ht="26" customHeight="1">
      <c r="B41" s="282" t="inlineStr">
        <is>
          <t>-</t>
        </is>
      </c>
      <c r="C41" s="284" t="inlineStr">
        <is>
          <t>Sheet 'Tax Loss Carried Forward' omitted: No tax losses involved.</t>
        </is>
      </c>
    </row>
    <row r="42" ht="26" customHeight="1">
      <c r="B42" s="282" t="inlineStr">
        <is>
          <t>-</t>
        </is>
      </c>
      <c r="C42" s="284" t="inlineStr">
        <is>
          <t>Sheet 'Freezone' omitted: QFZP not claimed.</t>
        </is>
      </c>
    </row>
    <row r="43" ht="26" customHeight="1">
      <c r="B43" s="282" t="inlineStr">
        <is>
          <t>-</t>
        </is>
      </c>
      <c r="C43" s="284" t="inlineStr">
        <is>
          <t>Sheet 'Taxes Paid Abroad' omitted: No foreign tax reported.</t>
        </is>
      </c>
    </row>
  </sheetData>
  <mergeCells count="3">
    <mergeCell ref="B18:C18"/>
    <mergeCell ref="B6:C6"/>
    <mergeCell ref="B5:C5"/>
  </mergeCells>
  <pageMargins left="0.7086614173228347" right="0.7086614173228347" top="0.7480314960629921" bottom="0.7480314960629921" header="0.3149606299212598" footer="0.3149606299212598"/>
  <pageSetup orientation="portrait" paperSize="9" scale="64" fitToHeight="0"/>
  <headerFooter>
    <oddHeader/>
    <oddFooter>&amp;L&amp;A&amp;C&amp;P&amp;R&amp;F</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74"/>
  <sheetViews>
    <sheetView topLeftCell="A11" zoomScale="115" zoomScaleNormal="115" zoomScaleSheetLayoutView="85" workbookViewId="0">
      <selection activeCell="C23" sqref="C23"/>
    </sheetView>
  </sheetViews>
  <sheetFormatPr baseColWidth="8" defaultColWidth="9.26953125" defaultRowHeight="12.5"/>
  <cols>
    <col width="1.54296875" customWidth="1" style="82" min="1" max="1"/>
    <col width="10.26953125" customWidth="1" style="56" min="2" max="2"/>
    <col width="85.54296875" customWidth="1" style="56" min="3" max="3"/>
    <col width="14.7265625" customWidth="1" style="27" min="4" max="4"/>
    <col width="17" bestFit="1" customWidth="1" style="285" min="5" max="5"/>
    <col hidden="1" width="17" customWidth="1" style="285" min="6" max="6"/>
    <col hidden="1" width="19.1796875" customWidth="1" style="285" min="7" max="7"/>
    <col width="2.54296875" bestFit="1" customWidth="1" style="286" min="8" max="8"/>
    <col width="60" customWidth="1" style="59" min="9" max="9"/>
    <col width="9.26953125" customWidth="1" style="56" min="10" max="16384"/>
  </cols>
  <sheetData>
    <row r="1" customFormat="1" s="286">
      <c r="D1" s="287" t="n"/>
    </row>
    <row r="2" ht="14" customFormat="1" customHeight="1" s="286">
      <c r="C2" s="272">
        <f>+Assumptions!B2</f>
        <v/>
      </c>
      <c r="D2" s="288" t="n"/>
    </row>
    <row r="3" ht="14" customFormat="1" customHeight="1" s="286">
      <c r="B3" s="289" t="n"/>
      <c r="C3" s="273">
        <f>+Assumptions!B3</f>
        <v/>
      </c>
      <c r="D3" s="287" t="n"/>
    </row>
    <row r="4" ht="14" customFormat="1" customHeight="1" s="286">
      <c r="B4" s="289" t="n"/>
      <c r="C4" s="273" t="n"/>
      <c r="D4" s="287" t="n"/>
    </row>
    <row r="5" ht="13" customFormat="1" customHeight="1" s="286">
      <c r="B5" s="289" t="n"/>
      <c r="C5" s="144" t="inlineStr">
        <is>
          <t>Basis of Accounting</t>
        </is>
      </c>
      <c r="D5" s="145" t="inlineStr">
        <is>
          <t>Accrual Basis</t>
        </is>
      </c>
    </row>
    <row r="6" ht="13" customFormat="1" customHeight="1" s="286">
      <c r="B6" s="289" t="n"/>
      <c r="C6" s="144" t="inlineStr">
        <is>
          <t>Accounting Standards</t>
        </is>
      </c>
      <c r="D6" s="145" t="inlineStr">
        <is>
          <t>IFRS</t>
        </is>
      </c>
    </row>
    <row r="7" ht="13" customFormat="1" customHeight="1" s="286">
      <c r="B7" s="289" t="n"/>
      <c r="C7" s="144" t="inlineStr">
        <is>
          <t>Related Party Transactions</t>
        </is>
      </c>
      <c r="D7" s="145" t="inlineStr">
        <is>
          <t>Not confirmed</t>
        </is>
      </c>
    </row>
    <row r="8" customFormat="1" s="286">
      <c r="C8" s="290" t="inlineStr">
        <is>
          <t>DRAFT - 0 proposed adjustment(s) await approval; 6 open item(s). Only confirmed adjustments are included below.</t>
        </is>
      </c>
      <c r="D8" s="287" t="n"/>
      <c r="I8" s="291" t="n"/>
    </row>
    <row r="9" ht="39" customHeight="1">
      <c r="B9" s="51" t="n"/>
      <c r="C9" s="51" t="inlineStr">
        <is>
          <t>COMPUTATION OF TAXABLE INCOME/(LOSS) 
(based on draft FS provided by the management)</t>
        </is>
      </c>
      <c r="D9" s="53" t="n"/>
      <c r="E9" s="54" t="inlineStr">
        <is>
          <t>Current Basis
Option 3
(AED)</t>
        </is>
      </c>
      <c r="F9" s="54" t="n"/>
      <c r="G9" s="54" t="n"/>
      <c r="H9" s="292" t="n"/>
      <c r="I9" s="256" t="inlineStr">
        <is>
          <t>Comments</t>
        </is>
      </c>
    </row>
    <row r="10">
      <c r="B10" s="57" t="n"/>
      <c r="C10" s="58" t="n"/>
      <c r="E10" s="293" t="n"/>
      <c r="F10" s="293" t="n"/>
      <c r="G10" s="293" t="n"/>
    </row>
    <row r="11" ht="13" customHeight="1">
      <c r="B11" s="9" t="n"/>
      <c r="C11" s="10" t="inlineStr">
        <is>
          <t>Accounting Net Profit/(Loss)</t>
        </is>
      </c>
      <c r="D11" s="60" t="inlineStr">
        <is>
          <t>A</t>
        </is>
      </c>
      <c r="E11" s="294">
        <f>'Profit and Loss'!$D$30</f>
        <v/>
      </c>
      <c r="F11" s="294" t="n"/>
      <c r="G11" s="294" t="n"/>
      <c r="H11" s="286" t="inlineStr">
        <is>
          <t xml:space="preserve"> </t>
        </is>
      </c>
      <c r="I11" s="59" t="inlineStr">
        <is>
          <t>Current basis - no election</t>
        </is>
      </c>
    </row>
    <row r="12">
      <c r="B12" s="61" t="n"/>
      <c r="C12" s="58" t="n"/>
      <c r="D12" s="62" t="n"/>
      <c r="E12" s="295" t="n"/>
      <c r="F12" s="295" t="n"/>
      <c r="G12" s="295" t="n"/>
      <c r="I12" s="59" t="inlineStr">
        <is>
          <t>Transitional Rule - No</t>
        </is>
      </c>
    </row>
    <row r="13" ht="13" customHeight="1">
      <c r="B13" s="63" t="inlineStr">
        <is>
          <t>Deduct:</t>
        </is>
      </c>
      <c r="C13" s="64" t="inlineStr">
        <is>
          <t>Exempt Income/Other adjustments</t>
        </is>
      </c>
      <c r="D13" s="65" t="n"/>
      <c r="E13" s="296" t="n"/>
      <c r="F13" s="296" t="n"/>
      <c r="G13" s="296" t="n"/>
      <c r="I13" s="139" t="inlineStr">
        <is>
          <t>Source: Marjan_Gulf_Trading_TB_31Dec2025.xlsx (AED)</t>
        </is>
      </c>
    </row>
    <row r="14">
      <c r="B14" s="66" t="n"/>
      <c r="C14" s="67" t="inlineStr">
        <is>
          <t>Unrealised gains on capital items (Options 1 &amp; 2)</t>
        </is>
      </c>
      <c r="D14" s="16" t="n"/>
      <c r="E14" s="297" t="n">
        <v>0</v>
      </c>
      <c r="F14" s="298" t="n"/>
      <c r="G14" s="298" t="n"/>
      <c r="I14" s="59" t="n"/>
    </row>
    <row r="15">
      <c r="B15" s="66" t="n"/>
      <c r="C15" s="67" t="inlineStr">
        <is>
          <t>Unrealised gains on revenue items (Option 1):</t>
        </is>
      </c>
      <c r="D15" s="16" t="n"/>
      <c r="E15" s="297" t="n">
        <v>0</v>
      </c>
      <c r="F15" s="298" t="n"/>
      <c r="G15" s="298" t="n"/>
      <c r="I15" s="59" t="n"/>
    </row>
    <row r="16">
      <c r="B16" s="66" t="n"/>
      <c r="C16" s="67" t="inlineStr">
        <is>
          <t>Income from Qualifying Activity (Holding of shares for investment purposes)</t>
        </is>
      </c>
      <c r="D16" s="16" t="n"/>
      <c r="E16" s="297" t="n">
        <v>0</v>
      </c>
      <c r="F16" s="298" t="n"/>
      <c r="G16" s="298" t="n"/>
    </row>
    <row r="17">
      <c r="B17" s="68" t="n"/>
      <c r="C17" s="243" t="inlineStr">
        <is>
          <t>Dividends &amp; profit distributions received from resident juridical person</t>
        </is>
      </c>
      <c r="D17" s="16" t="n"/>
      <c r="E17" s="299">
        <f>SUMIF(Adjustments!$B$6:$B$10,"d_dividends_resident",Adjustments!$E$6:$E$10)</f>
        <v/>
      </c>
      <c r="F17" s="285" t="n"/>
      <c r="G17" s="285" t="n"/>
      <c r="H17" s="286" t="n"/>
      <c r="I17" s="300" t="inlineStr">
        <is>
          <t xml:space="preserve">Dividend from UAE resident juridical person - Dividend </t>
        </is>
      </c>
    </row>
    <row r="18">
      <c r="B18" s="68" t="n"/>
      <c r="C18" s="15" t="inlineStr">
        <is>
          <t>Income from Participating Interest (Dividend / Capital Gains)</t>
        </is>
      </c>
      <c r="D18" s="16" t="n"/>
      <c r="E18" s="299" t="n">
        <v>0</v>
      </c>
      <c r="F18" s="298" t="n"/>
      <c r="G18" s="298" t="n"/>
      <c r="I18" s="233" t="n"/>
    </row>
    <row r="19">
      <c r="B19" s="66" t="n"/>
      <c r="C19" s="15" t="inlineStr">
        <is>
          <t>Income form foreign Permanent Establishment (subject to election)</t>
        </is>
      </c>
      <c r="D19" s="69" t="n"/>
      <c r="E19" s="299" t="n">
        <v>0</v>
      </c>
      <c r="F19" s="298" t="n"/>
      <c r="G19" s="298" t="n"/>
    </row>
    <row r="20">
      <c r="B20" s="68" t="n"/>
      <c r="C20" s="56" t="inlineStr">
        <is>
          <t>Income from operating aircraft/ships in international transportation (For Non-residents only)</t>
        </is>
      </c>
      <c r="E20" s="299" t="n">
        <v>0</v>
      </c>
      <c r="F20" s="298" t="n"/>
      <c r="G20" s="298" t="n"/>
    </row>
    <row r="21">
      <c r="B21" s="68" t="n"/>
      <c r="C21" s="15" t="inlineStr">
        <is>
          <t>Gain from transfers within a qualifying group</t>
        </is>
      </c>
      <c r="D21" s="16" t="n"/>
      <c r="E21" s="299" t="n">
        <v>0</v>
      </c>
      <c r="F21" s="298" t="n"/>
      <c r="G21" s="298" t="n"/>
    </row>
    <row r="22">
      <c r="B22" s="66" t="n"/>
      <c r="C22" s="15" t="inlineStr">
        <is>
          <t>Gain from qualified business restructuring</t>
        </is>
      </c>
      <c r="D22" s="70" t="n"/>
      <c r="E22" s="299" t="n">
        <v>0</v>
      </c>
      <c r="F22" s="298" t="n"/>
      <c r="G22" s="298" t="n"/>
    </row>
    <row r="23" ht="25" customHeight="1">
      <c r="B23" s="66" t="n"/>
      <c r="C23" s="15" t="inlineStr">
        <is>
          <t>Other Adjustments to the Accounting Income for Determining the Taxable Income specified in MD No. 134</t>
        </is>
      </c>
      <c r="D23" s="71" t="n"/>
      <c r="E23" s="299" t="n">
        <v>0</v>
      </c>
      <c r="F23" s="298" t="n"/>
      <c r="G23" s="298" t="n"/>
    </row>
    <row r="24" ht="13" customHeight="1" thickBot="1">
      <c r="B24" s="66" t="n"/>
      <c r="C24" s="72" t="n"/>
      <c r="D24" s="71" t="n"/>
      <c r="E24" s="301" t="n">
        <v>0</v>
      </c>
      <c r="F24" s="301" t="n"/>
      <c r="G24" s="301" t="n"/>
    </row>
    <row r="25" ht="13.5" customHeight="1" thickBot="1">
      <c r="B25" s="66" t="n"/>
      <c r="C25" s="73" t="inlineStr">
        <is>
          <t>Total Deductions</t>
        </is>
      </c>
      <c r="D25" s="74" t="inlineStr">
        <is>
          <t>B</t>
        </is>
      </c>
      <c r="E25" s="302">
        <f>SUM(E14:E24)</f>
        <v/>
      </c>
      <c r="F25" s="302" t="n"/>
      <c r="G25" s="302" t="n"/>
    </row>
    <row r="26" ht="13" customHeight="1">
      <c r="B26" s="57" t="n"/>
      <c r="C26" s="23" t="n"/>
      <c r="D26" s="71" t="n"/>
      <c r="E26" s="303" t="n"/>
      <c r="F26" s="303" t="n"/>
      <c r="G26" s="303" t="n"/>
    </row>
    <row r="27" ht="13" customHeight="1">
      <c r="B27" s="75" t="inlineStr">
        <is>
          <t>Add:</t>
        </is>
      </c>
      <c r="C27" s="76" t="inlineStr">
        <is>
          <t>Non-deductible Expenses/Other adjustments:</t>
        </is>
      </c>
      <c r="D27" s="77" t="n"/>
      <c r="E27" s="304" t="n"/>
      <c r="F27" s="304" t="n"/>
      <c r="G27" s="304" t="n"/>
    </row>
    <row r="28">
      <c r="B28" s="66" t="n"/>
      <c r="C28" s="67" t="inlineStr">
        <is>
          <t>Unrealised loss on capital items (Options 1 &amp; 2)</t>
        </is>
      </c>
      <c r="D28" s="16" t="n"/>
      <c r="E28" s="299" t="n">
        <v>0</v>
      </c>
      <c r="F28" s="298" t="n"/>
      <c r="G28" s="298" t="n"/>
      <c r="I28" s="56" t="n"/>
    </row>
    <row r="29">
      <c r="B29" s="66" t="n"/>
      <c r="C29" s="67" t="inlineStr">
        <is>
          <t>Unrealised loss on revenue items (Option 1)</t>
        </is>
      </c>
      <c r="D29" s="16" t="n"/>
      <c r="E29" s="299" t="n">
        <v>0</v>
      </c>
      <c r="F29" s="298" t="n"/>
      <c r="G29" s="298" t="n"/>
      <c r="I29" s="56" t="n"/>
    </row>
    <row r="30">
      <c r="B30" s="66" t="n"/>
      <c r="C30" s="67" t="inlineStr">
        <is>
          <t>Loss from Qualifying Activity (Holding of shares for investment purposes)</t>
        </is>
      </c>
      <c r="D30" s="16" t="n"/>
      <c r="E30" s="297" t="n">
        <v>0</v>
      </c>
      <c r="F30" s="298" t="n"/>
      <c r="G30" s="298" t="n"/>
    </row>
    <row r="31">
      <c r="B31" s="242" t="n"/>
      <c r="C31" s="249" t="inlineStr">
        <is>
          <t>Expenses of capital nature</t>
        </is>
      </c>
      <c r="E31" s="305" t="n">
        <v>0</v>
      </c>
      <c r="F31" s="285" t="n"/>
      <c r="G31" s="285" t="n"/>
      <c r="H31" s="286" t="n"/>
    </row>
    <row r="32">
      <c r="B32" s="68" t="n"/>
      <c r="C32" s="67" t="inlineStr">
        <is>
          <t>Expenses incurred in deriving Exempt Income</t>
        </is>
      </c>
      <c r="D32" s="16" t="n"/>
      <c r="E32" s="299" t="n">
        <v>0</v>
      </c>
      <c r="F32" s="298" t="n"/>
      <c r="G32" s="298" t="n"/>
      <c r="I32" s="56" t="n"/>
    </row>
    <row r="33">
      <c r="B33" s="68" t="n"/>
      <c r="C33" s="67" t="inlineStr">
        <is>
          <t>Expenses not incurred for the purposes of the Taxable Person’s Business</t>
        </is>
      </c>
      <c r="D33" s="92" t="n"/>
      <c r="E33" s="299">
        <f>SUMIF(Adjustments!$B$6:$B$10,"a_non_business",Adjustments!$E$6:$E$10)</f>
        <v/>
      </c>
      <c r="F33" s="298" t="n"/>
      <c r="G33" s="298" t="n"/>
      <c r="I33" s="306" t="inlineStr">
        <is>
          <t>Personal / owner expenses - Director personal expenses</t>
        </is>
      </c>
    </row>
    <row r="34">
      <c r="B34" s="21" t="n"/>
      <c r="C34" s="78" t="inlineStr">
        <is>
          <t>Losses not connected with or arising out of the Taxable Person’s Business</t>
        </is>
      </c>
      <c r="D34" s="62" t="n"/>
      <c r="E34" s="299" t="n">
        <v>0</v>
      </c>
      <c r="F34" s="298" t="n"/>
      <c r="G34" s="298" t="n"/>
      <c r="I34" s="56" t="n"/>
    </row>
    <row r="35">
      <c r="B35" s="66" t="n"/>
      <c r="C35" s="78" t="inlineStr">
        <is>
          <t>Interest charged in excess of allowable limit</t>
        </is>
      </c>
      <c r="E35" s="299" t="n">
        <v>0</v>
      </c>
      <c r="F35" s="298" t="n"/>
      <c r="G35" s="298" t="n"/>
    </row>
    <row r="36">
      <c r="B36" s="68" t="n"/>
      <c r="C36" s="67" t="inlineStr">
        <is>
          <t>Non-deductible interest</t>
        </is>
      </c>
      <c r="D36" s="16" t="n"/>
      <c r="E36" s="299" t="n">
        <v>0</v>
      </c>
      <c r="F36" s="298" t="n"/>
      <c r="G36" s="298" t="n"/>
    </row>
    <row r="37" ht="25" customHeight="1">
      <c r="B37" s="68" t="n"/>
      <c r="C37" s="67" t="inlineStr">
        <is>
          <t>50% of any entertainment, amusement or recreation expenses incurred for Taxable Person’s customers, shareholders, suppliers or other business partners</t>
        </is>
      </c>
      <c r="D37" s="92" t="n"/>
      <c r="E37" s="299">
        <f>SUMIF(Adjustments!$B$6:$B$10,"a_entertainment",Adjustments!$E$6:$E$10)</f>
        <v/>
      </c>
      <c r="F37" s="298" t="n"/>
      <c r="G37" s="298" t="n"/>
      <c r="I37" s="306" t="inlineStr">
        <is>
          <t xml:space="preserve">Entertainment / hospitality - Client entertainment and </t>
        </is>
      </c>
    </row>
    <row r="38">
      <c r="B38" s="66" t="n"/>
      <c r="C38" s="67" t="inlineStr">
        <is>
          <t>Donations, grants or gifts made to a non-Qualifying Public Benefit Entity</t>
        </is>
      </c>
      <c r="D38" s="92" t="n"/>
      <c r="E38" s="299">
        <f>SUMIF(Adjustments!$B$6:$B$10,"a_donations",Adjustments!$E$6:$E$10)</f>
        <v/>
      </c>
      <c r="F38" s="298" t="n"/>
      <c r="G38" s="298" t="n"/>
      <c r="I38" s="306" t="inlineStr">
        <is>
          <t>Donations / charitable - Donations</t>
        </is>
      </c>
    </row>
    <row r="39">
      <c r="B39" s="66" t="n"/>
      <c r="C39" s="15" t="inlineStr">
        <is>
          <t>Fines and penalties, other than amounts awarded as compensation for damages or breach of contract</t>
        </is>
      </c>
      <c r="D39" s="92" t="n"/>
      <c r="E39" s="299">
        <f>SUMIF(Adjustments!$B$6:$B$10,"a_fines",Adjustments!$E$6:$E$10)</f>
        <v/>
      </c>
      <c r="F39" s="298" t="n"/>
      <c r="G39" s="298" t="n"/>
      <c r="I39" s="306" t="inlineStr">
        <is>
          <t>Fines and penalties - Fines and penalties</t>
        </is>
      </c>
    </row>
    <row r="40">
      <c r="B40" s="68" t="n"/>
      <c r="C40" s="67" t="inlineStr">
        <is>
          <t>Expenses without Supporting Documents</t>
        </is>
      </c>
      <c r="D40" s="92" t="n"/>
      <c r="E40" s="299" t="n">
        <v>0</v>
      </c>
      <c r="F40" s="298" t="n"/>
      <c r="G40" s="298" t="n"/>
      <c r="I40" s="56" t="n"/>
    </row>
    <row r="41">
      <c r="B41" s="68" t="n"/>
      <c r="C41" s="67" t="inlineStr">
        <is>
          <t>Dividends, profit distributions or benefits of a similar nature paid to an owner of the Taxable Person</t>
        </is>
      </c>
      <c r="D41" s="92" t="n"/>
      <c r="E41" s="299" t="n">
        <v>0</v>
      </c>
      <c r="F41" s="298" t="n"/>
      <c r="G41" s="298" t="n"/>
      <c r="I41" s="56" t="n"/>
    </row>
    <row r="42" ht="25" customHeight="1">
      <c r="B42" s="68" t="n"/>
      <c r="C42" s="67" t="inlineStr">
        <is>
          <t>Amounts withdrawn from the business by a natural person who is a Taxable Person or a partner in an Unincorporated Partnership</t>
        </is>
      </c>
      <c r="D42" s="70" t="n"/>
      <c r="E42" s="299" t="n">
        <v>0</v>
      </c>
      <c r="F42" s="298" t="n"/>
      <c r="G42" s="298" t="n"/>
      <c r="I42" s="56" t="n"/>
    </row>
    <row r="43">
      <c r="B43" s="68" t="n"/>
      <c r="C43" s="67" t="inlineStr">
        <is>
          <t>Corporate Tax imposed on a Taxable Person as per the applicable Law</t>
        </is>
      </c>
      <c r="D43" s="70" t="n"/>
      <c r="E43" s="299" t="n">
        <v>0</v>
      </c>
      <c r="F43" s="298" t="n"/>
      <c r="G43" s="298" t="n"/>
    </row>
    <row r="44">
      <c r="B44" s="68" t="n"/>
      <c r="C44" s="79" t="inlineStr">
        <is>
          <t>Input Value Added Tax incurred by a Taxable Person that is recoverable as per the applicable Law</t>
        </is>
      </c>
      <c r="E44" s="299" t="n">
        <v>0</v>
      </c>
      <c r="F44" s="298" t="n"/>
      <c r="G44" s="298" t="n"/>
    </row>
    <row r="45">
      <c r="B45" s="68" t="n"/>
      <c r="C45" s="67" t="inlineStr">
        <is>
          <t>Tax on income imposed on the Taxable Person outside UAE</t>
        </is>
      </c>
      <c r="D45" s="69" t="n"/>
      <c r="E45" s="299" t="n">
        <v>0</v>
      </c>
      <c r="F45" s="298" t="n"/>
      <c r="G45" s="298" t="n"/>
    </row>
    <row r="46" ht="40" customFormat="1" customHeight="1" s="120">
      <c r="A46" s="135" t="n"/>
      <c r="B46" s="136" t="n"/>
      <c r="C46" s="137" t="inlineStr">
        <is>
          <t>Adjustments for transactions with Related Parties and Connected Persons that are not on an arm's length basis</t>
        </is>
      </c>
      <c r="D46" s="140" t="inlineStr">
        <is>
          <t>Management confirmed the balances are at arm's length.</t>
        </is>
      </c>
      <c r="E46" s="299" t="n">
        <v>0</v>
      </c>
      <c r="F46" s="307" t="n"/>
      <c r="G46" s="307" t="n"/>
      <c r="H46" s="289" t="n"/>
      <c r="I46" s="139" t="n"/>
    </row>
    <row r="47" ht="25" customHeight="1">
      <c r="B47" s="66" t="n"/>
      <c r="C47" s="15" t="inlineStr">
        <is>
          <t>Other Adjustments to the Accounting Income for Determining the Taxable Income specified in MD No. 134</t>
        </is>
      </c>
      <c r="E47" s="299" t="n">
        <v>0</v>
      </c>
      <c r="F47" s="298" t="n"/>
      <c r="G47" s="298" t="n"/>
    </row>
    <row r="48">
      <c r="B48" s="68" t="n"/>
      <c r="C48" s="67" t="inlineStr">
        <is>
          <t>Any other expenses that may be specified in a CD to be issued</t>
        </is>
      </c>
      <c r="D48" s="16" t="n"/>
      <c r="E48" s="299" t="n">
        <v>0</v>
      </c>
      <c r="F48" s="298" t="n"/>
      <c r="G48" s="298" t="n"/>
    </row>
    <row r="49" ht="13" customHeight="1" thickBot="1">
      <c r="B49" s="68" t="n"/>
      <c r="C49" s="80" t="n"/>
      <c r="D49" s="69" t="n"/>
      <c r="E49" s="301" t="n"/>
      <c r="F49" s="301" t="n"/>
      <c r="G49" s="301" t="n"/>
    </row>
    <row r="50" ht="13.5" customHeight="1" thickBot="1">
      <c r="B50" s="21" t="n"/>
      <c r="C50" s="73" t="inlineStr">
        <is>
          <t>Total Non-deductible expenses</t>
        </is>
      </c>
      <c r="D50" s="81" t="inlineStr">
        <is>
          <t>C</t>
        </is>
      </c>
      <c r="E50" s="308">
        <f>SUM(E28:E48)</f>
        <v/>
      </c>
      <c r="F50" s="308" t="n"/>
      <c r="G50" s="308" t="n"/>
    </row>
    <row r="51" ht="13" customHeight="1" thickBot="1">
      <c r="B51" s="68" t="n"/>
      <c r="C51" s="80" t="n"/>
      <c r="D51" s="69" t="n"/>
      <c r="E51" s="301" t="n"/>
      <c r="F51" s="301" t="n"/>
      <c r="G51" s="301" t="n"/>
    </row>
    <row r="52" ht="26.5" customHeight="1" thickBot="1">
      <c r="B52" s="136" t="inlineStr">
        <is>
          <t>Add/Deduct</t>
        </is>
      </c>
      <c r="C52" s="250" t="inlineStr">
        <is>
          <t>Other Adjustments</t>
        </is>
      </c>
      <c r="D52" s="69" t="n"/>
      <c r="E52" s="298" t="n"/>
      <c r="F52" s="301" t="n"/>
      <c r="G52" s="301" t="n"/>
    </row>
    <row r="53" ht="13" customHeight="1" thickBot="1">
      <c r="B53" s="68" t="n"/>
      <c r="C53" s="80" t="inlineStr">
        <is>
          <t>Amount of previously unrealised gains which have been realised in the current Tax Period</t>
        </is>
      </c>
      <c r="D53" s="69" t="n"/>
      <c r="E53" s="299" t="n">
        <v>0</v>
      </c>
      <c r="F53" s="301" t="n"/>
      <c r="G53" s="301" t="n"/>
    </row>
    <row r="54">
      <c r="B54" s="68" t="n"/>
      <c r="C54" s="80" t="inlineStr">
        <is>
          <t>Amount of previously unrealised losses which have been realised in the current Tax Period</t>
        </is>
      </c>
      <c r="D54" s="16" t="n"/>
      <c r="E54" s="299" t="n">
        <v>0</v>
      </c>
      <c r="F54" s="298" t="n"/>
      <c r="G54" s="298" t="n"/>
    </row>
    <row r="55">
      <c r="B55" s="68" t="n"/>
      <c r="C55" s="67" t="n"/>
      <c r="D55" s="16" t="n"/>
      <c r="E55" s="298" t="n"/>
      <c r="F55" s="298" t="n"/>
      <c r="G55" s="298" t="n"/>
    </row>
    <row r="56">
      <c r="B56" s="68" t="n"/>
      <c r="C56" s="67" t="n"/>
      <c r="D56" s="16" t="n"/>
      <c r="E56" s="298" t="n"/>
      <c r="F56" s="298" t="n"/>
      <c r="G56" s="298" t="n"/>
    </row>
    <row r="57" ht="13" customHeight="1">
      <c r="B57" s="83" t="n"/>
      <c r="C57" s="52" t="inlineStr">
        <is>
          <t>TAXABLE INCOME</t>
        </is>
      </c>
      <c r="D57" s="60" t="inlineStr">
        <is>
          <t>D = (A - B) + C</t>
        </is>
      </c>
      <c r="E57" s="309">
        <f>((E11-E25)+E50)+E53-E54</f>
        <v/>
      </c>
      <c r="F57" s="309" t="n"/>
      <c r="G57" s="309" t="n"/>
    </row>
    <row r="58">
      <c r="B58" s="26" t="n"/>
      <c r="C58" s="23" t="n"/>
      <c r="E58" s="310" t="n"/>
      <c r="F58" s="310" t="n"/>
      <c r="G58" s="310" t="n"/>
      <c r="H58" s="286" t="n"/>
    </row>
    <row r="59" ht="13" customHeight="1">
      <c r="B59" s="63" t="inlineStr">
        <is>
          <t>Deduct:</t>
        </is>
      </c>
      <c r="C59" s="64" t="inlineStr">
        <is>
          <t>Tax loss relief</t>
        </is>
      </c>
      <c r="D59" s="65" t="n"/>
      <c r="E59" s="311" t="n"/>
      <c r="F59" s="311" t="n"/>
      <c r="G59" s="311" t="n"/>
    </row>
    <row r="60">
      <c r="B60" s="57" t="n"/>
      <c r="C60" s="84" t="inlineStr">
        <is>
          <t>Carried forward losses (limited to 75% of taxable income)</t>
        </is>
      </c>
      <c r="D60" s="70" t="n"/>
      <c r="E60" s="311" t="n">
        <v>0</v>
      </c>
      <c r="F60" s="311" t="n"/>
      <c r="G60" s="311" t="n"/>
    </row>
    <row r="61">
      <c r="B61" s="57" t="n"/>
      <c r="C61" s="84" t="inlineStr">
        <is>
          <t>Intragroup transfer of losses (limited to 75% of taxable income)</t>
        </is>
      </c>
      <c r="D61" s="70" t="n"/>
      <c r="E61" s="311" t="n">
        <v>0</v>
      </c>
      <c r="F61" s="311" t="n"/>
      <c r="G61" s="311" t="n"/>
    </row>
    <row r="62">
      <c r="B62" s="57" t="n"/>
      <c r="C62" s="58" t="n"/>
      <c r="D62" s="16" t="n"/>
      <c r="E62" s="298" t="n"/>
      <c r="F62" s="298" t="n"/>
      <c r="G62" s="298" t="n"/>
    </row>
    <row r="63" ht="13" customHeight="1">
      <c r="B63" s="85" t="n"/>
      <c r="C63" s="86" t="inlineStr">
        <is>
          <t>NET TAXABLE INCOME/(TAX LOSS)</t>
        </is>
      </c>
      <c r="D63" s="87" t="inlineStr">
        <is>
          <t>E</t>
        </is>
      </c>
      <c r="E63" s="309">
        <f>E57+E60+E61</f>
        <v/>
      </c>
      <c r="F63" s="309" t="n"/>
      <c r="G63" s="309" t="n"/>
    </row>
    <row r="64" customFormat="1" s="285">
      <c r="A64" s="82" t="n"/>
      <c r="B64" s="56" t="n"/>
      <c r="C64" s="56" t="n"/>
      <c r="D64" s="27" t="n"/>
      <c r="E64" s="285" t="n"/>
      <c r="F64" s="285" t="n"/>
      <c r="G64" s="285" t="n"/>
      <c r="H64" s="286" t="n"/>
    </row>
    <row r="65" ht="39" customFormat="1" customHeight="1" s="285">
      <c r="A65" s="82" t="n"/>
      <c r="B65" s="51" t="n"/>
      <c r="C65" s="52" t="inlineStr">
        <is>
          <t>COMPUTATION OF CORPORATE TAX PAYABLE</t>
        </is>
      </c>
      <c r="D65" s="53" t="n"/>
      <c r="E65" s="54">
        <f>E9</f>
        <v/>
      </c>
      <c r="F65" s="54" t="n"/>
      <c r="G65" s="54" t="n"/>
      <c r="H65" s="286" t="n"/>
    </row>
    <row r="66" ht="13" customFormat="1" customHeight="1" s="285">
      <c r="A66" s="82" t="n"/>
      <c r="B66" s="33" t="n"/>
      <c r="C66" s="34" t="n"/>
      <c r="D66" s="35" t="n"/>
      <c r="E66" s="36" t="n"/>
      <c r="F66" s="36" t="n"/>
      <c r="G66" s="36" t="n"/>
      <c r="H66" s="286" t="n"/>
    </row>
    <row r="67" customFormat="1" s="285">
      <c r="A67" s="82" t="n"/>
      <c r="B67" s="61" t="n"/>
      <c r="C67" s="88" t="inlineStr">
        <is>
          <t>0% on taxable income up to AED 375,000</t>
        </is>
      </c>
      <c r="D67" s="16" t="n"/>
      <c r="E67" s="312" t="n">
        <v>0</v>
      </c>
      <c r="F67" s="312" t="n"/>
      <c r="G67" s="312" t="n"/>
      <c r="H67" s="286" t="n"/>
    </row>
    <row r="68" customFormat="1" s="285">
      <c r="A68" s="82" t="n"/>
      <c r="B68" s="61" t="n"/>
      <c r="C68" s="88" t="inlineStr">
        <is>
          <t>9% on taxable income above AED 375,000</t>
        </is>
      </c>
      <c r="D68" s="16" t="n"/>
      <c r="E68" s="312">
        <f>IF(E63&lt;=375000,0,ROUND((E63-375000)*0.09,0))</f>
        <v/>
      </c>
      <c r="F68" s="312" t="n"/>
      <c r="G68" s="312" t="n"/>
      <c r="H68" s="286" t="n"/>
      <c r="I68" s="313" t="n"/>
    </row>
    <row r="69" customFormat="1" s="285">
      <c r="A69" s="82" t="n"/>
      <c r="B69" s="61" t="n"/>
      <c r="C69" s="88" t="n"/>
      <c r="D69" s="16" t="n"/>
      <c r="E69" s="312" t="n"/>
      <c r="F69" s="312" t="n"/>
      <c r="G69" s="312" t="n"/>
      <c r="H69" s="286" t="n"/>
      <c r="I69" s="313" t="n"/>
    </row>
    <row r="70" ht="13" customFormat="1" customHeight="1" s="285">
      <c r="A70" s="82" t="n"/>
      <c r="B70" s="63" t="inlineStr">
        <is>
          <t>Deduct:</t>
        </is>
      </c>
      <c r="C70" s="64" t="inlineStr">
        <is>
          <t>Withholding Tax Credit/Foreign Tax Credits (limited to CT payable)</t>
        </is>
      </c>
      <c r="D70" s="89" t="n"/>
      <c r="E70" s="312" t="n">
        <v>0</v>
      </c>
      <c r="F70" s="312" t="n"/>
      <c r="G70" s="312" t="n"/>
      <c r="H70" s="286" t="n"/>
      <c r="I70" s="313" t="n"/>
    </row>
    <row r="71" customFormat="1" s="285">
      <c r="A71" s="82" t="n"/>
      <c r="B71" s="57" t="n"/>
      <c r="C71" s="58" t="n"/>
      <c r="D71" s="27" t="n"/>
      <c r="E71" s="314" t="n"/>
      <c r="F71" s="314" t="n"/>
      <c r="G71" s="314" t="n"/>
      <c r="H71" s="286" t="n"/>
      <c r="I71" s="313" t="n"/>
    </row>
    <row r="72" ht="13" customFormat="1" customHeight="1" s="285">
      <c r="A72" s="82" t="n"/>
      <c r="B72" s="315" t="n"/>
      <c r="C72" s="316" t="inlineStr">
        <is>
          <t>Tax Payable</t>
        </is>
      </c>
      <c r="D72" s="317" t="n"/>
      <c r="E72" s="318">
        <f>E67+E68+E70</f>
        <v/>
      </c>
      <c r="F72" s="318" t="n"/>
      <c r="G72" s="318" t="n"/>
      <c r="H72" s="286" t="n"/>
      <c r="I72" s="313" t="n"/>
    </row>
    <row r="73" ht="13" customHeight="1">
      <c r="B73" s="319" t="n"/>
      <c r="C73" s="320" t="inlineStr">
        <is>
          <t>Effective Tax Rate (Tax Payable/Accounting Net Profit/(Loss))</t>
        </is>
      </c>
      <c r="D73" s="321" t="n"/>
      <c r="E73" s="322">
        <f>IFERROR(E72/E11,0)</f>
        <v/>
      </c>
      <c r="F73" s="90" t="n"/>
      <c r="G73" s="90" t="n"/>
      <c r="I73" s="313" t="n"/>
    </row>
    <row r="74" ht="13" customHeight="1">
      <c r="A74" s="91" t="n"/>
      <c r="B74" s="323" t="n"/>
      <c r="C74" s="323" t="n"/>
      <c r="D74" s="324" t="n"/>
      <c r="E74" s="324" t="n"/>
      <c r="F74" s="324" t="n"/>
      <c r="G74" s="324" t="n"/>
      <c r="H74" s="286" t="n"/>
      <c r="I74" s="313" t="n"/>
    </row>
  </sheetData>
  <pageMargins left="0.7086614173228347" right="0.7086614173228347" top="0.7480314960629921" bottom="0.7480314960629921" header="0.3149606299212598" footer="0.3149606299212598"/>
  <pageSetup orientation="portrait" paperSize="9" scale="69" fitToHeight="0"/>
  <headerFooter>
    <oddHeader/>
    <oddFooter>&amp;L&amp;A&amp;C&amp;P&amp;R&amp;F</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D30"/>
  <sheetViews>
    <sheetView showGridLines="0" workbookViewId="0">
      <selection activeCell="A1" sqref="A1"/>
    </sheetView>
  </sheetViews>
  <sheetFormatPr baseColWidth="8" defaultRowHeight="15"/>
  <cols>
    <col width="3" customWidth="1" min="1" max="1"/>
    <col width="58" customWidth="1" min="2" max="2"/>
    <col width="60" customWidth="1" min="3" max="3"/>
    <col width="20" customWidth="1" min="4" max="4"/>
  </cols>
  <sheetData>
    <row r="1">
      <c r="B1" s="325">
        <f>'Calculation of CT'!$C$2</f>
        <v/>
      </c>
    </row>
    <row r="2">
      <c r="B2" s="325">
        <f>'Calculation of CT'!$C$3</f>
        <v/>
      </c>
    </row>
    <row r="3">
      <c r="B3" s="326" t="inlineStr">
        <is>
          <t>Statement of profit or loss (AED) - prepared from the trial balance; income positive, expenses negative</t>
        </is>
      </c>
    </row>
    <row r="5" ht="22" customHeight="1">
      <c r="B5" s="327" t="inlineStr">
        <is>
          <t>Line</t>
        </is>
      </c>
      <c r="C5" s="327" t="inlineStr">
        <is>
          <t>Source accounts (see TB (AED) sheet)</t>
        </is>
      </c>
      <c r="D5" s="327" t="inlineStr">
        <is>
          <t>AED</t>
        </is>
      </c>
    </row>
    <row r="6">
      <c r="B6" s="282" t="inlineStr">
        <is>
          <t>Revenue</t>
        </is>
      </c>
      <c r="C6" s="281" t="inlineStr">
        <is>
          <t>Sales - goods; Service revenue</t>
        </is>
      </c>
      <c r="D6" s="328">
        <f>-SUMIFS('TB (AED)'!$L$6:$L$51,'TB (AED)'!$D$6:$D$51,"P_REV")</f>
        <v/>
      </c>
    </row>
    <row r="7">
      <c r="B7" s="282" t="inlineStr">
        <is>
          <t>Cost of sales</t>
        </is>
      </c>
      <c r="C7" s="281" t="inlineStr">
        <is>
          <t>Cost of goods sold</t>
        </is>
      </c>
      <c r="D7" s="328">
        <f>-SUMIFS('TB (AED)'!$L$6:$L$51,'TB (AED)'!$D$6:$D$51,"P_COS")</f>
        <v/>
      </c>
    </row>
    <row r="8">
      <c r="B8" s="329" t="inlineStr">
        <is>
          <t>Gross profit</t>
        </is>
      </c>
      <c r="D8" s="330">
        <f>D6+D7</f>
        <v/>
      </c>
    </row>
    <row r="9">
      <c r="B9" s="329" t="inlineStr">
        <is>
          <t>Other income</t>
        </is>
      </c>
    </row>
    <row r="10">
      <c r="B10" s="282" t="inlineStr">
        <is>
          <t>Dividend income</t>
        </is>
      </c>
      <c r="C10" s="281" t="inlineStr">
        <is>
          <t>Dividend income - Marjan Logistics FZE</t>
        </is>
      </c>
      <c r="D10" s="328">
        <f>-SUMIFS('TB (AED)'!$L$6:$L$51,'TB (AED)'!$D$6:$D$51,"P_DIV")</f>
        <v/>
      </c>
    </row>
    <row r="11">
      <c r="B11" s="282" t="inlineStr">
        <is>
          <t>Interest income</t>
        </is>
      </c>
      <c r="C11" s="281" t="inlineStr">
        <is>
          <t>Interest income - bank deposits</t>
        </is>
      </c>
      <c r="D11" s="328">
        <f>-SUMIFS('TB (AED)'!$L$6:$L$51,'TB (AED)'!$D$6:$D$51,"P_INT_INC")</f>
        <v/>
      </c>
    </row>
    <row r="12">
      <c r="B12" s="282" t="inlineStr">
        <is>
          <t>Fair value gain/(loss) on investments</t>
        </is>
      </c>
      <c r="C12" s="281" t="inlineStr">
        <is>
          <t>Unrealised gain on fair value of investments</t>
        </is>
      </c>
      <c r="D12" s="328">
        <f>-SUMIFS('TB (AED)'!$L$6:$L$51,'TB (AED)'!$D$6:$D$51,"P_FV")</f>
        <v/>
      </c>
    </row>
    <row r="13">
      <c r="B13" s="329" t="inlineStr">
        <is>
          <t>Total other income</t>
        </is>
      </c>
      <c r="D13" s="330">
        <f>D10+D11+D12</f>
        <v/>
      </c>
    </row>
    <row r="14">
      <c r="B14" s="329" t="inlineStr">
        <is>
          <t>Operating expenses</t>
        </is>
      </c>
    </row>
    <row r="15">
      <c r="B15" s="282" t="inlineStr">
        <is>
          <t>Staff costs</t>
        </is>
      </c>
      <c r="C15" s="281" t="inlineStr">
        <is>
          <t>Salaries and wages; Staff end of service benefit expense</t>
        </is>
      </c>
      <c r="D15" s="328">
        <f>-SUMIFS('TB (AED)'!$L$6:$L$51,'TB (AED)'!$D$6:$D$51,"P_STAFF")</f>
        <v/>
      </c>
    </row>
    <row r="16">
      <c r="B16" s="282" t="inlineStr">
        <is>
          <t>Audit, legal and professional fees</t>
        </is>
      </c>
      <c r="C16" s="281" t="inlineStr">
        <is>
          <t>Professional and legal fees</t>
        </is>
      </c>
      <c r="D16" s="328">
        <f>-SUMIFS('TB (AED)'!$L$6:$L$51,'TB (AED)'!$D$6:$D$51,"P_PROF")</f>
        <v/>
      </c>
    </row>
    <row r="17">
      <c r="B17" s="282" t="inlineStr">
        <is>
          <t>Bank fees and charges</t>
        </is>
      </c>
      <c r="C17" s="281" t="inlineStr">
        <is>
          <t>Bank charges</t>
        </is>
      </c>
      <c r="D17" s="328">
        <f>-SUMIFS('TB (AED)'!$L$6:$L$51,'TB (AED)'!$D$6:$D$51,"P_BANK")</f>
        <v/>
      </c>
    </row>
    <row r="18">
      <c r="B18" s="282" t="inlineStr">
        <is>
          <t>Rent and premises</t>
        </is>
      </c>
      <c r="C18" s="281" t="inlineStr">
        <is>
          <t>Office rent; Telephone and utilities</t>
        </is>
      </c>
      <c r="D18" s="328">
        <f>-SUMIFS('TB (AED)'!$L$6:$L$51,'TB (AED)'!$D$6:$D$51,"P_RENT")</f>
        <v/>
      </c>
    </row>
    <row r="19">
      <c r="B19" s="282" t="inlineStr">
        <is>
          <t>Marketing, promotion and commissions</t>
        </is>
      </c>
      <c r="C19" s="281" t="inlineStr">
        <is>
          <t>Marketing and advertising</t>
        </is>
      </c>
      <c r="D19" s="328">
        <f>-SUMIFS('TB (AED)'!$L$6:$L$51,'TB (AED)'!$D$6:$D$51,"P_MKT")</f>
        <v/>
      </c>
    </row>
    <row r="20">
      <c r="B20" s="282" t="inlineStr">
        <is>
          <t>Entertainment, events and gifts</t>
        </is>
      </c>
      <c r="C20" s="281" t="inlineStr">
        <is>
          <t>Client entertainment and hospitality</t>
        </is>
      </c>
      <c r="D20" s="328">
        <f>-SUMIFS('TB (AED)'!$L$6:$L$51,'TB (AED)'!$D$6:$D$51,"P_ENT")</f>
        <v/>
      </c>
    </row>
    <row r="21">
      <c r="B21" s="282" t="inlineStr">
        <is>
          <t>Donations</t>
        </is>
      </c>
      <c r="C21" s="281" t="inlineStr">
        <is>
          <t>Donations</t>
        </is>
      </c>
      <c r="D21" s="328">
        <f>-SUMIFS('TB (AED)'!$L$6:$L$51,'TB (AED)'!$D$6:$D$51,"P_DON")</f>
        <v/>
      </c>
    </row>
    <row r="22">
      <c r="B22" s="282" t="inlineStr">
        <is>
          <t>Fines and penalties</t>
        </is>
      </c>
      <c r="C22" s="281" t="inlineStr">
        <is>
          <t>Fines and penalties</t>
        </is>
      </c>
      <c r="D22" s="328">
        <f>-SUMIFS('TB (AED)'!$L$6:$L$51,'TB (AED)'!$D$6:$D$51,"P_FINES")</f>
        <v/>
      </c>
    </row>
    <row r="23">
      <c r="B23" s="282" t="inlineStr">
        <is>
          <t>Provisions, impairments and bad debts</t>
        </is>
      </c>
      <c r="C23" s="281" t="inlineStr">
        <is>
          <t>Impairment of trade receivables - provision for doubtful debts</t>
        </is>
      </c>
      <c r="D23" s="328">
        <f>-SUMIFS('TB (AED)'!$L$6:$L$51,'TB (AED)'!$D$6:$D$51,"P_PROV")</f>
        <v/>
      </c>
    </row>
    <row r="24">
      <c r="B24" s="282" t="inlineStr">
        <is>
          <t>General and administrative expenses (other)</t>
        </is>
      </c>
      <c r="C24" s="281" t="inlineStr">
        <is>
          <t>Repairs and maintenance; Management fee - Marjan Holdings LLC; Director personal expenses ...</t>
        </is>
      </c>
      <c r="D24" s="328">
        <f>-SUMIFS('TB (AED)'!$L$6:$L$51,'TB (AED)'!$D$6:$D$51,"P_GEN")</f>
        <v/>
      </c>
    </row>
    <row r="25">
      <c r="B25" s="329" t="inlineStr">
        <is>
          <t>Total operating expenses</t>
        </is>
      </c>
      <c r="D25" s="330">
        <f>D15+D16+D17+D18+D19+D20+D21+D22+D23+D24</f>
        <v/>
      </c>
    </row>
    <row r="26">
      <c r="B26" s="282" t="inlineStr">
        <is>
          <t>Depreciation and amortisation</t>
        </is>
      </c>
      <c r="C26" s="281" t="inlineStr">
        <is>
          <t>Depreciation expense</t>
        </is>
      </c>
      <c r="D26" s="328">
        <f>-SUMIFS('TB (AED)'!$L$6:$L$51,'TB (AED)'!$D$6:$D$51,"P_DEP")</f>
        <v/>
      </c>
    </row>
    <row r="27">
      <c r="B27" s="282" t="inlineStr">
        <is>
          <t>Finance costs</t>
        </is>
      </c>
      <c r="C27" s="281" t="inlineStr">
        <is>
          <t>Interest expense - shareholder loan; Interest expense - bank term loan</t>
        </is>
      </c>
      <c r="D27" s="328">
        <f>-SUMIFS('TB (AED)'!$L$6:$L$51,'TB (AED)'!$D$6:$D$51,"P_FIN")</f>
        <v/>
      </c>
    </row>
    <row r="28">
      <c r="B28" s="282" t="inlineStr">
        <is>
          <t>Foreign exchange (gain)/loss</t>
        </is>
      </c>
      <c r="C28" s="281" t="inlineStr">
        <is>
          <t>Foreign exchange gain; Foreign exchange loss</t>
        </is>
      </c>
      <c r="D28" s="328">
        <f>-SUMIFS('TB (AED)'!$L$6:$L$51,'TB (AED)'!$D$6:$D$51,"P_FX")</f>
        <v/>
      </c>
    </row>
    <row r="29">
      <c r="B29" s="331" t="inlineStr">
        <is>
          <t>Profit/(loss) before tax</t>
        </is>
      </c>
      <c r="D29" s="332">
        <f>D8+D13+D25+D26+D27+D28</f>
        <v/>
      </c>
    </row>
    <row r="30">
      <c r="B30" s="331" t="inlineStr">
        <is>
          <t>Profit/(loss) for the year</t>
        </is>
      </c>
      <c r="D30" s="332">
        <f>D29</f>
        <v/>
      </c>
    </row>
  </sheetData>
  <pageMargins left="0.75" right="0.75" top="1" bottom="1"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B1:D28"/>
  <sheetViews>
    <sheetView showGridLines="0" workbookViewId="0">
      <selection activeCell="A1" sqref="A1"/>
    </sheetView>
  </sheetViews>
  <sheetFormatPr baseColWidth="8" defaultRowHeight="15"/>
  <cols>
    <col width="3" customWidth="1" min="1" max="1"/>
    <col width="66" customWidth="1" min="2" max="2"/>
    <col width="60" customWidth="1" min="3" max="3"/>
    <col width="20" customWidth="1" min="4" max="4"/>
  </cols>
  <sheetData>
    <row r="1">
      <c r="B1" s="325">
        <f>'Calculation of CT'!$C$2</f>
        <v/>
      </c>
    </row>
    <row r="2">
      <c r="B2" s="325" t="inlineStr">
        <is>
          <t>Statement of financial position (AED) - at 31 December 2025</t>
        </is>
      </c>
    </row>
    <row r="3">
      <c r="B3" s="326" t="inlineStr">
        <is>
          <t>Assets are not split into current / non-current: the TB does not support that classification.</t>
        </is>
      </c>
    </row>
    <row r="5" ht="22" customHeight="1">
      <c r="B5" s="327" t="inlineStr">
        <is>
          <t>Line</t>
        </is>
      </c>
      <c r="C5" s="327" t="inlineStr">
        <is>
          <t>Source accounts (see TB (AED) sheet)</t>
        </is>
      </c>
      <c r="D5" s="327" t="inlineStr">
        <is>
          <t>AED</t>
        </is>
      </c>
    </row>
    <row r="6">
      <c r="B6" s="331" t="inlineStr">
        <is>
          <t>ASSETS</t>
        </is>
      </c>
      <c r="C6" s="333" t="n"/>
      <c r="D6" s="333" t="n"/>
    </row>
    <row r="7">
      <c r="B7" s="282" t="inlineStr">
        <is>
          <t>Cash, bank balances and deposits</t>
        </is>
      </c>
      <c r="C7" s="281" t="inlineStr">
        <is>
          <t>Cash on hand; Emirates NBD - current account</t>
        </is>
      </c>
      <c r="D7" s="328">
        <f>SUMIFS('TB (AED)'!$L$6:$L$51,'TB (AED)'!$D$6:$D$51,"A_CASH")</f>
        <v/>
      </c>
    </row>
    <row r="8">
      <c r="B8" s="282" t="inlineStr">
        <is>
          <t>Investments (funds, shares and other securities)</t>
        </is>
      </c>
      <c r="C8" s="281" t="inlineStr">
        <is>
          <t>Investments at fair value through profit or loss - quoted equities</t>
        </is>
      </c>
      <c r="D8" s="328">
        <f>SUMIFS('TB (AED)'!$L$6:$L$51,'TB (AED)'!$D$6:$D$51,"A_FIN_INV")</f>
        <v/>
      </c>
    </row>
    <row r="9">
      <c r="B9" s="282" t="inlineStr">
        <is>
          <t>Investments in entities (subsidiaries / associates - to be confirmed)</t>
        </is>
      </c>
      <c r="C9" s="281" t="inlineStr">
        <is>
          <t>Investment in subsidiary - Marjan Logistics FZE</t>
        </is>
      </c>
      <c r="D9" s="328">
        <f>SUMIFS('TB (AED)'!$L$6:$L$51,'TB (AED)'!$D$6:$D$51,"A_SUB_INV")</f>
        <v/>
      </c>
    </row>
    <row r="10">
      <c r="B10" s="282" t="inlineStr">
        <is>
          <t>Due from related parties</t>
        </is>
      </c>
      <c r="C10" s="281" t="inlineStr">
        <is>
          <t>Due from related party - Marjan Holdings LLC</t>
        </is>
      </c>
      <c r="D10" s="328">
        <f>SUMIFS('TB (AED)'!$L$6:$L$51,'TB (AED)'!$D$6:$D$51,"A_RP")</f>
        <v/>
      </c>
    </row>
    <row r="11">
      <c r="B11" s="282" t="inlineStr">
        <is>
          <t>Trade and other receivables</t>
        </is>
      </c>
      <c r="C11" s="281" t="inlineStr">
        <is>
          <t>Trade receivables; Allowance for doubtful debts; Prepayments and deposits</t>
        </is>
      </c>
      <c r="D11" s="328">
        <f>SUMIFS('TB (AED)'!$L$6:$L$51,'TB (AED)'!$D$6:$D$51,"A_TRADE_REC")</f>
        <v/>
      </c>
    </row>
    <row r="12">
      <c r="B12" s="282" t="inlineStr">
        <is>
          <t>Inventories</t>
        </is>
      </c>
      <c r="C12" s="281" t="inlineStr">
        <is>
          <t>Inventory</t>
        </is>
      </c>
      <c r="D12" s="328">
        <f>SUMIFS('TB (AED)'!$L$6:$L$51,'TB (AED)'!$D$6:$D$51,"A_INV")</f>
        <v/>
      </c>
    </row>
    <row r="13">
      <c r="B13" s="282" t="inlineStr">
        <is>
          <t>Property and equipment</t>
        </is>
      </c>
      <c r="C13" s="281" t="inlineStr">
        <is>
          <t>Furniture and equipment - cost; Accumulated depreciation</t>
        </is>
      </c>
      <c r="D13" s="328">
        <f>SUMIFS('TB (AED)'!$L$6:$L$51,'TB (AED)'!$D$6:$D$51,"A_PPE")</f>
        <v/>
      </c>
    </row>
    <row r="14">
      <c r="B14" s="329" t="inlineStr">
        <is>
          <t>Total assets</t>
        </is>
      </c>
      <c r="D14" s="330">
        <f>D7+D8+D9+D10+D11+D12+D13</f>
        <v/>
      </c>
    </row>
    <row r="15">
      <c r="B15" s="331" t="inlineStr">
        <is>
          <t>LIABILITIES</t>
        </is>
      </c>
      <c r="C15" s="333" t="n"/>
      <c r="D15" s="333" t="n"/>
    </row>
    <row r="16">
      <c r="B16" s="282" t="inlineStr">
        <is>
          <t>Trade and other payables</t>
        </is>
      </c>
      <c r="C16" s="281" t="inlineStr">
        <is>
          <t>Trade payables; Accrued expenses; VAT payable</t>
        </is>
      </c>
      <c r="D16" s="328">
        <f>-SUMIFS('TB (AED)'!$L$6:$L$51,'TB (AED)'!$D$6:$D$51,"L_TRADE_PAY")</f>
        <v/>
      </c>
    </row>
    <row r="17">
      <c r="B17" s="282" t="inlineStr">
        <is>
          <t>Due to related parties</t>
        </is>
      </c>
      <c r="C17" s="281" t="inlineStr">
        <is>
          <t>Loan from shareholder - Marjan Holdings LLC</t>
        </is>
      </c>
      <c r="D17" s="328">
        <f>-SUMIFS('TB (AED)'!$L$6:$L$51,'TB (AED)'!$D$6:$D$51,"L_RP")</f>
        <v/>
      </c>
    </row>
    <row r="18">
      <c r="B18" s="282" t="inlineStr">
        <is>
          <t>Borrowings</t>
        </is>
      </c>
      <c r="C18" s="281" t="inlineStr">
        <is>
          <t>Bank term loan</t>
        </is>
      </c>
      <c r="D18" s="328">
        <f>-SUMIFS('TB (AED)'!$L$6:$L$51,'TB (AED)'!$D$6:$D$51,"L_BORR")</f>
        <v/>
      </c>
    </row>
    <row r="19">
      <c r="B19" s="282" t="inlineStr">
        <is>
          <t>Employees' end of service benefits</t>
        </is>
      </c>
      <c r="C19" s="281" t="inlineStr">
        <is>
          <t>Provision for employees' end of service benefits</t>
        </is>
      </c>
      <c r="D19" s="328">
        <f>-SUMIFS('TB (AED)'!$L$6:$L$51,'TB (AED)'!$D$6:$D$51,"L_EOSB")</f>
        <v/>
      </c>
    </row>
    <row r="20">
      <c r="B20" s="329" t="inlineStr">
        <is>
          <t>Total liabilities</t>
        </is>
      </c>
      <c r="D20" s="330">
        <f>D16+D17+D18+D19</f>
        <v/>
      </c>
    </row>
    <row r="21">
      <c r="B21" s="331" t="inlineStr">
        <is>
          <t>EQUITY</t>
        </is>
      </c>
      <c r="C21" s="333" t="n"/>
      <c r="D21" s="333" t="n"/>
    </row>
    <row r="22">
      <c r="B22" s="282" t="inlineStr">
        <is>
          <t>Share capital</t>
        </is>
      </c>
      <c r="C22" s="281" t="inlineStr">
        <is>
          <t>Share capital</t>
        </is>
      </c>
      <c r="D22" s="328">
        <f>-SUMIFS('TB (AED)'!$L$6:$L$51,'TB (AED)'!$D$6:$D$51,"E_CAPITAL")</f>
        <v/>
      </c>
    </row>
    <row r="23">
      <c r="B23" s="282" t="inlineStr">
        <is>
          <t>Retained earnings (brought forward)</t>
        </is>
      </c>
      <c r="C23" s="281" t="inlineStr">
        <is>
          <t>Retained earnings - opening</t>
        </is>
      </c>
      <c r="D23" s="328">
        <f>-SUMIFS('TB (AED)'!$L$6:$L$51,'TB (AED)'!$D$6:$D$51,"E_RE")</f>
        <v/>
      </c>
    </row>
    <row r="24">
      <c r="B24" s="282" t="inlineStr">
        <is>
          <t>Profit/(loss) for the year (from the P&amp;L)</t>
        </is>
      </c>
      <c r="C24" s="281" t="inlineStr"/>
      <c r="D24" s="328">
        <f>'Profit and Loss'!$D$30</f>
        <v/>
      </c>
    </row>
    <row r="25">
      <c r="B25" s="329" t="inlineStr">
        <is>
          <t>Total equity</t>
        </is>
      </c>
      <c r="D25" s="330">
        <f>D22+D23+D24</f>
        <v/>
      </c>
    </row>
    <row r="26">
      <c r="B26" s="329" t="inlineStr">
        <is>
          <t>Total liabilities and equity</t>
        </is>
      </c>
      <c r="D26" s="330">
        <f>D20+D25</f>
        <v/>
      </c>
    </row>
    <row r="28">
      <c r="B28" s="334" t="inlineStr">
        <is>
          <t>Check: total assets less total liabilities and equity</t>
        </is>
      </c>
      <c r="C28" s="329">
        <f>IF(ABS(D28)&lt;0.5,"Balances","DOES NOT BALANCE - review")</f>
        <v/>
      </c>
      <c r="D28" s="335">
        <f>D14-D26</f>
        <v/>
      </c>
    </row>
  </sheetData>
  <pageMargins left="0.75" right="0.75" top="1" bottom="1" header="0.5" footer="0.5"/>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K11"/>
  <sheetViews>
    <sheetView showGridLines="0" workbookViewId="0">
      <pane ySplit="5" topLeftCell="A6" activePane="bottomLeft" state="frozen"/>
      <selection pane="bottomLeft" activeCell="A1" sqref="A1"/>
    </sheetView>
  </sheetViews>
  <sheetFormatPr baseColWidth="8" defaultRowHeight="15"/>
  <cols>
    <col width="30" customWidth="1" min="1" max="1"/>
    <col width="30" customWidth="1" min="2" max="2"/>
    <col width="8" customWidth="1" min="3" max="3"/>
    <col width="54" customWidth="1" min="4" max="4"/>
    <col width="18" customWidth="1" min="5" max="5"/>
    <col width="36" customWidth="1" min="6" max="6"/>
    <col width="60" customWidth="1" min="7" max="7"/>
    <col width="10" customWidth="1" min="8" max="8"/>
    <col width="28" customWidth="1" min="9" max="9"/>
    <col width="28" customWidth="1" min="10" max="10"/>
    <col width="18" customWidth="1" min="11" max="11"/>
  </cols>
  <sheetData>
    <row r="1">
      <c r="A1" s="325">
        <f>'Calculation of CT'!$C$2</f>
        <v/>
      </c>
    </row>
    <row r="2">
      <c r="A2" s="325">
        <f>'Calculation of CT'!$C$3</f>
        <v/>
      </c>
    </row>
    <row r="4">
      <c r="A4" s="336" t="inlineStr">
        <is>
          <t>Schedule of confirmed tax adjustments (AED) - feeds the Calculation of CT sheet</t>
        </is>
      </c>
      <c r="B4" s="336" t="n"/>
      <c r="C4" s="336" t="n"/>
      <c r="D4" s="336" t="n"/>
      <c r="E4" s="336" t="n"/>
      <c r="F4" s="336" t="n"/>
      <c r="G4" s="336" t="n"/>
      <c r="H4" s="336" t="n"/>
      <c r="I4" s="336" t="n"/>
      <c r="J4" s="336" t="n"/>
      <c r="K4" s="336" t="n"/>
    </row>
    <row r="5" ht="30" customHeight="1">
      <c r="A5" s="327" t="inlineStr">
        <is>
          <t>Ref</t>
        </is>
      </c>
      <c r="B5" s="327" t="inlineStr">
        <is>
          <t>Row key</t>
        </is>
      </c>
      <c r="C5" s="327" t="inlineStr">
        <is>
          <t>Calc. row</t>
        </is>
      </c>
      <c r="D5" s="327" t="inlineStr">
        <is>
          <t>Description</t>
        </is>
      </c>
      <c r="E5" s="327" t="inlineStr">
        <is>
          <t>Amount (AED)</t>
        </is>
      </c>
      <c r="F5" s="327" t="inlineStr">
        <is>
          <t>Source account(s)</t>
        </is>
      </c>
      <c r="G5" s="327" t="inlineStr">
        <is>
          <t>Basis / reason</t>
        </is>
      </c>
      <c r="H5" s="327" t="inlineStr">
        <is>
          <t>Rule ref</t>
        </is>
      </c>
      <c r="I5" s="327" t="inlineStr">
        <is>
          <t>Supporting reference</t>
        </is>
      </c>
      <c r="J5" s="327" t="inlineStr">
        <is>
          <t>Management response</t>
        </is>
      </c>
      <c r="K5" s="327" t="inlineStr">
        <is>
          <t>Reviewer</t>
        </is>
      </c>
    </row>
    <row r="6">
      <c r="A6" s="337" t="inlineStr">
        <is>
          <t>d_dividends_resident:4200</t>
        </is>
      </c>
      <c r="B6" s="281" t="inlineStr">
        <is>
          <t>d_dividends_resident</t>
        </is>
      </c>
      <c r="C6" s="282" t="n">
        <v>17</v>
      </c>
      <c r="D6" s="338" t="inlineStr">
        <is>
          <t>Dividend from UAE resident juridical person - Dividend income - Marjan Logistics FZE</t>
        </is>
      </c>
      <c r="E6" s="339" t="n">
        <v>400000</v>
      </c>
      <c r="F6" s="338" t="inlineStr">
        <is>
          <t>Dividend income - Marjan Logistics FZE</t>
        </is>
      </c>
      <c r="G6" s="284" t="inlineStr">
        <is>
          <t>Payer:  (UAE resident juridical person).</t>
        </is>
      </c>
      <c r="H6" s="281" t="inlineStr">
        <is>
          <t>PE-01</t>
        </is>
      </c>
      <c r="I6" s="282" t="inlineStr">
        <is>
          <t>Dividend voucher</t>
        </is>
      </c>
      <c r="J6" s="282" t="inlineStr"/>
      <c r="K6" s="282" t="inlineStr"/>
    </row>
    <row r="7">
      <c r="A7" s="337" t="inlineStr">
        <is>
          <t>a_non_business:6140</t>
        </is>
      </c>
      <c r="B7" s="281" t="inlineStr">
        <is>
          <t>a_non_business</t>
        </is>
      </c>
      <c r="C7" s="282" t="n">
        <v>33</v>
      </c>
      <c r="D7" s="338" t="inlineStr">
        <is>
          <t>Personal / owner expenses - Director personal expenses</t>
        </is>
      </c>
      <c r="E7" s="339" t="n">
        <v>42000</v>
      </c>
      <c r="F7" s="338" t="inlineStr">
        <is>
          <t>Director personal expenses</t>
        </is>
      </c>
      <c r="G7" s="284" t="inlineStr">
        <is>
          <t>Proposed from the account name ('Personal / owner expenses') - not confirmed.</t>
        </is>
      </c>
      <c r="H7" s="281" t="inlineStr">
        <is>
          <t>NDE-01</t>
        </is>
      </c>
      <c r="I7" s="282" t="inlineStr">
        <is>
          <t>Business purpose for each item; Supporting invoices</t>
        </is>
      </c>
      <c r="J7" s="282" t="inlineStr">
        <is>
          <t>disallowed</t>
        </is>
      </c>
      <c r="K7" s="282" t="inlineStr">
        <is>
          <t xml:space="preserve"> [override: Disallowed]</t>
        </is>
      </c>
    </row>
    <row r="8">
      <c r="A8" s="337" t="inlineStr">
        <is>
          <t>a_entertainment:6020</t>
        </is>
      </c>
      <c r="B8" s="281" t="inlineStr">
        <is>
          <t>a_entertainment</t>
        </is>
      </c>
      <c r="C8" s="282" t="n">
        <v>37</v>
      </c>
      <c r="D8" s="338" t="inlineStr">
        <is>
          <t>Entertainment / hospitality - Client entertainment and hospitality</t>
        </is>
      </c>
      <c r="E8" s="339" t="n">
        <v>35000</v>
      </c>
      <c r="F8" s="338" t="inlineStr">
        <is>
          <t>Client entertainment and hospitality</t>
        </is>
      </c>
      <c r="G8" s="284" t="inlineStr">
        <is>
          <t>50% of entertainment (net of any staff-only share) proposed - restriction applies to customers, shareholders, suppliers and business partners.</t>
        </is>
      </c>
      <c r="H8" s="281" t="inlineStr">
        <is>
          <t>NDE-01</t>
        </is>
      </c>
      <c r="I8" s="282" t="inlineStr">
        <is>
          <t>Invoices and proof of payment; Attendee list and business purpose</t>
        </is>
      </c>
      <c r="J8" s="282" t="inlineStr">
        <is>
          <t>50% Disallowed</t>
        </is>
      </c>
      <c r="K8" s="282" t="inlineStr"/>
    </row>
    <row r="9">
      <c r="A9" s="337" t="inlineStr">
        <is>
          <t>a_donations:6030</t>
        </is>
      </c>
      <c r="B9" s="281" t="inlineStr">
        <is>
          <t>a_donations</t>
        </is>
      </c>
      <c r="C9" s="282" t="n">
        <v>38</v>
      </c>
      <c r="D9" s="338" t="inlineStr">
        <is>
          <t>Donations / charitable - Donations</t>
        </is>
      </c>
      <c r="E9" s="339" t="n">
        <v>75000</v>
      </c>
      <c r="F9" s="338" t="inlineStr">
        <is>
          <t>Donations</t>
        </is>
      </c>
      <c r="G9" s="284" t="inlineStr">
        <is>
          <t>Donations proposed as non-deductible unless the recipient is a Qualifying Public Benefit Entity.</t>
        </is>
      </c>
      <c r="H9" s="281" t="inlineStr">
        <is>
          <t>NDE-01</t>
        </is>
      </c>
      <c r="I9" s="282" t="inlineStr">
        <is>
          <t>Recipient name and proof of Qualifying Public Benefit Entity status; Receipts</t>
        </is>
      </c>
      <c r="J9" s="282" t="inlineStr"/>
      <c r="K9" s="282" t="inlineStr"/>
    </row>
    <row r="10">
      <c r="A10" s="337" t="inlineStr">
        <is>
          <t>a_fines:6040</t>
        </is>
      </c>
      <c r="B10" s="281" t="inlineStr">
        <is>
          <t>a_fines</t>
        </is>
      </c>
      <c r="C10" s="282" t="n">
        <v>39</v>
      </c>
      <c r="D10" s="338" t="inlineStr">
        <is>
          <t>Fines and penalties - Fines and penalties</t>
        </is>
      </c>
      <c r="E10" s="339" t="n">
        <v>28000</v>
      </c>
      <c r="F10" s="338" t="inlineStr">
        <is>
          <t>Fines and penalties</t>
        </is>
      </c>
      <c r="G10" s="284" t="inlineStr">
        <is>
          <t>Fines and penalties proposed as non-deductible except amounts that are compensation for damages or breach of contract.</t>
        </is>
      </c>
      <c r="H10" s="281" t="inlineStr">
        <is>
          <t>NDE-01</t>
        </is>
      </c>
      <c r="I10" s="282" t="inlineStr">
        <is>
          <t>Notice or order giving rise to each fine/penalty; Nature (regulatory vs contractual compensation)</t>
        </is>
      </c>
      <c r="J10" s="282" t="inlineStr"/>
      <c r="K10" s="282" t="inlineStr"/>
    </row>
    <row r="11">
      <c r="D11" s="329" t="inlineStr">
        <is>
          <t>Total (Σ with sign by row type - see Calculation of CT)</t>
        </is>
      </c>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J27"/>
  <sheetViews>
    <sheetView showGridLines="0" topLeftCell="A7" zoomScale="115" zoomScaleNormal="115" zoomScaleSheetLayoutView="115" workbookViewId="0">
      <selection activeCell="D20" sqref="D20"/>
    </sheetView>
  </sheetViews>
  <sheetFormatPr baseColWidth="8" defaultColWidth="9.26953125" defaultRowHeight="12.5"/>
  <cols>
    <col width="12" customWidth="1" style="56" min="1" max="1"/>
    <col width="34" customWidth="1" style="27" min="2" max="2"/>
    <col width="40" bestFit="1" customWidth="1" style="27" min="3" max="3"/>
    <col width="18" bestFit="1" customWidth="1" style="285" min="4" max="4"/>
    <col width="18" bestFit="1" customWidth="1" style="27" min="5" max="5"/>
    <col width="34" customWidth="1" style="56" min="6" max="16384"/>
  </cols>
  <sheetData>
    <row r="1" ht="14" customFormat="1" customHeight="1" s="96">
      <c r="A1" s="340">
        <f>'Calculation of CT'!$C$2</f>
        <v/>
      </c>
      <c r="B1" s="97" t="n"/>
    </row>
    <row r="2" ht="14" customFormat="1" customHeight="1" s="96">
      <c r="A2" s="340">
        <f>'Calculation of CT'!$C$3</f>
        <v/>
      </c>
      <c r="B2" s="97" t="n"/>
      <c r="C2" s="99" t="n"/>
      <c r="D2" s="99" t="n"/>
      <c r="E2" s="99" t="n"/>
      <c r="F2" s="99" t="n"/>
      <c r="G2" s="101" t="n"/>
      <c r="H2" s="101" t="n"/>
      <c r="I2" s="101" t="n"/>
      <c r="J2" s="102" t="n"/>
    </row>
    <row r="3" customFormat="1" s="96"/>
    <row r="4" customFormat="1" s="96">
      <c r="A4" s="278" t="inlineStr">
        <is>
          <t>Details of Non-Deductible Expenses (confirmed adjustments)</t>
        </is>
      </c>
      <c r="B4" s="279" t="n"/>
      <c r="C4" s="279" t="n"/>
      <c r="D4" s="279" t="n"/>
      <c r="E4" s="279" t="n"/>
      <c r="F4" s="279" t="n"/>
    </row>
    <row r="5" customFormat="1" s="286" thickBot="1"/>
    <row r="6">
      <c r="A6" s="341" t="inlineStr">
        <is>
          <t>50% of entertainment, amusement or recreation expenses</t>
        </is>
      </c>
    </row>
    <row r="7">
      <c r="A7" s="327" t="inlineStr">
        <is>
          <t>Account ID</t>
        </is>
      </c>
      <c r="B7" s="327" t="inlineStr">
        <is>
          <t>G/L account</t>
        </is>
      </c>
      <c r="C7" s="327" t="inlineStr">
        <is>
          <t>Description</t>
        </is>
      </c>
      <c r="D7" s="327" t="inlineStr">
        <is>
          <t>Disallowed (AED)</t>
        </is>
      </c>
      <c r="E7" s="327" t="inlineStr">
        <is>
          <t>Treatment</t>
        </is>
      </c>
      <c r="F7" s="327" t="inlineStr">
        <is>
          <t>Reference</t>
        </is>
      </c>
    </row>
    <row r="8" thickBot="1">
      <c r="A8" s="282" t="inlineStr">
        <is>
          <t>6020</t>
        </is>
      </c>
      <c r="B8" s="282" t="inlineStr">
        <is>
          <t>Client entertainment and hospitality</t>
        </is>
      </c>
      <c r="C8" s="338" t="inlineStr">
        <is>
          <t>Entertainment / hospitality - Client entertainment and hospitality</t>
        </is>
      </c>
      <c r="D8" s="339" t="n">
        <v>35000</v>
      </c>
      <c r="E8" s="282" t="inlineStr">
        <is>
          <t>50% disallowed</t>
        </is>
      </c>
      <c r="F8" s="281" t="inlineStr">
        <is>
          <t>NDE-01</t>
        </is>
      </c>
    </row>
    <row r="9" thickBot="1">
      <c r="A9" s="329" t="inlineStr">
        <is>
          <t>Sub total</t>
        </is>
      </c>
      <c r="D9" s="330">
        <f>SUM(D8:D8)</f>
        <v/>
      </c>
    </row>
    <row r="10" thickTop="1"/>
    <row r="11">
      <c r="A11" s="341" t="inlineStr">
        <is>
          <t>Donations, grants or gifts made to a non-Qualifying Public Benefit Entity</t>
        </is>
      </c>
    </row>
    <row r="12">
      <c r="A12" s="327" t="inlineStr">
        <is>
          <t>Account ID</t>
        </is>
      </c>
      <c r="B12" s="327" t="inlineStr">
        <is>
          <t>G/L account</t>
        </is>
      </c>
      <c r="C12" s="327" t="inlineStr">
        <is>
          <t>Description</t>
        </is>
      </c>
      <c r="D12" s="327" t="inlineStr">
        <is>
          <t>Disallowed (AED)</t>
        </is>
      </c>
      <c r="E12" s="327" t="inlineStr">
        <is>
          <t>Treatment</t>
        </is>
      </c>
      <c r="F12" s="327" t="inlineStr">
        <is>
          <t>Reference</t>
        </is>
      </c>
    </row>
    <row r="13" thickBot="1">
      <c r="A13" s="282" t="inlineStr">
        <is>
          <t>6030</t>
        </is>
      </c>
      <c r="B13" s="282" t="inlineStr">
        <is>
          <t>Donations</t>
        </is>
      </c>
      <c r="C13" s="338" t="inlineStr">
        <is>
          <t>Donations / charitable - Donations</t>
        </is>
      </c>
      <c r="D13" s="339" t="n">
        <v>75000</v>
      </c>
      <c r="E13" s="282" t="inlineStr">
        <is>
          <t>100% disallowed</t>
        </is>
      </c>
      <c r="F13" s="281" t="inlineStr">
        <is>
          <t>NDE-01</t>
        </is>
      </c>
    </row>
    <row r="14">
      <c r="A14" s="329" t="inlineStr">
        <is>
          <t>Sub total</t>
        </is>
      </c>
      <c r="D14" s="330">
        <f>SUM(D13:D13)</f>
        <v/>
      </c>
    </row>
    <row r="15" thickBot="1"/>
    <row r="16">
      <c r="A16" s="341" t="inlineStr">
        <is>
          <t>Fines and penalties, other than amounts awarded as compensation</t>
        </is>
      </c>
    </row>
    <row r="17">
      <c r="A17" s="327" t="inlineStr">
        <is>
          <t>Account ID</t>
        </is>
      </c>
      <c r="B17" s="327" t="inlineStr">
        <is>
          <t>G/L account</t>
        </is>
      </c>
      <c r="C17" s="327" t="inlineStr">
        <is>
          <t>Description</t>
        </is>
      </c>
      <c r="D17" s="327" t="inlineStr">
        <is>
          <t>Disallowed (AED)</t>
        </is>
      </c>
      <c r="E17" s="327" t="inlineStr">
        <is>
          <t>Treatment</t>
        </is>
      </c>
      <c r="F17" s="327" t="inlineStr">
        <is>
          <t>Reference</t>
        </is>
      </c>
    </row>
    <row r="18">
      <c r="A18" s="282" t="inlineStr">
        <is>
          <t>6040</t>
        </is>
      </c>
      <c r="B18" s="282" t="inlineStr">
        <is>
          <t>Fines and penalties</t>
        </is>
      </c>
      <c r="C18" s="338" t="inlineStr">
        <is>
          <t>Fines and penalties - Fines and penalties</t>
        </is>
      </c>
      <c r="D18" s="339" t="n">
        <v>28000</v>
      </c>
      <c r="E18" s="282" t="inlineStr">
        <is>
          <t>100% disallowed</t>
        </is>
      </c>
      <c r="F18" s="281" t="inlineStr">
        <is>
          <t>NDE-01</t>
        </is>
      </c>
    </row>
    <row r="19">
      <c r="A19" s="329" t="inlineStr">
        <is>
          <t>Sub total</t>
        </is>
      </c>
      <c r="D19" s="330">
        <f>SUM(D18:D18)</f>
        <v/>
      </c>
    </row>
    <row r="21">
      <c r="A21" s="341" t="inlineStr">
        <is>
          <t>Expenses not incurred for the purposes of the Taxable Person's Business</t>
        </is>
      </c>
    </row>
    <row r="22">
      <c r="A22" s="327" t="inlineStr">
        <is>
          <t>Account ID</t>
        </is>
      </c>
      <c r="B22" s="327" t="inlineStr">
        <is>
          <t>G/L account</t>
        </is>
      </c>
      <c r="C22" s="327" t="inlineStr">
        <is>
          <t>Description</t>
        </is>
      </c>
      <c r="D22" s="327" t="inlineStr">
        <is>
          <t>Disallowed (AED)</t>
        </is>
      </c>
      <c r="E22" s="327" t="inlineStr">
        <is>
          <t>Treatment</t>
        </is>
      </c>
      <c r="F22" s="327" t="inlineStr">
        <is>
          <t>Reference</t>
        </is>
      </c>
    </row>
    <row r="23">
      <c r="A23" s="282" t="inlineStr">
        <is>
          <t>6140</t>
        </is>
      </c>
      <c r="B23" s="282" t="inlineStr">
        <is>
          <t>Director personal expenses</t>
        </is>
      </c>
      <c r="C23" s="338" t="inlineStr">
        <is>
          <t>Personal / owner expenses - Director personal expenses</t>
        </is>
      </c>
      <c r="D23" s="339" t="n">
        <v>42000</v>
      </c>
      <c r="E23" s="282" t="inlineStr">
        <is>
          <t>Disallowed</t>
        </is>
      </c>
      <c r="F23" s="281" t="inlineStr">
        <is>
          <t>NDE-01</t>
        </is>
      </c>
    </row>
    <row r="24">
      <c r="A24" s="329" t="inlineStr">
        <is>
          <t>Sub total</t>
        </is>
      </c>
      <c r="D24" s="330">
        <f>SUM(D23:D23)</f>
        <v/>
      </c>
    </row>
    <row r="26">
      <c r="A26" s="329" t="inlineStr">
        <is>
          <t>Total disallowed expenses on this sheet</t>
        </is>
      </c>
      <c r="D26" s="330">
        <f>D9+D14+D19+D24</f>
        <v/>
      </c>
    </row>
    <row r="27">
      <c r="A27" s="334" t="inlineStr">
        <is>
          <t>Check: agrees to Calculation of CT</t>
        </is>
      </c>
      <c r="D27" s="329">
        <f>IF(ABS(D26-('Calculation of CT'!E33+'Calculation of CT'!E37+'Calculation of CT'!E38+'Calculation of CT'!E39))&lt;0.5,"OK","CHECK")</f>
        <v/>
      </c>
    </row>
  </sheetData>
  <mergeCells count="4">
    <mergeCell ref="A16:F16"/>
    <mergeCell ref="A11:F11"/>
    <mergeCell ref="A6:F6"/>
    <mergeCell ref="A21:F21"/>
  </mergeCells>
  <pageMargins left="0.7086614173228347" right="0.7086614173228347" top="0.7480314960629921" bottom="0.7480314960629921" header="0.3149606299212598" footer="0.3149606299212598"/>
  <pageSetup orientation="portrait" paperSize="9" fitToHeight="0" fitToWidth="1"/>
  <headerFooter>
    <oddHeader/>
    <oddFooter>&amp;L&amp;A&amp;C&amp;P&amp;R&amp;F</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3"/>
  <sheetViews>
    <sheetView showGridLines="0" workbookViewId="0">
      <selection activeCell="I8" sqref="I8"/>
    </sheetView>
  </sheetViews>
  <sheetFormatPr baseColWidth="8" defaultColWidth="9.26953125" defaultRowHeight="12.5"/>
  <cols>
    <col width="5.2" customWidth="1" style="56" min="1" max="1"/>
    <col width="43.8" bestFit="1" customWidth="1" style="27" min="2" max="2"/>
    <col hidden="1" width="12" customWidth="1" style="27" min="3" max="3"/>
    <col width="16" bestFit="1" customWidth="1" style="27" min="4" max="4"/>
    <col width="16.2" bestFit="1" customWidth="1" style="27" min="5" max="5"/>
    <col width="14.3" customWidth="1" style="27" min="6" max="6"/>
    <col width="16" customWidth="1" style="27" min="7" max="7"/>
    <col width="16.8" bestFit="1" customWidth="1" style="285" min="8" max="8"/>
    <col width="14.54296875" bestFit="1" customWidth="1" style="56" min="9" max="9"/>
    <col width="10.26953125" bestFit="1" customWidth="1" style="56" min="10" max="10"/>
    <col width="9.26953125" customWidth="1" style="56" min="11" max="16384"/>
  </cols>
  <sheetData>
    <row r="1" ht="14" customFormat="1" customHeight="1" s="180">
      <c r="B1" s="340">
        <f>'Calculation of CT'!$C$2</f>
        <v/>
      </c>
    </row>
    <row r="2" ht="14" customFormat="1" customHeight="1" s="180">
      <c r="B2" s="342">
        <f>'Calculation of CT'!$C$3</f>
        <v/>
      </c>
    </row>
    <row r="3" customFormat="1" s="180">
      <c r="B3" s="329" t="inlineStr">
        <is>
          <t>Movement in provisions</t>
        </is>
      </c>
    </row>
    <row r="4" customFormat="1" s="286">
      <c r="H4" s="326" t="inlineStr">
        <is>
          <t>(Amounts in AED)</t>
        </is>
      </c>
    </row>
    <row r="5" ht="40" customHeight="1">
      <c r="A5" s="327" t="inlineStr">
        <is>
          <t>S/N</t>
        </is>
      </c>
      <c r="B5" s="327" t="inlineStr">
        <is>
          <t>Provision</t>
        </is>
      </c>
      <c r="C5" s="327" t="inlineStr">
        <is>
          <t>Ref.</t>
        </is>
      </c>
      <c r="D5" s="327" t="inlineStr">
        <is>
          <t>Balance at the beginning</t>
        </is>
      </c>
      <c r="E5" s="327" t="inlineStr">
        <is>
          <t>Provisions made</t>
        </is>
      </c>
      <c r="F5" s="327" t="inlineStr">
        <is>
          <t>Provisions utilised</t>
        </is>
      </c>
      <c r="G5" s="327" t="inlineStr">
        <is>
          <t>Adjustments / reversals</t>
        </is>
      </c>
      <c r="H5" s="327" t="inlineStr">
        <is>
          <t>Balance at the end</t>
        </is>
      </c>
    </row>
    <row r="6">
      <c r="B6" s="329" t="inlineStr">
        <is>
          <t>Total</t>
        </is>
      </c>
      <c r="D6" s="330" t="n">
        <v>0</v>
      </c>
      <c r="E6" s="330" t="n">
        <v>0</v>
      </c>
      <c r="F6" s="330" t="n">
        <v>0</v>
      </c>
      <c r="G6" s="330" t="n">
        <v>0</v>
      </c>
      <c r="H6" s="330" t="n">
        <v>0</v>
      </c>
    </row>
    <row r="7">
      <c r="B7" s="343" t="inlineStr">
        <is>
          <t>No provision schedule was provided; provision accounts exist in the TB - complete the schedule.</t>
        </is>
      </c>
    </row>
    <row r="8"/>
    <row r="9">
      <c r="B9" s="329" t="inlineStr">
        <is>
          <t>Calculation of disallowed provisions (provisions other than end-of-service / indemnity)</t>
        </is>
      </c>
    </row>
    <row r="10"/>
    <row r="11" ht="30" customFormat="1" customHeight="1" s="289">
      <c r="A11" s="327" t="inlineStr">
        <is>
          <t>S/N</t>
        </is>
      </c>
      <c r="B11" s="327" t="inlineStr">
        <is>
          <t>Provision</t>
        </is>
      </c>
      <c r="C11" s="327" t="inlineStr">
        <is>
          <t>Ref.</t>
        </is>
      </c>
      <c r="D11" s="327" t="inlineStr">
        <is>
          <t>Provisions made</t>
        </is>
      </c>
      <c r="E11" s="327" t="inlineStr">
        <is>
          <t>Adjustments</t>
        </is>
      </c>
      <c r="F11" s="327" t="inlineStr">
        <is>
          <t>Disallowed</t>
        </is>
      </c>
    </row>
    <row r="12">
      <c r="B12" s="329" t="inlineStr">
        <is>
          <t>Total disallowed (Option 1 / scope A)</t>
        </is>
      </c>
      <c r="F12" s="330" t="n">
        <v>0</v>
      </c>
    </row>
    <row r="13">
      <c r="B13" s="326" t="inlineStr">
        <is>
          <t>Applied in the computation only where the realisation basis (scope A) is elected and the adjustment is confirmed.</t>
        </is>
      </c>
    </row>
    <row r="14"/>
    <row r="15"/>
    <row r="16"/>
    <row r="17"/>
    <row r="18"/>
    <row r="19"/>
    <row r="20"/>
    <row r="21"/>
    <row r="22"/>
    <row r="23"/>
  </sheetData>
  <pageMargins left="0.7086614173228347" right="0.7086614173228347" top="0.7480314960629921" bottom="0.7480314960629921" header="0.3149606299212598" footer="0.3149606299212598"/>
  <pageSetup orientation="portrait" paperSize="9" scale="71" fitToHeight="0" fitToWidth="1"/>
  <headerFooter>
    <oddHeader/>
    <oddFooter>&amp;L&amp;A&amp;C&amp;P&amp;R&amp;F</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53"/>
  <sheetViews>
    <sheetView showGridLines="0" tabSelected="1" workbookViewId="0">
      <pane xSplit="2" ySplit="5" topLeftCell="C6" activePane="bottomRight" state="frozen"/>
      <selection pane="topRight"/>
      <selection pane="bottomLeft"/>
      <selection pane="bottomRight" activeCell="C41" sqref="C41"/>
    </sheetView>
  </sheetViews>
  <sheetFormatPr baseColWidth="8" defaultColWidth="7.54296875" defaultRowHeight="14"/>
  <cols>
    <col width="12" customWidth="1" style="211" min="1" max="1"/>
    <col width="46" customWidth="1" style="211" min="2" max="2"/>
    <col width="14" customWidth="1" style="211" min="3" max="3"/>
    <col width="13" bestFit="1" customWidth="1" style="211" min="4" max="4"/>
    <col width="36" bestFit="1" customWidth="1" style="211" min="5" max="5"/>
    <col width="12" customWidth="1" style="211" min="6" max="6"/>
    <col width="16" customWidth="1" style="211" min="7" max="7"/>
    <col width="16" customWidth="1" style="211" min="8" max="8"/>
    <col width="16" customWidth="1" style="211" min="9" max="16384"/>
    <col width="12" customWidth="1" min="10" max="10"/>
    <col width="24" customWidth="1" min="11" max="11"/>
    <col width="18" customWidth="1" min="12" max="12"/>
    <col width="16" customWidth="1" min="13" max="13"/>
    <col width="16" customWidth="1" min="14" max="14"/>
    <col width="46" customWidth="1" min="15" max="15"/>
    <col width="4" customWidth="1" min="16" max="16"/>
  </cols>
  <sheetData>
    <row r="1" thickBot="1">
      <c r="A1" s="325">
        <f>'Calculation of CT'!$C$2</f>
        <v/>
      </c>
    </row>
    <row r="2" thickBot="1">
      <c r="A2" s="325" t="inlineStr">
        <is>
          <t>Trial balance - source currency (AED) and AED translation</t>
        </is>
      </c>
    </row>
    <row r="3">
      <c r="A3" s="326" t="inlineStr">
        <is>
          <t>Blue = typed from the source TB; black = formula. Mapped line keys drive the P&amp;L and balance sheet (SUMIFS on column D).</t>
        </is>
      </c>
    </row>
    <row r="4"/>
    <row r="5" ht="30" customHeight="1">
      <c r="A5" s="327" t="inlineStr">
        <is>
          <t>Code</t>
        </is>
      </c>
      <c r="B5" s="327" t="inlineStr">
        <is>
          <t>Account</t>
        </is>
      </c>
      <c r="C5" s="327" t="inlineStr">
        <is>
          <t>Source class.</t>
        </is>
      </c>
      <c r="D5" s="327" t="inlineStr">
        <is>
          <t>Line key</t>
        </is>
      </c>
      <c r="E5" s="327" t="inlineStr">
        <is>
          <t>Mapped to</t>
        </is>
      </c>
      <c r="F5" s="327" t="inlineStr">
        <is>
          <t>Method</t>
        </is>
      </c>
      <c r="G5" s="327" t="inlineStr">
        <is>
          <t>Debit (AED)</t>
        </is>
      </c>
      <c r="H5" s="327" t="inlineStr">
        <is>
          <t>Credit (AED)</t>
        </is>
      </c>
      <c r="I5" s="327" t="inlineStr">
        <is>
          <t>Net (AED)</t>
        </is>
      </c>
      <c r="J5" s="327" t="inlineStr">
        <is>
          <t>Rate to AED</t>
        </is>
      </c>
      <c r="K5" s="327" t="inlineStr">
        <is>
          <t>Rate basis</t>
        </is>
      </c>
      <c r="L5" s="327" t="inlineStr">
        <is>
          <t>Net (AED)</t>
        </is>
      </c>
      <c r="M5" s="327" t="inlineStr">
        <is>
          <t>Debit (AED)</t>
        </is>
      </c>
      <c r="N5" s="327" t="inlineStr">
        <is>
          <t>Credit (AED)</t>
        </is>
      </c>
      <c r="O5" s="327" t="inlineStr">
        <is>
          <t>Review flags</t>
        </is>
      </c>
    </row>
    <row r="6">
      <c r="A6" s="344" t="inlineStr">
        <is>
          <t>1010</t>
        </is>
      </c>
      <c r="B6" s="344" t="inlineStr">
        <is>
          <t>Cash on hand</t>
        </is>
      </c>
      <c r="C6" s="344" t="inlineStr"/>
      <c r="D6" s="282" t="inlineStr">
        <is>
          <t>A_CASH</t>
        </is>
      </c>
      <c r="E6" s="282" t="inlineStr">
        <is>
          <t>Cash, bank balances and deposits</t>
        </is>
      </c>
      <c r="F6" s="282" t="inlineStr">
        <is>
          <t>rule</t>
        </is>
      </c>
      <c r="G6" s="345" t="n">
        <v>15000</v>
      </c>
      <c r="H6" s="345" t="n">
        <v>0</v>
      </c>
      <c r="I6" s="346">
        <f>G6-H6</f>
        <v/>
      </c>
      <c r="J6" s="347" t="n">
        <v>1</v>
      </c>
      <c r="K6" s="282" t="inlineStr">
        <is>
          <t>AED - no conversion</t>
        </is>
      </c>
      <c r="L6" s="346">
        <f>I6*J6</f>
        <v/>
      </c>
      <c r="M6" s="346">
        <f>MAX(L6,0)</f>
        <v/>
      </c>
      <c r="N6" s="346">
        <f>MAX(-L6,0)</f>
        <v/>
      </c>
      <c r="O6" s="281" t="inlineStr"/>
    </row>
    <row r="7">
      <c r="A7" s="344" t="inlineStr">
        <is>
          <t>1020</t>
        </is>
      </c>
      <c r="B7" s="344" t="inlineStr">
        <is>
          <t>Emirates NBD - current account</t>
        </is>
      </c>
      <c r="C7" s="344" t="inlineStr"/>
      <c r="D7" s="282" t="inlineStr">
        <is>
          <t>A_CASH</t>
        </is>
      </c>
      <c r="E7" s="282" t="inlineStr">
        <is>
          <t>Cash, bank balances and deposits</t>
        </is>
      </c>
      <c r="F7" s="282" t="inlineStr">
        <is>
          <t>rule</t>
        </is>
      </c>
      <c r="G7" s="345" t="n">
        <v>2850000</v>
      </c>
      <c r="H7" s="345" t="n">
        <v>0</v>
      </c>
      <c r="I7" s="346">
        <f>G7-H7</f>
        <v/>
      </c>
      <c r="J7" s="347" t="n">
        <v>1</v>
      </c>
      <c r="K7" s="282" t="inlineStr">
        <is>
          <t>AED - no conversion</t>
        </is>
      </c>
      <c r="L7" s="346">
        <f>I7*J7</f>
        <v/>
      </c>
      <c r="M7" s="346">
        <f>MAX(L7,0)</f>
        <v/>
      </c>
      <c r="N7" s="346">
        <f>MAX(-L7,0)</f>
        <v/>
      </c>
      <c r="O7" s="281" t="inlineStr"/>
    </row>
    <row r="8">
      <c r="A8" s="344" t="inlineStr">
        <is>
          <t>1100</t>
        </is>
      </c>
      <c r="B8" s="344" t="inlineStr">
        <is>
          <t>Trade receivables</t>
        </is>
      </c>
      <c r="C8" s="344" t="inlineStr"/>
      <c r="D8" s="282" t="inlineStr">
        <is>
          <t>A_TRADE_REC</t>
        </is>
      </c>
      <c r="E8" s="282" t="inlineStr">
        <is>
          <t>Trade and other receivables</t>
        </is>
      </c>
      <c r="F8" s="282" t="inlineStr">
        <is>
          <t>rule</t>
        </is>
      </c>
      <c r="G8" s="345" t="n">
        <v>3200000</v>
      </c>
      <c r="H8" s="345" t="n">
        <v>0</v>
      </c>
      <c r="I8" s="346">
        <f>G8-H8</f>
        <v/>
      </c>
      <c r="J8" s="347" t="n">
        <v>1</v>
      </c>
      <c r="K8" s="282" t="inlineStr">
        <is>
          <t>AED - no conversion</t>
        </is>
      </c>
      <c r="L8" s="346">
        <f>I8*J8</f>
        <v/>
      </c>
      <c r="M8" s="346">
        <f>MAX(L8,0)</f>
        <v/>
      </c>
      <c r="N8" s="346">
        <f>MAX(-L8,0)</f>
        <v/>
      </c>
      <c r="O8" s="281" t="inlineStr"/>
    </row>
    <row r="9">
      <c r="A9" s="344" t="inlineStr">
        <is>
          <t>1110</t>
        </is>
      </c>
      <c r="B9" s="344" t="inlineStr">
        <is>
          <t>Allowance for doubtful debts</t>
        </is>
      </c>
      <c r="C9" s="344" t="inlineStr"/>
      <c r="D9" s="282" t="inlineStr">
        <is>
          <t>A_TRADE_REC</t>
        </is>
      </c>
      <c r="E9" s="282" t="inlineStr">
        <is>
          <t>Trade and other receivables</t>
        </is>
      </c>
      <c r="F9" s="282" t="inlineStr">
        <is>
          <t>rule</t>
        </is>
      </c>
      <c r="G9" s="345" t="n">
        <v>0</v>
      </c>
      <c r="H9" s="345" t="n">
        <v>180000</v>
      </c>
      <c r="I9" s="346">
        <f>G9-H9</f>
        <v/>
      </c>
      <c r="J9" s="347" t="n">
        <v>1</v>
      </c>
      <c r="K9" s="282" t="inlineStr">
        <is>
          <t>AED - no conversion</t>
        </is>
      </c>
      <c r="L9" s="346">
        <f>I9*J9</f>
        <v/>
      </c>
      <c r="M9" s="346">
        <f>MAX(L9,0)</f>
        <v/>
      </c>
      <c r="N9" s="346">
        <f>MAX(-L9,0)</f>
        <v/>
      </c>
      <c r="O9" s="281" t="inlineStr"/>
    </row>
    <row r="10">
      <c r="A10" s="344" t="inlineStr">
        <is>
          <t>1200</t>
        </is>
      </c>
      <c r="B10" s="344" t="inlineStr">
        <is>
          <t>Due from related party - Marjan Holdings LLC</t>
        </is>
      </c>
      <c r="C10" s="344" t="inlineStr"/>
      <c r="D10" s="282" t="inlineStr">
        <is>
          <t>A_RP</t>
        </is>
      </c>
      <c r="E10" s="282" t="inlineStr">
        <is>
          <t>Due from related parties</t>
        </is>
      </c>
      <c r="F10" s="282" t="inlineStr">
        <is>
          <t>rule</t>
        </is>
      </c>
      <c r="G10" s="345" t="n">
        <v>750000</v>
      </c>
      <c r="H10" s="345" t="n">
        <v>0</v>
      </c>
      <c r="I10" s="346">
        <f>G10-H10</f>
        <v/>
      </c>
      <c r="J10" s="347" t="n">
        <v>1</v>
      </c>
      <c r="K10" s="282" t="inlineStr">
        <is>
          <t>AED - no conversion</t>
        </is>
      </c>
      <c r="L10" s="346">
        <f>I10*J10</f>
        <v/>
      </c>
      <c r="M10" s="346">
        <f>MAX(L10,0)</f>
        <v/>
      </c>
      <c r="N10" s="346">
        <f>MAX(-L10,0)</f>
        <v/>
      </c>
      <c r="O10" s="281" t="inlineStr"/>
    </row>
    <row r="11">
      <c r="A11" s="344" t="inlineStr">
        <is>
          <t>1300</t>
        </is>
      </c>
      <c r="B11" s="344" t="inlineStr">
        <is>
          <t>Prepayments and deposits</t>
        </is>
      </c>
      <c r="C11" s="344" t="inlineStr"/>
      <c r="D11" s="282" t="inlineStr">
        <is>
          <t>A_TRADE_REC</t>
        </is>
      </c>
      <c r="E11" s="282" t="inlineStr">
        <is>
          <t>Trade and other receivables</t>
        </is>
      </c>
      <c r="F11" s="282" t="inlineStr">
        <is>
          <t>rule</t>
        </is>
      </c>
      <c r="G11" s="345" t="n">
        <v>240000</v>
      </c>
      <c r="H11" s="345" t="n">
        <v>0</v>
      </c>
      <c r="I11" s="346">
        <f>G11-H11</f>
        <v/>
      </c>
      <c r="J11" s="347" t="n">
        <v>1</v>
      </c>
      <c r="K11" s="282" t="inlineStr">
        <is>
          <t>AED - no conversion</t>
        </is>
      </c>
      <c r="L11" s="346">
        <f>I11*J11</f>
        <v/>
      </c>
      <c r="M11" s="346">
        <f>MAX(L11,0)</f>
        <v/>
      </c>
      <c r="N11" s="346">
        <f>MAX(-L11,0)</f>
        <v/>
      </c>
      <c r="O11" s="281" t="inlineStr"/>
    </row>
    <row r="12">
      <c r="A12" s="344" t="inlineStr">
        <is>
          <t>1400</t>
        </is>
      </c>
      <c r="B12" s="344" t="inlineStr">
        <is>
          <t>Investment in subsidiary - Marjan Logistics FZE</t>
        </is>
      </c>
      <c r="C12" s="344" t="inlineStr"/>
      <c r="D12" s="282" t="inlineStr">
        <is>
          <t>A_SUB_INV</t>
        </is>
      </c>
      <c r="E12" s="282" t="inlineStr">
        <is>
          <t>Investments in entities (subsidiaries / associates - to be confirmed)</t>
        </is>
      </c>
      <c r="F12" s="282" t="inlineStr">
        <is>
          <t>rule</t>
        </is>
      </c>
      <c r="G12" s="345" t="n">
        <v>1500000</v>
      </c>
      <c r="H12" s="345" t="n">
        <v>0</v>
      </c>
      <c r="I12" s="346">
        <f>G12-H12</f>
        <v/>
      </c>
      <c r="J12" s="347" t="n">
        <v>1</v>
      </c>
      <c r="K12" s="282" t="inlineStr">
        <is>
          <t>AED - no conversion</t>
        </is>
      </c>
      <c r="L12" s="346">
        <f>I12*J12</f>
        <v/>
      </c>
      <c r="M12" s="346">
        <f>MAX(L12,0)</f>
        <v/>
      </c>
      <c r="N12" s="346">
        <f>MAX(-L12,0)</f>
        <v/>
      </c>
      <c r="O12" s="281" t="inlineStr"/>
    </row>
    <row r="13">
      <c r="A13" s="344" t="inlineStr">
        <is>
          <t>1410</t>
        </is>
      </c>
      <c r="B13" s="344" t="inlineStr">
        <is>
          <t>Investments at fair value through profit or loss - quoted equities</t>
        </is>
      </c>
      <c r="C13" s="344" t="inlineStr"/>
      <c r="D13" s="282" t="inlineStr">
        <is>
          <t>A_FIN_INV</t>
        </is>
      </c>
      <c r="E13" s="282" t="inlineStr">
        <is>
          <t>Investments (funds, shares and other securities)</t>
        </is>
      </c>
      <c r="F13" s="282" t="inlineStr">
        <is>
          <t>rule</t>
        </is>
      </c>
      <c r="G13" s="345" t="n">
        <v>900000</v>
      </c>
      <c r="H13" s="345" t="n">
        <v>0</v>
      </c>
      <c r="I13" s="346">
        <f>G13-H13</f>
        <v/>
      </c>
      <c r="J13" s="347" t="n">
        <v>1</v>
      </c>
      <c r="K13" s="282" t="inlineStr">
        <is>
          <t>AED - no conversion</t>
        </is>
      </c>
      <c r="L13" s="346">
        <f>I13*J13</f>
        <v/>
      </c>
      <c r="M13" s="346">
        <f>MAX(L13,0)</f>
        <v/>
      </c>
      <c r="N13" s="346">
        <f>MAX(-L13,0)</f>
        <v/>
      </c>
      <c r="O13" s="281" t="inlineStr"/>
    </row>
    <row r="14">
      <c r="A14" s="344" t="inlineStr">
        <is>
          <t>1500</t>
        </is>
      </c>
      <c r="B14" s="344" t="inlineStr">
        <is>
          <t>Furniture and equipment - cost</t>
        </is>
      </c>
      <c r="C14" s="344" t="inlineStr"/>
      <c r="D14" s="282" t="inlineStr">
        <is>
          <t>A_PPE</t>
        </is>
      </c>
      <c r="E14" s="282" t="inlineStr">
        <is>
          <t>Property and equipment</t>
        </is>
      </c>
      <c r="F14" s="282" t="inlineStr">
        <is>
          <t>rule</t>
        </is>
      </c>
      <c r="G14" s="345" t="n">
        <v>1400000</v>
      </c>
      <c r="H14" s="345" t="n">
        <v>0</v>
      </c>
      <c r="I14" s="346">
        <f>G14-H14</f>
        <v/>
      </c>
      <c r="J14" s="347" t="n">
        <v>1</v>
      </c>
      <c r="K14" s="282" t="inlineStr">
        <is>
          <t>AED - no conversion</t>
        </is>
      </c>
      <c r="L14" s="346">
        <f>I14*J14</f>
        <v/>
      </c>
      <c r="M14" s="346">
        <f>MAX(L14,0)</f>
        <v/>
      </c>
      <c r="N14" s="346">
        <f>MAX(-L14,0)</f>
        <v/>
      </c>
      <c r="O14" s="281" t="inlineStr"/>
    </row>
    <row r="15">
      <c r="A15" s="344" t="inlineStr">
        <is>
          <t>1510</t>
        </is>
      </c>
      <c r="B15" s="344" t="inlineStr">
        <is>
          <t>Accumulated depreciation</t>
        </is>
      </c>
      <c r="C15" s="344" t="inlineStr"/>
      <c r="D15" s="282" t="inlineStr">
        <is>
          <t>A_PPE</t>
        </is>
      </c>
      <c r="E15" s="282" t="inlineStr">
        <is>
          <t>Property and equipment</t>
        </is>
      </c>
      <c r="F15" s="282" t="inlineStr">
        <is>
          <t>rule</t>
        </is>
      </c>
      <c r="G15" s="345" t="n">
        <v>0</v>
      </c>
      <c r="H15" s="345" t="n">
        <v>560000</v>
      </c>
      <c r="I15" s="346">
        <f>G15-H15</f>
        <v/>
      </c>
      <c r="J15" s="347" t="n">
        <v>1</v>
      </c>
      <c r="K15" s="282" t="inlineStr">
        <is>
          <t>AED - no conversion</t>
        </is>
      </c>
      <c r="L15" s="346">
        <f>I15*J15</f>
        <v/>
      </c>
      <c r="M15" s="346">
        <f>MAX(L15,0)</f>
        <v/>
      </c>
      <c r="N15" s="346">
        <f>MAX(-L15,0)</f>
        <v/>
      </c>
      <c r="O15" s="281" t="inlineStr"/>
    </row>
    <row r="16">
      <c r="A16" s="344" t="inlineStr">
        <is>
          <t>1600</t>
        </is>
      </c>
      <c r="B16" s="344" t="inlineStr">
        <is>
          <t>Inventory</t>
        </is>
      </c>
      <c r="C16" s="344" t="inlineStr"/>
      <c r="D16" s="282" t="inlineStr">
        <is>
          <t>A_INV</t>
        </is>
      </c>
      <c r="E16" s="282" t="inlineStr">
        <is>
          <t>Inventories</t>
        </is>
      </c>
      <c r="F16" s="282" t="inlineStr">
        <is>
          <t>rule</t>
        </is>
      </c>
      <c r="G16" s="345" t="n">
        <v>2100000</v>
      </c>
      <c r="H16" s="345" t="n">
        <v>0</v>
      </c>
      <c r="I16" s="346">
        <f>G16-H16</f>
        <v/>
      </c>
      <c r="J16" s="347" t="n">
        <v>1</v>
      </c>
      <c r="K16" s="282" t="inlineStr">
        <is>
          <t>AED - no conversion</t>
        </is>
      </c>
      <c r="L16" s="346">
        <f>I16*J16</f>
        <v/>
      </c>
      <c r="M16" s="346">
        <f>MAX(L16,0)</f>
        <v/>
      </c>
      <c r="N16" s="346">
        <f>MAX(-L16,0)</f>
        <v/>
      </c>
      <c r="O16" s="281" t="inlineStr"/>
    </row>
    <row r="17">
      <c r="A17" s="344" t="inlineStr">
        <is>
          <t>2000</t>
        </is>
      </c>
      <c r="B17" s="344" t="inlineStr">
        <is>
          <t>Trade payables</t>
        </is>
      </c>
      <c r="C17" s="344" t="inlineStr"/>
      <c r="D17" s="282" t="inlineStr">
        <is>
          <t>L_TRADE_PAY</t>
        </is>
      </c>
      <c r="E17" s="282" t="inlineStr">
        <is>
          <t>Trade and other payables</t>
        </is>
      </c>
      <c r="F17" s="282" t="inlineStr">
        <is>
          <t>rule</t>
        </is>
      </c>
      <c r="G17" s="345" t="n">
        <v>0</v>
      </c>
      <c r="H17" s="345" t="n">
        <v>1900000</v>
      </c>
      <c r="I17" s="346">
        <f>G17-H17</f>
        <v/>
      </c>
      <c r="J17" s="347" t="n">
        <v>1</v>
      </c>
      <c r="K17" s="282" t="inlineStr">
        <is>
          <t>AED - no conversion</t>
        </is>
      </c>
      <c r="L17" s="346">
        <f>I17*J17</f>
        <v/>
      </c>
      <c r="M17" s="346">
        <f>MAX(L17,0)</f>
        <v/>
      </c>
      <c r="N17" s="346">
        <f>MAX(-L17,0)</f>
        <v/>
      </c>
      <c r="O17" s="281" t="inlineStr"/>
    </row>
    <row r="18">
      <c r="A18" s="344" t="inlineStr">
        <is>
          <t>2100</t>
        </is>
      </c>
      <c r="B18" s="344" t="inlineStr">
        <is>
          <t>Accrued expenses</t>
        </is>
      </c>
      <c r="C18" s="344" t="inlineStr"/>
      <c r="D18" s="282" t="inlineStr">
        <is>
          <t>L_TRADE_PAY</t>
        </is>
      </c>
      <c r="E18" s="282" t="inlineStr">
        <is>
          <t>Trade and other payables</t>
        </is>
      </c>
      <c r="F18" s="282" t="inlineStr">
        <is>
          <t>rule</t>
        </is>
      </c>
      <c r="G18" s="345" t="n">
        <v>0</v>
      </c>
      <c r="H18" s="345" t="n">
        <v>320000</v>
      </c>
      <c r="I18" s="346">
        <f>G18-H18</f>
        <v/>
      </c>
      <c r="J18" s="347" t="n">
        <v>1</v>
      </c>
      <c r="K18" s="282" t="inlineStr">
        <is>
          <t>AED - no conversion</t>
        </is>
      </c>
      <c r="L18" s="346">
        <f>I18*J18</f>
        <v/>
      </c>
      <c r="M18" s="346">
        <f>MAX(L18,0)</f>
        <v/>
      </c>
      <c r="N18" s="346">
        <f>MAX(-L18,0)</f>
        <v/>
      </c>
      <c r="O18" s="281" t="inlineStr"/>
    </row>
    <row r="19">
      <c r="A19" s="344" t="inlineStr">
        <is>
          <t>2200</t>
        </is>
      </c>
      <c r="B19" s="344" t="inlineStr">
        <is>
          <t>Loan from shareholder - Marjan Holdings LLC</t>
        </is>
      </c>
      <c r="C19" s="344" t="inlineStr"/>
      <c r="D19" s="282" t="inlineStr">
        <is>
          <t>L_RP</t>
        </is>
      </c>
      <c r="E19" s="282" t="inlineStr">
        <is>
          <t>Due to related parties</t>
        </is>
      </c>
      <c r="F19" s="282" t="inlineStr">
        <is>
          <t>rule</t>
        </is>
      </c>
      <c r="G19" s="345" t="n">
        <v>0</v>
      </c>
      <c r="H19" s="345" t="n">
        <v>1800000</v>
      </c>
      <c r="I19" s="346">
        <f>G19-H19</f>
        <v/>
      </c>
      <c r="J19" s="347" t="n">
        <v>1</v>
      </c>
      <c r="K19" s="282" t="inlineStr">
        <is>
          <t>AED - no conversion</t>
        </is>
      </c>
      <c r="L19" s="346">
        <f>I19*J19</f>
        <v/>
      </c>
      <c r="M19" s="346">
        <f>MAX(L19,0)</f>
        <v/>
      </c>
      <c r="N19" s="346">
        <f>MAX(-L19,0)</f>
        <v/>
      </c>
      <c r="O19" s="281" t="inlineStr"/>
    </row>
    <row r="20">
      <c r="A20" s="344" t="inlineStr">
        <is>
          <t>2300</t>
        </is>
      </c>
      <c r="B20" s="344" t="inlineStr">
        <is>
          <t>Bank term loan</t>
        </is>
      </c>
      <c r="C20" s="344" t="inlineStr"/>
      <c r="D20" s="282" t="inlineStr">
        <is>
          <t>L_BORR</t>
        </is>
      </c>
      <c r="E20" s="282" t="inlineStr">
        <is>
          <t>Borrowings</t>
        </is>
      </c>
      <c r="F20" s="282" t="inlineStr">
        <is>
          <t>rule</t>
        </is>
      </c>
      <c r="G20" s="345" t="n">
        <v>0</v>
      </c>
      <c r="H20" s="345" t="n">
        <v>1000000</v>
      </c>
      <c r="I20" s="346">
        <f>G20-H20</f>
        <v/>
      </c>
      <c r="J20" s="347" t="n">
        <v>1</v>
      </c>
      <c r="K20" s="282" t="inlineStr">
        <is>
          <t>AED - no conversion</t>
        </is>
      </c>
      <c r="L20" s="346">
        <f>I20*J20</f>
        <v/>
      </c>
      <c r="M20" s="346">
        <f>MAX(L20,0)</f>
        <v/>
      </c>
      <c r="N20" s="346">
        <f>MAX(-L20,0)</f>
        <v/>
      </c>
      <c r="O20" s="281" t="inlineStr"/>
    </row>
    <row r="21">
      <c r="A21" s="344" t="inlineStr">
        <is>
          <t>2400</t>
        </is>
      </c>
      <c r="B21" s="344" t="inlineStr">
        <is>
          <t>Provision for employees' end of service benefits</t>
        </is>
      </c>
      <c r="C21" s="344" t="inlineStr"/>
      <c r="D21" s="282" t="inlineStr">
        <is>
          <t>L_EOSB</t>
        </is>
      </c>
      <c r="E21" s="282" t="inlineStr">
        <is>
          <t>Employees' end of service benefits</t>
        </is>
      </c>
      <c r="F21" s="282" t="inlineStr">
        <is>
          <t>rule</t>
        </is>
      </c>
      <c r="G21" s="345" t="n">
        <v>0</v>
      </c>
      <c r="H21" s="345" t="n">
        <v>310000</v>
      </c>
      <c r="I21" s="346">
        <f>G21-H21</f>
        <v/>
      </c>
      <c r="J21" s="347" t="n">
        <v>1</v>
      </c>
      <c r="K21" s="282" t="inlineStr">
        <is>
          <t>AED - no conversion</t>
        </is>
      </c>
      <c r="L21" s="346">
        <f>I21*J21</f>
        <v/>
      </c>
      <c r="M21" s="346">
        <f>MAX(L21,0)</f>
        <v/>
      </c>
      <c r="N21" s="346">
        <f>MAX(-L21,0)</f>
        <v/>
      </c>
      <c r="O21" s="281" t="inlineStr"/>
    </row>
    <row r="22">
      <c r="A22" s="344" t="inlineStr">
        <is>
          <t>2500</t>
        </is>
      </c>
      <c r="B22" s="344" t="inlineStr">
        <is>
          <t>VAT payable</t>
        </is>
      </c>
      <c r="C22" s="344" t="inlineStr"/>
      <c r="D22" s="282" t="inlineStr">
        <is>
          <t>L_TRADE_PAY</t>
        </is>
      </c>
      <c r="E22" s="282" t="inlineStr">
        <is>
          <t>Trade and other payables</t>
        </is>
      </c>
      <c r="F22" s="282" t="inlineStr">
        <is>
          <t>rule</t>
        </is>
      </c>
      <c r="G22" s="345" t="n">
        <v>0</v>
      </c>
      <c r="H22" s="345" t="n">
        <v>120000</v>
      </c>
      <c r="I22" s="346">
        <f>G22-H22</f>
        <v/>
      </c>
      <c r="J22" s="347" t="n">
        <v>1</v>
      </c>
      <c r="K22" s="282" t="inlineStr">
        <is>
          <t>AED - no conversion</t>
        </is>
      </c>
      <c r="L22" s="346">
        <f>I22*J22</f>
        <v/>
      </c>
      <c r="M22" s="346">
        <f>MAX(L22,0)</f>
        <v/>
      </c>
      <c r="N22" s="346">
        <f>MAX(-L22,0)</f>
        <v/>
      </c>
      <c r="O22" s="281" t="inlineStr"/>
    </row>
    <row r="23">
      <c r="A23" s="344" t="inlineStr">
        <is>
          <t>3000</t>
        </is>
      </c>
      <c r="B23" s="344" t="inlineStr">
        <is>
          <t>Share capital</t>
        </is>
      </c>
      <c r="C23" s="344" t="inlineStr"/>
      <c r="D23" s="282" t="inlineStr">
        <is>
          <t>E_CAPITAL</t>
        </is>
      </c>
      <c r="E23" s="282" t="inlineStr">
        <is>
          <t>Share capital</t>
        </is>
      </c>
      <c r="F23" s="282" t="inlineStr">
        <is>
          <t>rule</t>
        </is>
      </c>
      <c r="G23" s="345" t="n">
        <v>0</v>
      </c>
      <c r="H23" s="345" t="n">
        <v>1000000</v>
      </c>
      <c r="I23" s="346">
        <f>G23-H23</f>
        <v/>
      </c>
      <c r="J23" s="347" t="n">
        <v>1</v>
      </c>
      <c r="K23" s="282" t="inlineStr">
        <is>
          <t>AED - no conversion</t>
        </is>
      </c>
      <c r="L23" s="346">
        <f>I23*J23</f>
        <v/>
      </c>
      <c r="M23" s="346">
        <f>MAX(L23,0)</f>
        <v/>
      </c>
      <c r="N23" s="346">
        <f>MAX(-L23,0)</f>
        <v/>
      </c>
      <c r="O23" s="281" t="inlineStr"/>
    </row>
    <row r="24">
      <c r="A24" s="344" t="inlineStr">
        <is>
          <t>3100</t>
        </is>
      </c>
      <c r="B24" s="344" t="inlineStr">
        <is>
          <t>Retained earnings - opening</t>
        </is>
      </c>
      <c r="C24" s="344" t="inlineStr"/>
      <c r="D24" s="282" t="inlineStr">
        <is>
          <t>E_RE</t>
        </is>
      </c>
      <c r="E24" s="282" t="inlineStr">
        <is>
          <t>Retained earnings (brought forward)</t>
        </is>
      </c>
      <c r="F24" s="282" t="inlineStr">
        <is>
          <t>rule</t>
        </is>
      </c>
      <c r="G24" s="345" t="n">
        <v>0</v>
      </c>
      <c r="H24" s="345" t="n">
        <v>2775000</v>
      </c>
      <c r="I24" s="346">
        <f>G24-H24</f>
        <v/>
      </c>
      <c r="J24" s="347" t="n">
        <v>1</v>
      </c>
      <c r="K24" s="282" t="inlineStr">
        <is>
          <t>AED - no conversion</t>
        </is>
      </c>
      <c r="L24" s="346">
        <f>I24*J24</f>
        <v/>
      </c>
      <c r="M24" s="346">
        <f>MAX(L24,0)</f>
        <v/>
      </c>
      <c r="N24" s="346">
        <f>MAX(-L24,0)</f>
        <v/>
      </c>
      <c r="O24" s="281" t="inlineStr"/>
    </row>
    <row r="25">
      <c r="A25" s="344" t="inlineStr">
        <is>
          <t>4000</t>
        </is>
      </c>
      <c r="B25" s="344" t="inlineStr">
        <is>
          <t>Sales - goods</t>
        </is>
      </c>
      <c r="C25" s="344" t="inlineStr"/>
      <c r="D25" s="282" t="inlineStr">
        <is>
          <t>P_REV</t>
        </is>
      </c>
      <c r="E25" s="282" t="inlineStr">
        <is>
          <t>Revenue</t>
        </is>
      </c>
      <c r="F25" s="282" t="inlineStr">
        <is>
          <t>rule</t>
        </is>
      </c>
      <c r="G25" s="345" t="n">
        <v>0</v>
      </c>
      <c r="H25" s="345" t="n">
        <v>16500000</v>
      </c>
      <c r="I25" s="346">
        <f>G25-H25</f>
        <v/>
      </c>
      <c r="J25" s="347" t="n">
        <v>1</v>
      </c>
      <c r="K25" s="282" t="inlineStr">
        <is>
          <t>AED - no conversion</t>
        </is>
      </c>
      <c r="L25" s="346">
        <f>I25*J25</f>
        <v/>
      </c>
      <c r="M25" s="346">
        <f>MAX(L25,0)</f>
        <v/>
      </c>
      <c r="N25" s="346">
        <f>MAX(-L25,0)</f>
        <v/>
      </c>
      <c r="O25" s="281" t="inlineStr"/>
    </row>
    <row r="26">
      <c r="A26" s="344" t="inlineStr">
        <is>
          <t>4100</t>
        </is>
      </c>
      <c r="B26" s="344" t="inlineStr">
        <is>
          <t>Service revenue</t>
        </is>
      </c>
      <c r="C26" s="344" t="inlineStr"/>
      <c r="D26" s="282" t="inlineStr">
        <is>
          <t>P_REV</t>
        </is>
      </c>
      <c r="E26" s="282" t="inlineStr">
        <is>
          <t>Revenue</t>
        </is>
      </c>
      <c r="F26" s="282" t="inlineStr">
        <is>
          <t>rule</t>
        </is>
      </c>
      <c r="G26" s="345" t="n">
        <v>0</v>
      </c>
      <c r="H26" s="345" t="n">
        <v>3000000</v>
      </c>
      <c r="I26" s="346">
        <f>G26-H26</f>
        <v/>
      </c>
      <c r="J26" s="347" t="n">
        <v>1</v>
      </c>
      <c r="K26" s="282" t="inlineStr">
        <is>
          <t>AED - no conversion</t>
        </is>
      </c>
      <c r="L26" s="346">
        <f>I26*J26</f>
        <v/>
      </c>
      <c r="M26" s="346">
        <f>MAX(L26,0)</f>
        <v/>
      </c>
      <c r="N26" s="346">
        <f>MAX(-L26,0)</f>
        <v/>
      </c>
      <c r="O26" s="281" t="inlineStr"/>
    </row>
    <row r="27">
      <c r="A27" s="344" t="inlineStr">
        <is>
          <t>4200</t>
        </is>
      </c>
      <c r="B27" s="344" t="inlineStr">
        <is>
          <t>Dividend income - Marjan Logistics FZE</t>
        </is>
      </c>
      <c r="C27" s="344" t="inlineStr"/>
      <c r="D27" s="282" t="inlineStr">
        <is>
          <t>P_DIV</t>
        </is>
      </c>
      <c r="E27" s="282" t="inlineStr">
        <is>
          <t>Dividend income</t>
        </is>
      </c>
      <c r="F27" s="282" t="inlineStr">
        <is>
          <t>rule</t>
        </is>
      </c>
      <c r="G27" s="345" t="n">
        <v>0</v>
      </c>
      <c r="H27" s="345" t="n">
        <v>400000</v>
      </c>
      <c r="I27" s="346">
        <f>G27-H27</f>
        <v/>
      </c>
      <c r="J27" s="347" t="n">
        <v>1</v>
      </c>
      <c r="K27" s="282" t="inlineStr">
        <is>
          <t>AED - no conversion</t>
        </is>
      </c>
      <c r="L27" s="346">
        <f>I27*J27</f>
        <v/>
      </c>
      <c r="M27" s="346">
        <f>MAX(L27,0)</f>
        <v/>
      </c>
      <c r="N27" s="346">
        <f>MAX(-L27,0)</f>
        <v/>
      </c>
      <c r="O27" s="281" t="inlineStr"/>
    </row>
    <row r="28">
      <c r="A28" s="344" t="inlineStr">
        <is>
          <t>4300</t>
        </is>
      </c>
      <c r="B28" s="344" t="inlineStr">
        <is>
          <t>Unrealised gain on fair value of investments</t>
        </is>
      </c>
      <c r="C28" s="344" t="inlineStr"/>
      <c r="D28" s="282" t="inlineStr">
        <is>
          <t>P_FV</t>
        </is>
      </c>
      <c r="E28" s="282" t="inlineStr">
        <is>
          <t>Fair value gain/(loss) on investments</t>
        </is>
      </c>
      <c r="F28" s="282" t="inlineStr">
        <is>
          <t>rule</t>
        </is>
      </c>
      <c r="G28" s="345" t="n">
        <v>0</v>
      </c>
      <c r="H28" s="345" t="n">
        <v>120000</v>
      </c>
      <c r="I28" s="346">
        <f>G28-H28</f>
        <v/>
      </c>
      <c r="J28" s="347" t="n">
        <v>1</v>
      </c>
      <c r="K28" s="282" t="inlineStr">
        <is>
          <t>AED - no conversion</t>
        </is>
      </c>
      <c r="L28" s="346">
        <f>I28*J28</f>
        <v/>
      </c>
      <c r="M28" s="346">
        <f>MAX(L28,0)</f>
        <v/>
      </c>
      <c r="N28" s="346">
        <f>MAX(-L28,0)</f>
        <v/>
      </c>
      <c r="O28" s="281" t="inlineStr"/>
    </row>
    <row r="29">
      <c r="A29" s="344" t="inlineStr">
        <is>
          <t>4400</t>
        </is>
      </c>
      <c r="B29" s="344" t="inlineStr">
        <is>
          <t>Interest income - bank deposits</t>
        </is>
      </c>
      <c r="C29" s="344" t="inlineStr"/>
      <c r="D29" s="282" t="inlineStr">
        <is>
          <t>P_INT_INC</t>
        </is>
      </c>
      <c r="E29" s="282" t="inlineStr">
        <is>
          <t>Interest income</t>
        </is>
      </c>
      <c r="F29" s="282" t="inlineStr">
        <is>
          <t>rule</t>
        </is>
      </c>
      <c r="G29" s="345" t="n">
        <v>0</v>
      </c>
      <c r="H29" s="345" t="n">
        <v>35000</v>
      </c>
      <c r="I29" s="346">
        <f>G29-H29</f>
        <v/>
      </c>
      <c r="J29" s="347" t="n">
        <v>1</v>
      </c>
      <c r="K29" s="282" t="inlineStr">
        <is>
          <t>AED - no conversion</t>
        </is>
      </c>
      <c r="L29" s="346">
        <f>I29*J29</f>
        <v/>
      </c>
      <c r="M29" s="346">
        <f>MAX(L29,0)</f>
        <v/>
      </c>
      <c r="N29" s="346">
        <f>MAX(-L29,0)</f>
        <v/>
      </c>
      <c r="O29" s="281" t="inlineStr"/>
    </row>
    <row r="30">
      <c r="A30" s="344" t="inlineStr">
        <is>
          <t>4500</t>
        </is>
      </c>
      <c r="B30" s="344" t="inlineStr">
        <is>
          <t>Foreign exchange gain</t>
        </is>
      </c>
      <c r="C30" s="344" t="inlineStr"/>
      <c r="D30" s="282" t="inlineStr">
        <is>
          <t>P_FX</t>
        </is>
      </c>
      <c r="E30" s="282" t="inlineStr">
        <is>
          <t>Foreign exchange (gain)/loss</t>
        </is>
      </c>
      <c r="F30" s="282" t="inlineStr">
        <is>
          <t>rule</t>
        </is>
      </c>
      <c r="G30" s="345" t="n">
        <v>0</v>
      </c>
      <c r="H30" s="345" t="n">
        <v>22000</v>
      </c>
      <c r="I30" s="346">
        <f>G30-H30</f>
        <v/>
      </c>
      <c r="J30" s="347" t="n">
        <v>1</v>
      </c>
      <c r="K30" s="282" t="inlineStr">
        <is>
          <t>AED - no conversion</t>
        </is>
      </c>
      <c r="L30" s="346">
        <f>I30*J30</f>
        <v/>
      </c>
      <c r="M30" s="346">
        <f>MAX(L30,0)</f>
        <v/>
      </c>
      <c r="N30" s="346">
        <f>MAX(-L30,0)</f>
        <v/>
      </c>
      <c r="O30" s="281" t="inlineStr"/>
    </row>
    <row r="31">
      <c r="A31" s="344" t="inlineStr">
        <is>
          <t>5000</t>
        </is>
      </c>
      <c r="B31" s="344" t="inlineStr">
        <is>
          <t>Cost of goods sold</t>
        </is>
      </c>
      <c r="C31" s="344" t="inlineStr"/>
      <c r="D31" s="282" t="inlineStr">
        <is>
          <t>P_COS</t>
        </is>
      </c>
      <c r="E31" s="282" t="inlineStr">
        <is>
          <t>Cost of sales</t>
        </is>
      </c>
      <c r="F31" s="282" t="inlineStr">
        <is>
          <t>rule</t>
        </is>
      </c>
      <c r="G31" s="345" t="n">
        <v>11800000</v>
      </c>
      <c r="H31" s="345" t="n">
        <v>0</v>
      </c>
      <c r="I31" s="346">
        <f>G31-H31</f>
        <v/>
      </c>
      <c r="J31" s="347" t="n">
        <v>1</v>
      </c>
      <c r="K31" s="282" t="inlineStr">
        <is>
          <t>AED - no conversion</t>
        </is>
      </c>
      <c r="L31" s="346">
        <f>I31*J31</f>
        <v/>
      </c>
      <c r="M31" s="346">
        <f>MAX(L31,0)</f>
        <v/>
      </c>
      <c r="N31" s="346">
        <f>MAX(-L31,0)</f>
        <v/>
      </c>
      <c r="O31" s="281" t="inlineStr"/>
    </row>
    <row r="32">
      <c r="A32" s="344" t="inlineStr">
        <is>
          <t>6000</t>
        </is>
      </c>
      <c r="B32" s="344" t="inlineStr">
        <is>
          <t>Salaries and wages</t>
        </is>
      </c>
      <c r="C32" s="344" t="inlineStr"/>
      <c r="D32" s="282" t="inlineStr">
        <is>
          <t>P_STAFF</t>
        </is>
      </c>
      <c r="E32" s="282" t="inlineStr">
        <is>
          <t>Staff costs</t>
        </is>
      </c>
      <c r="F32" s="282" t="inlineStr">
        <is>
          <t>rule</t>
        </is>
      </c>
      <c r="G32" s="345" t="n">
        <v>2900000</v>
      </c>
      <c r="H32" s="345" t="n">
        <v>0</v>
      </c>
      <c r="I32" s="346">
        <f>G32-H32</f>
        <v/>
      </c>
      <c r="J32" s="347" t="n">
        <v>1</v>
      </c>
      <c r="K32" s="282" t="inlineStr">
        <is>
          <t>AED - no conversion</t>
        </is>
      </c>
      <c r="L32" s="346">
        <f>I32*J32</f>
        <v/>
      </c>
      <c r="M32" s="346">
        <f>MAX(L32,0)</f>
        <v/>
      </c>
      <c r="N32" s="346">
        <f>MAX(-L32,0)</f>
        <v/>
      </c>
      <c r="O32" s="281" t="inlineStr"/>
    </row>
    <row r="33">
      <c r="A33" s="344" t="inlineStr">
        <is>
          <t>6010</t>
        </is>
      </c>
      <c r="B33" s="344" t="inlineStr">
        <is>
          <t>Office rent</t>
        </is>
      </c>
      <c r="C33" s="344" t="inlineStr"/>
      <c r="D33" s="282" t="inlineStr">
        <is>
          <t>P_RENT</t>
        </is>
      </c>
      <c r="E33" s="282" t="inlineStr">
        <is>
          <t>Rent and premises</t>
        </is>
      </c>
      <c r="F33" s="282" t="inlineStr">
        <is>
          <t>rule</t>
        </is>
      </c>
      <c r="G33" s="345" t="n">
        <v>480000</v>
      </c>
      <c r="H33" s="345" t="n">
        <v>0</v>
      </c>
      <c r="I33" s="346">
        <f>G33-H33</f>
        <v/>
      </c>
      <c r="J33" s="347" t="n">
        <v>1</v>
      </c>
      <c r="K33" s="282" t="inlineStr">
        <is>
          <t>AED - no conversion</t>
        </is>
      </c>
      <c r="L33" s="346">
        <f>I33*J33</f>
        <v/>
      </c>
      <c r="M33" s="346">
        <f>MAX(L33,0)</f>
        <v/>
      </c>
      <c r="N33" s="346">
        <f>MAX(-L33,0)</f>
        <v/>
      </c>
      <c r="O33" s="281" t="inlineStr"/>
    </row>
    <row r="34">
      <c r="A34" s="344" t="inlineStr">
        <is>
          <t>6020</t>
        </is>
      </c>
      <c r="B34" s="344" t="inlineStr">
        <is>
          <t>Client entertainment and hospitality</t>
        </is>
      </c>
      <c r="C34" s="344" t="inlineStr"/>
      <c r="D34" s="282" t="inlineStr">
        <is>
          <t>P_ENT</t>
        </is>
      </c>
      <c r="E34" s="282" t="inlineStr">
        <is>
          <t>Entertainment, events and gifts</t>
        </is>
      </c>
      <c r="F34" s="282" t="inlineStr">
        <is>
          <t>rule</t>
        </is>
      </c>
      <c r="G34" s="345" t="n">
        <v>140000</v>
      </c>
      <c r="H34" s="345" t="n">
        <v>0</v>
      </c>
      <c r="I34" s="346">
        <f>G34-H34</f>
        <v/>
      </c>
      <c r="J34" s="347" t="n">
        <v>1</v>
      </c>
      <c r="K34" s="282" t="inlineStr">
        <is>
          <t>AED - no conversion</t>
        </is>
      </c>
      <c r="L34" s="346">
        <f>I34*J34</f>
        <v/>
      </c>
      <c r="M34" s="346">
        <f>MAX(L34,0)</f>
        <v/>
      </c>
      <c r="N34" s="346">
        <f>MAX(-L34,0)</f>
        <v/>
      </c>
      <c r="O34" s="281" t="inlineStr"/>
    </row>
    <row r="35">
      <c r="A35" s="344" t="inlineStr">
        <is>
          <t>6030</t>
        </is>
      </c>
      <c r="B35" s="344" t="inlineStr">
        <is>
          <t>Donations</t>
        </is>
      </c>
      <c r="C35" s="344" t="inlineStr"/>
      <c r="D35" s="282" t="inlineStr">
        <is>
          <t>P_DON</t>
        </is>
      </c>
      <c r="E35" s="282" t="inlineStr">
        <is>
          <t>Donations</t>
        </is>
      </c>
      <c r="F35" s="282" t="inlineStr">
        <is>
          <t>rule</t>
        </is>
      </c>
      <c r="G35" s="345" t="n">
        <v>75000</v>
      </c>
      <c r="H35" s="345" t="n">
        <v>0</v>
      </c>
      <c r="I35" s="346">
        <f>G35-H35</f>
        <v/>
      </c>
      <c r="J35" s="347" t="n">
        <v>1</v>
      </c>
      <c r="K35" s="282" t="inlineStr">
        <is>
          <t>AED - no conversion</t>
        </is>
      </c>
      <c r="L35" s="346">
        <f>I35*J35</f>
        <v/>
      </c>
      <c r="M35" s="346">
        <f>MAX(L35,0)</f>
        <v/>
      </c>
      <c r="N35" s="346">
        <f>MAX(-L35,0)</f>
        <v/>
      </c>
      <c r="O35" s="281" t="inlineStr"/>
    </row>
    <row r="36">
      <c r="A36" s="344" t="inlineStr">
        <is>
          <t>6040</t>
        </is>
      </c>
      <c r="B36" s="344" t="inlineStr">
        <is>
          <t>Fines and penalties</t>
        </is>
      </c>
      <c r="C36" s="344" t="inlineStr"/>
      <c r="D36" s="282" t="inlineStr">
        <is>
          <t>P_FINES</t>
        </is>
      </c>
      <c r="E36" s="282" t="inlineStr">
        <is>
          <t>Fines and penalties</t>
        </is>
      </c>
      <c r="F36" s="282" t="inlineStr">
        <is>
          <t>rule</t>
        </is>
      </c>
      <c r="G36" s="345" t="n">
        <v>28000</v>
      </c>
      <c r="H36" s="345" t="n">
        <v>0</v>
      </c>
      <c r="I36" s="346">
        <f>G36-H36</f>
        <v/>
      </c>
      <c r="J36" s="347" t="n">
        <v>1</v>
      </c>
      <c r="K36" s="282" t="inlineStr">
        <is>
          <t>AED - no conversion</t>
        </is>
      </c>
      <c r="L36" s="346">
        <f>I36*J36</f>
        <v/>
      </c>
      <c r="M36" s="346">
        <f>MAX(L36,0)</f>
        <v/>
      </c>
      <c r="N36" s="346">
        <f>MAX(-L36,0)</f>
        <v/>
      </c>
      <c r="O36" s="281" t="inlineStr"/>
    </row>
    <row r="37" thickBot="1">
      <c r="A37" s="344" t="inlineStr">
        <is>
          <t>6050</t>
        </is>
      </c>
      <c r="B37" s="344" t="inlineStr">
        <is>
          <t>Professional and legal fees</t>
        </is>
      </c>
      <c r="C37" s="344" t="inlineStr"/>
      <c r="D37" s="282" t="inlineStr">
        <is>
          <t>P_PROF</t>
        </is>
      </c>
      <c r="E37" s="282" t="inlineStr">
        <is>
          <t>Audit, legal and professional fees</t>
        </is>
      </c>
      <c r="F37" s="282" t="inlineStr">
        <is>
          <t>rule</t>
        </is>
      </c>
      <c r="G37" s="345" t="n">
        <v>160000</v>
      </c>
      <c r="H37" s="345" t="n">
        <v>0</v>
      </c>
      <c r="I37" s="346">
        <f>G37-H37</f>
        <v/>
      </c>
      <c r="J37" s="347" t="n">
        <v>1</v>
      </c>
      <c r="K37" s="282" t="inlineStr">
        <is>
          <t>AED - no conversion</t>
        </is>
      </c>
      <c r="L37" s="346">
        <f>I37*J37</f>
        <v/>
      </c>
      <c r="M37" s="346">
        <f>MAX(L37,0)</f>
        <v/>
      </c>
      <c r="N37" s="346">
        <f>MAX(-L37,0)</f>
        <v/>
      </c>
      <c r="O37" s="281" t="inlineStr"/>
    </row>
    <row r="38" thickTop="1">
      <c r="A38" s="344" t="inlineStr">
        <is>
          <t>6060</t>
        </is>
      </c>
      <c r="B38" s="344" t="inlineStr">
        <is>
          <t>Depreciation expense</t>
        </is>
      </c>
      <c r="C38" s="344" t="inlineStr"/>
      <c r="D38" s="282" t="inlineStr">
        <is>
          <t>P_DEP</t>
        </is>
      </c>
      <c r="E38" s="282" t="inlineStr">
        <is>
          <t>Depreciation and amortisation</t>
        </is>
      </c>
      <c r="F38" s="282" t="inlineStr">
        <is>
          <t>rule</t>
        </is>
      </c>
      <c r="G38" s="345" t="n">
        <v>210000</v>
      </c>
      <c r="H38" s="345" t="n">
        <v>0</v>
      </c>
      <c r="I38" s="346">
        <f>G38-H38</f>
        <v/>
      </c>
      <c r="J38" s="347" t="n">
        <v>1</v>
      </c>
      <c r="K38" s="282" t="inlineStr">
        <is>
          <t>AED - no conversion</t>
        </is>
      </c>
      <c r="L38" s="346">
        <f>I38*J38</f>
        <v/>
      </c>
      <c r="M38" s="346">
        <f>MAX(L38,0)</f>
        <v/>
      </c>
      <c r="N38" s="346">
        <f>MAX(-L38,0)</f>
        <v/>
      </c>
      <c r="O38" s="281" t="inlineStr"/>
    </row>
    <row r="39">
      <c r="A39" s="344" t="inlineStr">
        <is>
          <t>6070</t>
        </is>
      </c>
      <c r="B39" s="344" t="inlineStr">
        <is>
          <t>Interest expense - shareholder loan</t>
        </is>
      </c>
      <c r="C39" s="344" t="inlineStr"/>
      <c r="D39" s="282" t="inlineStr">
        <is>
          <t>P_FIN</t>
        </is>
      </c>
      <c r="E39" s="282" t="inlineStr">
        <is>
          <t>Finance costs</t>
        </is>
      </c>
      <c r="F39" s="282" t="inlineStr">
        <is>
          <t>rule</t>
        </is>
      </c>
      <c r="G39" s="345" t="n">
        <v>90000</v>
      </c>
      <c r="H39" s="345" t="n">
        <v>0</v>
      </c>
      <c r="I39" s="346">
        <f>G39-H39</f>
        <v/>
      </c>
      <c r="J39" s="347" t="n">
        <v>1</v>
      </c>
      <c r="K39" s="282" t="inlineStr">
        <is>
          <t>AED - no conversion</t>
        </is>
      </c>
      <c r="L39" s="346">
        <f>I39*J39</f>
        <v/>
      </c>
      <c r="M39" s="346">
        <f>MAX(L39,0)</f>
        <v/>
      </c>
      <c r="N39" s="346">
        <f>MAX(-L39,0)</f>
        <v/>
      </c>
      <c r="O39" s="281" t="inlineStr"/>
    </row>
    <row r="40">
      <c r="A40" s="344" t="inlineStr">
        <is>
          <t>6080</t>
        </is>
      </c>
      <c r="B40" s="344" t="inlineStr">
        <is>
          <t>Interest expense - bank term loan</t>
        </is>
      </c>
      <c r="C40" s="344" t="inlineStr"/>
      <c r="D40" s="282" t="inlineStr">
        <is>
          <t>P_FIN</t>
        </is>
      </c>
      <c r="E40" s="282" t="inlineStr">
        <is>
          <t>Finance costs</t>
        </is>
      </c>
      <c r="F40" s="282" t="inlineStr">
        <is>
          <t>rule</t>
        </is>
      </c>
      <c r="G40" s="345" t="n">
        <v>60000</v>
      </c>
      <c r="H40" s="345" t="n">
        <v>0</v>
      </c>
      <c r="I40" s="346">
        <f>G40-H40</f>
        <v/>
      </c>
      <c r="J40" s="347" t="n">
        <v>1</v>
      </c>
      <c r="K40" s="282" t="inlineStr">
        <is>
          <t>AED - no conversion</t>
        </is>
      </c>
      <c r="L40" s="346">
        <f>I40*J40</f>
        <v/>
      </c>
      <c r="M40" s="346">
        <f>MAX(L40,0)</f>
        <v/>
      </c>
      <c r="N40" s="346">
        <f>MAX(-L40,0)</f>
        <v/>
      </c>
      <c r="O40" s="281" t="inlineStr"/>
    </row>
    <row r="41">
      <c r="A41" s="344" t="inlineStr">
        <is>
          <t>6085</t>
        </is>
      </c>
      <c r="B41" s="344" t="inlineStr">
        <is>
          <t>Bank charges</t>
        </is>
      </c>
      <c r="C41" s="344" t="inlineStr"/>
      <c r="D41" s="282" t="inlineStr">
        <is>
          <t>P_BANK</t>
        </is>
      </c>
      <c r="E41" s="282" t="inlineStr">
        <is>
          <t>Bank fees and charges</t>
        </is>
      </c>
      <c r="F41" s="282" t="inlineStr">
        <is>
          <t>rule</t>
        </is>
      </c>
      <c r="G41" s="345" t="n">
        <v>24000</v>
      </c>
      <c r="H41" s="345" t="n">
        <v>0</v>
      </c>
      <c r="I41" s="346">
        <f>G41-H41</f>
        <v/>
      </c>
      <c r="J41" s="347" t="n">
        <v>1</v>
      </c>
      <c r="K41" s="282" t="inlineStr">
        <is>
          <t>AED - no conversion</t>
        </is>
      </c>
      <c r="L41" s="346">
        <f>I41*J41</f>
        <v/>
      </c>
      <c r="M41" s="346">
        <f>MAX(L41,0)</f>
        <v/>
      </c>
      <c r="N41" s="346">
        <f>MAX(-L41,0)</f>
        <v/>
      </c>
      <c r="O41" s="281" t="inlineStr"/>
    </row>
    <row r="42">
      <c r="A42" s="344" t="inlineStr">
        <is>
          <t>6090</t>
        </is>
      </c>
      <c r="B42" s="344" t="inlineStr">
        <is>
          <t>Impairment of trade receivables - provision for doubtful debts</t>
        </is>
      </c>
      <c r="C42" s="344" t="inlineStr"/>
      <c r="D42" s="282" t="inlineStr">
        <is>
          <t>P_PROV</t>
        </is>
      </c>
      <c r="E42" s="282" t="inlineStr">
        <is>
          <t>Provisions, impairments and bad debts</t>
        </is>
      </c>
      <c r="F42" s="282" t="inlineStr">
        <is>
          <t>rule</t>
        </is>
      </c>
      <c r="G42" s="345" t="n">
        <v>95000</v>
      </c>
      <c r="H42" s="345" t="n">
        <v>0</v>
      </c>
      <c r="I42" s="346">
        <f>G42-H42</f>
        <v/>
      </c>
      <c r="J42" s="347" t="n">
        <v>1</v>
      </c>
      <c r="K42" s="282" t="inlineStr">
        <is>
          <t>AED - no conversion</t>
        </is>
      </c>
      <c r="L42" s="346">
        <f>I42*J42</f>
        <v/>
      </c>
      <c r="M42" s="346">
        <f>MAX(L42,0)</f>
        <v/>
      </c>
      <c r="N42" s="346">
        <f>MAX(-L42,0)</f>
        <v/>
      </c>
      <c r="O42" s="281" t="inlineStr"/>
    </row>
    <row r="43">
      <c r="A43" s="344" t="inlineStr">
        <is>
          <t>6100</t>
        </is>
      </c>
      <c r="B43" s="344" t="inlineStr">
        <is>
          <t>Repairs and maintenance</t>
        </is>
      </c>
      <c r="C43" s="344" t="inlineStr"/>
      <c r="D43" s="282" t="inlineStr">
        <is>
          <t>P_GEN</t>
        </is>
      </c>
      <c r="E43" s="282" t="inlineStr">
        <is>
          <t>General and administrative expenses (other)</t>
        </is>
      </c>
      <c r="F43" s="282" t="inlineStr">
        <is>
          <t>rule</t>
        </is>
      </c>
      <c r="G43" s="345" t="n">
        <v>70000</v>
      </c>
      <c r="H43" s="345" t="n">
        <v>0</v>
      </c>
      <c r="I43" s="346">
        <f>G43-H43</f>
        <v/>
      </c>
      <c r="J43" s="347" t="n">
        <v>1</v>
      </c>
      <c r="K43" s="282" t="inlineStr">
        <is>
          <t>AED - no conversion</t>
        </is>
      </c>
      <c r="L43" s="346">
        <f>I43*J43</f>
        <v/>
      </c>
      <c r="M43" s="346">
        <f>MAX(L43,0)</f>
        <v/>
      </c>
      <c r="N43" s="346">
        <f>MAX(-L43,0)</f>
        <v/>
      </c>
      <c r="O43" s="281" t="inlineStr"/>
    </row>
    <row r="44">
      <c r="A44" s="344" t="inlineStr">
        <is>
          <t>6110</t>
        </is>
      </c>
      <c r="B44" s="344" t="inlineStr">
        <is>
          <t>Staff end of service benefit expense</t>
        </is>
      </c>
      <c r="C44" s="344" t="inlineStr"/>
      <c r="D44" s="282" t="inlineStr">
        <is>
          <t>P_STAFF</t>
        </is>
      </c>
      <c r="E44" s="282" t="inlineStr">
        <is>
          <t>Staff costs</t>
        </is>
      </c>
      <c r="F44" s="282" t="inlineStr">
        <is>
          <t>rule</t>
        </is>
      </c>
      <c r="G44" s="345" t="n">
        <v>85000</v>
      </c>
      <c r="H44" s="345" t="n">
        <v>0</v>
      </c>
      <c r="I44" s="346">
        <f>G44-H44</f>
        <v/>
      </c>
      <c r="J44" s="347" t="n">
        <v>1</v>
      </c>
      <c r="K44" s="282" t="inlineStr">
        <is>
          <t>AED - no conversion</t>
        </is>
      </c>
      <c r="L44" s="346">
        <f>I44*J44</f>
        <v/>
      </c>
      <c r="M44" s="346">
        <f>MAX(L44,0)</f>
        <v/>
      </c>
      <c r="N44" s="346">
        <f>MAX(-L44,0)</f>
        <v/>
      </c>
      <c r="O44" s="281" t="inlineStr"/>
    </row>
    <row r="45">
      <c r="A45" s="344" t="inlineStr">
        <is>
          <t>6120</t>
        </is>
      </c>
      <c r="B45" s="344" t="inlineStr">
        <is>
          <t>Management fee - Marjan Holdings LLC</t>
        </is>
      </c>
      <c r="C45" s="344" t="inlineStr"/>
      <c r="D45" s="282" t="inlineStr">
        <is>
          <t>P_GEN</t>
        </is>
      </c>
      <c r="E45" s="282" t="inlineStr">
        <is>
          <t>General and administrative expenses (other)</t>
        </is>
      </c>
      <c r="F45" s="282" t="inlineStr">
        <is>
          <t>rule</t>
        </is>
      </c>
      <c r="G45" s="345" t="n">
        <v>300000</v>
      </c>
      <c r="H45" s="345" t="n">
        <v>0</v>
      </c>
      <c r="I45" s="346">
        <f>G45-H45</f>
        <v/>
      </c>
      <c r="J45" s="347" t="n">
        <v>1</v>
      </c>
      <c r="K45" s="282" t="inlineStr">
        <is>
          <t>AED - no conversion</t>
        </is>
      </c>
      <c r="L45" s="346">
        <f>I45*J45</f>
        <v/>
      </c>
      <c r="M45" s="346">
        <f>MAX(L45,0)</f>
        <v/>
      </c>
      <c r="N45" s="346">
        <f>MAX(-L45,0)</f>
        <v/>
      </c>
      <c r="O45" s="281" t="inlineStr"/>
    </row>
    <row r="46">
      <c r="A46" s="344" t="inlineStr">
        <is>
          <t>6130</t>
        </is>
      </c>
      <c r="B46" s="344" t="inlineStr">
        <is>
          <t>Foreign exchange loss</t>
        </is>
      </c>
      <c r="C46" s="344" t="inlineStr"/>
      <c r="D46" s="282" t="inlineStr">
        <is>
          <t>P_FX</t>
        </is>
      </c>
      <c r="E46" s="282" t="inlineStr">
        <is>
          <t>Foreign exchange (gain)/loss</t>
        </is>
      </c>
      <c r="F46" s="282" t="inlineStr">
        <is>
          <t>rule</t>
        </is>
      </c>
      <c r="G46" s="345" t="n">
        <v>18000</v>
      </c>
      <c r="H46" s="345" t="n">
        <v>0</v>
      </c>
      <c r="I46" s="346">
        <f>G46-H46</f>
        <v/>
      </c>
      <c r="J46" s="347" t="n">
        <v>1</v>
      </c>
      <c r="K46" s="282" t="inlineStr">
        <is>
          <t>AED - no conversion</t>
        </is>
      </c>
      <c r="L46" s="346">
        <f>I46*J46</f>
        <v/>
      </c>
      <c r="M46" s="346">
        <f>MAX(L46,0)</f>
        <v/>
      </c>
      <c r="N46" s="346">
        <f>MAX(-L46,0)</f>
        <v/>
      </c>
      <c r="O46" s="281" t="inlineStr"/>
    </row>
    <row r="47">
      <c r="A47" s="344" t="inlineStr">
        <is>
          <t>6140</t>
        </is>
      </c>
      <c r="B47" s="344" t="inlineStr">
        <is>
          <t>Director personal expenses</t>
        </is>
      </c>
      <c r="C47" s="344" t="inlineStr"/>
      <c r="D47" s="282" t="inlineStr">
        <is>
          <t>P_GEN</t>
        </is>
      </c>
      <c r="E47" s="282" t="inlineStr">
        <is>
          <t>General and administrative expenses (other)</t>
        </is>
      </c>
      <c r="F47" s="282" t="inlineStr">
        <is>
          <t>rule</t>
        </is>
      </c>
      <c r="G47" s="345" t="n">
        <v>42000</v>
      </c>
      <c r="H47" s="345" t="n">
        <v>0</v>
      </c>
      <c r="I47" s="346">
        <f>G47-H47</f>
        <v/>
      </c>
      <c r="J47" s="347" t="n">
        <v>1</v>
      </c>
      <c r="K47" s="282" t="inlineStr">
        <is>
          <t>AED - no conversion</t>
        </is>
      </c>
      <c r="L47" s="346">
        <f>I47*J47</f>
        <v/>
      </c>
      <c r="M47" s="346">
        <f>MAX(L47,0)</f>
        <v/>
      </c>
      <c r="N47" s="346">
        <f>MAX(-L47,0)</f>
        <v/>
      </c>
      <c r="O47" s="281" t="inlineStr"/>
    </row>
    <row r="48">
      <c r="A48" s="344" t="inlineStr">
        <is>
          <t>6150</t>
        </is>
      </c>
      <c r="B48" s="344" t="inlineStr">
        <is>
          <t>Marketing and advertising</t>
        </is>
      </c>
      <c r="C48" s="344" t="inlineStr"/>
      <c r="D48" s="282" t="inlineStr">
        <is>
          <t>P_MKT</t>
        </is>
      </c>
      <c r="E48" s="282" t="inlineStr">
        <is>
          <t>Marketing, promotion and commissions</t>
        </is>
      </c>
      <c r="F48" s="282" t="inlineStr">
        <is>
          <t>rule</t>
        </is>
      </c>
      <c r="G48" s="345" t="n">
        <v>220000</v>
      </c>
      <c r="H48" s="345" t="n">
        <v>0</v>
      </c>
      <c r="I48" s="346">
        <f>G48-H48</f>
        <v/>
      </c>
      <c r="J48" s="347" t="n">
        <v>1</v>
      </c>
      <c r="K48" s="282" t="inlineStr">
        <is>
          <t>AED - no conversion</t>
        </is>
      </c>
      <c r="L48" s="346">
        <f>I48*J48</f>
        <v/>
      </c>
      <c r="M48" s="346">
        <f>MAX(L48,0)</f>
        <v/>
      </c>
      <c r="N48" s="346">
        <f>MAX(-L48,0)</f>
        <v/>
      </c>
      <c r="O48" s="281" t="inlineStr"/>
    </row>
    <row r="49">
      <c r="A49" s="344" t="inlineStr">
        <is>
          <t>6160</t>
        </is>
      </c>
      <c r="B49" s="344" t="inlineStr">
        <is>
          <t>Telephone and utilities</t>
        </is>
      </c>
      <c r="C49" s="344" t="inlineStr"/>
      <c r="D49" s="282" t="inlineStr">
        <is>
          <t>P_RENT</t>
        </is>
      </c>
      <c r="E49" s="282" t="inlineStr">
        <is>
          <t>Rent and premises</t>
        </is>
      </c>
      <c r="F49" s="282" t="inlineStr">
        <is>
          <t>rule</t>
        </is>
      </c>
      <c r="G49" s="345" t="n">
        <v>96000</v>
      </c>
      <c r="H49" s="345" t="n">
        <v>0</v>
      </c>
      <c r="I49" s="346">
        <f>G49-H49</f>
        <v/>
      </c>
      <c r="J49" s="347" t="n">
        <v>1</v>
      </c>
      <c r="K49" s="282" t="inlineStr">
        <is>
          <t>AED - no conversion</t>
        </is>
      </c>
      <c r="L49" s="346">
        <f>I49*J49</f>
        <v/>
      </c>
      <c r="M49" s="346">
        <f>MAX(L49,0)</f>
        <v/>
      </c>
      <c r="N49" s="346">
        <f>MAX(-L49,0)</f>
        <v/>
      </c>
      <c r="O49" s="281" t="inlineStr"/>
    </row>
    <row r="50">
      <c r="A50" s="344" t="inlineStr">
        <is>
          <t>6170</t>
        </is>
      </c>
      <c r="B50" s="344" t="inlineStr">
        <is>
          <t>Insurance</t>
        </is>
      </c>
      <c r="C50" s="344" t="inlineStr"/>
      <c r="D50" s="282" t="inlineStr">
        <is>
          <t>P_GEN</t>
        </is>
      </c>
      <c r="E50" s="282" t="inlineStr">
        <is>
          <t>General and administrative expenses (other)</t>
        </is>
      </c>
      <c r="F50" s="282" t="inlineStr">
        <is>
          <t>rule</t>
        </is>
      </c>
      <c r="G50" s="345" t="n">
        <v>64000</v>
      </c>
      <c r="H50" s="345" t="n">
        <v>0</v>
      </c>
      <c r="I50" s="346">
        <f>G50-H50</f>
        <v/>
      </c>
      <c r="J50" s="347" t="n">
        <v>1</v>
      </c>
      <c r="K50" s="282" t="inlineStr">
        <is>
          <t>AED - no conversion</t>
        </is>
      </c>
      <c r="L50" s="346">
        <f>I50*J50</f>
        <v/>
      </c>
      <c r="M50" s="346">
        <f>MAX(L50,0)</f>
        <v/>
      </c>
      <c r="N50" s="346">
        <f>MAX(-L50,0)</f>
        <v/>
      </c>
      <c r="O50" s="281" t="inlineStr"/>
    </row>
    <row r="51">
      <c r="A51" s="344" t="inlineStr">
        <is>
          <t>6180</t>
        </is>
      </c>
      <c r="B51" s="344" t="inlineStr">
        <is>
          <t>Travel and accommodation</t>
        </is>
      </c>
      <c r="C51" s="344" t="inlineStr"/>
      <c r="D51" s="282" t="inlineStr">
        <is>
          <t>P_GEN</t>
        </is>
      </c>
      <c r="E51" s="282" t="inlineStr">
        <is>
          <t>General and administrative expenses (other)</t>
        </is>
      </c>
      <c r="F51" s="282" t="inlineStr">
        <is>
          <t>rule</t>
        </is>
      </c>
      <c r="G51" s="345" t="n">
        <v>130000</v>
      </c>
      <c r="H51" s="345" t="n">
        <v>0</v>
      </c>
      <c r="I51" s="346">
        <f>G51-H51</f>
        <v/>
      </c>
      <c r="J51" s="347" t="n">
        <v>1</v>
      </c>
      <c r="K51" s="282" t="inlineStr">
        <is>
          <t>AED - no conversion</t>
        </is>
      </c>
      <c r="L51" s="346">
        <f>I51*J51</f>
        <v/>
      </c>
      <c r="M51" s="346">
        <f>MAX(L51,0)</f>
        <v/>
      </c>
      <c r="N51" s="346">
        <f>MAX(-L51,0)</f>
        <v/>
      </c>
      <c r="O51" s="281" t="inlineStr"/>
    </row>
    <row r="52">
      <c r="B52" s="329" t="inlineStr">
        <is>
          <t>Total</t>
        </is>
      </c>
      <c r="G52" s="348">
        <f>SUM(G6:G51)</f>
        <v/>
      </c>
      <c r="H52" s="348">
        <f>SUM(H6:H51)</f>
        <v/>
      </c>
      <c r="I52" s="348">
        <f>SUM(I6:I51)</f>
        <v/>
      </c>
      <c r="L52" s="348">
        <f>SUM(L6:L51)</f>
        <v/>
      </c>
      <c r="M52" s="348">
        <f>SUM(M6:M51)</f>
        <v/>
      </c>
      <c r="N52" s="348">
        <f>SUM(N6:N51)</f>
        <v/>
      </c>
    </row>
    <row r="53">
      <c r="B53" s="334" t="inlineStr">
        <is>
          <t>Check: AED net must be nil</t>
        </is>
      </c>
      <c r="L53" s="329">
        <f>IF(ABS(L52)&lt;0.5,"OK","CHECK")</f>
        <v/>
      </c>
    </row>
  </sheetData>
  <pageMargins left="0.7" right="0.7" top="0.75" bottom="0.75" header="0.3" footer="0.3"/>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UAE CT Computation Tool</dc:creator>
  <dc:title xmlns:dc="http://purl.org/dc/elements/1.1/">Marjan Gulf Trading LLC (sample) - Corporate Tax computation (AED)</dc:title>
  <dcterms:created xmlns:dcterms="http://purl.org/dc/terms/" xmlns:xsi="http://www.w3.org/2001/XMLSchema-instance" xsi:type="dcterms:W3CDTF">2023-11-23T11:46:19Z</dcterms:created>
  <dcterms:modified xmlns:dcterms="http://purl.org/dc/terms/" xmlns:xsi="http://www.w3.org/2001/XMLSchema-instance" xsi:type="dcterms:W3CDTF">2026-10-20T18:49:10Z</dcterms:modified>
  <cp:lastModifiedBy>Sivakrishna Sankar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0x0101007674F83B67BB344B8F3F84CD5A86665F</vt:lpwstr>
  </property>
</Properties>
</file>