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Loan Schedule" state="visible" r:id="rId5"/>
    <sheet sheetId="3" name="Depreciation" state="visible" r:id="rId6"/>
    <sheet sheetId="4" name="Operating Statement" state="visible" r:id="rId7"/>
    <sheet sheetId="5" name="Balance Sheet" state="visible" r:id="rId8"/>
    <sheet sheetId="6" name="Ratio Analysis" state="visible" r:id="rId9"/>
    <sheet sheetId="7" name="MPBF &amp; DP" state="visible" r:id="rId10"/>
  </sheets>
  <calcPr calcId="171027" fullCalcOnLoad="1"/>
</workbook>
</file>

<file path=xl/sharedStrings.xml><?xml version="1.0" encoding="utf-8"?>
<sst xmlns="http://schemas.openxmlformats.org/spreadsheetml/2006/main" count="260" uniqueCount="233">
  <si>
    <t>CMA DATA — TEST</t>
  </si>
  <si>
    <t>All amounts in ₹ Lakhs · generated by CMA Pro Builder</t>
  </si>
  <si>
    <t>Sales Growth % p.a.</t>
  </si>
  <si>
    <t>Cost Efficiency Boost %</t>
  </si>
  <si>
    <t>RM Consumed as % of Sales</t>
  </si>
  <si>
    <t>Inventory Days</t>
  </si>
  <si>
    <t>Debtor Days</t>
  </si>
  <si>
    <t>Creditor Days</t>
  </si>
  <si>
    <t>Tax Rate %</t>
  </si>
  <si>
    <t>Dividend % of PAT</t>
  </si>
  <si>
    <t>Minimum Cash Balance</t>
  </si>
  <si>
    <t>CC Limit</t>
  </si>
  <si>
    <t>CC Interest Rate %</t>
  </si>
  <si>
    <t>Grant Month Index (0=Apr)</t>
  </si>
  <si>
    <t>Term Loan Amount</t>
  </si>
  <si>
    <t>Expense ratios (% of sales, from latest actual year)</t>
  </si>
  <si>
    <t>Power &amp; Fuel</t>
  </si>
  <si>
    <t>Direct Labour &amp; Wages</t>
  </si>
  <si>
    <t>Salary &amp; Employee Benefits</t>
  </si>
  <si>
    <t>Freight &amp; Cartage</t>
  </si>
  <si>
    <t>Sales Promotion &amp; Distribution</t>
  </si>
  <si>
    <t>Travelling &amp; Conveyance</t>
  </si>
  <si>
    <t>Repairs &amp; Maintenance</t>
  </si>
  <si>
    <t>Professional Fees</t>
  </si>
  <si>
    <t>Operating Expenses (General)</t>
  </si>
  <si>
    <t>Other Expenses</t>
  </si>
  <si>
    <t>Custom Expense 1</t>
  </si>
  <si>
    <t>Custom Expense 2</t>
  </si>
  <si>
    <t>Packing Charges</t>
  </si>
  <si>
    <t>Month</t>
  </si>
  <si>
    <t>Date</t>
  </si>
  <si>
    <t>FY Index</t>
  </si>
  <si>
    <t>Opening</t>
  </si>
  <si>
    <t>EMI</t>
  </si>
  <si>
    <t>Interest</t>
  </si>
  <si>
    <t>Principal</t>
  </si>
  <si>
    <t>Closing</t>
  </si>
  <si>
    <t>2024-06-09</t>
  </si>
  <si>
    <t>2024-07-09</t>
  </si>
  <si>
    <t>2024-08-09</t>
  </si>
  <si>
    <t>2024-09-09</t>
  </si>
  <si>
    <t>2024-10-09</t>
  </si>
  <si>
    <t>2024-11-09</t>
  </si>
  <si>
    <t>2024-12-09</t>
  </si>
  <si>
    <t>2025-01-09</t>
  </si>
  <si>
    <t>2025-02-09</t>
  </si>
  <si>
    <t>2025-03-09</t>
  </si>
  <si>
    <t>2025-04-09</t>
  </si>
  <si>
    <t>2025-05-09</t>
  </si>
  <si>
    <t>2025-06-09</t>
  </si>
  <si>
    <t>2025-07-09</t>
  </si>
  <si>
    <t>2025-08-09</t>
  </si>
  <si>
    <t>2025-09-09</t>
  </si>
  <si>
    <t>2025-10-09</t>
  </si>
  <si>
    <t>2025-11-09</t>
  </si>
  <si>
    <t>2025-12-09</t>
  </si>
  <si>
    <t>2026-01-09</t>
  </si>
  <si>
    <t>2026-02-09</t>
  </si>
  <si>
    <t>2026-03-09</t>
  </si>
  <si>
    <t>2026-04-09</t>
  </si>
  <si>
    <t>2026-05-09</t>
  </si>
  <si>
    <t>2026-06-09</t>
  </si>
  <si>
    <t>2026-07-09</t>
  </si>
  <si>
    <t>2026-08-09</t>
  </si>
  <si>
    <t>2026-09-09</t>
  </si>
  <si>
    <t>2026-10-09</t>
  </si>
  <si>
    <t>2026-11-09</t>
  </si>
  <si>
    <t>2026-12-09</t>
  </si>
  <si>
    <t>2027-01-09</t>
  </si>
  <si>
    <t>2027-02-09</t>
  </si>
  <si>
    <t>2027-03-09</t>
  </si>
  <si>
    <t>2027-04-09</t>
  </si>
  <si>
    <t>2027-05-09</t>
  </si>
  <si>
    <t>2027-06-09</t>
  </si>
  <si>
    <t>2027-07-09</t>
  </si>
  <si>
    <t>2027-08-09</t>
  </si>
  <si>
    <t>2027-09-09</t>
  </si>
  <si>
    <t>2027-10-09</t>
  </si>
  <si>
    <t>2027-11-09</t>
  </si>
  <si>
    <t>2027-12-09</t>
  </si>
  <si>
    <t>2028-01-09</t>
  </si>
  <si>
    <t>2028-02-09</t>
  </si>
  <si>
    <t>2028-03-09</t>
  </si>
  <si>
    <t>2028-04-09</t>
  </si>
  <si>
    <t>2028-05-09</t>
  </si>
  <si>
    <t>2028-06-09</t>
  </si>
  <si>
    <t>2028-07-09</t>
  </si>
  <si>
    <t>2028-08-09</t>
  </si>
  <si>
    <t>2028-09-09</t>
  </si>
  <si>
    <t>2028-10-09</t>
  </si>
  <si>
    <t>2028-11-09</t>
  </si>
  <si>
    <t>2028-12-09</t>
  </si>
  <si>
    <t>2029-01-09</t>
  </si>
  <si>
    <t>2029-02-09</t>
  </si>
  <si>
    <t>2029-03-09</t>
  </si>
  <si>
    <t>2029-04-09</t>
  </si>
  <si>
    <t>2029-05-09</t>
  </si>
  <si>
    <t>2029-06-09</t>
  </si>
  <si>
    <t>2029-07-09</t>
  </si>
  <si>
    <t>2029-08-09</t>
  </si>
  <si>
    <t>2029-09-09</t>
  </si>
  <si>
    <t>2029-10-09</t>
  </si>
  <si>
    <t>2029-11-09</t>
  </si>
  <si>
    <t>2029-12-09</t>
  </si>
  <si>
    <t>2030-01-09</t>
  </si>
  <si>
    <t>2030-02-09</t>
  </si>
  <si>
    <t>2030-03-09</t>
  </si>
  <si>
    <t>2030-04-09</t>
  </si>
  <si>
    <t>2030-05-09</t>
  </si>
  <si>
    <t>2030-06-09</t>
  </si>
  <si>
    <t>2030-07-09</t>
  </si>
  <si>
    <t>2030-08-09</t>
  </si>
  <si>
    <t>2030-09-09</t>
  </si>
  <si>
    <t>2030-10-09</t>
  </si>
  <si>
    <t>2030-11-09</t>
  </si>
  <si>
    <t>2030-12-09</t>
  </si>
  <si>
    <t>2031-01-09</t>
  </si>
  <si>
    <t>2031-02-09</t>
  </si>
  <si>
    <t>2031-03-09</t>
  </si>
  <si>
    <t>2031-04-09</t>
  </si>
  <si>
    <t>2031-05-09</t>
  </si>
  <si>
    <t>2031-06-09</t>
  </si>
  <si>
    <t>2031-07-09</t>
  </si>
  <si>
    <t>2031-08-09</t>
  </si>
  <si>
    <t>Depreciation Schedule (WDV)</t>
  </si>
  <si>
    <t>Block</t>
  </si>
  <si>
    <t>2023-24</t>
  </si>
  <si>
    <t>2024-25</t>
  </si>
  <si>
    <t>2025-26</t>
  </si>
  <si>
    <t>2026-27</t>
  </si>
  <si>
    <t>Plant &amp; Machinery — Opening (15%)</t>
  </si>
  <si>
    <t>Plant &amp; Machinery — Addition</t>
  </si>
  <si>
    <t>Plant &amp; Machinery — Depreciation</t>
  </si>
  <si>
    <t>Plant &amp; Machinery — Closing WDV</t>
  </si>
  <si>
    <t>Furniture &amp; Fixtures — Opening (10%)</t>
  </si>
  <si>
    <t>Furniture &amp; Fixtures — Addition</t>
  </si>
  <si>
    <t>Furniture &amp; Fixtures — Depreciation</t>
  </si>
  <si>
    <t>Furniture &amp; Fixtures — Closing WDV</t>
  </si>
  <si>
    <t>Building — Opening (10%)</t>
  </si>
  <si>
    <t>Building — Addition</t>
  </si>
  <si>
    <t>Building — Depreciation</t>
  </si>
  <si>
    <t>Building — Closing WDV</t>
  </si>
  <si>
    <t>Computers — Opening (40%)</t>
  </si>
  <si>
    <t>Computers — Addition</t>
  </si>
  <si>
    <t>Computers — Depreciation</t>
  </si>
  <si>
    <t>Computers — Closing WDV</t>
  </si>
  <si>
    <t>Other Asset 1 — Opening (15%)</t>
  </si>
  <si>
    <t>Other Asset 1 — Addition</t>
  </si>
  <si>
    <t>Other Asset 1 — Depreciation</t>
  </si>
  <si>
    <t>Other Asset 1 — Closing WDV</t>
  </si>
  <si>
    <t>Other Asset 2 — Opening (15%)</t>
  </si>
  <si>
    <t>Other Asset 2 — Addition</t>
  </si>
  <si>
    <t>Other Asset 2 — Depreciation</t>
  </si>
  <si>
    <t>Other Asset 2 — Closing WDV</t>
  </si>
  <si>
    <t>TOTAL DEPRECIATION</t>
  </si>
  <si>
    <t>TOTAL NET BLOCK</t>
  </si>
  <si>
    <t>FORM-II : OPERATING STATEMENT</t>
  </si>
  <si>
    <t>For the year ended/ending 31st March · ₹ Lakhs</t>
  </si>
  <si>
    <t>Particulars</t>
  </si>
  <si>
    <t>2023-24 (Actual)</t>
  </si>
  <si>
    <t>2024-25 (Estimated)</t>
  </si>
  <si>
    <t>2025-26 (Projected)</t>
  </si>
  <si>
    <t>2026-27 (Projected)</t>
  </si>
  <si>
    <t>INCOME</t>
  </si>
  <si>
    <t>Gross Sales</t>
  </si>
  <si>
    <t>Other Income</t>
  </si>
  <si>
    <t>COST OF SALES</t>
  </si>
  <si>
    <t>Opening Stock</t>
  </si>
  <si>
    <t>Add: Purchases</t>
  </si>
  <si>
    <t>Less: Closing Stock</t>
  </si>
  <si>
    <t>Raw Material Consumed</t>
  </si>
  <si>
    <t>Total Expenses (incl. Power &amp; Labour)</t>
  </si>
  <si>
    <t>PBDIT / EBITDA</t>
  </si>
  <si>
    <t>Depreciation</t>
  </si>
  <si>
    <t>Interest — Cash Credit</t>
  </si>
  <si>
    <t>Interest — Term Loan</t>
  </si>
  <si>
    <t>Bank Charges</t>
  </si>
  <si>
    <t>Profit Before Tax</t>
  </si>
  <si>
    <t>Provision for Tax</t>
  </si>
  <si>
    <t>Net Profit After Tax</t>
  </si>
  <si>
    <t>Dividend</t>
  </si>
  <si>
    <t>Retained Profit</t>
  </si>
  <si>
    <t>Net Cash Accrual (PAT + Dep)</t>
  </si>
  <si>
    <t>FORM-III : ANALYSIS OF BALANCE SHEET</t>
  </si>
  <si>
    <t>LIABILITIES</t>
  </si>
  <si>
    <t>Share Capital</t>
  </si>
  <si>
    <t>Reserves &amp; Surplus</t>
  </si>
  <si>
    <t>Net Worth</t>
  </si>
  <si>
    <t>Term Loan (total o/s)</t>
  </si>
  <si>
    <t xml:space="preserve">  of which CPLTD (next 12m)</t>
  </si>
  <si>
    <t>Cash Credit</t>
  </si>
  <si>
    <t>Unsecured Loans</t>
  </si>
  <si>
    <t>Creditors / Payables</t>
  </si>
  <si>
    <t>Other Current Liabilities</t>
  </si>
  <si>
    <t>GST Payable (current)</t>
  </si>
  <si>
    <t>TOTAL LIABILITIES</t>
  </si>
  <si>
    <t>ASSETS</t>
  </si>
  <si>
    <t>Fixed Assets (Net Block)</t>
  </si>
  <si>
    <t>Deposits &amp; Advances</t>
  </si>
  <si>
    <t>Investments</t>
  </si>
  <si>
    <t>Stock / Inventory</t>
  </si>
  <si>
    <t>Debtors / Receivables</t>
  </si>
  <si>
    <t>Cash &amp; Bank</t>
  </si>
  <si>
    <t>Other Current Assets</t>
  </si>
  <si>
    <t>GST Refund Due (current)</t>
  </si>
  <si>
    <t>TOTAL ASSETS</t>
  </si>
  <si>
    <t>Difference (should be 0)</t>
  </si>
  <si>
    <t>KEY RATIOS</t>
  </si>
  <si>
    <t>Ratio</t>
  </si>
  <si>
    <t>Current Ratio (norm ≥ 1.23)</t>
  </si>
  <si>
    <t>DSCR (norm ≥ 1.75)</t>
  </si>
  <si>
    <t>Debt / Equity (norm ≤ 3.00)</t>
  </si>
  <si>
    <t>TOL / TNW (norm ≤ 4.50)</t>
  </si>
  <si>
    <t>Interest Coverage (norm ≥ 2.60)</t>
  </si>
  <si>
    <t>Net Profit Ratio %</t>
  </si>
  <si>
    <t>Return on Investment %</t>
  </si>
  <si>
    <t>MAXIMUM PERMISSIBLE BANK FINANCE &amp; DRAWING POWER</t>
  </si>
  <si>
    <t>TANDON METHOD (Balance Sheet Method)</t>
  </si>
  <si>
    <t>Total Current Assets</t>
  </si>
  <si>
    <t>Other Current Liabilities (excl. bank)</t>
  </si>
  <si>
    <t>Working Capital Gap</t>
  </si>
  <si>
    <t>Less: 25% minimum margin of CA</t>
  </si>
  <si>
    <t>MPBF — Tandon</t>
  </si>
  <si>
    <t>TURNOVER METHOD (Nayak Committee)</t>
  </si>
  <si>
    <t>Sales Turnover</t>
  </si>
  <si>
    <t>25% of Turnover</t>
  </si>
  <si>
    <t>Less: 5% margin by promoter</t>
  </si>
  <si>
    <t>MPBF — Turnover (20% of sales)</t>
  </si>
  <si>
    <t>DRAWING POWER</t>
  </si>
  <si>
    <t>Stock after 25% margin</t>
  </si>
  <si>
    <t>Debtors (≤90d) after 40% margin</t>
  </si>
  <si>
    <t>Total Drawing Power</t>
  </si>
  <si>
    <t>CC Limit /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</si>
</sst>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b/>
      <color rgb="FF1F4E79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EBF1FA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2" borderId="1" xfId="0" applyFont="1" applyFill="1" applyBorder="1"/>
    <xf numFmtId="4" fontId="0" fillId="0" borderId="0" xfId="0" applyNumberFormat="1"/>
    <xf numFmtId="0" fontId="3" fillId="0" borderId="0" xfId="0" applyFont="1"/>
    <xf numFmtId="4" fontId="2" fillId="0" borderId="0" xfId="0" applyNumberFormat="1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8" customWidth="1"/>
    <col min="2" max="2" width="14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2" x14ac:dyDescent="0.25">
      <c r="A4" t="s">
        <v>2</v>
      </c>
      <c r="B4">
        <v>10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0.352288</v>
      </c>
    </row>
    <row r="7" spans="1:2" x14ac:dyDescent="0.25">
      <c r="A7" t="s">
        <v>5</v>
      </c>
      <c r="B7">
        <v>60</v>
      </c>
    </row>
    <row r="8" spans="1:2" x14ac:dyDescent="0.25">
      <c r="A8" t="s">
        <v>6</v>
      </c>
      <c r="B8">
        <v>45</v>
      </c>
    </row>
    <row r="9" spans="1:2" x14ac:dyDescent="0.25">
      <c r="A9" t="s">
        <v>7</v>
      </c>
      <c r="B9">
        <v>30</v>
      </c>
    </row>
    <row r="10" spans="1:2" x14ac:dyDescent="0.25">
      <c r="A10" t="s">
        <v>8</v>
      </c>
      <c r="B10">
        <v>25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1</v>
      </c>
    </row>
    <row r="13" spans="1:2" x14ac:dyDescent="0.25">
      <c r="A13" t="s">
        <v>11</v>
      </c>
      <c r="B13">
        <v>50</v>
      </c>
    </row>
    <row r="14" spans="1:2" x14ac:dyDescent="0.25">
      <c r="A14" t="s">
        <v>12</v>
      </c>
      <c r="B14">
        <v>10.5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87.59</v>
      </c>
    </row>
    <row r="19" spans="1:1" x14ac:dyDescent="0.25">
      <c r="A19" s="2" t="s">
        <v>15</v>
      </c>
    </row>
    <row r="20" spans="1:2" x14ac:dyDescent="0.25">
      <c r="A20" t="s">
        <v>16</v>
      </c>
      <c r="B20">
        <v>0.002797</v>
      </c>
    </row>
    <row r="21" spans="1:2" x14ac:dyDescent="0.25">
      <c r="A21" t="s">
        <v>17</v>
      </c>
      <c r="B21">
        <v>0</v>
      </c>
    </row>
    <row r="22" spans="1:2" x14ac:dyDescent="0.25">
      <c r="A22" t="s">
        <v>18</v>
      </c>
      <c r="B22">
        <v>0.207368</v>
      </c>
    </row>
    <row r="23" spans="1:2" x14ac:dyDescent="0.25">
      <c r="A23" t="s">
        <v>19</v>
      </c>
      <c r="B23">
        <v>0.00338</v>
      </c>
    </row>
    <row r="24" spans="1:2" x14ac:dyDescent="0.25">
      <c r="A24" t="s">
        <v>20</v>
      </c>
      <c r="B24">
        <v>0.00771</v>
      </c>
    </row>
    <row r="25" spans="1:2" x14ac:dyDescent="0.25">
      <c r="A25" t="s">
        <v>21</v>
      </c>
      <c r="B25">
        <v>0.003775</v>
      </c>
    </row>
    <row r="26" spans="1:2" x14ac:dyDescent="0.25">
      <c r="A26" t="s">
        <v>22</v>
      </c>
      <c r="B26">
        <v>0.007109</v>
      </c>
    </row>
    <row r="27" spans="1:2" x14ac:dyDescent="0.25">
      <c r="A27" t="s">
        <v>23</v>
      </c>
      <c r="B27">
        <v>0.045863</v>
      </c>
    </row>
    <row r="28" spans="1:2" x14ac:dyDescent="0.25">
      <c r="A28" t="s">
        <v>24</v>
      </c>
      <c r="B28">
        <v>0.048796</v>
      </c>
    </row>
    <row r="29" spans="1:2" x14ac:dyDescent="0.25">
      <c r="A29" t="s">
        <v>25</v>
      </c>
      <c r="B29">
        <v>0.150906</v>
      </c>
    </row>
    <row r="30" spans="1:2" x14ac:dyDescent="0.25">
      <c r="A30" t="s">
        <v>26</v>
      </c>
      <c r="B30">
        <v>0</v>
      </c>
    </row>
    <row r="31" spans="1:2" x14ac:dyDescent="0.25">
      <c r="A31" t="s">
        <v>27</v>
      </c>
      <c r="B31">
        <v>0</v>
      </c>
    </row>
    <row r="32" spans="1:2" x14ac:dyDescent="0.25">
      <c r="A32" t="s">
        <v>28</v>
      </c>
      <c r="B32">
        <v>0.007293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FormatPr defaultRowHeight="15" outlineLevelRow="0" outlineLevelCol="0" x14ac:dyDescent="55"/>
  <cols>
    <col min="1" max="8" width="12" customWidth="1"/>
  </cols>
  <sheetData>
    <row r="1" spans="1:8" s="3" customFormat="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</row>
    <row r="2" spans="1:8" x14ac:dyDescent="0.25">
      <c r="A2" s="5">
        <v>1</v>
      </c>
      <c r="B2" t="s">
        <v>37</v>
      </c>
      <c r="C2" s="5">
        <v>1</v>
      </c>
      <c r="D2" s="5">
        <v>87.59</v>
      </c>
      <c r="E2" s="5">
        <v>0.66</v>
      </c>
      <c r="F2" s="5">
        <v>0.66</v>
      </c>
      <c r="G2" s="5">
        <v>0</v>
      </c>
      <c r="H2" s="5">
        <v>87.59</v>
      </c>
    </row>
    <row r="3" spans="1:8" x14ac:dyDescent="0.25">
      <c r="A3" s="5">
        <v>2</v>
      </c>
      <c r="B3" t="s">
        <v>38</v>
      </c>
      <c r="C3" s="5">
        <v>1</v>
      </c>
      <c r="D3" s="5">
        <v>87.59</v>
      </c>
      <c r="E3" s="5">
        <v>0.66</v>
      </c>
      <c r="F3" s="5">
        <v>0.66</v>
      </c>
      <c r="G3" s="5">
        <v>0</v>
      </c>
      <c r="H3" s="5">
        <v>87.59</v>
      </c>
    </row>
    <row r="4" spans="1:8" x14ac:dyDescent="0.25">
      <c r="A4" s="5">
        <v>3</v>
      </c>
      <c r="B4" t="s">
        <v>39</v>
      </c>
      <c r="C4" s="5">
        <v>1</v>
      </c>
      <c r="D4" s="5">
        <v>87.59</v>
      </c>
      <c r="E4" s="5">
        <v>0.66</v>
      </c>
      <c r="F4" s="5">
        <v>0.66</v>
      </c>
      <c r="G4" s="5">
        <v>0</v>
      </c>
      <c r="H4" s="5">
        <v>87.59</v>
      </c>
    </row>
    <row r="5" spans="1:8" x14ac:dyDescent="0.25">
      <c r="A5" s="5">
        <v>4</v>
      </c>
      <c r="B5" t="s">
        <v>40</v>
      </c>
      <c r="C5" s="5">
        <v>1</v>
      </c>
      <c r="D5" s="5">
        <v>87.59</v>
      </c>
      <c r="E5" s="5">
        <v>0.66</v>
      </c>
      <c r="F5" s="5">
        <v>0.66</v>
      </c>
      <c r="G5" s="5">
        <v>0</v>
      </c>
      <c r="H5" s="5">
        <v>87.59</v>
      </c>
    </row>
    <row r="6" spans="1:8" x14ac:dyDescent="0.25">
      <c r="A6" s="5">
        <v>5</v>
      </c>
      <c r="B6" t="s">
        <v>41</v>
      </c>
      <c r="C6" s="5">
        <v>1</v>
      </c>
      <c r="D6" s="5">
        <v>87.59</v>
      </c>
      <c r="E6" s="5">
        <v>0.66</v>
      </c>
      <c r="F6" s="5">
        <v>0.66</v>
      </c>
      <c r="G6" s="5">
        <v>0</v>
      </c>
      <c r="H6" s="5">
        <v>87.59</v>
      </c>
    </row>
    <row r="7" spans="1:8" x14ac:dyDescent="0.25">
      <c r="A7" s="5">
        <v>6</v>
      </c>
      <c r="B7" t="s">
        <v>42</v>
      </c>
      <c r="C7" s="5">
        <v>1</v>
      </c>
      <c r="D7" s="5">
        <v>87.59</v>
      </c>
      <c r="E7" s="5">
        <v>0.66</v>
      </c>
      <c r="F7" s="5">
        <v>0.66</v>
      </c>
      <c r="G7" s="5">
        <v>0</v>
      </c>
      <c r="H7" s="5">
        <v>87.59</v>
      </c>
    </row>
    <row r="8" spans="1:8" x14ac:dyDescent="0.25">
      <c r="A8" s="5">
        <v>7</v>
      </c>
      <c r="B8" t="s">
        <v>43</v>
      </c>
      <c r="C8" s="5">
        <v>1</v>
      </c>
      <c r="D8" s="5">
        <v>87.59</v>
      </c>
      <c r="E8" s="5">
        <v>1.45</v>
      </c>
      <c r="F8" s="5">
        <v>0.66</v>
      </c>
      <c r="G8" s="5">
        <v>0.79</v>
      </c>
      <c r="H8" s="5">
        <v>86.8</v>
      </c>
    </row>
    <row r="9" spans="1:8" x14ac:dyDescent="0.25">
      <c r="A9" s="5">
        <v>8</v>
      </c>
      <c r="B9" t="s">
        <v>44</v>
      </c>
      <c r="C9" s="5">
        <v>1</v>
      </c>
      <c r="D9" s="5">
        <v>86.8</v>
      </c>
      <c r="E9" s="5">
        <v>1.45</v>
      </c>
      <c r="F9" s="5">
        <v>0.66</v>
      </c>
      <c r="G9" s="5">
        <v>0.79</v>
      </c>
      <c r="H9" s="5">
        <v>86.01</v>
      </c>
    </row>
    <row r="10" spans="1:8" x14ac:dyDescent="0.25">
      <c r="A10" s="5">
        <v>9</v>
      </c>
      <c r="B10" t="s">
        <v>45</v>
      </c>
      <c r="C10" s="5">
        <v>1</v>
      </c>
      <c r="D10" s="5">
        <v>86.01</v>
      </c>
      <c r="E10" s="5">
        <v>1.45</v>
      </c>
      <c r="F10" s="5">
        <v>0.65</v>
      </c>
      <c r="G10" s="5">
        <v>0.8</v>
      </c>
      <c r="H10" s="5">
        <v>85.21</v>
      </c>
    </row>
    <row r="11" spans="1:8" x14ac:dyDescent="0.25">
      <c r="A11" s="5">
        <v>10</v>
      </c>
      <c r="B11" t="s">
        <v>46</v>
      </c>
      <c r="C11" s="5">
        <v>1</v>
      </c>
      <c r="D11" s="5">
        <v>85.21</v>
      </c>
      <c r="E11" s="5">
        <v>1.45</v>
      </c>
      <c r="F11" s="5">
        <v>0.65</v>
      </c>
      <c r="G11" s="5">
        <v>0.81</v>
      </c>
      <c r="H11" s="5">
        <v>84.41</v>
      </c>
    </row>
    <row r="12" spans="1:8" x14ac:dyDescent="0.25">
      <c r="A12" s="5">
        <v>11</v>
      </c>
      <c r="B12" t="s">
        <v>47</v>
      </c>
      <c r="C12" s="5">
        <v>2</v>
      </c>
      <c r="D12" s="5">
        <v>84.41</v>
      </c>
      <c r="E12" s="5">
        <v>1.45</v>
      </c>
      <c r="F12" s="5">
        <v>0.64</v>
      </c>
      <c r="G12" s="5">
        <v>0.81</v>
      </c>
      <c r="H12" s="5">
        <v>83.6</v>
      </c>
    </row>
    <row r="13" spans="1:8" x14ac:dyDescent="0.25">
      <c r="A13" s="5">
        <v>12</v>
      </c>
      <c r="B13" t="s">
        <v>48</v>
      </c>
      <c r="C13" s="5">
        <v>2</v>
      </c>
      <c r="D13" s="5">
        <v>83.6</v>
      </c>
      <c r="E13" s="5">
        <v>1.45</v>
      </c>
      <c r="F13" s="5">
        <v>0.63</v>
      </c>
      <c r="G13" s="5">
        <v>0.82</v>
      </c>
      <c r="H13" s="5">
        <v>82.78</v>
      </c>
    </row>
    <row r="14" spans="1:8" x14ac:dyDescent="0.25">
      <c r="A14" s="5">
        <v>13</v>
      </c>
      <c r="B14" t="s">
        <v>49</v>
      </c>
      <c r="C14" s="5">
        <v>2</v>
      </c>
      <c r="D14" s="5">
        <v>82.78</v>
      </c>
      <c r="E14" s="5">
        <v>1.45</v>
      </c>
      <c r="F14" s="5">
        <v>0.63</v>
      </c>
      <c r="G14" s="5">
        <v>0.82</v>
      </c>
      <c r="H14" s="5">
        <v>81.95</v>
      </c>
    </row>
    <row r="15" spans="1:8" x14ac:dyDescent="0.25">
      <c r="A15" s="5">
        <v>14</v>
      </c>
      <c r="B15" t="s">
        <v>50</v>
      </c>
      <c r="C15" s="5">
        <v>2</v>
      </c>
      <c r="D15" s="5">
        <v>81.95</v>
      </c>
      <c r="E15" s="5">
        <v>1.45</v>
      </c>
      <c r="F15" s="5">
        <v>0.62</v>
      </c>
      <c r="G15" s="5">
        <v>0.83</v>
      </c>
      <c r="H15" s="5">
        <v>81.13</v>
      </c>
    </row>
    <row r="16" spans="1:8" x14ac:dyDescent="0.25">
      <c r="A16" s="5">
        <v>15</v>
      </c>
      <c r="B16" t="s">
        <v>51</v>
      </c>
      <c r="C16" s="5">
        <v>2</v>
      </c>
      <c r="D16" s="5">
        <v>81.13</v>
      </c>
      <c r="E16" s="5">
        <v>1.45</v>
      </c>
      <c r="F16" s="5">
        <v>0.62</v>
      </c>
      <c r="G16" s="5">
        <v>0.84</v>
      </c>
      <c r="H16" s="5">
        <v>80.29</v>
      </c>
    </row>
    <row r="17" spans="1:8" x14ac:dyDescent="0.25">
      <c r="A17" s="5">
        <v>16</v>
      </c>
      <c r="B17" t="s">
        <v>52</v>
      </c>
      <c r="C17" s="5">
        <v>2</v>
      </c>
      <c r="D17" s="5">
        <v>80.29</v>
      </c>
      <c r="E17" s="5">
        <v>1.45</v>
      </c>
      <c r="F17" s="5">
        <v>0.61</v>
      </c>
      <c r="G17" s="5">
        <v>0.84</v>
      </c>
      <c r="H17" s="5">
        <v>79.45</v>
      </c>
    </row>
    <row r="18" spans="1:8" x14ac:dyDescent="0.25">
      <c r="A18" s="5">
        <v>17</v>
      </c>
      <c r="B18" t="s">
        <v>53</v>
      </c>
      <c r="C18" s="5">
        <v>2</v>
      </c>
      <c r="D18" s="5">
        <v>79.45</v>
      </c>
      <c r="E18" s="5">
        <v>1.45</v>
      </c>
      <c r="F18" s="5">
        <v>0.6</v>
      </c>
      <c r="G18" s="5">
        <v>0.85</v>
      </c>
      <c r="H18" s="5">
        <v>78.6</v>
      </c>
    </row>
    <row r="19" spans="1:8" x14ac:dyDescent="0.25">
      <c r="A19" s="5">
        <v>18</v>
      </c>
      <c r="B19" t="s">
        <v>54</v>
      </c>
      <c r="C19" s="5">
        <v>2</v>
      </c>
      <c r="D19" s="5">
        <v>78.6</v>
      </c>
      <c r="E19" s="5">
        <v>1.45</v>
      </c>
      <c r="F19" s="5">
        <v>0.6</v>
      </c>
      <c r="G19" s="5">
        <v>0.86</v>
      </c>
      <c r="H19" s="5">
        <v>77.74</v>
      </c>
    </row>
    <row r="20" spans="1:8" x14ac:dyDescent="0.25">
      <c r="A20" s="5">
        <v>19</v>
      </c>
      <c r="B20" t="s">
        <v>55</v>
      </c>
      <c r="C20" s="5">
        <v>2</v>
      </c>
      <c r="D20" s="5">
        <v>77.74</v>
      </c>
      <c r="E20" s="5">
        <v>1.45</v>
      </c>
      <c r="F20" s="5">
        <v>0.59</v>
      </c>
      <c r="G20" s="5">
        <v>0.86</v>
      </c>
      <c r="H20" s="5">
        <v>76.88</v>
      </c>
    </row>
    <row r="21" spans="1:8" x14ac:dyDescent="0.25">
      <c r="A21" s="5">
        <v>20</v>
      </c>
      <c r="B21" t="s">
        <v>56</v>
      </c>
      <c r="C21" s="5">
        <v>2</v>
      </c>
      <c r="D21" s="5">
        <v>76.88</v>
      </c>
      <c r="E21" s="5">
        <v>1.45</v>
      </c>
      <c r="F21" s="5">
        <v>0.58</v>
      </c>
      <c r="G21" s="5">
        <v>0.87</v>
      </c>
      <c r="H21" s="5">
        <v>76.01</v>
      </c>
    </row>
    <row r="22" spans="1:8" x14ac:dyDescent="0.25">
      <c r="A22" s="5">
        <v>21</v>
      </c>
      <c r="B22" t="s">
        <v>57</v>
      </c>
      <c r="C22" s="5">
        <v>2</v>
      </c>
      <c r="D22" s="5">
        <v>76.01</v>
      </c>
      <c r="E22" s="5">
        <v>1.45</v>
      </c>
      <c r="F22" s="5">
        <v>0.58</v>
      </c>
      <c r="G22" s="5">
        <v>0.87</v>
      </c>
      <c r="H22" s="5">
        <v>75.14</v>
      </c>
    </row>
    <row r="23" spans="1:8" x14ac:dyDescent="0.25">
      <c r="A23" s="5">
        <v>22</v>
      </c>
      <c r="B23" t="s">
        <v>58</v>
      </c>
      <c r="C23" s="5">
        <v>2</v>
      </c>
      <c r="D23" s="5">
        <v>75.14</v>
      </c>
      <c r="E23" s="5">
        <v>1.45</v>
      </c>
      <c r="F23" s="5">
        <v>0.57</v>
      </c>
      <c r="G23" s="5">
        <v>0.88</v>
      </c>
      <c r="H23" s="5">
        <v>74.26</v>
      </c>
    </row>
    <row r="24" spans="1:8" x14ac:dyDescent="0.25">
      <c r="A24" s="5">
        <v>23</v>
      </c>
      <c r="B24" t="s">
        <v>59</v>
      </c>
      <c r="C24" s="5">
        <v>3</v>
      </c>
      <c r="D24" s="5">
        <v>74.26</v>
      </c>
      <c r="E24" s="5">
        <v>1.45</v>
      </c>
      <c r="F24" s="5">
        <v>0.56</v>
      </c>
      <c r="G24" s="5">
        <v>0.89</v>
      </c>
      <c r="H24" s="5">
        <v>73.37</v>
      </c>
    </row>
    <row r="25" spans="1:8" x14ac:dyDescent="0.25">
      <c r="A25" s="5">
        <v>24</v>
      </c>
      <c r="B25" t="s">
        <v>60</v>
      </c>
      <c r="C25" s="5">
        <v>3</v>
      </c>
      <c r="D25" s="5">
        <v>73.37</v>
      </c>
      <c r="E25" s="5">
        <v>1.45</v>
      </c>
      <c r="F25" s="5">
        <v>0.56</v>
      </c>
      <c r="G25" s="5">
        <v>0.89</v>
      </c>
      <c r="H25" s="5">
        <v>72.47</v>
      </c>
    </row>
    <row r="26" spans="1:8" x14ac:dyDescent="0.25">
      <c r="A26" s="5">
        <v>25</v>
      </c>
      <c r="B26" t="s">
        <v>61</v>
      </c>
      <c r="C26" s="5">
        <v>3</v>
      </c>
      <c r="D26" s="5">
        <v>72.47</v>
      </c>
      <c r="E26" s="5">
        <v>1.45</v>
      </c>
      <c r="F26" s="5">
        <v>0.55</v>
      </c>
      <c r="G26" s="5">
        <v>0.9</v>
      </c>
      <c r="H26" s="5">
        <v>71.57</v>
      </c>
    </row>
    <row r="27" spans="1:8" x14ac:dyDescent="0.25">
      <c r="A27" s="5">
        <v>26</v>
      </c>
      <c r="B27" t="s">
        <v>62</v>
      </c>
      <c r="C27" s="5">
        <v>3</v>
      </c>
      <c r="D27" s="5">
        <v>71.57</v>
      </c>
      <c r="E27" s="5">
        <v>1.45</v>
      </c>
      <c r="F27" s="5">
        <v>0.54</v>
      </c>
      <c r="G27" s="5">
        <v>0.91</v>
      </c>
      <c r="H27" s="5">
        <v>70.66</v>
      </c>
    </row>
    <row r="28" spans="1:8" x14ac:dyDescent="0.25">
      <c r="A28" s="5">
        <v>27</v>
      </c>
      <c r="B28" t="s">
        <v>63</v>
      </c>
      <c r="C28" s="5">
        <v>3</v>
      </c>
      <c r="D28" s="5">
        <v>70.66</v>
      </c>
      <c r="E28" s="5">
        <v>1.45</v>
      </c>
      <c r="F28" s="5">
        <v>0.54</v>
      </c>
      <c r="G28" s="5">
        <v>0.92</v>
      </c>
      <c r="H28" s="5">
        <v>69.75</v>
      </c>
    </row>
    <row r="29" spans="1:8" x14ac:dyDescent="0.25">
      <c r="A29" s="5">
        <v>28</v>
      </c>
      <c r="B29" t="s">
        <v>64</v>
      </c>
      <c r="C29" s="5">
        <v>3</v>
      </c>
      <c r="D29" s="5">
        <v>69.75</v>
      </c>
      <c r="E29" s="5">
        <v>1.45</v>
      </c>
      <c r="F29" s="5">
        <v>0.53</v>
      </c>
      <c r="G29" s="5">
        <v>0.92</v>
      </c>
      <c r="H29" s="5">
        <v>68.83</v>
      </c>
    </row>
    <row r="30" spans="1:8" x14ac:dyDescent="0.25">
      <c r="A30" s="5">
        <v>29</v>
      </c>
      <c r="B30" t="s">
        <v>65</v>
      </c>
      <c r="C30" s="5">
        <v>3</v>
      </c>
      <c r="D30" s="5">
        <v>68.83</v>
      </c>
      <c r="E30" s="5">
        <v>1.45</v>
      </c>
      <c r="F30" s="5">
        <v>0.52</v>
      </c>
      <c r="G30" s="5">
        <v>0.93</v>
      </c>
      <c r="H30" s="5">
        <v>67.9</v>
      </c>
    </row>
    <row r="31" spans="1:8" x14ac:dyDescent="0.25">
      <c r="A31" s="5">
        <v>30</v>
      </c>
      <c r="B31" t="s">
        <v>66</v>
      </c>
      <c r="C31" s="5">
        <v>3</v>
      </c>
      <c r="D31" s="5">
        <v>67.9</v>
      </c>
      <c r="E31" s="5">
        <v>1.45</v>
      </c>
      <c r="F31" s="5">
        <v>0.51</v>
      </c>
      <c r="G31" s="5">
        <v>0.94</v>
      </c>
      <c r="H31" s="5">
        <v>66.96</v>
      </c>
    </row>
    <row r="32" spans="1:8" x14ac:dyDescent="0.25">
      <c r="A32" s="5">
        <v>31</v>
      </c>
      <c r="B32" t="s">
        <v>67</v>
      </c>
      <c r="C32" s="5">
        <v>3</v>
      </c>
      <c r="D32" s="5">
        <v>66.96</v>
      </c>
      <c r="E32" s="5">
        <v>1.45</v>
      </c>
      <c r="F32" s="5">
        <v>0.51</v>
      </c>
      <c r="G32" s="5">
        <v>0.94</v>
      </c>
      <c r="H32" s="5">
        <v>66.02</v>
      </c>
    </row>
    <row r="33" spans="1:8" x14ac:dyDescent="0.25">
      <c r="A33" s="5">
        <v>32</v>
      </c>
      <c r="B33" t="s">
        <v>68</v>
      </c>
      <c r="C33" s="5">
        <v>3</v>
      </c>
      <c r="D33" s="5">
        <v>66.02</v>
      </c>
      <c r="E33" s="5">
        <v>1.45</v>
      </c>
      <c r="F33" s="5">
        <v>0.5</v>
      </c>
      <c r="G33" s="5">
        <v>0.95</v>
      </c>
      <c r="H33" s="5">
        <v>65.07</v>
      </c>
    </row>
    <row r="34" spans="1:8" x14ac:dyDescent="0.25">
      <c r="A34" s="5">
        <v>33</v>
      </c>
      <c r="B34" t="s">
        <v>69</v>
      </c>
      <c r="C34" s="5">
        <v>3</v>
      </c>
      <c r="D34" s="5">
        <v>65.07</v>
      </c>
      <c r="E34" s="5">
        <v>1.45</v>
      </c>
      <c r="F34" s="5">
        <v>0.49</v>
      </c>
      <c r="G34" s="5">
        <v>0.96</v>
      </c>
      <c r="H34" s="5">
        <v>64.11</v>
      </c>
    </row>
    <row r="35" spans="1:8" x14ac:dyDescent="0.25">
      <c r="A35" s="5">
        <v>34</v>
      </c>
      <c r="B35" t="s">
        <v>70</v>
      </c>
      <c r="C35" s="5">
        <v>3</v>
      </c>
      <c r="D35" s="5">
        <v>64.11</v>
      </c>
      <c r="E35" s="5">
        <v>1.45</v>
      </c>
      <c r="F35" s="5">
        <v>0.49</v>
      </c>
      <c r="G35" s="5">
        <v>0.97</v>
      </c>
      <c r="H35" s="5">
        <v>63.14</v>
      </c>
    </row>
    <row r="36" spans="1:8" x14ac:dyDescent="0.25">
      <c r="A36" s="5">
        <v>35</v>
      </c>
      <c r="B36" t="s">
        <v>71</v>
      </c>
      <c r="C36" s="5">
        <v>4</v>
      </c>
      <c r="D36" s="5">
        <v>63.14</v>
      </c>
      <c r="E36" s="5">
        <v>1.45</v>
      </c>
      <c r="F36" s="5">
        <v>0.48</v>
      </c>
      <c r="G36" s="5">
        <v>0.97</v>
      </c>
      <c r="H36" s="5">
        <v>62.17</v>
      </c>
    </row>
    <row r="37" spans="1:8" x14ac:dyDescent="0.25">
      <c r="A37" s="5">
        <v>36</v>
      </c>
      <c r="B37" t="s">
        <v>72</v>
      </c>
      <c r="C37" s="5">
        <v>4</v>
      </c>
      <c r="D37" s="5">
        <v>62.17</v>
      </c>
      <c r="E37" s="5">
        <v>1.45</v>
      </c>
      <c r="F37" s="5">
        <v>0.47</v>
      </c>
      <c r="G37" s="5">
        <v>0.98</v>
      </c>
      <c r="H37" s="5">
        <v>61.19</v>
      </c>
    </row>
    <row r="38" spans="1:8" x14ac:dyDescent="0.25">
      <c r="A38" s="5">
        <v>37</v>
      </c>
      <c r="B38" t="s">
        <v>73</v>
      </c>
      <c r="C38" s="5">
        <v>4</v>
      </c>
      <c r="D38" s="5">
        <v>61.19</v>
      </c>
      <c r="E38" s="5">
        <v>1.45</v>
      </c>
      <c r="F38" s="5">
        <v>0.46</v>
      </c>
      <c r="G38" s="5">
        <v>0.99</v>
      </c>
      <c r="H38" s="5">
        <v>60.2</v>
      </c>
    </row>
    <row r="39" spans="1:8" x14ac:dyDescent="0.25">
      <c r="A39" s="5">
        <v>38</v>
      </c>
      <c r="B39" t="s">
        <v>74</v>
      </c>
      <c r="C39" s="5">
        <v>4</v>
      </c>
      <c r="D39" s="5">
        <v>60.2</v>
      </c>
      <c r="E39" s="5">
        <v>1.45</v>
      </c>
      <c r="F39" s="5">
        <v>0.46</v>
      </c>
      <c r="G39" s="5">
        <v>0.99</v>
      </c>
      <c r="H39" s="5">
        <v>59.21</v>
      </c>
    </row>
    <row r="40" spans="1:8" x14ac:dyDescent="0.25">
      <c r="A40" s="5">
        <v>39</v>
      </c>
      <c r="B40" t="s">
        <v>75</v>
      </c>
      <c r="C40" s="5">
        <v>4</v>
      </c>
      <c r="D40" s="5">
        <v>59.21</v>
      </c>
      <c r="E40" s="5">
        <v>1.45</v>
      </c>
      <c r="F40" s="5">
        <v>0.45</v>
      </c>
      <c r="G40" s="5">
        <v>1</v>
      </c>
      <c r="H40" s="5">
        <v>58.21</v>
      </c>
    </row>
    <row r="41" spans="1:8" x14ac:dyDescent="0.25">
      <c r="A41" s="5">
        <v>40</v>
      </c>
      <c r="B41" t="s">
        <v>76</v>
      </c>
      <c r="C41" s="5">
        <v>4</v>
      </c>
      <c r="D41" s="5">
        <v>58.21</v>
      </c>
      <c r="E41" s="5">
        <v>1.45</v>
      </c>
      <c r="F41" s="5">
        <v>0.44</v>
      </c>
      <c r="G41" s="5">
        <v>1.01</v>
      </c>
      <c r="H41" s="5">
        <v>57.2</v>
      </c>
    </row>
    <row r="42" spans="1:8" x14ac:dyDescent="0.25">
      <c r="A42" s="5">
        <v>41</v>
      </c>
      <c r="B42" t="s">
        <v>77</v>
      </c>
      <c r="C42" s="5">
        <v>4</v>
      </c>
      <c r="D42" s="5">
        <v>57.2</v>
      </c>
      <c r="E42" s="5">
        <v>1.45</v>
      </c>
      <c r="F42" s="5">
        <v>0.43</v>
      </c>
      <c r="G42" s="5">
        <v>1.02</v>
      </c>
      <c r="H42" s="5">
        <v>56.18</v>
      </c>
    </row>
    <row r="43" spans="1:8" x14ac:dyDescent="0.25">
      <c r="A43" s="5">
        <v>42</v>
      </c>
      <c r="B43" t="s">
        <v>78</v>
      </c>
      <c r="C43" s="5">
        <v>4</v>
      </c>
      <c r="D43" s="5">
        <v>56.18</v>
      </c>
      <c r="E43" s="5">
        <v>1.45</v>
      </c>
      <c r="F43" s="5">
        <v>0.43</v>
      </c>
      <c r="G43" s="5">
        <v>1.03</v>
      </c>
      <c r="H43" s="5">
        <v>55.15</v>
      </c>
    </row>
    <row r="44" spans="1:8" x14ac:dyDescent="0.25">
      <c r="A44" s="5">
        <v>43</v>
      </c>
      <c r="B44" t="s">
        <v>79</v>
      </c>
      <c r="C44" s="5">
        <v>4</v>
      </c>
      <c r="D44" s="5">
        <v>55.15</v>
      </c>
      <c r="E44" s="5">
        <v>1.45</v>
      </c>
      <c r="F44" s="5">
        <v>0.42</v>
      </c>
      <c r="G44" s="5">
        <v>1.03</v>
      </c>
      <c r="H44" s="5">
        <v>54.12</v>
      </c>
    </row>
    <row r="45" spans="1:8" x14ac:dyDescent="0.25">
      <c r="A45" s="5">
        <v>44</v>
      </c>
      <c r="B45" t="s">
        <v>80</v>
      </c>
      <c r="C45" s="5">
        <v>4</v>
      </c>
      <c r="D45" s="5">
        <v>54.12</v>
      </c>
      <c r="E45" s="5">
        <v>1.45</v>
      </c>
      <c r="F45" s="5">
        <v>0.41</v>
      </c>
      <c r="G45" s="5">
        <v>1.04</v>
      </c>
      <c r="H45" s="5">
        <v>53.08</v>
      </c>
    </row>
    <row r="46" spans="1:8" x14ac:dyDescent="0.25">
      <c r="A46" s="5">
        <v>45</v>
      </c>
      <c r="B46" t="s">
        <v>81</v>
      </c>
      <c r="C46" s="5">
        <v>4</v>
      </c>
      <c r="D46" s="5">
        <v>53.08</v>
      </c>
      <c r="E46" s="5">
        <v>1.45</v>
      </c>
      <c r="F46" s="5">
        <v>0.4</v>
      </c>
      <c r="G46" s="5">
        <v>1.05</v>
      </c>
      <c r="H46" s="5">
        <v>52.03</v>
      </c>
    </row>
    <row r="47" spans="1:8" x14ac:dyDescent="0.25">
      <c r="A47" s="5">
        <v>46</v>
      </c>
      <c r="B47" t="s">
        <v>82</v>
      </c>
      <c r="C47" s="5">
        <v>4</v>
      </c>
      <c r="D47" s="5">
        <v>52.03</v>
      </c>
      <c r="E47" s="5">
        <v>1.45</v>
      </c>
      <c r="F47" s="5">
        <v>0.39</v>
      </c>
      <c r="G47" s="5">
        <v>1.06</v>
      </c>
      <c r="H47" s="5">
        <v>50.98</v>
      </c>
    </row>
    <row r="48" spans="1:8" x14ac:dyDescent="0.25">
      <c r="A48" s="5">
        <v>47</v>
      </c>
      <c r="B48" t="s">
        <v>83</v>
      </c>
      <c r="C48" s="5">
        <v>5</v>
      </c>
      <c r="D48" s="5">
        <v>50.98</v>
      </c>
      <c r="E48" s="5">
        <v>1.45</v>
      </c>
      <c r="F48" s="5">
        <v>0.39</v>
      </c>
      <c r="G48" s="5">
        <v>1.06</v>
      </c>
      <c r="H48" s="5">
        <v>49.91</v>
      </c>
    </row>
    <row r="49" spans="1:8" x14ac:dyDescent="0.25">
      <c r="A49" s="5">
        <v>48</v>
      </c>
      <c r="B49" t="s">
        <v>84</v>
      </c>
      <c r="C49" s="5">
        <v>5</v>
      </c>
      <c r="D49" s="5">
        <v>49.91</v>
      </c>
      <c r="E49" s="5">
        <v>1.45</v>
      </c>
      <c r="F49" s="5">
        <v>0.38</v>
      </c>
      <c r="G49" s="5">
        <v>1.07</v>
      </c>
      <c r="H49" s="5">
        <v>48.84</v>
      </c>
    </row>
    <row r="50" spans="1:8" x14ac:dyDescent="0.25">
      <c r="A50" s="5">
        <v>49</v>
      </c>
      <c r="B50" t="s">
        <v>85</v>
      </c>
      <c r="C50" s="5">
        <v>5</v>
      </c>
      <c r="D50" s="5">
        <v>48.84</v>
      </c>
      <c r="E50" s="5">
        <v>1.45</v>
      </c>
      <c r="F50" s="5">
        <v>0.37</v>
      </c>
      <c r="G50" s="5">
        <v>1.08</v>
      </c>
      <c r="H50" s="5">
        <v>47.76</v>
      </c>
    </row>
    <row r="51" spans="1:8" x14ac:dyDescent="0.25">
      <c r="A51" s="5">
        <v>50</v>
      </c>
      <c r="B51" t="s">
        <v>86</v>
      </c>
      <c r="C51" s="5">
        <v>5</v>
      </c>
      <c r="D51" s="5">
        <v>47.76</v>
      </c>
      <c r="E51" s="5">
        <v>1.45</v>
      </c>
      <c r="F51" s="5">
        <v>0.36</v>
      </c>
      <c r="G51" s="5">
        <v>1.09</v>
      </c>
      <c r="H51" s="5">
        <v>46.67</v>
      </c>
    </row>
    <row r="52" spans="1:8" x14ac:dyDescent="0.25">
      <c r="A52" s="5">
        <v>51</v>
      </c>
      <c r="B52" t="s">
        <v>87</v>
      </c>
      <c r="C52" s="5">
        <v>5</v>
      </c>
      <c r="D52" s="5">
        <v>46.67</v>
      </c>
      <c r="E52" s="5">
        <v>1.45</v>
      </c>
      <c r="F52" s="5">
        <v>0.35</v>
      </c>
      <c r="G52" s="5">
        <v>1.1</v>
      </c>
      <c r="H52" s="5">
        <v>45.57</v>
      </c>
    </row>
    <row r="53" spans="1:8" x14ac:dyDescent="0.25">
      <c r="A53" s="5">
        <v>52</v>
      </c>
      <c r="B53" t="s">
        <v>88</v>
      </c>
      <c r="C53" s="5">
        <v>5</v>
      </c>
      <c r="D53" s="5">
        <v>45.57</v>
      </c>
      <c r="E53" s="5">
        <v>1.45</v>
      </c>
      <c r="F53" s="5">
        <v>0.35</v>
      </c>
      <c r="G53" s="5">
        <v>1.11</v>
      </c>
      <c r="H53" s="5">
        <v>44.46</v>
      </c>
    </row>
    <row r="54" spans="1:8" x14ac:dyDescent="0.25">
      <c r="A54" s="5">
        <v>53</v>
      </c>
      <c r="B54" t="s">
        <v>89</v>
      </c>
      <c r="C54" s="5">
        <v>5</v>
      </c>
      <c r="D54" s="5">
        <v>44.46</v>
      </c>
      <c r="E54" s="5">
        <v>1.45</v>
      </c>
      <c r="F54" s="5">
        <v>0.34</v>
      </c>
      <c r="G54" s="5">
        <v>1.11</v>
      </c>
      <c r="H54" s="5">
        <v>43.35</v>
      </c>
    </row>
    <row r="55" spans="1:8" x14ac:dyDescent="0.25">
      <c r="A55" s="5">
        <v>54</v>
      </c>
      <c r="B55" t="s">
        <v>90</v>
      </c>
      <c r="C55" s="5">
        <v>5</v>
      </c>
      <c r="D55" s="5">
        <v>43.35</v>
      </c>
      <c r="E55" s="5">
        <v>1.45</v>
      </c>
      <c r="F55" s="5">
        <v>0.33</v>
      </c>
      <c r="G55" s="5">
        <v>1.12</v>
      </c>
      <c r="H55" s="5">
        <v>42.23</v>
      </c>
    </row>
    <row r="56" spans="1:8" x14ac:dyDescent="0.25">
      <c r="A56" s="5">
        <v>55</v>
      </c>
      <c r="B56" t="s">
        <v>91</v>
      </c>
      <c r="C56" s="5">
        <v>5</v>
      </c>
      <c r="D56" s="5">
        <v>42.23</v>
      </c>
      <c r="E56" s="5">
        <v>1.45</v>
      </c>
      <c r="F56" s="5">
        <v>0.32</v>
      </c>
      <c r="G56" s="5">
        <v>1.13</v>
      </c>
      <c r="H56" s="5">
        <v>41.1</v>
      </c>
    </row>
    <row r="57" spans="1:8" x14ac:dyDescent="0.25">
      <c r="A57" s="5">
        <v>56</v>
      </c>
      <c r="B57" t="s">
        <v>92</v>
      </c>
      <c r="C57" s="5">
        <v>5</v>
      </c>
      <c r="D57" s="5">
        <v>41.1</v>
      </c>
      <c r="E57" s="5">
        <v>1.45</v>
      </c>
      <c r="F57" s="5">
        <v>0.31</v>
      </c>
      <c r="G57" s="5">
        <v>1.14</v>
      </c>
      <c r="H57" s="5">
        <v>39.96</v>
      </c>
    </row>
    <row r="58" spans="1:8" x14ac:dyDescent="0.25">
      <c r="A58" s="5">
        <v>57</v>
      </c>
      <c r="B58" t="s">
        <v>93</v>
      </c>
      <c r="C58" s="5">
        <v>5</v>
      </c>
      <c r="D58" s="5">
        <v>39.96</v>
      </c>
      <c r="E58" s="5">
        <v>1.45</v>
      </c>
      <c r="F58" s="5">
        <v>0.3</v>
      </c>
      <c r="G58" s="5">
        <v>1.15</v>
      </c>
      <c r="H58" s="5">
        <v>38.81</v>
      </c>
    </row>
    <row r="59" spans="1:8" x14ac:dyDescent="0.25">
      <c r="A59" s="5">
        <v>58</v>
      </c>
      <c r="B59" t="s">
        <v>94</v>
      </c>
      <c r="C59" s="5">
        <v>5</v>
      </c>
      <c r="D59" s="5">
        <v>38.81</v>
      </c>
      <c r="E59" s="5">
        <v>1.45</v>
      </c>
      <c r="F59" s="5">
        <v>0.29</v>
      </c>
      <c r="G59" s="5">
        <v>1.16</v>
      </c>
      <c r="H59" s="5">
        <v>37.65</v>
      </c>
    </row>
    <row r="60" spans="1:8" x14ac:dyDescent="0.25">
      <c r="A60" s="5">
        <v>59</v>
      </c>
      <c r="B60" t="s">
        <v>95</v>
      </c>
      <c r="C60" s="5">
        <v>6</v>
      </c>
      <c r="D60" s="5">
        <v>37.65</v>
      </c>
      <c r="E60" s="5">
        <v>1.45</v>
      </c>
      <c r="F60" s="5">
        <v>0.29</v>
      </c>
      <c r="G60" s="5">
        <v>1.17</v>
      </c>
      <c r="H60" s="5">
        <v>36.49</v>
      </c>
    </row>
    <row r="61" spans="1:8" x14ac:dyDescent="0.25">
      <c r="A61" s="5">
        <v>60</v>
      </c>
      <c r="B61" t="s">
        <v>96</v>
      </c>
      <c r="C61" s="5">
        <v>6</v>
      </c>
      <c r="D61" s="5">
        <v>36.49</v>
      </c>
      <c r="E61" s="5">
        <v>1.45</v>
      </c>
      <c r="F61" s="5">
        <v>0.28</v>
      </c>
      <c r="G61" s="5">
        <v>1.17</v>
      </c>
      <c r="H61" s="5">
        <v>35.31</v>
      </c>
    </row>
    <row r="62" spans="1:8" x14ac:dyDescent="0.25">
      <c r="A62" s="5">
        <v>61</v>
      </c>
      <c r="B62" t="s">
        <v>97</v>
      </c>
      <c r="C62" s="5">
        <v>6</v>
      </c>
      <c r="D62" s="5">
        <v>35.31</v>
      </c>
      <c r="E62" s="5">
        <v>1.45</v>
      </c>
      <c r="F62" s="5">
        <v>0.27</v>
      </c>
      <c r="G62" s="5">
        <v>1.18</v>
      </c>
      <c r="H62" s="5">
        <v>34.13</v>
      </c>
    </row>
    <row r="63" spans="1:8" x14ac:dyDescent="0.25">
      <c r="A63" s="5">
        <v>62</v>
      </c>
      <c r="B63" t="s">
        <v>98</v>
      </c>
      <c r="C63" s="5">
        <v>6</v>
      </c>
      <c r="D63" s="5">
        <v>34.13</v>
      </c>
      <c r="E63" s="5">
        <v>1.45</v>
      </c>
      <c r="F63" s="5">
        <v>0.26</v>
      </c>
      <c r="G63" s="5">
        <v>1.19</v>
      </c>
      <c r="H63" s="5">
        <v>32.94</v>
      </c>
    </row>
    <row r="64" spans="1:8" x14ac:dyDescent="0.25">
      <c r="A64" s="5">
        <v>63</v>
      </c>
      <c r="B64" t="s">
        <v>99</v>
      </c>
      <c r="C64" s="5">
        <v>6</v>
      </c>
      <c r="D64" s="5">
        <v>32.94</v>
      </c>
      <c r="E64" s="5">
        <v>1.45</v>
      </c>
      <c r="F64" s="5">
        <v>0.25</v>
      </c>
      <c r="G64" s="5">
        <v>1.2</v>
      </c>
      <c r="H64" s="5">
        <v>31.73</v>
      </c>
    </row>
    <row r="65" spans="1:8" x14ac:dyDescent="0.25">
      <c r="A65" s="5">
        <v>64</v>
      </c>
      <c r="B65" t="s">
        <v>100</v>
      </c>
      <c r="C65" s="5">
        <v>6</v>
      </c>
      <c r="D65" s="5">
        <v>31.73</v>
      </c>
      <c r="E65" s="5">
        <v>1.45</v>
      </c>
      <c r="F65" s="5">
        <v>0.24</v>
      </c>
      <c r="G65" s="5">
        <v>1.21</v>
      </c>
      <c r="H65" s="5">
        <v>30.52</v>
      </c>
    </row>
    <row r="66" spans="1:8" x14ac:dyDescent="0.25">
      <c r="A66" s="5">
        <v>65</v>
      </c>
      <c r="B66" t="s">
        <v>101</v>
      </c>
      <c r="C66" s="5">
        <v>6</v>
      </c>
      <c r="D66" s="5">
        <v>30.52</v>
      </c>
      <c r="E66" s="5">
        <v>1.45</v>
      </c>
      <c r="F66" s="5">
        <v>0.23</v>
      </c>
      <c r="G66" s="5">
        <v>1.22</v>
      </c>
      <c r="H66" s="5">
        <v>29.3</v>
      </c>
    </row>
    <row r="67" spans="1:8" x14ac:dyDescent="0.25">
      <c r="A67" s="5">
        <v>66</v>
      </c>
      <c r="B67" t="s">
        <v>102</v>
      </c>
      <c r="C67" s="5">
        <v>6</v>
      </c>
      <c r="D67" s="5">
        <v>29.3</v>
      </c>
      <c r="E67" s="5">
        <v>1.45</v>
      </c>
      <c r="F67" s="5">
        <v>0.22</v>
      </c>
      <c r="G67" s="5">
        <v>1.23</v>
      </c>
      <c r="H67" s="5">
        <v>28.08</v>
      </c>
    </row>
    <row r="68" spans="1:8" x14ac:dyDescent="0.25">
      <c r="A68" s="5">
        <v>67</v>
      </c>
      <c r="B68" t="s">
        <v>103</v>
      </c>
      <c r="C68" s="5">
        <v>6</v>
      </c>
      <c r="D68" s="5">
        <v>28.08</v>
      </c>
      <c r="E68" s="5">
        <v>1.45</v>
      </c>
      <c r="F68" s="5">
        <v>0.21</v>
      </c>
      <c r="G68" s="5">
        <v>1.24</v>
      </c>
      <c r="H68" s="5">
        <v>26.84</v>
      </c>
    </row>
    <row r="69" spans="1:8" x14ac:dyDescent="0.25">
      <c r="A69" s="5">
        <v>68</v>
      </c>
      <c r="B69" t="s">
        <v>104</v>
      </c>
      <c r="C69" s="5">
        <v>6</v>
      </c>
      <c r="D69" s="5">
        <v>26.84</v>
      </c>
      <c r="E69" s="5">
        <v>1.45</v>
      </c>
      <c r="F69" s="5">
        <v>0.2</v>
      </c>
      <c r="G69" s="5">
        <v>1.25</v>
      </c>
      <c r="H69" s="5">
        <v>25.59</v>
      </c>
    </row>
    <row r="70" spans="1:8" x14ac:dyDescent="0.25">
      <c r="A70" s="5">
        <v>69</v>
      </c>
      <c r="B70" t="s">
        <v>105</v>
      </c>
      <c r="C70" s="5">
        <v>6</v>
      </c>
      <c r="D70" s="5">
        <v>25.59</v>
      </c>
      <c r="E70" s="5">
        <v>1.45</v>
      </c>
      <c r="F70" s="5">
        <v>0.19</v>
      </c>
      <c r="G70" s="5">
        <v>1.26</v>
      </c>
      <c r="H70" s="5">
        <v>24.33</v>
      </c>
    </row>
    <row r="71" spans="1:8" x14ac:dyDescent="0.25">
      <c r="A71" s="5">
        <v>70</v>
      </c>
      <c r="B71" t="s">
        <v>106</v>
      </c>
      <c r="C71" s="5">
        <v>6</v>
      </c>
      <c r="D71" s="5">
        <v>24.33</v>
      </c>
      <c r="E71" s="5">
        <v>1.45</v>
      </c>
      <c r="F71" s="5">
        <v>0.18</v>
      </c>
      <c r="G71" s="5">
        <v>1.27</v>
      </c>
      <c r="H71" s="5">
        <v>23.07</v>
      </c>
    </row>
    <row r="72" spans="1:8" x14ac:dyDescent="0.25">
      <c r="A72" s="5">
        <v>71</v>
      </c>
      <c r="B72" t="s">
        <v>107</v>
      </c>
      <c r="C72" s="5">
        <v>7</v>
      </c>
      <c r="D72" s="5">
        <v>23.07</v>
      </c>
      <c r="E72" s="5">
        <v>1.45</v>
      </c>
      <c r="F72" s="5">
        <v>0.17</v>
      </c>
      <c r="G72" s="5">
        <v>1.28</v>
      </c>
      <c r="H72" s="5">
        <v>21.79</v>
      </c>
    </row>
    <row r="73" spans="1:8" x14ac:dyDescent="0.25">
      <c r="A73" s="5">
        <v>72</v>
      </c>
      <c r="B73" t="s">
        <v>108</v>
      </c>
      <c r="C73" s="5">
        <v>7</v>
      </c>
      <c r="D73" s="5">
        <v>21.79</v>
      </c>
      <c r="E73" s="5">
        <v>1.45</v>
      </c>
      <c r="F73" s="5">
        <v>0.17</v>
      </c>
      <c r="G73" s="5">
        <v>1.29</v>
      </c>
      <c r="H73" s="5">
        <v>20.5</v>
      </c>
    </row>
    <row r="74" spans="1:8" x14ac:dyDescent="0.25">
      <c r="A74" s="5">
        <v>73</v>
      </c>
      <c r="B74" t="s">
        <v>109</v>
      </c>
      <c r="C74" s="5">
        <v>7</v>
      </c>
      <c r="D74" s="5">
        <v>20.5</v>
      </c>
      <c r="E74" s="5">
        <v>1.45</v>
      </c>
      <c r="F74" s="5">
        <v>0.16</v>
      </c>
      <c r="G74" s="5">
        <v>1.3</v>
      </c>
      <c r="H74" s="5">
        <v>19.21</v>
      </c>
    </row>
    <row r="75" spans="1:8" x14ac:dyDescent="0.25">
      <c r="A75" s="5">
        <v>74</v>
      </c>
      <c r="B75" t="s">
        <v>110</v>
      </c>
      <c r="C75" s="5">
        <v>7</v>
      </c>
      <c r="D75" s="5">
        <v>19.21</v>
      </c>
      <c r="E75" s="5">
        <v>1.45</v>
      </c>
      <c r="F75" s="5">
        <v>0.15</v>
      </c>
      <c r="G75" s="5">
        <v>1.31</v>
      </c>
      <c r="H75" s="5">
        <v>17.9</v>
      </c>
    </row>
    <row r="76" spans="1:8" x14ac:dyDescent="0.25">
      <c r="A76" s="5">
        <v>75</v>
      </c>
      <c r="B76" t="s">
        <v>111</v>
      </c>
      <c r="C76" s="5">
        <v>7</v>
      </c>
      <c r="D76" s="5">
        <v>17.9</v>
      </c>
      <c r="E76" s="5">
        <v>1.45</v>
      </c>
      <c r="F76" s="5">
        <v>0.14</v>
      </c>
      <c r="G76" s="5">
        <v>1.32</v>
      </c>
      <c r="H76" s="5">
        <v>16.59</v>
      </c>
    </row>
    <row r="77" spans="1:8" x14ac:dyDescent="0.25">
      <c r="A77" s="5">
        <v>76</v>
      </c>
      <c r="B77" t="s">
        <v>112</v>
      </c>
      <c r="C77" s="5">
        <v>7</v>
      </c>
      <c r="D77" s="5">
        <v>16.59</v>
      </c>
      <c r="E77" s="5">
        <v>1.45</v>
      </c>
      <c r="F77" s="5">
        <v>0.13</v>
      </c>
      <c r="G77" s="5">
        <v>1.33</v>
      </c>
      <c r="H77" s="5">
        <v>15.26</v>
      </c>
    </row>
    <row r="78" spans="1:8" x14ac:dyDescent="0.25">
      <c r="A78" s="5">
        <v>77</v>
      </c>
      <c r="B78" t="s">
        <v>113</v>
      </c>
      <c r="C78" s="5">
        <v>7</v>
      </c>
      <c r="D78" s="5">
        <v>15.26</v>
      </c>
      <c r="E78" s="5">
        <v>1.45</v>
      </c>
      <c r="F78" s="5">
        <v>0.12</v>
      </c>
      <c r="G78" s="5">
        <v>1.34</v>
      </c>
      <c r="H78" s="5">
        <v>13.93</v>
      </c>
    </row>
    <row r="79" spans="1:8" x14ac:dyDescent="0.25">
      <c r="A79" s="5">
        <v>78</v>
      </c>
      <c r="B79" t="s">
        <v>114</v>
      </c>
      <c r="C79" s="5">
        <v>7</v>
      </c>
      <c r="D79" s="5">
        <v>13.93</v>
      </c>
      <c r="E79" s="5">
        <v>1.45</v>
      </c>
      <c r="F79" s="5">
        <v>0.11</v>
      </c>
      <c r="G79" s="5">
        <v>1.35</v>
      </c>
      <c r="H79" s="5">
        <v>12.58</v>
      </c>
    </row>
    <row r="80" spans="1:8" x14ac:dyDescent="0.25">
      <c r="A80" s="5">
        <v>79</v>
      </c>
      <c r="B80" t="s">
        <v>115</v>
      </c>
      <c r="C80" s="5">
        <v>7</v>
      </c>
      <c r="D80" s="5">
        <v>12.58</v>
      </c>
      <c r="E80" s="5">
        <v>1.45</v>
      </c>
      <c r="F80" s="5">
        <v>0.1</v>
      </c>
      <c r="G80" s="5">
        <v>1.36</v>
      </c>
      <c r="H80" s="5">
        <v>11.22</v>
      </c>
    </row>
    <row r="81" spans="1:8" x14ac:dyDescent="0.25">
      <c r="A81" s="5">
        <v>80</v>
      </c>
      <c r="B81" t="s">
        <v>116</v>
      </c>
      <c r="C81" s="5">
        <v>7</v>
      </c>
      <c r="D81" s="5">
        <v>11.22</v>
      </c>
      <c r="E81" s="5">
        <v>1.45</v>
      </c>
      <c r="F81" s="5">
        <v>0.09</v>
      </c>
      <c r="G81" s="5">
        <v>1.37</v>
      </c>
      <c r="H81" s="5">
        <v>9.86</v>
      </c>
    </row>
    <row r="82" spans="1:8" x14ac:dyDescent="0.25">
      <c r="A82" s="5">
        <v>81</v>
      </c>
      <c r="B82" t="s">
        <v>117</v>
      </c>
      <c r="C82" s="5">
        <v>7</v>
      </c>
      <c r="D82" s="5">
        <v>9.86</v>
      </c>
      <c r="E82" s="5">
        <v>1.45</v>
      </c>
      <c r="F82" s="5">
        <v>0.07</v>
      </c>
      <c r="G82" s="5">
        <v>1.38</v>
      </c>
      <c r="H82" s="5">
        <v>8.48</v>
      </c>
    </row>
    <row r="83" spans="1:8" x14ac:dyDescent="0.25">
      <c r="A83" s="5">
        <v>82</v>
      </c>
      <c r="B83" t="s">
        <v>118</v>
      </c>
      <c r="C83" s="5">
        <v>7</v>
      </c>
      <c r="D83" s="5">
        <v>8.48</v>
      </c>
      <c r="E83" s="5">
        <v>1.45</v>
      </c>
      <c r="F83" s="5">
        <v>0.06</v>
      </c>
      <c r="G83" s="5">
        <v>1.39</v>
      </c>
      <c r="H83" s="5">
        <v>7.09</v>
      </c>
    </row>
    <row r="84" spans="1:8" x14ac:dyDescent="0.25">
      <c r="A84" s="5">
        <v>83</v>
      </c>
      <c r="B84" t="s">
        <v>119</v>
      </c>
      <c r="C84" s="5">
        <v>8</v>
      </c>
      <c r="D84" s="5">
        <v>7.09</v>
      </c>
      <c r="E84" s="5">
        <v>1.45</v>
      </c>
      <c r="F84" s="5">
        <v>0.05</v>
      </c>
      <c r="G84" s="5">
        <v>1.4</v>
      </c>
      <c r="H84" s="5">
        <v>5.7</v>
      </c>
    </row>
    <row r="85" spans="1:8" x14ac:dyDescent="0.25">
      <c r="A85" s="5">
        <v>84</v>
      </c>
      <c r="B85" t="s">
        <v>120</v>
      </c>
      <c r="C85" s="5">
        <v>8</v>
      </c>
      <c r="D85" s="5">
        <v>5.7</v>
      </c>
      <c r="E85" s="5">
        <v>1.45</v>
      </c>
      <c r="F85" s="5">
        <v>0.04</v>
      </c>
      <c r="G85" s="5">
        <v>1.41</v>
      </c>
      <c r="H85" s="5">
        <v>4.29</v>
      </c>
    </row>
    <row r="86" spans="1:8" x14ac:dyDescent="0.25">
      <c r="A86" s="5">
        <v>85</v>
      </c>
      <c r="B86" t="s">
        <v>121</v>
      </c>
      <c r="C86" s="5">
        <v>8</v>
      </c>
      <c r="D86" s="5">
        <v>4.29</v>
      </c>
      <c r="E86" s="5">
        <v>1.45</v>
      </c>
      <c r="F86" s="5">
        <v>0.03</v>
      </c>
      <c r="G86" s="5">
        <v>1.42</v>
      </c>
      <c r="H86" s="5">
        <v>2.87</v>
      </c>
    </row>
    <row r="87" spans="1:8" x14ac:dyDescent="0.25">
      <c r="A87" s="5">
        <v>86</v>
      </c>
      <c r="B87" t="s">
        <v>122</v>
      </c>
      <c r="C87" s="5">
        <v>8</v>
      </c>
      <c r="D87" s="5">
        <v>2.87</v>
      </c>
      <c r="E87" s="5">
        <v>1.45</v>
      </c>
      <c r="F87" s="5">
        <v>0.02</v>
      </c>
      <c r="G87" s="5">
        <v>1.43</v>
      </c>
      <c r="H87" s="5">
        <v>1.44</v>
      </c>
    </row>
    <row r="88" spans="1:8" x14ac:dyDescent="0.25">
      <c r="A88" s="5">
        <v>87</v>
      </c>
      <c r="B88" t="s">
        <v>123</v>
      </c>
      <c r="C88" s="5">
        <v>8</v>
      </c>
      <c r="D88" s="5">
        <v>1.44</v>
      </c>
      <c r="E88" s="5">
        <v>1.45</v>
      </c>
      <c r="F88" s="5">
        <v>0.01</v>
      </c>
      <c r="G88" s="5">
        <v>1.44</v>
      </c>
      <c r="H88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34" customWidth="1"/>
    <col min="2" max="5" width="13" customWidth="1"/>
  </cols>
  <sheetData>
    <row r="1" spans="1:1" x14ac:dyDescent="0.25">
      <c r="A1" s="6" t="s">
        <v>124</v>
      </c>
    </row>
    <row r="2" spans="1:5" s="3" customFormat="1" x14ac:dyDescent="0.25">
      <c r="A2" s="4" t="s">
        <v>125</v>
      </c>
      <c r="B2" s="4" t="s">
        <v>126</v>
      </c>
      <c r="C2" s="4" t="s">
        <v>127</v>
      </c>
      <c r="D2" s="4" t="s">
        <v>128</v>
      </c>
      <c r="E2" s="4" t="s">
        <v>129</v>
      </c>
    </row>
    <row r="3" spans="1:5" x14ac:dyDescent="0.25">
      <c r="A3" t="s">
        <v>130</v>
      </c>
      <c r="B3" s="5">
        <v>50</v>
      </c>
      <c r="C3" s="5">
        <f>B6</f>
      </c>
      <c r="D3" s="5">
        <f>C6</f>
      </c>
      <c r="E3" s="5">
        <f>D6</f>
      </c>
    </row>
    <row r="4" spans="1:5" x14ac:dyDescent="0.25">
      <c r="A4" t="s">
        <v>131</v>
      </c>
      <c r="B4" s="5">
        <v>0</v>
      </c>
      <c r="C4" s="5">
        <v>87.59</v>
      </c>
      <c r="D4" s="5">
        <v>0</v>
      </c>
      <c r="E4" s="5">
        <v>0</v>
      </c>
    </row>
    <row r="5" spans="1:5" x14ac:dyDescent="0.25">
      <c r="A5" t="s">
        <v>132</v>
      </c>
      <c r="B5" s="5">
        <f>(B3+B4)*0.15</f>
      </c>
      <c r="C5" s="5">
        <f>(C3+C4)*0.15</f>
      </c>
      <c r="D5" s="5">
        <f>(D3+D4)*0.15</f>
      </c>
      <c r="E5" s="5">
        <f>(E3+E4)*0.15</f>
      </c>
    </row>
    <row r="6" spans="1:5" x14ac:dyDescent="0.25">
      <c r="A6" t="s">
        <v>133</v>
      </c>
      <c r="B6" s="5">
        <f>B3+B4-B5</f>
      </c>
      <c r="C6" s="5">
        <f>C3+C4-C5</f>
      </c>
      <c r="D6" s="5">
        <f>D3+D4-D5</f>
      </c>
      <c r="E6" s="5">
        <f>E3+E4-E5</f>
      </c>
    </row>
    <row r="7" spans="1:5" x14ac:dyDescent="0.25">
      <c r="A7" t="s">
        <v>134</v>
      </c>
      <c r="B7" s="5">
        <v>0</v>
      </c>
      <c r="C7" s="5">
        <f>B10</f>
      </c>
      <c r="D7" s="5">
        <f>C10</f>
      </c>
      <c r="E7" s="5">
        <f>D10</f>
      </c>
    </row>
    <row r="8" spans="1:5" x14ac:dyDescent="0.25">
      <c r="A8" t="s">
        <v>135</v>
      </c>
      <c r="B8" s="5">
        <v>0</v>
      </c>
      <c r="C8" s="5">
        <v>0</v>
      </c>
      <c r="D8" s="5">
        <v>0</v>
      </c>
      <c r="E8" s="5">
        <v>0</v>
      </c>
    </row>
    <row r="9" spans="1:5" x14ac:dyDescent="0.25">
      <c r="A9" t="s">
        <v>136</v>
      </c>
      <c r="B9" s="5">
        <f>(B7+B8)*0.1</f>
      </c>
      <c r="C9" s="5">
        <f>(C7+C8)*0.1</f>
      </c>
      <c r="D9" s="5">
        <f>(D7+D8)*0.1</f>
      </c>
      <c r="E9" s="5">
        <f>(E7+E8)*0.1</f>
      </c>
    </row>
    <row r="10" spans="1:5" x14ac:dyDescent="0.25">
      <c r="A10" t="s">
        <v>137</v>
      </c>
      <c r="B10" s="5">
        <f>B7+B8-B9</f>
      </c>
      <c r="C10" s="5">
        <f>C7+C8-C9</f>
      </c>
      <c r="D10" s="5">
        <f>D7+D8-D9</f>
      </c>
      <c r="E10" s="5">
        <f>E7+E8-E9</f>
      </c>
    </row>
    <row r="11" spans="1:5" x14ac:dyDescent="0.25">
      <c r="A11" t="s">
        <v>138</v>
      </c>
      <c r="B11" s="5">
        <v>0</v>
      </c>
      <c r="C11" s="5">
        <f>B14</f>
      </c>
      <c r="D11" s="5">
        <f>C14</f>
      </c>
      <c r="E11" s="5">
        <f>D14</f>
      </c>
    </row>
    <row r="12" spans="1:5" x14ac:dyDescent="0.25">
      <c r="A12" t="s">
        <v>139</v>
      </c>
      <c r="B12" s="5">
        <v>0</v>
      </c>
      <c r="C12" s="5">
        <v>0</v>
      </c>
      <c r="D12" s="5">
        <v>0</v>
      </c>
      <c r="E12" s="5">
        <v>0</v>
      </c>
    </row>
    <row r="13" spans="1:5" x14ac:dyDescent="0.25">
      <c r="A13" t="s">
        <v>140</v>
      </c>
      <c r="B13" s="5">
        <f>(B11+B12)*0.1</f>
      </c>
      <c r="C13" s="5">
        <f>(C11+C12)*0.1</f>
      </c>
      <c r="D13" s="5">
        <f>(D11+D12)*0.1</f>
      </c>
      <c r="E13" s="5">
        <f>(E11+E12)*0.1</f>
      </c>
    </row>
    <row r="14" spans="1:5" x14ac:dyDescent="0.25">
      <c r="A14" t="s">
        <v>141</v>
      </c>
      <c r="B14" s="5">
        <f>B11+B12-B13</f>
      </c>
      <c r="C14" s="5">
        <f>C11+C12-C13</f>
      </c>
      <c r="D14" s="5">
        <f>D11+D12-D13</f>
      </c>
      <c r="E14" s="5">
        <f>E11+E12-E13</f>
      </c>
    </row>
    <row r="15" spans="1:5" x14ac:dyDescent="0.25">
      <c r="A15" t="s">
        <v>142</v>
      </c>
      <c r="B15" s="5">
        <v>0</v>
      </c>
      <c r="C15" s="5">
        <f>B18</f>
      </c>
      <c r="D15" s="5">
        <f>C18</f>
      </c>
      <c r="E15" s="5">
        <f>D18</f>
      </c>
    </row>
    <row r="16" spans="1:5" x14ac:dyDescent="0.25">
      <c r="A16" t="s">
        <v>143</v>
      </c>
      <c r="B16" s="5">
        <v>0</v>
      </c>
      <c r="C16" s="5">
        <v>0</v>
      </c>
      <c r="D16" s="5">
        <v>0</v>
      </c>
      <c r="E16" s="5">
        <v>0</v>
      </c>
    </row>
    <row r="17" spans="1:5" x14ac:dyDescent="0.25">
      <c r="A17" t="s">
        <v>144</v>
      </c>
      <c r="B17" s="5">
        <f>(B15+B16)*0.4</f>
      </c>
      <c r="C17" s="5">
        <f>(C15+C16)*0.4</f>
      </c>
      <c r="D17" s="5">
        <f>(D15+D16)*0.4</f>
      </c>
      <c r="E17" s="5">
        <f>(E15+E16)*0.4</f>
      </c>
    </row>
    <row r="18" spans="1:5" x14ac:dyDescent="0.25">
      <c r="A18" t="s">
        <v>145</v>
      </c>
      <c r="B18" s="5">
        <f>B15+B16-B17</f>
      </c>
      <c r="C18" s="5">
        <f>C15+C16-C17</f>
      </c>
      <c r="D18" s="5">
        <f>D15+D16-D17</f>
      </c>
      <c r="E18" s="5">
        <f>E15+E16-E17</f>
      </c>
    </row>
    <row r="19" spans="1:5" x14ac:dyDescent="0.25">
      <c r="A19" t="s">
        <v>146</v>
      </c>
      <c r="B19" s="5">
        <v>0</v>
      </c>
      <c r="C19" s="5">
        <f>B22</f>
      </c>
      <c r="D19" s="5">
        <f>C22</f>
      </c>
      <c r="E19" s="5">
        <f>D22</f>
      </c>
    </row>
    <row r="20" spans="1:5" x14ac:dyDescent="0.25">
      <c r="A20" t="s">
        <v>147</v>
      </c>
      <c r="B20" s="5">
        <v>0</v>
      </c>
      <c r="C20" s="5">
        <v>0</v>
      </c>
      <c r="D20" s="5">
        <v>0</v>
      </c>
      <c r="E20" s="5">
        <v>0</v>
      </c>
    </row>
    <row r="21" spans="1:5" x14ac:dyDescent="0.25">
      <c r="A21" t="s">
        <v>148</v>
      </c>
      <c r="B21" s="5">
        <f>(B19+B20)*0.15</f>
      </c>
      <c r="C21" s="5">
        <f>(C19+C20)*0.15</f>
      </c>
      <c r="D21" s="5">
        <f>(D19+D20)*0.15</f>
      </c>
      <c r="E21" s="5">
        <f>(E19+E20)*0.15</f>
      </c>
    </row>
    <row r="22" spans="1:5" x14ac:dyDescent="0.25">
      <c r="A22" t="s">
        <v>149</v>
      </c>
      <c r="B22" s="5">
        <f>B19+B20-B21</f>
      </c>
      <c r="C22" s="5">
        <f>C19+C20-C21</f>
      </c>
      <c r="D22" s="5">
        <f>D19+D20-D21</f>
      </c>
      <c r="E22" s="5">
        <f>E19+E20-E21</f>
      </c>
    </row>
    <row r="23" spans="1:5" x14ac:dyDescent="0.25">
      <c r="A23" t="s">
        <v>150</v>
      </c>
      <c r="B23" s="5">
        <v>0</v>
      </c>
      <c r="C23" s="5">
        <f>B26</f>
      </c>
      <c r="D23" s="5">
        <f>C26</f>
      </c>
      <c r="E23" s="5">
        <f>D26</f>
      </c>
    </row>
    <row r="24" spans="1:5" x14ac:dyDescent="0.25">
      <c r="A24" t="s">
        <v>151</v>
      </c>
      <c r="B24" s="5">
        <v>0</v>
      </c>
      <c r="C24" s="5">
        <v>0</v>
      </c>
      <c r="D24" s="5">
        <v>0</v>
      </c>
      <c r="E24" s="5">
        <v>0</v>
      </c>
    </row>
    <row r="25" spans="1:5" x14ac:dyDescent="0.25">
      <c r="A25" t="s">
        <v>152</v>
      </c>
      <c r="B25" s="5">
        <f>(B23+B24)*0.15</f>
      </c>
      <c r="C25" s="5">
        <f>(C23+C24)*0.15</f>
      </c>
      <c r="D25" s="5">
        <f>(D23+D24)*0.15</f>
      </c>
      <c r="E25" s="5">
        <f>(E23+E24)*0.15</f>
      </c>
    </row>
    <row r="26" spans="1:5" x14ac:dyDescent="0.25">
      <c r="A26" t="s">
        <v>153</v>
      </c>
      <c r="B26" s="5">
        <f>B23+B24-B25</f>
      </c>
      <c r="C26" s="5">
        <f>C23+C24-C25</f>
      </c>
      <c r="D26" s="5">
        <f>D23+D24-D25</f>
      </c>
      <c r="E26" s="5">
        <f>E23+E24-E25</f>
      </c>
    </row>
    <row r="27" spans="1:5" s="2" customFormat="1" x14ac:dyDescent="0.25">
      <c r="A27" s="2" t="s">
        <v>154</v>
      </c>
      <c r="B27" s="7">
        <f>B5+B9+B13+B17+B21+B25</f>
      </c>
      <c r="C27" s="7">
        <f>C5+C9+C13+C17+C21+C25</f>
      </c>
      <c r="D27" s="7">
        <f>D5+D9+D13+D17+D21+D25</f>
      </c>
      <c r="E27" s="7">
        <f>E5+E9+E13+E17+E21+E25</f>
      </c>
    </row>
    <row r="28" spans="1:5" s="2" customFormat="1" x14ac:dyDescent="0.25">
      <c r="A28" s="2" t="s">
        <v>155</v>
      </c>
      <c r="B28" s="7">
        <f>B6+B10+B14+B18+B22+B26</f>
      </c>
      <c r="C28" s="7">
        <f>C6+C10+C14+C18+C22+C26</f>
      </c>
      <c r="D28" s="7">
        <f>D6+D10+D14+D18+D22+D26</f>
      </c>
      <c r="E28" s="7">
        <f>E6+E10+E14+E18+E22+E26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36" customWidth="1"/>
    <col min="2" max="5" width="14" customWidth="1"/>
  </cols>
  <sheetData>
    <row r="1" spans="1:1" x14ac:dyDescent="0.25">
      <c r="A1" s="6" t="s">
        <v>156</v>
      </c>
    </row>
    <row r="2" spans="1:1" x14ac:dyDescent="0.25">
      <c r="A2" t="s">
        <v>157</v>
      </c>
    </row>
    <row r="3" spans="1:5" s="3" customFormat="1" x14ac:dyDescent="0.25">
      <c r="A3" s="4" t="s">
        <v>158</v>
      </c>
      <c r="B3" s="4" t="s">
        <v>159</v>
      </c>
      <c r="C3" s="4" t="s">
        <v>160</v>
      </c>
      <c r="D3" s="4" t="s">
        <v>161</v>
      </c>
      <c r="E3" s="4" t="s">
        <v>162</v>
      </c>
    </row>
    <row r="4" spans="1:1" s="8" customFormat="1" x14ac:dyDescent="0.25">
      <c r="A4" s="8" t="s">
        <v>163</v>
      </c>
    </row>
    <row r="5" spans="1:5" x14ac:dyDescent="0.25">
      <c r="A5" t="s">
        <v>164</v>
      </c>
      <c r="B5" s="5">
        <v>342.79</v>
      </c>
      <c r="C5" s="5">
        <f>B5*(1+Assumptions!$B$4/100)</f>
      </c>
      <c r="D5" s="5">
        <f>C5*(1+Assumptions!$B$4/100)</f>
      </c>
      <c r="E5" s="5">
        <f>D5*(1+Assumptions!$B$4/100)</f>
      </c>
    </row>
    <row r="6" spans="1:5" x14ac:dyDescent="0.25">
      <c r="A6" t="s">
        <v>165</v>
      </c>
      <c r="B6" s="5">
        <v>0</v>
      </c>
      <c r="C6" s="5">
        <v>0</v>
      </c>
      <c r="D6" s="5">
        <v>0</v>
      </c>
      <c r="E6" s="5">
        <v>0</v>
      </c>
    </row>
    <row r="7" spans="1:1" s="8" customFormat="1" x14ac:dyDescent="0.25">
      <c r="A7" s="8" t="s">
        <v>166</v>
      </c>
    </row>
    <row r="8" spans="1:5" x14ac:dyDescent="0.25">
      <c r="A8" t="s">
        <v>167</v>
      </c>
      <c r="B8" s="5">
        <v>9</v>
      </c>
      <c r="C8" s="5">
        <f>B10</f>
      </c>
      <c r="D8" s="5">
        <f>C10</f>
      </c>
      <c r="E8" s="5">
        <f>D10</f>
      </c>
    </row>
    <row r="9" spans="1:5" x14ac:dyDescent="0.25">
      <c r="A9" t="s">
        <v>168</v>
      </c>
      <c r="B9" s="5">
        <v>121.76</v>
      </c>
      <c r="C9" s="5">
        <f>C11+C10-C8</f>
      </c>
      <c r="D9" s="5">
        <f>D11+D10-D8</f>
      </c>
      <c r="E9" s="5">
        <f>E11+E10-E8</f>
      </c>
    </row>
    <row r="10" spans="1:5" x14ac:dyDescent="0.25">
      <c r="A10" t="s">
        <v>169</v>
      </c>
      <c r="B10" s="5">
        <v>10</v>
      </c>
      <c r="C10" s="5">
        <f>C5/365*Assumptions!$B$7</f>
      </c>
      <c r="D10" s="5">
        <f>D5/365*Assumptions!$B$7</f>
      </c>
      <c r="E10" s="5">
        <f>E5/365*Assumptions!$B$7</f>
      </c>
    </row>
    <row r="11" spans="1:5" s="2" customFormat="1" x14ac:dyDescent="0.25">
      <c r="A11" s="2" t="s">
        <v>170</v>
      </c>
      <c r="B11" s="7">
        <f>B8+B9-B10</f>
      </c>
      <c r="C11" s="7">
        <f>C5*Assumptions!$B$6*(1-Assumptions!$B$5/100)</f>
      </c>
      <c r="D11" s="7">
        <f>D5*Assumptions!$B$6*(1-Assumptions!$B$5/100)</f>
      </c>
      <c r="E11" s="7">
        <f>E5*Assumptions!$B$6*(1-Assumptions!$B$5/100)</f>
      </c>
    </row>
    <row r="12" spans="1:5" x14ac:dyDescent="0.25">
      <c r="A12" t="s">
        <v>16</v>
      </c>
      <c r="B12" s="5">
        <v>0.96</v>
      </c>
      <c r="C12" s="5">
        <f>C5*Assumptions!$B$20*(1-Assumptions!$B$5/100)</f>
      </c>
      <c r="D12" s="5">
        <f>D5*Assumptions!$B$20*(1-Assumptions!$B$5/100)</f>
      </c>
      <c r="E12" s="5">
        <f>E5*Assumptions!$B$20*(1-Assumptions!$B$5/100)</f>
      </c>
    </row>
    <row r="13" spans="1:5" x14ac:dyDescent="0.25">
      <c r="A13" t="s">
        <v>17</v>
      </c>
      <c r="B13" s="5">
        <v>0</v>
      </c>
      <c r="C13" s="5">
        <f>C5*Assumptions!$B$21*(1-Assumptions!$B$5/100)</f>
      </c>
      <c r="D13" s="5">
        <f>D5*Assumptions!$B$21*(1-Assumptions!$B$5/100)</f>
      </c>
      <c r="E13" s="5">
        <f>E5*Assumptions!$B$21*(1-Assumptions!$B$5/100)</f>
      </c>
    </row>
    <row r="14" spans="1:5" x14ac:dyDescent="0.25">
      <c r="A14" t="s">
        <v>18</v>
      </c>
      <c r="B14" s="5">
        <v>71.08</v>
      </c>
      <c r="C14" s="5">
        <f>C5*Assumptions!$B$22*(1-Assumptions!$B$5/100)</f>
      </c>
      <c r="D14" s="5">
        <f>D5*Assumptions!$B$22*(1-Assumptions!$B$5/100)</f>
      </c>
      <c r="E14" s="5">
        <f>E5*Assumptions!$B$22*(1-Assumptions!$B$5/100)</f>
      </c>
    </row>
    <row r="15" spans="1:5" x14ac:dyDescent="0.25">
      <c r="A15" t="s">
        <v>19</v>
      </c>
      <c r="B15" s="5">
        <v>1.16</v>
      </c>
      <c r="C15" s="5">
        <f>C5*Assumptions!$B$23*(1-Assumptions!$B$5/100)</f>
      </c>
      <c r="D15" s="5">
        <f>D5*Assumptions!$B$23*(1-Assumptions!$B$5/100)</f>
      </c>
      <c r="E15" s="5">
        <f>E5*Assumptions!$B$23*(1-Assumptions!$B$5/100)</f>
      </c>
    </row>
    <row r="16" spans="1:5" x14ac:dyDescent="0.25">
      <c r="A16" t="s">
        <v>20</v>
      </c>
      <c r="B16" s="5">
        <v>2.64</v>
      </c>
      <c r="C16" s="5">
        <f>C5*Assumptions!$B$24*(1-Assumptions!$B$5/100)</f>
      </c>
      <c r="D16" s="5">
        <f>D5*Assumptions!$B$24*(1-Assumptions!$B$5/100)</f>
      </c>
      <c r="E16" s="5">
        <f>E5*Assumptions!$B$24*(1-Assumptions!$B$5/100)</f>
      </c>
    </row>
    <row r="17" spans="1:5" x14ac:dyDescent="0.25">
      <c r="A17" t="s">
        <v>21</v>
      </c>
      <c r="B17" s="5">
        <v>1.29</v>
      </c>
      <c r="C17" s="5">
        <f>C5*Assumptions!$B$25*(1-Assumptions!$B$5/100)</f>
      </c>
      <c r="D17" s="5">
        <f>D5*Assumptions!$B$25*(1-Assumptions!$B$5/100)</f>
      </c>
      <c r="E17" s="5">
        <f>E5*Assumptions!$B$25*(1-Assumptions!$B$5/100)</f>
      </c>
    </row>
    <row r="18" spans="1:5" x14ac:dyDescent="0.25">
      <c r="A18" t="s">
        <v>22</v>
      </c>
      <c r="B18" s="5">
        <v>2.44</v>
      </c>
      <c r="C18" s="5">
        <f>C5*Assumptions!$B$26*(1-Assumptions!$B$5/100)</f>
      </c>
      <c r="D18" s="5">
        <f>D5*Assumptions!$B$26*(1-Assumptions!$B$5/100)</f>
      </c>
      <c r="E18" s="5">
        <f>E5*Assumptions!$B$26*(1-Assumptions!$B$5/100)</f>
      </c>
    </row>
    <row r="19" spans="1:5" x14ac:dyDescent="0.25">
      <c r="A19" t="s">
        <v>23</v>
      </c>
      <c r="B19" s="5">
        <v>15.72</v>
      </c>
      <c r="C19" s="5">
        <f>C5*Assumptions!$B$27*(1-Assumptions!$B$5/100)</f>
      </c>
      <c r="D19" s="5">
        <f>D5*Assumptions!$B$27*(1-Assumptions!$B$5/100)</f>
      </c>
      <c r="E19" s="5">
        <f>E5*Assumptions!$B$27*(1-Assumptions!$B$5/100)</f>
      </c>
    </row>
    <row r="20" spans="1:5" x14ac:dyDescent="0.25">
      <c r="A20" t="s">
        <v>24</v>
      </c>
      <c r="B20" s="5">
        <v>16.73</v>
      </c>
      <c r="C20" s="5">
        <f>C5*Assumptions!$B$28*(1-Assumptions!$B$5/100)</f>
      </c>
      <c r="D20" s="5">
        <f>D5*Assumptions!$B$28*(1-Assumptions!$B$5/100)</f>
      </c>
      <c r="E20" s="5">
        <f>E5*Assumptions!$B$28*(1-Assumptions!$B$5/100)</f>
      </c>
    </row>
    <row r="21" spans="1:5" x14ac:dyDescent="0.25">
      <c r="A21" t="s">
        <v>25</v>
      </c>
      <c r="B21" s="5">
        <v>51.73</v>
      </c>
      <c r="C21" s="5">
        <f>C5*Assumptions!$B$29*(1-Assumptions!$B$5/100)</f>
      </c>
      <c r="D21" s="5">
        <f>D5*Assumptions!$B$29*(1-Assumptions!$B$5/100)</f>
      </c>
      <c r="E21" s="5">
        <f>E5*Assumptions!$B$29*(1-Assumptions!$B$5/100)</f>
      </c>
    </row>
    <row r="22" spans="1:5" x14ac:dyDescent="0.25">
      <c r="A22" t="s">
        <v>26</v>
      </c>
      <c r="B22" s="5">
        <v>0</v>
      </c>
      <c r="C22" s="5">
        <f>C5*Assumptions!$B$30*(1-Assumptions!$B$5/100)</f>
      </c>
      <c r="D22" s="5">
        <f>D5*Assumptions!$B$30*(1-Assumptions!$B$5/100)</f>
      </c>
      <c r="E22" s="5">
        <f>E5*Assumptions!$B$30*(1-Assumptions!$B$5/100)</f>
      </c>
    </row>
    <row r="23" spans="1:5" x14ac:dyDescent="0.25">
      <c r="A23" t="s">
        <v>27</v>
      </c>
      <c r="B23" s="5">
        <v>0</v>
      </c>
      <c r="C23" s="5">
        <f>C5*Assumptions!$B$31*(1-Assumptions!$B$5/100)</f>
      </c>
      <c r="D23" s="5">
        <f>D5*Assumptions!$B$31*(1-Assumptions!$B$5/100)</f>
      </c>
      <c r="E23" s="5">
        <f>E5*Assumptions!$B$31*(1-Assumptions!$B$5/100)</f>
      </c>
    </row>
    <row r="24" spans="1:5" x14ac:dyDescent="0.25">
      <c r="A24" t="s">
        <v>28</v>
      </c>
      <c r="B24" s="5">
        <v>2.5</v>
      </c>
      <c r="C24" s="5">
        <f>C5*Assumptions!$B$32*(1-Assumptions!$B$5/100)</f>
      </c>
      <c r="D24" s="5">
        <f>D5*Assumptions!$B$32*(1-Assumptions!$B$5/100)</f>
      </c>
      <c r="E24" s="5">
        <f>E5*Assumptions!$B$32*(1-Assumptions!$B$5/100)</f>
      </c>
    </row>
    <row r="25" spans="1:5" s="2" customFormat="1" x14ac:dyDescent="0.25">
      <c r="A25" s="2" t="s">
        <v>171</v>
      </c>
      <c r="B25" s="7">
        <f>SUM(B12:B24)</f>
      </c>
      <c r="C25" s="7">
        <f>SUM(C12:C24)</f>
      </c>
      <c r="D25" s="7">
        <f>SUM(D12:D24)</f>
      </c>
      <c r="E25" s="7">
        <f>SUM(E12:E24)</f>
      </c>
    </row>
    <row r="26" spans="1:5" s="2" customFormat="1" x14ac:dyDescent="0.25">
      <c r="A26" s="2" t="s">
        <v>172</v>
      </c>
      <c r="B26" s="7">
        <f>B5+B6-B11-B25</f>
      </c>
      <c r="C26" s="7">
        <f>C5+C6-C11-C25</f>
      </c>
      <c r="D26" s="7">
        <f>D5+D6-D11-D25</f>
      </c>
      <c r="E26" s="7">
        <f>E5+E6-E11-E25</f>
      </c>
    </row>
    <row r="27" spans="1:5" x14ac:dyDescent="0.25">
      <c r="A27" t="s">
        <v>173</v>
      </c>
      <c r="B27" s="5">
        <v>16.45</v>
      </c>
      <c r="C27" s="5">
        <f>Depreciation!C27</f>
      </c>
      <c r="D27" s="5">
        <f>Depreciation!D27</f>
      </c>
      <c r="E27" s="5">
        <f>Depreciation!E27</f>
      </c>
    </row>
    <row r="28" spans="1:5" x14ac:dyDescent="0.25">
      <c r="A28" t="s">
        <v>174</v>
      </c>
      <c r="B28" s="5">
        <v>3.8</v>
      </c>
      <c r="C28" s="5">
        <f>Assumptions!$B$13*Assumptions!$B$14/100*(12-Assumptions!$B$15)/12</f>
      </c>
      <c r="D28" s="5">
        <f>Assumptions!$B$13*Assumptions!$B$14/100</f>
      </c>
      <c r="E28" s="5">
        <f>Assumptions!$B$13*Assumptions!$B$14/100</f>
      </c>
    </row>
    <row r="29" spans="1:5" x14ac:dyDescent="0.25">
      <c r="A29" t="s">
        <v>175</v>
      </c>
      <c r="B29" s="5">
        <v>0</v>
      </c>
      <c r="C29" s="5">
        <f>SUMIF('Loan Schedule'!C:C,1,'Loan Schedule'!F:F)</f>
      </c>
      <c r="D29" s="5">
        <f>SUMIF('Loan Schedule'!C:C,2,'Loan Schedule'!F:F)</f>
      </c>
      <c r="E29" s="5">
        <f>SUMIF('Loan Schedule'!C:C,3,'Loan Schedule'!F:F)</f>
      </c>
    </row>
    <row r="30" spans="1:5" x14ac:dyDescent="0.25">
      <c r="A30" t="s">
        <v>176</v>
      </c>
      <c r="B30" s="5">
        <v>0.74</v>
      </c>
      <c r="C30" s="5">
        <v>0.74</v>
      </c>
      <c r="D30" s="5">
        <v>0.74</v>
      </c>
      <c r="E30" s="5">
        <v>0.74</v>
      </c>
    </row>
    <row r="31" spans="1:5" s="2" customFormat="1" x14ac:dyDescent="0.25">
      <c r="A31" s="2" t="s">
        <v>177</v>
      </c>
      <c r="B31" s="7">
        <f>B26-B27-B28-B29-B30</f>
      </c>
      <c r="C31" s="7">
        <f>C26-C27-C28-C29-C30</f>
      </c>
      <c r="D31" s="7">
        <f>D26-D27-D28-D29-D30</f>
      </c>
      <c r="E31" s="7">
        <f>E26-E27-E28-E29-E30</f>
      </c>
    </row>
    <row r="32" spans="1:5" x14ac:dyDescent="0.25">
      <c r="A32" t="s">
        <v>178</v>
      </c>
      <c r="B32" s="5">
        <v>14.1</v>
      </c>
      <c r="C32" s="5">
        <f>MAX(0,C31*Assumptions!$B$10/100)</f>
      </c>
      <c r="D32" s="5">
        <f>MAX(0,D31*Assumptions!$B$10/100)</f>
      </c>
      <c r="E32" s="5">
        <f>MAX(0,E31*Assumptions!$B$10/100)</f>
      </c>
    </row>
    <row r="33" spans="1:5" s="2" customFormat="1" x14ac:dyDescent="0.25">
      <c r="A33" s="2" t="s">
        <v>179</v>
      </c>
      <c r="B33" s="7">
        <f>B31-B32</f>
      </c>
      <c r="C33" s="7">
        <f>C31-C32</f>
      </c>
      <c r="D33" s="7">
        <f>D31-D32</f>
      </c>
      <c r="E33" s="7">
        <f>E31-E32</f>
      </c>
    </row>
    <row r="34" spans="1:5" x14ac:dyDescent="0.25">
      <c r="A34" t="s">
        <v>180</v>
      </c>
      <c r="B34" s="5">
        <v>0</v>
      </c>
      <c r="C34" s="5">
        <f>MAX(0,C33*Assumptions!$B$11/100)</f>
      </c>
      <c r="D34" s="5">
        <f>MAX(0,D33*Assumptions!$B$11/100)</f>
      </c>
      <c r="E34" s="5">
        <f>MAX(0,E33*Assumptions!$B$11/100)</f>
      </c>
    </row>
    <row r="35" spans="1:5" x14ac:dyDescent="0.25">
      <c r="A35" t="s">
        <v>181</v>
      </c>
      <c r="B35" s="5">
        <f>B33-B34</f>
      </c>
      <c r="C35" s="5">
        <f>C33-C34</f>
      </c>
      <c r="D35" s="5">
        <f>D33-D34</f>
      </c>
      <c r="E35" s="5">
        <f>E33-E34</f>
      </c>
    </row>
    <row r="36" spans="1:5" s="2" customFormat="1" x14ac:dyDescent="0.25">
      <c r="A36" s="2" t="s">
        <v>182</v>
      </c>
      <c r="B36" s="7">
        <f>B33+B27</f>
      </c>
      <c r="C36" s="7">
        <f>C33+C27</f>
      </c>
      <c r="D36" s="7">
        <f>D33+D27</f>
      </c>
      <c r="E36" s="7">
        <f>E33+E27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36" customWidth="1"/>
    <col min="2" max="5" width="14" customWidth="1"/>
  </cols>
  <sheetData>
    <row r="1" spans="1:1" x14ac:dyDescent="0.25">
      <c r="A1" s="6" t="s">
        <v>183</v>
      </c>
    </row>
    <row r="3" spans="1:5" s="3" customFormat="1" x14ac:dyDescent="0.25">
      <c r="A3" s="4" t="s">
        <v>158</v>
      </c>
      <c r="B3" s="4" t="s">
        <v>159</v>
      </c>
      <c r="C3" s="4" t="s">
        <v>160</v>
      </c>
      <c r="D3" s="4" t="s">
        <v>161</v>
      </c>
      <c r="E3" s="4" t="s">
        <v>162</v>
      </c>
    </row>
    <row r="4" spans="1:1" s="8" customFormat="1" x14ac:dyDescent="0.25">
      <c r="A4" s="8" t="s">
        <v>184</v>
      </c>
    </row>
    <row r="5" spans="1:5" x14ac:dyDescent="0.25">
      <c r="A5" t="s">
        <v>185</v>
      </c>
      <c r="B5" s="5">
        <v>50</v>
      </c>
      <c r="C5" s="5">
        <v>50</v>
      </c>
      <c r="D5" s="5">
        <v>50</v>
      </c>
      <c r="E5" s="5">
        <v>50</v>
      </c>
    </row>
    <row r="6" spans="1:5" x14ac:dyDescent="0.25">
      <c r="A6" t="s">
        <v>186</v>
      </c>
      <c r="B6" s="5">
        <v>25</v>
      </c>
      <c r="C6" s="5">
        <f>B6+'Operating Statement'!C35</f>
      </c>
      <c r="D6" s="5">
        <f>C6+'Operating Statement'!D35</f>
      </c>
      <c r="E6" s="5">
        <f>D6+'Operating Statement'!E35</f>
      </c>
    </row>
    <row r="7" spans="1:5" s="2" customFormat="1" x14ac:dyDescent="0.25">
      <c r="A7" s="2" t="s">
        <v>187</v>
      </c>
      <c r="B7" s="7">
        <f>B5+B6</f>
      </c>
      <c r="C7" s="7">
        <f>C5+C6</f>
      </c>
      <c r="D7" s="7">
        <f>D5+D6</f>
      </c>
      <c r="E7" s="7">
        <f>E5+E6</f>
      </c>
    </row>
    <row r="8" spans="1:5" x14ac:dyDescent="0.25">
      <c r="A8" t="s">
        <v>188</v>
      </c>
      <c r="B8" s="5">
        <v>0</v>
      </c>
      <c r="C8" s="5">
        <f>Assumptions!$B$16-SUMIF('Loan Schedule'!C:C,"&lt;="&amp;1,'Loan Schedule'!G:G)</f>
      </c>
      <c r="D8" s="5">
        <f>Assumptions!$B$16-SUMIF('Loan Schedule'!C:C,"&lt;="&amp;2,'Loan Schedule'!G:G)</f>
      </c>
      <c r="E8" s="5">
        <f>Assumptions!$B$16-SUMIF('Loan Schedule'!C:C,"&lt;="&amp;3,'Loan Schedule'!G:G)</f>
      </c>
    </row>
    <row r="9" spans="1:5" x14ac:dyDescent="0.25">
      <c r="A9" t="s">
        <v>189</v>
      </c>
      <c r="B9" s="5">
        <v>0</v>
      </c>
      <c r="C9" s="5">
        <f>SUMIF('Loan Schedule'!C:C,2,'Loan Schedule'!G:G)</f>
      </c>
      <c r="D9" s="5">
        <f>SUMIF('Loan Schedule'!C:C,3,'Loan Schedule'!G:G)</f>
      </c>
      <c r="E9" s="5">
        <f>SUMIF('Loan Schedule'!C:C,4,'Loan Schedule'!G:G)</f>
      </c>
    </row>
    <row r="10" spans="1:5" x14ac:dyDescent="0.25">
      <c r="A10" t="s">
        <v>190</v>
      </c>
      <c r="B10" s="5">
        <v>35</v>
      </c>
      <c r="C10" s="5">
        <f>Assumptions!$B$13</f>
      </c>
      <c r="D10" s="5">
        <f>Assumptions!$B$13</f>
      </c>
      <c r="E10" s="5">
        <f>Assumptions!$B$13</f>
      </c>
    </row>
    <row r="11" spans="1:5" x14ac:dyDescent="0.25">
      <c r="A11" t="s">
        <v>191</v>
      </c>
      <c r="B11" s="5">
        <v>5</v>
      </c>
      <c r="C11" s="5">
        <v>5</v>
      </c>
      <c r="D11" s="5">
        <v>5</v>
      </c>
      <c r="E11" s="5">
        <v>5</v>
      </c>
    </row>
    <row r="12" spans="1:5" x14ac:dyDescent="0.25">
      <c r="A12" t="s">
        <v>192</v>
      </c>
      <c r="B12" s="5">
        <v>18</v>
      </c>
      <c r="C12" s="5">
        <f>'Operating Statement'!C9/365*Assumptions!$B$9</f>
      </c>
      <c r="D12" s="5">
        <f>'Operating Statement'!D9/365*Assumptions!$B$9</f>
      </c>
      <c r="E12" s="5">
        <f>'Operating Statement'!E9/365*Assumptions!$B$9</f>
      </c>
    </row>
    <row r="13" spans="1:5" x14ac:dyDescent="0.25">
      <c r="A13" t="s">
        <v>193</v>
      </c>
      <c r="B13" s="5">
        <v>6</v>
      </c>
      <c r="C13" s="5">
        <f>B13*1.05</f>
      </c>
      <c r="D13" s="5">
        <f>C13*1.05</f>
      </c>
      <c r="E13" s="5">
        <f>D13*1.05</f>
      </c>
    </row>
    <row r="14" spans="1:5" x14ac:dyDescent="0.25">
      <c r="A14" t="s">
        <v>194</v>
      </c>
      <c r="B14" s="5">
        <v>3</v>
      </c>
      <c r="C14" s="5">
        <f>B14*1.05</f>
      </c>
      <c r="D14" s="5">
        <f>C14*1.05</f>
      </c>
      <c r="E14" s="5">
        <f>D14*1.05</f>
      </c>
    </row>
    <row r="15" spans="1:5" s="2" customFormat="1" x14ac:dyDescent="0.25">
      <c r="A15" s="2" t="s">
        <v>195</v>
      </c>
      <c r="B15" s="7">
        <f>B5+B6+B8+B10+B11+B12+B13+B14</f>
      </c>
      <c r="C15" s="7">
        <f>C5+C6+C8+C10+C11+C12+C13+C14</f>
      </c>
      <c r="D15" s="7">
        <f>D5+D6+D8+D10+D11+D12+D13+D14</f>
      </c>
      <c r="E15" s="7">
        <f>E5+E6+E8+E10+E11+E12+E13+E14</f>
      </c>
    </row>
    <row r="16" spans="1:1" s="8" customFormat="1" x14ac:dyDescent="0.25">
      <c r="A16" s="8" t="s">
        <v>196</v>
      </c>
    </row>
    <row r="17" spans="1:5" x14ac:dyDescent="0.25">
      <c r="A17" t="s">
        <v>197</v>
      </c>
      <c r="B17" s="5">
        <v>72.5</v>
      </c>
      <c r="C17" s="5">
        <f>Depreciation!C28</f>
      </c>
      <c r="D17" s="5">
        <f>Depreciation!D28</f>
      </c>
      <c r="E17" s="5">
        <f>Depreciation!E28</f>
      </c>
    </row>
    <row r="18" spans="1:5" x14ac:dyDescent="0.25">
      <c r="A18" t="s">
        <v>198</v>
      </c>
      <c r="B18" s="5">
        <v>3.5</v>
      </c>
      <c r="C18" s="5">
        <v>3.5</v>
      </c>
      <c r="D18" s="5">
        <v>3.5</v>
      </c>
      <c r="E18" s="5">
        <v>3.5</v>
      </c>
    </row>
    <row r="19" spans="1:5" x14ac:dyDescent="0.25">
      <c r="A19" t="s">
        <v>199</v>
      </c>
      <c r="B19" s="5">
        <v>0</v>
      </c>
      <c r="C19" s="5">
        <v>0</v>
      </c>
      <c r="D19" s="5">
        <v>0</v>
      </c>
      <c r="E19" s="5">
        <v>0</v>
      </c>
    </row>
    <row r="20" spans="1:5" x14ac:dyDescent="0.25">
      <c r="A20" t="s">
        <v>200</v>
      </c>
      <c r="B20" s="5">
        <v>10</v>
      </c>
      <c r="C20" s="5">
        <f>'Operating Statement'!C10</f>
      </c>
      <c r="D20" s="5">
        <f>'Operating Statement'!D10</f>
      </c>
      <c r="E20" s="5">
        <f>'Operating Statement'!E10</f>
      </c>
    </row>
    <row r="21" spans="1:5" x14ac:dyDescent="0.25">
      <c r="A21" t="s">
        <v>201</v>
      </c>
      <c r="B21" s="5">
        <v>42</v>
      </c>
      <c r="C21" s="5">
        <f>'Operating Statement'!C5/365*Assumptions!$B$8</f>
      </c>
      <c r="D21" s="5">
        <f>'Operating Statement'!D5/365*Assumptions!$B$8</f>
      </c>
      <c r="E21" s="5">
        <f>'Operating Statement'!E5/365*Assumptions!$B$8</f>
      </c>
    </row>
    <row r="22" spans="1:5" x14ac:dyDescent="0.25">
      <c r="A22" t="s">
        <v>202</v>
      </c>
      <c r="B22" s="5">
        <v>8</v>
      </c>
      <c r="C22" s="5">
        <f>C15-(C17+C18+C19+C20+C21+C23+C24)</f>
      </c>
      <c r="D22" s="5">
        <f>D15-(D17+D18+D19+D20+D21+D23+D24)</f>
      </c>
      <c r="E22" s="5">
        <f>E15-(E17+E18+E19+E20+E21+E23+E24)</f>
      </c>
    </row>
    <row r="23" spans="1:5" x14ac:dyDescent="0.25">
      <c r="A23" t="s">
        <v>203</v>
      </c>
      <c r="B23" s="5">
        <v>2</v>
      </c>
      <c r="C23" s="5">
        <v>2</v>
      </c>
      <c r="D23" s="5">
        <v>2</v>
      </c>
      <c r="E23" s="5">
        <v>2</v>
      </c>
    </row>
    <row r="24" spans="1:5" x14ac:dyDescent="0.25">
      <c r="A24" t="s">
        <v>204</v>
      </c>
      <c r="B24" s="5">
        <v>4</v>
      </c>
      <c r="C24" s="5">
        <v>4</v>
      </c>
      <c r="D24" s="5">
        <v>4</v>
      </c>
      <c r="E24" s="5">
        <v>4</v>
      </c>
    </row>
    <row r="25" spans="1:5" s="2" customFormat="1" x14ac:dyDescent="0.25">
      <c r="A25" s="2" t="s">
        <v>205</v>
      </c>
      <c r="B25" s="7">
        <f>SUM(B17:B24)</f>
      </c>
      <c r="C25" s="7">
        <f>SUM(C17:C24)</f>
      </c>
      <c r="D25" s="7">
        <f>SUM(D17:D24)</f>
      </c>
      <c r="E25" s="7">
        <f>SUM(E17:E24)</f>
      </c>
    </row>
    <row r="26" spans="1:5" x14ac:dyDescent="0.25">
      <c r="A26" t="s">
        <v>206</v>
      </c>
      <c r="B26" s="5">
        <f>B15-B25</f>
      </c>
      <c r="C26" s="5">
        <f>C15-C25</f>
      </c>
      <c r="D26" s="5">
        <f>D15-D25</f>
      </c>
      <c r="E26" s="5">
        <f>E15-E25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4" customWidth="1"/>
    <col min="2" max="5" width="13" customWidth="1"/>
  </cols>
  <sheetData>
    <row r="1" spans="1:1" x14ac:dyDescent="0.25">
      <c r="A1" s="6" t="s">
        <v>207</v>
      </c>
    </row>
    <row r="3" spans="1:5" s="3" customFormat="1" x14ac:dyDescent="0.25">
      <c r="A3" s="4" t="s">
        <v>208</v>
      </c>
      <c r="B3" s="4" t="s">
        <v>126</v>
      </c>
      <c r="C3" s="4" t="s">
        <v>127</v>
      </c>
      <c r="D3" s="4" t="s">
        <v>128</v>
      </c>
      <c r="E3" s="4" t="s">
        <v>129</v>
      </c>
    </row>
    <row r="4" spans="1:5" x14ac:dyDescent="0.25">
      <c r="A4" t="s">
        <v>209</v>
      </c>
      <c r="B4" s="5">
        <f>IF(('Balance Sheet'!B10+'Balance Sheet'!B12+'Balance Sheet'!B13+'Balance Sheet'!B9+'Balance Sheet'!B14)=0,0,('Balance Sheet'!B20+'Balance Sheet'!B21+'Balance Sheet'!B22+'Balance Sheet'!B23+'Balance Sheet'!B24)/('Balance Sheet'!B10+'Balance Sheet'!B12+'Balance Sheet'!B13+'Balance Sheet'!B9+'Balance Sheet'!B14))</f>
      </c>
      <c r="C4" s="5">
        <f>IF(('Balance Sheet'!C10+'Balance Sheet'!C12+'Balance Sheet'!C13+'Balance Sheet'!C9+'Balance Sheet'!C14)=0,0,('Balance Sheet'!C20+'Balance Sheet'!C21+'Balance Sheet'!C22+'Balance Sheet'!C23+'Balance Sheet'!C24)/('Balance Sheet'!C10+'Balance Sheet'!C12+'Balance Sheet'!C13+'Balance Sheet'!C9+'Balance Sheet'!C14))</f>
      </c>
      <c r="D4" s="5">
        <f>IF(('Balance Sheet'!D10+'Balance Sheet'!D12+'Balance Sheet'!D13+'Balance Sheet'!D9+'Balance Sheet'!D14)=0,0,('Balance Sheet'!D20+'Balance Sheet'!D21+'Balance Sheet'!D22+'Balance Sheet'!D23+'Balance Sheet'!D24)/('Balance Sheet'!D10+'Balance Sheet'!D12+'Balance Sheet'!D13+'Balance Sheet'!D9+'Balance Sheet'!D14))</f>
      </c>
      <c r="E4" s="5">
        <f>IF(('Balance Sheet'!E10+'Balance Sheet'!E12+'Balance Sheet'!E13+'Balance Sheet'!E9+'Balance Sheet'!E14)=0,0,('Balance Sheet'!E20+'Balance Sheet'!E21+'Balance Sheet'!E22+'Balance Sheet'!E23+'Balance Sheet'!E24)/('Balance Sheet'!E10+'Balance Sheet'!E12+'Balance Sheet'!E13+'Balance Sheet'!E9+'Balance Sheet'!E14))</f>
      </c>
    </row>
    <row r="5" spans="1:5" x14ac:dyDescent="0.25">
      <c r="A5" t="s">
        <v>210</v>
      </c>
      <c r="B5" s="5">
        <f>IF(('Operating Statement'!B29+SUMIF('Loan Schedule'!C:C,0,'Loan Schedule'!G:G))=0,0,('Operating Statement'!B33+'Operating Statement'!B27+'Operating Statement'!B29)/('Operating Statement'!B29+SUMIF('Loan Schedule'!C:C,0,'Loan Schedule'!G:G)))</f>
      </c>
      <c r="C5" s="5">
        <f>IF(('Operating Statement'!C29+SUMIF('Loan Schedule'!C:C,1,'Loan Schedule'!G:G))=0,0,('Operating Statement'!C33+'Operating Statement'!C27+'Operating Statement'!C29)/('Operating Statement'!C29+SUMIF('Loan Schedule'!C:C,1,'Loan Schedule'!G:G)))</f>
      </c>
      <c r="D5" s="5">
        <f>IF(('Operating Statement'!D29+SUMIF('Loan Schedule'!C:C,2,'Loan Schedule'!G:G))=0,0,('Operating Statement'!D33+'Operating Statement'!D27+'Operating Statement'!D29)/('Operating Statement'!D29+SUMIF('Loan Schedule'!C:C,2,'Loan Schedule'!G:G)))</f>
      </c>
      <c r="E5" s="5">
        <f>IF(('Operating Statement'!E29+SUMIF('Loan Schedule'!C:C,3,'Loan Schedule'!G:G))=0,0,('Operating Statement'!E33+'Operating Statement'!E27+'Operating Statement'!E29)/('Operating Statement'!E29+SUMIF('Loan Schedule'!C:C,3,'Loan Schedule'!G:G)))</f>
      </c>
    </row>
    <row r="6" spans="1:5" x14ac:dyDescent="0.25">
      <c r="A6" t="s">
        <v>211</v>
      </c>
      <c r="B6" s="5">
        <f>IF('Balance Sheet'!B7=0,0,('Balance Sheet'!B8-'Balance Sheet'!B9+'Balance Sheet'!B11)/'Balance Sheet'!B7)</f>
      </c>
      <c r="C6" s="5">
        <f>IF('Balance Sheet'!C7=0,0,('Balance Sheet'!C8-'Balance Sheet'!C9+'Balance Sheet'!C11)/'Balance Sheet'!C7)</f>
      </c>
      <c r="D6" s="5">
        <f>IF('Balance Sheet'!D7=0,0,('Balance Sheet'!D8-'Balance Sheet'!D9+'Balance Sheet'!D11)/'Balance Sheet'!D7)</f>
      </c>
      <c r="E6" s="5">
        <f>IF('Balance Sheet'!E7=0,0,('Balance Sheet'!E8-'Balance Sheet'!E9+'Balance Sheet'!E11)/'Balance Sheet'!E7)</f>
      </c>
    </row>
    <row r="7" spans="1:5" x14ac:dyDescent="0.25">
      <c r="A7" t="s">
        <v>212</v>
      </c>
      <c r="B7" s="5">
        <f>IF('Balance Sheet'!B7=0,0,('Balance Sheet'!B15-'Balance Sheet'!B7)/'Balance Sheet'!B7)</f>
      </c>
      <c r="C7" s="5">
        <f>IF('Balance Sheet'!C7=0,0,('Balance Sheet'!C15-'Balance Sheet'!C7)/'Balance Sheet'!C7)</f>
      </c>
      <c r="D7" s="5">
        <f>IF('Balance Sheet'!D7=0,0,('Balance Sheet'!D15-'Balance Sheet'!D7)/'Balance Sheet'!D7)</f>
      </c>
      <c r="E7" s="5">
        <f>IF('Balance Sheet'!E7=0,0,('Balance Sheet'!E15-'Balance Sheet'!E7)/'Balance Sheet'!E7)</f>
      </c>
    </row>
    <row r="8" spans="1:5" x14ac:dyDescent="0.25">
      <c r="A8" t="s">
        <v>213</v>
      </c>
      <c r="B8" s="5">
        <f>IF(('Operating Statement'!B28+'Operating Statement'!B29+'Operating Statement'!B30)=0,0,('Operating Statement'!B31+('Operating Statement'!B28+'Operating Statement'!B29+'Operating Statement'!B30))/('Operating Statement'!B28+'Operating Statement'!B29+'Operating Statement'!B30))</f>
      </c>
      <c r="C8" s="5">
        <f>IF(('Operating Statement'!C28+'Operating Statement'!C29+'Operating Statement'!C30)=0,0,('Operating Statement'!C31+('Operating Statement'!C28+'Operating Statement'!C29+'Operating Statement'!C30))/('Operating Statement'!C28+'Operating Statement'!C29+'Operating Statement'!C30))</f>
      </c>
      <c r="D8" s="5">
        <f>IF(('Operating Statement'!D28+'Operating Statement'!D29+'Operating Statement'!D30)=0,0,('Operating Statement'!D31+('Operating Statement'!D28+'Operating Statement'!D29+'Operating Statement'!D30))/('Operating Statement'!D28+'Operating Statement'!D29+'Operating Statement'!D30))</f>
      </c>
      <c r="E8" s="5">
        <f>IF(('Operating Statement'!E28+'Operating Statement'!E29+'Operating Statement'!E30)=0,0,('Operating Statement'!E31+('Operating Statement'!E28+'Operating Statement'!E29+'Operating Statement'!E30))/('Operating Statement'!E28+'Operating Statement'!E29+'Operating Statement'!E30))</f>
      </c>
    </row>
    <row r="9" spans="1:5" x14ac:dyDescent="0.25">
      <c r="A9" t="s">
        <v>214</v>
      </c>
      <c r="B9" s="5">
        <f>IF('Operating Statement'!B5=0,0,'Operating Statement'!B33/'Operating Statement'!B5*100)</f>
      </c>
      <c r="C9" s="5">
        <f>IF('Operating Statement'!C5=0,0,'Operating Statement'!C33/'Operating Statement'!C5*100)</f>
      </c>
      <c r="D9" s="5">
        <f>IF('Operating Statement'!D5=0,0,'Operating Statement'!D33/'Operating Statement'!D5*100)</f>
      </c>
      <c r="E9" s="5">
        <f>IF('Operating Statement'!E5=0,0,'Operating Statement'!E33/'Operating Statement'!E5*100)</f>
      </c>
    </row>
    <row r="10" spans="1:5" x14ac:dyDescent="0.25">
      <c r="A10" t="s">
        <v>215</v>
      </c>
      <c r="B10" s="5">
        <f>IF(('Balance Sheet'!B7+'Balance Sheet'!B8)=0,0,'Operating Statement'!B33/('Balance Sheet'!B7+'Balance Sheet'!B8)*100)</f>
      </c>
      <c r="C10" s="5">
        <f>IF(('Balance Sheet'!C7+'Balance Sheet'!C8)=0,0,'Operating Statement'!C33/('Balance Sheet'!C7+'Balance Sheet'!C8)*100)</f>
      </c>
      <c r="D10" s="5">
        <f>IF(('Balance Sheet'!D7+'Balance Sheet'!D8)=0,0,'Operating Statement'!D33/('Balance Sheet'!D7+'Balance Sheet'!D8)*100)</f>
      </c>
      <c r="E10" s="5">
        <f>IF(('Balance Sheet'!E7+'Balance Sheet'!E8)=0,0,'Operating Statement'!E33/('Balance Sheet'!E7+'Balance Sheet'!E8)*100)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44" customWidth="1"/>
    <col min="2" max="5" width="14" customWidth="1"/>
  </cols>
  <sheetData>
    <row r="1" spans="1:1" x14ac:dyDescent="0.25">
      <c r="A1" s="6" t="s">
        <v>216</v>
      </c>
    </row>
    <row r="3" spans="1:5" s="3" customFormat="1" x14ac:dyDescent="0.25">
      <c r="A3" s="4" t="s">
        <v>158</v>
      </c>
      <c r="B3" s="4" t="s">
        <v>126</v>
      </c>
      <c r="C3" s="4" t="s">
        <v>127</v>
      </c>
      <c r="D3" s="4" t="s">
        <v>128</v>
      </c>
      <c r="E3" s="4" t="s">
        <v>129</v>
      </c>
    </row>
    <row r="4" spans="1:1" s="8" customFormat="1" x14ac:dyDescent="0.25">
      <c r="A4" s="8" t="s">
        <v>217</v>
      </c>
    </row>
    <row r="5" spans="1:5" x14ac:dyDescent="0.25">
      <c r="A5" t="s">
        <v>218</v>
      </c>
      <c r="B5" s="5">
        <f>('Balance Sheet'!B20+'Balance Sheet'!B21+'Balance Sheet'!B22+'Balance Sheet'!B23+'Balance Sheet'!B24)</f>
      </c>
      <c r="C5" s="5">
        <f>('Balance Sheet'!C20+'Balance Sheet'!C21+'Balance Sheet'!C22+'Balance Sheet'!C23+'Balance Sheet'!C24)</f>
      </c>
      <c r="D5" s="5">
        <f>('Balance Sheet'!D20+'Balance Sheet'!D21+'Balance Sheet'!D22+'Balance Sheet'!D23+'Balance Sheet'!D24)</f>
      </c>
      <c r="E5" s="5">
        <f>('Balance Sheet'!E20+'Balance Sheet'!E21+'Balance Sheet'!E22+'Balance Sheet'!E23+'Balance Sheet'!E24)</f>
      </c>
    </row>
    <row r="6" spans="1:5" x14ac:dyDescent="0.25">
      <c r="A6" t="s">
        <v>219</v>
      </c>
      <c r="B6" s="5">
        <f>('Balance Sheet'!B12+'Balance Sheet'!B13)</f>
      </c>
      <c r="C6" s="5">
        <f>('Balance Sheet'!C12+'Balance Sheet'!C13)</f>
      </c>
      <c r="D6" s="5">
        <f>('Balance Sheet'!D12+'Balance Sheet'!D13)</f>
      </c>
      <c r="E6" s="5">
        <f>('Balance Sheet'!E12+'Balance Sheet'!E13)</f>
      </c>
    </row>
    <row r="7" spans="1:5" s="2" customFormat="1" x14ac:dyDescent="0.25">
      <c r="A7" s="2" t="s">
        <v>220</v>
      </c>
      <c r="B7" s="7">
        <f>('Balance Sheet'!B20+'Balance Sheet'!B21+'Balance Sheet'!B22+'Balance Sheet'!B23+'Balance Sheet'!B24)-('Balance Sheet'!B12+'Balance Sheet'!B13)</f>
      </c>
      <c r="C7" s="7">
        <f>('Balance Sheet'!C20+'Balance Sheet'!C21+'Balance Sheet'!C22+'Balance Sheet'!C23+'Balance Sheet'!C24)-('Balance Sheet'!C12+'Balance Sheet'!C13)</f>
      </c>
      <c r="D7" s="7">
        <f>('Balance Sheet'!D20+'Balance Sheet'!D21+'Balance Sheet'!D22+'Balance Sheet'!D23+'Balance Sheet'!D24)-('Balance Sheet'!D12+'Balance Sheet'!D13)</f>
      </c>
      <c r="E7" s="7">
        <f>('Balance Sheet'!E20+'Balance Sheet'!E21+'Balance Sheet'!E22+'Balance Sheet'!E23+'Balance Sheet'!E24)-('Balance Sheet'!E12+'Balance Sheet'!E13)</f>
      </c>
    </row>
    <row r="8" spans="1:5" x14ac:dyDescent="0.25">
      <c r="A8" t="s">
        <v>221</v>
      </c>
      <c r="B8" s="5">
        <f>0.25*('Balance Sheet'!B20+'Balance Sheet'!B21+'Balance Sheet'!B22+'Balance Sheet'!B23+'Balance Sheet'!B24)</f>
      </c>
      <c r="C8" s="5">
        <f>0.25*('Balance Sheet'!C20+'Balance Sheet'!C21+'Balance Sheet'!C22+'Balance Sheet'!C23+'Balance Sheet'!C24)</f>
      </c>
      <c r="D8" s="5">
        <f>0.25*('Balance Sheet'!D20+'Balance Sheet'!D21+'Balance Sheet'!D22+'Balance Sheet'!D23+'Balance Sheet'!D24)</f>
      </c>
      <c r="E8" s="5">
        <f>0.25*('Balance Sheet'!E20+'Balance Sheet'!E21+'Balance Sheet'!E22+'Balance Sheet'!E23+'Balance Sheet'!E24)</f>
      </c>
    </row>
    <row r="9" spans="1:5" s="2" customFormat="1" x14ac:dyDescent="0.25">
      <c r="A9" s="2" t="s">
        <v>222</v>
      </c>
      <c r="B9" s="7">
        <f>MAX(0,0.75*('Balance Sheet'!B20+'Balance Sheet'!B21+'Balance Sheet'!B22+'Balance Sheet'!B23+'Balance Sheet'!B24)-('Balance Sheet'!B12+'Balance Sheet'!B13))</f>
      </c>
      <c r="C9" s="7">
        <f>MAX(0,0.75*('Balance Sheet'!C20+'Balance Sheet'!C21+'Balance Sheet'!C22+'Balance Sheet'!C23+'Balance Sheet'!C24)-('Balance Sheet'!C12+'Balance Sheet'!C13))</f>
      </c>
      <c r="D9" s="7">
        <f>MAX(0,0.75*('Balance Sheet'!D20+'Balance Sheet'!D21+'Balance Sheet'!D22+'Balance Sheet'!D23+'Balance Sheet'!D24)-('Balance Sheet'!D12+'Balance Sheet'!D13))</f>
      </c>
      <c r="E9" s="7">
        <f>MAX(0,0.75*('Balance Sheet'!E20+'Balance Sheet'!E21+'Balance Sheet'!E22+'Balance Sheet'!E23+'Balance Sheet'!E24)-('Balance Sheet'!E12+'Balance Sheet'!E13))</f>
      </c>
    </row>
    <row r="10" spans="1:1" s="8" customFormat="1" x14ac:dyDescent="0.25">
      <c r="A10" s="8" t="s">
        <v>223</v>
      </c>
    </row>
    <row r="11" spans="1:5" x14ac:dyDescent="0.25">
      <c r="A11" t="s">
        <v>224</v>
      </c>
      <c r="B11" s="5">
        <f>'Operating Statement'!B5</f>
      </c>
      <c r="C11" s="5">
        <f>'Operating Statement'!C5</f>
      </c>
      <c r="D11" s="5">
        <f>'Operating Statement'!D5</f>
      </c>
      <c r="E11" s="5">
        <f>'Operating Statement'!E5</f>
      </c>
    </row>
    <row r="12" spans="1:5" x14ac:dyDescent="0.25">
      <c r="A12" t="s">
        <v>225</v>
      </c>
      <c r="B12" s="5">
        <f>0.25*'Operating Statement'!B5</f>
      </c>
      <c r="C12" s="5">
        <f>0.25*'Operating Statement'!C5</f>
      </c>
      <c r="D12" s="5">
        <f>0.25*'Operating Statement'!D5</f>
      </c>
      <c r="E12" s="5">
        <f>0.25*'Operating Statement'!E5</f>
      </c>
    </row>
    <row r="13" spans="1:5" x14ac:dyDescent="0.25">
      <c r="A13" t="s">
        <v>226</v>
      </c>
      <c r="B13" s="5">
        <f>0.05*'Operating Statement'!B5</f>
      </c>
      <c r="C13" s="5">
        <f>0.05*'Operating Statement'!C5</f>
      </c>
      <c r="D13" s="5">
        <f>0.05*'Operating Statement'!D5</f>
      </c>
      <c r="E13" s="5">
        <f>0.05*'Operating Statement'!E5</f>
      </c>
    </row>
    <row r="14" spans="1:5" s="2" customFormat="1" x14ac:dyDescent="0.25">
      <c r="A14" s="2" t="s">
        <v>227</v>
      </c>
      <c r="B14" s="7">
        <f>0.2*'Operating Statement'!B5</f>
      </c>
      <c r="C14" s="7">
        <f>0.2*'Operating Statement'!C5</f>
      </c>
      <c r="D14" s="7">
        <f>0.2*'Operating Statement'!D5</f>
      </c>
      <c r="E14" s="7">
        <f>0.2*'Operating Statement'!E5</f>
      </c>
    </row>
    <row r="15" spans="1:1" s="8" customFormat="1" x14ac:dyDescent="0.25">
      <c r="A15" s="8" t="s">
        <v>228</v>
      </c>
    </row>
    <row r="16" spans="1:5" x14ac:dyDescent="0.25">
      <c r="A16" t="s">
        <v>229</v>
      </c>
      <c r="B16" s="5">
        <f>'Balance Sheet'!B20*(1-25/100)</f>
      </c>
      <c r="C16" s="5">
        <f>'Balance Sheet'!C20*(1-25/100)</f>
      </c>
      <c r="D16" s="5">
        <f>'Balance Sheet'!D20*(1-25/100)</f>
      </c>
      <c r="E16" s="5">
        <f>'Balance Sheet'!E20*(1-25/100)</f>
      </c>
    </row>
    <row r="17" spans="1:5" x14ac:dyDescent="0.25">
      <c r="A17" t="s">
        <v>230</v>
      </c>
      <c r="B17" s="5">
        <f>MIN('Balance Sheet'!B21,'Operating Statement'!B5/365*90)*(1-40/100)</f>
      </c>
      <c r="C17" s="5">
        <f>MIN('Balance Sheet'!C21,'Operating Statement'!C5/365*90)*(1-40/100)</f>
      </c>
      <c r="D17" s="5">
        <f>MIN('Balance Sheet'!D21,'Operating Statement'!D5/365*90)*(1-40/100)</f>
      </c>
      <c r="E17" s="5">
        <f>MIN('Balance Sheet'!E21,'Operating Statement'!E5/365*90)*(1-40/100)</f>
      </c>
    </row>
    <row r="18" spans="1:5" s="2" customFormat="1" x14ac:dyDescent="0.25">
      <c r="A18" s="2" t="s">
        <v>231</v>
      </c>
      <c r="B18" s="7">
        <f>'Balance Sheet'!B20*(1-25/100)+MIN('Balance Sheet'!B21,'Operating Statement'!B5/365*90)*(1-40/100)</f>
      </c>
      <c r="C18" s="7">
        <f>'Balance Sheet'!C20*(1-25/100)+MIN('Balance Sheet'!C21,'Operating Statement'!C5/365*90)*(1-40/100)</f>
      </c>
      <c r="D18" s="7">
        <f>'Balance Sheet'!D20*(1-25/100)+MIN('Balance Sheet'!D21,'Operating Statement'!D5/365*90)*(1-40/100)</f>
      </c>
      <c r="E18" s="7">
        <f>'Balance Sheet'!E20*(1-25/100)+MIN('Balance Sheet'!E21,'Operating Statement'!E5/365*90)*(1-40/100)</f>
      </c>
    </row>
    <row r="19" spans="1:5" x14ac:dyDescent="0.25">
      <c r="A19" t="s">
        <v>232</v>
      </c>
      <c r="B19" s="5">
        <f>'Balance Sheet'!B10</f>
      </c>
      <c r="C19" s="5">
        <f>'Balance Sheet'!C10</f>
      </c>
      <c r="D19" s="5">
        <f>'Balance Sheet'!D10</f>
      </c>
      <c r="E19" s="5">
        <f>'Balance Sheet'!E10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Loan Schedule</vt:lpstr>
      <vt:lpstr>Depreciation</vt:lpstr>
      <vt:lpstr>Operating Statement</vt:lpstr>
      <vt:lpstr>Balance Sheet</vt:lpstr>
      <vt:lpstr>Ratio Analysis</vt:lpstr>
      <vt:lpstr>MPBF &amp; DP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 Pro Builder</dc:creator>
  <dc:title/>
  <dc:subject/>
  <dc:description/>
  <cp:keywords/>
  <cp:category/>
  <cp:lastModifiedBy>Unknown</cp:lastModifiedBy>
  <dcterms:created xsi:type="dcterms:W3CDTF">2026-08-16T13:35:34Z</dcterms:created>
  <dcterms:modified xsi:type="dcterms:W3CDTF">2026-08-16T13:35:34Z</dcterms:modified>
</cp:coreProperties>
</file>