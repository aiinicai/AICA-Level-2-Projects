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FPA" sheetId="1" state="visible" r:id="rId3"/>
    <sheet name="P&amp;L Monthly" sheetId="2" state="visible" r:id="rId4"/>
    <sheet name="Budget FY27" sheetId="3" state="visible" r:id="rId5"/>
    <sheet name="BS_MonthEnd" sheetId="4" state="visible" r:id="rId6"/>
    <sheet name="Cash Flow" sheetId="5" state="visible" r:id="rId7"/>
    <sheet name="Sales Register" sheetId="6" state="visible" r:id="rId8"/>
    <sheet name="AR Ageing" sheetId="7" state="visible" r:id="rId9"/>
    <sheet name="AP Ageing" sheetId="8" state="visible" r:id="rId10"/>
    <sheet name="Headcount" sheetId="9" state="visible" r:id="rId11"/>
    <sheet name="KPI Scorecard" sheetId="10" state="visible" r:id="rId12"/>
    <sheet name="Debt &amp; Covenants" sheetId="11" state="visible" r:id="rId13"/>
    <sheet name="Capex Tracker" sheetId="12" state="visible" r:id="rId14"/>
    <sheet name="Compliance" sheetId="13" state="visible" r:id="rId15"/>
    <sheet name="Forex" sheetId="14" state="visible" r:id="rId16"/>
    <sheet name="Plant Ops" sheetId="15" state="visible" r:id="rId17"/>
    <sheet name="Sheet1" sheetId="16" state="visible" r:id="rId18"/>
    <sheet name="Old_PL_v2" sheetId="17" state="hidden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<sst xmlns="http://schemas.openxmlformats.org/spreadsheetml/2006/main" count="5582" uniqueCount="2039">
  <si>
    <t xml:space="preserve">Bharat Precision Components Pvt. Ltd. - Monthly MIS Pack</t>
  </si>
  <si>
    <t xml:space="preserve">Period covered: Apr-2025 to Aug-2026 (FY 2025-26 full year + FY 2026-27 YTD)   |   Registered office: Andheri (E), Mumbai 400093</t>
  </si>
  <si>
    <t xml:space="preserve">Prepared by: FP&amp;A team   |   Version: v7_FINAL_revised2_(use this)   |   Status: DRAFT - for CFO review</t>
  </si>
  <si>
    <t xml:space="preserve">Notes from FP&amp;A (please read before using):</t>
  </si>
  <si>
    <t xml:space="preserve">1. Amounts are in Rs. Lakhs unless stated otherwise. Budget sheet is in Rs. CRORES. Ageing sheets are in full Rupees.</t>
  </si>
  <si>
    <t xml:space="preserve">2. Aug-26 figures are PROVISIONAL - closing entries (forex revaluation, bonus provision) still pending.</t>
  </si>
  <si>
    <t xml:space="preserve">3. Sheet 'Old_PL_v2' is hidden and stale - do NOT use. 'Sheet1' is my scratch work.</t>
  </si>
  <si>
    <t xml:space="preserve">4. Sales Register is only an extract of invoices &gt;= Rs. 25 Lakhs; it will not tie to the P&amp;L revenue.</t>
  </si>
  <si>
    <t xml:space="preserve">5. Cash Flow sheet shows outflows in brackets. Some cells are text because of the Tally export.</t>
  </si>
  <si>
    <t xml:space="preserve">6. EBITDA is shown excluding Other Income. Tax is provided at 25.17% (new regime, s.115BAA).</t>
  </si>
  <si>
    <t xml:space="preserve">7. Plants: Pune (Chakan) - castings; Chennai (Oragadam) - valves &amp; machining; Rajkot - machining &amp; aftermarket.</t>
  </si>
  <si>
    <t xml:space="preserve">8. Financial year runs April-March. Q1 = Apr-Jun, Q2 = Jul-Sep, Q3 = Oct-Dec, Q4 = Jan-Mar.</t>
  </si>
  <si>
    <t xml:space="preserve">Contacts: fpa@bharatprecision.example  |  Sr. Manager FP&amp;A: Neha Kulkarni  |  Controller: Rajesh Iyer</t>
  </si>
  <si>
    <t xml:space="preserve">Pending: update forex spot rates; confirm capex numbers with plant heads; Rajkot solar project status</t>
  </si>
  <si>
    <t xml:space="preserve">BHARAT PRECISION COMPONENTS PVT. LTD.</t>
  </si>
  <si>
    <t xml:space="preserve">Statement of Profit &amp; Loss - Management Accounts (Unaudited)</t>
  </si>
  <si>
    <t xml:space="preserve">(Rs. in Lakhs)</t>
  </si>
  <si>
    <t xml:space="preserve">Source: Tally Prime export + manual adjustments</t>
  </si>
  <si>
    <t xml:space="preserve">FY 2025-26 (Actual)</t>
  </si>
  <si>
    <t xml:space="preserve">FY 2026-27 (Actual - Provisional)</t>
  </si>
  <si>
    <t xml:space="preserve">Particulars</t>
  </si>
  <si>
    <t xml:space="preserve">May'25</t>
  </si>
  <si>
    <t xml:space="preserve">Jun 2025</t>
  </si>
  <si>
    <t xml:space="preserve">Aug 25</t>
  </si>
  <si>
    <t xml:space="preserve">Oct'25</t>
  </si>
  <si>
    <t xml:space="preserve">Nov 2025</t>
  </si>
  <si>
    <t xml:space="preserve">Jan 26</t>
  </si>
  <si>
    <t xml:space="preserve">Mar'26</t>
  </si>
  <si>
    <t xml:space="preserve">FY26 Total</t>
  </si>
  <si>
    <t xml:space="preserve">Apr 2026</t>
  </si>
  <si>
    <t xml:space="preserve">Jun 26</t>
  </si>
  <si>
    <t xml:space="preserve">Aug'26</t>
  </si>
  <si>
    <t xml:space="preserve">YTD FY27 (Apr-Aug)</t>
  </si>
  <si>
    <t xml:space="preserve">YTD FY26 (Apr-Aug)</t>
  </si>
  <si>
    <t xml:space="preserve">YoY %</t>
  </si>
  <si>
    <t xml:space="preserve">Remarks</t>
  </si>
  <si>
    <t xml:space="preserve">INCOME</t>
  </si>
  <si>
    <t xml:space="preserve">Revenue from Operations</t>
  </si>
  <si>
    <t xml:space="preserve">Automotive Castings</t>
  </si>
  <si>
    <t xml:space="preserve">Industrial Valves</t>
  </si>
  <si>
    <t xml:space="preserve">Jul-26 dip: supply disruption at Chennai foundry</t>
  </si>
  <si>
    <t xml:space="preserve">Precision Machined Parts</t>
  </si>
  <si>
    <t xml:space="preserve">Aftermarket &amp; Svcs</t>
  </si>
  <si>
    <t xml:space="preserve">Total Revenue from Operations</t>
  </si>
  <si>
    <t xml:space="preserve">Other Income</t>
  </si>
  <si>
    <t xml:space="preserve">Mar-26 incl. interest on tax refund</t>
  </si>
  <si>
    <t xml:space="preserve">Total Income</t>
  </si>
  <si>
    <t xml:space="preserve">EXPENSES</t>
  </si>
  <si>
    <t xml:space="preserve">Cost of Materials Consumed</t>
  </si>
  <si>
    <t xml:space="preserve">Steel scrap &amp; alloy price spike Jun-Jul 26</t>
  </si>
  <si>
    <t xml:space="preserve">Changes in Inventories of FG &amp; WIP</t>
  </si>
  <si>
    <t xml:space="preserve">Employee Benefits Expense</t>
  </si>
  <si>
    <t xml:space="preserve">&lt;&lt; check w/ HR</t>
  </si>
  <si>
    <t xml:space="preserve">Power &amp; Fuel</t>
  </si>
  <si>
    <t xml:space="preserve">Freight &amp; Forwarding</t>
  </si>
  <si>
    <t xml:space="preserve">Manufacturing &amp; Other Expenses</t>
  </si>
  <si>
    <t xml:space="preserve">Selling &amp; Distribution Expenses</t>
  </si>
  <si>
    <t xml:space="preserve">Admin &amp; Other Overheads</t>
  </si>
  <si>
    <t xml:space="preserve">Total Operating Expenses</t>
  </si>
  <si>
    <t xml:space="preserve">EBITDA (excl. Other Income)</t>
  </si>
  <si>
    <t xml:space="preserve">EBITDA Margin %</t>
  </si>
  <si>
    <t xml:space="preserve">Add: Other Income</t>
  </si>
  <si>
    <t xml:space="preserve">Less: Depreciation &amp; Amortisation</t>
  </si>
  <si>
    <t xml:space="preserve">Less: Finance Costs</t>
  </si>
  <si>
    <t xml:space="preserve">Profit before Exceptional Items &amp; Tax</t>
  </si>
  <si>
    <t xml:space="preserve">Exceptional Items - Gain / (Loss)</t>
  </si>
  <si>
    <t xml:space="preserve">Nov-25: plant relocation cost; Jun-26: insurance claim</t>
  </si>
  <si>
    <t xml:space="preserve">Profit Before Tax</t>
  </si>
  <si>
    <t xml:space="preserve">Tax Expense (Current + Deferred)</t>
  </si>
  <si>
    <t xml:space="preserve">Profit After Tax</t>
  </si>
  <si>
    <t xml:space="preserve">PAT Margin %</t>
  </si>
  <si>
    <t xml:space="preserve">Notes:</t>
  </si>
  <si>
    <t xml:space="preserve">1. Exceptional item Nov-25: Rs. 150 L plant relocation cost (Chennai). Jun-26: Rs. 85 L insurance claim received (Pune fire, FY25).</t>
  </si>
  <si>
    <t xml:space="preserve">2. Aug-26 is provisional. Figures may change after finalisation of forex revaluation.</t>
  </si>
  <si>
    <t xml:space="preserve">3. Segment revenue is net of GST and excludes inter-unit transfers.</t>
  </si>
  <si>
    <t xml:space="preserve">FY 2026-27 Annual Operating Plan (Board approved 12-Mar-2026)</t>
  </si>
  <si>
    <t xml:space="preserve">Rs. Crores</t>
  </si>
  <si>
    <t xml:space="preserve">Approved by Board | Rev 2 (post-Q4 review)</t>
  </si>
  <si>
    <t xml:space="preserve">Month</t>
  </si>
  <si>
    <t xml:space="preserve">Castings</t>
  </si>
  <si>
    <t xml:space="preserve">Valves</t>
  </si>
  <si>
    <t xml:space="preserve">Machined Parts</t>
  </si>
  <si>
    <t xml:space="preserve">Aftermarket</t>
  </si>
  <si>
    <t xml:space="preserve">Total Revenue</t>
  </si>
  <si>
    <t xml:space="preserve">EBITDA</t>
  </si>
  <si>
    <t xml:space="preserve">EBITDA %</t>
  </si>
  <si>
    <t xml:space="preserve">PAT</t>
  </si>
  <si>
    <t xml:space="preserve">Capex</t>
  </si>
  <si>
    <t xml:space="preserve">April 2026</t>
  </si>
  <si>
    <t xml:space="preserve">May-26</t>
  </si>
  <si>
    <t xml:space="preserve">Jun'26</t>
  </si>
  <si>
    <t xml:space="preserve">Q1 Total</t>
  </si>
  <si>
    <t xml:space="preserve">Jul 2026</t>
  </si>
  <si>
    <t xml:space="preserve">Aug-26</t>
  </si>
  <si>
    <t xml:space="preserve">Sep'26</t>
  </si>
  <si>
    <t xml:space="preserve">Q2 Total</t>
  </si>
  <si>
    <t xml:space="preserve">Oct 2026</t>
  </si>
  <si>
    <t xml:space="preserve">Nov-26</t>
  </si>
  <si>
    <t xml:space="preserve">Dec'26</t>
  </si>
  <si>
    <t xml:space="preserve">Q3 Total</t>
  </si>
  <si>
    <t xml:space="preserve">Jan 2027</t>
  </si>
  <si>
    <t xml:space="preserve">Feb-27</t>
  </si>
  <si>
    <t xml:space="preserve">Mar'27</t>
  </si>
  <si>
    <t xml:space="preserve">Q4 Total</t>
  </si>
  <si>
    <t xml:space="preserve">FY27 Budget Total</t>
  </si>
  <si>
    <t xml:space="preserve">Assumptions: volume growth 9-14%, price +3%, RM basket flat, wage revision 7% from Apr-26. Capex includes Rs. 24 Cr for CNC line.</t>
  </si>
  <si>
    <t xml:space="preserve">BALANCE SHEET - MONTH END (Rs. Lakhs)</t>
  </si>
  <si>
    <t xml:space="preserve">Bharat Precision Components Pvt. Ltd.  |  Aug-26 provisional</t>
  </si>
  <si>
    <t xml:space="preserve">As at</t>
  </si>
  <si>
    <t xml:space="preserve">EQUITY AND LIABILITIES</t>
  </si>
  <si>
    <t xml:space="preserve">Shareholders' Funds</t>
  </si>
  <si>
    <t xml:space="preserve">Share Capital</t>
  </si>
  <si>
    <t xml:space="preserve">Reserves &amp; Surplus</t>
  </si>
  <si>
    <t xml:space="preserve">Total Shareholders' Funds</t>
  </si>
  <si>
    <t xml:space="preserve">Non-Current Liabilities</t>
  </si>
  <si>
    <t xml:space="preserve">Long-term Borrowings (incl. current maturities)</t>
  </si>
  <si>
    <t xml:space="preserve">Current Liabilities</t>
  </si>
  <si>
    <t xml:space="preserve">Short-term Borrowings (WC)</t>
  </si>
  <si>
    <t xml:space="preserve">Trade Payables</t>
  </si>
  <si>
    <t xml:space="preserve">Other Current Liabilities</t>
  </si>
  <si>
    <t xml:space="preserve">Short-term Provisions</t>
  </si>
  <si>
    <t xml:space="preserve">Total Current Liabilities</t>
  </si>
  <si>
    <t xml:space="preserve">TOTAL EQUITY &amp; LIABILITIES</t>
  </si>
  <si>
    <t xml:space="preserve">ASSETS</t>
  </si>
  <si>
    <t xml:space="preserve">Non-Current Assets</t>
  </si>
  <si>
    <t xml:space="preserve">Net Fixed Assets (Tangible &amp; Intangible)</t>
  </si>
  <si>
    <t xml:space="preserve">Capital Work-in-Progress</t>
  </si>
  <si>
    <t xml:space="preserve">Non-Current Investments</t>
  </si>
  <si>
    <t xml:space="preserve">Current Assets</t>
  </si>
  <si>
    <t xml:space="preserve">Inventories</t>
  </si>
  <si>
    <t xml:space="preserve">Trade Receivables</t>
  </si>
  <si>
    <t xml:space="preserve">Cash &amp; Bank Balances</t>
  </si>
  <si>
    <t xml:space="preserve">Other Current Assets (incl. GST ITC, advances)</t>
  </si>
  <si>
    <t xml:space="preserve">Total Current Assets</t>
  </si>
  <si>
    <t xml:space="preserve">TOTAL ASSETS</t>
  </si>
  <si>
    <t xml:space="preserve">Check (Assets - Liabilities)</t>
  </si>
  <si>
    <t xml:space="preserve">Note: cash includes Rs. 350 L in lien-marked FDs against bank guarantees.</t>
  </si>
  <si>
    <t xml:space="preserve">Cash Flow Statement - Indirect Method</t>
  </si>
  <si>
    <t xml:space="preserve">Rs. Lakhs | outflows in ( ) | exported from Tally</t>
  </si>
  <si>
    <t xml:space="preserve">Apr 2025</t>
  </si>
  <si>
    <t xml:space="preserve">Jun 25</t>
  </si>
  <si>
    <t xml:space="preserve">Aug'25</t>
  </si>
  <si>
    <t xml:space="preserve">Sep 2025</t>
  </si>
  <si>
    <t xml:space="preserve">Nov 25</t>
  </si>
  <si>
    <t xml:space="preserve">Jan'26</t>
  </si>
  <si>
    <t xml:space="preserve">Feb 2026</t>
  </si>
  <si>
    <t xml:space="preserve">Apr 26</t>
  </si>
  <si>
    <t xml:space="preserve">A. CASH FLOW FROM OPERATING ACTIVITIES</t>
  </si>
  <si>
    <t xml:space="preserve">225.70</t>
  </si>
  <si>
    <t xml:space="preserve">159.99</t>
  </si>
  <si>
    <t xml:space="preserve">245.95</t>
  </si>
  <si>
    <t xml:space="preserve">298.85</t>
  </si>
  <si>
    <t xml:space="preserve">330.17</t>
  </si>
  <si>
    <t xml:space="preserve">512.95</t>
  </si>
  <si>
    <t xml:space="preserve">254.37</t>
  </si>
  <si>
    <t xml:space="preserve">Add: Depreciation &amp; Amortisation</t>
  </si>
  <si>
    <t xml:space="preserve">253.37</t>
  </si>
  <si>
    <t xml:space="preserve">254.19</t>
  </si>
  <si>
    <t xml:space="preserve">255.68</t>
  </si>
  <si>
    <t xml:space="preserve">274.18</t>
  </si>
  <si>
    <t xml:space="preserve">287.72</t>
  </si>
  <si>
    <t xml:space="preserve">289.01</t>
  </si>
  <si>
    <t xml:space="preserve">290.44</t>
  </si>
  <si>
    <t xml:space="preserve">(Increase)/Decrease in Trade Receivables</t>
  </si>
  <si>
    <t xml:space="preserve">(881.53)</t>
  </si>
  <si>
    <t xml:space="preserve">(129.03)</t>
  </si>
  <si>
    <t xml:space="preserve">(728.18)</t>
  </si>
  <si>
    <t xml:space="preserve">(119.22)</t>
  </si>
  <si>
    <t xml:space="preserve">(301.88)</t>
  </si>
  <si>
    <t xml:space="preserve">(446.58)</t>
  </si>
  <si>
    <t xml:space="preserve">(168.70)</t>
  </si>
  <si>
    <t xml:space="preserve">(238.28)</t>
  </si>
  <si>
    <t xml:space="preserve">(308.17)</t>
  </si>
  <si>
    <t xml:space="preserve">(1,694.30)</t>
  </si>
  <si>
    <t xml:space="preserve">(679.20)</t>
  </si>
  <si>
    <t xml:space="preserve">(518.11)</t>
  </si>
  <si>
    <t xml:space="preserve">(827.60)</t>
  </si>
  <si>
    <t xml:space="preserve">(1,198.54)</t>
  </si>
  <si>
    <t xml:space="preserve">(Increase)/Decrease in Inventories</t>
  </si>
  <si>
    <t xml:space="preserve">(129.37)</t>
  </si>
  <si>
    <t xml:space="preserve">(20.85)</t>
  </si>
  <si>
    <t xml:space="preserve">(104.53)</t>
  </si>
  <si>
    <t xml:space="preserve">(223.37)</t>
  </si>
  <si>
    <t xml:space="preserve">(30.42)</t>
  </si>
  <si>
    <t xml:space="preserve">(158.48)</t>
  </si>
  <si>
    <t xml:space="preserve">(340.72)</t>
  </si>
  <si>
    <t xml:space="preserve">(39.76)</t>
  </si>
  <si>
    <t xml:space="preserve">(226.65)</t>
  </si>
  <si>
    <t xml:space="preserve">(752.52)</t>
  </si>
  <si>
    <t xml:space="preserve">1,002.21</t>
  </si>
  <si>
    <t xml:space="preserve">(19.68)</t>
  </si>
  <si>
    <t xml:space="preserve">(415.15)</t>
  </si>
  <si>
    <t xml:space="preserve">(378.73)</t>
  </si>
  <si>
    <t xml:space="preserve">(Increase)/Decrease in Other Current Assets</t>
  </si>
  <si>
    <t xml:space="preserve">(160.58)</t>
  </si>
  <si>
    <t xml:space="preserve">63.14</t>
  </si>
  <si>
    <t xml:space="preserve">(49.45)</t>
  </si>
  <si>
    <t xml:space="preserve">(96.36)</t>
  </si>
  <si>
    <t xml:space="preserve">(84.33)</t>
  </si>
  <si>
    <t xml:space="preserve">(60.43)</t>
  </si>
  <si>
    <t xml:space="preserve">(42.88)</t>
  </si>
  <si>
    <t xml:space="preserve">136.45</t>
  </si>
  <si>
    <t xml:space="preserve">(91.02)</t>
  </si>
  <si>
    <t xml:space="preserve">(3.21)</t>
  </si>
  <si>
    <t xml:space="preserve">54.00</t>
  </si>
  <si>
    <t xml:space="preserve">(135.77)</t>
  </si>
  <si>
    <t xml:space="preserve">(143.66)</t>
  </si>
  <si>
    <t xml:space="preserve">(137.32)</t>
  </si>
  <si>
    <t xml:space="preserve">Increase/(Decrease) in Trade Payables</t>
  </si>
  <si>
    <t xml:space="preserve">(577.33)</t>
  </si>
  <si>
    <t xml:space="preserve">287.60</t>
  </si>
  <si>
    <t xml:space="preserve">(280.33)</t>
  </si>
  <si>
    <t xml:space="preserve">520.52</t>
  </si>
  <si>
    <t xml:space="preserve">373.91</t>
  </si>
  <si>
    <t xml:space="preserve">(873.85)</t>
  </si>
  <si>
    <t xml:space="preserve">(1,041.01)</t>
  </si>
  <si>
    <t xml:space="preserve">(32.63)</t>
  </si>
  <si>
    <t xml:space="preserve">140.36</t>
  </si>
  <si>
    <t xml:space="preserve">Increase/(Decrease) in Other Liabilities &amp; Provisions</t>
  </si>
  <si>
    <t xml:space="preserve">(101.07)</t>
  </si>
  <si>
    <t xml:space="preserve">(61.71)</t>
  </si>
  <si>
    <t xml:space="preserve">(129.41)</t>
  </si>
  <si>
    <t xml:space="preserve">(123.15)</t>
  </si>
  <si>
    <t xml:space="preserve">42.45</t>
  </si>
  <si>
    <t xml:space="preserve">152.46</t>
  </si>
  <si>
    <t xml:space="preserve">(116.61)</t>
  </si>
  <si>
    <t xml:space="preserve">(77.76)</t>
  </si>
  <si>
    <t xml:space="preserve">(245.59)</t>
  </si>
  <si>
    <t xml:space="preserve">(29.32)</t>
  </si>
  <si>
    <t xml:space="preserve">155.66</t>
  </si>
  <si>
    <t xml:space="preserve">(41.08)</t>
  </si>
  <si>
    <t xml:space="preserve">Net Cash from Operating Activities (A)</t>
  </si>
  <si>
    <t xml:space="preserve">(169.56)</t>
  </si>
  <si>
    <t xml:space="preserve">(522.27)</t>
  </si>
  <si>
    <t xml:space="preserve">205.70</t>
  </si>
  <si>
    <t xml:space="preserve">891.43</t>
  </si>
  <si>
    <t xml:space="preserve">(632.21)</t>
  </si>
  <si>
    <t xml:space="preserve">(353.22)</t>
  </si>
  <si>
    <t xml:space="preserve">(741.24)</t>
  </si>
  <si>
    <t xml:space="preserve">(610.74)</t>
  </si>
  <si>
    <t xml:space="preserve">B. CASH FLOW FROM INVESTING ACTIVITIES</t>
  </si>
  <si>
    <t xml:space="preserve">Purchase of Fixed Assets incl. CWIP</t>
  </si>
  <si>
    <t xml:space="preserve">(466.82)</t>
  </si>
  <si>
    <t xml:space="preserve">(609.71)</t>
  </si>
  <si>
    <t xml:space="preserve">(694.26)</t>
  </si>
  <si>
    <t xml:space="preserve">(464.97)</t>
  </si>
  <si>
    <t xml:space="preserve">(538.08)</t>
  </si>
  <si>
    <t xml:space="preserve">(622.54)</t>
  </si>
  <si>
    <t xml:space="preserve">(553.20)</t>
  </si>
  <si>
    <t xml:space="preserve">(678.88)</t>
  </si>
  <si>
    <t xml:space="preserve">(672.33)</t>
  </si>
  <si>
    <t xml:space="preserve">(519.87)</t>
  </si>
  <si>
    <t xml:space="preserve">(458.93)</t>
  </si>
  <si>
    <t xml:space="preserve">(563.87)</t>
  </si>
  <si>
    <t xml:space="preserve">(808.33)</t>
  </si>
  <si>
    <t xml:space="preserve">(687.19)</t>
  </si>
  <si>
    <t xml:space="preserve">(828.28)</t>
  </si>
  <si>
    <t xml:space="preserve">(796.41)</t>
  </si>
  <si>
    <t xml:space="preserve">(1,034.53)</t>
  </si>
  <si>
    <t xml:space="preserve">Net Cash used in Investing Activities (B)</t>
  </si>
  <si>
    <t xml:space="preserve">C. CASH FLOW FROM FINANCING ACTIVITIES</t>
  </si>
  <si>
    <t xml:space="preserve">Proceeds/(Repayment) - Long-term Borrowings</t>
  </si>
  <si>
    <t xml:space="preserve">(250.00)</t>
  </si>
  <si>
    <t xml:space="preserve">2,750.00</t>
  </si>
  <si>
    <t xml:space="preserve">Net Movement - Short-term Borrowings</t>
  </si>
  <si>
    <t xml:space="preserve">(194.16)</t>
  </si>
  <si>
    <t xml:space="preserve">(4,973.49)</t>
  </si>
  <si>
    <t xml:space="preserve">617.64</t>
  </si>
  <si>
    <t xml:space="preserve">(267.79)</t>
  </si>
  <si>
    <t xml:space="preserve">(1,679.19)</t>
  </si>
  <si>
    <t xml:space="preserve">968.91</t>
  </si>
  <si>
    <t xml:space="preserve">1,627.14</t>
  </si>
  <si>
    <t xml:space="preserve">(973.44)</t>
  </si>
  <si>
    <t xml:space="preserve">752.27</t>
  </si>
  <si>
    <t xml:space="preserve">(1,091.83)</t>
  </si>
  <si>
    <t xml:space="preserve">(364.79)</t>
  </si>
  <si>
    <t xml:space="preserve">Dividend Paid</t>
  </si>
  <si>
    <t xml:space="preserve">0.00</t>
  </si>
  <si>
    <t xml:space="preserve">(450.00)</t>
  </si>
  <si>
    <t xml:space="preserve">Net Cash from Financing Activities (C)</t>
  </si>
  <si>
    <t xml:space="preserve">(444.16)</t>
  </si>
  <si>
    <t xml:space="preserve">(183.24)</t>
  </si>
  <si>
    <t xml:space="preserve">426.39</t>
  </si>
  <si>
    <t xml:space="preserve">(223.49)</t>
  </si>
  <si>
    <t xml:space="preserve">(517.79)</t>
  </si>
  <si>
    <t xml:space="preserve">(1,929.19)</t>
  </si>
  <si>
    <t xml:space="preserve">1,377.14</t>
  </si>
  <si>
    <t xml:space="preserve">(1,223.44)</t>
  </si>
  <si>
    <t xml:space="preserve">(614.79)</t>
  </si>
  <si>
    <t xml:space="preserve">1,345.27</t>
  </si>
  <si>
    <t xml:space="preserve">Others / Rounding</t>
  </si>
  <si>
    <t xml:space="preserve">Net Increase/(Decrease) in Cash (A+B+C)</t>
  </si>
  <si>
    <t xml:space="preserve">(82.57)</t>
  </si>
  <si>
    <t xml:space="preserve">667.12</t>
  </si>
  <si>
    <t xml:space="preserve">(297.41)</t>
  </si>
  <si>
    <t xml:space="preserve">(253.90)</t>
  </si>
  <si>
    <t xml:space="preserve">344.78</t>
  </si>
  <si>
    <t xml:space="preserve">(570.99)</t>
  </si>
  <si>
    <t xml:space="preserve">(178.57)</t>
  </si>
  <si>
    <t xml:space="preserve">(298.69)</t>
  </si>
  <si>
    <t xml:space="preserve">(599.89)</t>
  </si>
  <si>
    <t xml:space="preserve">181.06</t>
  </si>
  <si>
    <t xml:space="preserve">(538.14)</t>
  </si>
  <si>
    <t xml:space="preserve">1,053.78</t>
  </si>
  <si>
    <t xml:space="preserve">(2,152.44)</t>
  </si>
  <si>
    <t xml:space="preserve">(300.00)</t>
  </si>
  <si>
    <t xml:space="preserve">Opening Cash &amp; Bank Balance</t>
  </si>
  <si>
    <t xml:space="preserve">3,537.16</t>
  </si>
  <si>
    <t xml:space="preserve">3,238.47</t>
  </si>
  <si>
    <t xml:space="preserve">3,736.80</t>
  </si>
  <si>
    <t xml:space="preserve">3,198.66</t>
  </si>
  <si>
    <t xml:space="preserve">4,252.44</t>
  </si>
  <si>
    <t xml:space="preserve">Closing Cash &amp; Bank Balance</t>
  </si>
  <si>
    <t xml:space="preserve">2,917.43</t>
  </si>
  <si>
    <t xml:space="preserve">3,941.94</t>
  </si>
  <si>
    <t xml:space="preserve">2,938.02</t>
  </si>
  <si>
    <t xml:space="preserve">Note: Investing includes CWIP additions. Financing excludes interest (included in PAT).</t>
  </si>
  <si>
    <t xml:space="preserve">SALES REGISTER - EXTRACT (Invoices &gt;= Rs. 25 Lakhs)</t>
  </si>
  <si>
    <t xml:space="preserve">Bharat Precision Components Pvt. Ltd.  |  From 01-Apr-2025 to 31-Aug-2026  |  Amounts in Rs.</t>
  </si>
  <si>
    <t xml:space="preserve">Generated from SAP-B1 on 03-Sep-2026 09:14</t>
  </si>
  <si>
    <t xml:space="preserve">Inv No.</t>
  </si>
  <si>
    <t xml:space="preserve">Inv Date</t>
  </si>
  <si>
    <t xml:space="preserve">Customer Name</t>
  </si>
  <si>
    <t xml:space="preserve">Region</t>
  </si>
  <si>
    <t xml:space="preserve">Product Line</t>
  </si>
  <si>
    <t xml:space="preserve">Qty (Nos)</t>
  </si>
  <si>
    <t xml:space="preserve">Basic Value</t>
  </si>
  <si>
    <t xml:space="preserve">GST</t>
  </si>
  <si>
    <t xml:space="preserve">Invoice Value</t>
  </si>
  <si>
    <t xml:space="preserve">Payment Terms</t>
  </si>
  <si>
    <t xml:space="preserve">Salesperson</t>
  </si>
  <si>
    <t xml:space="preserve">BPC/25-26/00001</t>
  </si>
  <si>
    <t xml:space="preserve">01-Apr-2025</t>
  </si>
  <si>
    <t xml:space="preserve">Marathwada Commercial Vehicles Limited</t>
  </si>
  <si>
    <t xml:space="preserve">West</t>
  </si>
  <si>
    <t xml:space="preserve">30 days</t>
  </si>
  <si>
    <t xml:space="preserve">Anil Kumar</t>
  </si>
  <si>
    <t xml:space="preserve">BPC/25-26/00002</t>
  </si>
  <si>
    <t xml:space="preserve">01/04/2025</t>
  </si>
  <si>
    <t xml:space="preserve">Bharat AutoParts Traders</t>
  </si>
  <si>
    <t xml:space="preserve">north</t>
  </si>
  <si>
    <t xml:space="preserve">After Market</t>
  </si>
  <si>
    <t xml:space="preserve">LC at sight</t>
  </si>
  <si>
    <t xml:space="preserve">Priya Nair</t>
  </si>
  <si>
    <t xml:space="preserve">BPC/25-26/00003</t>
  </si>
  <si>
    <t xml:space="preserve">Tarang Motors Ltd</t>
  </si>
  <si>
    <t xml:space="preserve">90 DAYS</t>
  </si>
  <si>
    <t xml:space="preserve">Vikram Singh</t>
  </si>
  <si>
    <t xml:space="preserve">BPC/25-26/00004</t>
  </si>
  <si>
    <t xml:space="preserve">Ganga Petrochem Ltd</t>
  </si>
  <si>
    <t xml:space="preserve">East</t>
  </si>
  <si>
    <t xml:space="preserve">IND VALVES</t>
  </si>
  <si>
    <t xml:space="preserve">Rs. 9,20,500</t>
  </si>
  <si>
    <t xml:space="preserve">60 Days</t>
  </si>
  <si>
    <t xml:space="preserve">BPC/25-26/00005</t>
  </si>
  <si>
    <t xml:space="preserve">PMP</t>
  </si>
  <si>
    <t xml:space="preserve">Net 30</t>
  </si>
  <si>
    <t xml:space="preserve">BPC/25-26/00006</t>
  </si>
  <si>
    <t xml:space="preserve">Vahan Auto Industries Ltd</t>
  </si>
  <si>
    <t xml:space="preserve">Auto Castings</t>
  </si>
  <si>
    <t xml:space="preserve">BPC/25-26/00007</t>
  </si>
  <si>
    <t xml:space="preserve">06-Apr-2025</t>
  </si>
  <si>
    <t xml:space="preserve">1129362.00</t>
  </si>
  <si>
    <t xml:space="preserve">Kavita Rao</t>
  </si>
  <si>
    <t xml:space="preserve">BPC/25-26/00008</t>
  </si>
  <si>
    <t xml:space="preserve">Nordic Flow Systems AB</t>
  </si>
  <si>
    <t xml:space="preserve">Export</t>
  </si>
  <si>
    <t xml:space="preserve">Rs. 32,22,698</t>
  </si>
  <si>
    <t xml:space="preserve">Rohit Mehta</t>
  </si>
  <si>
    <t xml:space="preserve">BPC/25-26/00009</t>
  </si>
  <si>
    <t xml:space="preserve">UTKAL FERTILISERS &amp; CHEMICALS LTD.</t>
  </si>
  <si>
    <t xml:space="preserve">6201195.00</t>
  </si>
  <si>
    <t xml:space="preserve">BPC/25-26/00010</t>
  </si>
  <si>
    <t xml:space="preserve">Coromandel Process Industries Ltd</t>
  </si>
  <si>
    <t xml:space="preserve">South</t>
  </si>
  <si>
    <t xml:space="preserve">Rs. 25,00,000</t>
  </si>
  <si>
    <t xml:space="preserve">Rs. 29,50,000</t>
  </si>
  <si>
    <t xml:space="preserve">BPC/25-26/00011</t>
  </si>
  <si>
    <t xml:space="preserve">Deccan Heavy Machinery Ltd</t>
  </si>
  <si>
    <t xml:space="preserve">SOUTH</t>
  </si>
  <si>
    <t xml:space="preserve">BPC/25-26/00012</t>
  </si>
  <si>
    <t xml:space="preserve">14/04/2025</t>
  </si>
  <si>
    <t xml:space="preserve">NorthStar Pumps Pvt Ltd</t>
  </si>
  <si>
    <t xml:space="preserve">60 days</t>
  </si>
  <si>
    <t xml:space="preserve">Amit Deshmukh</t>
  </si>
  <si>
    <t xml:space="preserve">BPC/25-26/00013</t>
  </si>
  <si>
    <t xml:space="preserve">14-Apr-2025</t>
  </si>
  <si>
    <t xml:space="preserve">5188843.00</t>
  </si>
  <si>
    <t xml:space="preserve">BPC/25-26/00014</t>
  </si>
  <si>
    <t xml:space="preserve">Shakti Tractors &amp; Farm Equipment Limited</t>
  </si>
  <si>
    <t xml:space="preserve">North</t>
  </si>
  <si>
    <t xml:space="preserve">Rs. 14,03,884</t>
  </si>
  <si>
    <t xml:space="preserve">BPC/25-26/00015</t>
  </si>
  <si>
    <t xml:space="preserve">16-Apr-2025</t>
  </si>
  <si>
    <t xml:space="preserve">Ganga Petrochem Limited</t>
  </si>
  <si>
    <t xml:space="preserve">Rs. 1,49,31,408</t>
  </si>
  <si>
    <t xml:space="preserve">Sunita Joshi</t>
  </si>
  <si>
    <t xml:space="preserve">BPC/25-26/00016</t>
  </si>
  <si>
    <t xml:space="preserve">Intl</t>
  </si>
  <si>
    <t xml:space="preserve">BPC/25-26/00017</t>
  </si>
  <si>
    <t xml:space="preserve">Kaveri Engineering Works Pvt Ltd</t>
  </si>
  <si>
    <t xml:space="preserve">south </t>
  </si>
  <si>
    <t xml:space="preserve">BPC/25-26/00018</t>
  </si>
  <si>
    <t xml:space="preserve">45 days</t>
  </si>
  <si>
    <t xml:space="preserve">BPC/25-26/00019</t>
  </si>
  <si>
    <t xml:space="preserve">Eastern</t>
  </si>
  <si>
    <t xml:space="preserve">Sanjay Verma</t>
  </si>
  <si>
    <t xml:space="preserve">BPC/25-26/00020</t>
  </si>
  <si>
    <t xml:space="preserve">22-Apr-2025</t>
  </si>
  <si>
    <t xml:space="preserve">Rs. 43,89,878</t>
  </si>
  <si>
    <t xml:space="preserve">BPC/25-26/00021</t>
  </si>
  <si>
    <t xml:space="preserve">24/04/2025</t>
  </si>
  <si>
    <t xml:space="preserve">Rs. 4,50,000</t>
  </si>
  <si>
    <t xml:space="preserve">BPC/25-26/00022</t>
  </si>
  <si>
    <t xml:space="preserve">24-Apr-2025</t>
  </si>
  <si>
    <t xml:space="preserve">Meridian Global GmbH</t>
  </si>
  <si>
    <t xml:space="preserve">EXPORT</t>
  </si>
  <si>
    <t xml:space="preserve">3556116.00</t>
  </si>
  <si>
    <t xml:space="preserve">BPC/25-26/00023</t>
  </si>
  <si>
    <t xml:space="preserve">Shakti Tractors &amp; Farm Equipment Ltd</t>
  </si>
  <si>
    <t xml:space="preserve">BPC/25-26/00024</t>
  </si>
  <si>
    <t xml:space="preserve">SHAKTI TRACTORS &amp; FARM EQUIPMENT LTD.</t>
  </si>
  <si>
    <t xml:space="preserve">BPC/25-26/00025</t>
  </si>
  <si>
    <t xml:space="preserve">Rs. 97,36,212</t>
  </si>
  <si>
    <t xml:space="preserve">BPC/25-26/00026</t>
  </si>
  <si>
    <t xml:space="preserve">26-Apr-2025</t>
  </si>
  <si>
    <t xml:space="preserve">Rs. 16,38,670</t>
  </si>
  <si>
    <t xml:space="preserve">BPC/25-26/00027</t>
  </si>
  <si>
    <t xml:space="preserve">Southern Spares &amp; Service Co</t>
  </si>
  <si>
    <t xml:space="preserve">Aftermarket &amp; Services</t>
  </si>
  <si>
    <t xml:space="preserve">BPC/25-26/00028</t>
  </si>
  <si>
    <t xml:space="preserve">Marathwada Commercial Vehicles Ltd</t>
  </si>
  <si>
    <t xml:space="preserve">WEST </t>
  </si>
  <si>
    <t xml:space="preserve">BPC/25-26/00029</t>
  </si>
  <si>
    <t xml:space="preserve">BPC/25-26/00030</t>
  </si>
  <si>
    <t xml:space="preserve">29/04/2025</t>
  </si>
  <si>
    <t xml:space="preserve">BPC/25-26/00031</t>
  </si>
  <si>
    <t xml:space="preserve">11358101.00</t>
  </si>
  <si>
    <t xml:space="preserve">BPC/25-26/00032</t>
  </si>
  <si>
    <t xml:space="preserve">Gulf Industrial Supplies LLC</t>
  </si>
  <si>
    <t xml:space="preserve">-</t>
  </si>
  <si>
    <t xml:space="preserve">BPC/25-26/00033</t>
  </si>
  <si>
    <t xml:space="preserve">01-May-2025</t>
  </si>
  <si>
    <t xml:space="preserve">Rs. 10,99,420</t>
  </si>
  <si>
    <t xml:space="preserve">Rs. 72,07,311</t>
  </si>
  <si>
    <t xml:space="preserve">BPC/25-26/00034</t>
  </si>
  <si>
    <t xml:space="preserve">02-May-2025</t>
  </si>
  <si>
    <t xml:space="preserve">Rs. 9,43,796</t>
  </si>
  <si>
    <t xml:space="preserve">BPC/25-26/00035</t>
  </si>
  <si>
    <t xml:space="preserve">Pacific Rim Machinery Pty Ltd</t>
  </si>
  <si>
    <t xml:space="preserve">BPC/25-26/00036</t>
  </si>
  <si>
    <t xml:space="preserve">Atlas Powertrain Inc</t>
  </si>
  <si>
    <t xml:space="preserve">2500000.00</t>
  </si>
  <si>
    <t xml:space="preserve">BPC/25-26/00037</t>
  </si>
  <si>
    <t xml:space="preserve">04/05/2025</t>
  </si>
  <si>
    <t xml:space="preserve">Himalaya Valves &amp; Pumps Pvt Ltd</t>
  </si>
  <si>
    <t xml:space="preserve">BPC/25-26/00038</t>
  </si>
  <si>
    <t xml:space="preserve">12239370.00</t>
  </si>
  <si>
    <t xml:space="preserve">Rs. 1,44,42,457</t>
  </si>
  <si>
    <t xml:space="preserve">BPC/25-26/00039</t>
  </si>
  <si>
    <t xml:space="preserve">BPC/25-26/00040</t>
  </si>
  <si>
    <t xml:space="preserve">08/05/2025</t>
  </si>
  <si>
    <t xml:space="preserve">Rs. 48,18,393</t>
  </si>
  <si>
    <t xml:space="preserve">Rs. 56,85,704</t>
  </si>
  <si>
    <t xml:space="preserve">BPC/25-26/00041</t>
  </si>
  <si>
    <t xml:space="preserve">09-May-2025</t>
  </si>
  <si>
    <t xml:space="preserve">2950000.00</t>
  </si>
  <si>
    <t xml:space="preserve">BPC/25-26/00042</t>
  </si>
  <si>
    <t xml:space="preserve">Rs. 13,44,125</t>
  </si>
  <si>
    <t xml:space="preserve">8811485.00</t>
  </si>
  <si>
    <t xml:space="preserve">BPC/25-26/00043</t>
  </si>
  <si>
    <t xml:space="preserve">Rs. 48,27,039</t>
  </si>
  <si>
    <t xml:space="preserve">BPC/25-26/00044</t>
  </si>
  <si>
    <t xml:space="preserve">13366829.00</t>
  </si>
  <si>
    <t xml:space="preserve">BPC/25-26/00045</t>
  </si>
  <si>
    <t xml:space="preserve">11/05/2025</t>
  </si>
  <si>
    <t xml:space="preserve">Rs. 13,42,793</t>
  </si>
  <si>
    <t xml:space="preserve">BPC/25-26/00046</t>
  </si>
  <si>
    <t xml:space="preserve">Rs. 5,02,398</t>
  </si>
  <si>
    <t xml:space="preserve">BPC/25-26/00047</t>
  </si>
  <si>
    <t xml:space="preserve">NORTH</t>
  </si>
  <si>
    <t xml:space="preserve">Rs. 33,72,508</t>
  </si>
  <si>
    <t xml:space="preserve">BPC/25-26/00048</t>
  </si>
  <si>
    <t xml:space="preserve">Western</t>
  </si>
  <si>
    <t xml:space="preserve">Page 2 of 14</t>
  </si>
  <si>
    <t xml:space="preserve">BPC/25-26/00049</t>
  </si>
  <si>
    <t xml:space="preserve">14-May-2025</t>
  </si>
  <si>
    <t xml:space="preserve">BPC/25-26/00050</t>
  </si>
  <si>
    <t xml:space="preserve">450000.00</t>
  </si>
  <si>
    <t xml:space="preserve">BPC/25-26/00051</t>
  </si>
  <si>
    <t xml:space="preserve">BPC/25-26/00052</t>
  </si>
  <si>
    <t xml:space="preserve">17-May-2025</t>
  </si>
  <si>
    <t xml:space="preserve">Sunrise Infra Projects Pvt Ltd</t>
  </si>
  <si>
    <t xml:space="preserve">7586401.00</t>
  </si>
  <si>
    <t xml:space="preserve">BPC/25-26/00053</t>
  </si>
  <si>
    <t xml:space="preserve">Vahan Auto Industries Limited</t>
  </si>
  <si>
    <t xml:space="preserve">Rs. 7,85,390</t>
  </si>
  <si>
    <t xml:space="preserve">BPC/25-26/00054</t>
  </si>
  <si>
    <t xml:space="preserve">18/05/2025</t>
  </si>
  <si>
    <t xml:space="preserve">Rs. 3,14,17,765</t>
  </si>
  <si>
    <t xml:space="preserve">BPC/25-26/00055</t>
  </si>
  <si>
    <t xml:space="preserve">Rs. 1,30,21,689</t>
  </si>
  <si>
    <t xml:space="preserve">BPC/25-26/00056</t>
  </si>
  <si>
    <t xml:space="preserve">21-May-2025</t>
  </si>
  <si>
    <t xml:space="preserve">Rs. 39,24,046</t>
  </si>
  <si>
    <t xml:space="preserve">BPC/25-26/00057</t>
  </si>
  <si>
    <t xml:space="preserve">BPC/25-26/00058</t>
  </si>
  <si>
    <t xml:space="preserve">Utkal Fertilisers &amp; Chemicals Ltd</t>
  </si>
  <si>
    <t xml:space="preserve">Rs. 7,87,465</t>
  </si>
  <si>
    <t xml:space="preserve">BPC/25-26/00059</t>
  </si>
  <si>
    <t xml:space="preserve">BPC/25-26/00060</t>
  </si>
  <si>
    <t xml:space="preserve">25-May-2025</t>
  </si>
  <si>
    <t xml:space="preserve">BPC/25-26/00061</t>
  </si>
  <si>
    <t xml:space="preserve">BPC/25-26/00062</t>
  </si>
  <si>
    <t xml:space="preserve">BPC/25-26/00063</t>
  </si>
  <si>
    <t xml:space="preserve">27/05/2025</t>
  </si>
  <si>
    <t xml:space="preserve">10617832.00</t>
  </si>
  <si>
    <t xml:space="preserve">BPC/25-26/00064</t>
  </si>
  <si>
    <t xml:space="preserve">Rs. 7,09,207</t>
  </si>
  <si>
    <t xml:space="preserve">Rs. 46,49,245</t>
  </si>
  <si>
    <t xml:space="preserve">BPC/25-26/00065</t>
  </si>
  <si>
    <t xml:space="preserve">31-May-2025</t>
  </si>
  <si>
    <t xml:space="preserve">Rs. 62,04,221</t>
  </si>
  <si>
    <t xml:space="preserve">BPC/25-26/00066</t>
  </si>
  <si>
    <t xml:space="preserve">Exports</t>
  </si>
  <si>
    <t xml:space="preserve">10617128.00</t>
  </si>
  <si>
    <t xml:space="preserve">BPC/25-26/00067</t>
  </si>
  <si>
    <t xml:space="preserve">01-Jun-2025</t>
  </si>
  <si>
    <t xml:space="preserve">Rs. 28,07,728</t>
  </si>
  <si>
    <t xml:space="preserve">BPC/25-26/00068</t>
  </si>
  <si>
    <t xml:space="preserve">3502465.00</t>
  </si>
  <si>
    <t xml:space="preserve">BPC/25-26/00069</t>
  </si>
  <si>
    <t xml:space="preserve">02/06/2025</t>
  </si>
  <si>
    <t xml:space="preserve">BPC/25-26/00070</t>
  </si>
  <si>
    <t xml:space="preserve">02-Jun-2025</t>
  </si>
  <si>
    <t xml:space="preserve">Credit note pending</t>
  </si>
  <si>
    <t xml:space="preserve">BPC/25-26/00071</t>
  </si>
  <si>
    <t xml:space="preserve">Price diff to be raised</t>
  </si>
  <si>
    <t xml:space="preserve">BPC/25-26/00072</t>
  </si>
  <si>
    <t xml:space="preserve">BPC/25-26/00073</t>
  </si>
  <si>
    <t xml:space="preserve">BPC/25-26/00074</t>
  </si>
  <si>
    <t xml:space="preserve">8683834.00</t>
  </si>
  <si>
    <t xml:space="preserve">Rs. 1,02,46,924</t>
  </si>
  <si>
    <t xml:space="preserve">BPC/25-26/00075</t>
  </si>
  <si>
    <t xml:space="preserve">05-Jun-2025</t>
  </si>
  <si>
    <t xml:space="preserve">14737369.00</t>
  </si>
  <si>
    <t xml:space="preserve">BPC/25-26/00076</t>
  </si>
  <si>
    <t xml:space="preserve">BPC/25-26/00077</t>
  </si>
  <si>
    <t xml:space="preserve">BPC/25-26/00078</t>
  </si>
  <si>
    <t xml:space="preserve">08/06/2025</t>
  </si>
  <si>
    <t xml:space="preserve">BPC/25-26/00079</t>
  </si>
  <si>
    <t xml:space="preserve">BPC/25-26/00080</t>
  </si>
  <si>
    <t xml:space="preserve">Rs. 33,09,673</t>
  </si>
  <si>
    <t xml:space="preserve">BPC/25-26/00081</t>
  </si>
  <si>
    <t xml:space="preserve">BPC/25-26/00082</t>
  </si>
  <si>
    <t xml:space="preserve">Orion Aftermarket Distributors</t>
  </si>
  <si>
    <t xml:space="preserve">BPC/25-26/00083</t>
  </si>
  <si>
    <t xml:space="preserve">BPC/25-26/00084</t>
  </si>
  <si>
    <t xml:space="preserve">EAST</t>
  </si>
  <si>
    <t xml:space="preserve">BPC/25-26/00085</t>
  </si>
  <si>
    <t xml:space="preserve">14/06/2025</t>
  </si>
  <si>
    <t xml:space="preserve">Rs. 24,06,932</t>
  </si>
  <si>
    <t xml:space="preserve">BPC/25-26/00086</t>
  </si>
  <si>
    <t xml:space="preserve">BPC/25-26/00087</t>
  </si>
  <si>
    <t xml:space="preserve">17-Jun-2025</t>
  </si>
  <si>
    <t xml:space="preserve">BPC/25-26/00088</t>
  </si>
  <si>
    <t xml:space="preserve">BPC/25-26/00089</t>
  </si>
  <si>
    <t xml:space="preserve">BPC/25-26/00090</t>
  </si>
  <si>
    <t xml:space="preserve">21-Jun-2025</t>
  </si>
  <si>
    <t xml:space="preserve">BPC/25-26/00091</t>
  </si>
  <si>
    <t xml:space="preserve">25-Jun-2025</t>
  </si>
  <si>
    <t xml:space="preserve">4346562.00</t>
  </si>
  <si>
    <t xml:space="preserve">BPC/25-26/00092</t>
  </si>
  <si>
    <t xml:space="preserve">BPC/25-26/00093</t>
  </si>
  <si>
    <t xml:space="preserve">BPC/25-26/00094</t>
  </si>
  <si>
    <t xml:space="preserve">Rs. 40,14,583</t>
  </si>
  <si>
    <t xml:space="preserve">BPC/25-26/00095</t>
  </si>
  <si>
    <t xml:space="preserve">Rs. 49,43,554</t>
  </si>
  <si>
    <t xml:space="preserve">Rs. 58,33,394</t>
  </si>
  <si>
    <t xml:space="preserve">BPC/25-26/00096</t>
  </si>
  <si>
    <t xml:space="preserve">Page 3 of 14</t>
  </si>
  <si>
    <t xml:space="preserve">BPC/25-26/00097</t>
  </si>
  <si>
    <t xml:space="preserve">BPC/25-26/00098</t>
  </si>
  <si>
    <t xml:space="preserve">29/06/2025</t>
  </si>
  <si>
    <t xml:space="preserve">BPC/25-26/00099</t>
  </si>
  <si>
    <t xml:space="preserve">Rs. 3,05,03,917</t>
  </si>
  <si>
    <t xml:space="preserve">BPC/25-26/00100</t>
  </si>
  <si>
    <t xml:space="preserve">Rs. 6,80,590</t>
  </si>
  <si>
    <t xml:space="preserve">BPC/25-26/00101</t>
  </si>
  <si>
    <t xml:space="preserve">02-Jul-2025</t>
  </si>
  <si>
    <t xml:space="preserve">1742499.00</t>
  </si>
  <si>
    <t xml:space="preserve">BPC/25-26/00102</t>
  </si>
  <si>
    <t xml:space="preserve">BPC/25-26/00103</t>
  </si>
  <si>
    <t xml:space="preserve">04-Jul-2025</t>
  </si>
  <si>
    <t xml:space="preserve">BPC/25-26/00104</t>
  </si>
  <si>
    <t xml:space="preserve">Rs. 1,56,95,920</t>
  </si>
  <si>
    <t xml:space="preserve">BPC/25-26/00105</t>
  </si>
  <si>
    <t xml:space="preserve">06-Jul-2025</t>
  </si>
  <si>
    <t xml:space="preserve">BPC/25-26/00106</t>
  </si>
  <si>
    <t xml:space="preserve">BPC/25-26/00107</t>
  </si>
  <si>
    <t xml:space="preserve">Rs. 92,32,424</t>
  </si>
  <si>
    <t xml:space="preserve">BPC/25-26/00108</t>
  </si>
  <si>
    <t xml:space="preserve">BPC/25-26/00109</t>
  </si>
  <si>
    <t xml:space="preserve">09-Jul-2025</t>
  </si>
  <si>
    <t xml:space="preserve">COROMANDEL PROCESS INDUSTRIES LTD.</t>
  </si>
  <si>
    <t xml:space="preserve">Southern</t>
  </si>
  <si>
    <t xml:space="preserve">BPC/25-26/00110</t>
  </si>
  <si>
    <t xml:space="preserve">10-Jul-2025</t>
  </si>
  <si>
    <t xml:space="preserve">SOUTHERN SPARES &amp; SERVICE CO.</t>
  </si>
  <si>
    <t xml:space="preserve">BPC/25-26/00111</t>
  </si>
  <si>
    <t xml:space="preserve">12/07/2025</t>
  </si>
  <si>
    <t xml:space="preserve">11827739.00</t>
  </si>
  <si>
    <t xml:space="preserve">BPC/25-26/00112</t>
  </si>
  <si>
    <t xml:space="preserve">6834810.00</t>
  </si>
  <si>
    <t xml:space="preserve">BPC/25-26/00113</t>
  </si>
  <si>
    <t xml:space="preserve">west</t>
  </si>
  <si>
    <t xml:space="preserve">Rs. 31,08,520</t>
  </si>
  <si>
    <t xml:space="preserve">3668054.00</t>
  </si>
  <si>
    <t xml:space="preserve">BPC/25-26/00114</t>
  </si>
  <si>
    <t xml:space="preserve">580229.00</t>
  </si>
  <si>
    <t xml:space="preserve">BPC/25-26/00115</t>
  </si>
  <si>
    <t xml:space="preserve">BPC/25-26/00116</t>
  </si>
  <si>
    <t xml:space="preserve">1471946.00</t>
  </si>
  <si>
    <t xml:space="preserve">BPC/25-26/00117</t>
  </si>
  <si>
    <t xml:space="preserve">16-Jul-2025</t>
  </si>
  <si>
    <t xml:space="preserve">BPC/25-26/00118</t>
  </si>
  <si>
    <t xml:space="preserve">Rs. 60,36,670</t>
  </si>
  <si>
    <t xml:space="preserve">BPC/25-26/00119</t>
  </si>
  <si>
    <t xml:space="preserve">BPC/25-26/00120</t>
  </si>
  <si>
    <t xml:space="preserve">BPC/25-26/00121</t>
  </si>
  <si>
    <t xml:space="preserve">Pacific Rim Machinery Pty Limited</t>
  </si>
  <si>
    <t xml:space="preserve">4556987.00</t>
  </si>
  <si>
    <t xml:space="preserve">BPC/25-26/00122</t>
  </si>
  <si>
    <t xml:space="preserve">Rs. 9,50,991</t>
  </si>
  <si>
    <t xml:space="preserve">BPC/25-26/00123</t>
  </si>
  <si>
    <t xml:space="preserve">BPC/25-26/00124</t>
  </si>
  <si>
    <t xml:space="preserve">BPC/25-26/00125</t>
  </si>
  <si>
    <t xml:space="preserve">24-Jul-2025</t>
  </si>
  <si>
    <t xml:space="preserve">Rs. 68,15,840</t>
  </si>
  <si>
    <t xml:space="preserve">BPC/25-26/00126</t>
  </si>
  <si>
    <t xml:space="preserve">2428387.00</t>
  </si>
  <si>
    <t xml:space="preserve">BPC/25-26/00127</t>
  </si>
  <si>
    <t xml:space="preserve">28-Jul-2025</t>
  </si>
  <si>
    <t xml:space="preserve">BHARAT AUTOPARTS TRADERS.</t>
  </si>
  <si>
    <t xml:space="preserve">15276173.00</t>
  </si>
  <si>
    <t xml:space="preserve">BPC/25-26/00128</t>
  </si>
  <si>
    <t xml:space="preserve">24638301.00</t>
  </si>
  <si>
    <t xml:space="preserve">BPC/25-26/00129</t>
  </si>
  <si>
    <t xml:space="preserve">BPC/25-26/00130</t>
  </si>
  <si>
    <t xml:space="preserve">BPC/25-26/00131</t>
  </si>
  <si>
    <t xml:space="preserve">Deccan Heavy Machinery Limited</t>
  </si>
  <si>
    <t xml:space="preserve">7223451.00</t>
  </si>
  <si>
    <t xml:space="preserve">BPC/25-26/00132</t>
  </si>
  <si>
    <t xml:space="preserve">31-Jul-2025</t>
  </si>
  <si>
    <t xml:space="preserve">Rs. 8,47,885</t>
  </si>
  <si>
    <t xml:space="preserve">BPC/25-26/00133</t>
  </si>
  <si>
    <t xml:space="preserve">Rs. 65,70,457</t>
  </si>
  <si>
    <t xml:space="preserve">BPC/25-26/00134</t>
  </si>
  <si>
    <t xml:space="preserve">BPC/25-26/00135</t>
  </si>
  <si>
    <t xml:space="preserve">Rs. 2,21,75,215</t>
  </si>
  <si>
    <t xml:space="preserve">BPC/25-26/00136</t>
  </si>
  <si>
    <t xml:space="preserve">Rs. 6,68,086</t>
  </si>
  <si>
    <t xml:space="preserve">Rs. 43,79,673</t>
  </si>
  <si>
    <t xml:space="preserve">BPC/25-26/00137</t>
  </si>
  <si>
    <t xml:space="preserve">BPC/25-26/00138</t>
  </si>
  <si>
    <t xml:space="preserve">BPC/25-26/00139</t>
  </si>
  <si>
    <t xml:space="preserve">BPC/25-26/00140</t>
  </si>
  <si>
    <t xml:space="preserve">Rs. 1,10,39,228</t>
  </si>
  <si>
    <t xml:space="preserve">BPC/25-26/00141</t>
  </si>
  <si>
    <t xml:space="preserve">09/08/2025</t>
  </si>
  <si>
    <t xml:space="preserve">19333522.00</t>
  </si>
  <si>
    <t xml:space="preserve">BPC/25-26/00142</t>
  </si>
  <si>
    <t xml:space="preserve">Rs. 99,47,742</t>
  </si>
  <si>
    <t xml:space="preserve">BPC/25-26/00143</t>
  </si>
  <si>
    <t xml:space="preserve">Rs. 29,14,027</t>
  </si>
  <si>
    <t xml:space="preserve">Page 4 of 14</t>
  </si>
  <si>
    <t xml:space="preserve">BPC/25-26/00144</t>
  </si>
  <si>
    <t xml:space="preserve">11-Aug-2025</t>
  </si>
  <si>
    <t xml:space="preserve">Rs. 25,36,999</t>
  </si>
  <si>
    <t xml:space="preserve">BPC/25-26/00145</t>
  </si>
  <si>
    <t xml:space="preserve">BPC/25-26/00146</t>
  </si>
  <si>
    <t xml:space="preserve">15/08/2025</t>
  </si>
  <si>
    <t xml:space="preserve">Rs. 43,92,838</t>
  </si>
  <si>
    <t xml:space="preserve">Rs. 7,90,711</t>
  </si>
  <si>
    <t xml:space="preserve">5183549.00</t>
  </si>
  <si>
    <t xml:space="preserve">BPC/25-26/00147</t>
  </si>
  <si>
    <t xml:space="preserve">BPC/25-26/00148</t>
  </si>
  <si>
    <t xml:space="preserve">1568042.00</t>
  </si>
  <si>
    <t xml:space="preserve">Rs. 1,02,79,386</t>
  </si>
  <si>
    <t xml:space="preserve">BPC/25-26/00149</t>
  </si>
  <si>
    <t xml:space="preserve">BPC/25-26/00150</t>
  </si>
  <si>
    <t xml:space="preserve">8958032.00</t>
  </si>
  <si>
    <t xml:space="preserve">BPC/25-26/00151</t>
  </si>
  <si>
    <t xml:space="preserve">17-Aug-2025</t>
  </si>
  <si>
    <t xml:space="preserve">Rs. 41,38,350</t>
  </si>
  <si>
    <t xml:space="preserve">Rs. 7,44,903</t>
  </si>
  <si>
    <t xml:space="preserve">Rs. 48,83,253</t>
  </si>
  <si>
    <t xml:space="preserve">BPC/25-26/00152</t>
  </si>
  <si>
    <t xml:space="preserve">DECCAN HEAVY MACHINERY LTD.</t>
  </si>
  <si>
    <t xml:space="preserve">Rs. 47,59,581</t>
  </si>
  <si>
    <t xml:space="preserve">BPC/25-26/00153</t>
  </si>
  <si>
    <t xml:space="preserve">VAHAN AUTO INDUSTRIES LTD.</t>
  </si>
  <si>
    <t xml:space="preserve">4459286.00</t>
  </si>
  <si>
    <t xml:space="preserve">BPC/25-26/00154</t>
  </si>
  <si>
    <t xml:space="preserve">Rs. 27,02,729</t>
  </si>
  <si>
    <t xml:space="preserve">BPC/25-26/00155</t>
  </si>
  <si>
    <t xml:space="preserve">21-Aug-2025</t>
  </si>
  <si>
    <t xml:space="preserve">PACIFIC RIM MACHINERY PTY LTD.</t>
  </si>
  <si>
    <t xml:space="preserve">BPC/25-26/00156</t>
  </si>
  <si>
    <t xml:space="preserve">BPC/25-26/00157</t>
  </si>
  <si>
    <t xml:space="preserve">Rs. 56,59,489</t>
  </si>
  <si>
    <t xml:space="preserve">BPC/25-26/00158</t>
  </si>
  <si>
    <t xml:space="preserve">1660794.00</t>
  </si>
  <si>
    <t xml:space="preserve">BPC/25-26/00159</t>
  </si>
  <si>
    <t xml:space="preserve">572448.00</t>
  </si>
  <si>
    <t xml:space="preserve">BPC/25-26/00160</t>
  </si>
  <si>
    <t xml:space="preserve">24/08/2025</t>
  </si>
  <si>
    <t xml:space="preserve">BPC/25-26/00161</t>
  </si>
  <si>
    <t xml:space="preserve">25/08/2025</t>
  </si>
  <si>
    <t xml:space="preserve">BPC/25-26/00162</t>
  </si>
  <si>
    <t xml:space="preserve">BPC/25-26/00163</t>
  </si>
  <si>
    <t xml:space="preserve">BPC/25-26/00164</t>
  </si>
  <si>
    <t xml:space="preserve">Kaveri Engineering Works Pvt Limited</t>
  </si>
  <si>
    <t xml:space="preserve">3706475.00</t>
  </si>
  <si>
    <t xml:space="preserve">Rs. 43,73,641</t>
  </si>
  <si>
    <t xml:space="preserve">BPC/25-26/00165</t>
  </si>
  <si>
    <t xml:space="preserve">BPC/25-26/00166</t>
  </si>
  <si>
    <t xml:space="preserve">29-Aug-2025</t>
  </si>
  <si>
    <t xml:space="preserve">BPC/25-26/00167</t>
  </si>
  <si>
    <t xml:space="preserve">BPC/25-26/00168</t>
  </si>
  <si>
    <t xml:space="preserve">BPC/25-26/00169</t>
  </si>
  <si>
    <t xml:space="preserve">Rs. 46,25,885</t>
  </si>
  <si>
    <t xml:space="preserve">BPC/25-26/00170</t>
  </si>
  <si>
    <t xml:space="preserve">BPC/25-26/00171</t>
  </si>
  <si>
    <t xml:space="preserve">BPC/25-26/00172</t>
  </si>
  <si>
    <t xml:space="preserve">BPC/25-26/00173</t>
  </si>
  <si>
    <t xml:space="preserve">03/09/2025</t>
  </si>
  <si>
    <t xml:space="preserve">ORION AFTERMARKET DISTRIBUTORS.</t>
  </si>
  <si>
    <t xml:space="preserve">Rs. 14,09,766</t>
  </si>
  <si>
    <t xml:space="preserve">Rs. 92,41,797</t>
  </si>
  <si>
    <t xml:space="preserve">BPC/25-26/00174</t>
  </si>
  <si>
    <t xml:space="preserve">6222428.00</t>
  </si>
  <si>
    <t xml:space="preserve">BPC/25-26/00175</t>
  </si>
  <si>
    <t xml:space="preserve">BPC/25-26/00176</t>
  </si>
  <si>
    <t xml:space="preserve">BPC/25-26/00177</t>
  </si>
  <si>
    <t xml:space="preserve">11-Sep-2025</t>
  </si>
  <si>
    <t xml:space="preserve">BPC/25-26/00178</t>
  </si>
  <si>
    <t xml:space="preserve">BPC/25-26/00179</t>
  </si>
  <si>
    <t xml:space="preserve">4271680.00</t>
  </si>
  <si>
    <t xml:space="preserve">768902.00</t>
  </si>
  <si>
    <t xml:space="preserve">BPC/25-26/00180</t>
  </si>
  <si>
    <t xml:space="preserve">BPC/25-26/00181</t>
  </si>
  <si>
    <t xml:space="preserve">Rs. 13,26,194</t>
  </si>
  <si>
    <t xml:space="preserve">8693936.00</t>
  </si>
  <si>
    <t xml:space="preserve">BPC/25-26/00182</t>
  </si>
  <si>
    <t xml:space="preserve">Rs. 1,07,38,935</t>
  </si>
  <si>
    <t xml:space="preserve">Rs. 1,26,71,943</t>
  </si>
  <si>
    <t xml:space="preserve">BPC/25-26/00183</t>
  </si>
  <si>
    <t xml:space="preserve">BPC/25-26/00184</t>
  </si>
  <si>
    <t xml:space="preserve">15/09/2025</t>
  </si>
  <si>
    <t xml:space="preserve">Rs. 12,55,578</t>
  </si>
  <si>
    <t xml:space="preserve">Rs. 82,31,009</t>
  </si>
  <si>
    <t xml:space="preserve">15-Sep-2025</t>
  </si>
  <si>
    <t xml:space="preserve">BPC/25-26/00185</t>
  </si>
  <si>
    <t xml:space="preserve">BPC/25-26/00186</t>
  </si>
  <si>
    <t xml:space="preserve">16/09/2025</t>
  </si>
  <si>
    <t xml:space="preserve">2517322.00</t>
  </si>
  <si>
    <t xml:space="preserve">16-Sep-2025</t>
  </si>
  <si>
    <t xml:space="preserve">Rs. 1,39,85,122</t>
  </si>
  <si>
    <t xml:space="preserve">BPC/25-26/00187</t>
  </si>
  <si>
    <t xml:space="preserve">BPC/25-26/00188</t>
  </si>
  <si>
    <t xml:space="preserve">BPC/25-26/00189</t>
  </si>
  <si>
    <t xml:space="preserve">18-Sep-2025</t>
  </si>
  <si>
    <t xml:space="preserve">Page 5 of 14</t>
  </si>
  <si>
    <t xml:space="preserve">BPC/25-26/00190</t>
  </si>
  <si>
    <t xml:space="preserve">BPC/25-26/00191</t>
  </si>
  <si>
    <t xml:space="preserve">BPC/25-26/00192</t>
  </si>
  <si>
    <t xml:space="preserve">Rs. 33,50,320</t>
  </si>
  <si>
    <t xml:space="preserve">BPC/25-26/00193</t>
  </si>
  <si>
    <t xml:space="preserve">BPC/25-26/00194</t>
  </si>
  <si>
    <t xml:space="preserve">BPC/25-26/00195</t>
  </si>
  <si>
    <t xml:space="preserve">BPC/25-26/00196</t>
  </si>
  <si>
    <t xml:space="preserve">Rs. 1,14,91,097</t>
  </si>
  <si>
    <t xml:space="preserve">BPC/25-26/00197</t>
  </si>
  <si>
    <t xml:space="preserve">8170221.00</t>
  </si>
  <si>
    <t xml:space="preserve">BPC/25-26/00198</t>
  </si>
  <si>
    <t xml:space="preserve">BPC/25-26/00199</t>
  </si>
  <si>
    <t xml:space="preserve">BPC/25-26/00200</t>
  </si>
  <si>
    <t xml:space="preserve">3331321.00</t>
  </si>
  <si>
    <t xml:space="preserve">BPC/25-26/00201</t>
  </si>
  <si>
    <t xml:space="preserve">26/09/2025</t>
  </si>
  <si>
    <t xml:space="preserve">Rs. 33,15,287</t>
  </si>
  <si>
    <t xml:space="preserve">BPC/25-26/00202</t>
  </si>
  <si>
    <t xml:space="preserve">5407341.00</t>
  </si>
  <si>
    <t xml:space="preserve">Rs. 54,07,341</t>
  </si>
  <si>
    <t xml:space="preserve">BPC/25-26/00203</t>
  </si>
  <si>
    <t xml:space="preserve">KAVERI ENGINEERING WORKS PVT LTD.</t>
  </si>
  <si>
    <t xml:space="preserve">BPC/25-26/00204</t>
  </si>
  <si>
    <t xml:space="preserve">BPC/25-26/00205</t>
  </si>
  <si>
    <t xml:space="preserve">NorthStar Pumps Pvt Limited</t>
  </si>
  <si>
    <t xml:space="preserve">748247.00</t>
  </si>
  <si>
    <t xml:space="preserve">BPC/25-26/00206</t>
  </si>
  <si>
    <t xml:space="preserve">2744256.00</t>
  </si>
  <si>
    <t xml:space="preserve">493966.00</t>
  </si>
  <si>
    <t xml:space="preserve">Rs. 32,38,222</t>
  </si>
  <si>
    <t xml:space="preserve">BPC/25-26/00207</t>
  </si>
  <si>
    <t xml:space="preserve">Rs. 36,51,093</t>
  </si>
  <si>
    <t xml:space="preserve">BPC/25-26/00208</t>
  </si>
  <si>
    <t xml:space="preserve">ATLAS POWERTRAIN INC.</t>
  </si>
  <si>
    <t xml:space="preserve">BPC/25-26/00209</t>
  </si>
  <si>
    <t xml:space="preserve">BPC/25-26/00210</t>
  </si>
  <si>
    <t xml:space="preserve">BPC/25-26/00211</t>
  </si>
  <si>
    <t xml:space="preserve">BPC/25-26/00212</t>
  </si>
  <si>
    <t xml:space="preserve">BPC/25-26/00213</t>
  </si>
  <si>
    <t xml:space="preserve">BPC/25-26/00214</t>
  </si>
  <si>
    <t xml:space="preserve">11/10/2025</t>
  </si>
  <si>
    <t xml:space="preserve">BPC/25-26/00215</t>
  </si>
  <si>
    <t xml:space="preserve">Rs. 38,48,508</t>
  </si>
  <si>
    <t xml:space="preserve">Rs. 45,41,239</t>
  </si>
  <si>
    <t xml:space="preserve">BPC/25-26/00216</t>
  </si>
  <si>
    <t xml:space="preserve">13-Oct-2025</t>
  </si>
  <si>
    <t xml:space="preserve">BPC/25-26/00217</t>
  </si>
  <si>
    <t xml:space="preserve">4337904.00</t>
  </si>
  <si>
    <t xml:space="preserve">BPC/25-26/00218</t>
  </si>
  <si>
    <t xml:space="preserve">Coromandel Process Industries Limited</t>
  </si>
  <si>
    <t xml:space="preserve">Rs. 6,41,644</t>
  </si>
  <si>
    <t xml:space="preserve">Rs. 42,06,332</t>
  </si>
  <si>
    <t xml:space="preserve">BPC/25-26/00219</t>
  </si>
  <si>
    <t xml:space="preserve">3635175.00</t>
  </si>
  <si>
    <t xml:space="preserve">BPC/25-26/00220</t>
  </si>
  <si>
    <t xml:space="preserve">BPC/25-26/00221</t>
  </si>
  <si>
    <t xml:space="preserve">Tarang Motors Limited</t>
  </si>
  <si>
    <t xml:space="preserve">BPC/25-26/00222</t>
  </si>
  <si>
    <t xml:space="preserve">BPC/25-26/00223</t>
  </si>
  <si>
    <t xml:space="preserve">16/10/2025</t>
  </si>
  <si>
    <t xml:space="preserve">11359294.00</t>
  </si>
  <si>
    <t xml:space="preserve">BPC/25-26/00224</t>
  </si>
  <si>
    <t xml:space="preserve">BPC/25-26/00225</t>
  </si>
  <si>
    <t xml:space="preserve">10966563.00</t>
  </si>
  <si>
    <t xml:space="preserve">Rs. 19,73,981</t>
  </si>
  <si>
    <t xml:space="preserve">BPC/25-26/00226</t>
  </si>
  <si>
    <t xml:space="preserve">6497721.00</t>
  </si>
  <si>
    <t xml:space="preserve">BPC/25-26/00227</t>
  </si>
  <si>
    <t xml:space="preserve">BPC/25-26/00228</t>
  </si>
  <si>
    <t xml:space="preserve">12794705.00</t>
  </si>
  <si>
    <t xml:space="preserve">BPC/25-26/00229</t>
  </si>
  <si>
    <t xml:space="preserve">BPC/25-26/00230</t>
  </si>
  <si>
    <t xml:space="preserve">3627144.00</t>
  </si>
  <si>
    <t xml:space="preserve">Rs. 42,80,030</t>
  </si>
  <si>
    <t xml:space="preserve">BPC/25-26/00231</t>
  </si>
  <si>
    <t xml:space="preserve">2577674.00</t>
  </si>
  <si>
    <t xml:space="preserve">Rs. 4,63,981</t>
  </si>
  <si>
    <t xml:space="preserve">Rs. 30,41,655</t>
  </si>
  <si>
    <t xml:space="preserve">BPC/25-26/00232</t>
  </si>
  <si>
    <t xml:space="preserve">BPC/25-26/00233</t>
  </si>
  <si>
    <t xml:space="preserve">Rs. 27,07,706</t>
  </si>
  <si>
    <t xml:space="preserve">BPC/25-26/00234</t>
  </si>
  <si>
    <t xml:space="preserve">26-Oct-2025</t>
  </si>
  <si>
    <t xml:space="preserve">5745285.00</t>
  </si>
  <si>
    <t xml:space="preserve">BPC/25-26/00235</t>
  </si>
  <si>
    <t xml:space="preserve">4369416.00</t>
  </si>
  <si>
    <t xml:space="preserve">Rs. 51,55,911</t>
  </si>
  <si>
    <t xml:space="preserve">BPC/25-26/00236</t>
  </si>
  <si>
    <t xml:space="preserve">Rs. 7,83,736</t>
  </si>
  <si>
    <t xml:space="preserve">BPC/25-26/00237</t>
  </si>
  <si>
    <t xml:space="preserve">Rs. 5,30,915</t>
  </si>
  <si>
    <t xml:space="preserve">Page 6 of 14</t>
  </si>
  <si>
    <t xml:space="preserve">BPC/25-26/00238</t>
  </si>
  <si>
    <t xml:space="preserve">3296697.00</t>
  </si>
  <si>
    <t xml:space="preserve">BPC/25-26/00239</t>
  </si>
  <si>
    <t xml:space="preserve">Rs. 48,15,717</t>
  </si>
  <si>
    <t xml:space="preserve">BPC/25-26/00240</t>
  </si>
  <si>
    <t xml:space="preserve">Rs. 55,04,058</t>
  </si>
  <si>
    <t xml:space="preserve">Rs. 9,90,730</t>
  </si>
  <si>
    <t xml:space="preserve">BPC/25-26/00241</t>
  </si>
  <si>
    <t xml:space="preserve">BPC/25-26/00242</t>
  </si>
  <si>
    <t xml:space="preserve">31-Oct-2025</t>
  </si>
  <si>
    <t xml:space="preserve">BPC/25-26/00243</t>
  </si>
  <si>
    <t xml:space="preserve">BPC/25-26/00244</t>
  </si>
  <si>
    <t xml:space="preserve">BPC/25-26/00245</t>
  </si>
  <si>
    <t xml:space="preserve">03-Nov-2025</t>
  </si>
  <si>
    <t xml:space="preserve">MERIDIAN GLOBAL GMBH.</t>
  </si>
  <si>
    <t xml:space="preserve">BPC/25-26/00246</t>
  </si>
  <si>
    <t xml:space="preserve">04-Nov-2025</t>
  </si>
  <si>
    <t xml:space="preserve">BPC/25-26/00247</t>
  </si>
  <si>
    <t xml:space="preserve">BPC/25-26/00248</t>
  </si>
  <si>
    <t xml:space="preserve">06-Nov-2025</t>
  </si>
  <si>
    <t xml:space="preserve">BPC/25-26/00249</t>
  </si>
  <si>
    <t xml:space="preserve">07/11/2025</t>
  </si>
  <si>
    <t xml:space="preserve">BPC/25-26/00250</t>
  </si>
  <si>
    <t xml:space="preserve">5927398.00</t>
  </si>
  <si>
    <t xml:space="preserve">BPC/25-26/00251</t>
  </si>
  <si>
    <t xml:space="preserve">08-Nov-2025</t>
  </si>
  <si>
    <t xml:space="preserve">4613577.00</t>
  </si>
  <si>
    <t xml:space="preserve">BPC/25-26/00252</t>
  </si>
  <si>
    <t xml:space="preserve">BPC/25-26/00253</t>
  </si>
  <si>
    <t xml:space="preserve">09-Nov-2025</t>
  </si>
  <si>
    <t xml:space="preserve">BPC/25-26/00254</t>
  </si>
  <si>
    <t xml:space="preserve">Rs. 8,01,138</t>
  </si>
  <si>
    <t xml:space="preserve">BPC/25-26/00255</t>
  </si>
  <si>
    <t xml:space="preserve">BPC/25-26/00256</t>
  </si>
  <si>
    <t xml:space="preserve">BPC/25-26/00257</t>
  </si>
  <si>
    <t xml:space="preserve">BPC/25-26/00258</t>
  </si>
  <si>
    <t xml:space="preserve">BPC/25-26/00259</t>
  </si>
  <si>
    <t xml:space="preserve">Rs. 12,51,839</t>
  </si>
  <si>
    <t xml:space="preserve">8206500.00</t>
  </si>
  <si>
    <t xml:space="preserve">BPC/25-26/00260</t>
  </si>
  <si>
    <t xml:space="preserve">17-Nov-2025</t>
  </si>
  <si>
    <t xml:space="preserve">Rs. 73,45,180</t>
  </si>
  <si>
    <t xml:space="preserve">BPC/25-26/00261</t>
  </si>
  <si>
    <t xml:space="preserve">Rs. 4,69,395</t>
  </si>
  <si>
    <t xml:space="preserve">3077143.00</t>
  </si>
  <si>
    <t xml:space="preserve">BPC/25-26/00262</t>
  </si>
  <si>
    <t xml:space="preserve">20-Nov-2025</t>
  </si>
  <si>
    <t xml:space="preserve">BPC/25-26/00263</t>
  </si>
  <si>
    <t xml:space="preserve">Rs. 5,61,199</t>
  </si>
  <si>
    <t xml:space="preserve">BPC/25-26/00264</t>
  </si>
  <si>
    <t xml:space="preserve">Rs. 46,26,146</t>
  </si>
  <si>
    <t xml:space="preserve">BPC/25-26/00265</t>
  </si>
  <si>
    <t xml:space="preserve">Rs. 73,87,984</t>
  </si>
  <si>
    <t xml:space="preserve">BPC/25-26/00266</t>
  </si>
  <si>
    <t xml:space="preserve">Rs. 31,50,960</t>
  </si>
  <si>
    <t xml:space="preserve">Rs. 2,06,56,295</t>
  </si>
  <si>
    <t xml:space="preserve">BPC/25-26/00267</t>
  </si>
  <si>
    <t xml:space="preserve">23/11/2025</t>
  </si>
  <si>
    <t xml:space="preserve">BPC/25-26/00268</t>
  </si>
  <si>
    <t xml:space="preserve">Rs. 90,84,637</t>
  </si>
  <si>
    <t xml:space="preserve">BPC/25-26/00269</t>
  </si>
  <si>
    <t xml:space="preserve">BPC/25-26/00270</t>
  </si>
  <si>
    <t xml:space="preserve">HIMALAYA VALVES &amp; PUMPS PVT LTD.</t>
  </si>
  <si>
    <t xml:space="preserve">Rs. 1,08,71,657</t>
  </si>
  <si>
    <t xml:space="preserve">12828555.00</t>
  </si>
  <si>
    <t xml:space="preserve">BPC/25-26/00271</t>
  </si>
  <si>
    <t xml:space="preserve">BPC/25-26/00272</t>
  </si>
  <si>
    <t xml:space="preserve">6067613.00</t>
  </si>
  <si>
    <t xml:space="preserve">Rs. 71,59,783</t>
  </si>
  <si>
    <t xml:space="preserve">BPC/25-26/00273</t>
  </si>
  <si>
    <t xml:space="preserve">BPC/25-26/00274</t>
  </si>
  <si>
    <t xml:space="preserve">928683.00</t>
  </si>
  <si>
    <t xml:space="preserve">Rs. 60,88,031</t>
  </si>
  <si>
    <t xml:space="preserve">BPC/25-26/00275</t>
  </si>
  <si>
    <t xml:space="preserve">BPC/25-26/00276</t>
  </si>
  <si>
    <t xml:space="preserve">9596565.00</t>
  </si>
  <si>
    <t xml:space="preserve">BPC/25-26/00277</t>
  </si>
  <si>
    <t xml:space="preserve">28-Nov-2025</t>
  </si>
  <si>
    <t xml:space="preserve">BPC/25-26/00278</t>
  </si>
  <si>
    <t xml:space="preserve">Rs. 32,13,092</t>
  </si>
  <si>
    <t xml:space="preserve">BPC/25-26/00279</t>
  </si>
  <si>
    <t xml:space="preserve">MARATHWADA COMMERCIAL VEHICLES LTD.</t>
  </si>
  <si>
    <t xml:space="preserve">819336.00</t>
  </si>
  <si>
    <t xml:space="preserve">BPC/25-26/00280</t>
  </si>
  <si>
    <t xml:space="preserve">GANGA PETROCHEM LTD.</t>
  </si>
  <si>
    <t xml:space="preserve">BPC/25-26/00281</t>
  </si>
  <si>
    <t xml:space="preserve">02/12/2025</t>
  </si>
  <si>
    <t xml:space="preserve">BPC/25-26/00282</t>
  </si>
  <si>
    <t xml:space="preserve">Rs. 45,40,382</t>
  </si>
  <si>
    <t xml:space="preserve">Rs. 53,57,651</t>
  </si>
  <si>
    <t xml:space="preserve">BPC/25-26/00283</t>
  </si>
  <si>
    <t xml:space="preserve">1350093.00</t>
  </si>
  <si>
    <t xml:space="preserve">Rs. 88,50,611</t>
  </si>
  <si>
    <t xml:space="preserve">BPC/25-26/00284</t>
  </si>
  <si>
    <t xml:space="preserve">04-Dec-2025</t>
  </si>
  <si>
    <t xml:space="preserve">4653833.00</t>
  </si>
  <si>
    <t xml:space="preserve">BPC/25-26/00285</t>
  </si>
  <si>
    <t xml:space="preserve">Rs. 87,52,161</t>
  </si>
  <si>
    <t xml:space="preserve">Page 7 of 14</t>
  </si>
  <si>
    <t xml:space="preserve">BPC/25-26/00286</t>
  </si>
  <si>
    <t xml:space="preserve">BPC/25-26/00287</t>
  </si>
  <si>
    <t xml:space="preserve">BPC/25-26/00288</t>
  </si>
  <si>
    <t xml:space="preserve">06-Dec-2025</t>
  </si>
  <si>
    <t xml:space="preserve">BPC/25-26/00289</t>
  </si>
  <si>
    <t xml:space="preserve">08-Dec-2025</t>
  </si>
  <si>
    <t xml:space="preserve">BPC/25-26/00290</t>
  </si>
  <si>
    <t xml:space="preserve">6808543.00</t>
  </si>
  <si>
    <t xml:space="preserve">BPC/25-26/00291</t>
  </si>
  <si>
    <t xml:space="preserve">BPC/25-26/00292</t>
  </si>
  <si>
    <t xml:space="preserve">Rs. 1,06,71,120</t>
  </si>
  <si>
    <t xml:space="preserve">12591922.00</t>
  </si>
  <si>
    <t xml:space="preserve">BPC/25-26/00293</t>
  </si>
  <si>
    <t xml:space="preserve">BPC/25-26/00294</t>
  </si>
  <si>
    <t xml:space="preserve">12/12/2025</t>
  </si>
  <si>
    <t xml:space="preserve">6507127.00</t>
  </si>
  <si>
    <t xml:space="preserve">BPC/25-26/00295</t>
  </si>
  <si>
    <t xml:space="preserve">8993493.00</t>
  </si>
  <si>
    <t xml:space="preserve">BPC/25-26/00296</t>
  </si>
  <si>
    <t xml:space="preserve">Rs. 4,89,735</t>
  </si>
  <si>
    <t xml:space="preserve">BPC/25-26/00297</t>
  </si>
  <si>
    <t xml:space="preserve">15/12/2025</t>
  </si>
  <si>
    <t xml:space="preserve">9857874.00</t>
  </si>
  <si>
    <t xml:space="preserve">BPC/25-26/00298</t>
  </si>
  <si>
    <t xml:space="preserve">Rs. 38,91,077</t>
  </si>
  <si>
    <t xml:space="preserve">BPC/25-26/00299</t>
  </si>
  <si>
    <t xml:space="preserve">Rs. 4,73,491</t>
  </si>
  <si>
    <t xml:space="preserve">BPC/25-26/00300</t>
  </si>
  <si>
    <t xml:space="preserve">BPC/25-26/00301</t>
  </si>
  <si>
    <t xml:space="preserve">Rs. 26,59,790</t>
  </si>
  <si>
    <t xml:space="preserve">Rs. 4,78,762</t>
  </si>
  <si>
    <t xml:space="preserve">BPC/25-26/00302</t>
  </si>
  <si>
    <t xml:space="preserve">18/12/2025</t>
  </si>
  <si>
    <t xml:space="preserve">BPC/25-26/00303</t>
  </si>
  <si>
    <t xml:space="preserve">2788187.00</t>
  </si>
  <si>
    <t xml:space="preserve">Part shipment</t>
  </si>
  <si>
    <t xml:space="preserve">BPC/25-26/00304</t>
  </si>
  <si>
    <t xml:space="preserve">BPC/25-26/00305</t>
  </si>
  <si>
    <t xml:space="preserve">21/12/2025</t>
  </si>
  <si>
    <t xml:space="preserve">11733874.00</t>
  </si>
  <si>
    <t xml:space="preserve">Rs. 1,38,45,971</t>
  </si>
  <si>
    <t xml:space="preserve">BPC/25-26/00306</t>
  </si>
  <si>
    <t xml:space="preserve">Rs. 4,93,671</t>
  </si>
  <si>
    <t xml:space="preserve">Rs. 32,36,289</t>
  </si>
  <si>
    <t xml:space="preserve">BPC/25-26/00307</t>
  </si>
  <si>
    <t xml:space="preserve">22-Dec-2025</t>
  </si>
  <si>
    <t xml:space="preserve">Rs. 78,18,076</t>
  </si>
  <si>
    <t xml:space="preserve">BPC/25-26/00308</t>
  </si>
  <si>
    <t xml:space="preserve">Rs. 69,46,843</t>
  </si>
  <si>
    <t xml:space="preserve">BPC/25-26/00309</t>
  </si>
  <si>
    <t xml:space="preserve">Rs. 5,70,647</t>
  </si>
  <si>
    <t xml:space="preserve">BPC/25-26/00310</t>
  </si>
  <si>
    <t xml:space="preserve">Rs. 4,99,180</t>
  </si>
  <si>
    <t xml:space="preserve">3272404.00</t>
  </si>
  <si>
    <t xml:space="preserve">BPC/25-26/00311</t>
  </si>
  <si>
    <t xml:space="preserve">23-Dec-2025</t>
  </si>
  <si>
    <t xml:space="preserve">BPC/25-26/00312</t>
  </si>
  <si>
    <t xml:space="preserve">Rs. 68,61,070</t>
  </si>
  <si>
    <t xml:space="preserve">BPC/25-26/00313</t>
  </si>
  <si>
    <t xml:space="preserve">Rs. 13,12,552</t>
  </si>
  <si>
    <t xml:space="preserve">Rs. 86,04,505</t>
  </si>
  <si>
    <t xml:space="preserve">BPC/25-26/00314</t>
  </si>
  <si>
    <t xml:space="preserve">BPC/25-26/00315</t>
  </si>
  <si>
    <t xml:space="preserve">BPC/25-26/00316</t>
  </si>
  <si>
    <t xml:space="preserve">25/12/2025</t>
  </si>
  <si>
    <t xml:space="preserve">Rs. 69,78,394</t>
  </si>
  <si>
    <t xml:space="preserve">Rs. 82,34,505</t>
  </si>
  <si>
    <t xml:space="preserve">BPC/25-26/00317</t>
  </si>
  <si>
    <t xml:space="preserve">BPC/25-26/00318</t>
  </si>
  <si>
    <t xml:space="preserve">Rs. 29,50,201</t>
  </si>
  <si>
    <t xml:space="preserve">BPC/25-26/00319</t>
  </si>
  <si>
    <t xml:space="preserve">BPC/25-26/00320</t>
  </si>
  <si>
    <t xml:space="preserve">Rs. 73,91,409</t>
  </si>
  <si>
    <t xml:space="preserve">BPC/25-26/00321</t>
  </si>
  <si>
    <t xml:space="preserve">BPC/25-26/00322</t>
  </si>
  <si>
    <t xml:space="preserve">Rs. 38,90,858</t>
  </si>
  <si>
    <t xml:space="preserve">BPC/25-26/00323</t>
  </si>
  <si>
    <t xml:space="preserve">BPC/25-26/00324</t>
  </si>
  <si>
    <t xml:space="preserve">04/01/2026</t>
  </si>
  <si>
    <t xml:space="preserve">BPC/25-26/00325</t>
  </si>
  <si>
    <t xml:space="preserve">05-Jan-2026</t>
  </si>
  <si>
    <t xml:space="preserve">BPC/25-26/00326</t>
  </si>
  <si>
    <t xml:space="preserve">05/01/2026</t>
  </si>
  <si>
    <t xml:space="preserve">BPC/25-26/00327</t>
  </si>
  <si>
    <t xml:space="preserve">08/01/2026</t>
  </si>
  <si>
    <t xml:space="preserve">Rs. 57,91,703</t>
  </si>
  <si>
    <t xml:space="preserve">BPC/25-26/00328</t>
  </si>
  <si>
    <t xml:space="preserve">7709440.00</t>
  </si>
  <si>
    <t xml:space="preserve">Rs. 90,97,139</t>
  </si>
  <si>
    <t xml:space="preserve">BPC/25-26/00329</t>
  </si>
  <si>
    <t xml:space="preserve">09-Jan-2026</t>
  </si>
  <si>
    <t xml:space="preserve">BPC/25-26/00330</t>
  </si>
  <si>
    <t xml:space="preserve">10-Jan-2026</t>
  </si>
  <si>
    <t xml:space="preserve">BPC/25-26/00331</t>
  </si>
  <si>
    <t xml:space="preserve">BPC/25-26/00332</t>
  </si>
  <si>
    <t xml:space="preserve">12/01/2026</t>
  </si>
  <si>
    <t xml:space="preserve">BPC/25-26/00333</t>
  </si>
  <si>
    <t xml:space="preserve">13-Jan-2026</t>
  </si>
  <si>
    <t xml:space="preserve">Page 8 of 14</t>
  </si>
  <si>
    <t xml:space="preserve">BPC/25-26/00334</t>
  </si>
  <si>
    <t xml:space="preserve">2823779.00</t>
  </si>
  <si>
    <t xml:space="preserve">BPC/25-26/00335</t>
  </si>
  <si>
    <t xml:space="preserve">BPC/25-26/00336</t>
  </si>
  <si>
    <t xml:space="preserve">790307.00</t>
  </si>
  <si>
    <t xml:space="preserve">BPC/25-26/00337</t>
  </si>
  <si>
    <t xml:space="preserve">BPC/25-26/00338</t>
  </si>
  <si>
    <t xml:space="preserve">Rs. 36,90,681</t>
  </si>
  <si>
    <t xml:space="preserve">BPC/25-26/00339</t>
  </si>
  <si>
    <t xml:space="preserve">Rs. 10,27,408</t>
  </si>
  <si>
    <t xml:space="preserve">BPC/25-26/00340</t>
  </si>
  <si>
    <t xml:space="preserve">BPC/25-26/00341</t>
  </si>
  <si>
    <t xml:space="preserve">3239859.00</t>
  </si>
  <si>
    <t xml:space="preserve">BPC/25-26/00342</t>
  </si>
  <si>
    <t xml:space="preserve">BPC/25-26/00343</t>
  </si>
  <si>
    <t xml:space="preserve">647125.00</t>
  </si>
  <si>
    <t xml:space="preserve">BPC/25-26/00344</t>
  </si>
  <si>
    <t xml:space="preserve">BPC/25-26/00345</t>
  </si>
  <si>
    <t xml:space="preserve">BPC/25-26/00346</t>
  </si>
  <si>
    <t xml:space="preserve">Rs. 51,06,577</t>
  </si>
  <si>
    <t xml:space="preserve">BPC/25-26/00347</t>
  </si>
  <si>
    <t xml:space="preserve">Rs. 24,36,476</t>
  </si>
  <si>
    <t xml:space="preserve">BPC/25-26/00348</t>
  </si>
  <si>
    <t xml:space="preserve">4583496.00</t>
  </si>
  <si>
    <t xml:space="preserve">BPC/25-26/00349</t>
  </si>
  <si>
    <t xml:space="preserve">6293241.00</t>
  </si>
  <si>
    <t xml:space="preserve">BPC/25-26/00350</t>
  </si>
  <si>
    <t xml:space="preserve">3267534.00</t>
  </si>
  <si>
    <t xml:space="preserve">BPC/25-26/00351</t>
  </si>
  <si>
    <t xml:space="preserve">Rs. 58,93,072</t>
  </si>
  <si>
    <t xml:space="preserve">BPC/25-26/00352</t>
  </si>
  <si>
    <t xml:space="preserve">Rs. 12,17,924</t>
  </si>
  <si>
    <t xml:space="preserve">Rs. 79,84,166</t>
  </si>
  <si>
    <t xml:space="preserve">BPC/25-26/00353</t>
  </si>
  <si>
    <t xml:space="preserve">BPC/25-26/00354</t>
  </si>
  <si>
    <t xml:space="preserve">SUNRISE INFRA PROJECTS PVT LTD.</t>
  </si>
  <si>
    <t xml:space="preserve">BPC/25-26/00355</t>
  </si>
  <si>
    <t xml:space="preserve">BPC/25-26/00356</t>
  </si>
  <si>
    <t xml:space="preserve">Rs. 48,37,799</t>
  </si>
  <si>
    <t xml:space="preserve">BPC/25-26/00357</t>
  </si>
  <si>
    <t xml:space="preserve">Rs. 2,05,81,948</t>
  </si>
  <si>
    <t xml:space="preserve">Rs. 37,04,751</t>
  </si>
  <si>
    <t xml:space="preserve">BPC/25-26/00358</t>
  </si>
  <si>
    <t xml:space="preserve">BPC/25-26/00359</t>
  </si>
  <si>
    <t xml:space="preserve">Rs. 67,76,118</t>
  </si>
  <si>
    <t xml:space="preserve">BPC/25-26/00360</t>
  </si>
  <si>
    <t xml:space="preserve">Rs. 32,78,922</t>
  </si>
  <si>
    <t xml:space="preserve">21495154.00</t>
  </si>
  <si>
    <t xml:space="preserve">BPC/25-26/00361</t>
  </si>
  <si>
    <t xml:space="preserve">4965572.00</t>
  </si>
  <si>
    <t xml:space="preserve">BPC/25-26/00362</t>
  </si>
  <si>
    <t xml:space="preserve">BPC/25-26/00363</t>
  </si>
  <si>
    <t xml:space="preserve">08-Feb-2026</t>
  </si>
  <si>
    <t xml:space="preserve">Rs. 28,22,725</t>
  </si>
  <si>
    <t xml:space="preserve">BPC/25-26/00364</t>
  </si>
  <si>
    <t xml:space="preserve">BPC/25-26/00365</t>
  </si>
  <si>
    <t xml:space="preserve">5468752.00</t>
  </si>
  <si>
    <t xml:space="preserve">Rs. 9,84,375</t>
  </si>
  <si>
    <t xml:space="preserve">6453127.00</t>
  </si>
  <si>
    <t xml:space="preserve">BPC/25-26/00366</t>
  </si>
  <si>
    <t xml:space="preserve">BPC/25-26/00367</t>
  </si>
  <si>
    <t xml:space="preserve">BPC/25-26/00368</t>
  </si>
  <si>
    <t xml:space="preserve">Rs. 7,10,330</t>
  </si>
  <si>
    <t xml:space="preserve">BPC/25-26/00369</t>
  </si>
  <si>
    <t xml:space="preserve">Rs. 89,94,423</t>
  </si>
  <si>
    <t xml:space="preserve">BPC/25-26/00370</t>
  </si>
  <si>
    <t xml:space="preserve">4995482.00</t>
  </si>
  <si>
    <t xml:space="preserve">Rs. 8,99,187</t>
  </si>
  <si>
    <t xml:space="preserve">BPC/25-26/00371</t>
  </si>
  <si>
    <t xml:space="preserve">14-Feb-2026</t>
  </si>
  <si>
    <t xml:space="preserve">BPC/25-26/00372</t>
  </si>
  <si>
    <t xml:space="preserve">15-Feb-2026</t>
  </si>
  <si>
    <t xml:space="preserve">Rs. 98,44,912</t>
  </si>
  <si>
    <t xml:space="preserve">Rs. 17,72,084</t>
  </si>
  <si>
    <t xml:space="preserve">BPC/25-26/00373</t>
  </si>
  <si>
    <t xml:space="preserve">6002691.00</t>
  </si>
  <si>
    <t xml:space="preserve">BPC/25-26/00374</t>
  </si>
  <si>
    <t xml:space="preserve">17-Feb-2026</t>
  </si>
  <si>
    <t xml:space="preserve">BPC/25-26/00375</t>
  </si>
  <si>
    <t xml:space="preserve">BPC/25-26/00376</t>
  </si>
  <si>
    <t xml:space="preserve">20-Feb-2026</t>
  </si>
  <si>
    <t xml:space="preserve">BPC/25-26/00377</t>
  </si>
  <si>
    <t xml:space="preserve">21-Feb-2026</t>
  </si>
  <si>
    <t xml:space="preserve">BPC/25-26/00378</t>
  </si>
  <si>
    <t xml:space="preserve">BPC/25-26/00379</t>
  </si>
  <si>
    <t xml:space="preserve">Rs. 18,98,720</t>
  </si>
  <si>
    <t xml:space="preserve">BPC/25-26/00380</t>
  </si>
  <si>
    <t xml:space="preserve">23/02/2026</t>
  </si>
  <si>
    <t xml:space="preserve">Rs. 67,52,775</t>
  </si>
  <si>
    <t xml:space="preserve">BPC/25-26/00381</t>
  </si>
  <si>
    <t xml:space="preserve">Page 9 of 14</t>
  </si>
  <si>
    <t xml:space="preserve">BPC/25-26/00382</t>
  </si>
  <si>
    <t xml:space="preserve">Rs. 92,97,955</t>
  </si>
  <si>
    <t xml:space="preserve">BPC/25-26/00383</t>
  </si>
  <si>
    <t xml:space="preserve">4156429.00</t>
  </si>
  <si>
    <t xml:space="preserve">BPC/25-26/00384</t>
  </si>
  <si>
    <t xml:space="preserve">Rs. 67,60,353</t>
  </si>
  <si>
    <t xml:space="preserve">7977217.00</t>
  </si>
  <si>
    <t xml:space="preserve">BPC/25-26/00385</t>
  </si>
  <si>
    <t xml:space="preserve">578374.00</t>
  </si>
  <si>
    <t xml:space="preserve">BPC/25-26/00386</t>
  </si>
  <si>
    <t xml:space="preserve">25-Feb-2026</t>
  </si>
  <si>
    <t xml:space="preserve">BPC/25-26/00387</t>
  </si>
  <si>
    <t xml:space="preserve">26/02/2026</t>
  </si>
  <si>
    <t xml:space="preserve">BPC/25-26/00388</t>
  </si>
  <si>
    <t xml:space="preserve">28-Feb-2026</t>
  </si>
  <si>
    <t xml:space="preserve">BPC/25-26/00389</t>
  </si>
  <si>
    <t xml:space="preserve">04-Mar-2026</t>
  </si>
  <si>
    <t xml:space="preserve">BPC/25-26/00390</t>
  </si>
  <si>
    <t xml:space="preserve">10935796.00</t>
  </si>
  <si>
    <t xml:space="preserve">Rs. 1,29,04,239</t>
  </si>
  <si>
    <t xml:space="preserve">BPC/25-26/00391</t>
  </si>
  <si>
    <t xml:space="preserve">Rs. 8,46,996</t>
  </si>
  <si>
    <t xml:space="preserve">5552529.00</t>
  </si>
  <si>
    <t xml:space="preserve">BPC/25-26/00392</t>
  </si>
  <si>
    <t xml:space="preserve">Rs. 4,62,150</t>
  </si>
  <si>
    <t xml:space="preserve">BPC/25-26/00393</t>
  </si>
  <si>
    <t xml:space="preserve">06/03/2026</t>
  </si>
  <si>
    <t xml:space="preserve">BPC/25-26/00394</t>
  </si>
  <si>
    <t xml:space="preserve">07-Mar-2026</t>
  </si>
  <si>
    <t xml:space="preserve">BPC/25-26/00395</t>
  </si>
  <si>
    <t xml:space="preserve">8458178.00</t>
  </si>
  <si>
    <t xml:space="preserve">BPC/25-26/00396</t>
  </si>
  <si>
    <t xml:space="preserve">08-Mar-2026</t>
  </si>
  <si>
    <t xml:space="preserve">Rs. 77,65,255</t>
  </si>
  <si>
    <t xml:space="preserve">BPC/25-26/00397</t>
  </si>
  <si>
    <t xml:space="preserve">773892.00</t>
  </si>
  <si>
    <t xml:space="preserve">5073290.00</t>
  </si>
  <si>
    <t xml:space="preserve">BPC/25-26/00398</t>
  </si>
  <si>
    <t xml:space="preserve">5178671.00</t>
  </si>
  <si>
    <t xml:space="preserve">BPC/25-26/00399</t>
  </si>
  <si>
    <t xml:space="preserve">Rs. 81,49,952</t>
  </si>
  <si>
    <t xml:space="preserve">BPC/25-26/00400</t>
  </si>
  <si>
    <t xml:space="preserve">09-Mar-2026</t>
  </si>
  <si>
    <t xml:space="preserve">BPC/25-26/00401</t>
  </si>
  <si>
    <t xml:space="preserve">Rs. 1,14,77,307</t>
  </si>
  <si>
    <t xml:space="preserve">Rs. 20,65,915</t>
  </si>
  <si>
    <t xml:space="preserve">BPC/25-26/00402</t>
  </si>
  <si>
    <t xml:space="preserve">4391038.00</t>
  </si>
  <si>
    <t xml:space="preserve">BPC/25-26/00403</t>
  </si>
  <si>
    <t xml:space="preserve">BPC/25-26/00404</t>
  </si>
  <si>
    <t xml:space="preserve">BPC/25-26/00405</t>
  </si>
  <si>
    <t xml:space="preserve">Rs. 10,54,954</t>
  </si>
  <si>
    <t xml:space="preserve">6915810.00</t>
  </si>
  <si>
    <t xml:space="preserve">BPC/25-26/00406</t>
  </si>
  <si>
    <t xml:space="preserve">Rs. 9,42,871</t>
  </si>
  <si>
    <t xml:space="preserve">BPC/25-26/00407</t>
  </si>
  <si>
    <t xml:space="preserve">Rs. 12,63,817</t>
  </si>
  <si>
    <t xml:space="preserve">BPC/25-26/00408</t>
  </si>
  <si>
    <t xml:space="preserve">9606872.00</t>
  </si>
  <si>
    <t xml:space="preserve">BPC/25-26/00409</t>
  </si>
  <si>
    <t xml:space="preserve">8982993.00</t>
  </si>
  <si>
    <t xml:space="preserve">BPC/25-26/00410</t>
  </si>
  <si>
    <t xml:space="preserve">BPC/25-26/00411</t>
  </si>
  <si>
    <t xml:space="preserve">18-Mar-2026</t>
  </si>
  <si>
    <t xml:space="preserve">Rs. 1,31,28,214</t>
  </si>
  <si>
    <t xml:space="preserve">BPC/25-26/00412</t>
  </si>
  <si>
    <t xml:space="preserve">19/03/2026</t>
  </si>
  <si>
    <t xml:space="preserve">BPC/25-26/00413</t>
  </si>
  <si>
    <t xml:space="preserve">19-Mar-2026</t>
  </si>
  <si>
    <t xml:space="preserve">Rs. 40,14,471</t>
  </si>
  <si>
    <t xml:space="preserve">BPC/25-26/00414</t>
  </si>
  <si>
    <t xml:space="preserve">20-Mar-2026</t>
  </si>
  <si>
    <t xml:space="preserve">BPC/25-26/00415</t>
  </si>
  <si>
    <t xml:space="preserve">BPC/25-26/00416</t>
  </si>
  <si>
    <t xml:space="preserve">BPC/25-26/00417</t>
  </si>
  <si>
    <t xml:space="preserve">BPC/25-26/00418</t>
  </si>
  <si>
    <t xml:space="preserve">BPC/25-26/00419</t>
  </si>
  <si>
    <t xml:space="preserve">11289093.00</t>
  </si>
  <si>
    <t xml:space="preserve">BPC/25-26/00420</t>
  </si>
  <si>
    <t xml:space="preserve">26-Mar-2026</t>
  </si>
  <si>
    <t xml:space="preserve">BPC/25-26/00421</t>
  </si>
  <si>
    <t xml:space="preserve">BPC/25-26/00422</t>
  </si>
  <si>
    <t xml:space="preserve">Rs. 9,28,770</t>
  </si>
  <si>
    <t xml:space="preserve">BPC/25-26/00423</t>
  </si>
  <si>
    <t xml:space="preserve">Rs. 15,54,172</t>
  </si>
  <si>
    <t xml:space="preserve">10188460.00</t>
  </si>
  <si>
    <t xml:space="preserve">BPC/25-26/00424</t>
  </si>
  <si>
    <t xml:space="preserve">28/03/2026</t>
  </si>
  <si>
    <t xml:space="preserve">BPC/25-26/00425</t>
  </si>
  <si>
    <t xml:space="preserve">29-Mar-2026</t>
  </si>
  <si>
    <t xml:space="preserve">BPC/25-26/00426</t>
  </si>
  <si>
    <t xml:space="preserve">30-Mar-2026</t>
  </si>
  <si>
    <t xml:space="preserve">BPC/25-26/00427</t>
  </si>
  <si>
    <t xml:space="preserve">BPC/25-26/00428</t>
  </si>
  <si>
    <t xml:space="preserve">BPC/26-27/00001</t>
  </si>
  <si>
    <t xml:space="preserve">01-Apr-2026</t>
  </si>
  <si>
    <t xml:space="preserve">Page 10 of 14</t>
  </si>
  <si>
    <t xml:space="preserve">BPC/26-27/00002</t>
  </si>
  <si>
    <t xml:space="preserve">02/04/2026</t>
  </si>
  <si>
    <t xml:space="preserve">BPC/26-27/00003</t>
  </si>
  <si>
    <t xml:space="preserve">BPC/26-27/00004</t>
  </si>
  <si>
    <t xml:space="preserve">04-Apr-2026</t>
  </si>
  <si>
    <t xml:space="preserve">Rs. 55,67,479</t>
  </si>
  <si>
    <t xml:space="preserve">BPC/26-27/00005</t>
  </si>
  <si>
    <t xml:space="preserve">Rs. 66,86,319</t>
  </si>
  <si>
    <t xml:space="preserve">7889856.00</t>
  </si>
  <si>
    <t xml:space="preserve">BPC/26-27/00006</t>
  </si>
  <si>
    <t xml:space="preserve">2552569.00</t>
  </si>
  <si>
    <t xml:space="preserve">BPC/26-27/00007</t>
  </si>
  <si>
    <t xml:space="preserve">08-Apr-2026</t>
  </si>
  <si>
    <t xml:space="preserve">BPC/26-27/00008</t>
  </si>
  <si>
    <t xml:space="preserve">BPC/26-27/00009</t>
  </si>
  <si>
    <t xml:space="preserve">BPC/26-27/00010</t>
  </si>
  <si>
    <t xml:space="preserve">Rs. 42,67,452</t>
  </si>
  <si>
    <t xml:space="preserve">BPC/26-27/00011</t>
  </si>
  <si>
    <t xml:space="preserve">BPC/26-27/00012</t>
  </si>
  <si>
    <t xml:space="preserve">BPC/26-27/00013</t>
  </si>
  <si>
    <t xml:space="preserve">14-Apr-2026</t>
  </si>
  <si>
    <t xml:space="preserve">BPC/26-27/00014</t>
  </si>
  <si>
    <t xml:space="preserve">BPC/26-27/00015</t>
  </si>
  <si>
    <t xml:space="preserve">Rs. 67,27,443</t>
  </si>
  <si>
    <t xml:space="preserve">BPC/26-27/00016</t>
  </si>
  <si>
    <t xml:space="preserve">17-Apr-2026</t>
  </si>
  <si>
    <t xml:space="preserve">BPC/26-27/00017</t>
  </si>
  <si>
    <t xml:space="preserve">BPC/26-27/00018</t>
  </si>
  <si>
    <t xml:space="preserve">BPC/26-27/00019</t>
  </si>
  <si>
    <t xml:space="preserve">21-Apr-2026</t>
  </si>
  <si>
    <t xml:space="preserve">BPC/26-27/00020</t>
  </si>
  <si>
    <t xml:space="preserve">Rs. 96,22,607</t>
  </si>
  <si>
    <t xml:space="preserve">BPC/26-27/00021</t>
  </si>
  <si>
    <t xml:space="preserve">22-Apr-2026</t>
  </si>
  <si>
    <t xml:space="preserve">Rs. 26,62,866</t>
  </si>
  <si>
    <t xml:space="preserve">BPC/26-27/00022</t>
  </si>
  <si>
    <t xml:space="preserve">BPC/26-27/00023</t>
  </si>
  <si>
    <t xml:space="preserve">BPC/26-27/00024</t>
  </si>
  <si>
    <t xml:space="preserve">23-Apr-2026</t>
  </si>
  <si>
    <t xml:space="preserve">BPC/26-27/00025</t>
  </si>
  <si>
    <t xml:space="preserve">Rs. 10,90,751</t>
  </si>
  <si>
    <t xml:space="preserve">BPC/26-27/00026</t>
  </si>
  <si>
    <t xml:space="preserve">24-Apr-2026</t>
  </si>
  <si>
    <t xml:space="preserve">991357.00</t>
  </si>
  <si>
    <t xml:space="preserve">Rs. 64,98,896</t>
  </si>
  <si>
    <t xml:space="preserve">BPC/26-27/00027</t>
  </si>
  <si>
    <t xml:space="preserve">25/04/2026</t>
  </si>
  <si>
    <t xml:space="preserve">BPC/26-27/00028</t>
  </si>
  <si>
    <t xml:space="preserve">25-Apr-2026</t>
  </si>
  <si>
    <t xml:space="preserve">Rs. 22,14,605</t>
  </si>
  <si>
    <t xml:space="preserve">Rs. 1,45,17,967</t>
  </si>
  <si>
    <t xml:space="preserve">BPC/26-27/00029</t>
  </si>
  <si>
    <t xml:space="preserve">BPC/26-27/00030</t>
  </si>
  <si>
    <t xml:space="preserve">3943903.00</t>
  </si>
  <si>
    <t xml:space="preserve">BPC/26-27/00031</t>
  </si>
  <si>
    <t xml:space="preserve">BPC/26-27/00032</t>
  </si>
  <si>
    <t xml:space="preserve">TARANG MOTORS LTD.</t>
  </si>
  <si>
    <t xml:space="preserve">Rs. 84,86,873</t>
  </si>
  <si>
    <t xml:space="preserve">BPC/26-27/00033</t>
  </si>
  <si>
    <t xml:space="preserve">01-May-2026</t>
  </si>
  <si>
    <t xml:space="preserve">3313820.00</t>
  </si>
  <si>
    <t xml:space="preserve">BPC/26-27/00034</t>
  </si>
  <si>
    <t xml:space="preserve">03-May-2026</t>
  </si>
  <si>
    <t xml:space="preserve">BPC/26-27/00035</t>
  </si>
  <si>
    <t xml:space="preserve">BPC/26-27/00036</t>
  </si>
  <si>
    <t xml:space="preserve">BPC/26-27/00037</t>
  </si>
  <si>
    <t xml:space="preserve">BPC/26-27/00038</t>
  </si>
  <si>
    <t xml:space="preserve">2174742.00</t>
  </si>
  <si>
    <t xml:space="preserve">Rs. 1,42,56,643</t>
  </si>
  <si>
    <t xml:space="preserve">BPC/26-27/00039</t>
  </si>
  <si>
    <t xml:space="preserve">Rs. 17,04,487</t>
  </si>
  <si>
    <t xml:space="preserve">BPC/26-27/00040</t>
  </si>
  <si>
    <t xml:space="preserve">Rs. 35,03,494</t>
  </si>
  <si>
    <t xml:space="preserve">BPC/26-27/00041</t>
  </si>
  <si>
    <t xml:space="preserve">BPC/26-27/00042</t>
  </si>
  <si>
    <t xml:space="preserve">5077845.00</t>
  </si>
  <si>
    <t xml:space="preserve">BPC/26-27/00043</t>
  </si>
  <si>
    <t xml:space="preserve">Rs. 48,82,142</t>
  </si>
  <si>
    <t xml:space="preserve">Rs. 8,78,786</t>
  </si>
  <si>
    <t xml:space="preserve">BPC/26-27/00044</t>
  </si>
  <si>
    <t xml:space="preserve">Rs. 18,44,559</t>
  </si>
  <si>
    <t xml:space="preserve">BPC/26-27/00045</t>
  </si>
  <si>
    <t xml:space="preserve">BPC/26-27/00046</t>
  </si>
  <si>
    <t xml:space="preserve">Rs. 27,18,195</t>
  </si>
  <si>
    <t xml:space="preserve">BPC/26-27/00047</t>
  </si>
  <si>
    <t xml:space="preserve">BPC/26-27/00048</t>
  </si>
  <si>
    <t xml:space="preserve">557188.00</t>
  </si>
  <si>
    <t xml:space="preserve">BPC/26-27/00049</t>
  </si>
  <si>
    <t xml:space="preserve">Page 11 of 14</t>
  </si>
  <si>
    <t xml:space="preserve">BPC/26-27/00050</t>
  </si>
  <si>
    <t xml:space="preserve">16-May-2026</t>
  </si>
  <si>
    <t xml:space="preserve">Rs. 70,90,218</t>
  </si>
  <si>
    <t xml:space="preserve">Rs. 12,76,239</t>
  </si>
  <si>
    <t xml:space="preserve">Rs. 83,66,457</t>
  </si>
  <si>
    <t xml:space="preserve">BPC/26-27/00051</t>
  </si>
  <si>
    <t xml:space="preserve">18/05/2026</t>
  </si>
  <si>
    <t xml:space="preserve">Rs. 36,34,656</t>
  </si>
  <si>
    <t xml:space="preserve">BPC/26-27/00052</t>
  </si>
  <si>
    <t xml:space="preserve">Rs. 1,31,25,618</t>
  </si>
  <si>
    <t xml:space="preserve">Rs. 23,62,611</t>
  </si>
  <si>
    <t xml:space="preserve">BPC/26-27/00053</t>
  </si>
  <si>
    <t xml:space="preserve">Rs. 38,93,133</t>
  </si>
  <si>
    <t xml:space="preserve">BPC/26-27/00054</t>
  </si>
  <si>
    <t xml:space="preserve">22-May-2026</t>
  </si>
  <si>
    <t xml:space="preserve">Rs. 45,73,576</t>
  </si>
  <si>
    <t xml:space="preserve">BPC/26-27/00055</t>
  </si>
  <si>
    <t xml:space="preserve">Rs. 26,24,817</t>
  </si>
  <si>
    <t xml:space="preserve">BPC/26-27/00056</t>
  </si>
  <si>
    <t xml:space="preserve">23-May-2026</t>
  </si>
  <si>
    <t xml:space="preserve">Rs. 35,60,379</t>
  </si>
  <si>
    <t xml:space="preserve">BPC/26-27/00057</t>
  </si>
  <si>
    <t xml:space="preserve">BPC/26-27/00058</t>
  </si>
  <si>
    <t xml:space="preserve">24-May-2026</t>
  </si>
  <si>
    <t xml:space="preserve">5099370.00</t>
  </si>
  <si>
    <t xml:space="preserve">BPC/26-27/00059</t>
  </si>
  <si>
    <t xml:space="preserve">BPC/26-27/00060</t>
  </si>
  <si>
    <t xml:space="preserve">26-May-2026</t>
  </si>
  <si>
    <t xml:space="preserve">BPC/26-27/00061</t>
  </si>
  <si>
    <t xml:space="preserve">27-May-2026</t>
  </si>
  <si>
    <t xml:space="preserve">BPC/26-27/00062</t>
  </si>
  <si>
    <t xml:space="preserve">Rs. 7,09,744</t>
  </si>
  <si>
    <t xml:space="preserve">4652767.00</t>
  </si>
  <si>
    <t xml:space="preserve">BPC/26-27/00063</t>
  </si>
  <si>
    <t xml:space="preserve">BPC/26-27/00064</t>
  </si>
  <si>
    <t xml:space="preserve">5032469.00</t>
  </si>
  <si>
    <t xml:space="preserve">BPC/26-27/00065</t>
  </si>
  <si>
    <t xml:space="preserve">BPC/26-27/00066</t>
  </si>
  <si>
    <t xml:space="preserve">NORTHSTAR PUMPS PVT LTD.</t>
  </si>
  <si>
    <t xml:space="preserve">BPC/26-27/00067</t>
  </si>
  <si>
    <t xml:space="preserve">01-Jun-2026</t>
  </si>
  <si>
    <t xml:space="preserve">Utkal Fertilisers &amp; Chemicals Limited</t>
  </si>
  <si>
    <t xml:space="preserve">BPC/26-27/00068</t>
  </si>
  <si>
    <t xml:space="preserve">BPC/26-27/00069</t>
  </si>
  <si>
    <t xml:space="preserve">05/06/2026</t>
  </si>
  <si>
    <t xml:space="preserve">Rs. 59,70,041</t>
  </si>
  <si>
    <t xml:space="preserve">BPC/26-27/00070</t>
  </si>
  <si>
    <t xml:space="preserve">BPC/26-27/00071</t>
  </si>
  <si>
    <t xml:space="preserve">07/06/2026</t>
  </si>
  <si>
    <t xml:space="preserve">Rs. 5,48,161</t>
  </si>
  <si>
    <t xml:space="preserve">Rs. 35,93,498</t>
  </si>
  <si>
    <t xml:space="preserve">BPC/26-27/00072</t>
  </si>
  <si>
    <t xml:space="preserve">BPC/26-27/00073</t>
  </si>
  <si>
    <t xml:space="preserve">2932681.00</t>
  </si>
  <si>
    <t xml:space="preserve">BPC/26-27/00074</t>
  </si>
  <si>
    <t xml:space="preserve">08/06/2026</t>
  </si>
  <si>
    <t xml:space="preserve">BPC/26-27/00075</t>
  </si>
  <si>
    <t xml:space="preserve">10-Jun-2026</t>
  </si>
  <si>
    <t xml:space="preserve">BPC/26-27/00076</t>
  </si>
  <si>
    <t xml:space="preserve">BPC/26-27/00077</t>
  </si>
  <si>
    <t xml:space="preserve">10/06/2026</t>
  </si>
  <si>
    <t xml:space="preserve">BPC/26-27/00078</t>
  </si>
  <si>
    <t xml:space="preserve">BPC/26-27/00079</t>
  </si>
  <si>
    <t xml:space="preserve">BPC/26-27/00080</t>
  </si>
  <si>
    <t xml:space="preserve">13/06/2026</t>
  </si>
  <si>
    <t xml:space="preserve">BPC/26-27/00081</t>
  </si>
  <si>
    <t xml:space="preserve">Rs. 23,95,313</t>
  </si>
  <si>
    <t xml:space="preserve">BPC/26-27/00082</t>
  </si>
  <si>
    <t xml:space="preserve">BPC/26-27/00083</t>
  </si>
  <si>
    <t xml:space="preserve">BPC/26-27/00084</t>
  </si>
  <si>
    <t xml:space="preserve">BPC/26-27/00085</t>
  </si>
  <si>
    <t xml:space="preserve">BPC/26-27/00086</t>
  </si>
  <si>
    <t xml:space="preserve">BPC/26-27/00087</t>
  </si>
  <si>
    <t xml:space="preserve">21-Jun-2026</t>
  </si>
  <si>
    <t xml:space="preserve">BPC/26-27/00088</t>
  </si>
  <si>
    <t xml:space="preserve">BPC/26-27/00089</t>
  </si>
  <si>
    <t xml:space="preserve">BPC/26-27/00090</t>
  </si>
  <si>
    <t xml:space="preserve">BPC/26-27/00091</t>
  </si>
  <si>
    <t xml:space="preserve">24-Jun-2026</t>
  </si>
  <si>
    <t xml:space="preserve">BPC/26-27/00092</t>
  </si>
  <si>
    <t xml:space="preserve">26-Jun-2026</t>
  </si>
  <si>
    <t xml:space="preserve">515639.00</t>
  </si>
  <si>
    <t xml:space="preserve">BPC/26-27/00093</t>
  </si>
  <si>
    <t xml:space="preserve">BPC/26-27/00094</t>
  </si>
  <si>
    <t xml:space="preserve">BPC/26-27/00095</t>
  </si>
  <si>
    <t xml:space="preserve">8746614.00</t>
  </si>
  <si>
    <t xml:space="preserve">BPC/26-27/00096</t>
  </si>
  <si>
    <t xml:space="preserve">28-Jun-2026</t>
  </si>
  <si>
    <t xml:space="preserve">BPC/26-27/00097</t>
  </si>
  <si>
    <t xml:space="preserve">Page 12 of 14</t>
  </si>
  <si>
    <t xml:space="preserve">BPC/26-27/00098</t>
  </si>
  <si>
    <t xml:space="preserve">30-Jun-2026</t>
  </si>
  <si>
    <t xml:space="preserve">Rs. 40,67,086</t>
  </si>
  <si>
    <t xml:space="preserve">BPC/26-27/00099</t>
  </si>
  <si>
    <t xml:space="preserve">BPC/26-27/00100</t>
  </si>
  <si>
    <t xml:space="preserve">01/07/2026</t>
  </si>
  <si>
    <t xml:space="preserve">Rs. 35,24,424</t>
  </si>
  <si>
    <t xml:space="preserve">Rs. 41,58,820</t>
  </si>
  <si>
    <t xml:space="preserve">BPC/26-27/00101</t>
  </si>
  <si>
    <t xml:space="preserve">3928329.00</t>
  </si>
  <si>
    <t xml:space="preserve">BPC/26-27/00102</t>
  </si>
  <si>
    <t xml:space="preserve">Rs. 63,32,797</t>
  </si>
  <si>
    <t xml:space="preserve">Rs. 11,39,903</t>
  </si>
  <si>
    <t xml:space="preserve">BPC/26-27/00103</t>
  </si>
  <si>
    <t xml:space="preserve">Rs. 1,18,28,061</t>
  </si>
  <si>
    <t xml:space="preserve">BPC/26-27/00104</t>
  </si>
  <si>
    <t xml:space="preserve">6512514.00</t>
  </si>
  <si>
    <t xml:space="preserve">BPC/26-27/00105</t>
  </si>
  <si>
    <t xml:space="preserve">36578667.00</t>
  </si>
  <si>
    <t xml:space="preserve">Rs. 65,84,160</t>
  </si>
  <si>
    <t xml:space="preserve">BPC/26-27/00106</t>
  </si>
  <si>
    <t xml:space="preserve">BPC/26-27/00107</t>
  </si>
  <si>
    <t xml:space="preserve">BPC/26-27/00108</t>
  </si>
  <si>
    <t xml:space="preserve">BPC/26-27/00109</t>
  </si>
  <si>
    <t xml:space="preserve">NORDIC FLOW SYSTEMS AB.</t>
  </si>
  <si>
    <t xml:space="preserve">10885786.00</t>
  </si>
  <si>
    <t xml:space="preserve">BPC/26-27/00110</t>
  </si>
  <si>
    <t xml:space="preserve">12-Jul-2026</t>
  </si>
  <si>
    <t xml:space="preserve">BPC/26-27/00111</t>
  </si>
  <si>
    <t xml:space="preserve">13/07/2026</t>
  </si>
  <si>
    <t xml:space="preserve">BPC/26-27/00112</t>
  </si>
  <si>
    <t xml:space="preserve">Rs. 60,82,993</t>
  </si>
  <si>
    <t xml:space="preserve">BPC/26-27/00113</t>
  </si>
  <si>
    <t xml:space="preserve">47200000.00</t>
  </si>
  <si>
    <t xml:space="preserve">BPC/26-27/00114</t>
  </si>
  <si>
    <t xml:space="preserve">15/07/2026</t>
  </si>
  <si>
    <t xml:space="preserve">BPC/26-27/00115</t>
  </si>
  <si>
    <t xml:space="preserve">BPC/26-27/00116</t>
  </si>
  <si>
    <t xml:space="preserve">BPC/26-27/00117</t>
  </si>
  <si>
    <t xml:space="preserve">BPC/26-27/00118</t>
  </si>
  <si>
    <t xml:space="preserve">18/07/2026</t>
  </si>
  <si>
    <t xml:space="preserve">Rs. 37,59,493</t>
  </si>
  <si>
    <t xml:space="preserve">BPC/26-27/00119</t>
  </si>
  <si>
    <t xml:space="preserve">Rs. 44,05,391</t>
  </si>
  <si>
    <t xml:space="preserve">792970.00</t>
  </si>
  <si>
    <t xml:space="preserve">Rs. 51,98,361</t>
  </si>
  <si>
    <t xml:space="preserve">BPC/26-27/00120</t>
  </si>
  <si>
    <t xml:space="preserve">20/07/2026</t>
  </si>
  <si>
    <t xml:space="preserve">Rs. 1,34,10,844</t>
  </si>
  <si>
    <t xml:space="preserve">BPC/26-27/00121</t>
  </si>
  <si>
    <t xml:space="preserve">Rs. 1,17,47,705</t>
  </si>
  <si>
    <t xml:space="preserve">BPC/26-27/00122</t>
  </si>
  <si>
    <t xml:space="preserve">Rs. 1,42,30,900</t>
  </si>
  <si>
    <t xml:space="preserve">Rs. 25,61,562</t>
  </si>
  <si>
    <t xml:space="preserve">BPC/26-27/00123</t>
  </si>
  <si>
    <t xml:space="preserve">23-Jul-2026</t>
  </si>
  <si>
    <t xml:space="preserve">BPC/26-27/00124</t>
  </si>
  <si>
    <t xml:space="preserve">24-Jul-2026</t>
  </si>
  <si>
    <t xml:space="preserve">BPC/26-27/00125</t>
  </si>
  <si>
    <t xml:space="preserve">25/07/2026</t>
  </si>
  <si>
    <t xml:space="preserve">BPC/26-27/00126</t>
  </si>
  <si>
    <t xml:space="preserve">BPC/26-27/00127</t>
  </si>
  <si>
    <t xml:space="preserve">Rs. 1,08,21,558</t>
  </si>
  <si>
    <t xml:space="preserve">BPC/26-27/00128</t>
  </si>
  <si>
    <t xml:space="preserve">26-Jul-2026</t>
  </si>
  <si>
    <t xml:space="preserve">BPC/26-27/00129</t>
  </si>
  <si>
    <t xml:space="preserve">BPC/26-27/00130</t>
  </si>
  <si>
    <t xml:space="preserve">BPC/26-27/00131</t>
  </si>
  <si>
    <t xml:space="preserve">28-Jul-2026</t>
  </si>
  <si>
    <t xml:space="preserve">BPC/26-27/00132</t>
  </si>
  <si>
    <t xml:space="preserve">29-Jul-2026</t>
  </si>
  <si>
    <t xml:space="preserve">686989.00</t>
  </si>
  <si>
    <t xml:space="preserve">BPC/26-27/00133</t>
  </si>
  <si>
    <t xml:space="preserve">Rs. 33,80,209</t>
  </si>
  <si>
    <t xml:space="preserve">BPC/26-27/00134</t>
  </si>
  <si>
    <t xml:space="preserve">31-Jul-2026</t>
  </si>
  <si>
    <t xml:space="preserve">BPC/26-27/00135</t>
  </si>
  <si>
    <t xml:space="preserve">BPC/26-27/00136</t>
  </si>
  <si>
    <t xml:space="preserve">BPC/26-27/00137</t>
  </si>
  <si>
    <t xml:space="preserve">BPC/26-27/00138</t>
  </si>
  <si>
    <t xml:space="preserve">03-Aug-2026</t>
  </si>
  <si>
    <t xml:space="preserve">17731305.00</t>
  </si>
  <si>
    <t xml:space="preserve">BPC/26-27/00139</t>
  </si>
  <si>
    <t xml:space="preserve">BPC/26-27/00140</t>
  </si>
  <si>
    <t xml:space="preserve">BPC/26-27/00141</t>
  </si>
  <si>
    <t xml:space="preserve">04-Aug-2026</t>
  </si>
  <si>
    <t xml:space="preserve">7757916.00</t>
  </si>
  <si>
    <t xml:space="preserve">BPC/26-27/00142</t>
  </si>
  <si>
    <t xml:space="preserve">Rs. 51,98,397</t>
  </si>
  <si>
    <t xml:space="preserve">BPC/26-27/00143</t>
  </si>
  <si>
    <t xml:space="preserve">06/08/2026</t>
  </si>
  <si>
    <t xml:space="preserve">BPC/26-27/00144</t>
  </si>
  <si>
    <t xml:space="preserve">07-Aug-2026</t>
  </si>
  <si>
    <t xml:space="preserve">BPC/26-27/00145</t>
  </si>
  <si>
    <t xml:space="preserve">Page 13 of 14</t>
  </si>
  <si>
    <t xml:space="preserve">BPC/26-27/00146</t>
  </si>
  <si>
    <t xml:space="preserve">09-Aug-2026</t>
  </si>
  <si>
    <t xml:space="preserve">BPC/26-27/00147</t>
  </si>
  <si>
    <t xml:space="preserve">BPC/26-27/00148</t>
  </si>
  <si>
    <t xml:space="preserve">Rs. 7,28,702</t>
  </si>
  <si>
    <t xml:space="preserve">BPC/26-27/00149</t>
  </si>
  <si>
    <t xml:space="preserve">BPC/26-27/00150</t>
  </si>
  <si>
    <t xml:space="preserve">Rs. 1,03,14,647</t>
  </si>
  <si>
    <t xml:space="preserve">Rs. 1,21,71,283</t>
  </si>
  <si>
    <t xml:space="preserve">BPC/26-27/00151</t>
  </si>
  <si>
    <t xml:space="preserve">BPC/26-27/00152</t>
  </si>
  <si>
    <t xml:space="preserve">Rs. 38,72,659</t>
  </si>
  <si>
    <t xml:space="preserve">BPC/26-27/00153</t>
  </si>
  <si>
    <t xml:space="preserve">15-Aug-2026</t>
  </si>
  <si>
    <t xml:space="preserve">Rs. 54,71,243</t>
  </si>
  <si>
    <t xml:space="preserve">BPC/26-27/00154</t>
  </si>
  <si>
    <t xml:space="preserve">3391737.00</t>
  </si>
  <si>
    <t xml:space="preserve">BPC/26-27/00155</t>
  </si>
  <si>
    <t xml:space="preserve">Rs. 45,55,704</t>
  </si>
  <si>
    <t xml:space="preserve">BPC/26-27/00156</t>
  </si>
  <si>
    <t xml:space="preserve">BPC/26-27/00157</t>
  </si>
  <si>
    <t xml:space="preserve">16-Aug-2026</t>
  </si>
  <si>
    <t xml:space="preserve">Rs. 1,00,62,514</t>
  </si>
  <si>
    <t xml:space="preserve">BPC/26-27/00158</t>
  </si>
  <si>
    <t xml:space="preserve">BPC/26-27/00159</t>
  </si>
  <si>
    <t xml:space="preserve">18-Aug-2026</t>
  </si>
  <si>
    <t xml:space="preserve">BPC/26-27/00160</t>
  </si>
  <si>
    <t xml:space="preserve">19/08/2026</t>
  </si>
  <si>
    <t xml:space="preserve">BPC/26-27/00161</t>
  </si>
  <si>
    <t xml:space="preserve">Rs. 1,06,62,525</t>
  </si>
  <si>
    <t xml:space="preserve">BPC/26-27/00162</t>
  </si>
  <si>
    <t xml:space="preserve">22011083.00</t>
  </si>
  <si>
    <t xml:space="preserve">BPC/26-27/00163</t>
  </si>
  <si>
    <t xml:space="preserve">Rs. 1,26,04,637</t>
  </si>
  <si>
    <t xml:space="preserve">BPC/26-27/00164</t>
  </si>
  <si>
    <t xml:space="preserve">Rs. 1,05,87,731</t>
  </si>
  <si>
    <t xml:space="preserve">BPC/26-27/00165</t>
  </si>
  <si>
    <t xml:space="preserve">Rs. 12,16,222</t>
  </si>
  <si>
    <t xml:space="preserve">BPC/26-27/00166</t>
  </si>
  <si>
    <t xml:space="preserve">Rs. 45,99,562</t>
  </si>
  <si>
    <t xml:space="preserve">BPC/26-27/00167</t>
  </si>
  <si>
    <t xml:space="preserve">1303965.00</t>
  </si>
  <si>
    <t xml:space="preserve">BPC/26-27/00168</t>
  </si>
  <si>
    <t xml:space="preserve">Rs. 91,86,561</t>
  </si>
  <si>
    <t xml:space="preserve">BPC/26-27/00169</t>
  </si>
  <si>
    <t xml:space="preserve">7182399.00</t>
  </si>
  <si>
    <t xml:space="preserve">Grand Total (this extract)</t>
  </si>
  <si>
    <t xml:space="preserve">TRADE RECEIVABLES AGEING as on 31-Aug-2026</t>
  </si>
  <si>
    <t xml:space="preserve">Amounts in Rupees (Rs.)  |  Ageing based on due date</t>
  </si>
  <si>
    <t xml:space="preserve">Overdue (days)</t>
  </si>
  <si>
    <t xml:space="preserve">Sr</t>
  </si>
  <si>
    <t xml:space="preserve">Customer</t>
  </si>
  <si>
    <t xml:space="preserve">Segment</t>
  </si>
  <si>
    <t xml:space="preserve">Credit Limit</t>
  </si>
  <si>
    <t xml:space="preserve">Not Due</t>
  </si>
  <si>
    <t xml:space="preserve">1-30</t>
  </si>
  <si>
    <t xml:space="preserve">31-60</t>
  </si>
  <si>
    <t xml:space="preserve">61-90</t>
  </si>
  <si>
    <t xml:space="preserve">91-180</t>
  </si>
  <si>
    <t xml:space="preserve">&gt;180</t>
  </si>
  <si>
    <t xml:space="preserve">Total O/S</t>
  </si>
  <si>
    <t xml:space="preserve">Provision</t>
  </si>
  <si>
    <t xml:space="preserve">Domestic OEM</t>
  </si>
  <si>
    <t xml:space="preserve">Customer in restructuring</t>
  </si>
  <si>
    <t xml:space="preserve">1,01,69,179</t>
  </si>
  <si>
    <t xml:space="preserve">Escalated to legal</t>
  </si>
  <si>
    <t xml:space="preserve">89,02,411</t>
  </si>
  <si>
    <t xml:space="preserve">PDC received</t>
  </si>
  <si>
    <t xml:space="preserve">Disputed - quality claim</t>
  </si>
  <si>
    <t xml:space="preserve">Sub-total - Domestic OEM</t>
  </si>
  <si>
    <t xml:space="preserve">Process Industry</t>
  </si>
  <si>
    <t xml:space="preserve">1,25,72,538</t>
  </si>
  <si>
    <t xml:space="preserve">44,51,103</t>
  </si>
  <si>
    <t xml:space="preserve">3,24,51,301</t>
  </si>
  <si>
    <t xml:space="preserve">48,40,986</t>
  </si>
  <si>
    <t xml:space="preserve">89,77,565</t>
  </si>
  <si>
    <t xml:space="preserve">17,44,736</t>
  </si>
  <si>
    <t xml:space="preserve">Sub-total - Process Industry</t>
  </si>
  <si>
    <t xml:space="preserve">43,14,779</t>
  </si>
  <si>
    <t xml:space="preserve">Awaiting GRN</t>
  </si>
  <si>
    <t xml:space="preserve">Sub-total - Aftermarket</t>
  </si>
  <si>
    <t xml:space="preserve">2,26,61,219</t>
  </si>
  <si>
    <t xml:space="preserve">11,06,927</t>
  </si>
  <si>
    <t xml:space="preserve">1,17,35,814</t>
  </si>
  <si>
    <t xml:space="preserve">Sub-total - Export</t>
  </si>
  <si>
    <t xml:space="preserve">GRAND TOTAL</t>
  </si>
  <si>
    <t xml:space="preserve">Note: Provision policy - 50% for 91-180 days, 100% for &gt;180 days. Export customer balances are INR equivalent at spot.</t>
  </si>
  <si>
    <t xml:space="preserve">TRADE PAYABLES AGEING - as on 31.08.2026</t>
  </si>
  <si>
    <t xml:space="preserve">Rs. (full rupees)  |  MSME = registered under Udyam (s.43B(h) - pay within 45 days)</t>
  </si>
  <si>
    <t xml:space="preserve">Vendor</t>
  </si>
  <si>
    <t xml:space="preserve">Category</t>
  </si>
  <si>
    <t xml:space="preserve">MSME (Y/N)</t>
  </si>
  <si>
    <t xml:space="preserve">Overdue 0-30</t>
  </si>
  <si>
    <t xml:space="preserve">Overdue 31-45</t>
  </si>
  <si>
    <t xml:space="preserve">Overdue 46-90</t>
  </si>
  <si>
    <t xml:space="preserve">Overdue &gt;90</t>
  </si>
  <si>
    <t xml:space="preserve">Total Payable</t>
  </si>
  <si>
    <t xml:space="preserve">Terms (days)</t>
  </si>
  <si>
    <t xml:space="preserve">Kalinga Steel &amp; Alloys Ltd</t>
  </si>
  <si>
    <t xml:space="preserve">Raw Material</t>
  </si>
  <si>
    <t xml:space="preserve">N</t>
  </si>
  <si>
    <t xml:space="preserve">Sundaram Scrap Traders</t>
  </si>
  <si>
    <t xml:space="preserve">Y</t>
  </si>
  <si>
    <t xml:space="preserve">2,13,69,921</t>
  </si>
  <si>
    <t xml:space="preserve">MSME - &gt;45d overdue: s.43B(h) disallowance risk</t>
  </si>
  <si>
    <t xml:space="preserve">Eastern Ferro Alloys Pvt Ltd</t>
  </si>
  <si>
    <t xml:space="preserve">31,27,207</t>
  </si>
  <si>
    <t xml:space="preserve">Malwa Foundry Supplies</t>
  </si>
  <si>
    <t xml:space="preserve">Goa Bauxite &amp; Aluminium Ltd</t>
  </si>
  <si>
    <t xml:space="preserve">State Electricity Board - Pune</t>
  </si>
  <si>
    <t xml:space="preserve">Utilities</t>
  </si>
  <si>
    <t xml:space="preserve">80,361</t>
  </si>
  <si>
    <t xml:space="preserve">State Electricity Board - Chennai</t>
  </si>
  <si>
    <t xml:space="preserve">Coastal Logistics Pvt Ltd</t>
  </si>
  <si>
    <t xml:space="preserve">Logistics</t>
  </si>
  <si>
    <t xml:space="preserve">Swift Roadways India Pvt Ltd</t>
  </si>
  <si>
    <t xml:space="preserve">OceanBridge Freight Forwarders</t>
  </si>
  <si>
    <t xml:space="preserve">Precision Tooling Co</t>
  </si>
  <si>
    <t xml:space="preserve">Tooling &amp; Consumables</t>
  </si>
  <si>
    <t xml:space="preserve">44,97,319</t>
  </si>
  <si>
    <t xml:space="preserve">Aarav Packaging Industries</t>
  </si>
  <si>
    <t xml:space="preserve">87,34,237</t>
  </si>
  <si>
    <t xml:space="preserve">15,29,635</t>
  </si>
  <si>
    <t xml:space="preserve">Kirti Industrial Consumables</t>
  </si>
  <si>
    <t xml:space="preserve">Nimbus IT Solutions Pvt Ltd</t>
  </si>
  <si>
    <t xml:space="preserve">Services</t>
  </si>
  <si>
    <t xml:space="preserve">1,96,076</t>
  </si>
  <si>
    <t xml:space="preserve">Bright Facility Services LLP</t>
  </si>
  <si>
    <t xml:space="preserve">TOTAL</t>
  </si>
  <si>
    <t xml:space="preserve">Headcount &amp; People Analytics</t>
  </si>
  <si>
    <t xml:space="preserve">Source: HRMS (Keka) | month-end permanent headcount (excl. contract labour)</t>
  </si>
  <si>
    <t xml:space="preserve">Department</t>
  </si>
  <si>
    <t xml:space="preserve">Apr'25</t>
  </si>
  <si>
    <t xml:space="preserve">May 2025</t>
  </si>
  <si>
    <t xml:space="preserve">Dec'25</t>
  </si>
  <si>
    <t xml:space="preserve">Jan 2026</t>
  </si>
  <si>
    <t xml:space="preserve">Apr'26</t>
  </si>
  <si>
    <t xml:space="preserve">May 2026</t>
  </si>
  <si>
    <t xml:space="preserve">Manufacturing</t>
  </si>
  <si>
    <t xml:space="preserve">Quality</t>
  </si>
  <si>
    <t xml:space="preserve">Engineering &amp; R&amp;D</t>
  </si>
  <si>
    <t xml:space="preserve">Sales &amp; Marketing</t>
  </si>
  <si>
    <t xml:space="preserve">Supply Chain</t>
  </si>
  <si>
    <t xml:space="preserve">Finance &amp; Accounts</t>
  </si>
  <si>
    <t xml:space="preserve">HR &amp; Admin</t>
  </si>
  <si>
    <t xml:space="preserve">IT</t>
  </si>
  <si>
    <t xml:space="preserve">EHS &amp; Maintenance</t>
  </si>
  <si>
    <t xml:space="preserve">Total Headcount</t>
  </si>
  <si>
    <t xml:space="preserve">ATTRITION (annualised %) - last 5 months</t>
  </si>
  <si>
    <t xml:space="preserve">Apr-26</t>
  </si>
  <si>
    <t xml:space="preserve">Jun-26</t>
  </si>
  <si>
    <t xml:space="preserve">Jul-26</t>
  </si>
  <si>
    <t xml:space="preserve">Industry benchmark</t>
  </si>
  <si>
    <t xml:space="preserve">16.1%</t>
  </si>
  <si>
    <t xml:space="preserve">12-15%</t>
  </si>
  <si>
    <t xml:space="preserve">13.2%</t>
  </si>
  <si>
    <t xml:space="preserve">10.9%</t>
  </si>
  <si>
    <t xml:space="preserve">10.2%</t>
  </si>
  <si>
    <t xml:space="preserve">11.6%</t>
  </si>
  <si>
    <t xml:space="preserve">20.2%</t>
  </si>
  <si>
    <t xml:space="preserve">20.7%</t>
  </si>
  <si>
    <t xml:space="preserve">OPEN POSITIONS</t>
  </si>
  <si>
    <t xml:space="preserve">Open reqs</t>
  </si>
  <si>
    <t xml:space="preserve">Avg days open</t>
  </si>
  <si>
    <t xml:space="preserve">Critical roles</t>
  </si>
  <si>
    <t xml:space="preserve">Foundry Sr. Metallurgist</t>
  </si>
  <si>
    <t xml:space="preserve">EV Program Lead</t>
  </si>
  <si>
    <t xml:space="preserve">Plant Controller</t>
  </si>
  <si>
    <t xml:space="preserve">CNC Programmer</t>
  </si>
  <si>
    <t xml:space="preserve">CFO KPI SCORECARD - Aug 2026</t>
  </si>
  <si>
    <t xml:space="preserve">Status per FP&amp;A judgement; targets from AOP FY27</t>
  </si>
  <si>
    <t xml:space="preserve">KPI</t>
  </si>
  <si>
    <t xml:space="preserve">Unit</t>
  </si>
  <si>
    <t xml:space="preserve">Target FY27</t>
  </si>
  <si>
    <t xml:space="preserve">Actual Aug-26</t>
  </si>
  <si>
    <t xml:space="preserve">Prev Month (Jul-26)</t>
  </si>
  <si>
    <t xml:space="preserve">Status</t>
  </si>
  <si>
    <t xml:space="preserve">Owner</t>
  </si>
  <si>
    <t xml:space="preserve">Comments</t>
  </si>
  <si>
    <t xml:space="preserve">Days Sales Outstanding (DSO)</t>
  </si>
  <si>
    <t xml:space="preserve">days</t>
  </si>
  <si>
    <t xml:space="preserve">68 days</t>
  </si>
  <si>
    <t xml:space="preserve">65 days</t>
  </si>
  <si>
    <t xml:space="preserve">RED - off track</t>
  </si>
  <si>
    <t xml:space="preserve">AR Head</t>
  </si>
  <si>
    <t xml:space="preserve">Rising for 3 months; 3 OEM accounts stretched</t>
  </si>
  <si>
    <t xml:space="preserve">Days Payable Outstanding (DPO)</t>
  </si>
  <si>
    <t xml:space="preserve">55 days</t>
  </si>
  <si>
    <t xml:space="preserve">52 days</t>
  </si>
  <si>
    <t xml:space="preserve">Amber - watch</t>
  </si>
  <si>
    <t xml:space="preserve">Procurement</t>
  </si>
  <si>
    <t xml:space="preserve">MSME payments being expedited</t>
  </si>
  <si>
    <t xml:space="preserve">Inventory Days</t>
  </si>
  <si>
    <t xml:space="preserve">46 days</t>
  </si>
  <si>
    <t xml:space="preserve">47 days</t>
  </si>
  <si>
    <t xml:space="preserve">Amber</t>
  </si>
  <si>
    <t xml:space="preserve">SCM Head</t>
  </si>
  <si>
    <t xml:space="preserve">Buffer stock on steel</t>
  </si>
  <si>
    <t xml:space="preserve">Cash Conversion Cycle</t>
  </si>
  <si>
    <t xml:space="preserve">50 days</t>
  </si>
  <si>
    <t xml:space="preserve">62 days</t>
  </si>
  <si>
    <t xml:space="preserve">CFO Office</t>
  </si>
  <si>
    <t xml:space="preserve">Net Debt / LTM EBITDA</t>
  </si>
  <si>
    <t xml:space="preserve">x</t>
  </si>
  <si>
    <t xml:space="preserve">&lt;= 3.0x</t>
  </si>
  <si>
    <t xml:space="preserve">3.09x</t>
  </si>
  <si>
    <t xml:space="preserve">2.95x</t>
  </si>
  <si>
    <t xml:space="preserve">Treasury</t>
  </si>
  <si>
    <t xml:space="preserve">Covenant limit 3.5x</t>
  </si>
  <si>
    <t xml:space="preserve">Interest Coverage (EBITDA / Finance cost)</t>
  </si>
  <si>
    <t xml:space="preserve">&gt;= 3.5x</t>
  </si>
  <si>
    <t xml:space="preserve">3.35x</t>
  </si>
  <si>
    <t xml:space="preserve">ROCE (LTM, pre-tax)</t>
  </si>
  <si>
    <t xml:space="preserve">%</t>
  </si>
  <si>
    <t xml:space="preserve">16%</t>
  </si>
  <si>
    <t xml:space="preserve">10.4%</t>
  </si>
  <si>
    <t xml:space="preserve">Capital employed = equity + debt</t>
  </si>
  <si>
    <t xml:space="preserve">EBITDA Margin (Aug-26)</t>
  </si>
  <si>
    <t xml:space="preserve">15.3%</t>
  </si>
  <si>
    <t xml:space="preserve">14.2%</t>
  </si>
  <si>
    <t xml:space="preserve">11.9%</t>
  </si>
  <si>
    <t xml:space="preserve">Red</t>
  </si>
  <si>
    <t xml:space="preserve">COO</t>
  </si>
  <si>
    <t xml:space="preserve">RM inflation not fully passed on</t>
  </si>
  <si>
    <t xml:space="preserve">On-Time-In-Full (OTIF)</t>
  </si>
  <si>
    <t xml:space="preserve">95%</t>
  </si>
  <si>
    <t xml:space="preserve">93.6%</t>
  </si>
  <si>
    <t xml:space="preserve">92.1%</t>
  </si>
  <si>
    <t xml:space="preserve">Rejection (customer PPM)</t>
  </si>
  <si>
    <t xml:space="preserve">PPM</t>
  </si>
  <si>
    <t xml:space="preserve">2000</t>
  </si>
  <si>
    <t xml:space="preserve">2,180</t>
  </si>
  <si>
    <t xml:space="preserve">2,340</t>
  </si>
  <si>
    <t xml:space="preserve">Quality Head</t>
  </si>
  <si>
    <t xml:space="preserve">Rajkot machining line</t>
  </si>
  <si>
    <t xml:space="preserve">Order Book</t>
  </si>
  <si>
    <t xml:space="preserve">Rs. Cr</t>
  </si>
  <si>
    <t xml:space="preserve">Rs. 400 Cr</t>
  </si>
  <si>
    <t xml:space="preserve">Rs. 412.6 Cr</t>
  </si>
  <si>
    <t xml:space="preserve">Rs. 398.2 Cr</t>
  </si>
  <si>
    <t xml:space="preserve">GREEN - on track</t>
  </si>
  <si>
    <t xml:space="preserve">Sales Head</t>
  </si>
  <si>
    <t xml:space="preserve">Export share of revenue (Apr-Aug 26 extract)</t>
  </si>
  <si>
    <t xml:space="preserve">20%</t>
  </si>
  <si>
    <t xml:space="preserve">14.7%</t>
  </si>
  <si>
    <t xml:space="preserve">Export Head</t>
  </si>
  <si>
    <t xml:space="preserve">Capex utilisation vs budget (YTD)</t>
  </si>
  <si>
    <t xml:space="preserve">78%</t>
  </si>
  <si>
    <t xml:space="preserve">71%</t>
  </si>
  <si>
    <t xml:space="preserve">Green</t>
  </si>
  <si>
    <t xml:space="preserve">Projects</t>
  </si>
  <si>
    <t xml:space="preserve">LTIFR (lost time injury freq.)</t>
  </si>
  <si>
    <t xml:space="preserve">rate</t>
  </si>
  <si>
    <t xml:space="preserve">&lt; 0.5</t>
  </si>
  <si>
    <t xml:space="preserve">0.41</t>
  </si>
  <si>
    <t xml:space="preserve">0.38</t>
  </si>
  <si>
    <t xml:space="preserve">EHS Head</t>
  </si>
  <si>
    <t xml:space="preserve">1 reportable incident YTD</t>
  </si>
  <si>
    <t xml:space="preserve">Power cost per tonne</t>
  </si>
  <si>
    <t xml:space="preserve">Rs.</t>
  </si>
  <si>
    <t xml:space="preserve">Rs. 6,900</t>
  </si>
  <si>
    <t xml:space="preserve">Rs. 7,240</t>
  </si>
  <si>
    <t xml:space="preserve">Rs. 7,410</t>
  </si>
  <si>
    <t xml:space="preserve">Plant Head - Pune</t>
  </si>
  <si>
    <t xml:space="preserve">Borrowings &amp; Covenant Compliance - 31-Aug-2026</t>
  </si>
  <si>
    <t xml:space="preserve">Facility</t>
  </si>
  <si>
    <t xml:space="preserve">Lender</t>
  </si>
  <si>
    <t xml:space="preserve">Type</t>
  </si>
  <si>
    <t xml:space="preserve">Sanctioned</t>
  </si>
  <si>
    <t xml:space="preserve">Outstanding</t>
  </si>
  <si>
    <t xml:space="preserve">Interest rate</t>
  </si>
  <si>
    <t xml:space="preserve">Maturity</t>
  </si>
  <si>
    <t xml:space="preserve">Security / Remarks</t>
  </si>
  <si>
    <t xml:space="preserve">Term Loan 1</t>
  </si>
  <si>
    <t xml:space="preserve">State Bank of India</t>
  </si>
  <si>
    <t xml:space="preserve">Term Loan</t>
  </si>
  <si>
    <t xml:space="preserve">9.05% p.a. (1Y MCLR + 0.60%)</t>
  </si>
  <si>
    <t xml:space="preserve">Mar-2031</t>
  </si>
  <si>
    <t xml:space="preserve">First charge on Pune plant assets</t>
  </si>
  <si>
    <t xml:space="preserve">Term Loan 2</t>
  </si>
  <si>
    <t xml:space="preserve">ICICI Bank</t>
  </si>
  <si>
    <t xml:space="preserve">9.30% p.a. floating</t>
  </si>
  <si>
    <t xml:space="preserve">Dec-2029</t>
  </si>
  <si>
    <t xml:space="preserve">Chennai plant; DSRA maintained</t>
  </si>
  <si>
    <t xml:space="preserve">Term Loan 3 (Foundry &amp; CNC)</t>
  </si>
  <si>
    <t xml:space="preserve">HDFC Bank</t>
  </si>
  <si>
    <t xml:space="preserve">8.95% p.a. (Repo + 2.45%)</t>
  </si>
  <si>
    <t xml:space="preserve">Sep-2032</t>
  </si>
  <si>
    <t xml:space="preserve">Specific machinery</t>
  </si>
  <si>
    <t xml:space="preserve">Cash Credit</t>
  </si>
  <si>
    <t xml:space="preserve">Working Capital</t>
  </si>
  <si>
    <t xml:space="preserve">9.10% p.a.</t>
  </si>
  <si>
    <t xml:space="preserve">Renewal Mar-27</t>
  </si>
  <si>
    <t xml:space="preserve">Hypothecation of stock &amp; book debts</t>
  </si>
  <si>
    <t xml:space="preserve">PCFC / Export Credit</t>
  </si>
  <si>
    <t xml:space="preserve">Axis Bank</t>
  </si>
  <si>
    <t xml:space="preserve">Working Capital (FCY)</t>
  </si>
  <si>
    <t xml:space="preserve">SOFR + 1.6% (approx 6.4%)</t>
  </si>
  <si>
    <t xml:space="preserve">Renewal Jan-27</t>
  </si>
  <si>
    <t xml:space="preserve">Export receivables</t>
  </si>
  <si>
    <t xml:space="preserve">WCDL</t>
  </si>
  <si>
    <t xml:space="preserve">Kotak Mahindra Bank</t>
  </si>
  <si>
    <t xml:space="preserve">9.00% p.a.</t>
  </si>
  <si>
    <t xml:space="preserve">Pari-passu</t>
  </si>
  <si>
    <t xml:space="preserve">TOTAL BORROWINGS</t>
  </si>
  <si>
    <t xml:space="preserve">FINANCIAL COVENANTS (tested quarterly on LTM basis)</t>
  </si>
  <si>
    <t xml:space="preserve">Covenant</t>
  </si>
  <si>
    <t xml:space="preserve">Threshold</t>
  </si>
  <si>
    <t xml:space="preserve">Actual (Aug-26 LTM)</t>
  </si>
  <si>
    <t xml:space="preserve">Headroom / comment</t>
  </si>
  <si>
    <t xml:space="preserve">Net Debt / EBITDA</t>
  </si>
  <si>
    <t xml:space="preserve">&lt;= 3.50x</t>
  </si>
  <si>
    <t xml:space="preserve">Compliant</t>
  </si>
  <si>
    <t xml:space="preserve">Tested by statutory auditor at half-year</t>
  </si>
  <si>
    <t xml:space="preserve">DSCR</t>
  </si>
  <si>
    <t xml:space="preserve">&gt;= 1.25x</t>
  </si>
  <si>
    <t xml:space="preserve">1.62x</t>
  </si>
  <si>
    <t xml:space="preserve">Current Ratio</t>
  </si>
  <si>
    <t xml:space="preserve">&gt;= 1.10x</t>
  </si>
  <si>
    <t xml:space="preserve">1.34x</t>
  </si>
  <si>
    <t xml:space="preserve">TOL / TNW</t>
  </si>
  <si>
    <t xml:space="preserve">&lt;= 2.50x</t>
  </si>
  <si>
    <t xml:space="preserve">1.12x</t>
  </si>
  <si>
    <t xml:space="preserve">Interest Cover (EBITDA / Interest)</t>
  </si>
  <si>
    <t xml:space="preserve">&gt;= 2.00x</t>
  </si>
  <si>
    <t xml:space="preserve">CAPEX PROJECT TRACKER - as on 31-Aug-2026 (Rs. Lakhs)</t>
  </si>
  <si>
    <t xml:space="preserve">Project ID</t>
  </si>
  <si>
    <t xml:space="preserve">Project</t>
  </si>
  <si>
    <t xml:space="preserve">Plant</t>
  </si>
  <si>
    <t xml:space="preserve">Approved Budget</t>
  </si>
  <si>
    <t xml:space="preserve">Spent till Mar-26</t>
  </si>
  <si>
    <t xml:space="preserve">Spent Apr-Aug 26</t>
  </si>
  <si>
    <t xml:space="preserve">Total Spent</t>
  </si>
  <si>
    <t xml:space="preserve">Balance</t>
  </si>
  <si>
    <t xml:space="preserve">% Spent</t>
  </si>
  <si>
    <t xml:space="preserve">Start</t>
  </si>
  <si>
    <t xml:space="preserve">Expected Commissioning</t>
  </si>
  <si>
    <t xml:space="preserve">Project Manager</t>
  </si>
  <si>
    <t xml:space="preserve">CX-101</t>
  </si>
  <si>
    <t xml:space="preserve">CNC Machining Line - Pune Plant 2</t>
  </si>
  <si>
    <t xml:space="preserve">Pune</t>
  </si>
  <si>
    <t xml:space="preserve">Growth</t>
  </si>
  <si>
    <t xml:space="preserve">01-Oct-25</t>
  </si>
  <si>
    <t xml:space="preserve">Commissioned (stabilising)</t>
  </si>
  <si>
    <t xml:space="preserve">R. Patil</t>
  </si>
  <si>
    <t xml:space="preserve">CX-102</t>
  </si>
  <si>
    <t xml:space="preserve">Foundry Induction Furnace Upgrade</t>
  </si>
  <si>
    <t xml:space="preserve">Maintenance</t>
  </si>
  <si>
    <t xml:space="preserve">Apr-25</t>
  </si>
  <si>
    <t xml:space="preserve">Oct-25</t>
  </si>
  <si>
    <t xml:space="preserve">Completed</t>
  </si>
  <si>
    <t xml:space="preserve">S. Bhide</t>
  </si>
  <si>
    <t xml:space="preserve">CX-103</t>
  </si>
  <si>
    <t xml:space="preserve">Rooftop Solar 4 MWp</t>
  </si>
  <si>
    <t xml:space="preserve">Rajkot</t>
  </si>
  <si>
    <t xml:space="preserve">Compliance / ESG</t>
  </si>
  <si>
    <t xml:space="preserve">Jan-26</t>
  </si>
  <si>
    <t xml:space="preserve">Dec-26</t>
  </si>
  <si>
    <t xml:space="preserve">In progress</t>
  </si>
  <si>
    <t xml:space="preserve">H. Trivedi</t>
  </si>
  <si>
    <t xml:space="preserve">CX-104</t>
  </si>
  <si>
    <t xml:space="preserve">SAP S/4HANA Migration</t>
  </si>
  <si>
    <t xml:space="preserve">Corporate</t>
  </si>
  <si>
    <t xml:space="preserve">Digital</t>
  </si>
  <si>
    <t xml:space="preserve">Jul-25</t>
  </si>
  <si>
    <t xml:space="preserve">Mar-27</t>
  </si>
  <si>
    <t xml:space="preserve">In progress - delayed</t>
  </si>
  <si>
    <t xml:space="preserve">A. Menon</t>
  </si>
  <si>
    <t xml:space="preserve">CX-105</t>
  </si>
  <si>
    <t xml:space="preserve">2000T Die-Casting Machine</t>
  </si>
  <si>
    <t xml:space="preserve">Chennai</t>
  </si>
  <si>
    <t xml:space="preserve">Nov-25</t>
  </si>
  <si>
    <t xml:space="preserve">Order placed</t>
  </si>
  <si>
    <t xml:space="preserve">K. Selvam</t>
  </si>
  <si>
    <t xml:space="preserve">CX-106</t>
  </si>
  <si>
    <t xml:space="preserve">Robotic Welding Cell</t>
  </si>
  <si>
    <t xml:space="preserve">Sep-25</t>
  </si>
  <si>
    <t xml:space="preserve">CX-107</t>
  </si>
  <si>
    <t xml:space="preserve">EV Programme Tooling</t>
  </si>
  <si>
    <t xml:space="preserve">CX-108</t>
  </si>
  <si>
    <t xml:space="preserve">Effluent Treatment Plant Expansion</t>
  </si>
  <si>
    <t xml:space="preserve">Feb-26</t>
  </si>
  <si>
    <t xml:space="preserve">Sep-26</t>
  </si>
  <si>
    <t xml:space="preserve">Near completion</t>
  </si>
  <si>
    <t xml:space="preserve">V. Ramesh</t>
  </si>
  <si>
    <t xml:space="preserve">CX-109</t>
  </si>
  <si>
    <t xml:space="preserve">Warehouse Automation (AS/RS)</t>
  </si>
  <si>
    <t xml:space="preserve">Jun-27</t>
  </si>
  <si>
    <t xml:space="preserve">Not started</t>
  </si>
  <si>
    <t xml:space="preserve">CX-110</t>
  </si>
  <si>
    <t xml:space="preserve">R&amp;D Metallurgy Lab</t>
  </si>
  <si>
    <t xml:space="preserve">Mar-26</t>
  </si>
  <si>
    <t xml:space="preserve">Dr. P. Sen</t>
  </si>
  <si>
    <t xml:space="preserve">Total (Apr-Aug 26 spend ties to Cash Flow capex)</t>
  </si>
  <si>
    <t xml:space="preserve">STATUTORY COMPLIANCE TRACKER (GST / TDS / PF-ESI / Income Tax / MCA)</t>
  </si>
  <si>
    <t xml:space="preserve">Status as on 31-Aug-2026 | Amounts Rs. Lakhs</t>
  </si>
  <si>
    <t xml:space="preserve">Compliance</t>
  </si>
  <si>
    <t xml:space="preserve">Period</t>
  </si>
  <si>
    <t xml:space="preserve">Due Date</t>
  </si>
  <si>
    <t xml:space="preserve">Filed / Paid On</t>
  </si>
  <si>
    <t xml:space="preserve">Amount (Rs. L)</t>
  </si>
  <si>
    <t xml:space="preserve">GSTR-1</t>
  </si>
  <si>
    <t xml:space="preserve">Filed on time</t>
  </si>
  <si>
    <t xml:space="preserve">GSTR-3B</t>
  </si>
  <si>
    <t xml:space="preserve">17-Mar-26</t>
  </si>
  <si>
    <t xml:space="preserve">TDS Deposit</t>
  </si>
  <si>
    <t xml:space="preserve">07/03/2026</t>
  </si>
  <si>
    <t xml:space="preserve">PF &amp; ESI</t>
  </si>
  <si>
    <t xml:space="preserve">14/03/2026</t>
  </si>
  <si>
    <t xml:space="preserve">07-Apr-26</t>
  </si>
  <si>
    <t xml:space="preserve">07/04/2026</t>
  </si>
  <si>
    <t xml:space="preserve">15/04/2026</t>
  </si>
  <si>
    <t xml:space="preserve">21/04/2026</t>
  </si>
  <si>
    <t xml:space="preserve">Filed - LATE (interest/late fee paid)</t>
  </si>
  <si>
    <t xml:space="preserve">Interest paid</t>
  </si>
  <si>
    <t xml:space="preserve">10/05/2026</t>
  </si>
  <si>
    <t xml:space="preserve">20-May-26</t>
  </si>
  <si>
    <t xml:space="preserve">26/05/2026</t>
  </si>
  <si>
    <t xml:space="preserve">Late fee Rs. 1000</t>
  </si>
  <si>
    <t xml:space="preserve">15-May-26</t>
  </si>
  <si>
    <t xml:space="preserve">11-Jun-26</t>
  </si>
  <si>
    <t xml:space="preserve">Late fee Rs. 2400</t>
  </si>
  <si>
    <t xml:space="preserve">14-Jun-26</t>
  </si>
  <si>
    <t xml:space="preserve">07/07/2026</t>
  </si>
  <si>
    <t xml:space="preserve">07-Jul-26</t>
  </si>
  <si>
    <t xml:space="preserve">11-Jul-26</t>
  </si>
  <si>
    <t xml:space="preserve">11-Aug-26</t>
  </si>
  <si>
    <t xml:space="preserve">20-Aug-26</t>
  </si>
  <si>
    <t xml:space="preserve">16/08/2026</t>
  </si>
  <si>
    <t xml:space="preserve">03/08/2026</t>
  </si>
  <si>
    <t xml:space="preserve">18-Aug-26</t>
  </si>
  <si>
    <t xml:space="preserve">TDS Return 24Q/26Q</t>
  </si>
  <si>
    <t xml:space="preserve">Q4 FY26</t>
  </si>
  <si>
    <t xml:space="preserve">29-May-26</t>
  </si>
  <si>
    <t xml:space="preserve">Q1 FY27</t>
  </si>
  <si>
    <t xml:space="preserve">31/07/2026</t>
  </si>
  <si>
    <t xml:space="preserve">30/07/2026</t>
  </si>
  <si>
    <t xml:space="preserve">Advance Tax - Instalment 1 (15%)</t>
  </si>
  <si>
    <t xml:space="preserve">FY27</t>
  </si>
  <si>
    <t xml:space="preserve">15-Jun-26</t>
  </si>
  <si>
    <t xml:space="preserve">13-Jun-26</t>
  </si>
  <si>
    <t xml:space="preserve">Paid</t>
  </si>
  <si>
    <t xml:space="preserve">Advance Tax - Instalment 2 (45% cum.)</t>
  </si>
  <si>
    <t xml:space="preserve">Upcoming - due</t>
  </si>
  <si>
    <t xml:space="preserve">Cash planning required</t>
  </si>
  <si>
    <t xml:space="preserve">Estimated liability</t>
  </si>
  <si>
    <t xml:space="preserve">Tax Audit Report (Form 3CD)</t>
  </si>
  <si>
    <t xml:space="preserve">FY26</t>
  </si>
  <si>
    <t xml:space="preserve">Auditor: MSKA &amp; Co (dummy)</t>
  </si>
  <si>
    <t xml:space="preserve">Annual General Meeting</t>
  </si>
  <si>
    <t xml:space="preserve">30-Sep-26</t>
  </si>
  <si>
    <t xml:space="preserve">Scheduled</t>
  </si>
  <si>
    <t xml:space="preserve">Notice issued 22-Aug-26</t>
  </si>
  <si>
    <t xml:space="preserve">MSME-1 Half-yearly Return</t>
  </si>
  <si>
    <t xml:space="preserve">Apr-Sep 26</t>
  </si>
  <si>
    <t xml:space="preserve">Requires MSME &gt;45d list</t>
  </si>
  <si>
    <t xml:space="preserve">ROC - AOC-4 / MGT-7</t>
  </si>
  <si>
    <t xml:space="preserve">Within 30 days of AGM</t>
  </si>
  <si>
    <t xml:space="preserve">FOREX EXPOSURE &amp; HEDGING - 31-Aug-2026</t>
  </si>
  <si>
    <t xml:space="preserve">Foreign currency amounts in FCY units; INR in Rs. Lakhs. Spot rates are indicative (dummy).</t>
  </si>
  <si>
    <t xml:space="preserve">Currency</t>
  </si>
  <si>
    <t xml:space="preserve">Spot 31-Aug-26</t>
  </si>
  <si>
    <t xml:space="preserve">Receivables (FCY)</t>
  </si>
  <si>
    <t xml:space="preserve">Payables (FCY)</t>
  </si>
  <si>
    <t xml:space="preserve">Net Exposure (FCY)</t>
  </si>
  <si>
    <t xml:space="preserve">Hedged (FCY)</t>
  </si>
  <si>
    <t xml:space="preserve">Hedge %</t>
  </si>
  <si>
    <t xml:space="preserve">Net Exposure (Rs. L)</t>
  </si>
  <si>
    <t xml:space="preserve">Unhedged (Rs. L)</t>
  </si>
  <si>
    <t xml:space="preserve">USD</t>
  </si>
  <si>
    <t xml:space="preserve">EUR</t>
  </si>
  <si>
    <t xml:space="preserve">AED</t>
  </si>
  <si>
    <t xml:space="preserve">AUD</t>
  </si>
  <si>
    <t xml:space="preserve">FORWARD CONTRACTS OUTSTANDING</t>
  </si>
  <si>
    <t xml:space="preserve">Bank</t>
  </si>
  <si>
    <t xml:space="preserve">Notional (FCY)</t>
  </si>
  <si>
    <t xml:space="preserve">Fwd Rate</t>
  </si>
  <si>
    <t xml:space="preserve">MTM (Rs. L)</t>
  </si>
  <si>
    <t xml:space="preserve">Forex gain/(loss) - Rs. Lakhs</t>
  </si>
  <si>
    <t xml:space="preserve">Realised</t>
  </si>
  <si>
    <t xml:space="preserve">Unrealised (MTM)</t>
  </si>
  <si>
    <t xml:space="preserve">21.97</t>
  </si>
  <si>
    <t xml:space="preserve">(12.92)</t>
  </si>
  <si>
    <t xml:space="preserve">(2.29)</t>
  </si>
  <si>
    <t xml:space="preserve">PLANT OPERATIONS DASHBOARD DATA</t>
  </si>
  <si>
    <t xml:space="preserve">Production in MT (metric tonnes) | Utilisation &amp; OEE in % | Rejection in PPM</t>
  </si>
  <si>
    <t xml:space="preserve">Pune (Chakan)</t>
  </si>
  <si>
    <t xml:space="preserve">Chennai (Oragadam)</t>
  </si>
  <si>
    <t xml:space="preserve">Prod (MT)</t>
  </si>
  <si>
    <t xml:space="preserve">Util %</t>
  </si>
  <si>
    <t xml:space="preserve">OEE %</t>
  </si>
  <si>
    <t xml:space="preserve">Rejection PPM</t>
  </si>
  <si>
    <t xml:space="preserve">73.9%</t>
  </si>
  <si>
    <t xml:space="preserve">77.8%</t>
  </si>
  <si>
    <t xml:space="preserve">Jun'25</t>
  </si>
  <si>
    <t xml:space="preserve">Jul 2025</t>
  </si>
  <si>
    <t xml:space="preserve">80.4%</t>
  </si>
  <si>
    <t xml:space="preserve">71.0%</t>
  </si>
  <si>
    <t xml:space="preserve">82.8%</t>
  </si>
  <si>
    <t xml:space="preserve">Feb'26</t>
  </si>
  <si>
    <t xml:space="preserve">Mar 2026</t>
  </si>
  <si>
    <t xml:space="preserve">94.4%</t>
  </si>
  <si>
    <t xml:space="preserve">67.8%</t>
  </si>
  <si>
    <t xml:space="preserve">77.5%</t>
  </si>
  <si>
    <t xml:space="preserve">86.7%</t>
  </si>
  <si>
    <t xml:space="preserve">scratch</t>
  </si>
  <si>
    <t xml:space="preserve">rev growth ??</t>
  </si>
  <si>
    <t xml:space="preserve">check ebitda</t>
  </si>
  <si>
    <t xml:space="preserve">ask Rajesh about provision</t>
  </si>
  <si>
    <t xml:space="preserve">temp total</t>
  </si>
  <si>
    <t xml:space="preserve">OLD P&amp;L v2 - superseded</t>
  </si>
  <si>
    <t xml:space="preserve">DO NOT USE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</si>
</sst>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"/>
    <numFmt numFmtId="166" formatCode="#,##0.00;\(#,##0.00\);\-"/>
    <numFmt numFmtId="167" formatCode="0.0%"/>
    <numFmt numFmtId="168" formatCode="#,##0.00"/>
    <numFmt numFmtId="169" formatCode="dd\-mmm\-yy"/>
    <numFmt numFmtId="170" formatCode="[&gt;=10000000]##\,##\,##\,##0;[&gt;=100000]##\,##\,##0;##,##0"/>
    <numFmt numFmtId="171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2"/>
    <col collapsed="false" customWidth="true" hidden="false" outlineLevel="0" max="15" min="15" style="0" width="4"/>
    <col collapsed="false" customWidth="true" hidden="false" outlineLevel="0" max="23" min="16" style="0" width="12"/>
    <col collapsed="false" customWidth="true" hidden="false" outlineLevel="0" max="24" min="24" style="0" width="46"/>
  </cols>
  <sheetData>
    <row r="1" customFormat="false" ht="17.35" hidden="false" customHeight="false" outlineLevel="0" collapsed="false">
      <c r="A1" s="4" t="s">
        <v>14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3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</row>
    <row r="5" customFormat="false" ht="15" hidden="false" customHeight="false" outlineLevel="0" collapsed="false">
      <c r="B5" s="6" t="s">
        <v>18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P5" s="6" t="s">
        <v>19</v>
      </c>
      <c r="Q5" s="6"/>
      <c r="R5" s="6"/>
      <c r="S5" s="6"/>
      <c r="T5" s="6"/>
      <c r="U5" s="6"/>
      <c r="V5" s="6"/>
    </row>
    <row r="6" customFormat="false" ht="23.85" hidden="false" customHeight="false" outlineLevel="0" collapsed="false">
      <c r="A6" s="7" t="s">
        <v>20</v>
      </c>
      <c r="B6" s="8" t="n">
        <v>45777</v>
      </c>
      <c r="C6" s="9" t="s">
        <v>21</v>
      </c>
      <c r="D6" s="9" t="s">
        <v>22</v>
      </c>
      <c r="E6" s="8" t="n">
        <v>45869</v>
      </c>
      <c r="F6" s="9" t="s">
        <v>23</v>
      </c>
      <c r="G6" s="8" t="n">
        <v>45930</v>
      </c>
      <c r="H6" s="9" t="s">
        <v>24</v>
      </c>
      <c r="I6" s="9" t="s">
        <v>25</v>
      </c>
      <c r="J6" s="8" t="n">
        <v>46022</v>
      </c>
      <c r="K6" s="9" t="s">
        <v>26</v>
      </c>
      <c r="L6" s="8" t="n">
        <v>46081</v>
      </c>
      <c r="M6" s="9" t="s">
        <v>27</v>
      </c>
      <c r="N6" s="10" t="s">
        <v>28</v>
      </c>
      <c r="P6" s="9" t="s">
        <v>29</v>
      </c>
      <c r="Q6" s="8" t="n">
        <v>46173</v>
      </c>
      <c r="R6" s="9" t="s">
        <v>30</v>
      </c>
      <c r="S6" s="8" t="n">
        <v>46234</v>
      </c>
      <c r="T6" s="9" t="s">
        <v>31</v>
      </c>
      <c r="U6" s="10" t="s">
        <v>32</v>
      </c>
      <c r="V6" s="10" t="s">
        <v>33</v>
      </c>
      <c r="W6" s="10" t="s">
        <v>34</v>
      </c>
      <c r="X6" s="10" t="s">
        <v>35</v>
      </c>
    </row>
    <row r="7" customFormat="false" ht="15" hidden="false" customHeight="false" outlineLevel="0" collapsed="false">
      <c r="A7" s="11" t="s">
        <v>36</v>
      </c>
    </row>
    <row r="8" customFormat="false" ht="15" hidden="false" customHeight="false" outlineLevel="0" collapsed="false">
      <c r="A8" s="11" t="s">
        <v>37</v>
      </c>
    </row>
    <row r="9" customFormat="false" ht="15" hidden="false" customHeight="false" outlineLevel="0" collapsed="false">
      <c r="A9" s="12" t="s">
        <v>38</v>
      </c>
      <c r="B9" s="13" t="n">
        <v>1985.2</v>
      </c>
      <c r="C9" s="13" t="n">
        <v>2100.84</v>
      </c>
      <c r="D9" s="13" t="n">
        <v>2083.24</v>
      </c>
      <c r="E9" s="13" t="n">
        <v>2226.22</v>
      </c>
      <c r="F9" s="13" t="n">
        <v>2207.85</v>
      </c>
      <c r="G9" s="13" t="n">
        <v>2288.39</v>
      </c>
      <c r="H9" s="13" t="n">
        <v>2422.11</v>
      </c>
      <c r="I9" s="13" t="n">
        <v>2585.77</v>
      </c>
      <c r="J9" s="13" t="n">
        <v>2555.89</v>
      </c>
      <c r="K9" s="13" t="n">
        <v>2298.51</v>
      </c>
      <c r="L9" s="13" t="n">
        <v>2301.49</v>
      </c>
      <c r="M9" s="13" t="n">
        <v>2709.96</v>
      </c>
      <c r="N9" s="14" t="n">
        <f aca="false">SUM(B9:M9)</f>
        <v>27765.47</v>
      </c>
      <c r="P9" s="13" t="n">
        <v>2166</v>
      </c>
      <c r="Q9" s="13" t="n">
        <v>2279.11</v>
      </c>
      <c r="R9" s="13" t="n">
        <v>2312.21</v>
      </c>
      <c r="S9" s="13" t="n">
        <v>2407.46</v>
      </c>
      <c r="T9" s="13" t="n">
        <v>2495.64</v>
      </c>
      <c r="U9" s="14" t="n">
        <f aca="false">SUM(P9:T9)</f>
        <v>11660.42</v>
      </c>
      <c r="V9" s="14" t="n">
        <f aca="false">SUM(B9:F9)</f>
        <v>10603.35</v>
      </c>
      <c r="W9" s="15" t="n">
        <f aca="false">IFERROR(U9/V9-1,0)</f>
        <v>0.099692078446906</v>
      </c>
    </row>
    <row r="10" customFormat="false" ht="15" hidden="false" customHeight="false" outlineLevel="0" collapsed="false">
      <c r="A10" s="12" t="s">
        <v>39</v>
      </c>
      <c r="B10" s="13" t="n">
        <v>976.68</v>
      </c>
      <c r="C10" s="13" t="n">
        <v>1019.48</v>
      </c>
      <c r="D10" s="13" t="n">
        <v>1033.33</v>
      </c>
      <c r="E10" s="13" t="n">
        <v>1050.33</v>
      </c>
      <c r="F10" s="13" t="n">
        <v>1109.93</v>
      </c>
      <c r="G10" s="13" t="n">
        <v>1133.52</v>
      </c>
      <c r="H10" s="13" t="n">
        <v>1205.62</v>
      </c>
      <c r="I10" s="13" t="n">
        <v>1190.74</v>
      </c>
      <c r="J10" s="13" t="n">
        <v>1236.56</v>
      </c>
      <c r="K10" s="13" t="n">
        <v>1202.11</v>
      </c>
      <c r="L10" s="13" t="n">
        <v>1176.29</v>
      </c>
      <c r="M10" s="13" t="n">
        <v>1345.04</v>
      </c>
      <c r="N10" s="14" t="n">
        <f aca="false">SUM(B10:M10)</f>
        <v>13679.63</v>
      </c>
      <c r="P10" s="13" t="n">
        <v>1149.25</v>
      </c>
      <c r="Q10" s="13" t="n">
        <v>1144.6</v>
      </c>
      <c r="R10" s="13" t="n">
        <v>1194.48</v>
      </c>
      <c r="S10" s="13" t="n">
        <v>1115.06</v>
      </c>
      <c r="T10" s="13" t="n">
        <v>1250.51</v>
      </c>
      <c r="U10" s="14" t="n">
        <f aca="false">SUM(P10:T10)</f>
        <v>5853.9</v>
      </c>
      <c r="V10" s="14" t="n">
        <f aca="false">SUM(B10:F10)</f>
        <v>5189.75</v>
      </c>
      <c r="W10" s="15" t="n">
        <f aca="false">IFERROR(U10/V10-1,0)</f>
        <v>0.127973409123753</v>
      </c>
      <c r="X10" s="16" t="s">
        <v>40</v>
      </c>
    </row>
    <row r="11" customFormat="false" ht="15" hidden="false" customHeight="false" outlineLevel="0" collapsed="false">
      <c r="A11" s="12" t="s">
        <v>41</v>
      </c>
      <c r="B11" s="13" t="n">
        <v>1172.37</v>
      </c>
      <c r="C11" s="13" t="n">
        <v>1255.33</v>
      </c>
      <c r="D11" s="13" t="n">
        <v>1286.61</v>
      </c>
      <c r="E11" s="13" t="n">
        <v>1334.38</v>
      </c>
      <c r="F11" s="13" t="n">
        <v>1371.69</v>
      </c>
      <c r="G11" s="13" t="n">
        <v>1405.69</v>
      </c>
      <c r="H11" s="13" t="n">
        <v>1456.81</v>
      </c>
      <c r="I11" s="13" t="n">
        <v>1522.79</v>
      </c>
      <c r="J11" s="13" t="n">
        <v>1505.82</v>
      </c>
      <c r="K11" s="13" t="n">
        <v>1440.28</v>
      </c>
      <c r="L11" s="13" t="n">
        <v>1415.4</v>
      </c>
      <c r="M11" s="13" t="n">
        <v>1630.13</v>
      </c>
      <c r="N11" s="14" t="n">
        <f aca="false">SUM(B11:M11)</f>
        <v>16797.3</v>
      </c>
      <c r="P11" s="13" t="n">
        <v>1383.27</v>
      </c>
      <c r="Q11" s="13" t="n">
        <v>1427.94</v>
      </c>
      <c r="R11" s="13" t="n">
        <v>1392.87</v>
      </c>
      <c r="S11" s="13" t="n">
        <v>1501.61</v>
      </c>
      <c r="T11" s="13" t="n">
        <v>1548.07</v>
      </c>
      <c r="U11" s="14" t="n">
        <f aca="false">SUM(P11:T11)</f>
        <v>7253.76</v>
      </c>
      <c r="V11" s="14" t="n">
        <f aca="false">SUM(B11:F11)</f>
        <v>6420.38</v>
      </c>
      <c r="W11" s="15" t="n">
        <f aca="false">IFERROR(U11/V11-1,0)</f>
        <v>0.129802285846009</v>
      </c>
    </row>
    <row r="12" customFormat="false" ht="15" hidden="false" customHeight="false" outlineLevel="0" collapsed="false">
      <c r="A12" s="12" t="s">
        <v>42</v>
      </c>
      <c r="B12" s="13" t="n">
        <v>477.61</v>
      </c>
      <c r="C12" s="13" t="n">
        <v>487.65</v>
      </c>
      <c r="D12" s="13" t="n">
        <v>514.69</v>
      </c>
      <c r="E12" s="13" t="n">
        <v>527.44</v>
      </c>
      <c r="F12" s="13" t="n">
        <v>548.95</v>
      </c>
      <c r="G12" s="13" t="n">
        <v>564.09</v>
      </c>
      <c r="H12" s="13" t="n">
        <v>613.12</v>
      </c>
      <c r="I12" s="13" t="n">
        <v>605.77</v>
      </c>
      <c r="J12" s="13" t="n">
        <v>638.59</v>
      </c>
      <c r="K12" s="13" t="n">
        <v>613.86</v>
      </c>
      <c r="L12" s="13" t="n">
        <v>601.65</v>
      </c>
      <c r="M12" s="13" t="n">
        <v>681.38</v>
      </c>
      <c r="N12" s="14" t="n">
        <f aca="false">SUM(B12:M12)</f>
        <v>6874.8</v>
      </c>
      <c r="P12" s="13" t="n">
        <v>582.66</v>
      </c>
      <c r="Q12" s="13" t="n">
        <v>593.47</v>
      </c>
      <c r="R12" s="13" t="n">
        <v>610.74</v>
      </c>
      <c r="S12" s="13" t="n">
        <v>639.45</v>
      </c>
      <c r="T12" s="13" t="n">
        <v>642.75</v>
      </c>
      <c r="U12" s="14" t="n">
        <f aca="false">SUM(P12:T12)</f>
        <v>3069.07</v>
      </c>
      <c r="V12" s="14" t="n">
        <f aca="false">SUM(B12:F12)</f>
        <v>2556.34</v>
      </c>
      <c r="W12" s="15" t="n">
        <f aca="false">IFERROR(U12/V12-1,0)</f>
        <v>0.200571911404586</v>
      </c>
    </row>
    <row r="13" customFormat="false" ht="15" hidden="false" customHeight="false" outlineLevel="0" collapsed="false">
      <c r="A13" s="3" t="s">
        <v>43</v>
      </c>
      <c r="B13" s="14" t="n">
        <f aca="false">SUM(B9:B12)</f>
        <v>4611.86</v>
      </c>
      <c r="C13" s="14" t="n">
        <f aca="false">SUM(C9:C12)</f>
        <v>4863.3</v>
      </c>
      <c r="D13" s="14" t="n">
        <f aca="false">SUM(D9:D12)</f>
        <v>4917.87</v>
      </c>
      <c r="E13" s="14" t="n">
        <f aca="false">SUM(E9:E12)</f>
        <v>5138.37</v>
      </c>
      <c r="F13" s="14" t="n">
        <f aca="false">SUM(F9:F12)</f>
        <v>5238.42</v>
      </c>
      <c r="G13" s="14" t="n">
        <f aca="false">SUM(G9:G12)</f>
        <v>5391.69</v>
      </c>
      <c r="H13" s="14" t="n">
        <f aca="false">SUM(H9:H12)</f>
        <v>5697.66</v>
      </c>
      <c r="I13" s="14" t="n">
        <f aca="false">SUM(I9:I12)</f>
        <v>5905.07</v>
      </c>
      <c r="J13" s="14" t="n">
        <f aca="false">SUM(J9:J12)</f>
        <v>5936.86</v>
      </c>
      <c r="K13" s="14" t="n">
        <f aca="false">SUM(K9:K12)</f>
        <v>5554.76</v>
      </c>
      <c r="L13" s="14" t="n">
        <f aca="false">SUM(L9:L12)</f>
        <v>5494.83</v>
      </c>
      <c r="M13" s="14" t="n">
        <f aca="false">SUM(M9:M12)</f>
        <v>6366.51</v>
      </c>
      <c r="N13" s="14" t="n">
        <f aca="false">SUM(N9:N12)</f>
        <v>65117.2</v>
      </c>
      <c r="P13" s="14" t="n">
        <f aca="false">SUM(P9:P12)</f>
        <v>5281.18</v>
      </c>
      <c r="Q13" s="14" t="n">
        <f aca="false">SUM(Q9:Q12)</f>
        <v>5445.12</v>
      </c>
      <c r="R13" s="14" t="n">
        <f aca="false">SUM(R9:R12)</f>
        <v>5510.3</v>
      </c>
      <c r="S13" s="14" t="n">
        <f aca="false">SUM(S9:S12)</f>
        <v>5663.58</v>
      </c>
      <c r="T13" s="14" t="n">
        <f aca="false">SUM(T9:T12)</f>
        <v>5936.97</v>
      </c>
      <c r="U13" s="14" t="n">
        <f aca="false">SUM(U9:U12)</f>
        <v>27837.15</v>
      </c>
      <c r="V13" s="14" t="n">
        <f aca="false">SUM(V9:V12)</f>
        <v>24769.82</v>
      </c>
      <c r="W13" s="15" t="n">
        <f aca="false">IFERROR(U13/V13-1,0)</f>
        <v>0.123833358498366</v>
      </c>
    </row>
    <row r="14" customFormat="false" ht="15" hidden="false" customHeight="false" outlineLevel="0" collapsed="false">
      <c r="A14" s="2" t="s">
        <v>44</v>
      </c>
      <c r="B14" s="13" t="n">
        <v>57.96</v>
      </c>
      <c r="C14" s="13" t="n">
        <v>68.3</v>
      </c>
      <c r="D14" s="13" t="n">
        <v>54.51</v>
      </c>
      <c r="E14" s="13" t="n">
        <v>61.01</v>
      </c>
      <c r="F14" s="13" t="n">
        <v>68.48</v>
      </c>
      <c r="G14" s="13" t="n">
        <v>47.33</v>
      </c>
      <c r="H14" s="13" t="n">
        <v>65.13</v>
      </c>
      <c r="I14" s="13" t="n">
        <v>65.1</v>
      </c>
      <c r="J14" s="13" t="n">
        <v>59.17</v>
      </c>
      <c r="K14" s="13" t="n">
        <v>69.6</v>
      </c>
      <c r="L14" s="13" t="n">
        <v>66.52</v>
      </c>
      <c r="M14" s="13" t="n">
        <v>142.5</v>
      </c>
      <c r="N14" s="14" t="n">
        <f aca="false">SUM(B14:M14)</f>
        <v>825.61</v>
      </c>
      <c r="P14" s="13" t="n">
        <v>60.75</v>
      </c>
      <c r="Q14" s="13" t="n">
        <v>49.11</v>
      </c>
      <c r="R14" s="13" t="n">
        <v>56.43</v>
      </c>
      <c r="S14" s="13" t="n">
        <v>52.74</v>
      </c>
      <c r="T14" s="13" t="n">
        <v>64.37</v>
      </c>
      <c r="U14" s="14" t="n">
        <f aca="false">SUM(P14:T14)</f>
        <v>283.4</v>
      </c>
      <c r="V14" s="14" t="n">
        <f aca="false">SUM(B14:F14)</f>
        <v>310.26</v>
      </c>
      <c r="X14" s="16" t="s">
        <v>45</v>
      </c>
    </row>
    <row r="15" customFormat="false" ht="15" hidden="false" customHeight="false" outlineLevel="0" collapsed="false">
      <c r="A15" s="3" t="s">
        <v>46</v>
      </c>
      <c r="B15" s="14" t="n">
        <f aca="false">B13+B14</f>
        <v>4669.82</v>
      </c>
      <c r="C15" s="14" t="n">
        <f aca="false">C13+C14</f>
        <v>4931.6</v>
      </c>
      <c r="D15" s="14" t="n">
        <f aca="false">D13+D14</f>
        <v>4972.38</v>
      </c>
      <c r="E15" s="14" t="n">
        <f aca="false">E13+E14</f>
        <v>5199.38</v>
      </c>
      <c r="F15" s="14" t="n">
        <f aca="false">F13+F14</f>
        <v>5306.9</v>
      </c>
      <c r="G15" s="14" t="n">
        <f aca="false">G13+G14</f>
        <v>5439.02</v>
      </c>
      <c r="H15" s="14" t="n">
        <f aca="false">H13+H14</f>
        <v>5762.79</v>
      </c>
      <c r="I15" s="14" t="n">
        <f aca="false">I13+I14</f>
        <v>5970.17</v>
      </c>
      <c r="J15" s="14" t="n">
        <f aca="false">J13+J14</f>
        <v>5996.03</v>
      </c>
      <c r="K15" s="14" t="n">
        <f aca="false">K13+K14</f>
        <v>5624.36</v>
      </c>
      <c r="L15" s="14" t="n">
        <f aca="false">L13+L14</f>
        <v>5561.35</v>
      </c>
      <c r="M15" s="14" t="n">
        <f aca="false">M13+M14</f>
        <v>6509.01</v>
      </c>
      <c r="N15" s="14" t="n">
        <f aca="false">N13+N14</f>
        <v>65942.81</v>
      </c>
      <c r="P15" s="14" t="n">
        <f aca="false">P13+P14</f>
        <v>5341.93</v>
      </c>
      <c r="Q15" s="14" t="n">
        <f aca="false">Q13+Q14</f>
        <v>5494.23</v>
      </c>
      <c r="R15" s="14" t="n">
        <f aca="false">R13+R14</f>
        <v>5566.73</v>
      </c>
      <c r="S15" s="14" t="n">
        <f aca="false">S13+S14</f>
        <v>5716.32</v>
      </c>
      <c r="T15" s="14" t="n">
        <f aca="false">T13+T14</f>
        <v>6001.34</v>
      </c>
      <c r="U15" s="14" t="n">
        <f aca="false">U13+U14</f>
        <v>28120.55</v>
      </c>
      <c r="V15" s="14" t="n">
        <f aca="false">V13+V14</f>
        <v>25080.08</v>
      </c>
      <c r="W15" s="15" t="n">
        <f aca="false">IFERROR(U15/V15-1,0)</f>
        <v>0.121230474543941</v>
      </c>
    </row>
    <row r="17" customFormat="false" ht="15" hidden="false" customHeight="false" outlineLevel="0" collapsed="false">
      <c r="A17" s="11" t="s">
        <v>47</v>
      </c>
    </row>
    <row r="18" customFormat="false" ht="15" hidden="false" customHeight="false" outlineLevel="0" collapsed="false">
      <c r="A18" s="12" t="s">
        <v>48</v>
      </c>
      <c r="B18" s="13" t="n">
        <v>2740.76</v>
      </c>
      <c r="C18" s="13" t="n">
        <v>2879.42</v>
      </c>
      <c r="D18" s="13" t="n">
        <v>2987.47</v>
      </c>
      <c r="E18" s="13" t="n">
        <v>3085.49</v>
      </c>
      <c r="F18" s="13" t="n">
        <v>3194.24</v>
      </c>
      <c r="G18" s="13" t="n">
        <v>3245.97</v>
      </c>
      <c r="H18" s="13" t="n">
        <v>3438.63</v>
      </c>
      <c r="I18" s="13" t="n">
        <v>3619.4</v>
      </c>
      <c r="J18" s="13" t="n">
        <v>3665.55</v>
      </c>
      <c r="K18" s="13" t="n">
        <v>3311.84</v>
      </c>
      <c r="L18" s="13" t="n">
        <v>3321.79</v>
      </c>
      <c r="M18" s="13" t="n">
        <v>3818.15</v>
      </c>
      <c r="N18" s="14" t="n">
        <f aca="false">SUM(B18:M18)</f>
        <v>39308.71</v>
      </c>
      <c r="P18" s="13" t="n">
        <v>3171.71</v>
      </c>
      <c r="Q18" s="13" t="n">
        <v>3255.85</v>
      </c>
      <c r="R18" s="13" t="n">
        <v>3456.26</v>
      </c>
      <c r="S18" s="13" t="n">
        <v>3592.97</v>
      </c>
      <c r="T18" s="13" t="n">
        <v>3639.73</v>
      </c>
      <c r="U18" s="14" t="n">
        <f aca="false">SUM(P18:T18)</f>
        <v>17116.52</v>
      </c>
      <c r="V18" s="14" t="n">
        <f aca="false">SUM(B18:F18)</f>
        <v>14887.38</v>
      </c>
      <c r="X18" s="16" t="s">
        <v>49</v>
      </c>
    </row>
    <row r="19" customFormat="false" ht="15" hidden="false" customHeight="false" outlineLevel="0" collapsed="false">
      <c r="A19" s="12" t="s">
        <v>50</v>
      </c>
      <c r="B19" s="13" t="n">
        <v>-9.18</v>
      </c>
      <c r="C19" s="13" t="n">
        <v>18.41</v>
      </c>
      <c r="D19" s="13" t="n">
        <v>16.75</v>
      </c>
      <c r="E19" s="13" t="n">
        <v>23.31</v>
      </c>
      <c r="F19" s="13" t="n">
        <v>-7.35</v>
      </c>
      <c r="G19" s="13" t="n">
        <v>-19.29</v>
      </c>
      <c r="H19" s="13" t="n">
        <v>-26.33</v>
      </c>
      <c r="I19" s="13" t="n">
        <v>-27.95</v>
      </c>
      <c r="J19" s="13" t="n">
        <v>-7.24</v>
      </c>
      <c r="K19" s="13" t="n">
        <v>-7.69</v>
      </c>
      <c r="L19" s="13" t="n">
        <v>-21.66</v>
      </c>
      <c r="M19" s="13" t="n">
        <v>15.33</v>
      </c>
      <c r="N19" s="14" t="n">
        <f aca="false">SUM(B19:M19)</f>
        <v>-52.89</v>
      </c>
      <c r="P19" s="13" t="n">
        <v>26.97</v>
      </c>
      <c r="Q19" s="13" t="n">
        <v>-32.45</v>
      </c>
      <c r="R19" s="13" t="n">
        <v>-27.29</v>
      </c>
      <c r="S19" s="13" t="n">
        <v>3.59</v>
      </c>
      <c r="T19" s="13" t="n">
        <v>-8.85</v>
      </c>
      <c r="U19" s="14" t="n">
        <f aca="false">SUM(P19:T19)</f>
        <v>-38.03</v>
      </c>
      <c r="V19" s="14" t="n">
        <f aca="false">SUM(B19:F19)</f>
        <v>41.94</v>
      </c>
    </row>
    <row r="20" customFormat="false" ht="15" hidden="false" customHeight="false" outlineLevel="0" collapsed="false">
      <c r="A20" s="12" t="s">
        <v>51</v>
      </c>
      <c r="B20" s="13" t="n">
        <v>469.52</v>
      </c>
      <c r="C20" s="13" t="n">
        <v>462.03</v>
      </c>
      <c r="D20" s="13" t="n">
        <v>468.3</v>
      </c>
      <c r="E20" s="13" t="n">
        <v>470</v>
      </c>
      <c r="F20" s="13" t="n">
        <v>467.63</v>
      </c>
      <c r="G20" s="13" t="n">
        <v>478.19</v>
      </c>
      <c r="H20" s="13" t="n">
        <v>468.64</v>
      </c>
      <c r="I20" s="13" t="n">
        <v>478.01</v>
      </c>
      <c r="J20" s="13" t="n">
        <v>481.12</v>
      </c>
      <c r="K20" s="13" t="n">
        <v>480.59</v>
      </c>
      <c r="L20" s="13" t="n">
        <v>489.65</v>
      </c>
      <c r="M20" s="13" t="n">
        <v>483.99</v>
      </c>
      <c r="N20" s="14" t="n">
        <f aca="false">SUM(B20:M20)</f>
        <v>5697.67</v>
      </c>
      <c r="O20" s="5" t="s">
        <v>52</v>
      </c>
      <c r="P20" s="13" t="n">
        <v>515.96</v>
      </c>
      <c r="Q20" s="13" t="n">
        <v>524.63</v>
      </c>
      <c r="R20" s="13" t="n">
        <v>526.07</v>
      </c>
      <c r="S20" s="13" t="n">
        <v>523.1</v>
      </c>
      <c r="T20" s="13" t="n">
        <v>543.18</v>
      </c>
      <c r="U20" s="14" t="n">
        <f aca="false">SUM(P20:T20)</f>
        <v>2632.94</v>
      </c>
      <c r="V20" s="14" t="n">
        <f aca="false">SUM(B20:F20)</f>
        <v>2337.48</v>
      </c>
    </row>
    <row r="21" customFormat="false" ht="15" hidden="false" customHeight="false" outlineLevel="0" collapsed="false">
      <c r="A21" s="12" t="s">
        <v>53</v>
      </c>
      <c r="B21" s="13" t="n">
        <v>202.35</v>
      </c>
      <c r="C21" s="13" t="n">
        <v>222.14</v>
      </c>
      <c r="D21" s="13" t="n">
        <v>229.87</v>
      </c>
      <c r="E21" s="13" t="n">
        <v>224.02</v>
      </c>
      <c r="F21" s="13" t="n">
        <v>213.9</v>
      </c>
      <c r="G21" s="13" t="n">
        <v>232.06</v>
      </c>
      <c r="H21" s="13" t="n">
        <v>233.92</v>
      </c>
      <c r="I21" s="13" t="n">
        <v>262.24</v>
      </c>
      <c r="J21" s="13" t="n">
        <v>240.56</v>
      </c>
      <c r="K21" s="13" t="n">
        <v>231.48</v>
      </c>
      <c r="L21" s="13" t="n">
        <v>220.36</v>
      </c>
      <c r="M21" s="13" t="n">
        <v>260.45</v>
      </c>
      <c r="N21" s="14" t="n">
        <f aca="false">SUM(B21:M21)</f>
        <v>2773.35</v>
      </c>
      <c r="P21" s="13" t="n">
        <v>250.01</v>
      </c>
      <c r="Q21" s="13" t="n">
        <v>244.27</v>
      </c>
      <c r="R21" s="13" t="n">
        <v>253.26</v>
      </c>
      <c r="S21" s="13" t="n">
        <v>232.27</v>
      </c>
      <c r="T21" s="13" t="n">
        <v>244.36</v>
      </c>
      <c r="U21" s="14" t="n">
        <f aca="false">SUM(P21:T21)</f>
        <v>1224.17</v>
      </c>
      <c r="V21" s="14" t="n">
        <f aca="false">SUM(B21:F21)</f>
        <v>1092.28</v>
      </c>
    </row>
    <row r="22" customFormat="false" ht="15" hidden="false" customHeight="false" outlineLevel="0" collapsed="false">
      <c r="A22" s="12" t="s">
        <v>54</v>
      </c>
      <c r="B22" s="13" t="n">
        <v>114.73</v>
      </c>
      <c r="C22" s="13" t="n">
        <v>118.74</v>
      </c>
      <c r="D22" s="13" t="n">
        <v>114.08</v>
      </c>
      <c r="E22" s="13" t="n">
        <v>124.47</v>
      </c>
      <c r="F22" s="13" t="n">
        <v>121.49</v>
      </c>
      <c r="G22" s="13" t="n">
        <v>112.76</v>
      </c>
      <c r="H22" s="13" t="n">
        <v>144.8</v>
      </c>
      <c r="I22" s="13" t="n">
        <v>151.66</v>
      </c>
      <c r="J22" s="13" t="n">
        <v>147.12</v>
      </c>
      <c r="K22" s="13" t="n">
        <v>122.35</v>
      </c>
      <c r="L22" s="13" t="n">
        <v>143.93</v>
      </c>
      <c r="M22" s="13" t="n">
        <v>152.46</v>
      </c>
      <c r="N22" s="14" t="n">
        <f aca="false">SUM(B22:M22)</f>
        <v>1568.59</v>
      </c>
      <c r="P22" s="13" t="n">
        <v>131.32</v>
      </c>
      <c r="Q22" s="13" t="n">
        <v>138.27</v>
      </c>
      <c r="R22" s="13" t="n">
        <v>136.74</v>
      </c>
      <c r="S22" s="13" t="n">
        <v>130.22</v>
      </c>
      <c r="T22" s="13" t="n">
        <v>140.99</v>
      </c>
      <c r="U22" s="14" t="n">
        <f aca="false">SUM(P22:T22)</f>
        <v>677.54</v>
      </c>
      <c r="V22" s="14" t="n">
        <f aca="false">SUM(B22:F22)</f>
        <v>593.51</v>
      </c>
    </row>
    <row r="23" customFormat="false" ht="15" hidden="false" customHeight="false" outlineLevel="0" collapsed="false">
      <c r="A23" s="12" t="s">
        <v>55</v>
      </c>
      <c r="B23" s="13" t="n">
        <v>197.54</v>
      </c>
      <c r="C23" s="13" t="n">
        <v>225.63</v>
      </c>
      <c r="D23" s="13" t="n">
        <v>223.75</v>
      </c>
      <c r="E23" s="13" t="n">
        <v>229.88</v>
      </c>
      <c r="F23" s="13" t="n">
        <v>244.92</v>
      </c>
      <c r="G23" s="13" t="n">
        <v>259.08</v>
      </c>
      <c r="H23" s="13" t="n">
        <v>271.44</v>
      </c>
      <c r="I23" s="13" t="n">
        <v>247.41</v>
      </c>
      <c r="J23" s="13" t="n">
        <v>283.78</v>
      </c>
      <c r="K23" s="13" t="n">
        <v>278</v>
      </c>
      <c r="L23" s="13" t="n">
        <v>252.94</v>
      </c>
      <c r="M23" s="13" t="n">
        <v>293.64</v>
      </c>
      <c r="N23" s="14" t="n">
        <f aca="false">SUM(B23:M23)</f>
        <v>3008.01</v>
      </c>
      <c r="P23" s="13" t="n">
        <v>240.27</v>
      </c>
      <c r="Q23" s="13" t="n">
        <v>259.65</v>
      </c>
      <c r="R23" s="13" t="n">
        <v>250.18</v>
      </c>
      <c r="S23" s="13" t="n">
        <v>255.54</v>
      </c>
      <c r="T23" s="13" t="n">
        <v>292.31</v>
      </c>
      <c r="U23" s="14" t="n">
        <f aca="false">SUM(P23:T23)</f>
        <v>1297.95</v>
      </c>
      <c r="V23" s="14" t="n">
        <f aca="false">SUM(B23:F23)</f>
        <v>1121.72</v>
      </c>
    </row>
    <row r="24" customFormat="false" ht="15" hidden="false" customHeight="false" outlineLevel="0" collapsed="false">
      <c r="A24" s="12" t="s">
        <v>56</v>
      </c>
      <c r="B24" s="13" t="n">
        <v>90.75</v>
      </c>
      <c r="C24" s="13" t="n">
        <v>95.04</v>
      </c>
      <c r="D24" s="13" t="n">
        <v>103.52</v>
      </c>
      <c r="E24" s="13" t="n">
        <v>100.21</v>
      </c>
      <c r="F24" s="13" t="n">
        <v>114.56</v>
      </c>
      <c r="G24" s="13" t="n">
        <v>101.43</v>
      </c>
      <c r="H24" s="13" t="n">
        <v>106.96</v>
      </c>
      <c r="I24" s="13" t="n">
        <v>130.67</v>
      </c>
      <c r="J24" s="13" t="n">
        <v>117</v>
      </c>
      <c r="K24" s="13" t="n">
        <v>105.99</v>
      </c>
      <c r="L24" s="13" t="n">
        <v>110.53</v>
      </c>
      <c r="M24" s="13" t="n">
        <v>132.69</v>
      </c>
      <c r="N24" s="14" t="n">
        <f aca="false">SUM(B24:M24)</f>
        <v>1309.35</v>
      </c>
      <c r="P24" s="13" t="n">
        <v>98.08</v>
      </c>
      <c r="Q24" s="13" t="n">
        <v>101.28</v>
      </c>
      <c r="R24" s="13" t="n">
        <v>109.07</v>
      </c>
      <c r="S24" s="13" t="n">
        <v>111.75</v>
      </c>
      <c r="T24" s="13" t="n">
        <v>109.05</v>
      </c>
      <c r="U24" s="14" t="n">
        <f aca="false">SUM(P24:T24)</f>
        <v>529.23</v>
      </c>
      <c r="V24" s="14" t="n">
        <f aca="false">SUM(B24:F24)</f>
        <v>504.08</v>
      </c>
    </row>
    <row r="25" customFormat="false" ht="15" hidden="false" customHeight="false" outlineLevel="0" collapsed="false">
      <c r="A25" s="12" t="s">
        <v>57</v>
      </c>
      <c r="B25" s="13" t="n">
        <v>126.84</v>
      </c>
      <c r="C25" s="13" t="n">
        <v>125.3</v>
      </c>
      <c r="D25" s="13" t="n">
        <v>120.58</v>
      </c>
      <c r="E25" s="13" t="n">
        <v>127.83</v>
      </c>
      <c r="F25" s="13" t="n">
        <v>129.38</v>
      </c>
      <c r="G25" s="13" t="n">
        <v>128.62</v>
      </c>
      <c r="H25" s="13" t="n">
        <v>126.89</v>
      </c>
      <c r="I25" s="13" t="n">
        <v>126.43</v>
      </c>
      <c r="J25" s="13" t="n">
        <v>135.98</v>
      </c>
      <c r="K25" s="13" t="n">
        <v>130.91</v>
      </c>
      <c r="L25" s="13" t="n">
        <v>128.17</v>
      </c>
      <c r="M25" s="13" t="n">
        <v>133.68</v>
      </c>
      <c r="N25" s="14" t="n">
        <f aca="false">SUM(B25:M25)</f>
        <v>1540.61</v>
      </c>
      <c r="P25" s="13" t="n">
        <v>130.46</v>
      </c>
      <c r="Q25" s="13" t="n">
        <v>127.49</v>
      </c>
      <c r="R25" s="13" t="n">
        <v>129.88</v>
      </c>
      <c r="S25" s="13" t="n">
        <v>138.81</v>
      </c>
      <c r="T25" s="13" t="n">
        <v>130.46</v>
      </c>
      <c r="U25" s="14" t="n">
        <f aca="false">SUM(P25:T25)</f>
        <v>657.1</v>
      </c>
      <c r="V25" s="14" t="n">
        <f aca="false">SUM(B25:F25)</f>
        <v>629.93</v>
      </c>
    </row>
    <row r="26" customFormat="false" ht="15" hidden="false" customHeight="false" outlineLevel="0" collapsed="false">
      <c r="A26" s="3" t="s">
        <v>58</v>
      </c>
      <c r="B26" s="14" t="n">
        <f aca="false">SUM(B18:B25)</f>
        <v>3933.31</v>
      </c>
      <c r="C26" s="14" t="n">
        <f aca="false">SUM(C18:C25)</f>
        <v>4146.71</v>
      </c>
      <c r="D26" s="14" t="n">
        <f aca="false">SUM(D18:D25)</f>
        <v>4264.32</v>
      </c>
      <c r="E26" s="14" t="n">
        <f aca="false">SUM(E18:E25)</f>
        <v>4385.21</v>
      </c>
      <c r="F26" s="14" t="n">
        <f aca="false">SUM(F18:F25)</f>
        <v>4478.77</v>
      </c>
      <c r="G26" s="14" t="n">
        <f aca="false">SUM(G18:G25)</f>
        <v>4538.82</v>
      </c>
      <c r="H26" s="14" t="n">
        <f aca="false">SUM(H18:H25)</f>
        <v>4764.95</v>
      </c>
      <c r="I26" s="14" t="n">
        <f aca="false">SUM(I18:I25)</f>
        <v>4987.87</v>
      </c>
      <c r="J26" s="14" t="n">
        <f aca="false">SUM(J18:J25)</f>
        <v>5063.87</v>
      </c>
      <c r="K26" s="14" t="n">
        <f aca="false">SUM(K18:K25)</f>
        <v>4653.47</v>
      </c>
      <c r="L26" s="14" t="n">
        <f aca="false">SUM(L18:L25)</f>
        <v>4645.71</v>
      </c>
      <c r="M26" s="14" t="n">
        <f aca="false">SUM(M18:M25)</f>
        <v>5290.39</v>
      </c>
      <c r="N26" s="14" t="n">
        <f aca="false">SUM(N18:N25)</f>
        <v>55153.4</v>
      </c>
      <c r="P26" s="14" t="n">
        <f aca="false">SUM(P18:P25)</f>
        <v>4564.78</v>
      </c>
      <c r="Q26" s="14" t="n">
        <f aca="false">SUM(Q18:Q25)</f>
        <v>4618.99</v>
      </c>
      <c r="R26" s="14" t="n">
        <f aca="false">SUM(R18:R25)</f>
        <v>4834.17</v>
      </c>
      <c r="S26" s="14" t="n">
        <f aca="false">SUM(S18:S25)</f>
        <v>4988.25</v>
      </c>
      <c r="T26" s="14" t="n">
        <f aca="false">SUM(T18:T25)</f>
        <v>5091.23</v>
      </c>
      <c r="U26" s="14" t="n">
        <f aca="false">SUM(U18:U25)</f>
        <v>24097.42</v>
      </c>
      <c r="V26" s="14" t="n">
        <f aca="false">SUM(V18:V25)</f>
        <v>21208.32</v>
      </c>
      <c r="W26" s="15" t="n">
        <f aca="false">IFERROR(U26/V26-1,0)</f>
        <v>0.136224840062768</v>
      </c>
    </row>
    <row r="28" customFormat="false" ht="15" hidden="false" customHeight="false" outlineLevel="0" collapsed="false">
      <c r="A28" s="3" t="s">
        <v>59</v>
      </c>
      <c r="B28" s="14" t="n">
        <f aca="false">B13-B26</f>
        <v>678.549999999999</v>
      </c>
      <c r="C28" s="14" t="n">
        <f aca="false">C13-C26</f>
        <v>716.59</v>
      </c>
      <c r="D28" s="14" t="n">
        <f aca="false">D13-D26</f>
        <v>653.55</v>
      </c>
      <c r="E28" s="14" t="n">
        <f aca="false">E13-E26</f>
        <v>753.16</v>
      </c>
      <c r="F28" s="14" t="n">
        <f aca="false">F13-F26</f>
        <v>759.650000000001</v>
      </c>
      <c r="G28" s="14" t="n">
        <f aca="false">G13-G26</f>
        <v>852.87</v>
      </c>
      <c r="H28" s="14" t="n">
        <f aca="false">H13-H26</f>
        <v>932.71</v>
      </c>
      <c r="I28" s="14" t="n">
        <f aca="false">I13-I26</f>
        <v>917.2</v>
      </c>
      <c r="J28" s="14" t="n">
        <f aca="false">J13-J26</f>
        <v>872.99</v>
      </c>
      <c r="K28" s="14" t="n">
        <f aca="false">K13-K26</f>
        <v>901.29</v>
      </c>
      <c r="L28" s="14" t="n">
        <f aca="false">L13-L26</f>
        <v>849.12</v>
      </c>
      <c r="M28" s="14" t="n">
        <f aca="false">M13-M26</f>
        <v>1076.12</v>
      </c>
      <c r="N28" s="14" t="n">
        <f aca="false">N13-N26</f>
        <v>9963.8</v>
      </c>
      <c r="P28" s="14" t="n">
        <f aca="false">P13-P26</f>
        <v>716.400000000001</v>
      </c>
      <c r="Q28" s="14" t="n">
        <f aca="false">Q13-Q26</f>
        <v>826.13</v>
      </c>
      <c r="R28" s="14" t="n">
        <f aca="false">R13-R26</f>
        <v>676.13</v>
      </c>
      <c r="S28" s="14" t="n">
        <f aca="false">S13-S26</f>
        <v>675.33</v>
      </c>
      <c r="T28" s="14" t="n">
        <f aca="false">T13-T26</f>
        <v>845.74</v>
      </c>
      <c r="U28" s="14" t="n">
        <f aca="false">U13-U26</f>
        <v>3739.73</v>
      </c>
      <c r="V28" s="14" t="n">
        <f aca="false">V13-V26</f>
        <v>3561.5</v>
      </c>
      <c r="W28" s="15" t="n">
        <f aca="false">IFERROR(U28/V28-1,0)</f>
        <v>0.0500435209883474</v>
      </c>
    </row>
    <row r="29" customFormat="false" ht="15" hidden="false" customHeight="false" outlineLevel="0" collapsed="false">
      <c r="A29" s="17" t="s">
        <v>60</v>
      </c>
      <c r="B29" s="15" t="n">
        <f aca="false">IFERROR(B28/B13,0)</f>
        <v>0.147131526108772</v>
      </c>
      <c r="C29" s="15" t="n">
        <f aca="false">IFERROR(C28/C13,0)</f>
        <v>0.147346451997615</v>
      </c>
      <c r="D29" s="15" t="n">
        <f aca="false">IFERROR(D28/D13,0)</f>
        <v>0.132892898754949</v>
      </c>
      <c r="E29" s="15" t="n">
        <f aca="false">IFERROR(E28/E13,0)</f>
        <v>0.14657566504553</v>
      </c>
      <c r="F29" s="15" t="n">
        <f aca="false">IFERROR(F28/F13,0)</f>
        <v>0.145015099972893</v>
      </c>
      <c r="G29" s="15" t="n">
        <f aca="false">IFERROR(G28/G13,0)</f>
        <v>0.158182313894159</v>
      </c>
      <c r="H29" s="15" t="n">
        <f aca="false">IFERROR(H28/H13,0)</f>
        <v>0.163700536711562</v>
      </c>
      <c r="I29" s="15" t="n">
        <f aca="false">IFERROR(I28/I13,0)</f>
        <v>0.155324153651015</v>
      </c>
      <c r="J29" s="15" t="n">
        <f aca="false">IFERROR(J28/J13,0)</f>
        <v>0.147045744720273</v>
      </c>
      <c r="K29" s="15" t="n">
        <f aca="false">IFERROR(K28/K13,0)</f>
        <v>0.162255434978289</v>
      </c>
      <c r="L29" s="15" t="n">
        <f aca="false">IFERROR(L28/L13,0)</f>
        <v>0.154530713416066</v>
      </c>
      <c r="M29" s="15" t="n">
        <f aca="false">IFERROR(M28/M13,0)</f>
        <v>0.169028243103364</v>
      </c>
      <c r="N29" s="18" t="n">
        <f aca="false">IFERROR(N28/N13,0)</f>
        <v>0.153013335954249</v>
      </c>
      <c r="P29" s="15" t="n">
        <f aca="false">IFERROR(P28/P13,0)</f>
        <v>0.135651502126419</v>
      </c>
      <c r="Q29" s="15" t="n">
        <f aca="false">IFERROR(Q28/Q13,0)</f>
        <v>0.151719337682182</v>
      </c>
      <c r="R29" s="15" t="n">
        <f aca="false">IFERROR(R28/R13,0)</f>
        <v>0.12270293813404</v>
      </c>
      <c r="S29" s="15" t="n">
        <f aca="false">IFERROR(S28/S13,0)</f>
        <v>0.119240833536385</v>
      </c>
      <c r="T29" s="15" t="n">
        <f aca="false">IFERROR(T28/T13,0)</f>
        <v>0.142453136869481</v>
      </c>
      <c r="U29" s="18" t="n">
        <f aca="false">IFERROR(U28/U13,0)</f>
        <v>0.134343134983287</v>
      </c>
      <c r="V29" s="18" t="n">
        <f aca="false">IFERROR(V28/V13,0)</f>
        <v>0.143783846632717</v>
      </c>
    </row>
    <row r="30" customFormat="false" ht="15" hidden="false" customHeight="false" outlineLevel="0" collapsed="false">
      <c r="A30" s="17" t="s">
        <v>61</v>
      </c>
      <c r="B30" s="13" t="n">
        <f aca="false">B14</f>
        <v>57.96</v>
      </c>
      <c r="C30" s="13" t="n">
        <f aca="false">C14</f>
        <v>68.3</v>
      </c>
      <c r="D30" s="13" t="n">
        <f aca="false">D14</f>
        <v>54.51</v>
      </c>
      <c r="E30" s="13" t="n">
        <f aca="false">E14</f>
        <v>61.01</v>
      </c>
      <c r="F30" s="13" t="n">
        <f aca="false">F14</f>
        <v>68.48</v>
      </c>
      <c r="G30" s="13" t="n">
        <f aca="false">G14</f>
        <v>47.33</v>
      </c>
      <c r="H30" s="13" t="n">
        <f aca="false">H14</f>
        <v>65.13</v>
      </c>
      <c r="I30" s="13" t="n">
        <f aca="false">I14</f>
        <v>65.1</v>
      </c>
      <c r="J30" s="13" t="n">
        <f aca="false">J14</f>
        <v>59.17</v>
      </c>
      <c r="K30" s="13" t="n">
        <f aca="false">K14</f>
        <v>69.6</v>
      </c>
      <c r="L30" s="13" t="n">
        <f aca="false">L14</f>
        <v>66.52</v>
      </c>
      <c r="M30" s="13" t="n">
        <f aca="false">M14</f>
        <v>142.5</v>
      </c>
      <c r="N30" s="14" t="n">
        <f aca="false">N14</f>
        <v>825.61</v>
      </c>
      <c r="P30" s="13" t="n">
        <f aca="false">P14</f>
        <v>60.75</v>
      </c>
      <c r="Q30" s="13" t="n">
        <f aca="false">Q14</f>
        <v>49.11</v>
      </c>
      <c r="R30" s="13" t="n">
        <f aca="false">R14</f>
        <v>56.43</v>
      </c>
      <c r="S30" s="13" t="n">
        <f aca="false">S14</f>
        <v>52.74</v>
      </c>
      <c r="T30" s="13" t="n">
        <f aca="false">T14</f>
        <v>64.37</v>
      </c>
      <c r="U30" s="14" t="n">
        <f aca="false">U14</f>
        <v>283.4</v>
      </c>
      <c r="V30" s="14" t="n">
        <f aca="false">V14</f>
        <v>310.26</v>
      </c>
    </row>
    <row r="31" customFormat="false" ht="15" hidden="false" customHeight="false" outlineLevel="0" collapsed="false">
      <c r="A31" s="17" t="s">
        <v>62</v>
      </c>
      <c r="B31" s="13" t="n">
        <v>253</v>
      </c>
      <c r="C31" s="13" t="n">
        <v>253.37</v>
      </c>
      <c r="D31" s="13" t="n">
        <v>254.19</v>
      </c>
      <c r="E31" s="13" t="n">
        <v>254.92</v>
      </c>
      <c r="F31" s="13" t="n">
        <v>255.68</v>
      </c>
      <c r="G31" s="13" t="n">
        <v>256.2</v>
      </c>
      <c r="H31" s="13" t="n">
        <v>256.98</v>
      </c>
      <c r="I31" s="13" t="n">
        <v>274.18</v>
      </c>
      <c r="J31" s="13" t="n">
        <v>274.81</v>
      </c>
      <c r="K31" s="13" t="n">
        <v>275.46</v>
      </c>
      <c r="L31" s="13" t="n">
        <v>276.25</v>
      </c>
      <c r="M31" s="13" t="n">
        <v>287.72</v>
      </c>
      <c r="N31" s="14" t="n">
        <f aca="false">SUM(B31:M31)</f>
        <v>3172.76</v>
      </c>
      <c r="P31" s="13" t="n">
        <v>287.95</v>
      </c>
      <c r="Q31" s="13" t="n">
        <v>289.01</v>
      </c>
      <c r="R31" s="13" t="n">
        <v>290.44</v>
      </c>
      <c r="S31" s="13" t="n">
        <v>304.6</v>
      </c>
      <c r="T31" s="13" t="n">
        <v>305.52</v>
      </c>
      <c r="U31" s="14" t="n">
        <f aca="false">SUM(P31:T31)</f>
        <v>1477.52</v>
      </c>
      <c r="V31" s="14" t="n">
        <f aca="false">SUM(B31:F31)</f>
        <v>1271.16</v>
      </c>
    </row>
    <row r="32" customFormat="false" ht="15" hidden="false" customHeight="false" outlineLevel="0" collapsed="false">
      <c r="A32" s="17" t="s">
        <v>63</v>
      </c>
      <c r="B32" s="13" t="n">
        <v>233.15</v>
      </c>
      <c r="C32" s="13" t="n">
        <v>229.9</v>
      </c>
      <c r="D32" s="13" t="n">
        <v>240.07</v>
      </c>
      <c r="E32" s="13" t="n">
        <v>238.66</v>
      </c>
      <c r="F32" s="13" t="n">
        <v>243.77</v>
      </c>
      <c r="G32" s="13" t="n">
        <v>249.03</v>
      </c>
      <c r="H32" s="13" t="n">
        <v>255.16</v>
      </c>
      <c r="I32" s="13" t="n">
        <v>255.47</v>
      </c>
      <c r="J32" s="13" t="n">
        <v>257.98</v>
      </c>
      <c r="K32" s="13" t="n">
        <v>254.2</v>
      </c>
      <c r="L32" s="13" t="n">
        <v>240.41</v>
      </c>
      <c r="M32" s="13" t="n">
        <v>245.41</v>
      </c>
      <c r="N32" s="14" t="n">
        <f aca="false">SUM(B32:M32)</f>
        <v>2943.21</v>
      </c>
      <c r="P32" s="13" t="n">
        <v>255.09</v>
      </c>
      <c r="Q32" s="13" t="n">
        <v>246.3</v>
      </c>
      <c r="R32" s="13" t="n">
        <v>249.77</v>
      </c>
      <c r="S32" s="13" t="n">
        <v>262.64</v>
      </c>
      <c r="T32" s="13" t="n">
        <v>258.18</v>
      </c>
      <c r="U32" s="14" t="n">
        <f aca="false">SUM(P32:T32)</f>
        <v>1271.98</v>
      </c>
      <c r="V32" s="14" t="n">
        <f aca="false">SUM(B32:F32)</f>
        <v>1185.55</v>
      </c>
    </row>
    <row r="33" customFormat="false" ht="15" hidden="false" customHeight="false" outlineLevel="0" collapsed="false">
      <c r="A33" s="3" t="s">
        <v>64</v>
      </c>
      <c r="B33" s="14" t="n">
        <f aca="false">B28+B30-B31-B32</f>
        <v>250.359999999999</v>
      </c>
      <c r="C33" s="14" t="n">
        <f aca="false">C28+C30-C31-C32</f>
        <v>301.62</v>
      </c>
      <c r="D33" s="14" t="n">
        <f aca="false">D28+D30-D31-D32</f>
        <v>213.8</v>
      </c>
      <c r="E33" s="14" t="n">
        <f aca="false">E28+E30-E31-E32</f>
        <v>320.59</v>
      </c>
      <c r="F33" s="14" t="n">
        <f aca="false">F28+F30-F31-F32</f>
        <v>328.680000000001</v>
      </c>
      <c r="G33" s="14" t="n">
        <f aca="false">G28+G30-G31-G32</f>
        <v>394.97</v>
      </c>
      <c r="H33" s="14" t="n">
        <f aca="false">H28+H30-H31-H32</f>
        <v>485.7</v>
      </c>
      <c r="I33" s="14" t="n">
        <f aca="false">I28+I30-I31-I32</f>
        <v>452.65</v>
      </c>
      <c r="J33" s="14" t="n">
        <f aca="false">J28+J30-J31-J32</f>
        <v>399.37</v>
      </c>
      <c r="K33" s="14" t="n">
        <f aca="false">K28+K30-K31-K32</f>
        <v>441.23</v>
      </c>
      <c r="L33" s="14" t="n">
        <f aca="false">L28+L30-L31-L32</f>
        <v>398.98</v>
      </c>
      <c r="M33" s="14" t="n">
        <f aca="false">M28+M30-M31-M32</f>
        <v>685.49</v>
      </c>
      <c r="N33" s="14" t="n">
        <f aca="false">N28+N30-N31-N32</f>
        <v>4673.44</v>
      </c>
      <c r="P33" s="14" t="n">
        <f aca="false">P28+P30-P31-P32</f>
        <v>234.110000000001</v>
      </c>
      <c r="Q33" s="14" t="n">
        <f aca="false">Q28+Q30-Q31-Q32</f>
        <v>339.93</v>
      </c>
      <c r="R33" s="14" t="n">
        <f aca="false">R28+R30-R31-R32</f>
        <v>192.35</v>
      </c>
      <c r="S33" s="14" t="n">
        <f aca="false">S28+S30-S31-S32</f>
        <v>160.83</v>
      </c>
      <c r="T33" s="14" t="n">
        <f aca="false">T28+T30-T31-T32</f>
        <v>346.41</v>
      </c>
      <c r="U33" s="14" t="n">
        <f aca="false">U28+U30-U31-U32</f>
        <v>1273.63</v>
      </c>
      <c r="V33" s="14" t="n">
        <f aca="false">V28+V30-V31-V32</f>
        <v>1415.05</v>
      </c>
    </row>
    <row r="34" customFormat="false" ht="15" hidden="false" customHeight="false" outlineLevel="0" collapsed="false">
      <c r="A34" s="17" t="s">
        <v>65</v>
      </c>
      <c r="I34" s="13" t="n">
        <v>-150</v>
      </c>
      <c r="N34" s="14" t="n">
        <f aca="false">SUM(B34:M34)</f>
        <v>-150</v>
      </c>
      <c r="R34" s="13" t="n">
        <v>85</v>
      </c>
      <c r="U34" s="14" t="n">
        <f aca="false">SUM(P34:T34)</f>
        <v>85</v>
      </c>
      <c r="V34" s="14" t="n">
        <f aca="false">SUM(B34:F34)</f>
        <v>0</v>
      </c>
      <c r="X34" s="16" t="s">
        <v>66</v>
      </c>
    </row>
    <row r="35" customFormat="false" ht="15" hidden="false" customHeight="false" outlineLevel="0" collapsed="false">
      <c r="A35" s="3" t="s">
        <v>67</v>
      </c>
      <c r="B35" s="14" t="n">
        <f aca="false">SUM(B33:B34)</f>
        <v>250.359999999999</v>
      </c>
      <c r="C35" s="14" t="n">
        <f aca="false">SUM(C33:C34)</f>
        <v>301.62</v>
      </c>
      <c r="D35" s="14" t="n">
        <f aca="false">SUM(D33:D34)</f>
        <v>213.8</v>
      </c>
      <c r="E35" s="14" t="n">
        <f aca="false">SUM(E33:E34)</f>
        <v>320.59</v>
      </c>
      <c r="F35" s="14" t="n">
        <f aca="false">SUM(F33:F34)</f>
        <v>328.680000000001</v>
      </c>
      <c r="G35" s="14" t="n">
        <f aca="false">SUM(G33:G34)</f>
        <v>394.97</v>
      </c>
      <c r="H35" s="14" t="n">
        <f aca="false">SUM(H33:H34)</f>
        <v>485.7</v>
      </c>
      <c r="I35" s="14" t="n">
        <f aca="false">SUM(I33:I34)</f>
        <v>302.65</v>
      </c>
      <c r="J35" s="14" t="n">
        <f aca="false">SUM(J33:J34)</f>
        <v>399.37</v>
      </c>
      <c r="K35" s="14" t="n">
        <f aca="false">SUM(K33:K34)</f>
        <v>441.23</v>
      </c>
      <c r="L35" s="14" t="n">
        <f aca="false">SUM(L33:L34)</f>
        <v>398.98</v>
      </c>
      <c r="M35" s="14" t="n">
        <f aca="false">SUM(M33:M34)</f>
        <v>685.49</v>
      </c>
      <c r="N35" s="14" t="n">
        <f aca="false">SUM(N33:N34)</f>
        <v>4523.44</v>
      </c>
      <c r="P35" s="14" t="n">
        <f aca="false">SUM(P33:P34)</f>
        <v>234.110000000001</v>
      </c>
      <c r="Q35" s="14" t="n">
        <f aca="false">SUM(Q33:Q34)</f>
        <v>339.93</v>
      </c>
      <c r="R35" s="14" t="n">
        <f aca="false">SUM(R33:R34)</f>
        <v>277.35</v>
      </c>
      <c r="S35" s="14" t="n">
        <f aca="false">SUM(S33:S34)</f>
        <v>160.83</v>
      </c>
      <c r="T35" s="14" t="n">
        <f aca="false">SUM(T33:T34)</f>
        <v>346.41</v>
      </c>
      <c r="U35" s="14" t="n">
        <f aca="false">SUM(U33:U34)</f>
        <v>1358.63</v>
      </c>
      <c r="V35" s="14" t="n">
        <f aca="false">SUM(V33:V34)</f>
        <v>1415.05</v>
      </c>
    </row>
    <row r="36" customFormat="false" ht="15" hidden="false" customHeight="false" outlineLevel="0" collapsed="false">
      <c r="A36" s="17" t="s">
        <v>68</v>
      </c>
      <c r="B36" s="13" t="n">
        <v>63.02</v>
      </c>
      <c r="C36" s="13" t="n">
        <v>75.92</v>
      </c>
      <c r="D36" s="13" t="n">
        <v>53.81</v>
      </c>
      <c r="E36" s="13" t="n">
        <v>80.69</v>
      </c>
      <c r="F36" s="13" t="n">
        <v>82.73</v>
      </c>
      <c r="G36" s="13" t="n">
        <v>99.41</v>
      </c>
      <c r="H36" s="13" t="n">
        <v>122.25</v>
      </c>
      <c r="I36" s="13" t="n">
        <v>76.18</v>
      </c>
      <c r="J36" s="13" t="n">
        <v>100.52</v>
      </c>
      <c r="K36" s="13" t="n">
        <v>111.06</v>
      </c>
      <c r="L36" s="13" t="n">
        <v>100.42</v>
      </c>
      <c r="M36" s="13" t="n">
        <v>172.54</v>
      </c>
      <c r="N36" s="14" t="n">
        <f aca="false">SUM(B36:M36)</f>
        <v>1138.55</v>
      </c>
      <c r="P36" s="13" t="n">
        <v>58.93</v>
      </c>
      <c r="Q36" s="13" t="n">
        <v>85.56</v>
      </c>
      <c r="R36" s="13" t="n">
        <v>69.81</v>
      </c>
      <c r="S36" s="13" t="n">
        <v>40.48</v>
      </c>
      <c r="T36" s="13" t="n">
        <v>87.19</v>
      </c>
      <c r="U36" s="14" t="n">
        <f aca="false">SUM(P36:T36)</f>
        <v>341.97</v>
      </c>
      <c r="V36" s="14" t="n">
        <f aca="false">SUM(B36:F36)</f>
        <v>356.17</v>
      </c>
    </row>
    <row r="37" customFormat="false" ht="15" hidden="false" customHeight="false" outlineLevel="0" collapsed="false">
      <c r="A37" s="3" t="s">
        <v>69</v>
      </c>
      <c r="B37" s="14" t="n">
        <f aca="false">B35-B36</f>
        <v>187.339999999999</v>
      </c>
      <c r="C37" s="14" t="n">
        <f aca="false">C35-C36</f>
        <v>225.7</v>
      </c>
      <c r="D37" s="14" t="n">
        <f aca="false">D35-D36</f>
        <v>159.99</v>
      </c>
      <c r="E37" s="14" t="n">
        <f aca="false">E35-E36</f>
        <v>239.9</v>
      </c>
      <c r="F37" s="14" t="n">
        <f aca="false">F35-F36</f>
        <v>245.950000000001</v>
      </c>
      <c r="G37" s="14" t="n">
        <f aca="false">G35-G36</f>
        <v>295.56</v>
      </c>
      <c r="H37" s="14" t="n">
        <f aca="false">H35-H36</f>
        <v>363.45</v>
      </c>
      <c r="I37" s="14" t="n">
        <f aca="false">I35-I36</f>
        <v>226.47</v>
      </c>
      <c r="J37" s="14" t="n">
        <f aca="false">J35-J36</f>
        <v>298.85</v>
      </c>
      <c r="K37" s="14" t="n">
        <f aca="false">K35-K36</f>
        <v>330.17</v>
      </c>
      <c r="L37" s="14" t="n">
        <f aca="false">L35-L36</f>
        <v>298.56</v>
      </c>
      <c r="M37" s="14" t="n">
        <f aca="false">M35-M36</f>
        <v>512.95</v>
      </c>
      <c r="N37" s="14" t="n">
        <f aca="false">N35-N36</f>
        <v>3384.89</v>
      </c>
      <c r="P37" s="14" t="n">
        <f aca="false">P35-P36</f>
        <v>175.180000000001</v>
      </c>
      <c r="Q37" s="14" t="n">
        <f aca="false">Q35-Q36</f>
        <v>254.37</v>
      </c>
      <c r="R37" s="14" t="n">
        <f aca="false">R35-R36</f>
        <v>207.54</v>
      </c>
      <c r="S37" s="14" t="n">
        <f aca="false">S35-S36</f>
        <v>120.35</v>
      </c>
      <c r="T37" s="14" t="n">
        <f aca="false">T35-T36</f>
        <v>259.22</v>
      </c>
      <c r="U37" s="14" t="n">
        <f aca="false">U35-U36</f>
        <v>1016.66</v>
      </c>
      <c r="V37" s="14" t="n">
        <f aca="false">V35-V36</f>
        <v>1058.88</v>
      </c>
      <c r="W37" s="15" t="n">
        <f aca="false">IFERROR(U37/V37-1,0)</f>
        <v>-0.0398723179208227</v>
      </c>
    </row>
    <row r="38" customFormat="false" ht="15" hidden="false" customHeight="false" outlineLevel="0" collapsed="false">
      <c r="A38" s="17" t="s">
        <v>70</v>
      </c>
      <c r="B38" s="15" t="n">
        <f aca="false">IFERROR(B37/B13,0)</f>
        <v>0.0406213545077256</v>
      </c>
      <c r="C38" s="15" t="n">
        <f aca="false">IFERROR(C37/C13,0)</f>
        <v>0.046408817058376</v>
      </c>
      <c r="D38" s="15" t="n">
        <f aca="false">IFERROR(D37/D13,0)</f>
        <v>0.0325323768216728</v>
      </c>
      <c r="E38" s="15" t="n">
        <f aca="false">IFERROR(E37/E13,0)</f>
        <v>0.0466879574651105</v>
      </c>
      <c r="F38" s="15" t="n">
        <f aca="false">IFERROR(F37/F13,0)</f>
        <v>0.046951179935935</v>
      </c>
      <c r="G38" s="15" t="n">
        <f aca="false">IFERROR(G37/G13,0)</f>
        <v>0.0548176916699588</v>
      </c>
      <c r="H38" s="15" t="n">
        <f aca="false">IFERROR(H37/H13,0)</f>
        <v>0.0637893450995672</v>
      </c>
      <c r="I38" s="15" t="n">
        <f aca="false">IFERROR(I37/I13,0)</f>
        <v>0.0383517892251912</v>
      </c>
      <c r="J38" s="15" t="n">
        <f aca="false">IFERROR(J37/J13,0)</f>
        <v>0.0503380574916706</v>
      </c>
      <c r="K38" s="15" t="n">
        <f aca="false">IFERROR(K37/K13,0)</f>
        <v>0.0594391116807927</v>
      </c>
      <c r="L38" s="15" t="n">
        <f aca="false">IFERROR(L37/L13,0)</f>
        <v>0.0543347109919688</v>
      </c>
      <c r="M38" s="15" t="n">
        <f aca="false">IFERROR(M37/M13,0)</f>
        <v>0.0805700454409088</v>
      </c>
      <c r="N38" s="18" t="n">
        <f aca="false">IFERROR(N37/N13,0)</f>
        <v>0.0519815041187274</v>
      </c>
      <c r="P38" s="15" t="n">
        <f aca="false">IFERROR(P37/P13,0)</f>
        <v>0.0331706171726774</v>
      </c>
      <c r="Q38" s="15" t="n">
        <f aca="false">IFERROR(Q37/Q13,0)</f>
        <v>0.0467152239069112</v>
      </c>
      <c r="R38" s="15" t="n">
        <f aca="false">IFERROR(R37/R13,0)</f>
        <v>0.037664011033882</v>
      </c>
      <c r="S38" s="15" t="n">
        <f aca="false">IFERROR(S37/S13,0)</f>
        <v>0.0212498101907274</v>
      </c>
      <c r="T38" s="15" t="n">
        <f aca="false">IFERROR(T37/T13,0)</f>
        <v>0.0436620026713963</v>
      </c>
      <c r="U38" s="18" t="n">
        <f aca="false">IFERROR(U37/U13,0)</f>
        <v>0.03652169852158</v>
      </c>
      <c r="V38" s="18" t="n">
        <f aca="false">IFERROR(V37/V13,0)</f>
        <v>0.0427487967211712</v>
      </c>
    </row>
    <row r="40" customFormat="false" ht="15" hidden="false" customHeight="false" outlineLevel="0" collapsed="false">
      <c r="A40" s="3" t="s">
        <v>71</v>
      </c>
    </row>
    <row r="41" customFormat="false" ht="15" hidden="false" customHeight="false" outlineLevel="0" collapsed="false">
      <c r="A41" s="5" t="s">
        <v>72</v>
      </c>
    </row>
    <row r="42" customFormat="false" ht="15" hidden="false" customHeight="false" outlineLevel="0" collapsed="false">
      <c r="A42" s="5" t="s">
        <v>73</v>
      </c>
    </row>
    <row r="43" customFormat="false" ht="15" hidden="false" customHeight="false" outlineLevel="0" collapsed="false">
      <c r="A43" s="5" t="s">
        <v>74</v>
      </c>
    </row>
  </sheetData>
  <mergeCells count="3">
    <mergeCell ref="A1:H1"/>
    <mergeCell ref="B5:N5"/>
    <mergeCell ref="P5:V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4"/>
  </cols>
  <sheetData>
    <row r="1" customFormat="false" ht="16.15" hidden="false" customHeight="false" outlineLevel="0" collapsed="false">
      <c r="A1" s="19" t="s">
        <v>75</v>
      </c>
    </row>
    <row r="2" customFormat="false" ht="15" hidden="false" customHeight="false" outlineLevel="0" collapsed="false">
      <c r="A2" s="5" t="s">
        <v>76</v>
      </c>
      <c r="B2" s="5" t="s">
        <v>77</v>
      </c>
    </row>
    <row r="4" customFormat="false" ht="15" hidden="false" customHeight="false" outlineLevel="0" collapsed="false">
      <c r="A4" s="9" t="s">
        <v>78</v>
      </c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</row>
    <row r="5" customFormat="false" ht="15" hidden="false" customHeight="false" outlineLevel="0" collapsed="false">
      <c r="A5" s="5" t="s">
        <v>88</v>
      </c>
      <c r="B5" s="20" t="n">
        <v>22.23</v>
      </c>
      <c r="C5" s="20" t="n">
        <v>11.52</v>
      </c>
      <c r="D5" s="20" t="n">
        <v>13.37</v>
      </c>
      <c r="E5" s="20" t="n">
        <v>5.73</v>
      </c>
      <c r="F5" s="20" t="n">
        <v>52.85</v>
      </c>
      <c r="G5" s="20" t="n">
        <v>7.87</v>
      </c>
      <c r="H5" s="15" t="n">
        <v>0.1489</v>
      </c>
      <c r="I5" s="20" t="n">
        <v>2.56</v>
      </c>
      <c r="J5" s="20" t="n">
        <v>9.05</v>
      </c>
    </row>
    <row r="6" customFormat="false" ht="15" hidden="false" customHeight="false" outlineLevel="0" collapsed="false">
      <c r="A6" s="5" t="s">
        <v>89</v>
      </c>
      <c r="B6" s="20" t="n">
        <v>23.53</v>
      </c>
      <c r="C6" s="20" t="n">
        <v>12.03</v>
      </c>
      <c r="D6" s="20" t="n">
        <v>14.31</v>
      </c>
      <c r="E6" s="20" t="n">
        <v>5.85</v>
      </c>
      <c r="F6" s="20" t="n">
        <v>55.72</v>
      </c>
      <c r="G6" s="20" t="n">
        <v>8.55</v>
      </c>
      <c r="H6" s="15" t="n">
        <v>0.1534</v>
      </c>
      <c r="I6" s="20" t="n">
        <v>3.07</v>
      </c>
      <c r="J6" s="20" t="n">
        <v>11.18</v>
      </c>
    </row>
    <row r="7" customFormat="false" ht="15" hidden="false" customHeight="false" outlineLevel="0" collapsed="false">
      <c r="A7" s="5" t="s">
        <v>90</v>
      </c>
      <c r="B7" s="20" t="n">
        <v>23.33</v>
      </c>
      <c r="C7" s="20" t="n">
        <v>12.19</v>
      </c>
      <c r="D7" s="20" t="n">
        <v>14.67</v>
      </c>
      <c r="E7" s="20" t="n">
        <v>6.18</v>
      </c>
      <c r="F7" s="20" t="n">
        <v>56.37</v>
      </c>
      <c r="G7" s="20" t="n">
        <v>8.73</v>
      </c>
      <c r="H7" s="15" t="n">
        <v>0.1549</v>
      </c>
      <c r="I7" s="20" t="n">
        <v>3.2</v>
      </c>
      <c r="J7" s="20" t="n">
        <v>10.13</v>
      </c>
    </row>
    <row r="8" customFormat="false" ht="15" hidden="false" customHeight="false" outlineLevel="0" collapsed="false">
      <c r="A8" s="21" t="s">
        <v>91</v>
      </c>
      <c r="B8" s="21" t="n">
        <v>69.09</v>
      </c>
      <c r="C8" s="21" t="n">
        <v>35.74</v>
      </c>
      <c r="D8" s="21" t="n">
        <v>42.35</v>
      </c>
      <c r="E8" s="21" t="n">
        <v>17.76</v>
      </c>
      <c r="F8" s="21" t="n">
        <v>164.94</v>
      </c>
      <c r="G8" s="21" t="n">
        <v>25.15</v>
      </c>
      <c r="H8" s="22" t="n">
        <v>0.1525</v>
      </c>
      <c r="I8" s="21" t="n">
        <v>8.83</v>
      </c>
      <c r="J8" s="21" t="n">
        <v>30.36</v>
      </c>
    </row>
    <row r="9" customFormat="false" ht="15" hidden="false" customHeight="false" outlineLevel="0" collapsed="false">
      <c r="A9" s="5" t="s">
        <v>92</v>
      </c>
      <c r="B9" s="20" t="n">
        <v>24.93</v>
      </c>
      <c r="C9" s="20" t="n">
        <v>12.39</v>
      </c>
      <c r="D9" s="20" t="n">
        <v>15.21</v>
      </c>
      <c r="E9" s="20" t="n">
        <v>6.33</v>
      </c>
      <c r="F9" s="20" t="n">
        <v>58.86</v>
      </c>
      <c r="G9" s="20" t="n">
        <v>9.04</v>
      </c>
      <c r="H9" s="15" t="n">
        <v>0.1536</v>
      </c>
      <c r="I9" s="20" t="n">
        <v>3.43</v>
      </c>
      <c r="J9" s="20" t="n">
        <v>13.1</v>
      </c>
    </row>
    <row r="10" customFormat="false" ht="15" hidden="false" customHeight="false" outlineLevel="0" collapsed="false">
      <c r="A10" s="5" t="s">
        <v>93</v>
      </c>
      <c r="B10" s="20" t="n">
        <v>24.73</v>
      </c>
      <c r="C10" s="20" t="n">
        <v>13.1</v>
      </c>
      <c r="D10" s="20" t="n">
        <v>15.64</v>
      </c>
      <c r="E10" s="20" t="n">
        <v>6.59</v>
      </c>
      <c r="F10" s="20" t="n">
        <v>60.06</v>
      </c>
      <c r="G10" s="20" t="n">
        <v>9.36</v>
      </c>
      <c r="H10" s="15" t="n">
        <v>0.1558</v>
      </c>
      <c r="I10" s="20" t="n">
        <v>3.67</v>
      </c>
      <c r="J10" s="20" t="n">
        <v>8.88</v>
      </c>
    </row>
    <row r="11" customFormat="false" ht="15" hidden="false" customHeight="false" outlineLevel="0" collapsed="false">
      <c r="A11" s="5" t="s">
        <v>94</v>
      </c>
      <c r="B11" s="20" t="n">
        <v>25.63</v>
      </c>
      <c r="C11" s="20" t="n">
        <v>13.38</v>
      </c>
      <c r="D11" s="20" t="n">
        <v>16.02</v>
      </c>
      <c r="E11" s="20" t="n">
        <v>6.77</v>
      </c>
      <c r="F11" s="20" t="n">
        <v>61.8</v>
      </c>
      <c r="G11" s="20" t="n">
        <v>9.87</v>
      </c>
      <c r="H11" s="15" t="n">
        <v>0.1597</v>
      </c>
      <c r="I11" s="20" t="n">
        <v>4.06</v>
      </c>
      <c r="J11" s="20" t="n">
        <v>10.99</v>
      </c>
    </row>
    <row r="12" customFormat="false" ht="15" hidden="false" customHeight="false" outlineLevel="0" collapsed="false">
      <c r="A12" s="21" t="s">
        <v>95</v>
      </c>
      <c r="B12" s="21" t="n">
        <v>75.29</v>
      </c>
      <c r="C12" s="21" t="n">
        <v>38.87</v>
      </c>
      <c r="D12" s="21" t="n">
        <v>46.87</v>
      </c>
      <c r="E12" s="21" t="n">
        <v>19.69</v>
      </c>
      <c r="F12" s="21" t="n">
        <v>180.72</v>
      </c>
      <c r="G12" s="21" t="n">
        <v>28.27</v>
      </c>
      <c r="H12" s="22" t="n">
        <v>0.1564</v>
      </c>
      <c r="I12" s="21" t="n">
        <v>11.16</v>
      </c>
      <c r="J12" s="21" t="n">
        <v>32.97</v>
      </c>
    </row>
    <row r="14" customFormat="false" ht="15" hidden="false" customHeight="false" outlineLevel="0" collapsed="false">
      <c r="A14" s="5" t="s">
        <v>96</v>
      </c>
      <c r="B14" s="20" t="n">
        <v>27.13</v>
      </c>
      <c r="C14" s="20" t="n">
        <v>14.23</v>
      </c>
      <c r="D14" s="20" t="n">
        <v>16.61</v>
      </c>
      <c r="E14" s="20" t="n">
        <v>7.36</v>
      </c>
      <c r="F14" s="20" t="n">
        <v>65.33</v>
      </c>
      <c r="G14" s="20" t="n">
        <v>9.8</v>
      </c>
      <c r="H14" s="15" t="n">
        <v>0.15</v>
      </c>
      <c r="I14" s="20" t="n">
        <v>4</v>
      </c>
      <c r="J14" s="20" t="n">
        <v>9.91</v>
      </c>
    </row>
    <row r="15" customFormat="false" ht="15" hidden="false" customHeight="false" outlineLevel="0" collapsed="false">
      <c r="A15" s="5" t="s">
        <v>97</v>
      </c>
      <c r="B15" s="20" t="n">
        <v>28.96</v>
      </c>
      <c r="C15" s="20" t="n">
        <v>14.05</v>
      </c>
      <c r="D15" s="20" t="n">
        <v>17.36</v>
      </c>
      <c r="E15" s="20" t="n">
        <v>7.27</v>
      </c>
      <c r="F15" s="20" t="n">
        <v>67.64</v>
      </c>
      <c r="G15" s="20" t="n">
        <v>10.02</v>
      </c>
      <c r="H15" s="15" t="n">
        <v>0.1481</v>
      </c>
      <c r="I15" s="20" t="n">
        <v>4.17</v>
      </c>
      <c r="J15" s="20" t="n">
        <v>8.16</v>
      </c>
    </row>
    <row r="16" customFormat="false" ht="15" hidden="false" customHeight="false" outlineLevel="0" collapsed="false">
      <c r="A16" s="5" t="s">
        <v>98</v>
      </c>
      <c r="B16" s="20" t="n">
        <v>28.63</v>
      </c>
      <c r="C16" s="20" t="n">
        <v>14.59</v>
      </c>
      <c r="D16" s="20" t="n">
        <v>17.17</v>
      </c>
      <c r="E16" s="20" t="n">
        <v>7.66</v>
      </c>
      <c r="F16" s="20" t="n">
        <v>68.05</v>
      </c>
      <c r="G16" s="20" t="n">
        <v>10.59</v>
      </c>
      <c r="H16" s="15" t="n">
        <v>0.1556</v>
      </c>
      <c r="I16" s="20" t="n">
        <v>4.59</v>
      </c>
      <c r="J16" s="20" t="n">
        <v>11.11</v>
      </c>
    </row>
    <row r="17" customFormat="false" ht="15" hidden="false" customHeight="false" outlineLevel="0" collapsed="false">
      <c r="A17" s="21" t="s">
        <v>99</v>
      </c>
      <c r="B17" s="21" t="n">
        <v>84.72</v>
      </c>
      <c r="C17" s="21" t="n">
        <v>42.87</v>
      </c>
      <c r="D17" s="21" t="n">
        <v>51.14</v>
      </c>
      <c r="E17" s="21" t="n">
        <v>22.29</v>
      </c>
      <c r="F17" s="21" t="n">
        <v>201.02</v>
      </c>
      <c r="G17" s="21" t="n">
        <v>30.41</v>
      </c>
      <c r="H17" s="22" t="n">
        <v>0.1513</v>
      </c>
      <c r="I17" s="21" t="n">
        <v>12.76</v>
      </c>
      <c r="J17" s="21" t="n">
        <v>29.18</v>
      </c>
    </row>
    <row r="18" customFormat="false" ht="15" hidden="false" customHeight="false" outlineLevel="0" collapsed="false">
      <c r="A18" s="5" t="s">
        <v>100</v>
      </c>
      <c r="B18" s="20" t="n">
        <v>25.74</v>
      </c>
      <c r="C18" s="20" t="n">
        <v>14.18</v>
      </c>
      <c r="D18" s="20" t="n">
        <v>16.42</v>
      </c>
      <c r="E18" s="20" t="n">
        <v>7.37</v>
      </c>
      <c r="F18" s="20" t="n">
        <v>63.71</v>
      </c>
      <c r="G18" s="20" t="n">
        <v>9.63</v>
      </c>
      <c r="H18" s="15" t="n">
        <v>0.1512</v>
      </c>
      <c r="I18" s="20" t="n">
        <v>3.88</v>
      </c>
      <c r="J18" s="20" t="n">
        <v>7.82</v>
      </c>
    </row>
    <row r="19" customFormat="false" ht="15" hidden="false" customHeight="false" outlineLevel="0" collapsed="false">
      <c r="A19" s="5" t="s">
        <v>101</v>
      </c>
      <c r="B19" s="20" t="n">
        <v>25.78</v>
      </c>
      <c r="C19" s="20" t="n">
        <v>13.88</v>
      </c>
      <c r="D19" s="20" t="n">
        <v>16.14</v>
      </c>
      <c r="E19" s="20" t="n">
        <v>7.22</v>
      </c>
      <c r="F19" s="20" t="n">
        <v>63.02</v>
      </c>
      <c r="G19" s="20" t="n">
        <v>9.56</v>
      </c>
      <c r="H19" s="15" t="n">
        <v>0.1517</v>
      </c>
      <c r="I19" s="20" t="n">
        <v>3.82</v>
      </c>
      <c r="J19" s="20" t="n">
        <v>8.19</v>
      </c>
    </row>
    <row r="20" customFormat="false" ht="15" hidden="false" customHeight="false" outlineLevel="0" collapsed="false">
      <c r="A20" s="5" t="s">
        <v>102</v>
      </c>
      <c r="B20" s="20" t="n">
        <v>30.35</v>
      </c>
      <c r="C20" s="20" t="n">
        <v>15.87</v>
      </c>
      <c r="D20" s="20" t="n">
        <v>18.58</v>
      </c>
      <c r="E20" s="20" t="n">
        <v>8.18</v>
      </c>
      <c r="F20" s="20" t="n">
        <v>72.98</v>
      </c>
      <c r="G20" s="20" t="n">
        <v>11.13</v>
      </c>
      <c r="H20" s="15" t="n">
        <v>0.1525</v>
      </c>
      <c r="I20" s="20" t="n">
        <v>5</v>
      </c>
      <c r="J20" s="20" t="n">
        <v>9.49</v>
      </c>
    </row>
    <row r="21" customFormat="false" ht="15" hidden="false" customHeight="false" outlineLevel="0" collapsed="false">
      <c r="A21" s="21" t="s">
        <v>103</v>
      </c>
      <c r="B21" s="21" t="n">
        <v>81.87</v>
      </c>
      <c r="C21" s="21" t="n">
        <v>43.93</v>
      </c>
      <c r="D21" s="21" t="n">
        <v>51.14</v>
      </c>
      <c r="E21" s="21" t="n">
        <v>22.77</v>
      </c>
      <c r="F21" s="21" t="n">
        <v>199.71</v>
      </c>
      <c r="G21" s="21" t="n">
        <v>30.32</v>
      </c>
      <c r="H21" s="22" t="n">
        <v>0.1518</v>
      </c>
      <c r="I21" s="21" t="n">
        <v>12.7</v>
      </c>
      <c r="J21" s="21" t="n">
        <v>25.5</v>
      </c>
    </row>
    <row r="23" customFormat="false" ht="15" hidden="false" customHeight="false" outlineLevel="0" collapsed="false">
      <c r="A23" s="3" t="s">
        <v>104</v>
      </c>
      <c r="B23" s="3" t="n">
        <v>310.97</v>
      </c>
      <c r="C23" s="3" t="n">
        <v>161.41</v>
      </c>
      <c r="D23" s="3" t="n">
        <v>191.5</v>
      </c>
      <c r="E23" s="3" t="n">
        <v>82.51</v>
      </c>
      <c r="F23" s="3" t="n">
        <v>746.39</v>
      </c>
      <c r="G23" s="3" t="n">
        <v>114.15</v>
      </c>
      <c r="H23" s="15" t="n">
        <v>0.1529</v>
      </c>
      <c r="I23" s="3" t="n">
        <v>45.45</v>
      </c>
      <c r="J23" s="3" t="n">
        <v>118.01</v>
      </c>
    </row>
    <row r="25" customFormat="false" ht="15" hidden="false" customHeight="false" outlineLevel="0" collapsed="false">
      <c r="A25" s="5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0" min="2" style="0" width="12"/>
  </cols>
  <sheetData>
    <row r="1" customFormat="false" ht="16.15" hidden="false" customHeight="false" outlineLevel="0" collapsed="false">
      <c r="A1" s="19" t="s">
        <v>106</v>
      </c>
    </row>
    <row r="2" customFormat="false" ht="15" hidden="false" customHeight="false" outlineLevel="0" collapsed="false">
      <c r="A2" s="5" t="s">
        <v>107</v>
      </c>
    </row>
    <row r="5" customFormat="false" ht="15" hidden="false" customHeight="false" outlineLevel="0" collapsed="false">
      <c r="A5" s="3" t="s">
        <v>108</v>
      </c>
    </row>
    <row r="6" customFormat="false" ht="15" hidden="false" customHeight="false" outlineLevel="0" collapsed="false">
      <c r="A6" s="7" t="s">
        <v>20</v>
      </c>
      <c r="B6" s="23" t="n">
        <v>45747</v>
      </c>
      <c r="C6" s="23" t="n">
        <v>45777</v>
      </c>
      <c r="D6" s="23" t="n">
        <v>45808</v>
      </c>
      <c r="E6" s="23" t="n">
        <v>45838</v>
      </c>
      <c r="F6" s="23" t="n">
        <v>45869</v>
      </c>
      <c r="G6" s="23" t="n">
        <v>45900</v>
      </c>
      <c r="H6" s="23" t="n">
        <v>45930</v>
      </c>
      <c r="I6" s="23" t="n">
        <v>45961</v>
      </c>
      <c r="J6" s="23" t="n">
        <v>45991</v>
      </c>
      <c r="K6" s="23" t="n">
        <v>46022</v>
      </c>
      <c r="L6" s="23" t="n">
        <v>46053</v>
      </c>
      <c r="M6" s="23" t="n">
        <v>46081</v>
      </c>
      <c r="N6" s="23" t="n">
        <v>46112</v>
      </c>
      <c r="O6" s="23" t="n">
        <v>46142</v>
      </c>
      <c r="P6" s="23" t="n">
        <v>46173</v>
      </c>
      <c r="Q6" s="23" t="n">
        <v>46203</v>
      </c>
      <c r="R6" s="23" t="n">
        <v>46234</v>
      </c>
      <c r="S6" s="23" t="n">
        <v>46265</v>
      </c>
    </row>
    <row r="7" customFormat="false" ht="15" hidden="false" customHeight="false" outlineLevel="0" collapsed="false">
      <c r="A7" s="11" t="s">
        <v>109</v>
      </c>
    </row>
    <row r="8" customFormat="false" ht="15" hidden="false" customHeight="false" outlineLevel="0" collapsed="false">
      <c r="A8" s="3" t="s">
        <v>110</v>
      </c>
    </row>
    <row r="9" customFormat="false" ht="15" hidden="false" customHeight="false" outlineLevel="0" collapsed="false">
      <c r="A9" s="12" t="s">
        <v>111</v>
      </c>
      <c r="B9" s="13" t="n">
        <v>1500</v>
      </c>
      <c r="C9" s="13" t="n">
        <v>1500</v>
      </c>
      <c r="D9" s="13" t="n">
        <v>1500</v>
      </c>
      <c r="E9" s="13" t="n">
        <v>1500</v>
      </c>
      <c r="F9" s="13" t="n">
        <v>1500</v>
      </c>
      <c r="G9" s="13" t="n">
        <v>1500</v>
      </c>
      <c r="H9" s="13" t="n">
        <v>1500</v>
      </c>
      <c r="I9" s="13" t="n">
        <v>1500</v>
      </c>
      <c r="J9" s="13" t="n">
        <v>1500</v>
      </c>
      <c r="K9" s="13" t="n">
        <v>1500</v>
      </c>
      <c r="L9" s="13" t="n">
        <v>1500</v>
      </c>
      <c r="M9" s="13" t="n">
        <v>1500</v>
      </c>
      <c r="N9" s="13" t="n">
        <v>1500</v>
      </c>
      <c r="O9" s="13" t="n">
        <v>1500</v>
      </c>
      <c r="P9" s="13" t="n">
        <v>1500</v>
      </c>
      <c r="Q9" s="13" t="n">
        <v>1500</v>
      </c>
      <c r="R9" s="13" t="n">
        <v>1500</v>
      </c>
      <c r="S9" s="13" t="n">
        <v>1500</v>
      </c>
    </row>
    <row r="10" customFormat="false" ht="15" hidden="false" customHeight="false" outlineLevel="0" collapsed="false">
      <c r="A10" s="12" t="s">
        <v>112</v>
      </c>
      <c r="B10" s="13" t="n">
        <v>33780</v>
      </c>
      <c r="C10" s="13" t="n">
        <v>33967.34</v>
      </c>
      <c r="D10" s="13" t="n">
        <v>34193.04</v>
      </c>
      <c r="E10" s="13" t="n">
        <v>34353.03</v>
      </c>
      <c r="F10" s="13" t="n">
        <v>34592.93</v>
      </c>
      <c r="G10" s="13" t="n">
        <v>34838.88</v>
      </c>
      <c r="H10" s="13" t="n">
        <v>34684.44</v>
      </c>
      <c r="I10" s="13" t="n">
        <v>35047.89</v>
      </c>
      <c r="J10" s="13" t="n">
        <v>35274.36</v>
      </c>
      <c r="K10" s="13" t="n">
        <v>35573.21</v>
      </c>
      <c r="L10" s="13" t="n">
        <v>35903.38</v>
      </c>
      <c r="M10" s="13" t="n">
        <v>36201.94</v>
      </c>
      <c r="N10" s="13" t="n">
        <v>36714.89</v>
      </c>
      <c r="O10" s="13" t="n">
        <v>36890.07</v>
      </c>
      <c r="P10" s="13" t="n">
        <v>37144.44</v>
      </c>
      <c r="Q10" s="13" t="n">
        <v>37351.98</v>
      </c>
      <c r="R10" s="13" t="n">
        <v>37472.33</v>
      </c>
      <c r="S10" s="13" t="n">
        <v>37731.55</v>
      </c>
    </row>
    <row r="11" customFormat="false" ht="15" hidden="false" customHeight="false" outlineLevel="0" collapsed="false">
      <c r="A11" s="3" t="s">
        <v>113</v>
      </c>
      <c r="B11" s="14" t="n">
        <f aca="false">SUM(B9:B10)</f>
        <v>35280</v>
      </c>
      <c r="C11" s="14" t="n">
        <f aca="false">SUM(C9:C10)</f>
        <v>35467.34</v>
      </c>
      <c r="D11" s="14" t="n">
        <f aca="false">SUM(D9:D10)</f>
        <v>35693.04</v>
      </c>
      <c r="E11" s="14" t="n">
        <f aca="false">SUM(E9:E10)</f>
        <v>35853.03</v>
      </c>
      <c r="F11" s="14" t="n">
        <f aca="false">SUM(F9:F10)</f>
        <v>36092.93</v>
      </c>
      <c r="G11" s="14" t="n">
        <f aca="false">SUM(G9:G10)</f>
        <v>36338.88</v>
      </c>
      <c r="H11" s="14" t="n">
        <f aca="false">SUM(H9:H10)</f>
        <v>36184.44</v>
      </c>
      <c r="I11" s="14" t="n">
        <f aca="false">SUM(I9:I10)</f>
        <v>36547.89</v>
      </c>
      <c r="J11" s="14" t="n">
        <f aca="false">SUM(J9:J10)</f>
        <v>36774.36</v>
      </c>
      <c r="K11" s="14" t="n">
        <f aca="false">SUM(K9:K10)</f>
        <v>37073.21</v>
      </c>
      <c r="L11" s="14" t="n">
        <f aca="false">SUM(L9:L10)</f>
        <v>37403.38</v>
      </c>
      <c r="M11" s="14" t="n">
        <f aca="false">SUM(M9:M10)</f>
        <v>37701.94</v>
      </c>
      <c r="N11" s="14" t="n">
        <f aca="false">SUM(N9:N10)</f>
        <v>38214.89</v>
      </c>
      <c r="O11" s="14" t="n">
        <f aca="false">SUM(O9:O10)</f>
        <v>38390.07</v>
      </c>
      <c r="P11" s="14" t="n">
        <f aca="false">SUM(P9:P10)</f>
        <v>38644.44</v>
      </c>
      <c r="Q11" s="14" t="n">
        <f aca="false">SUM(Q9:Q10)</f>
        <v>38851.98</v>
      </c>
      <c r="R11" s="14" t="n">
        <f aca="false">SUM(R9:R10)</f>
        <v>38972.33</v>
      </c>
      <c r="S11" s="14" t="n">
        <f aca="false">SUM(S9:S10)</f>
        <v>39231.55</v>
      </c>
    </row>
    <row r="12" customFormat="false" ht="15" hidden="false" customHeight="false" outlineLevel="0" collapsed="false">
      <c r="A12" s="3" t="s">
        <v>114</v>
      </c>
    </row>
    <row r="13" customFormat="false" ht="15" hidden="false" customHeight="false" outlineLevel="0" collapsed="false">
      <c r="A13" s="12" t="s">
        <v>115</v>
      </c>
      <c r="B13" s="13" t="n">
        <v>22000</v>
      </c>
      <c r="C13" s="13" t="n">
        <v>21750</v>
      </c>
      <c r="D13" s="13" t="n">
        <v>21500</v>
      </c>
      <c r="E13" s="13" t="n">
        <v>21250</v>
      </c>
      <c r="F13" s="13" t="n">
        <v>21000</v>
      </c>
      <c r="G13" s="13" t="n">
        <v>20750</v>
      </c>
      <c r="H13" s="13" t="n">
        <v>20500</v>
      </c>
      <c r="I13" s="13" t="n">
        <v>25250</v>
      </c>
      <c r="J13" s="13" t="n">
        <v>25000</v>
      </c>
      <c r="K13" s="13" t="n">
        <v>24750</v>
      </c>
      <c r="L13" s="13" t="n">
        <v>24500</v>
      </c>
      <c r="M13" s="13" t="n">
        <v>24250</v>
      </c>
      <c r="N13" s="13" t="n">
        <v>24000</v>
      </c>
      <c r="O13" s="13" t="n">
        <v>23750</v>
      </c>
      <c r="P13" s="13" t="n">
        <v>23500</v>
      </c>
      <c r="Q13" s="13" t="n">
        <v>26250</v>
      </c>
      <c r="R13" s="13" t="n">
        <v>26000</v>
      </c>
      <c r="S13" s="13" t="n">
        <v>25750</v>
      </c>
    </row>
    <row r="14" customFormat="false" ht="15" hidden="false" customHeight="false" outlineLevel="0" collapsed="false">
      <c r="A14" s="3" t="s">
        <v>116</v>
      </c>
    </row>
    <row r="15" customFormat="false" ht="15" hidden="false" customHeight="false" outlineLevel="0" collapsed="false">
      <c r="A15" s="12" t="s">
        <v>117</v>
      </c>
      <c r="B15" s="13" t="n">
        <v>6500</v>
      </c>
      <c r="C15" s="13" t="n">
        <v>6305.84</v>
      </c>
      <c r="D15" s="13" t="n">
        <v>8002.23</v>
      </c>
      <c r="E15" s="13" t="n">
        <v>8068.99</v>
      </c>
      <c r="F15" s="13" t="n">
        <v>9052.33</v>
      </c>
      <c r="G15" s="13" t="n">
        <v>10057.61</v>
      </c>
      <c r="H15" s="13" t="n">
        <v>11184</v>
      </c>
      <c r="I15" s="13" t="n">
        <v>6210.51</v>
      </c>
      <c r="J15" s="13" t="n">
        <v>6828.15</v>
      </c>
      <c r="K15" s="13" t="n">
        <v>6560.36</v>
      </c>
      <c r="L15" s="13" t="n">
        <v>4881.17</v>
      </c>
      <c r="M15" s="13" t="n">
        <v>5850.08</v>
      </c>
      <c r="N15" s="13" t="n">
        <v>7477.22</v>
      </c>
      <c r="O15" s="13" t="n">
        <v>6503.78</v>
      </c>
      <c r="P15" s="13" t="n">
        <v>7256.05</v>
      </c>
      <c r="Q15" s="13" t="n">
        <v>6164.22</v>
      </c>
      <c r="R15" s="13" t="n">
        <v>5799.43</v>
      </c>
      <c r="S15" s="13" t="n">
        <v>7394.7</v>
      </c>
    </row>
    <row r="16" customFormat="false" ht="15" hidden="false" customHeight="false" outlineLevel="0" collapsed="false">
      <c r="A16" s="12" t="s">
        <v>118</v>
      </c>
      <c r="B16" s="13" t="n">
        <v>5940</v>
      </c>
      <c r="C16" s="13" t="n">
        <v>5362.67</v>
      </c>
      <c r="D16" s="13" t="n">
        <v>5723.51</v>
      </c>
      <c r="E16" s="13" t="n">
        <v>6011.11</v>
      </c>
      <c r="F16" s="13" t="n">
        <v>5730.78</v>
      </c>
      <c r="G16" s="13" t="n">
        <v>6251.3</v>
      </c>
      <c r="H16" s="13" t="n">
        <v>6480.89</v>
      </c>
      <c r="I16" s="13" t="n">
        <v>6854.8</v>
      </c>
      <c r="J16" s="13" t="n">
        <v>6996.67</v>
      </c>
      <c r="K16" s="13" t="n">
        <v>7303.57</v>
      </c>
      <c r="L16" s="13" t="n">
        <v>6429.72</v>
      </c>
      <c r="M16" s="13" t="n">
        <v>6597.97</v>
      </c>
      <c r="N16" s="13" t="n">
        <v>7316.21</v>
      </c>
      <c r="O16" s="13" t="n">
        <v>6275.2</v>
      </c>
      <c r="P16" s="13" t="n">
        <v>6242.57</v>
      </c>
      <c r="Q16" s="13" t="n">
        <v>6577.8</v>
      </c>
      <c r="R16" s="13" t="n">
        <v>6713.15</v>
      </c>
      <c r="S16" s="13" t="n">
        <v>6853.51</v>
      </c>
    </row>
    <row r="17" customFormat="false" ht="15" hidden="false" customHeight="false" outlineLevel="0" collapsed="false">
      <c r="A17" s="12" t="s">
        <v>119</v>
      </c>
      <c r="B17" s="13" t="n">
        <v>2600</v>
      </c>
      <c r="C17" s="13" t="n">
        <v>2489.33</v>
      </c>
      <c r="D17" s="13" t="n">
        <v>2410.73</v>
      </c>
      <c r="E17" s="13" t="n">
        <v>2511.47</v>
      </c>
      <c r="F17" s="13" t="n">
        <v>2672.33</v>
      </c>
      <c r="G17" s="13" t="n">
        <v>2554.47</v>
      </c>
      <c r="H17" s="13" t="n">
        <v>2731.17</v>
      </c>
      <c r="I17" s="13" t="n">
        <v>2600.15</v>
      </c>
      <c r="J17" s="13" t="n">
        <v>2618.03</v>
      </c>
      <c r="K17" s="13" t="n">
        <v>2748.88</v>
      </c>
      <c r="L17" s="13" t="n">
        <v>2646.16</v>
      </c>
      <c r="M17" s="13" t="n">
        <v>2542.33</v>
      </c>
      <c r="N17" s="13" t="n">
        <v>2597.42</v>
      </c>
      <c r="O17" s="13" t="n">
        <v>2584.55</v>
      </c>
      <c r="P17" s="13" t="n">
        <v>2556.67</v>
      </c>
      <c r="Q17" s="13" t="n">
        <v>2681.93</v>
      </c>
      <c r="R17" s="13" t="n">
        <v>2722.4</v>
      </c>
      <c r="S17" s="13" t="n">
        <v>2662.19</v>
      </c>
    </row>
    <row r="18" customFormat="false" ht="15" hidden="false" customHeight="false" outlineLevel="0" collapsed="false">
      <c r="A18" s="12" t="s">
        <v>120</v>
      </c>
      <c r="B18" s="13" t="n">
        <v>1150</v>
      </c>
      <c r="C18" s="13" t="n">
        <v>1159.6</v>
      </c>
      <c r="D18" s="13" t="n">
        <v>1176.49</v>
      </c>
      <c r="E18" s="13" t="n">
        <v>1153.39</v>
      </c>
      <c r="F18" s="13" t="n">
        <v>1184.84</v>
      </c>
      <c r="G18" s="13" t="n">
        <v>1173.29</v>
      </c>
      <c r="H18" s="13" t="n">
        <v>1172.8</v>
      </c>
      <c r="I18" s="13" t="n">
        <v>1180.67</v>
      </c>
      <c r="J18" s="13" t="n">
        <v>1205.24</v>
      </c>
      <c r="K18" s="13" t="n">
        <v>1226.85</v>
      </c>
      <c r="L18" s="13" t="n">
        <v>1212.96</v>
      </c>
      <c r="M18" s="13" t="n">
        <v>1239.03</v>
      </c>
      <c r="N18" s="13" t="n">
        <v>1482.85</v>
      </c>
      <c r="O18" s="13" t="n">
        <v>1250.13</v>
      </c>
      <c r="P18" s="13" t="n">
        <v>1248.69</v>
      </c>
      <c r="Q18" s="13" t="n">
        <v>1279.09</v>
      </c>
      <c r="R18" s="13" t="n">
        <v>1287.07</v>
      </c>
      <c r="S18" s="13" t="n">
        <v>1306.2</v>
      </c>
    </row>
    <row r="19" customFormat="false" ht="15" hidden="false" customHeight="false" outlineLevel="0" collapsed="false">
      <c r="A19" s="3" t="s">
        <v>121</v>
      </c>
      <c r="B19" s="14" t="n">
        <f aca="false">SUM(B15:B18)</f>
        <v>16190</v>
      </c>
      <c r="C19" s="14" t="n">
        <f aca="false">SUM(C15:C18)</f>
        <v>15317.44</v>
      </c>
      <c r="D19" s="14" t="n">
        <f aca="false">SUM(D15:D18)</f>
        <v>17312.96</v>
      </c>
      <c r="E19" s="14" t="n">
        <f aca="false">SUM(E15:E18)</f>
        <v>17744.96</v>
      </c>
      <c r="F19" s="14" t="n">
        <f aca="false">SUM(F15:F18)</f>
        <v>18640.28</v>
      </c>
      <c r="G19" s="14" t="n">
        <f aca="false">SUM(G15:G18)</f>
        <v>20036.67</v>
      </c>
      <c r="H19" s="14" t="n">
        <f aca="false">SUM(H15:H18)</f>
        <v>21568.86</v>
      </c>
      <c r="I19" s="14" t="n">
        <f aca="false">SUM(I15:I18)</f>
        <v>16846.13</v>
      </c>
      <c r="J19" s="14" t="n">
        <f aca="false">SUM(J15:J18)</f>
        <v>17648.09</v>
      </c>
      <c r="K19" s="14" t="n">
        <f aca="false">SUM(K15:K18)</f>
        <v>17839.66</v>
      </c>
      <c r="L19" s="14" t="n">
        <f aca="false">SUM(L15:L18)</f>
        <v>15170.01</v>
      </c>
      <c r="M19" s="14" t="n">
        <f aca="false">SUM(M15:M18)</f>
        <v>16229.41</v>
      </c>
      <c r="N19" s="14" t="n">
        <f aca="false">SUM(N15:N18)</f>
        <v>18873.7</v>
      </c>
      <c r="O19" s="14" t="n">
        <f aca="false">SUM(O15:O18)</f>
        <v>16613.66</v>
      </c>
      <c r="P19" s="14" t="n">
        <f aca="false">SUM(P15:P18)</f>
        <v>17303.98</v>
      </c>
      <c r="Q19" s="14" t="n">
        <f aca="false">SUM(Q15:Q18)</f>
        <v>16703.04</v>
      </c>
      <c r="R19" s="14" t="n">
        <f aca="false">SUM(R15:R18)</f>
        <v>16522.05</v>
      </c>
      <c r="S19" s="14" t="n">
        <f aca="false">SUM(S15:S18)</f>
        <v>18216.6</v>
      </c>
    </row>
    <row r="20" customFormat="false" ht="15" hidden="false" customHeight="false" outlineLevel="0" collapsed="false">
      <c r="A20" s="3" t="s">
        <v>122</v>
      </c>
      <c r="B20" s="14" t="n">
        <f aca="false">B11+B13+B19</f>
        <v>73470</v>
      </c>
      <c r="C20" s="14" t="n">
        <f aca="false">C11+C13+C19</f>
        <v>72534.78</v>
      </c>
      <c r="D20" s="14" t="n">
        <f aca="false">D11+D13+D19</f>
        <v>74506</v>
      </c>
      <c r="E20" s="14" t="n">
        <f aca="false">E11+E13+E19</f>
        <v>74847.99</v>
      </c>
      <c r="F20" s="14" t="n">
        <f aca="false">F11+F13+F19</f>
        <v>75733.21</v>
      </c>
      <c r="G20" s="14" t="n">
        <f aca="false">G11+G13+G19</f>
        <v>77125.55</v>
      </c>
      <c r="H20" s="14" t="n">
        <f aca="false">H11+H13+H19</f>
        <v>78253.3</v>
      </c>
      <c r="I20" s="14" t="n">
        <f aca="false">I11+I13+I19</f>
        <v>78644.02</v>
      </c>
      <c r="J20" s="14" t="n">
        <f aca="false">J11+J13+J19</f>
        <v>79422.45</v>
      </c>
      <c r="K20" s="14" t="n">
        <f aca="false">K11+K13+K19</f>
        <v>79662.87</v>
      </c>
      <c r="L20" s="14" t="n">
        <f aca="false">L11+L13+L19</f>
        <v>77073.39</v>
      </c>
      <c r="M20" s="14" t="n">
        <f aca="false">M11+M13+M19</f>
        <v>78181.35</v>
      </c>
      <c r="N20" s="14" t="n">
        <f aca="false">N11+N13+N19</f>
        <v>81088.59</v>
      </c>
      <c r="O20" s="14" t="n">
        <f aca="false">O11+O13+O19</f>
        <v>78753.73</v>
      </c>
      <c r="P20" s="14" t="n">
        <f aca="false">P11+P13+P19</f>
        <v>79448.42</v>
      </c>
      <c r="Q20" s="14" t="n">
        <f aca="false">Q11+Q13+Q19</f>
        <v>81805.02</v>
      </c>
      <c r="R20" s="14" t="n">
        <f aca="false">R11+R13+R19</f>
        <v>81494.38</v>
      </c>
      <c r="S20" s="14" t="n">
        <f aca="false">S11+S13+S19</f>
        <v>83198.15</v>
      </c>
    </row>
    <row r="22" customFormat="false" ht="15" hidden="false" customHeight="false" outlineLevel="0" collapsed="false">
      <c r="A22" s="11" t="s">
        <v>123</v>
      </c>
    </row>
    <row r="23" customFormat="false" ht="15" hidden="false" customHeight="false" outlineLevel="0" collapsed="false">
      <c r="A23" s="3" t="s">
        <v>124</v>
      </c>
    </row>
    <row r="24" customFormat="false" ht="15" hidden="false" customHeight="false" outlineLevel="0" collapsed="false">
      <c r="A24" s="12" t="s">
        <v>125</v>
      </c>
      <c r="B24" s="13" t="n">
        <v>46000</v>
      </c>
      <c r="C24" s="13" t="n">
        <v>46067.43</v>
      </c>
      <c r="D24" s="13" t="n">
        <v>46216.55</v>
      </c>
      <c r="E24" s="13" t="n">
        <v>46348.63</v>
      </c>
      <c r="F24" s="13" t="n">
        <v>46487.9</v>
      </c>
      <c r="G24" s="13" t="n">
        <v>46581.53</v>
      </c>
      <c r="H24" s="13" t="n">
        <v>46723.8</v>
      </c>
      <c r="I24" s="13" t="n">
        <v>49850.78</v>
      </c>
      <c r="J24" s="13" t="n">
        <v>49965.71</v>
      </c>
      <c r="K24" s="13" t="n">
        <v>50083.52</v>
      </c>
      <c r="L24" s="13" t="n">
        <v>50228.03</v>
      </c>
      <c r="M24" s="13" t="n">
        <v>52312.43</v>
      </c>
      <c r="N24" s="13" t="n">
        <v>52354.95</v>
      </c>
      <c r="O24" s="13" t="n">
        <v>52547.08</v>
      </c>
      <c r="P24" s="13" t="n">
        <v>52807.64</v>
      </c>
      <c r="Q24" s="13" t="n">
        <v>55382</v>
      </c>
      <c r="R24" s="13" t="n">
        <v>55549.01</v>
      </c>
      <c r="S24" s="13" t="n">
        <v>55685.6</v>
      </c>
    </row>
    <row r="25" customFormat="false" ht="15" hidden="false" customHeight="false" outlineLevel="0" collapsed="false">
      <c r="A25" s="12" t="s">
        <v>126</v>
      </c>
      <c r="B25" s="13" t="n">
        <v>5200</v>
      </c>
      <c r="C25" s="13" t="n">
        <v>5346.39</v>
      </c>
      <c r="D25" s="13" t="n">
        <v>5553.61</v>
      </c>
      <c r="E25" s="13" t="n">
        <v>5861.6</v>
      </c>
      <c r="F25" s="13" t="n">
        <v>5932.38</v>
      </c>
      <c r="G25" s="13" t="n">
        <v>6121.15</v>
      </c>
      <c r="H25" s="13" t="n">
        <v>6345.22</v>
      </c>
      <c r="I25" s="13" t="n">
        <v>3514.46</v>
      </c>
      <c r="J25" s="13" t="n">
        <v>3804.23</v>
      </c>
      <c r="K25" s="13" t="n">
        <v>4083.94</v>
      </c>
      <c r="L25" s="13" t="n">
        <v>4183.84</v>
      </c>
      <c r="M25" s="13" t="n">
        <v>2282.12</v>
      </c>
      <c r="N25" s="13" t="n">
        <v>2515.75</v>
      </c>
      <c r="O25" s="13" t="n">
        <v>2844</v>
      </c>
      <c r="P25" s="13" t="n">
        <v>2981.62</v>
      </c>
      <c r="Q25" s="13" t="n">
        <v>945.1</v>
      </c>
      <c r="R25" s="13" t="n">
        <v>1269.9</v>
      </c>
      <c r="S25" s="13" t="n">
        <v>1862.32</v>
      </c>
    </row>
    <row r="26" customFormat="false" ht="15" hidden="false" customHeight="false" outlineLevel="0" collapsed="false">
      <c r="A26" s="12" t="s">
        <v>127</v>
      </c>
      <c r="B26" s="13" t="n">
        <v>1250</v>
      </c>
      <c r="C26" s="13" t="n">
        <v>1250</v>
      </c>
      <c r="D26" s="13" t="n">
        <v>1250</v>
      </c>
      <c r="E26" s="13" t="n">
        <v>1250</v>
      </c>
      <c r="F26" s="13" t="n">
        <v>1250</v>
      </c>
      <c r="G26" s="13" t="n">
        <v>1250</v>
      </c>
      <c r="H26" s="13" t="n">
        <v>1250</v>
      </c>
      <c r="I26" s="13" t="n">
        <v>1250</v>
      </c>
      <c r="J26" s="13" t="n">
        <v>1250</v>
      </c>
      <c r="K26" s="13" t="n">
        <v>1250</v>
      </c>
      <c r="L26" s="13" t="n">
        <v>1250</v>
      </c>
      <c r="M26" s="13" t="n">
        <v>1250</v>
      </c>
      <c r="N26" s="13" t="n">
        <v>1250</v>
      </c>
      <c r="O26" s="13" t="n">
        <v>1250</v>
      </c>
      <c r="P26" s="13" t="n">
        <v>1250</v>
      </c>
      <c r="Q26" s="13" t="n">
        <v>1250</v>
      </c>
      <c r="R26" s="13" t="n">
        <v>1250</v>
      </c>
      <c r="S26" s="13" t="n">
        <v>1250</v>
      </c>
    </row>
    <row r="27" customFormat="false" ht="15" hidden="false" customHeight="false" outlineLevel="0" collapsed="false">
      <c r="A27" s="3" t="s">
        <v>128</v>
      </c>
    </row>
    <row r="28" customFormat="false" ht="15" hidden="false" customHeight="false" outlineLevel="0" collapsed="false">
      <c r="A28" s="12" t="s">
        <v>129</v>
      </c>
      <c r="B28" s="13" t="n">
        <v>4600</v>
      </c>
      <c r="C28" s="13" t="n">
        <v>4422.43</v>
      </c>
      <c r="D28" s="13" t="n">
        <v>4551.8</v>
      </c>
      <c r="E28" s="13" t="n">
        <v>4572.65</v>
      </c>
      <c r="F28" s="13" t="n">
        <v>4677.18</v>
      </c>
      <c r="G28" s="13" t="n">
        <v>4900.55</v>
      </c>
      <c r="H28" s="13" t="n">
        <v>4930.97</v>
      </c>
      <c r="I28" s="13" t="n">
        <v>5089.45</v>
      </c>
      <c r="J28" s="13" t="n">
        <v>5430.17</v>
      </c>
      <c r="K28" s="13" t="n">
        <v>5469.93</v>
      </c>
      <c r="L28" s="13" t="n">
        <v>4830.43</v>
      </c>
      <c r="M28" s="13" t="n">
        <v>5057.08</v>
      </c>
      <c r="N28" s="13" t="n">
        <v>5809.6</v>
      </c>
      <c r="O28" s="13" t="n">
        <v>4807.39</v>
      </c>
      <c r="P28" s="13" t="n">
        <v>4827.07</v>
      </c>
      <c r="Q28" s="13" t="n">
        <v>5242.22</v>
      </c>
      <c r="R28" s="13" t="n">
        <v>5620.95</v>
      </c>
      <c r="S28" s="13" t="n">
        <v>5559.85</v>
      </c>
    </row>
    <row r="29" customFormat="false" ht="15" hidden="false" customHeight="false" outlineLevel="0" collapsed="false">
      <c r="A29" s="12" t="s">
        <v>130</v>
      </c>
      <c r="B29" s="13" t="n">
        <v>10270</v>
      </c>
      <c r="C29" s="13" t="n">
        <v>9220.52</v>
      </c>
      <c r="D29" s="13" t="n">
        <v>10102.05</v>
      </c>
      <c r="E29" s="13" t="n">
        <v>10231.08</v>
      </c>
      <c r="F29" s="13" t="n">
        <v>10959.26</v>
      </c>
      <c r="G29" s="13" t="n">
        <v>11078.48</v>
      </c>
      <c r="H29" s="13" t="n">
        <v>11380.36</v>
      </c>
      <c r="I29" s="13" t="n">
        <v>11826.94</v>
      </c>
      <c r="J29" s="13" t="n">
        <v>11995.64</v>
      </c>
      <c r="K29" s="13" t="n">
        <v>12233.92</v>
      </c>
      <c r="L29" s="13" t="n">
        <v>10723.43</v>
      </c>
      <c r="M29" s="13" t="n">
        <v>11031.6</v>
      </c>
      <c r="N29" s="13" t="n">
        <v>12725.9</v>
      </c>
      <c r="O29" s="13" t="n">
        <v>10309.15</v>
      </c>
      <c r="P29" s="13" t="n">
        <v>10988.35</v>
      </c>
      <c r="Q29" s="13" t="n">
        <v>11506.46</v>
      </c>
      <c r="R29" s="13" t="n">
        <v>12334.06</v>
      </c>
      <c r="S29" s="13" t="n">
        <v>13532.6</v>
      </c>
    </row>
    <row r="30" customFormat="false" ht="15" hidden="false" customHeight="false" outlineLevel="0" collapsed="false">
      <c r="A30" s="12" t="s">
        <v>131</v>
      </c>
      <c r="B30" s="13" t="n">
        <v>3000</v>
      </c>
      <c r="C30" s="13" t="n">
        <v>2917.43</v>
      </c>
      <c r="D30" s="13" t="n">
        <v>3584.55</v>
      </c>
      <c r="E30" s="13" t="n">
        <v>3287.14</v>
      </c>
      <c r="F30" s="13" t="n">
        <v>3033.24</v>
      </c>
      <c r="G30" s="13" t="n">
        <v>3941.94</v>
      </c>
      <c r="H30" s="13" t="n">
        <v>4286.72</v>
      </c>
      <c r="I30" s="13" t="n">
        <v>3715.73</v>
      </c>
      <c r="J30" s="13" t="n">
        <v>3537.16</v>
      </c>
      <c r="K30" s="13" t="n">
        <v>3238.47</v>
      </c>
      <c r="L30" s="13" t="n">
        <v>2638.58</v>
      </c>
      <c r="M30" s="13" t="n">
        <v>2938.02</v>
      </c>
      <c r="N30" s="13" t="n">
        <v>3119.08</v>
      </c>
      <c r="O30" s="13" t="n">
        <v>3736.8</v>
      </c>
      <c r="P30" s="13" t="n">
        <v>3198.66</v>
      </c>
      <c r="Q30" s="13" t="n">
        <v>4252.44</v>
      </c>
      <c r="R30" s="13" t="n">
        <v>2100</v>
      </c>
      <c r="S30" s="13" t="n">
        <v>1800</v>
      </c>
    </row>
    <row r="31" customFormat="false" ht="15" hidden="false" customHeight="false" outlineLevel="0" collapsed="false">
      <c r="A31" s="12" t="s">
        <v>132</v>
      </c>
      <c r="B31" s="13" t="n">
        <v>3150</v>
      </c>
      <c r="C31" s="13" t="n">
        <v>3310.58</v>
      </c>
      <c r="D31" s="13" t="n">
        <v>3247.44</v>
      </c>
      <c r="E31" s="13" t="n">
        <v>3296.89</v>
      </c>
      <c r="F31" s="13" t="n">
        <v>3393.25</v>
      </c>
      <c r="G31" s="13" t="n">
        <v>3251.9</v>
      </c>
      <c r="H31" s="13" t="n">
        <v>3336.23</v>
      </c>
      <c r="I31" s="13" t="n">
        <v>3396.66</v>
      </c>
      <c r="J31" s="13" t="n">
        <v>3439.54</v>
      </c>
      <c r="K31" s="13" t="n">
        <v>3303.09</v>
      </c>
      <c r="L31" s="13" t="n">
        <v>3219.08</v>
      </c>
      <c r="M31" s="13" t="n">
        <v>3310.1</v>
      </c>
      <c r="N31" s="13" t="n">
        <v>3313.31</v>
      </c>
      <c r="O31" s="13" t="n">
        <v>3259.31</v>
      </c>
      <c r="P31" s="13" t="n">
        <v>3395.08</v>
      </c>
      <c r="Q31" s="13" t="n">
        <v>3226.8</v>
      </c>
      <c r="R31" s="13" t="n">
        <v>3370.46</v>
      </c>
      <c r="S31" s="13" t="n">
        <v>3507.78</v>
      </c>
    </row>
    <row r="32" customFormat="false" ht="15" hidden="false" customHeight="false" outlineLevel="0" collapsed="false">
      <c r="A32" s="3" t="s">
        <v>133</v>
      </c>
      <c r="B32" s="14" t="n">
        <f aca="false">SUM(B28:B31)</f>
        <v>21020</v>
      </c>
      <c r="C32" s="14" t="n">
        <f aca="false">SUM(C28:C31)</f>
        <v>19870.96</v>
      </c>
      <c r="D32" s="14" t="n">
        <f aca="false">SUM(D28:D31)</f>
        <v>21485.84</v>
      </c>
      <c r="E32" s="14" t="n">
        <f aca="false">SUM(E28:E31)</f>
        <v>21387.76</v>
      </c>
      <c r="F32" s="14" t="n">
        <f aca="false">SUM(F28:F31)</f>
        <v>22062.93</v>
      </c>
      <c r="G32" s="14" t="n">
        <f aca="false">SUM(G28:G31)</f>
        <v>23172.87</v>
      </c>
      <c r="H32" s="14" t="n">
        <f aca="false">SUM(H28:H31)</f>
        <v>23934.28</v>
      </c>
      <c r="I32" s="14" t="n">
        <f aca="false">SUM(I28:I31)</f>
        <v>24028.78</v>
      </c>
      <c r="J32" s="14" t="n">
        <f aca="false">SUM(J28:J31)</f>
        <v>24402.51</v>
      </c>
      <c r="K32" s="14" t="n">
        <f aca="false">SUM(K28:K31)</f>
        <v>24245.41</v>
      </c>
      <c r="L32" s="14" t="n">
        <f aca="false">SUM(L28:L31)</f>
        <v>21411.52</v>
      </c>
      <c r="M32" s="14" t="n">
        <f aca="false">SUM(M28:M31)</f>
        <v>22336.8</v>
      </c>
      <c r="N32" s="14" t="n">
        <f aca="false">SUM(N28:N31)</f>
        <v>24967.89</v>
      </c>
      <c r="O32" s="14" t="n">
        <f aca="false">SUM(O28:O31)</f>
        <v>22112.65</v>
      </c>
      <c r="P32" s="14" t="n">
        <f aca="false">SUM(P28:P31)</f>
        <v>22409.16</v>
      </c>
      <c r="Q32" s="14" t="n">
        <f aca="false">SUM(Q28:Q31)</f>
        <v>24227.92</v>
      </c>
      <c r="R32" s="14" t="n">
        <f aca="false">SUM(R28:R31)</f>
        <v>23425.47</v>
      </c>
      <c r="S32" s="14" t="n">
        <f aca="false">SUM(S28:S31)</f>
        <v>24400.23</v>
      </c>
    </row>
    <row r="33" customFormat="false" ht="15" hidden="false" customHeight="false" outlineLevel="0" collapsed="false">
      <c r="A33" s="3" t="s">
        <v>134</v>
      </c>
      <c r="B33" s="14" t="n">
        <f aca="false">B24+B25+B26+B32</f>
        <v>73470</v>
      </c>
      <c r="C33" s="14" t="n">
        <f aca="false">C24+C25+C26+C32</f>
        <v>72534.78</v>
      </c>
      <c r="D33" s="14" t="n">
        <f aca="false">D24+D25+D26+D32</f>
        <v>74506</v>
      </c>
      <c r="E33" s="14" t="n">
        <f aca="false">E24+E25+E26+E32</f>
        <v>74847.99</v>
      </c>
      <c r="F33" s="14" t="n">
        <f aca="false">F24+F25+F26+F32</f>
        <v>75733.21</v>
      </c>
      <c r="G33" s="14" t="n">
        <f aca="false">G24+G25+G26+G32</f>
        <v>77125.55</v>
      </c>
      <c r="H33" s="14" t="n">
        <f aca="false">H24+H25+H26+H32</f>
        <v>78253.3</v>
      </c>
      <c r="I33" s="14" t="n">
        <f aca="false">I24+I25+I26+I32</f>
        <v>78644.02</v>
      </c>
      <c r="J33" s="14" t="n">
        <f aca="false">J24+J25+J26+J32</f>
        <v>79422.45</v>
      </c>
      <c r="K33" s="14" t="n">
        <f aca="false">K24+K25+K26+K32</f>
        <v>79662.87</v>
      </c>
      <c r="L33" s="14" t="n">
        <f aca="false">L24+L25+L26+L32</f>
        <v>77073.39</v>
      </c>
      <c r="M33" s="14" t="n">
        <f aca="false">M24+M25+M26+M32</f>
        <v>78181.35</v>
      </c>
      <c r="N33" s="14" t="n">
        <f aca="false">N24+N25+N26+N32</f>
        <v>81088.59</v>
      </c>
      <c r="O33" s="14" t="n">
        <f aca="false">O24+O25+O26+O32</f>
        <v>78753.73</v>
      </c>
      <c r="P33" s="14" t="n">
        <f aca="false">P24+P25+P26+P32</f>
        <v>79448.42</v>
      </c>
      <c r="Q33" s="14" t="n">
        <f aca="false">Q24+Q25+Q26+Q32</f>
        <v>81805.02</v>
      </c>
      <c r="R33" s="14" t="n">
        <f aca="false">R24+R25+R26+R32</f>
        <v>81494.38</v>
      </c>
      <c r="S33" s="14" t="n">
        <f aca="false">S24+S25+S26+S32</f>
        <v>83198.15</v>
      </c>
    </row>
    <row r="35" customFormat="false" ht="15" hidden="false" customHeight="false" outlineLevel="0" collapsed="false">
      <c r="A35" s="2" t="s">
        <v>135</v>
      </c>
      <c r="B35" s="13" t="n">
        <f aca="false">ROUND(B33-B20,2)</f>
        <v>0</v>
      </c>
      <c r="C35" s="13" t="n">
        <f aca="false">ROUND(C33-C20,2)</f>
        <v>0</v>
      </c>
      <c r="D35" s="13" t="n">
        <f aca="false">ROUND(D33-D20,2)</f>
        <v>0</v>
      </c>
      <c r="E35" s="13" t="n">
        <f aca="false">ROUND(E33-E20,2)</f>
        <v>0</v>
      </c>
      <c r="F35" s="13" t="n">
        <f aca="false">ROUND(F33-F20,2)</f>
        <v>0</v>
      </c>
      <c r="G35" s="13" t="n">
        <f aca="false">ROUND(G33-G20,2)</f>
        <v>0</v>
      </c>
      <c r="H35" s="13" t="n">
        <f aca="false">ROUND(H33-H20,2)</f>
        <v>0</v>
      </c>
      <c r="I35" s="13" t="n">
        <f aca="false">ROUND(I33-I20,2)</f>
        <v>0</v>
      </c>
      <c r="J35" s="13" t="n">
        <f aca="false">ROUND(J33-J20,2)</f>
        <v>0</v>
      </c>
      <c r="K35" s="13" t="n">
        <f aca="false">ROUND(K33-K20,2)</f>
        <v>0</v>
      </c>
      <c r="L35" s="13" t="n">
        <f aca="false">ROUND(L33-L20,2)</f>
        <v>0</v>
      </c>
      <c r="M35" s="13" t="n">
        <f aca="false">ROUND(M33-M20,2)</f>
        <v>0</v>
      </c>
      <c r="N35" s="13" t="n">
        <f aca="false">ROUND(N33-N20,2)</f>
        <v>0</v>
      </c>
      <c r="O35" s="13" t="n">
        <f aca="false">ROUND(O33-O20,2)</f>
        <v>0</v>
      </c>
      <c r="P35" s="13" t="n">
        <f aca="false">ROUND(P33-P20,2)</f>
        <v>0</v>
      </c>
      <c r="Q35" s="13" t="n">
        <f aca="false">ROUND(Q33-Q20,2)</f>
        <v>0</v>
      </c>
      <c r="R35" s="13" t="n">
        <f aca="false">ROUND(R33-R20,2)</f>
        <v>0</v>
      </c>
      <c r="S35" s="13" t="n">
        <f aca="false">ROUND(S33-S20,2)</f>
        <v>0</v>
      </c>
    </row>
    <row r="37" customFormat="false" ht="15" hidden="false" customHeight="false" outlineLevel="0" collapsed="false">
      <c r="A37" s="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9" min="2" style="0" width="12"/>
  </cols>
  <sheetData>
    <row r="1" customFormat="false" ht="16.15" hidden="false" customHeight="false" outlineLevel="0" collapsed="false">
      <c r="A1" s="19" t="s">
        <v>137</v>
      </c>
    </row>
    <row r="2" customFormat="false" ht="15" hidden="false" customHeight="false" outlineLevel="0" collapsed="false">
      <c r="A2" s="5" t="s">
        <v>138</v>
      </c>
    </row>
    <row r="4" customFormat="false" ht="15" hidden="false" customHeight="false" outlineLevel="0" collapsed="false">
      <c r="A4" s="7" t="s">
        <v>20</v>
      </c>
      <c r="B4" s="9" t="s">
        <v>139</v>
      </c>
      <c r="C4" s="8" t="n">
        <v>45808</v>
      </c>
      <c r="D4" s="9" t="s">
        <v>140</v>
      </c>
      <c r="E4" s="8" t="n">
        <v>45869</v>
      </c>
      <c r="F4" s="9" t="s">
        <v>141</v>
      </c>
      <c r="G4" s="9" t="s">
        <v>142</v>
      </c>
      <c r="H4" s="8" t="n">
        <v>45961</v>
      </c>
      <c r="I4" s="9" t="s">
        <v>143</v>
      </c>
      <c r="J4" s="8" t="n">
        <v>46022</v>
      </c>
      <c r="K4" s="9" t="s">
        <v>144</v>
      </c>
      <c r="L4" s="9" t="s">
        <v>145</v>
      </c>
      <c r="M4" s="8" t="n">
        <v>46112</v>
      </c>
      <c r="N4" s="9" t="s">
        <v>146</v>
      </c>
      <c r="O4" s="8" t="n">
        <v>46173</v>
      </c>
      <c r="P4" s="9" t="s">
        <v>90</v>
      </c>
      <c r="Q4" s="9" t="s">
        <v>92</v>
      </c>
      <c r="R4" s="8" t="n">
        <v>46265</v>
      </c>
    </row>
    <row r="5" customFormat="false" ht="15" hidden="false" customHeight="false" outlineLevel="0" collapsed="false">
      <c r="A5" s="11" t="s">
        <v>147</v>
      </c>
    </row>
    <row r="6" customFormat="false" ht="15" hidden="false" customHeight="false" outlineLevel="0" collapsed="false">
      <c r="A6" s="2" t="s">
        <v>69</v>
      </c>
      <c r="B6" s="13" t="n">
        <v>187.34</v>
      </c>
      <c r="C6" s="24" t="s">
        <v>148</v>
      </c>
      <c r="D6" s="24" t="s">
        <v>149</v>
      </c>
      <c r="E6" s="13" t="n">
        <v>239.9</v>
      </c>
      <c r="F6" s="24" t="s">
        <v>150</v>
      </c>
      <c r="G6" s="13" t="n">
        <v>295.56</v>
      </c>
      <c r="H6" s="13" t="n">
        <v>363.45</v>
      </c>
      <c r="I6" s="13" t="n">
        <v>226.47</v>
      </c>
      <c r="J6" s="24" t="s">
        <v>151</v>
      </c>
      <c r="K6" s="24" t="s">
        <v>152</v>
      </c>
      <c r="L6" s="13" t="n">
        <v>298.56</v>
      </c>
      <c r="M6" s="24" t="s">
        <v>153</v>
      </c>
      <c r="N6" s="13" t="n">
        <v>175.18</v>
      </c>
      <c r="O6" s="24" t="s">
        <v>154</v>
      </c>
      <c r="P6" s="13" t="n">
        <v>207.54</v>
      </c>
      <c r="Q6" s="13" t="n">
        <v>120.35</v>
      </c>
      <c r="R6" s="13" t="n">
        <v>259.22</v>
      </c>
    </row>
    <row r="7" customFormat="false" ht="15" hidden="false" customHeight="false" outlineLevel="0" collapsed="false">
      <c r="A7" s="2" t="s">
        <v>155</v>
      </c>
      <c r="B7" s="13" t="n">
        <v>253</v>
      </c>
      <c r="C7" s="24" t="s">
        <v>156</v>
      </c>
      <c r="D7" s="24" t="s">
        <v>157</v>
      </c>
      <c r="E7" s="13" t="n">
        <v>254.92</v>
      </c>
      <c r="F7" s="24" t="s">
        <v>158</v>
      </c>
      <c r="G7" s="13" t="n">
        <v>256.2</v>
      </c>
      <c r="H7" s="13" t="n">
        <v>256.98</v>
      </c>
      <c r="I7" s="24" t="s">
        <v>159</v>
      </c>
      <c r="J7" s="13" t="n">
        <v>274.81</v>
      </c>
      <c r="K7" s="13" t="n">
        <v>275.46</v>
      </c>
      <c r="L7" s="13" t="n">
        <v>276.25</v>
      </c>
      <c r="M7" s="24" t="s">
        <v>160</v>
      </c>
      <c r="N7" s="13" t="n">
        <v>287.95</v>
      </c>
      <c r="O7" s="24" t="s">
        <v>161</v>
      </c>
      <c r="P7" s="24" t="s">
        <v>162</v>
      </c>
      <c r="Q7" s="13" t="n">
        <v>304.6</v>
      </c>
      <c r="R7" s="13" t="n">
        <v>305.52</v>
      </c>
    </row>
    <row r="8" customFormat="false" ht="15" hidden="false" customHeight="false" outlineLevel="0" collapsed="false">
      <c r="A8" s="2" t="s">
        <v>163</v>
      </c>
      <c r="B8" s="13" t="n">
        <v>1049.48</v>
      </c>
      <c r="C8" s="24" t="s">
        <v>164</v>
      </c>
      <c r="D8" s="24" t="s">
        <v>165</v>
      </c>
      <c r="E8" s="24" t="s">
        <v>166</v>
      </c>
      <c r="F8" s="24" t="s">
        <v>167</v>
      </c>
      <c r="G8" s="24" t="s">
        <v>168</v>
      </c>
      <c r="H8" s="24" t="s">
        <v>169</v>
      </c>
      <c r="I8" s="24" t="s">
        <v>170</v>
      </c>
      <c r="J8" s="24" t="s">
        <v>171</v>
      </c>
      <c r="K8" s="13" t="n">
        <v>1510.49</v>
      </c>
      <c r="L8" s="24" t="s">
        <v>172</v>
      </c>
      <c r="M8" s="24" t="s">
        <v>173</v>
      </c>
      <c r="N8" s="13" t="n">
        <v>2416.75</v>
      </c>
      <c r="O8" s="24" t="s">
        <v>174</v>
      </c>
      <c r="P8" s="24" t="s">
        <v>175</v>
      </c>
      <c r="Q8" s="24" t="s">
        <v>176</v>
      </c>
      <c r="R8" s="24" t="s">
        <v>177</v>
      </c>
    </row>
    <row r="9" customFormat="false" ht="15" hidden="false" customHeight="false" outlineLevel="0" collapsed="false">
      <c r="A9" s="2" t="s">
        <v>178</v>
      </c>
      <c r="B9" s="13" t="n">
        <v>177.57</v>
      </c>
      <c r="C9" s="24" t="s">
        <v>179</v>
      </c>
      <c r="D9" s="24" t="s">
        <v>180</v>
      </c>
      <c r="E9" s="24" t="s">
        <v>181</v>
      </c>
      <c r="F9" s="24" t="s">
        <v>182</v>
      </c>
      <c r="G9" s="24" t="s">
        <v>183</v>
      </c>
      <c r="H9" s="24" t="s">
        <v>184</v>
      </c>
      <c r="I9" s="24" t="s">
        <v>185</v>
      </c>
      <c r="J9" s="24" t="s">
        <v>186</v>
      </c>
      <c r="K9" s="13" t="n">
        <v>639.5</v>
      </c>
      <c r="L9" s="24" t="s">
        <v>187</v>
      </c>
      <c r="M9" s="24" t="s">
        <v>188</v>
      </c>
      <c r="N9" s="24" t="s">
        <v>189</v>
      </c>
      <c r="O9" s="24" t="s">
        <v>190</v>
      </c>
      <c r="P9" s="24" t="s">
        <v>191</v>
      </c>
      <c r="Q9" s="24" t="s">
        <v>192</v>
      </c>
      <c r="R9" s="13" t="n">
        <v>61.1</v>
      </c>
    </row>
    <row r="10" customFormat="false" ht="15" hidden="false" customHeight="false" outlineLevel="0" collapsed="false">
      <c r="A10" s="2" t="s">
        <v>193</v>
      </c>
      <c r="B10" s="24" t="s">
        <v>194</v>
      </c>
      <c r="C10" s="24" t="s">
        <v>195</v>
      </c>
      <c r="D10" s="24" t="s">
        <v>196</v>
      </c>
      <c r="E10" s="24" t="s">
        <v>197</v>
      </c>
      <c r="F10" s="13" t="n">
        <v>141.35</v>
      </c>
      <c r="G10" s="24" t="s">
        <v>198</v>
      </c>
      <c r="H10" s="24" t="s">
        <v>199</v>
      </c>
      <c r="I10" s="24" t="s">
        <v>200</v>
      </c>
      <c r="J10" s="24" t="s">
        <v>201</v>
      </c>
      <c r="K10" s="13" t="n">
        <v>84.01</v>
      </c>
      <c r="L10" s="24" t="s">
        <v>202</v>
      </c>
      <c r="M10" s="24" t="s">
        <v>203</v>
      </c>
      <c r="N10" s="24" t="s">
        <v>204</v>
      </c>
      <c r="O10" s="24" t="s">
        <v>205</v>
      </c>
      <c r="P10" s="13" t="n">
        <v>168.28</v>
      </c>
      <c r="Q10" s="24" t="s">
        <v>206</v>
      </c>
      <c r="R10" s="24" t="s">
        <v>207</v>
      </c>
    </row>
    <row r="11" customFormat="false" ht="15" hidden="false" customHeight="false" outlineLevel="0" collapsed="false">
      <c r="A11" s="2" t="s">
        <v>208</v>
      </c>
      <c r="B11" s="24" t="s">
        <v>209</v>
      </c>
      <c r="C11" s="13" t="n">
        <v>360.84</v>
      </c>
      <c r="D11" s="24" t="s">
        <v>210</v>
      </c>
      <c r="E11" s="24" t="s">
        <v>211</v>
      </c>
      <c r="F11" s="24" t="s">
        <v>212</v>
      </c>
      <c r="G11" s="13" t="n">
        <v>229.59</v>
      </c>
      <c r="H11" s="24" t="s">
        <v>213</v>
      </c>
      <c r="I11" s="13" t="n">
        <v>141.87</v>
      </c>
      <c r="J11" s="13" t="n">
        <v>306.9</v>
      </c>
      <c r="K11" s="24" t="s">
        <v>214</v>
      </c>
      <c r="L11" s="13" t="n">
        <v>168.25</v>
      </c>
      <c r="M11" s="13" t="n">
        <v>718.24</v>
      </c>
      <c r="N11" s="24" t="s">
        <v>215</v>
      </c>
      <c r="O11" s="24" t="s">
        <v>216</v>
      </c>
      <c r="P11" s="13" t="n">
        <v>335.23</v>
      </c>
      <c r="Q11" s="13" t="n">
        <v>135.35</v>
      </c>
      <c r="R11" s="24" t="s">
        <v>217</v>
      </c>
    </row>
    <row r="12" customFormat="false" ht="15" hidden="false" customHeight="false" outlineLevel="0" collapsed="false">
      <c r="A12" s="2" t="s">
        <v>218</v>
      </c>
      <c r="B12" s="24" t="s">
        <v>219</v>
      </c>
      <c r="C12" s="24" t="s">
        <v>220</v>
      </c>
      <c r="D12" s="13" t="n">
        <v>77.64</v>
      </c>
      <c r="E12" s="13" t="n">
        <v>192.31</v>
      </c>
      <c r="F12" s="24" t="s">
        <v>221</v>
      </c>
      <c r="G12" s="13" t="n">
        <v>176.21</v>
      </c>
      <c r="H12" s="24" t="s">
        <v>222</v>
      </c>
      <c r="I12" s="24" t="s">
        <v>223</v>
      </c>
      <c r="J12" s="24" t="s">
        <v>224</v>
      </c>
      <c r="K12" s="24" t="s">
        <v>225</v>
      </c>
      <c r="L12" s="24" t="s">
        <v>226</v>
      </c>
      <c r="M12" s="13" t="n">
        <v>298.91</v>
      </c>
      <c r="N12" s="24" t="s">
        <v>227</v>
      </c>
      <c r="O12" s="24" t="s">
        <v>228</v>
      </c>
      <c r="P12" s="24" t="s">
        <v>229</v>
      </c>
      <c r="Q12" s="13" t="n">
        <v>48.45</v>
      </c>
      <c r="R12" s="24" t="s">
        <v>230</v>
      </c>
    </row>
    <row r="13" customFormat="false" ht="15" hidden="false" customHeight="false" outlineLevel="0" collapsed="false">
      <c r="A13" s="3" t="s">
        <v>231</v>
      </c>
      <c r="B13" s="14" t="n">
        <v>828.41</v>
      </c>
      <c r="C13" s="25" t="s">
        <v>232</v>
      </c>
      <c r="D13" s="14" t="n">
        <v>580.09</v>
      </c>
      <c r="E13" s="25" t="s">
        <v>233</v>
      </c>
      <c r="F13" s="14" t="n">
        <v>691.5</v>
      </c>
      <c r="G13" s="14" t="n">
        <v>540.93</v>
      </c>
      <c r="H13" s="25" t="s">
        <v>234</v>
      </c>
      <c r="I13" s="14" t="n">
        <v>132.67</v>
      </c>
      <c r="J13" s="25" t="s">
        <v>235</v>
      </c>
      <c r="K13" s="14" t="n">
        <v>1849.17</v>
      </c>
      <c r="L13" s="14" t="n">
        <v>39.46</v>
      </c>
      <c r="M13" s="25" t="s">
        <v>236</v>
      </c>
      <c r="N13" s="14" t="n">
        <v>2649.49</v>
      </c>
      <c r="O13" s="25" t="s">
        <v>237</v>
      </c>
      <c r="P13" s="14" t="n">
        <v>223.89</v>
      </c>
      <c r="Q13" s="25" t="s">
        <v>238</v>
      </c>
      <c r="R13" s="25" t="s">
        <v>239</v>
      </c>
    </row>
    <row r="15" customFormat="false" ht="15" hidden="false" customHeight="false" outlineLevel="0" collapsed="false">
      <c r="A15" s="11" t="s">
        <v>240</v>
      </c>
    </row>
    <row r="16" customFormat="false" ht="15" hidden="false" customHeight="false" outlineLevel="0" collapsed="false">
      <c r="A16" s="2" t="s">
        <v>241</v>
      </c>
      <c r="B16" s="24" t="s">
        <v>242</v>
      </c>
      <c r="C16" s="24" t="s">
        <v>243</v>
      </c>
      <c r="D16" s="24" t="s">
        <v>244</v>
      </c>
      <c r="E16" s="24" t="s">
        <v>245</v>
      </c>
      <c r="F16" s="24" t="s">
        <v>246</v>
      </c>
      <c r="G16" s="24" t="s">
        <v>247</v>
      </c>
      <c r="H16" s="24" t="s">
        <v>248</v>
      </c>
      <c r="I16" s="24" t="s">
        <v>249</v>
      </c>
      <c r="J16" s="24" t="s">
        <v>250</v>
      </c>
      <c r="K16" s="24" t="s">
        <v>251</v>
      </c>
      <c r="L16" s="24" t="s">
        <v>252</v>
      </c>
      <c r="M16" s="24" t="s">
        <v>253</v>
      </c>
      <c r="N16" s="24" t="s">
        <v>254</v>
      </c>
      <c r="O16" s="24" t="s">
        <v>255</v>
      </c>
      <c r="P16" s="24" t="s">
        <v>256</v>
      </c>
      <c r="Q16" s="24" t="s">
        <v>257</v>
      </c>
      <c r="R16" s="24" t="s">
        <v>258</v>
      </c>
    </row>
    <row r="17" customFormat="false" ht="15" hidden="false" customHeight="false" outlineLevel="0" collapsed="false">
      <c r="A17" s="3" t="s">
        <v>259</v>
      </c>
      <c r="B17" s="25" t="s">
        <v>242</v>
      </c>
      <c r="C17" s="25" t="s">
        <v>243</v>
      </c>
      <c r="D17" s="25" t="s">
        <v>244</v>
      </c>
      <c r="E17" s="25" t="s">
        <v>245</v>
      </c>
      <c r="F17" s="25" t="s">
        <v>246</v>
      </c>
      <c r="G17" s="25" t="s">
        <v>247</v>
      </c>
      <c r="H17" s="25" t="s">
        <v>248</v>
      </c>
      <c r="I17" s="25" t="s">
        <v>249</v>
      </c>
      <c r="J17" s="25" t="s">
        <v>250</v>
      </c>
      <c r="K17" s="25" t="s">
        <v>251</v>
      </c>
      <c r="L17" s="25" t="s">
        <v>252</v>
      </c>
      <c r="M17" s="25" t="s">
        <v>253</v>
      </c>
      <c r="N17" s="25" t="s">
        <v>254</v>
      </c>
      <c r="O17" s="25" t="s">
        <v>255</v>
      </c>
      <c r="P17" s="25" t="s">
        <v>256</v>
      </c>
      <c r="Q17" s="25" t="s">
        <v>257</v>
      </c>
      <c r="R17" s="25" t="s">
        <v>258</v>
      </c>
    </row>
    <row r="19" customFormat="false" ht="15" hidden="false" customHeight="false" outlineLevel="0" collapsed="false">
      <c r="A19" s="11" t="s">
        <v>260</v>
      </c>
    </row>
    <row r="20" customFormat="false" ht="15" hidden="false" customHeight="false" outlineLevel="0" collapsed="false">
      <c r="A20" s="2" t="s">
        <v>261</v>
      </c>
      <c r="B20" s="24" t="s">
        <v>262</v>
      </c>
      <c r="C20" s="24" t="s">
        <v>262</v>
      </c>
      <c r="D20" s="24" t="s">
        <v>262</v>
      </c>
      <c r="E20" s="24" t="s">
        <v>262</v>
      </c>
      <c r="F20" s="24" t="s">
        <v>262</v>
      </c>
      <c r="G20" s="24" t="s">
        <v>262</v>
      </c>
      <c r="H20" s="13" t="n">
        <v>4750</v>
      </c>
      <c r="I20" s="24" t="s">
        <v>262</v>
      </c>
      <c r="J20" s="24" t="s">
        <v>262</v>
      </c>
      <c r="K20" s="24" t="s">
        <v>262</v>
      </c>
      <c r="L20" s="24" t="s">
        <v>262</v>
      </c>
      <c r="M20" s="24" t="s">
        <v>262</v>
      </c>
      <c r="N20" s="24" t="s">
        <v>262</v>
      </c>
      <c r="O20" s="24" t="s">
        <v>262</v>
      </c>
      <c r="P20" s="24" t="s">
        <v>263</v>
      </c>
      <c r="Q20" s="24" t="s">
        <v>262</v>
      </c>
      <c r="R20" s="24" t="s">
        <v>262</v>
      </c>
    </row>
    <row r="21" customFormat="false" ht="15" hidden="false" customHeight="false" outlineLevel="0" collapsed="false">
      <c r="A21" s="2" t="s">
        <v>264</v>
      </c>
      <c r="B21" s="24" t="s">
        <v>265</v>
      </c>
      <c r="C21" s="13" t="n">
        <v>1696.39</v>
      </c>
      <c r="D21" s="13" t="n">
        <v>66.76</v>
      </c>
      <c r="E21" s="13" t="n">
        <v>983.34</v>
      </c>
      <c r="F21" s="13" t="n">
        <v>1005.28</v>
      </c>
      <c r="G21" s="13" t="n">
        <v>1126.39</v>
      </c>
      <c r="H21" s="24" t="s">
        <v>266</v>
      </c>
      <c r="I21" s="24" t="s">
        <v>267</v>
      </c>
      <c r="J21" s="24" t="s">
        <v>268</v>
      </c>
      <c r="K21" s="24" t="s">
        <v>269</v>
      </c>
      <c r="L21" s="24" t="s">
        <v>270</v>
      </c>
      <c r="M21" s="24" t="s">
        <v>271</v>
      </c>
      <c r="N21" s="24" t="s">
        <v>272</v>
      </c>
      <c r="O21" s="24" t="s">
        <v>273</v>
      </c>
      <c r="P21" s="24" t="s">
        <v>274</v>
      </c>
      <c r="Q21" s="24" t="s">
        <v>275</v>
      </c>
      <c r="R21" s="13" t="n">
        <v>1595.27</v>
      </c>
    </row>
    <row r="22" customFormat="false" ht="15" hidden="false" customHeight="false" outlineLevel="0" collapsed="false">
      <c r="A22" s="2" t="s">
        <v>276</v>
      </c>
      <c r="B22" s="13" t="n">
        <v>0</v>
      </c>
      <c r="C22" s="24" t="s">
        <v>277</v>
      </c>
      <c r="D22" s="24" t="s">
        <v>277</v>
      </c>
      <c r="E22" s="13" t="n">
        <v>0</v>
      </c>
      <c r="F22" s="13" t="n">
        <v>0</v>
      </c>
      <c r="G22" s="24" t="s">
        <v>278</v>
      </c>
      <c r="H22" s="13" t="n">
        <v>0</v>
      </c>
      <c r="I22" s="24" t="s">
        <v>277</v>
      </c>
      <c r="J22" s="24" t="s">
        <v>277</v>
      </c>
      <c r="K22" s="13" t="n">
        <v>0</v>
      </c>
      <c r="L22" s="24" t="s">
        <v>277</v>
      </c>
      <c r="M22" s="13" t="n">
        <v>0</v>
      </c>
      <c r="N22" s="24" t="s">
        <v>277</v>
      </c>
      <c r="O22" s="13" t="n">
        <v>0</v>
      </c>
      <c r="P22" s="13" t="n">
        <v>0</v>
      </c>
      <c r="Q22" s="13" t="n">
        <v>0</v>
      </c>
      <c r="R22" s="24" t="s">
        <v>277</v>
      </c>
    </row>
    <row r="23" customFormat="false" ht="15" hidden="false" customHeight="false" outlineLevel="0" collapsed="false">
      <c r="A23" s="3" t="s">
        <v>279</v>
      </c>
      <c r="B23" s="25" t="s">
        <v>280</v>
      </c>
      <c r="C23" s="14" t="n">
        <v>1446.39</v>
      </c>
      <c r="D23" s="25" t="s">
        <v>281</v>
      </c>
      <c r="E23" s="14" t="n">
        <v>733.34</v>
      </c>
      <c r="F23" s="14" t="n">
        <v>755.28</v>
      </c>
      <c r="G23" s="25" t="s">
        <v>282</v>
      </c>
      <c r="H23" s="25" t="s">
        <v>283</v>
      </c>
      <c r="I23" s="14" t="n">
        <v>367.64</v>
      </c>
      <c r="J23" s="25" t="s">
        <v>284</v>
      </c>
      <c r="K23" s="25" t="s">
        <v>285</v>
      </c>
      <c r="L23" s="14" t="n">
        <v>718.91</v>
      </c>
      <c r="M23" s="25" t="s">
        <v>286</v>
      </c>
      <c r="N23" s="25" t="s">
        <v>287</v>
      </c>
      <c r="O23" s="14" t="n">
        <v>502.27</v>
      </c>
      <c r="P23" s="14" t="n">
        <v>1658.17</v>
      </c>
      <c r="Q23" s="25" t="s">
        <v>288</v>
      </c>
      <c r="R23" s="25" t="s">
        <v>289</v>
      </c>
    </row>
    <row r="25" customFormat="false" ht="15" hidden="false" customHeight="false" outlineLevel="0" collapsed="false">
      <c r="A25" s="2" t="s">
        <v>290</v>
      </c>
      <c r="B25" s="24" t="s">
        <v>277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24" t="s">
        <v>277</v>
      </c>
      <c r="K25" s="13" t="n">
        <v>0</v>
      </c>
      <c r="L25" s="13" t="n">
        <v>0</v>
      </c>
      <c r="M25" s="13" t="n">
        <v>0</v>
      </c>
      <c r="N25" s="13" t="n">
        <v>0</v>
      </c>
      <c r="O25" s="24" t="s">
        <v>277</v>
      </c>
      <c r="P25" s="24" t="s">
        <v>277</v>
      </c>
      <c r="Q25" s="13" t="n">
        <v>0</v>
      </c>
      <c r="R25" s="13" t="n">
        <v>0</v>
      </c>
    </row>
    <row r="26" customFormat="false" ht="15" hidden="false" customHeight="false" outlineLevel="0" collapsed="false">
      <c r="A26" s="3" t="s">
        <v>291</v>
      </c>
      <c r="B26" s="25" t="s">
        <v>292</v>
      </c>
      <c r="C26" s="25" t="s">
        <v>293</v>
      </c>
      <c r="D26" s="25" t="s">
        <v>294</v>
      </c>
      <c r="E26" s="25" t="s">
        <v>295</v>
      </c>
      <c r="F26" s="14" t="n">
        <v>908.7</v>
      </c>
      <c r="G26" s="25" t="s">
        <v>296</v>
      </c>
      <c r="H26" s="25" t="s">
        <v>297</v>
      </c>
      <c r="I26" s="25" t="s">
        <v>298</v>
      </c>
      <c r="J26" s="25" t="s">
        <v>299</v>
      </c>
      <c r="K26" s="25" t="s">
        <v>300</v>
      </c>
      <c r="L26" s="14" t="n">
        <v>299.44</v>
      </c>
      <c r="M26" s="25" t="s">
        <v>301</v>
      </c>
      <c r="N26" s="14" t="n">
        <v>617.72</v>
      </c>
      <c r="O26" s="25" t="s">
        <v>302</v>
      </c>
      <c r="P26" s="25" t="s">
        <v>303</v>
      </c>
      <c r="Q26" s="25" t="s">
        <v>304</v>
      </c>
      <c r="R26" s="25" t="s">
        <v>305</v>
      </c>
    </row>
    <row r="27" customFormat="false" ht="15" hidden="false" customHeight="false" outlineLevel="0" collapsed="false">
      <c r="A27" s="2" t="s">
        <v>306</v>
      </c>
      <c r="B27" s="13" t="n">
        <v>3000</v>
      </c>
      <c r="C27" s="13" t="n">
        <v>2917.43</v>
      </c>
      <c r="D27" s="13" t="n">
        <v>3584.55</v>
      </c>
      <c r="E27" s="13" t="n">
        <v>3287.14</v>
      </c>
      <c r="F27" s="13" t="n">
        <v>3033.24</v>
      </c>
      <c r="G27" s="13" t="n">
        <v>3941.94</v>
      </c>
      <c r="H27" s="13" t="n">
        <v>4286.72</v>
      </c>
      <c r="I27" s="13" t="n">
        <v>3715.73</v>
      </c>
      <c r="J27" s="24" t="s">
        <v>307</v>
      </c>
      <c r="K27" s="24" t="s">
        <v>308</v>
      </c>
      <c r="L27" s="13" t="n">
        <v>2638.58</v>
      </c>
      <c r="M27" s="13" t="n">
        <v>2938.02</v>
      </c>
      <c r="N27" s="13" t="n">
        <v>3119.08</v>
      </c>
      <c r="O27" s="24" t="s">
        <v>309</v>
      </c>
      <c r="P27" s="24" t="s">
        <v>310</v>
      </c>
      <c r="Q27" s="24" t="s">
        <v>311</v>
      </c>
      <c r="R27" s="13" t="n">
        <v>2100</v>
      </c>
    </row>
    <row r="28" customFormat="false" ht="15" hidden="false" customHeight="false" outlineLevel="0" collapsed="false">
      <c r="A28" s="3" t="s">
        <v>312</v>
      </c>
      <c r="B28" s="25" t="s">
        <v>313</v>
      </c>
      <c r="C28" s="14" t="n">
        <v>3584.55</v>
      </c>
      <c r="D28" s="14" t="n">
        <v>3287.14</v>
      </c>
      <c r="E28" s="14" t="n">
        <v>3033.24</v>
      </c>
      <c r="F28" s="25" t="s">
        <v>314</v>
      </c>
      <c r="G28" s="14" t="n">
        <v>4286.72</v>
      </c>
      <c r="H28" s="14" t="n">
        <v>3715.73</v>
      </c>
      <c r="I28" s="25" t="s">
        <v>307</v>
      </c>
      <c r="J28" s="25" t="s">
        <v>308</v>
      </c>
      <c r="K28" s="14" t="n">
        <v>2638.58</v>
      </c>
      <c r="L28" s="25" t="s">
        <v>315</v>
      </c>
      <c r="M28" s="14" t="n">
        <v>3119.08</v>
      </c>
      <c r="N28" s="25" t="s">
        <v>309</v>
      </c>
      <c r="O28" s="25" t="s">
        <v>310</v>
      </c>
      <c r="P28" s="14" t="n">
        <v>4252.44</v>
      </c>
      <c r="Q28" s="14" t="n">
        <v>2100</v>
      </c>
      <c r="R28" s="14" t="n">
        <v>1800</v>
      </c>
    </row>
    <row r="30" customFormat="false" ht="15" hidden="false" customHeight="false" outlineLevel="0" collapsed="false">
      <c r="A30" s="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6"/>
  </cols>
  <sheetData>
    <row r="1" customFormat="false" ht="16.15" hidden="false" customHeight="false" outlineLevel="0" collapsed="false">
      <c r="A1" s="19" t="s">
        <v>317</v>
      </c>
    </row>
    <row r="2" customFormat="false" ht="15" hidden="false" customHeight="false" outlineLevel="0" collapsed="false">
      <c r="A2" s="5" t="s">
        <v>318</v>
      </c>
    </row>
    <row r="3" customFormat="false" ht="15" hidden="false" customHeight="false" outlineLevel="0" collapsed="false">
      <c r="A3" s="5" t="s">
        <v>319</v>
      </c>
    </row>
    <row r="5" customFormat="false" ht="15" hidden="false" customHeight="false" outlineLevel="0" collapsed="false">
      <c r="A5" s="9" t="s">
        <v>320</v>
      </c>
      <c r="B5" s="9" t="s">
        <v>321</v>
      </c>
      <c r="C5" s="9" t="s">
        <v>322</v>
      </c>
      <c r="D5" s="9" t="s">
        <v>323</v>
      </c>
      <c r="E5" s="9" t="s">
        <v>324</v>
      </c>
      <c r="F5" s="9" t="s">
        <v>325</v>
      </c>
      <c r="G5" s="9" t="s">
        <v>326</v>
      </c>
      <c r="H5" s="9" t="s">
        <v>327</v>
      </c>
      <c r="I5" s="9" t="s">
        <v>328</v>
      </c>
      <c r="J5" s="9" t="s">
        <v>329</v>
      </c>
      <c r="K5" s="9" t="s">
        <v>330</v>
      </c>
    </row>
    <row r="6" customFormat="false" ht="15" hidden="false" customHeight="false" outlineLevel="0" collapsed="false">
      <c r="A6" s="5" t="s">
        <v>331</v>
      </c>
      <c r="B6" s="5" t="s">
        <v>332</v>
      </c>
      <c r="C6" s="5" t="s">
        <v>333</v>
      </c>
      <c r="D6" s="5" t="s">
        <v>334</v>
      </c>
      <c r="E6" s="5" t="s">
        <v>38</v>
      </c>
      <c r="F6" s="5" t="n">
        <v>4196</v>
      </c>
      <c r="G6" s="20" t="n">
        <v>7417090</v>
      </c>
      <c r="H6" s="20" t="n">
        <v>1335076</v>
      </c>
      <c r="I6" s="20" t="n">
        <v>8752166</v>
      </c>
      <c r="J6" s="5" t="s">
        <v>335</v>
      </c>
      <c r="K6" s="5" t="s">
        <v>336</v>
      </c>
    </row>
    <row r="7" customFormat="false" ht="15" hidden="false" customHeight="false" outlineLevel="0" collapsed="false">
      <c r="A7" s="5" t="s">
        <v>337</v>
      </c>
      <c r="B7" s="5" t="s">
        <v>338</v>
      </c>
      <c r="C7" s="5" t="s">
        <v>339</v>
      </c>
      <c r="D7" s="5" t="s">
        <v>340</v>
      </c>
      <c r="E7" s="5" t="s">
        <v>341</v>
      </c>
      <c r="F7" s="5" t="n">
        <v>533</v>
      </c>
      <c r="G7" s="20" t="n">
        <v>3428535</v>
      </c>
      <c r="H7" s="20" t="n">
        <v>617136</v>
      </c>
      <c r="I7" s="20" t="n">
        <v>4045671</v>
      </c>
      <c r="J7" s="5" t="s">
        <v>342</v>
      </c>
      <c r="K7" s="5" t="s">
        <v>343</v>
      </c>
    </row>
    <row r="8" customFormat="false" ht="15" hidden="false" customHeight="false" outlineLevel="0" collapsed="false">
      <c r="A8" s="5" t="s">
        <v>344</v>
      </c>
      <c r="B8" s="5" t="s">
        <v>332</v>
      </c>
      <c r="C8" s="5" t="s">
        <v>345</v>
      </c>
      <c r="D8" s="5" t="s">
        <v>334</v>
      </c>
      <c r="E8" s="5" t="s">
        <v>38</v>
      </c>
      <c r="F8" s="5" t="n">
        <v>3251</v>
      </c>
      <c r="G8" s="20" t="n">
        <v>5636706</v>
      </c>
      <c r="H8" s="20" t="n">
        <v>1014607</v>
      </c>
      <c r="I8" s="20" t="n">
        <v>6651313</v>
      </c>
      <c r="J8" s="5" t="s">
        <v>346</v>
      </c>
      <c r="K8" s="5" t="s">
        <v>347</v>
      </c>
    </row>
    <row r="9" customFormat="false" ht="15" hidden="false" customHeight="false" outlineLevel="0" collapsed="false">
      <c r="A9" s="5" t="s">
        <v>348</v>
      </c>
      <c r="B9" s="26" t="n">
        <v>45750</v>
      </c>
      <c r="C9" s="5" t="s">
        <v>349</v>
      </c>
      <c r="D9" s="5" t="s">
        <v>350</v>
      </c>
      <c r="E9" s="5" t="s">
        <v>351</v>
      </c>
      <c r="F9" s="5" t="n">
        <v>218</v>
      </c>
      <c r="G9" s="20" t="n">
        <v>5113887</v>
      </c>
      <c r="H9" s="5" t="s">
        <v>352</v>
      </c>
      <c r="I9" s="20" t="n">
        <v>6034387</v>
      </c>
      <c r="J9" s="5" t="s">
        <v>353</v>
      </c>
      <c r="K9" s="5" t="s">
        <v>343</v>
      </c>
    </row>
    <row r="10" customFormat="false" ht="15" hidden="false" customHeight="false" outlineLevel="0" collapsed="false">
      <c r="A10" s="5" t="s">
        <v>354</v>
      </c>
      <c r="B10" s="26" t="n">
        <v>45751</v>
      </c>
      <c r="C10" s="5" t="s">
        <v>345</v>
      </c>
      <c r="D10" s="5" t="s">
        <v>334</v>
      </c>
      <c r="E10" s="5" t="s">
        <v>355</v>
      </c>
      <c r="F10" s="5" t="n">
        <v>594</v>
      </c>
      <c r="G10" s="20" t="n">
        <v>2500000</v>
      </c>
      <c r="H10" s="20" t="n">
        <v>450000</v>
      </c>
      <c r="I10" s="20" t="n">
        <v>2950000</v>
      </c>
      <c r="J10" s="5" t="s">
        <v>356</v>
      </c>
      <c r="K10" s="5" t="s">
        <v>343</v>
      </c>
    </row>
    <row r="11" customFormat="false" ht="15" hidden="false" customHeight="false" outlineLevel="0" collapsed="false">
      <c r="A11" s="5" t="s">
        <v>357</v>
      </c>
      <c r="B11" s="26" t="n">
        <v>45752</v>
      </c>
      <c r="C11" s="5" t="s">
        <v>358</v>
      </c>
      <c r="D11" s="5" t="s">
        <v>340</v>
      </c>
      <c r="E11" s="5" t="s">
        <v>359</v>
      </c>
      <c r="F11" s="5" t="n">
        <v>4421</v>
      </c>
      <c r="G11" s="20" t="n">
        <v>8494685</v>
      </c>
      <c r="H11" s="20" t="n">
        <v>1529043</v>
      </c>
      <c r="I11" s="20" t="n">
        <v>10023728</v>
      </c>
      <c r="J11" s="5" t="s">
        <v>353</v>
      </c>
      <c r="K11" s="5" t="s">
        <v>347</v>
      </c>
    </row>
    <row r="12" customFormat="false" ht="15" hidden="false" customHeight="false" outlineLevel="0" collapsed="false">
      <c r="A12" s="5" t="s">
        <v>360</v>
      </c>
      <c r="B12" s="5" t="s">
        <v>361</v>
      </c>
      <c r="C12" s="5" t="s">
        <v>345</v>
      </c>
      <c r="D12" s="5" t="s">
        <v>334</v>
      </c>
      <c r="E12" s="5" t="s">
        <v>38</v>
      </c>
      <c r="F12" s="5" t="n">
        <v>3295</v>
      </c>
      <c r="G12" s="20" t="n">
        <v>6274234</v>
      </c>
      <c r="H12" s="5" t="s">
        <v>362</v>
      </c>
      <c r="I12" s="20" t="n">
        <v>7403596</v>
      </c>
      <c r="J12" s="5" t="s">
        <v>346</v>
      </c>
      <c r="K12" s="5" t="s">
        <v>363</v>
      </c>
    </row>
    <row r="13" customFormat="false" ht="15" hidden="false" customHeight="false" outlineLevel="0" collapsed="false">
      <c r="A13" s="5" t="s">
        <v>364</v>
      </c>
      <c r="B13" s="26" t="n">
        <v>45754</v>
      </c>
      <c r="C13" s="5" t="s">
        <v>365</v>
      </c>
      <c r="D13" s="5" t="s">
        <v>366</v>
      </c>
      <c r="E13" s="5" t="s">
        <v>39</v>
      </c>
      <c r="F13" s="5" t="n">
        <v>124</v>
      </c>
      <c r="G13" s="5" t="s">
        <v>367</v>
      </c>
      <c r="H13" s="20" t="n">
        <v>0</v>
      </c>
      <c r="I13" s="20" t="n">
        <v>3222698</v>
      </c>
      <c r="J13" s="5" t="s">
        <v>342</v>
      </c>
      <c r="K13" s="5" t="s">
        <v>368</v>
      </c>
    </row>
    <row r="14" customFormat="false" ht="15" hidden="false" customHeight="false" outlineLevel="0" collapsed="false">
      <c r="A14" s="5" t="s">
        <v>369</v>
      </c>
      <c r="B14" s="26" t="n">
        <v>45757</v>
      </c>
      <c r="C14" s="5" t="s">
        <v>370</v>
      </c>
      <c r="D14" s="5" t="s">
        <v>350</v>
      </c>
      <c r="E14" s="5" t="s">
        <v>39</v>
      </c>
      <c r="F14" s="5" t="n">
        <v>228</v>
      </c>
      <c r="G14" s="20" t="n">
        <v>5255250</v>
      </c>
      <c r="H14" s="20" t="n">
        <v>945945</v>
      </c>
      <c r="I14" s="5" t="s">
        <v>371</v>
      </c>
      <c r="J14" s="5" t="s">
        <v>346</v>
      </c>
      <c r="K14" s="5" t="s">
        <v>368</v>
      </c>
    </row>
    <row r="15" customFormat="false" ht="15" hidden="false" customHeight="false" outlineLevel="0" collapsed="false">
      <c r="A15" s="5" t="s">
        <v>372</v>
      </c>
      <c r="B15" s="26" t="n">
        <v>45758</v>
      </c>
      <c r="C15" s="5" t="s">
        <v>373</v>
      </c>
      <c r="D15" s="5" t="s">
        <v>374</v>
      </c>
      <c r="E15" s="5" t="s">
        <v>80</v>
      </c>
      <c r="F15" s="5" t="n">
        <v>109</v>
      </c>
      <c r="G15" s="5" t="s">
        <v>375</v>
      </c>
      <c r="H15" s="20" t="n">
        <v>450000</v>
      </c>
      <c r="I15" s="5" t="s">
        <v>376</v>
      </c>
      <c r="J15" s="5" t="s">
        <v>335</v>
      </c>
      <c r="K15" s="5" t="s">
        <v>368</v>
      </c>
    </row>
    <row r="16" customFormat="false" ht="15" hidden="false" customHeight="false" outlineLevel="0" collapsed="false">
      <c r="A16" s="5" t="s">
        <v>377</v>
      </c>
      <c r="B16" s="26" t="n">
        <v>45761</v>
      </c>
      <c r="C16" s="5" t="s">
        <v>378</v>
      </c>
      <c r="D16" s="5" t="s">
        <v>379</v>
      </c>
      <c r="E16" s="5" t="s">
        <v>81</v>
      </c>
      <c r="F16" s="5" t="n">
        <v>1143</v>
      </c>
      <c r="G16" s="20" t="n">
        <v>4643166</v>
      </c>
      <c r="H16" s="20" t="n">
        <v>835770</v>
      </c>
      <c r="I16" s="20" t="n">
        <v>5478936</v>
      </c>
      <c r="J16" s="5" t="s">
        <v>342</v>
      </c>
      <c r="K16" s="5" t="s">
        <v>343</v>
      </c>
    </row>
    <row r="17" customFormat="false" ht="15" hidden="false" customHeight="false" outlineLevel="0" collapsed="false">
      <c r="A17" s="5" t="s">
        <v>380</v>
      </c>
      <c r="B17" s="5" t="s">
        <v>381</v>
      </c>
      <c r="C17" s="5" t="s">
        <v>382</v>
      </c>
      <c r="D17" s="5" t="s">
        <v>334</v>
      </c>
      <c r="E17" s="5" t="s">
        <v>41</v>
      </c>
      <c r="F17" s="5" t="n">
        <v>988</v>
      </c>
      <c r="G17" s="20" t="n">
        <v>3806965</v>
      </c>
      <c r="H17" s="20" t="n">
        <v>685254</v>
      </c>
      <c r="I17" s="20" t="n">
        <v>4492219</v>
      </c>
      <c r="J17" s="5" t="s">
        <v>383</v>
      </c>
      <c r="K17" s="5" t="s">
        <v>384</v>
      </c>
    </row>
    <row r="18" customFormat="false" ht="15" hidden="false" customHeight="false" outlineLevel="0" collapsed="false">
      <c r="A18" s="5" t="s">
        <v>385</v>
      </c>
      <c r="B18" s="5" t="s">
        <v>386</v>
      </c>
      <c r="C18" s="5" t="s">
        <v>349</v>
      </c>
      <c r="D18" s="5" t="s">
        <v>350</v>
      </c>
      <c r="E18" s="5" t="s">
        <v>80</v>
      </c>
      <c r="F18" s="5" t="n">
        <v>174</v>
      </c>
      <c r="G18" s="20" t="n">
        <v>4397325</v>
      </c>
      <c r="H18" s="20" t="n">
        <v>791518</v>
      </c>
      <c r="I18" s="5" t="s">
        <v>387</v>
      </c>
      <c r="J18" s="5" t="s">
        <v>356</v>
      </c>
      <c r="K18" s="5" t="s">
        <v>347</v>
      </c>
    </row>
    <row r="19" customFormat="false" ht="15" hidden="false" customHeight="false" outlineLevel="0" collapsed="false">
      <c r="A19" s="5" t="s">
        <v>388</v>
      </c>
      <c r="B19" s="26" t="n">
        <v>45762</v>
      </c>
      <c r="C19" s="5" t="s">
        <v>389</v>
      </c>
      <c r="D19" s="5" t="s">
        <v>390</v>
      </c>
      <c r="E19" s="5" t="s">
        <v>359</v>
      </c>
      <c r="F19" s="5" t="n">
        <v>4105</v>
      </c>
      <c r="G19" s="20" t="n">
        <v>7799353</v>
      </c>
      <c r="H19" s="5" t="s">
        <v>391</v>
      </c>
      <c r="I19" s="20" t="n">
        <v>9203237</v>
      </c>
      <c r="J19" s="5" t="s">
        <v>346</v>
      </c>
      <c r="K19" s="5" t="s">
        <v>343</v>
      </c>
    </row>
    <row r="20" customFormat="false" ht="15" hidden="false" customHeight="false" outlineLevel="0" collapsed="false">
      <c r="A20" s="5" t="s">
        <v>392</v>
      </c>
      <c r="B20" s="5" t="s">
        <v>393</v>
      </c>
      <c r="C20" s="5" t="s">
        <v>394</v>
      </c>
      <c r="D20" s="5" t="s">
        <v>350</v>
      </c>
      <c r="E20" s="5" t="s">
        <v>39</v>
      </c>
      <c r="F20" s="5" t="n">
        <v>558</v>
      </c>
      <c r="G20" s="20" t="n">
        <v>12653736</v>
      </c>
      <c r="H20" s="20" t="n">
        <v>2277672</v>
      </c>
      <c r="I20" s="5" t="s">
        <v>395</v>
      </c>
      <c r="J20" s="5" t="s">
        <v>383</v>
      </c>
      <c r="K20" s="5" t="s">
        <v>396</v>
      </c>
    </row>
    <row r="21" customFormat="false" ht="15" hidden="false" customHeight="false" outlineLevel="0" collapsed="false">
      <c r="A21" s="5" t="s">
        <v>397</v>
      </c>
      <c r="B21" s="26" t="n">
        <v>45763</v>
      </c>
      <c r="C21" s="5" t="s">
        <v>365</v>
      </c>
      <c r="D21" s="5" t="s">
        <v>398</v>
      </c>
      <c r="E21" s="5" t="s">
        <v>39</v>
      </c>
      <c r="F21" s="5" t="n">
        <v>571</v>
      </c>
      <c r="G21" s="20" t="n">
        <v>12950636</v>
      </c>
      <c r="H21" s="20" t="n">
        <v>0</v>
      </c>
      <c r="I21" s="20" t="n">
        <v>12950636</v>
      </c>
      <c r="J21" s="5" t="s">
        <v>353</v>
      </c>
      <c r="K21" s="5" t="s">
        <v>384</v>
      </c>
    </row>
    <row r="22" customFormat="false" ht="15" hidden="false" customHeight="false" outlineLevel="0" collapsed="false">
      <c r="A22" s="5" t="s">
        <v>399</v>
      </c>
      <c r="B22" s="5" t="s">
        <v>393</v>
      </c>
      <c r="C22" s="5" t="s">
        <v>400</v>
      </c>
      <c r="D22" s="5" t="s">
        <v>401</v>
      </c>
      <c r="E22" s="5" t="s">
        <v>38</v>
      </c>
      <c r="F22" s="5" t="n">
        <v>3162</v>
      </c>
      <c r="G22" s="20" t="n">
        <v>6228154</v>
      </c>
      <c r="H22" s="20" t="n">
        <v>1121068</v>
      </c>
      <c r="I22" s="20" t="n">
        <v>7349222</v>
      </c>
      <c r="J22" s="5" t="s">
        <v>342</v>
      </c>
      <c r="K22" s="5" t="s">
        <v>347</v>
      </c>
    </row>
    <row r="23" customFormat="false" ht="15" hidden="false" customHeight="false" outlineLevel="0" collapsed="false">
      <c r="A23" s="5" t="s">
        <v>402</v>
      </c>
      <c r="B23" s="26" t="n">
        <v>45766</v>
      </c>
      <c r="C23" s="5" t="s">
        <v>382</v>
      </c>
      <c r="D23" s="5" t="s">
        <v>334</v>
      </c>
      <c r="E23" s="5" t="s">
        <v>39</v>
      </c>
      <c r="F23" s="5" t="n">
        <v>102</v>
      </c>
      <c r="G23" s="20" t="n">
        <v>2500000</v>
      </c>
      <c r="H23" s="20" t="n">
        <v>450000</v>
      </c>
      <c r="I23" s="20" t="n">
        <v>2950000</v>
      </c>
      <c r="J23" s="5" t="s">
        <v>403</v>
      </c>
      <c r="K23" s="5" t="s">
        <v>347</v>
      </c>
    </row>
    <row r="24" customFormat="false" ht="15" hidden="false" customHeight="false" outlineLevel="0" collapsed="false">
      <c r="A24" s="5" t="s">
        <v>404</v>
      </c>
      <c r="B24" s="26" t="n">
        <v>45768</v>
      </c>
      <c r="C24" s="5" t="s">
        <v>349</v>
      </c>
      <c r="D24" s="5" t="s">
        <v>405</v>
      </c>
      <c r="E24" s="5" t="s">
        <v>80</v>
      </c>
      <c r="F24" s="5" t="n">
        <v>281</v>
      </c>
      <c r="G24" s="20" t="n">
        <v>6885009</v>
      </c>
      <c r="H24" s="20" t="n">
        <v>1239302</v>
      </c>
      <c r="I24" s="20" t="n">
        <v>8124311</v>
      </c>
      <c r="J24" s="5" t="s">
        <v>356</v>
      </c>
      <c r="K24" s="5" t="s">
        <v>406</v>
      </c>
    </row>
    <row r="25" customFormat="false" ht="15" hidden="false" customHeight="false" outlineLevel="0" collapsed="false">
      <c r="A25" s="5" t="s">
        <v>407</v>
      </c>
      <c r="B25" s="5" t="s">
        <v>408</v>
      </c>
      <c r="C25" s="5" t="s">
        <v>389</v>
      </c>
      <c r="D25" s="5" t="s">
        <v>390</v>
      </c>
      <c r="E25" s="5" t="s">
        <v>79</v>
      </c>
      <c r="F25" s="5" t="n">
        <v>2002</v>
      </c>
      <c r="G25" s="20" t="n">
        <v>3720236</v>
      </c>
      <c r="H25" s="20" t="n">
        <v>669642</v>
      </c>
      <c r="I25" s="5" t="s">
        <v>409</v>
      </c>
      <c r="J25" s="5" t="s">
        <v>383</v>
      </c>
      <c r="K25" s="5" t="s">
        <v>363</v>
      </c>
    </row>
    <row r="26" customFormat="false" ht="15" hidden="false" customHeight="false" outlineLevel="0" collapsed="false">
      <c r="A26" s="5" t="s">
        <v>410</v>
      </c>
      <c r="B26" s="5" t="s">
        <v>411</v>
      </c>
      <c r="C26" s="5" t="s">
        <v>349</v>
      </c>
      <c r="D26" s="5" t="s">
        <v>350</v>
      </c>
      <c r="E26" s="5" t="s">
        <v>39</v>
      </c>
      <c r="F26" s="5" t="n">
        <v>105</v>
      </c>
      <c r="G26" s="5" t="s">
        <v>375</v>
      </c>
      <c r="H26" s="5" t="s">
        <v>412</v>
      </c>
      <c r="I26" s="20" t="n">
        <v>2950000</v>
      </c>
      <c r="J26" s="5" t="s">
        <v>353</v>
      </c>
      <c r="K26" s="5" t="s">
        <v>406</v>
      </c>
    </row>
    <row r="27" customFormat="false" ht="15" hidden="false" customHeight="false" outlineLevel="0" collapsed="false">
      <c r="A27" s="5" t="s">
        <v>413</v>
      </c>
      <c r="B27" s="5" t="s">
        <v>414</v>
      </c>
      <c r="C27" s="5" t="s">
        <v>415</v>
      </c>
      <c r="D27" s="5" t="s">
        <v>416</v>
      </c>
      <c r="E27" s="5" t="s">
        <v>81</v>
      </c>
      <c r="F27" s="5" t="n">
        <v>971</v>
      </c>
      <c r="G27" s="20" t="n">
        <v>3556116</v>
      </c>
      <c r="H27" s="20" t="n">
        <v>0</v>
      </c>
      <c r="I27" s="5" t="s">
        <v>417</v>
      </c>
      <c r="J27" s="5" t="s">
        <v>383</v>
      </c>
      <c r="K27" s="5" t="s">
        <v>343</v>
      </c>
    </row>
    <row r="28" customFormat="false" ht="15" hidden="false" customHeight="false" outlineLevel="0" collapsed="false">
      <c r="A28" s="5" t="s">
        <v>418</v>
      </c>
      <c r="B28" s="26" t="n">
        <v>45772</v>
      </c>
      <c r="C28" s="5" t="s">
        <v>419</v>
      </c>
      <c r="D28" s="5" t="s">
        <v>390</v>
      </c>
      <c r="E28" s="5" t="s">
        <v>38</v>
      </c>
      <c r="F28" s="5" t="n">
        <v>3432</v>
      </c>
      <c r="G28" s="20" t="n">
        <v>6645976</v>
      </c>
      <c r="H28" s="20" t="n">
        <v>1196276</v>
      </c>
      <c r="I28" s="20" t="n">
        <v>7842252</v>
      </c>
      <c r="J28" s="5" t="s">
        <v>383</v>
      </c>
      <c r="K28" s="5" t="s">
        <v>406</v>
      </c>
    </row>
    <row r="29" customFormat="false" ht="15" hidden="false" customHeight="false" outlineLevel="0" collapsed="false">
      <c r="A29" s="5" t="s">
        <v>420</v>
      </c>
      <c r="B29" s="26" t="n">
        <v>45772</v>
      </c>
      <c r="C29" s="5" t="s">
        <v>421</v>
      </c>
      <c r="D29" s="5" t="s">
        <v>390</v>
      </c>
      <c r="E29" s="5" t="s">
        <v>359</v>
      </c>
      <c r="F29" s="5" t="n">
        <v>1258</v>
      </c>
      <c r="G29" s="20" t="n">
        <v>2500000</v>
      </c>
      <c r="H29" s="20" t="n">
        <v>450000</v>
      </c>
      <c r="I29" s="20" t="n">
        <v>2950000</v>
      </c>
      <c r="J29" s="5" t="s">
        <v>353</v>
      </c>
      <c r="K29" s="5" t="s">
        <v>347</v>
      </c>
    </row>
    <row r="30" customFormat="false" ht="15" hidden="false" customHeight="false" outlineLevel="0" collapsed="false">
      <c r="A30" s="5" t="s">
        <v>422</v>
      </c>
      <c r="B30" s="26" t="n">
        <v>45772</v>
      </c>
      <c r="C30" s="5" t="s">
        <v>400</v>
      </c>
      <c r="D30" s="5" t="s">
        <v>374</v>
      </c>
      <c r="E30" s="5" t="s">
        <v>81</v>
      </c>
      <c r="F30" s="5" t="n">
        <v>1960</v>
      </c>
      <c r="G30" s="20" t="n">
        <v>8251027</v>
      </c>
      <c r="H30" s="20" t="n">
        <v>1485185</v>
      </c>
      <c r="I30" s="5" t="s">
        <v>423</v>
      </c>
      <c r="J30" s="5" t="s">
        <v>353</v>
      </c>
      <c r="K30" s="5" t="s">
        <v>336</v>
      </c>
    </row>
    <row r="31" customFormat="false" ht="15" hidden="false" customHeight="false" outlineLevel="0" collapsed="false">
      <c r="A31" s="5" t="s">
        <v>424</v>
      </c>
      <c r="B31" s="5" t="s">
        <v>425</v>
      </c>
      <c r="C31" s="5" t="s">
        <v>358</v>
      </c>
      <c r="D31" s="5" t="s">
        <v>390</v>
      </c>
      <c r="E31" s="5" t="s">
        <v>359</v>
      </c>
      <c r="F31" s="5" t="n">
        <v>5309</v>
      </c>
      <c r="G31" s="20" t="n">
        <v>9103721</v>
      </c>
      <c r="H31" s="5" t="s">
        <v>426</v>
      </c>
      <c r="I31" s="20" t="n">
        <v>10742391</v>
      </c>
      <c r="J31" s="5" t="s">
        <v>342</v>
      </c>
      <c r="K31" s="5" t="s">
        <v>363</v>
      </c>
    </row>
    <row r="32" customFormat="false" ht="15" hidden="false" customHeight="false" outlineLevel="0" collapsed="false">
      <c r="A32" s="5" t="s">
        <v>427</v>
      </c>
      <c r="B32" s="26" t="n">
        <v>45773</v>
      </c>
      <c r="C32" s="5" t="s">
        <v>428</v>
      </c>
      <c r="D32" s="5" t="s">
        <v>374</v>
      </c>
      <c r="E32" s="5" t="s">
        <v>429</v>
      </c>
      <c r="F32" s="5" t="n">
        <v>2785</v>
      </c>
      <c r="G32" s="20" t="n">
        <v>17364811</v>
      </c>
      <c r="H32" s="20" t="n">
        <v>3125666</v>
      </c>
      <c r="I32" s="20" t="n">
        <v>20490477</v>
      </c>
      <c r="J32" s="5" t="s">
        <v>346</v>
      </c>
      <c r="K32" s="5" t="s">
        <v>406</v>
      </c>
    </row>
    <row r="33" customFormat="false" ht="15" hidden="false" customHeight="false" outlineLevel="0" collapsed="false">
      <c r="A33" s="5" t="s">
        <v>430</v>
      </c>
      <c r="B33" s="26" t="n">
        <v>45773</v>
      </c>
      <c r="C33" s="5" t="s">
        <v>431</v>
      </c>
      <c r="D33" s="5" t="s">
        <v>432</v>
      </c>
      <c r="E33" s="5" t="s">
        <v>38</v>
      </c>
      <c r="F33" s="5" t="n">
        <v>3914</v>
      </c>
      <c r="G33" s="20" t="n">
        <v>7555673</v>
      </c>
      <c r="H33" s="20" t="n">
        <v>1360021</v>
      </c>
      <c r="I33" s="20" t="n">
        <v>8915694</v>
      </c>
      <c r="J33" s="5" t="s">
        <v>342</v>
      </c>
      <c r="K33" s="5" t="s">
        <v>343</v>
      </c>
    </row>
    <row r="34" customFormat="false" ht="15" hidden="false" customHeight="false" outlineLevel="0" collapsed="false">
      <c r="A34" s="5" t="s">
        <v>433</v>
      </c>
      <c r="B34" s="26" t="n">
        <v>45776</v>
      </c>
      <c r="C34" s="5" t="s">
        <v>419</v>
      </c>
      <c r="D34" s="5" t="s">
        <v>340</v>
      </c>
      <c r="E34" s="5" t="s">
        <v>38</v>
      </c>
      <c r="F34" s="5" t="n">
        <v>7648</v>
      </c>
      <c r="G34" s="20" t="n">
        <v>14293724</v>
      </c>
      <c r="H34" s="20" t="n">
        <v>2572870</v>
      </c>
      <c r="I34" s="20" t="n">
        <v>16866594</v>
      </c>
      <c r="J34" s="5" t="s">
        <v>346</v>
      </c>
      <c r="K34" s="5" t="s">
        <v>396</v>
      </c>
    </row>
    <row r="35" customFormat="false" ht="15" hidden="false" customHeight="false" outlineLevel="0" collapsed="false">
      <c r="A35" s="5" t="s">
        <v>434</v>
      </c>
      <c r="B35" s="5" t="s">
        <v>435</v>
      </c>
      <c r="C35" s="5" t="s">
        <v>365</v>
      </c>
      <c r="D35" s="5" t="s">
        <v>366</v>
      </c>
      <c r="E35" s="5" t="s">
        <v>39</v>
      </c>
      <c r="F35" s="5" t="n">
        <v>263</v>
      </c>
      <c r="G35" s="20" t="n">
        <v>5952228</v>
      </c>
      <c r="H35" s="20" t="n">
        <v>0</v>
      </c>
      <c r="I35" s="20" t="n">
        <v>5952228</v>
      </c>
      <c r="J35" s="5" t="s">
        <v>353</v>
      </c>
      <c r="K35" s="5" t="s">
        <v>368</v>
      </c>
    </row>
    <row r="36" customFormat="false" ht="15" hidden="false" customHeight="false" outlineLevel="0" collapsed="false">
      <c r="A36" s="5" t="s">
        <v>436</v>
      </c>
      <c r="B36" s="26" t="n">
        <v>45777</v>
      </c>
      <c r="C36" s="5" t="s">
        <v>400</v>
      </c>
      <c r="D36" s="5" t="s">
        <v>374</v>
      </c>
      <c r="E36" s="5" t="s">
        <v>38</v>
      </c>
      <c r="F36" s="5" t="n">
        <v>6296</v>
      </c>
      <c r="G36" s="5" t="s">
        <v>437</v>
      </c>
      <c r="H36" s="20" t="n">
        <v>2044458</v>
      </c>
      <c r="I36" s="20" t="n">
        <v>13402559</v>
      </c>
      <c r="J36" s="5" t="s">
        <v>346</v>
      </c>
      <c r="K36" s="5" t="s">
        <v>384</v>
      </c>
    </row>
    <row r="37" customFormat="false" ht="15" hidden="false" customHeight="false" outlineLevel="0" collapsed="false">
      <c r="A37" s="5" t="s">
        <v>438</v>
      </c>
      <c r="B37" s="26" t="n">
        <v>45777</v>
      </c>
      <c r="C37" s="5" t="s">
        <v>439</v>
      </c>
      <c r="D37" s="5" t="s">
        <v>366</v>
      </c>
      <c r="E37" s="5" t="s">
        <v>351</v>
      </c>
      <c r="F37" s="5" t="n">
        <v>98</v>
      </c>
      <c r="G37" s="20" t="n">
        <v>2500000</v>
      </c>
      <c r="H37" s="5" t="s">
        <v>440</v>
      </c>
      <c r="I37" s="20" t="n">
        <v>2500000</v>
      </c>
      <c r="J37" s="5" t="s">
        <v>403</v>
      </c>
      <c r="K37" s="5" t="s">
        <v>406</v>
      </c>
    </row>
    <row r="38" customFormat="false" ht="15" hidden="false" customHeight="false" outlineLevel="0" collapsed="false">
      <c r="A38" s="5" t="s">
        <v>441</v>
      </c>
      <c r="B38" s="5" t="s">
        <v>442</v>
      </c>
      <c r="C38" s="5" t="s">
        <v>345</v>
      </c>
      <c r="D38" s="5" t="s">
        <v>334</v>
      </c>
      <c r="E38" s="5" t="s">
        <v>41</v>
      </c>
      <c r="F38" s="5" t="n">
        <v>1676</v>
      </c>
      <c r="G38" s="20" t="n">
        <v>6107891</v>
      </c>
      <c r="H38" s="5" t="s">
        <v>443</v>
      </c>
      <c r="I38" s="5" t="s">
        <v>444</v>
      </c>
      <c r="J38" s="5" t="s">
        <v>356</v>
      </c>
      <c r="K38" s="5" t="s">
        <v>363</v>
      </c>
    </row>
    <row r="39" customFormat="false" ht="15" hidden="false" customHeight="false" outlineLevel="0" collapsed="false">
      <c r="A39" s="5" t="s">
        <v>445</v>
      </c>
      <c r="B39" s="5" t="s">
        <v>446</v>
      </c>
      <c r="C39" s="5" t="s">
        <v>349</v>
      </c>
      <c r="D39" s="5" t="s">
        <v>405</v>
      </c>
      <c r="E39" s="5" t="s">
        <v>39</v>
      </c>
      <c r="F39" s="5" t="n">
        <v>206</v>
      </c>
      <c r="G39" s="20" t="n">
        <v>5243310</v>
      </c>
      <c r="H39" s="5" t="s">
        <v>447</v>
      </c>
      <c r="I39" s="20" t="n">
        <v>6187106</v>
      </c>
      <c r="J39" s="5" t="s">
        <v>346</v>
      </c>
      <c r="K39" s="5" t="s">
        <v>406</v>
      </c>
    </row>
    <row r="40" customFormat="false" ht="15" hidden="false" customHeight="false" outlineLevel="0" collapsed="false">
      <c r="A40" s="5" t="s">
        <v>448</v>
      </c>
      <c r="B40" s="26" t="n">
        <v>45779</v>
      </c>
      <c r="C40" s="5" t="s">
        <v>449</v>
      </c>
      <c r="D40" s="5" t="s">
        <v>366</v>
      </c>
      <c r="E40" s="5" t="s">
        <v>355</v>
      </c>
      <c r="F40" s="5" t="n">
        <v>1689</v>
      </c>
      <c r="G40" s="20" t="n">
        <v>6578853</v>
      </c>
      <c r="H40" s="20" t="n">
        <v>0</v>
      </c>
      <c r="I40" s="20" t="n">
        <v>6578853</v>
      </c>
      <c r="J40" s="5" t="s">
        <v>403</v>
      </c>
      <c r="K40" s="5" t="s">
        <v>363</v>
      </c>
    </row>
    <row r="41" customFormat="false" ht="15" hidden="false" customHeight="false" outlineLevel="0" collapsed="false">
      <c r="A41" s="5" t="s">
        <v>450</v>
      </c>
      <c r="B41" s="26" t="n">
        <v>45781</v>
      </c>
      <c r="C41" s="5" t="s">
        <v>451</v>
      </c>
      <c r="D41" s="5" t="s">
        <v>366</v>
      </c>
      <c r="E41" s="5" t="s">
        <v>41</v>
      </c>
      <c r="F41" s="5" t="n">
        <v>618</v>
      </c>
      <c r="G41" s="20" t="n">
        <v>2500000</v>
      </c>
      <c r="H41" s="20" t="n">
        <v>0</v>
      </c>
      <c r="I41" s="5" t="s">
        <v>452</v>
      </c>
      <c r="J41" s="5" t="s">
        <v>356</v>
      </c>
      <c r="K41" s="5" t="s">
        <v>336</v>
      </c>
    </row>
    <row r="42" customFormat="false" ht="15" hidden="false" customHeight="false" outlineLevel="0" collapsed="false">
      <c r="A42" s="5" t="s">
        <v>453</v>
      </c>
      <c r="B42" s="5" t="s">
        <v>454</v>
      </c>
      <c r="C42" s="5" t="s">
        <v>455</v>
      </c>
      <c r="D42" s="5" t="s">
        <v>390</v>
      </c>
      <c r="E42" s="5" t="s">
        <v>39</v>
      </c>
      <c r="F42" s="5" t="n">
        <v>193</v>
      </c>
      <c r="G42" s="20" t="n">
        <v>4543605</v>
      </c>
      <c r="H42" s="20" t="n">
        <v>817849</v>
      </c>
      <c r="I42" s="20" t="n">
        <v>5361454</v>
      </c>
      <c r="J42" s="5" t="s">
        <v>342</v>
      </c>
      <c r="K42" s="5" t="s">
        <v>406</v>
      </c>
    </row>
    <row r="43" customFormat="false" ht="15" hidden="false" customHeight="false" outlineLevel="0" collapsed="false">
      <c r="A43" s="5" t="s">
        <v>456</v>
      </c>
      <c r="B43" s="26" t="n">
        <v>45781</v>
      </c>
      <c r="C43" s="5" t="s">
        <v>358</v>
      </c>
      <c r="D43" s="5" t="s">
        <v>340</v>
      </c>
      <c r="E43" s="5" t="s">
        <v>81</v>
      </c>
      <c r="F43" s="5" t="n">
        <v>2919</v>
      </c>
      <c r="G43" s="5" t="s">
        <v>457</v>
      </c>
      <c r="H43" s="20" t="n">
        <v>2203087</v>
      </c>
      <c r="I43" s="5" t="s">
        <v>458</v>
      </c>
      <c r="J43" s="5" t="s">
        <v>353</v>
      </c>
      <c r="K43" s="5" t="s">
        <v>368</v>
      </c>
    </row>
    <row r="44" customFormat="false" ht="15" hidden="false" customHeight="false" outlineLevel="0" collapsed="false">
      <c r="A44" s="5" t="s">
        <v>459</v>
      </c>
      <c r="B44" s="26" t="n">
        <v>45781</v>
      </c>
      <c r="C44" s="5" t="s">
        <v>358</v>
      </c>
      <c r="D44" s="5" t="s">
        <v>390</v>
      </c>
      <c r="E44" s="5" t="s">
        <v>41</v>
      </c>
      <c r="F44" s="5" t="n">
        <v>654</v>
      </c>
      <c r="G44" s="20" t="n">
        <v>2500000</v>
      </c>
      <c r="H44" s="5" t="s">
        <v>412</v>
      </c>
      <c r="I44" s="20" t="n">
        <v>2950000</v>
      </c>
      <c r="J44" s="5" t="s">
        <v>346</v>
      </c>
      <c r="K44" s="5" t="s">
        <v>347</v>
      </c>
    </row>
    <row r="45" customFormat="false" ht="15" hidden="false" customHeight="false" outlineLevel="0" collapsed="false">
      <c r="A45" s="5" t="s">
        <v>460</v>
      </c>
      <c r="B45" s="5" t="s">
        <v>461</v>
      </c>
      <c r="C45" s="5" t="s">
        <v>378</v>
      </c>
      <c r="D45" s="5" t="s">
        <v>374</v>
      </c>
      <c r="E45" s="5" t="s">
        <v>41</v>
      </c>
      <c r="F45" s="5" t="n">
        <v>1267</v>
      </c>
      <c r="G45" s="5" t="s">
        <v>462</v>
      </c>
      <c r="H45" s="20" t="n">
        <v>867311</v>
      </c>
      <c r="I45" s="5" t="s">
        <v>463</v>
      </c>
      <c r="J45" s="5" t="s">
        <v>356</v>
      </c>
      <c r="K45" s="5" t="s">
        <v>343</v>
      </c>
    </row>
    <row r="46" customFormat="false" ht="15" hidden="false" customHeight="false" outlineLevel="0" collapsed="false">
      <c r="A46" s="5" t="s">
        <v>464</v>
      </c>
      <c r="B46" s="5" t="s">
        <v>465</v>
      </c>
      <c r="C46" s="5" t="s">
        <v>345</v>
      </c>
      <c r="D46" s="5" t="s">
        <v>334</v>
      </c>
      <c r="E46" s="5" t="s">
        <v>41</v>
      </c>
      <c r="F46" s="5" t="n">
        <v>587</v>
      </c>
      <c r="G46" s="20" t="n">
        <v>2500000</v>
      </c>
      <c r="H46" s="20" t="n">
        <v>450000</v>
      </c>
      <c r="I46" s="5" t="s">
        <v>466</v>
      </c>
      <c r="J46" s="5" t="s">
        <v>353</v>
      </c>
      <c r="K46" s="5" t="s">
        <v>363</v>
      </c>
    </row>
    <row r="47" customFormat="false" ht="15" hidden="false" customHeight="false" outlineLevel="0" collapsed="false">
      <c r="A47" s="5" t="s">
        <v>467</v>
      </c>
      <c r="B47" s="26" t="n">
        <v>45786</v>
      </c>
      <c r="C47" s="5" t="s">
        <v>419</v>
      </c>
      <c r="D47" s="5" t="s">
        <v>390</v>
      </c>
      <c r="E47" s="5" t="s">
        <v>38</v>
      </c>
      <c r="F47" s="5" t="n">
        <v>3918</v>
      </c>
      <c r="G47" s="20" t="n">
        <v>7467360</v>
      </c>
      <c r="H47" s="5" t="s">
        <v>468</v>
      </c>
      <c r="I47" s="5" t="s">
        <v>469</v>
      </c>
      <c r="J47" s="5" t="s">
        <v>383</v>
      </c>
      <c r="K47" s="5" t="s">
        <v>384</v>
      </c>
    </row>
    <row r="48" customFormat="false" ht="15" hidden="false" customHeight="false" outlineLevel="0" collapsed="false">
      <c r="A48" s="5" t="s">
        <v>470</v>
      </c>
      <c r="B48" s="26" t="n">
        <v>45787</v>
      </c>
      <c r="C48" s="5" t="s">
        <v>349</v>
      </c>
      <c r="D48" s="5" t="s">
        <v>350</v>
      </c>
      <c r="E48" s="5" t="s">
        <v>39</v>
      </c>
      <c r="F48" s="5" t="n">
        <v>184</v>
      </c>
      <c r="G48" s="5" t="s">
        <v>471</v>
      </c>
      <c r="H48" s="20" t="n">
        <v>868867</v>
      </c>
      <c r="I48" s="20" t="n">
        <v>5695906</v>
      </c>
      <c r="J48" s="5" t="s">
        <v>342</v>
      </c>
      <c r="K48" s="5" t="s">
        <v>363</v>
      </c>
    </row>
    <row r="49" customFormat="false" ht="15" hidden="false" customHeight="false" outlineLevel="0" collapsed="false">
      <c r="A49" s="5" t="s">
        <v>472</v>
      </c>
      <c r="B49" s="26" t="n">
        <v>45787</v>
      </c>
      <c r="C49" s="5" t="s">
        <v>333</v>
      </c>
      <c r="D49" s="5" t="s">
        <v>334</v>
      </c>
      <c r="E49" s="5" t="s">
        <v>38</v>
      </c>
      <c r="F49" s="5" t="n">
        <v>5781</v>
      </c>
      <c r="G49" s="20" t="n">
        <v>11327821</v>
      </c>
      <c r="H49" s="20" t="n">
        <v>2039008</v>
      </c>
      <c r="I49" s="5" t="s">
        <v>473</v>
      </c>
      <c r="J49" s="5" t="s">
        <v>383</v>
      </c>
      <c r="K49" s="5" t="s">
        <v>363</v>
      </c>
    </row>
    <row r="50" customFormat="false" ht="15" hidden="false" customHeight="false" outlineLevel="0" collapsed="false">
      <c r="A50" s="5" t="s">
        <v>474</v>
      </c>
      <c r="B50" s="5" t="s">
        <v>475</v>
      </c>
      <c r="C50" s="5" t="s">
        <v>345</v>
      </c>
      <c r="D50" s="5" t="s">
        <v>334</v>
      </c>
      <c r="E50" s="5" t="s">
        <v>38</v>
      </c>
      <c r="F50" s="5" t="n">
        <v>4003</v>
      </c>
      <c r="G50" s="20" t="n">
        <v>7459961</v>
      </c>
      <c r="H50" s="5" t="s">
        <v>476</v>
      </c>
      <c r="I50" s="20" t="n">
        <v>8802754</v>
      </c>
      <c r="J50" s="5" t="s">
        <v>403</v>
      </c>
      <c r="K50" s="5" t="s">
        <v>343</v>
      </c>
    </row>
    <row r="51" customFormat="false" ht="15" hidden="false" customHeight="false" outlineLevel="0" collapsed="false">
      <c r="A51" s="5" t="s">
        <v>477</v>
      </c>
      <c r="B51" s="26" t="n">
        <v>45789</v>
      </c>
      <c r="C51" s="5" t="s">
        <v>419</v>
      </c>
      <c r="D51" s="5" t="s">
        <v>390</v>
      </c>
      <c r="E51" s="5" t="s">
        <v>359</v>
      </c>
      <c r="F51" s="5" t="n">
        <v>1575</v>
      </c>
      <c r="G51" s="20" t="n">
        <v>2791101</v>
      </c>
      <c r="H51" s="5" t="s">
        <v>478</v>
      </c>
      <c r="I51" s="20" t="n">
        <v>3293499</v>
      </c>
      <c r="J51" s="5" t="s">
        <v>342</v>
      </c>
      <c r="K51" s="5" t="s">
        <v>396</v>
      </c>
    </row>
    <row r="52" customFormat="false" ht="15" hidden="false" customHeight="false" outlineLevel="0" collapsed="false">
      <c r="A52" s="5" t="s">
        <v>479</v>
      </c>
      <c r="B52" s="26" t="n">
        <v>45790</v>
      </c>
      <c r="C52" s="5" t="s">
        <v>358</v>
      </c>
      <c r="D52" s="5" t="s">
        <v>480</v>
      </c>
      <c r="E52" s="5" t="s">
        <v>41</v>
      </c>
      <c r="F52" s="5" t="n">
        <v>712</v>
      </c>
      <c r="G52" s="20" t="n">
        <v>2858058</v>
      </c>
      <c r="H52" s="20" t="n">
        <v>514450</v>
      </c>
      <c r="I52" s="5" t="s">
        <v>481</v>
      </c>
      <c r="J52" s="5" t="s">
        <v>383</v>
      </c>
      <c r="K52" s="5" t="s">
        <v>368</v>
      </c>
    </row>
    <row r="53" customFormat="false" ht="15" hidden="false" customHeight="false" outlineLevel="0" collapsed="false">
      <c r="A53" s="5" t="s">
        <v>482</v>
      </c>
      <c r="B53" s="26" t="n">
        <v>45791</v>
      </c>
      <c r="C53" s="5" t="s">
        <v>382</v>
      </c>
      <c r="D53" s="5" t="s">
        <v>483</v>
      </c>
      <c r="E53" s="5" t="s">
        <v>39</v>
      </c>
      <c r="F53" s="5" t="n">
        <v>158</v>
      </c>
      <c r="G53" s="20" t="n">
        <v>3853693</v>
      </c>
      <c r="H53" s="20" t="n">
        <v>693665</v>
      </c>
      <c r="I53" s="20" t="n">
        <v>4547358</v>
      </c>
      <c r="J53" s="5" t="s">
        <v>356</v>
      </c>
      <c r="K53" s="5" t="s">
        <v>396</v>
      </c>
    </row>
    <row r="55" customFormat="false" ht="15" hidden="false" customHeight="false" outlineLevel="0" collapsed="false">
      <c r="A55" s="16" t="s">
        <v>484</v>
      </c>
    </row>
    <row r="56" customFormat="false" ht="15" hidden="false" customHeight="false" outlineLevel="0" collapsed="false">
      <c r="A56" s="9" t="s">
        <v>320</v>
      </c>
      <c r="B56" s="9" t="s">
        <v>321</v>
      </c>
      <c r="C56" s="9" t="s">
        <v>322</v>
      </c>
      <c r="D56" s="9" t="s">
        <v>323</v>
      </c>
      <c r="E56" s="9" t="s">
        <v>324</v>
      </c>
      <c r="F56" s="9" t="s">
        <v>325</v>
      </c>
      <c r="G56" s="9" t="s">
        <v>326</v>
      </c>
      <c r="H56" s="9" t="s">
        <v>327</v>
      </c>
      <c r="I56" s="9" t="s">
        <v>328</v>
      </c>
      <c r="J56" s="9" t="s">
        <v>329</v>
      </c>
      <c r="K56" s="9" t="s">
        <v>330</v>
      </c>
    </row>
    <row r="57" customFormat="false" ht="15" hidden="false" customHeight="false" outlineLevel="0" collapsed="false">
      <c r="A57" s="5" t="s">
        <v>485</v>
      </c>
      <c r="B57" s="5" t="s">
        <v>486</v>
      </c>
      <c r="C57" s="5" t="s">
        <v>455</v>
      </c>
      <c r="D57" s="5" t="s">
        <v>340</v>
      </c>
      <c r="E57" s="5" t="s">
        <v>39</v>
      </c>
      <c r="F57" s="5" t="n">
        <v>454</v>
      </c>
      <c r="G57" s="20" t="n">
        <v>10709721</v>
      </c>
      <c r="H57" s="20" t="n">
        <v>1927750</v>
      </c>
      <c r="I57" s="20" t="n">
        <v>12637471</v>
      </c>
      <c r="J57" s="5" t="s">
        <v>353</v>
      </c>
      <c r="K57" s="5" t="s">
        <v>406</v>
      </c>
    </row>
    <row r="58" customFormat="false" ht="15" hidden="false" customHeight="false" outlineLevel="0" collapsed="false">
      <c r="A58" s="5" t="s">
        <v>487</v>
      </c>
      <c r="B58" s="26" t="n">
        <v>45791</v>
      </c>
      <c r="C58" s="5" t="s">
        <v>345</v>
      </c>
      <c r="D58" s="5" t="s">
        <v>334</v>
      </c>
      <c r="E58" s="5" t="s">
        <v>359</v>
      </c>
      <c r="F58" s="5" t="n">
        <v>1263</v>
      </c>
      <c r="G58" s="20" t="n">
        <v>2500000</v>
      </c>
      <c r="H58" s="5" t="s">
        <v>488</v>
      </c>
      <c r="I58" s="20" t="n">
        <v>2950000</v>
      </c>
      <c r="J58" s="5" t="s">
        <v>335</v>
      </c>
      <c r="K58" s="5" t="s">
        <v>368</v>
      </c>
    </row>
    <row r="59" customFormat="false" ht="15" hidden="false" customHeight="false" outlineLevel="0" collapsed="false">
      <c r="A59" s="5" t="s">
        <v>489</v>
      </c>
      <c r="B59" s="26" t="n">
        <v>45792</v>
      </c>
      <c r="C59" s="5" t="s">
        <v>333</v>
      </c>
      <c r="D59" s="5" t="s">
        <v>334</v>
      </c>
      <c r="E59" s="5" t="s">
        <v>38</v>
      </c>
      <c r="F59" s="5" t="n">
        <v>4075</v>
      </c>
      <c r="G59" s="20" t="n">
        <v>8292101</v>
      </c>
      <c r="H59" s="20" t="n">
        <v>1492578</v>
      </c>
      <c r="I59" s="20" t="n">
        <v>9784679</v>
      </c>
      <c r="J59" s="5" t="s">
        <v>342</v>
      </c>
      <c r="K59" s="5" t="s">
        <v>347</v>
      </c>
    </row>
    <row r="60" customFormat="false" ht="15" hidden="false" customHeight="false" outlineLevel="0" collapsed="false">
      <c r="A60" s="5" t="s">
        <v>490</v>
      </c>
      <c r="B60" s="5" t="s">
        <v>491</v>
      </c>
      <c r="C60" s="5" t="s">
        <v>492</v>
      </c>
      <c r="D60" s="5" t="s">
        <v>350</v>
      </c>
      <c r="E60" s="5" t="s">
        <v>39</v>
      </c>
      <c r="F60" s="5" t="n">
        <v>307</v>
      </c>
      <c r="G60" s="5" t="s">
        <v>493</v>
      </c>
      <c r="H60" s="20" t="n">
        <v>1365552</v>
      </c>
      <c r="I60" s="20" t="n">
        <v>8951953</v>
      </c>
      <c r="J60" s="5" t="s">
        <v>342</v>
      </c>
      <c r="K60" s="5" t="s">
        <v>343</v>
      </c>
    </row>
    <row r="61" customFormat="false" ht="15" hidden="false" customHeight="false" outlineLevel="0" collapsed="false">
      <c r="A61" s="5" t="s">
        <v>494</v>
      </c>
      <c r="B61" s="26" t="n">
        <v>45795</v>
      </c>
      <c r="C61" s="5" t="s">
        <v>495</v>
      </c>
      <c r="D61" s="5" t="s">
        <v>390</v>
      </c>
      <c r="E61" s="5" t="s">
        <v>355</v>
      </c>
      <c r="F61" s="5" t="n">
        <v>1086</v>
      </c>
      <c r="G61" s="20" t="n">
        <v>4363277</v>
      </c>
      <c r="H61" s="5" t="s">
        <v>496</v>
      </c>
      <c r="I61" s="20" t="n">
        <v>5148667</v>
      </c>
      <c r="J61" s="5" t="s">
        <v>342</v>
      </c>
      <c r="K61" s="5" t="s">
        <v>396</v>
      </c>
    </row>
    <row r="62" customFormat="false" ht="15" hidden="false" customHeight="false" outlineLevel="0" collapsed="false">
      <c r="A62" s="5" t="s">
        <v>497</v>
      </c>
      <c r="B62" s="5" t="s">
        <v>498</v>
      </c>
      <c r="C62" s="5" t="s">
        <v>419</v>
      </c>
      <c r="D62" s="5" t="s">
        <v>390</v>
      </c>
      <c r="E62" s="5" t="s">
        <v>38</v>
      </c>
      <c r="F62" s="5" t="n">
        <v>13997</v>
      </c>
      <c r="G62" s="20" t="n">
        <v>26625225</v>
      </c>
      <c r="H62" s="20" t="n">
        <v>4792540</v>
      </c>
      <c r="I62" s="5" t="s">
        <v>499</v>
      </c>
      <c r="J62" s="5" t="s">
        <v>383</v>
      </c>
      <c r="K62" s="5" t="s">
        <v>396</v>
      </c>
    </row>
    <row r="63" customFormat="false" ht="15" hidden="false" customHeight="false" outlineLevel="0" collapsed="false">
      <c r="A63" s="5" t="s">
        <v>500</v>
      </c>
      <c r="B63" s="26" t="n">
        <v>45797</v>
      </c>
      <c r="C63" s="5" t="s">
        <v>373</v>
      </c>
      <c r="D63" s="5" t="s">
        <v>374</v>
      </c>
      <c r="E63" s="5" t="s">
        <v>39</v>
      </c>
      <c r="F63" s="5" t="n">
        <v>485</v>
      </c>
      <c r="G63" s="20" t="n">
        <v>11035330</v>
      </c>
      <c r="H63" s="20" t="n">
        <v>1986359</v>
      </c>
      <c r="I63" s="5" t="s">
        <v>501</v>
      </c>
      <c r="J63" s="5" t="s">
        <v>353</v>
      </c>
      <c r="K63" s="5" t="s">
        <v>406</v>
      </c>
    </row>
    <row r="64" customFormat="false" ht="15" hidden="false" customHeight="false" outlineLevel="0" collapsed="false">
      <c r="A64" s="5" t="s">
        <v>502</v>
      </c>
      <c r="B64" s="5" t="s">
        <v>503</v>
      </c>
      <c r="C64" s="5" t="s">
        <v>451</v>
      </c>
      <c r="D64" s="5" t="s">
        <v>366</v>
      </c>
      <c r="E64" s="5" t="s">
        <v>38</v>
      </c>
      <c r="F64" s="5" t="n">
        <v>2006</v>
      </c>
      <c r="G64" s="5" t="s">
        <v>504</v>
      </c>
      <c r="H64" s="20" t="n">
        <v>0</v>
      </c>
      <c r="I64" s="5" t="s">
        <v>504</v>
      </c>
      <c r="J64" s="5" t="s">
        <v>353</v>
      </c>
      <c r="K64" s="5" t="s">
        <v>363</v>
      </c>
    </row>
    <row r="65" customFormat="false" ht="15" hidden="false" customHeight="false" outlineLevel="0" collapsed="false">
      <c r="A65" s="5" t="s">
        <v>505</v>
      </c>
      <c r="B65" s="26" t="n">
        <v>45798</v>
      </c>
      <c r="C65" s="5" t="s">
        <v>455</v>
      </c>
      <c r="D65" s="5" t="s">
        <v>340</v>
      </c>
      <c r="E65" s="5" t="s">
        <v>39</v>
      </c>
      <c r="F65" s="5" t="n">
        <v>144</v>
      </c>
      <c r="G65" s="20" t="n">
        <v>3559195</v>
      </c>
      <c r="H65" s="20" t="n">
        <v>640655</v>
      </c>
      <c r="I65" s="20" t="n">
        <v>4199850</v>
      </c>
      <c r="J65" s="5" t="s">
        <v>346</v>
      </c>
      <c r="K65" s="5" t="s">
        <v>384</v>
      </c>
    </row>
    <row r="66" customFormat="false" ht="15" hidden="false" customHeight="false" outlineLevel="0" collapsed="false">
      <c r="A66" s="5" t="s">
        <v>506</v>
      </c>
      <c r="B66" s="26" t="n">
        <v>45800</v>
      </c>
      <c r="C66" s="5" t="s">
        <v>507</v>
      </c>
      <c r="D66" s="5" t="s">
        <v>350</v>
      </c>
      <c r="E66" s="5" t="s">
        <v>39</v>
      </c>
      <c r="F66" s="5" t="n">
        <v>192</v>
      </c>
      <c r="G66" s="20" t="n">
        <v>4374808</v>
      </c>
      <c r="H66" s="5" t="s">
        <v>508</v>
      </c>
      <c r="I66" s="20" t="n">
        <v>5162273</v>
      </c>
      <c r="J66" s="5" t="s">
        <v>403</v>
      </c>
      <c r="K66" s="5" t="s">
        <v>384</v>
      </c>
    </row>
    <row r="67" customFormat="false" ht="15" hidden="false" customHeight="false" outlineLevel="0" collapsed="false">
      <c r="A67" s="5" t="s">
        <v>509</v>
      </c>
      <c r="B67" s="26" t="n">
        <v>45801</v>
      </c>
      <c r="C67" s="5" t="s">
        <v>358</v>
      </c>
      <c r="D67" s="5" t="s">
        <v>390</v>
      </c>
      <c r="E67" s="5" t="s">
        <v>81</v>
      </c>
      <c r="F67" s="5" t="n">
        <v>4182</v>
      </c>
      <c r="G67" s="20" t="n">
        <v>15907043</v>
      </c>
      <c r="H67" s="20" t="n">
        <v>2863268</v>
      </c>
      <c r="I67" s="20" t="n">
        <v>18770311</v>
      </c>
      <c r="J67" s="5" t="s">
        <v>383</v>
      </c>
      <c r="K67" s="5" t="s">
        <v>336</v>
      </c>
    </row>
    <row r="68" customFormat="false" ht="15" hidden="false" customHeight="false" outlineLevel="0" collapsed="false">
      <c r="A68" s="5" t="s">
        <v>510</v>
      </c>
      <c r="B68" s="5" t="s">
        <v>511</v>
      </c>
      <c r="C68" s="5" t="s">
        <v>365</v>
      </c>
      <c r="D68" s="5" t="s">
        <v>416</v>
      </c>
      <c r="E68" s="5" t="s">
        <v>351</v>
      </c>
      <c r="F68" s="5" t="n">
        <v>505</v>
      </c>
      <c r="G68" s="20" t="n">
        <v>11802639</v>
      </c>
      <c r="H68" s="20" t="n">
        <v>0</v>
      </c>
      <c r="I68" s="20" t="n">
        <v>11802639</v>
      </c>
      <c r="J68" s="5" t="s">
        <v>403</v>
      </c>
      <c r="K68" s="5" t="s">
        <v>384</v>
      </c>
    </row>
    <row r="69" customFormat="false" ht="15" hidden="false" customHeight="false" outlineLevel="0" collapsed="false">
      <c r="A69" s="5" t="s">
        <v>512</v>
      </c>
      <c r="B69" s="26" t="n">
        <v>45802</v>
      </c>
      <c r="C69" s="5" t="s">
        <v>415</v>
      </c>
      <c r="D69" s="5" t="s">
        <v>366</v>
      </c>
      <c r="E69" s="5" t="s">
        <v>79</v>
      </c>
      <c r="F69" s="5" t="n">
        <v>4215</v>
      </c>
      <c r="G69" s="20" t="n">
        <v>7652614</v>
      </c>
      <c r="H69" s="20" t="n">
        <v>0</v>
      </c>
      <c r="I69" s="20" t="n">
        <v>7652614</v>
      </c>
      <c r="J69" s="5" t="s">
        <v>403</v>
      </c>
      <c r="K69" s="5" t="s">
        <v>368</v>
      </c>
    </row>
    <row r="70" customFormat="false" ht="15" hidden="false" customHeight="false" outlineLevel="0" collapsed="false">
      <c r="A70" s="5" t="s">
        <v>513</v>
      </c>
      <c r="B70" s="26" t="n">
        <v>45804</v>
      </c>
      <c r="C70" s="5" t="s">
        <v>400</v>
      </c>
      <c r="D70" s="5" t="s">
        <v>374</v>
      </c>
      <c r="E70" s="5" t="s">
        <v>81</v>
      </c>
      <c r="F70" s="5" t="n">
        <v>2241</v>
      </c>
      <c r="G70" s="20" t="n">
        <v>8626919</v>
      </c>
      <c r="H70" s="20" t="n">
        <v>1552845</v>
      </c>
      <c r="I70" s="20" t="n">
        <v>10179764</v>
      </c>
      <c r="J70" s="5" t="s">
        <v>383</v>
      </c>
      <c r="K70" s="5" t="s">
        <v>406</v>
      </c>
    </row>
    <row r="71" customFormat="false" ht="15" hidden="false" customHeight="false" outlineLevel="0" collapsed="false">
      <c r="A71" s="5" t="s">
        <v>514</v>
      </c>
      <c r="B71" s="5" t="s">
        <v>515</v>
      </c>
      <c r="C71" s="5" t="s">
        <v>358</v>
      </c>
      <c r="D71" s="5" t="s">
        <v>390</v>
      </c>
      <c r="E71" s="5" t="s">
        <v>41</v>
      </c>
      <c r="F71" s="5" t="n">
        <v>2608</v>
      </c>
      <c r="G71" s="5" t="s">
        <v>516</v>
      </c>
      <c r="H71" s="20" t="n">
        <v>1911210</v>
      </c>
      <c r="I71" s="20" t="n">
        <v>12529042</v>
      </c>
      <c r="J71" s="5" t="s">
        <v>346</v>
      </c>
      <c r="K71" s="5" t="s">
        <v>406</v>
      </c>
    </row>
    <row r="72" customFormat="false" ht="15" hidden="false" customHeight="false" outlineLevel="0" collapsed="false">
      <c r="A72" s="5" t="s">
        <v>517</v>
      </c>
      <c r="B72" s="26" t="n">
        <v>45807</v>
      </c>
      <c r="C72" s="5" t="s">
        <v>345</v>
      </c>
      <c r="D72" s="5" t="s">
        <v>334</v>
      </c>
      <c r="E72" s="5" t="s">
        <v>41</v>
      </c>
      <c r="F72" s="5" t="n">
        <v>948</v>
      </c>
      <c r="G72" s="20" t="n">
        <v>3940038</v>
      </c>
      <c r="H72" s="5" t="s">
        <v>518</v>
      </c>
      <c r="I72" s="5" t="s">
        <v>519</v>
      </c>
      <c r="J72" s="5" t="s">
        <v>383</v>
      </c>
      <c r="K72" s="5" t="s">
        <v>368</v>
      </c>
    </row>
    <row r="73" customFormat="false" ht="15" hidden="false" customHeight="false" outlineLevel="0" collapsed="false">
      <c r="A73" s="5" t="s">
        <v>520</v>
      </c>
      <c r="B73" s="5" t="s">
        <v>521</v>
      </c>
      <c r="C73" s="5" t="s">
        <v>345</v>
      </c>
      <c r="D73" s="5" t="s">
        <v>334</v>
      </c>
      <c r="E73" s="5" t="s">
        <v>41</v>
      </c>
      <c r="F73" s="5" t="n">
        <v>1355</v>
      </c>
      <c r="G73" s="20" t="n">
        <v>5257814</v>
      </c>
      <c r="H73" s="20" t="n">
        <v>946407</v>
      </c>
      <c r="I73" s="5" t="s">
        <v>522</v>
      </c>
      <c r="J73" s="5" t="s">
        <v>383</v>
      </c>
      <c r="K73" s="5" t="s">
        <v>384</v>
      </c>
    </row>
    <row r="74" customFormat="false" ht="15" hidden="false" customHeight="false" outlineLevel="0" collapsed="false">
      <c r="A74" s="5" t="s">
        <v>523</v>
      </c>
      <c r="B74" s="26" t="n">
        <v>45809</v>
      </c>
      <c r="C74" s="5" t="s">
        <v>451</v>
      </c>
      <c r="D74" s="5" t="s">
        <v>524</v>
      </c>
      <c r="E74" s="5" t="s">
        <v>79</v>
      </c>
      <c r="F74" s="5" t="n">
        <v>5612</v>
      </c>
      <c r="G74" s="20" t="n">
        <v>10617128</v>
      </c>
      <c r="H74" s="20" t="n">
        <v>0</v>
      </c>
      <c r="I74" s="5" t="s">
        <v>525</v>
      </c>
      <c r="J74" s="5" t="s">
        <v>403</v>
      </c>
      <c r="K74" s="5" t="s">
        <v>347</v>
      </c>
    </row>
    <row r="75" customFormat="false" ht="15" hidden="false" customHeight="false" outlineLevel="0" collapsed="false">
      <c r="A75" s="5" t="s">
        <v>526</v>
      </c>
      <c r="B75" s="5" t="s">
        <v>527</v>
      </c>
      <c r="C75" s="5" t="s">
        <v>451</v>
      </c>
      <c r="D75" s="5" t="s">
        <v>366</v>
      </c>
      <c r="E75" s="5" t="s">
        <v>38</v>
      </c>
      <c r="F75" s="5" t="n">
        <v>1605</v>
      </c>
      <c r="G75" s="20" t="n">
        <v>2807728</v>
      </c>
      <c r="H75" s="20" t="n">
        <v>0</v>
      </c>
      <c r="I75" s="5" t="s">
        <v>528</v>
      </c>
      <c r="J75" s="5" t="s">
        <v>353</v>
      </c>
      <c r="K75" s="5" t="s">
        <v>347</v>
      </c>
    </row>
    <row r="76" customFormat="false" ht="15" hidden="false" customHeight="false" outlineLevel="0" collapsed="false">
      <c r="A76" s="5" t="s">
        <v>529</v>
      </c>
      <c r="B76" s="26" t="n">
        <v>45810</v>
      </c>
      <c r="C76" s="5" t="s">
        <v>431</v>
      </c>
      <c r="D76" s="5" t="s">
        <v>334</v>
      </c>
      <c r="E76" s="5" t="s">
        <v>38</v>
      </c>
      <c r="F76" s="5" t="n">
        <v>1698</v>
      </c>
      <c r="G76" s="20" t="n">
        <v>2968191</v>
      </c>
      <c r="H76" s="20" t="n">
        <v>534274</v>
      </c>
      <c r="I76" s="5" t="s">
        <v>530</v>
      </c>
      <c r="J76" s="5" t="s">
        <v>335</v>
      </c>
      <c r="K76" s="5" t="s">
        <v>406</v>
      </c>
    </row>
    <row r="77" customFormat="false" ht="15" hidden="false" customHeight="false" outlineLevel="0" collapsed="false">
      <c r="A77" s="5" t="s">
        <v>531</v>
      </c>
      <c r="B77" s="5" t="s">
        <v>532</v>
      </c>
      <c r="C77" s="5" t="s">
        <v>431</v>
      </c>
      <c r="D77" s="5" t="s">
        <v>334</v>
      </c>
      <c r="E77" s="5" t="s">
        <v>79</v>
      </c>
      <c r="F77" s="5" t="n">
        <v>2398</v>
      </c>
      <c r="G77" s="20" t="n">
        <v>4842555</v>
      </c>
      <c r="H77" s="20" t="n">
        <v>871660</v>
      </c>
      <c r="I77" s="20" t="n">
        <v>5714215</v>
      </c>
      <c r="J77" s="5" t="s">
        <v>353</v>
      </c>
      <c r="K77" s="5" t="s">
        <v>396</v>
      </c>
    </row>
    <row r="78" customFormat="false" ht="15" hidden="false" customHeight="false" outlineLevel="0" collapsed="false">
      <c r="A78" s="5" t="s">
        <v>533</v>
      </c>
      <c r="B78" s="5" t="s">
        <v>534</v>
      </c>
      <c r="C78" s="5" t="s">
        <v>415</v>
      </c>
      <c r="D78" s="5" t="s">
        <v>416</v>
      </c>
      <c r="E78" s="5" t="s">
        <v>41</v>
      </c>
      <c r="F78" s="5" t="n">
        <v>1156</v>
      </c>
      <c r="G78" s="20" t="n">
        <v>4484669</v>
      </c>
      <c r="H78" s="20" t="n">
        <v>0</v>
      </c>
      <c r="I78" s="20" t="n">
        <v>4484669</v>
      </c>
      <c r="J78" s="5" t="s">
        <v>383</v>
      </c>
      <c r="K78" s="5" t="s">
        <v>363</v>
      </c>
      <c r="L78" s="5" t="s">
        <v>535</v>
      </c>
    </row>
    <row r="79" customFormat="false" ht="15" hidden="false" customHeight="false" outlineLevel="0" collapsed="false">
      <c r="A79" s="5" t="s">
        <v>536</v>
      </c>
      <c r="B79" s="26" t="n">
        <v>45810</v>
      </c>
      <c r="C79" s="5" t="s">
        <v>373</v>
      </c>
      <c r="D79" s="5" t="s">
        <v>374</v>
      </c>
      <c r="E79" s="5" t="s">
        <v>351</v>
      </c>
      <c r="F79" s="5" t="n">
        <v>115</v>
      </c>
      <c r="G79" s="20" t="n">
        <v>2974924</v>
      </c>
      <c r="H79" s="20" t="n">
        <v>535486</v>
      </c>
      <c r="I79" s="20" t="n">
        <v>3510410</v>
      </c>
      <c r="J79" s="5" t="s">
        <v>335</v>
      </c>
      <c r="K79" s="5" t="s">
        <v>384</v>
      </c>
      <c r="L79" s="5" t="s">
        <v>537</v>
      </c>
    </row>
    <row r="80" customFormat="false" ht="15" hidden="false" customHeight="false" outlineLevel="0" collapsed="false">
      <c r="A80" s="5" t="s">
        <v>538</v>
      </c>
      <c r="B80" s="26" t="n">
        <v>45811</v>
      </c>
      <c r="C80" s="5" t="s">
        <v>400</v>
      </c>
      <c r="D80" s="5" t="s">
        <v>374</v>
      </c>
      <c r="E80" s="5" t="s">
        <v>359</v>
      </c>
      <c r="F80" s="5" t="n">
        <v>4458</v>
      </c>
      <c r="G80" s="20" t="n">
        <v>7970314</v>
      </c>
      <c r="H80" s="20" t="n">
        <v>1434657</v>
      </c>
      <c r="I80" s="20" t="n">
        <v>9404971</v>
      </c>
      <c r="J80" s="5" t="s">
        <v>342</v>
      </c>
      <c r="K80" s="5" t="s">
        <v>347</v>
      </c>
    </row>
    <row r="81" customFormat="false" ht="15" hidden="false" customHeight="false" outlineLevel="0" collapsed="false">
      <c r="A81" s="5" t="s">
        <v>539</v>
      </c>
      <c r="B81" s="26" t="n">
        <v>45812</v>
      </c>
      <c r="C81" s="5" t="s">
        <v>378</v>
      </c>
      <c r="D81" s="5" t="s">
        <v>374</v>
      </c>
      <c r="E81" s="5" t="s">
        <v>355</v>
      </c>
      <c r="F81" s="5" t="n">
        <v>977</v>
      </c>
      <c r="G81" s="20" t="n">
        <v>4109664</v>
      </c>
      <c r="H81" s="20" t="n">
        <v>739740</v>
      </c>
      <c r="I81" s="20" t="n">
        <v>4849404</v>
      </c>
      <c r="J81" s="5" t="s">
        <v>346</v>
      </c>
      <c r="K81" s="5" t="s">
        <v>396</v>
      </c>
    </row>
    <row r="82" customFormat="false" ht="15" hidden="false" customHeight="false" outlineLevel="0" collapsed="false">
      <c r="A82" s="5" t="s">
        <v>540</v>
      </c>
      <c r="B82" s="26" t="n">
        <v>45812</v>
      </c>
      <c r="C82" s="5" t="s">
        <v>378</v>
      </c>
      <c r="D82" s="5" t="s">
        <v>374</v>
      </c>
      <c r="E82" s="5" t="s">
        <v>38</v>
      </c>
      <c r="F82" s="5" t="n">
        <v>4538</v>
      </c>
      <c r="G82" s="5" t="s">
        <v>541</v>
      </c>
      <c r="H82" s="20" t="n">
        <v>1563090</v>
      </c>
      <c r="I82" s="5" t="s">
        <v>542</v>
      </c>
      <c r="J82" s="5" t="s">
        <v>356</v>
      </c>
      <c r="K82" s="5" t="s">
        <v>396</v>
      </c>
    </row>
    <row r="83" customFormat="false" ht="15" hidden="false" customHeight="false" outlineLevel="0" collapsed="false">
      <c r="A83" s="5" t="s">
        <v>543</v>
      </c>
      <c r="B83" s="5" t="s">
        <v>544</v>
      </c>
      <c r="C83" s="5" t="s">
        <v>507</v>
      </c>
      <c r="D83" s="5" t="s">
        <v>350</v>
      </c>
      <c r="E83" s="5" t="s">
        <v>39</v>
      </c>
      <c r="F83" s="5" t="n">
        <v>595</v>
      </c>
      <c r="G83" s="5" t="s">
        <v>545</v>
      </c>
      <c r="H83" s="20" t="n">
        <v>2652726</v>
      </c>
      <c r="I83" s="20" t="n">
        <v>17390095</v>
      </c>
      <c r="J83" s="5" t="s">
        <v>346</v>
      </c>
      <c r="K83" s="5" t="s">
        <v>347</v>
      </c>
    </row>
    <row r="84" customFormat="false" ht="15" hidden="false" customHeight="false" outlineLevel="0" collapsed="false">
      <c r="A84" s="5" t="s">
        <v>546</v>
      </c>
      <c r="B84" s="26" t="n">
        <v>45815</v>
      </c>
      <c r="C84" s="5" t="s">
        <v>382</v>
      </c>
      <c r="D84" s="5" t="s">
        <v>334</v>
      </c>
      <c r="E84" s="5" t="s">
        <v>351</v>
      </c>
      <c r="F84" s="5" t="n">
        <v>94</v>
      </c>
      <c r="G84" s="5" t="s">
        <v>452</v>
      </c>
      <c r="H84" s="20" t="n">
        <v>450000</v>
      </c>
      <c r="I84" s="5" t="s">
        <v>376</v>
      </c>
      <c r="J84" s="5" t="s">
        <v>383</v>
      </c>
      <c r="K84" s="5" t="s">
        <v>368</v>
      </c>
    </row>
    <row r="85" customFormat="false" ht="15" hidden="false" customHeight="false" outlineLevel="0" collapsed="false">
      <c r="A85" s="5" t="s">
        <v>547</v>
      </c>
      <c r="B85" s="26" t="n">
        <v>45815</v>
      </c>
      <c r="C85" s="5" t="s">
        <v>451</v>
      </c>
      <c r="D85" s="5" t="s">
        <v>366</v>
      </c>
      <c r="E85" s="5" t="s">
        <v>359</v>
      </c>
      <c r="F85" s="5" t="n">
        <v>2052</v>
      </c>
      <c r="G85" s="20" t="n">
        <v>3544007</v>
      </c>
      <c r="H85" s="20" t="n">
        <v>0</v>
      </c>
      <c r="I85" s="20" t="n">
        <v>3544007</v>
      </c>
      <c r="J85" s="5" t="s">
        <v>342</v>
      </c>
      <c r="K85" s="5" t="s">
        <v>347</v>
      </c>
    </row>
    <row r="86" customFormat="false" ht="15" hidden="false" customHeight="false" outlineLevel="0" collapsed="false">
      <c r="A86" s="5" t="s">
        <v>548</v>
      </c>
      <c r="B86" s="5" t="s">
        <v>549</v>
      </c>
      <c r="C86" s="5" t="s">
        <v>492</v>
      </c>
      <c r="D86" s="5" t="s">
        <v>350</v>
      </c>
      <c r="E86" s="5" t="s">
        <v>351</v>
      </c>
      <c r="F86" s="5" t="n">
        <v>378</v>
      </c>
      <c r="G86" s="20" t="n">
        <v>10069109</v>
      </c>
      <c r="H86" s="20" t="n">
        <v>1812440</v>
      </c>
      <c r="I86" s="20" t="n">
        <v>11881549</v>
      </c>
      <c r="J86" s="5" t="s">
        <v>353</v>
      </c>
      <c r="K86" s="5" t="s">
        <v>368</v>
      </c>
    </row>
    <row r="87" customFormat="false" ht="15" hidden="false" customHeight="false" outlineLevel="0" collapsed="false">
      <c r="A87" s="5" t="s">
        <v>550</v>
      </c>
      <c r="B87" s="26" t="n">
        <v>45816</v>
      </c>
      <c r="C87" s="5" t="s">
        <v>394</v>
      </c>
      <c r="D87" s="5" t="s">
        <v>405</v>
      </c>
      <c r="E87" s="5" t="s">
        <v>39</v>
      </c>
      <c r="F87" s="5" t="n">
        <v>140</v>
      </c>
      <c r="G87" s="20" t="n">
        <v>3598134</v>
      </c>
      <c r="H87" s="20" t="n">
        <v>647664</v>
      </c>
      <c r="I87" s="20" t="n">
        <v>4245798</v>
      </c>
      <c r="J87" s="5" t="s">
        <v>383</v>
      </c>
      <c r="K87" s="5" t="s">
        <v>336</v>
      </c>
    </row>
    <row r="88" customFormat="false" ht="15" hidden="false" customHeight="false" outlineLevel="0" collapsed="false">
      <c r="A88" s="5" t="s">
        <v>551</v>
      </c>
      <c r="B88" s="26" t="n">
        <v>45816</v>
      </c>
      <c r="C88" s="5" t="s">
        <v>431</v>
      </c>
      <c r="D88" s="5" t="s">
        <v>334</v>
      </c>
      <c r="E88" s="5" t="s">
        <v>359</v>
      </c>
      <c r="F88" s="5" t="n">
        <v>1603</v>
      </c>
      <c r="G88" s="20" t="n">
        <v>2804808</v>
      </c>
      <c r="H88" s="20" t="n">
        <v>504865</v>
      </c>
      <c r="I88" s="5" t="s">
        <v>552</v>
      </c>
      <c r="J88" s="5" t="s">
        <v>383</v>
      </c>
      <c r="K88" s="5" t="s">
        <v>336</v>
      </c>
    </row>
    <row r="89" customFormat="false" ht="15" hidden="false" customHeight="false" outlineLevel="0" collapsed="false">
      <c r="A89" s="5" t="s">
        <v>553</v>
      </c>
      <c r="B89" s="26" t="n">
        <v>45816</v>
      </c>
      <c r="C89" s="5" t="s">
        <v>455</v>
      </c>
      <c r="D89" s="5" t="s">
        <v>340</v>
      </c>
      <c r="E89" s="5" t="s">
        <v>39</v>
      </c>
      <c r="F89" s="5" t="n">
        <v>344</v>
      </c>
      <c r="G89" s="20" t="n">
        <v>8973277</v>
      </c>
      <c r="H89" s="20" t="n">
        <v>1615190</v>
      </c>
      <c r="I89" s="20" t="n">
        <v>10588467</v>
      </c>
      <c r="J89" s="5" t="s">
        <v>383</v>
      </c>
      <c r="K89" s="5" t="s">
        <v>363</v>
      </c>
    </row>
    <row r="90" customFormat="false" ht="15" hidden="false" customHeight="false" outlineLevel="0" collapsed="false">
      <c r="A90" s="5" t="s">
        <v>554</v>
      </c>
      <c r="B90" s="26" t="n">
        <v>45819</v>
      </c>
      <c r="C90" s="5" t="s">
        <v>555</v>
      </c>
      <c r="D90" s="5" t="s">
        <v>334</v>
      </c>
      <c r="E90" s="5" t="s">
        <v>82</v>
      </c>
      <c r="F90" s="5" t="n">
        <v>370</v>
      </c>
      <c r="G90" s="5" t="s">
        <v>452</v>
      </c>
      <c r="H90" s="20" t="n">
        <v>450000</v>
      </c>
      <c r="I90" s="20" t="n">
        <v>2950000</v>
      </c>
      <c r="J90" s="5" t="s">
        <v>346</v>
      </c>
      <c r="K90" s="5" t="s">
        <v>384</v>
      </c>
    </row>
    <row r="91" customFormat="false" ht="15" hidden="false" customHeight="false" outlineLevel="0" collapsed="false">
      <c r="A91" s="5" t="s">
        <v>556</v>
      </c>
      <c r="B91" s="26" t="n">
        <v>45819</v>
      </c>
      <c r="C91" s="5" t="s">
        <v>451</v>
      </c>
      <c r="D91" s="5" t="s">
        <v>366</v>
      </c>
      <c r="E91" s="5" t="s">
        <v>41</v>
      </c>
      <c r="F91" s="5" t="n">
        <v>1562</v>
      </c>
      <c r="G91" s="20" t="n">
        <v>6569702</v>
      </c>
      <c r="H91" s="5" t="s">
        <v>277</v>
      </c>
      <c r="I91" s="20" t="n">
        <v>6569702</v>
      </c>
      <c r="J91" s="5" t="s">
        <v>356</v>
      </c>
      <c r="K91" s="5" t="s">
        <v>343</v>
      </c>
    </row>
    <row r="92" customFormat="false" ht="15" hidden="false" customHeight="false" outlineLevel="0" collapsed="false">
      <c r="A92" s="5" t="s">
        <v>557</v>
      </c>
      <c r="B92" s="26" t="n">
        <v>45820</v>
      </c>
      <c r="C92" s="5" t="s">
        <v>507</v>
      </c>
      <c r="D92" s="5" t="s">
        <v>558</v>
      </c>
      <c r="E92" s="5" t="s">
        <v>39</v>
      </c>
      <c r="F92" s="5" t="n">
        <v>118</v>
      </c>
      <c r="G92" s="20" t="n">
        <v>2686674</v>
      </c>
      <c r="H92" s="20" t="n">
        <v>483601</v>
      </c>
      <c r="I92" s="20" t="n">
        <v>3170275</v>
      </c>
      <c r="J92" s="5" t="s">
        <v>335</v>
      </c>
      <c r="K92" s="5" t="s">
        <v>336</v>
      </c>
    </row>
    <row r="93" customFormat="false" ht="15" hidden="false" customHeight="false" outlineLevel="0" collapsed="false">
      <c r="A93" s="5" t="s">
        <v>559</v>
      </c>
      <c r="B93" s="5" t="s">
        <v>560</v>
      </c>
      <c r="C93" s="5" t="s">
        <v>345</v>
      </c>
      <c r="D93" s="5" t="s">
        <v>432</v>
      </c>
      <c r="E93" s="5" t="s">
        <v>38</v>
      </c>
      <c r="F93" s="5" t="n">
        <v>7341</v>
      </c>
      <c r="G93" s="20" t="n">
        <v>13371845</v>
      </c>
      <c r="H93" s="5" t="s">
        <v>561</v>
      </c>
      <c r="I93" s="20" t="n">
        <v>15778777</v>
      </c>
      <c r="J93" s="5" t="s">
        <v>346</v>
      </c>
      <c r="K93" s="5" t="s">
        <v>347</v>
      </c>
    </row>
    <row r="94" customFormat="false" ht="15" hidden="false" customHeight="false" outlineLevel="0" collapsed="false">
      <c r="A94" s="5" t="s">
        <v>562</v>
      </c>
      <c r="B94" s="26" t="n">
        <v>45825</v>
      </c>
      <c r="C94" s="5" t="s">
        <v>451</v>
      </c>
      <c r="D94" s="5" t="s">
        <v>366</v>
      </c>
      <c r="E94" s="5" t="s">
        <v>38</v>
      </c>
      <c r="F94" s="5" t="n">
        <v>5136</v>
      </c>
      <c r="G94" s="20" t="n">
        <v>8802726</v>
      </c>
      <c r="H94" s="20" t="n">
        <v>0</v>
      </c>
      <c r="I94" s="20" t="n">
        <v>8802726</v>
      </c>
      <c r="J94" s="5" t="s">
        <v>335</v>
      </c>
      <c r="K94" s="5" t="s">
        <v>363</v>
      </c>
    </row>
    <row r="95" customFormat="false" ht="15" hidden="false" customHeight="false" outlineLevel="0" collapsed="false">
      <c r="A95" s="5" t="s">
        <v>563</v>
      </c>
      <c r="B95" s="5" t="s">
        <v>564</v>
      </c>
      <c r="C95" s="5" t="s">
        <v>400</v>
      </c>
      <c r="D95" s="5" t="s">
        <v>374</v>
      </c>
      <c r="E95" s="5" t="s">
        <v>41</v>
      </c>
      <c r="F95" s="5" t="n">
        <v>1723</v>
      </c>
      <c r="G95" s="20" t="n">
        <v>6328210</v>
      </c>
      <c r="H95" s="20" t="n">
        <v>1139078</v>
      </c>
      <c r="I95" s="20" t="n">
        <v>7467288</v>
      </c>
      <c r="J95" s="5" t="s">
        <v>342</v>
      </c>
      <c r="K95" s="5" t="s">
        <v>384</v>
      </c>
    </row>
    <row r="96" customFormat="false" ht="15" hidden="false" customHeight="false" outlineLevel="0" collapsed="false">
      <c r="A96" s="5" t="s">
        <v>565</v>
      </c>
      <c r="B96" s="26" t="n">
        <v>45826</v>
      </c>
      <c r="C96" s="5" t="s">
        <v>400</v>
      </c>
      <c r="D96" s="5" t="s">
        <v>379</v>
      </c>
      <c r="E96" s="5" t="s">
        <v>355</v>
      </c>
      <c r="F96" s="5" t="n">
        <v>629</v>
      </c>
      <c r="G96" s="20" t="n">
        <v>2500000</v>
      </c>
      <c r="H96" s="20" t="n">
        <v>450000</v>
      </c>
      <c r="I96" s="5" t="s">
        <v>376</v>
      </c>
      <c r="J96" s="5" t="s">
        <v>383</v>
      </c>
      <c r="K96" s="5" t="s">
        <v>368</v>
      </c>
    </row>
    <row r="97" customFormat="false" ht="15" hidden="false" customHeight="false" outlineLevel="0" collapsed="false">
      <c r="A97" s="5" t="s">
        <v>566</v>
      </c>
      <c r="B97" s="26" t="n">
        <v>45827</v>
      </c>
      <c r="C97" s="5" t="s">
        <v>415</v>
      </c>
      <c r="D97" s="5" t="s">
        <v>524</v>
      </c>
      <c r="E97" s="5" t="s">
        <v>38</v>
      </c>
      <c r="F97" s="5" t="n">
        <v>1257</v>
      </c>
      <c r="G97" s="20" t="n">
        <v>2500000</v>
      </c>
      <c r="H97" s="20" t="n">
        <v>0</v>
      </c>
      <c r="I97" s="5" t="s">
        <v>375</v>
      </c>
      <c r="J97" s="5" t="s">
        <v>335</v>
      </c>
      <c r="K97" s="5" t="s">
        <v>384</v>
      </c>
    </row>
    <row r="98" customFormat="false" ht="15" hidden="false" customHeight="false" outlineLevel="0" collapsed="false">
      <c r="A98" s="5" t="s">
        <v>567</v>
      </c>
      <c r="B98" s="5" t="s">
        <v>568</v>
      </c>
      <c r="C98" s="5" t="s">
        <v>345</v>
      </c>
      <c r="D98" s="5" t="s">
        <v>334</v>
      </c>
      <c r="E98" s="5" t="s">
        <v>355</v>
      </c>
      <c r="F98" s="5" t="n">
        <v>602</v>
      </c>
      <c r="G98" s="20" t="n">
        <v>2500000</v>
      </c>
      <c r="H98" s="5" t="s">
        <v>488</v>
      </c>
      <c r="I98" s="20" t="n">
        <v>2950000</v>
      </c>
      <c r="J98" s="5" t="s">
        <v>383</v>
      </c>
      <c r="K98" s="5" t="s">
        <v>384</v>
      </c>
    </row>
    <row r="99" customFormat="false" ht="15" hidden="false" customHeight="false" outlineLevel="0" collapsed="false">
      <c r="A99" s="5" t="s">
        <v>569</v>
      </c>
      <c r="B99" s="5" t="s">
        <v>570</v>
      </c>
      <c r="C99" s="5" t="s">
        <v>400</v>
      </c>
      <c r="D99" s="5" t="s">
        <v>401</v>
      </c>
      <c r="E99" s="5" t="s">
        <v>359</v>
      </c>
      <c r="F99" s="5" t="n">
        <v>2384</v>
      </c>
      <c r="G99" s="5" t="s">
        <v>571</v>
      </c>
      <c r="H99" s="20" t="n">
        <v>782381</v>
      </c>
      <c r="I99" s="20" t="n">
        <v>5128943</v>
      </c>
      <c r="J99" s="5" t="s">
        <v>342</v>
      </c>
      <c r="K99" s="5" t="s">
        <v>363</v>
      </c>
    </row>
    <row r="100" customFormat="false" ht="15" hidden="false" customHeight="false" outlineLevel="0" collapsed="false">
      <c r="A100" s="5" t="s">
        <v>572</v>
      </c>
      <c r="B100" s="5" t="s">
        <v>570</v>
      </c>
      <c r="C100" s="5" t="s">
        <v>555</v>
      </c>
      <c r="D100" s="5" t="s">
        <v>334</v>
      </c>
      <c r="E100" s="5" t="s">
        <v>429</v>
      </c>
      <c r="F100" s="5" t="n">
        <v>492</v>
      </c>
      <c r="G100" s="20" t="n">
        <v>2827813</v>
      </c>
      <c r="H100" s="20" t="n">
        <v>509006</v>
      </c>
      <c r="I100" s="20" t="n">
        <v>3336819</v>
      </c>
      <c r="J100" s="5" t="s">
        <v>383</v>
      </c>
      <c r="K100" s="5" t="s">
        <v>396</v>
      </c>
    </row>
    <row r="101" customFormat="false" ht="15" hidden="false" customHeight="false" outlineLevel="0" collapsed="false">
      <c r="A101" s="5" t="s">
        <v>573</v>
      </c>
      <c r="B101" s="26" t="n">
        <v>45833</v>
      </c>
      <c r="C101" s="5" t="s">
        <v>431</v>
      </c>
      <c r="D101" s="5" t="s">
        <v>334</v>
      </c>
      <c r="E101" s="5" t="s">
        <v>38</v>
      </c>
      <c r="F101" s="5" t="n">
        <v>7730</v>
      </c>
      <c r="G101" s="20" t="n">
        <v>13355793</v>
      </c>
      <c r="H101" s="20" t="n">
        <v>2404043</v>
      </c>
      <c r="I101" s="20" t="n">
        <v>15759836</v>
      </c>
      <c r="J101" s="5" t="s">
        <v>346</v>
      </c>
      <c r="K101" s="5" t="s">
        <v>396</v>
      </c>
    </row>
    <row r="102" customFormat="false" ht="15" hidden="false" customHeight="false" outlineLevel="0" collapsed="false">
      <c r="A102" s="5" t="s">
        <v>574</v>
      </c>
      <c r="B102" s="26" t="n">
        <v>45834</v>
      </c>
      <c r="C102" s="5" t="s">
        <v>455</v>
      </c>
      <c r="D102" s="5" t="s">
        <v>390</v>
      </c>
      <c r="E102" s="5" t="s">
        <v>39</v>
      </c>
      <c r="F102" s="5" t="n">
        <v>161</v>
      </c>
      <c r="G102" s="5" t="s">
        <v>575</v>
      </c>
      <c r="H102" s="20" t="n">
        <v>722625</v>
      </c>
      <c r="I102" s="20" t="n">
        <v>4737208</v>
      </c>
      <c r="J102" s="5" t="s">
        <v>403</v>
      </c>
      <c r="K102" s="5" t="s">
        <v>363</v>
      </c>
    </row>
    <row r="103" customFormat="false" ht="15" hidden="false" customHeight="false" outlineLevel="0" collapsed="false">
      <c r="A103" s="5" t="s">
        <v>576</v>
      </c>
      <c r="B103" s="26" t="n">
        <v>45834</v>
      </c>
      <c r="C103" s="5" t="s">
        <v>349</v>
      </c>
      <c r="D103" s="5" t="s">
        <v>350</v>
      </c>
      <c r="E103" s="5" t="s">
        <v>39</v>
      </c>
      <c r="F103" s="5" t="n">
        <v>196</v>
      </c>
      <c r="G103" s="5" t="s">
        <v>577</v>
      </c>
      <c r="H103" s="20" t="n">
        <v>889840</v>
      </c>
      <c r="I103" s="5" t="s">
        <v>578</v>
      </c>
      <c r="J103" s="5" t="s">
        <v>335</v>
      </c>
      <c r="K103" s="5" t="s">
        <v>363</v>
      </c>
    </row>
    <row r="104" customFormat="false" ht="15" hidden="false" customHeight="false" outlineLevel="0" collapsed="false">
      <c r="A104" s="5" t="s">
        <v>579</v>
      </c>
      <c r="B104" s="26" t="n">
        <v>45836</v>
      </c>
      <c r="C104" s="5" t="s">
        <v>333</v>
      </c>
      <c r="D104" s="5" t="s">
        <v>334</v>
      </c>
      <c r="E104" s="5" t="s">
        <v>38</v>
      </c>
      <c r="F104" s="5" t="n">
        <v>1252</v>
      </c>
      <c r="G104" s="20" t="n">
        <v>2500000</v>
      </c>
      <c r="H104" s="20" t="n">
        <v>450000</v>
      </c>
      <c r="I104" s="20" t="n">
        <v>2950000</v>
      </c>
      <c r="J104" s="5" t="s">
        <v>403</v>
      </c>
      <c r="K104" s="5" t="s">
        <v>406</v>
      </c>
    </row>
    <row r="106" customFormat="false" ht="15" hidden="false" customHeight="false" outlineLevel="0" collapsed="false">
      <c r="A106" s="16" t="s">
        <v>580</v>
      </c>
    </row>
    <row r="107" customFormat="false" ht="15" hidden="false" customHeight="false" outlineLevel="0" collapsed="false">
      <c r="A107" s="9" t="s">
        <v>320</v>
      </c>
      <c r="B107" s="9" t="s">
        <v>321</v>
      </c>
      <c r="C107" s="9" t="s">
        <v>322</v>
      </c>
      <c r="D107" s="9" t="s">
        <v>323</v>
      </c>
      <c r="E107" s="9" t="s">
        <v>324</v>
      </c>
      <c r="F107" s="9" t="s">
        <v>325</v>
      </c>
      <c r="G107" s="9" t="s">
        <v>326</v>
      </c>
      <c r="H107" s="9" t="s">
        <v>327</v>
      </c>
      <c r="I107" s="9" t="s">
        <v>328</v>
      </c>
      <c r="J107" s="9" t="s">
        <v>329</v>
      </c>
      <c r="K107" s="9" t="s">
        <v>330</v>
      </c>
    </row>
    <row r="108" customFormat="false" ht="15" hidden="false" customHeight="false" outlineLevel="0" collapsed="false">
      <c r="A108" s="5" t="s">
        <v>581</v>
      </c>
      <c r="B108" s="26" t="n">
        <v>45836</v>
      </c>
      <c r="C108" s="5" t="s">
        <v>451</v>
      </c>
      <c r="D108" s="5" t="s">
        <v>366</v>
      </c>
      <c r="E108" s="5" t="s">
        <v>355</v>
      </c>
      <c r="F108" s="5" t="n">
        <v>2256</v>
      </c>
      <c r="G108" s="20" t="n">
        <v>9110186</v>
      </c>
      <c r="H108" s="5" t="s">
        <v>440</v>
      </c>
      <c r="I108" s="20" t="n">
        <v>9110186</v>
      </c>
      <c r="J108" s="5" t="s">
        <v>342</v>
      </c>
      <c r="K108" s="5" t="s">
        <v>363</v>
      </c>
    </row>
    <row r="109" customFormat="false" ht="15" hidden="false" customHeight="false" outlineLevel="0" collapsed="false">
      <c r="A109" s="5" t="s">
        <v>582</v>
      </c>
      <c r="B109" s="5" t="s">
        <v>583</v>
      </c>
      <c r="C109" s="5" t="s">
        <v>358</v>
      </c>
      <c r="D109" s="5" t="s">
        <v>390</v>
      </c>
      <c r="E109" s="5" t="s">
        <v>38</v>
      </c>
      <c r="F109" s="5" t="n">
        <v>1275</v>
      </c>
      <c r="G109" s="5" t="s">
        <v>375</v>
      </c>
      <c r="H109" s="5" t="s">
        <v>488</v>
      </c>
      <c r="I109" s="20" t="n">
        <v>2950000</v>
      </c>
      <c r="J109" s="5" t="s">
        <v>353</v>
      </c>
      <c r="K109" s="5" t="s">
        <v>336</v>
      </c>
    </row>
    <row r="110" customFormat="false" ht="15" hidden="false" customHeight="false" outlineLevel="0" collapsed="false">
      <c r="A110" s="5" t="s">
        <v>584</v>
      </c>
      <c r="B110" s="26" t="n">
        <v>45838</v>
      </c>
      <c r="C110" s="5" t="s">
        <v>455</v>
      </c>
      <c r="D110" s="5" t="s">
        <v>390</v>
      </c>
      <c r="E110" s="5" t="s">
        <v>80</v>
      </c>
      <c r="F110" s="5" t="n">
        <v>1359</v>
      </c>
      <c r="G110" s="5" t="s">
        <v>585</v>
      </c>
      <c r="H110" s="20" t="n">
        <v>5490705</v>
      </c>
      <c r="I110" s="20" t="n">
        <v>35994622</v>
      </c>
      <c r="J110" s="5" t="s">
        <v>356</v>
      </c>
      <c r="K110" s="5" t="s">
        <v>368</v>
      </c>
    </row>
    <row r="111" customFormat="false" ht="15" hidden="false" customHeight="false" outlineLevel="0" collapsed="false">
      <c r="A111" s="5" t="s">
        <v>586</v>
      </c>
      <c r="B111" s="26" t="n">
        <v>45839</v>
      </c>
      <c r="C111" s="5" t="s">
        <v>382</v>
      </c>
      <c r="D111" s="5" t="s">
        <v>334</v>
      </c>
      <c r="E111" s="5" t="s">
        <v>41</v>
      </c>
      <c r="F111" s="5" t="n">
        <v>918</v>
      </c>
      <c r="G111" s="20" t="n">
        <v>3781054</v>
      </c>
      <c r="H111" s="5" t="s">
        <v>587</v>
      </c>
      <c r="I111" s="20" t="n">
        <v>4461644</v>
      </c>
      <c r="J111" s="5" t="s">
        <v>335</v>
      </c>
      <c r="K111" s="5" t="s">
        <v>396</v>
      </c>
    </row>
    <row r="112" customFormat="false" ht="15" hidden="false" customHeight="false" outlineLevel="0" collapsed="false">
      <c r="A112" s="5" t="s">
        <v>588</v>
      </c>
      <c r="B112" s="5" t="s">
        <v>589</v>
      </c>
      <c r="C112" s="5" t="s">
        <v>345</v>
      </c>
      <c r="D112" s="5" t="s">
        <v>334</v>
      </c>
      <c r="E112" s="5" t="s">
        <v>81</v>
      </c>
      <c r="F112" s="5" t="n">
        <v>2745</v>
      </c>
      <c r="G112" s="20" t="n">
        <v>9680550</v>
      </c>
      <c r="H112" s="5" t="s">
        <v>590</v>
      </c>
      <c r="I112" s="20" t="n">
        <v>11423049</v>
      </c>
      <c r="J112" s="5" t="s">
        <v>335</v>
      </c>
      <c r="K112" s="5" t="s">
        <v>406</v>
      </c>
    </row>
    <row r="113" customFormat="false" ht="15" hidden="false" customHeight="false" outlineLevel="0" collapsed="false">
      <c r="A113" s="5" t="s">
        <v>591</v>
      </c>
      <c r="B113" s="26" t="n">
        <v>45840</v>
      </c>
      <c r="C113" s="5" t="s">
        <v>455</v>
      </c>
      <c r="D113" s="5" t="s">
        <v>340</v>
      </c>
      <c r="E113" s="5" t="s">
        <v>39</v>
      </c>
      <c r="F113" s="5" t="n">
        <v>107</v>
      </c>
      <c r="G113" s="20" t="n">
        <v>2500000</v>
      </c>
      <c r="H113" s="20" t="n">
        <v>450000</v>
      </c>
      <c r="I113" s="20" t="n">
        <v>2950000</v>
      </c>
      <c r="J113" s="5" t="s">
        <v>403</v>
      </c>
      <c r="K113" s="5" t="s">
        <v>336</v>
      </c>
    </row>
    <row r="114" customFormat="false" ht="15" hidden="false" customHeight="false" outlineLevel="0" collapsed="false">
      <c r="A114" s="5" t="s">
        <v>592</v>
      </c>
      <c r="B114" s="5" t="s">
        <v>593</v>
      </c>
      <c r="C114" s="5" t="s">
        <v>419</v>
      </c>
      <c r="D114" s="5" t="s">
        <v>390</v>
      </c>
      <c r="E114" s="5" t="s">
        <v>359</v>
      </c>
      <c r="F114" s="5" t="n">
        <v>2976</v>
      </c>
      <c r="G114" s="20" t="n">
        <v>5036209</v>
      </c>
      <c r="H114" s="20" t="n">
        <v>906518</v>
      </c>
      <c r="I114" s="20" t="n">
        <v>5942727</v>
      </c>
      <c r="J114" s="5" t="s">
        <v>356</v>
      </c>
      <c r="K114" s="5" t="s">
        <v>368</v>
      </c>
    </row>
    <row r="115" customFormat="false" ht="15" hidden="false" customHeight="false" outlineLevel="0" collapsed="false">
      <c r="A115" s="5" t="s">
        <v>594</v>
      </c>
      <c r="B115" s="26" t="n">
        <v>45843</v>
      </c>
      <c r="C115" s="5" t="s">
        <v>428</v>
      </c>
      <c r="D115" s="5" t="s">
        <v>374</v>
      </c>
      <c r="E115" s="5" t="s">
        <v>429</v>
      </c>
      <c r="F115" s="5" t="n">
        <v>2534</v>
      </c>
      <c r="G115" s="5" t="s">
        <v>595</v>
      </c>
      <c r="H115" s="20" t="n">
        <v>2825266</v>
      </c>
      <c r="I115" s="20" t="n">
        <v>18521186</v>
      </c>
      <c r="J115" s="5" t="s">
        <v>335</v>
      </c>
      <c r="K115" s="5" t="s">
        <v>363</v>
      </c>
    </row>
    <row r="116" customFormat="false" ht="15" hidden="false" customHeight="false" outlineLevel="0" collapsed="false">
      <c r="A116" s="5" t="s">
        <v>596</v>
      </c>
      <c r="B116" s="5" t="s">
        <v>597</v>
      </c>
      <c r="C116" s="5" t="s">
        <v>451</v>
      </c>
      <c r="D116" s="5" t="s">
        <v>524</v>
      </c>
      <c r="E116" s="5" t="s">
        <v>38</v>
      </c>
      <c r="F116" s="5" t="n">
        <v>2932</v>
      </c>
      <c r="G116" s="20" t="n">
        <v>5584635</v>
      </c>
      <c r="H116" s="20" t="n">
        <v>0</v>
      </c>
      <c r="I116" s="20" t="n">
        <v>5584635</v>
      </c>
      <c r="J116" s="5" t="s">
        <v>335</v>
      </c>
      <c r="K116" s="5" t="s">
        <v>384</v>
      </c>
    </row>
    <row r="117" customFormat="false" ht="15" hidden="false" customHeight="false" outlineLevel="0" collapsed="false">
      <c r="A117" s="5" t="s">
        <v>598</v>
      </c>
      <c r="B117" s="26" t="n">
        <v>45844</v>
      </c>
      <c r="C117" s="5" t="s">
        <v>555</v>
      </c>
      <c r="D117" s="5" t="s">
        <v>334</v>
      </c>
      <c r="E117" s="5" t="s">
        <v>429</v>
      </c>
      <c r="F117" s="5" t="n">
        <v>409</v>
      </c>
      <c r="G117" s="5" t="s">
        <v>452</v>
      </c>
      <c r="H117" s="20" t="n">
        <v>450000</v>
      </c>
      <c r="I117" s="20" t="n">
        <v>2950000</v>
      </c>
      <c r="J117" s="5" t="s">
        <v>335</v>
      </c>
      <c r="K117" s="5" t="s">
        <v>368</v>
      </c>
    </row>
    <row r="118" customFormat="false" ht="15" hidden="false" customHeight="false" outlineLevel="0" collapsed="false">
      <c r="A118" s="5" t="s">
        <v>599</v>
      </c>
      <c r="B118" s="26" t="n">
        <v>45846</v>
      </c>
      <c r="C118" s="5" t="s">
        <v>428</v>
      </c>
      <c r="D118" s="5" t="s">
        <v>374</v>
      </c>
      <c r="E118" s="5" t="s">
        <v>341</v>
      </c>
      <c r="F118" s="5" t="n">
        <v>1361</v>
      </c>
      <c r="G118" s="5" t="s">
        <v>600</v>
      </c>
      <c r="H118" s="20" t="n">
        <v>1661836</v>
      </c>
      <c r="I118" s="20" t="n">
        <v>10894260</v>
      </c>
      <c r="J118" s="5" t="s">
        <v>342</v>
      </c>
      <c r="K118" s="5" t="s">
        <v>336</v>
      </c>
    </row>
    <row r="119" customFormat="false" ht="15" hidden="false" customHeight="false" outlineLevel="0" collapsed="false">
      <c r="A119" s="5" t="s">
        <v>601</v>
      </c>
      <c r="B119" s="26" t="n">
        <v>45846</v>
      </c>
      <c r="C119" s="5" t="s">
        <v>439</v>
      </c>
      <c r="D119" s="5" t="s">
        <v>366</v>
      </c>
      <c r="E119" s="5" t="s">
        <v>82</v>
      </c>
      <c r="F119" s="5" t="n">
        <v>448</v>
      </c>
      <c r="G119" s="20" t="n">
        <v>2693873</v>
      </c>
      <c r="H119" s="20" t="n">
        <v>0</v>
      </c>
      <c r="I119" s="20" t="n">
        <v>2693873</v>
      </c>
      <c r="J119" s="5" t="s">
        <v>356</v>
      </c>
      <c r="K119" s="5" t="s">
        <v>343</v>
      </c>
    </row>
    <row r="120" customFormat="false" ht="15" hidden="false" customHeight="false" outlineLevel="0" collapsed="false">
      <c r="A120" s="5" t="s">
        <v>602</v>
      </c>
      <c r="B120" s="5" t="s">
        <v>603</v>
      </c>
      <c r="C120" s="5" t="s">
        <v>604</v>
      </c>
      <c r="D120" s="5" t="s">
        <v>605</v>
      </c>
      <c r="E120" s="5" t="s">
        <v>39</v>
      </c>
      <c r="F120" s="5" t="n">
        <v>293</v>
      </c>
      <c r="G120" s="20" t="n">
        <v>7118822</v>
      </c>
      <c r="H120" s="20" t="n">
        <v>1281388</v>
      </c>
      <c r="I120" s="20" t="n">
        <v>8400210</v>
      </c>
      <c r="J120" s="5" t="s">
        <v>346</v>
      </c>
      <c r="K120" s="5" t="s">
        <v>406</v>
      </c>
    </row>
    <row r="121" customFormat="false" ht="15" hidden="false" customHeight="false" outlineLevel="0" collapsed="false">
      <c r="A121" s="5" t="s">
        <v>606</v>
      </c>
      <c r="B121" s="5" t="s">
        <v>607</v>
      </c>
      <c r="C121" s="5" t="s">
        <v>608</v>
      </c>
      <c r="D121" s="5" t="s">
        <v>379</v>
      </c>
      <c r="E121" s="5" t="s">
        <v>429</v>
      </c>
      <c r="F121" s="5" t="n">
        <v>1432</v>
      </c>
      <c r="G121" s="20" t="n">
        <v>8787418</v>
      </c>
      <c r="H121" s="20" t="n">
        <v>1581735</v>
      </c>
      <c r="I121" s="20" t="n">
        <v>10369153</v>
      </c>
      <c r="J121" s="5" t="s">
        <v>353</v>
      </c>
      <c r="K121" s="5" t="s">
        <v>406</v>
      </c>
    </row>
    <row r="122" customFormat="false" ht="15" hidden="false" customHeight="false" outlineLevel="0" collapsed="false">
      <c r="A122" s="5" t="s">
        <v>609</v>
      </c>
      <c r="B122" s="5" t="s">
        <v>610</v>
      </c>
      <c r="C122" s="5" t="s">
        <v>345</v>
      </c>
      <c r="D122" s="5" t="s">
        <v>334</v>
      </c>
      <c r="E122" s="5" t="s">
        <v>38</v>
      </c>
      <c r="F122" s="5" t="n">
        <v>5897</v>
      </c>
      <c r="G122" s="5" t="s">
        <v>611</v>
      </c>
      <c r="H122" s="20" t="n">
        <v>2128993</v>
      </c>
      <c r="I122" s="20" t="n">
        <v>13956732</v>
      </c>
      <c r="J122" s="5" t="s">
        <v>356</v>
      </c>
      <c r="K122" s="5" t="s">
        <v>336</v>
      </c>
    </row>
    <row r="123" customFormat="false" ht="15" hidden="false" customHeight="false" outlineLevel="0" collapsed="false">
      <c r="A123" s="5" t="s">
        <v>612</v>
      </c>
      <c r="B123" s="26" t="n">
        <v>45851</v>
      </c>
      <c r="C123" s="5" t="s">
        <v>365</v>
      </c>
      <c r="D123" s="5" t="s">
        <v>366</v>
      </c>
      <c r="E123" s="5" t="s">
        <v>351</v>
      </c>
      <c r="F123" s="5" t="n">
        <v>259</v>
      </c>
      <c r="G123" s="20" t="n">
        <v>6834810</v>
      </c>
      <c r="H123" s="20" t="n">
        <v>0</v>
      </c>
      <c r="I123" s="5" t="s">
        <v>613</v>
      </c>
      <c r="J123" s="5" t="s">
        <v>353</v>
      </c>
      <c r="K123" s="5" t="s">
        <v>384</v>
      </c>
    </row>
    <row r="124" customFormat="false" ht="15" hidden="false" customHeight="false" outlineLevel="0" collapsed="false">
      <c r="A124" s="5" t="s">
        <v>614</v>
      </c>
      <c r="B124" s="26" t="n">
        <v>45851</v>
      </c>
      <c r="C124" s="5" t="s">
        <v>333</v>
      </c>
      <c r="D124" s="5" t="s">
        <v>615</v>
      </c>
      <c r="E124" s="5" t="s">
        <v>38</v>
      </c>
      <c r="F124" s="5" t="n">
        <v>1582</v>
      </c>
      <c r="G124" s="5" t="s">
        <v>616</v>
      </c>
      <c r="H124" s="20" t="n">
        <v>559534</v>
      </c>
      <c r="I124" s="5" t="s">
        <v>617</v>
      </c>
      <c r="J124" s="5" t="s">
        <v>346</v>
      </c>
      <c r="K124" s="5" t="s">
        <v>343</v>
      </c>
    </row>
    <row r="125" customFormat="false" ht="15" hidden="false" customHeight="false" outlineLevel="0" collapsed="false">
      <c r="A125" s="5" t="s">
        <v>618</v>
      </c>
      <c r="B125" s="26" t="n">
        <v>45852</v>
      </c>
      <c r="C125" s="5" t="s">
        <v>345</v>
      </c>
      <c r="D125" s="5" t="s">
        <v>334</v>
      </c>
      <c r="E125" s="5" t="s">
        <v>38</v>
      </c>
      <c r="F125" s="5" t="n">
        <v>1797</v>
      </c>
      <c r="G125" s="20" t="n">
        <v>3223493</v>
      </c>
      <c r="H125" s="5" t="s">
        <v>619</v>
      </c>
      <c r="I125" s="20" t="n">
        <v>3803722</v>
      </c>
      <c r="J125" s="5" t="s">
        <v>342</v>
      </c>
      <c r="K125" s="5" t="s">
        <v>384</v>
      </c>
    </row>
    <row r="126" customFormat="false" ht="15" hidden="false" customHeight="false" outlineLevel="0" collapsed="false">
      <c r="A126" s="5" t="s">
        <v>620</v>
      </c>
      <c r="B126" s="26" t="n">
        <v>45854</v>
      </c>
      <c r="C126" s="5" t="s">
        <v>365</v>
      </c>
      <c r="D126" s="5" t="s">
        <v>366</v>
      </c>
      <c r="E126" s="5" t="s">
        <v>39</v>
      </c>
      <c r="F126" s="5" t="n">
        <v>216</v>
      </c>
      <c r="G126" s="20" t="n">
        <v>5446705</v>
      </c>
      <c r="H126" s="20" t="n">
        <v>0</v>
      </c>
      <c r="I126" s="20" t="n">
        <v>5446705</v>
      </c>
      <c r="J126" s="5" t="s">
        <v>335</v>
      </c>
      <c r="K126" s="5" t="s">
        <v>347</v>
      </c>
    </row>
    <row r="127" customFormat="false" ht="15" hidden="false" customHeight="false" outlineLevel="0" collapsed="false">
      <c r="A127" s="5" t="s">
        <v>621</v>
      </c>
      <c r="B127" s="26" t="n">
        <v>45854</v>
      </c>
      <c r="C127" s="5" t="s">
        <v>431</v>
      </c>
      <c r="E127" s="5" t="s">
        <v>359</v>
      </c>
      <c r="F127" s="5" t="n">
        <v>4288</v>
      </c>
      <c r="G127" s="20" t="n">
        <v>8177480</v>
      </c>
      <c r="H127" s="5" t="s">
        <v>622</v>
      </c>
      <c r="I127" s="20" t="n">
        <v>9649426</v>
      </c>
      <c r="J127" s="5" t="s">
        <v>335</v>
      </c>
      <c r="K127" s="5" t="s">
        <v>396</v>
      </c>
    </row>
    <row r="128" customFormat="false" ht="15" hidden="false" customHeight="false" outlineLevel="0" collapsed="false">
      <c r="A128" s="5" t="s">
        <v>623</v>
      </c>
      <c r="B128" s="5" t="s">
        <v>624</v>
      </c>
      <c r="C128" s="5" t="s">
        <v>365</v>
      </c>
      <c r="D128" s="5" t="s">
        <v>366</v>
      </c>
      <c r="E128" s="5" t="s">
        <v>39</v>
      </c>
      <c r="F128" s="5" t="n">
        <v>163</v>
      </c>
      <c r="G128" s="20" t="n">
        <v>3994112</v>
      </c>
      <c r="H128" s="5" t="s">
        <v>277</v>
      </c>
      <c r="I128" s="20" t="n">
        <v>3994112</v>
      </c>
      <c r="J128" s="5" t="s">
        <v>335</v>
      </c>
      <c r="K128" s="5" t="s">
        <v>336</v>
      </c>
    </row>
    <row r="129" customFormat="false" ht="15" hidden="false" customHeight="false" outlineLevel="0" collapsed="false">
      <c r="A129" s="5" t="s">
        <v>625</v>
      </c>
      <c r="B129" s="5" t="s">
        <v>624</v>
      </c>
      <c r="C129" s="5" t="s">
        <v>345</v>
      </c>
      <c r="D129" s="5" t="s">
        <v>483</v>
      </c>
      <c r="E129" s="5" t="s">
        <v>41</v>
      </c>
      <c r="F129" s="5" t="n">
        <v>1711</v>
      </c>
      <c r="G129" s="5" t="s">
        <v>626</v>
      </c>
      <c r="H129" s="20" t="n">
        <v>1086601</v>
      </c>
      <c r="I129" s="20" t="n">
        <v>7123271</v>
      </c>
      <c r="J129" s="5" t="s">
        <v>346</v>
      </c>
      <c r="K129" s="5" t="s">
        <v>396</v>
      </c>
    </row>
    <row r="130" customFormat="false" ht="15" hidden="false" customHeight="false" outlineLevel="0" collapsed="false">
      <c r="A130" s="5" t="s">
        <v>627</v>
      </c>
      <c r="B130" s="26" t="n">
        <v>45855</v>
      </c>
      <c r="C130" s="5" t="s">
        <v>378</v>
      </c>
      <c r="D130" s="5" t="s">
        <v>374</v>
      </c>
      <c r="E130" s="5" t="s">
        <v>41</v>
      </c>
      <c r="F130" s="5" t="n">
        <v>1860</v>
      </c>
      <c r="G130" s="20" t="n">
        <v>7488539</v>
      </c>
      <c r="H130" s="20" t="n">
        <v>1347937</v>
      </c>
      <c r="I130" s="20" t="n">
        <v>8836476</v>
      </c>
      <c r="J130" s="5" t="s">
        <v>353</v>
      </c>
      <c r="K130" s="5" t="s">
        <v>368</v>
      </c>
    </row>
    <row r="131" customFormat="false" ht="15" hidden="false" customHeight="false" outlineLevel="0" collapsed="false">
      <c r="A131" s="5" t="s">
        <v>628</v>
      </c>
      <c r="B131" s="26" t="n">
        <v>45855</v>
      </c>
      <c r="C131" s="5" t="s">
        <v>451</v>
      </c>
      <c r="D131" s="5" t="s">
        <v>366</v>
      </c>
      <c r="E131" s="5" t="s">
        <v>359</v>
      </c>
      <c r="F131" s="5" t="n">
        <v>2357</v>
      </c>
      <c r="G131" s="20" t="n">
        <v>4296979</v>
      </c>
      <c r="H131" s="20" t="n">
        <v>0</v>
      </c>
      <c r="I131" s="20" t="n">
        <v>4296979</v>
      </c>
      <c r="J131" s="5" t="s">
        <v>383</v>
      </c>
      <c r="K131" s="5" t="s">
        <v>343</v>
      </c>
    </row>
    <row r="132" customFormat="false" ht="15" hidden="false" customHeight="false" outlineLevel="0" collapsed="false">
      <c r="A132" s="5" t="s">
        <v>629</v>
      </c>
      <c r="B132" s="26" t="n">
        <v>45856</v>
      </c>
      <c r="C132" s="5" t="s">
        <v>630</v>
      </c>
      <c r="D132" s="5" t="s">
        <v>416</v>
      </c>
      <c r="E132" s="5" t="s">
        <v>41</v>
      </c>
      <c r="F132" s="5" t="n">
        <v>1085</v>
      </c>
      <c r="G132" s="5" t="s">
        <v>631</v>
      </c>
      <c r="H132" s="20" t="n">
        <v>0</v>
      </c>
      <c r="I132" s="20" t="n">
        <v>4556987</v>
      </c>
      <c r="J132" s="5" t="s">
        <v>383</v>
      </c>
      <c r="K132" s="5" t="s">
        <v>368</v>
      </c>
    </row>
    <row r="133" customFormat="false" ht="15" hidden="false" customHeight="false" outlineLevel="0" collapsed="false">
      <c r="A133" s="5" t="s">
        <v>632</v>
      </c>
      <c r="B133" s="26" t="n">
        <v>45858</v>
      </c>
      <c r="C133" s="5" t="s">
        <v>431</v>
      </c>
      <c r="D133" s="5" t="s">
        <v>432</v>
      </c>
      <c r="E133" s="5" t="s">
        <v>38</v>
      </c>
      <c r="F133" s="5" t="n">
        <v>2828</v>
      </c>
      <c r="G133" s="20" t="n">
        <v>5283286</v>
      </c>
      <c r="H133" s="5" t="s">
        <v>633</v>
      </c>
      <c r="I133" s="20" t="n">
        <v>6234277</v>
      </c>
      <c r="J133" s="5" t="s">
        <v>353</v>
      </c>
      <c r="K133" s="5" t="s">
        <v>396</v>
      </c>
    </row>
    <row r="134" customFormat="false" ht="15" hidden="false" customHeight="false" outlineLevel="0" collapsed="false">
      <c r="A134" s="5" t="s">
        <v>634</v>
      </c>
      <c r="B134" s="26" t="n">
        <v>45858</v>
      </c>
      <c r="C134" s="5" t="s">
        <v>431</v>
      </c>
      <c r="D134" s="5" t="s">
        <v>334</v>
      </c>
      <c r="E134" s="5" t="s">
        <v>38</v>
      </c>
      <c r="F134" s="5" t="n">
        <v>1358</v>
      </c>
      <c r="G134" s="20" t="n">
        <v>2542168</v>
      </c>
      <c r="H134" s="20" t="n">
        <v>457590</v>
      </c>
      <c r="I134" s="20" t="n">
        <v>2999758</v>
      </c>
      <c r="J134" s="5" t="s">
        <v>346</v>
      </c>
      <c r="K134" s="5" t="s">
        <v>406</v>
      </c>
    </row>
    <row r="135" customFormat="false" ht="15" hidden="false" customHeight="false" outlineLevel="0" collapsed="false">
      <c r="A135" s="5" t="s">
        <v>635</v>
      </c>
      <c r="B135" s="26" t="n">
        <v>45862</v>
      </c>
      <c r="C135" s="5" t="s">
        <v>382</v>
      </c>
      <c r="D135" s="5" t="s">
        <v>334</v>
      </c>
      <c r="E135" s="5" t="s">
        <v>39</v>
      </c>
      <c r="F135" s="5" t="n">
        <v>136</v>
      </c>
      <c r="G135" s="20" t="n">
        <v>3514959</v>
      </c>
      <c r="H135" s="20" t="n">
        <v>632693</v>
      </c>
      <c r="I135" s="20" t="n">
        <v>4147652</v>
      </c>
      <c r="J135" s="5" t="s">
        <v>335</v>
      </c>
      <c r="K135" s="5" t="s">
        <v>347</v>
      </c>
    </row>
    <row r="136" customFormat="false" ht="15" hidden="false" customHeight="false" outlineLevel="0" collapsed="false">
      <c r="A136" s="5" t="s">
        <v>636</v>
      </c>
      <c r="B136" s="5" t="s">
        <v>637</v>
      </c>
      <c r="C136" s="5" t="s">
        <v>358</v>
      </c>
      <c r="D136" s="5" t="s">
        <v>340</v>
      </c>
      <c r="E136" s="5" t="s">
        <v>359</v>
      </c>
      <c r="F136" s="5" t="n">
        <v>3419</v>
      </c>
      <c r="G136" s="5" t="s">
        <v>638</v>
      </c>
      <c r="H136" s="20" t="n">
        <v>1226851</v>
      </c>
      <c r="I136" s="20" t="n">
        <v>8042691</v>
      </c>
      <c r="J136" s="5" t="s">
        <v>356</v>
      </c>
      <c r="K136" s="5" t="s">
        <v>336</v>
      </c>
    </row>
    <row r="137" customFormat="false" ht="15" hidden="false" customHeight="false" outlineLevel="0" collapsed="false">
      <c r="A137" s="5" t="s">
        <v>639</v>
      </c>
      <c r="B137" s="26" t="n">
        <v>45863</v>
      </c>
      <c r="C137" s="5" t="s">
        <v>419</v>
      </c>
      <c r="D137" s="5" t="s">
        <v>390</v>
      </c>
      <c r="E137" s="5" t="s">
        <v>38</v>
      </c>
      <c r="F137" s="5" t="n">
        <v>7864</v>
      </c>
      <c r="G137" s="20" t="n">
        <v>13491037</v>
      </c>
      <c r="H137" s="5" t="s">
        <v>640</v>
      </c>
      <c r="I137" s="20" t="n">
        <v>15919424</v>
      </c>
      <c r="J137" s="5" t="s">
        <v>383</v>
      </c>
      <c r="K137" s="5" t="s">
        <v>406</v>
      </c>
    </row>
    <row r="138" customFormat="false" ht="15" hidden="false" customHeight="false" outlineLevel="0" collapsed="false">
      <c r="A138" s="5" t="s">
        <v>641</v>
      </c>
      <c r="B138" s="5" t="s">
        <v>642</v>
      </c>
      <c r="C138" s="5" t="s">
        <v>643</v>
      </c>
      <c r="D138" s="5" t="s">
        <v>390</v>
      </c>
      <c r="E138" s="5" t="s">
        <v>429</v>
      </c>
      <c r="F138" s="5" t="n">
        <v>2067</v>
      </c>
      <c r="G138" s="20" t="n">
        <v>12945909</v>
      </c>
      <c r="H138" s="20" t="n">
        <v>2330264</v>
      </c>
      <c r="I138" s="5" t="s">
        <v>644</v>
      </c>
      <c r="J138" s="5" t="s">
        <v>356</v>
      </c>
      <c r="K138" s="5" t="s">
        <v>343</v>
      </c>
    </row>
    <row r="139" customFormat="false" ht="15" hidden="false" customHeight="false" outlineLevel="0" collapsed="false">
      <c r="A139" s="5" t="s">
        <v>645</v>
      </c>
      <c r="B139" s="26" t="n">
        <v>45866</v>
      </c>
      <c r="C139" s="5" t="s">
        <v>358</v>
      </c>
      <c r="D139" s="5" t="s">
        <v>390</v>
      </c>
      <c r="E139" s="5" t="s">
        <v>81</v>
      </c>
      <c r="F139" s="5" t="n">
        <v>4946</v>
      </c>
      <c r="G139" s="20" t="n">
        <v>20879916</v>
      </c>
      <c r="H139" s="20" t="n">
        <v>3758385</v>
      </c>
      <c r="I139" s="5" t="s">
        <v>646</v>
      </c>
      <c r="J139" s="5" t="s">
        <v>342</v>
      </c>
      <c r="K139" s="5" t="s">
        <v>384</v>
      </c>
    </row>
    <row r="140" customFormat="false" ht="15" hidden="false" customHeight="false" outlineLevel="0" collapsed="false">
      <c r="A140" s="5" t="s">
        <v>647</v>
      </c>
      <c r="B140" s="26" t="n">
        <v>45866</v>
      </c>
      <c r="C140" s="5" t="s">
        <v>421</v>
      </c>
      <c r="D140" s="5" t="s">
        <v>480</v>
      </c>
      <c r="E140" s="5" t="s">
        <v>79</v>
      </c>
      <c r="F140" s="5" t="n">
        <v>3120</v>
      </c>
      <c r="G140" s="20" t="n">
        <v>5302321</v>
      </c>
      <c r="H140" s="20" t="n">
        <v>954418</v>
      </c>
      <c r="I140" s="20" t="n">
        <v>6256739</v>
      </c>
      <c r="J140" s="5" t="s">
        <v>403</v>
      </c>
      <c r="K140" s="5" t="s">
        <v>396</v>
      </c>
    </row>
    <row r="141" customFormat="false" ht="15" hidden="false" customHeight="false" outlineLevel="0" collapsed="false">
      <c r="A141" s="5" t="s">
        <v>648</v>
      </c>
      <c r="B141" s="26" t="n">
        <v>45867</v>
      </c>
      <c r="C141" s="5" t="s">
        <v>358</v>
      </c>
      <c r="D141" s="5" t="s">
        <v>480</v>
      </c>
      <c r="E141" s="5" t="s">
        <v>41</v>
      </c>
      <c r="F141" s="5" t="n">
        <v>1408</v>
      </c>
      <c r="G141" s="20" t="n">
        <v>5910768</v>
      </c>
      <c r="H141" s="20" t="n">
        <v>1063938</v>
      </c>
      <c r="I141" s="20" t="n">
        <v>6974706</v>
      </c>
      <c r="J141" s="5" t="s">
        <v>356</v>
      </c>
      <c r="K141" s="5" t="s">
        <v>406</v>
      </c>
    </row>
    <row r="142" customFormat="false" ht="15" hidden="false" customHeight="false" outlineLevel="0" collapsed="false">
      <c r="A142" s="5" t="s">
        <v>649</v>
      </c>
      <c r="B142" s="26" t="n">
        <v>45868</v>
      </c>
      <c r="C142" s="5" t="s">
        <v>650</v>
      </c>
      <c r="D142" s="5" t="s">
        <v>374</v>
      </c>
      <c r="E142" s="5" t="s">
        <v>359</v>
      </c>
      <c r="F142" s="5" t="n">
        <v>3832</v>
      </c>
      <c r="G142" s="5" t="s">
        <v>651</v>
      </c>
      <c r="H142" s="20" t="n">
        <v>1300221</v>
      </c>
      <c r="I142" s="20" t="n">
        <v>8523672</v>
      </c>
      <c r="J142" s="5" t="s">
        <v>356</v>
      </c>
      <c r="K142" s="5" t="s">
        <v>343</v>
      </c>
      <c r="L142" s="5" t="s">
        <v>535</v>
      </c>
    </row>
    <row r="143" customFormat="false" ht="15" hidden="false" customHeight="false" outlineLevel="0" collapsed="false">
      <c r="A143" s="5" t="s">
        <v>652</v>
      </c>
      <c r="B143" s="5" t="s">
        <v>653</v>
      </c>
      <c r="C143" s="5" t="s">
        <v>507</v>
      </c>
      <c r="D143" s="5" t="s">
        <v>350</v>
      </c>
      <c r="E143" s="5" t="s">
        <v>39</v>
      </c>
      <c r="F143" s="5" t="n">
        <v>194</v>
      </c>
      <c r="G143" s="20" t="n">
        <v>4710471</v>
      </c>
      <c r="H143" s="5" t="s">
        <v>654</v>
      </c>
      <c r="I143" s="20" t="n">
        <v>5558356</v>
      </c>
      <c r="J143" s="5" t="s">
        <v>353</v>
      </c>
      <c r="K143" s="5" t="s">
        <v>363</v>
      </c>
    </row>
    <row r="144" customFormat="false" ht="15" hidden="false" customHeight="false" outlineLevel="0" collapsed="false">
      <c r="A144" s="5" t="s">
        <v>655</v>
      </c>
      <c r="B144" s="26" t="n">
        <v>45869</v>
      </c>
      <c r="C144" s="5" t="s">
        <v>492</v>
      </c>
      <c r="D144" s="5" t="s">
        <v>350</v>
      </c>
      <c r="E144" s="5" t="s">
        <v>81</v>
      </c>
      <c r="F144" s="5" t="n">
        <v>1402</v>
      </c>
      <c r="G144" s="20" t="n">
        <v>5568184</v>
      </c>
      <c r="H144" s="20" t="n">
        <v>1002273</v>
      </c>
      <c r="I144" s="5" t="s">
        <v>656</v>
      </c>
      <c r="J144" s="5" t="s">
        <v>335</v>
      </c>
      <c r="K144" s="5" t="s">
        <v>368</v>
      </c>
    </row>
    <row r="145" customFormat="false" ht="15" hidden="false" customHeight="false" outlineLevel="0" collapsed="false">
      <c r="A145" s="5" t="s">
        <v>657</v>
      </c>
      <c r="B145" s="26" t="n">
        <v>45869</v>
      </c>
      <c r="C145" s="5" t="s">
        <v>555</v>
      </c>
      <c r="D145" s="5" t="s">
        <v>334</v>
      </c>
      <c r="E145" s="5" t="s">
        <v>429</v>
      </c>
      <c r="F145" s="5" t="n">
        <v>1385</v>
      </c>
      <c r="G145" s="20" t="n">
        <v>8172614</v>
      </c>
      <c r="H145" s="20" t="n">
        <v>1471071</v>
      </c>
      <c r="I145" s="20" t="n">
        <v>9643685</v>
      </c>
      <c r="J145" s="5" t="s">
        <v>335</v>
      </c>
      <c r="K145" s="5" t="s">
        <v>406</v>
      </c>
    </row>
    <row r="146" customFormat="false" ht="15" hidden="false" customHeight="false" outlineLevel="0" collapsed="false">
      <c r="A146" s="5" t="s">
        <v>658</v>
      </c>
      <c r="B146" s="26" t="n">
        <v>45872</v>
      </c>
      <c r="C146" s="5" t="s">
        <v>373</v>
      </c>
      <c r="D146" s="5" t="s">
        <v>374</v>
      </c>
      <c r="E146" s="5" t="s">
        <v>39</v>
      </c>
      <c r="F146" s="5" t="n">
        <v>850</v>
      </c>
      <c r="G146" s="5" t="s">
        <v>659</v>
      </c>
      <c r="H146" s="20" t="n">
        <v>3991539</v>
      </c>
      <c r="I146" s="20" t="n">
        <v>26166754</v>
      </c>
      <c r="J146" s="5" t="s">
        <v>383</v>
      </c>
      <c r="K146" s="5" t="s">
        <v>368</v>
      </c>
    </row>
    <row r="147" customFormat="false" ht="15" hidden="false" customHeight="false" outlineLevel="0" collapsed="false">
      <c r="A147" s="5" t="s">
        <v>660</v>
      </c>
      <c r="B147" s="26" t="n">
        <v>45873</v>
      </c>
      <c r="C147" s="5" t="s">
        <v>349</v>
      </c>
      <c r="D147" s="5" t="s">
        <v>350</v>
      </c>
      <c r="E147" s="5" t="s">
        <v>39</v>
      </c>
      <c r="F147" s="5" t="n">
        <v>143</v>
      </c>
      <c r="G147" s="20" t="n">
        <v>3711587</v>
      </c>
      <c r="H147" s="5" t="s">
        <v>661</v>
      </c>
      <c r="I147" s="5" t="s">
        <v>662</v>
      </c>
      <c r="J147" s="5" t="s">
        <v>346</v>
      </c>
      <c r="K147" s="5" t="s">
        <v>363</v>
      </c>
    </row>
    <row r="148" customFormat="false" ht="15" hidden="false" customHeight="false" outlineLevel="0" collapsed="false">
      <c r="A148" s="5" t="s">
        <v>663</v>
      </c>
      <c r="B148" s="26" t="n">
        <v>45874</v>
      </c>
      <c r="C148" s="5" t="s">
        <v>378</v>
      </c>
      <c r="D148" s="5" t="s">
        <v>401</v>
      </c>
      <c r="E148" s="5" t="s">
        <v>81</v>
      </c>
      <c r="F148" s="5" t="n">
        <v>678</v>
      </c>
      <c r="G148" s="20" t="n">
        <v>2500000</v>
      </c>
      <c r="H148" s="20" t="n">
        <v>450000</v>
      </c>
      <c r="I148" s="5" t="s">
        <v>376</v>
      </c>
      <c r="J148" s="5" t="s">
        <v>335</v>
      </c>
      <c r="K148" s="5" t="s">
        <v>363</v>
      </c>
    </row>
    <row r="149" customFormat="false" ht="15" hidden="false" customHeight="false" outlineLevel="0" collapsed="false">
      <c r="A149" s="5" t="s">
        <v>663</v>
      </c>
      <c r="B149" s="26" t="n">
        <v>45874</v>
      </c>
      <c r="C149" s="5" t="s">
        <v>378</v>
      </c>
      <c r="D149" s="5" t="s">
        <v>374</v>
      </c>
      <c r="E149" s="5" t="s">
        <v>41</v>
      </c>
      <c r="F149" s="5" t="n">
        <v>678</v>
      </c>
      <c r="G149" s="20" t="n">
        <v>2500000</v>
      </c>
      <c r="H149" s="5" t="s">
        <v>488</v>
      </c>
      <c r="I149" s="20" t="n">
        <v>2950000</v>
      </c>
      <c r="J149" s="5" t="s">
        <v>353</v>
      </c>
      <c r="K149" s="5" t="s">
        <v>343</v>
      </c>
    </row>
    <row r="150" customFormat="false" ht="15" hidden="false" customHeight="false" outlineLevel="0" collapsed="false">
      <c r="A150" s="5" t="s">
        <v>664</v>
      </c>
      <c r="B150" s="26" t="n">
        <v>45875</v>
      </c>
      <c r="C150" s="5" t="s">
        <v>431</v>
      </c>
      <c r="D150" s="5" t="s">
        <v>334</v>
      </c>
      <c r="E150" s="5" t="s">
        <v>38</v>
      </c>
      <c r="F150" s="5" t="n">
        <v>2678</v>
      </c>
      <c r="G150" s="20" t="n">
        <v>4870505</v>
      </c>
      <c r="H150" s="20" t="n">
        <v>876691</v>
      </c>
      <c r="I150" s="20" t="n">
        <v>5747196</v>
      </c>
      <c r="J150" s="5" t="s">
        <v>335</v>
      </c>
      <c r="K150" s="5" t="s">
        <v>406</v>
      </c>
    </row>
    <row r="151" customFormat="false" ht="15" hidden="false" customHeight="false" outlineLevel="0" collapsed="false">
      <c r="A151" s="5" t="s">
        <v>665</v>
      </c>
      <c r="B151" s="26" t="n">
        <v>45876</v>
      </c>
      <c r="C151" s="5" t="s">
        <v>451</v>
      </c>
      <c r="D151" s="5" t="s">
        <v>366</v>
      </c>
      <c r="E151" s="5" t="s">
        <v>41</v>
      </c>
      <c r="F151" s="5" t="n">
        <v>4967</v>
      </c>
      <c r="G151" s="20" t="n">
        <v>18082602</v>
      </c>
      <c r="H151" s="20" t="n">
        <v>0</v>
      </c>
      <c r="I151" s="20" t="n">
        <v>18082602</v>
      </c>
      <c r="J151" s="5" t="s">
        <v>335</v>
      </c>
      <c r="K151" s="5" t="s">
        <v>343</v>
      </c>
    </row>
    <row r="152" customFormat="false" ht="15" hidden="false" customHeight="false" outlineLevel="0" collapsed="false">
      <c r="A152" s="5" t="s">
        <v>666</v>
      </c>
      <c r="B152" s="26" t="n">
        <v>45876</v>
      </c>
      <c r="C152" s="5" t="s">
        <v>439</v>
      </c>
      <c r="D152" s="5" t="s">
        <v>366</v>
      </c>
      <c r="E152" s="5" t="s">
        <v>429</v>
      </c>
      <c r="F152" s="5" t="n">
        <v>1696</v>
      </c>
      <c r="G152" s="20" t="n">
        <v>11039228</v>
      </c>
      <c r="H152" s="20" t="n">
        <v>0</v>
      </c>
      <c r="I152" s="5" t="s">
        <v>667</v>
      </c>
      <c r="J152" s="5" t="s">
        <v>335</v>
      </c>
      <c r="K152" s="5" t="s">
        <v>336</v>
      </c>
    </row>
    <row r="153" customFormat="false" ht="15" hidden="false" customHeight="false" outlineLevel="0" collapsed="false">
      <c r="A153" s="5" t="s">
        <v>668</v>
      </c>
      <c r="B153" s="5" t="s">
        <v>669</v>
      </c>
      <c r="C153" s="5" t="s">
        <v>400</v>
      </c>
      <c r="D153" s="5" t="s">
        <v>374</v>
      </c>
      <c r="E153" s="5" t="s">
        <v>41</v>
      </c>
      <c r="F153" s="5" t="n">
        <v>4581</v>
      </c>
      <c r="G153" s="20" t="n">
        <v>16384341</v>
      </c>
      <c r="H153" s="20" t="n">
        <v>2949181</v>
      </c>
      <c r="I153" s="5" t="s">
        <v>670</v>
      </c>
      <c r="J153" s="5" t="s">
        <v>383</v>
      </c>
      <c r="K153" s="5" t="s">
        <v>336</v>
      </c>
    </row>
    <row r="154" customFormat="false" ht="15" hidden="false" customHeight="false" outlineLevel="0" collapsed="false">
      <c r="A154" s="5" t="s">
        <v>671</v>
      </c>
      <c r="B154" s="26" t="n">
        <v>45880</v>
      </c>
      <c r="C154" s="5" t="s">
        <v>339</v>
      </c>
      <c r="D154" s="5" t="s">
        <v>390</v>
      </c>
      <c r="E154" s="5" t="s">
        <v>429</v>
      </c>
      <c r="F154" s="5" t="n">
        <v>1398</v>
      </c>
      <c r="G154" s="20" t="n">
        <v>8430290</v>
      </c>
      <c r="H154" s="20" t="n">
        <v>1517452</v>
      </c>
      <c r="I154" s="5" t="s">
        <v>672</v>
      </c>
      <c r="J154" s="5" t="s">
        <v>403</v>
      </c>
      <c r="K154" s="5" t="s">
        <v>343</v>
      </c>
    </row>
    <row r="155" customFormat="false" ht="15" hidden="false" customHeight="false" outlineLevel="0" collapsed="false">
      <c r="A155" s="5" t="s">
        <v>673</v>
      </c>
      <c r="B155" s="26" t="n">
        <v>45880</v>
      </c>
      <c r="C155" s="5" t="s">
        <v>451</v>
      </c>
      <c r="D155" s="5" t="s">
        <v>366</v>
      </c>
      <c r="E155" s="5" t="s">
        <v>41</v>
      </c>
      <c r="F155" s="5" t="n">
        <v>732</v>
      </c>
      <c r="G155" s="20" t="n">
        <v>2914027</v>
      </c>
      <c r="H155" s="20" t="n">
        <v>0</v>
      </c>
      <c r="I155" s="5" t="s">
        <v>674</v>
      </c>
      <c r="J155" s="5" t="s">
        <v>342</v>
      </c>
      <c r="K155" s="5" t="s">
        <v>347</v>
      </c>
    </row>
    <row r="157" customFormat="false" ht="15" hidden="false" customHeight="false" outlineLevel="0" collapsed="false">
      <c r="A157" s="16" t="s">
        <v>675</v>
      </c>
    </row>
    <row r="158" customFormat="false" ht="15" hidden="false" customHeight="false" outlineLevel="0" collapsed="false">
      <c r="A158" s="9" t="s">
        <v>320</v>
      </c>
      <c r="B158" s="9" t="s">
        <v>321</v>
      </c>
      <c r="C158" s="9" t="s">
        <v>322</v>
      </c>
      <c r="D158" s="9" t="s">
        <v>323</v>
      </c>
      <c r="E158" s="9" t="s">
        <v>324</v>
      </c>
      <c r="F158" s="9" t="s">
        <v>325</v>
      </c>
      <c r="G158" s="9" t="s">
        <v>326</v>
      </c>
      <c r="H158" s="9" t="s">
        <v>327</v>
      </c>
      <c r="I158" s="9" t="s">
        <v>328</v>
      </c>
      <c r="J158" s="9" t="s">
        <v>329</v>
      </c>
      <c r="K158" s="9" t="s">
        <v>330</v>
      </c>
    </row>
    <row r="159" customFormat="false" ht="15" hidden="false" customHeight="false" outlineLevel="0" collapsed="false">
      <c r="A159" s="5" t="s">
        <v>676</v>
      </c>
      <c r="B159" s="5" t="s">
        <v>677</v>
      </c>
      <c r="C159" s="5" t="s">
        <v>415</v>
      </c>
      <c r="D159" s="5" t="s">
        <v>416</v>
      </c>
      <c r="E159" s="5" t="s">
        <v>81</v>
      </c>
      <c r="F159" s="5" t="n">
        <v>715</v>
      </c>
      <c r="G159" s="5" t="s">
        <v>678</v>
      </c>
      <c r="H159" s="20" t="n">
        <v>0</v>
      </c>
      <c r="I159" s="20" t="n">
        <v>2536999</v>
      </c>
      <c r="J159" s="5" t="s">
        <v>356</v>
      </c>
      <c r="K159" s="5" t="s">
        <v>396</v>
      </c>
    </row>
    <row r="160" customFormat="false" ht="15" hidden="false" customHeight="false" outlineLevel="0" collapsed="false">
      <c r="A160" s="5" t="s">
        <v>679</v>
      </c>
      <c r="B160" s="26" t="n">
        <v>45881</v>
      </c>
      <c r="C160" s="5" t="s">
        <v>415</v>
      </c>
      <c r="D160" s="5" t="s">
        <v>366</v>
      </c>
      <c r="E160" s="5" t="s">
        <v>81</v>
      </c>
      <c r="F160" s="5" t="n">
        <v>710</v>
      </c>
      <c r="G160" s="20" t="n">
        <v>2500000</v>
      </c>
      <c r="H160" s="20" t="n">
        <v>0</v>
      </c>
      <c r="I160" s="20" t="n">
        <v>2500000</v>
      </c>
      <c r="J160" s="5" t="s">
        <v>335</v>
      </c>
      <c r="K160" s="5" t="s">
        <v>336</v>
      </c>
    </row>
    <row r="161" customFormat="false" ht="15" hidden="false" customHeight="false" outlineLevel="0" collapsed="false">
      <c r="A161" s="5" t="s">
        <v>680</v>
      </c>
      <c r="B161" s="5" t="s">
        <v>681</v>
      </c>
      <c r="C161" s="5" t="s">
        <v>492</v>
      </c>
      <c r="D161" s="5" t="s">
        <v>350</v>
      </c>
      <c r="E161" s="5" t="s">
        <v>39</v>
      </c>
      <c r="F161" s="5" t="n">
        <v>190</v>
      </c>
      <c r="G161" s="5" t="s">
        <v>682</v>
      </c>
      <c r="H161" s="5" t="s">
        <v>683</v>
      </c>
      <c r="I161" s="5" t="s">
        <v>684</v>
      </c>
      <c r="J161" s="5" t="s">
        <v>335</v>
      </c>
      <c r="K161" s="5" t="s">
        <v>406</v>
      </c>
    </row>
    <row r="162" customFormat="false" ht="15" hidden="false" customHeight="false" outlineLevel="0" collapsed="false">
      <c r="A162" s="5" t="s">
        <v>685</v>
      </c>
      <c r="B162" s="26" t="n">
        <v>45885</v>
      </c>
      <c r="C162" s="5" t="s">
        <v>455</v>
      </c>
      <c r="D162" s="5" t="s">
        <v>390</v>
      </c>
      <c r="E162" s="5" t="s">
        <v>351</v>
      </c>
      <c r="F162" s="5" t="n">
        <v>313</v>
      </c>
      <c r="G162" s="20" t="n">
        <v>7392379</v>
      </c>
      <c r="H162" s="20" t="n">
        <v>1330628</v>
      </c>
      <c r="I162" s="20" t="n">
        <v>8723007</v>
      </c>
      <c r="J162" s="5" t="s">
        <v>342</v>
      </c>
      <c r="K162" s="5" t="s">
        <v>384</v>
      </c>
    </row>
    <row r="163" customFormat="false" ht="15" hidden="false" customHeight="false" outlineLevel="0" collapsed="false">
      <c r="A163" s="5" t="s">
        <v>686</v>
      </c>
      <c r="B163" s="26" t="n">
        <v>45885</v>
      </c>
      <c r="C163" s="5" t="s">
        <v>400</v>
      </c>
      <c r="D163" s="5" t="s">
        <v>374</v>
      </c>
      <c r="E163" s="5" t="s">
        <v>359</v>
      </c>
      <c r="F163" s="5" t="n">
        <v>4765</v>
      </c>
      <c r="G163" s="20" t="n">
        <v>8711344</v>
      </c>
      <c r="H163" s="5" t="s">
        <v>687</v>
      </c>
      <c r="I163" s="5" t="s">
        <v>688</v>
      </c>
      <c r="J163" s="5" t="s">
        <v>335</v>
      </c>
      <c r="K163" s="5" t="s">
        <v>363</v>
      </c>
    </row>
    <row r="164" customFormat="false" ht="15" hidden="false" customHeight="false" outlineLevel="0" collapsed="false">
      <c r="A164" s="5" t="s">
        <v>689</v>
      </c>
      <c r="B164" s="26" t="n">
        <v>45885</v>
      </c>
      <c r="C164" s="5" t="s">
        <v>492</v>
      </c>
      <c r="D164" s="5" t="s">
        <v>350</v>
      </c>
      <c r="E164" s="5" t="s">
        <v>41</v>
      </c>
      <c r="F164" s="5" t="n">
        <v>1234</v>
      </c>
      <c r="G164" s="20" t="n">
        <v>4682627</v>
      </c>
      <c r="H164" s="20" t="n">
        <v>842873</v>
      </c>
      <c r="I164" s="20" t="n">
        <v>5525500</v>
      </c>
      <c r="J164" s="5" t="s">
        <v>383</v>
      </c>
      <c r="K164" s="5" t="s">
        <v>343</v>
      </c>
    </row>
    <row r="165" customFormat="false" ht="15" hidden="false" customHeight="false" outlineLevel="0" collapsed="false">
      <c r="A165" s="5" t="s">
        <v>690</v>
      </c>
      <c r="B165" s="26" t="n">
        <v>45886</v>
      </c>
      <c r="C165" s="5" t="s">
        <v>400</v>
      </c>
      <c r="D165" s="5" t="s">
        <v>374</v>
      </c>
      <c r="E165" s="5" t="s">
        <v>359</v>
      </c>
      <c r="F165" s="5" t="n">
        <v>4566</v>
      </c>
      <c r="G165" s="5" t="s">
        <v>691</v>
      </c>
      <c r="H165" s="20" t="n">
        <v>1612446</v>
      </c>
      <c r="I165" s="20" t="n">
        <v>10570478</v>
      </c>
      <c r="J165" s="5" t="s">
        <v>346</v>
      </c>
      <c r="K165" s="5" t="s">
        <v>336</v>
      </c>
    </row>
    <row r="166" customFormat="false" ht="15" hidden="false" customHeight="false" outlineLevel="0" collapsed="false">
      <c r="A166" s="5" t="s">
        <v>692</v>
      </c>
      <c r="B166" s="5" t="s">
        <v>693</v>
      </c>
      <c r="C166" s="5" t="s">
        <v>400</v>
      </c>
      <c r="D166" s="5" t="s">
        <v>401</v>
      </c>
      <c r="E166" s="5" t="s">
        <v>41</v>
      </c>
      <c r="F166" s="5" t="n">
        <v>1046</v>
      </c>
      <c r="G166" s="5" t="s">
        <v>694</v>
      </c>
      <c r="H166" s="5" t="s">
        <v>695</v>
      </c>
      <c r="I166" s="5" t="s">
        <v>696</v>
      </c>
      <c r="J166" s="5" t="s">
        <v>403</v>
      </c>
      <c r="K166" s="5" t="s">
        <v>363</v>
      </c>
    </row>
    <row r="167" customFormat="false" ht="15" hidden="false" customHeight="false" outlineLevel="0" collapsed="false">
      <c r="A167" s="5" t="s">
        <v>697</v>
      </c>
      <c r="B167" s="26" t="n">
        <v>45888</v>
      </c>
      <c r="C167" s="5" t="s">
        <v>698</v>
      </c>
      <c r="D167" s="5" t="s">
        <v>401</v>
      </c>
      <c r="E167" s="5" t="s">
        <v>41</v>
      </c>
      <c r="F167" s="5" t="n">
        <v>1273</v>
      </c>
      <c r="G167" s="5" t="s">
        <v>699</v>
      </c>
      <c r="H167" s="20" t="n">
        <v>856725</v>
      </c>
      <c r="I167" s="20" t="n">
        <v>5616306</v>
      </c>
      <c r="J167" s="5" t="s">
        <v>403</v>
      </c>
      <c r="K167" s="5" t="s">
        <v>343</v>
      </c>
    </row>
    <row r="168" customFormat="false" ht="15" hidden="false" customHeight="false" outlineLevel="0" collapsed="false">
      <c r="A168" s="5" t="s">
        <v>700</v>
      </c>
      <c r="B168" s="26" t="n">
        <v>45888</v>
      </c>
      <c r="C168" s="5" t="s">
        <v>701</v>
      </c>
      <c r="D168" s="5" t="s">
        <v>390</v>
      </c>
      <c r="E168" s="5" t="s">
        <v>38</v>
      </c>
      <c r="F168" s="5" t="n">
        <v>2213</v>
      </c>
      <c r="G168" s="5" t="s">
        <v>702</v>
      </c>
      <c r="H168" s="20" t="n">
        <v>802671</v>
      </c>
      <c r="I168" s="20" t="n">
        <v>5261957</v>
      </c>
      <c r="J168" s="5" t="s">
        <v>356</v>
      </c>
      <c r="K168" s="5" t="s">
        <v>406</v>
      </c>
    </row>
    <row r="169" customFormat="false" ht="15" hidden="false" customHeight="false" outlineLevel="0" collapsed="false">
      <c r="A169" s="5" t="s">
        <v>703</v>
      </c>
      <c r="B169" s="26" t="n">
        <v>45889</v>
      </c>
      <c r="C169" s="5" t="s">
        <v>507</v>
      </c>
      <c r="D169" s="5" t="s">
        <v>350</v>
      </c>
      <c r="E169" s="5" t="s">
        <v>39</v>
      </c>
      <c r="F169" s="5" t="n">
        <v>116</v>
      </c>
      <c r="G169" s="5" t="s">
        <v>704</v>
      </c>
      <c r="H169" s="20" t="n">
        <v>486491</v>
      </c>
      <c r="I169" s="20" t="n">
        <v>3189220</v>
      </c>
      <c r="J169" s="5" t="s">
        <v>342</v>
      </c>
      <c r="K169" s="5" t="s">
        <v>363</v>
      </c>
    </row>
    <row r="170" customFormat="false" ht="15" hidden="false" customHeight="false" outlineLevel="0" collapsed="false">
      <c r="A170" s="5" t="s">
        <v>705</v>
      </c>
      <c r="B170" s="5" t="s">
        <v>706</v>
      </c>
      <c r="C170" s="5" t="s">
        <v>707</v>
      </c>
      <c r="D170" s="5" t="s">
        <v>366</v>
      </c>
      <c r="E170" s="5" t="s">
        <v>41</v>
      </c>
      <c r="F170" s="5" t="n">
        <v>1302</v>
      </c>
      <c r="G170" s="20" t="n">
        <v>4871409</v>
      </c>
      <c r="H170" s="20" t="n">
        <v>0</v>
      </c>
      <c r="I170" s="20" t="n">
        <v>4871409</v>
      </c>
      <c r="J170" s="5" t="s">
        <v>353</v>
      </c>
      <c r="K170" s="5" t="s">
        <v>406</v>
      </c>
      <c r="L170" s="5" t="s">
        <v>537</v>
      </c>
    </row>
    <row r="171" customFormat="false" ht="15" hidden="false" customHeight="false" outlineLevel="0" collapsed="false">
      <c r="A171" s="5" t="s">
        <v>708</v>
      </c>
      <c r="B171" s="26" t="n">
        <v>45890</v>
      </c>
      <c r="C171" s="5" t="s">
        <v>345</v>
      </c>
      <c r="D171" s="5" t="s">
        <v>334</v>
      </c>
      <c r="E171" s="5" t="s">
        <v>38</v>
      </c>
      <c r="F171" s="5" t="n">
        <v>2955</v>
      </c>
      <c r="G171" s="20" t="n">
        <v>5324915</v>
      </c>
      <c r="H171" s="20" t="n">
        <v>958485</v>
      </c>
      <c r="I171" s="20" t="n">
        <v>6283400</v>
      </c>
      <c r="J171" s="5" t="s">
        <v>335</v>
      </c>
      <c r="K171" s="5" t="s">
        <v>384</v>
      </c>
    </row>
    <row r="172" customFormat="false" ht="15" hidden="false" customHeight="false" outlineLevel="0" collapsed="false">
      <c r="A172" s="5" t="s">
        <v>709</v>
      </c>
      <c r="B172" s="26" t="n">
        <v>45890</v>
      </c>
      <c r="C172" s="5" t="s">
        <v>345</v>
      </c>
      <c r="D172" s="5" t="s">
        <v>615</v>
      </c>
      <c r="E172" s="5" t="s">
        <v>41</v>
      </c>
      <c r="F172" s="5" t="n">
        <v>1151</v>
      </c>
      <c r="G172" s="20" t="n">
        <v>4796177</v>
      </c>
      <c r="H172" s="20" t="n">
        <v>863312</v>
      </c>
      <c r="I172" s="5" t="s">
        <v>710</v>
      </c>
      <c r="J172" s="5" t="s">
        <v>353</v>
      </c>
      <c r="K172" s="5" t="s">
        <v>384</v>
      </c>
    </row>
    <row r="173" customFormat="false" ht="15" hidden="false" customHeight="false" outlineLevel="0" collapsed="false">
      <c r="A173" s="5" t="s">
        <v>711</v>
      </c>
      <c r="B173" s="26" t="n">
        <v>45891</v>
      </c>
      <c r="C173" s="5" t="s">
        <v>382</v>
      </c>
      <c r="D173" s="5" t="s">
        <v>334</v>
      </c>
      <c r="E173" s="5" t="s">
        <v>39</v>
      </c>
      <c r="F173" s="5" t="n">
        <v>364</v>
      </c>
      <c r="G173" s="20" t="n">
        <v>9226632</v>
      </c>
      <c r="H173" s="5" t="s">
        <v>712</v>
      </c>
      <c r="I173" s="20" t="n">
        <v>10887426</v>
      </c>
      <c r="J173" s="5" t="s">
        <v>353</v>
      </c>
      <c r="K173" s="5" t="s">
        <v>406</v>
      </c>
    </row>
    <row r="174" customFormat="false" ht="15" hidden="false" customHeight="false" outlineLevel="0" collapsed="false">
      <c r="A174" s="5" t="s">
        <v>713</v>
      </c>
      <c r="B174" s="26" t="n">
        <v>45892</v>
      </c>
      <c r="C174" s="5" t="s">
        <v>339</v>
      </c>
      <c r="D174" s="5" t="s">
        <v>390</v>
      </c>
      <c r="E174" s="5" t="s">
        <v>429</v>
      </c>
      <c r="F174" s="5" t="n">
        <v>552</v>
      </c>
      <c r="G174" s="20" t="n">
        <v>3180264</v>
      </c>
      <c r="H174" s="5" t="s">
        <v>714</v>
      </c>
      <c r="I174" s="20" t="n">
        <v>3752712</v>
      </c>
      <c r="J174" s="5" t="s">
        <v>353</v>
      </c>
      <c r="K174" s="5" t="s">
        <v>406</v>
      </c>
    </row>
    <row r="175" customFormat="false" ht="15" hidden="false" customHeight="false" outlineLevel="0" collapsed="false">
      <c r="A175" s="5" t="s">
        <v>715</v>
      </c>
      <c r="B175" s="5" t="s">
        <v>716</v>
      </c>
      <c r="C175" s="5" t="s">
        <v>365</v>
      </c>
      <c r="D175" s="5" t="s">
        <v>366</v>
      </c>
      <c r="E175" s="5" t="s">
        <v>39</v>
      </c>
      <c r="F175" s="5" t="n">
        <v>124</v>
      </c>
      <c r="G175" s="20" t="n">
        <v>3184575</v>
      </c>
      <c r="H175" s="20" t="n">
        <v>0</v>
      </c>
      <c r="I175" s="20" t="n">
        <v>3184575</v>
      </c>
      <c r="J175" s="5" t="s">
        <v>403</v>
      </c>
      <c r="K175" s="5" t="s">
        <v>384</v>
      </c>
    </row>
    <row r="176" customFormat="false" ht="15" hidden="false" customHeight="false" outlineLevel="0" collapsed="false">
      <c r="A176" s="5" t="s">
        <v>717</v>
      </c>
      <c r="B176" s="5" t="s">
        <v>718</v>
      </c>
      <c r="C176" s="5" t="s">
        <v>492</v>
      </c>
      <c r="D176" s="5" t="s">
        <v>350</v>
      </c>
      <c r="E176" s="5" t="s">
        <v>41</v>
      </c>
      <c r="F176" s="5" t="n">
        <v>709</v>
      </c>
      <c r="G176" s="20" t="n">
        <v>2500000</v>
      </c>
      <c r="H176" s="20" t="n">
        <v>450000</v>
      </c>
      <c r="I176" s="5" t="s">
        <v>376</v>
      </c>
      <c r="J176" s="5" t="s">
        <v>383</v>
      </c>
      <c r="K176" s="5" t="s">
        <v>396</v>
      </c>
    </row>
    <row r="177" customFormat="false" ht="15" hidden="false" customHeight="false" outlineLevel="0" collapsed="false">
      <c r="A177" s="5" t="s">
        <v>719</v>
      </c>
      <c r="B177" s="26" t="n">
        <v>45894</v>
      </c>
      <c r="C177" s="5" t="s">
        <v>449</v>
      </c>
      <c r="D177" s="5" t="s">
        <v>366</v>
      </c>
      <c r="E177" s="5" t="s">
        <v>41</v>
      </c>
      <c r="F177" s="5" t="n">
        <v>2558</v>
      </c>
      <c r="G177" s="20" t="n">
        <v>10630591</v>
      </c>
      <c r="H177" s="5" t="s">
        <v>440</v>
      </c>
      <c r="I177" s="20" t="n">
        <v>10630591</v>
      </c>
      <c r="J177" s="5" t="s">
        <v>403</v>
      </c>
      <c r="K177" s="5" t="s">
        <v>406</v>
      </c>
    </row>
    <row r="178" customFormat="false" ht="15" hidden="false" customHeight="false" outlineLevel="0" collapsed="false">
      <c r="A178" s="5" t="s">
        <v>720</v>
      </c>
      <c r="B178" s="26" t="n">
        <v>45896</v>
      </c>
      <c r="C178" s="5" t="s">
        <v>650</v>
      </c>
      <c r="D178" s="5" t="s">
        <v>401</v>
      </c>
      <c r="E178" s="5" t="s">
        <v>41</v>
      </c>
      <c r="F178" s="5" t="n">
        <v>918</v>
      </c>
      <c r="G178" s="20" t="n">
        <v>3533153</v>
      </c>
      <c r="H178" s="20" t="n">
        <v>635968</v>
      </c>
      <c r="I178" s="20" t="n">
        <v>4169121</v>
      </c>
      <c r="J178" s="5" t="s">
        <v>353</v>
      </c>
      <c r="K178" s="5" t="s">
        <v>384</v>
      </c>
    </row>
    <row r="179" customFormat="false" ht="15" hidden="false" customHeight="false" outlineLevel="0" collapsed="false">
      <c r="A179" s="5" t="s">
        <v>721</v>
      </c>
      <c r="B179" s="26" t="n">
        <v>45897</v>
      </c>
      <c r="C179" s="5" t="s">
        <v>722</v>
      </c>
      <c r="D179" s="5" t="s">
        <v>374</v>
      </c>
      <c r="E179" s="5" t="s">
        <v>38</v>
      </c>
      <c r="F179" s="5" t="n">
        <v>2219</v>
      </c>
      <c r="G179" s="5" t="s">
        <v>723</v>
      </c>
      <c r="H179" s="20" t="n">
        <v>667166</v>
      </c>
      <c r="I179" s="5" t="s">
        <v>724</v>
      </c>
      <c r="J179" s="5" t="s">
        <v>342</v>
      </c>
      <c r="K179" s="5" t="s">
        <v>368</v>
      </c>
    </row>
    <row r="180" customFormat="false" ht="15" hidden="false" customHeight="false" outlineLevel="0" collapsed="false">
      <c r="A180" s="5" t="s">
        <v>725</v>
      </c>
      <c r="B180" s="26" t="n">
        <v>45898</v>
      </c>
      <c r="C180" s="5" t="s">
        <v>415</v>
      </c>
      <c r="D180" s="5" t="s">
        <v>524</v>
      </c>
      <c r="E180" s="5" t="s">
        <v>38</v>
      </c>
      <c r="F180" s="5" t="n">
        <v>1674</v>
      </c>
      <c r="G180" s="20" t="n">
        <v>3042497</v>
      </c>
      <c r="H180" s="20" t="n">
        <v>0</v>
      </c>
      <c r="I180" s="20" t="n">
        <v>3042497</v>
      </c>
      <c r="J180" s="5" t="s">
        <v>403</v>
      </c>
      <c r="K180" s="5" t="s">
        <v>406</v>
      </c>
    </row>
    <row r="181" customFormat="false" ht="15" hidden="false" customHeight="false" outlineLevel="0" collapsed="false">
      <c r="A181" s="5" t="s">
        <v>726</v>
      </c>
      <c r="B181" s="5" t="s">
        <v>727</v>
      </c>
      <c r="C181" s="5" t="s">
        <v>339</v>
      </c>
      <c r="D181" s="5" t="s">
        <v>390</v>
      </c>
      <c r="E181" s="5" t="s">
        <v>429</v>
      </c>
      <c r="F181" s="5" t="n">
        <v>1069</v>
      </c>
      <c r="G181" s="20" t="n">
        <v>6863783</v>
      </c>
      <c r="H181" s="20" t="n">
        <v>1235481</v>
      </c>
      <c r="I181" s="20" t="n">
        <v>8099264</v>
      </c>
      <c r="J181" s="5" t="s">
        <v>353</v>
      </c>
      <c r="K181" s="5" t="s">
        <v>368</v>
      </c>
    </row>
    <row r="182" customFormat="false" ht="15" hidden="false" customHeight="false" outlineLevel="0" collapsed="false">
      <c r="A182" s="5" t="s">
        <v>728</v>
      </c>
      <c r="B182" s="26" t="n">
        <v>45899</v>
      </c>
      <c r="C182" s="5" t="s">
        <v>349</v>
      </c>
      <c r="D182" s="5" t="s">
        <v>350</v>
      </c>
      <c r="E182" s="5" t="s">
        <v>39</v>
      </c>
      <c r="F182" s="5" t="n">
        <v>101</v>
      </c>
      <c r="G182" s="20" t="n">
        <v>2500000</v>
      </c>
      <c r="H182" s="20" t="n">
        <v>450000</v>
      </c>
      <c r="I182" s="20" t="n">
        <v>2950000</v>
      </c>
      <c r="J182" s="5" t="s">
        <v>335</v>
      </c>
      <c r="K182" s="5" t="s">
        <v>336</v>
      </c>
    </row>
    <row r="183" customFormat="false" ht="15" hidden="false" customHeight="false" outlineLevel="0" collapsed="false">
      <c r="A183" s="5" t="s">
        <v>729</v>
      </c>
      <c r="B183" s="26" t="n">
        <v>45900</v>
      </c>
      <c r="C183" s="5" t="s">
        <v>419</v>
      </c>
      <c r="D183" s="5" t="s">
        <v>480</v>
      </c>
      <c r="E183" s="5" t="s">
        <v>38</v>
      </c>
      <c r="F183" s="5" t="n">
        <v>3878</v>
      </c>
      <c r="G183" s="20" t="n">
        <v>6620735</v>
      </c>
      <c r="H183" s="20" t="n">
        <v>1191732</v>
      </c>
      <c r="I183" s="20" t="n">
        <v>7812467</v>
      </c>
      <c r="J183" s="5" t="s">
        <v>353</v>
      </c>
      <c r="K183" s="5" t="s">
        <v>336</v>
      </c>
    </row>
    <row r="184" customFormat="false" ht="15" hidden="false" customHeight="false" outlineLevel="0" collapsed="false">
      <c r="A184" s="5" t="s">
        <v>730</v>
      </c>
      <c r="B184" s="26" t="n">
        <v>45900</v>
      </c>
      <c r="C184" s="5" t="s">
        <v>382</v>
      </c>
      <c r="D184" s="5" t="s">
        <v>615</v>
      </c>
      <c r="E184" s="5" t="s">
        <v>39</v>
      </c>
      <c r="F184" s="5" t="n">
        <v>202</v>
      </c>
      <c r="G184" s="5" t="s">
        <v>731</v>
      </c>
      <c r="H184" s="20" t="n">
        <v>832659</v>
      </c>
      <c r="I184" s="20" t="n">
        <v>5458544</v>
      </c>
      <c r="J184" s="5" t="s">
        <v>342</v>
      </c>
      <c r="K184" s="5" t="s">
        <v>384</v>
      </c>
    </row>
    <row r="185" customFormat="false" ht="15" hidden="false" customHeight="false" outlineLevel="0" collapsed="false">
      <c r="A185" s="5" t="s">
        <v>732</v>
      </c>
      <c r="B185" s="26" t="n">
        <v>45901</v>
      </c>
      <c r="C185" s="5" t="s">
        <v>389</v>
      </c>
      <c r="D185" s="5" t="s">
        <v>480</v>
      </c>
      <c r="E185" s="5" t="s">
        <v>79</v>
      </c>
      <c r="F185" s="5" t="n">
        <v>1552</v>
      </c>
      <c r="G185" s="20" t="n">
        <v>2919100</v>
      </c>
      <c r="H185" s="20" t="n">
        <v>525438</v>
      </c>
      <c r="I185" s="20" t="n">
        <v>3444538</v>
      </c>
      <c r="J185" s="5" t="s">
        <v>356</v>
      </c>
      <c r="K185" s="5" t="s">
        <v>343</v>
      </c>
    </row>
    <row r="186" customFormat="false" ht="15" hidden="false" customHeight="false" outlineLevel="0" collapsed="false">
      <c r="A186" s="5" t="s">
        <v>733</v>
      </c>
      <c r="B186" s="26" t="n">
        <v>45903</v>
      </c>
      <c r="C186" s="5" t="s">
        <v>373</v>
      </c>
      <c r="D186" s="5" t="s">
        <v>374</v>
      </c>
      <c r="E186" s="5" t="s">
        <v>39</v>
      </c>
      <c r="F186" s="5" t="n">
        <v>105</v>
      </c>
      <c r="G186" s="20" t="n">
        <v>2500000</v>
      </c>
      <c r="H186" s="5" t="s">
        <v>412</v>
      </c>
      <c r="I186" s="5" t="s">
        <v>376</v>
      </c>
      <c r="J186" s="5" t="s">
        <v>356</v>
      </c>
      <c r="K186" s="5" t="s">
        <v>343</v>
      </c>
    </row>
    <row r="187" customFormat="false" ht="15" hidden="false" customHeight="false" outlineLevel="0" collapsed="false">
      <c r="A187" s="5" t="s">
        <v>734</v>
      </c>
      <c r="B187" s="26" t="n">
        <v>45903</v>
      </c>
      <c r="C187" s="5" t="s">
        <v>400</v>
      </c>
      <c r="D187" s="5" t="s">
        <v>374</v>
      </c>
      <c r="E187" s="5" t="s">
        <v>38</v>
      </c>
      <c r="F187" s="5" t="n">
        <v>3833</v>
      </c>
      <c r="G187" s="20" t="n">
        <v>7703375</v>
      </c>
      <c r="H187" s="20" t="n">
        <v>1386608</v>
      </c>
      <c r="I187" s="20" t="n">
        <v>9089983</v>
      </c>
      <c r="J187" s="5" t="s">
        <v>353</v>
      </c>
      <c r="K187" s="5" t="s">
        <v>368</v>
      </c>
    </row>
    <row r="188" customFormat="false" ht="15" hidden="false" customHeight="false" outlineLevel="0" collapsed="false">
      <c r="A188" s="5" t="s">
        <v>735</v>
      </c>
      <c r="B188" s="5" t="s">
        <v>736</v>
      </c>
      <c r="C188" s="5" t="s">
        <v>737</v>
      </c>
      <c r="D188" s="5" t="s">
        <v>432</v>
      </c>
      <c r="E188" s="5" t="s">
        <v>82</v>
      </c>
      <c r="F188" s="5" t="n">
        <v>1301</v>
      </c>
      <c r="G188" s="20" t="n">
        <v>7832031</v>
      </c>
      <c r="H188" s="5" t="s">
        <v>738</v>
      </c>
      <c r="I188" s="5" t="s">
        <v>739</v>
      </c>
      <c r="J188" s="5" t="s">
        <v>356</v>
      </c>
      <c r="K188" s="5" t="s">
        <v>406</v>
      </c>
    </row>
    <row r="189" customFormat="false" ht="15" hidden="false" customHeight="false" outlineLevel="0" collapsed="false">
      <c r="A189" s="5" t="s">
        <v>740</v>
      </c>
      <c r="B189" s="26" t="n">
        <v>45906</v>
      </c>
      <c r="C189" s="5" t="s">
        <v>415</v>
      </c>
      <c r="D189" s="5" t="s">
        <v>524</v>
      </c>
      <c r="E189" s="5" t="s">
        <v>41</v>
      </c>
      <c r="F189" s="5" t="n">
        <v>1463</v>
      </c>
      <c r="G189" s="20" t="n">
        <v>6222428</v>
      </c>
      <c r="H189" s="20" t="n">
        <v>0</v>
      </c>
      <c r="I189" s="5" t="s">
        <v>741</v>
      </c>
      <c r="J189" s="5" t="s">
        <v>342</v>
      </c>
      <c r="K189" s="5" t="s">
        <v>368</v>
      </c>
    </row>
    <row r="190" customFormat="false" ht="15" hidden="false" customHeight="false" outlineLevel="0" collapsed="false">
      <c r="A190" s="5" t="s">
        <v>742</v>
      </c>
      <c r="B190" s="26" t="n">
        <v>45908</v>
      </c>
      <c r="C190" s="5" t="s">
        <v>507</v>
      </c>
      <c r="D190" s="5" t="s">
        <v>558</v>
      </c>
      <c r="E190" s="5" t="s">
        <v>80</v>
      </c>
      <c r="F190" s="5" t="n">
        <v>177</v>
      </c>
      <c r="G190" s="20" t="n">
        <v>4008307</v>
      </c>
      <c r="H190" s="20" t="n">
        <v>721495</v>
      </c>
      <c r="I190" s="20" t="n">
        <v>4729802</v>
      </c>
      <c r="J190" s="5" t="s">
        <v>353</v>
      </c>
      <c r="K190" s="5" t="s">
        <v>368</v>
      </c>
    </row>
    <row r="191" customFormat="false" ht="15" hidden="false" customHeight="false" outlineLevel="0" collapsed="false">
      <c r="A191" s="5" t="s">
        <v>743</v>
      </c>
      <c r="B191" s="26" t="n">
        <v>45910</v>
      </c>
      <c r="C191" s="5" t="s">
        <v>345</v>
      </c>
      <c r="D191" s="5" t="s">
        <v>483</v>
      </c>
      <c r="E191" s="5" t="s">
        <v>41</v>
      </c>
      <c r="F191" s="5" t="n">
        <v>861</v>
      </c>
      <c r="G191" s="20" t="n">
        <v>3139214</v>
      </c>
      <c r="H191" s="20" t="n">
        <v>565059</v>
      </c>
      <c r="I191" s="20" t="n">
        <v>3704273</v>
      </c>
      <c r="J191" s="5" t="s">
        <v>346</v>
      </c>
      <c r="K191" s="5" t="s">
        <v>406</v>
      </c>
    </row>
    <row r="192" customFormat="false" ht="15" hidden="false" customHeight="false" outlineLevel="0" collapsed="false">
      <c r="A192" s="5" t="s">
        <v>744</v>
      </c>
      <c r="B192" s="5" t="s">
        <v>745</v>
      </c>
      <c r="C192" s="5" t="s">
        <v>455</v>
      </c>
      <c r="D192" s="5" t="s">
        <v>390</v>
      </c>
      <c r="E192" s="5" t="s">
        <v>39</v>
      </c>
      <c r="F192" s="5" t="n">
        <v>171</v>
      </c>
      <c r="G192" s="20" t="n">
        <v>4041455</v>
      </c>
      <c r="H192" s="20" t="n">
        <v>727462</v>
      </c>
      <c r="I192" s="20" t="n">
        <v>4768917</v>
      </c>
      <c r="J192" s="5" t="s">
        <v>403</v>
      </c>
      <c r="K192" s="5" t="s">
        <v>336</v>
      </c>
    </row>
    <row r="193" customFormat="false" ht="15" hidden="false" customHeight="false" outlineLevel="0" collapsed="false">
      <c r="A193" s="5" t="s">
        <v>746</v>
      </c>
      <c r="B193" s="26" t="n">
        <v>45911</v>
      </c>
      <c r="C193" s="5" t="s">
        <v>400</v>
      </c>
      <c r="D193" s="5" t="s">
        <v>374</v>
      </c>
      <c r="E193" s="5" t="s">
        <v>79</v>
      </c>
      <c r="F193" s="5" t="n">
        <v>6156</v>
      </c>
      <c r="G193" s="20" t="n">
        <v>11789705</v>
      </c>
      <c r="H193" s="20" t="n">
        <v>2122147</v>
      </c>
      <c r="I193" s="20" t="n">
        <v>13911852</v>
      </c>
      <c r="J193" s="5" t="s">
        <v>346</v>
      </c>
      <c r="K193" s="5" t="s">
        <v>384</v>
      </c>
    </row>
    <row r="194" customFormat="false" ht="15" hidden="false" customHeight="false" outlineLevel="0" collapsed="false">
      <c r="A194" s="5" t="s">
        <v>747</v>
      </c>
      <c r="B194" s="26" t="n">
        <v>45912</v>
      </c>
      <c r="C194" s="5" t="s">
        <v>431</v>
      </c>
      <c r="D194" s="5" t="s">
        <v>334</v>
      </c>
      <c r="E194" s="5" t="s">
        <v>38</v>
      </c>
      <c r="F194" s="5" t="n">
        <v>2181</v>
      </c>
      <c r="G194" s="5" t="s">
        <v>748</v>
      </c>
      <c r="H194" s="5" t="s">
        <v>749</v>
      </c>
      <c r="I194" s="20" t="n">
        <v>5040582</v>
      </c>
      <c r="J194" s="5" t="s">
        <v>353</v>
      </c>
      <c r="K194" s="5" t="s">
        <v>363</v>
      </c>
    </row>
    <row r="195" customFormat="false" ht="15" hidden="false" customHeight="false" outlineLevel="0" collapsed="false">
      <c r="A195" s="5" t="s">
        <v>750</v>
      </c>
      <c r="B195" s="26" t="n">
        <v>45913</v>
      </c>
      <c r="C195" s="5" t="s">
        <v>345</v>
      </c>
      <c r="D195" s="5" t="s">
        <v>334</v>
      </c>
      <c r="E195" s="5" t="s">
        <v>38</v>
      </c>
      <c r="F195" s="5" t="n">
        <v>2101</v>
      </c>
      <c r="G195" s="20" t="n">
        <v>4176352</v>
      </c>
      <c r="H195" s="20" t="n">
        <v>751743</v>
      </c>
      <c r="I195" s="20" t="n">
        <v>4928095</v>
      </c>
      <c r="J195" s="5" t="s">
        <v>383</v>
      </c>
      <c r="K195" s="5" t="s">
        <v>384</v>
      </c>
    </row>
    <row r="196" customFormat="false" ht="15" hidden="false" customHeight="false" outlineLevel="0" collapsed="false">
      <c r="A196" s="5" t="s">
        <v>751</v>
      </c>
      <c r="B196" s="26" t="n">
        <v>45913</v>
      </c>
      <c r="C196" s="5" t="s">
        <v>358</v>
      </c>
      <c r="D196" s="5" t="s">
        <v>390</v>
      </c>
      <c r="E196" s="5" t="s">
        <v>41</v>
      </c>
      <c r="F196" s="5" t="n">
        <v>1856</v>
      </c>
      <c r="G196" s="20" t="n">
        <v>7367742</v>
      </c>
      <c r="H196" s="5" t="s">
        <v>752</v>
      </c>
      <c r="I196" s="5" t="s">
        <v>753</v>
      </c>
      <c r="J196" s="5" t="s">
        <v>356</v>
      </c>
      <c r="K196" s="5" t="s">
        <v>396</v>
      </c>
    </row>
    <row r="197" customFormat="false" ht="15" hidden="false" customHeight="false" outlineLevel="0" collapsed="false">
      <c r="A197" s="5" t="s">
        <v>754</v>
      </c>
      <c r="B197" s="26" t="n">
        <v>45913</v>
      </c>
      <c r="C197" s="5" t="s">
        <v>400</v>
      </c>
      <c r="D197" s="5" t="s">
        <v>374</v>
      </c>
      <c r="E197" s="5" t="s">
        <v>81</v>
      </c>
      <c r="F197" s="5" t="n">
        <v>2719</v>
      </c>
      <c r="G197" s="5" t="s">
        <v>755</v>
      </c>
      <c r="H197" s="20" t="n">
        <v>1933008</v>
      </c>
      <c r="I197" s="5" t="s">
        <v>756</v>
      </c>
      <c r="J197" s="5" t="s">
        <v>356</v>
      </c>
      <c r="K197" s="5" t="s">
        <v>396</v>
      </c>
    </row>
    <row r="198" customFormat="false" ht="15" hidden="false" customHeight="false" outlineLevel="0" collapsed="false">
      <c r="A198" s="5" t="s">
        <v>757</v>
      </c>
      <c r="B198" s="26" t="n">
        <v>45914</v>
      </c>
      <c r="C198" s="5" t="s">
        <v>358</v>
      </c>
      <c r="D198" s="5" t="s">
        <v>480</v>
      </c>
      <c r="E198" s="5" t="s">
        <v>41</v>
      </c>
      <c r="F198" s="5" t="n">
        <v>1554</v>
      </c>
      <c r="G198" s="20" t="n">
        <v>5535463</v>
      </c>
      <c r="H198" s="20" t="n">
        <v>996383</v>
      </c>
      <c r="I198" s="20" t="n">
        <v>6531846</v>
      </c>
      <c r="J198" s="5" t="s">
        <v>356</v>
      </c>
      <c r="K198" s="5" t="s">
        <v>347</v>
      </c>
    </row>
    <row r="199" customFormat="false" ht="15" hidden="false" customHeight="false" outlineLevel="0" collapsed="false">
      <c r="A199" s="5" t="s">
        <v>758</v>
      </c>
      <c r="B199" s="5" t="s">
        <v>759</v>
      </c>
      <c r="C199" s="5" t="s">
        <v>431</v>
      </c>
      <c r="D199" s="5" t="s">
        <v>432</v>
      </c>
      <c r="E199" s="5" t="s">
        <v>38</v>
      </c>
      <c r="F199" s="5" t="n">
        <v>4088</v>
      </c>
      <c r="G199" s="20" t="n">
        <v>6975431</v>
      </c>
      <c r="H199" s="5" t="s">
        <v>760</v>
      </c>
      <c r="I199" s="5" t="s">
        <v>761</v>
      </c>
      <c r="J199" s="5" t="s">
        <v>353</v>
      </c>
      <c r="K199" s="5" t="s">
        <v>343</v>
      </c>
    </row>
    <row r="200" customFormat="false" ht="15" hidden="false" customHeight="false" outlineLevel="0" collapsed="false">
      <c r="A200" s="5" t="s">
        <v>758</v>
      </c>
      <c r="B200" s="5" t="s">
        <v>762</v>
      </c>
      <c r="C200" s="5" t="s">
        <v>431</v>
      </c>
      <c r="D200" s="5" t="s">
        <v>334</v>
      </c>
      <c r="E200" s="5" t="s">
        <v>38</v>
      </c>
      <c r="F200" s="5" t="n">
        <v>4088</v>
      </c>
      <c r="G200" s="20" t="n">
        <v>6975431</v>
      </c>
      <c r="H200" s="20" t="n">
        <v>1255578</v>
      </c>
      <c r="I200" s="20" t="n">
        <v>8231009</v>
      </c>
      <c r="J200" s="5" t="s">
        <v>335</v>
      </c>
      <c r="K200" s="5" t="s">
        <v>368</v>
      </c>
    </row>
    <row r="201" customFormat="false" ht="15" hidden="false" customHeight="false" outlineLevel="0" collapsed="false">
      <c r="A201" s="5" t="s">
        <v>763</v>
      </c>
      <c r="B201" s="26" t="n">
        <v>45915</v>
      </c>
      <c r="C201" s="5" t="s">
        <v>421</v>
      </c>
      <c r="D201" s="5" t="s">
        <v>390</v>
      </c>
      <c r="E201" s="5" t="s">
        <v>38</v>
      </c>
      <c r="F201" s="5" t="n">
        <v>4886</v>
      </c>
      <c r="G201" s="20" t="n">
        <v>9729191</v>
      </c>
      <c r="H201" s="20" t="n">
        <v>1751254</v>
      </c>
      <c r="I201" s="20" t="n">
        <v>11480445</v>
      </c>
      <c r="J201" s="5" t="s">
        <v>403</v>
      </c>
      <c r="K201" s="5" t="s">
        <v>396</v>
      </c>
    </row>
    <row r="202" customFormat="false" ht="15" hidden="false" customHeight="false" outlineLevel="0" collapsed="false">
      <c r="A202" s="5" t="s">
        <v>764</v>
      </c>
      <c r="B202" s="5" t="s">
        <v>765</v>
      </c>
      <c r="C202" s="5" t="s">
        <v>428</v>
      </c>
      <c r="D202" s="5" t="s">
        <v>374</v>
      </c>
      <c r="E202" s="5" t="s">
        <v>341</v>
      </c>
      <c r="F202" s="5" t="n">
        <v>2235</v>
      </c>
      <c r="G202" s="20" t="n">
        <v>13985122</v>
      </c>
      <c r="H202" s="5" t="s">
        <v>766</v>
      </c>
      <c r="I202" s="20" t="n">
        <v>16502444</v>
      </c>
      <c r="J202" s="5" t="s">
        <v>335</v>
      </c>
      <c r="K202" s="5" t="s">
        <v>347</v>
      </c>
    </row>
    <row r="203" customFormat="false" ht="15" hidden="false" customHeight="false" outlineLevel="0" collapsed="false">
      <c r="A203" s="5" t="s">
        <v>764</v>
      </c>
      <c r="B203" s="5" t="s">
        <v>767</v>
      </c>
      <c r="C203" s="5" t="s">
        <v>428</v>
      </c>
      <c r="D203" s="5" t="s">
        <v>374</v>
      </c>
      <c r="E203" s="5" t="s">
        <v>429</v>
      </c>
      <c r="F203" s="5" t="n">
        <v>2235</v>
      </c>
      <c r="G203" s="5" t="s">
        <v>768</v>
      </c>
      <c r="H203" s="5" t="s">
        <v>766</v>
      </c>
      <c r="I203" s="20" t="n">
        <v>16502444</v>
      </c>
      <c r="J203" s="5" t="s">
        <v>353</v>
      </c>
      <c r="K203" s="5" t="s">
        <v>347</v>
      </c>
    </row>
    <row r="204" customFormat="false" ht="15" hidden="false" customHeight="false" outlineLevel="0" collapsed="false">
      <c r="A204" s="5" t="s">
        <v>769</v>
      </c>
      <c r="B204" s="26" t="n">
        <v>45916</v>
      </c>
      <c r="C204" s="5" t="s">
        <v>451</v>
      </c>
      <c r="D204" s="5" t="s">
        <v>366</v>
      </c>
      <c r="E204" s="5" t="s">
        <v>41</v>
      </c>
      <c r="F204" s="5" t="n">
        <v>708</v>
      </c>
      <c r="G204" s="20" t="n">
        <v>2500000</v>
      </c>
      <c r="H204" s="5" t="s">
        <v>440</v>
      </c>
      <c r="I204" s="20" t="n">
        <v>2500000</v>
      </c>
      <c r="J204" s="5" t="s">
        <v>403</v>
      </c>
      <c r="K204" s="5" t="s">
        <v>396</v>
      </c>
    </row>
    <row r="205" customFormat="false" ht="15" hidden="false" customHeight="false" outlineLevel="0" collapsed="false">
      <c r="A205" s="5" t="s">
        <v>770</v>
      </c>
      <c r="B205" s="26" t="n">
        <v>45917</v>
      </c>
      <c r="C205" s="5" t="s">
        <v>358</v>
      </c>
      <c r="D205" s="5" t="s">
        <v>390</v>
      </c>
      <c r="E205" s="5" t="s">
        <v>355</v>
      </c>
      <c r="F205" s="5" t="n">
        <v>895</v>
      </c>
      <c r="G205" s="20" t="n">
        <v>3626702</v>
      </c>
      <c r="H205" s="20" t="n">
        <v>652806</v>
      </c>
      <c r="I205" s="20" t="n">
        <v>4279508</v>
      </c>
      <c r="J205" s="5" t="s">
        <v>346</v>
      </c>
      <c r="K205" s="5" t="s">
        <v>384</v>
      </c>
    </row>
    <row r="206" customFormat="false" ht="15" hidden="false" customHeight="false" outlineLevel="0" collapsed="false">
      <c r="A206" s="5" t="s">
        <v>771</v>
      </c>
      <c r="B206" s="5" t="s">
        <v>772</v>
      </c>
      <c r="C206" s="5" t="s">
        <v>389</v>
      </c>
      <c r="D206" s="5" t="s">
        <v>390</v>
      </c>
      <c r="E206" s="5" t="s">
        <v>38</v>
      </c>
      <c r="F206" s="5" t="n">
        <v>1502</v>
      </c>
      <c r="G206" s="20" t="n">
        <v>3014394</v>
      </c>
      <c r="H206" s="20" t="n">
        <v>542591</v>
      </c>
      <c r="I206" s="20" t="n">
        <v>3556985</v>
      </c>
      <c r="J206" s="5" t="s">
        <v>342</v>
      </c>
      <c r="K206" s="5" t="s">
        <v>368</v>
      </c>
    </row>
    <row r="208" customFormat="false" ht="15" hidden="false" customHeight="false" outlineLevel="0" collapsed="false">
      <c r="A208" s="16" t="s">
        <v>773</v>
      </c>
    </row>
    <row r="209" customFormat="false" ht="15" hidden="false" customHeight="false" outlineLevel="0" collapsed="false">
      <c r="A209" s="9" t="s">
        <v>320</v>
      </c>
      <c r="B209" s="9" t="s">
        <v>321</v>
      </c>
      <c r="C209" s="9" t="s">
        <v>322</v>
      </c>
      <c r="D209" s="9" t="s">
        <v>323</v>
      </c>
      <c r="E209" s="9" t="s">
        <v>324</v>
      </c>
      <c r="F209" s="9" t="s">
        <v>325</v>
      </c>
      <c r="G209" s="9" t="s">
        <v>326</v>
      </c>
      <c r="H209" s="9" t="s">
        <v>327</v>
      </c>
      <c r="I209" s="9" t="s">
        <v>328</v>
      </c>
      <c r="J209" s="9" t="s">
        <v>329</v>
      </c>
      <c r="K209" s="9" t="s">
        <v>330</v>
      </c>
    </row>
    <row r="210" customFormat="false" ht="15" hidden="false" customHeight="false" outlineLevel="0" collapsed="false">
      <c r="A210" s="5" t="s">
        <v>774</v>
      </c>
      <c r="B210" s="26" t="n">
        <v>45919</v>
      </c>
      <c r="C210" s="5" t="s">
        <v>415</v>
      </c>
      <c r="D210" s="5" t="s">
        <v>366</v>
      </c>
      <c r="E210" s="5" t="s">
        <v>41</v>
      </c>
      <c r="F210" s="5" t="n">
        <v>875</v>
      </c>
      <c r="G210" s="20" t="n">
        <v>3221145</v>
      </c>
      <c r="H210" s="20" t="n">
        <v>0</v>
      </c>
      <c r="I210" s="20" t="n">
        <v>3221145</v>
      </c>
      <c r="J210" s="5" t="s">
        <v>356</v>
      </c>
      <c r="K210" s="5" t="s">
        <v>347</v>
      </c>
    </row>
    <row r="211" customFormat="false" ht="15" hidden="false" customHeight="false" outlineLevel="0" collapsed="false">
      <c r="A211" s="5" t="s">
        <v>775</v>
      </c>
      <c r="B211" s="26" t="n">
        <v>45920</v>
      </c>
      <c r="C211" s="5" t="s">
        <v>415</v>
      </c>
      <c r="D211" s="5" t="s">
        <v>524</v>
      </c>
      <c r="E211" s="5" t="s">
        <v>81</v>
      </c>
      <c r="F211" s="5" t="n">
        <v>583</v>
      </c>
      <c r="G211" s="20" t="n">
        <v>2500000</v>
      </c>
      <c r="H211" s="20" t="n">
        <v>0</v>
      </c>
      <c r="I211" s="20" t="n">
        <v>2500000</v>
      </c>
      <c r="J211" s="5" t="s">
        <v>346</v>
      </c>
      <c r="K211" s="5" t="s">
        <v>336</v>
      </c>
    </row>
    <row r="212" customFormat="false" ht="15" hidden="false" customHeight="false" outlineLevel="0" collapsed="false">
      <c r="A212" s="5" t="s">
        <v>776</v>
      </c>
      <c r="B212" s="26" t="n">
        <v>45921</v>
      </c>
      <c r="C212" s="5" t="s">
        <v>400</v>
      </c>
      <c r="D212" s="5" t="s">
        <v>374</v>
      </c>
      <c r="E212" s="5" t="s">
        <v>41</v>
      </c>
      <c r="F212" s="5" t="n">
        <v>932</v>
      </c>
      <c r="G212" s="5" t="s">
        <v>777</v>
      </c>
      <c r="H212" s="20" t="n">
        <v>603058</v>
      </c>
      <c r="I212" s="20" t="n">
        <v>3953378</v>
      </c>
      <c r="J212" s="5" t="s">
        <v>403</v>
      </c>
      <c r="K212" s="5" t="s">
        <v>384</v>
      </c>
    </row>
    <row r="213" customFormat="false" ht="15" hidden="false" customHeight="false" outlineLevel="0" collapsed="false">
      <c r="A213" s="5" t="s">
        <v>778</v>
      </c>
      <c r="B213" s="26" t="n">
        <v>45922</v>
      </c>
      <c r="C213" s="5" t="s">
        <v>345</v>
      </c>
      <c r="D213" s="5" t="s">
        <v>334</v>
      </c>
      <c r="E213" s="5" t="s">
        <v>41</v>
      </c>
      <c r="F213" s="5" t="n">
        <v>617</v>
      </c>
      <c r="G213" s="20" t="n">
        <v>2500000</v>
      </c>
      <c r="H213" s="20" t="n">
        <v>450000</v>
      </c>
      <c r="I213" s="20" t="n">
        <v>2950000</v>
      </c>
      <c r="J213" s="5" t="s">
        <v>342</v>
      </c>
      <c r="K213" s="5" t="s">
        <v>384</v>
      </c>
    </row>
    <row r="214" customFormat="false" ht="15" hidden="false" customHeight="false" outlineLevel="0" collapsed="false">
      <c r="A214" s="5" t="s">
        <v>779</v>
      </c>
      <c r="B214" s="26" t="n">
        <v>45922</v>
      </c>
      <c r="C214" s="5" t="s">
        <v>455</v>
      </c>
      <c r="D214" s="5" t="s">
        <v>340</v>
      </c>
      <c r="E214" s="5" t="s">
        <v>39</v>
      </c>
      <c r="F214" s="5" t="n">
        <v>101</v>
      </c>
      <c r="G214" s="5" t="s">
        <v>452</v>
      </c>
      <c r="H214" s="20" t="n">
        <v>450000</v>
      </c>
      <c r="I214" s="20" t="n">
        <v>2950000</v>
      </c>
      <c r="J214" s="5" t="s">
        <v>403</v>
      </c>
      <c r="K214" s="5" t="s">
        <v>363</v>
      </c>
    </row>
    <row r="215" customFormat="false" ht="15" hidden="false" customHeight="false" outlineLevel="0" collapsed="false">
      <c r="A215" s="5" t="s">
        <v>780</v>
      </c>
      <c r="B215" s="26" t="n">
        <v>45923</v>
      </c>
      <c r="C215" s="5" t="s">
        <v>378</v>
      </c>
      <c r="D215" s="5" t="s">
        <v>374</v>
      </c>
      <c r="E215" s="5" t="s">
        <v>355</v>
      </c>
      <c r="F215" s="5" t="n">
        <v>1767</v>
      </c>
      <c r="G215" s="20" t="n">
        <v>7557343</v>
      </c>
      <c r="H215" s="20" t="n">
        <v>1360322</v>
      </c>
      <c r="I215" s="20" t="n">
        <v>8917665</v>
      </c>
      <c r="J215" s="5" t="s">
        <v>403</v>
      </c>
      <c r="K215" s="5" t="s">
        <v>336</v>
      </c>
    </row>
    <row r="216" customFormat="false" ht="15" hidden="false" customHeight="false" outlineLevel="0" collapsed="false">
      <c r="A216" s="5" t="s">
        <v>781</v>
      </c>
      <c r="B216" s="26" t="n">
        <v>45924</v>
      </c>
      <c r="C216" s="5" t="s">
        <v>428</v>
      </c>
      <c r="D216" s="5" t="s">
        <v>605</v>
      </c>
      <c r="E216" s="5" t="s">
        <v>341</v>
      </c>
      <c r="F216" s="5" t="n">
        <v>1644</v>
      </c>
      <c r="G216" s="20" t="n">
        <v>9738218</v>
      </c>
      <c r="H216" s="20" t="n">
        <v>1752879</v>
      </c>
      <c r="I216" s="5" t="s">
        <v>782</v>
      </c>
      <c r="J216" s="5" t="s">
        <v>356</v>
      </c>
      <c r="K216" s="5" t="s">
        <v>406</v>
      </c>
    </row>
    <row r="217" customFormat="false" ht="15" hidden="false" customHeight="false" outlineLevel="0" collapsed="false">
      <c r="A217" s="5" t="s">
        <v>783</v>
      </c>
      <c r="B217" s="26" t="n">
        <v>45924</v>
      </c>
      <c r="C217" s="5" t="s">
        <v>400</v>
      </c>
      <c r="D217" s="5" t="s">
        <v>374</v>
      </c>
      <c r="E217" s="5" t="s">
        <v>41</v>
      </c>
      <c r="F217" s="5" t="n">
        <v>2221</v>
      </c>
      <c r="G217" s="5" t="s">
        <v>784</v>
      </c>
      <c r="H217" s="20" t="n">
        <v>1470640</v>
      </c>
      <c r="I217" s="20" t="n">
        <v>9640861</v>
      </c>
      <c r="J217" s="5" t="s">
        <v>342</v>
      </c>
      <c r="K217" s="5" t="s">
        <v>396</v>
      </c>
    </row>
    <row r="218" customFormat="false" ht="15" hidden="false" customHeight="false" outlineLevel="0" collapsed="false">
      <c r="A218" s="5" t="s">
        <v>785</v>
      </c>
      <c r="B218" s="26" t="n">
        <v>45925</v>
      </c>
      <c r="C218" s="5" t="s">
        <v>455</v>
      </c>
      <c r="D218" s="5" t="s">
        <v>390</v>
      </c>
      <c r="E218" s="5" t="s">
        <v>39</v>
      </c>
      <c r="F218" s="5" t="n">
        <v>101</v>
      </c>
      <c r="G218" s="20" t="n">
        <v>2500000</v>
      </c>
      <c r="H218" s="20" t="n">
        <v>450000</v>
      </c>
      <c r="I218" s="20" t="n">
        <v>2950000</v>
      </c>
      <c r="J218" s="5" t="s">
        <v>335</v>
      </c>
      <c r="K218" s="5" t="s">
        <v>347</v>
      </c>
    </row>
    <row r="219" customFormat="false" ht="15" hidden="false" customHeight="false" outlineLevel="0" collapsed="false">
      <c r="A219" s="5" t="s">
        <v>786</v>
      </c>
      <c r="B219" s="26" t="n">
        <v>45925</v>
      </c>
      <c r="C219" s="5" t="s">
        <v>345</v>
      </c>
      <c r="D219" s="5" t="s">
        <v>334</v>
      </c>
      <c r="E219" s="5" t="s">
        <v>41</v>
      </c>
      <c r="F219" s="5" t="n">
        <v>620</v>
      </c>
      <c r="G219" s="20" t="n">
        <v>2500000</v>
      </c>
      <c r="H219" s="20" t="n">
        <v>450000</v>
      </c>
      <c r="I219" s="20" t="n">
        <v>2950000</v>
      </c>
      <c r="J219" s="5" t="s">
        <v>342</v>
      </c>
      <c r="K219" s="5" t="s">
        <v>363</v>
      </c>
    </row>
    <row r="220" customFormat="false" ht="15" hidden="false" customHeight="false" outlineLevel="0" collapsed="false">
      <c r="A220" s="5" t="s">
        <v>787</v>
      </c>
      <c r="B220" s="26" t="n">
        <v>45926</v>
      </c>
      <c r="C220" s="5" t="s">
        <v>415</v>
      </c>
      <c r="D220" s="5" t="s">
        <v>416</v>
      </c>
      <c r="E220" s="5" t="s">
        <v>41</v>
      </c>
      <c r="F220" s="5" t="n">
        <v>896</v>
      </c>
      <c r="G220" s="20" t="n">
        <v>3331321</v>
      </c>
      <c r="H220" s="20" t="n">
        <v>0</v>
      </c>
      <c r="I220" s="5" t="s">
        <v>788</v>
      </c>
      <c r="J220" s="5" t="s">
        <v>383</v>
      </c>
      <c r="K220" s="5" t="s">
        <v>343</v>
      </c>
    </row>
    <row r="221" customFormat="false" ht="15" hidden="false" customHeight="false" outlineLevel="0" collapsed="false">
      <c r="A221" s="5" t="s">
        <v>789</v>
      </c>
      <c r="B221" s="5" t="s">
        <v>790</v>
      </c>
      <c r="C221" s="5" t="s">
        <v>345</v>
      </c>
      <c r="D221" s="5" t="s">
        <v>334</v>
      </c>
      <c r="E221" s="5" t="s">
        <v>38</v>
      </c>
      <c r="F221" s="5" t="n">
        <v>1814</v>
      </c>
      <c r="G221" s="5" t="s">
        <v>791</v>
      </c>
      <c r="H221" s="20" t="n">
        <v>596752</v>
      </c>
      <c r="I221" s="20" t="n">
        <v>3912039</v>
      </c>
      <c r="J221" s="5" t="s">
        <v>356</v>
      </c>
      <c r="K221" s="5" t="s">
        <v>406</v>
      </c>
    </row>
    <row r="222" customFormat="false" ht="15" hidden="false" customHeight="false" outlineLevel="0" collapsed="false">
      <c r="A222" s="5" t="s">
        <v>792</v>
      </c>
      <c r="B222" s="26" t="n">
        <v>45927</v>
      </c>
      <c r="C222" s="5" t="s">
        <v>449</v>
      </c>
      <c r="D222" s="5" t="s">
        <v>524</v>
      </c>
      <c r="E222" s="5" t="s">
        <v>81</v>
      </c>
      <c r="F222" s="5" t="n">
        <v>1380</v>
      </c>
      <c r="G222" s="5" t="s">
        <v>793</v>
      </c>
      <c r="H222" s="20" t="n">
        <v>0</v>
      </c>
      <c r="I222" s="5" t="s">
        <v>794</v>
      </c>
      <c r="J222" s="5" t="s">
        <v>383</v>
      </c>
      <c r="K222" s="5" t="s">
        <v>368</v>
      </c>
    </row>
    <row r="223" customFormat="false" ht="15" hidden="false" customHeight="false" outlineLevel="0" collapsed="false">
      <c r="A223" s="5" t="s">
        <v>795</v>
      </c>
      <c r="B223" s="26" t="n">
        <v>45928</v>
      </c>
      <c r="C223" s="5" t="s">
        <v>796</v>
      </c>
      <c r="D223" s="5" t="s">
        <v>401</v>
      </c>
      <c r="E223" s="5" t="s">
        <v>41</v>
      </c>
      <c r="F223" s="5" t="n">
        <v>950</v>
      </c>
      <c r="G223" s="20" t="n">
        <v>3853907</v>
      </c>
      <c r="H223" s="20" t="n">
        <v>693703</v>
      </c>
      <c r="I223" s="20" t="n">
        <v>4547610</v>
      </c>
      <c r="J223" s="5" t="s">
        <v>335</v>
      </c>
      <c r="K223" s="5" t="s">
        <v>336</v>
      </c>
    </row>
    <row r="224" customFormat="false" ht="15" hidden="false" customHeight="false" outlineLevel="0" collapsed="false">
      <c r="A224" s="5" t="s">
        <v>797</v>
      </c>
      <c r="B224" s="26" t="n">
        <v>45928</v>
      </c>
      <c r="C224" s="5" t="s">
        <v>345</v>
      </c>
      <c r="D224" s="5" t="s">
        <v>334</v>
      </c>
      <c r="E224" s="5" t="s">
        <v>38</v>
      </c>
      <c r="F224" s="5" t="n">
        <v>2646</v>
      </c>
      <c r="G224" s="20" t="n">
        <v>4597652</v>
      </c>
      <c r="H224" s="20" t="n">
        <v>827577</v>
      </c>
      <c r="I224" s="20" t="n">
        <v>5425229</v>
      </c>
      <c r="J224" s="5" t="s">
        <v>383</v>
      </c>
      <c r="K224" s="5" t="s">
        <v>343</v>
      </c>
    </row>
    <row r="225" customFormat="false" ht="15" hidden="false" customHeight="false" outlineLevel="0" collapsed="false">
      <c r="A225" s="5" t="s">
        <v>798</v>
      </c>
      <c r="B225" s="26" t="n">
        <v>45929</v>
      </c>
      <c r="C225" s="5" t="s">
        <v>799</v>
      </c>
      <c r="D225" s="5" t="s">
        <v>334</v>
      </c>
      <c r="E225" s="5" t="s">
        <v>81</v>
      </c>
      <c r="F225" s="5" t="n">
        <v>1158</v>
      </c>
      <c r="G225" s="20" t="n">
        <v>4156927</v>
      </c>
      <c r="H225" s="5" t="s">
        <v>800</v>
      </c>
      <c r="I225" s="20" t="n">
        <v>4905174</v>
      </c>
      <c r="J225" s="5" t="s">
        <v>335</v>
      </c>
      <c r="K225" s="5" t="s">
        <v>406</v>
      </c>
    </row>
    <row r="226" customFormat="false" ht="15" hidden="false" customHeight="false" outlineLevel="0" collapsed="false">
      <c r="A226" s="5" t="s">
        <v>801</v>
      </c>
      <c r="B226" s="26" t="n">
        <v>45933</v>
      </c>
      <c r="C226" s="5" t="s">
        <v>339</v>
      </c>
      <c r="D226" s="5" t="s">
        <v>390</v>
      </c>
      <c r="E226" s="5" t="s">
        <v>429</v>
      </c>
      <c r="F226" s="5" t="n">
        <v>434</v>
      </c>
      <c r="G226" s="5" t="s">
        <v>802</v>
      </c>
      <c r="H226" s="5" t="s">
        <v>803</v>
      </c>
      <c r="I226" s="5" t="s">
        <v>804</v>
      </c>
      <c r="J226" s="5" t="s">
        <v>356</v>
      </c>
      <c r="K226" s="5" t="s">
        <v>343</v>
      </c>
    </row>
    <row r="227" customFormat="false" ht="15" hidden="false" customHeight="false" outlineLevel="0" collapsed="false">
      <c r="A227" s="5" t="s">
        <v>805</v>
      </c>
      <c r="B227" s="26" t="n">
        <v>45935</v>
      </c>
      <c r="C227" s="5" t="s">
        <v>345</v>
      </c>
      <c r="D227" s="5" t="s">
        <v>334</v>
      </c>
      <c r="E227" s="5" t="s">
        <v>41</v>
      </c>
      <c r="F227" s="5" t="n">
        <v>874</v>
      </c>
      <c r="G227" s="5" t="s">
        <v>806</v>
      </c>
      <c r="H227" s="20" t="n">
        <v>657197</v>
      </c>
      <c r="I227" s="20" t="n">
        <v>4308290</v>
      </c>
      <c r="J227" s="5" t="s">
        <v>403</v>
      </c>
      <c r="K227" s="5" t="s">
        <v>347</v>
      </c>
    </row>
    <row r="228" customFormat="false" ht="15" hidden="false" customHeight="false" outlineLevel="0" collapsed="false">
      <c r="A228" s="5" t="s">
        <v>807</v>
      </c>
      <c r="B228" s="26" t="n">
        <v>45936</v>
      </c>
      <c r="C228" s="5" t="s">
        <v>808</v>
      </c>
      <c r="D228" s="5" t="s">
        <v>524</v>
      </c>
      <c r="E228" s="5" t="s">
        <v>81</v>
      </c>
      <c r="F228" s="5" t="n">
        <v>2082</v>
      </c>
      <c r="G228" s="20" t="n">
        <v>8902967</v>
      </c>
      <c r="H228" s="5" t="s">
        <v>440</v>
      </c>
      <c r="I228" s="20" t="n">
        <v>8902967</v>
      </c>
      <c r="J228" s="5" t="s">
        <v>403</v>
      </c>
      <c r="K228" s="5" t="s">
        <v>396</v>
      </c>
    </row>
    <row r="229" customFormat="false" ht="15" hidden="false" customHeight="false" outlineLevel="0" collapsed="false">
      <c r="A229" s="5" t="s">
        <v>809</v>
      </c>
      <c r="B229" s="26" t="n">
        <v>45937</v>
      </c>
      <c r="C229" s="5" t="s">
        <v>431</v>
      </c>
      <c r="D229" s="5" t="s">
        <v>483</v>
      </c>
      <c r="E229" s="5" t="s">
        <v>79</v>
      </c>
      <c r="F229" s="5" t="n">
        <v>2809</v>
      </c>
      <c r="G229" s="20" t="n">
        <v>5712342</v>
      </c>
      <c r="H229" s="20" t="n">
        <v>1028222</v>
      </c>
      <c r="I229" s="20" t="n">
        <v>6740564</v>
      </c>
      <c r="J229" s="5" t="s">
        <v>346</v>
      </c>
      <c r="K229" s="5" t="s">
        <v>343</v>
      </c>
    </row>
    <row r="230" customFormat="false" ht="15" hidden="false" customHeight="false" outlineLevel="0" collapsed="false">
      <c r="A230" s="5" t="s">
        <v>810</v>
      </c>
      <c r="B230" s="26" t="n">
        <v>45937</v>
      </c>
      <c r="C230" s="5" t="s">
        <v>419</v>
      </c>
      <c r="D230" s="5" t="s">
        <v>480</v>
      </c>
      <c r="E230" s="5" t="s">
        <v>38</v>
      </c>
      <c r="F230" s="5" t="n">
        <v>1749</v>
      </c>
      <c r="G230" s="20" t="n">
        <v>3385307</v>
      </c>
      <c r="H230" s="20" t="n">
        <v>609355</v>
      </c>
      <c r="I230" s="20" t="n">
        <v>3994662</v>
      </c>
      <c r="J230" s="5" t="s">
        <v>335</v>
      </c>
      <c r="K230" s="5" t="s">
        <v>368</v>
      </c>
    </row>
    <row r="231" customFormat="false" ht="15" hidden="false" customHeight="false" outlineLevel="0" collapsed="false">
      <c r="A231" s="5" t="s">
        <v>811</v>
      </c>
      <c r="B231" s="26" t="n">
        <v>45937</v>
      </c>
      <c r="C231" s="5" t="s">
        <v>365</v>
      </c>
      <c r="D231" s="5" t="s">
        <v>366</v>
      </c>
      <c r="E231" s="5" t="s">
        <v>39</v>
      </c>
      <c r="F231" s="5" t="n">
        <v>108</v>
      </c>
      <c r="G231" s="5" t="s">
        <v>375</v>
      </c>
      <c r="H231" s="20" t="n">
        <v>0</v>
      </c>
      <c r="I231" s="5" t="s">
        <v>452</v>
      </c>
      <c r="J231" s="5" t="s">
        <v>403</v>
      </c>
      <c r="K231" s="5" t="s">
        <v>347</v>
      </c>
    </row>
    <row r="232" customFormat="false" ht="15" hidden="false" customHeight="false" outlineLevel="0" collapsed="false">
      <c r="A232" s="5" t="s">
        <v>812</v>
      </c>
      <c r="B232" s="26" t="n">
        <v>45940</v>
      </c>
      <c r="C232" s="5" t="s">
        <v>345</v>
      </c>
      <c r="D232" s="5" t="s">
        <v>432</v>
      </c>
      <c r="E232" s="5" t="s">
        <v>41</v>
      </c>
      <c r="F232" s="5" t="n">
        <v>4217</v>
      </c>
      <c r="G232" s="20" t="n">
        <v>15615024</v>
      </c>
      <c r="H232" s="20" t="n">
        <v>2810704</v>
      </c>
      <c r="I232" s="20" t="n">
        <v>18425728</v>
      </c>
      <c r="J232" s="5" t="s">
        <v>335</v>
      </c>
      <c r="K232" s="5" t="s">
        <v>347</v>
      </c>
    </row>
    <row r="233" customFormat="false" ht="15" hidden="false" customHeight="false" outlineLevel="0" collapsed="false">
      <c r="A233" s="5" t="s">
        <v>813</v>
      </c>
      <c r="B233" s="26" t="n">
        <v>45941</v>
      </c>
      <c r="C233" s="5" t="s">
        <v>400</v>
      </c>
      <c r="D233" s="5" t="s">
        <v>374</v>
      </c>
      <c r="E233" s="5" t="s">
        <v>38</v>
      </c>
      <c r="F233" s="5" t="n">
        <v>5232</v>
      </c>
      <c r="G233" s="20" t="n">
        <v>9688033</v>
      </c>
      <c r="H233" s="20" t="n">
        <v>1743846</v>
      </c>
      <c r="I233" s="20" t="n">
        <v>11431879</v>
      </c>
      <c r="J233" s="5" t="s">
        <v>383</v>
      </c>
      <c r="K233" s="5" t="s">
        <v>396</v>
      </c>
    </row>
    <row r="234" customFormat="false" ht="15" hidden="false" customHeight="false" outlineLevel="0" collapsed="false">
      <c r="A234" s="5" t="s">
        <v>814</v>
      </c>
      <c r="B234" s="5" t="s">
        <v>815</v>
      </c>
      <c r="C234" s="5" t="s">
        <v>358</v>
      </c>
      <c r="D234" s="5" t="s">
        <v>340</v>
      </c>
      <c r="E234" s="5" t="s">
        <v>79</v>
      </c>
      <c r="F234" s="5" t="n">
        <v>1993</v>
      </c>
      <c r="G234" s="20" t="n">
        <v>3975717</v>
      </c>
      <c r="H234" s="20" t="n">
        <v>715629</v>
      </c>
      <c r="I234" s="20" t="n">
        <v>4691346</v>
      </c>
      <c r="J234" s="5" t="s">
        <v>335</v>
      </c>
      <c r="K234" s="5" t="s">
        <v>384</v>
      </c>
    </row>
    <row r="235" customFormat="false" ht="15" hidden="false" customHeight="false" outlineLevel="0" collapsed="false">
      <c r="A235" s="5" t="s">
        <v>816</v>
      </c>
      <c r="B235" s="26" t="n">
        <v>45942</v>
      </c>
      <c r="C235" s="5" t="s">
        <v>378</v>
      </c>
      <c r="D235" s="5" t="s">
        <v>374</v>
      </c>
      <c r="E235" s="5" t="s">
        <v>359</v>
      </c>
      <c r="F235" s="5" t="n">
        <v>1978</v>
      </c>
      <c r="G235" s="5" t="s">
        <v>817</v>
      </c>
      <c r="H235" s="20" t="n">
        <v>692731</v>
      </c>
      <c r="I235" s="5" t="s">
        <v>818</v>
      </c>
      <c r="J235" s="5" t="s">
        <v>342</v>
      </c>
      <c r="K235" s="5" t="s">
        <v>336</v>
      </c>
    </row>
    <row r="236" customFormat="false" ht="15" hidden="false" customHeight="false" outlineLevel="0" collapsed="false">
      <c r="A236" s="5" t="s">
        <v>819</v>
      </c>
      <c r="B236" s="5" t="s">
        <v>820</v>
      </c>
      <c r="C236" s="5" t="s">
        <v>555</v>
      </c>
      <c r="D236" s="5" t="s">
        <v>615</v>
      </c>
      <c r="E236" s="5" t="s">
        <v>429</v>
      </c>
      <c r="F236" s="5" t="n">
        <v>757</v>
      </c>
      <c r="G236" s="20" t="n">
        <v>4944159</v>
      </c>
      <c r="H236" s="20" t="n">
        <v>889949</v>
      </c>
      <c r="I236" s="20" t="n">
        <v>5834108</v>
      </c>
      <c r="J236" s="5" t="s">
        <v>353</v>
      </c>
      <c r="K236" s="5" t="s">
        <v>406</v>
      </c>
    </row>
    <row r="237" customFormat="false" ht="15" hidden="false" customHeight="false" outlineLevel="0" collapsed="false">
      <c r="A237" s="5" t="s">
        <v>821</v>
      </c>
      <c r="B237" s="26" t="n">
        <v>45943</v>
      </c>
      <c r="C237" s="5" t="s">
        <v>419</v>
      </c>
      <c r="D237" s="5" t="s">
        <v>390</v>
      </c>
      <c r="E237" s="5" t="s">
        <v>38</v>
      </c>
      <c r="F237" s="5" t="n">
        <v>2441</v>
      </c>
      <c r="G237" s="5" t="s">
        <v>822</v>
      </c>
      <c r="H237" s="20" t="n">
        <v>780823</v>
      </c>
      <c r="I237" s="20" t="n">
        <v>5118727</v>
      </c>
      <c r="J237" s="5" t="s">
        <v>346</v>
      </c>
      <c r="K237" s="5" t="s">
        <v>336</v>
      </c>
    </row>
    <row r="238" customFormat="false" ht="15" hidden="false" customHeight="false" outlineLevel="0" collapsed="false">
      <c r="A238" s="5" t="s">
        <v>823</v>
      </c>
      <c r="B238" s="26" t="n">
        <v>45944</v>
      </c>
      <c r="C238" s="5" t="s">
        <v>824</v>
      </c>
      <c r="D238" s="5" t="s">
        <v>401</v>
      </c>
      <c r="E238" s="5" t="s">
        <v>39</v>
      </c>
      <c r="F238" s="5" t="n">
        <v>145</v>
      </c>
      <c r="G238" s="20" t="n">
        <v>3564688</v>
      </c>
      <c r="H238" s="5" t="s">
        <v>825</v>
      </c>
      <c r="I238" s="5" t="s">
        <v>826</v>
      </c>
      <c r="J238" s="5" t="s">
        <v>383</v>
      </c>
      <c r="K238" s="5" t="s">
        <v>343</v>
      </c>
    </row>
    <row r="239" customFormat="false" ht="15" hidden="false" customHeight="false" outlineLevel="0" collapsed="false">
      <c r="A239" s="5" t="s">
        <v>827</v>
      </c>
      <c r="B239" s="26" t="n">
        <v>45944</v>
      </c>
      <c r="C239" s="5" t="s">
        <v>495</v>
      </c>
      <c r="D239" s="5" t="s">
        <v>390</v>
      </c>
      <c r="E239" s="5" t="s">
        <v>41</v>
      </c>
      <c r="F239" s="5" t="n">
        <v>720</v>
      </c>
      <c r="G239" s="20" t="n">
        <v>3080657</v>
      </c>
      <c r="H239" s="20" t="n">
        <v>554518</v>
      </c>
      <c r="I239" s="5" t="s">
        <v>828</v>
      </c>
      <c r="J239" s="5" t="s">
        <v>335</v>
      </c>
      <c r="K239" s="5" t="s">
        <v>343</v>
      </c>
    </row>
    <row r="240" customFormat="false" ht="15" hidden="false" customHeight="false" outlineLevel="0" collapsed="false">
      <c r="A240" s="5" t="s">
        <v>829</v>
      </c>
      <c r="B240" s="26" t="n">
        <v>45944</v>
      </c>
      <c r="C240" s="5" t="s">
        <v>345</v>
      </c>
      <c r="D240" s="5" t="s">
        <v>334</v>
      </c>
      <c r="E240" s="5" t="s">
        <v>79</v>
      </c>
      <c r="F240" s="5" t="n">
        <v>8383</v>
      </c>
      <c r="G240" s="20" t="n">
        <v>15957207</v>
      </c>
      <c r="H240" s="20" t="n">
        <v>2872297</v>
      </c>
      <c r="I240" s="20" t="n">
        <v>18829504</v>
      </c>
      <c r="J240" s="5" t="s">
        <v>356</v>
      </c>
      <c r="K240" s="5" t="s">
        <v>336</v>
      </c>
    </row>
    <row r="241" customFormat="false" ht="15" hidden="false" customHeight="false" outlineLevel="0" collapsed="false">
      <c r="A241" s="5" t="s">
        <v>830</v>
      </c>
      <c r="B241" s="26" t="n">
        <v>45945</v>
      </c>
      <c r="C241" s="5" t="s">
        <v>831</v>
      </c>
      <c r="D241" s="5" t="s">
        <v>483</v>
      </c>
      <c r="E241" s="5" t="s">
        <v>41</v>
      </c>
      <c r="F241" s="5" t="n">
        <v>1055</v>
      </c>
      <c r="G241" s="20" t="n">
        <v>4088152</v>
      </c>
      <c r="H241" s="20" t="n">
        <v>735867</v>
      </c>
      <c r="I241" s="20" t="n">
        <v>4824019</v>
      </c>
      <c r="J241" s="5" t="s">
        <v>346</v>
      </c>
      <c r="K241" s="5" t="s">
        <v>363</v>
      </c>
    </row>
    <row r="242" customFormat="false" ht="15" hidden="false" customHeight="false" outlineLevel="0" collapsed="false">
      <c r="A242" s="5" t="s">
        <v>832</v>
      </c>
      <c r="B242" s="26" t="n">
        <v>45946</v>
      </c>
      <c r="C242" s="5" t="s">
        <v>345</v>
      </c>
      <c r="D242" s="5" t="s">
        <v>334</v>
      </c>
      <c r="E242" s="5" t="s">
        <v>81</v>
      </c>
      <c r="F242" s="5" t="n">
        <v>668</v>
      </c>
      <c r="G242" s="5" t="s">
        <v>375</v>
      </c>
      <c r="H242" s="20" t="n">
        <v>450000</v>
      </c>
      <c r="I242" s="20" t="n">
        <v>2950000</v>
      </c>
      <c r="J242" s="5" t="s">
        <v>383</v>
      </c>
      <c r="K242" s="5" t="s">
        <v>396</v>
      </c>
    </row>
    <row r="243" customFormat="false" ht="15" hidden="false" customHeight="false" outlineLevel="0" collapsed="false">
      <c r="A243" s="5" t="s">
        <v>833</v>
      </c>
      <c r="B243" s="5" t="s">
        <v>834</v>
      </c>
      <c r="C243" s="5" t="s">
        <v>419</v>
      </c>
      <c r="D243" s="5" t="s">
        <v>390</v>
      </c>
      <c r="E243" s="5" t="s">
        <v>38</v>
      </c>
      <c r="F243" s="5" t="n">
        <v>5597</v>
      </c>
      <c r="G243" s="20" t="n">
        <v>9626520</v>
      </c>
      <c r="H243" s="20" t="n">
        <v>1732774</v>
      </c>
      <c r="I243" s="5" t="s">
        <v>835</v>
      </c>
      <c r="J243" s="5" t="s">
        <v>353</v>
      </c>
      <c r="K243" s="5" t="s">
        <v>343</v>
      </c>
    </row>
    <row r="244" customFormat="false" ht="15" hidden="false" customHeight="false" outlineLevel="0" collapsed="false">
      <c r="A244" s="5" t="s">
        <v>836</v>
      </c>
      <c r="B244" s="26" t="n">
        <v>45946</v>
      </c>
      <c r="C244" s="5" t="s">
        <v>358</v>
      </c>
      <c r="D244" s="5" t="s">
        <v>390</v>
      </c>
      <c r="E244" s="5" t="s">
        <v>41</v>
      </c>
      <c r="F244" s="5" t="n">
        <v>814</v>
      </c>
      <c r="G244" s="20" t="n">
        <v>3257046</v>
      </c>
      <c r="H244" s="20" t="n">
        <v>586268</v>
      </c>
      <c r="I244" s="20" t="n">
        <v>3843314</v>
      </c>
      <c r="J244" s="5" t="s">
        <v>356</v>
      </c>
      <c r="K244" s="5" t="s">
        <v>368</v>
      </c>
    </row>
    <row r="245" customFormat="false" ht="15" hidden="false" customHeight="false" outlineLevel="0" collapsed="false">
      <c r="A245" s="5" t="s">
        <v>837</v>
      </c>
      <c r="B245" s="26" t="n">
        <v>45948</v>
      </c>
      <c r="C245" s="5" t="s">
        <v>419</v>
      </c>
      <c r="D245" s="5" t="s">
        <v>390</v>
      </c>
      <c r="E245" s="5" t="s">
        <v>359</v>
      </c>
      <c r="F245" s="5" t="n">
        <v>5679</v>
      </c>
      <c r="G245" s="5" t="s">
        <v>838</v>
      </c>
      <c r="H245" s="5" t="s">
        <v>839</v>
      </c>
      <c r="I245" s="20" t="n">
        <v>12940544</v>
      </c>
      <c r="J245" s="5" t="s">
        <v>356</v>
      </c>
      <c r="K245" s="5" t="s">
        <v>384</v>
      </c>
    </row>
    <row r="246" customFormat="false" ht="15" hidden="false" customHeight="false" outlineLevel="0" collapsed="false">
      <c r="A246" s="5" t="s">
        <v>840</v>
      </c>
      <c r="B246" s="26" t="n">
        <v>45949</v>
      </c>
      <c r="C246" s="5" t="s">
        <v>824</v>
      </c>
      <c r="D246" s="5" t="s">
        <v>374</v>
      </c>
      <c r="E246" s="5" t="s">
        <v>39</v>
      </c>
      <c r="F246" s="5" t="n">
        <v>264</v>
      </c>
      <c r="G246" s="5" t="s">
        <v>841</v>
      </c>
      <c r="H246" s="20" t="n">
        <v>1169590</v>
      </c>
      <c r="I246" s="20" t="n">
        <v>7667311</v>
      </c>
      <c r="J246" s="5" t="s">
        <v>356</v>
      </c>
      <c r="K246" s="5" t="s">
        <v>384</v>
      </c>
    </row>
    <row r="247" customFormat="false" ht="15" hidden="false" customHeight="false" outlineLevel="0" collapsed="false">
      <c r="A247" s="5" t="s">
        <v>842</v>
      </c>
      <c r="B247" s="26" t="n">
        <v>45949</v>
      </c>
      <c r="C247" s="5" t="s">
        <v>365</v>
      </c>
      <c r="D247" s="5" t="s">
        <v>524</v>
      </c>
      <c r="E247" s="5" t="s">
        <v>39</v>
      </c>
      <c r="F247" s="5" t="n">
        <v>111</v>
      </c>
      <c r="G247" s="20" t="n">
        <v>2500000</v>
      </c>
      <c r="H247" s="20" t="n">
        <v>0</v>
      </c>
      <c r="I247" s="20" t="n">
        <v>2500000</v>
      </c>
      <c r="J247" s="5" t="s">
        <v>342</v>
      </c>
      <c r="K247" s="5" t="s">
        <v>406</v>
      </c>
    </row>
    <row r="248" customFormat="false" ht="15" hidden="false" customHeight="false" outlineLevel="0" collapsed="false">
      <c r="A248" s="5" t="s">
        <v>843</v>
      </c>
      <c r="B248" s="26" t="n">
        <v>45949</v>
      </c>
      <c r="C248" s="5" t="s">
        <v>650</v>
      </c>
      <c r="D248" s="5" t="s">
        <v>374</v>
      </c>
      <c r="E248" s="5" t="s">
        <v>41</v>
      </c>
      <c r="F248" s="5" t="n">
        <v>3607</v>
      </c>
      <c r="G248" s="5" t="s">
        <v>844</v>
      </c>
      <c r="H248" s="20" t="n">
        <v>2303047</v>
      </c>
      <c r="I248" s="20" t="n">
        <v>15097752</v>
      </c>
      <c r="J248" s="5" t="s">
        <v>342</v>
      </c>
      <c r="K248" s="5" t="s">
        <v>396</v>
      </c>
    </row>
    <row r="249" customFormat="false" ht="15" hidden="false" customHeight="false" outlineLevel="0" collapsed="false">
      <c r="A249" s="5" t="s">
        <v>845</v>
      </c>
      <c r="B249" s="26" t="n">
        <v>45950</v>
      </c>
      <c r="C249" s="5" t="s">
        <v>394</v>
      </c>
      <c r="D249" s="5" t="s">
        <v>350</v>
      </c>
      <c r="E249" s="5" t="s">
        <v>39</v>
      </c>
      <c r="F249" s="5" t="n">
        <v>406</v>
      </c>
      <c r="G249" s="20" t="n">
        <v>10807062</v>
      </c>
      <c r="H249" s="20" t="n">
        <v>1945271</v>
      </c>
      <c r="I249" s="20" t="n">
        <v>12752333</v>
      </c>
      <c r="J249" s="5" t="s">
        <v>383</v>
      </c>
      <c r="K249" s="5" t="s">
        <v>396</v>
      </c>
    </row>
    <row r="250" customFormat="false" ht="15" hidden="false" customHeight="false" outlineLevel="0" collapsed="false">
      <c r="A250" s="5" t="s">
        <v>846</v>
      </c>
      <c r="B250" s="26" t="n">
        <v>45951</v>
      </c>
      <c r="C250" s="5" t="s">
        <v>389</v>
      </c>
      <c r="D250" s="5" t="s">
        <v>390</v>
      </c>
      <c r="E250" s="5" t="s">
        <v>38</v>
      </c>
      <c r="F250" s="5" t="n">
        <v>1897</v>
      </c>
      <c r="G250" s="5" t="s">
        <v>847</v>
      </c>
      <c r="H250" s="20" t="n">
        <v>652886</v>
      </c>
      <c r="I250" s="5" t="s">
        <v>848</v>
      </c>
      <c r="J250" s="5" t="s">
        <v>335</v>
      </c>
      <c r="K250" s="5" t="s">
        <v>343</v>
      </c>
    </row>
    <row r="251" customFormat="false" ht="15" hidden="false" customHeight="false" outlineLevel="0" collapsed="false">
      <c r="A251" s="5" t="s">
        <v>849</v>
      </c>
      <c r="B251" s="26" t="n">
        <v>45952</v>
      </c>
      <c r="C251" s="5" t="s">
        <v>378</v>
      </c>
      <c r="D251" s="5" t="s">
        <v>374</v>
      </c>
      <c r="E251" s="5" t="s">
        <v>38</v>
      </c>
      <c r="F251" s="5" t="n">
        <v>1352</v>
      </c>
      <c r="G251" s="5" t="s">
        <v>850</v>
      </c>
      <c r="H251" s="5" t="s">
        <v>851</v>
      </c>
      <c r="I251" s="5" t="s">
        <v>852</v>
      </c>
      <c r="J251" s="5" t="s">
        <v>353</v>
      </c>
      <c r="K251" s="5" t="s">
        <v>347</v>
      </c>
    </row>
    <row r="252" customFormat="false" ht="15" hidden="false" customHeight="false" outlineLevel="0" collapsed="false">
      <c r="A252" s="5" t="s">
        <v>853</v>
      </c>
      <c r="B252" s="26" t="n">
        <v>45954</v>
      </c>
      <c r="C252" s="5" t="s">
        <v>345</v>
      </c>
      <c r="D252" s="5" t="s">
        <v>334</v>
      </c>
      <c r="E252" s="5" t="s">
        <v>38</v>
      </c>
      <c r="F252" s="5" t="n">
        <v>1946</v>
      </c>
      <c r="G252" s="20" t="n">
        <v>3747223</v>
      </c>
      <c r="H252" s="20" t="n">
        <v>674500</v>
      </c>
      <c r="I252" s="20" t="n">
        <v>4421723</v>
      </c>
      <c r="J252" s="5" t="s">
        <v>403</v>
      </c>
      <c r="K252" s="5" t="s">
        <v>406</v>
      </c>
    </row>
    <row r="253" customFormat="false" ht="15" hidden="false" customHeight="false" outlineLevel="0" collapsed="false">
      <c r="A253" s="5" t="s">
        <v>854</v>
      </c>
      <c r="B253" s="26" t="n">
        <v>45955</v>
      </c>
      <c r="C253" s="5" t="s">
        <v>419</v>
      </c>
      <c r="D253" s="5" t="s">
        <v>390</v>
      </c>
      <c r="E253" s="5" t="s">
        <v>79</v>
      </c>
      <c r="F253" s="5" t="n">
        <v>1423</v>
      </c>
      <c r="G253" s="5" t="s">
        <v>855</v>
      </c>
      <c r="H253" s="20" t="n">
        <v>487387</v>
      </c>
      <c r="I253" s="20" t="n">
        <v>3195093</v>
      </c>
      <c r="J253" s="5" t="s">
        <v>383</v>
      </c>
      <c r="K253" s="5" t="s">
        <v>396</v>
      </c>
    </row>
    <row r="254" customFormat="false" ht="15" hidden="false" customHeight="false" outlineLevel="0" collapsed="false">
      <c r="A254" s="5" t="s">
        <v>856</v>
      </c>
      <c r="B254" s="5" t="s">
        <v>857</v>
      </c>
      <c r="C254" s="5" t="s">
        <v>507</v>
      </c>
      <c r="D254" s="5" t="s">
        <v>350</v>
      </c>
      <c r="E254" s="5" t="s">
        <v>39</v>
      </c>
      <c r="F254" s="5" t="n">
        <v>218</v>
      </c>
      <c r="G254" s="20" t="n">
        <v>4868886</v>
      </c>
      <c r="H254" s="20" t="n">
        <v>876399</v>
      </c>
      <c r="I254" s="5" t="s">
        <v>858</v>
      </c>
      <c r="J254" s="5" t="s">
        <v>383</v>
      </c>
      <c r="K254" s="5" t="s">
        <v>406</v>
      </c>
    </row>
    <row r="255" customFormat="false" ht="15" hidden="false" customHeight="false" outlineLevel="0" collapsed="false">
      <c r="A255" s="5" t="s">
        <v>859</v>
      </c>
      <c r="B255" s="26" t="n">
        <v>45957</v>
      </c>
      <c r="C255" s="5" t="s">
        <v>495</v>
      </c>
      <c r="D255" s="5" t="s">
        <v>340</v>
      </c>
      <c r="E255" s="5" t="s">
        <v>38</v>
      </c>
      <c r="F255" s="5" t="n">
        <v>2412</v>
      </c>
      <c r="G255" s="5" t="s">
        <v>860</v>
      </c>
      <c r="H255" s="20" t="n">
        <v>786495</v>
      </c>
      <c r="I255" s="5" t="s">
        <v>861</v>
      </c>
      <c r="J255" s="5" t="s">
        <v>335</v>
      </c>
      <c r="K255" s="5" t="s">
        <v>384</v>
      </c>
    </row>
    <row r="256" customFormat="false" ht="15" hidden="false" customHeight="false" outlineLevel="0" collapsed="false">
      <c r="A256" s="5" t="s">
        <v>862</v>
      </c>
      <c r="B256" s="26" t="n">
        <v>45957</v>
      </c>
      <c r="C256" s="5" t="s">
        <v>378</v>
      </c>
      <c r="D256" s="5" t="s">
        <v>374</v>
      </c>
      <c r="E256" s="5" t="s">
        <v>81</v>
      </c>
      <c r="F256" s="5" t="n">
        <v>1022</v>
      </c>
      <c r="G256" s="20" t="n">
        <v>4354089</v>
      </c>
      <c r="H256" s="5" t="s">
        <v>863</v>
      </c>
      <c r="I256" s="20" t="n">
        <v>5137825</v>
      </c>
      <c r="J256" s="5" t="s">
        <v>346</v>
      </c>
      <c r="K256" s="5" t="s">
        <v>384</v>
      </c>
    </row>
    <row r="257" customFormat="false" ht="15" hidden="false" customHeight="false" outlineLevel="0" collapsed="false">
      <c r="A257" s="5" t="s">
        <v>864</v>
      </c>
      <c r="B257" s="26" t="n">
        <v>45958</v>
      </c>
      <c r="C257" s="5" t="s">
        <v>555</v>
      </c>
      <c r="D257" s="5" t="s">
        <v>483</v>
      </c>
      <c r="E257" s="5" t="s">
        <v>429</v>
      </c>
      <c r="F257" s="5" t="n">
        <v>477</v>
      </c>
      <c r="G257" s="20" t="n">
        <v>2949528</v>
      </c>
      <c r="H257" s="5" t="s">
        <v>865</v>
      </c>
      <c r="I257" s="20" t="n">
        <v>3480443</v>
      </c>
      <c r="J257" s="5" t="s">
        <v>335</v>
      </c>
      <c r="K257" s="5" t="s">
        <v>406</v>
      </c>
    </row>
    <row r="259" customFormat="false" ht="15" hidden="false" customHeight="false" outlineLevel="0" collapsed="false">
      <c r="A259" s="16" t="s">
        <v>866</v>
      </c>
    </row>
    <row r="260" customFormat="false" ht="15" hidden="false" customHeight="false" outlineLevel="0" collapsed="false">
      <c r="A260" s="9" t="s">
        <v>320</v>
      </c>
      <c r="B260" s="9" t="s">
        <v>321</v>
      </c>
      <c r="C260" s="9" t="s">
        <v>322</v>
      </c>
      <c r="D260" s="9" t="s">
        <v>323</v>
      </c>
      <c r="E260" s="9" t="s">
        <v>324</v>
      </c>
      <c r="F260" s="9" t="s">
        <v>325</v>
      </c>
      <c r="G260" s="9" t="s">
        <v>326</v>
      </c>
      <c r="H260" s="9" t="s">
        <v>327</v>
      </c>
      <c r="I260" s="9" t="s">
        <v>328</v>
      </c>
      <c r="J260" s="9" t="s">
        <v>329</v>
      </c>
      <c r="K260" s="9" t="s">
        <v>330</v>
      </c>
    </row>
    <row r="261" customFormat="false" ht="15" hidden="false" customHeight="false" outlineLevel="0" collapsed="false">
      <c r="A261" s="5" t="s">
        <v>867</v>
      </c>
      <c r="B261" s="26" t="n">
        <v>45958</v>
      </c>
      <c r="C261" s="5" t="s">
        <v>358</v>
      </c>
      <c r="D261" s="5" t="s">
        <v>390</v>
      </c>
      <c r="E261" s="5" t="s">
        <v>41</v>
      </c>
      <c r="F261" s="5" t="n">
        <v>767</v>
      </c>
      <c r="G261" s="20" t="n">
        <v>2793811</v>
      </c>
      <c r="H261" s="20" t="n">
        <v>502886</v>
      </c>
      <c r="I261" s="5" t="s">
        <v>868</v>
      </c>
      <c r="J261" s="5" t="s">
        <v>356</v>
      </c>
      <c r="K261" s="5" t="s">
        <v>384</v>
      </c>
    </row>
    <row r="262" customFormat="false" ht="15" hidden="false" customHeight="false" outlineLevel="0" collapsed="false">
      <c r="A262" s="5" t="s">
        <v>869</v>
      </c>
      <c r="B262" s="26" t="n">
        <v>45958</v>
      </c>
      <c r="C262" s="5" t="s">
        <v>400</v>
      </c>
      <c r="D262" s="5" t="s">
        <v>374</v>
      </c>
      <c r="E262" s="5" t="s">
        <v>38</v>
      </c>
      <c r="F262" s="5" t="n">
        <v>2047</v>
      </c>
      <c r="G262" s="20" t="n">
        <v>4081116</v>
      </c>
      <c r="H262" s="20" t="n">
        <v>734601</v>
      </c>
      <c r="I262" s="5" t="s">
        <v>870</v>
      </c>
      <c r="J262" s="5" t="s">
        <v>403</v>
      </c>
      <c r="K262" s="5" t="s">
        <v>396</v>
      </c>
    </row>
    <row r="263" customFormat="false" ht="15" hidden="false" customHeight="false" outlineLevel="0" collapsed="false">
      <c r="A263" s="5" t="s">
        <v>871</v>
      </c>
      <c r="B263" s="26" t="n">
        <v>45959</v>
      </c>
      <c r="C263" s="5" t="s">
        <v>431</v>
      </c>
      <c r="D263" s="5" t="s">
        <v>334</v>
      </c>
      <c r="E263" s="5" t="s">
        <v>38</v>
      </c>
      <c r="F263" s="5" t="n">
        <v>2890</v>
      </c>
      <c r="G263" s="5" t="s">
        <v>872</v>
      </c>
      <c r="H263" s="5" t="s">
        <v>873</v>
      </c>
      <c r="I263" s="20" t="n">
        <v>6494788</v>
      </c>
      <c r="J263" s="5" t="s">
        <v>383</v>
      </c>
      <c r="K263" s="5" t="s">
        <v>336</v>
      </c>
    </row>
    <row r="264" customFormat="false" ht="15" hidden="false" customHeight="false" outlineLevel="0" collapsed="false">
      <c r="A264" s="5" t="s">
        <v>874</v>
      </c>
      <c r="B264" s="26" t="n">
        <v>45960</v>
      </c>
      <c r="C264" s="5" t="s">
        <v>358</v>
      </c>
      <c r="D264" s="5" t="s">
        <v>390</v>
      </c>
      <c r="E264" s="5" t="s">
        <v>359</v>
      </c>
      <c r="F264" s="5" t="n">
        <v>2720</v>
      </c>
      <c r="G264" s="20" t="n">
        <v>5261036</v>
      </c>
      <c r="H264" s="20" t="n">
        <v>946986</v>
      </c>
      <c r="I264" s="20" t="n">
        <v>6208022</v>
      </c>
      <c r="J264" s="5" t="s">
        <v>346</v>
      </c>
      <c r="K264" s="5" t="s">
        <v>363</v>
      </c>
    </row>
    <row r="265" customFormat="false" ht="15" hidden="false" customHeight="false" outlineLevel="0" collapsed="false">
      <c r="A265" s="5" t="s">
        <v>875</v>
      </c>
      <c r="B265" s="5" t="s">
        <v>876</v>
      </c>
      <c r="C265" s="5" t="s">
        <v>339</v>
      </c>
      <c r="D265" s="5" t="s">
        <v>390</v>
      </c>
      <c r="E265" s="5" t="s">
        <v>429</v>
      </c>
      <c r="F265" s="5" t="n">
        <v>1904</v>
      </c>
      <c r="G265" s="20" t="n">
        <v>10980099</v>
      </c>
      <c r="H265" s="20" t="n">
        <v>1976418</v>
      </c>
      <c r="I265" s="20" t="n">
        <v>12956517</v>
      </c>
      <c r="J265" s="5" t="s">
        <v>346</v>
      </c>
      <c r="K265" s="5" t="s">
        <v>343</v>
      </c>
    </row>
    <row r="266" customFormat="false" ht="15" hidden="false" customHeight="false" outlineLevel="0" collapsed="false">
      <c r="A266" s="5" t="s">
        <v>877</v>
      </c>
      <c r="B266" s="26" t="n">
        <v>45962</v>
      </c>
      <c r="C266" s="5" t="s">
        <v>449</v>
      </c>
      <c r="D266" s="5" t="s">
        <v>366</v>
      </c>
      <c r="E266" s="5" t="s">
        <v>41</v>
      </c>
      <c r="F266" s="5" t="n">
        <v>2827</v>
      </c>
      <c r="G266" s="20" t="n">
        <v>10036861</v>
      </c>
      <c r="H266" s="5" t="s">
        <v>277</v>
      </c>
      <c r="I266" s="20" t="n">
        <v>10036861</v>
      </c>
      <c r="J266" s="5" t="s">
        <v>335</v>
      </c>
      <c r="K266" s="5" t="s">
        <v>363</v>
      </c>
    </row>
    <row r="267" customFormat="false" ht="15" hidden="false" customHeight="false" outlineLevel="0" collapsed="false">
      <c r="A267" s="5" t="s">
        <v>878</v>
      </c>
      <c r="B267" s="26" t="n">
        <v>45963</v>
      </c>
      <c r="C267" s="5" t="s">
        <v>428</v>
      </c>
      <c r="D267" s="5" t="s">
        <v>401</v>
      </c>
      <c r="E267" s="5" t="s">
        <v>429</v>
      </c>
      <c r="F267" s="5" t="n">
        <v>370</v>
      </c>
      <c r="G267" s="5" t="s">
        <v>452</v>
      </c>
      <c r="H267" s="20" t="n">
        <v>450000</v>
      </c>
      <c r="I267" s="20" t="n">
        <v>2950000</v>
      </c>
      <c r="J267" s="5" t="s">
        <v>403</v>
      </c>
      <c r="K267" s="5" t="s">
        <v>363</v>
      </c>
    </row>
    <row r="268" customFormat="false" ht="15" hidden="false" customHeight="false" outlineLevel="0" collapsed="false">
      <c r="A268" s="5" t="s">
        <v>879</v>
      </c>
      <c r="B268" s="5" t="s">
        <v>880</v>
      </c>
      <c r="C268" s="5" t="s">
        <v>881</v>
      </c>
      <c r="D268" s="5" t="s">
        <v>366</v>
      </c>
      <c r="E268" s="5" t="s">
        <v>81</v>
      </c>
      <c r="F268" s="5" t="n">
        <v>4699</v>
      </c>
      <c r="G268" s="20" t="n">
        <v>18539815</v>
      </c>
      <c r="H268" s="20" t="n">
        <v>0</v>
      </c>
      <c r="I268" s="20" t="n">
        <v>18539815</v>
      </c>
      <c r="J268" s="5" t="s">
        <v>403</v>
      </c>
      <c r="K268" s="5" t="s">
        <v>336</v>
      </c>
    </row>
    <row r="269" customFormat="false" ht="15" hidden="false" customHeight="false" outlineLevel="0" collapsed="false">
      <c r="A269" s="5" t="s">
        <v>882</v>
      </c>
      <c r="B269" s="5" t="s">
        <v>883</v>
      </c>
      <c r="C269" s="5" t="s">
        <v>431</v>
      </c>
      <c r="D269" s="5" t="s">
        <v>483</v>
      </c>
      <c r="E269" s="5" t="s">
        <v>359</v>
      </c>
      <c r="F269" s="5" t="n">
        <v>2131</v>
      </c>
      <c r="G269" s="20" t="n">
        <v>3621437</v>
      </c>
      <c r="H269" s="20" t="n">
        <v>651859</v>
      </c>
      <c r="I269" s="20" t="n">
        <v>4273296</v>
      </c>
      <c r="J269" s="5" t="s">
        <v>353</v>
      </c>
      <c r="K269" s="5" t="s">
        <v>343</v>
      </c>
    </row>
    <row r="270" customFormat="false" ht="15" hidden="false" customHeight="false" outlineLevel="0" collapsed="false">
      <c r="A270" s="5" t="s">
        <v>884</v>
      </c>
      <c r="B270" s="26" t="n">
        <v>45966</v>
      </c>
      <c r="C270" s="5" t="s">
        <v>358</v>
      </c>
      <c r="D270" s="5" t="s">
        <v>390</v>
      </c>
      <c r="E270" s="5" t="s">
        <v>38</v>
      </c>
      <c r="F270" s="5" t="n">
        <v>1876</v>
      </c>
      <c r="G270" s="20" t="n">
        <v>3229595</v>
      </c>
      <c r="H270" s="20" t="n">
        <v>581327</v>
      </c>
      <c r="I270" s="20" t="n">
        <v>3810922</v>
      </c>
      <c r="J270" s="5" t="s">
        <v>335</v>
      </c>
      <c r="K270" s="5" t="s">
        <v>384</v>
      </c>
    </row>
    <row r="271" customFormat="false" ht="15" hidden="false" customHeight="false" outlineLevel="0" collapsed="false">
      <c r="A271" s="5" t="s">
        <v>885</v>
      </c>
      <c r="B271" s="5" t="s">
        <v>886</v>
      </c>
      <c r="C271" s="5" t="s">
        <v>555</v>
      </c>
      <c r="D271" s="5" t="s">
        <v>334</v>
      </c>
      <c r="E271" s="5" t="s">
        <v>429</v>
      </c>
      <c r="F271" s="5" t="n">
        <v>544</v>
      </c>
      <c r="G271" s="20" t="n">
        <v>3358275</v>
      </c>
      <c r="H271" s="20" t="n">
        <v>604490</v>
      </c>
      <c r="I271" s="20" t="n">
        <v>3962765</v>
      </c>
      <c r="J271" s="5" t="s">
        <v>342</v>
      </c>
      <c r="K271" s="5" t="s">
        <v>347</v>
      </c>
    </row>
    <row r="272" customFormat="false" ht="15" hidden="false" customHeight="false" outlineLevel="0" collapsed="false">
      <c r="A272" s="5" t="s">
        <v>887</v>
      </c>
      <c r="B272" s="5" t="s">
        <v>888</v>
      </c>
      <c r="C272" s="5" t="s">
        <v>831</v>
      </c>
      <c r="D272" s="5" t="s">
        <v>334</v>
      </c>
      <c r="E272" s="5" t="s">
        <v>38</v>
      </c>
      <c r="F272" s="5" t="n">
        <v>4485</v>
      </c>
      <c r="G272" s="20" t="n">
        <v>8444931</v>
      </c>
      <c r="H272" s="20" t="n">
        <v>1520088</v>
      </c>
      <c r="I272" s="20" t="n">
        <v>9965019</v>
      </c>
      <c r="J272" s="5" t="s">
        <v>342</v>
      </c>
      <c r="K272" s="5" t="s">
        <v>368</v>
      </c>
    </row>
    <row r="273" customFormat="false" ht="15" hidden="false" customHeight="false" outlineLevel="0" collapsed="false">
      <c r="A273" s="5" t="s">
        <v>889</v>
      </c>
      <c r="B273" s="26" t="n">
        <v>45969</v>
      </c>
      <c r="C273" s="5" t="s">
        <v>451</v>
      </c>
      <c r="D273" s="5" t="s">
        <v>416</v>
      </c>
      <c r="E273" s="5" t="s">
        <v>41</v>
      </c>
      <c r="F273" s="5" t="n">
        <v>1475</v>
      </c>
      <c r="G273" s="20" t="n">
        <v>5927398</v>
      </c>
      <c r="H273" s="20" t="n">
        <v>0</v>
      </c>
      <c r="I273" s="5" t="s">
        <v>890</v>
      </c>
      <c r="J273" s="5" t="s">
        <v>346</v>
      </c>
      <c r="K273" s="5" t="s">
        <v>336</v>
      </c>
    </row>
    <row r="274" customFormat="false" ht="15" hidden="false" customHeight="false" outlineLevel="0" collapsed="false">
      <c r="A274" s="5" t="s">
        <v>891</v>
      </c>
      <c r="B274" s="5" t="s">
        <v>892</v>
      </c>
      <c r="C274" s="5" t="s">
        <v>339</v>
      </c>
      <c r="D274" s="5" t="s">
        <v>390</v>
      </c>
      <c r="E274" s="5" t="s">
        <v>429</v>
      </c>
      <c r="F274" s="5" t="n">
        <v>753</v>
      </c>
      <c r="G274" s="5" t="s">
        <v>893</v>
      </c>
      <c r="H274" s="20" t="n">
        <v>830444</v>
      </c>
      <c r="I274" s="20" t="n">
        <v>5444021</v>
      </c>
      <c r="J274" s="5" t="s">
        <v>346</v>
      </c>
      <c r="K274" s="5" t="s">
        <v>343</v>
      </c>
    </row>
    <row r="275" customFormat="false" ht="15" hidden="false" customHeight="false" outlineLevel="0" collapsed="false">
      <c r="A275" s="5" t="s">
        <v>894</v>
      </c>
      <c r="B275" s="5" t="s">
        <v>892</v>
      </c>
      <c r="C275" s="5" t="s">
        <v>345</v>
      </c>
      <c r="D275" s="5" t="s">
        <v>334</v>
      </c>
      <c r="E275" s="5" t="s">
        <v>41</v>
      </c>
      <c r="F275" s="5" t="n">
        <v>1242</v>
      </c>
      <c r="G275" s="20" t="n">
        <v>4849808</v>
      </c>
      <c r="H275" s="20" t="n">
        <v>872965</v>
      </c>
      <c r="I275" s="20" t="n">
        <v>5722773</v>
      </c>
      <c r="J275" s="5" t="s">
        <v>403</v>
      </c>
      <c r="K275" s="5" t="s">
        <v>384</v>
      </c>
    </row>
    <row r="276" customFormat="false" ht="15" hidden="false" customHeight="false" outlineLevel="0" collapsed="false">
      <c r="A276" s="5" t="s">
        <v>895</v>
      </c>
      <c r="B276" s="5" t="s">
        <v>896</v>
      </c>
      <c r="C276" s="5" t="s">
        <v>358</v>
      </c>
      <c r="D276" s="5" t="s">
        <v>480</v>
      </c>
      <c r="E276" s="5" t="s">
        <v>79</v>
      </c>
      <c r="F276" s="5" t="n">
        <v>3061</v>
      </c>
      <c r="G276" s="20" t="n">
        <v>5823245</v>
      </c>
      <c r="H276" s="20" t="n">
        <v>1048184</v>
      </c>
      <c r="I276" s="20" t="n">
        <v>6871429</v>
      </c>
      <c r="J276" s="5" t="s">
        <v>346</v>
      </c>
      <c r="K276" s="5" t="s">
        <v>406</v>
      </c>
    </row>
    <row r="277" customFormat="false" ht="15" hidden="false" customHeight="false" outlineLevel="0" collapsed="false">
      <c r="A277" s="5" t="s">
        <v>897</v>
      </c>
      <c r="B277" s="26" t="n">
        <v>45970</v>
      </c>
      <c r="C277" s="5" t="s">
        <v>345</v>
      </c>
      <c r="D277" s="5" t="s">
        <v>483</v>
      </c>
      <c r="E277" s="5" t="s">
        <v>41</v>
      </c>
      <c r="F277" s="5" t="n">
        <v>1103</v>
      </c>
      <c r="G277" s="20" t="n">
        <v>4450764</v>
      </c>
      <c r="H277" s="5" t="s">
        <v>898</v>
      </c>
      <c r="I277" s="20" t="n">
        <v>5251902</v>
      </c>
      <c r="J277" s="5" t="s">
        <v>383</v>
      </c>
      <c r="K277" s="5" t="s">
        <v>347</v>
      </c>
    </row>
    <row r="278" customFormat="false" ht="15" hidden="false" customHeight="false" outlineLevel="0" collapsed="false">
      <c r="A278" s="5" t="s">
        <v>899</v>
      </c>
      <c r="B278" s="26" t="n">
        <v>45972</v>
      </c>
      <c r="C278" s="5" t="s">
        <v>358</v>
      </c>
      <c r="D278" s="5" t="s">
        <v>390</v>
      </c>
      <c r="E278" s="5" t="s">
        <v>81</v>
      </c>
      <c r="F278" s="5" t="n">
        <v>2071</v>
      </c>
      <c r="G278" s="20" t="n">
        <v>7460591</v>
      </c>
      <c r="H278" s="20" t="n">
        <v>1342906</v>
      </c>
      <c r="I278" s="20" t="n">
        <v>8803497</v>
      </c>
      <c r="J278" s="5" t="s">
        <v>356</v>
      </c>
      <c r="K278" s="5" t="s">
        <v>396</v>
      </c>
      <c r="L278" s="5" t="s">
        <v>537</v>
      </c>
    </row>
    <row r="279" customFormat="false" ht="15" hidden="false" customHeight="false" outlineLevel="0" collapsed="false">
      <c r="A279" s="5" t="s">
        <v>900</v>
      </c>
      <c r="B279" s="26" t="n">
        <v>45974</v>
      </c>
      <c r="C279" s="5" t="s">
        <v>428</v>
      </c>
      <c r="D279" s="5" t="s">
        <v>605</v>
      </c>
      <c r="E279" s="5" t="s">
        <v>429</v>
      </c>
      <c r="F279" s="5" t="n">
        <v>443</v>
      </c>
      <c r="G279" s="5" t="s">
        <v>452</v>
      </c>
      <c r="H279" s="20" t="n">
        <v>450000</v>
      </c>
      <c r="I279" s="20" t="n">
        <v>2950000</v>
      </c>
      <c r="J279" s="5" t="s">
        <v>356</v>
      </c>
      <c r="K279" s="5" t="s">
        <v>347</v>
      </c>
    </row>
    <row r="280" customFormat="false" ht="15" hidden="false" customHeight="false" outlineLevel="0" collapsed="false">
      <c r="A280" s="5" t="s">
        <v>901</v>
      </c>
      <c r="B280" s="26" t="n">
        <v>45977</v>
      </c>
      <c r="C280" s="5" t="s">
        <v>415</v>
      </c>
      <c r="D280" s="5" t="s">
        <v>416</v>
      </c>
      <c r="E280" s="5" t="s">
        <v>79</v>
      </c>
      <c r="F280" s="5" t="n">
        <v>8907</v>
      </c>
      <c r="G280" s="20" t="n">
        <v>17338649</v>
      </c>
      <c r="H280" s="5" t="s">
        <v>440</v>
      </c>
      <c r="I280" s="20" t="n">
        <v>17338649</v>
      </c>
      <c r="J280" s="5" t="s">
        <v>403</v>
      </c>
      <c r="K280" s="5" t="s">
        <v>384</v>
      </c>
    </row>
    <row r="281" customFormat="false" ht="15" hidden="false" customHeight="false" outlineLevel="0" collapsed="false">
      <c r="A281" s="5" t="s">
        <v>902</v>
      </c>
      <c r="B281" s="26" t="n">
        <v>45977</v>
      </c>
      <c r="C281" s="5" t="s">
        <v>358</v>
      </c>
      <c r="D281" s="5" t="s">
        <v>390</v>
      </c>
      <c r="E281" s="5" t="s">
        <v>41</v>
      </c>
      <c r="F281" s="5" t="n">
        <v>1539</v>
      </c>
      <c r="G281" s="20" t="n">
        <v>5827977</v>
      </c>
      <c r="H281" s="20" t="n">
        <v>1049036</v>
      </c>
      <c r="I281" s="20" t="n">
        <v>6877013</v>
      </c>
      <c r="J281" s="5" t="s">
        <v>346</v>
      </c>
      <c r="K281" s="5" t="s">
        <v>336</v>
      </c>
    </row>
    <row r="282" customFormat="false" ht="15" hidden="false" customHeight="false" outlineLevel="0" collapsed="false">
      <c r="A282" s="5" t="s">
        <v>903</v>
      </c>
      <c r="B282" s="26" t="n">
        <v>45978</v>
      </c>
      <c r="C282" s="5" t="s">
        <v>345</v>
      </c>
      <c r="D282" s="5" t="s">
        <v>334</v>
      </c>
      <c r="E282" s="5" t="s">
        <v>38</v>
      </c>
      <c r="F282" s="5" t="n">
        <v>4041</v>
      </c>
      <c r="G282" s="20" t="n">
        <v>6954661</v>
      </c>
      <c r="H282" s="5" t="s">
        <v>904</v>
      </c>
      <c r="I282" s="5" t="s">
        <v>905</v>
      </c>
      <c r="J282" s="5" t="s">
        <v>353</v>
      </c>
      <c r="K282" s="5" t="s">
        <v>406</v>
      </c>
    </row>
    <row r="283" customFormat="false" ht="15" hidden="false" customHeight="false" outlineLevel="0" collapsed="false">
      <c r="A283" s="5" t="s">
        <v>906</v>
      </c>
      <c r="B283" s="5" t="s">
        <v>907</v>
      </c>
      <c r="C283" s="5" t="s">
        <v>415</v>
      </c>
      <c r="D283" s="5" t="s">
        <v>366</v>
      </c>
      <c r="E283" s="5" t="s">
        <v>38</v>
      </c>
      <c r="F283" s="5" t="n">
        <v>4368</v>
      </c>
      <c r="G283" s="20" t="n">
        <v>7345180</v>
      </c>
      <c r="H283" s="20" t="n">
        <v>0</v>
      </c>
      <c r="I283" s="5" t="s">
        <v>908</v>
      </c>
      <c r="J283" s="5" t="s">
        <v>342</v>
      </c>
      <c r="K283" s="5" t="s">
        <v>396</v>
      </c>
    </row>
    <row r="284" customFormat="false" ht="15" hidden="false" customHeight="false" outlineLevel="0" collapsed="false">
      <c r="A284" s="5" t="s">
        <v>909</v>
      </c>
      <c r="B284" s="26" t="n">
        <v>45981</v>
      </c>
      <c r="C284" s="5" t="s">
        <v>701</v>
      </c>
      <c r="D284" s="5" t="s">
        <v>340</v>
      </c>
      <c r="E284" s="5" t="s">
        <v>79</v>
      </c>
      <c r="F284" s="5" t="n">
        <v>1437</v>
      </c>
      <c r="G284" s="20" t="n">
        <v>2607748</v>
      </c>
      <c r="H284" s="5" t="s">
        <v>910</v>
      </c>
      <c r="I284" s="5" t="s">
        <v>911</v>
      </c>
      <c r="J284" s="5" t="s">
        <v>335</v>
      </c>
      <c r="K284" s="5" t="s">
        <v>384</v>
      </c>
    </row>
    <row r="285" customFormat="false" ht="15" hidden="false" customHeight="false" outlineLevel="0" collapsed="false">
      <c r="A285" s="5" t="s">
        <v>912</v>
      </c>
      <c r="B285" s="5" t="s">
        <v>913</v>
      </c>
      <c r="C285" s="5" t="s">
        <v>373</v>
      </c>
      <c r="D285" s="5" t="s">
        <v>374</v>
      </c>
      <c r="E285" s="5" t="s">
        <v>39</v>
      </c>
      <c r="F285" s="5" t="n">
        <v>105</v>
      </c>
      <c r="G285" s="20" t="n">
        <v>2500000</v>
      </c>
      <c r="H285" s="5" t="s">
        <v>412</v>
      </c>
      <c r="I285" s="20" t="n">
        <v>2950000</v>
      </c>
      <c r="J285" s="5" t="s">
        <v>353</v>
      </c>
      <c r="K285" s="5" t="s">
        <v>368</v>
      </c>
    </row>
    <row r="286" customFormat="false" ht="15" hidden="false" customHeight="false" outlineLevel="0" collapsed="false">
      <c r="A286" s="5" t="s">
        <v>914</v>
      </c>
      <c r="B286" s="26" t="n">
        <v>45982</v>
      </c>
      <c r="C286" s="5" t="s">
        <v>555</v>
      </c>
      <c r="D286" s="5" t="s">
        <v>334</v>
      </c>
      <c r="E286" s="5" t="s">
        <v>82</v>
      </c>
      <c r="F286" s="5" t="n">
        <v>527</v>
      </c>
      <c r="G286" s="20" t="n">
        <v>3117770</v>
      </c>
      <c r="H286" s="5" t="s">
        <v>915</v>
      </c>
      <c r="I286" s="20" t="n">
        <v>3678969</v>
      </c>
      <c r="J286" s="5" t="s">
        <v>403</v>
      </c>
      <c r="K286" s="5" t="s">
        <v>384</v>
      </c>
    </row>
    <row r="287" customFormat="false" ht="15" hidden="false" customHeight="false" outlineLevel="0" collapsed="false">
      <c r="A287" s="5" t="s">
        <v>916</v>
      </c>
      <c r="B287" s="26" t="n">
        <v>45983</v>
      </c>
      <c r="C287" s="5" t="s">
        <v>722</v>
      </c>
      <c r="D287" s="5" t="s">
        <v>374</v>
      </c>
      <c r="E287" s="5" t="s">
        <v>355</v>
      </c>
      <c r="F287" s="5" t="n">
        <v>1152</v>
      </c>
      <c r="G287" s="5" t="s">
        <v>917</v>
      </c>
      <c r="H287" s="20" t="n">
        <v>832706</v>
      </c>
      <c r="I287" s="20" t="n">
        <v>5458852</v>
      </c>
      <c r="J287" s="5" t="s">
        <v>353</v>
      </c>
      <c r="K287" s="5" t="s">
        <v>406</v>
      </c>
    </row>
    <row r="288" customFormat="false" ht="15" hidden="false" customHeight="false" outlineLevel="0" collapsed="false">
      <c r="A288" s="5" t="s">
        <v>918</v>
      </c>
      <c r="B288" s="26" t="n">
        <v>45983</v>
      </c>
      <c r="C288" s="5" t="s">
        <v>495</v>
      </c>
      <c r="D288" s="5" t="s">
        <v>390</v>
      </c>
      <c r="E288" s="5" t="s">
        <v>359</v>
      </c>
      <c r="F288" s="5" t="n">
        <v>3664</v>
      </c>
      <c r="G288" s="5" t="s">
        <v>919</v>
      </c>
      <c r="H288" s="20" t="n">
        <v>1329837</v>
      </c>
      <c r="I288" s="20" t="n">
        <v>8717821</v>
      </c>
      <c r="J288" s="5" t="s">
        <v>342</v>
      </c>
      <c r="K288" s="5" t="s">
        <v>384</v>
      </c>
    </row>
    <row r="289" customFormat="false" ht="15" hidden="false" customHeight="false" outlineLevel="0" collapsed="false">
      <c r="A289" s="5" t="s">
        <v>920</v>
      </c>
      <c r="B289" s="26" t="n">
        <v>45984</v>
      </c>
      <c r="C289" s="5" t="s">
        <v>378</v>
      </c>
      <c r="D289" s="5" t="s">
        <v>374</v>
      </c>
      <c r="E289" s="5" t="s">
        <v>355</v>
      </c>
      <c r="F289" s="5" t="n">
        <v>4171</v>
      </c>
      <c r="G289" s="20" t="n">
        <v>17505335</v>
      </c>
      <c r="H289" s="5" t="s">
        <v>921</v>
      </c>
      <c r="I289" s="5" t="s">
        <v>922</v>
      </c>
      <c r="J289" s="5" t="s">
        <v>342</v>
      </c>
      <c r="K289" s="5" t="s">
        <v>336</v>
      </c>
    </row>
    <row r="290" customFormat="false" ht="15" hidden="false" customHeight="false" outlineLevel="0" collapsed="false">
      <c r="A290" s="5" t="s">
        <v>923</v>
      </c>
      <c r="B290" s="5" t="s">
        <v>924</v>
      </c>
      <c r="C290" s="5" t="s">
        <v>389</v>
      </c>
      <c r="D290" s="5" t="s">
        <v>480</v>
      </c>
      <c r="E290" s="5" t="s">
        <v>79</v>
      </c>
      <c r="F290" s="5" t="n">
        <v>6371</v>
      </c>
      <c r="G290" s="20" t="n">
        <v>10885646</v>
      </c>
      <c r="H290" s="20" t="n">
        <v>1959416</v>
      </c>
      <c r="I290" s="20" t="n">
        <v>12845062</v>
      </c>
      <c r="J290" s="5" t="s">
        <v>356</v>
      </c>
      <c r="K290" s="5" t="s">
        <v>347</v>
      </c>
    </row>
    <row r="291" customFormat="false" ht="15" hidden="false" customHeight="false" outlineLevel="0" collapsed="false">
      <c r="A291" s="5" t="s">
        <v>925</v>
      </c>
      <c r="B291" s="26" t="n">
        <v>45985</v>
      </c>
      <c r="C291" s="5" t="s">
        <v>451</v>
      </c>
      <c r="D291" s="5" t="s">
        <v>398</v>
      </c>
      <c r="E291" s="5" t="s">
        <v>79</v>
      </c>
      <c r="F291" s="5" t="n">
        <v>5126</v>
      </c>
      <c r="G291" s="20" t="n">
        <v>9084637</v>
      </c>
      <c r="H291" s="20" t="n">
        <v>0</v>
      </c>
      <c r="I291" s="5" t="s">
        <v>926</v>
      </c>
      <c r="J291" s="5" t="s">
        <v>335</v>
      </c>
      <c r="K291" s="5" t="s">
        <v>363</v>
      </c>
    </row>
    <row r="292" customFormat="false" ht="15" hidden="false" customHeight="false" outlineLevel="0" collapsed="false">
      <c r="A292" s="5" t="s">
        <v>927</v>
      </c>
      <c r="B292" s="26" t="n">
        <v>45985</v>
      </c>
      <c r="C292" s="5" t="s">
        <v>345</v>
      </c>
      <c r="D292" s="5" t="s">
        <v>334</v>
      </c>
      <c r="E292" s="5" t="s">
        <v>38</v>
      </c>
      <c r="F292" s="5" t="n">
        <v>6695</v>
      </c>
      <c r="G292" s="20" t="n">
        <v>12606212</v>
      </c>
      <c r="H292" s="20" t="n">
        <v>2269118</v>
      </c>
      <c r="I292" s="20" t="n">
        <v>14875330</v>
      </c>
      <c r="J292" s="5" t="s">
        <v>383</v>
      </c>
      <c r="K292" s="5" t="s">
        <v>347</v>
      </c>
    </row>
    <row r="293" customFormat="false" ht="15" hidden="false" customHeight="false" outlineLevel="0" collapsed="false">
      <c r="A293" s="5" t="s">
        <v>928</v>
      </c>
      <c r="B293" s="26" t="n">
        <v>45985</v>
      </c>
      <c r="C293" s="5" t="s">
        <v>929</v>
      </c>
      <c r="D293" s="5" t="s">
        <v>340</v>
      </c>
      <c r="E293" s="5" t="s">
        <v>351</v>
      </c>
      <c r="F293" s="5" t="n">
        <v>406</v>
      </c>
      <c r="G293" s="5" t="s">
        <v>930</v>
      </c>
      <c r="H293" s="20" t="n">
        <v>1956898</v>
      </c>
      <c r="I293" s="5" t="s">
        <v>931</v>
      </c>
      <c r="J293" s="5" t="s">
        <v>335</v>
      </c>
      <c r="K293" s="5" t="s">
        <v>384</v>
      </c>
    </row>
    <row r="294" customFormat="false" ht="15" hidden="false" customHeight="false" outlineLevel="0" collapsed="false">
      <c r="A294" s="5" t="s">
        <v>932</v>
      </c>
      <c r="B294" s="26" t="n">
        <v>45986</v>
      </c>
      <c r="C294" s="5" t="s">
        <v>507</v>
      </c>
      <c r="D294" s="5" t="s">
        <v>350</v>
      </c>
      <c r="E294" s="5" t="s">
        <v>39</v>
      </c>
      <c r="F294" s="5" t="n">
        <v>395</v>
      </c>
      <c r="G294" s="20" t="n">
        <v>9547886</v>
      </c>
      <c r="H294" s="20" t="n">
        <v>1718619</v>
      </c>
      <c r="I294" s="20" t="n">
        <v>11266505</v>
      </c>
      <c r="J294" s="5" t="s">
        <v>353</v>
      </c>
      <c r="K294" s="5" t="s">
        <v>347</v>
      </c>
    </row>
    <row r="295" customFormat="false" ht="15" hidden="false" customHeight="false" outlineLevel="0" collapsed="false">
      <c r="A295" s="5" t="s">
        <v>933</v>
      </c>
      <c r="B295" s="26" t="n">
        <v>45986</v>
      </c>
      <c r="C295" s="5" t="s">
        <v>378</v>
      </c>
      <c r="D295" s="5" t="s">
        <v>374</v>
      </c>
      <c r="E295" s="5" t="s">
        <v>359</v>
      </c>
      <c r="F295" s="5" t="n">
        <v>3601</v>
      </c>
      <c r="G295" s="5" t="s">
        <v>934</v>
      </c>
      <c r="H295" s="20" t="n">
        <v>1092170</v>
      </c>
      <c r="I295" s="5" t="s">
        <v>935</v>
      </c>
      <c r="J295" s="5" t="s">
        <v>403</v>
      </c>
      <c r="K295" s="5" t="s">
        <v>347</v>
      </c>
    </row>
    <row r="296" customFormat="false" ht="15" hidden="false" customHeight="false" outlineLevel="0" collapsed="false">
      <c r="A296" s="5" t="s">
        <v>936</v>
      </c>
      <c r="B296" s="26" t="n">
        <v>45987</v>
      </c>
      <c r="C296" s="5" t="s">
        <v>492</v>
      </c>
      <c r="D296" s="5" t="s">
        <v>350</v>
      </c>
      <c r="E296" s="5" t="s">
        <v>355</v>
      </c>
      <c r="F296" s="5" t="n">
        <v>802</v>
      </c>
      <c r="G296" s="20" t="n">
        <v>3199704</v>
      </c>
      <c r="H296" s="20" t="n">
        <v>575947</v>
      </c>
      <c r="I296" s="20" t="n">
        <v>3775651</v>
      </c>
      <c r="J296" s="5" t="s">
        <v>346</v>
      </c>
      <c r="K296" s="5" t="s">
        <v>343</v>
      </c>
    </row>
    <row r="297" customFormat="false" ht="15" hidden="false" customHeight="false" outlineLevel="0" collapsed="false">
      <c r="A297" s="5" t="s">
        <v>937</v>
      </c>
      <c r="B297" s="26" t="n">
        <v>45988</v>
      </c>
      <c r="C297" s="5" t="s">
        <v>339</v>
      </c>
      <c r="D297" s="5" t="s">
        <v>390</v>
      </c>
      <c r="E297" s="5" t="s">
        <v>429</v>
      </c>
      <c r="F297" s="5" t="n">
        <v>844</v>
      </c>
      <c r="G297" s="20" t="n">
        <v>5159348</v>
      </c>
      <c r="H297" s="5" t="s">
        <v>938</v>
      </c>
      <c r="I297" s="5" t="s">
        <v>939</v>
      </c>
      <c r="J297" s="5" t="s">
        <v>346</v>
      </c>
      <c r="K297" s="5" t="s">
        <v>363</v>
      </c>
    </row>
    <row r="298" customFormat="false" ht="15" hidden="false" customHeight="false" outlineLevel="0" collapsed="false">
      <c r="A298" s="5" t="s">
        <v>940</v>
      </c>
      <c r="B298" s="26" t="n">
        <v>45988</v>
      </c>
      <c r="C298" s="5" t="s">
        <v>507</v>
      </c>
      <c r="D298" s="5" t="s">
        <v>405</v>
      </c>
      <c r="E298" s="5" t="s">
        <v>39</v>
      </c>
      <c r="F298" s="5" t="n">
        <v>360</v>
      </c>
      <c r="G298" s="20" t="n">
        <v>8142848</v>
      </c>
      <c r="H298" s="20" t="n">
        <v>1465713</v>
      </c>
      <c r="I298" s="20" t="n">
        <v>9608561</v>
      </c>
      <c r="J298" s="5" t="s">
        <v>335</v>
      </c>
      <c r="K298" s="5" t="s">
        <v>396</v>
      </c>
    </row>
    <row r="299" customFormat="false" ht="15" hidden="false" customHeight="false" outlineLevel="0" collapsed="false">
      <c r="A299" s="5" t="s">
        <v>941</v>
      </c>
      <c r="B299" s="26" t="n">
        <v>45988</v>
      </c>
      <c r="C299" s="5" t="s">
        <v>378</v>
      </c>
      <c r="D299" s="5" t="s">
        <v>374</v>
      </c>
      <c r="E299" s="5" t="s">
        <v>41</v>
      </c>
      <c r="F299" s="5" t="n">
        <v>2508</v>
      </c>
      <c r="G299" s="5" t="s">
        <v>942</v>
      </c>
      <c r="H299" s="20" t="n">
        <v>1727382</v>
      </c>
      <c r="I299" s="20" t="n">
        <v>11323947</v>
      </c>
      <c r="J299" s="5" t="s">
        <v>403</v>
      </c>
      <c r="K299" s="5" t="s">
        <v>406</v>
      </c>
    </row>
    <row r="300" customFormat="false" ht="15" hidden="false" customHeight="false" outlineLevel="0" collapsed="false">
      <c r="A300" s="5" t="s">
        <v>943</v>
      </c>
      <c r="B300" s="5" t="s">
        <v>944</v>
      </c>
      <c r="C300" s="5" t="s">
        <v>455</v>
      </c>
      <c r="D300" s="5" t="s">
        <v>390</v>
      </c>
      <c r="E300" s="5" t="s">
        <v>351</v>
      </c>
      <c r="F300" s="5" t="n">
        <v>223</v>
      </c>
      <c r="G300" s="20" t="n">
        <v>5453095</v>
      </c>
      <c r="H300" s="20" t="n">
        <v>981557</v>
      </c>
      <c r="I300" s="20" t="n">
        <v>6434652</v>
      </c>
      <c r="J300" s="5" t="s">
        <v>403</v>
      </c>
      <c r="K300" s="5" t="s">
        <v>336</v>
      </c>
    </row>
    <row r="301" customFormat="false" ht="15" hidden="false" customHeight="false" outlineLevel="0" collapsed="false">
      <c r="A301" s="5" t="s">
        <v>945</v>
      </c>
      <c r="B301" s="26" t="n">
        <v>45989</v>
      </c>
      <c r="C301" s="5" t="s">
        <v>339</v>
      </c>
      <c r="D301" s="5" t="s">
        <v>480</v>
      </c>
      <c r="E301" s="5" t="s">
        <v>429</v>
      </c>
      <c r="F301" s="5" t="n">
        <v>409</v>
      </c>
      <c r="G301" s="20" t="n">
        <v>2722959</v>
      </c>
      <c r="H301" s="20" t="n">
        <v>490133</v>
      </c>
      <c r="I301" s="5" t="s">
        <v>946</v>
      </c>
      <c r="J301" s="5" t="s">
        <v>346</v>
      </c>
      <c r="K301" s="5" t="s">
        <v>406</v>
      </c>
      <c r="L301" s="5" t="s">
        <v>537</v>
      </c>
    </row>
    <row r="302" customFormat="false" ht="15" hidden="false" customHeight="false" outlineLevel="0" collapsed="false">
      <c r="A302" s="5" t="s">
        <v>947</v>
      </c>
      <c r="B302" s="26" t="n">
        <v>45990</v>
      </c>
      <c r="C302" s="5" t="s">
        <v>948</v>
      </c>
      <c r="D302" s="5" t="s">
        <v>432</v>
      </c>
      <c r="E302" s="5" t="s">
        <v>38</v>
      </c>
      <c r="F302" s="5" t="n">
        <v>2351</v>
      </c>
      <c r="G302" s="20" t="n">
        <v>4551869</v>
      </c>
      <c r="H302" s="5" t="s">
        <v>949</v>
      </c>
      <c r="I302" s="20" t="n">
        <v>5371205</v>
      </c>
      <c r="J302" s="5" t="s">
        <v>356</v>
      </c>
      <c r="K302" s="5" t="s">
        <v>347</v>
      </c>
    </row>
    <row r="303" customFormat="false" ht="15" hidden="false" customHeight="false" outlineLevel="0" collapsed="false">
      <c r="A303" s="5" t="s">
        <v>950</v>
      </c>
      <c r="B303" s="26" t="n">
        <v>45992</v>
      </c>
      <c r="C303" s="5" t="s">
        <v>951</v>
      </c>
      <c r="D303" s="5" t="s">
        <v>350</v>
      </c>
      <c r="E303" s="5" t="s">
        <v>39</v>
      </c>
      <c r="F303" s="5" t="n">
        <v>261</v>
      </c>
      <c r="G303" s="20" t="n">
        <v>5817991</v>
      </c>
      <c r="H303" s="20" t="n">
        <v>1047238</v>
      </c>
      <c r="I303" s="20" t="n">
        <v>6865229</v>
      </c>
      <c r="J303" s="5" t="s">
        <v>335</v>
      </c>
      <c r="K303" s="5" t="s">
        <v>347</v>
      </c>
    </row>
    <row r="304" customFormat="false" ht="15" hidden="false" customHeight="false" outlineLevel="0" collapsed="false">
      <c r="A304" s="5" t="s">
        <v>952</v>
      </c>
      <c r="B304" s="5" t="s">
        <v>953</v>
      </c>
      <c r="C304" s="5" t="s">
        <v>378</v>
      </c>
      <c r="D304" s="5" t="s">
        <v>374</v>
      </c>
      <c r="E304" s="5" t="s">
        <v>41</v>
      </c>
      <c r="F304" s="5" t="n">
        <v>963</v>
      </c>
      <c r="G304" s="20" t="n">
        <v>4100448</v>
      </c>
      <c r="H304" s="20" t="n">
        <v>738081</v>
      </c>
      <c r="I304" s="20" t="n">
        <v>4838529</v>
      </c>
      <c r="J304" s="5" t="s">
        <v>335</v>
      </c>
      <c r="K304" s="5" t="s">
        <v>336</v>
      </c>
    </row>
    <row r="305" customFormat="false" ht="15" hidden="false" customHeight="false" outlineLevel="0" collapsed="false">
      <c r="A305" s="5" t="s">
        <v>954</v>
      </c>
      <c r="B305" s="26" t="n">
        <v>45993</v>
      </c>
      <c r="C305" s="5" t="s">
        <v>455</v>
      </c>
      <c r="D305" s="5" t="s">
        <v>390</v>
      </c>
      <c r="E305" s="5" t="s">
        <v>39</v>
      </c>
      <c r="F305" s="5" t="n">
        <v>196</v>
      </c>
      <c r="G305" s="5" t="s">
        <v>955</v>
      </c>
      <c r="H305" s="20" t="n">
        <v>817269</v>
      </c>
      <c r="I305" s="5" t="s">
        <v>956</v>
      </c>
      <c r="J305" s="5" t="s">
        <v>383</v>
      </c>
      <c r="K305" s="5" t="s">
        <v>343</v>
      </c>
    </row>
    <row r="306" customFormat="false" ht="15" hidden="false" customHeight="false" outlineLevel="0" collapsed="false">
      <c r="A306" s="5" t="s">
        <v>957</v>
      </c>
      <c r="B306" s="26" t="n">
        <v>45994</v>
      </c>
      <c r="C306" s="5" t="s">
        <v>382</v>
      </c>
      <c r="D306" s="5" t="s">
        <v>334</v>
      </c>
      <c r="E306" s="5" t="s">
        <v>41</v>
      </c>
      <c r="F306" s="5" t="n">
        <v>1820</v>
      </c>
      <c r="G306" s="20" t="n">
        <v>7500518</v>
      </c>
      <c r="H306" s="5" t="s">
        <v>958</v>
      </c>
      <c r="I306" s="5" t="s">
        <v>959</v>
      </c>
      <c r="J306" s="5" t="s">
        <v>353</v>
      </c>
      <c r="K306" s="5" t="s">
        <v>384</v>
      </c>
    </row>
    <row r="307" customFormat="false" ht="15" hidden="false" customHeight="false" outlineLevel="0" collapsed="false">
      <c r="A307" s="5" t="s">
        <v>960</v>
      </c>
      <c r="B307" s="5" t="s">
        <v>961</v>
      </c>
      <c r="C307" s="5" t="s">
        <v>358</v>
      </c>
      <c r="D307" s="5" t="s">
        <v>480</v>
      </c>
      <c r="E307" s="5" t="s">
        <v>81</v>
      </c>
      <c r="F307" s="5" t="n">
        <v>1034</v>
      </c>
      <c r="G307" s="20" t="n">
        <v>3943926</v>
      </c>
      <c r="H307" s="20" t="n">
        <v>709907</v>
      </c>
      <c r="I307" s="5" t="s">
        <v>962</v>
      </c>
      <c r="J307" s="5" t="s">
        <v>356</v>
      </c>
      <c r="K307" s="5" t="s">
        <v>343</v>
      </c>
    </row>
    <row r="308" customFormat="false" ht="15" hidden="false" customHeight="false" outlineLevel="0" collapsed="false">
      <c r="A308" s="5" t="s">
        <v>963</v>
      </c>
      <c r="B308" s="26" t="n">
        <v>45995</v>
      </c>
      <c r="C308" s="5" t="s">
        <v>455</v>
      </c>
      <c r="D308" s="5" t="s">
        <v>480</v>
      </c>
      <c r="E308" s="5" t="s">
        <v>39</v>
      </c>
      <c r="F308" s="5" t="n">
        <v>292</v>
      </c>
      <c r="G308" s="20" t="n">
        <v>7417086</v>
      </c>
      <c r="H308" s="20" t="n">
        <v>1335075</v>
      </c>
      <c r="I308" s="5" t="s">
        <v>964</v>
      </c>
      <c r="J308" s="5" t="s">
        <v>353</v>
      </c>
      <c r="K308" s="5" t="s">
        <v>396</v>
      </c>
      <c r="L308" s="5" t="s">
        <v>535</v>
      </c>
    </row>
    <row r="310" customFormat="false" ht="15" hidden="false" customHeight="false" outlineLevel="0" collapsed="false">
      <c r="A310" s="16" t="s">
        <v>965</v>
      </c>
    </row>
    <row r="311" customFormat="false" ht="15" hidden="false" customHeight="false" outlineLevel="0" collapsed="false">
      <c r="A311" s="9" t="s">
        <v>320</v>
      </c>
      <c r="B311" s="9" t="s">
        <v>321</v>
      </c>
      <c r="C311" s="9" t="s">
        <v>322</v>
      </c>
      <c r="D311" s="9" t="s">
        <v>323</v>
      </c>
      <c r="E311" s="9" t="s">
        <v>324</v>
      </c>
      <c r="F311" s="9" t="s">
        <v>325</v>
      </c>
      <c r="G311" s="9" t="s">
        <v>326</v>
      </c>
      <c r="H311" s="9" t="s">
        <v>327</v>
      </c>
      <c r="I311" s="9" t="s">
        <v>328</v>
      </c>
      <c r="J311" s="9" t="s">
        <v>329</v>
      </c>
      <c r="K311" s="9" t="s">
        <v>330</v>
      </c>
    </row>
    <row r="312" customFormat="false" ht="15" hidden="false" customHeight="false" outlineLevel="0" collapsed="false">
      <c r="A312" s="5" t="s">
        <v>966</v>
      </c>
      <c r="B312" s="26" t="n">
        <v>45996</v>
      </c>
      <c r="C312" s="5" t="s">
        <v>349</v>
      </c>
      <c r="D312" s="5" t="s">
        <v>350</v>
      </c>
      <c r="E312" s="5" t="s">
        <v>39</v>
      </c>
      <c r="F312" s="5" t="n">
        <v>428</v>
      </c>
      <c r="G312" s="20" t="n">
        <v>10091716</v>
      </c>
      <c r="H312" s="20" t="n">
        <v>1816509</v>
      </c>
      <c r="I312" s="20" t="n">
        <v>11908225</v>
      </c>
      <c r="J312" s="5" t="s">
        <v>383</v>
      </c>
      <c r="K312" s="5" t="s">
        <v>347</v>
      </c>
    </row>
    <row r="313" customFormat="false" ht="15" hidden="false" customHeight="false" outlineLevel="0" collapsed="false">
      <c r="A313" s="5" t="s">
        <v>967</v>
      </c>
      <c r="B313" s="26" t="n">
        <v>45997</v>
      </c>
      <c r="C313" s="5" t="s">
        <v>400</v>
      </c>
      <c r="D313" s="5" t="s">
        <v>374</v>
      </c>
      <c r="E313" s="5" t="s">
        <v>359</v>
      </c>
      <c r="F313" s="5" t="n">
        <v>1235</v>
      </c>
      <c r="G313" s="20" t="n">
        <v>2500000</v>
      </c>
      <c r="H313" s="20" t="n">
        <v>450000</v>
      </c>
      <c r="I313" s="20" t="n">
        <v>2950000</v>
      </c>
      <c r="J313" s="5" t="s">
        <v>342</v>
      </c>
      <c r="K313" s="5" t="s">
        <v>406</v>
      </c>
    </row>
    <row r="314" customFormat="false" ht="15" hidden="false" customHeight="false" outlineLevel="0" collapsed="false">
      <c r="A314" s="5" t="s">
        <v>968</v>
      </c>
      <c r="B314" s="5" t="s">
        <v>969</v>
      </c>
      <c r="C314" s="5" t="s">
        <v>400</v>
      </c>
      <c r="D314" s="5" t="s">
        <v>374</v>
      </c>
      <c r="E314" s="5" t="s">
        <v>38</v>
      </c>
      <c r="F314" s="5" t="n">
        <v>2340</v>
      </c>
      <c r="G314" s="20" t="n">
        <v>4621348</v>
      </c>
      <c r="H314" s="20" t="n">
        <v>831843</v>
      </c>
      <c r="I314" s="20" t="n">
        <v>5453191</v>
      </c>
      <c r="J314" s="5" t="s">
        <v>403</v>
      </c>
      <c r="K314" s="5" t="s">
        <v>406</v>
      </c>
    </row>
    <row r="315" customFormat="false" ht="15" hidden="false" customHeight="false" outlineLevel="0" collapsed="false">
      <c r="A315" s="5" t="s">
        <v>970</v>
      </c>
      <c r="B315" s="5" t="s">
        <v>971</v>
      </c>
      <c r="C315" s="5" t="s">
        <v>419</v>
      </c>
      <c r="D315" s="5" t="s">
        <v>480</v>
      </c>
      <c r="E315" s="5" t="s">
        <v>79</v>
      </c>
      <c r="F315" s="5" t="n">
        <v>1374</v>
      </c>
      <c r="G315" s="5" t="s">
        <v>375</v>
      </c>
      <c r="H315" s="20" t="n">
        <v>450000</v>
      </c>
      <c r="I315" s="20" t="n">
        <v>2950000</v>
      </c>
      <c r="J315" s="5" t="s">
        <v>353</v>
      </c>
      <c r="K315" s="5" t="s">
        <v>336</v>
      </c>
    </row>
    <row r="316" customFormat="false" ht="15" hidden="false" customHeight="false" outlineLevel="0" collapsed="false">
      <c r="A316" s="5" t="s">
        <v>972</v>
      </c>
      <c r="B316" s="26" t="n">
        <v>46001</v>
      </c>
      <c r="C316" s="5" t="s">
        <v>881</v>
      </c>
      <c r="D316" s="5" t="s">
        <v>366</v>
      </c>
      <c r="E316" s="5" t="s">
        <v>359</v>
      </c>
      <c r="F316" s="5" t="n">
        <v>3353</v>
      </c>
      <c r="G316" s="5" t="s">
        <v>973</v>
      </c>
      <c r="H316" s="20" t="n">
        <v>0</v>
      </c>
      <c r="I316" s="20" t="n">
        <v>6808543</v>
      </c>
      <c r="J316" s="5" t="s">
        <v>403</v>
      </c>
      <c r="K316" s="5" t="s">
        <v>336</v>
      </c>
    </row>
    <row r="317" customFormat="false" ht="15" hidden="false" customHeight="false" outlineLevel="0" collapsed="false">
      <c r="A317" s="5" t="s">
        <v>974</v>
      </c>
      <c r="B317" s="26" t="n">
        <v>46001</v>
      </c>
      <c r="C317" s="5" t="s">
        <v>455</v>
      </c>
      <c r="D317" s="5" t="s">
        <v>390</v>
      </c>
      <c r="E317" s="5" t="s">
        <v>80</v>
      </c>
      <c r="F317" s="5" t="n">
        <v>205</v>
      </c>
      <c r="G317" s="20" t="n">
        <v>4692190</v>
      </c>
      <c r="H317" s="20" t="n">
        <v>844594</v>
      </c>
      <c r="I317" s="20" t="n">
        <v>5536784</v>
      </c>
      <c r="J317" s="5" t="s">
        <v>403</v>
      </c>
      <c r="K317" s="5" t="s">
        <v>368</v>
      </c>
    </row>
    <row r="318" customFormat="false" ht="15" hidden="false" customHeight="false" outlineLevel="0" collapsed="false">
      <c r="A318" s="5" t="s">
        <v>975</v>
      </c>
      <c r="B318" s="26" t="n">
        <v>46002</v>
      </c>
      <c r="C318" s="5" t="s">
        <v>382</v>
      </c>
      <c r="D318" s="5" t="s">
        <v>334</v>
      </c>
      <c r="E318" s="5" t="s">
        <v>351</v>
      </c>
      <c r="F318" s="5" t="n">
        <v>471</v>
      </c>
      <c r="G318" s="5" t="s">
        <v>976</v>
      </c>
      <c r="H318" s="20" t="n">
        <v>1920802</v>
      </c>
      <c r="I318" s="5" t="s">
        <v>977</v>
      </c>
      <c r="J318" s="5" t="s">
        <v>346</v>
      </c>
      <c r="K318" s="5" t="s">
        <v>336</v>
      </c>
    </row>
    <row r="319" customFormat="false" ht="15" hidden="false" customHeight="false" outlineLevel="0" collapsed="false">
      <c r="A319" s="5" t="s">
        <v>978</v>
      </c>
      <c r="B319" s="26" t="n">
        <v>46003</v>
      </c>
      <c r="C319" s="5" t="s">
        <v>415</v>
      </c>
      <c r="D319" s="5" t="s">
        <v>398</v>
      </c>
      <c r="E319" s="5" t="s">
        <v>79</v>
      </c>
      <c r="F319" s="5" t="n">
        <v>2161</v>
      </c>
      <c r="G319" s="20" t="n">
        <v>3829086</v>
      </c>
      <c r="H319" s="20" t="n">
        <v>0</v>
      </c>
      <c r="I319" s="20" t="n">
        <v>3829086</v>
      </c>
      <c r="J319" s="5" t="s">
        <v>353</v>
      </c>
      <c r="K319" s="5" t="s">
        <v>384</v>
      </c>
      <c r="L319" s="5" t="s">
        <v>537</v>
      </c>
    </row>
    <row r="320" customFormat="false" ht="15" hidden="false" customHeight="false" outlineLevel="0" collapsed="false">
      <c r="A320" s="5" t="s">
        <v>979</v>
      </c>
      <c r="B320" s="5" t="s">
        <v>980</v>
      </c>
      <c r="C320" s="5" t="s">
        <v>555</v>
      </c>
      <c r="D320" s="5" t="s">
        <v>334</v>
      </c>
      <c r="E320" s="5" t="s">
        <v>429</v>
      </c>
      <c r="F320" s="5" t="n">
        <v>1058</v>
      </c>
      <c r="G320" s="5" t="s">
        <v>981</v>
      </c>
      <c r="H320" s="20" t="n">
        <v>1171283</v>
      </c>
      <c r="I320" s="20" t="n">
        <v>7678410</v>
      </c>
      <c r="J320" s="5" t="s">
        <v>346</v>
      </c>
      <c r="K320" s="5" t="s">
        <v>347</v>
      </c>
    </row>
    <row r="321" customFormat="false" ht="15" hidden="false" customHeight="false" outlineLevel="0" collapsed="false">
      <c r="A321" s="5" t="s">
        <v>982</v>
      </c>
      <c r="B321" s="26" t="n">
        <v>46004</v>
      </c>
      <c r="C321" s="5" t="s">
        <v>358</v>
      </c>
      <c r="D321" s="5" t="s">
        <v>390</v>
      </c>
      <c r="E321" s="5" t="s">
        <v>355</v>
      </c>
      <c r="F321" s="5" t="n">
        <v>1792</v>
      </c>
      <c r="G321" s="20" t="n">
        <v>7621604</v>
      </c>
      <c r="H321" s="20" t="n">
        <v>1371889</v>
      </c>
      <c r="I321" s="5" t="s">
        <v>983</v>
      </c>
      <c r="J321" s="5" t="s">
        <v>403</v>
      </c>
      <c r="K321" s="5" t="s">
        <v>384</v>
      </c>
    </row>
    <row r="322" customFormat="false" ht="15" hidden="false" customHeight="false" outlineLevel="0" collapsed="false">
      <c r="A322" s="5" t="s">
        <v>984</v>
      </c>
      <c r="B322" s="26" t="n">
        <v>46006</v>
      </c>
      <c r="C322" s="5" t="s">
        <v>345</v>
      </c>
      <c r="D322" s="5" t="s">
        <v>334</v>
      </c>
      <c r="E322" s="5" t="s">
        <v>355</v>
      </c>
      <c r="F322" s="5" t="n">
        <v>640</v>
      </c>
      <c r="G322" s="20" t="n">
        <v>2720750</v>
      </c>
      <c r="H322" s="5" t="s">
        <v>985</v>
      </c>
      <c r="I322" s="20" t="n">
        <v>3210485</v>
      </c>
      <c r="J322" s="5" t="s">
        <v>403</v>
      </c>
      <c r="K322" s="5" t="s">
        <v>347</v>
      </c>
    </row>
    <row r="323" customFormat="false" ht="15" hidden="false" customHeight="false" outlineLevel="0" collapsed="false">
      <c r="A323" s="5" t="s">
        <v>986</v>
      </c>
      <c r="B323" s="5" t="s">
        <v>987</v>
      </c>
      <c r="C323" s="5" t="s">
        <v>358</v>
      </c>
      <c r="D323" s="5" t="s">
        <v>390</v>
      </c>
      <c r="E323" s="5" t="s">
        <v>38</v>
      </c>
      <c r="F323" s="5" t="n">
        <v>5717</v>
      </c>
      <c r="G323" s="5" t="s">
        <v>988</v>
      </c>
      <c r="H323" s="20" t="n">
        <v>1774417</v>
      </c>
      <c r="I323" s="20" t="n">
        <v>11632291</v>
      </c>
      <c r="J323" s="5" t="s">
        <v>335</v>
      </c>
      <c r="K323" s="5" t="s">
        <v>336</v>
      </c>
    </row>
    <row r="324" customFormat="false" ht="15" hidden="false" customHeight="false" outlineLevel="0" collapsed="false">
      <c r="A324" s="5" t="s">
        <v>989</v>
      </c>
      <c r="B324" s="26" t="n">
        <v>46006</v>
      </c>
      <c r="D324" s="5" t="s">
        <v>390</v>
      </c>
      <c r="E324" s="5" t="s">
        <v>355</v>
      </c>
      <c r="F324" s="5" t="n">
        <v>847</v>
      </c>
      <c r="G324" s="20" t="n">
        <v>3297523</v>
      </c>
      <c r="H324" s="20" t="n">
        <v>593554</v>
      </c>
      <c r="I324" s="5" t="s">
        <v>990</v>
      </c>
      <c r="J324" s="5" t="s">
        <v>356</v>
      </c>
      <c r="K324" s="5" t="s">
        <v>406</v>
      </c>
    </row>
    <row r="325" customFormat="false" ht="15" hidden="false" customHeight="false" outlineLevel="0" collapsed="false">
      <c r="A325" s="5" t="s">
        <v>991</v>
      </c>
      <c r="B325" s="26" t="n">
        <v>46007</v>
      </c>
      <c r="C325" s="5" t="s">
        <v>345</v>
      </c>
      <c r="D325" s="5" t="s">
        <v>334</v>
      </c>
      <c r="E325" s="5" t="s">
        <v>41</v>
      </c>
      <c r="F325" s="5" t="n">
        <v>629</v>
      </c>
      <c r="G325" s="20" t="n">
        <v>2630506</v>
      </c>
      <c r="H325" s="5" t="s">
        <v>992</v>
      </c>
      <c r="I325" s="20" t="n">
        <v>3103997</v>
      </c>
      <c r="J325" s="5" t="s">
        <v>403</v>
      </c>
      <c r="K325" s="5" t="s">
        <v>396</v>
      </c>
    </row>
    <row r="326" customFormat="false" ht="15" hidden="false" customHeight="false" outlineLevel="0" collapsed="false">
      <c r="A326" s="5" t="s">
        <v>993</v>
      </c>
      <c r="B326" s="26" t="n">
        <v>46008</v>
      </c>
      <c r="C326" s="5" t="s">
        <v>358</v>
      </c>
      <c r="D326" s="5" t="s">
        <v>390</v>
      </c>
      <c r="E326" s="5" t="s">
        <v>355</v>
      </c>
      <c r="F326" s="5" t="n">
        <v>4018</v>
      </c>
      <c r="G326" s="20" t="n">
        <v>16287331</v>
      </c>
      <c r="H326" s="20" t="n">
        <v>2931720</v>
      </c>
      <c r="I326" s="20" t="n">
        <v>19219051</v>
      </c>
      <c r="J326" s="5" t="s">
        <v>346</v>
      </c>
      <c r="K326" s="5" t="s">
        <v>336</v>
      </c>
    </row>
    <row r="327" customFormat="false" ht="15" hidden="false" customHeight="false" outlineLevel="0" collapsed="false">
      <c r="A327" s="5" t="s">
        <v>994</v>
      </c>
      <c r="B327" s="26" t="n">
        <v>46009</v>
      </c>
      <c r="C327" s="5" t="s">
        <v>722</v>
      </c>
      <c r="D327" s="5" t="s">
        <v>374</v>
      </c>
      <c r="E327" s="5" t="s">
        <v>81</v>
      </c>
      <c r="F327" s="5" t="n">
        <v>752</v>
      </c>
      <c r="G327" s="5" t="s">
        <v>995</v>
      </c>
      <c r="H327" s="5" t="s">
        <v>996</v>
      </c>
      <c r="I327" s="20" t="n">
        <v>3138552</v>
      </c>
      <c r="J327" s="5" t="s">
        <v>342</v>
      </c>
      <c r="K327" s="5" t="s">
        <v>343</v>
      </c>
    </row>
    <row r="328" customFormat="false" ht="15" hidden="false" customHeight="false" outlineLevel="0" collapsed="false">
      <c r="A328" s="5" t="s">
        <v>997</v>
      </c>
      <c r="B328" s="5" t="s">
        <v>998</v>
      </c>
      <c r="C328" s="5" t="s">
        <v>349</v>
      </c>
      <c r="D328" s="5" t="s">
        <v>350</v>
      </c>
      <c r="E328" s="5" t="s">
        <v>39</v>
      </c>
      <c r="F328" s="5" t="n">
        <v>542</v>
      </c>
      <c r="G328" s="20" t="n">
        <v>12267186</v>
      </c>
      <c r="H328" s="20" t="n">
        <v>2208093</v>
      </c>
      <c r="I328" s="20" t="n">
        <v>14475279</v>
      </c>
      <c r="J328" s="5" t="s">
        <v>353</v>
      </c>
      <c r="K328" s="5" t="s">
        <v>406</v>
      </c>
    </row>
    <row r="329" customFormat="false" ht="15" hidden="false" customHeight="false" outlineLevel="0" collapsed="false">
      <c r="A329" s="5" t="s">
        <v>999</v>
      </c>
      <c r="B329" s="26" t="n">
        <v>46010</v>
      </c>
      <c r="C329" s="5" t="s">
        <v>400</v>
      </c>
      <c r="D329" s="5" t="s">
        <v>374</v>
      </c>
      <c r="E329" s="5" t="s">
        <v>38</v>
      </c>
      <c r="F329" s="5" t="n">
        <v>8070</v>
      </c>
      <c r="G329" s="20" t="n">
        <v>15489927</v>
      </c>
      <c r="H329" s="5" t="s">
        <v>1000</v>
      </c>
      <c r="I329" s="20" t="n">
        <v>18278114</v>
      </c>
      <c r="J329" s="5" t="s">
        <v>335</v>
      </c>
      <c r="K329" s="5" t="s">
        <v>368</v>
      </c>
      <c r="L329" s="5" t="s">
        <v>1001</v>
      </c>
    </row>
    <row r="330" customFormat="false" ht="15" hidden="false" customHeight="false" outlineLevel="0" collapsed="false">
      <c r="A330" s="5" t="s">
        <v>1002</v>
      </c>
      <c r="B330" s="26" t="n">
        <v>46010</v>
      </c>
      <c r="C330" s="5" t="s">
        <v>431</v>
      </c>
      <c r="D330" s="5" t="s">
        <v>334</v>
      </c>
      <c r="E330" s="5" t="s">
        <v>79</v>
      </c>
      <c r="F330" s="5" t="n">
        <v>2884</v>
      </c>
      <c r="G330" s="20" t="n">
        <v>5862289</v>
      </c>
      <c r="H330" s="20" t="n">
        <v>1055212</v>
      </c>
      <c r="I330" s="20" t="n">
        <v>6917501</v>
      </c>
      <c r="J330" s="5" t="s">
        <v>383</v>
      </c>
      <c r="K330" s="5" t="s">
        <v>396</v>
      </c>
    </row>
    <row r="331" customFormat="false" ht="15" hidden="false" customHeight="false" outlineLevel="0" collapsed="false">
      <c r="A331" s="5" t="s">
        <v>1003</v>
      </c>
      <c r="B331" s="5" t="s">
        <v>1004</v>
      </c>
      <c r="C331" s="5" t="s">
        <v>400</v>
      </c>
      <c r="D331" s="5" t="s">
        <v>374</v>
      </c>
      <c r="E331" s="5" t="s">
        <v>81</v>
      </c>
      <c r="F331" s="5" t="n">
        <v>3145</v>
      </c>
      <c r="G331" s="5" t="s">
        <v>1005</v>
      </c>
      <c r="H331" s="20" t="n">
        <v>2112097</v>
      </c>
      <c r="I331" s="5" t="s">
        <v>1006</v>
      </c>
      <c r="J331" s="5" t="s">
        <v>403</v>
      </c>
      <c r="K331" s="5" t="s">
        <v>384</v>
      </c>
    </row>
    <row r="332" customFormat="false" ht="15" hidden="false" customHeight="false" outlineLevel="0" collapsed="false">
      <c r="A332" s="5" t="s">
        <v>1007</v>
      </c>
      <c r="B332" s="26" t="n">
        <v>46013</v>
      </c>
      <c r="C332" s="5" t="s">
        <v>345</v>
      </c>
      <c r="D332" s="5" t="s">
        <v>334</v>
      </c>
      <c r="E332" s="5" t="s">
        <v>79</v>
      </c>
      <c r="F332" s="5" t="n">
        <v>1585</v>
      </c>
      <c r="G332" s="20" t="n">
        <v>2742618</v>
      </c>
      <c r="H332" s="5" t="s">
        <v>1008</v>
      </c>
      <c r="I332" s="5" t="s">
        <v>1009</v>
      </c>
      <c r="J332" s="5" t="s">
        <v>346</v>
      </c>
      <c r="K332" s="5" t="s">
        <v>368</v>
      </c>
    </row>
    <row r="333" customFormat="false" ht="15" hidden="false" customHeight="false" outlineLevel="0" collapsed="false">
      <c r="A333" s="5" t="s">
        <v>1010</v>
      </c>
      <c r="B333" s="5" t="s">
        <v>1011</v>
      </c>
      <c r="C333" s="5" t="s">
        <v>345</v>
      </c>
      <c r="D333" s="5" t="s">
        <v>432</v>
      </c>
      <c r="E333" s="5" t="s">
        <v>41</v>
      </c>
      <c r="F333" s="5" t="n">
        <v>1914</v>
      </c>
      <c r="G333" s="5" t="s">
        <v>1012</v>
      </c>
      <c r="H333" s="20" t="n">
        <v>1407254</v>
      </c>
      <c r="I333" s="20" t="n">
        <v>9225330</v>
      </c>
      <c r="J333" s="5" t="s">
        <v>353</v>
      </c>
      <c r="K333" s="5" t="s">
        <v>336</v>
      </c>
    </row>
    <row r="334" customFormat="false" ht="15" hidden="false" customHeight="false" outlineLevel="0" collapsed="false">
      <c r="A334" s="5" t="s">
        <v>1013</v>
      </c>
      <c r="B334" s="26" t="n">
        <v>46013</v>
      </c>
      <c r="C334" s="5" t="s">
        <v>451</v>
      </c>
      <c r="D334" s="5" t="s">
        <v>366</v>
      </c>
      <c r="E334" s="5" t="s">
        <v>38</v>
      </c>
      <c r="F334" s="5" t="n">
        <v>3785</v>
      </c>
      <c r="G334" s="20" t="n">
        <v>6946843</v>
      </c>
      <c r="H334" s="20" t="n">
        <v>0</v>
      </c>
      <c r="I334" s="5" t="s">
        <v>1014</v>
      </c>
      <c r="J334" s="5" t="s">
        <v>346</v>
      </c>
      <c r="K334" s="5" t="s">
        <v>396</v>
      </c>
    </row>
    <row r="335" customFormat="false" ht="15" hidden="false" customHeight="false" outlineLevel="0" collapsed="false">
      <c r="A335" s="5" t="s">
        <v>1015</v>
      </c>
      <c r="B335" s="5" t="s">
        <v>1011</v>
      </c>
      <c r="C335" s="5" t="s">
        <v>419</v>
      </c>
      <c r="D335" s="5" t="s">
        <v>340</v>
      </c>
      <c r="E335" s="5" t="s">
        <v>79</v>
      </c>
      <c r="F335" s="5" t="n">
        <v>1635</v>
      </c>
      <c r="G335" s="20" t="n">
        <v>3170259</v>
      </c>
      <c r="H335" s="5" t="s">
        <v>1016</v>
      </c>
      <c r="I335" s="20" t="n">
        <v>3740906</v>
      </c>
      <c r="J335" s="5" t="s">
        <v>403</v>
      </c>
      <c r="K335" s="5" t="s">
        <v>343</v>
      </c>
    </row>
    <row r="336" customFormat="false" ht="15" hidden="false" customHeight="false" outlineLevel="0" collapsed="false">
      <c r="A336" s="5" t="s">
        <v>1017</v>
      </c>
      <c r="B336" s="26" t="n">
        <v>46013</v>
      </c>
      <c r="C336" s="5" t="s">
        <v>345</v>
      </c>
      <c r="D336" s="5" t="s">
        <v>483</v>
      </c>
      <c r="E336" s="5" t="s">
        <v>38</v>
      </c>
      <c r="F336" s="5" t="n">
        <v>1406</v>
      </c>
      <c r="G336" s="20" t="n">
        <v>2773224</v>
      </c>
      <c r="H336" s="5" t="s">
        <v>1018</v>
      </c>
      <c r="I336" s="5" t="s">
        <v>1019</v>
      </c>
      <c r="J336" s="5" t="s">
        <v>383</v>
      </c>
      <c r="K336" s="5" t="s">
        <v>384</v>
      </c>
    </row>
    <row r="337" customFormat="false" ht="15" hidden="false" customHeight="false" outlineLevel="0" collapsed="false">
      <c r="A337" s="5" t="s">
        <v>1020</v>
      </c>
      <c r="B337" s="5" t="s">
        <v>1021</v>
      </c>
      <c r="C337" s="5" t="s">
        <v>345</v>
      </c>
      <c r="D337" s="5" t="s">
        <v>334</v>
      </c>
      <c r="E337" s="5" t="s">
        <v>41</v>
      </c>
      <c r="F337" s="5" t="n">
        <v>665</v>
      </c>
      <c r="G337" s="20" t="n">
        <v>2500000</v>
      </c>
      <c r="H337" s="20" t="n">
        <v>450000</v>
      </c>
      <c r="I337" s="20" t="n">
        <v>2950000</v>
      </c>
      <c r="J337" s="5" t="s">
        <v>356</v>
      </c>
      <c r="K337" s="5" t="s">
        <v>363</v>
      </c>
    </row>
    <row r="338" customFormat="false" ht="15" hidden="false" customHeight="false" outlineLevel="0" collapsed="false">
      <c r="A338" s="5" t="s">
        <v>1022</v>
      </c>
      <c r="B338" s="26" t="n">
        <v>46014</v>
      </c>
      <c r="C338" s="5" t="s">
        <v>419</v>
      </c>
      <c r="D338" s="5" t="s">
        <v>390</v>
      </c>
      <c r="E338" s="5" t="s">
        <v>38</v>
      </c>
      <c r="F338" s="5" t="n">
        <v>3889</v>
      </c>
      <c r="G338" s="5" t="s">
        <v>1023</v>
      </c>
      <c r="H338" s="20" t="n">
        <v>1234993</v>
      </c>
      <c r="I338" s="20" t="n">
        <v>8096063</v>
      </c>
      <c r="J338" s="5" t="s">
        <v>403</v>
      </c>
      <c r="K338" s="5" t="s">
        <v>384</v>
      </c>
    </row>
    <row r="339" customFormat="false" ht="15" hidden="false" customHeight="false" outlineLevel="0" collapsed="false">
      <c r="A339" s="5" t="s">
        <v>1024</v>
      </c>
      <c r="B339" s="26" t="n">
        <v>46014</v>
      </c>
      <c r="D339" s="5" t="s">
        <v>334</v>
      </c>
      <c r="E339" s="5" t="s">
        <v>359</v>
      </c>
      <c r="F339" s="5" t="n">
        <v>3626</v>
      </c>
      <c r="G339" s="20" t="n">
        <v>7291953</v>
      </c>
      <c r="H339" s="5" t="s">
        <v>1025</v>
      </c>
      <c r="I339" s="5" t="s">
        <v>1026</v>
      </c>
      <c r="J339" s="5" t="s">
        <v>335</v>
      </c>
      <c r="K339" s="5" t="s">
        <v>384</v>
      </c>
    </row>
    <row r="340" customFormat="false" ht="15" hidden="false" customHeight="false" outlineLevel="0" collapsed="false">
      <c r="A340" s="5" t="s">
        <v>1027</v>
      </c>
      <c r="B340" s="26" t="n">
        <v>46015</v>
      </c>
      <c r="C340" s="5" t="s">
        <v>451</v>
      </c>
      <c r="D340" s="5" t="s">
        <v>366</v>
      </c>
      <c r="E340" s="5" t="s">
        <v>38</v>
      </c>
      <c r="F340" s="5" t="n">
        <v>3636</v>
      </c>
      <c r="G340" s="20" t="n">
        <v>6073418</v>
      </c>
      <c r="H340" s="20" t="n">
        <v>0</v>
      </c>
      <c r="I340" s="20" t="n">
        <v>6073418</v>
      </c>
      <c r="J340" s="5" t="s">
        <v>342</v>
      </c>
      <c r="K340" s="5" t="s">
        <v>384</v>
      </c>
    </row>
    <row r="341" customFormat="false" ht="15" hidden="false" customHeight="false" outlineLevel="0" collapsed="false">
      <c r="A341" s="5" t="s">
        <v>1028</v>
      </c>
      <c r="B341" s="26" t="n">
        <v>46016</v>
      </c>
      <c r="C341" s="5" t="s">
        <v>451</v>
      </c>
      <c r="D341" s="5" t="s">
        <v>366</v>
      </c>
      <c r="E341" s="5" t="s">
        <v>41</v>
      </c>
      <c r="F341" s="5" t="n">
        <v>639</v>
      </c>
      <c r="G341" s="20" t="n">
        <v>2666543</v>
      </c>
      <c r="H341" s="20" t="n">
        <v>0</v>
      </c>
      <c r="I341" s="20" t="n">
        <v>2666543</v>
      </c>
      <c r="J341" s="5" t="s">
        <v>353</v>
      </c>
      <c r="K341" s="5" t="s">
        <v>343</v>
      </c>
    </row>
    <row r="342" customFormat="false" ht="15" hidden="false" customHeight="false" outlineLevel="0" collapsed="false">
      <c r="A342" s="5" t="s">
        <v>1029</v>
      </c>
      <c r="B342" s="5" t="s">
        <v>1030</v>
      </c>
      <c r="C342" s="5" t="s">
        <v>495</v>
      </c>
      <c r="D342" s="5" t="s">
        <v>390</v>
      </c>
      <c r="E342" s="5" t="s">
        <v>41</v>
      </c>
      <c r="F342" s="5" t="n">
        <v>1884</v>
      </c>
      <c r="G342" s="5" t="s">
        <v>1031</v>
      </c>
      <c r="H342" s="20" t="n">
        <v>1256111</v>
      </c>
      <c r="I342" s="5" t="s">
        <v>1032</v>
      </c>
      <c r="J342" s="5" t="s">
        <v>383</v>
      </c>
      <c r="K342" s="5" t="s">
        <v>368</v>
      </c>
    </row>
    <row r="343" customFormat="false" ht="15" hidden="false" customHeight="false" outlineLevel="0" collapsed="false">
      <c r="A343" s="5" t="s">
        <v>1033</v>
      </c>
      <c r="B343" s="26" t="n">
        <v>46017</v>
      </c>
      <c r="C343" s="5" t="s">
        <v>415</v>
      </c>
      <c r="D343" s="5" t="s">
        <v>366</v>
      </c>
      <c r="E343" s="5" t="s">
        <v>81</v>
      </c>
      <c r="F343" s="5" t="n">
        <v>617</v>
      </c>
      <c r="G343" s="20" t="n">
        <v>2500000</v>
      </c>
      <c r="H343" s="5" t="s">
        <v>277</v>
      </c>
      <c r="I343" s="20" t="n">
        <v>2500000</v>
      </c>
      <c r="J343" s="5" t="s">
        <v>335</v>
      </c>
      <c r="K343" s="5" t="s">
        <v>343</v>
      </c>
    </row>
    <row r="344" customFormat="false" ht="15" hidden="false" customHeight="false" outlineLevel="0" collapsed="false">
      <c r="A344" s="5" t="s">
        <v>1034</v>
      </c>
      <c r="B344" s="26" t="n">
        <v>46023</v>
      </c>
      <c r="C344" s="5" t="s">
        <v>455</v>
      </c>
      <c r="D344" s="5" t="s">
        <v>390</v>
      </c>
      <c r="E344" s="5" t="s">
        <v>39</v>
      </c>
      <c r="F344" s="5" t="n">
        <v>114</v>
      </c>
      <c r="G344" s="5" t="s">
        <v>1035</v>
      </c>
      <c r="H344" s="20" t="n">
        <v>531036</v>
      </c>
      <c r="I344" s="20" t="n">
        <v>3481237</v>
      </c>
      <c r="J344" s="5" t="s">
        <v>346</v>
      </c>
      <c r="K344" s="5" t="s">
        <v>347</v>
      </c>
    </row>
    <row r="345" customFormat="false" ht="15" hidden="false" customHeight="false" outlineLevel="0" collapsed="false">
      <c r="A345" s="5" t="s">
        <v>1036</v>
      </c>
      <c r="B345" s="26" t="n">
        <v>46023</v>
      </c>
      <c r="C345" s="5" t="s">
        <v>400</v>
      </c>
      <c r="D345" s="5" t="s">
        <v>374</v>
      </c>
      <c r="E345" s="5" t="s">
        <v>79</v>
      </c>
      <c r="F345" s="5" t="n">
        <v>13480</v>
      </c>
      <c r="G345" s="20" t="n">
        <v>22739066</v>
      </c>
      <c r="H345" s="20" t="n">
        <v>4093032</v>
      </c>
      <c r="I345" s="20" t="n">
        <v>26832098</v>
      </c>
      <c r="J345" s="5" t="s">
        <v>335</v>
      </c>
      <c r="K345" s="5" t="s">
        <v>336</v>
      </c>
    </row>
    <row r="346" customFormat="false" ht="15" hidden="false" customHeight="false" outlineLevel="0" collapsed="false">
      <c r="A346" s="5" t="s">
        <v>1037</v>
      </c>
      <c r="B346" s="26" t="n">
        <v>46023</v>
      </c>
      <c r="C346" s="5" t="s">
        <v>400</v>
      </c>
      <c r="D346" s="5" t="s">
        <v>374</v>
      </c>
      <c r="E346" s="5" t="s">
        <v>41</v>
      </c>
      <c r="F346" s="5" t="n">
        <v>1847</v>
      </c>
      <c r="G346" s="5" t="s">
        <v>1038</v>
      </c>
      <c r="H346" s="20" t="n">
        <v>1330454</v>
      </c>
      <c r="I346" s="20" t="n">
        <v>8721863</v>
      </c>
      <c r="J346" s="5" t="s">
        <v>403</v>
      </c>
      <c r="K346" s="5" t="s">
        <v>396</v>
      </c>
    </row>
    <row r="347" customFormat="false" ht="15" hidden="false" customHeight="false" outlineLevel="0" collapsed="false">
      <c r="A347" s="5" t="s">
        <v>1039</v>
      </c>
      <c r="B347" s="26" t="n">
        <v>46023</v>
      </c>
      <c r="C347" s="5" t="s">
        <v>349</v>
      </c>
      <c r="D347" s="5" t="s">
        <v>350</v>
      </c>
      <c r="E347" s="5" t="s">
        <v>39</v>
      </c>
      <c r="F347" s="5" t="n">
        <v>425</v>
      </c>
      <c r="G347" s="20" t="n">
        <v>9755593</v>
      </c>
      <c r="H347" s="20" t="n">
        <v>1756007</v>
      </c>
      <c r="I347" s="20" t="n">
        <v>11511600</v>
      </c>
      <c r="J347" s="5" t="s">
        <v>383</v>
      </c>
      <c r="K347" s="5" t="s">
        <v>368</v>
      </c>
    </row>
    <row r="348" customFormat="false" ht="15" hidden="false" customHeight="false" outlineLevel="0" collapsed="false">
      <c r="A348" s="5" t="s">
        <v>1040</v>
      </c>
      <c r="B348" s="26" t="n">
        <v>46024</v>
      </c>
      <c r="C348" s="5" t="s">
        <v>419</v>
      </c>
      <c r="D348" s="5" t="s">
        <v>480</v>
      </c>
      <c r="E348" s="5" t="s">
        <v>38</v>
      </c>
      <c r="F348" s="5" t="n">
        <v>1801</v>
      </c>
      <c r="G348" s="20" t="n">
        <v>3297337</v>
      </c>
      <c r="H348" s="20" t="n">
        <v>593521</v>
      </c>
      <c r="I348" s="5" t="s">
        <v>1041</v>
      </c>
      <c r="J348" s="5" t="s">
        <v>403</v>
      </c>
      <c r="K348" s="5" t="s">
        <v>343</v>
      </c>
    </row>
    <row r="349" customFormat="false" ht="15" hidden="false" customHeight="false" outlineLevel="0" collapsed="false">
      <c r="A349" s="5" t="s">
        <v>1042</v>
      </c>
      <c r="B349" s="26" t="n">
        <v>46024</v>
      </c>
      <c r="C349" s="5" t="s">
        <v>451</v>
      </c>
      <c r="D349" s="5" t="s">
        <v>366</v>
      </c>
      <c r="E349" s="5" t="s">
        <v>41</v>
      </c>
      <c r="F349" s="5" t="n">
        <v>3525</v>
      </c>
      <c r="G349" s="20" t="n">
        <v>14983474</v>
      </c>
      <c r="H349" s="5" t="s">
        <v>440</v>
      </c>
      <c r="I349" s="20" t="n">
        <v>14983474</v>
      </c>
      <c r="J349" s="5" t="s">
        <v>383</v>
      </c>
      <c r="K349" s="5" t="s">
        <v>384</v>
      </c>
    </row>
    <row r="350" customFormat="false" ht="15" hidden="false" customHeight="false" outlineLevel="0" collapsed="false">
      <c r="A350" s="5" t="s">
        <v>1043</v>
      </c>
      <c r="B350" s="5" t="s">
        <v>1044</v>
      </c>
      <c r="C350" s="5" t="s">
        <v>419</v>
      </c>
      <c r="D350" s="5" t="s">
        <v>340</v>
      </c>
      <c r="E350" s="5" t="s">
        <v>38</v>
      </c>
      <c r="F350" s="5" t="n">
        <v>2862</v>
      </c>
      <c r="G350" s="20" t="n">
        <v>5388356</v>
      </c>
      <c r="H350" s="20" t="n">
        <v>969904</v>
      </c>
      <c r="I350" s="20" t="n">
        <v>6358260</v>
      </c>
      <c r="J350" s="5" t="s">
        <v>342</v>
      </c>
      <c r="K350" s="5" t="s">
        <v>384</v>
      </c>
    </row>
    <row r="351" customFormat="false" ht="15" hidden="false" customHeight="false" outlineLevel="0" collapsed="false">
      <c r="A351" s="5" t="s">
        <v>1045</v>
      </c>
      <c r="B351" s="5" t="s">
        <v>1046</v>
      </c>
      <c r="C351" s="5" t="s">
        <v>378</v>
      </c>
      <c r="D351" s="5" t="s">
        <v>374</v>
      </c>
      <c r="E351" s="5" t="s">
        <v>81</v>
      </c>
      <c r="F351" s="5" t="n">
        <v>2346</v>
      </c>
      <c r="G351" s="20" t="n">
        <v>9406695</v>
      </c>
      <c r="H351" s="20" t="n">
        <v>1693205</v>
      </c>
      <c r="I351" s="20" t="n">
        <v>11099900</v>
      </c>
      <c r="J351" s="5" t="s">
        <v>342</v>
      </c>
      <c r="K351" s="5" t="s">
        <v>368</v>
      </c>
    </row>
    <row r="352" customFormat="false" ht="15" hidden="false" customHeight="false" outlineLevel="0" collapsed="false">
      <c r="A352" s="5" t="s">
        <v>1047</v>
      </c>
      <c r="B352" s="5" t="s">
        <v>1048</v>
      </c>
      <c r="C352" s="5" t="s">
        <v>431</v>
      </c>
      <c r="D352" s="5" t="s">
        <v>334</v>
      </c>
      <c r="E352" s="5" t="s">
        <v>38</v>
      </c>
      <c r="F352" s="5" t="n">
        <v>2470</v>
      </c>
      <c r="G352" s="20" t="n">
        <v>4707291</v>
      </c>
      <c r="H352" s="20" t="n">
        <v>847312</v>
      </c>
      <c r="I352" s="20" t="n">
        <v>5554603</v>
      </c>
      <c r="J352" s="5" t="s">
        <v>383</v>
      </c>
      <c r="K352" s="5" t="s">
        <v>406</v>
      </c>
    </row>
    <row r="353" customFormat="false" ht="15" hidden="false" customHeight="false" outlineLevel="0" collapsed="false">
      <c r="A353" s="5" t="s">
        <v>1049</v>
      </c>
      <c r="B353" s="5" t="s">
        <v>1050</v>
      </c>
      <c r="C353" s="5" t="s">
        <v>373</v>
      </c>
      <c r="D353" s="5" t="s">
        <v>374</v>
      </c>
      <c r="E353" s="5" t="s">
        <v>39</v>
      </c>
      <c r="F353" s="5" t="n">
        <v>223</v>
      </c>
      <c r="G353" s="5" t="s">
        <v>1051</v>
      </c>
      <c r="H353" s="20" t="n">
        <v>1042507</v>
      </c>
      <c r="I353" s="20" t="n">
        <v>6834210</v>
      </c>
      <c r="J353" s="5" t="s">
        <v>383</v>
      </c>
      <c r="K353" s="5" t="s">
        <v>343</v>
      </c>
    </row>
    <row r="354" customFormat="false" ht="15" hidden="false" customHeight="false" outlineLevel="0" collapsed="false">
      <c r="A354" s="5" t="s">
        <v>1052</v>
      </c>
      <c r="B354" s="26" t="n">
        <v>46031</v>
      </c>
      <c r="C354" s="5" t="s">
        <v>358</v>
      </c>
      <c r="D354" s="5" t="s">
        <v>340</v>
      </c>
      <c r="E354" s="5" t="s">
        <v>38</v>
      </c>
      <c r="F354" s="5" t="n">
        <v>4488</v>
      </c>
      <c r="G354" s="5" t="s">
        <v>1053</v>
      </c>
      <c r="H354" s="20" t="n">
        <v>1387699</v>
      </c>
      <c r="I354" s="5" t="s">
        <v>1054</v>
      </c>
      <c r="J354" s="5" t="s">
        <v>346</v>
      </c>
      <c r="K354" s="5" t="s">
        <v>343</v>
      </c>
    </row>
    <row r="355" customFormat="false" ht="15" hidden="false" customHeight="false" outlineLevel="0" collapsed="false">
      <c r="A355" s="5" t="s">
        <v>1055</v>
      </c>
      <c r="B355" s="5" t="s">
        <v>1056</v>
      </c>
      <c r="C355" s="5" t="s">
        <v>378</v>
      </c>
      <c r="D355" s="5" t="s">
        <v>605</v>
      </c>
      <c r="E355" s="5" t="s">
        <v>79</v>
      </c>
      <c r="F355" s="5" t="n">
        <v>11075</v>
      </c>
      <c r="G355" s="20" t="n">
        <v>20908756</v>
      </c>
      <c r="H355" s="20" t="n">
        <v>3763576</v>
      </c>
      <c r="I355" s="20" t="n">
        <v>24672332</v>
      </c>
      <c r="J355" s="5" t="s">
        <v>335</v>
      </c>
      <c r="K355" s="5" t="s">
        <v>368</v>
      </c>
    </row>
    <row r="356" customFormat="false" ht="15" hidden="false" customHeight="false" outlineLevel="0" collapsed="false">
      <c r="A356" s="5" t="s">
        <v>1057</v>
      </c>
      <c r="B356" s="5" t="s">
        <v>1058</v>
      </c>
      <c r="C356" s="5" t="s">
        <v>400</v>
      </c>
      <c r="D356" s="5" t="s">
        <v>374</v>
      </c>
      <c r="E356" s="5" t="s">
        <v>355</v>
      </c>
      <c r="F356" s="5" t="n">
        <v>666</v>
      </c>
      <c r="G356" s="20" t="n">
        <v>2500000</v>
      </c>
      <c r="H356" s="20" t="n">
        <v>450000</v>
      </c>
      <c r="I356" s="5" t="s">
        <v>376</v>
      </c>
      <c r="J356" s="5" t="s">
        <v>383</v>
      </c>
      <c r="K356" s="5" t="s">
        <v>406</v>
      </c>
    </row>
    <row r="357" customFormat="false" ht="15" hidden="false" customHeight="false" outlineLevel="0" collapsed="false">
      <c r="A357" s="5" t="s">
        <v>1059</v>
      </c>
      <c r="B357" s="26" t="n">
        <v>46033</v>
      </c>
      <c r="C357" s="5" t="s">
        <v>394</v>
      </c>
      <c r="D357" s="5" t="s">
        <v>350</v>
      </c>
      <c r="E357" s="5" t="s">
        <v>39</v>
      </c>
      <c r="F357" s="5" t="n">
        <v>598</v>
      </c>
      <c r="G357" s="20" t="n">
        <v>13470975</v>
      </c>
      <c r="H357" s="20" t="n">
        <v>2424776</v>
      </c>
      <c r="I357" s="20" t="n">
        <v>15895751</v>
      </c>
      <c r="J357" s="5" t="s">
        <v>383</v>
      </c>
      <c r="K357" s="5" t="s">
        <v>384</v>
      </c>
    </row>
    <row r="358" customFormat="false" ht="15" hidden="false" customHeight="false" outlineLevel="0" collapsed="false">
      <c r="A358" s="5" t="s">
        <v>1060</v>
      </c>
      <c r="B358" s="5" t="s">
        <v>1061</v>
      </c>
      <c r="C358" s="5" t="s">
        <v>643</v>
      </c>
      <c r="D358" s="5" t="s">
        <v>390</v>
      </c>
      <c r="E358" s="5" t="s">
        <v>429</v>
      </c>
      <c r="F358" s="5" t="n">
        <v>2329</v>
      </c>
      <c r="G358" s="20" t="n">
        <v>13478785</v>
      </c>
      <c r="H358" s="20" t="n">
        <v>2426181</v>
      </c>
      <c r="I358" s="20" t="n">
        <v>15904966</v>
      </c>
      <c r="J358" s="5" t="s">
        <v>356</v>
      </c>
      <c r="K358" s="5" t="s">
        <v>343</v>
      </c>
    </row>
    <row r="359" customFormat="false" ht="15" hidden="false" customHeight="false" outlineLevel="0" collapsed="false">
      <c r="A359" s="5" t="s">
        <v>1062</v>
      </c>
      <c r="B359" s="5" t="s">
        <v>1063</v>
      </c>
      <c r="C359" s="5" t="s">
        <v>419</v>
      </c>
      <c r="D359" s="5" t="s">
        <v>390</v>
      </c>
      <c r="E359" s="5" t="s">
        <v>38</v>
      </c>
      <c r="F359" s="5" t="n">
        <v>1337</v>
      </c>
      <c r="G359" s="20" t="n">
        <v>2500000</v>
      </c>
      <c r="H359" s="20" t="n">
        <v>450000</v>
      </c>
      <c r="I359" s="5" t="s">
        <v>466</v>
      </c>
      <c r="J359" s="5" t="s">
        <v>356</v>
      </c>
      <c r="K359" s="5" t="s">
        <v>363</v>
      </c>
    </row>
    <row r="361" customFormat="false" ht="15" hidden="false" customHeight="false" outlineLevel="0" collapsed="false">
      <c r="A361" s="16" t="s">
        <v>1064</v>
      </c>
    </row>
    <row r="362" customFormat="false" ht="15" hidden="false" customHeight="false" outlineLevel="0" collapsed="false">
      <c r="A362" s="9" t="s">
        <v>320</v>
      </c>
      <c r="B362" s="9" t="s">
        <v>321</v>
      </c>
      <c r="C362" s="9" t="s">
        <v>322</v>
      </c>
      <c r="D362" s="9" t="s">
        <v>323</v>
      </c>
      <c r="E362" s="9" t="s">
        <v>324</v>
      </c>
      <c r="F362" s="9" t="s">
        <v>325</v>
      </c>
      <c r="G362" s="9" t="s">
        <v>326</v>
      </c>
      <c r="H362" s="9" t="s">
        <v>327</v>
      </c>
      <c r="I362" s="9" t="s">
        <v>328</v>
      </c>
      <c r="J362" s="9" t="s">
        <v>329</v>
      </c>
      <c r="K362" s="9" t="s">
        <v>330</v>
      </c>
    </row>
    <row r="363" customFormat="false" ht="15" hidden="false" customHeight="false" outlineLevel="0" collapsed="false">
      <c r="A363" s="5" t="s">
        <v>1065</v>
      </c>
      <c r="B363" s="26" t="n">
        <v>46036</v>
      </c>
      <c r="C363" s="5" t="s">
        <v>492</v>
      </c>
      <c r="D363" s="5" t="s">
        <v>558</v>
      </c>
      <c r="E363" s="5" t="s">
        <v>351</v>
      </c>
      <c r="F363" s="5" t="n">
        <v>110</v>
      </c>
      <c r="G363" s="5" t="s">
        <v>1066</v>
      </c>
      <c r="H363" s="20" t="n">
        <v>508280</v>
      </c>
      <c r="I363" s="20" t="n">
        <v>3332059</v>
      </c>
      <c r="J363" s="5" t="s">
        <v>356</v>
      </c>
      <c r="K363" s="5" t="s">
        <v>406</v>
      </c>
    </row>
    <row r="364" customFormat="false" ht="15" hidden="false" customHeight="false" outlineLevel="0" collapsed="false">
      <c r="A364" s="5" t="s">
        <v>1067</v>
      </c>
      <c r="B364" s="26" t="n">
        <v>46036</v>
      </c>
      <c r="C364" s="5" t="s">
        <v>428</v>
      </c>
      <c r="D364" s="5" t="s">
        <v>374</v>
      </c>
      <c r="E364" s="5" t="s">
        <v>341</v>
      </c>
      <c r="F364" s="5" t="n">
        <v>544</v>
      </c>
      <c r="G364" s="20" t="n">
        <v>3204919</v>
      </c>
      <c r="H364" s="20" t="n">
        <v>576885</v>
      </c>
      <c r="I364" s="20" t="n">
        <v>3781804</v>
      </c>
      <c r="J364" s="5" t="s">
        <v>353</v>
      </c>
      <c r="K364" s="5" t="s">
        <v>396</v>
      </c>
    </row>
    <row r="365" customFormat="false" ht="15" hidden="false" customHeight="false" outlineLevel="0" collapsed="false">
      <c r="A365" s="5" t="s">
        <v>1068</v>
      </c>
      <c r="B365" s="26" t="n">
        <v>46038</v>
      </c>
      <c r="C365" s="5" t="s">
        <v>948</v>
      </c>
      <c r="D365" s="5" t="s">
        <v>615</v>
      </c>
      <c r="E365" s="5" t="s">
        <v>359</v>
      </c>
      <c r="F365" s="5" t="n">
        <v>2574</v>
      </c>
      <c r="G365" s="20" t="n">
        <v>4390597</v>
      </c>
      <c r="H365" s="5" t="s">
        <v>1069</v>
      </c>
      <c r="I365" s="20" t="n">
        <v>5180904</v>
      </c>
      <c r="J365" s="5" t="s">
        <v>335</v>
      </c>
      <c r="K365" s="5" t="s">
        <v>406</v>
      </c>
    </row>
    <row r="366" customFormat="false" ht="15" hidden="false" customHeight="false" outlineLevel="0" collapsed="false">
      <c r="A366" s="5" t="s">
        <v>1070</v>
      </c>
      <c r="B366" s="26" t="n">
        <v>46039</v>
      </c>
      <c r="C366" s="5" t="s">
        <v>449</v>
      </c>
      <c r="D366" s="5" t="s">
        <v>398</v>
      </c>
      <c r="E366" s="5" t="s">
        <v>41</v>
      </c>
      <c r="F366" s="5" t="n">
        <v>1726</v>
      </c>
      <c r="G366" s="20" t="n">
        <v>7267907</v>
      </c>
      <c r="H366" s="20" t="n">
        <v>0</v>
      </c>
      <c r="I366" s="20" t="n">
        <v>7267907</v>
      </c>
      <c r="J366" s="5" t="s">
        <v>342</v>
      </c>
      <c r="K366" s="5" t="s">
        <v>343</v>
      </c>
    </row>
    <row r="367" customFormat="false" ht="15" hidden="false" customHeight="false" outlineLevel="0" collapsed="false">
      <c r="A367" s="5" t="s">
        <v>1071</v>
      </c>
      <c r="B367" s="26" t="n">
        <v>46040</v>
      </c>
      <c r="C367" s="5" t="s">
        <v>365</v>
      </c>
      <c r="D367" s="5" t="s">
        <v>416</v>
      </c>
      <c r="E367" s="5" t="s">
        <v>39</v>
      </c>
      <c r="F367" s="5" t="n">
        <v>140</v>
      </c>
      <c r="G367" s="20" t="n">
        <v>3690681</v>
      </c>
      <c r="H367" s="20" t="n">
        <v>0</v>
      </c>
      <c r="I367" s="5" t="s">
        <v>1072</v>
      </c>
      <c r="J367" s="5" t="s">
        <v>342</v>
      </c>
      <c r="K367" s="5" t="s">
        <v>368</v>
      </c>
    </row>
    <row r="368" customFormat="false" ht="15" hidden="false" customHeight="false" outlineLevel="0" collapsed="false">
      <c r="A368" s="5" t="s">
        <v>1073</v>
      </c>
      <c r="B368" s="26" t="n">
        <v>46041</v>
      </c>
      <c r="C368" s="5" t="s">
        <v>349</v>
      </c>
      <c r="D368" s="5" t="s">
        <v>350</v>
      </c>
      <c r="E368" s="5" t="s">
        <v>80</v>
      </c>
      <c r="F368" s="5" t="n">
        <v>222</v>
      </c>
      <c r="G368" s="20" t="n">
        <v>5707824</v>
      </c>
      <c r="H368" s="5" t="s">
        <v>1074</v>
      </c>
      <c r="I368" s="20" t="n">
        <v>6735232</v>
      </c>
      <c r="J368" s="5" t="s">
        <v>342</v>
      </c>
      <c r="K368" s="5" t="s">
        <v>384</v>
      </c>
    </row>
    <row r="369" customFormat="false" ht="15" hidden="false" customHeight="false" outlineLevel="0" collapsed="false">
      <c r="A369" s="5" t="s">
        <v>1075</v>
      </c>
      <c r="B369" s="26" t="n">
        <v>46041</v>
      </c>
      <c r="C369" s="5" t="s">
        <v>431</v>
      </c>
      <c r="D369" s="5" t="s">
        <v>334</v>
      </c>
      <c r="E369" s="5" t="s">
        <v>359</v>
      </c>
      <c r="F369" s="5" t="n">
        <v>5890</v>
      </c>
      <c r="G369" s="20" t="n">
        <v>10399207</v>
      </c>
      <c r="H369" s="20" t="n">
        <v>1871857</v>
      </c>
      <c r="I369" s="20" t="n">
        <v>12271064</v>
      </c>
      <c r="J369" s="5" t="s">
        <v>335</v>
      </c>
      <c r="K369" s="5" t="s">
        <v>347</v>
      </c>
    </row>
    <row r="370" customFormat="false" ht="15" hidden="false" customHeight="false" outlineLevel="0" collapsed="false">
      <c r="A370" s="5" t="s">
        <v>1076</v>
      </c>
      <c r="B370" s="26" t="n">
        <v>46042</v>
      </c>
      <c r="C370" s="5" t="s">
        <v>419</v>
      </c>
      <c r="D370" s="5" t="s">
        <v>340</v>
      </c>
      <c r="E370" s="5" t="s">
        <v>79</v>
      </c>
      <c r="F370" s="5" t="n">
        <v>9998</v>
      </c>
      <c r="G370" s="20" t="n">
        <v>17999214</v>
      </c>
      <c r="H370" s="5" t="s">
        <v>1077</v>
      </c>
      <c r="I370" s="20" t="n">
        <v>21239073</v>
      </c>
      <c r="J370" s="5" t="s">
        <v>342</v>
      </c>
      <c r="K370" s="5" t="s">
        <v>384</v>
      </c>
    </row>
    <row r="371" customFormat="false" ht="15" hidden="false" customHeight="false" outlineLevel="0" collapsed="false">
      <c r="A371" s="5" t="s">
        <v>1078</v>
      </c>
      <c r="B371" s="26" t="n">
        <v>46042</v>
      </c>
      <c r="C371" s="5" t="s">
        <v>439</v>
      </c>
      <c r="D371" s="5" t="s">
        <v>366</v>
      </c>
      <c r="E371" s="5" t="s">
        <v>39</v>
      </c>
      <c r="F371" s="5" t="n">
        <v>100</v>
      </c>
      <c r="G371" s="20" t="n">
        <v>2500000</v>
      </c>
      <c r="H371" s="5" t="s">
        <v>277</v>
      </c>
      <c r="I371" s="20" t="n">
        <v>2500000</v>
      </c>
      <c r="J371" s="5" t="s">
        <v>356</v>
      </c>
      <c r="K371" s="5" t="s">
        <v>347</v>
      </c>
    </row>
    <row r="372" customFormat="false" ht="15" hidden="false" customHeight="false" outlineLevel="0" collapsed="false">
      <c r="A372" s="5" t="s">
        <v>1079</v>
      </c>
      <c r="B372" s="26" t="n">
        <v>46043</v>
      </c>
      <c r="C372" s="5" t="s">
        <v>400</v>
      </c>
      <c r="E372" s="5" t="s">
        <v>38</v>
      </c>
      <c r="F372" s="5" t="n">
        <v>1883</v>
      </c>
      <c r="G372" s="20" t="n">
        <v>3595137</v>
      </c>
      <c r="H372" s="5" t="s">
        <v>1080</v>
      </c>
      <c r="I372" s="20" t="n">
        <v>4242262</v>
      </c>
      <c r="J372" s="5" t="s">
        <v>342</v>
      </c>
      <c r="K372" s="5" t="s">
        <v>363</v>
      </c>
    </row>
    <row r="373" customFormat="false" ht="15" hidden="false" customHeight="false" outlineLevel="0" collapsed="false">
      <c r="A373" s="5" t="s">
        <v>1081</v>
      </c>
      <c r="B373" s="26" t="n">
        <v>46044</v>
      </c>
      <c r="C373" s="5" t="s">
        <v>339</v>
      </c>
      <c r="D373" s="5" t="s">
        <v>390</v>
      </c>
      <c r="E373" s="5" t="s">
        <v>341</v>
      </c>
      <c r="F373" s="5" t="n">
        <v>409</v>
      </c>
      <c r="G373" s="5" t="s">
        <v>375</v>
      </c>
      <c r="H373" s="5" t="s">
        <v>488</v>
      </c>
      <c r="I373" s="5" t="s">
        <v>466</v>
      </c>
      <c r="J373" s="5" t="s">
        <v>403</v>
      </c>
      <c r="K373" s="5" t="s">
        <v>368</v>
      </c>
    </row>
    <row r="374" customFormat="false" ht="15" hidden="false" customHeight="false" outlineLevel="0" collapsed="false">
      <c r="A374" s="5" t="s">
        <v>1082</v>
      </c>
      <c r="B374" s="26" t="n">
        <v>46047</v>
      </c>
      <c r="C374" s="5" t="s">
        <v>394</v>
      </c>
      <c r="D374" s="5" t="s">
        <v>350</v>
      </c>
      <c r="E374" s="5" t="s">
        <v>39</v>
      </c>
      <c r="F374" s="5" t="n">
        <v>100</v>
      </c>
      <c r="G374" s="20" t="n">
        <v>2500000</v>
      </c>
      <c r="H374" s="5" t="s">
        <v>488</v>
      </c>
      <c r="I374" s="20" t="n">
        <v>2950000</v>
      </c>
      <c r="J374" s="5" t="s">
        <v>342</v>
      </c>
      <c r="K374" s="5" t="s">
        <v>406</v>
      </c>
    </row>
    <row r="375" customFormat="false" ht="15" hidden="false" customHeight="false" outlineLevel="0" collapsed="false">
      <c r="A375" s="5" t="s">
        <v>1083</v>
      </c>
      <c r="B375" s="26" t="n">
        <v>46050</v>
      </c>
      <c r="C375" s="5" t="s">
        <v>421</v>
      </c>
      <c r="D375" s="5" t="s">
        <v>390</v>
      </c>
      <c r="E375" s="5" t="s">
        <v>79</v>
      </c>
      <c r="F375" s="5" t="n">
        <v>2521</v>
      </c>
      <c r="G375" s="5" t="s">
        <v>1084</v>
      </c>
      <c r="H375" s="20" t="n">
        <v>919184</v>
      </c>
      <c r="I375" s="20" t="n">
        <v>6025761</v>
      </c>
      <c r="J375" s="5" t="s">
        <v>342</v>
      </c>
      <c r="K375" s="5" t="s">
        <v>384</v>
      </c>
    </row>
    <row r="376" customFormat="false" ht="15" hidden="false" customHeight="false" outlineLevel="0" collapsed="false">
      <c r="A376" s="5" t="s">
        <v>1085</v>
      </c>
      <c r="B376" s="26" t="n">
        <v>46050</v>
      </c>
      <c r="C376" s="5" t="s">
        <v>507</v>
      </c>
      <c r="E376" s="5" t="s">
        <v>351</v>
      </c>
      <c r="F376" s="5" t="n">
        <v>504</v>
      </c>
      <c r="G376" s="20" t="n">
        <v>13535978</v>
      </c>
      <c r="H376" s="5" t="s">
        <v>1086</v>
      </c>
      <c r="I376" s="20" t="n">
        <v>15972454</v>
      </c>
      <c r="J376" s="5" t="s">
        <v>403</v>
      </c>
      <c r="K376" s="5" t="s">
        <v>343</v>
      </c>
    </row>
    <row r="377" customFormat="false" ht="15" hidden="false" customHeight="false" outlineLevel="0" collapsed="false">
      <c r="A377" s="5" t="s">
        <v>1087</v>
      </c>
      <c r="B377" s="26" t="n">
        <v>46051</v>
      </c>
      <c r="C377" s="5" t="s">
        <v>400</v>
      </c>
      <c r="D377" s="5" t="s">
        <v>374</v>
      </c>
      <c r="E377" s="5" t="s">
        <v>38</v>
      </c>
      <c r="F377" s="5" t="n">
        <v>2285</v>
      </c>
      <c r="G377" s="5" t="s">
        <v>1088</v>
      </c>
      <c r="H377" s="20" t="n">
        <v>825029</v>
      </c>
      <c r="I377" s="20" t="n">
        <v>5408525</v>
      </c>
      <c r="J377" s="5" t="s">
        <v>353</v>
      </c>
      <c r="K377" s="5" t="s">
        <v>343</v>
      </c>
    </row>
    <row r="378" customFormat="false" ht="15" hidden="false" customHeight="false" outlineLevel="0" collapsed="false">
      <c r="A378" s="5" t="s">
        <v>1089</v>
      </c>
      <c r="B378" s="26" t="n">
        <v>46052</v>
      </c>
      <c r="C378" s="5" t="s">
        <v>507</v>
      </c>
      <c r="D378" s="5" t="s">
        <v>558</v>
      </c>
      <c r="E378" s="5" t="s">
        <v>39</v>
      </c>
      <c r="F378" s="5" t="n">
        <v>203</v>
      </c>
      <c r="G378" s="20" t="n">
        <v>5333255</v>
      </c>
      <c r="H378" s="20" t="n">
        <v>959986</v>
      </c>
      <c r="I378" s="5" t="s">
        <v>1090</v>
      </c>
      <c r="J378" s="5" t="s">
        <v>356</v>
      </c>
      <c r="K378" s="5" t="s">
        <v>406</v>
      </c>
    </row>
    <row r="379" customFormat="false" ht="15" hidden="false" customHeight="false" outlineLevel="0" collapsed="false">
      <c r="A379" s="5" t="s">
        <v>1091</v>
      </c>
      <c r="B379" s="26" t="n">
        <v>46052</v>
      </c>
      <c r="C379" s="5" t="s">
        <v>415</v>
      </c>
      <c r="D379" s="5" t="s">
        <v>416</v>
      </c>
      <c r="E379" s="5" t="s">
        <v>38</v>
      </c>
      <c r="F379" s="5" t="n">
        <v>1609</v>
      </c>
      <c r="G379" s="20" t="n">
        <v>3267534</v>
      </c>
      <c r="H379" s="5" t="s">
        <v>440</v>
      </c>
      <c r="I379" s="5" t="s">
        <v>1092</v>
      </c>
      <c r="J379" s="5" t="s">
        <v>383</v>
      </c>
      <c r="K379" s="5" t="s">
        <v>368</v>
      </c>
    </row>
    <row r="380" customFormat="false" ht="15" hidden="false" customHeight="false" outlineLevel="0" collapsed="false">
      <c r="A380" s="5" t="s">
        <v>1093</v>
      </c>
      <c r="B380" s="26" t="n">
        <v>46053</v>
      </c>
      <c r="C380" s="5" t="s">
        <v>400</v>
      </c>
      <c r="D380" s="5" t="s">
        <v>374</v>
      </c>
      <c r="E380" s="5" t="s">
        <v>41</v>
      </c>
      <c r="F380" s="5" t="n">
        <v>1435</v>
      </c>
      <c r="G380" s="5" t="s">
        <v>1094</v>
      </c>
      <c r="H380" s="20" t="n">
        <v>1060753</v>
      </c>
      <c r="I380" s="20" t="n">
        <v>6953825</v>
      </c>
      <c r="J380" s="5" t="s">
        <v>346</v>
      </c>
      <c r="K380" s="5" t="s">
        <v>343</v>
      </c>
    </row>
    <row r="381" customFormat="false" ht="15" hidden="false" customHeight="false" outlineLevel="0" collapsed="false">
      <c r="A381" s="5" t="s">
        <v>1095</v>
      </c>
      <c r="B381" s="26" t="n">
        <v>46053</v>
      </c>
      <c r="C381" s="5" t="s">
        <v>419</v>
      </c>
      <c r="D381" s="5" t="s">
        <v>340</v>
      </c>
      <c r="E381" s="5" t="s">
        <v>38</v>
      </c>
      <c r="F381" s="5" t="n">
        <v>3985</v>
      </c>
      <c r="G381" s="20" t="n">
        <v>6766242</v>
      </c>
      <c r="H381" s="5" t="s">
        <v>1096</v>
      </c>
      <c r="I381" s="5" t="s">
        <v>1097</v>
      </c>
      <c r="J381" s="5" t="s">
        <v>346</v>
      </c>
      <c r="K381" s="5" t="s">
        <v>368</v>
      </c>
    </row>
    <row r="382" customFormat="false" ht="15" hidden="false" customHeight="false" outlineLevel="0" collapsed="false">
      <c r="A382" s="5" t="s">
        <v>1098</v>
      </c>
      <c r="B382" s="26" t="n">
        <v>46053</v>
      </c>
      <c r="C382" s="5" t="s">
        <v>400</v>
      </c>
      <c r="D382" s="5" t="s">
        <v>374</v>
      </c>
      <c r="E382" s="5" t="s">
        <v>38</v>
      </c>
      <c r="F382" s="5" t="n">
        <v>4110</v>
      </c>
      <c r="G382" s="20" t="n">
        <v>8138978</v>
      </c>
      <c r="H382" s="20" t="n">
        <v>1465016</v>
      </c>
      <c r="I382" s="20" t="n">
        <v>9603994</v>
      </c>
      <c r="J382" s="5" t="s">
        <v>403</v>
      </c>
      <c r="K382" s="5" t="s">
        <v>363</v>
      </c>
    </row>
    <row r="383" customFormat="false" ht="15" hidden="false" customHeight="false" outlineLevel="0" collapsed="false">
      <c r="A383" s="5" t="s">
        <v>1099</v>
      </c>
      <c r="B383" s="26" t="n">
        <v>46054</v>
      </c>
      <c r="C383" s="5" t="s">
        <v>1100</v>
      </c>
      <c r="D383" s="5" t="s">
        <v>350</v>
      </c>
      <c r="E383" s="5" t="s">
        <v>39</v>
      </c>
      <c r="F383" s="5" t="n">
        <v>181</v>
      </c>
      <c r="G383" s="20" t="n">
        <v>4091277</v>
      </c>
      <c r="H383" s="20" t="n">
        <v>736430</v>
      </c>
      <c r="I383" s="20" t="n">
        <v>4827707</v>
      </c>
      <c r="J383" s="5" t="s">
        <v>335</v>
      </c>
      <c r="K383" s="5" t="s">
        <v>336</v>
      </c>
    </row>
    <row r="384" customFormat="false" ht="15" hidden="false" customHeight="false" outlineLevel="0" collapsed="false">
      <c r="A384" s="5" t="s">
        <v>1101</v>
      </c>
      <c r="B384" s="26" t="n">
        <v>46054</v>
      </c>
      <c r="C384" s="5" t="s">
        <v>701</v>
      </c>
      <c r="D384" s="5" t="s">
        <v>340</v>
      </c>
      <c r="E384" s="5" t="s">
        <v>41</v>
      </c>
      <c r="F384" s="5" t="n">
        <v>1518</v>
      </c>
      <c r="G384" s="20" t="n">
        <v>6398054</v>
      </c>
      <c r="H384" s="20" t="n">
        <v>1151650</v>
      </c>
      <c r="I384" s="20" t="n">
        <v>7549704</v>
      </c>
      <c r="J384" s="5" t="s">
        <v>356</v>
      </c>
      <c r="K384" s="5" t="s">
        <v>368</v>
      </c>
    </row>
    <row r="385" customFormat="false" ht="15" hidden="false" customHeight="false" outlineLevel="0" collapsed="false">
      <c r="A385" s="5" t="s">
        <v>1102</v>
      </c>
      <c r="B385" s="26" t="n">
        <v>46054</v>
      </c>
      <c r="C385" s="5" t="s">
        <v>345</v>
      </c>
      <c r="D385" s="5" t="s">
        <v>334</v>
      </c>
      <c r="E385" s="5" t="s">
        <v>38</v>
      </c>
      <c r="F385" s="5" t="n">
        <v>2213</v>
      </c>
      <c r="G385" s="20" t="n">
        <v>4099830</v>
      </c>
      <c r="H385" s="20" t="n">
        <v>737969</v>
      </c>
      <c r="I385" s="5" t="s">
        <v>1103</v>
      </c>
      <c r="J385" s="5" t="s">
        <v>335</v>
      </c>
      <c r="K385" s="5" t="s">
        <v>396</v>
      </c>
    </row>
    <row r="386" customFormat="false" ht="15" hidden="false" customHeight="false" outlineLevel="0" collapsed="false">
      <c r="A386" s="5" t="s">
        <v>1104</v>
      </c>
      <c r="B386" s="26" t="n">
        <v>46055</v>
      </c>
      <c r="C386" s="5" t="s">
        <v>419</v>
      </c>
      <c r="D386" s="5" t="s">
        <v>390</v>
      </c>
      <c r="E386" s="5" t="s">
        <v>38</v>
      </c>
      <c r="F386" s="5" t="n">
        <v>11668</v>
      </c>
      <c r="G386" s="5" t="s">
        <v>1105</v>
      </c>
      <c r="H386" s="5" t="s">
        <v>1106</v>
      </c>
      <c r="I386" s="20" t="n">
        <v>24286699</v>
      </c>
      <c r="J386" s="5" t="s">
        <v>335</v>
      </c>
      <c r="K386" s="5" t="s">
        <v>384</v>
      </c>
    </row>
    <row r="387" customFormat="false" ht="15" hidden="false" customHeight="false" outlineLevel="0" collapsed="false">
      <c r="A387" s="5" t="s">
        <v>1107</v>
      </c>
      <c r="B387" s="26" t="n">
        <v>46056</v>
      </c>
      <c r="C387" s="5" t="s">
        <v>831</v>
      </c>
      <c r="D387" s="5" t="s">
        <v>615</v>
      </c>
      <c r="E387" s="5" t="s">
        <v>79</v>
      </c>
      <c r="F387" s="5" t="n">
        <v>1911</v>
      </c>
      <c r="G387" s="20" t="n">
        <v>3366011</v>
      </c>
      <c r="H387" s="20" t="n">
        <v>605882</v>
      </c>
      <c r="I387" s="20" t="n">
        <v>3971893</v>
      </c>
      <c r="J387" s="5" t="s">
        <v>383</v>
      </c>
      <c r="K387" s="5" t="s">
        <v>347</v>
      </c>
    </row>
    <row r="388" customFormat="false" ht="15" hidden="false" customHeight="false" outlineLevel="0" collapsed="false">
      <c r="A388" s="5" t="s">
        <v>1108</v>
      </c>
      <c r="B388" s="26" t="n">
        <v>46057</v>
      </c>
      <c r="C388" s="5" t="s">
        <v>415</v>
      </c>
      <c r="D388" s="5" t="s">
        <v>398</v>
      </c>
      <c r="E388" s="5" t="s">
        <v>38</v>
      </c>
      <c r="F388" s="5" t="n">
        <v>3905</v>
      </c>
      <c r="G388" s="20" t="n">
        <v>6776118</v>
      </c>
      <c r="H388" s="20" t="n">
        <v>0</v>
      </c>
      <c r="I388" s="5" t="s">
        <v>1109</v>
      </c>
      <c r="J388" s="5" t="s">
        <v>346</v>
      </c>
      <c r="K388" s="5" t="s">
        <v>347</v>
      </c>
    </row>
    <row r="389" customFormat="false" ht="15" hidden="false" customHeight="false" outlineLevel="0" collapsed="false">
      <c r="A389" s="5" t="s">
        <v>1110</v>
      </c>
      <c r="B389" s="26" t="n">
        <v>46058</v>
      </c>
      <c r="C389" s="5" t="s">
        <v>358</v>
      </c>
      <c r="D389" s="5" t="s">
        <v>390</v>
      </c>
      <c r="E389" s="5" t="s">
        <v>38</v>
      </c>
      <c r="F389" s="5" t="n">
        <v>8965</v>
      </c>
      <c r="G389" s="20" t="n">
        <v>18216232</v>
      </c>
      <c r="H389" s="5" t="s">
        <v>1111</v>
      </c>
      <c r="I389" s="5" t="s">
        <v>1112</v>
      </c>
      <c r="J389" s="5" t="s">
        <v>335</v>
      </c>
      <c r="K389" s="5" t="s">
        <v>347</v>
      </c>
    </row>
    <row r="390" customFormat="false" ht="15" hidden="false" customHeight="false" outlineLevel="0" collapsed="false">
      <c r="A390" s="5" t="s">
        <v>1113</v>
      </c>
      <c r="B390" s="26" t="n">
        <v>46059</v>
      </c>
      <c r="C390" s="5" t="s">
        <v>495</v>
      </c>
      <c r="D390" s="5" t="s">
        <v>390</v>
      </c>
      <c r="E390" s="5" t="s">
        <v>41</v>
      </c>
      <c r="F390" s="5" t="n">
        <v>1194</v>
      </c>
      <c r="G390" s="20" t="n">
        <v>4208112</v>
      </c>
      <c r="H390" s="20" t="n">
        <v>757460</v>
      </c>
      <c r="I390" s="5" t="s">
        <v>1114</v>
      </c>
      <c r="J390" s="5" t="s">
        <v>346</v>
      </c>
      <c r="K390" s="5" t="s">
        <v>406</v>
      </c>
    </row>
    <row r="391" customFormat="false" ht="15" hidden="false" customHeight="false" outlineLevel="0" collapsed="false">
      <c r="A391" s="5" t="s">
        <v>1115</v>
      </c>
      <c r="B391" s="26" t="n">
        <v>46059</v>
      </c>
      <c r="C391" s="5" t="s">
        <v>358</v>
      </c>
      <c r="D391" s="5" t="s">
        <v>390</v>
      </c>
      <c r="E391" s="5" t="s">
        <v>359</v>
      </c>
      <c r="F391" s="5" t="n">
        <v>4535</v>
      </c>
      <c r="G391" s="20" t="n">
        <v>7714807</v>
      </c>
      <c r="H391" s="20" t="n">
        <v>1388665</v>
      </c>
      <c r="I391" s="20" t="n">
        <v>9103472</v>
      </c>
      <c r="J391" s="5" t="s">
        <v>403</v>
      </c>
      <c r="K391" s="5" t="s">
        <v>384</v>
      </c>
    </row>
    <row r="392" customFormat="false" ht="15" hidden="false" customHeight="false" outlineLevel="0" collapsed="false">
      <c r="A392" s="5" t="s">
        <v>1116</v>
      </c>
      <c r="B392" s="5" t="s">
        <v>1117</v>
      </c>
      <c r="C392" s="5" t="s">
        <v>345</v>
      </c>
      <c r="D392" s="5" t="s">
        <v>334</v>
      </c>
      <c r="E392" s="5" t="s">
        <v>38</v>
      </c>
      <c r="F392" s="5" t="n">
        <v>7922</v>
      </c>
      <c r="G392" s="20" t="n">
        <v>15681806</v>
      </c>
      <c r="H392" s="5" t="s">
        <v>1118</v>
      </c>
      <c r="I392" s="20" t="n">
        <v>18504531</v>
      </c>
      <c r="J392" s="5" t="s">
        <v>335</v>
      </c>
      <c r="K392" s="5" t="s">
        <v>368</v>
      </c>
    </row>
    <row r="393" customFormat="false" ht="15" hidden="false" customHeight="false" outlineLevel="0" collapsed="false">
      <c r="A393" s="5" t="s">
        <v>1119</v>
      </c>
      <c r="B393" s="26" t="n">
        <v>46062</v>
      </c>
      <c r="C393" s="5" t="s">
        <v>555</v>
      </c>
      <c r="D393" s="5" t="s">
        <v>615</v>
      </c>
      <c r="E393" s="5" t="s">
        <v>341</v>
      </c>
      <c r="F393" s="5" t="n">
        <v>392</v>
      </c>
      <c r="G393" s="5" t="s">
        <v>375</v>
      </c>
      <c r="H393" s="5" t="s">
        <v>412</v>
      </c>
      <c r="I393" s="20" t="n">
        <v>2950000</v>
      </c>
      <c r="J393" s="5" t="s">
        <v>335</v>
      </c>
      <c r="K393" s="5" t="s">
        <v>406</v>
      </c>
    </row>
    <row r="394" customFormat="false" ht="15" hidden="false" customHeight="false" outlineLevel="0" collapsed="false">
      <c r="A394" s="5" t="s">
        <v>1120</v>
      </c>
      <c r="B394" s="26" t="n">
        <v>46062</v>
      </c>
      <c r="C394" s="5" t="s">
        <v>419</v>
      </c>
      <c r="D394" s="5" t="s">
        <v>390</v>
      </c>
      <c r="E394" s="5" t="s">
        <v>79</v>
      </c>
      <c r="F394" s="5" t="n">
        <v>3050</v>
      </c>
      <c r="G394" s="5" t="s">
        <v>1121</v>
      </c>
      <c r="H394" s="5" t="s">
        <v>1122</v>
      </c>
      <c r="I394" s="5" t="s">
        <v>1123</v>
      </c>
      <c r="J394" s="5" t="s">
        <v>346</v>
      </c>
      <c r="K394" s="5" t="s">
        <v>406</v>
      </c>
    </row>
    <row r="395" customFormat="false" ht="15" hidden="false" customHeight="false" outlineLevel="0" collapsed="false">
      <c r="A395" s="5" t="s">
        <v>1124</v>
      </c>
      <c r="B395" s="26" t="n">
        <v>46062</v>
      </c>
      <c r="C395" s="5" t="s">
        <v>365</v>
      </c>
      <c r="D395" s="5" t="s">
        <v>524</v>
      </c>
      <c r="E395" s="5" t="s">
        <v>39</v>
      </c>
      <c r="F395" s="5" t="n">
        <v>106</v>
      </c>
      <c r="G395" s="5" t="s">
        <v>452</v>
      </c>
      <c r="H395" s="20" t="n">
        <v>0</v>
      </c>
      <c r="I395" s="5" t="s">
        <v>375</v>
      </c>
      <c r="J395" s="5" t="s">
        <v>383</v>
      </c>
      <c r="K395" s="5" t="s">
        <v>384</v>
      </c>
    </row>
    <row r="396" customFormat="false" ht="15" hidden="false" customHeight="false" outlineLevel="0" collapsed="false">
      <c r="A396" s="5" t="s">
        <v>1125</v>
      </c>
      <c r="B396" s="26" t="n">
        <v>46065</v>
      </c>
      <c r="C396" s="5" t="s">
        <v>555</v>
      </c>
      <c r="D396" s="5" t="s">
        <v>334</v>
      </c>
      <c r="E396" s="5" t="s">
        <v>82</v>
      </c>
      <c r="F396" s="5" t="n">
        <v>439</v>
      </c>
      <c r="G396" s="5" t="s">
        <v>375</v>
      </c>
      <c r="H396" s="5" t="s">
        <v>412</v>
      </c>
      <c r="I396" s="20" t="n">
        <v>2950000</v>
      </c>
      <c r="J396" s="5" t="s">
        <v>342</v>
      </c>
      <c r="K396" s="5" t="s">
        <v>347</v>
      </c>
    </row>
    <row r="397" customFormat="false" ht="15" hidden="false" customHeight="false" outlineLevel="0" collapsed="false">
      <c r="A397" s="5" t="s">
        <v>1126</v>
      </c>
      <c r="B397" s="26" t="n">
        <v>46066</v>
      </c>
      <c r="C397" s="5" t="s">
        <v>431</v>
      </c>
      <c r="D397" s="5" t="s">
        <v>334</v>
      </c>
      <c r="E397" s="5" t="s">
        <v>79</v>
      </c>
      <c r="F397" s="5" t="n">
        <v>2014</v>
      </c>
      <c r="G397" s="20" t="n">
        <v>3946278</v>
      </c>
      <c r="H397" s="5" t="s">
        <v>1127</v>
      </c>
      <c r="I397" s="20" t="n">
        <v>4656608</v>
      </c>
      <c r="J397" s="5" t="s">
        <v>383</v>
      </c>
      <c r="K397" s="5" t="s">
        <v>336</v>
      </c>
    </row>
    <row r="398" customFormat="false" ht="15" hidden="false" customHeight="false" outlineLevel="0" collapsed="false">
      <c r="A398" s="5" t="s">
        <v>1128</v>
      </c>
      <c r="B398" s="26" t="n">
        <v>46067</v>
      </c>
      <c r="C398" s="5" t="s">
        <v>400</v>
      </c>
      <c r="D398" s="5" t="s">
        <v>374</v>
      </c>
      <c r="E398" s="5" t="s">
        <v>41</v>
      </c>
      <c r="F398" s="5" t="n">
        <v>1861</v>
      </c>
      <c r="G398" s="20" t="n">
        <v>7622392</v>
      </c>
      <c r="H398" s="20" t="n">
        <v>1372031</v>
      </c>
      <c r="I398" s="5" t="s">
        <v>1129</v>
      </c>
      <c r="J398" s="5" t="s">
        <v>335</v>
      </c>
      <c r="K398" s="5" t="s">
        <v>347</v>
      </c>
    </row>
    <row r="399" customFormat="false" ht="15" hidden="false" customHeight="false" outlineLevel="0" collapsed="false">
      <c r="A399" s="5" t="s">
        <v>1130</v>
      </c>
      <c r="B399" s="26" t="n">
        <v>46067</v>
      </c>
      <c r="C399" s="5" t="s">
        <v>345</v>
      </c>
      <c r="D399" s="5" t="s">
        <v>334</v>
      </c>
      <c r="E399" s="5" t="s">
        <v>38</v>
      </c>
      <c r="F399" s="5" t="n">
        <v>2782</v>
      </c>
      <c r="G399" s="5" t="s">
        <v>1131</v>
      </c>
      <c r="H399" s="5" t="s">
        <v>1132</v>
      </c>
      <c r="I399" s="20" t="n">
        <v>5894669</v>
      </c>
      <c r="J399" s="5" t="s">
        <v>335</v>
      </c>
      <c r="K399" s="5" t="s">
        <v>406</v>
      </c>
    </row>
    <row r="400" customFormat="false" ht="15" hidden="false" customHeight="false" outlineLevel="0" collapsed="false">
      <c r="A400" s="5" t="s">
        <v>1133</v>
      </c>
      <c r="B400" s="5" t="s">
        <v>1134</v>
      </c>
      <c r="C400" s="5" t="s">
        <v>400</v>
      </c>
      <c r="D400" s="5" t="s">
        <v>374</v>
      </c>
      <c r="E400" s="5" t="s">
        <v>41</v>
      </c>
      <c r="F400" s="5" t="n">
        <v>584</v>
      </c>
      <c r="G400" s="5" t="s">
        <v>375</v>
      </c>
      <c r="H400" s="20" t="n">
        <v>450000</v>
      </c>
      <c r="I400" s="20" t="n">
        <v>2950000</v>
      </c>
      <c r="J400" s="5" t="s">
        <v>383</v>
      </c>
      <c r="K400" s="5" t="s">
        <v>363</v>
      </c>
    </row>
    <row r="401" customFormat="false" ht="15" hidden="false" customHeight="false" outlineLevel="0" collapsed="false">
      <c r="A401" s="5" t="s">
        <v>1135</v>
      </c>
      <c r="B401" s="5" t="s">
        <v>1136</v>
      </c>
      <c r="C401" s="5" t="s">
        <v>796</v>
      </c>
      <c r="D401" s="5" t="s">
        <v>374</v>
      </c>
      <c r="E401" s="5" t="s">
        <v>355</v>
      </c>
      <c r="F401" s="5" t="n">
        <v>2735</v>
      </c>
      <c r="G401" s="5" t="s">
        <v>1137</v>
      </c>
      <c r="H401" s="5" t="s">
        <v>1138</v>
      </c>
      <c r="I401" s="20" t="n">
        <v>11616996</v>
      </c>
      <c r="J401" s="5" t="s">
        <v>356</v>
      </c>
      <c r="K401" s="5" t="s">
        <v>396</v>
      </c>
    </row>
    <row r="402" customFormat="false" ht="15" hidden="false" customHeight="false" outlineLevel="0" collapsed="false">
      <c r="A402" s="5" t="s">
        <v>1139</v>
      </c>
      <c r="B402" s="26" t="n">
        <v>46069</v>
      </c>
      <c r="C402" s="5" t="s">
        <v>415</v>
      </c>
      <c r="D402" s="5" t="s">
        <v>366</v>
      </c>
      <c r="E402" s="5" t="s">
        <v>38</v>
      </c>
      <c r="F402" s="5" t="n">
        <v>3039</v>
      </c>
      <c r="G402" s="20" t="n">
        <v>6002691</v>
      </c>
      <c r="H402" s="20" t="n">
        <v>0</v>
      </c>
      <c r="I402" s="5" t="s">
        <v>1140</v>
      </c>
      <c r="J402" s="5" t="s">
        <v>403</v>
      </c>
      <c r="K402" s="5" t="s">
        <v>396</v>
      </c>
    </row>
    <row r="403" customFormat="false" ht="15" hidden="false" customHeight="false" outlineLevel="0" collapsed="false">
      <c r="A403" s="5" t="s">
        <v>1141</v>
      </c>
      <c r="B403" s="5" t="s">
        <v>1142</v>
      </c>
      <c r="C403" s="5" t="s">
        <v>415</v>
      </c>
      <c r="D403" s="5" t="s">
        <v>366</v>
      </c>
      <c r="E403" s="5" t="s">
        <v>41</v>
      </c>
      <c r="F403" s="5" t="n">
        <v>1073</v>
      </c>
      <c r="G403" s="20" t="n">
        <v>3821179</v>
      </c>
      <c r="H403" s="20" t="n">
        <v>0</v>
      </c>
      <c r="I403" s="20" t="n">
        <v>3821179</v>
      </c>
      <c r="J403" s="5" t="s">
        <v>383</v>
      </c>
      <c r="K403" s="5" t="s">
        <v>343</v>
      </c>
    </row>
    <row r="404" customFormat="false" ht="15" hidden="false" customHeight="false" outlineLevel="0" collapsed="false">
      <c r="A404" s="5" t="s">
        <v>1143</v>
      </c>
      <c r="B404" s="26" t="n">
        <v>46073</v>
      </c>
      <c r="C404" s="5" t="s">
        <v>358</v>
      </c>
      <c r="D404" s="5" t="s">
        <v>390</v>
      </c>
      <c r="E404" s="5" t="s">
        <v>38</v>
      </c>
      <c r="F404" s="5" t="n">
        <v>4526</v>
      </c>
      <c r="G404" s="20" t="n">
        <v>7807870</v>
      </c>
      <c r="H404" s="20" t="n">
        <v>1405417</v>
      </c>
      <c r="I404" s="20" t="n">
        <v>9213287</v>
      </c>
      <c r="J404" s="5" t="s">
        <v>353</v>
      </c>
      <c r="K404" s="5" t="s">
        <v>406</v>
      </c>
    </row>
    <row r="405" customFormat="false" ht="15" hidden="false" customHeight="false" outlineLevel="0" collapsed="false">
      <c r="A405" s="5" t="s">
        <v>1144</v>
      </c>
      <c r="B405" s="5" t="s">
        <v>1145</v>
      </c>
      <c r="C405" s="5" t="s">
        <v>439</v>
      </c>
      <c r="D405" s="5" t="s">
        <v>366</v>
      </c>
      <c r="E405" s="5" t="s">
        <v>39</v>
      </c>
      <c r="F405" s="5" t="n">
        <v>103</v>
      </c>
      <c r="G405" s="5" t="s">
        <v>452</v>
      </c>
      <c r="H405" s="20" t="n">
        <v>0</v>
      </c>
      <c r="I405" s="5" t="s">
        <v>375</v>
      </c>
      <c r="J405" s="5" t="s">
        <v>403</v>
      </c>
      <c r="K405" s="5" t="s">
        <v>363</v>
      </c>
    </row>
    <row r="406" customFormat="false" ht="15" hidden="false" customHeight="false" outlineLevel="0" collapsed="false">
      <c r="A406" s="5" t="s">
        <v>1146</v>
      </c>
      <c r="B406" s="5" t="s">
        <v>1147</v>
      </c>
      <c r="C406" s="5" t="s">
        <v>428</v>
      </c>
      <c r="D406" s="5" t="s">
        <v>401</v>
      </c>
      <c r="E406" s="5" t="s">
        <v>429</v>
      </c>
      <c r="F406" s="5" t="n">
        <v>962</v>
      </c>
      <c r="G406" s="20" t="n">
        <v>6062702</v>
      </c>
      <c r="H406" s="20" t="n">
        <v>1091286</v>
      </c>
      <c r="I406" s="20" t="n">
        <v>7153988</v>
      </c>
      <c r="J406" s="5" t="s">
        <v>335</v>
      </c>
      <c r="K406" s="5" t="s">
        <v>336</v>
      </c>
    </row>
    <row r="407" customFormat="false" ht="15" hidden="false" customHeight="false" outlineLevel="0" collapsed="false">
      <c r="A407" s="5" t="s">
        <v>1148</v>
      </c>
      <c r="B407" s="5" t="s">
        <v>1147</v>
      </c>
      <c r="C407" s="5" t="s">
        <v>345</v>
      </c>
      <c r="D407" s="5" t="s">
        <v>334</v>
      </c>
      <c r="E407" s="5" t="s">
        <v>81</v>
      </c>
      <c r="F407" s="5" t="n">
        <v>618</v>
      </c>
      <c r="G407" s="5" t="s">
        <v>375</v>
      </c>
      <c r="H407" s="5" t="s">
        <v>412</v>
      </c>
      <c r="I407" s="20" t="n">
        <v>2950000</v>
      </c>
      <c r="J407" s="5" t="s">
        <v>353</v>
      </c>
      <c r="K407" s="5" t="s">
        <v>347</v>
      </c>
      <c r="L407" s="5" t="s">
        <v>537</v>
      </c>
    </row>
    <row r="408" customFormat="false" ht="15" hidden="false" customHeight="false" outlineLevel="0" collapsed="false">
      <c r="A408" s="5" t="s">
        <v>1149</v>
      </c>
      <c r="B408" s="26" t="n">
        <v>46075</v>
      </c>
      <c r="C408" s="5" t="s">
        <v>492</v>
      </c>
      <c r="D408" s="5" t="s">
        <v>350</v>
      </c>
      <c r="E408" s="5" t="s">
        <v>39</v>
      </c>
      <c r="F408" s="5" t="n">
        <v>425</v>
      </c>
      <c r="G408" s="20" t="n">
        <v>10548446</v>
      </c>
      <c r="H408" s="5" t="s">
        <v>1150</v>
      </c>
      <c r="I408" s="20" t="n">
        <v>12447166</v>
      </c>
      <c r="J408" s="5" t="s">
        <v>342</v>
      </c>
      <c r="K408" s="5" t="s">
        <v>363</v>
      </c>
    </row>
    <row r="409" customFormat="false" ht="15" hidden="false" customHeight="false" outlineLevel="0" collapsed="false">
      <c r="A409" s="5" t="s">
        <v>1151</v>
      </c>
      <c r="B409" s="5" t="s">
        <v>1152</v>
      </c>
      <c r="C409" s="5" t="s">
        <v>373</v>
      </c>
      <c r="D409" s="5" t="s">
        <v>374</v>
      </c>
      <c r="E409" s="5" t="s">
        <v>351</v>
      </c>
      <c r="F409" s="5" t="n">
        <v>253</v>
      </c>
      <c r="G409" s="20" t="n">
        <v>5722691</v>
      </c>
      <c r="H409" s="20" t="n">
        <v>1030084</v>
      </c>
      <c r="I409" s="5" t="s">
        <v>1153</v>
      </c>
      <c r="J409" s="5" t="s">
        <v>383</v>
      </c>
      <c r="K409" s="5" t="s">
        <v>336</v>
      </c>
    </row>
    <row r="410" customFormat="false" ht="15" hidden="false" customHeight="false" outlineLevel="0" collapsed="false">
      <c r="A410" s="5" t="s">
        <v>1154</v>
      </c>
      <c r="B410" s="26" t="n">
        <v>46077</v>
      </c>
      <c r="C410" s="5" t="s">
        <v>428</v>
      </c>
      <c r="D410" s="5" t="s">
        <v>379</v>
      </c>
      <c r="E410" s="5" t="s">
        <v>341</v>
      </c>
      <c r="F410" s="5" t="n">
        <v>1496</v>
      </c>
      <c r="G410" s="20" t="n">
        <v>10163040</v>
      </c>
      <c r="H410" s="20" t="n">
        <v>1829347</v>
      </c>
      <c r="I410" s="20" t="n">
        <v>11992387</v>
      </c>
      <c r="J410" s="5" t="s">
        <v>335</v>
      </c>
      <c r="K410" s="5" t="s">
        <v>368</v>
      </c>
    </row>
    <row r="412" customFormat="false" ht="15" hidden="false" customHeight="false" outlineLevel="0" collapsed="false">
      <c r="A412" s="16" t="s">
        <v>1155</v>
      </c>
    </row>
    <row r="413" customFormat="false" ht="15" hidden="false" customHeight="false" outlineLevel="0" collapsed="false">
      <c r="A413" s="9" t="s">
        <v>320</v>
      </c>
      <c r="B413" s="9" t="s">
        <v>321</v>
      </c>
      <c r="C413" s="9" t="s">
        <v>322</v>
      </c>
      <c r="D413" s="9" t="s">
        <v>323</v>
      </c>
      <c r="E413" s="9" t="s">
        <v>324</v>
      </c>
      <c r="F413" s="9" t="s">
        <v>325</v>
      </c>
      <c r="G413" s="9" t="s">
        <v>326</v>
      </c>
      <c r="H413" s="9" t="s">
        <v>327</v>
      </c>
      <c r="I413" s="9" t="s">
        <v>328</v>
      </c>
      <c r="J413" s="9" t="s">
        <v>329</v>
      </c>
      <c r="K413" s="9" t="s">
        <v>330</v>
      </c>
    </row>
    <row r="414" customFormat="false" ht="15" hidden="false" customHeight="false" outlineLevel="0" collapsed="false">
      <c r="A414" s="5" t="s">
        <v>1156</v>
      </c>
      <c r="B414" s="26" t="n">
        <v>46077</v>
      </c>
      <c r="C414" s="5" t="s">
        <v>428</v>
      </c>
      <c r="D414" s="5" t="s">
        <v>374</v>
      </c>
      <c r="E414" s="5" t="s">
        <v>429</v>
      </c>
      <c r="F414" s="5" t="n">
        <v>1240</v>
      </c>
      <c r="G414" s="20" t="n">
        <v>7879623</v>
      </c>
      <c r="H414" s="20" t="n">
        <v>1418332</v>
      </c>
      <c r="I414" s="5" t="s">
        <v>1157</v>
      </c>
      <c r="J414" s="5" t="s">
        <v>335</v>
      </c>
      <c r="K414" s="5" t="s">
        <v>336</v>
      </c>
    </row>
    <row r="415" customFormat="false" ht="15" hidden="false" customHeight="false" outlineLevel="0" collapsed="false">
      <c r="A415" s="5" t="s">
        <v>1158</v>
      </c>
      <c r="B415" s="26" t="n">
        <v>46077</v>
      </c>
      <c r="C415" s="5" t="s">
        <v>555</v>
      </c>
      <c r="D415" s="5" t="s">
        <v>334</v>
      </c>
      <c r="E415" s="5" t="s">
        <v>429</v>
      </c>
      <c r="F415" s="5" t="n">
        <v>643</v>
      </c>
      <c r="G415" s="5" t="s">
        <v>1159</v>
      </c>
      <c r="H415" s="20" t="n">
        <v>748157</v>
      </c>
      <c r="I415" s="20" t="n">
        <v>4904586</v>
      </c>
      <c r="J415" s="5" t="s">
        <v>383</v>
      </c>
      <c r="K415" s="5" t="s">
        <v>406</v>
      </c>
    </row>
    <row r="416" customFormat="false" ht="15" hidden="false" customHeight="false" outlineLevel="0" collapsed="false">
      <c r="A416" s="5" t="s">
        <v>1160</v>
      </c>
      <c r="B416" s="26" t="n">
        <v>46077</v>
      </c>
      <c r="C416" s="5" t="s">
        <v>358</v>
      </c>
      <c r="D416" s="5" t="s">
        <v>340</v>
      </c>
      <c r="E416" s="5" t="s">
        <v>79</v>
      </c>
      <c r="F416" s="5" t="n">
        <v>4020</v>
      </c>
      <c r="G416" s="5" t="s">
        <v>1161</v>
      </c>
      <c r="H416" s="20" t="n">
        <v>1216864</v>
      </c>
      <c r="I416" s="5" t="s">
        <v>1162</v>
      </c>
      <c r="J416" s="5" t="s">
        <v>342</v>
      </c>
      <c r="K416" s="5" t="s">
        <v>343</v>
      </c>
    </row>
    <row r="417" customFormat="false" ht="15" hidden="false" customHeight="false" outlineLevel="0" collapsed="false">
      <c r="A417" s="5" t="s">
        <v>1163</v>
      </c>
      <c r="B417" s="26" t="n">
        <v>46078</v>
      </c>
      <c r="C417" s="5" t="s">
        <v>394</v>
      </c>
      <c r="D417" s="5" t="s">
        <v>405</v>
      </c>
      <c r="E417" s="5" t="s">
        <v>80</v>
      </c>
      <c r="F417" s="5" t="n">
        <v>137</v>
      </c>
      <c r="G417" s="20" t="n">
        <v>3213190</v>
      </c>
      <c r="H417" s="5" t="s">
        <v>1164</v>
      </c>
      <c r="I417" s="20" t="n">
        <v>3791564</v>
      </c>
      <c r="J417" s="5" t="s">
        <v>346</v>
      </c>
      <c r="K417" s="5" t="s">
        <v>347</v>
      </c>
    </row>
    <row r="418" customFormat="false" ht="15" hidden="false" customHeight="false" outlineLevel="0" collapsed="false">
      <c r="A418" s="5" t="s">
        <v>1165</v>
      </c>
      <c r="B418" s="5" t="s">
        <v>1166</v>
      </c>
      <c r="C418" s="5" t="s">
        <v>701</v>
      </c>
      <c r="D418" s="5" t="s">
        <v>480</v>
      </c>
      <c r="E418" s="5" t="s">
        <v>41</v>
      </c>
      <c r="F418" s="5" t="n">
        <v>668</v>
      </c>
      <c r="G418" s="20" t="n">
        <v>2500000</v>
      </c>
      <c r="H418" s="5" t="s">
        <v>488</v>
      </c>
      <c r="I418" s="20" t="n">
        <v>2950000</v>
      </c>
      <c r="J418" s="5" t="s">
        <v>403</v>
      </c>
      <c r="K418" s="5" t="s">
        <v>384</v>
      </c>
    </row>
    <row r="419" customFormat="false" ht="15" hidden="false" customHeight="false" outlineLevel="0" collapsed="false">
      <c r="A419" s="5" t="s">
        <v>1167</v>
      </c>
      <c r="B419" s="5" t="s">
        <v>1168</v>
      </c>
      <c r="C419" s="5" t="s">
        <v>451</v>
      </c>
      <c r="D419" s="5" t="s">
        <v>366</v>
      </c>
      <c r="E419" s="5" t="s">
        <v>359</v>
      </c>
      <c r="F419" s="5" t="n">
        <v>1773</v>
      </c>
      <c r="G419" s="20" t="n">
        <v>3394564</v>
      </c>
      <c r="H419" s="20" t="n">
        <v>0</v>
      </c>
      <c r="I419" s="20" t="n">
        <v>3394564</v>
      </c>
      <c r="J419" s="5" t="s">
        <v>346</v>
      </c>
      <c r="K419" s="5" t="s">
        <v>347</v>
      </c>
    </row>
    <row r="420" customFormat="false" ht="15" hidden="false" customHeight="false" outlineLevel="0" collapsed="false">
      <c r="A420" s="5" t="s">
        <v>1169</v>
      </c>
      <c r="B420" s="5" t="s">
        <v>1170</v>
      </c>
      <c r="C420" s="5" t="s">
        <v>455</v>
      </c>
      <c r="D420" s="5" t="s">
        <v>390</v>
      </c>
      <c r="E420" s="5" t="s">
        <v>80</v>
      </c>
      <c r="F420" s="5" t="n">
        <v>152</v>
      </c>
      <c r="G420" s="20" t="n">
        <v>3997384</v>
      </c>
      <c r="H420" s="20" t="n">
        <v>719529</v>
      </c>
      <c r="I420" s="20" t="n">
        <v>4716913</v>
      </c>
      <c r="J420" s="5" t="s">
        <v>342</v>
      </c>
      <c r="K420" s="5" t="s">
        <v>396</v>
      </c>
    </row>
    <row r="421" customFormat="false" ht="15" hidden="false" customHeight="false" outlineLevel="0" collapsed="false">
      <c r="A421" s="5" t="s">
        <v>1171</v>
      </c>
      <c r="B421" s="5" t="s">
        <v>1172</v>
      </c>
      <c r="C421" s="5" t="s">
        <v>451</v>
      </c>
      <c r="D421" s="5" t="s">
        <v>366</v>
      </c>
      <c r="E421" s="5" t="s">
        <v>359</v>
      </c>
      <c r="F421" s="5" t="n">
        <v>3327</v>
      </c>
      <c r="G421" s="20" t="n">
        <v>6246512</v>
      </c>
      <c r="H421" s="20" t="n">
        <v>0</v>
      </c>
      <c r="I421" s="20" t="n">
        <v>6246512</v>
      </c>
      <c r="J421" s="5" t="s">
        <v>335</v>
      </c>
      <c r="K421" s="5" t="s">
        <v>368</v>
      </c>
    </row>
    <row r="422" customFormat="false" ht="15" hidden="false" customHeight="false" outlineLevel="0" collapsed="false">
      <c r="A422" s="5" t="s">
        <v>1173</v>
      </c>
      <c r="B422" s="26" t="n">
        <v>46086</v>
      </c>
      <c r="C422" s="5" t="s">
        <v>400</v>
      </c>
      <c r="D422" s="5" t="s">
        <v>374</v>
      </c>
      <c r="E422" s="5" t="s">
        <v>38</v>
      </c>
      <c r="F422" s="5" t="n">
        <v>5815</v>
      </c>
      <c r="G422" s="5" t="s">
        <v>1174</v>
      </c>
      <c r="H422" s="20" t="n">
        <v>1968443</v>
      </c>
      <c r="I422" s="5" t="s">
        <v>1175</v>
      </c>
      <c r="J422" s="5" t="s">
        <v>335</v>
      </c>
      <c r="K422" s="5" t="s">
        <v>347</v>
      </c>
    </row>
    <row r="423" customFormat="false" ht="15" hidden="false" customHeight="false" outlineLevel="0" collapsed="false">
      <c r="A423" s="5" t="s">
        <v>1176</v>
      </c>
      <c r="B423" s="26" t="n">
        <v>46086</v>
      </c>
      <c r="C423" s="5" t="s">
        <v>431</v>
      </c>
      <c r="D423" s="5" t="s">
        <v>483</v>
      </c>
      <c r="E423" s="5" t="s">
        <v>79</v>
      </c>
      <c r="F423" s="5" t="n">
        <v>2499</v>
      </c>
      <c r="G423" s="20" t="n">
        <v>4705533</v>
      </c>
      <c r="H423" s="5" t="s">
        <v>1177</v>
      </c>
      <c r="I423" s="5" t="s">
        <v>1178</v>
      </c>
      <c r="J423" s="5" t="s">
        <v>383</v>
      </c>
      <c r="K423" s="5" t="s">
        <v>406</v>
      </c>
    </row>
    <row r="424" customFormat="false" ht="15" hidden="false" customHeight="false" outlineLevel="0" collapsed="false">
      <c r="A424" s="5" t="s">
        <v>1179</v>
      </c>
      <c r="B424" s="26" t="n">
        <v>46086</v>
      </c>
      <c r="C424" s="5" t="s">
        <v>722</v>
      </c>
      <c r="D424" s="5" t="s">
        <v>374</v>
      </c>
      <c r="E424" s="5" t="s">
        <v>355</v>
      </c>
      <c r="F424" s="5" t="n">
        <v>651</v>
      </c>
      <c r="G424" s="20" t="n">
        <v>2567499</v>
      </c>
      <c r="H424" s="5" t="s">
        <v>1180</v>
      </c>
      <c r="I424" s="20" t="n">
        <v>3029649</v>
      </c>
      <c r="J424" s="5" t="s">
        <v>356</v>
      </c>
      <c r="K424" s="5" t="s">
        <v>343</v>
      </c>
      <c r="L424" s="5" t="s">
        <v>537</v>
      </c>
    </row>
    <row r="425" customFormat="false" ht="15" hidden="false" customHeight="false" outlineLevel="0" collapsed="false">
      <c r="A425" s="5" t="s">
        <v>1181</v>
      </c>
      <c r="B425" s="5" t="s">
        <v>1182</v>
      </c>
      <c r="C425" s="5" t="s">
        <v>555</v>
      </c>
      <c r="D425" s="5" t="s">
        <v>334</v>
      </c>
      <c r="E425" s="5" t="s">
        <v>82</v>
      </c>
      <c r="F425" s="5" t="n">
        <v>1143</v>
      </c>
      <c r="G425" s="20" t="n">
        <v>7575047</v>
      </c>
      <c r="H425" s="20" t="n">
        <v>1363508</v>
      </c>
      <c r="I425" s="20" t="n">
        <v>8938555</v>
      </c>
      <c r="J425" s="5" t="s">
        <v>383</v>
      </c>
      <c r="K425" s="5" t="s">
        <v>363</v>
      </c>
    </row>
    <row r="426" customFormat="false" ht="15" hidden="false" customHeight="false" outlineLevel="0" collapsed="false">
      <c r="A426" s="5" t="s">
        <v>1183</v>
      </c>
      <c r="B426" s="5" t="s">
        <v>1184</v>
      </c>
      <c r="C426" s="5" t="s">
        <v>415</v>
      </c>
      <c r="D426" s="5" t="s">
        <v>366</v>
      </c>
      <c r="E426" s="5" t="s">
        <v>355</v>
      </c>
      <c r="F426" s="5" t="n">
        <v>2011</v>
      </c>
      <c r="G426" s="20" t="n">
        <v>8295059</v>
      </c>
      <c r="H426" s="20" t="n">
        <v>0</v>
      </c>
      <c r="I426" s="20" t="n">
        <v>8295059</v>
      </c>
      <c r="J426" s="5" t="s">
        <v>353</v>
      </c>
      <c r="K426" s="5" t="s">
        <v>336</v>
      </c>
    </row>
    <row r="427" customFormat="false" ht="15" hidden="false" customHeight="false" outlineLevel="0" collapsed="false">
      <c r="A427" s="5" t="s">
        <v>1185</v>
      </c>
      <c r="B427" s="26" t="n">
        <v>46088</v>
      </c>
      <c r="C427" s="5" t="s">
        <v>415</v>
      </c>
      <c r="D427" s="5" t="s">
        <v>366</v>
      </c>
      <c r="E427" s="5" t="s">
        <v>38</v>
      </c>
      <c r="F427" s="5" t="n">
        <v>5056</v>
      </c>
      <c r="G427" s="20" t="n">
        <v>8458178</v>
      </c>
      <c r="H427" s="20" t="n">
        <v>0</v>
      </c>
      <c r="I427" s="5" t="s">
        <v>1186</v>
      </c>
      <c r="J427" s="5" t="s">
        <v>346</v>
      </c>
      <c r="K427" s="5" t="s">
        <v>368</v>
      </c>
    </row>
    <row r="428" customFormat="false" ht="15" hidden="false" customHeight="false" outlineLevel="0" collapsed="false">
      <c r="A428" s="5" t="s">
        <v>1187</v>
      </c>
      <c r="B428" s="5" t="s">
        <v>1188</v>
      </c>
      <c r="C428" s="5" t="s">
        <v>507</v>
      </c>
      <c r="D428" s="5" t="s">
        <v>350</v>
      </c>
      <c r="E428" s="5" t="s">
        <v>39</v>
      </c>
      <c r="F428" s="5" t="n">
        <v>288</v>
      </c>
      <c r="G428" s="5" t="s">
        <v>1189</v>
      </c>
      <c r="H428" s="20" t="n">
        <v>1397746</v>
      </c>
      <c r="I428" s="20" t="n">
        <v>9163001</v>
      </c>
      <c r="J428" s="5" t="s">
        <v>383</v>
      </c>
      <c r="K428" s="5" t="s">
        <v>343</v>
      </c>
    </row>
    <row r="429" customFormat="false" ht="15" hidden="false" customHeight="false" outlineLevel="0" collapsed="false">
      <c r="A429" s="5" t="s">
        <v>1190</v>
      </c>
      <c r="B429" s="5" t="s">
        <v>1188</v>
      </c>
      <c r="C429" s="5" t="s">
        <v>455</v>
      </c>
      <c r="D429" s="5" t="s">
        <v>480</v>
      </c>
      <c r="E429" s="5" t="s">
        <v>39</v>
      </c>
      <c r="F429" s="5" t="n">
        <v>163</v>
      </c>
      <c r="G429" s="20" t="n">
        <v>4299398</v>
      </c>
      <c r="H429" s="5" t="s">
        <v>1191</v>
      </c>
      <c r="I429" s="5" t="s">
        <v>1192</v>
      </c>
      <c r="J429" s="5" t="s">
        <v>353</v>
      </c>
      <c r="K429" s="5" t="s">
        <v>368</v>
      </c>
    </row>
    <row r="430" customFormat="false" ht="15" hidden="false" customHeight="false" outlineLevel="0" collapsed="false">
      <c r="A430" s="5" t="s">
        <v>1193</v>
      </c>
      <c r="B430" s="26" t="n">
        <v>46090</v>
      </c>
      <c r="C430" s="5" t="s">
        <v>400</v>
      </c>
      <c r="D430" s="5" t="s">
        <v>374</v>
      </c>
      <c r="E430" s="5" t="s">
        <v>355</v>
      </c>
      <c r="F430" s="5" t="n">
        <v>1430</v>
      </c>
      <c r="G430" s="5" t="s">
        <v>1194</v>
      </c>
      <c r="H430" s="20" t="n">
        <v>932161</v>
      </c>
      <c r="I430" s="20" t="n">
        <v>6110832</v>
      </c>
      <c r="J430" s="5" t="s">
        <v>403</v>
      </c>
      <c r="K430" s="5" t="s">
        <v>396</v>
      </c>
    </row>
    <row r="431" customFormat="false" ht="15" hidden="false" customHeight="false" outlineLevel="0" collapsed="false">
      <c r="A431" s="5" t="s">
        <v>1195</v>
      </c>
      <c r="B431" s="26" t="n">
        <v>46090</v>
      </c>
      <c r="C431" s="5" t="s">
        <v>358</v>
      </c>
      <c r="D431" s="5" t="s">
        <v>390</v>
      </c>
      <c r="E431" s="5" t="s">
        <v>41</v>
      </c>
      <c r="F431" s="5" t="n">
        <v>1783</v>
      </c>
      <c r="G431" s="20" t="n">
        <v>6906739</v>
      </c>
      <c r="H431" s="20" t="n">
        <v>1243213</v>
      </c>
      <c r="I431" s="5" t="s">
        <v>1196</v>
      </c>
      <c r="J431" s="5" t="s">
        <v>383</v>
      </c>
      <c r="K431" s="5" t="s">
        <v>368</v>
      </c>
    </row>
    <row r="432" customFormat="false" ht="15" hidden="false" customHeight="false" outlineLevel="0" collapsed="false">
      <c r="A432" s="5" t="s">
        <v>1197</v>
      </c>
      <c r="B432" s="5" t="s">
        <v>1198</v>
      </c>
      <c r="C432" s="5" t="s">
        <v>419</v>
      </c>
      <c r="D432" s="5" t="s">
        <v>340</v>
      </c>
      <c r="E432" s="5" t="s">
        <v>38</v>
      </c>
      <c r="F432" s="5" t="n">
        <v>1606</v>
      </c>
      <c r="G432" s="20" t="n">
        <v>3268300</v>
      </c>
      <c r="H432" s="20" t="n">
        <v>588294</v>
      </c>
      <c r="I432" s="20" t="n">
        <v>3856594</v>
      </c>
      <c r="J432" s="5" t="s">
        <v>346</v>
      </c>
      <c r="K432" s="5" t="s">
        <v>406</v>
      </c>
    </row>
    <row r="433" customFormat="false" ht="15" hidden="false" customHeight="false" outlineLevel="0" collapsed="false">
      <c r="A433" s="5" t="s">
        <v>1199</v>
      </c>
      <c r="B433" s="26" t="n">
        <v>46090</v>
      </c>
      <c r="C433" s="5" t="s">
        <v>349</v>
      </c>
      <c r="D433" s="5" t="s">
        <v>350</v>
      </c>
      <c r="E433" s="5" t="s">
        <v>39</v>
      </c>
      <c r="F433" s="5" t="n">
        <v>489</v>
      </c>
      <c r="G433" s="5" t="s">
        <v>1200</v>
      </c>
      <c r="H433" s="5" t="s">
        <v>1201</v>
      </c>
      <c r="I433" s="20" t="n">
        <v>13543222</v>
      </c>
      <c r="J433" s="5" t="s">
        <v>346</v>
      </c>
      <c r="K433" s="5" t="s">
        <v>343</v>
      </c>
    </row>
    <row r="434" customFormat="false" ht="15" hidden="false" customHeight="false" outlineLevel="0" collapsed="false">
      <c r="A434" s="5" t="s">
        <v>1202</v>
      </c>
      <c r="B434" s="26" t="n">
        <v>46091</v>
      </c>
      <c r="C434" s="5" t="s">
        <v>650</v>
      </c>
      <c r="D434" s="5" t="s">
        <v>374</v>
      </c>
      <c r="E434" s="5" t="s">
        <v>38</v>
      </c>
      <c r="F434" s="5" t="n">
        <v>2027</v>
      </c>
      <c r="G434" s="20" t="n">
        <v>3721219</v>
      </c>
      <c r="H434" s="20" t="n">
        <v>669819</v>
      </c>
      <c r="I434" s="5" t="s">
        <v>1203</v>
      </c>
      <c r="J434" s="5" t="s">
        <v>346</v>
      </c>
      <c r="K434" s="5" t="s">
        <v>363</v>
      </c>
    </row>
    <row r="435" customFormat="false" ht="15" hidden="false" customHeight="false" outlineLevel="0" collapsed="false">
      <c r="A435" s="5" t="s">
        <v>1204</v>
      </c>
      <c r="B435" s="26" t="n">
        <v>46092</v>
      </c>
      <c r="C435" s="5" t="s">
        <v>428</v>
      </c>
      <c r="D435" s="5" t="s">
        <v>374</v>
      </c>
      <c r="E435" s="5" t="s">
        <v>429</v>
      </c>
      <c r="F435" s="5" t="n">
        <v>1365</v>
      </c>
      <c r="G435" s="20" t="n">
        <v>8508102</v>
      </c>
      <c r="H435" s="20" t="n">
        <v>1531458</v>
      </c>
      <c r="I435" s="20" t="n">
        <v>10039560</v>
      </c>
      <c r="J435" s="5" t="s">
        <v>353</v>
      </c>
      <c r="K435" s="5" t="s">
        <v>343</v>
      </c>
    </row>
    <row r="436" customFormat="false" ht="15" hidden="false" customHeight="false" outlineLevel="0" collapsed="false">
      <c r="A436" s="5" t="s">
        <v>1205</v>
      </c>
      <c r="B436" s="26" t="n">
        <v>46092</v>
      </c>
      <c r="C436" s="5" t="s">
        <v>451</v>
      </c>
      <c r="D436" s="5" t="s">
        <v>398</v>
      </c>
      <c r="E436" s="5" t="s">
        <v>41</v>
      </c>
      <c r="F436" s="5" t="n">
        <v>854</v>
      </c>
      <c r="G436" s="20" t="n">
        <v>3548518</v>
      </c>
      <c r="H436" s="20" t="n">
        <v>0</v>
      </c>
      <c r="I436" s="20" t="n">
        <v>3548518</v>
      </c>
      <c r="J436" s="5" t="s">
        <v>383</v>
      </c>
      <c r="K436" s="5" t="s">
        <v>406</v>
      </c>
    </row>
    <row r="437" customFormat="false" ht="15" hidden="false" customHeight="false" outlineLevel="0" collapsed="false">
      <c r="A437" s="5" t="s">
        <v>1206</v>
      </c>
      <c r="B437" s="26" t="n">
        <v>46092</v>
      </c>
      <c r="C437" s="5" t="s">
        <v>349</v>
      </c>
      <c r="D437" s="5" t="s">
        <v>350</v>
      </c>
      <c r="E437" s="5" t="s">
        <v>80</v>
      </c>
      <c r="F437" s="5" t="n">
        <v>240</v>
      </c>
      <c r="G437" s="20" t="n">
        <v>5860856</v>
      </c>
      <c r="H437" s="5" t="s">
        <v>1207</v>
      </c>
      <c r="I437" s="5" t="s">
        <v>1208</v>
      </c>
      <c r="J437" s="5" t="s">
        <v>335</v>
      </c>
      <c r="K437" s="5" t="s">
        <v>336</v>
      </c>
    </row>
    <row r="438" customFormat="false" ht="15" hidden="false" customHeight="false" outlineLevel="0" collapsed="false">
      <c r="A438" s="5" t="s">
        <v>1209</v>
      </c>
      <c r="B438" s="26" t="n">
        <v>46092</v>
      </c>
      <c r="C438" s="5" t="s">
        <v>382</v>
      </c>
      <c r="D438" s="5" t="s">
        <v>334</v>
      </c>
      <c r="E438" s="5" t="s">
        <v>39</v>
      </c>
      <c r="F438" s="5" t="n">
        <v>202</v>
      </c>
      <c r="G438" s="20" t="n">
        <v>5238171</v>
      </c>
      <c r="H438" s="5" t="s">
        <v>1210</v>
      </c>
      <c r="I438" s="20" t="n">
        <v>6181042</v>
      </c>
      <c r="J438" s="5" t="s">
        <v>346</v>
      </c>
      <c r="K438" s="5" t="s">
        <v>336</v>
      </c>
    </row>
    <row r="439" customFormat="false" ht="15" hidden="false" customHeight="false" outlineLevel="0" collapsed="false">
      <c r="A439" s="5" t="s">
        <v>1211</v>
      </c>
      <c r="B439" s="26" t="n">
        <v>46093</v>
      </c>
      <c r="C439" s="5" t="s">
        <v>400</v>
      </c>
      <c r="D439" s="5" t="s">
        <v>374</v>
      </c>
      <c r="E439" s="5" t="s">
        <v>79</v>
      </c>
      <c r="F439" s="5" t="n">
        <v>3488</v>
      </c>
      <c r="G439" s="20" t="n">
        <v>7021204</v>
      </c>
      <c r="H439" s="5" t="s">
        <v>1212</v>
      </c>
      <c r="I439" s="20" t="n">
        <v>8285021</v>
      </c>
      <c r="J439" s="5" t="s">
        <v>353</v>
      </c>
      <c r="K439" s="5" t="s">
        <v>347</v>
      </c>
    </row>
    <row r="440" customFormat="false" ht="15" hidden="false" customHeight="false" outlineLevel="0" collapsed="false">
      <c r="A440" s="5" t="s">
        <v>1213</v>
      </c>
      <c r="B440" s="26" t="n">
        <v>46095</v>
      </c>
      <c r="C440" s="5" t="s">
        <v>431</v>
      </c>
      <c r="D440" s="5" t="s">
        <v>615</v>
      </c>
      <c r="E440" s="5" t="s">
        <v>38</v>
      </c>
      <c r="F440" s="5" t="n">
        <v>4870</v>
      </c>
      <c r="G440" s="5" t="s">
        <v>1214</v>
      </c>
      <c r="H440" s="20" t="n">
        <v>1729237</v>
      </c>
      <c r="I440" s="20" t="n">
        <v>11336109</v>
      </c>
      <c r="J440" s="5" t="s">
        <v>346</v>
      </c>
      <c r="K440" s="5" t="s">
        <v>343</v>
      </c>
    </row>
    <row r="441" customFormat="false" ht="15" hidden="false" customHeight="false" outlineLevel="0" collapsed="false">
      <c r="A441" s="5" t="s">
        <v>1215</v>
      </c>
      <c r="B441" s="26" t="n">
        <v>46095</v>
      </c>
      <c r="C441" s="5" t="s">
        <v>722</v>
      </c>
      <c r="D441" s="5" t="s">
        <v>374</v>
      </c>
      <c r="E441" s="5" t="s">
        <v>79</v>
      </c>
      <c r="F441" s="5" t="n">
        <v>4482</v>
      </c>
      <c r="G441" s="20" t="n">
        <v>7612706</v>
      </c>
      <c r="H441" s="20" t="n">
        <v>1370287</v>
      </c>
      <c r="I441" s="5" t="s">
        <v>1216</v>
      </c>
      <c r="J441" s="5" t="s">
        <v>403</v>
      </c>
      <c r="K441" s="5" t="s">
        <v>396</v>
      </c>
    </row>
    <row r="442" customFormat="false" ht="15" hidden="false" customHeight="false" outlineLevel="0" collapsed="false">
      <c r="A442" s="5" t="s">
        <v>1217</v>
      </c>
      <c r="B442" s="26" t="n">
        <v>46095</v>
      </c>
      <c r="C442" s="5" t="s">
        <v>358</v>
      </c>
      <c r="D442" s="5" t="s">
        <v>390</v>
      </c>
      <c r="E442" s="5" t="s">
        <v>41</v>
      </c>
      <c r="F442" s="5" t="n">
        <v>1832</v>
      </c>
      <c r="G442" s="20" t="n">
        <v>7077123</v>
      </c>
      <c r="H442" s="20" t="n">
        <v>1273882</v>
      </c>
      <c r="I442" s="20" t="n">
        <v>8351005</v>
      </c>
      <c r="J442" s="5" t="s">
        <v>383</v>
      </c>
      <c r="K442" s="5" t="s">
        <v>336</v>
      </c>
    </row>
    <row r="443" customFormat="false" ht="15" hidden="false" customHeight="false" outlineLevel="0" collapsed="false">
      <c r="A443" s="5" t="s">
        <v>1218</v>
      </c>
      <c r="B443" s="5" t="s">
        <v>1219</v>
      </c>
      <c r="C443" s="5" t="s">
        <v>400</v>
      </c>
      <c r="D443" s="5" t="s">
        <v>374</v>
      </c>
      <c r="E443" s="5" t="s">
        <v>38</v>
      </c>
      <c r="F443" s="5" t="n">
        <v>7068</v>
      </c>
      <c r="G443" s="5" t="s">
        <v>1220</v>
      </c>
      <c r="H443" s="20" t="n">
        <v>2363079</v>
      </c>
      <c r="I443" s="20" t="n">
        <v>15491293</v>
      </c>
      <c r="J443" s="5" t="s">
        <v>346</v>
      </c>
      <c r="K443" s="5" t="s">
        <v>343</v>
      </c>
    </row>
    <row r="444" customFormat="false" ht="15" hidden="false" customHeight="false" outlineLevel="0" collapsed="false">
      <c r="A444" s="5" t="s">
        <v>1221</v>
      </c>
      <c r="B444" s="5" t="s">
        <v>1222</v>
      </c>
      <c r="C444" s="5" t="s">
        <v>358</v>
      </c>
      <c r="D444" s="5" t="s">
        <v>390</v>
      </c>
      <c r="E444" s="5" t="s">
        <v>38</v>
      </c>
      <c r="F444" s="5" t="n">
        <v>4042</v>
      </c>
      <c r="G444" s="20" t="n">
        <v>6775342</v>
      </c>
      <c r="H444" s="20" t="n">
        <v>1219562</v>
      </c>
      <c r="I444" s="20" t="n">
        <v>7994904</v>
      </c>
      <c r="J444" s="5" t="s">
        <v>353</v>
      </c>
      <c r="K444" s="5" t="s">
        <v>363</v>
      </c>
    </row>
    <row r="445" customFormat="false" ht="15" hidden="false" customHeight="false" outlineLevel="0" collapsed="false">
      <c r="A445" s="5" t="s">
        <v>1223</v>
      </c>
      <c r="B445" s="5" t="s">
        <v>1224</v>
      </c>
      <c r="C445" s="5" t="s">
        <v>431</v>
      </c>
      <c r="D445" s="5" t="s">
        <v>334</v>
      </c>
      <c r="E445" s="5" t="s">
        <v>38</v>
      </c>
      <c r="F445" s="5" t="n">
        <v>2001</v>
      </c>
      <c r="G445" s="20" t="n">
        <v>3402094</v>
      </c>
      <c r="H445" s="20" t="n">
        <v>612377</v>
      </c>
      <c r="I445" s="5" t="s">
        <v>1225</v>
      </c>
      <c r="J445" s="5" t="s">
        <v>346</v>
      </c>
      <c r="K445" s="5" t="s">
        <v>363</v>
      </c>
    </row>
    <row r="446" customFormat="false" ht="15" hidden="false" customHeight="false" outlineLevel="0" collapsed="false">
      <c r="A446" s="5" t="s">
        <v>1226</v>
      </c>
      <c r="B446" s="5" t="s">
        <v>1227</v>
      </c>
      <c r="C446" s="5" t="s">
        <v>345</v>
      </c>
      <c r="D446" s="5" t="s">
        <v>334</v>
      </c>
      <c r="E446" s="5" t="s">
        <v>359</v>
      </c>
      <c r="F446" s="5" t="n">
        <v>2495</v>
      </c>
      <c r="G446" s="20" t="n">
        <v>4182976</v>
      </c>
      <c r="H446" s="20" t="n">
        <v>752936</v>
      </c>
      <c r="I446" s="20" t="n">
        <v>4935912</v>
      </c>
      <c r="J446" s="5" t="s">
        <v>356</v>
      </c>
      <c r="K446" s="5" t="s">
        <v>347</v>
      </c>
    </row>
    <row r="447" customFormat="false" ht="15" hidden="false" customHeight="false" outlineLevel="0" collapsed="false">
      <c r="A447" s="5" t="s">
        <v>1228</v>
      </c>
      <c r="B447" s="26" t="n">
        <v>46102</v>
      </c>
      <c r="C447" s="5" t="s">
        <v>428</v>
      </c>
      <c r="D447" s="5" t="s">
        <v>374</v>
      </c>
      <c r="E447" s="5" t="s">
        <v>82</v>
      </c>
      <c r="F447" s="5" t="n">
        <v>436</v>
      </c>
      <c r="G447" s="20" t="n">
        <v>2500000</v>
      </c>
      <c r="H447" s="20" t="n">
        <v>450000</v>
      </c>
      <c r="I447" s="20" t="n">
        <v>2950000</v>
      </c>
      <c r="J447" s="5" t="s">
        <v>335</v>
      </c>
      <c r="K447" s="5" t="s">
        <v>406</v>
      </c>
    </row>
    <row r="448" customFormat="false" ht="15" hidden="false" customHeight="false" outlineLevel="0" collapsed="false">
      <c r="A448" s="5" t="s">
        <v>1229</v>
      </c>
      <c r="B448" s="26" t="n">
        <v>46104</v>
      </c>
      <c r="C448" s="5" t="s">
        <v>339</v>
      </c>
      <c r="D448" s="5" t="s">
        <v>390</v>
      </c>
      <c r="E448" s="5" t="s">
        <v>341</v>
      </c>
      <c r="F448" s="5" t="n">
        <v>384</v>
      </c>
      <c r="G448" s="20" t="n">
        <v>2500000</v>
      </c>
      <c r="H448" s="20" t="n">
        <v>450000</v>
      </c>
      <c r="I448" s="20" t="n">
        <v>2950000</v>
      </c>
      <c r="J448" s="5" t="s">
        <v>383</v>
      </c>
      <c r="K448" s="5" t="s">
        <v>343</v>
      </c>
    </row>
    <row r="449" customFormat="false" ht="15" hidden="false" customHeight="false" outlineLevel="0" collapsed="false">
      <c r="A449" s="5" t="s">
        <v>1230</v>
      </c>
      <c r="B449" s="26" t="n">
        <v>46105</v>
      </c>
      <c r="C449" s="5" t="s">
        <v>643</v>
      </c>
      <c r="D449" s="5" t="s">
        <v>390</v>
      </c>
      <c r="E449" s="5" t="s">
        <v>429</v>
      </c>
      <c r="F449" s="5" t="n">
        <v>1160</v>
      </c>
      <c r="G449" s="20" t="n">
        <v>6843300</v>
      </c>
      <c r="H449" s="20" t="n">
        <v>1231794</v>
      </c>
      <c r="I449" s="20" t="n">
        <v>8075094</v>
      </c>
      <c r="J449" s="5" t="s">
        <v>335</v>
      </c>
      <c r="K449" s="5" t="s">
        <v>396</v>
      </c>
    </row>
    <row r="450" customFormat="false" ht="15" hidden="false" customHeight="false" outlineLevel="0" collapsed="false">
      <c r="A450" s="5" t="s">
        <v>1231</v>
      </c>
      <c r="B450" s="26" t="n">
        <v>46105</v>
      </c>
      <c r="C450" s="5" t="s">
        <v>419</v>
      </c>
      <c r="D450" s="5" t="s">
        <v>390</v>
      </c>
      <c r="E450" s="5" t="s">
        <v>38</v>
      </c>
      <c r="F450" s="5" t="n">
        <v>1439</v>
      </c>
      <c r="G450" s="5" t="s">
        <v>375</v>
      </c>
      <c r="H450" s="20" t="n">
        <v>450000</v>
      </c>
      <c r="I450" s="20" t="n">
        <v>2950000</v>
      </c>
      <c r="J450" s="5" t="s">
        <v>335</v>
      </c>
      <c r="K450" s="5" t="s">
        <v>384</v>
      </c>
    </row>
    <row r="451" customFormat="false" ht="15" hidden="false" customHeight="false" outlineLevel="0" collapsed="false">
      <c r="A451" s="5" t="s">
        <v>1232</v>
      </c>
      <c r="B451" s="26" t="n">
        <v>46107</v>
      </c>
      <c r="C451" s="5" t="s">
        <v>378</v>
      </c>
      <c r="D451" s="5" t="s">
        <v>374</v>
      </c>
      <c r="E451" s="5" t="s">
        <v>38</v>
      </c>
      <c r="F451" s="5" t="n">
        <v>4945</v>
      </c>
      <c r="G451" s="20" t="n">
        <v>9567028</v>
      </c>
      <c r="H451" s="20" t="n">
        <v>1722065</v>
      </c>
      <c r="I451" s="5" t="s">
        <v>1233</v>
      </c>
      <c r="J451" s="5" t="s">
        <v>335</v>
      </c>
      <c r="K451" s="5" t="s">
        <v>396</v>
      </c>
      <c r="L451" s="5" t="s">
        <v>1001</v>
      </c>
    </row>
    <row r="452" customFormat="false" ht="15" hidden="false" customHeight="false" outlineLevel="0" collapsed="false">
      <c r="A452" s="5" t="s">
        <v>1234</v>
      </c>
      <c r="B452" s="5" t="s">
        <v>1235</v>
      </c>
      <c r="C452" s="5" t="s">
        <v>415</v>
      </c>
      <c r="D452" s="5" t="s">
        <v>366</v>
      </c>
      <c r="E452" s="5" t="s">
        <v>38</v>
      </c>
      <c r="F452" s="5" t="n">
        <v>3992</v>
      </c>
      <c r="G452" s="20" t="n">
        <v>7024978</v>
      </c>
      <c r="H452" s="5" t="s">
        <v>277</v>
      </c>
      <c r="I452" s="20" t="n">
        <v>7024978</v>
      </c>
      <c r="J452" s="5" t="s">
        <v>342</v>
      </c>
      <c r="K452" s="5" t="s">
        <v>406</v>
      </c>
    </row>
    <row r="453" customFormat="false" ht="15" hidden="false" customHeight="false" outlineLevel="0" collapsed="false">
      <c r="A453" s="5" t="s">
        <v>1236</v>
      </c>
      <c r="B453" s="26" t="n">
        <v>46107</v>
      </c>
      <c r="C453" s="5" t="s">
        <v>415</v>
      </c>
      <c r="D453" s="5" t="s">
        <v>366</v>
      </c>
      <c r="E453" s="5" t="s">
        <v>38</v>
      </c>
      <c r="F453" s="5" t="n">
        <v>3990</v>
      </c>
      <c r="G453" s="20" t="n">
        <v>6650880</v>
      </c>
      <c r="H453" s="20" t="n">
        <v>0</v>
      </c>
      <c r="I453" s="20" t="n">
        <v>6650880</v>
      </c>
      <c r="J453" s="5" t="s">
        <v>342</v>
      </c>
      <c r="K453" s="5" t="s">
        <v>336</v>
      </c>
    </row>
    <row r="454" customFormat="false" ht="15" hidden="false" customHeight="false" outlineLevel="0" collapsed="false">
      <c r="A454" s="5" t="s">
        <v>1237</v>
      </c>
      <c r="B454" s="26" t="n">
        <v>46108</v>
      </c>
      <c r="C454" s="5" t="s">
        <v>358</v>
      </c>
      <c r="D454" s="5" t="s">
        <v>390</v>
      </c>
      <c r="E454" s="5" t="s">
        <v>38</v>
      </c>
      <c r="F454" s="5" t="n">
        <v>2879</v>
      </c>
      <c r="G454" s="20" t="n">
        <v>5159836</v>
      </c>
      <c r="H454" s="5" t="s">
        <v>1238</v>
      </c>
      <c r="I454" s="20" t="n">
        <v>6088606</v>
      </c>
      <c r="J454" s="5" t="s">
        <v>383</v>
      </c>
      <c r="K454" s="5" t="s">
        <v>368</v>
      </c>
    </row>
    <row r="455" customFormat="false" ht="15" hidden="false" customHeight="false" outlineLevel="0" collapsed="false">
      <c r="A455" s="5" t="s">
        <v>1239</v>
      </c>
      <c r="B455" s="26" t="n">
        <v>46109</v>
      </c>
      <c r="C455" s="5" t="s">
        <v>419</v>
      </c>
      <c r="D455" s="5" t="s">
        <v>390</v>
      </c>
      <c r="E455" s="5" t="s">
        <v>38</v>
      </c>
      <c r="F455" s="5" t="n">
        <v>4469</v>
      </c>
      <c r="G455" s="20" t="n">
        <v>8634288</v>
      </c>
      <c r="H455" s="5" t="s">
        <v>1240</v>
      </c>
      <c r="I455" s="5" t="s">
        <v>1241</v>
      </c>
      <c r="J455" s="5" t="s">
        <v>346</v>
      </c>
      <c r="K455" s="5" t="s">
        <v>406</v>
      </c>
      <c r="L455" s="5" t="s">
        <v>1001</v>
      </c>
    </row>
    <row r="456" customFormat="false" ht="15" hidden="false" customHeight="false" outlineLevel="0" collapsed="false">
      <c r="A456" s="5" t="s">
        <v>1242</v>
      </c>
      <c r="B456" s="5" t="s">
        <v>1243</v>
      </c>
      <c r="C456" s="5" t="s">
        <v>428</v>
      </c>
      <c r="D456" s="5" t="s">
        <v>374</v>
      </c>
      <c r="E456" s="5" t="s">
        <v>341</v>
      </c>
      <c r="F456" s="5" t="n">
        <v>756</v>
      </c>
      <c r="G456" s="20" t="n">
        <v>5051067</v>
      </c>
      <c r="H456" s="20" t="n">
        <v>909192</v>
      </c>
      <c r="I456" s="20" t="n">
        <v>5960259</v>
      </c>
      <c r="J456" s="5" t="s">
        <v>346</v>
      </c>
      <c r="K456" s="5" t="s">
        <v>406</v>
      </c>
    </row>
    <row r="457" customFormat="false" ht="15" hidden="false" customHeight="false" outlineLevel="0" collapsed="false">
      <c r="A457" s="5" t="s">
        <v>1244</v>
      </c>
      <c r="B457" s="5" t="s">
        <v>1245</v>
      </c>
      <c r="C457" s="5" t="s">
        <v>929</v>
      </c>
      <c r="D457" s="5" t="s">
        <v>390</v>
      </c>
      <c r="E457" s="5" t="s">
        <v>351</v>
      </c>
      <c r="F457" s="5" t="n">
        <v>98</v>
      </c>
      <c r="G457" s="20" t="n">
        <v>2500000</v>
      </c>
      <c r="H457" s="5" t="s">
        <v>488</v>
      </c>
      <c r="I457" s="20" t="n">
        <v>2950000</v>
      </c>
      <c r="J457" s="5" t="s">
        <v>346</v>
      </c>
      <c r="K457" s="5" t="s">
        <v>406</v>
      </c>
    </row>
    <row r="458" customFormat="false" ht="15" hidden="false" customHeight="false" outlineLevel="0" collapsed="false">
      <c r="A458" s="5" t="s">
        <v>1246</v>
      </c>
      <c r="B458" s="5" t="s">
        <v>1247</v>
      </c>
      <c r="C458" s="5" t="s">
        <v>378</v>
      </c>
      <c r="D458" s="5" t="s">
        <v>374</v>
      </c>
      <c r="E458" s="5" t="s">
        <v>38</v>
      </c>
      <c r="F458" s="5" t="n">
        <v>3129</v>
      </c>
      <c r="G458" s="20" t="n">
        <v>5379414</v>
      </c>
      <c r="H458" s="20" t="n">
        <v>968295</v>
      </c>
      <c r="I458" s="20" t="n">
        <v>6347709</v>
      </c>
      <c r="J458" s="5" t="s">
        <v>383</v>
      </c>
      <c r="K458" s="5" t="s">
        <v>343</v>
      </c>
    </row>
    <row r="459" customFormat="false" ht="15" hidden="false" customHeight="false" outlineLevel="0" collapsed="false">
      <c r="A459" s="5" t="s">
        <v>1248</v>
      </c>
      <c r="B459" s="5" t="s">
        <v>1247</v>
      </c>
      <c r="C459" s="5" t="s">
        <v>400</v>
      </c>
      <c r="D459" s="5" t="s">
        <v>374</v>
      </c>
      <c r="E459" s="5" t="s">
        <v>41</v>
      </c>
      <c r="F459" s="5" t="n">
        <v>743</v>
      </c>
      <c r="G459" s="20" t="n">
        <v>2794637</v>
      </c>
      <c r="H459" s="20" t="n">
        <v>503035</v>
      </c>
      <c r="I459" s="20" t="n">
        <v>3297672</v>
      </c>
      <c r="J459" s="5" t="s">
        <v>346</v>
      </c>
      <c r="K459" s="5" t="s">
        <v>406</v>
      </c>
    </row>
    <row r="460" customFormat="false" ht="15" hidden="false" customHeight="false" outlineLevel="0" collapsed="false">
      <c r="A460" s="5" t="s">
        <v>1249</v>
      </c>
      <c r="B460" s="26" t="n">
        <v>46111</v>
      </c>
      <c r="C460" s="5" t="s">
        <v>358</v>
      </c>
      <c r="D460" s="5" t="s">
        <v>390</v>
      </c>
      <c r="E460" s="5" t="s">
        <v>38</v>
      </c>
      <c r="F460" s="5" t="n">
        <v>1647</v>
      </c>
      <c r="G460" s="20" t="n">
        <v>3036301</v>
      </c>
      <c r="H460" s="20" t="n">
        <v>546534</v>
      </c>
      <c r="I460" s="20" t="n">
        <v>3582835</v>
      </c>
      <c r="J460" s="5" t="s">
        <v>403</v>
      </c>
      <c r="K460" s="5" t="s">
        <v>343</v>
      </c>
    </row>
    <row r="461" customFormat="false" ht="15" hidden="false" customHeight="false" outlineLevel="0" collapsed="false">
      <c r="A461" s="5" t="s">
        <v>1250</v>
      </c>
      <c r="B461" s="5" t="s">
        <v>1251</v>
      </c>
      <c r="C461" s="5" t="s">
        <v>495</v>
      </c>
      <c r="D461" s="5" t="s">
        <v>340</v>
      </c>
      <c r="E461" s="5" t="s">
        <v>38</v>
      </c>
      <c r="F461" s="5" t="n">
        <v>3841</v>
      </c>
      <c r="G461" s="20" t="n">
        <v>7112381</v>
      </c>
      <c r="H461" s="20" t="n">
        <v>1280229</v>
      </c>
      <c r="I461" s="20" t="n">
        <v>8392610</v>
      </c>
      <c r="J461" s="5" t="s">
        <v>346</v>
      </c>
      <c r="K461" s="5" t="s">
        <v>336</v>
      </c>
    </row>
    <row r="463" customFormat="false" ht="15" hidden="false" customHeight="false" outlineLevel="0" collapsed="false">
      <c r="A463" s="16" t="s">
        <v>1252</v>
      </c>
    </row>
    <row r="464" customFormat="false" ht="15" hidden="false" customHeight="false" outlineLevel="0" collapsed="false">
      <c r="A464" s="9" t="s">
        <v>320</v>
      </c>
      <c r="B464" s="9" t="s">
        <v>321</v>
      </c>
      <c r="C464" s="9" t="s">
        <v>322</v>
      </c>
      <c r="D464" s="9" t="s">
        <v>323</v>
      </c>
      <c r="E464" s="9" t="s">
        <v>324</v>
      </c>
      <c r="F464" s="9" t="s">
        <v>325</v>
      </c>
      <c r="G464" s="9" t="s">
        <v>326</v>
      </c>
      <c r="H464" s="9" t="s">
        <v>327</v>
      </c>
      <c r="I464" s="9" t="s">
        <v>328</v>
      </c>
      <c r="J464" s="9" t="s">
        <v>329</v>
      </c>
      <c r="K464" s="9" t="s">
        <v>330</v>
      </c>
    </row>
    <row r="465" customFormat="false" ht="15" hidden="false" customHeight="false" outlineLevel="0" collapsed="false">
      <c r="A465" s="5" t="s">
        <v>1253</v>
      </c>
      <c r="B465" s="5" t="s">
        <v>1254</v>
      </c>
      <c r="C465" s="5" t="s">
        <v>451</v>
      </c>
      <c r="D465" s="5" t="s">
        <v>524</v>
      </c>
      <c r="E465" s="5" t="s">
        <v>38</v>
      </c>
      <c r="F465" s="5" t="n">
        <v>5626</v>
      </c>
      <c r="G465" s="20" t="n">
        <v>9525511</v>
      </c>
      <c r="H465" s="20" t="n">
        <v>0</v>
      </c>
      <c r="I465" s="20" t="n">
        <v>9525511</v>
      </c>
      <c r="J465" s="5" t="s">
        <v>335</v>
      </c>
      <c r="K465" s="5" t="s">
        <v>368</v>
      </c>
    </row>
    <row r="466" customFormat="false" ht="15" hidden="false" customHeight="false" outlineLevel="0" collapsed="false">
      <c r="A466" s="5" t="s">
        <v>1255</v>
      </c>
      <c r="B466" s="26" t="n">
        <v>46114</v>
      </c>
      <c r="C466" s="5" t="s">
        <v>604</v>
      </c>
      <c r="D466" s="5" t="s">
        <v>605</v>
      </c>
      <c r="E466" s="5" t="s">
        <v>39</v>
      </c>
      <c r="F466" s="5" t="n">
        <v>112</v>
      </c>
      <c r="G466" s="5" t="s">
        <v>375</v>
      </c>
      <c r="H466" s="20" t="n">
        <v>450000</v>
      </c>
      <c r="I466" s="20" t="n">
        <v>2950000</v>
      </c>
      <c r="J466" s="5" t="s">
        <v>346</v>
      </c>
      <c r="K466" s="5" t="s">
        <v>406</v>
      </c>
    </row>
    <row r="467" customFormat="false" ht="15" hidden="false" customHeight="false" outlineLevel="0" collapsed="false">
      <c r="A467" s="5" t="s">
        <v>1256</v>
      </c>
      <c r="B467" s="5" t="s">
        <v>1257</v>
      </c>
      <c r="C467" s="5" t="s">
        <v>492</v>
      </c>
      <c r="D467" s="5" t="s">
        <v>350</v>
      </c>
      <c r="E467" s="5" t="s">
        <v>80</v>
      </c>
      <c r="F467" s="5" t="n">
        <v>206</v>
      </c>
      <c r="G467" s="5" t="s">
        <v>1258</v>
      </c>
      <c r="H467" s="20" t="n">
        <v>1002146</v>
      </c>
      <c r="I467" s="20" t="n">
        <v>6569625</v>
      </c>
      <c r="J467" s="5" t="s">
        <v>335</v>
      </c>
      <c r="K467" s="5" t="s">
        <v>406</v>
      </c>
    </row>
    <row r="468" customFormat="false" ht="15" hidden="false" customHeight="false" outlineLevel="0" collapsed="false">
      <c r="A468" s="5" t="s">
        <v>1259</v>
      </c>
      <c r="B468" s="26" t="n">
        <v>46117</v>
      </c>
      <c r="C468" s="5" t="s">
        <v>431</v>
      </c>
      <c r="D468" s="5" t="s">
        <v>334</v>
      </c>
      <c r="E468" s="5" t="s">
        <v>38</v>
      </c>
      <c r="F468" s="5" t="n">
        <v>3699</v>
      </c>
      <c r="G468" s="5" t="s">
        <v>1260</v>
      </c>
      <c r="H468" s="20" t="n">
        <v>1203537</v>
      </c>
      <c r="I468" s="5" t="s">
        <v>1261</v>
      </c>
      <c r="J468" s="5" t="s">
        <v>383</v>
      </c>
      <c r="K468" s="5" t="s">
        <v>396</v>
      </c>
    </row>
    <row r="469" customFormat="false" ht="15" hidden="false" customHeight="false" outlineLevel="0" collapsed="false">
      <c r="A469" s="5" t="s">
        <v>1262</v>
      </c>
      <c r="B469" s="26" t="n">
        <v>46118</v>
      </c>
      <c r="C469" s="5" t="s">
        <v>415</v>
      </c>
      <c r="D469" s="5" t="s">
        <v>398</v>
      </c>
      <c r="E469" s="5" t="s">
        <v>38</v>
      </c>
      <c r="F469" s="5" t="n">
        <v>1394</v>
      </c>
      <c r="G469" s="5" t="s">
        <v>1263</v>
      </c>
      <c r="H469" s="20" t="n">
        <v>0</v>
      </c>
      <c r="I469" s="20" t="n">
        <v>2552569</v>
      </c>
      <c r="J469" s="5" t="s">
        <v>335</v>
      </c>
      <c r="K469" s="5" t="s">
        <v>363</v>
      </c>
    </row>
    <row r="470" customFormat="false" ht="15" hidden="false" customHeight="false" outlineLevel="0" collapsed="false">
      <c r="A470" s="5" t="s">
        <v>1264</v>
      </c>
      <c r="B470" s="5" t="s">
        <v>1265</v>
      </c>
      <c r="C470" s="5" t="s">
        <v>455</v>
      </c>
      <c r="D470" s="5" t="s">
        <v>390</v>
      </c>
      <c r="E470" s="5" t="s">
        <v>39</v>
      </c>
      <c r="F470" s="5" t="n">
        <v>104</v>
      </c>
      <c r="G470" s="20" t="n">
        <v>2500000</v>
      </c>
      <c r="H470" s="20" t="n">
        <v>450000</v>
      </c>
      <c r="I470" s="5" t="s">
        <v>376</v>
      </c>
      <c r="J470" s="5" t="s">
        <v>403</v>
      </c>
      <c r="K470" s="5" t="s">
        <v>396</v>
      </c>
    </row>
    <row r="471" customFormat="false" ht="15" hidden="false" customHeight="false" outlineLevel="0" collapsed="false">
      <c r="A471" s="5" t="s">
        <v>1266</v>
      </c>
      <c r="B471" s="26" t="n">
        <v>46121</v>
      </c>
      <c r="C471" s="5" t="s">
        <v>400</v>
      </c>
      <c r="D471" s="5" t="s">
        <v>401</v>
      </c>
      <c r="E471" s="5" t="s">
        <v>38</v>
      </c>
      <c r="F471" s="5" t="n">
        <v>6947</v>
      </c>
      <c r="G471" s="20" t="n">
        <v>12316911</v>
      </c>
      <c r="H471" s="20" t="n">
        <v>2217044</v>
      </c>
      <c r="I471" s="20" t="n">
        <v>14533955</v>
      </c>
      <c r="J471" s="5" t="s">
        <v>342</v>
      </c>
      <c r="K471" s="5" t="s">
        <v>368</v>
      </c>
    </row>
    <row r="472" customFormat="false" ht="15" hidden="false" customHeight="false" outlineLevel="0" collapsed="false">
      <c r="A472" s="5" t="s">
        <v>1267</v>
      </c>
      <c r="B472" s="26" t="n">
        <v>46121</v>
      </c>
      <c r="C472" s="5" t="s">
        <v>333</v>
      </c>
      <c r="D472" s="5" t="s">
        <v>334</v>
      </c>
      <c r="E472" s="5" t="s">
        <v>38</v>
      </c>
      <c r="F472" s="5" t="n">
        <v>1409</v>
      </c>
      <c r="G472" s="20" t="n">
        <v>2500000</v>
      </c>
      <c r="H472" s="20" t="n">
        <v>450000</v>
      </c>
      <c r="I472" s="20" t="n">
        <v>2950000</v>
      </c>
      <c r="J472" s="5" t="s">
        <v>335</v>
      </c>
      <c r="K472" s="5" t="s">
        <v>384</v>
      </c>
    </row>
    <row r="473" customFormat="false" ht="15" hidden="false" customHeight="false" outlineLevel="0" collapsed="false">
      <c r="A473" s="5" t="s">
        <v>1268</v>
      </c>
      <c r="B473" s="26" t="n">
        <v>46122</v>
      </c>
      <c r="C473" s="5" t="s">
        <v>701</v>
      </c>
      <c r="D473" s="5" t="s">
        <v>390</v>
      </c>
      <c r="E473" s="5" t="s">
        <v>359</v>
      </c>
      <c r="F473" s="5" t="n">
        <v>1821</v>
      </c>
      <c r="G473" s="20" t="n">
        <v>3616485</v>
      </c>
      <c r="H473" s="20" t="n">
        <v>650967</v>
      </c>
      <c r="I473" s="5" t="s">
        <v>1269</v>
      </c>
      <c r="J473" s="5" t="s">
        <v>356</v>
      </c>
      <c r="K473" s="5" t="s">
        <v>343</v>
      </c>
    </row>
    <row r="474" customFormat="false" ht="15" hidden="false" customHeight="false" outlineLevel="0" collapsed="false">
      <c r="A474" s="5" t="s">
        <v>1270</v>
      </c>
      <c r="B474" s="26" t="n">
        <v>46123</v>
      </c>
      <c r="C474" s="5" t="s">
        <v>415</v>
      </c>
      <c r="D474" s="5" t="s">
        <v>366</v>
      </c>
      <c r="E474" s="5" t="s">
        <v>38</v>
      </c>
      <c r="F474" s="5" t="n">
        <v>1452</v>
      </c>
      <c r="G474" s="5" t="s">
        <v>375</v>
      </c>
      <c r="H474" s="5" t="s">
        <v>440</v>
      </c>
      <c r="I474" s="20" t="n">
        <v>2500000</v>
      </c>
      <c r="J474" s="5" t="s">
        <v>353</v>
      </c>
      <c r="K474" s="5" t="s">
        <v>336</v>
      </c>
    </row>
    <row r="475" customFormat="false" ht="15" hidden="false" customHeight="false" outlineLevel="0" collapsed="false">
      <c r="A475" s="5" t="s">
        <v>1271</v>
      </c>
      <c r="B475" s="26" t="n">
        <v>46126</v>
      </c>
      <c r="C475" s="5" t="s">
        <v>415</v>
      </c>
      <c r="D475" s="5" t="s">
        <v>416</v>
      </c>
      <c r="E475" s="5" t="s">
        <v>81</v>
      </c>
      <c r="F475" s="5" t="n">
        <v>643</v>
      </c>
      <c r="G475" s="20" t="n">
        <v>2500000</v>
      </c>
      <c r="H475" s="20" t="n">
        <v>0</v>
      </c>
      <c r="I475" s="20" t="n">
        <v>2500000</v>
      </c>
      <c r="J475" s="5" t="s">
        <v>335</v>
      </c>
      <c r="K475" s="5" t="s">
        <v>396</v>
      </c>
    </row>
    <row r="476" customFormat="false" ht="15" hidden="false" customHeight="false" outlineLevel="0" collapsed="false">
      <c r="A476" s="5" t="s">
        <v>1272</v>
      </c>
      <c r="B476" s="5" t="s">
        <v>1273</v>
      </c>
      <c r="C476" s="5" t="s">
        <v>415</v>
      </c>
      <c r="D476" s="5" t="s">
        <v>366</v>
      </c>
      <c r="E476" s="5" t="s">
        <v>38</v>
      </c>
      <c r="F476" s="5" t="n">
        <v>3422</v>
      </c>
      <c r="G476" s="20" t="n">
        <v>6861792</v>
      </c>
      <c r="H476" s="20" t="n">
        <v>0</v>
      </c>
      <c r="I476" s="20" t="n">
        <v>6861792</v>
      </c>
      <c r="J476" s="5" t="s">
        <v>383</v>
      </c>
      <c r="K476" s="5" t="s">
        <v>336</v>
      </c>
    </row>
    <row r="477" customFormat="false" ht="15" hidden="false" customHeight="false" outlineLevel="0" collapsed="false">
      <c r="A477" s="5" t="s">
        <v>1274</v>
      </c>
      <c r="B477" s="26" t="n">
        <v>46126</v>
      </c>
      <c r="C477" s="5" t="s">
        <v>415</v>
      </c>
      <c r="D477" s="5" t="s">
        <v>366</v>
      </c>
      <c r="E477" s="5" t="s">
        <v>38</v>
      </c>
      <c r="F477" s="5" t="n">
        <v>2984</v>
      </c>
      <c r="G477" s="20" t="n">
        <v>5409383</v>
      </c>
      <c r="H477" s="20" t="n">
        <v>0</v>
      </c>
      <c r="I477" s="20" t="n">
        <v>5409383</v>
      </c>
      <c r="J477" s="5" t="s">
        <v>383</v>
      </c>
      <c r="K477" s="5" t="s">
        <v>396</v>
      </c>
    </row>
    <row r="478" customFormat="false" ht="15" hidden="false" customHeight="false" outlineLevel="0" collapsed="false">
      <c r="A478" s="5" t="s">
        <v>1275</v>
      </c>
      <c r="B478" s="26" t="n">
        <v>46127</v>
      </c>
      <c r="C478" s="5" t="s">
        <v>451</v>
      </c>
      <c r="D478" s="5" t="s">
        <v>366</v>
      </c>
      <c r="E478" s="5" t="s">
        <v>41</v>
      </c>
      <c r="F478" s="5" t="n">
        <v>1858</v>
      </c>
      <c r="G478" s="5" t="s">
        <v>1276</v>
      </c>
      <c r="H478" s="20" t="n">
        <v>0</v>
      </c>
      <c r="I478" s="20" t="n">
        <v>6727443</v>
      </c>
      <c r="J478" s="5" t="s">
        <v>353</v>
      </c>
      <c r="K478" s="5" t="s">
        <v>368</v>
      </c>
    </row>
    <row r="479" customFormat="false" ht="15" hidden="false" customHeight="false" outlineLevel="0" collapsed="false">
      <c r="A479" s="5" t="s">
        <v>1277</v>
      </c>
      <c r="B479" s="5" t="s">
        <v>1278</v>
      </c>
      <c r="C479" s="5" t="s">
        <v>345</v>
      </c>
      <c r="D479" s="5" t="s">
        <v>615</v>
      </c>
      <c r="E479" s="5" t="s">
        <v>359</v>
      </c>
      <c r="F479" s="5" t="n">
        <v>4152</v>
      </c>
      <c r="G479" s="20" t="n">
        <v>8184037</v>
      </c>
      <c r="H479" s="20" t="n">
        <v>1473127</v>
      </c>
      <c r="I479" s="20" t="n">
        <v>9657164</v>
      </c>
      <c r="J479" s="5" t="s">
        <v>346</v>
      </c>
      <c r="K479" s="5" t="s">
        <v>336</v>
      </c>
    </row>
    <row r="480" customFormat="false" ht="15" hidden="false" customHeight="false" outlineLevel="0" collapsed="false">
      <c r="A480" s="5" t="s">
        <v>1279</v>
      </c>
      <c r="B480" s="26" t="n">
        <v>46130</v>
      </c>
      <c r="C480" s="5" t="s">
        <v>358</v>
      </c>
      <c r="D480" s="5" t="s">
        <v>390</v>
      </c>
      <c r="E480" s="5" t="s">
        <v>359</v>
      </c>
      <c r="F480" s="5" t="n">
        <v>1697</v>
      </c>
      <c r="G480" s="20" t="n">
        <v>3073574</v>
      </c>
      <c r="H480" s="20" t="n">
        <v>553243</v>
      </c>
      <c r="I480" s="20" t="n">
        <v>3626817</v>
      </c>
      <c r="J480" s="5" t="s">
        <v>356</v>
      </c>
      <c r="K480" s="5" t="s">
        <v>363</v>
      </c>
    </row>
    <row r="481" customFormat="false" ht="15" hidden="false" customHeight="false" outlineLevel="0" collapsed="false">
      <c r="A481" s="5" t="s">
        <v>1280</v>
      </c>
      <c r="B481" s="26" t="n">
        <v>46132</v>
      </c>
      <c r="C481" s="5" t="s">
        <v>439</v>
      </c>
      <c r="D481" s="5" t="s">
        <v>366</v>
      </c>
      <c r="E481" s="5" t="s">
        <v>39</v>
      </c>
      <c r="F481" s="5" t="n">
        <v>237</v>
      </c>
      <c r="G481" s="20" t="n">
        <v>6044984</v>
      </c>
      <c r="H481" s="20" t="n">
        <v>0</v>
      </c>
      <c r="I481" s="20" t="n">
        <v>6044984</v>
      </c>
      <c r="J481" s="5" t="s">
        <v>335</v>
      </c>
      <c r="K481" s="5" t="s">
        <v>406</v>
      </c>
    </row>
    <row r="482" customFormat="false" ht="15" hidden="false" customHeight="false" outlineLevel="0" collapsed="false">
      <c r="A482" s="5" t="s">
        <v>1281</v>
      </c>
      <c r="B482" s="5" t="s">
        <v>1282</v>
      </c>
      <c r="C482" s="5" t="s">
        <v>431</v>
      </c>
      <c r="D482" s="5" t="s">
        <v>483</v>
      </c>
      <c r="E482" s="5" t="s">
        <v>79</v>
      </c>
      <c r="F482" s="5" t="n">
        <v>8030</v>
      </c>
      <c r="G482" s="20" t="n">
        <v>15891004</v>
      </c>
      <c r="H482" s="20" t="n">
        <v>2860381</v>
      </c>
      <c r="I482" s="20" t="n">
        <v>18751385</v>
      </c>
      <c r="J482" s="5" t="s">
        <v>383</v>
      </c>
      <c r="K482" s="5" t="s">
        <v>368</v>
      </c>
    </row>
    <row r="483" customFormat="false" ht="15" hidden="false" customHeight="false" outlineLevel="0" collapsed="false">
      <c r="A483" s="5" t="s">
        <v>1283</v>
      </c>
      <c r="B483" s="26" t="n">
        <v>46133</v>
      </c>
      <c r="C483" s="5" t="s">
        <v>451</v>
      </c>
      <c r="D483" s="5" t="s">
        <v>366</v>
      </c>
      <c r="E483" s="5" t="s">
        <v>355</v>
      </c>
      <c r="F483" s="5" t="n">
        <v>2286</v>
      </c>
      <c r="G483" s="5" t="s">
        <v>1284</v>
      </c>
      <c r="H483" s="20" t="n">
        <v>0</v>
      </c>
      <c r="I483" s="20" t="n">
        <v>9622607</v>
      </c>
      <c r="J483" s="5" t="s">
        <v>356</v>
      </c>
      <c r="K483" s="5" t="s">
        <v>336</v>
      </c>
    </row>
    <row r="484" customFormat="false" ht="15" hidden="false" customHeight="false" outlineLevel="0" collapsed="false">
      <c r="A484" s="5" t="s">
        <v>1285</v>
      </c>
      <c r="B484" s="5" t="s">
        <v>1286</v>
      </c>
      <c r="C484" s="5" t="s">
        <v>378</v>
      </c>
      <c r="D484" s="5" t="s">
        <v>374</v>
      </c>
      <c r="E484" s="5" t="s">
        <v>41</v>
      </c>
      <c r="F484" s="5" t="n">
        <v>3752</v>
      </c>
      <c r="G484" s="20" t="n">
        <v>14793702</v>
      </c>
      <c r="H484" s="5" t="s">
        <v>1287</v>
      </c>
      <c r="I484" s="20" t="n">
        <v>17456568</v>
      </c>
      <c r="J484" s="5" t="s">
        <v>353</v>
      </c>
      <c r="K484" s="5" t="s">
        <v>343</v>
      </c>
    </row>
    <row r="485" customFormat="false" ht="15" hidden="false" customHeight="false" outlineLevel="0" collapsed="false">
      <c r="A485" s="5" t="s">
        <v>1288</v>
      </c>
      <c r="B485" s="26" t="n">
        <v>46135</v>
      </c>
      <c r="C485" s="5" t="s">
        <v>415</v>
      </c>
      <c r="D485" s="5" t="s">
        <v>366</v>
      </c>
      <c r="E485" s="5" t="s">
        <v>41</v>
      </c>
      <c r="F485" s="5" t="n">
        <v>857</v>
      </c>
      <c r="G485" s="20" t="n">
        <v>3348857</v>
      </c>
      <c r="H485" s="5" t="s">
        <v>277</v>
      </c>
      <c r="I485" s="20" t="n">
        <v>3348857</v>
      </c>
      <c r="J485" s="5" t="s">
        <v>356</v>
      </c>
      <c r="K485" s="5" t="s">
        <v>396</v>
      </c>
    </row>
    <row r="486" customFormat="false" ht="15" hidden="false" customHeight="false" outlineLevel="0" collapsed="false">
      <c r="A486" s="5" t="s">
        <v>1289</v>
      </c>
      <c r="B486" s="26" t="n">
        <v>46135</v>
      </c>
      <c r="C486" s="5" t="s">
        <v>419</v>
      </c>
      <c r="D486" s="5" t="s">
        <v>390</v>
      </c>
      <c r="E486" s="5" t="s">
        <v>38</v>
      </c>
      <c r="F486" s="5" t="n">
        <v>2418</v>
      </c>
      <c r="G486" s="20" t="n">
        <v>4266095</v>
      </c>
      <c r="H486" s="20" t="n">
        <v>767897</v>
      </c>
      <c r="I486" s="20" t="n">
        <v>5033992</v>
      </c>
      <c r="J486" s="5" t="s">
        <v>403</v>
      </c>
      <c r="K486" s="5" t="s">
        <v>406</v>
      </c>
    </row>
    <row r="487" customFormat="false" ht="15" hidden="false" customHeight="false" outlineLevel="0" collapsed="false">
      <c r="A487" s="5" t="s">
        <v>1290</v>
      </c>
      <c r="B487" s="5" t="s">
        <v>1291</v>
      </c>
      <c r="C487" s="5" t="s">
        <v>415</v>
      </c>
      <c r="D487" s="5" t="s">
        <v>366</v>
      </c>
      <c r="E487" s="5" t="s">
        <v>79</v>
      </c>
      <c r="F487" s="5" t="n">
        <v>5113</v>
      </c>
      <c r="G487" s="20" t="n">
        <v>9411453</v>
      </c>
      <c r="H487" s="20" t="n">
        <v>0</v>
      </c>
      <c r="I487" s="20" t="n">
        <v>9411453</v>
      </c>
      <c r="J487" s="5" t="s">
        <v>342</v>
      </c>
      <c r="K487" s="5" t="s">
        <v>406</v>
      </c>
    </row>
    <row r="488" customFormat="false" ht="15" hidden="false" customHeight="false" outlineLevel="0" collapsed="false">
      <c r="A488" s="5" t="s">
        <v>1292</v>
      </c>
      <c r="B488" s="26" t="n">
        <v>46135</v>
      </c>
      <c r="C488" s="5" t="s">
        <v>358</v>
      </c>
      <c r="D488" s="5" t="s">
        <v>340</v>
      </c>
      <c r="E488" s="5" t="s">
        <v>38</v>
      </c>
      <c r="F488" s="5" t="n">
        <v>3119</v>
      </c>
      <c r="G488" s="20" t="n">
        <v>6059730</v>
      </c>
      <c r="H488" s="5" t="s">
        <v>1293</v>
      </c>
      <c r="I488" s="20" t="n">
        <v>7150481</v>
      </c>
      <c r="J488" s="5" t="s">
        <v>346</v>
      </c>
      <c r="K488" s="5" t="s">
        <v>384</v>
      </c>
    </row>
    <row r="489" customFormat="false" ht="15" hidden="false" customHeight="false" outlineLevel="0" collapsed="false">
      <c r="A489" s="5" t="s">
        <v>1294</v>
      </c>
      <c r="B489" s="5" t="s">
        <v>1295</v>
      </c>
      <c r="C489" s="5" t="s">
        <v>419</v>
      </c>
      <c r="D489" s="5" t="s">
        <v>390</v>
      </c>
      <c r="E489" s="5" t="s">
        <v>38</v>
      </c>
      <c r="F489" s="5" t="n">
        <v>2885</v>
      </c>
      <c r="G489" s="20" t="n">
        <v>5507539</v>
      </c>
      <c r="H489" s="5" t="s">
        <v>1296</v>
      </c>
      <c r="I489" s="5" t="s">
        <v>1297</v>
      </c>
      <c r="J489" s="5" t="s">
        <v>403</v>
      </c>
      <c r="K489" s="5" t="s">
        <v>406</v>
      </c>
    </row>
    <row r="490" customFormat="false" ht="15" hidden="false" customHeight="false" outlineLevel="0" collapsed="false">
      <c r="A490" s="5" t="s">
        <v>1298</v>
      </c>
      <c r="B490" s="5" t="s">
        <v>1299</v>
      </c>
      <c r="C490" s="5" t="s">
        <v>400</v>
      </c>
      <c r="D490" s="5" t="s">
        <v>379</v>
      </c>
      <c r="E490" s="5" t="s">
        <v>79</v>
      </c>
      <c r="F490" s="5" t="n">
        <v>1596</v>
      </c>
      <c r="G490" s="20" t="n">
        <v>2698800</v>
      </c>
      <c r="H490" s="20" t="n">
        <v>485784</v>
      </c>
      <c r="I490" s="20" t="n">
        <v>3184584</v>
      </c>
      <c r="J490" s="5" t="s">
        <v>335</v>
      </c>
      <c r="K490" s="5" t="s">
        <v>368</v>
      </c>
    </row>
    <row r="491" customFormat="false" ht="15" hidden="false" customHeight="false" outlineLevel="0" collapsed="false">
      <c r="A491" s="5" t="s">
        <v>1300</v>
      </c>
      <c r="B491" s="5" t="s">
        <v>1301</v>
      </c>
      <c r="C491" s="5" t="s">
        <v>419</v>
      </c>
      <c r="D491" s="5" t="s">
        <v>390</v>
      </c>
      <c r="E491" s="5" t="s">
        <v>359</v>
      </c>
      <c r="F491" s="5" t="n">
        <v>6317</v>
      </c>
      <c r="G491" s="20" t="n">
        <v>12303362</v>
      </c>
      <c r="H491" s="5" t="s">
        <v>1302</v>
      </c>
      <c r="I491" s="5" t="s">
        <v>1303</v>
      </c>
      <c r="J491" s="5" t="s">
        <v>403</v>
      </c>
      <c r="K491" s="5" t="s">
        <v>368</v>
      </c>
    </row>
    <row r="492" customFormat="false" ht="15" hidden="false" customHeight="false" outlineLevel="0" collapsed="false">
      <c r="A492" s="5" t="s">
        <v>1304</v>
      </c>
      <c r="B492" s="5" t="s">
        <v>1301</v>
      </c>
      <c r="C492" s="5" t="s">
        <v>455</v>
      </c>
      <c r="D492" s="5" t="s">
        <v>390</v>
      </c>
      <c r="E492" s="5" t="s">
        <v>39</v>
      </c>
      <c r="F492" s="5" t="n">
        <v>233</v>
      </c>
      <c r="G492" s="20" t="n">
        <v>5320613</v>
      </c>
      <c r="H492" s="20" t="n">
        <v>957710</v>
      </c>
      <c r="I492" s="20" t="n">
        <v>6278323</v>
      </c>
      <c r="J492" s="5" t="s">
        <v>342</v>
      </c>
      <c r="K492" s="5" t="s">
        <v>384</v>
      </c>
    </row>
    <row r="493" customFormat="false" ht="15" hidden="false" customHeight="false" outlineLevel="0" collapsed="false">
      <c r="A493" s="5" t="s">
        <v>1305</v>
      </c>
      <c r="B493" s="26" t="n">
        <v>46139</v>
      </c>
      <c r="C493" s="5" t="s">
        <v>495</v>
      </c>
      <c r="D493" s="5" t="s">
        <v>480</v>
      </c>
      <c r="E493" s="5" t="s">
        <v>41</v>
      </c>
      <c r="F493" s="5" t="n">
        <v>1041</v>
      </c>
      <c r="G493" s="5" t="s">
        <v>1306</v>
      </c>
      <c r="H493" s="20" t="n">
        <v>709903</v>
      </c>
      <c r="I493" s="20" t="n">
        <v>4653806</v>
      </c>
      <c r="J493" s="5" t="s">
        <v>335</v>
      </c>
      <c r="K493" s="5" t="s">
        <v>396</v>
      </c>
    </row>
    <row r="494" customFormat="false" ht="15" hidden="false" customHeight="false" outlineLevel="0" collapsed="false">
      <c r="A494" s="5" t="s">
        <v>1307</v>
      </c>
      <c r="B494" s="26" t="n">
        <v>46141</v>
      </c>
      <c r="C494" s="5" t="s">
        <v>345</v>
      </c>
      <c r="D494" s="5" t="s">
        <v>334</v>
      </c>
      <c r="E494" s="5" t="s">
        <v>38</v>
      </c>
      <c r="F494" s="5" t="n">
        <v>5167</v>
      </c>
      <c r="G494" s="20" t="n">
        <v>8625862</v>
      </c>
      <c r="H494" s="20" t="n">
        <v>1552655</v>
      </c>
      <c r="I494" s="20" t="n">
        <v>10178517</v>
      </c>
      <c r="J494" s="5" t="s">
        <v>353</v>
      </c>
      <c r="K494" s="5" t="s">
        <v>396</v>
      </c>
    </row>
    <row r="495" customFormat="false" ht="15" hidden="false" customHeight="false" outlineLevel="0" collapsed="false">
      <c r="A495" s="5" t="s">
        <v>1308</v>
      </c>
      <c r="B495" s="26" t="n">
        <v>46142</v>
      </c>
      <c r="C495" s="5" t="s">
        <v>1309</v>
      </c>
      <c r="D495" s="5" t="s">
        <v>334</v>
      </c>
      <c r="E495" s="5" t="s">
        <v>41</v>
      </c>
      <c r="F495" s="5" t="n">
        <v>2277</v>
      </c>
      <c r="G495" s="5" t="s">
        <v>1310</v>
      </c>
      <c r="H495" s="20" t="n">
        <v>1527637</v>
      </c>
      <c r="I495" s="20" t="n">
        <v>10014510</v>
      </c>
      <c r="J495" s="5" t="s">
        <v>403</v>
      </c>
      <c r="K495" s="5" t="s">
        <v>368</v>
      </c>
    </row>
    <row r="496" customFormat="false" ht="15" hidden="false" customHeight="false" outlineLevel="0" collapsed="false">
      <c r="A496" s="5" t="s">
        <v>1311</v>
      </c>
      <c r="B496" s="5" t="s">
        <v>1312</v>
      </c>
      <c r="C496" s="5" t="s">
        <v>419</v>
      </c>
      <c r="D496" s="5" t="s">
        <v>340</v>
      </c>
      <c r="E496" s="5" t="s">
        <v>38</v>
      </c>
      <c r="F496" s="5" t="n">
        <v>1886</v>
      </c>
      <c r="G496" s="5" t="s">
        <v>1313</v>
      </c>
      <c r="H496" s="20" t="n">
        <v>596488</v>
      </c>
      <c r="I496" s="20" t="n">
        <v>3910308</v>
      </c>
      <c r="J496" s="5" t="s">
        <v>353</v>
      </c>
      <c r="K496" s="5" t="s">
        <v>384</v>
      </c>
      <c r="L496" s="5" t="s">
        <v>537</v>
      </c>
    </row>
    <row r="497" customFormat="false" ht="15" hidden="false" customHeight="false" outlineLevel="0" collapsed="false">
      <c r="A497" s="5" t="s">
        <v>1314</v>
      </c>
      <c r="B497" s="5" t="s">
        <v>1315</v>
      </c>
      <c r="C497" s="5" t="s">
        <v>358</v>
      </c>
      <c r="D497" s="5" t="s">
        <v>390</v>
      </c>
      <c r="E497" s="5" t="s">
        <v>41</v>
      </c>
      <c r="F497" s="5" t="n">
        <v>1360</v>
      </c>
      <c r="G497" s="20" t="n">
        <v>5377215</v>
      </c>
      <c r="H497" s="20" t="n">
        <v>967899</v>
      </c>
      <c r="I497" s="20" t="n">
        <v>6345114</v>
      </c>
      <c r="J497" s="5" t="s">
        <v>353</v>
      </c>
      <c r="K497" s="5" t="s">
        <v>347</v>
      </c>
    </row>
    <row r="498" customFormat="false" ht="15" hidden="false" customHeight="false" outlineLevel="0" collapsed="false">
      <c r="A498" s="5" t="s">
        <v>1316</v>
      </c>
      <c r="B498" s="26" t="n">
        <v>46145</v>
      </c>
      <c r="C498" s="5" t="s">
        <v>831</v>
      </c>
      <c r="D498" s="5" t="s">
        <v>334</v>
      </c>
      <c r="E498" s="5" t="s">
        <v>38</v>
      </c>
      <c r="F498" s="5" t="n">
        <v>1334</v>
      </c>
      <c r="G498" s="5" t="s">
        <v>375</v>
      </c>
      <c r="H498" s="5" t="s">
        <v>488</v>
      </c>
      <c r="I498" s="20" t="n">
        <v>2950000</v>
      </c>
      <c r="J498" s="5" t="s">
        <v>356</v>
      </c>
      <c r="K498" s="5" t="s">
        <v>406</v>
      </c>
    </row>
    <row r="499" customFormat="false" ht="15" hidden="false" customHeight="false" outlineLevel="0" collapsed="false">
      <c r="A499" s="5" t="s">
        <v>1317</v>
      </c>
      <c r="B499" s="26" t="n">
        <v>46146</v>
      </c>
      <c r="C499" s="5" t="s">
        <v>449</v>
      </c>
      <c r="D499" s="5" t="s">
        <v>366</v>
      </c>
      <c r="E499" s="5" t="s">
        <v>41</v>
      </c>
      <c r="F499" s="5" t="n">
        <v>1198</v>
      </c>
      <c r="G499" s="20" t="n">
        <v>4965253</v>
      </c>
      <c r="H499" s="20" t="n">
        <v>0</v>
      </c>
      <c r="I499" s="20" t="n">
        <v>4965253</v>
      </c>
      <c r="J499" s="5" t="s">
        <v>342</v>
      </c>
      <c r="K499" s="5" t="s">
        <v>406</v>
      </c>
    </row>
    <row r="500" customFormat="false" ht="15" hidden="false" customHeight="false" outlineLevel="0" collapsed="false">
      <c r="A500" s="5" t="s">
        <v>1318</v>
      </c>
      <c r="B500" s="26" t="n">
        <v>46146</v>
      </c>
      <c r="C500" s="5" t="s">
        <v>345</v>
      </c>
      <c r="D500" s="5" t="s">
        <v>334</v>
      </c>
      <c r="E500" s="5" t="s">
        <v>41</v>
      </c>
      <c r="F500" s="5" t="n">
        <v>1787</v>
      </c>
      <c r="G500" s="20" t="n">
        <v>7529099</v>
      </c>
      <c r="H500" s="20" t="n">
        <v>1355238</v>
      </c>
      <c r="I500" s="20" t="n">
        <v>8884337</v>
      </c>
      <c r="J500" s="5" t="s">
        <v>403</v>
      </c>
      <c r="K500" s="5" t="s">
        <v>363</v>
      </c>
    </row>
    <row r="501" customFormat="false" ht="15" hidden="false" customHeight="false" outlineLevel="0" collapsed="false">
      <c r="A501" s="5" t="s">
        <v>1319</v>
      </c>
      <c r="B501" s="26" t="n">
        <v>46146</v>
      </c>
      <c r="C501" s="5" t="s">
        <v>431</v>
      </c>
      <c r="D501" s="5" t="s">
        <v>483</v>
      </c>
      <c r="E501" s="5" t="s">
        <v>359</v>
      </c>
      <c r="F501" s="5" t="n">
        <v>6707</v>
      </c>
      <c r="G501" s="20" t="n">
        <v>12081901</v>
      </c>
      <c r="H501" s="5" t="s">
        <v>1320</v>
      </c>
      <c r="I501" s="5" t="s">
        <v>1321</v>
      </c>
      <c r="J501" s="5" t="s">
        <v>335</v>
      </c>
      <c r="K501" s="5" t="s">
        <v>384</v>
      </c>
    </row>
    <row r="502" customFormat="false" ht="15" hidden="false" customHeight="false" outlineLevel="0" collapsed="false">
      <c r="A502" s="5" t="s">
        <v>1322</v>
      </c>
      <c r="B502" s="26" t="n">
        <v>46146</v>
      </c>
      <c r="C502" s="5" t="s">
        <v>701</v>
      </c>
      <c r="D502" s="5" t="s">
        <v>480</v>
      </c>
      <c r="E502" s="5" t="s">
        <v>41</v>
      </c>
      <c r="F502" s="5" t="n">
        <v>2322</v>
      </c>
      <c r="G502" s="20" t="n">
        <v>9469372</v>
      </c>
      <c r="H502" s="5" t="s">
        <v>1323</v>
      </c>
      <c r="I502" s="20" t="n">
        <v>11173859</v>
      </c>
      <c r="J502" s="5" t="s">
        <v>353</v>
      </c>
      <c r="K502" s="5" t="s">
        <v>368</v>
      </c>
    </row>
    <row r="503" customFormat="false" ht="15" hidden="false" customHeight="false" outlineLevel="0" collapsed="false">
      <c r="A503" s="5" t="s">
        <v>1324</v>
      </c>
      <c r="B503" s="26" t="n">
        <v>46147</v>
      </c>
      <c r="C503" s="5" t="s">
        <v>431</v>
      </c>
      <c r="D503" s="5" t="s">
        <v>334</v>
      </c>
      <c r="E503" s="5" t="s">
        <v>38</v>
      </c>
      <c r="F503" s="5" t="n">
        <v>1989</v>
      </c>
      <c r="G503" s="5" t="s">
        <v>1325</v>
      </c>
      <c r="H503" s="20" t="n">
        <v>630629</v>
      </c>
      <c r="I503" s="20" t="n">
        <v>4134123</v>
      </c>
      <c r="J503" s="5" t="s">
        <v>403</v>
      </c>
      <c r="K503" s="5" t="s">
        <v>384</v>
      </c>
    </row>
    <row r="504" customFormat="false" ht="15" hidden="false" customHeight="false" outlineLevel="0" collapsed="false">
      <c r="A504" s="5" t="s">
        <v>1326</v>
      </c>
      <c r="B504" s="26" t="n">
        <v>46148</v>
      </c>
      <c r="C504" s="5" t="s">
        <v>431</v>
      </c>
      <c r="D504" s="5" t="s">
        <v>483</v>
      </c>
      <c r="E504" s="5" t="s">
        <v>79</v>
      </c>
      <c r="F504" s="5" t="n">
        <v>2370</v>
      </c>
      <c r="G504" s="20" t="n">
        <v>4022227</v>
      </c>
      <c r="H504" s="20" t="n">
        <v>724001</v>
      </c>
      <c r="I504" s="20" t="n">
        <v>4746228</v>
      </c>
      <c r="J504" s="5" t="s">
        <v>353</v>
      </c>
      <c r="K504" s="5" t="s">
        <v>396</v>
      </c>
    </row>
    <row r="505" customFormat="false" ht="15" hidden="false" customHeight="false" outlineLevel="0" collapsed="false">
      <c r="A505" s="5" t="s">
        <v>1327</v>
      </c>
      <c r="B505" s="26" t="n">
        <v>46149</v>
      </c>
      <c r="C505" s="5" t="s">
        <v>881</v>
      </c>
      <c r="D505" s="5" t="s">
        <v>366</v>
      </c>
      <c r="E505" s="5" t="s">
        <v>38</v>
      </c>
      <c r="F505" s="5" t="n">
        <v>2661</v>
      </c>
      <c r="G505" s="5" t="s">
        <v>1328</v>
      </c>
      <c r="H505" s="5" t="s">
        <v>440</v>
      </c>
      <c r="I505" s="20" t="n">
        <v>5077845</v>
      </c>
      <c r="J505" s="5" t="s">
        <v>342</v>
      </c>
      <c r="K505" s="5" t="s">
        <v>406</v>
      </c>
    </row>
    <row r="506" customFormat="false" ht="15" hidden="false" customHeight="false" outlineLevel="0" collapsed="false">
      <c r="A506" s="5" t="s">
        <v>1329</v>
      </c>
      <c r="B506" s="26" t="n">
        <v>46149</v>
      </c>
      <c r="C506" s="5" t="s">
        <v>400</v>
      </c>
      <c r="D506" s="5" t="s">
        <v>401</v>
      </c>
      <c r="E506" s="5" t="s">
        <v>359</v>
      </c>
      <c r="F506" s="5" t="n">
        <v>2728</v>
      </c>
      <c r="G506" s="5" t="s">
        <v>1330</v>
      </c>
      <c r="H506" s="5" t="s">
        <v>1331</v>
      </c>
      <c r="I506" s="20" t="n">
        <v>5760928</v>
      </c>
      <c r="J506" s="5" t="s">
        <v>403</v>
      </c>
      <c r="K506" s="5" t="s">
        <v>343</v>
      </c>
    </row>
    <row r="507" customFormat="false" ht="15" hidden="false" customHeight="false" outlineLevel="0" collapsed="false">
      <c r="A507" s="5" t="s">
        <v>1332</v>
      </c>
      <c r="B507" s="26" t="n">
        <v>46150</v>
      </c>
      <c r="C507" s="5" t="s">
        <v>455</v>
      </c>
      <c r="D507" s="5" t="s">
        <v>390</v>
      </c>
      <c r="E507" s="5" t="s">
        <v>39</v>
      </c>
      <c r="F507" s="5" t="n">
        <v>413</v>
      </c>
      <c r="G507" s="20" t="n">
        <v>10247548</v>
      </c>
      <c r="H507" s="5" t="s">
        <v>1333</v>
      </c>
      <c r="I507" s="20" t="n">
        <v>12092107</v>
      </c>
      <c r="J507" s="5" t="s">
        <v>353</v>
      </c>
      <c r="K507" s="5" t="s">
        <v>363</v>
      </c>
    </row>
    <row r="508" customFormat="false" ht="15" hidden="false" customHeight="false" outlineLevel="0" collapsed="false">
      <c r="A508" s="5" t="s">
        <v>1334</v>
      </c>
      <c r="B508" s="26" t="n">
        <v>46150</v>
      </c>
      <c r="C508" s="5" t="s">
        <v>349</v>
      </c>
      <c r="D508" s="5" t="s">
        <v>350</v>
      </c>
      <c r="E508" s="5" t="s">
        <v>80</v>
      </c>
      <c r="F508" s="5" t="n">
        <v>107</v>
      </c>
      <c r="G508" s="20" t="n">
        <v>2500000</v>
      </c>
      <c r="H508" s="20" t="n">
        <v>450000</v>
      </c>
      <c r="I508" s="20" t="n">
        <v>2950000</v>
      </c>
      <c r="J508" s="5" t="s">
        <v>342</v>
      </c>
      <c r="K508" s="5" t="s">
        <v>368</v>
      </c>
    </row>
    <row r="509" customFormat="false" ht="15" hidden="false" customHeight="false" outlineLevel="0" collapsed="false">
      <c r="A509" s="5" t="s">
        <v>1335</v>
      </c>
      <c r="B509" s="26" t="n">
        <v>46151</v>
      </c>
      <c r="C509" s="5" t="s">
        <v>419</v>
      </c>
      <c r="D509" s="5" t="s">
        <v>390</v>
      </c>
      <c r="E509" s="5" t="s">
        <v>79</v>
      </c>
      <c r="F509" s="5" t="n">
        <v>1479</v>
      </c>
      <c r="G509" s="5" t="s">
        <v>1336</v>
      </c>
      <c r="H509" s="20" t="n">
        <v>489275</v>
      </c>
      <c r="I509" s="20" t="n">
        <v>3207470</v>
      </c>
      <c r="J509" s="5" t="s">
        <v>353</v>
      </c>
      <c r="K509" s="5" t="s">
        <v>343</v>
      </c>
    </row>
    <row r="510" customFormat="false" ht="15" hidden="false" customHeight="false" outlineLevel="0" collapsed="false">
      <c r="A510" s="5" t="s">
        <v>1337</v>
      </c>
      <c r="B510" s="26" t="n">
        <v>46153</v>
      </c>
      <c r="C510" s="5" t="s">
        <v>373</v>
      </c>
      <c r="D510" s="5" t="s">
        <v>379</v>
      </c>
      <c r="E510" s="5" t="s">
        <v>39</v>
      </c>
      <c r="F510" s="5" t="n">
        <v>145</v>
      </c>
      <c r="G510" s="20" t="n">
        <v>3498082</v>
      </c>
      <c r="H510" s="20" t="n">
        <v>629655</v>
      </c>
      <c r="I510" s="20" t="n">
        <v>4127737</v>
      </c>
      <c r="J510" s="5" t="s">
        <v>356</v>
      </c>
      <c r="K510" s="5" t="s">
        <v>363</v>
      </c>
    </row>
    <row r="511" customFormat="false" ht="15" hidden="false" customHeight="false" outlineLevel="0" collapsed="false">
      <c r="A511" s="5" t="s">
        <v>1338</v>
      </c>
      <c r="B511" s="26" t="n">
        <v>46156</v>
      </c>
      <c r="C511" s="5" t="s">
        <v>419</v>
      </c>
      <c r="D511" s="5" t="s">
        <v>390</v>
      </c>
      <c r="E511" s="5" t="s">
        <v>38</v>
      </c>
      <c r="F511" s="5" t="n">
        <v>1614</v>
      </c>
      <c r="G511" s="20" t="n">
        <v>3095491</v>
      </c>
      <c r="H511" s="5" t="s">
        <v>1339</v>
      </c>
      <c r="I511" s="20" t="n">
        <v>3652679</v>
      </c>
      <c r="J511" s="5" t="s">
        <v>403</v>
      </c>
      <c r="K511" s="5" t="s">
        <v>347</v>
      </c>
    </row>
    <row r="512" customFormat="false" ht="15" hidden="false" customHeight="false" outlineLevel="0" collapsed="false">
      <c r="A512" s="5" t="s">
        <v>1340</v>
      </c>
      <c r="B512" s="26" t="n">
        <v>46156</v>
      </c>
      <c r="C512" s="5" t="s">
        <v>349</v>
      </c>
      <c r="D512" s="5" t="s">
        <v>405</v>
      </c>
      <c r="E512" s="5" t="s">
        <v>39</v>
      </c>
      <c r="F512" s="5" t="n">
        <v>99</v>
      </c>
      <c r="G512" s="20" t="n">
        <v>2500000</v>
      </c>
      <c r="H512" s="20" t="n">
        <v>450000</v>
      </c>
      <c r="I512" s="20" t="n">
        <v>2950000</v>
      </c>
      <c r="J512" s="5" t="s">
        <v>383</v>
      </c>
      <c r="K512" s="5" t="s">
        <v>336</v>
      </c>
    </row>
    <row r="514" customFormat="false" ht="15" hidden="false" customHeight="false" outlineLevel="0" collapsed="false">
      <c r="A514" s="16" t="s">
        <v>1341</v>
      </c>
    </row>
    <row r="515" customFormat="false" ht="15" hidden="false" customHeight="false" outlineLevel="0" collapsed="false">
      <c r="A515" s="9" t="s">
        <v>320</v>
      </c>
      <c r="B515" s="9" t="s">
        <v>321</v>
      </c>
      <c r="C515" s="9" t="s">
        <v>322</v>
      </c>
      <c r="D515" s="9" t="s">
        <v>323</v>
      </c>
      <c r="E515" s="9" t="s">
        <v>324</v>
      </c>
      <c r="F515" s="9" t="s">
        <v>325</v>
      </c>
      <c r="G515" s="9" t="s">
        <v>326</v>
      </c>
      <c r="H515" s="9" t="s">
        <v>327</v>
      </c>
      <c r="I515" s="9" t="s">
        <v>328</v>
      </c>
      <c r="J515" s="9" t="s">
        <v>329</v>
      </c>
      <c r="K515" s="9" t="s">
        <v>330</v>
      </c>
    </row>
    <row r="516" customFormat="false" ht="15" hidden="false" customHeight="false" outlineLevel="0" collapsed="false">
      <c r="A516" s="5" t="s">
        <v>1342</v>
      </c>
      <c r="B516" s="5" t="s">
        <v>1343</v>
      </c>
      <c r="C516" s="5" t="s">
        <v>737</v>
      </c>
      <c r="D516" s="5" t="s">
        <v>334</v>
      </c>
      <c r="E516" s="5" t="s">
        <v>429</v>
      </c>
      <c r="F516" s="5" t="n">
        <v>1049</v>
      </c>
      <c r="G516" s="5" t="s">
        <v>1344</v>
      </c>
      <c r="H516" s="5" t="s">
        <v>1345</v>
      </c>
      <c r="I516" s="5" t="s">
        <v>1346</v>
      </c>
      <c r="J516" s="5" t="s">
        <v>335</v>
      </c>
      <c r="K516" s="5" t="s">
        <v>363</v>
      </c>
    </row>
    <row r="517" customFormat="false" ht="15" hidden="false" customHeight="false" outlineLevel="0" collapsed="false">
      <c r="A517" s="5" t="s">
        <v>1347</v>
      </c>
      <c r="B517" s="5" t="s">
        <v>1348</v>
      </c>
      <c r="C517" s="5" t="s">
        <v>365</v>
      </c>
      <c r="D517" s="5" t="s">
        <v>366</v>
      </c>
      <c r="E517" s="5" t="s">
        <v>39</v>
      </c>
      <c r="F517" s="5" t="n">
        <v>141</v>
      </c>
      <c r="G517" s="5" t="s">
        <v>1349</v>
      </c>
      <c r="H517" s="5" t="s">
        <v>277</v>
      </c>
      <c r="I517" s="20" t="n">
        <v>3634656</v>
      </c>
      <c r="J517" s="5" t="s">
        <v>353</v>
      </c>
      <c r="K517" s="5" t="s">
        <v>368</v>
      </c>
    </row>
    <row r="518" customFormat="false" ht="15" hidden="false" customHeight="false" outlineLevel="0" collapsed="false">
      <c r="A518" s="5" t="s">
        <v>1350</v>
      </c>
      <c r="B518" s="26" t="n">
        <v>46161</v>
      </c>
      <c r="C518" s="5" t="s">
        <v>400</v>
      </c>
      <c r="D518" s="5" t="s">
        <v>379</v>
      </c>
      <c r="E518" s="5" t="s">
        <v>38</v>
      </c>
      <c r="F518" s="5" t="n">
        <v>7305</v>
      </c>
      <c r="G518" s="5" t="s">
        <v>1351</v>
      </c>
      <c r="H518" s="5" t="s">
        <v>1352</v>
      </c>
      <c r="I518" s="20" t="n">
        <v>15488229</v>
      </c>
      <c r="J518" s="5" t="s">
        <v>346</v>
      </c>
      <c r="K518" s="5" t="s">
        <v>363</v>
      </c>
    </row>
    <row r="519" customFormat="false" ht="15" hidden="false" customHeight="false" outlineLevel="0" collapsed="false">
      <c r="A519" s="5" t="s">
        <v>1353</v>
      </c>
      <c r="B519" s="26" t="n">
        <v>46164</v>
      </c>
      <c r="C519" s="5" t="s">
        <v>428</v>
      </c>
      <c r="D519" s="5" t="s">
        <v>401</v>
      </c>
      <c r="E519" s="5" t="s">
        <v>429</v>
      </c>
      <c r="F519" s="5" t="n">
        <v>619</v>
      </c>
      <c r="G519" s="5" t="s">
        <v>1354</v>
      </c>
      <c r="H519" s="20" t="n">
        <v>700764</v>
      </c>
      <c r="I519" s="20" t="n">
        <v>4593897</v>
      </c>
      <c r="J519" s="5" t="s">
        <v>403</v>
      </c>
      <c r="K519" s="5" t="s">
        <v>368</v>
      </c>
    </row>
    <row r="520" customFormat="false" ht="15" hidden="false" customHeight="false" outlineLevel="0" collapsed="false">
      <c r="A520" s="5" t="s">
        <v>1355</v>
      </c>
      <c r="B520" s="5" t="s">
        <v>1356</v>
      </c>
      <c r="C520" s="5" t="s">
        <v>345</v>
      </c>
      <c r="D520" s="5" t="s">
        <v>334</v>
      </c>
      <c r="E520" s="5" t="s">
        <v>41</v>
      </c>
      <c r="F520" s="5" t="n">
        <v>972</v>
      </c>
      <c r="G520" s="20" t="n">
        <v>3875912</v>
      </c>
      <c r="H520" s="20" t="n">
        <v>697664</v>
      </c>
      <c r="I520" s="5" t="s">
        <v>1357</v>
      </c>
      <c r="J520" s="5" t="s">
        <v>353</v>
      </c>
      <c r="K520" s="5" t="s">
        <v>406</v>
      </c>
    </row>
    <row r="521" customFormat="false" ht="15" hidden="false" customHeight="false" outlineLevel="0" collapsed="false">
      <c r="A521" s="5" t="s">
        <v>1358</v>
      </c>
      <c r="B521" s="26" t="n">
        <v>46165</v>
      </c>
      <c r="C521" s="5" t="s">
        <v>339</v>
      </c>
      <c r="D521" s="5" t="s">
        <v>390</v>
      </c>
      <c r="E521" s="5" t="s">
        <v>82</v>
      </c>
      <c r="F521" s="5" t="n">
        <v>435</v>
      </c>
      <c r="G521" s="5" t="s">
        <v>1359</v>
      </c>
      <c r="H521" s="20" t="n">
        <v>472467</v>
      </c>
      <c r="I521" s="20" t="n">
        <v>3097284</v>
      </c>
      <c r="J521" s="5" t="s">
        <v>342</v>
      </c>
      <c r="K521" s="5" t="s">
        <v>384</v>
      </c>
    </row>
    <row r="522" customFormat="false" ht="15" hidden="false" customHeight="false" outlineLevel="0" collapsed="false">
      <c r="A522" s="5" t="s">
        <v>1360</v>
      </c>
      <c r="B522" s="5" t="s">
        <v>1361</v>
      </c>
      <c r="C522" s="5" t="s">
        <v>698</v>
      </c>
      <c r="D522" s="5" t="s">
        <v>374</v>
      </c>
      <c r="E522" s="5" t="s">
        <v>38</v>
      </c>
      <c r="F522" s="5" t="n">
        <v>1611</v>
      </c>
      <c r="G522" s="20" t="n">
        <v>3017270</v>
      </c>
      <c r="H522" s="20" t="n">
        <v>543109</v>
      </c>
      <c r="I522" s="5" t="s">
        <v>1362</v>
      </c>
      <c r="J522" s="5" t="s">
        <v>335</v>
      </c>
      <c r="K522" s="5" t="s">
        <v>363</v>
      </c>
    </row>
    <row r="523" customFormat="false" ht="15" hidden="false" customHeight="false" outlineLevel="0" collapsed="false">
      <c r="A523" s="5" t="s">
        <v>1363</v>
      </c>
      <c r="B523" s="26" t="n">
        <v>46166</v>
      </c>
      <c r="C523" s="5" t="s">
        <v>439</v>
      </c>
      <c r="D523" s="5" t="s">
        <v>524</v>
      </c>
      <c r="E523" s="5" t="s">
        <v>429</v>
      </c>
      <c r="F523" s="5" t="n">
        <v>1199</v>
      </c>
      <c r="G523" s="20" t="n">
        <v>7710773</v>
      </c>
      <c r="H523" s="5" t="s">
        <v>277</v>
      </c>
      <c r="I523" s="20" t="n">
        <v>7710773</v>
      </c>
      <c r="J523" s="5" t="s">
        <v>356</v>
      </c>
      <c r="K523" s="5" t="s">
        <v>396</v>
      </c>
    </row>
    <row r="524" customFormat="false" ht="15" hidden="false" customHeight="false" outlineLevel="0" collapsed="false">
      <c r="A524" s="5" t="s">
        <v>1364</v>
      </c>
      <c r="B524" s="5" t="s">
        <v>1365</v>
      </c>
      <c r="C524" s="5" t="s">
        <v>378</v>
      </c>
      <c r="D524" s="5" t="s">
        <v>374</v>
      </c>
      <c r="E524" s="5" t="s">
        <v>38</v>
      </c>
      <c r="F524" s="5" t="n">
        <v>2340</v>
      </c>
      <c r="G524" s="20" t="n">
        <v>4321500</v>
      </c>
      <c r="H524" s="20" t="n">
        <v>777870</v>
      </c>
      <c r="I524" s="5" t="s">
        <v>1366</v>
      </c>
      <c r="J524" s="5" t="s">
        <v>403</v>
      </c>
      <c r="K524" s="5" t="s">
        <v>406</v>
      </c>
    </row>
    <row r="525" customFormat="false" ht="15" hidden="false" customHeight="false" outlineLevel="0" collapsed="false">
      <c r="A525" s="5" t="s">
        <v>1367</v>
      </c>
      <c r="B525" s="26" t="n">
        <v>46167</v>
      </c>
      <c r="C525" s="5" t="s">
        <v>345</v>
      </c>
      <c r="D525" s="5" t="s">
        <v>334</v>
      </c>
      <c r="E525" s="5" t="s">
        <v>359</v>
      </c>
      <c r="F525" s="5" t="n">
        <v>1303</v>
      </c>
      <c r="G525" s="5" t="s">
        <v>452</v>
      </c>
      <c r="H525" s="5" t="s">
        <v>412</v>
      </c>
      <c r="I525" s="20" t="n">
        <v>2950000</v>
      </c>
      <c r="J525" s="5" t="s">
        <v>403</v>
      </c>
      <c r="K525" s="5" t="s">
        <v>384</v>
      </c>
    </row>
    <row r="526" customFormat="false" ht="15" hidden="false" customHeight="false" outlineLevel="0" collapsed="false">
      <c r="A526" s="5" t="s">
        <v>1368</v>
      </c>
      <c r="B526" s="5" t="s">
        <v>1369</v>
      </c>
      <c r="C526" s="5" t="s">
        <v>455</v>
      </c>
      <c r="D526" s="5" t="s">
        <v>480</v>
      </c>
      <c r="E526" s="5" t="s">
        <v>351</v>
      </c>
      <c r="F526" s="5" t="n">
        <v>272</v>
      </c>
      <c r="G526" s="20" t="n">
        <v>6078313</v>
      </c>
      <c r="H526" s="20" t="n">
        <v>1094096</v>
      </c>
      <c r="I526" s="20" t="n">
        <v>7172409</v>
      </c>
      <c r="J526" s="5" t="s">
        <v>335</v>
      </c>
      <c r="K526" s="5" t="s">
        <v>347</v>
      </c>
    </row>
    <row r="527" customFormat="false" ht="15" hidden="false" customHeight="false" outlineLevel="0" collapsed="false">
      <c r="A527" s="5" t="s">
        <v>1370</v>
      </c>
      <c r="B527" s="5" t="s">
        <v>1371</v>
      </c>
      <c r="C527" s="5" t="s">
        <v>400</v>
      </c>
      <c r="D527" s="5" t="s">
        <v>374</v>
      </c>
      <c r="E527" s="5" t="s">
        <v>359</v>
      </c>
      <c r="F527" s="5" t="n">
        <v>1230</v>
      </c>
      <c r="G527" s="20" t="n">
        <v>2500000</v>
      </c>
      <c r="H527" s="20" t="n">
        <v>450000</v>
      </c>
      <c r="I527" s="20" t="n">
        <v>2950000</v>
      </c>
      <c r="J527" s="5" t="s">
        <v>342</v>
      </c>
      <c r="K527" s="5" t="s">
        <v>384</v>
      </c>
    </row>
    <row r="528" customFormat="false" ht="15" hidden="false" customHeight="false" outlineLevel="0" collapsed="false">
      <c r="A528" s="5" t="s">
        <v>1372</v>
      </c>
      <c r="B528" s="26" t="n">
        <v>46171</v>
      </c>
      <c r="C528" s="5" t="s">
        <v>373</v>
      </c>
      <c r="D528" s="5" t="s">
        <v>374</v>
      </c>
      <c r="E528" s="5" t="s">
        <v>80</v>
      </c>
      <c r="F528" s="5" t="n">
        <v>175</v>
      </c>
      <c r="G528" s="20" t="n">
        <v>3943023</v>
      </c>
      <c r="H528" s="5" t="s">
        <v>1373</v>
      </c>
      <c r="I528" s="5" t="s">
        <v>1374</v>
      </c>
      <c r="J528" s="5" t="s">
        <v>346</v>
      </c>
      <c r="K528" s="5" t="s">
        <v>384</v>
      </c>
    </row>
    <row r="529" customFormat="false" ht="15" hidden="false" customHeight="false" outlineLevel="0" collapsed="false">
      <c r="A529" s="5" t="s">
        <v>1375</v>
      </c>
      <c r="B529" s="26" t="n">
        <v>46172</v>
      </c>
      <c r="C529" s="5" t="s">
        <v>358</v>
      </c>
      <c r="D529" s="5" t="s">
        <v>480</v>
      </c>
      <c r="E529" s="5" t="s">
        <v>41</v>
      </c>
      <c r="F529" s="5" t="n">
        <v>2374</v>
      </c>
      <c r="G529" s="20" t="n">
        <v>8703967</v>
      </c>
      <c r="H529" s="20" t="n">
        <v>1566714</v>
      </c>
      <c r="I529" s="20" t="n">
        <v>10270681</v>
      </c>
      <c r="J529" s="5" t="s">
        <v>383</v>
      </c>
      <c r="K529" s="5" t="s">
        <v>343</v>
      </c>
    </row>
    <row r="530" customFormat="false" ht="15" hidden="false" customHeight="false" outlineLevel="0" collapsed="false">
      <c r="A530" s="5" t="s">
        <v>1376</v>
      </c>
      <c r="B530" s="26" t="n">
        <v>46173</v>
      </c>
      <c r="C530" s="5" t="s">
        <v>451</v>
      </c>
      <c r="D530" s="5" t="s">
        <v>366</v>
      </c>
      <c r="E530" s="5" t="s">
        <v>38</v>
      </c>
      <c r="F530" s="5" t="n">
        <v>2893</v>
      </c>
      <c r="G530" s="5" t="s">
        <v>1377</v>
      </c>
      <c r="H530" s="5" t="s">
        <v>440</v>
      </c>
      <c r="I530" s="20" t="n">
        <v>5032469</v>
      </c>
      <c r="J530" s="5" t="s">
        <v>346</v>
      </c>
      <c r="K530" s="5" t="s">
        <v>343</v>
      </c>
    </row>
    <row r="531" customFormat="false" ht="15" hidden="false" customHeight="false" outlineLevel="0" collapsed="false">
      <c r="A531" s="5" t="s">
        <v>1378</v>
      </c>
      <c r="B531" s="26" t="n">
        <v>46173</v>
      </c>
      <c r="C531" s="5" t="s">
        <v>415</v>
      </c>
      <c r="D531" s="5" t="s">
        <v>398</v>
      </c>
      <c r="E531" s="5" t="s">
        <v>41</v>
      </c>
      <c r="F531" s="5" t="n">
        <v>1412</v>
      </c>
      <c r="G531" s="20" t="n">
        <v>6003058</v>
      </c>
      <c r="H531" s="20" t="n">
        <v>0</v>
      </c>
      <c r="I531" s="20" t="n">
        <v>6003058</v>
      </c>
      <c r="J531" s="5" t="s">
        <v>346</v>
      </c>
      <c r="K531" s="5" t="s">
        <v>363</v>
      </c>
    </row>
    <row r="532" customFormat="false" ht="15" hidden="false" customHeight="false" outlineLevel="0" collapsed="false">
      <c r="A532" s="5" t="s">
        <v>1379</v>
      </c>
      <c r="B532" s="26" t="n">
        <v>46174</v>
      </c>
      <c r="C532" s="5" t="s">
        <v>1380</v>
      </c>
      <c r="D532" s="5" t="s">
        <v>334</v>
      </c>
      <c r="E532" s="5" t="s">
        <v>80</v>
      </c>
      <c r="F532" s="5" t="n">
        <v>104</v>
      </c>
      <c r="G532" s="20" t="n">
        <v>2500000</v>
      </c>
      <c r="H532" s="20" t="n">
        <v>450000</v>
      </c>
      <c r="I532" s="20" t="n">
        <v>2950000</v>
      </c>
      <c r="J532" s="5" t="s">
        <v>356</v>
      </c>
      <c r="K532" s="5" t="s">
        <v>363</v>
      </c>
    </row>
    <row r="533" customFormat="false" ht="15" hidden="false" customHeight="false" outlineLevel="0" collapsed="false">
      <c r="A533" s="5" t="s">
        <v>1381</v>
      </c>
      <c r="B533" s="5" t="s">
        <v>1382</v>
      </c>
      <c r="C533" s="5" t="s">
        <v>1383</v>
      </c>
      <c r="D533" s="5" t="s">
        <v>350</v>
      </c>
      <c r="E533" s="5" t="s">
        <v>39</v>
      </c>
      <c r="F533" s="5" t="n">
        <v>353</v>
      </c>
      <c r="G533" s="20" t="n">
        <v>8816132</v>
      </c>
      <c r="H533" s="20" t="n">
        <v>1586904</v>
      </c>
      <c r="I533" s="20" t="n">
        <v>10403036</v>
      </c>
      <c r="J533" s="5" t="s">
        <v>335</v>
      </c>
      <c r="K533" s="5" t="s">
        <v>343</v>
      </c>
    </row>
    <row r="534" customFormat="false" ht="15" hidden="false" customHeight="false" outlineLevel="0" collapsed="false">
      <c r="A534" s="5" t="s">
        <v>1384</v>
      </c>
      <c r="B534" s="26" t="n">
        <v>46175</v>
      </c>
      <c r="C534" s="5" t="s">
        <v>431</v>
      </c>
      <c r="D534" s="5" t="s">
        <v>334</v>
      </c>
      <c r="E534" s="5" t="s">
        <v>38</v>
      </c>
      <c r="F534" s="5" t="n">
        <v>1398</v>
      </c>
      <c r="G534" s="20" t="n">
        <v>2793189</v>
      </c>
      <c r="H534" s="20" t="n">
        <v>502774</v>
      </c>
      <c r="I534" s="20" t="n">
        <v>3295963</v>
      </c>
      <c r="J534" s="5" t="s">
        <v>403</v>
      </c>
      <c r="K534" s="5" t="s">
        <v>406</v>
      </c>
    </row>
    <row r="535" customFormat="false" ht="15" hidden="false" customHeight="false" outlineLevel="0" collapsed="false">
      <c r="A535" s="5" t="s">
        <v>1385</v>
      </c>
      <c r="B535" s="5" t="s">
        <v>1386</v>
      </c>
      <c r="C535" s="5" t="s">
        <v>415</v>
      </c>
      <c r="D535" s="5" t="s">
        <v>366</v>
      </c>
      <c r="E535" s="5" t="s">
        <v>41</v>
      </c>
      <c r="F535" s="5" t="n">
        <v>1670</v>
      </c>
      <c r="G535" s="20" t="n">
        <v>5970041</v>
      </c>
      <c r="H535" s="5" t="s">
        <v>440</v>
      </c>
      <c r="I535" s="5" t="s">
        <v>1387</v>
      </c>
      <c r="J535" s="5" t="s">
        <v>346</v>
      </c>
      <c r="K535" s="5" t="s">
        <v>363</v>
      </c>
    </row>
    <row r="536" customFormat="false" ht="15" hidden="false" customHeight="false" outlineLevel="0" collapsed="false">
      <c r="A536" s="5" t="s">
        <v>1388</v>
      </c>
      <c r="B536" s="26" t="n">
        <v>46179</v>
      </c>
      <c r="C536" s="5" t="s">
        <v>495</v>
      </c>
      <c r="D536" s="5" t="s">
        <v>390</v>
      </c>
      <c r="E536" s="5" t="s">
        <v>38</v>
      </c>
      <c r="F536" s="5" t="n">
        <v>11486</v>
      </c>
      <c r="G536" s="20" t="n">
        <v>19530349</v>
      </c>
      <c r="H536" s="20" t="n">
        <v>3515463</v>
      </c>
      <c r="I536" s="20" t="n">
        <v>23045812</v>
      </c>
      <c r="J536" s="5" t="s">
        <v>353</v>
      </c>
      <c r="K536" s="5" t="s">
        <v>406</v>
      </c>
    </row>
    <row r="537" customFormat="false" ht="15" hidden="false" customHeight="false" outlineLevel="0" collapsed="false">
      <c r="A537" s="5" t="s">
        <v>1389</v>
      </c>
      <c r="B537" s="5" t="s">
        <v>1390</v>
      </c>
      <c r="C537" s="5" t="s">
        <v>400</v>
      </c>
      <c r="D537" s="5" t="s">
        <v>374</v>
      </c>
      <c r="E537" s="5" t="s">
        <v>355</v>
      </c>
      <c r="F537" s="5" t="n">
        <v>797</v>
      </c>
      <c r="G537" s="20" t="n">
        <v>3045337</v>
      </c>
      <c r="H537" s="5" t="s">
        <v>1391</v>
      </c>
      <c r="I537" s="5" t="s">
        <v>1392</v>
      </c>
      <c r="J537" s="5" t="s">
        <v>356</v>
      </c>
      <c r="K537" s="5" t="s">
        <v>406</v>
      </c>
    </row>
    <row r="538" customFormat="false" ht="15" hidden="false" customHeight="false" outlineLevel="0" collapsed="false">
      <c r="A538" s="5" t="s">
        <v>1393</v>
      </c>
      <c r="B538" s="26" t="n">
        <v>46181</v>
      </c>
      <c r="C538" s="5" t="s">
        <v>345</v>
      </c>
      <c r="D538" s="5" t="s">
        <v>334</v>
      </c>
      <c r="E538" s="5" t="s">
        <v>81</v>
      </c>
      <c r="F538" s="5" t="n">
        <v>751</v>
      </c>
      <c r="G538" s="20" t="n">
        <v>2854722</v>
      </c>
      <c r="H538" s="20" t="n">
        <v>513850</v>
      </c>
      <c r="I538" s="20" t="n">
        <v>3368572</v>
      </c>
      <c r="J538" s="5" t="s">
        <v>356</v>
      </c>
      <c r="K538" s="5" t="s">
        <v>384</v>
      </c>
    </row>
    <row r="539" customFormat="false" ht="15" hidden="false" customHeight="false" outlineLevel="0" collapsed="false">
      <c r="A539" s="5" t="s">
        <v>1394</v>
      </c>
      <c r="B539" s="26" t="n">
        <v>46181</v>
      </c>
      <c r="C539" s="5" t="s">
        <v>449</v>
      </c>
      <c r="D539" s="5" t="s">
        <v>366</v>
      </c>
      <c r="E539" s="5" t="s">
        <v>41</v>
      </c>
      <c r="F539" s="5" t="n">
        <v>702</v>
      </c>
      <c r="G539" s="5" t="s">
        <v>1395</v>
      </c>
      <c r="H539" s="20" t="n">
        <v>0</v>
      </c>
      <c r="I539" s="20" t="n">
        <v>2932681</v>
      </c>
      <c r="J539" s="5" t="s">
        <v>342</v>
      </c>
      <c r="K539" s="5" t="s">
        <v>406</v>
      </c>
    </row>
    <row r="540" customFormat="false" ht="15" hidden="false" customHeight="false" outlineLevel="0" collapsed="false">
      <c r="A540" s="5" t="s">
        <v>1396</v>
      </c>
      <c r="B540" s="5" t="s">
        <v>1397</v>
      </c>
      <c r="C540" s="5" t="s">
        <v>358</v>
      </c>
      <c r="D540" s="5" t="s">
        <v>390</v>
      </c>
      <c r="E540" s="5" t="s">
        <v>41</v>
      </c>
      <c r="F540" s="5" t="n">
        <v>1886</v>
      </c>
      <c r="G540" s="20" t="n">
        <v>6770732</v>
      </c>
      <c r="H540" s="20" t="n">
        <v>1218732</v>
      </c>
      <c r="I540" s="20" t="n">
        <v>7989464</v>
      </c>
      <c r="J540" s="5" t="s">
        <v>346</v>
      </c>
      <c r="K540" s="5" t="s">
        <v>368</v>
      </c>
    </row>
    <row r="541" customFormat="false" ht="15" hidden="false" customHeight="false" outlineLevel="0" collapsed="false">
      <c r="A541" s="5" t="s">
        <v>1398</v>
      </c>
      <c r="B541" s="5" t="s">
        <v>1399</v>
      </c>
      <c r="C541" s="5" t="s">
        <v>824</v>
      </c>
      <c r="D541" s="5" t="s">
        <v>374</v>
      </c>
      <c r="E541" s="5" t="s">
        <v>39</v>
      </c>
      <c r="F541" s="5" t="n">
        <v>102</v>
      </c>
      <c r="G541" s="20" t="n">
        <v>2500000</v>
      </c>
      <c r="H541" s="20" t="n">
        <v>450000</v>
      </c>
      <c r="I541" s="20" t="n">
        <v>2950000</v>
      </c>
      <c r="J541" s="5" t="s">
        <v>335</v>
      </c>
      <c r="K541" s="5" t="s">
        <v>406</v>
      </c>
    </row>
    <row r="542" customFormat="false" ht="15" hidden="false" customHeight="false" outlineLevel="0" collapsed="false">
      <c r="A542" s="5" t="s">
        <v>1400</v>
      </c>
      <c r="B542" s="26" t="n">
        <v>46183</v>
      </c>
      <c r="C542" s="5" t="s">
        <v>604</v>
      </c>
      <c r="D542" s="5" t="s">
        <v>374</v>
      </c>
      <c r="E542" s="5" t="s">
        <v>39</v>
      </c>
      <c r="F542" s="5" t="n">
        <v>96</v>
      </c>
      <c r="G542" s="20" t="n">
        <v>2500000</v>
      </c>
      <c r="H542" s="20" t="n">
        <v>450000</v>
      </c>
      <c r="I542" s="20" t="n">
        <v>2950000</v>
      </c>
      <c r="J542" s="5" t="s">
        <v>353</v>
      </c>
      <c r="K542" s="5" t="s">
        <v>347</v>
      </c>
    </row>
    <row r="543" customFormat="false" ht="15" hidden="false" customHeight="false" outlineLevel="0" collapsed="false">
      <c r="A543" s="5" t="s">
        <v>1401</v>
      </c>
      <c r="B543" s="5" t="s">
        <v>1402</v>
      </c>
      <c r="C543" s="5" t="s">
        <v>431</v>
      </c>
      <c r="D543" s="5" t="s">
        <v>334</v>
      </c>
      <c r="E543" s="5" t="s">
        <v>38</v>
      </c>
      <c r="F543" s="5" t="n">
        <v>1263</v>
      </c>
      <c r="G543" s="20" t="n">
        <v>2542227</v>
      </c>
      <c r="H543" s="20" t="n">
        <v>457601</v>
      </c>
      <c r="I543" s="20" t="n">
        <v>2999828</v>
      </c>
      <c r="J543" s="5" t="s">
        <v>353</v>
      </c>
      <c r="K543" s="5" t="s">
        <v>347</v>
      </c>
      <c r="L543" s="5" t="s">
        <v>537</v>
      </c>
    </row>
    <row r="544" customFormat="false" ht="15" hidden="false" customHeight="false" outlineLevel="0" collapsed="false">
      <c r="A544" s="5" t="s">
        <v>1403</v>
      </c>
      <c r="B544" s="26" t="n">
        <v>46183</v>
      </c>
      <c r="C544" s="5" t="s">
        <v>345</v>
      </c>
      <c r="D544" s="5" t="s">
        <v>334</v>
      </c>
      <c r="E544" s="5" t="s">
        <v>38</v>
      </c>
      <c r="F544" s="5" t="n">
        <v>2810</v>
      </c>
      <c r="G544" s="20" t="n">
        <v>5235537</v>
      </c>
      <c r="H544" s="20" t="n">
        <v>942397</v>
      </c>
      <c r="I544" s="20" t="n">
        <v>6177934</v>
      </c>
      <c r="J544" s="5" t="s">
        <v>383</v>
      </c>
      <c r="K544" s="5" t="s">
        <v>406</v>
      </c>
    </row>
    <row r="545" customFormat="false" ht="15" hidden="false" customHeight="false" outlineLevel="0" collapsed="false">
      <c r="A545" s="5" t="s">
        <v>1404</v>
      </c>
      <c r="B545" s="26" t="n">
        <v>46185</v>
      </c>
      <c r="C545" s="5" t="s">
        <v>451</v>
      </c>
      <c r="D545" s="5" t="s">
        <v>366</v>
      </c>
      <c r="E545" s="5" t="s">
        <v>41</v>
      </c>
      <c r="F545" s="5" t="n">
        <v>1425</v>
      </c>
      <c r="G545" s="20" t="n">
        <v>5971497</v>
      </c>
      <c r="H545" s="20" t="n">
        <v>0</v>
      </c>
      <c r="I545" s="20" t="n">
        <v>5971497</v>
      </c>
      <c r="J545" s="5" t="s">
        <v>335</v>
      </c>
      <c r="K545" s="5" t="s">
        <v>368</v>
      </c>
    </row>
    <row r="546" customFormat="false" ht="15" hidden="false" customHeight="false" outlineLevel="0" collapsed="false">
      <c r="A546" s="5" t="s">
        <v>1405</v>
      </c>
      <c r="B546" s="5" t="s">
        <v>1406</v>
      </c>
      <c r="C546" s="5" t="s">
        <v>451</v>
      </c>
      <c r="D546" s="5" t="s">
        <v>366</v>
      </c>
      <c r="E546" s="5" t="s">
        <v>81</v>
      </c>
      <c r="F546" s="5" t="n">
        <v>947</v>
      </c>
      <c r="G546" s="20" t="n">
        <v>3469789</v>
      </c>
      <c r="H546" s="20" t="n">
        <v>0</v>
      </c>
      <c r="I546" s="20" t="n">
        <v>3469789</v>
      </c>
      <c r="J546" s="5" t="s">
        <v>353</v>
      </c>
      <c r="K546" s="5" t="s">
        <v>347</v>
      </c>
    </row>
    <row r="547" customFormat="false" ht="15" hidden="false" customHeight="false" outlineLevel="0" collapsed="false">
      <c r="A547" s="5" t="s">
        <v>1407</v>
      </c>
      <c r="B547" s="26" t="n">
        <v>46187</v>
      </c>
      <c r="C547" s="5" t="s">
        <v>701</v>
      </c>
      <c r="D547" s="5" t="s">
        <v>390</v>
      </c>
      <c r="E547" s="5" t="s">
        <v>355</v>
      </c>
      <c r="F547" s="5" t="n">
        <v>3742</v>
      </c>
      <c r="G547" s="20" t="n">
        <v>13307294</v>
      </c>
      <c r="H547" s="5" t="s">
        <v>1408</v>
      </c>
      <c r="I547" s="20" t="n">
        <v>15702607</v>
      </c>
      <c r="J547" s="5" t="s">
        <v>403</v>
      </c>
      <c r="K547" s="5" t="s">
        <v>406</v>
      </c>
    </row>
    <row r="548" customFormat="false" ht="15" hidden="false" customHeight="false" outlineLevel="0" collapsed="false">
      <c r="A548" s="5" t="s">
        <v>1409</v>
      </c>
      <c r="B548" s="26" t="n">
        <v>46187</v>
      </c>
      <c r="C548" s="5" t="s">
        <v>345</v>
      </c>
      <c r="D548" s="5" t="s">
        <v>334</v>
      </c>
      <c r="E548" s="5" t="s">
        <v>38</v>
      </c>
      <c r="F548" s="5" t="n">
        <v>6345</v>
      </c>
      <c r="G548" s="20" t="n">
        <v>12589788</v>
      </c>
      <c r="H548" s="20" t="n">
        <v>2266162</v>
      </c>
      <c r="I548" s="20" t="n">
        <v>14855950</v>
      </c>
      <c r="J548" s="5" t="s">
        <v>342</v>
      </c>
      <c r="K548" s="5" t="s">
        <v>363</v>
      </c>
      <c r="L548" s="5" t="s">
        <v>535</v>
      </c>
    </row>
    <row r="549" customFormat="false" ht="15" hidden="false" customHeight="false" outlineLevel="0" collapsed="false">
      <c r="A549" s="5" t="s">
        <v>1410</v>
      </c>
      <c r="B549" s="26" t="n">
        <v>46190</v>
      </c>
      <c r="C549" s="5" t="s">
        <v>358</v>
      </c>
      <c r="D549" s="5" t="s">
        <v>390</v>
      </c>
      <c r="E549" s="5" t="s">
        <v>38</v>
      </c>
      <c r="F549" s="5" t="n">
        <v>1341</v>
      </c>
      <c r="G549" s="5" t="s">
        <v>452</v>
      </c>
      <c r="H549" s="5" t="s">
        <v>412</v>
      </c>
      <c r="I549" s="20" t="n">
        <v>2950000</v>
      </c>
      <c r="J549" s="5" t="s">
        <v>342</v>
      </c>
      <c r="K549" s="5" t="s">
        <v>336</v>
      </c>
    </row>
    <row r="550" customFormat="false" ht="15" hidden="false" customHeight="false" outlineLevel="0" collapsed="false">
      <c r="A550" s="5" t="s">
        <v>1411</v>
      </c>
      <c r="B550" s="26" t="n">
        <v>46192</v>
      </c>
      <c r="C550" s="5" t="s">
        <v>345</v>
      </c>
      <c r="D550" s="5" t="s">
        <v>334</v>
      </c>
      <c r="E550" s="5" t="s">
        <v>355</v>
      </c>
      <c r="F550" s="5" t="n">
        <v>1067</v>
      </c>
      <c r="G550" s="20" t="n">
        <v>4193848</v>
      </c>
      <c r="H550" s="20" t="n">
        <v>754893</v>
      </c>
      <c r="I550" s="20" t="n">
        <v>4948741</v>
      </c>
      <c r="J550" s="5" t="s">
        <v>346</v>
      </c>
      <c r="K550" s="5" t="s">
        <v>406</v>
      </c>
    </row>
    <row r="551" customFormat="false" ht="15" hidden="false" customHeight="false" outlineLevel="0" collapsed="false">
      <c r="A551" s="5" t="s">
        <v>1412</v>
      </c>
      <c r="B551" s="26" t="n">
        <v>46192</v>
      </c>
      <c r="C551" s="5" t="s">
        <v>415</v>
      </c>
      <c r="D551" s="5" t="s">
        <v>366</v>
      </c>
      <c r="E551" s="5" t="s">
        <v>355</v>
      </c>
      <c r="F551" s="5" t="n">
        <v>897</v>
      </c>
      <c r="G551" s="20" t="n">
        <v>3181103</v>
      </c>
      <c r="H551" s="20" t="n">
        <v>0</v>
      </c>
      <c r="I551" s="20" t="n">
        <v>3181103</v>
      </c>
      <c r="J551" s="5" t="s">
        <v>353</v>
      </c>
      <c r="K551" s="5" t="s">
        <v>347</v>
      </c>
    </row>
    <row r="552" customFormat="false" ht="15" hidden="false" customHeight="false" outlineLevel="0" collapsed="false">
      <c r="A552" s="5" t="s">
        <v>1413</v>
      </c>
      <c r="B552" s="26" t="n">
        <v>46193</v>
      </c>
      <c r="C552" s="5" t="s">
        <v>507</v>
      </c>
      <c r="D552" s="5" t="s">
        <v>350</v>
      </c>
      <c r="E552" s="5" t="s">
        <v>351</v>
      </c>
      <c r="F552" s="5" t="n">
        <v>124</v>
      </c>
      <c r="G552" s="20" t="n">
        <v>3119923</v>
      </c>
      <c r="H552" s="20" t="n">
        <v>561586</v>
      </c>
      <c r="I552" s="20" t="n">
        <v>3681509</v>
      </c>
      <c r="J552" s="5" t="s">
        <v>383</v>
      </c>
      <c r="K552" s="5" t="s">
        <v>406</v>
      </c>
    </row>
    <row r="553" customFormat="false" ht="15" hidden="false" customHeight="false" outlineLevel="0" collapsed="false">
      <c r="A553" s="5" t="s">
        <v>1414</v>
      </c>
      <c r="B553" s="5" t="s">
        <v>1415</v>
      </c>
      <c r="D553" s="5" t="s">
        <v>480</v>
      </c>
      <c r="E553" s="5" t="s">
        <v>41</v>
      </c>
      <c r="F553" s="5" t="n">
        <v>699</v>
      </c>
      <c r="G553" s="20" t="n">
        <v>2500000</v>
      </c>
      <c r="H553" s="20" t="n">
        <v>450000</v>
      </c>
      <c r="I553" s="20" t="n">
        <v>2950000</v>
      </c>
      <c r="J553" s="5" t="s">
        <v>383</v>
      </c>
      <c r="K553" s="5" t="s">
        <v>343</v>
      </c>
    </row>
    <row r="554" customFormat="false" ht="15" hidden="false" customHeight="false" outlineLevel="0" collapsed="false">
      <c r="A554" s="5" t="s">
        <v>1416</v>
      </c>
      <c r="B554" s="26" t="n">
        <v>46194</v>
      </c>
      <c r="C554" s="5" t="s">
        <v>389</v>
      </c>
      <c r="D554" s="5" t="s">
        <v>390</v>
      </c>
      <c r="E554" s="5" t="s">
        <v>359</v>
      </c>
      <c r="F554" s="5" t="n">
        <v>2921</v>
      </c>
      <c r="G554" s="20" t="n">
        <v>5125921</v>
      </c>
      <c r="H554" s="20" t="n">
        <v>922666</v>
      </c>
      <c r="I554" s="20" t="n">
        <v>6048587</v>
      </c>
      <c r="J554" s="5" t="s">
        <v>342</v>
      </c>
      <c r="K554" s="5" t="s">
        <v>406</v>
      </c>
    </row>
    <row r="555" customFormat="false" ht="15" hidden="false" customHeight="false" outlineLevel="0" collapsed="false">
      <c r="A555" s="5" t="s">
        <v>1417</v>
      </c>
      <c r="B555" s="26" t="n">
        <v>46195</v>
      </c>
      <c r="C555" s="5" t="s">
        <v>492</v>
      </c>
      <c r="D555" s="5" t="s">
        <v>350</v>
      </c>
      <c r="E555" s="5" t="s">
        <v>39</v>
      </c>
      <c r="F555" s="5" t="n">
        <v>102</v>
      </c>
      <c r="G555" s="20" t="n">
        <v>2500000</v>
      </c>
      <c r="H555" s="20" t="n">
        <v>450000</v>
      </c>
      <c r="I555" s="20" t="n">
        <v>2950000</v>
      </c>
      <c r="J555" s="5" t="s">
        <v>403</v>
      </c>
      <c r="K555" s="5" t="s">
        <v>363</v>
      </c>
    </row>
    <row r="556" customFormat="false" ht="15" hidden="false" customHeight="false" outlineLevel="0" collapsed="false">
      <c r="A556" s="5" t="s">
        <v>1418</v>
      </c>
      <c r="B556" s="26" t="n">
        <v>46195</v>
      </c>
      <c r="C556" s="5" t="s">
        <v>415</v>
      </c>
      <c r="D556" s="5" t="s">
        <v>366</v>
      </c>
      <c r="E556" s="5" t="s">
        <v>81</v>
      </c>
      <c r="F556" s="5" t="n">
        <v>4485</v>
      </c>
      <c r="G556" s="20" t="n">
        <v>17247310</v>
      </c>
      <c r="H556" s="20" t="n">
        <v>0</v>
      </c>
      <c r="I556" s="20" t="n">
        <v>17247310</v>
      </c>
      <c r="J556" s="5" t="s">
        <v>356</v>
      </c>
      <c r="K556" s="5" t="s">
        <v>347</v>
      </c>
    </row>
    <row r="557" customFormat="false" ht="15" hidden="false" customHeight="false" outlineLevel="0" collapsed="false">
      <c r="A557" s="5" t="s">
        <v>1419</v>
      </c>
      <c r="B557" s="5" t="s">
        <v>1420</v>
      </c>
      <c r="C557" s="5" t="s">
        <v>389</v>
      </c>
      <c r="D557" s="5" t="s">
        <v>390</v>
      </c>
      <c r="E557" s="5" t="s">
        <v>38</v>
      </c>
      <c r="F557" s="5" t="n">
        <v>7634</v>
      </c>
      <c r="G557" s="20" t="n">
        <v>13836024</v>
      </c>
      <c r="H557" s="20" t="n">
        <v>2490484</v>
      </c>
      <c r="I557" s="20" t="n">
        <v>16326508</v>
      </c>
      <c r="J557" s="5" t="s">
        <v>383</v>
      </c>
      <c r="K557" s="5" t="s">
        <v>384</v>
      </c>
    </row>
    <row r="558" customFormat="false" ht="15" hidden="false" customHeight="false" outlineLevel="0" collapsed="false">
      <c r="A558" s="5" t="s">
        <v>1421</v>
      </c>
      <c r="B558" s="5" t="s">
        <v>1422</v>
      </c>
      <c r="C558" s="5" t="s">
        <v>373</v>
      </c>
      <c r="D558" s="5" t="s">
        <v>374</v>
      </c>
      <c r="E558" s="5" t="s">
        <v>39</v>
      </c>
      <c r="F558" s="5" t="n">
        <v>117</v>
      </c>
      <c r="G558" s="20" t="n">
        <v>2864662</v>
      </c>
      <c r="H558" s="5" t="s">
        <v>1423</v>
      </c>
      <c r="I558" s="20" t="n">
        <v>3380301</v>
      </c>
      <c r="J558" s="5" t="s">
        <v>342</v>
      </c>
      <c r="K558" s="5" t="s">
        <v>347</v>
      </c>
    </row>
    <row r="559" customFormat="false" ht="15" hidden="false" customHeight="false" outlineLevel="0" collapsed="false">
      <c r="A559" s="5" t="s">
        <v>1424</v>
      </c>
      <c r="B559" s="5" t="s">
        <v>1422</v>
      </c>
      <c r="C559" s="5" t="s">
        <v>365</v>
      </c>
      <c r="D559" s="5" t="s">
        <v>366</v>
      </c>
      <c r="E559" s="5" t="s">
        <v>351</v>
      </c>
      <c r="F559" s="5" t="n">
        <v>181</v>
      </c>
      <c r="G559" s="20" t="n">
        <v>4251825</v>
      </c>
      <c r="H559" s="20" t="n">
        <v>0</v>
      </c>
      <c r="I559" s="20" t="n">
        <v>4251825</v>
      </c>
      <c r="J559" s="5" t="s">
        <v>335</v>
      </c>
      <c r="K559" s="5" t="s">
        <v>347</v>
      </c>
    </row>
    <row r="560" customFormat="false" ht="15" hidden="false" customHeight="false" outlineLevel="0" collapsed="false">
      <c r="A560" s="5" t="s">
        <v>1425</v>
      </c>
      <c r="B560" s="26" t="n">
        <v>46200</v>
      </c>
      <c r="C560" s="5" t="s">
        <v>431</v>
      </c>
      <c r="D560" s="5" t="s">
        <v>334</v>
      </c>
      <c r="E560" s="5" t="s">
        <v>79</v>
      </c>
      <c r="F560" s="5" t="n">
        <v>1465</v>
      </c>
      <c r="G560" s="20" t="n">
        <v>2636507</v>
      </c>
      <c r="H560" s="20" t="n">
        <v>474571</v>
      </c>
      <c r="I560" s="20" t="n">
        <v>3111078</v>
      </c>
      <c r="J560" s="5" t="s">
        <v>383</v>
      </c>
      <c r="K560" s="5" t="s">
        <v>336</v>
      </c>
      <c r="L560" s="5" t="s">
        <v>535</v>
      </c>
    </row>
    <row r="561" customFormat="false" ht="15" hidden="false" customHeight="false" outlineLevel="0" collapsed="false">
      <c r="A561" s="5" t="s">
        <v>1426</v>
      </c>
      <c r="B561" s="26" t="n">
        <v>46201</v>
      </c>
      <c r="C561" s="5" t="s">
        <v>394</v>
      </c>
      <c r="D561" s="5" t="s">
        <v>350</v>
      </c>
      <c r="E561" s="5" t="s">
        <v>80</v>
      </c>
      <c r="F561" s="5" t="n">
        <v>301</v>
      </c>
      <c r="G561" s="20" t="n">
        <v>7412385</v>
      </c>
      <c r="H561" s="20" t="n">
        <v>1334229</v>
      </c>
      <c r="I561" s="5" t="s">
        <v>1427</v>
      </c>
      <c r="J561" s="5" t="s">
        <v>346</v>
      </c>
      <c r="K561" s="5" t="s">
        <v>363</v>
      </c>
    </row>
    <row r="562" customFormat="false" ht="15" hidden="false" customHeight="false" outlineLevel="0" collapsed="false">
      <c r="A562" s="5" t="s">
        <v>1428</v>
      </c>
      <c r="B562" s="5" t="s">
        <v>1429</v>
      </c>
      <c r="C562" s="5" t="s">
        <v>373</v>
      </c>
      <c r="D562" s="5" t="s">
        <v>374</v>
      </c>
      <c r="E562" s="5" t="s">
        <v>351</v>
      </c>
      <c r="F562" s="5" t="n">
        <v>120</v>
      </c>
      <c r="G562" s="20" t="n">
        <v>2956199</v>
      </c>
      <c r="H562" s="20" t="n">
        <v>532116</v>
      </c>
      <c r="I562" s="20" t="n">
        <v>3488315</v>
      </c>
      <c r="J562" s="5" t="s">
        <v>353</v>
      </c>
      <c r="K562" s="5" t="s">
        <v>347</v>
      </c>
    </row>
    <row r="563" customFormat="false" ht="15" hidden="false" customHeight="false" outlineLevel="0" collapsed="false">
      <c r="A563" s="5" t="s">
        <v>1430</v>
      </c>
      <c r="B563" s="26" t="n">
        <v>46202</v>
      </c>
      <c r="C563" s="5" t="s">
        <v>419</v>
      </c>
      <c r="D563" s="5" t="s">
        <v>390</v>
      </c>
      <c r="E563" s="5" t="s">
        <v>38</v>
      </c>
      <c r="F563" s="5" t="n">
        <v>6209</v>
      </c>
      <c r="G563" s="20" t="n">
        <v>10578191</v>
      </c>
      <c r="H563" s="20" t="n">
        <v>1904074</v>
      </c>
      <c r="I563" s="20" t="n">
        <v>12482265</v>
      </c>
      <c r="J563" s="5" t="s">
        <v>335</v>
      </c>
      <c r="K563" s="5" t="s">
        <v>363</v>
      </c>
    </row>
    <row r="565" customFormat="false" ht="15" hidden="false" customHeight="false" outlineLevel="0" collapsed="false">
      <c r="A565" s="16" t="s">
        <v>1431</v>
      </c>
    </row>
    <row r="566" customFormat="false" ht="15" hidden="false" customHeight="false" outlineLevel="0" collapsed="false">
      <c r="A566" s="9" t="s">
        <v>320</v>
      </c>
      <c r="B566" s="9" t="s">
        <v>321</v>
      </c>
      <c r="C566" s="9" t="s">
        <v>322</v>
      </c>
      <c r="D566" s="9" t="s">
        <v>323</v>
      </c>
      <c r="E566" s="9" t="s">
        <v>324</v>
      </c>
      <c r="F566" s="9" t="s">
        <v>325</v>
      </c>
      <c r="G566" s="9" t="s">
        <v>326</v>
      </c>
      <c r="H566" s="9" t="s">
        <v>327</v>
      </c>
      <c r="I566" s="9" t="s">
        <v>328</v>
      </c>
      <c r="J566" s="9" t="s">
        <v>329</v>
      </c>
      <c r="K566" s="9" t="s">
        <v>330</v>
      </c>
    </row>
    <row r="567" customFormat="false" ht="15" hidden="false" customHeight="false" outlineLevel="0" collapsed="false">
      <c r="A567" s="5" t="s">
        <v>1432</v>
      </c>
      <c r="B567" s="5" t="s">
        <v>1433</v>
      </c>
      <c r="C567" s="5" t="s">
        <v>345</v>
      </c>
      <c r="D567" s="5" t="s">
        <v>334</v>
      </c>
      <c r="E567" s="5" t="s">
        <v>38</v>
      </c>
      <c r="F567" s="5" t="n">
        <v>2407</v>
      </c>
      <c r="G567" s="5" t="s">
        <v>1434</v>
      </c>
      <c r="H567" s="20" t="n">
        <v>732075</v>
      </c>
      <c r="I567" s="20" t="n">
        <v>4799161</v>
      </c>
      <c r="J567" s="5" t="s">
        <v>335</v>
      </c>
      <c r="K567" s="5" t="s">
        <v>368</v>
      </c>
    </row>
    <row r="568" customFormat="false" ht="15" hidden="false" customHeight="false" outlineLevel="0" collapsed="false">
      <c r="A568" s="5" t="s">
        <v>1435</v>
      </c>
      <c r="B568" s="26" t="n">
        <v>46203</v>
      </c>
      <c r="C568" s="5" t="s">
        <v>555</v>
      </c>
      <c r="D568" s="5" t="s">
        <v>334</v>
      </c>
      <c r="E568" s="5" t="s">
        <v>429</v>
      </c>
      <c r="F568" s="5" t="n">
        <v>792</v>
      </c>
      <c r="G568" s="20" t="n">
        <v>5213142</v>
      </c>
      <c r="H568" s="20" t="n">
        <v>938366</v>
      </c>
      <c r="I568" s="20" t="n">
        <v>6151508</v>
      </c>
      <c r="J568" s="5" t="s">
        <v>353</v>
      </c>
      <c r="K568" s="5" t="s">
        <v>406</v>
      </c>
    </row>
    <row r="569" customFormat="false" ht="15" hidden="false" customHeight="false" outlineLevel="0" collapsed="false">
      <c r="A569" s="5" t="s">
        <v>1436</v>
      </c>
      <c r="B569" s="5" t="s">
        <v>1437</v>
      </c>
      <c r="C569" s="5" t="s">
        <v>492</v>
      </c>
      <c r="D569" s="5" t="s">
        <v>558</v>
      </c>
      <c r="E569" s="5" t="s">
        <v>39</v>
      </c>
      <c r="F569" s="5" t="n">
        <v>131</v>
      </c>
      <c r="G569" s="5" t="s">
        <v>1438</v>
      </c>
      <c r="H569" s="20" t="n">
        <v>634396</v>
      </c>
      <c r="I569" s="5" t="s">
        <v>1439</v>
      </c>
      <c r="J569" s="5" t="s">
        <v>335</v>
      </c>
      <c r="K569" s="5" t="s">
        <v>343</v>
      </c>
    </row>
    <row r="570" customFormat="false" ht="15" hidden="false" customHeight="false" outlineLevel="0" collapsed="false">
      <c r="A570" s="5" t="s">
        <v>1440</v>
      </c>
      <c r="B570" s="26" t="n">
        <v>46206</v>
      </c>
      <c r="C570" s="5" t="s">
        <v>349</v>
      </c>
      <c r="D570" s="5" t="s">
        <v>350</v>
      </c>
      <c r="E570" s="5" t="s">
        <v>80</v>
      </c>
      <c r="F570" s="5" t="n">
        <v>159</v>
      </c>
      <c r="G570" s="5" t="s">
        <v>1441</v>
      </c>
      <c r="H570" s="20" t="n">
        <v>707099</v>
      </c>
      <c r="I570" s="20" t="n">
        <v>4635428</v>
      </c>
      <c r="J570" s="5" t="s">
        <v>403</v>
      </c>
      <c r="K570" s="5" t="s">
        <v>336</v>
      </c>
    </row>
    <row r="571" customFormat="false" ht="15" hidden="false" customHeight="false" outlineLevel="0" collapsed="false">
      <c r="A571" s="5" t="s">
        <v>1442</v>
      </c>
      <c r="B571" s="26" t="n">
        <v>46207</v>
      </c>
      <c r="C571" s="5" t="s">
        <v>400</v>
      </c>
      <c r="D571" s="5" t="s">
        <v>374</v>
      </c>
      <c r="E571" s="5" t="s">
        <v>41</v>
      </c>
      <c r="F571" s="5" t="n">
        <v>1716</v>
      </c>
      <c r="G571" s="5" t="s">
        <v>1443</v>
      </c>
      <c r="H571" s="5" t="s">
        <v>1444</v>
      </c>
      <c r="I571" s="20" t="n">
        <v>7472700</v>
      </c>
      <c r="J571" s="5" t="s">
        <v>356</v>
      </c>
      <c r="K571" s="5" t="s">
        <v>363</v>
      </c>
    </row>
    <row r="572" customFormat="false" ht="15" hidden="false" customHeight="false" outlineLevel="0" collapsed="false">
      <c r="A572" s="5" t="s">
        <v>1445</v>
      </c>
      <c r="B572" s="26" t="n">
        <v>46209</v>
      </c>
      <c r="C572" s="5" t="s">
        <v>345</v>
      </c>
      <c r="D572" s="5" t="s">
        <v>615</v>
      </c>
      <c r="E572" s="5" t="s">
        <v>38</v>
      </c>
      <c r="F572" s="5" t="n">
        <v>5946</v>
      </c>
      <c r="G572" s="5" t="s">
        <v>1446</v>
      </c>
      <c r="H572" s="20" t="n">
        <v>2129051</v>
      </c>
      <c r="I572" s="20" t="n">
        <v>13957112</v>
      </c>
      <c r="J572" s="5" t="s">
        <v>356</v>
      </c>
      <c r="K572" s="5" t="s">
        <v>396</v>
      </c>
    </row>
    <row r="573" customFormat="false" ht="15" hidden="false" customHeight="false" outlineLevel="0" collapsed="false">
      <c r="A573" s="5" t="s">
        <v>1447</v>
      </c>
      <c r="B573" s="26" t="n">
        <v>46210</v>
      </c>
      <c r="C573" s="5" t="s">
        <v>507</v>
      </c>
      <c r="D573" s="5" t="s">
        <v>350</v>
      </c>
      <c r="E573" s="5" t="s">
        <v>39</v>
      </c>
      <c r="F573" s="5" t="n">
        <v>211</v>
      </c>
      <c r="G573" s="20" t="n">
        <v>5519080</v>
      </c>
      <c r="H573" s="20" t="n">
        <v>993434</v>
      </c>
      <c r="I573" s="5" t="s">
        <v>1448</v>
      </c>
      <c r="J573" s="5" t="s">
        <v>353</v>
      </c>
      <c r="K573" s="5" t="s">
        <v>368</v>
      </c>
    </row>
    <row r="574" customFormat="false" ht="15" hidden="false" customHeight="false" outlineLevel="0" collapsed="false">
      <c r="A574" s="5" t="s">
        <v>1449</v>
      </c>
      <c r="B574" s="26" t="n">
        <v>46210</v>
      </c>
      <c r="C574" s="5" t="s">
        <v>358</v>
      </c>
      <c r="D574" s="5" t="s">
        <v>390</v>
      </c>
      <c r="E574" s="5" t="s">
        <v>81</v>
      </c>
      <c r="F574" s="5" t="n">
        <v>9271</v>
      </c>
      <c r="G574" s="5" t="s">
        <v>1450</v>
      </c>
      <c r="H574" s="5" t="s">
        <v>1451</v>
      </c>
      <c r="I574" s="20" t="n">
        <v>43162827</v>
      </c>
      <c r="J574" s="5" t="s">
        <v>346</v>
      </c>
      <c r="K574" s="5" t="s">
        <v>368</v>
      </c>
    </row>
    <row r="575" customFormat="false" ht="15" hidden="false" customHeight="false" outlineLevel="0" collapsed="false">
      <c r="A575" s="5" t="s">
        <v>1452</v>
      </c>
      <c r="B575" s="26" t="n">
        <v>46210</v>
      </c>
      <c r="C575" s="5" t="s">
        <v>451</v>
      </c>
      <c r="D575" s="5" t="s">
        <v>366</v>
      </c>
      <c r="E575" s="5" t="s">
        <v>38</v>
      </c>
      <c r="F575" s="5" t="n">
        <v>1243</v>
      </c>
      <c r="G575" s="20" t="n">
        <v>2500000</v>
      </c>
      <c r="H575" s="5" t="s">
        <v>277</v>
      </c>
      <c r="I575" s="5" t="s">
        <v>375</v>
      </c>
      <c r="J575" s="5" t="s">
        <v>403</v>
      </c>
      <c r="K575" s="5" t="s">
        <v>406</v>
      </c>
    </row>
    <row r="576" customFormat="false" ht="15" hidden="false" customHeight="false" outlineLevel="0" collapsed="false">
      <c r="A576" s="5" t="s">
        <v>1453</v>
      </c>
      <c r="B576" s="26" t="n">
        <v>46210</v>
      </c>
      <c r="C576" s="5" t="s">
        <v>722</v>
      </c>
      <c r="D576" s="5" t="s">
        <v>379</v>
      </c>
      <c r="E576" s="5" t="s">
        <v>81</v>
      </c>
      <c r="F576" s="5" t="n">
        <v>706</v>
      </c>
      <c r="G576" s="20" t="n">
        <v>2500000</v>
      </c>
      <c r="H576" s="20" t="n">
        <v>450000</v>
      </c>
      <c r="I576" s="20" t="n">
        <v>2950000</v>
      </c>
      <c r="J576" s="5" t="s">
        <v>346</v>
      </c>
      <c r="K576" s="5" t="s">
        <v>396</v>
      </c>
    </row>
    <row r="577" customFormat="false" ht="15" hidden="false" customHeight="false" outlineLevel="0" collapsed="false">
      <c r="A577" s="5" t="s">
        <v>1454</v>
      </c>
      <c r="B577" s="26" t="n">
        <v>46211</v>
      </c>
      <c r="C577" s="5" t="s">
        <v>400</v>
      </c>
      <c r="D577" s="5" t="s">
        <v>374</v>
      </c>
      <c r="E577" s="5" t="s">
        <v>79</v>
      </c>
      <c r="F577" s="5" t="n">
        <v>1685</v>
      </c>
      <c r="G577" s="20" t="n">
        <v>3034545</v>
      </c>
      <c r="H577" s="20" t="n">
        <v>546218</v>
      </c>
      <c r="I577" s="20" t="n">
        <v>3580763</v>
      </c>
      <c r="J577" s="5" t="s">
        <v>383</v>
      </c>
      <c r="K577" s="5" t="s">
        <v>343</v>
      </c>
    </row>
    <row r="578" customFormat="false" ht="15" hidden="false" customHeight="false" outlineLevel="0" collapsed="false">
      <c r="A578" s="5" t="s">
        <v>1455</v>
      </c>
      <c r="B578" s="26" t="n">
        <v>46212</v>
      </c>
      <c r="C578" s="5" t="s">
        <v>1456</v>
      </c>
      <c r="D578" s="5" t="s">
        <v>366</v>
      </c>
      <c r="E578" s="5" t="s">
        <v>80</v>
      </c>
      <c r="F578" s="5" t="n">
        <v>422</v>
      </c>
      <c r="G578" s="20" t="n">
        <v>10885786</v>
      </c>
      <c r="H578" s="20" t="n">
        <v>0</v>
      </c>
      <c r="I578" s="5" t="s">
        <v>1457</v>
      </c>
      <c r="J578" s="5" t="s">
        <v>342</v>
      </c>
      <c r="K578" s="5" t="s">
        <v>406</v>
      </c>
    </row>
    <row r="579" customFormat="false" ht="15" hidden="false" customHeight="false" outlineLevel="0" collapsed="false">
      <c r="A579" s="5" t="s">
        <v>1458</v>
      </c>
      <c r="B579" s="5" t="s">
        <v>1459</v>
      </c>
      <c r="C579" s="5" t="s">
        <v>419</v>
      </c>
      <c r="D579" s="5" t="s">
        <v>390</v>
      </c>
      <c r="E579" s="5" t="s">
        <v>38</v>
      </c>
      <c r="F579" s="5" t="n">
        <v>1234</v>
      </c>
      <c r="G579" s="5" t="s">
        <v>375</v>
      </c>
      <c r="H579" s="5" t="s">
        <v>412</v>
      </c>
      <c r="I579" s="5" t="s">
        <v>376</v>
      </c>
      <c r="J579" s="5" t="s">
        <v>403</v>
      </c>
      <c r="K579" s="5" t="s">
        <v>336</v>
      </c>
    </row>
    <row r="580" customFormat="false" ht="15" hidden="false" customHeight="false" outlineLevel="0" collapsed="false">
      <c r="A580" s="5" t="s">
        <v>1460</v>
      </c>
      <c r="B580" s="5" t="s">
        <v>1461</v>
      </c>
      <c r="C580" s="5" t="s">
        <v>378</v>
      </c>
      <c r="D580" s="5" t="s">
        <v>374</v>
      </c>
      <c r="E580" s="5" t="s">
        <v>359</v>
      </c>
      <c r="F580" s="5" t="n">
        <v>6796</v>
      </c>
      <c r="G580" s="20" t="n">
        <v>12399561</v>
      </c>
      <c r="H580" s="20" t="n">
        <v>2231921</v>
      </c>
      <c r="I580" s="20" t="n">
        <v>14631482</v>
      </c>
      <c r="J580" s="5" t="s">
        <v>356</v>
      </c>
      <c r="K580" s="5" t="s">
        <v>384</v>
      </c>
    </row>
    <row r="581" customFormat="false" ht="15" hidden="false" customHeight="false" outlineLevel="0" collapsed="false">
      <c r="A581" s="5" t="s">
        <v>1462</v>
      </c>
      <c r="B581" s="26" t="n">
        <v>46216</v>
      </c>
      <c r="C581" s="5" t="s">
        <v>349</v>
      </c>
      <c r="D581" s="5" t="s">
        <v>405</v>
      </c>
      <c r="E581" s="5" t="s">
        <v>351</v>
      </c>
      <c r="F581" s="5" t="n">
        <v>229</v>
      </c>
      <c r="G581" s="5" t="s">
        <v>1463</v>
      </c>
      <c r="H581" s="20" t="n">
        <v>1094939</v>
      </c>
      <c r="I581" s="20" t="n">
        <v>7177932</v>
      </c>
      <c r="J581" s="5" t="s">
        <v>335</v>
      </c>
      <c r="K581" s="5" t="s">
        <v>336</v>
      </c>
    </row>
    <row r="582" customFormat="false" ht="15" hidden="false" customHeight="false" outlineLevel="0" collapsed="false">
      <c r="A582" s="5" t="s">
        <v>1464</v>
      </c>
      <c r="B582" s="26" t="n">
        <v>46216</v>
      </c>
      <c r="C582" s="5" t="s">
        <v>419</v>
      </c>
      <c r="D582" s="5" t="s">
        <v>390</v>
      </c>
      <c r="E582" s="5" t="s">
        <v>38</v>
      </c>
      <c r="F582" s="5" t="n">
        <v>19914</v>
      </c>
      <c r="G582" s="20" t="n">
        <v>40000000</v>
      </c>
      <c r="H582" s="20" t="n">
        <v>7200000</v>
      </c>
      <c r="I582" s="5" t="s">
        <v>1465</v>
      </c>
      <c r="J582" s="5" t="s">
        <v>353</v>
      </c>
      <c r="K582" s="5" t="s">
        <v>347</v>
      </c>
    </row>
    <row r="583" customFormat="false" ht="15" hidden="false" customHeight="false" outlineLevel="0" collapsed="false">
      <c r="A583" s="5" t="s">
        <v>1466</v>
      </c>
      <c r="B583" s="5" t="s">
        <v>1467</v>
      </c>
      <c r="C583" s="5" t="s">
        <v>400</v>
      </c>
      <c r="D583" s="5" t="s">
        <v>374</v>
      </c>
      <c r="E583" s="5" t="s">
        <v>38</v>
      </c>
      <c r="F583" s="5" t="n">
        <v>4637</v>
      </c>
      <c r="G583" s="20" t="n">
        <v>8442110</v>
      </c>
      <c r="H583" s="20" t="n">
        <v>1519580</v>
      </c>
      <c r="I583" s="20" t="n">
        <v>9961690</v>
      </c>
      <c r="J583" s="5" t="s">
        <v>356</v>
      </c>
      <c r="K583" s="5" t="s">
        <v>384</v>
      </c>
    </row>
    <row r="584" customFormat="false" ht="15" hidden="false" customHeight="false" outlineLevel="0" collapsed="false">
      <c r="A584" s="5" t="s">
        <v>1468</v>
      </c>
      <c r="B584" s="26" t="n">
        <v>46218</v>
      </c>
      <c r="C584" s="5" t="s">
        <v>431</v>
      </c>
      <c r="D584" s="5" t="s">
        <v>334</v>
      </c>
      <c r="E584" s="5" t="s">
        <v>359</v>
      </c>
      <c r="F584" s="5" t="n">
        <v>1358</v>
      </c>
      <c r="G584" s="5" t="s">
        <v>452</v>
      </c>
      <c r="H584" s="5" t="s">
        <v>488</v>
      </c>
      <c r="I584" s="20" t="n">
        <v>2950000</v>
      </c>
      <c r="J584" s="5" t="s">
        <v>356</v>
      </c>
      <c r="K584" s="5" t="s">
        <v>363</v>
      </c>
    </row>
    <row r="585" customFormat="false" ht="15" hidden="false" customHeight="false" outlineLevel="0" collapsed="false">
      <c r="A585" s="5" t="s">
        <v>1469</v>
      </c>
      <c r="B585" s="26" t="n">
        <v>46218</v>
      </c>
      <c r="C585" s="5" t="s">
        <v>428</v>
      </c>
      <c r="D585" s="5" t="s">
        <v>374</v>
      </c>
      <c r="E585" s="5" t="s">
        <v>82</v>
      </c>
      <c r="F585" s="5" t="n">
        <v>1281</v>
      </c>
      <c r="G585" s="20" t="n">
        <v>7658374</v>
      </c>
      <c r="H585" s="20" t="n">
        <v>1378507</v>
      </c>
      <c r="I585" s="20" t="n">
        <v>9036881</v>
      </c>
      <c r="J585" s="5" t="s">
        <v>335</v>
      </c>
      <c r="K585" s="5" t="s">
        <v>384</v>
      </c>
    </row>
    <row r="586" customFormat="false" ht="15" hidden="false" customHeight="false" outlineLevel="0" collapsed="false">
      <c r="A586" s="5" t="s">
        <v>1470</v>
      </c>
      <c r="B586" s="26" t="n">
        <v>46219</v>
      </c>
      <c r="C586" s="5" t="s">
        <v>824</v>
      </c>
      <c r="D586" s="5" t="s">
        <v>374</v>
      </c>
      <c r="E586" s="5" t="s">
        <v>351</v>
      </c>
      <c r="F586" s="5" t="n">
        <v>192</v>
      </c>
      <c r="G586" s="20" t="n">
        <v>5108791</v>
      </c>
      <c r="H586" s="20" t="n">
        <v>919582</v>
      </c>
      <c r="I586" s="20" t="n">
        <v>6028373</v>
      </c>
      <c r="J586" s="5" t="s">
        <v>353</v>
      </c>
      <c r="K586" s="5" t="s">
        <v>384</v>
      </c>
    </row>
    <row r="587" customFormat="false" ht="15" hidden="false" customHeight="false" outlineLevel="0" collapsed="false">
      <c r="A587" s="5" t="s">
        <v>1471</v>
      </c>
      <c r="B587" s="5" t="s">
        <v>1472</v>
      </c>
      <c r="C587" s="5" t="s">
        <v>492</v>
      </c>
      <c r="D587" s="5" t="s">
        <v>350</v>
      </c>
      <c r="E587" s="5" t="s">
        <v>80</v>
      </c>
      <c r="F587" s="5" t="n">
        <v>132</v>
      </c>
      <c r="G587" s="20" t="n">
        <v>3186011</v>
      </c>
      <c r="H587" s="20" t="n">
        <v>573482</v>
      </c>
      <c r="I587" s="5" t="s">
        <v>1473</v>
      </c>
      <c r="J587" s="5" t="s">
        <v>346</v>
      </c>
      <c r="K587" s="5" t="s">
        <v>368</v>
      </c>
    </row>
    <row r="588" customFormat="false" ht="15" hidden="false" customHeight="false" outlineLevel="0" collapsed="false">
      <c r="A588" s="5" t="s">
        <v>1474</v>
      </c>
      <c r="B588" s="26" t="n">
        <v>46222</v>
      </c>
      <c r="C588" s="5" t="s">
        <v>555</v>
      </c>
      <c r="D588" s="5" t="s">
        <v>483</v>
      </c>
      <c r="E588" s="5" t="s">
        <v>429</v>
      </c>
      <c r="F588" s="5" t="n">
        <v>762</v>
      </c>
      <c r="G588" s="5" t="s">
        <v>1475</v>
      </c>
      <c r="H588" s="5" t="s">
        <v>1476</v>
      </c>
      <c r="I588" s="5" t="s">
        <v>1477</v>
      </c>
      <c r="J588" s="5" t="s">
        <v>346</v>
      </c>
      <c r="K588" s="5" t="s">
        <v>347</v>
      </c>
    </row>
    <row r="589" customFormat="false" ht="15" hidden="false" customHeight="false" outlineLevel="0" collapsed="false">
      <c r="A589" s="5" t="s">
        <v>1478</v>
      </c>
      <c r="B589" s="5" t="s">
        <v>1479</v>
      </c>
      <c r="C589" s="5" t="s">
        <v>373</v>
      </c>
      <c r="D589" s="5" t="s">
        <v>374</v>
      </c>
      <c r="E589" s="5" t="s">
        <v>351</v>
      </c>
      <c r="F589" s="5" t="n">
        <v>543</v>
      </c>
      <c r="G589" s="5" t="s">
        <v>1480</v>
      </c>
      <c r="H589" s="20" t="n">
        <v>2413952</v>
      </c>
      <c r="I589" s="20" t="n">
        <v>15824796</v>
      </c>
      <c r="J589" s="5" t="s">
        <v>342</v>
      </c>
      <c r="K589" s="5" t="s">
        <v>347</v>
      </c>
    </row>
    <row r="590" customFormat="false" ht="15" hidden="false" customHeight="false" outlineLevel="0" collapsed="false">
      <c r="A590" s="5" t="s">
        <v>1481</v>
      </c>
      <c r="B590" s="26" t="n">
        <v>46224</v>
      </c>
      <c r="C590" s="5" t="s">
        <v>349</v>
      </c>
      <c r="D590" s="5" t="s">
        <v>350</v>
      </c>
      <c r="E590" s="5" t="s">
        <v>39</v>
      </c>
      <c r="F590" s="5" t="n">
        <v>381</v>
      </c>
      <c r="G590" s="20" t="n">
        <v>9955682</v>
      </c>
      <c r="H590" s="20" t="n">
        <v>1792023</v>
      </c>
      <c r="I590" s="5" t="s">
        <v>1482</v>
      </c>
      <c r="J590" s="5" t="s">
        <v>342</v>
      </c>
      <c r="K590" s="5" t="s">
        <v>384</v>
      </c>
    </row>
    <row r="591" customFormat="false" ht="15" hidden="false" customHeight="false" outlineLevel="0" collapsed="false">
      <c r="A591" s="5" t="s">
        <v>1483</v>
      </c>
      <c r="B591" s="26" t="n">
        <v>46225</v>
      </c>
      <c r="C591" s="5" t="s">
        <v>400</v>
      </c>
      <c r="D591" s="5" t="s">
        <v>374</v>
      </c>
      <c r="E591" s="5" t="s">
        <v>41</v>
      </c>
      <c r="F591" s="5" t="n">
        <v>4031</v>
      </c>
      <c r="G591" s="5" t="s">
        <v>1484</v>
      </c>
      <c r="H591" s="5" t="s">
        <v>1485</v>
      </c>
      <c r="I591" s="20" t="n">
        <v>16792462</v>
      </c>
      <c r="J591" s="5" t="s">
        <v>346</v>
      </c>
      <c r="K591" s="5" t="s">
        <v>384</v>
      </c>
    </row>
    <row r="592" customFormat="false" ht="15" hidden="false" customHeight="false" outlineLevel="0" collapsed="false">
      <c r="A592" s="5" t="s">
        <v>1486</v>
      </c>
      <c r="B592" s="5" t="s">
        <v>1487</v>
      </c>
      <c r="C592" s="5" t="s">
        <v>419</v>
      </c>
      <c r="D592" s="5" t="s">
        <v>390</v>
      </c>
      <c r="E592" s="5" t="s">
        <v>79</v>
      </c>
      <c r="F592" s="5" t="n">
        <v>1251</v>
      </c>
      <c r="G592" s="5" t="s">
        <v>452</v>
      </c>
      <c r="H592" s="20" t="n">
        <v>450000</v>
      </c>
      <c r="I592" s="20" t="n">
        <v>2950000</v>
      </c>
      <c r="J592" s="5" t="s">
        <v>342</v>
      </c>
      <c r="K592" s="5" t="s">
        <v>384</v>
      </c>
    </row>
    <row r="593" customFormat="false" ht="15" hidden="false" customHeight="false" outlineLevel="0" collapsed="false">
      <c r="A593" s="5" t="s">
        <v>1488</v>
      </c>
      <c r="B593" s="5" t="s">
        <v>1489</v>
      </c>
      <c r="C593" s="5" t="s">
        <v>451</v>
      </c>
      <c r="D593" s="5" t="s">
        <v>366</v>
      </c>
      <c r="E593" s="5" t="s">
        <v>79</v>
      </c>
      <c r="F593" s="5" t="n">
        <v>4019</v>
      </c>
      <c r="G593" s="20" t="n">
        <v>7855768</v>
      </c>
      <c r="H593" s="5" t="s">
        <v>440</v>
      </c>
      <c r="I593" s="20" t="n">
        <v>7855768</v>
      </c>
      <c r="J593" s="5" t="s">
        <v>346</v>
      </c>
      <c r="K593" s="5" t="s">
        <v>343</v>
      </c>
    </row>
    <row r="594" customFormat="false" ht="15" hidden="false" customHeight="false" outlineLevel="0" collapsed="false">
      <c r="A594" s="5" t="s">
        <v>1490</v>
      </c>
      <c r="B594" s="5" t="s">
        <v>1491</v>
      </c>
      <c r="C594" s="5" t="s">
        <v>555</v>
      </c>
      <c r="D594" s="5" t="s">
        <v>615</v>
      </c>
      <c r="E594" s="5" t="s">
        <v>82</v>
      </c>
      <c r="F594" s="5" t="n">
        <v>372</v>
      </c>
      <c r="G594" s="20" t="n">
        <v>2500000</v>
      </c>
      <c r="H594" s="5" t="s">
        <v>488</v>
      </c>
      <c r="I594" s="20" t="n">
        <v>2950000</v>
      </c>
      <c r="J594" s="5" t="s">
        <v>383</v>
      </c>
      <c r="K594" s="5" t="s">
        <v>368</v>
      </c>
    </row>
    <row r="595" customFormat="false" ht="15" hidden="false" customHeight="false" outlineLevel="0" collapsed="false">
      <c r="A595" s="5" t="s">
        <v>1492</v>
      </c>
      <c r="B595" s="26" t="n">
        <v>46228</v>
      </c>
      <c r="C595" s="5" t="s">
        <v>365</v>
      </c>
      <c r="D595" s="5" t="s">
        <v>366</v>
      </c>
      <c r="E595" s="5" t="s">
        <v>80</v>
      </c>
      <c r="F595" s="5" t="n">
        <v>115</v>
      </c>
      <c r="G595" s="20" t="n">
        <v>3069967</v>
      </c>
      <c r="H595" s="5" t="s">
        <v>277</v>
      </c>
      <c r="I595" s="20" t="n">
        <v>3069967</v>
      </c>
      <c r="J595" s="5" t="s">
        <v>383</v>
      </c>
      <c r="K595" s="5" t="s">
        <v>396</v>
      </c>
    </row>
    <row r="596" customFormat="false" ht="15" hidden="false" customHeight="false" outlineLevel="0" collapsed="false">
      <c r="A596" s="5" t="s">
        <v>1493</v>
      </c>
      <c r="B596" s="26" t="n">
        <v>46228</v>
      </c>
      <c r="C596" s="5" t="s">
        <v>415</v>
      </c>
      <c r="D596" s="5" t="s">
        <v>366</v>
      </c>
      <c r="E596" s="5" t="s">
        <v>41</v>
      </c>
      <c r="F596" s="5" t="n">
        <v>3041</v>
      </c>
      <c r="G596" s="5" t="s">
        <v>1494</v>
      </c>
      <c r="H596" s="20" t="n">
        <v>0</v>
      </c>
      <c r="I596" s="20" t="n">
        <v>10821558</v>
      </c>
      <c r="J596" s="5" t="s">
        <v>383</v>
      </c>
      <c r="K596" s="5" t="s">
        <v>368</v>
      </c>
    </row>
    <row r="597" customFormat="false" ht="15" hidden="false" customHeight="false" outlineLevel="0" collapsed="false">
      <c r="A597" s="5" t="s">
        <v>1495</v>
      </c>
      <c r="B597" s="5" t="s">
        <v>1496</v>
      </c>
      <c r="C597" s="5" t="s">
        <v>1383</v>
      </c>
      <c r="D597" s="5" t="s">
        <v>558</v>
      </c>
      <c r="E597" s="5" t="s">
        <v>80</v>
      </c>
      <c r="F597" s="5" t="n">
        <v>989</v>
      </c>
      <c r="G597" s="20" t="n">
        <v>23228261</v>
      </c>
      <c r="H597" s="20" t="n">
        <v>4181087</v>
      </c>
      <c r="I597" s="20" t="n">
        <v>27409348</v>
      </c>
      <c r="J597" s="5" t="s">
        <v>353</v>
      </c>
      <c r="K597" s="5" t="s">
        <v>368</v>
      </c>
    </row>
    <row r="598" customFormat="false" ht="15" hidden="false" customHeight="false" outlineLevel="0" collapsed="false">
      <c r="A598" s="5" t="s">
        <v>1497</v>
      </c>
      <c r="B598" s="26" t="n">
        <v>46229</v>
      </c>
      <c r="C598" s="5" t="s">
        <v>555</v>
      </c>
      <c r="D598" s="5" t="s">
        <v>334</v>
      </c>
      <c r="E598" s="5" t="s">
        <v>429</v>
      </c>
      <c r="F598" s="5" t="n">
        <v>1257</v>
      </c>
      <c r="G598" s="20" t="n">
        <v>7284515</v>
      </c>
      <c r="H598" s="20" t="n">
        <v>1311213</v>
      </c>
      <c r="I598" s="20" t="n">
        <v>8595728</v>
      </c>
      <c r="J598" s="5" t="s">
        <v>353</v>
      </c>
      <c r="K598" s="5" t="s">
        <v>384</v>
      </c>
    </row>
    <row r="599" customFormat="false" ht="15" hidden="false" customHeight="false" outlineLevel="0" collapsed="false">
      <c r="A599" s="5" t="s">
        <v>1498</v>
      </c>
      <c r="B599" s="26" t="n">
        <v>46231</v>
      </c>
      <c r="C599" s="5" t="s">
        <v>492</v>
      </c>
      <c r="D599" s="5" t="s">
        <v>558</v>
      </c>
      <c r="E599" s="5" t="s">
        <v>39</v>
      </c>
      <c r="F599" s="5" t="n">
        <v>102</v>
      </c>
      <c r="G599" s="20" t="n">
        <v>2500000</v>
      </c>
      <c r="H599" s="20" t="n">
        <v>450000</v>
      </c>
      <c r="I599" s="5" t="s">
        <v>376</v>
      </c>
      <c r="J599" s="5" t="s">
        <v>383</v>
      </c>
      <c r="K599" s="5" t="s">
        <v>384</v>
      </c>
    </row>
    <row r="600" customFormat="false" ht="15" hidden="false" customHeight="false" outlineLevel="0" collapsed="false">
      <c r="A600" s="5" t="s">
        <v>1499</v>
      </c>
      <c r="B600" s="5" t="s">
        <v>1500</v>
      </c>
      <c r="C600" s="5" t="s">
        <v>349</v>
      </c>
      <c r="D600" s="5" t="s">
        <v>350</v>
      </c>
      <c r="E600" s="5" t="s">
        <v>39</v>
      </c>
      <c r="F600" s="5" t="n">
        <v>313</v>
      </c>
      <c r="G600" s="20" t="n">
        <v>8332807</v>
      </c>
      <c r="H600" s="20" t="n">
        <v>1499905</v>
      </c>
      <c r="I600" s="20" t="n">
        <v>9832712</v>
      </c>
      <c r="J600" s="5" t="s">
        <v>403</v>
      </c>
      <c r="K600" s="5" t="s">
        <v>336</v>
      </c>
    </row>
    <row r="601" customFormat="false" ht="15" hidden="false" customHeight="false" outlineLevel="0" collapsed="false">
      <c r="A601" s="5" t="s">
        <v>1501</v>
      </c>
      <c r="B601" s="5" t="s">
        <v>1502</v>
      </c>
      <c r="C601" s="5" t="s">
        <v>431</v>
      </c>
      <c r="D601" s="5" t="s">
        <v>432</v>
      </c>
      <c r="E601" s="5" t="s">
        <v>38</v>
      </c>
      <c r="F601" s="5" t="n">
        <v>2225</v>
      </c>
      <c r="G601" s="20" t="n">
        <v>3816608</v>
      </c>
      <c r="H601" s="5" t="s">
        <v>1503</v>
      </c>
      <c r="I601" s="20" t="n">
        <v>4503597</v>
      </c>
      <c r="J601" s="5" t="s">
        <v>403</v>
      </c>
      <c r="K601" s="5" t="s">
        <v>368</v>
      </c>
    </row>
    <row r="602" customFormat="false" ht="15" hidden="false" customHeight="false" outlineLevel="0" collapsed="false">
      <c r="A602" s="5" t="s">
        <v>1504</v>
      </c>
      <c r="B602" s="26" t="n">
        <v>46233</v>
      </c>
      <c r="C602" s="5" t="s">
        <v>365</v>
      </c>
      <c r="D602" s="5" t="s">
        <v>366</v>
      </c>
      <c r="E602" s="5" t="s">
        <v>80</v>
      </c>
      <c r="F602" s="5" t="n">
        <v>131</v>
      </c>
      <c r="G602" s="20" t="n">
        <v>3380209</v>
      </c>
      <c r="H602" s="20" t="n">
        <v>0</v>
      </c>
      <c r="I602" s="5" t="s">
        <v>1505</v>
      </c>
      <c r="J602" s="5" t="s">
        <v>342</v>
      </c>
      <c r="K602" s="5" t="s">
        <v>368</v>
      </c>
    </row>
    <row r="603" customFormat="false" ht="15" hidden="false" customHeight="false" outlineLevel="0" collapsed="false">
      <c r="A603" s="5" t="s">
        <v>1506</v>
      </c>
      <c r="B603" s="5" t="s">
        <v>1507</v>
      </c>
      <c r="C603" s="5" t="s">
        <v>439</v>
      </c>
      <c r="D603" s="5" t="s">
        <v>366</v>
      </c>
      <c r="E603" s="5" t="s">
        <v>429</v>
      </c>
      <c r="F603" s="5" t="n">
        <v>380</v>
      </c>
      <c r="G603" s="20" t="n">
        <v>2500000</v>
      </c>
      <c r="H603" s="5" t="s">
        <v>440</v>
      </c>
      <c r="I603" s="20" t="n">
        <v>2500000</v>
      </c>
      <c r="J603" s="5" t="s">
        <v>346</v>
      </c>
      <c r="K603" s="5" t="s">
        <v>368</v>
      </c>
    </row>
    <row r="604" customFormat="false" ht="15" hidden="false" customHeight="false" outlineLevel="0" collapsed="false">
      <c r="A604" s="5" t="s">
        <v>1508</v>
      </c>
      <c r="B604" s="26" t="n">
        <v>46235</v>
      </c>
      <c r="C604" s="5" t="s">
        <v>373</v>
      </c>
      <c r="D604" s="5" t="s">
        <v>379</v>
      </c>
      <c r="E604" s="5" t="s">
        <v>39</v>
      </c>
      <c r="F604" s="5" t="n">
        <v>526</v>
      </c>
      <c r="G604" s="20" t="n">
        <v>12242308</v>
      </c>
      <c r="H604" s="20" t="n">
        <v>2203615</v>
      </c>
      <c r="I604" s="20" t="n">
        <v>14445923</v>
      </c>
      <c r="J604" s="5" t="s">
        <v>353</v>
      </c>
      <c r="K604" s="5" t="s">
        <v>363</v>
      </c>
    </row>
    <row r="605" customFormat="false" ht="15" hidden="false" customHeight="false" outlineLevel="0" collapsed="false">
      <c r="A605" s="5" t="s">
        <v>1509</v>
      </c>
      <c r="B605" s="26" t="n">
        <v>46237</v>
      </c>
      <c r="C605" s="5" t="s">
        <v>345</v>
      </c>
      <c r="D605" s="5" t="s">
        <v>432</v>
      </c>
      <c r="E605" s="5" t="s">
        <v>38</v>
      </c>
      <c r="F605" s="5" t="n">
        <v>1455</v>
      </c>
      <c r="G605" s="20" t="n">
        <v>2500000</v>
      </c>
      <c r="H605" s="5" t="s">
        <v>488</v>
      </c>
      <c r="I605" s="20" t="n">
        <v>2950000</v>
      </c>
      <c r="J605" s="5" t="s">
        <v>335</v>
      </c>
      <c r="K605" s="5" t="s">
        <v>336</v>
      </c>
    </row>
    <row r="606" customFormat="false" ht="15" hidden="false" customHeight="false" outlineLevel="0" collapsed="false">
      <c r="A606" s="5" t="s">
        <v>1510</v>
      </c>
      <c r="B606" s="26" t="n">
        <v>46237</v>
      </c>
      <c r="C606" s="5" t="s">
        <v>555</v>
      </c>
      <c r="D606" s="5" t="s">
        <v>334</v>
      </c>
      <c r="E606" s="5" t="s">
        <v>429</v>
      </c>
      <c r="F606" s="5" t="n">
        <v>559</v>
      </c>
      <c r="G606" s="20" t="n">
        <v>3638040</v>
      </c>
      <c r="H606" s="20" t="n">
        <v>654847</v>
      </c>
      <c r="I606" s="20" t="n">
        <v>4292887</v>
      </c>
      <c r="J606" s="5" t="s">
        <v>383</v>
      </c>
      <c r="K606" s="5" t="s">
        <v>363</v>
      </c>
    </row>
    <row r="607" customFormat="false" ht="15" hidden="false" customHeight="false" outlineLevel="0" collapsed="false">
      <c r="A607" s="5" t="s">
        <v>1511</v>
      </c>
      <c r="B607" s="5" t="s">
        <v>1512</v>
      </c>
      <c r="C607" s="5" t="s">
        <v>451</v>
      </c>
      <c r="D607" s="5" t="s">
        <v>524</v>
      </c>
      <c r="E607" s="5" t="s">
        <v>41</v>
      </c>
      <c r="F607" s="5" t="n">
        <v>4325</v>
      </c>
      <c r="G607" s="20" t="n">
        <v>17731305</v>
      </c>
      <c r="H607" s="5" t="s">
        <v>277</v>
      </c>
      <c r="I607" s="5" t="s">
        <v>1513</v>
      </c>
      <c r="J607" s="5" t="s">
        <v>403</v>
      </c>
      <c r="K607" s="5" t="s">
        <v>368</v>
      </c>
    </row>
    <row r="608" customFormat="false" ht="15" hidden="false" customHeight="false" outlineLevel="0" collapsed="false">
      <c r="A608" s="5" t="s">
        <v>1514</v>
      </c>
      <c r="B608" s="26" t="n">
        <v>46238</v>
      </c>
      <c r="C608" s="5" t="s">
        <v>378</v>
      </c>
      <c r="D608" s="5" t="s">
        <v>374</v>
      </c>
      <c r="E608" s="5" t="s">
        <v>79</v>
      </c>
      <c r="F608" s="5" t="n">
        <v>1407</v>
      </c>
      <c r="G608" s="5" t="s">
        <v>375</v>
      </c>
      <c r="H608" s="20" t="n">
        <v>450000</v>
      </c>
      <c r="I608" s="5" t="s">
        <v>376</v>
      </c>
      <c r="J608" s="5" t="s">
        <v>342</v>
      </c>
      <c r="K608" s="5" t="s">
        <v>368</v>
      </c>
    </row>
    <row r="609" customFormat="false" ht="15" hidden="false" customHeight="false" outlineLevel="0" collapsed="false">
      <c r="A609" s="5" t="s">
        <v>1515</v>
      </c>
      <c r="B609" s="26" t="n">
        <v>46238</v>
      </c>
      <c r="C609" s="5" t="s">
        <v>373</v>
      </c>
      <c r="D609" s="5" t="s">
        <v>605</v>
      </c>
      <c r="E609" s="5" t="s">
        <v>351</v>
      </c>
      <c r="F609" s="5" t="n">
        <v>165</v>
      </c>
      <c r="G609" s="20" t="n">
        <v>4413723</v>
      </c>
      <c r="H609" s="20" t="n">
        <v>794470</v>
      </c>
      <c r="I609" s="20" t="n">
        <v>5208193</v>
      </c>
      <c r="J609" s="5" t="s">
        <v>342</v>
      </c>
      <c r="K609" s="5" t="s">
        <v>363</v>
      </c>
    </row>
    <row r="610" customFormat="false" ht="15" hidden="false" customHeight="false" outlineLevel="0" collapsed="false">
      <c r="A610" s="5" t="s">
        <v>1516</v>
      </c>
      <c r="B610" s="5" t="s">
        <v>1517</v>
      </c>
      <c r="C610" s="5" t="s">
        <v>439</v>
      </c>
      <c r="D610" s="5" t="s">
        <v>366</v>
      </c>
      <c r="E610" s="5" t="s">
        <v>429</v>
      </c>
      <c r="F610" s="5" t="n">
        <v>1143</v>
      </c>
      <c r="G610" s="20" t="n">
        <v>7757916</v>
      </c>
      <c r="H610" s="20" t="n">
        <v>0</v>
      </c>
      <c r="I610" s="5" t="s">
        <v>1518</v>
      </c>
      <c r="J610" s="5" t="s">
        <v>356</v>
      </c>
      <c r="K610" s="5" t="s">
        <v>363</v>
      </c>
    </row>
    <row r="611" customFormat="false" ht="15" hidden="false" customHeight="false" outlineLevel="0" collapsed="false">
      <c r="A611" s="5" t="s">
        <v>1519</v>
      </c>
      <c r="B611" s="26" t="n">
        <v>46239</v>
      </c>
      <c r="C611" s="5" t="s">
        <v>358</v>
      </c>
      <c r="D611" s="5" t="s">
        <v>390</v>
      </c>
      <c r="E611" s="5" t="s">
        <v>41</v>
      </c>
      <c r="F611" s="5" t="n">
        <v>1152</v>
      </c>
      <c r="G611" s="20" t="n">
        <v>4405421</v>
      </c>
      <c r="H611" s="20" t="n">
        <v>792976</v>
      </c>
      <c r="I611" s="5" t="s">
        <v>1520</v>
      </c>
      <c r="J611" s="5" t="s">
        <v>335</v>
      </c>
      <c r="K611" s="5" t="s">
        <v>363</v>
      </c>
    </row>
    <row r="612" customFormat="false" ht="15" hidden="false" customHeight="false" outlineLevel="0" collapsed="false">
      <c r="A612" s="5" t="s">
        <v>1521</v>
      </c>
      <c r="B612" s="5" t="s">
        <v>1522</v>
      </c>
      <c r="C612" s="5" t="s">
        <v>365</v>
      </c>
      <c r="D612" s="5" t="s">
        <v>366</v>
      </c>
      <c r="E612" s="5" t="s">
        <v>39</v>
      </c>
      <c r="F612" s="5" t="n">
        <v>220</v>
      </c>
      <c r="G612" s="20" t="n">
        <v>5193375</v>
      </c>
      <c r="H612" s="20" t="n">
        <v>0</v>
      </c>
      <c r="I612" s="20" t="n">
        <v>5193375</v>
      </c>
      <c r="J612" s="5" t="s">
        <v>403</v>
      </c>
      <c r="K612" s="5" t="s">
        <v>406</v>
      </c>
    </row>
    <row r="613" customFormat="false" ht="15" hidden="false" customHeight="false" outlineLevel="0" collapsed="false">
      <c r="A613" s="5" t="s">
        <v>1523</v>
      </c>
      <c r="B613" s="5" t="s">
        <v>1524</v>
      </c>
      <c r="C613" s="5" t="s">
        <v>831</v>
      </c>
      <c r="D613" s="5" t="s">
        <v>334</v>
      </c>
      <c r="E613" s="5" t="s">
        <v>79</v>
      </c>
      <c r="F613" s="5" t="n">
        <v>5671</v>
      </c>
      <c r="G613" s="20" t="n">
        <v>10363436</v>
      </c>
      <c r="H613" s="20" t="n">
        <v>1865418</v>
      </c>
      <c r="I613" s="20" t="n">
        <v>12228854</v>
      </c>
      <c r="J613" s="5" t="s">
        <v>356</v>
      </c>
      <c r="K613" s="5" t="s">
        <v>396</v>
      </c>
      <c r="L613" s="5" t="s">
        <v>537</v>
      </c>
    </row>
    <row r="614" customFormat="false" ht="15" hidden="false" customHeight="false" outlineLevel="0" collapsed="false">
      <c r="A614" s="5" t="s">
        <v>1525</v>
      </c>
      <c r="B614" s="26" t="n">
        <v>46242</v>
      </c>
      <c r="C614" s="5" t="s">
        <v>349</v>
      </c>
      <c r="D614" s="5" t="s">
        <v>405</v>
      </c>
      <c r="E614" s="5" t="s">
        <v>39</v>
      </c>
      <c r="F614" s="5" t="n">
        <v>281</v>
      </c>
      <c r="G614" s="20" t="n">
        <v>6743808</v>
      </c>
      <c r="H614" s="20" t="n">
        <v>1213885</v>
      </c>
      <c r="I614" s="20" t="n">
        <v>7957693</v>
      </c>
      <c r="J614" s="5" t="s">
        <v>403</v>
      </c>
      <c r="K614" s="5" t="s">
        <v>336</v>
      </c>
    </row>
    <row r="616" customFormat="false" ht="15" hidden="false" customHeight="false" outlineLevel="0" collapsed="false">
      <c r="A616" s="16" t="s">
        <v>1526</v>
      </c>
    </row>
    <row r="617" customFormat="false" ht="15" hidden="false" customHeight="false" outlineLevel="0" collapsed="false">
      <c r="A617" s="9" t="s">
        <v>320</v>
      </c>
      <c r="B617" s="9" t="s">
        <v>321</v>
      </c>
      <c r="C617" s="9" t="s">
        <v>322</v>
      </c>
      <c r="D617" s="9" t="s">
        <v>323</v>
      </c>
      <c r="E617" s="9" t="s">
        <v>324</v>
      </c>
      <c r="F617" s="9" t="s">
        <v>325</v>
      </c>
      <c r="G617" s="9" t="s">
        <v>326</v>
      </c>
      <c r="H617" s="9" t="s">
        <v>327</v>
      </c>
      <c r="I617" s="9" t="s">
        <v>328</v>
      </c>
      <c r="J617" s="9" t="s">
        <v>329</v>
      </c>
      <c r="K617" s="9" t="s">
        <v>330</v>
      </c>
    </row>
    <row r="618" customFormat="false" ht="15" hidden="false" customHeight="false" outlineLevel="0" collapsed="false">
      <c r="A618" s="5" t="s">
        <v>1527</v>
      </c>
      <c r="B618" s="5" t="s">
        <v>1528</v>
      </c>
      <c r="C618" s="5" t="s">
        <v>431</v>
      </c>
      <c r="D618" s="5" t="s">
        <v>483</v>
      </c>
      <c r="E618" s="5" t="s">
        <v>38</v>
      </c>
      <c r="F618" s="5" t="n">
        <v>6189</v>
      </c>
      <c r="G618" s="20" t="n">
        <v>10844418</v>
      </c>
      <c r="H618" s="20" t="n">
        <v>1951995</v>
      </c>
      <c r="I618" s="20" t="n">
        <v>12796413</v>
      </c>
      <c r="J618" s="5" t="s">
        <v>342</v>
      </c>
      <c r="K618" s="5" t="s">
        <v>343</v>
      </c>
    </row>
    <row r="619" customFormat="false" ht="15" hidden="false" customHeight="false" outlineLevel="0" collapsed="false">
      <c r="A619" s="5" t="s">
        <v>1529</v>
      </c>
      <c r="B619" s="26" t="n">
        <v>46243</v>
      </c>
      <c r="C619" s="5" t="s">
        <v>382</v>
      </c>
      <c r="D619" s="5" t="s">
        <v>334</v>
      </c>
      <c r="E619" s="5" t="s">
        <v>39</v>
      </c>
      <c r="F619" s="5" t="n">
        <v>296</v>
      </c>
      <c r="G619" s="20" t="n">
        <v>6827168</v>
      </c>
      <c r="H619" s="20" t="n">
        <v>1228890</v>
      </c>
      <c r="I619" s="20" t="n">
        <v>8056058</v>
      </c>
      <c r="J619" s="5" t="s">
        <v>383</v>
      </c>
      <c r="K619" s="5" t="s">
        <v>336</v>
      </c>
    </row>
    <row r="620" customFormat="false" ht="15" hidden="false" customHeight="false" outlineLevel="0" collapsed="false">
      <c r="A620" s="5" t="s">
        <v>1530</v>
      </c>
      <c r="B620" s="26" t="n">
        <v>46244</v>
      </c>
      <c r="C620" s="5" t="s">
        <v>345</v>
      </c>
      <c r="D620" s="5" t="s">
        <v>334</v>
      </c>
      <c r="E620" s="5" t="s">
        <v>79</v>
      </c>
      <c r="F620" s="5" t="n">
        <v>2124</v>
      </c>
      <c r="G620" s="20" t="n">
        <v>4048345</v>
      </c>
      <c r="H620" s="5" t="s">
        <v>1531</v>
      </c>
      <c r="I620" s="20" t="n">
        <v>4777047</v>
      </c>
      <c r="J620" s="5" t="s">
        <v>356</v>
      </c>
      <c r="K620" s="5" t="s">
        <v>343</v>
      </c>
    </row>
    <row r="621" customFormat="false" ht="15" hidden="false" customHeight="false" outlineLevel="0" collapsed="false">
      <c r="A621" s="5" t="s">
        <v>1532</v>
      </c>
      <c r="B621" s="26" t="n">
        <v>46244</v>
      </c>
      <c r="C621" s="5" t="s">
        <v>824</v>
      </c>
      <c r="D621" s="5" t="s">
        <v>374</v>
      </c>
      <c r="E621" s="5" t="s">
        <v>39</v>
      </c>
      <c r="F621" s="5" t="n">
        <v>424</v>
      </c>
      <c r="G621" s="20" t="n">
        <v>11249499</v>
      </c>
      <c r="H621" s="20" t="n">
        <v>2024910</v>
      </c>
      <c r="I621" s="20" t="n">
        <v>13274409</v>
      </c>
      <c r="J621" s="5" t="s">
        <v>383</v>
      </c>
      <c r="K621" s="5" t="s">
        <v>384</v>
      </c>
    </row>
    <row r="622" customFormat="false" ht="15" hidden="false" customHeight="false" outlineLevel="0" collapsed="false">
      <c r="A622" s="5" t="s">
        <v>1533</v>
      </c>
      <c r="B622" s="26" t="n">
        <v>46246</v>
      </c>
      <c r="C622" s="5" t="s">
        <v>358</v>
      </c>
      <c r="D622" s="5" t="s">
        <v>480</v>
      </c>
      <c r="E622" s="5" t="s">
        <v>38</v>
      </c>
      <c r="F622" s="5" t="n">
        <v>5731</v>
      </c>
      <c r="G622" s="5" t="s">
        <v>1534</v>
      </c>
      <c r="H622" s="20" t="n">
        <v>1856636</v>
      </c>
      <c r="I622" s="5" t="s">
        <v>1535</v>
      </c>
      <c r="J622" s="5" t="s">
        <v>383</v>
      </c>
      <c r="K622" s="5" t="s">
        <v>406</v>
      </c>
    </row>
    <row r="623" customFormat="false" ht="15" hidden="false" customHeight="false" outlineLevel="0" collapsed="false">
      <c r="A623" s="5" t="s">
        <v>1536</v>
      </c>
      <c r="B623" s="26" t="n">
        <v>46247</v>
      </c>
      <c r="C623" s="5" t="s">
        <v>378</v>
      </c>
      <c r="D623" s="5" t="s">
        <v>379</v>
      </c>
      <c r="E623" s="5" t="s">
        <v>38</v>
      </c>
      <c r="F623" s="5" t="n">
        <v>1595</v>
      </c>
      <c r="G623" s="20" t="n">
        <v>2991982</v>
      </c>
      <c r="H623" s="20" t="n">
        <v>538557</v>
      </c>
      <c r="I623" s="20" t="n">
        <v>3530539</v>
      </c>
      <c r="J623" s="5" t="s">
        <v>403</v>
      </c>
      <c r="K623" s="5" t="s">
        <v>343</v>
      </c>
    </row>
    <row r="624" customFormat="false" ht="15" hidden="false" customHeight="false" outlineLevel="0" collapsed="false">
      <c r="A624" s="5" t="s">
        <v>1537</v>
      </c>
      <c r="B624" s="26" t="n">
        <v>46248</v>
      </c>
      <c r="C624" s="5" t="s">
        <v>451</v>
      </c>
      <c r="D624" s="5" t="s">
        <v>524</v>
      </c>
      <c r="E624" s="5" t="s">
        <v>41</v>
      </c>
      <c r="F624" s="5" t="n">
        <v>1009</v>
      </c>
      <c r="G624" s="20" t="n">
        <v>3872659</v>
      </c>
      <c r="H624" s="20" t="n">
        <v>0</v>
      </c>
      <c r="I624" s="5" t="s">
        <v>1538</v>
      </c>
      <c r="J624" s="5" t="s">
        <v>403</v>
      </c>
      <c r="K624" s="5" t="s">
        <v>347</v>
      </c>
    </row>
    <row r="625" customFormat="false" ht="15" hidden="false" customHeight="false" outlineLevel="0" collapsed="false">
      <c r="A625" s="5" t="s">
        <v>1539</v>
      </c>
      <c r="B625" s="5" t="s">
        <v>1540</v>
      </c>
      <c r="C625" s="5" t="s">
        <v>419</v>
      </c>
      <c r="D625" s="5" t="s">
        <v>390</v>
      </c>
      <c r="E625" s="5" t="s">
        <v>38</v>
      </c>
      <c r="F625" s="5" t="n">
        <v>2550</v>
      </c>
      <c r="G625" s="20" t="n">
        <v>4636647</v>
      </c>
      <c r="H625" s="20" t="n">
        <v>834596</v>
      </c>
      <c r="I625" s="5" t="s">
        <v>1541</v>
      </c>
      <c r="J625" s="5" t="s">
        <v>346</v>
      </c>
      <c r="K625" s="5" t="s">
        <v>363</v>
      </c>
    </row>
    <row r="626" customFormat="false" ht="15" hidden="false" customHeight="false" outlineLevel="0" collapsed="false">
      <c r="A626" s="5" t="s">
        <v>1542</v>
      </c>
      <c r="B626" s="5" t="s">
        <v>1540</v>
      </c>
      <c r="C626" s="5" t="s">
        <v>808</v>
      </c>
      <c r="D626" s="5" t="s">
        <v>366</v>
      </c>
      <c r="E626" s="5" t="s">
        <v>41</v>
      </c>
      <c r="F626" s="5" t="n">
        <v>884</v>
      </c>
      <c r="G626" s="5" t="s">
        <v>1543</v>
      </c>
      <c r="H626" s="20" t="n">
        <v>0</v>
      </c>
      <c r="I626" s="20" t="n">
        <v>3391737</v>
      </c>
      <c r="J626" s="5" t="s">
        <v>342</v>
      </c>
      <c r="K626" s="5" t="s">
        <v>406</v>
      </c>
    </row>
    <row r="627" customFormat="false" ht="15" hidden="false" customHeight="false" outlineLevel="0" collapsed="false">
      <c r="A627" s="5" t="s">
        <v>1544</v>
      </c>
      <c r="B627" s="26" t="n">
        <v>46249</v>
      </c>
      <c r="C627" s="5" t="s">
        <v>555</v>
      </c>
      <c r="D627" s="5" t="s">
        <v>334</v>
      </c>
      <c r="E627" s="5" t="s">
        <v>82</v>
      </c>
      <c r="F627" s="5" t="n">
        <v>585</v>
      </c>
      <c r="G627" s="20" t="n">
        <v>3860766</v>
      </c>
      <c r="H627" s="20" t="n">
        <v>694938</v>
      </c>
      <c r="I627" s="5" t="s">
        <v>1545</v>
      </c>
      <c r="J627" s="5" t="s">
        <v>346</v>
      </c>
      <c r="K627" s="5" t="s">
        <v>406</v>
      </c>
    </row>
    <row r="628" customFormat="false" ht="15" hidden="false" customHeight="false" outlineLevel="0" collapsed="false">
      <c r="A628" s="5" t="s">
        <v>1546</v>
      </c>
      <c r="B628" s="5" t="s">
        <v>1540</v>
      </c>
      <c r="C628" s="5" t="s">
        <v>431</v>
      </c>
      <c r="D628" s="5" t="s">
        <v>334</v>
      </c>
      <c r="E628" s="5" t="s">
        <v>38</v>
      </c>
      <c r="F628" s="5" t="n">
        <v>1284</v>
      </c>
      <c r="G628" s="20" t="n">
        <v>2500000</v>
      </c>
      <c r="H628" s="20" t="n">
        <v>450000</v>
      </c>
      <c r="I628" s="20" t="n">
        <v>2950000</v>
      </c>
      <c r="J628" s="5" t="s">
        <v>335</v>
      </c>
      <c r="K628" s="5" t="s">
        <v>384</v>
      </c>
    </row>
    <row r="629" customFormat="false" ht="15" hidden="false" customHeight="false" outlineLevel="0" collapsed="false">
      <c r="A629" s="5" t="s">
        <v>1547</v>
      </c>
      <c r="B629" s="5" t="s">
        <v>1548</v>
      </c>
      <c r="C629" s="5" t="s">
        <v>400</v>
      </c>
      <c r="D629" s="5" t="s">
        <v>374</v>
      </c>
      <c r="E629" s="5" t="s">
        <v>41</v>
      </c>
      <c r="F629" s="5" t="n">
        <v>2201</v>
      </c>
      <c r="G629" s="20" t="n">
        <v>8527554</v>
      </c>
      <c r="H629" s="20" t="n">
        <v>1534960</v>
      </c>
      <c r="I629" s="5" t="s">
        <v>1549</v>
      </c>
      <c r="J629" s="5" t="s">
        <v>403</v>
      </c>
      <c r="K629" s="5" t="s">
        <v>347</v>
      </c>
    </row>
    <row r="630" customFormat="false" ht="15" hidden="false" customHeight="false" outlineLevel="0" collapsed="false">
      <c r="A630" s="5" t="s">
        <v>1550</v>
      </c>
      <c r="B630" s="26" t="n">
        <v>46251</v>
      </c>
      <c r="C630" s="5" t="s">
        <v>431</v>
      </c>
      <c r="D630" s="5" t="s">
        <v>334</v>
      </c>
      <c r="E630" s="5" t="s">
        <v>38</v>
      </c>
      <c r="F630" s="5" t="n">
        <v>1564</v>
      </c>
      <c r="G630" s="20" t="n">
        <v>3100753</v>
      </c>
      <c r="H630" s="20" t="n">
        <v>558136</v>
      </c>
      <c r="I630" s="20" t="n">
        <v>3658889</v>
      </c>
      <c r="J630" s="5" t="s">
        <v>403</v>
      </c>
      <c r="K630" s="5" t="s">
        <v>363</v>
      </c>
    </row>
    <row r="631" customFormat="false" ht="15" hidden="false" customHeight="false" outlineLevel="0" collapsed="false">
      <c r="A631" s="5" t="s">
        <v>1551</v>
      </c>
      <c r="B631" s="5" t="s">
        <v>1552</v>
      </c>
      <c r="C631" s="5" t="s">
        <v>333</v>
      </c>
      <c r="D631" s="5" t="s">
        <v>615</v>
      </c>
      <c r="E631" s="5" t="s">
        <v>359</v>
      </c>
      <c r="F631" s="5" t="n">
        <v>1304</v>
      </c>
      <c r="G631" s="20" t="n">
        <v>2500000</v>
      </c>
      <c r="H631" s="20" t="n">
        <v>450000</v>
      </c>
      <c r="I631" s="5" t="s">
        <v>376</v>
      </c>
      <c r="J631" s="5" t="s">
        <v>356</v>
      </c>
      <c r="K631" s="5" t="s">
        <v>396</v>
      </c>
    </row>
    <row r="632" customFormat="false" ht="15" hidden="false" customHeight="false" outlineLevel="0" collapsed="false">
      <c r="A632" s="5" t="s">
        <v>1553</v>
      </c>
      <c r="B632" s="5" t="s">
        <v>1554</v>
      </c>
      <c r="C632" s="5" t="s">
        <v>507</v>
      </c>
      <c r="D632" s="5" t="s">
        <v>350</v>
      </c>
      <c r="E632" s="5" t="s">
        <v>80</v>
      </c>
      <c r="F632" s="5" t="n">
        <v>184</v>
      </c>
      <c r="G632" s="20" t="n">
        <v>4613508</v>
      </c>
      <c r="H632" s="20" t="n">
        <v>830431</v>
      </c>
      <c r="I632" s="20" t="n">
        <v>5443939</v>
      </c>
      <c r="J632" s="5" t="s">
        <v>335</v>
      </c>
      <c r="K632" s="5" t="s">
        <v>343</v>
      </c>
    </row>
    <row r="633" customFormat="false" ht="15" hidden="false" customHeight="false" outlineLevel="0" collapsed="false">
      <c r="A633" s="5" t="s">
        <v>1555</v>
      </c>
      <c r="B633" s="26" t="n">
        <v>46253</v>
      </c>
      <c r="C633" s="5" t="s">
        <v>431</v>
      </c>
      <c r="D633" s="5" t="s">
        <v>334</v>
      </c>
      <c r="E633" s="5" t="s">
        <v>38</v>
      </c>
      <c r="F633" s="5" t="n">
        <v>4848</v>
      </c>
      <c r="G633" s="20" t="n">
        <v>9036038</v>
      </c>
      <c r="H633" s="20" t="n">
        <v>1626487</v>
      </c>
      <c r="I633" s="5" t="s">
        <v>1556</v>
      </c>
      <c r="J633" s="5" t="s">
        <v>356</v>
      </c>
      <c r="K633" s="5" t="s">
        <v>368</v>
      </c>
    </row>
    <row r="634" customFormat="false" ht="15" hidden="false" customHeight="false" outlineLevel="0" collapsed="false">
      <c r="A634" s="5" t="s">
        <v>1557</v>
      </c>
      <c r="B634" s="26" t="n">
        <v>46253</v>
      </c>
      <c r="C634" s="5" t="s">
        <v>349</v>
      </c>
      <c r="D634" s="5" t="s">
        <v>350</v>
      </c>
      <c r="E634" s="5" t="s">
        <v>80</v>
      </c>
      <c r="F634" s="5" t="n">
        <v>916</v>
      </c>
      <c r="G634" s="5" t="s">
        <v>1558</v>
      </c>
      <c r="H634" s="20" t="n">
        <v>3961995</v>
      </c>
      <c r="I634" s="20" t="n">
        <v>25973078</v>
      </c>
      <c r="J634" s="5" t="s">
        <v>342</v>
      </c>
      <c r="K634" s="5" t="s">
        <v>406</v>
      </c>
    </row>
    <row r="635" customFormat="false" ht="15" hidden="false" customHeight="false" outlineLevel="0" collapsed="false">
      <c r="A635" s="5" t="s">
        <v>1559</v>
      </c>
      <c r="B635" s="26" t="n">
        <v>46258</v>
      </c>
      <c r="C635" s="5" t="s">
        <v>382</v>
      </c>
      <c r="D635" s="5" t="s">
        <v>432</v>
      </c>
      <c r="E635" s="5" t="s">
        <v>39</v>
      </c>
      <c r="F635" s="5" t="n">
        <v>406</v>
      </c>
      <c r="G635" s="20" t="n">
        <v>10681896</v>
      </c>
      <c r="H635" s="20" t="n">
        <v>1922741</v>
      </c>
      <c r="I635" s="5" t="s">
        <v>1560</v>
      </c>
      <c r="J635" s="5" t="s">
        <v>342</v>
      </c>
      <c r="K635" s="5" t="s">
        <v>406</v>
      </c>
    </row>
    <row r="636" customFormat="false" ht="15" hidden="false" customHeight="false" outlineLevel="0" collapsed="false">
      <c r="A636" s="5" t="s">
        <v>1561</v>
      </c>
      <c r="B636" s="26" t="n">
        <v>46258</v>
      </c>
      <c r="C636" s="5" t="s">
        <v>358</v>
      </c>
      <c r="D636" s="5" t="s">
        <v>390</v>
      </c>
      <c r="E636" s="5" t="s">
        <v>38</v>
      </c>
      <c r="F636" s="5" t="n">
        <v>4617</v>
      </c>
      <c r="G636" s="20" t="n">
        <v>8972653</v>
      </c>
      <c r="H636" s="20" t="n">
        <v>1615078</v>
      </c>
      <c r="I636" s="5" t="s">
        <v>1562</v>
      </c>
      <c r="J636" s="5" t="s">
        <v>403</v>
      </c>
      <c r="K636" s="5" t="s">
        <v>406</v>
      </c>
    </row>
    <row r="637" customFormat="false" ht="15" hidden="false" customHeight="false" outlineLevel="0" collapsed="false">
      <c r="A637" s="5" t="s">
        <v>1563</v>
      </c>
      <c r="B637" s="26" t="n">
        <v>46259</v>
      </c>
      <c r="C637" s="5" t="s">
        <v>400</v>
      </c>
      <c r="E637" s="5" t="s">
        <v>41</v>
      </c>
      <c r="F637" s="5" t="n">
        <v>1874</v>
      </c>
      <c r="G637" s="20" t="n">
        <v>6756787</v>
      </c>
      <c r="H637" s="5" t="s">
        <v>1564</v>
      </c>
      <c r="I637" s="20" t="n">
        <v>7973009</v>
      </c>
      <c r="J637" s="5" t="s">
        <v>342</v>
      </c>
      <c r="K637" s="5" t="s">
        <v>384</v>
      </c>
    </row>
    <row r="638" customFormat="false" ht="15" hidden="false" customHeight="false" outlineLevel="0" collapsed="false">
      <c r="A638" s="5" t="s">
        <v>1565</v>
      </c>
      <c r="B638" s="26" t="n">
        <v>46260</v>
      </c>
      <c r="C638" s="5" t="s">
        <v>419</v>
      </c>
      <c r="D638" s="5" t="s">
        <v>390</v>
      </c>
      <c r="E638" s="5" t="s">
        <v>38</v>
      </c>
      <c r="F638" s="5" t="n">
        <v>2256</v>
      </c>
      <c r="G638" s="20" t="n">
        <v>3897934</v>
      </c>
      <c r="H638" s="20" t="n">
        <v>701628</v>
      </c>
      <c r="I638" s="5" t="s">
        <v>1566</v>
      </c>
      <c r="J638" s="5" t="s">
        <v>346</v>
      </c>
      <c r="K638" s="5" t="s">
        <v>406</v>
      </c>
    </row>
    <row r="639" customFormat="false" ht="15" hidden="false" customHeight="false" outlineLevel="0" collapsed="false">
      <c r="A639" s="5" t="s">
        <v>1567</v>
      </c>
      <c r="B639" s="26" t="n">
        <v>46264</v>
      </c>
      <c r="C639" s="5" t="s">
        <v>428</v>
      </c>
      <c r="D639" s="5" t="s">
        <v>374</v>
      </c>
      <c r="E639" s="5" t="s">
        <v>429</v>
      </c>
      <c r="F639" s="5" t="n">
        <v>1182</v>
      </c>
      <c r="G639" s="20" t="n">
        <v>7244250</v>
      </c>
      <c r="H639" s="5" t="s">
        <v>1568</v>
      </c>
      <c r="I639" s="20" t="n">
        <v>8548215</v>
      </c>
      <c r="J639" s="5" t="s">
        <v>403</v>
      </c>
      <c r="K639" s="5" t="s">
        <v>343</v>
      </c>
    </row>
    <row r="640" customFormat="false" ht="15" hidden="false" customHeight="false" outlineLevel="0" collapsed="false">
      <c r="A640" s="5" t="s">
        <v>1569</v>
      </c>
      <c r="B640" s="26" t="n">
        <v>46265</v>
      </c>
      <c r="C640" s="5" t="s">
        <v>333</v>
      </c>
      <c r="D640" s="5" t="s">
        <v>334</v>
      </c>
      <c r="E640" s="5" t="s">
        <v>38</v>
      </c>
      <c r="F640" s="5" t="n">
        <v>4440</v>
      </c>
      <c r="G640" s="20" t="n">
        <v>7785221</v>
      </c>
      <c r="H640" s="20" t="n">
        <v>1401340</v>
      </c>
      <c r="I640" s="5" t="s">
        <v>1570</v>
      </c>
      <c r="J640" s="5" t="s">
        <v>403</v>
      </c>
      <c r="K640" s="5" t="s">
        <v>336</v>
      </c>
    </row>
    <row r="641" customFormat="false" ht="15" hidden="false" customHeight="false" outlineLevel="0" collapsed="false">
      <c r="A641" s="5" t="s">
        <v>1571</v>
      </c>
      <c r="B641" s="26" t="n">
        <v>46265</v>
      </c>
      <c r="C641" s="5" t="s">
        <v>419</v>
      </c>
      <c r="D641" s="5" t="s">
        <v>390</v>
      </c>
      <c r="E641" s="5" t="s">
        <v>38</v>
      </c>
      <c r="F641" s="5" t="n">
        <v>3485</v>
      </c>
      <c r="G641" s="20" t="n">
        <v>6086779</v>
      </c>
      <c r="H641" s="20" t="n">
        <v>1095620</v>
      </c>
      <c r="I641" s="5" t="s">
        <v>1572</v>
      </c>
      <c r="J641" s="5" t="s">
        <v>335</v>
      </c>
      <c r="K641" s="5" t="s">
        <v>347</v>
      </c>
    </row>
    <row r="643" customFormat="false" ht="15" hidden="false" customHeight="false" outlineLevel="0" collapsed="false">
      <c r="A643" s="3" t="s">
        <v>1573</v>
      </c>
      <c r="I643" s="27" t="n">
        <v>4435484659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10" min="4" style="0" width="16"/>
    <col collapsed="false" customWidth="true" hidden="false" outlineLevel="0" max="11" min="11" style="0" width="18"/>
    <col collapsed="false" customWidth="true" hidden="false" outlineLevel="0" max="13" min="12" style="0" width="16"/>
    <col collapsed="false" customWidth="true" hidden="false" outlineLevel="0" max="14" min="14" style="0" width="30"/>
  </cols>
  <sheetData>
    <row r="1" customFormat="false" ht="16.15" hidden="false" customHeight="false" outlineLevel="0" collapsed="false">
      <c r="A1" s="19" t="s">
        <v>1574</v>
      </c>
    </row>
    <row r="2" customFormat="false" ht="15" hidden="false" customHeight="false" outlineLevel="0" collapsed="false">
      <c r="A2" s="5" t="s">
        <v>1575</v>
      </c>
    </row>
    <row r="5" customFormat="false" ht="15" hidden="false" customHeight="false" outlineLevel="0" collapsed="false">
      <c r="F5" s="28" t="s">
        <v>1576</v>
      </c>
      <c r="G5" s="28"/>
      <c r="H5" s="28"/>
      <c r="I5" s="28"/>
      <c r="J5" s="28"/>
    </row>
    <row r="6" customFormat="false" ht="15" hidden="false" customHeight="false" outlineLevel="0" collapsed="false">
      <c r="A6" s="9" t="s">
        <v>1577</v>
      </c>
      <c r="B6" s="9" t="s">
        <v>1578</v>
      </c>
      <c r="C6" s="9" t="s">
        <v>1579</v>
      </c>
      <c r="D6" s="9" t="s">
        <v>1580</v>
      </c>
      <c r="E6" s="9" t="s">
        <v>1581</v>
      </c>
      <c r="F6" s="9" t="s">
        <v>1582</v>
      </c>
      <c r="G6" s="9" t="s">
        <v>1583</v>
      </c>
      <c r="H6" s="9" t="s">
        <v>1584</v>
      </c>
      <c r="I6" s="9" t="s">
        <v>1585</v>
      </c>
      <c r="J6" s="9" t="s">
        <v>1586</v>
      </c>
      <c r="K6" s="9" t="s">
        <v>1587</v>
      </c>
      <c r="L6" s="9" t="s">
        <v>1588</v>
      </c>
      <c r="M6" s="9" t="s">
        <v>330</v>
      </c>
      <c r="N6" s="9" t="s">
        <v>35</v>
      </c>
    </row>
    <row r="7" customFormat="false" ht="15" hidden="false" customHeight="false" outlineLevel="0" collapsed="false">
      <c r="A7" s="5" t="n">
        <v>1</v>
      </c>
      <c r="B7" s="5" t="s">
        <v>345</v>
      </c>
      <c r="C7" s="5" t="s">
        <v>1589</v>
      </c>
      <c r="D7" s="29" t="n">
        <v>217000000</v>
      </c>
      <c r="E7" s="29" t="n">
        <v>60339347</v>
      </c>
      <c r="F7" s="29" t="n">
        <v>55001052</v>
      </c>
      <c r="G7" s="29" t="n">
        <v>17390332</v>
      </c>
      <c r="H7" s="29" t="n">
        <v>11645113</v>
      </c>
      <c r="I7" s="29" t="n">
        <v>5261882</v>
      </c>
      <c r="J7" s="29" t="n">
        <v>10918553</v>
      </c>
      <c r="K7" s="29" t="n">
        <v>160556279</v>
      </c>
      <c r="L7" s="29" t="n">
        <v>13549494</v>
      </c>
      <c r="M7" s="5" t="s">
        <v>368</v>
      </c>
      <c r="N7" s="5" t="s">
        <v>1590</v>
      </c>
    </row>
    <row r="8" customFormat="false" ht="15" hidden="false" customHeight="false" outlineLevel="0" collapsed="false">
      <c r="A8" s="5" t="n">
        <v>2</v>
      </c>
      <c r="B8" s="5" t="s">
        <v>358</v>
      </c>
      <c r="C8" s="5" t="s">
        <v>1589</v>
      </c>
      <c r="D8" s="29" t="n">
        <v>186000000</v>
      </c>
      <c r="E8" s="29" t="n">
        <v>79517602</v>
      </c>
      <c r="F8" s="29" t="n">
        <v>32067115</v>
      </c>
      <c r="G8" s="29" t="n">
        <v>13706533</v>
      </c>
      <c r="H8" s="29" t="n">
        <v>7436903</v>
      </c>
      <c r="I8" s="29" t="n">
        <v>2229234</v>
      </c>
      <c r="J8" s="29" t="n">
        <v>2662274</v>
      </c>
      <c r="K8" s="29" t="n">
        <v>137619661</v>
      </c>
      <c r="L8" s="29" t="n">
        <v>3776891</v>
      </c>
      <c r="M8" s="5" t="s">
        <v>384</v>
      </c>
    </row>
    <row r="9" customFormat="false" ht="15" hidden="false" customHeight="false" outlineLevel="0" collapsed="false">
      <c r="A9" s="5" t="n">
        <v>3</v>
      </c>
      <c r="B9" s="5" t="s">
        <v>400</v>
      </c>
      <c r="C9" s="5" t="s">
        <v>1589</v>
      </c>
      <c r="D9" s="29" t="n">
        <v>155000000</v>
      </c>
      <c r="E9" s="29" t="n">
        <v>53717246</v>
      </c>
      <c r="F9" s="29" t="n">
        <v>17749532</v>
      </c>
      <c r="G9" s="29" t="n">
        <v>10887801</v>
      </c>
      <c r="H9" s="29" t="n">
        <v>17515718</v>
      </c>
      <c r="I9" s="29" t="n">
        <v>4643574</v>
      </c>
      <c r="J9" s="5" t="s">
        <v>1591</v>
      </c>
      <c r="K9" s="29" t="n">
        <v>114683050</v>
      </c>
      <c r="L9" s="29" t="n">
        <v>12490966</v>
      </c>
      <c r="M9" s="5" t="s">
        <v>336</v>
      </c>
      <c r="N9" s="5" t="s">
        <v>1592</v>
      </c>
    </row>
    <row r="10" customFormat="false" ht="15" hidden="false" customHeight="false" outlineLevel="0" collapsed="false">
      <c r="A10" s="5" t="n">
        <v>4</v>
      </c>
      <c r="B10" s="5" t="s">
        <v>419</v>
      </c>
      <c r="C10" s="5" t="s">
        <v>1589</v>
      </c>
      <c r="D10" s="29" t="n">
        <v>124000000</v>
      </c>
      <c r="E10" s="29" t="n">
        <v>47421819</v>
      </c>
      <c r="F10" s="29" t="n">
        <v>17169602</v>
      </c>
      <c r="G10" s="5" t="s">
        <v>1593</v>
      </c>
      <c r="H10" s="29" t="n">
        <v>11598964</v>
      </c>
      <c r="I10" s="29" t="n">
        <v>6271536</v>
      </c>
      <c r="J10" s="29" t="n">
        <v>382108</v>
      </c>
      <c r="K10" s="29" t="n">
        <v>91746440</v>
      </c>
      <c r="L10" s="29" t="n">
        <v>3517876</v>
      </c>
      <c r="M10" s="5" t="s">
        <v>384</v>
      </c>
    </row>
    <row r="11" customFormat="false" ht="15" hidden="false" customHeight="false" outlineLevel="0" collapsed="false">
      <c r="A11" s="5" t="n">
        <v>5</v>
      </c>
      <c r="B11" s="5" t="s">
        <v>378</v>
      </c>
      <c r="C11" s="5" t="s">
        <v>1589</v>
      </c>
      <c r="D11" s="29" t="n">
        <v>109000000</v>
      </c>
      <c r="E11" s="29" t="n">
        <v>41434176</v>
      </c>
      <c r="F11" s="29" t="n">
        <v>21376411</v>
      </c>
      <c r="G11" s="29" t="n">
        <v>2640030</v>
      </c>
      <c r="H11" s="29" t="n">
        <v>8030977</v>
      </c>
      <c r="I11" s="29" t="n">
        <v>6518432</v>
      </c>
      <c r="J11" s="29" t="n">
        <v>278109</v>
      </c>
      <c r="K11" s="29" t="n">
        <v>80278135</v>
      </c>
      <c r="L11" s="29" t="n">
        <v>3537325</v>
      </c>
      <c r="M11" s="5" t="s">
        <v>347</v>
      </c>
      <c r="N11" s="5" t="s">
        <v>1594</v>
      </c>
    </row>
    <row r="12" customFormat="false" ht="15" hidden="false" customHeight="false" outlineLevel="0" collapsed="false">
      <c r="A12" s="5" t="n">
        <v>6</v>
      </c>
      <c r="B12" s="5" t="s">
        <v>431</v>
      </c>
      <c r="C12" s="5" t="s">
        <v>1589</v>
      </c>
      <c r="D12" s="29" t="n">
        <v>109000000</v>
      </c>
      <c r="E12" s="29" t="n">
        <v>14129462</v>
      </c>
      <c r="F12" s="29" t="n">
        <v>4952774</v>
      </c>
      <c r="G12" s="29" t="n">
        <v>11456817</v>
      </c>
      <c r="H12" s="29" t="n">
        <v>11902553</v>
      </c>
      <c r="I12" s="29" t="n">
        <v>20022608</v>
      </c>
      <c r="J12" s="29" t="n">
        <v>17813921</v>
      </c>
      <c r="K12" s="29" t="n">
        <v>80278135</v>
      </c>
      <c r="L12" s="29" t="n">
        <v>27825225</v>
      </c>
      <c r="M12" s="5" t="s">
        <v>406</v>
      </c>
      <c r="N12" s="5" t="s">
        <v>1595</v>
      </c>
    </row>
    <row r="13" customFormat="false" ht="15" hidden="false" customHeight="false" outlineLevel="0" collapsed="false">
      <c r="A13" s="30"/>
      <c r="B13" s="21" t="s">
        <v>1596</v>
      </c>
      <c r="C13" s="30"/>
      <c r="D13" s="30"/>
      <c r="E13" s="31" t="n">
        <v>296559652</v>
      </c>
      <c r="F13" s="31" t="n">
        <v>148316486</v>
      </c>
      <c r="G13" s="31" t="n">
        <v>64983924</v>
      </c>
      <c r="H13" s="31" t="n">
        <v>68130228</v>
      </c>
      <c r="I13" s="31" t="n">
        <v>44947266</v>
      </c>
      <c r="J13" s="31" t="n">
        <v>42224144</v>
      </c>
      <c r="K13" s="31" t="n">
        <v>665161700</v>
      </c>
      <c r="L13" s="31" t="n">
        <v>64697777</v>
      </c>
      <c r="M13" s="30"/>
      <c r="N13" s="30"/>
    </row>
    <row r="15" customFormat="false" ht="15" hidden="false" customHeight="false" outlineLevel="0" collapsed="false">
      <c r="A15" s="5" t="n">
        <v>7</v>
      </c>
      <c r="B15" s="5" t="s">
        <v>349</v>
      </c>
      <c r="C15" s="5" t="s">
        <v>1597</v>
      </c>
      <c r="D15" s="29" t="n">
        <v>93000000</v>
      </c>
      <c r="E15" s="29" t="n">
        <v>31730061</v>
      </c>
      <c r="F15" s="29" t="n">
        <v>17310009</v>
      </c>
      <c r="G15" s="29" t="n">
        <v>7305994</v>
      </c>
      <c r="H15" s="29" t="n">
        <v>5405063</v>
      </c>
      <c r="I15" s="29" t="n">
        <v>5613129</v>
      </c>
      <c r="J15" s="29" t="n">
        <v>1445574</v>
      </c>
      <c r="K15" s="29" t="n">
        <v>68809830</v>
      </c>
      <c r="L15" s="29" t="n">
        <v>4252138</v>
      </c>
      <c r="M15" s="5" t="s">
        <v>343</v>
      </c>
      <c r="N15" s="5" t="s">
        <v>1594</v>
      </c>
    </row>
    <row r="16" customFormat="false" ht="15" hidden="false" customHeight="false" outlineLevel="0" collapsed="false">
      <c r="A16" s="5" t="n">
        <v>8</v>
      </c>
      <c r="B16" s="5" t="s">
        <v>455</v>
      </c>
      <c r="C16" s="5" t="s">
        <v>1597</v>
      </c>
      <c r="D16" s="29" t="n">
        <v>78000000</v>
      </c>
      <c r="E16" s="29" t="n">
        <v>29894298</v>
      </c>
      <c r="F16" s="5" t="s">
        <v>1598</v>
      </c>
      <c r="G16" s="29" t="n">
        <v>5808292</v>
      </c>
      <c r="H16" s="29" t="n">
        <v>5065056</v>
      </c>
      <c r="I16" s="29" t="n">
        <v>3349243</v>
      </c>
      <c r="J16" s="29" t="n">
        <v>652098</v>
      </c>
      <c r="K16" s="29" t="n">
        <v>57341525</v>
      </c>
      <c r="L16" s="29" t="n">
        <v>2326719</v>
      </c>
      <c r="M16" s="5" t="s">
        <v>363</v>
      </c>
    </row>
    <row r="17" customFormat="false" ht="15" hidden="false" customHeight="false" outlineLevel="0" collapsed="false">
      <c r="A17" s="5" t="n">
        <v>9</v>
      </c>
      <c r="B17" s="5" t="s">
        <v>382</v>
      </c>
      <c r="C17" s="5" t="s">
        <v>1597</v>
      </c>
      <c r="D17" s="29" t="n">
        <v>78000000</v>
      </c>
      <c r="E17" s="29" t="n">
        <v>24709239</v>
      </c>
      <c r="F17" s="29" t="n">
        <v>15047943</v>
      </c>
      <c r="G17" s="5" t="s">
        <v>1599</v>
      </c>
      <c r="H17" s="29" t="n">
        <v>8641328</v>
      </c>
      <c r="I17" s="29" t="n">
        <v>2910034</v>
      </c>
      <c r="J17" s="29" t="n">
        <v>1581878</v>
      </c>
      <c r="K17" s="29" t="n">
        <v>57341525</v>
      </c>
      <c r="L17" s="29" t="n">
        <v>3036895</v>
      </c>
      <c r="M17" s="5" t="s">
        <v>396</v>
      </c>
    </row>
    <row r="18" customFormat="false" ht="15" hidden="false" customHeight="false" outlineLevel="0" collapsed="false">
      <c r="A18" s="5" t="n">
        <v>10</v>
      </c>
      <c r="B18" s="5" t="s">
        <v>373</v>
      </c>
      <c r="C18" s="5" t="s">
        <v>1597</v>
      </c>
      <c r="D18" s="29" t="n">
        <v>78000000</v>
      </c>
      <c r="E18" s="5" t="s">
        <v>1600</v>
      </c>
      <c r="F18" s="29" t="n">
        <v>10211227</v>
      </c>
      <c r="G18" s="29" t="n">
        <v>2996067</v>
      </c>
      <c r="H18" s="29" t="n">
        <v>3079180</v>
      </c>
      <c r="I18" s="29" t="n">
        <v>8166679</v>
      </c>
      <c r="J18" s="29" t="n">
        <v>437071</v>
      </c>
      <c r="K18" s="29" t="n">
        <v>57341525</v>
      </c>
      <c r="L18" s="29" t="n">
        <v>4520410</v>
      </c>
      <c r="M18" s="5" t="s">
        <v>347</v>
      </c>
      <c r="N18" s="5" t="s">
        <v>1594</v>
      </c>
    </row>
    <row r="19" customFormat="false" ht="15" hidden="false" customHeight="false" outlineLevel="0" collapsed="false">
      <c r="A19" s="5" t="n">
        <v>11</v>
      </c>
      <c r="B19" s="5" t="s">
        <v>507</v>
      </c>
      <c r="C19" s="5" t="s">
        <v>1597</v>
      </c>
      <c r="D19" s="29" t="n">
        <v>62000000</v>
      </c>
      <c r="E19" s="29" t="n">
        <v>6188973</v>
      </c>
      <c r="F19" s="5" t="s">
        <v>1601</v>
      </c>
      <c r="G19" s="29" t="n">
        <v>5417312</v>
      </c>
      <c r="H19" s="29" t="n">
        <v>9256859</v>
      </c>
      <c r="I19" s="29" t="n">
        <v>11191525</v>
      </c>
      <c r="J19" s="5" t="s">
        <v>1602</v>
      </c>
      <c r="K19" s="29" t="n">
        <v>45873220</v>
      </c>
      <c r="L19" s="29" t="n">
        <v>14573327</v>
      </c>
      <c r="M19" s="5" t="s">
        <v>336</v>
      </c>
      <c r="N19" s="5" t="s">
        <v>1592</v>
      </c>
    </row>
    <row r="20" customFormat="false" ht="15" hidden="false" customHeight="false" outlineLevel="0" collapsed="false">
      <c r="A20" s="5" t="n">
        <v>12</v>
      </c>
      <c r="B20" s="5" t="s">
        <v>492</v>
      </c>
      <c r="C20" s="5" t="s">
        <v>1597</v>
      </c>
      <c r="D20" s="29" t="n">
        <v>47000000</v>
      </c>
      <c r="E20" s="29" t="n">
        <v>20548762</v>
      </c>
      <c r="F20" s="29" t="n">
        <v>3632878</v>
      </c>
      <c r="G20" s="5" t="s">
        <v>1603</v>
      </c>
      <c r="H20" s="29" t="n">
        <v>4068916</v>
      </c>
      <c r="I20" s="29" t="n">
        <v>791919</v>
      </c>
      <c r="J20" s="29" t="n">
        <v>3617704</v>
      </c>
      <c r="K20" s="29" t="n">
        <v>34404915</v>
      </c>
      <c r="L20" s="29" t="n">
        <v>4013663</v>
      </c>
      <c r="M20" s="5" t="s">
        <v>406</v>
      </c>
      <c r="N20" s="5" t="s">
        <v>1592</v>
      </c>
    </row>
    <row r="21" customFormat="false" ht="15" hidden="false" customHeight="false" outlineLevel="0" collapsed="false">
      <c r="A21" s="30"/>
      <c r="B21" s="21" t="s">
        <v>1604</v>
      </c>
      <c r="C21" s="30"/>
      <c r="D21" s="30"/>
      <c r="E21" s="31" t="n">
        <v>145522634</v>
      </c>
      <c r="F21" s="31" t="n">
        <v>63615581</v>
      </c>
      <c r="G21" s="31" t="n">
        <v>27723504</v>
      </c>
      <c r="H21" s="31" t="n">
        <v>35516402</v>
      </c>
      <c r="I21" s="31" t="n">
        <v>32022529</v>
      </c>
      <c r="J21" s="31" t="n">
        <v>16711890</v>
      </c>
      <c r="K21" s="31" t="n">
        <v>321112540</v>
      </c>
      <c r="L21" s="31" t="n">
        <v>32723152</v>
      </c>
      <c r="M21" s="30"/>
      <c r="N21" s="30"/>
    </row>
    <row r="23" customFormat="false" ht="15" hidden="false" customHeight="false" outlineLevel="0" collapsed="false">
      <c r="A23" s="5" t="n">
        <v>13</v>
      </c>
      <c r="B23" s="5" t="s">
        <v>555</v>
      </c>
      <c r="C23" s="5" t="s">
        <v>82</v>
      </c>
      <c r="D23" s="29" t="n">
        <v>62000000</v>
      </c>
      <c r="E23" s="29" t="n">
        <v>24663292</v>
      </c>
      <c r="F23" s="29" t="n">
        <v>7026257</v>
      </c>
      <c r="G23" s="29" t="n">
        <v>8555157</v>
      </c>
      <c r="H23" s="29" t="n">
        <v>2465296</v>
      </c>
      <c r="I23" s="29" t="n">
        <v>1917174</v>
      </c>
      <c r="J23" s="29" t="n">
        <v>1246044</v>
      </c>
      <c r="K23" s="29" t="n">
        <v>45873220</v>
      </c>
      <c r="L23" s="29" t="n">
        <v>2204631</v>
      </c>
      <c r="M23" s="5" t="s">
        <v>368</v>
      </c>
    </row>
    <row r="24" customFormat="false" ht="15" hidden="false" customHeight="false" outlineLevel="0" collapsed="false">
      <c r="A24" s="5" t="n">
        <v>14</v>
      </c>
      <c r="B24" s="5" t="s">
        <v>339</v>
      </c>
      <c r="C24" s="5" t="s">
        <v>82</v>
      </c>
      <c r="D24" s="29" t="n">
        <v>47000000</v>
      </c>
      <c r="E24" s="29" t="n">
        <v>19766800</v>
      </c>
      <c r="F24" s="29" t="n">
        <v>6119760</v>
      </c>
      <c r="G24" s="29" t="n">
        <v>2973703</v>
      </c>
      <c r="H24" s="5" t="s">
        <v>1605</v>
      </c>
      <c r="I24" s="29" t="n">
        <v>329732</v>
      </c>
      <c r="J24" s="29" t="n">
        <v>900141</v>
      </c>
      <c r="K24" s="29" t="n">
        <v>34404915</v>
      </c>
      <c r="L24" s="29" t="n">
        <v>1065007</v>
      </c>
      <c r="M24" s="5" t="s">
        <v>384</v>
      </c>
    </row>
    <row r="25" customFormat="false" ht="15" hidden="false" customHeight="false" outlineLevel="0" collapsed="false">
      <c r="A25" s="5" t="n">
        <v>15</v>
      </c>
      <c r="B25" s="5" t="s">
        <v>428</v>
      </c>
      <c r="C25" s="5" t="s">
        <v>82</v>
      </c>
      <c r="D25" s="29" t="n">
        <v>47000000</v>
      </c>
      <c r="E25" s="29" t="n">
        <v>15968449</v>
      </c>
      <c r="F25" s="29" t="n">
        <v>8025697</v>
      </c>
      <c r="G25" s="29" t="n">
        <v>3597397</v>
      </c>
      <c r="H25" s="29" t="n">
        <v>3183617</v>
      </c>
      <c r="I25" s="29" t="n">
        <v>2871586</v>
      </c>
      <c r="J25" s="29" t="n">
        <v>758169</v>
      </c>
      <c r="K25" s="29" t="n">
        <v>34404915</v>
      </c>
      <c r="L25" s="29" t="n">
        <v>2193962</v>
      </c>
      <c r="M25" s="5" t="s">
        <v>368</v>
      </c>
      <c r="N25" s="5" t="s">
        <v>1606</v>
      </c>
    </row>
    <row r="26" customFormat="false" ht="15" hidden="false" customHeight="false" outlineLevel="0" collapsed="false">
      <c r="A26" s="30"/>
      <c r="B26" s="21" t="s">
        <v>1607</v>
      </c>
      <c r="C26" s="30"/>
      <c r="D26" s="30"/>
      <c r="E26" s="31" t="n">
        <v>60398541</v>
      </c>
      <c r="F26" s="31" t="n">
        <v>21171714</v>
      </c>
      <c r="G26" s="31" t="n">
        <v>15126257</v>
      </c>
      <c r="H26" s="31" t="n">
        <v>9963692</v>
      </c>
      <c r="I26" s="31" t="n">
        <v>5118492</v>
      </c>
      <c r="J26" s="31" t="n">
        <v>2904354</v>
      </c>
      <c r="K26" s="31" t="n">
        <v>114683050</v>
      </c>
      <c r="L26" s="31" t="n">
        <v>5463600</v>
      </c>
      <c r="M26" s="30"/>
      <c r="N26" s="30"/>
    </row>
    <row r="28" customFormat="false" ht="15" hidden="false" customHeight="false" outlineLevel="0" collapsed="false">
      <c r="A28" s="5" t="n">
        <v>16</v>
      </c>
      <c r="B28" s="5" t="s">
        <v>415</v>
      </c>
      <c r="C28" s="5" t="s">
        <v>366</v>
      </c>
      <c r="D28" s="29" t="n">
        <v>109000000</v>
      </c>
      <c r="E28" s="29" t="n">
        <v>40841619</v>
      </c>
      <c r="F28" s="5" t="s">
        <v>1608</v>
      </c>
      <c r="G28" s="29" t="n">
        <v>2898861</v>
      </c>
      <c r="H28" s="29" t="n">
        <v>5376743</v>
      </c>
      <c r="I28" s="29" t="n">
        <v>3081087</v>
      </c>
      <c r="J28" s="29" t="n">
        <v>5418606</v>
      </c>
      <c r="K28" s="29" t="n">
        <v>80278135</v>
      </c>
      <c r="L28" s="29" t="n">
        <v>6959149</v>
      </c>
      <c r="M28" s="5" t="s">
        <v>368</v>
      </c>
      <c r="N28" s="5" t="s">
        <v>1592</v>
      </c>
    </row>
    <row r="29" customFormat="false" ht="15" hidden="false" customHeight="false" outlineLevel="0" collapsed="false">
      <c r="A29" s="5" t="n">
        <v>17</v>
      </c>
      <c r="B29" s="5" t="s">
        <v>451</v>
      </c>
      <c r="C29" s="5" t="s">
        <v>366</v>
      </c>
      <c r="D29" s="29" t="n">
        <v>93000000</v>
      </c>
      <c r="E29" s="29" t="n">
        <v>37604851</v>
      </c>
      <c r="F29" s="29" t="n">
        <v>10789006</v>
      </c>
      <c r="G29" s="29" t="n">
        <v>13488164</v>
      </c>
      <c r="H29" s="29" t="n">
        <v>4421351</v>
      </c>
      <c r="I29" s="5" t="s">
        <v>1609</v>
      </c>
      <c r="J29" s="29" t="n">
        <v>1399531</v>
      </c>
      <c r="K29" s="29" t="n">
        <v>68809830</v>
      </c>
      <c r="L29" s="29" t="n">
        <v>1952994</v>
      </c>
      <c r="M29" s="5" t="s">
        <v>368</v>
      </c>
    </row>
    <row r="30" customFormat="false" ht="15" hidden="false" customHeight="false" outlineLevel="0" collapsed="false">
      <c r="A30" s="5" t="n">
        <v>18</v>
      </c>
      <c r="B30" s="5" t="s">
        <v>365</v>
      </c>
      <c r="C30" s="5" t="s">
        <v>366</v>
      </c>
      <c r="D30" s="29" t="n">
        <v>62000000</v>
      </c>
      <c r="E30" s="29" t="n">
        <v>9346994</v>
      </c>
      <c r="F30" s="29" t="n">
        <v>3291866</v>
      </c>
      <c r="G30" s="29" t="n">
        <v>8979439</v>
      </c>
      <c r="H30" s="29" t="n">
        <v>5997987</v>
      </c>
      <c r="I30" s="5" t="s">
        <v>1610</v>
      </c>
      <c r="J30" s="29" t="n">
        <v>6521120</v>
      </c>
      <c r="K30" s="29" t="n">
        <v>45873220</v>
      </c>
      <c r="L30" s="29" t="n">
        <v>12389027</v>
      </c>
      <c r="M30" s="5" t="s">
        <v>347</v>
      </c>
      <c r="N30" s="5" t="s">
        <v>1595</v>
      </c>
    </row>
    <row r="31" customFormat="false" ht="15" hidden="false" customHeight="false" outlineLevel="0" collapsed="false">
      <c r="A31" s="5" t="n">
        <v>19</v>
      </c>
      <c r="B31" s="5" t="s">
        <v>439</v>
      </c>
      <c r="C31" s="5" t="s">
        <v>366</v>
      </c>
      <c r="D31" s="29" t="n">
        <v>47000000</v>
      </c>
      <c r="E31" s="29" t="n">
        <v>19068560</v>
      </c>
      <c r="F31" s="29" t="n">
        <v>8364958</v>
      </c>
      <c r="G31" s="29" t="n">
        <v>2823322</v>
      </c>
      <c r="H31" s="29" t="n">
        <v>2679906</v>
      </c>
      <c r="I31" s="29" t="n">
        <v>534091</v>
      </c>
      <c r="J31" s="29" t="n">
        <v>934078</v>
      </c>
      <c r="K31" s="29" t="n">
        <v>34404915</v>
      </c>
      <c r="L31" s="29" t="n">
        <v>1201123</v>
      </c>
      <c r="M31" s="5" t="s">
        <v>343</v>
      </c>
    </row>
    <row r="32" customFormat="false" ht="15" hidden="false" customHeight="false" outlineLevel="0" collapsed="false">
      <c r="A32" s="5" t="n">
        <v>20</v>
      </c>
      <c r="B32" s="5" t="s">
        <v>449</v>
      </c>
      <c r="C32" s="5" t="s">
        <v>366</v>
      </c>
      <c r="D32" s="29" t="n">
        <v>31000000</v>
      </c>
      <c r="E32" s="29" t="n">
        <v>9613083</v>
      </c>
      <c r="F32" s="29" t="n">
        <v>6512813</v>
      </c>
      <c r="G32" s="29" t="n">
        <v>2088406</v>
      </c>
      <c r="H32" s="29" t="n">
        <v>2418658</v>
      </c>
      <c r="I32" s="29" t="n">
        <v>924811</v>
      </c>
      <c r="J32" s="29" t="n">
        <v>1378839</v>
      </c>
      <c r="K32" s="29" t="n">
        <v>22936610</v>
      </c>
      <c r="L32" s="29" t="n">
        <v>1841244</v>
      </c>
      <c r="M32" s="5" t="s">
        <v>368</v>
      </c>
      <c r="N32" s="5" t="s">
        <v>1595</v>
      </c>
    </row>
    <row r="33" customFormat="false" ht="15" hidden="false" customHeight="false" outlineLevel="0" collapsed="false">
      <c r="A33" s="30"/>
      <c r="B33" s="21" t="s">
        <v>1611</v>
      </c>
      <c r="C33" s="30"/>
      <c r="D33" s="30"/>
      <c r="E33" s="31" t="n">
        <v>116475107</v>
      </c>
      <c r="F33" s="31" t="n">
        <v>51619862</v>
      </c>
      <c r="G33" s="31" t="n">
        <v>30278192</v>
      </c>
      <c r="H33" s="31" t="n">
        <v>20894645</v>
      </c>
      <c r="I33" s="31" t="n">
        <v>17382730</v>
      </c>
      <c r="J33" s="31" t="n">
        <v>15652174</v>
      </c>
      <c r="K33" s="31" t="n">
        <v>252302710</v>
      </c>
      <c r="L33" s="31" t="n">
        <v>24343537</v>
      </c>
      <c r="M33" s="30"/>
      <c r="N33" s="30"/>
    </row>
    <row r="35" customFormat="false" ht="15" hidden="false" customHeight="false" outlineLevel="0" collapsed="false">
      <c r="B35" s="3" t="s">
        <v>1612</v>
      </c>
      <c r="E35" s="32" t="n">
        <v>618955934</v>
      </c>
      <c r="F35" s="32" t="n">
        <v>284723643</v>
      </c>
      <c r="G35" s="32" t="n">
        <v>138111877</v>
      </c>
      <c r="H35" s="32" t="n">
        <v>134504967</v>
      </c>
      <c r="I35" s="32" t="n">
        <v>99471017</v>
      </c>
      <c r="J35" s="32" t="n">
        <v>77492562</v>
      </c>
      <c r="K35" s="32" t="n">
        <v>1353260000</v>
      </c>
      <c r="L35" s="32" t="n">
        <v>127228066</v>
      </c>
    </row>
    <row r="37" customFormat="false" ht="15" hidden="false" customHeight="false" outlineLevel="0" collapsed="false">
      <c r="B37" s="5" t="s">
        <v>1613</v>
      </c>
    </row>
  </sheetData>
  <mergeCells count="1">
    <mergeCell ref="F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8" min="4" style="0" width="16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48"/>
  </cols>
  <sheetData>
    <row r="1" customFormat="false" ht="16.15" hidden="false" customHeight="false" outlineLevel="0" collapsed="false">
      <c r="A1" s="19" t="s">
        <v>1614</v>
      </c>
    </row>
    <row r="2" customFormat="false" ht="15" hidden="false" customHeight="false" outlineLevel="0" collapsed="false">
      <c r="A2" s="5" t="s">
        <v>1615</v>
      </c>
    </row>
    <row r="5" customFormat="false" ht="23.85" hidden="false" customHeight="false" outlineLevel="0" collapsed="false">
      <c r="A5" s="10" t="s">
        <v>1616</v>
      </c>
      <c r="B5" s="10" t="s">
        <v>1617</v>
      </c>
      <c r="C5" s="10" t="s">
        <v>1618</v>
      </c>
      <c r="D5" s="10" t="s">
        <v>1581</v>
      </c>
      <c r="E5" s="10" t="s">
        <v>1619</v>
      </c>
      <c r="F5" s="10" t="s">
        <v>1620</v>
      </c>
      <c r="G5" s="10" t="s">
        <v>1621</v>
      </c>
      <c r="H5" s="10" t="s">
        <v>1622</v>
      </c>
      <c r="I5" s="10" t="s">
        <v>1623</v>
      </c>
      <c r="J5" s="10" t="s">
        <v>1624</v>
      </c>
      <c r="K5" s="10" t="s">
        <v>35</v>
      </c>
    </row>
    <row r="6" customFormat="false" ht="15" hidden="false" customHeight="false" outlineLevel="0" collapsed="false">
      <c r="A6" s="5" t="s">
        <v>1625</v>
      </c>
      <c r="B6" s="5" t="s">
        <v>1626</v>
      </c>
      <c r="C6" s="5" t="s">
        <v>1627</v>
      </c>
      <c r="D6" s="29" t="n">
        <v>95838973</v>
      </c>
      <c r="E6" s="29" t="n">
        <v>33780827</v>
      </c>
      <c r="F6" s="29" t="n">
        <v>8417836</v>
      </c>
      <c r="G6" s="29" t="n">
        <v>1482024</v>
      </c>
      <c r="H6" s="29" t="n">
        <v>3925902</v>
      </c>
      <c r="I6" s="29" t="n">
        <v>143445562</v>
      </c>
      <c r="J6" s="5" t="n">
        <v>30</v>
      </c>
    </row>
    <row r="7" customFormat="false" ht="15" hidden="false" customHeight="false" outlineLevel="0" collapsed="false">
      <c r="A7" s="5" t="s">
        <v>1628</v>
      </c>
      <c r="B7" s="5" t="s">
        <v>1626</v>
      </c>
      <c r="C7" s="5" t="s">
        <v>1629</v>
      </c>
      <c r="D7" s="5" t="s">
        <v>1630</v>
      </c>
      <c r="E7" s="29" t="n">
        <v>21195165</v>
      </c>
      <c r="F7" s="29" t="n">
        <v>12429971</v>
      </c>
      <c r="G7" s="29" t="n">
        <v>6015488</v>
      </c>
      <c r="H7" s="29" t="n">
        <v>2743036</v>
      </c>
      <c r="I7" s="29" t="n">
        <v>63753581</v>
      </c>
      <c r="J7" s="5" t="n">
        <v>30</v>
      </c>
      <c r="K7" s="5" t="s">
        <v>1631</v>
      </c>
    </row>
    <row r="8" customFormat="false" ht="15" hidden="false" customHeight="false" outlineLevel="0" collapsed="false">
      <c r="A8" s="5" t="s">
        <v>1632</v>
      </c>
      <c r="B8" s="5" t="s">
        <v>1626</v>
      </c>
      <c r="C8" s="5" t="s">
        <v>1627</v>
      </c>
      <c r="D8" s="29" t="n">
        <v>47640288</v>
      </c>
      <c r="E8" s="29" t="n">
        <v>16349860</v>
      </c>
      <c r="F8" s="29" t="n">
        <v>4513985</v>
      </c>
      <c r="G8" s="5" t="s">
        <v>1633</v>
      </c>
      <c r="H8" s="29" t="n">
        <v>91439</v>
      </c>
      <c r="I8" s="29" t="n">
        <v>71722779</v>
      </c>
      <c r="J8" s="5" t="n">
        <v>30</v>
      </c>
    </row>
    <row r="9" customFormat="false" ht="15" hidden="false" customHeight="false" outlineLevel="0" collapsed="false">
      <c r="A9" s="5" t="s">
        <v>1634</v>
      </c>
      <c r="B9" s="5" t="s">
        <v>1626</v>
      </c>
      <c r="C9" s="5" t="s">
        <v>1629</v>
      </c>
      <c r="D9" s="29" t="n">
        <v>27460945</v>
      </c>
      <c r="E9" s="29" t="n">
        <v>11007456</v>
      </c>
      <c r="F9" s="29" t="n">
        <v>4884563</v>
      </c>
      <c r="G9" s="29" t="n">
        <v>2883985</v>
      </c>
      <c r="H9" s="29" t="n">
        <v>1578237</v>
      </c>
      <c r="I9" s="29" t="n">
        <v>47815186</v>
      </c>
      <c r="J9" s="5" t="n">
        <v>30</v>
      </c>
      <c r="K9" s="5" t="s">
        <v>1631</v>
      </c>
    </row>
    <row r="10" customFormat="false" ht="15" hidden="false" customHeight="false" outlineLevel="0" collapsed="false">
      <c r="A10" s="5" t="s">
        <v>1635</v>
      </c>
      <c r="B10" s="5" t="s">
        <v>1626</v>
      </c>
      <c r="C10" s="5" t="s">
        <v>1627</v>
      </c>
      <c r="D10" s="29" t="n">
        <v>30408113</v>
      </c>
      <c r="E10" s="29" t="n">
        <v>17196132</v>
      </c>
      <c r="F10" s="29" t="n">
        <v>5437129</v>
      </c>
      <c r="G10" s="29" t="n">
        <v>2742887</v>
      </c>
      <c r="H10" s="29" t="n">
        <v>122</v>
      </c>
      <c r="I10" s="29" t="n">
        <v>55784383</v>
      </c>
      <c r="J10" s="5" t="n">
        <v>45</v>
      </c>
    </row>
    <row r="11" customFormat="false" ht="15" hidden="false" customHeight="false" outlineLevel="0" collapsed="false">
      <c r="A11" s="5" t="s">
        <v>1636</v>
      </c>
      <c r="B11" s="5" t="s">
        <v>1637</v>
      </c>
      <c r="C11" s="5" t="s">
        <v>1627</v>
      </c>
      <c r="D11" s="29" t="n">
        <v>23235894</v>
      </c>
      <c r="E11" s="29" t="n">
        <v>13321382</v>
      </c>
      <c r="F11" s="29" t="n">
        <v>6484373</v>
      </c>
      <c r="G11" s="29" t="n">
        <v>4693176</v>
      </c>
      <c r="H11" s="5" t="s">
        <v>1638</v>
      </c>
      <c r="I11" s="29" t="n">
        <v>47815186</v>
      </c>
      <c r="J11" s="5" t="n">
        <v>60</v>
      </c>
    </row>
    <row r="12" customFormat="false" ht="15" hidden="false" customHeight="false" outlineLevel="0" collapsed="false">
      <c r="A12" s="5" t="s">
        <v>1639</v>
      </c>
      <c r="B12" s="5" t="s">
        <v>1637</v>
      </c>
      <c r="C12" s="5" t="s">
        <v>1627</v>
      </c>
      <c r="D12" s="29" t="n">
        <v>16754466</v>
      </c>
      <c r="E12" s="29" t="n">
        <v>11187566</v>
      </c>
      <c r="F12" s="29" t="n">
        <v>2595227</v>
      </c>
      <c r="G12" s="29" t="n">
        <v>731878</v>
      </c>
      <c r="H12" s="29" t="n">
        <v>607653</v>
      </c>
      <c r="I12" s="29" t="n">
        <v>31876790</v>
      </c>
      <c r="J12" s="5" t="n">
        <v>90</v>
      </c>
    </row>
    <row r="13" customFormat="false" ht="15" hidden="false" customHeight="false" outlineLevel="0" collapsed="false">
      <c r="A13" s="5" t="s">
        <v>1640</v>
      </c>
      <c r="B13" s="5" t="s">
        <v>1641</v>
      </c>
      <c r="C13" s="5" t="s">
        <v>1629</v>
      </c>
      <c r="D13" s="29" t="n">
        <v>23885621</v>
      </c>
      <c r="E13" s="29" t="n">
        <v>7323700</v>
      </c>
      <c r="F13" s="29" t="n">
        <v>5034651</v>
      </c>
      <c r="G13" s="29" t="n">
        <v>3310574</v>
      </c>
      <c r="H13" s="29" t="n">
        <v>291442</v>
      </c>
      <c r="I13" s="29" t="n">
        <v>39845988</v>
      </c>
      <c r="J13" s="5" t="n">
        <v>45</v>
      </c>
      <c r="K13" s="5" t="s">
        <v>1631</v>
      </c>
    </row>
    <row r="14" customFormat="false" ht="15" hidden="false" customHeight="false" outlineLevel="0" collapsed="false">
      <c r="A14" s="5" t="s">
        <v>1642</v>
      </c>
      <c r="B14" s="5" t="s">
        <v>1641</v>
      </c>
      <c r="C14" s="5" t="s">
        <v>1629</v>
      </c>
      <c r="D14" s="29" t="n">
        <v>20180189</v>
      </c>
      <c r="E14" s="29" t="n">
        <v>4572350</v>
      </c>
      <c r="F14" s="29" t="n">
        <v>4695008</v>
      </c>
      <c r="G14" s="29" t="n">
        <v>1276640</v>
      </c>
      <c r="H14" s="29" t="n">
        <v>1152603</v>
      </c>
      <c r="I14" s="29" t="n">
        <v>31876790</v>
      </c>
      <c r="J14" s="5" t="n">
        <v>30</v>
      </c>
      <c r="K14" s="5" t="s">
        <v>1631</v>
      </c>
    </row>
    <row r="15" customFormat="false" ht="15" hidden="false" customHeight="false" outlineLevel="0" collapsed="false">
      <c r="A15" s="5" t="s">
        <v>1643</v>
      </c>
      <c r="B15" s="5" t="s">
        <v>1641</v>
      </c>
      <c r="C15" s="5" t="s">
        <v>1627</v>
      </c>
      <c r="D15" s="29" t="n">
        <v>11753859</v>
      </c>
      <c r="E15" s="29" t="n">
        <v>6882972</v>
      </c>
      <c r="F15" s="29" t="n">
        <v>3989967</v>
      </c>
      <c r="G15" s="29" t="n">
        <v>1155616</v>
      </c>
      <c r="H15" s="29" t="n">
        <v>125179</v>
      </c>
      <c r="I15" s="29" t="n">
        <v>23907593</v>
      </c>
      <c r="J15" s="5" t="n">
        <v>90</v>
      </c>
    </row>
    <row r="16" customFormat="false" ht="15" hidden="false" customHeight="false" outlineLevel="0" collapsed="false">
      <c r="A16" s="5" t="s">
        <v>1644</v>
      </c>
      <c r="B16" s="5" t="s">
        <v>1645</v>
      </c>
      <c r="C16" s="5" t="s">
        <v>1629</v>
      </c>
      <c r="D16" s="29" t="n">
        <v>21442912</v>
      </c>
      <c r="E16" s="29" t="n">
        <v>5547975</v>
      </c>
      <c r="F16" s="29" t="n">
        <v>5856472</v>
      </c>
      <c r="G16" s="29" t="n">
        <v>10470508</v>
      </c>
      <c r="H16" s="5" t="s">
        <v>1646</v>
      </c>
      <c r="I16" s="29" t="n">
        <v>47815186</v>
      </c>
      <c r="J16" s="5" t="n">
        <v>30</v>
      </c>
      <c r="K16" s="5" t="s">
        <v>1631</v>
      </c>
    </row>
    <row r="17" customFormat="false" ht="15" hidden="false" customHeight="false" outlineLevel="0" collapsed="false">
      <c r="A17" s="5" t="s">
        <v>1647</v>
      </c>
      <c r="B17" s="5" t="s">
        <v>1645</v>
      </c>
      <c r="C17" s="5" t="s">
        <v>1629</v>
      </c>
      <c r="D17" s="29" t="n">
        <v>9794752</v>
      </c>
      <c r="E17" s="5" t="s">
        <v>1648</v>
      </c>
      <c r="F17" s="29" t="n">
        <v>2423871</v>
      </c>
      <c r="G17" s="5" t="s">
        <v>1649</v>
      </c>
      <c r="H17" s="29" t="n">
        <v>1425098</v>
      </c>
      <c r="I17" s="29" t="n">
        <v>23907593</v>
      </c>
      <c r="J17" s="5" t="n">
        <v>45</v>
      </c>
      <c r="K17" s="5" t="s">
        <v>1631</v>
      </c>
    </row>
    <row r="18" customFormat="false" ht="15" hidden="false" customHeight="false" outlineLevel="0" collapsed="false">
      <c r="A18" s="5" t="s">
        <v>1650</v>
      </c>
      <c r="B18" s="5" t="s">
        <v>1645</v>
      </c>
      <c r="C18" s="5" t="s">
        <v>1629</v>
      </c>
      <c r="D18" s="29" t="n">
        <v>7840952</v>
      </c>
      <c r="E18" s="29" t="n">
        <v>7108074</v>
      </c>
      <c r="F18" s="29" t="n">
        <v>6532053</v>
      </c>
      <c r="G18" s="29" t="n">
        <v>1695059</v>
      </c>
      <c r="H18" s="29" t="n">
        <v>731455</v>
      </c>
      <c r="I18" s="29" t="n">
        <v>23907593</v>
      </c>
      <c r="J18" s="5" t="n">
        <v>45</v>
      </c>
      <c r="K18" s="5" t="s">
        <v>1631</v>
      </c>
    </row>
    <row r="19" customFormat="false" ht="15" hidden="false" customHeight="false" outlineLevel="0" collapsed="false">
      <c r="A19" s="5" t="s">
        <v>1651</v>
      </c>
      <c r="B19" s="5" t="s">
        <v>1652</v>
      </c>
      <c r="C19" s="5" t="s">
        <v>1627</v>
      </c>
      <c r="D19" s="29" t="n">
        <v>9945354</v>
      </c>
      <c r="E19" s="29" t="n">
        <v>3770355</v>
      </c>
      <c r="F19" s="29" t="n">
        <v>1472560</v>
      </c>
      <c r="G19" s="5" t="s">
        <v>1653</v>
      </c>
      <c r="H19" s="29" t="n">
        <v>554050</v>
      </c>
      <c r="I19" s="29" t="n">
        <v>15938395</v>
      </c>
      <c r="J19" s="5" t="n">
        <v>30</v>
      </c>
    </row>
    <row r="20" customFormat="false" ht="15" hidden="false" customHeight="false" outlineLevel="0" collapsed="false">
      <c r="A20" s="5" t="s">
        <v>1654</v>
      </c>
      <c r="B20" s="5" t="s">
        <v>1652</v>
      </c>
      <c r="C20" s="5" t="s">
        <v>1629</v>
      </c>
      <c r="D20" s="29" t="n">
        <v>7149031</v>
      </c>
      <c r="E20" s="29" t="n">
        <v>4952856</v>
      </c>
      <c r="F20" s="29" t="n">
        <v>1961224</v>
      </c>
      <c r="G20" s="29" t="n">
        <v>1489596</v>
      </c>
      <c r="H20" s="29" t="n">
        <v>385688</v>
      </c>
      <c r="I20" s="29" t="n">
        <v>15938395</v>
      </c>
      <c r="J20" s="5" t="n">
        <v>45</v>
      </c>
      <c r="K20" s="5" t="s">
        <v>1631</v>
      </c>
    </row>
    <row r="22" customFormat="false" ht="15" hidden="false" customHeight="false" outlineLevel="0" collapsed="false">
      <c r="A22" s="3" t="s">
        <v>1655</v>
      </c>
      <c r="D22" s="32" t="n">
        <v>374701270</v>
      </c>
      <c r="E22" s="32" t="n">
        <v>172930907</v>
      </c>
      <c r="F22" s="32" t="n">
        <v>76728890</v>
      </c>
      <c r="G22" s="32" t="n">
        <v>42800349</v>
      </c>
      <c r="H22" s="32" t="n">
        <v>18189584</v>
      </c>
      <c r="I22" s="32" t="n">
        <v>685351000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9" min="2" style="0" width="11"/>
  </cols>
  <sheetData>
    <row r="1" customFormat="false" ht="16.15" hidden="false" customHeight="false" outlineLevel="0" collapsed="false">
      <c r="A1" s="19" t="s">
        <v>1656</v>
      </c>
    </row>
    <row r="2" customFormat="false" ht="15" hidden="false" customHeight="false" outlineLevel="0" collapsed="false">
      <c r="A2" s="5" t="s">
        <v>1657</v>
      </c>
    </row>
    <row r="4" customFormat="false" ht="15" hidden="false" customHeight="false" outlineLevel="0" collapsed="false">
      <c r="A4" s="7" t="s">
        <v>1658</v>
      </c>
      <c r="B4" s="9" t="s">
        <v>1659</v>
      </c>
      <c r="C4" s="9" t="s">
        <v>1660</v>
      </c>
      <c r="D4" s="8" t="n">
        <v>45838</v>
      </c>
      <c r="E4" s="8" t="n">
        <v>45869</v>
      </c>
      <c r="F4" s="9" t="s">
        <v>141</v>
      </c>
      <c r="G4" s="9" t="s">
        <v>142</v>
      </c>
      <c r="H4" s="8" t="n">
        <v>45961</v>
      </c>
      <c r="I4" s="8" t="n">
        <v>45991</v>
      </c>
      <c r="J4" s="9" t="s">
        <v>1661</v>
      </c>
      <c r="K4" s="9" t="s">
        <v>1662</v>
      </c>
      <c r="L4" s="8" t="n">
        <v>46081</v>
      </c>
      <c r="M4" s="8" t="n">
        <v>46112</v>
      </c>
      <c r="N4" s="9" t="s">
        <v>1663</v>
      </c>
      <c r="O4" s="9" t="s">
        <v>1664</v>
      </c>
      <c r="P4" s="8" t="n">
        <v>46203</v>
      </c>
      <c r="Q4" s="8" t="n">
        <v>46234</v>
      </c>
      <c r="R4" s="9" t="s">
        <v>31</v>
      </c>
    </row>
    <row r="5" customFormat="false" ht="15" hidden="false" customHeight="false" outlineLevel="0" collapsed="false">
      <c r="A5" s="5" t="s">
        <v>1665</v>
      </c>
      <c r="B5" s="5" t="n">
        <v>801</v>
      </c>
      <c r="C5" s="5" t="n">
        <v>802</v>
      </c>
      <c r="D5" s="5" t="n">
        <v>803</v>
      </c>
      <c r="E5" s="5" t="n">
        <v>802</v>
      </c>
      <c r="F5" s="5" t="n">
        <v>802</v>
      </c>
      <c r="G5" s="5" t="n">
        <v>802</v>
      </c>
      <c r="H5" s="5" t="n">
        <v>799</v>
      </c>
      <c r="I5" s="5" t="n">
        <v>796</v>
      </c>
      <c r="J5" s="5" t="n">
        <v>796</v>
      </c>
      <c r="K5" s="5" t="n">
        <v>800</v>
      </c>
      <c r="L5" s="5" t="n">
        <v>799</v>
      </c>
      <c r="M5" s="5" t="n">
        <v>802</v>
      </c>
      <c r="N5" s="5" t="n">
        <v>806</v>
      </c>
      <c r="O5" s="5" t="n">
        <v>808</v>
      </c>
      <c r="P5" s="5" t="n">
        <v>809</v>
      </c>
      <c r="Q5" s="5" t="n">
        <v>807</v>
      </c>
      <c r="R5" s="5" t="n">
        <v>807</v>
      </c>
    </row>
    <row r="6" customFormat="false" ht="15" hidden="false" customHeight="false" outlineLevel="0" collapsed="false">
      <c r="A6" s="5" t="s">
        <v>1666</v>
      </c>
      <c r="B6" s="5" t="n">
        <v>120</v>
      </c>
      <c r="C6" s="5" t="n">
        <v>120</v>
      </c>
      <c r="D6" s="5" t="n">
        <v>121</v>
      </c>
      <c r="E6" s="5" t="n">
        <v>121</v>
      </c>
      <c r="F6" s="5" t="n">
        <v>121</v>
      </c>
      <c r="G6" s="5" t="n">
        <v>121</v>
      </c>
      <c r="H6" s="5" t="n">
        <v>121</v>
      </c>
      <c r="I6" s="5" t="n">
        <v>122</v>
      </c>
      <c r="J6" s="5" t="n">
        <v>122</v>
      </c>
      <c r="K6" s="5" t="n">
        <v>123</v>
      </c>
      <c r="L6" s="5" t="n">
        <v>123</v>
      </c>
      <c r="M6" s="5" t="n">
        <v>122</v>
      </c>
      <c r="N6" s="5" t="n">
        <v>122</v>
      </c>
      <c r="O6" s="5" t="n">
        <v>122</v>
      </c>
      <c r="P6" s="5" t="n">
        <v>122</v>
      </c>
      <c r="Q6" s="5" t="n">
        <v>122</v>
      </c>
      <c r="R6" s="5" t="n">
        <v>122</v>
      </c>
    </row>
    <row r="7" customFormat="false" ht="15" hidden="false" customHeight="false" outlineLevel="0" collapsed="false">
      <c r="A7" s="5" t="s">
        <v>1667</v>
      </c>
      <c r="B7" s="5" t="n">
        <v>99</v>
      </c>
      <c r="C7" s="5" t="n">
        <v>98</v>
      </c>
      <c r="D7" s="5" t="n">
        <v>98</v>
      </c>
      <c r="E7" s="5" t="n">
        <v>98</v>
      </c>
      <c r="F7" s="5" t="n">
        <v>98</v>
      </c>
      <c r="G7" s="5" t="n">
        <v>99</v>
      </c>
      <c r="H7" s="5" t="n">
        <v>100</v>
      </c>
      <c r="I7" s="5" t="n">
        <v>101</v>
      </c>
      <c r="J7" s="5" t="n">
        <v>102</v>
      </c>
      <c r="K7" s="5" t="n">
        <v>102</v>
      </c>
      <c r="L7" s="5" t="n">
        <v>102</v>
      </c>
      <c r="M7" s="5" t="n">
        <v>103</v>
      </c>
      <c r="N7" s="5" t="n">
        <v>104</v>
      </c>
      <c r="O7" s="5" t="n">
        <v>104</v>
      </c>
      <c r="P7" s="5" t="n">
        <v>104</v>
      </c>
      <c r="Q7" s="5" t="n">
        <v>103</v>
      </c>
      <c r="R7" s="5" t="n">
        <v>104</v>
      </c>
    </row>
    <row r="8" customFormat="false" ht="15" hidden="false" customHeight="false" outlineLevel="0" collapsed="false">
      <c r="A8" s="5" t="s">
        <v>1668</v>
      </c>
      <c r="B8" s="5" t="n">
        <v>86</v>
      </c>
      <c r="C8" s="5" t="n">
        <v>86</v>
      </c>
      <c r="D8" s="5" t="n">
        <v>86</v>
      </c>
      <c r="E8" s="5" t="n">
        <v>87</v>
      </c>
      <c r="F8" s="5" t="n">
        <v>87</v>
      </c>
      <c r="G8" s="5" t="n">
        <v>88</v>
      </c>
      <c r="H8" s="5" t="n">
        <v>87</v>
      </c>
      <c r="I8" s="5" t="n">
        <v>87</v>
      </c>
      <c r="J8" s="5" t="n">
        <v>87</v>
      </c>
      <c r="K8" s="5" t="n">
        <v>87</v>
      </c>
      <c r="L8" s="5" t="n">
        <v>87</v>
      </c>
      <c r="M8" s="5" t="n">
        <v>86</v>
      </c>
      <c r="N8" s="5" t="n">
        <v>87</v>
      </c>
      <c r="O8" s="5" t="n">
        <v>87</v>
      </c>
      <c r="P8" s="5" t="n">
        <v>87</v>
      </c>
      <c r="Q8" s="5" t="n">
        <v>87</v>
      </c>
      <c r="R8" s="5" t="n">
        <v>88</v>
      </c>
    </row>
    <row r="9" customFormat="false" ht="15" hidden="false" customHeight="false" outlineLevel="0" collapsed="false">
      <c r="A9" s="5" t="s">
        <v>1669</v>
      </c>
      <c r="B9" s="5" t="n">
        <v>89</v>
      </c>
      <c r="C9" s="5" t="n">
        <v>90</v>
      </c>
      <c r="D9" s="5" t="n">
        <v>89</v>
      </c>
      <c r="E9" s="5" t="n">
        <v>88</v>
      </c>
      <c r="F9" s="5" t="n">
        <v>89</v>
      </c>
      <c r="G9" s="5" t="n">
        <v>89</v>
      </c>
      <c r="H9" s="5" t="n">
        <v>89</v>
      </c>
      <c r="I9" s="5" t="n">
        <v>89</v>
      </c>
      <c r="J9" s="5" t="n">
        <v>88</v>
      </c>
      <c r="K9" s="5" t="n">
        <v>89</v>
      </c>
      <c r="L9" s="5" t="n">
        <v>89</v>
      </c>
      <c r="M9" s="5" t="n">
        <v>89</v>
      </c>
      <c r="N9" s="5" t="n">
        <v>88</v>
      </c>
      <c r="O9" s="5" t="n">
        <v>87</v>
      </c>
      <c r="P9" s="5" t="n">
        <v>86</v>
      </c>
      <c r="Q9" s="5" t="n">
        <v>86</v>
      </c>
      <c r="R9" s="5" t="n">
        <v>86</v>
      </c>
    </row>
    <row r="10" customFormat="false" ht="15" hidden="false" customHeight="false" outlineLevel="0" collapsed="false">
      <c r="A10" s="5" t="s">
        <v>1670</v>
      </c>
      <c r="B10" s="5" t="n">
        <v>55</v>
      </c>
      <c r="C10" s="5" t="n">
        <v>55</v>
      </c>
      <c r="D10" s="5" t="n">
        <v>55</v>
      </c>
      <c r="E10" s="5" t="n">
        <v>56</v>
      </c>
      <c r="F10" s="5" t="n">
        <v>55</v>
      </c>
      <c r="G10" s="5" t="n">
        <v>55</v>
      </c>
      <c r="H10" s="5" t="n">
        <v>56</v>
      </c>
      <c r="I10" s="5" t="n">
        <v>55</v>
      </c>
      <c r="J10" s="5" t="n">
        <v>56</v>
      </c>
      <c r="K10" s="5" t="n">
        <v>56</v>
      </c>
      <c r="L10" s="5" t="n">
        <v>56</v>
      </c>
      <c r="M10" s="5" t="n">
        <v>56</v>
      </c>
      <c r="N10" s="5" t="n">
        <v>56</v>
      </c>
      <c r="O10" s="5" t="n">
        <v>57</v>
      </c>
      <c r="P10" s="5" t="n">
        <v>57</v>
      </c>
      <c r="Q10" s="5" t="n">
        <v>57</v>
      </c>
      <c r="R10" s="5" t="n">
        <v>58</v>
      </c>
    </row>
    <row r="11" customFormat="false" ht="15" hidden="false" customHeight="false" outlineLevel="0" collapsed="false">
      <c r="A11" s="5" t="s">
        <v>1671</v>
      </c>
      <c r="B11" s="5" t="n">
        <v>44</v>
      </c>
      <c r="C11" s="5" t="n">
        <v>44</v>
      </c>
      <c r="D11" s="5" t="n">
        <v>43</v>
      </c>
      <c r="E11" s="5" t="n">
        <v>42</v>
      </c>
      <c r="F11" s="5" t="n">
        <v>42</v>
      </c>
      <c r="G11" s="5" t="n">
        <v>43</v>
      </c>
      <c r="H11" s="5" t="n">
        <v>43</v>
      </c>
      <c r="I11" s="5" t="n">
        <v>44</v>
      </c>
      <c r="J11" s="5" t="n">
        <v>45</v>
      </c>
      <c r="K11" s="5" t="n">
        <v>46</v>
      </c>
      <c r="L11" s="5" t="n">
        <v>45</v>
      </c>
      <c r="M11" s="5" t="n">
        <v>44</v>
      </c>
      <c r="N11" s="5" t="n">
        <v>45</v>
      </c>
      <c r="O11" s="5" t="n">
        <v>46</v>
      </c>
      <c r="P11" s="5" t="n">
        <v>46</v>
      </c>
      <c r="Q11" s="5" t="n">
        <v>45</v>
      </c>
      <c r="R11" s="5" t="n">
        <v>45</v>
      </c>
    </row>
    <row r="12" customFormat="false" ht="15" hidden="false" customHeight="false" outlineLevel="0" collapsed="false">
      <c r="A12" s="5" t="s">
        <v>1672</v>
      </c>
      <c r="B12" s="5" t="n">
        <v>29</v>
      </c>
      <c r="C12" s="5" t="n">
        <v>29</v>
      </c>
      <c r="D12" s="5" t="n">
        <v>30</v>
      </c>
      <c r="E12" s="5" t="n">
        <v>31</v>
      </c>
      <c r="F12" s="5" t="n">
        <v>32</v>
      </c>
      <c r="G12" s="5" t="n">
        <v>32</v>
      </c>
      <c r="H12" s="5" t="n">
        <v>33</v>
      </c>
      <c r="I12" s="5" t="n">
        <v>34</v>
      </c>
      <c r="J12" s="5" t="n">
        <v>34</v>
      </c>
      <c r="K12" s="5" t="n">
        <v>34</v>
      </c>
      <c r="L12" s="5" t="n">
        <v>35</v>
      </c>
      <c r="M12" s="5" t="n">
        <v>35</v>
      </c>
      <c r="N12" s="5" t="n">
        <v>34</v>
      </c>
      <c r="O12" s="5" t="n">
        <v>35</v>
      </c>
      <c r="P12" s="5" t="n">
        <v>35</v>
      </c>
      <c r="Q12" s="5" t="n">
        <v>35</v>
      </c>
      <c r="R12" s="5" t="n">
        <v>34</v>
      </c>
    </row>
    <row r="13" customFormat="false" ht="15" hidden="false" customHeight="false" outlineLevel="0" collapsed="false">
      <c r="A13" s="5" t="s">
        <v>1673</v>
      </c>
      <c r="B13" s="5" t="n">
        <v>26</v>
      </c>
      <c r="C13" s="5" t="n">
        <v>25</v>
      </c>
      <c r="D13" s="5" t="n">
        <v>26</v>
      </c>
      <c r="E13" s="5" t="n">
        <v>26</v>
      </c>
      <c r="F13" s="5" t="n">
        <v>26</v>
      </c>
      <c r="G13" s="5" t="n">
        <v>26</v>
      </c>
      <c r="H13" s="5" t="n">
        <v>26</v>
      </c>
      <c r="I13" s="5" t="n">
        <v>27</v>
      </c>
      <c r="J13" s="5" t="n">
        <v>27</v>
      </c>
      <c r="K13" s="5" t="n">
        <v>27</v>
      </c>
      <c r="L13" s="5" t="n">
        <v>26</v>
      </c>
      <c r="M13" s="5" t="n">
        <v>27</v>
      </c>
      <c r="N13" s="5" t="n">
        <v>28</v>
      </c>
      <c r="O13" s="5" t="n">
        <v>27</v>
      </c>
      <c r="P13" s="5" t="n">
        <v>26</v>
      </c>
      <c r="Q13" s="5" t="n">
        <v>25</v>
      </c>
      <c r="R13" s="5" t="n">
        <v>26</v>
      </c>
    </row>
    <row r="14" customFormat="false" ht="15" hidden="false" customHeight="false" outlineLevel="0" collapsed="false">
      <c r="A14" s="3" t="s">
        <v>1674</v>
      </c>
      <c r="B14" s="3" t="n">
        <v>1349</v>
      </c>
      <c r="C14" s="3" t="n">
        <v>1349</v>
      </c>
      <c r="D14" s="3" t="n">
        <v>1351</v>
      </c>
      <c r="E14" s="3" t="n">
        <v>1351</v>
      </c>
      <c r="F14" s="3" t="n">
        <v>1352</v>
      </c>
      <c r="G14" s="3" t="n">
        <v>1355</v>
      </c>
      <c r="H14" s="3" t="n">
        <v>1354</v>
      </c>
      <c r="I14" s="3" t="n">
        <v>1355</v>
      </c>
      <c r="J14" s="3" t="n">
        <v>1357</v>
      </c>
      <c r="K14" s="3" t="n">
        <v>1364</v>
      </c>
      <c r="L14" s="3" t="n">
        <v>1362</v>
      </c>
      <c r="M14" s="3" t="n">
        <v>1364</v>
      </c>
      <c r="N14" s="3" t="n">
        <v>1370</v>
      </c>
      <c r="O14" s="3" t="n">
        <v>1373</v>
      </c>
      <c r="P14" s="3" t="n">
        <v>1372</v>
      </c>
      <c r="Q14" s="3" t="n">
        <v>1367</v>
      </c>
      <c r="R14" s="3" t="n">
        <v>1370</v>
      </c>
    </row>
    <row r="18" customFormat="false" ht="15" hidden="false" customHeight="false" outlineLevel="0" collapsed="false">
      <c r="A18" s="3" t="s">
        <v>1675</v>
      </c>
    </row>
    <row r="19" customFormat="false" ht="15" hidden="false" customHeight="false" outlineLevel="0" collapsed="false">
      <c r="A19" s="7" t="s">
        <v>1658</v>
      </c>
      <c r="B19" s="7" t="s">
        <v>1676</v>
      </c>
      <c r="C19" s="7" t="s">
        <v>89</v>
      </c>
      <c r="D19" s="7" t="s">
        <v>1677</v>
      </c>
      <c r="E19" s="7" t="s">
        <v>1678</v>
      </c>
      <c r="F19" s="7" t="s">
        <v>93</v>
      </c>
      <c r="G19" s="7" t="s">
        <v>1679</v>
      </c>
    </row>
    <row r="20" customFormat="false" ht="15" hidden="false" customHeight="false" outlineLevel="0" collapsed="false">
      <c r="A20" s="5" t="s">
        <v>1665</v>
      </c>
      <c r="B20" s="15" t="n">
        <v>0.147</v>
      </c>
      <c r="C20" s="5" t="s">
        <v>1680</v>
      </c>
      <c r="D20" s="15" t="n">
        <v>0.152</v>
      </c>
      <c r="E20" s="15" t="n">
        <v>0.187</v>
      </c>
      <c r="F20" s="15" t="n">
        <v>0.166</v>
      </c>
      <c r="G20" s="5" t="s">
        <v>1681</v>
      </c>
    </row>
    <row r="21" customFormat="false" ht="15" hidden="false" customHeight="false" outlineLevel="0" collapsed="false">
      <c r="A21" s="5" t="s">
        <v>1666</v>
      </c>
      <c r="B21" s="15" t="n">
        <v>0.096</v>
      </c>
      <c r="C21" s="15" t="n">
        <v>0.065</v>
      </c>
      <c r="D21" s="15" t="n">
        <v>0.085</v>
      </c>
      <c r="E21" s="15" t="n">
        <v>0.079</v>
      </c>
      <c r="F21" s="15" t="n">
        <v>0.082</v>
      </c>
      <c r="G21" s="5" t="s">
        <v>1681</v>
      </c>
    </row>
    <row r="22" customFormat="false" ht="15" hidden="false" customHeight="false" outlineLevel="0" collapsed="false">
      <c r="A22" s="5" t="s">
        <v>1667</v>
      </c>
      <c r="B22" s="15" t="n">
        <v>0.113</v>
      </c>
      <c r="C22" s="15" t="n">
        <v>0.131</v>
      </c>
      <c r="D22" s="15" t="n">
        <v>0.136</v>
      </c>
      <c r="E22" s="15" t="n">
        <v>0.118</v>
      </c>
      <c r="F22" s="5" t="s">
        <v>1682</v>
      </c>
      <c r="G22" s="5" t="s">
        <v>1681</v>
      </c>
    </row>
    <row r="23" customFormat="false" ht="15" hidden="false" customHeight="false" outlineLevel="0" collapsed="false">
      <c r="A23" s="5" t="s">
        <v>1668</v>
      </c>
      <c r="B23" s="15" t="n">
        <v>0.17</v>
      </c>
      <c r="C23" s="15" t="n">
        <v>0.172</v>
      </c>
      <c r="D23" s="15" t="n">
        <v>0.189</v>
      </c>
      <c r="E23" s="15" t="n">
        <v>0.174</v>
      </c>
      <c r="F23" s="15" t="n">
        <v>0.197</v>
      </c>
      <c r="G23" s="5" t="s">
        <v>1681</v>
      </c>
    </row>
    <row r="24" customFormat="false" ht="15" hidden="false" customHeight="false" outlineLevel="0" collapsed="false">
      <c r="A24" s="5" t="s">
        <v>1669</v>
      </c>
      <c r="B24" s="15" t="n">
        <v>0.093</v>
      </c>
      <c r="C24" s="15" t="n">
        <v>0.107</v>
      </c>
      <c r="D24" s="15" t="n">
        <v>0.077</v>
      </c>
      <c r="E24" s="15" t="n">
        <v>0.072</v>
      </c>
      <c r="F24" s="5" t="s">
        <v>1683</v>
      </c>
      <c r="G24" s="5" t="s">
        <v>1681</v>
      </c>
    </row>
    <row r="25" customFormat="false" ht="15" hidden="false" customHeight="false" outlineLevel="0" collapsed="false">
      <c r="A25" s="5" t="s">
        <v>1670</v>
      </c>
      <c r="B25" s="15" t="n">
        <v>0.088</v>
      </c>
      <c r="C25" s="5" t="s">
        <v>1684</v>
      </c>
      <c r="D25" s="15" t="n">
        <v>0.105</v>
      </c>
      <c r="E25" s="15" t="n">
        <v>0.083</v>
      </c>
      <c r="F25" s="15" t="n">
        <v>0.093</v>
      </c>
      <c r="G25" s="5" t="s">
        <v>1681</v>
      </c>
    </row>
    <row r="26" customFormat="false" ht="15" hidden="false" customHeight="false" outlineLevel="0" collapsed="false">
      <c r="A26" s="5" t="s">
        <v>1671</v>
      </c>
      <c r="B26" s="15" t="n">
        <v>0.105</v>
      </c>
      <c r="C26" s="5" t="s">
        <v>1685</v>
      </c>
      <c r="D26" s="15" t="n">
        <v>0.108</v>
      </c>
      <c r="E26" s="15" t="n">
        <v>0.099</v>
      </c>
      <c r="F26" s="15" t="n">
        <v>0.107</v>
      </c>
      <c r="G26" s="5" t="s">
        <v>1681</v>
      </c>
    </row>
    <row r="27" customFormat="false" ht="15" hidden="false" customHeight="false" outlineLevel="0" collapsed="false">
      <c r="A27" s="5" t="s">
        <v>1672</v>
      </c>
      <c r="B27" s="5" t="s">
        <v>1686</v>
      </c>
      <c r="C27" s="15" t="n">
        <v>0.215</v>
      </c>
      <c r="D27" s="5" t="s">
        <v>1687</v>
      </c>
      <c r="E27" s="15" t="n">
        <v>0.201</v>
      </c>
      <c r="F27" s="15" t="n">
        <v>0.227</v>
      </c>
      <c r="G27" s="5" t="s">
        <v>1681</v>
      </c>
    </row>
    <row r="28" customFormat="false" ht="15" hidden="false" customHeight="false" outlineLevel="0" collapsed="false">
      <c r="A28" s="5" t="s">
        <v>1673</v>
      </c>
      <c r="B28" s="15" t="n">
        <v>0.105</v>
      </c>
      <c r="C28" s="15" t="n">
        <v>0.107</v>
      </c>
      <c r="D28" s="15" t="n">
        <v>0.072</v>
      </c>
      <c r="E28" s="15" t="n">
        <v>0.085</v>
      </c>
      <c r="F28" s="15" t="n">
        <v>0.085</v>
      </c>
      <c r="G28" s="5" t="s">
        <v>1681</v>
      </c>
    </row>
    <row r="31" customFormat="false" ht="15" hidden="false" customHeight="false" outlineLevel="0" collapsed="false">
      <c r="A31" s="3" t="s">
        <v>1688</v>
      </c>
    </row>
    <row r="32" customFormat="false" ht="15" hidden="false" customHeight="false" outlineLevel="0" collapsed="false">
      <c r="A32" s="7" t="s">
        <v>1658</v>
      </c>
      <c r="B32" s="7" t="s">
        <v>1689</v>
      </c>
      <c r="C32" s="7" t="s">
        <v>1690</v>
      </c>
      <c r="D32" s="7" t="s">
        <v>1691</v>
      </c>
    </row>
    <row r="33" customFormat="false" ht="15" hidden="false" customHeight="false" outlineLevel="0" collapsed="false">
      <c r="A33" s="5" t="s">
        <v>1665</v>
      </c>
      <c r="B33" s="5" t="n">
        <v>0</v>
      </c>
      <c r="C33" s="5" t="n">
        <v>50</v>
      </c>
      <c r="D33" s="5" t="s">
        <v>1692</v>
      </c>
    </row>
    <row r="34" customFormat="false" ht="15" hidden="false" customHeight="false" outlineLevel="0" collapsed="false">
      <c r="A34" s="5" t="s">
        <v>1666</v>
      </c>
      <c r="B34" s="5" t="n">
        <v>3</v>
      </c>
      <c r="C34" s="5" t="n">
        <v>42</v>
      </c>
      <c r="D34" s="5" t="s">
        <v>1693</v>
      </c>
    </row>
    <row r="35" customFormat="false" ht="15" hidden="false" customHeight="false" outlineLevel="0" collapsed="false">
      <c r="A35" s="5" t="s">
        <v>1667</v>
      </c>
      <c r="B35" s="5" t="n">
        <v>0</v>
      </c>
      <c r="C35" s="5" t="n">
        <v>73</v>
      </c>
      <c r="D35" s="5" t="s">
        <v>1693</v>
      </c>
    </row>
    <row r="36" customFormat="false" ht="15" hidden="false" customHeight="false" outlineLevel="0" collapsed="false">
      <c r="A36" s="5" t="s">
        <v>1668</v>
      </c>
      <c r="B36" s="5" t="n">
        <v>3</v>
      </c>
      <c r="C36" s="5" t="n">
        <v>40</v>
      </c>
      <c r="D36" s="5" t="s">
        <v>1694</v>
      </c>
    </row>
    <row r="37" customFormat="false" ht="15" hidden="false" customHeight="false" outlineLevel="0" collapsed="false">
      <c r="A37" s="5" t="s">
        <v>1669</v>
      </c>
      <c r="B37" s="5" t="n">
        <v>2</v>
      </c>
      <c r="C37" s="5" t="n">
        <v>55</v>
      </c>
      <c r="D37" s="5" t="s">
        <v>1694</v>
      </c>
    </row>
    <row r="38" customFormat="false" ht="15" hidden="false" customHeight="false" outlineLevel="0" collapsed="false">
      <c r="A38" s="5" t="s">
        <v>1670</v>
      </c>
      <c r="B38" s="5" t="n">
        <v>1</v>
      </c>
      <c r="C38" s="5" t="n">
        <v>31</v>
      </c>
      <c r="D38" s="5" t="s">
        <v>1695</v>
      </c>
    </row>
    <row r="39" customFormat="false" ht="15" hidden="false" customHeight="false" outlineLevel="0" collapsed="false">
      <c r="A39" s="5" t="s">
        <v>1671</v>
      </c>
      <c r="B39" s="5" t="n">
        <v>9</v>
      </c>
      <c r="C39" s="5" t="n">
        <v>55</v>
      </c>
      <c r="D39" s="5" t="s">
        <v>440</v>
      </c>
    </row>
    <row r="40" customFormat="false" ht="15" hidden="false" customHeight="false" outlineLevel="0" collapsed="false">
      <c r="A40" s="5" t="s">
        <v>1672</v>
      </c>
      <c r="B40" s="5" t="n">
        <v>7</v>
      </c>
      <c r="C40" s="5" t="n">
        <v>28</v>
      </c>
      <c r="D40" s="5" t="s">
        <v>440</v>
      </c>
    </row>
    <row r="41" customFormat="false" ht="15" hidden="false" customHeight="false" outlineLevel="0" collapsed="false">
      <c r="A41" s="5" t="s">
        <v>1673</v>
      </c>
      <c r="B41" s="5" t="n">
        <v>2</v>
      </c>
      <c r="C41" s="5" t="n">
        <v>64</v>
      </c>
      <c r="D41" s="5" t="s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48"/>
  </cols>
  <sheetData>
    <row r="1" customFormat="false" ht="16.15" hidden="false" customHeight="false" outlineLevel="0" collapsed="false">
      <c r="A1" s="19" t="s">
        <v>1696</v>
      </c>
    </row>
    <row r="2" customFormat="false" ht="15" hidden="false" customHeight="false" outlineLevel="0" collapsed="false">
      <c r="A2" s="5" t="s">
        <v>1697</v>
      </c>
    </row>
    <row r="4" customFormat="false" ht="15" hidden="false" customHeight="false" outlineLevel="0" collapsed="false">
      <c r="A4" s="7" t="s">
        <v>1698</v>
      </c>
      <c r="B4" s="7" t="s">
        <v>1699</v>
      </c>
      <c r="C4" s="7" t="s">
        <v>1700</v>
      </c>
      <c r="D4" s="7" t="s">
        <v>1701</v>
      </c>
      <c r="E4" s="7" t="s">
        <v>1702</v>
      </c>
      <c r="F4" s="7" t="s">
        <v>1703</v>
      </c>
      <c r="G4" s="7" t="s">
        <v>1704</v>
      </c>
      <c r="H4" s="7" t="s">
        <v>1705</v>
      </c>
    </row>
    <row r="5" customFormat="false" ht="15" hidden="false" customHeight="false" outlineLevel="0" collapsed="false">
      <c r="A5" s="5" t="s">
        <v>1706</v>
      </c>
      <c r="B5" s="5" t="s">
        <v>1707</v>
      </c>
      <c r="C5" s="5" t="s">
        <v>383</v>
      </c>
      <c r="D5" s="5" t="s">
        <v>1708</v>
      </c>
      <c r="E5" s="5" t="s">
        <v>1709</v>
      </c>
      <c r="F5" s="33" t="s">
        <v>1710</v>
      </c>
      <c r="G5" s="5" t="s">
        <v>1711</v>
      </c>
      <c r="H5" s="5" t="s">
        <v>1712</v>
      </c>
    </row>
    <row r="6" customFormat="false" ht="15" hidden="false" customHeight="false" outlineLevel="0" collapsed="false">
      <c r="A6" s="5" t="s">
        <v>1713</v>
      </c>
      <c r="B6" s="5" t="s">
        <v>1707</v>
      </c>
      <c r="C6" s="5" t="s">
        <v>1714</v>
      </c>
      <c r="D6" s="5" t="s">
        <v>1715</v>
      </c>
      <c r="E6" s="5" t="s">
        <v>1715</v>
      </c>
      <c r="F6" s="34" t="s">
        <v>1716</v>
      </c>
      <c r="G6" s="5" t="s">
        <v>1717</v>
      </c>
      <c r="H6" s="5" t="s">
        <v>1718</v>
      </c>
    </row>
    <row r="7" customFormat="false" ht="15" hidden="false" customHeight="false" outlineLevel="0" collapsed="false">
      <c r="A7" s="5" t="s">
        <v>1719</v>
      </c>
      <c r="B7" s="5" t="s">
        <v>1707</v>
      </c>
      <c r="C7" s="5" t="s">
        <v>403</v>
      </c>
      <c r="D7" s="5" t="s">
        <v>1720</v>
      </c>
      <c r="E7" s="5" t="s">
        <v>1721</v>
      </c>
      <c r="F7" s="34" t="s">
        <v>1722</v>
      </c>
      <c r="G7" s="5" t="s">
        <v>1723</v>
      </c>
      <c r="H7" s="5" t="s">
        <v>1724</v>
      </c>
    </row>
    <row r="8" customFormat="false" ht="15" hidden="false" customHeight="false" outlineLevel="0" collapsed="false">
      <c r="A8" s="5" t="s">
        <v>1725</v>
      </c>
      <c r="B8" s="5" t="s">
        <v>1707</v>
      </c>
      <c r="C8" s="5" t="s">
        <v>1726</v>
      </c>
      <c r="D8" s="5" t="s">
        <v>1727</v>
      </c>
      <c r="E8" s="5" t="s">
        <v>383</v>
      </c>
      <c r="F8" s="33" t="s">
        <v>1710</v>
      </c>
      <c r="G8" s="5" t="s">
        <v>1728</v>
      </c>
      <c r="H8" s="5"/>
    </row>
    <row r="9" customFormat="false" ht="15" hidden="false" customHeight="false" outlineLevel="0" collapsed="false">
      <c r="A9" s="5" t="s">
        <v>1729</v>
      </c>
      <c r="B9" s="5" t="s">
        <v>1730</v>
      </c>
      <c r="C9" s="5" t="s">
        <v>1731</v>
      </c>
      <c r="D9" s="5" t="s">
        <v>1732</v>
      </c>
      <c r="E9" s="5" t="s">
        <v>1733</v>
      </c>
      <c r="F9" s="34" t="s">
        <v>1716</v>
      </c>
      <c r="G9" s="5" t="s">
        <v>1734</v>
      </c>
      <c r="H9" s="5" t="s">
        <v>1735</v>
      </c>
    </row>
    <row r="10" customFormat="false" ht="15" hidden="false" customHeight="false" outlineLevel="0" collapsed="false">
      <c r="A10" s="5" t="s">
        <v>1736</v>
      </c>
      <c r="B10" s="5" t="s">
        <v>1730</v>
      </c>
      <c r="C10" s="5" t="s">
        <v>1737</v>
      </c>
      <c r="D10" s="5" t="s">
        <v>1738</v>
      </c>
      <c r="E10" s="5"/>
      <c r="F10" s="34" t="s">
        <v>1716</v>
      </c>
      <c r="G10" s="5" t="s">
        <v>1734</v>
      </c>
      <c r="H10" s="5"/>
    </row>
    <row r="11" customFormat="false" ht="15" hidden="false" customHeight="false" outlineLevel="0" collapsed="false">
      <c r="A11" s="5" t="s">
        <v>1739</v>
      </c>
      <c r="B11" s="5" t="s">
        <v>1740</v>
      </c>
      <c r="C11" s="5" t="s">
        <v>1741</v>
      </c>
      <c r="D11" s="5" t="s">
        <v>1742</v>
      </c>
      <c r="E11" s="5"/>
      <c r="F11" s="34" t="s">
        <v>1716</v>
      </c>
      <c r="G11" s="5" t="s">
        <v>1728</v>
      </c>
      <c r="H11" s="5" t="s">
        <v>1743</v>
      </c>
    </row>
    <row r="12" customFormat="false" ht="15" hidden="false" customHeight="false" outlineLevel="0" collapsed="false">
      <c r="A12" s="5" t="s">
        <v>1744</v>
      </c>
      <c r="B12" s="5" t="s">
        <v>1740</v>
      </c>
      <c r="C12" s="5" t="s">
        <v>1745</v>
      </c>
      <c r="D12" s="5" t="s">
        <v>1746</v>
      </c>
      <c r="E12" s="5" t="s">
        <v>1747</v>
      </c>
      <c r="F12" s="33" t="s">
        <v>1748</v>
      </c>
      <c r="G12" s="5" t="s">
        <v>1749</v>
      </c>
      <c r="H12" s="5" t="s">
        <v>1750</v>
      </c>
    </row>
    <row r="13" customFormat="false" ht="15" hidden="false" customHeight="false" outlineLevel="0" collapsed="false">
      <c r="A13" s="5" t="s">
        <v>1751</v>
      </c>
      <c r="B13" s="5" t="s">
        <v>1740</v>
      </c>
      <c r="C13" s="5" t="s">
        <v>1752</v>
      </c>
      <c r="D13" s="5" t="s">
        <v>1753</v>
      </c>
      <c r="E13" s="5" t="s">
        <v>1754</v>
      </c>
      <c r="F13" s="34" t="s">
        <v>1722</v>
      </c>
      <c r="G13" s="5" t="s">
        <v>1723</v>
      </c>
      <c r="H13" s="5"/>
    </row>
    <row r="14" customFormat="false" ht="15" hidden="false" customHeight="false" outlineLevel="0" collapsed="false">
      <c r="A14" s="5" t="s">
        <v>1755</v>
      </c>
      <c r="B14" s="5" t="s">
        <v>1756</v>
      </c>
      <c r="C14" s="5" t="s">
        <v>1757</v>
      </c>
      <c r="D14" s="5" t="s">
        <v>1758</v>
      </c>
      <c r="E14" s="5" t="s">
        <v>1759</v>
      </c>
      <c r="F14" s="34" t="s">
        <v>1716</v>
      </c>
      <c r="G14" s="5" t="s">
        <v>1760</v>
      </c>
      <c r="H14" s="5" t="s">
        <v>1761</v>
      </c>
    </row>
    <row r="15" customFormat="false" ht="15" hidden="false" customHeight="false" outlineLevel="0" collapsed="false">
      <c r="A15" s="5" t="s">
        <v>1762</v>
      </c>
      <c r="B15" s="5" t="s">
        <v>1763</v>
      </c>
      <c r="C15" s="5" t="s">
        <v>1764</v>
      </c>
      <c r="D15" s="5" t="s">
        <v>1765</v>
      </c>
      <c r="E15" s="5" t="s">
        <v>1766</v>
      </c>
      <c r="F15" s="35" t="s">
        <v>1767</v>
      </c>
      <c r="G15" s="5" t="s">
        <v>1768</v>
      </c>
      <c r="H15" s="5"/>
    </row>
    <row r="16" customFormat="false" ht="15" hidden="false" customHeight="false" outlineLevel="0" collapsed="false">
      <c r="A16" s="5" t="s">
        <v>1769</v>
      </c>
      <c r="B16" s="5" t="s">
        <v>1740</v>
      </c>
      <c r="C16" s="5" t="s">
        <v>1770</v>
      </c>
      <c r="D16" s="5" t="s">
        <v>1771</v>
      </c>
      <c r="E16" s="5"/>
      <c r="F16" s="34" t="s">
        <v>1722</v>
      </c>
      <c r="G16" s="5" t="s">
        <v>1772</v>
      </c>
      <c r="H16" s="5"/>
    </row>
    <row r="17" customFormat="false" ht="15" hidden="false" customHeight="false" outlineLevel="0" collapsed="false">
      <c r="A17" s="5" t="s">
        <v>1773</v>
      </c>
      <c r="B17" s="5" t="s">
        <v>1740</v>
      </c>
      <c r="C17" s="5" t="s">
        <v>440</v>
      </c>
      <c r="D17" s="5" t="s">
        <v>1774</v>
      </c>
      <c r="E17" s="5" t="s">
        <v>1775</v>
      </c>
      <c r="F17" s="35" t="s">
        <v>1776</v>
      </c>
      <c r="G17" s="5" t="s">
        <v>1777</v>
      </c>
      <c r="H17" s="5"/>
    </row>
    <row r="18" customFormat="false" ht="15" hidden="false" customHeight="false" outlineLevel="0" collapsed="false">
      <c r="A18" s="5" t="s">
        <v>1778</v>
      </c>
      <c r="B18" s="5" t="s">
        <v>1779</v>
      </c>
      <c r="C18" s="5" t="s">
        <v>1780</v>
      </c>
      <c r="D18" s="5" t="s">
        <v>1781</v>
      </c>
      <c r="E18" s="5" t="s">
        <v>1782</v>
      </c>
      <c r="F18" s="35" t="s">
        <v>1767</v>
      </c>
      <c r="G18" s="5" t="s">
        <v>1783</v>
      </c>
      <c r="H18" s="5" t="s">
        <v>1784</v>
      </c>
    </row>
    <row r="19" customFormat="false" ht="15" hidden="false" customHeight="false" outlineLevel="0" collapsed="false">
      <c r="A19" s="5" t="s">
        <v>1785</v>
      </c>
      <c r="B19" s="5" t="s">
        <v>1786</v>
      </c>
      <c r="C19" s="5" t="s">
        <v>1787</v>
      </c>
      <c r="D19" s="5" t="s">
        <v>1788</v>
      </c>
      <c r="E19" s="5" t="s">
        <v>1789</v>
      </c>
      <c r="F19" s="34" t="s">
        <v>1716</v>
      </c>
      <c r="G19" s="5" t="s">
        <v>1790</v>
      </c>
      <c r="H1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6.15" hidden="false" customHeight="false" outlineLevel="0" collapsed="false">
      <c r="A1" s="19" t="s">
        <v>1791</v>
      </c>
    </row>
    <row r="2" customFormat="false" ht="15" hidden="false" customHeight="false" outlineLevel="0" collapsed="false">
      <c r="A2" s="5" t="s">
        <v>76</v>
      </c>
    </row>
    <row r="4" customFormat="false" ht="15" hidden="false" customHeight="false" outlineLevel="0" collapsed="false">
      <c r="A4" s="7" t="s">
        <v>1792</v>
      </c>
      <c r="B4" s="7" t="s">
        <v>1793</v>
      </c>
      <c r="C4" s="7" t="s">
        <v>1794</v>
      </c>
      <c r="D4" s="7" t="s">
        <v>1795</v>
      </c>
      <c r="E4" s="7" t="s">
        <v>1796</v>
      </c>
      <c r="F4" s="7" t="s">
        <v>1797</v>
      </c>
      <c r="G4" s="7" t="s">
        <v>1798</v>
      </c>
      <c r="H4" s="7" t="s">
        <v>1799</v>
      </c>
    </row>
    <row r="5" customFormat="false" ht="15" hidden="false" customHeight="false" outlineLevel="0" collapsed="false">
      <c r="A5" s="5" t="s">
        <v>1800</v>
      </c>
      <c r="B5" s="5" t="s">
        <v>1801</v>
      </c>
      <c r="C5" s="5" t="s">
        <v>1802</v>
      </c>
      <c r="D5" s="20" t="n">
        <v>190</v>
      </c>
      <c r="E5" s="20" t="n">
        <v>115.88</v>
      </c>
      <c r="F5" s="5" t="s">
        <v>1803</v>
      </c>
      <c r="G5" s="5" t="s">
        <v>1804</v>
      </c>
      <c r="H5" s="5" t="s">
        <v>1805</v>
      </c>
    </row>
    <row r="6" customFormat="false" ht="15" hidden="false" customHeight="false" outlineLevel="0" collapsed="false">
      <c r="A6" s="5" t="s">
        <v>1806</v>
      </c>
      <c r="B6" s="5" t="s">
        <v>1807</v>
      </c>
      <c r="C6" s="5" t="s">
        <v>1802</v>
      </c>
      <c r="D6" s="20" t="n">
        <v>105</v>
      </c>
      <c r="E6" s="20" t="n">
        <v>64.38</v>
      </c>
      <c r="F6" s="5" t="s">
        <v>1808</v>
      </c>
      <c r="G6" s="5" t="s">
        <v>1809</v>
      </c>
      <c r="H6" s="5" t="s">
        <v>1810</v>
      </c>
    </row>
    <row r="7" customFormat="false" ht="15" hidden="false" customHeight="false" outlineLevel="0" collapsed="false">
      <c r="A7" s="5" t="s">
        <v>1811</v>
      </c>
      <c r="B7" s="5" t="s">
        <v>1812</v>
      </c>
      <c r="C7" s="5" t="s">
        <v>1802</v>
      </c>
      <c r="D7" s="20" t="n">
        <v>125</v>
      </c>
      <c r="E7" s="20" t="n">
        <v>77.25</v>
      </c>
      <c r="F7" s="5" t="s">
        <v>1813</v>
      </c>
      <c r="G7" s="5" t="s">
        <v>1814</v>
      </c>
      <c r="H7" s="5" t="s">
        <v>1815</v>
      </c>
    </row>
    <row r="8" customFormat="false" ht="15" hidden="false" customHeight="false" outlineLevel="0" collapsed="false">
      <c r="A8" s="5" t="s">
        <v>1816</v>
      </c>
      <c r="B8" s="5" t="s">
        <v>1812</v>
      </c>
      <c r="C8" s="5" t="s">
        <v>1817</v>
      </c>
      <c r="D8" s="20" t="n">
        <v>50</v>
      </c>
      <c r="E8" s="20" t="n">
        <v>33.28</v>
      </c>
      <c r="F8" s="5" t="s">
        <v>1818</v>
      </c>
      <c r="G8" s="5" t="s">
        <v>1819</v>
      </c>
      <c r="H8" s="5" t="s">
        <v>1820</v>
      </c>
    </row>
    <row r="9" customFormat="false" ht="15" hidden="false" customHeight="false" outlineLevel="0" collapsed="false">
      <c r="A9" s="5" t="s">
        <v>1821</v>
      </c>
      <c r="B9" s="5" t="s">
        <v>1822</v>
      </c>
      <c r="C9" s="5" t="s">
        <v>1823</v>
      </c>
      <c r="D9" s="20" t="n">
        <v>35</v>
      </c>
      <c r="E9" s="20" t="n">
        <v>22.18</v>
      </c>
      <c r="F9" s="5" t="s">
        <v>1824</v>
      </c>
      <c r="G9" s="5" t="s">
        <v>1825</v>
      </c>
      <c r="H9" s="5" t="s">
        <v>1826</v>
      </c>
    </row>
    <row r="10" customFormat="false" ht="15" hidden="false" customHeight="false" outlineLevel="0" collapsed="false">
      <c r="A10" s="5" t="s">
        <v>1827</v>
      </c>
      <c r="B10" s="5" t="s">
        <v>1828</v>
      </c>
      <c r="C10" s="5" t="s">
        <v>1817</v>
      </c>
      <c r="D10" s="20" t="n">
        <v>30</v>
      </c>
      <c r="E10" s="20" t="n">
        <v>18.48</v>
      </c>
      <c r="F10" s="5" t="s">
        <v>1829</v>
      </c>
      <c r="G10" s="5" t="s">
        <v>1819</v>
      </c>
      <c r="H10" s="5" t="s">
        <v>1830</v>
      </c>
    </row>
    <row r="11" customFormat="false" ht="15" hidden="false" customHeight="false" outlineLevel="0" collapsed="false">
      <c r="A11" s="3" t="s">
        <v>1831</v>
      </c>
      <c r="E11" s="27" t="n">
        <v>331.45</v>
      </c>
    </row>
    <row r="14" customFormat="false" ht="15" hidden="false" customHeight="false" outlineLevel="0" collapsed="false">
      <c r="A14" s="3" t="s">
        <v>1832</v>
      </c>
    </row>
    <row r="15" customFormat="false" ht="15" hidden="false" customHeight="false" outlineLevel="0" collapsed="false">
      <c r="A15" s="7" t="s">
        <v>1833</v>
      </c>
      <c r="B15" s="7" t="s">
        <v>1834</v>
      </c>
      <c r="C15" s="7" t="s">
        <v>1835</v>
      </c>
      <c r="D15" s="7" t="s">
        <v>1703</v>
      </c>
      <c r="E15" s="7" t="s">
        <v>1836</v>
      </c>
    </row>
    <row r="16" customFormat="false" ht="15" hidden="false" customHeight="false" outlineLevel="0" collapsed="false">
      <c r="A16" s="5" t="s">
        <v>1837</v>
      </c>
      <c r="B16" s="5" t="s">
        <v>1838</v>
      </c>
      <c r="C16" s="5" t="s">
        <v>1732</v>
      </c>
      <c r="D16" s="5" t="s">
        <v>1839</v>
      </c>
      <c r="E16" s="5" t="s">
        <v>1840</v>
      </c>
    </row>
    <row r="17" customFormat="false" ht="15" hidden="false" customHeight="false" outlineLevel="0" collapsed="false">
      <c r="A17" s="5" t="s">
        <v>1841</v>
      </c>
      <c r="B17" s="5" t="s">
        <v>1842</v>
      </c>
      <c r="C17" s="5" t="s">
        <v>1843</v>
      </c>
      <c r="D17" s="5" t="s">
        <v>1839</v>
      </c>
      <c r="E17" s="5" t="s">
        <v>1840</v>
      </c>
    </row>
    <row r="18" customFormat="false" ht="15" hidden="false" customHeight="false" outlineLevel="0" collapsed="false">
      <c r="A18" s="5" t="s">
        <v>1844</v>
      </c>
      <c r="B18" s="5" t="s">
        <v>1845</v>
      </c>
      <c r="C18" s="5" t="s">
        <v>1846</v>
      </c>
      <c r="D18" s="5" t="s">
        <v>1839</v>
      </c>
      <c r="E18" s="5" t="s">
        <v>1840</v>
      </c>
    </row>
    <row r="19" customFormat="false" ht="15" hidden="false" customHeight="false" outlineLevel="0" collapsed="false">
      <c r="A19" s="5" t="s">
        <v>1847</v>
      </c>
      <c r="B19" s="5" t="s">
        <v>1848</v>
      </c>
      <c r="C19" s="5" t="s">
        <v>1849</v>
      </c>
      <c r="D19" s="5" t="s">
        <v>1839</v>
      </c>
      <c r="E19" s="5" t="s">
        <v>1840</v>
      </c>
    </row>
    <row r="20" customFormat="false" ht="15" hidden="false" customHeight="false" outlineLevel="0" collapsed="false">
      <c r="A20" s="5" t="s">
        <v>1850</v>
      </c>
      <c r="B20" s="5" t="s">
        <v>1851</v>
      </c>
      <c r="C20" s="5" t="s">
        <v>1738</v>
      </c>
      <c r="D20" s="5" t="s">
        <v>1839</v>
      </c>
      <c r="E20" s="5" t="s">
        <v>1840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9" min="5" style="0" width="14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16"/>
  </cols>
  <sheetData>
    <row r="1" customFormat="false" ht="16.15" hidden="false" customHeight="false" outlineLevel="0" collapsed="false">
      <c r="A1" s="19" t="s">
        <v>1852</v>
      </c>
    </row>
    <row r="3" customFormat="false" ht="35.05" hidden="false" customHeight="false" outlineLevel="0" collapsed="false">
      <c r="A3" s="10" t="s">
        <v>1853</v>
      </c>
      <c r="B3" s="10" t="s">
        <v>1854</v>
      </c>
      <c r="C3" s="10" t="s">
        <v>1855</v>
      </c>
      <c r="D3" s="10" t="s">
        <v>1617</v>
      </c>
      <c r="E3" s="10" t="s">
        <v>1856</v>
      </c>
      <c r="F3" s="10" t="s">
        <v>1857</v>
      </c>
      <c r="G3" s="10" t="s">
        <v>1858</v>
      </c>
      <c r="H3" s="10" t="s">
        <v>1859</v>
      </c>
      <c r="I3" s="10" t="s">
        <v>1860</v>
      </c>
      <c r="J3" s="10" t="s">
        <v>1861</v>
      </c>
      <c r="K3" s="10" t="s">
        <v>1862</v>
      </c>
      <c r="L3" s="10" t="s">
        <v>1863</v>
      </c>
      <c r="M3" s="10" t="s">
        <v>1703</v>
      </c>
      <c r="N3" s="10" t="s">
        <v>1864</v>
      </c>
    </row>
    <row r="4" customFormat="false" ht="15" hidden="false" customHeight="false" outlineLevel="0" collapsed="false">
      <c r="A4" s="5" t="s">
        <v>1865</v>
      </c>
      <c r="B4" s="5" t="s">
        <v>1866</v>
      </c>
      <c r="C4" s="5" t="s">
        <v>1867</v>
      </c>
      <c r="D4" s="5" t="s">
        <v>1868</v>
      </c>
      <c r="E4" s="13" t="n">
        <v>4150</v>
      </c>
      <c r="F4" s="13" t="n">
        <v>2400</v>
      </c>
      <c r="G4" s="13" t="n">
        <v>824.61</v>
      </c>
      <c r="H4" s="13" t="n">
        <v>3224.61</v>
      </c>
      <c r="I4" s="13" t="n">
        <v>925.39</v>
      </c>
      <c r="J4" s="15" t="n">
        <v>0.777</v>
      </c>
      <c r="K4" s="5" t="s">
        <v>1869</v>
      </c>
      <c r="L4" s="5" t="s">
        <v>1677</v>
      </c>
      <c r="M4" s="5" t="s">
        <v>1870</v>
      </c>
      <c r="N4" s="5" t="s">
        <v>1871</v>
      </c>
    </row>
    <row r="5" customFormat="false" ht="15" hidden="false" customHeight="false" outlineLevel="0" collapsed="false">
      <c r="A5" s="5" t="s">
        <v>1872</v>
      </c>
      <c r="B5" s="5" t="s">
        <v>1873</v>
      </c>
      <c r="C5" s="5" t="s">
        <v>1867</v>
      </c>
      <c r="D5" s="5" t="s">
        <v>1874</v>
      </c>
      <c r="E5" s="13" t="n">
        <v>2950</v>
      </c>
      <c r="F5" s="13" t="n">
        <v>2650</v>
      </c>
      <c r="G5" s="13" t="n">
        <v>253.72</v>
      </c>
      <c r="H5" s="13" t="n">
        <v>2903.72</v>
      </c>
      <c r="I5" s="13" t="n">
        <v>46.28</v>
      </c>
      <c r="J5" s="15" t="n">
        <v>0.984</v>
      </c>
      <c r="K5" s="5" t="s">
        <v>1875</v>
      </c>
      <c r="L5" s="5" t="s">
        <v>1876</v>
      </c>
      <c r="M5" s="5" t="s">
        <v>1877</v>
      </c>
      <c r="N5" s="5" t="s">
        <v>1878</v>
      </c>
    </row>
    <row r="6" customFormat="false" ht="15" hidden="false" customHeight="false" outlineLevel="0" collapsed="false">
      <c r="A6" s="5" t="s">
        <v>1879</v>
      </c>
      <c r="B6" s="5" t="s">
        <v>1880</v>
      </c>
      <c r="C6" s="5" t="s">
        <v>1881</v>
      </c>
      <c r="D6" s="5" t="s">
        <v>1882</v>
      </c>
      <c r="E6" s="13" t="n">
        <v>1100</v>
      </c>
      <c r="F6" s="13" t="n">
        <v>0</v>
      </c>
      <c r="G6" s="13" t="n">
        <v>697.74</v>
      </c>
      <c r="H6" s="13" t="n">
        <v>697.74</v>
      </c>
      <c r="I6" s="13" t="n">
        <v>402.26</v>
      </c>
      <c r="J6" s="15" t="n">
        <v>0.634</v>
      </c>
      <c r="K6" s="5" t="s">
        <v>1883</v>
      </c>
      <c r="L6" s="5" t="s">
        <v>1884</v>
      </c>
      <c r="M6" s="5" t="s">
        <v>1885</v>
      </c>
      <c r="N6" s="5" t="s">
        <v>1886</v>
      </c>
    </row>
    <row r="7" customFormat="false" ht="15" hidden="false" customHeight="false" outlineLevel="0" collapsed="false">
      <c r="A7" s="5" t="s">
        <v>1887</v>
      </c>
      <c r="B7" s="5" t="s">
        <v>1888</v>
      </c>
      <c r="C7" s="5" t="s">
        <v>1889</v>
      </c>
      <c r="D7" s="5" t="s">
        <v>1890</v>
      </c>
      <c r="E7" s="13" t="n">
        <v>1450</v>
      </c>
      <c r="F7" s="13" t="n">
        <v>300</v>
      </c>
      <c r="G7" s="13" t="n">
        <v>475.73</v>
      </c>
      <c r="H7" s="13" t="n">
        <v>775.73</v>
      </c>
      <c r="I7" s="13" t="n">
        <v>674.27</v>
      </c>
      <c r="J7" s="15" t="n">
        <v>0.535</v>
      </c>
      <c r="K7" s="5" t="s">
        <v>1891</v>
      </c>
      <c r="L7" s="5" t="s">
        <v>1892</v>
      </c>
      <c r="M7" s="5" t="s">
        <v>1893</v>
      </c>
      <c r="N7" s="5" t="s">
        <v>1894</v>
      </c>
    </row>
    <row r="8" customFormat="false" ht="15" hidden="false" customHeight="false" outlineLevel="0" collapsed="false">
      <c r="A8" s="5" t="s">
        <v>1895</v>
      </c>
      <c r="B8" s="5" t="s">
        <v>1896</v>
      </c>
      <c r="C8" s="5" t="s">
        <v>1897</v>
      </c>
      <c r="D8" s="5" t="s">
        <v>1868</v>
      </c>
      <c r="E8" s="13" t="n">
        <v>1800</v>
      </c>
      <c r="F8" s="13" t="n">
        <v>100</v>
      </c>
      <c r="G8" s="13" t="n">
        <v>792.89</v>
      </c>
      <c r="H8" s="13" t="n">
        <v>892.89</v>
      </c>
      <c r="I8" s="13" t="n">
        <v>907.11</v>
      </c>
      <c r="J8" s="15" t="n">
        <v>0.496</v>
      </c>
      <c r="K8" s="5" t="s">
        <v>1898</v>
      </c>
      <c r="L8" s="5" t="s">
        <v>101</v>
      </c>
      <c r="M8" s="5" t="s">
        <v>1899</v>
      </c>
      <c r="N8" s="5" t="s">
        <v>1900</v>
      </c>
    </row>
    <row r="9" customFormat="false" ht="15" hidden="false" customHeight="false" outlineLevel="0" collapsed="false">
      <c r="A9" s="5" t="s">
        <v>1901</v>
      </c>
      <c r="B9" s="5" t="s">
        <v>1902</v>
      </c>
      <c r="C9" s="5" t="s">
        <v>1897</v>
      </c>
      <c r="D9" s="5" t="s">
        <v>1868</v>
      </c>
      <c r="E9" s="13" t="n">
        <v>700</v>
      </c>
      <c r="F9" s="13" t="n">
        <v>60</v>
      </c>
      <c r="G9" s="13" t="n">
        <v>317.16</v>
      </c>
      <c r="H9" s="13" t="n">
        <v>377.16</v>
      </c>
      <c r="I9" s="13" t="n">
        <v>322.84</v>
      </c>
      <c r="J9" s="15" t="n">
        <v>0.539</v>
      </c>
      <c r="K9" s="5" t="s">
        <v>1903</v>
      </c>
      <c r="L9" s="5" t="s">
        <v>97</v>
      </c>
      <c r="M9" s="5" t="s">
        <v>1885</v>
      </c>
      <c r="N9" s="5" t="s">
        <v>1900</v>
      </c>
    </row>
    <row r="10" customFormat="false" ht="15" hidden="false" customHeight="false" outlineLevel="0" collapsed="false">
      <c r="A10" s="5" t="s">
        <v>1904</v>
      </c>
      <c r="B10" s="5" t="s">
        <v>1905</v>
      </c>
      <c r="C10" s="5" t="s">
        <v>1867</v>
      </c>
      <c r="D10" s="5" t="s">
        <v>1868</v>
      </c>
      <c r="E10" s="13" t="n">
        <v>950</v>
      </c>
      <c r="F10" s="13" t="n">
        <v>0</v>
      </c>
      <c r="G10" s="13" t="n">
        <v>444.02</v>
      </c>
      <c r="H10" s="13" t="n">
        <v>444.02</v>
      </c>
      <c r="I10" s="13" t="n">
        <v>505.98</v>
      </c>
      <c r="J10" s="15" t="n">
        <v>0.467</v>
      </c>
      <c r="K10" s="5" t="s">
        <v>1883</v>
      </c>
      <c r="L10" s="5" t="s">
        <v>1892</v>
      </c>
      <c r="M10" s="5" t="s">
        <v>1885</v>
      </c>
      <c r="N10" s="5" t="s">
        <v>1871</v>
      </c>
    </row>
    <row r="11" customFormat="false" ht="15" hidden="false" customHeight="false" outlineLevel="0" collapsed="false">
      <c r="A11" s="5" t="s">
        <v>1906</v>
      </c>
      <c r="B11" s="5" t="s">
        <v>1907</v>
      </c>
      <c r="C11" s="5" t="s">
        <v>1897</v>
      </c>
      <c r="D11" s="5" t="s">
        <v>1882</v>
      </c>
      <c r="E11" s="13" t="n">
        <v>400</v>
      </c>
      <c r="F11" s="13" t="n">
        <v>40</v>
      </c>
      <c r="G11" s="13" t="n">
        <v>190.29</v>
      </c>
      <c r="H11" s="13" t="n">
        <v>230.29</v>
      </c>
      <c r="I11" s="13" t="n">
        <v>169.71</v>
      </c>
      <c r="J11" s="15" t="n">
        <v>0.576</v>
      </c>
      <c r="K11" s="5" t="s">
        <v>1908</v>
      </c>
      <c r="L11" s="5" t="s">
        <v>1909</v>
      </c>
      <c r="M11" s="5" t="s">
        <v>1910</v>
      </c>
      <c r="N11" s="5" t="s">
        <v>1911</v>
      </c>
    </row>
    <row r="12" customFormat="false" ht="15" hidden="false" customHeight="false" outlineLevel="0" collapsed="false">
      <c r="A12" s="5" t="s">
        <v>1912</v>
      </c>
      <c r="B12" s="5" t="s">
        <v>1913</v>
      </c>
      <c r="C12" s="5" t="s">
        <v>1881</v>
      </c>
      <c r="D12" s="5" t="s">
        <v>1890</v>
      </c>
      <c r="E12" s="13" t="n">
        <v>400</v>
      </c>
      <c r="F12" s="13" t="n">
        <v>0</v>
      </c>
      <c r="G12" s="13" t="n">
        <v>0</v>
      </c>
      <c r="H12" s="13" t="n">
        <v>0</v>
      </c>
      <c r="I12" s="13" t="n">
        <v>400</v>
      </c>
      <c r="J12" s="15" t="n">
        <v>0</v>
      </c>
      <c r="K12" s="5" t="s">
        <v>93</v>
      </c>
      <c r="L12" s="5" t="s">
        <v>1914</v>
      </c>
      <c r="M12" s="5" t="s">
        <v>1915</v>
      </c>
      <c r="N12" s="5" t="s">
        <v>1886</v>
      </c>
    </row>
    <row r="13" customFormat="false" ht="15" hidden="false" customHeight="false" outlineLevel="0" collapsed="false">
      <c r="A13" s="5" t="s">
        <v>1916</v>
      </c>
      <c r="B13" s="5" t="s">
        <v>1917</v>
      </c>
      <c r="C13" s="5" t="s">
        <v>1867</v>
      </c>
      <c r="D13" s="5" t="s">
        <v>1868</v>
      </c>
      <c r="E13" s="13" t="n">
        <v>350</v>
      </c>
      <c r="F13" s="13" t="n">
        <v>0</v>
      </c>
      <c r="G13" s="13" t="n">
        <v>158.58</v>
      </c>
      <c r="H13" s="13" t="n">
        <v>158.58</v>
      </c>
      <c r="I13" s="13" t="n">
        <v>191.42</v>
      </c>
      <c r="J13" s="15" t="n">
        <v>0.453</v>
      </c>
      <c r="K13" s="5" t="s">
        <v>1918</v>
      </c>
      <c r="L13" s="5" t="s">
        <v>1884</v>
      </c>
      <c r="M13" s="5" t="s">
        <v>1885</v>
      </c>
      <c r="N13" s="5" t="s">
        <v>1919</v>
      </c>
    </row>
    <row r="15" customFormat="false" ht="15" hidden="false" customHeight="false" outlineLevel="0" collapsed="false">
      <c r="B15" s="3" t="s">
        <v>1920</v>
      </c>
      <c r="G15" s="14" t="n">
        <v>4154.74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38"/>
    <col collapsed="false" customWidth="true" hidden="false" outlineLevel="0" max="6" min="6" style="0" width="15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9" t="s">
        <v>1921</v>
      </c>
    </row>
    <row r="2" customFormat="false" ht="15" hidden="false" customHeight="false" outlineLevel="0" collapsed="false">
      <c r="A2" s="5" t="s">
        <v>1922</v>
      </c>
    </row>
    <row r="4" customFormat="false" ht="15" hidden="false" customHeight="false" outlineLevel="0" collapsed="false">
      <c r="A4" s="7" t="s">
        <v>1923</v>
      </c>
      <c r="B4" s="7" t="s">
        <v>1924</v>
      </c>
      <c r="C4" s="7" t="s">
        <v>1925</v>
      </c>
      <c r="D4" s="7" t="s">
        <v>1926</v>
      </c>
      <c r="E4" s="7" t="s">
        <v>1703</v>
      </c>
      <c r="F4" s="7" t="s">
        <v>1927</v>
      </c>
      <c r="G4" s="7" t="s">
        <v>35</v>
      </c>
    </row>
    <row r="5" customFormat="false" ht="15" hidden="false" customHeight="false" outlineLevel="0" collapsed="false">
      <c r="A5" s="5" t="s">
        <v>1928</v>
      </c>
      <c r="B5" s="5" t="s">
        <v>1908</v>
      </c>
      <c r="C5" s="26" t="n">
        <v>46092</v>
      </c>
      <c r="D5" s="26" t="n">
        <v>46092</v>
      </c>
      <c r="E5" s="5" t="s">
        <v>1929</v>
      </c>
    </row>
    <row r="6" customFormat="false" ht="15" hidden="false" customHeight="false" outlineLevel="0" collapsed="false">
      <c r="A6" s="5" t="s">
        <v>1930</v>
      </c>
      <c r="B6" s="5" t="s">
        <v>1908</v>
      </c>
      <c r="C6" s="26" t="n">
        <v>46101</v>
      </c>
      <c r="D6" s="5" t="s">
        <v>1931</v>
      </c>
      <c r="E6" s="5" t="s">
        <v>1929</v>
      </c>
      <c r="F6" s="13" t="n">
        <v>320.98</v>
      </c>
    </row>
    <row r="7" customFormat="false" ht="15" hidden="false" customHeight="false" outlineLevel="0" collapsed="false">
      <c r="A7" s="5" t="s">
        <v>1932</v>
      </c>
      <c r="B7" s="5" t="s">
        <v>1908</v>
      </c>
      <c r="C7" s="5" t="s">
        <v>1933</v>
      </c>
      <c r="D7" s="26" t="n">
        <v>46085</v>
      </c>
      <c r="E7" s="5" t="s">
        <v>1929</v>
      </c>
      <c r="F7" s="13" t="n">
        <v>98.78</v>
      </c>
    </row>
    <row r="8" customFormat="false" ht="15" hidden="false" customHeight="false" outlineLevel="0" collapsed="false">
      <c r="A8" s="5" t="s">
        <v>1934</v>
      </c>
      <c r="B8" s="5" t="s">
        <v>1908</v>
      </c>
      <c r="C8" s="26" t="n">
        <v>46096</v>
      </c>
      <c r="D8" s="5" t="s">
        <v>1935</v>
      </c>
      <c r="E8" s="5" t="s">
        <v>1929</v>
      </c>
      <c r="F8" s="13" t="n">
        <v>59.62</v>
      </c>
    </row>
    <row r="9" customFormat="false" ht="15" hidden="false" customHeight="false" outlineLevel="0" collapsed="false">
      <c r="A9" s="5" t="s">
        <v>1928</v>
      </c>
      <c r="B9" s="5" t="s">
        <v>1918</v>
      </c>
      <c r="C9" s="26" t="n">
        <v>46123</v>
      </c>
      <c r="D9" s="26" t="n">
        <v>46121</v>
      </c>
      <c r="E9" s="5" t="s">
        <v>1929</v>
      </c>
    </row>
    <row r="10" customFormat="false" ht="15" hidden="false" customHeight="false" outlineLevel="0" collapsed="false">
      <c r="A10" s="5" t="s">
        <v>1930</v>
      </c>
      <c r="B10" s="5" t="s">
        <v>1918</v>
      </c>
      <c r="C10" s="26" t="n">
        <v>46132</v>
      </c>
      <c r="D10" s="26" t="n">
        <v>46128</v>
      </c>
      <c r="E10" s="5" t="s">
        <v>1929</v>
      </c>
      <c r="F10" s="13" t="n">
        <v>356.8</v>
      </c>
    </row>
    <row r="11" customFormat="false" ht="15" hidden="false" customHeight="false" outlineLevel="0" collapsed="false">
      <c r="A11" s="5" t="s">
        <v>1932</v>
      </c>
      <c r="B11" s="5" t="s">
        <v>1918</v>
      </c>
      <c r="C11" s="5" t="s">
        <v>1936</v>
      </c>
      <c r="D11" s="5" t="s">
        <v>1937</v>
      </c>
      <c r="E11" s="5" t="s">
        <v>1929</v>
      </c>
      <c r="F11" s="13" t="n">
        <v>96.41</v>
      </c>
    </row>
    <row r="12" customFormat="false" ht="15" hidden="false" customHeight="false" outlineLevel="0" collapsed="false">
      <c r="A12" s="5" t="s">
        <v>1934</v>
      </c>
      <c r="B12" s="5" t="s">
        <v>1918</v>
      </c>
      <c r="C12" s="5" t="s">
        <v>1938</v>
      </c>
      <c r="D12" s="5" t="s">
        <v>1939</v>
      </c>
      <c r="E12" s="5" t="s">
        <v>1940</v>
      </c>
      <c r="F12" s="13" t="n">
        <v>65.57</v>
      </c>
      <c r="G12" s="5" t="s">
        <v>1941</v>
      </c>
    </row>
    <row r="13" customFormat="false" ht="15" hidden="false" customHeight="false" outlineLevel="0" collapsed="false">
      <c r="A13" s="5" t="s">
        <v>1928</v>
      </c>
      <c r="B13" s="5" t="s">
        <v>1676</v>
      </c>
      <c r="C13" s="26" t="n">
        <v>46153</v>
      </c>
      <c r="D13" s="5" t="s">
        <v>1942</v>
      </c>
      <c r="E13" s="5" t="s">
        <v>1929</v>
      </c>
    </row>
    <row r="14" customFormat="false" ht="15" hidden="false" customHeight="false" outlineLevel="0" collapsed="false">
      <c r="A14" s="5" t="s">
        <v>1930</v>
      </c>
      <c r="B14" s="5" t="s">
        <v>1676</v>
      </c>
      <c r="C14" s="5" t="s">
        <v>1943</v>
      </c>
      <c r="D14" s="5" t="s">
        <v>1944</v>
      </c>
      <c r="E14" s="5" t="s">
        <v>1940</v>
      </c>
      <c r="F14" s="13" t="n">
        <v>510.95</v>
      </c>
      <c r="G14" s="5" t="s">
        <v>1945</v>
      </c>
    </row>
    <row r="15" customFormat="false" ht="15" hidden="false" customHeight="false" outlineLevel="0" collapsed="false">
      <c r="A15" s="5" t="s">
        <v>1932</v>
      </c>
      <c r="B15" s="5" t="s">
        <v>1676</v>
      </c>
      <c r="C15" s="26" t="n">
        <v>46149</v>
      </c>
      <c r="D15" s="26" t="n">
        <v>46145</v>
      </c>
      <c r="E15" s="5" t="s">
        <v>1929</v>
      </c>
      <c r="F15" s="13" t="n">
        <v>108.72</v>
      </c>
    </row>
    <row r="16" customFormat="false" ht="15" hidden="false" customHeight="false" outlineLevel="0" collapsed="false">
      <c r="A16" s="5" t="s">
        <v>1934</v>
      </c>
      <c r="B16" s="5" t="s">
        <v>1676</v>
      </c>
      <c r="C16" s="5" t="s">
        <v>1946</v>
      </c>
      <c r="D16" s="26" t="n">
        <v>46156</v>
      </c>
      <c r="E16" s="5" t="s">
        <v>1929</v>
      </c>
      <c r="F16" s="13" t="n">
        <v>63.81</v>
      </c>
    </row>
    <row r="17" customFormat="false" ht="15" hidden="false" customHeight="false" outlineLevel="0" collapsed="false">
      <c r="A17" s="5" t="s">
        <v>1928</v>
      </c>
      <c r="B17" s="5" t="s">
        <v>89</v>
      </c>
      <c r="C17" s="5" t="s">
        <v>1947</v>
      </c>
      <c r="D17" s="26" t="n">
        <v>46188</v>
      </c>
      <c r="E17" s="5" t="s">
        <v>1940</v>
      </c>
      <c r="G17" s="5" t="s">
        <v>1948</v>
      </c>
    </row>
    <row r="18" customFormat="false" ht="15" hidden="false" customHeight="false" outlineLevel="0" collapsed="false">
      <c r="A18" s="5" t="s">
        <v>1930</v>
      </c>
      <c r="B18" s="5" t="s">
        <v>89</v>
      </c>
      <c r="C18" s="26" t="n">
        <v>46193</v>
      </c>
      <c r="D18" s="26" t="n">
        <v>46191</v>
      </c>
      <c r="E18" s="5" t="s">
        <v>1929</v>
      </c>
      <c r="F18" s="13" t="n">
        <v>348.85</v>
      </c>
    </row>
    <row r="19" customFormat="false" ht="15" hidden="false" customHeight="false" outlineLevel="0" collapsed="false">
      <c r="A19" s="5" t="s">
        <v>1932</v>
      </c>
      <c r="B19" s="5" t="s">
        <v>89</v>
      </c>
      <c r="C19" s="5" t="s">
        <v>1390</v>
      </c>
      <c r="D19" s="26" t="n">
        <v>46180</v>
      </c>
      <c r="E19" s="5" t="s">
        <v>1929</v>
      </c>
      <c r="F19" s="13" t="n">
        <v>107.83</v>
      </c>
    </row>
    <row r="20" customFormat="false" ht="15" hidden="false" customHeight="false" outlineLevel="0" collapsed="false">
      <c r="A20" s="5" t="s">
        <v>1934</v>
      </c>
      <c r="B20" s="5" t="s">
        <v>89</v>
      </c>
      <c r="C20" s="26" t="n">
        <v>46188</v>
      </c>
      <c r="D20" s="5" t="s">
        <v>1949</v>
      </c>
      <c r="E20" s="5" t="s">
        <v>1929</v>
      </c>
      <c r="F20" s="13" t="n">
        <v>74.9</v>
      </c>
    </row>
    <row r="21" customFormat="false" ht="15" hidden="false" customHeight="false" outlineLevel="0" collapsed="false">
      <c r="A21" s="5" t="s">
        <v>1928</v>
      </c>
      <c r="B21" s="5" t="s">
        <v>1677</v>
      </c>
      <c r="C21" s="26" t="n">
        <v>46214</v>
      </c>
      <c r="D21" s="5" t="s">
        <v>1950</v>
      </c>
      <c r="E21" s="5" t="s">
        <v>1929</v>
      </c>
    </row>
    <row r="22" customFormat="false" ht="15" hidden="false" customHeight="false" outlineLevel="0" collapsed="false">
      <c r="A22" s="5" t="s">
        <v>1930</v>
      </c>
      <c r="B22" s="5" t="s">
        <v>1677</v>
      </c>
      <c r="C22" s="26" t="n">
        <v>46223</v>
      </c>
      <c r="D22" s="26" t="n">
        <v>46222</v>
      </c>
      <c r="E22" s="5" t="s">
        <v>1929</v>
      </c>
      <c r="F22" s="13" t="n">
        <v>347.85</v>
      </c>
    </row>
    <row r="23" customFormat="false" ht="15" hidden="false" customHeight="false" outlineLevel="0" collapsed="false">
      <c r="A23" s="5" t="s">
        <v>1932</v>
      </c>
      <c r="B23" s="5" t="s">
        <v>1677</v>
      </c>
      <c r="C23" s="5" t="s">
        <v>1951</v>
      </c>
      <c r="D23" s="26" t="n">
        <v>46213</v>
      </c>
      <c r="E23" s="5" t="s">
        <v>1940</v>
      </c>
      <c r="F23" s="13" t="n">
        <v>111.75</v>
      </c>
      <c r="G23" s="5" t="s">
        <v>1941</v>
      </c>
    </row>
    <row r="24" customFormat="false" ht="15" hidden="false" customHeight="false" outlineLevel="0" collapsed="false">
      <c r="A24" s="5" t="s">
        <v>1934</v>
      </c>
      <c r="B24" s="5" t="s">
        <v>1677</v>
      </c>
      <c r="C24" s="26" t="n">
        <v>46218</v>
      </c>
      <c r="D24" s="5" t="s">
        <v>1952</v>
      </c>
      <c r="E24" s="5" t="s">
        <v>1929</v>
      </c>
      <c r="F24" s="13" t="n">
        <v>61.33</v>
      </c>
    </row>
    <row r="25" customFormat="false" ht="15" hidden="false" customHeight="false" outlineLevel="0" collapsed="false">
      <c r="A25" s="5" t="s">
        <v>1928</v>
      </c>
      <c r="B25" s="5" t="s">
        <v>1678</v>
      </c>
      <c r="C25" s="5" t="s">
        <v>1953</v>
      </c>
      <c r="D25" s="26" t="n">
        <v>46241</v>
      </c>
      <c r="E25" s="5" t="s">
        <v>1929</v>
      </c>
    </row>
    <row r="26" customFormat="false" ht="15" hidden="false" customHeight="false" outlineLevel="0" collapsed="false">
      <c r="A26" s="5" t="s">
        <v>1930</v>
      </c>
      <c r="B26" s="5" t="s">
        <v>1678</v>
      </c>
      <c r="C26" s="5" t="s">
        <v>1954</v>
      </c>
      <c r="D26" s="5" t="s">
        <v>1955</v>
      </c>
      <c r="E26" s="5" t="s">
        <v>1929</v>
      </c>
      <c r="F26" s="13" t="n">
        <v>414.72</v>
      </c>
    </row>
    <row r="27" customFormat="false" ht="15" hidden="false" customHeight="false" outlineLevel="0" collapsed="false">
      <c r="A27" s="5" t="s">
        <v>1932</v>
      </c>
      <c r="B27" s="5" t="s">
        <v>1678</v>
      </c>
      <c r="C27" s="26" t="n">
        <v>46241</v>
      </c>
      <c r="D27" s="5" t="s">
        <v>1956</v>
      </c>
      <c r="E27" s="5" t="s">
        <v>1929</v>
      </c>
      <c r="F27" s="13" t="n">
        <v>100.74</v>
      </c>
    </row>
    <row r="28" customFormat="false" ht="15" hidden="false" customHeight="false" outlineLevel="0" collapsed="false">
      <c r="A28" s="5" t="s">
        <v>1934</v>
      </c>
      <c r="B28" s="5" t="s">
        <v>1678</v>
      </c>
      <c r="C28" s="26" t="n">
        <v>46249</v>
      </c>
      <c r="D28" s="5" t="s">
        <v>1957</v>
      </c>
      <c r="E28" s="5" t="s">
        <v>1940</v>
      </c>
      <c r="F28" s="13" t="n">
        <v>61.94</v>
      </c>
      <c r="G28" s="5" t="s">
        <v>1941</v>
      </c>
    </row>
    <row r="29" customFormat="false" ht="15" hidden="false" customHeight="false" outlineLevel="0" collapsed="false">
      <c r="A29" s="5" t="s">
        <v>1958</v>
      </c>
      <c r="B29" s="5" t="s">
        <v>1959</v>
      </c>
      <c r="C29" s="26" t="n">
        <v>46173</v>
      </c>
      <c r="D29" s="5" t="s">
        <v>1960</v>
      </c>
      <c r="E29" s="5" t="s">
        <v>1929</v>
      </c>
    </row>
    <row r="30" customFormat="false" ht="15" hidden="false" customHeight="false" outlineLevel="0" collapsed="false">
      <c r="A30" s="5" t="s">
        <v>1958</v>
      </c>
      <c r="B30" s="5" t="s">
        <v>1961</v>
      </c>
      <c r="C30" s="5" t="s">
        <v>1962</v>
      </c>
      <c r="D30" s="5" t="s">
        <v>1963</v>
      </c>
      <c r="E30" s="5" t="s">
        <v>1929</v>
      </c>
    </row>
    <row r="31" customFormat="false" ht="15" hidden="false" customHeight="false" outlineLevel="0" collapsed="false">
      <c r="A31" s="5" t="s">
        <v>1964</v>
      </c>
      <c r="B31" s="5" t="s">
        <v>1965</v>
      </c>
      <c r="C31" s="5" t="s">
        <v>1966</v>
      </c>
      <c r="D31" s="5" t="s">
        <v>1967</v>
      </c>
      <c r="E31" s="5" t="s">
        <v>1968</v>
      </c>
      <c r="F31" s="13" t="n">
        <v>172.5</v>
      </c>
    </row>
    <row r="32" customFormat="false" ht="15" hidden="false" customHeight="false" outlineLevel="0" collapsed="false">
      <c r="A32" s="5" t="s">
        <v>1969</v>
      </c>
      <c r="B32" s="5" t="s">
        <v>1965</v>
      </c>
      <c r="C32" s="26" t="n">
        <v>46280</v>
      </c>
      <c r="E32" s="5" t="s">
        <v>1970</v>
      </c>
      <c r="F32" s="13" t="n">
        <v>345</v>
      </c>
      <c r="G32" s="5" t="s">
        <v>1971</v>
      </c>
    </row>
    <row r="33" customFormat="false" ht="15" hidden="false" customHeight="false" outlineLevel="0" collapsed="false">
      <c r="A33" s="5" t="s">
        <v>1928</v>
      </c>
      <c r="B33" s="5" t="s">
        <v>93</v>
      </c>
      <c r="C33" s="26" t="n">
        <v>46276</v>
      </c>
      <c r="E33" s="5" t="s">
        <v>1970</v>
      </c>
    </row>
    <row r="34" customFormat="false" ht="15" hidden="false" customHeight="false" outlineLevel="0" collapsed="false">
      <c r="A34" s="5" t="s">
        <v>1930</v>
      </c>
      <c r="B34" s="5" t="s">
        <v>93</v>
      </c>
      <c r="C34" s="26" t="n">
        <v>46285</v>
      </c>
      <c r="E34" s="5" t="s">
        <v>1970</v>
      </c>
      <c r="F34" s="13" t="n">
        <v>455</v>
      </c>
      <c r="G34" s="5" t="s">
        <v>1972</v>
      </c>
    </row>
    <row r="35" customFormat="false" ht="15" hidden="false" customHeight="false" outlineLevel="0" collapsed="false">
      <c r="A35" s="5" t="s">
        <v>1973</v>
      </c>
      <c r="B35" s="5" t="s">
        <v>1974</v>
      </c>
      <c r="C35" s="26" t="n">
        <v>46295</v>
      </c>
      <c r="E35" s="5" t="s">
        <v>1885</v>
      </c>
      <c r="G35" s="5" t="s">
        <v>1975</v>
      </c>
    </row>
    <row r="36" customFormat="false" ht="15" hidden="false" customHeight="false" outlineLevel="0" collapsed="false">
      <c r="A36" s="5" t="s">
        <v>1976</v>
      </c>
      <c r="B36" s="5" t="s">
        <v>1974</v>
      </c>
      <c r="C36" s="5" t="s">
        <v>1977</v>
      </c>
      <c r="E36" s="5" t="s">
        <v>1978</v>
      </c>
      <c r="G36" s="5" t="s">
        <v>1979</v>
      </c>
    </row>
    <row r="37" customFormat="false" ht="15" hidden="false" customHeight="false" outlineLevel="0" collapsed="false">
      <c r="A37" s="5" t="s">
        <v>1980</v>
      </c>
      <c r="B37" s="5" t="s">
        <v>1981</v>
      </c>
      <c r="C37" s="26" t="n">
        <v>46326</v>
      </c>
      <c r="E37" s="5" t="s">
        <v>1915</v>
      </c>
      <c r="G37" s="5" t="s">
        <v>1982</v>
      </c>
    </row>
    <row r="38" customFormat="false" ht="15" hidden="false" customHeight="false" outlineLevel="0" collapsed="false">
      <c r="A38" s="5" t="s">
        <v>1983</v>
      </c>
      <c r="B38" s="5" t="s">
        <v>1974</v>
      </c>
      <c r="C38" s="26" t="n">
        <v>46325</v>
      </c>
      <c r="E38" s="5" t="s">
        <v>1915</v>
      </c>
      <c r="G38" s="5" t="s">
        <v>1984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19" t="s">
        <v>1985</v>
      </c>
    </row>
    <row r="2" customFormat="false" ht="15" hidden="false" customHeight="false" outlineLevel="0" collapsed="false">
      <c r="A2" s="5" t="s">
        <v>1986</v>
      </c>
    </row>
    <row r="4" customFormat="false" ht="15" hidden="false" customHeight="false" outlineLevel="0" collapsed="false">
      <c r="A4" s="10" t="s">
        <v>1987</v>
      </c>
      <c r="B4" s="10" t="s">
        <v>1988</v>
      </c>
      <c r="C4" s="10" t="s">
        <v>1989</v>
      </c>
      <c r="D4" s="10" t="s">
        <v>1990</v>
      </c>
      <c r="E4" s="10" t="s">
        <v>1991</v>
      </c>
      <c r="F4" s="10" t="s">
        <v>1992</v>
      </c>
      <c r="G4" s="10" t="s">
        <v>1993</v>
      </c>
      <c r="H4" s="10" t="s">
        <v>1994</v>
      </c>
      <c r="I4" s="10" t="s">
        <v>1995</v>
      </c>
    </row>
    <row r="5" customFormat="false" ht="15" hidden="false" customHeight="false" outlineLevel="0" collapsed="false">
      <c r="A5" s="5" t="s">
        <v>1996</v>
      </c>
      <c r="B5" s="5" t="n">
        <v>88.4</v>
      </c>
      <c r="C5" s="36" t="n">
        <v>778392</v>
      </c>
      <c r="D5" s="36" t="n">
        <v>420000</v>
      </c>
      <c r="E5" s="36" t="n">
        <v>358392</v>
      </c>
      <c r="F5" s="36" t="n">
        <v>254000</v>
      </c>
      <c r="G5" s="15" t="n">
        <v>0.709</v>
      </c>
      <c r="H5" s="13" t="n">
        <v>316.82</v>
      </c>
      <c r="I5" s="13" t="n">
        <v>92.28</v>
      </c>
    </row>
    <row r="6" customFormat="false" ht="15" hidden="false" customHeight="false" outlineLevel="0" collapsed="false">
      <c r="A6" s="5" t="s">
        <v>1997</v>
      </c>
      <c r="B6" s="5" t="n">
        <v>103.2</v>
      </c>
      <c r="C6" s="36" t="n">
        <v>1222397</v>
      </c>
      <c r="D6" s="36" t="n">
        <v>260000</v>
      </c>
      <c r="E6" s="36" t="n">
        <v>962397</v>
      </c>
      <c r="F6" s="36" t="n">
        <v>599000</v>
      </c>
      <c r="G6" s="15" t="n">
        <v>0.622</v>
      </c>
      <c r="H6" s="13" t="n">
        <v>993.19</v>
      </c>
      <c r="I6" s="13" t="n">
        <v>375.03</v>
      </c>
    </row>
    <row r="7" customFormat="false" ht="15" hidden="false" customHeight="false" outlineLevel="0" collapsed="false">
      <c r="A7" s="5" t="s">
        <v>1998</v>
      </c>
      <c r="B7" s="5" t="n">
        <v>24.07</v>
      </c>
      <c r="C7" s="36" t="n">
        <v>1429369</v>
      </c>
      <c r="D7" s="36" t="n">
        <v>0</v>
      </c>
      <c r="E7" s="36" t="n">
        <v>1429369</v>
      </c>
      <c r="F7" s="36" t="n">
        <v>889000</v>
      </c>
      <c r="G7" s="15" t="n">
        <v>0.622</v>
      </c>
      <c r="H7" s="13" t="n">
        <v>344.05</v>
      </c>
      <c r="I7" s="13" t="n">
        <v>130.07</v>
      </c>
    </row>
    <row r="8" customFormat="false" ht="15" hidden="false" customHeight="false" outlineLevel="0" collapsed="false">
      <c r="A8" s="5" t="s">
        <v>1999</v>
      </c>
      <c r="B8" s="5" t="n">
        <v>58.6</v>
      </c>
      <c r="C8" s="36" t="n">
        <v>391410</v>
      </c>
      <c r="D8" s="36" t="n">
        <v>0</v>
      </c>
      <c r="E8" s="36" t="n">
        <v>391410</v>
      </c>
      <c r="F8" s="36" t="n">
        <v>254000</v>
      </c>
      <c r="G8" s="15" t="n">
        <v>0.649</v>
      </c>
      <c r="H8" s="13" t="n">
        <v>229.37</v>
      </c>
      <c r="I8" s="13" t="n">
        <v>80.52</v>
      </c>
    </row>
    <row r="11" customFormat="false" ht="15" hidden="false" customHeight="false" outlineLevel="0" collapsed="false">
      <c r="A11" s="3" t="s">
        <v>2000</v>
      </c>
    </row>
    <row r="12" customFormat="false" ht="15" hidden="false" customHeight="false" outlineLevel="0" collapsed="false">
      <c r="A12" s="7" t="s">
        <v>2001</v>
      </c>
      <c r="B12" s="7" t="s">
        <v>1987</v>
      </c>
      <c r="C12" s="7" t="s">
        <v>2002</v>
      </c>
      <c r="D12" s="7" t="s">
        <v>2003</v>
      </c>
      <c r="E12" s="7" t="s">
        <v>1798</v>
      </c>
      <c r="F12" s="7" t="s">
        <v>2004</v>
      </c>
    </row>
    <row r="13" customFormat="false" ht="15" hidden="false" customHeight="false" outlineLevel="0" collapsed="false">
      <c r="A13" s="5" t="s">
        <v>1822</v>
      </c>
      <c r="B13" s="5" t="s">
        <v>1996</v>
      </c>
      <c r="C13" s="36" t="n">
        <v>152000</v>
      </c>
      <c r="D13" s="5" t="n">
        <v>88</v>
      </c>
      <c r="E13" s="26" t="n">
        <v>46293</v>
      </c>
      <c r="F13" s="13" t="n">
        <v>-0.61</v>
      </c>
    </row>
    <row r="14" customFormat="false" ht="15" hidden="false" customHeight="false" outlineLevel="0" collapsed="false">
      <c r="A14" s="5" t="s">
        <v>1822</v>
      </c>
      <c r="B14" s="5" t="s">
        <v>1996</v>
      </c>
      <c r="C14" s="36" t="n">
        <v>102000</v>
      </c>
      <c r="D14" s="5" t="n">
        <v>89.6</v>
      </c>
      <c r="E14" s="26" t="n">
        <v>46354</v>
      </c>
      <c r="F14" s="13" t="n">
        <v>1.22</v>
      </c>
    </row>
    <row r="15" customFormat="false" ht="15" hidden="false" customHeight="false" outlineLevel="0" collapsed="false">
      <c r="A15" s="5" t="s">
        <v>1807</v>
      </c>
      <c r="B15" s="5" t="s">
        <v>1997</v>
      </c>
      <c r="C15" s="36" t="n">
        <v>359000</v>
      </c>
      <c r="D15" s="5" t="n">
        <v>104.15</v>
      </c>
      <c r="E15" s="26" t="n">
        <v>46293</v>
      </c>
      <c r="F15" s="13" t="n">
        <v>3.41</v>
      </c>
    </row>
    <row r="16" customFormat="false" ht="15" hidden="false" customHeight="false" outlineLevel="0" collapsed="false">
      <c r="A16" s="5" t="s">
        <v>1807</v>
      </c>
      <c r="B16" s="5" t="s">
        <v>1997</v>
      </c>
      <c r="C16" s="36" t="n">
        <v>240000</v>
      </c>
      <c r="D16" s="5" t="n">
        <v>104.18</v>
      </c>
      <c r="E16" s="26" t="n">
        <v>46354</v>
      </c>
      <c r="F16" s="13" t="n">
        <v>2.35</v>
      </c>
    </row>
    <row r="17" customFormat="false" ht="15" hidden="false" customHeight="false" outlineLevel="0" collapsed="false">
      <c r="A17" s="5" t="s">
        <v>1807</v>
      </c>
      <c r="B17" s="5" t="s">
        <v>1998</v>
      </c>
      <c r="C17" s="36" t="n">
        <v>533000</v>
      </c>
      <c r="D17" s="5" t="n">
        <v>24.27</v>
      </c>
      <c r="E17" s="26" t="n">
        <v>46293</v>
      </c>
      <c r="F17" s="13" t="n">
        <v>1.07</v>
      </c>
    </row>
    <row r="18" customFormat="false" ht="15" hidden="false" customHeight="false" outlineLevel="0" collapsed="false">
      <c r="A18" s="5" t="s">
        <v>1807</v>
      </c>
      <c r="B18" s="5" t="s">
        <v>1998</v>
      </c>
      <c r="C18" s="36" t="n">
        <v>356000</v>
      </c>
      <c r="D18" s="5" t="n">
        <v>24.35</v>
      </c>
      <c r="E18" s="26" t="n">
        <v>46354</v>
      </c>
      <c r="F18" s="13" t="n">
        <v>1</v>
      </c>
    </row>
    <row r="19" customFormat="false" ht="15" hidden="false" customHeight="false" outlineLevel="0" collapsed="false">
      <c r="A19" s="5" t="s">
        <v>1812</v>
      </c>
      <c r="B19" s="5" t="s">
        <v>1999</v>
      </c>
      <c r="C19" s="36" t="n">
        <v>152000</v>
      </c>
      <c r="D19" s="5" t="n">
        <v>59.73</v>
      </c>
      <c r="E19" s="26" t="n">
        <v>46293</v>
      </c>
      <c r="F19" s="13" t="n">
        <v>1.72</v>
      </c>
    </row>
    <row r="20" customFormat="false" ht="15" hidden="false" customHeight="false" outlineLevel="0" collapsed="false">
      <c r="A20" s="5" t="s">
        <v>1822</v>
      </c>
      <c r="B20" s="5" t="s">
        <v>1999</v>
      </c>
      <c r="C20" s="36" t="n">
        <v>102000</v>
      </c>
      <c r="D20" s="5" t="n">
        <v>59.21</v>
      </c>
      <c r="E20" s="26" t="n">
        <v>46354</v>
      </c>
      <c r="F20" s="13" t="n">
        <v>0.62</v>
      </c>
    </row>
    <row r="23" customFormat="false" ht="15" hidden="false" customHeight="false" outlineLevel="0" collapsed="false">
      <c r="A23" s="3" t="s">
        <v>2005</v>
      </c>
    </row>
    <row r="24" customFormat="false" ht="15" hidden="false" customHeight="false" outlineLevel="0" collapsed="false">
      <c r="A24" s="7" t="s">
        <v>1794</v>
      </c>
      <c r="B24" s="9" t="s">
        <v>1663</v>
      </c>
      <c r="C24" s="9" t="s">
        <v>1664</v>
      </c>
      <c r="D24" s="9" t="s">
        <v>90</v>
      </c>
      <c r="E24" s="9" t="s">
        <v>92</v>
      </c>
      <c r="F24" s="9" t="s">
        <v>31</v>
      </c>
    </row>
    <row r="25" customFormat="false" ht="15" hidden="false" customHeight="false" outlineLevel="0" collapsed="false">
      <c r="A25" s="5" t="s">
        <v>2006</v>
      </c>
      <c r="B25" s="13" t="n">
        <v>-0.83</v>
      </c>
      <c r="C25" s="13" t="n">
        <v>7.6</v>
      </c>
      <c r="D25" s="13" t="n">
        <v>15.92</v>
      </c>
      <c r="E25" s="13" t="n">
        <v>-2.03</v>
      </c>
      <c r="F25" s="13" t="n">
        <v>2.01</v>
      </c>
    </row>
    <row r="26" customFormat="false" ht="15" hidden="false" customHeight="false" outlineLevel="0" collapsed="false">
      <c r="A26" s="5" t="s">
        <v>2007</v>
      </c>
      <c r="B26" s="5" t="n">
        <v>-3.91</v>
      </c>
      <c r="C26" s="5" t="s">
        <v>2008</v>
      </c>
      <c r="D26" s="5" t="s">
        <v>2009</v>
      </c>
      <c r="E26" s="5" t="s">
        <v>2010</v>
      </c>
      <c r="F26" s="5" t="n">
        <v>-12.61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3"/>
  </cols>
  <sheetData>
    <row r="1" customFormat="false" ht="16.15" hidden="false" customHeight="false" outlineLevel="0" collapsed="false">
      <c r="A1" s="19" t="s">
        <v>2011</v>
      </c>
    </row>
    <row r="2" customFormat="false" ht="15" hidden="false" customHeight="false" outlineLevel="0" collapsed="false">
      <c r="A2" s="5" t="s">
        <v>2012</v>
      </c>
    </row>
    <row r="4" customFormat="false" ht="15" hidden="false" customHeight="false" outlineLevel="0" collapsed="false">
      <c r="B4" s="6" t="s">
        <v>2013</v>
      </c>
      <c r="C4" s="6"/>
      <c r="D4" s="6"/>
      <c r="E4" s="6"/>
      <c r="F4" s="6" t="s">
        <v>2014</v>
      </c>
      <c r="G4" s="6"/>
      <c r="H4" s="6"/>
      <c r="I4" s="6"/>
      <c r="J4" s="6" t="s">
        <v>1881</v>
      </c>
      <c r="K4" s="6"/>
      <c r="L4" s="6"/>
      <c r="M4" s="6"/>
    </row>
    <row r="5" customFormat="false" ht="15" hidden="false" customHeight="false" outlineLevel="0" collapsed="false">
      <c r="A5" s="7" t="s">
        <v>78</v>
      </c>
      <c r="B5" s="11" t="s">
        <v>2015</v>
      </c>
      <c r="C5" s="11" t="s">
        <v>2016</v>
      </c>
      <c r="D5" s="11" t="s">
        <v>2017</v>
      </c>
      <c r="E5" s="11" t="s">
        <v>2018</v>
      </c>
      <c r="F5" s="11" t="s">
        <v>2015</v>
      </c>
      <c r="G5" s="11" t="s">
        <v>2016</v>
      </c>
      <c r="H5" s="11" t="s">
        <v>2017</v>
      </c>
      <c r="I5" s="11" t="s">
        <v>2018</v>
      </c>
      <c r="J5" s="11" t="s">
        <v>2015</v>
      </c>
      <c r="K5" s="11" t="s">
        <v>2016</v>
      </c>
      <c r="L5" s="11" t="s">
        <v>2017</v>
      </c>
      <c r="M5" s="11" t="s">
        <v>2018</v>
      </c>
    </row>
    <row r="6" customFormat="false" ht="15" hidden="false" customHeight="false" outlineLevel="0" collapsed="false">
      <c r="A6" s="37" t="n">
        <v>45777</v>
      </c>
      <c r="B6" s="36" t="n">
        <v>1773</v>
      </c>
      <c r="C6" s="5" t="s">
        <v>2019</v>
      </c>
      <c r="D6" s="15" t="n">
        <v>0.705</v>
      </c>
      <c r="E6" s="5" t="n">
        <v>2185</v>
      </c>
      <c r="F6" s="36" t="n">
        <v>879</v>
      </c>
      <c r="G6" s="15" t="n">
        <v>0.676</v>
      </c>
      <c r="H6" s="15" t="n">
        <v>0.716</v>
      </c>
      <c r="I6" s="5" t="n">
        <v>2116</v>
      </c>
      <c r="J6" s="36" t="n">
        <v>586</v>
      </c>
      <c r="K6" s="15" t="n">
        <v>0.652</v>
      </c>
      <c r="L6" s="15" t="n">
        <v>0.7</v>
      </c>
      <c r="M6" s="5" t="n">
        <v>2427</v>
      </c>
    </row>
    <row r="7" customFormat="false" ht="15" hidden="false" customHeight="false" outlineLevel="0" collapsed="false">
      <c r="A7" s="37" t="n">
        <v>45808</v>
      </c>
      <c r="B7" s="36" t="n">
        <v>1866</v>
      </c>
      <c r="C7" s="5" t="s">
        <v>2020</v>
      </c>
      <c r="D7" s="15" t="n">
        <v>0.717</v>
      </c>
      <c r="E7" s="5" t="n">
        <v>2252</v>
      </c>
      <c r="F7" s="36" t="n">
        <v>912</v>
      </c>
      <c r="G7" s="15" t="n">
        <v>0.702</v>
      </c>
      <c r="H7" s="15" t="n">
        <v>0.705</v>
      </c>
      <c r="I7" s="5" t="n">
        <v>1887</v>
      </c>
      <c r="J7" s="36" t="n">
        <v>602</v>
      </c>
      <c r="K7" s="15" t="n">
        <v>0.669</v>
      </c>
      <c r="L7" s="15" t="n">
        <v>0.692</v>
      </c>
      <c r="M7" s="5" t="n">
        <v>2458</v>
      </c>
    </row>
    <row r="8" customFormat="false" ht="15" hidden="false" customHeight="false" outlineLevel="0" collapsed="false">
      <c r="A8" s="5" t="s">
        <v>2021</v>
      </c>
      <c r="B8" s="36" t="n">
        <v>1844</v>
      </c>
      <c r="C8" s="15" t="n">
        <v>0.769</v>
      </c>
      <c r="D8" s="15" t="n">
        <v>0.72</v>
      </c>
      <c r="E8" s="5" t="n">
        <v>2288</v>
      </c>
      <c r="F8" s="36" t="n">
        <v>928</v>
      </c>
      <c r="G8" s="15" t="n">
        <v>0.714</v>
      </c>
      <c r="H8" s="15" t="n">
        <v>0.728</v>
      </c>
      <c r="I8" s="5" t="n">
        <v>2191</v>
      </c>
      <c r="J8" s="36" t="n">
        <v>606</v>
      </c>
      <c r="K8" s="15" t="n">
        <v>0.673</v>
      </c>
      <c r="L8" s="15" t="n">
        <v>0.707</v>
      </c>
      <c r="M8" s="5" t="n">
        <v>2422</v>
      </c>
    </row>
    <row r="9" customFormat="false" ht="15" hidden="false" customHeight="false" outlineLevel="0" collapsed="false">
      <c r="A9" s="5" t="s">
        <v>2022</v>
      </c>
      <c r="B9" s="36" t="n">
        <v>1931</v>
      </c>
      <c r="C9" s="5" t="s">
        <v>2023</v>
      </c>
      <c r="D9" s="15" t="n">
        <v>0.708</v>
      </c>
      <c r="E9" s="5" t="n">
        <v>2260</v>
      </c>
      <c r="F9" s="36" t="n">
        <v>992</v>
      </c>
      <c r="G9" s="15" t="n">
        <v>0.763</v>
      </c>
      <c r="H9" s="15" t="n">
        <v>0.718</v>
      </c>
      <c r="I9" s="5" t="n">
        <v>2335</v>
      </c>
      <c r="J9" s="36" t="n">
        <v>639</v>
      </c>
      <c r="K9" s="5" t="s">
        <v>2024</v>
      </c>
      <c r="L9" s="15" t="n">
        <v>0.726</v>
      </c>
      <c r="M9" s="5" t="n">
        <v>2621</v>
      </c>
    </row>
    <row r="10" customFormat="false" ht="15" hidden="false" customHeight="false" outlineLevel="0" collapsed="false">
      <c r="A10" s="37" t="n">
        <v>45900</v>
      </c>
      <c r="B10" s="36" t="n">
        <v>1965</v>
      </c>
      <c r="C10" s="15" t="n">
        <v>0.819</v>
      </c>
      <c r="D10" s="15" t="n">
        <v>0.712</v>
      </c>
      <c r="E10" s="5" t="n">
        <v>2158</v>
      </c>
      <c r="F10" s="36" t="n">
        <v>971</v>
      </c>
      <c r="G10" s="15" t="n">
        <v>0.747</v>
      </c>
      <c r="H10" s="15" t="n">
        <v>0.721</v>
      </c>
      <c r="I10" s="5" t="n">
        <v>1875</v>
      </c>
      <c r="J10" s="36" t="n">
        <v>647</v>
      </c>
      <c r="K10" s="15" t="n">
        <v>0.719</v>
      </c>
      <c r="L10" s="15" t="n">
        <v>0.702</v>
      </c>
      <c r="M10" s="5" t="n">
        <v>3110</v>
      </c>
    </row>
    <row r="11" customFormat="false" ht="15" hidden="false" customHeight="false" outlineLevel="0" collapsed="false">
      <c r="A11" s="37" t="n">
        <v>45930</v>
      </c>
      <c r="B11" s="36" t="n">
        <v>1988</v>
      </c>
      <c r="C11" s="5" t="s">
        <v>2025</v>
      </c>
      <c r="D11" s="15" t="n">
        <v>0.727</v>
      </c>
      <c r="E11" s="5" t="n">
        <v>1879</v>
      </c>
      <c r="F11" s="36" t="n">
        <v>1013</v>
      </c>
      <c r="G11" s="15" t="n">
        <v>0.779</v>
      </c>
      <c r="H11" s="15" t="n">
        <v>0.715</v>
      </c>
      <c r="I11" s="5" t="n">
        <v>2545</v>
      </c>
      <c r="J11" s="36" t="n">
        <v>664</v>
      </c>
      <c r="K11" s="15" t="n">
        <v>0.738</v>
      </c>
      <c r="L11" s="15" t="n">
        <v>0.715</v>
      </c>
      <c r="M11" s="5" t="n">
        <v>1999</v>
      </c>
    </row>
    <row r="12" customFormat="false" ht="15" hidden="false" customHeight="false" outlineLevel="0" collapsed="false">
      <c r="A12" s="5" t="s">
        <v>24</v>
      </c>
      <c r="B12" s="36" t="n">
        <v>2083</v>
      </c>
      <c r="C12" s="15" t="n">
        <v>0.868</v>
      </c>
      <c r="D12" s="15" t="n">
        <v>0.719</v>
      </c>
      <c r="E12" s="5" t="n">
        <v>2176</v>
      </c>
      <c r="F12" s="36" t="n">
        <v>1032</v>
      </c>
      <c r="G12" s="15" t="n">
        <v>0.794</v>
      </c>
      <c r="H12" s="15" t="n">
        <v>0.724</v>
      </c>
      <c r="I12" s="5" t="n">
        <v>1735</v>
      </c>
      <c r="J12" s="36" t="n">
        <v>667</v>
      </c>
      <c r="K12" s="15" t="n">
        <v>0.741</v>
      </c>
      <c r="L12" s="15" t="n">
        <v>0.734</v>
      </c>
      <c r="M12" s="5" t="n">
        <v>2523</v>
      </c>
    </row>
    <row r="13" customFormat="false" ht="15" hidden="false" customHeight="false" outlineLevel="0" collapsed="false">
      <c r="A13" s="5" t="s">
        <v>25</v>
      </c>
      <c r="B13" s="36" t="n">
        <v>2081</v>
      </c>
      <c r="C13" s="15" t="n">
        <v>0.867</v>
      </c>
      <c r="D13" s="15" t="n">
        <v>0.749</v>
      </c>
      <c r="E13" s="5" t="n">
        <v>1934</v>
      </c>
      <c r="F13" s="36" t="n">
        <v>1073</v>
      </c>
      <c r="G13" s="15" t="n">
        <v>0.825</v>
      </c>
      <c r="H13" s="15" t="n">
        <v>0.728</v>
      </c>
      <c r="I13" s="5" t="n">
        <v>1690</v>
      </c>
      <c r="J13" s="36" t="n">
        <v>694</v>
      </c>
      <c r="K13" s="15" t="n">
        <v>0.771</v>
      </c>
      <c r="L13" s="15" t="n">
        <v>0.709</v>
      </c>
      <c r="M13" s="5" t="n">
        <v>2582</v>
      </c>
    </row>
    <row r="14" customFormat="false" ht="15" hidden="false" customHeight="false" outlineLevel="0" collapsed="false">
      <c r="A14" s="37" t="n">
        <v>46022</v>
      </c>
      <c r="B14" s="36" t="n">
        <v>2129</v>
      </c>
      <c r="C14" s="15" t="n">
        <v>0.887</v>
      </c>
      <c r="D14" s="15" t="n">
        <v>0.738</v>
      </c>
      <c r="E14" s="5" t="n">
        <v>1886</v>
      </c>
      <c r="F14" s="36" t="n">
        <v>1095</v>
      </c>
      <c r="G14" s="15" t="n">
        <v>0.842</v>
      </c>
      <c r="H14" s="15" t="n">
        <v>0.724</v>
      </c>
      <c r="I14" s="5" t="n">
        <v>1848</v>
      </c>
      <c r="J14" s="36" t="n">
        <v>706</v>
      </c>
      <c r="K14" s="15" t="n">
        <v>0.785</v>
      </c>
      <c r="L14" s="15" t="n">
        <v>0.724</v>
      </c>
      <c r="M14" s="5" t="n">
        <v>2055</v>
      </c>
    </row>
    <row r="15" customFormat="false" ht="15" hidden="false" customHeight="false" outlineLevel="0" collapsed="false">
      <c r="A15" s="37" t="n">
        <v>46053</v>
      </c>
      <c r="B15" s="36" t="n">
        <v>2046</v>
      </c>
      <c r="C15" s="15" t="n">
        <v>0.852</v>
      </c>
      <c r="D15" s="15" t="n">
        <v>0.733</v>
      </c>
      <c r="E15" s="5" t="n">
        <v>1724</v>
      </c>
      <c r="F15" s="36" t="n">
        <v>1049</v>
      </c>
      <c r="G15" s="15" t="n">
        <v>0.807</v>
      </c>
      <c r="H15" s="15" t="n">
        <v>0.712</v>
      </c>
      <c r="I15" s="5" t="n">
        <v>2073</v>
      </c>
      <c r="J15" s="36" t="n">
        <v>678</v>
      </c>
      <c r="K15" s="15" t="n">
        <v>0.753</v>
      </c>
      <c r="L15" s="15" t="n">
        <v>0.715</v>
      </c>
      <c r="M15" s="5" t="n">
        <v>2221</v>
      </c>
    </row>
    <row r="16" customFormat="false" ht="15" hidden="false" customHeight="false" outlineLevel="0" collapsed="false">
      <c r="A16" s="5" t="s">
        <v>2026</v>
      </c>
      <c r="B16" s="36" t="n">
        <v>2017</v>
      </c>
      <c r="C16" s="15" t="n">
        <v>0.84</v>
      </c>
      <c r="D16" s="15" t="n">
        <v>0.728</v>
      </c>
      <c r="E16" s="5" t="n">
        <v>2108</v>
      </c>
      <c r="F16" s="36" t="n">
        <v>1014</v>
      </c>
      <c r="G16" s="15" t="n">
        <v>0.78</v>
      </c>
      <c r="H16" s="15" t="n">
        <v>0.732</v>
      </c>
      <c r="I16" s="5" t="n">
        <v>1977</v>
      </c>
      <c r="J16" s="36" t="n">
        <v>667</v>
      </c>
      <c r="K16" s="15" t="n">
        <v>0.741</v>
      </c>
      <c r="L16" s="15" t="n">
        <v>0.729</v>
      </c>
      <c r="M16" s="5" t="n">
        <v>2756</v>
      </c>
    </row>
    <row r="17" customFormat="false" ht="15" hidden="false" customHeight="false" outlineLevel="0" collapsed="false">
      <c r="A17" s="5" t="s">
        <v>2027</v>
      </c>
      <c r="B17" s="36" t="n">
        <v>2266</v>
      </c>
      <c r="C17" s="5" t="s">
        <v>2028</v>
      </c>
      <c r="D17" s="15" t="n">
        <v>0.737</v>
      </c>
      <c r="E17" s="5" t="n">
        <v>1871</v>
      </c>
      <c r="F17" s="36" t="n">
        <v>1154</v>
      </c>
      <c r="G17" s="15" t="n">
        <v>0.888</v>
      </c>
      <c r="H17" s="15" t="n">
        <v>0.721</v>
      </c>
      <c r="I17" s="5" t="n">
        <v>2203</v>
      </c>
      <c r="J17" s="36" t="n">
        <v>760</v>
      </c>
      <c r="K17" s="15" t="n">
        <v>0.844</v>
      </c>
      <c r="L17" s="15" t="n">
        <v>0.704</v>
      </c>
      <c r="M17" s="5" t="n">
        <v>2534</v>
      </c>
    </row>
    <row r="18" customFormat="false" ht="15" hidden="false" customHeight="false" outlineLevel="0" collapsed="false">
      <c r="A18" s="37" t="n">
        <v>46142</v>
      </c>
      <c r="B18" s="36" t="n">
        <v>1874</v>
      </c>
      <c r="C18" s="15" t="n">
        <v>0.781</v>
      </c>
      <c r="D18" s="15" t="n">
        <v>0.711</v>
      </c>
      <c r="E18" s="5" t="n">
        <v>2023</v>
      </c>
      <c r="F18" s="36" t="n">
        <v>980</v>
      </c>
      <c r="G18" s="15" t="n">
        <v>0.754</v>
      </c>
      <c r="H18" s="15" t="n">
        <v>0.702</v>
      </c>
      <c r="I18" s="5" t="n">
        <v>2157</v>
      </c>
      <c r="J18" s="36" t="n">
        <v>611</v>
      </c>
      <c r="K18" s="5" t="s">
        <v>2029</v>
      </c>
      <c r="L18" s="15" t="n">
        <v>0.705</v>
      </c>
      <c r="M18" s="5" t="n">
        <v>2518</v>
      </c>
    </row>
    <row r="19" customFormat="false" ht="15" hidden="false" customHeight="false" outlineLevel="0" collapsed="false">
      <c r="A19" s="37" t="n">
        <v>46173</v>
      </c>
      <c r="B19" s="36" t="n">
        <v>1942</v>
      </c>
      <c r="C19" s="15" t="n">
        <v>0.809</v>
      </c>
      <c r="D19" s="15" t="n">
        <v>0.709</v>
      </c>
      <c r="E19" s="5" t="n">
        <v>1676</v>
      </c>
      <c r="F19" s="36" t="n">
        <v>975</v>
      </c>
      <c r="G19" s="15" t="n">
        <v>0.75</v>
      </c>
      <c r="H19" s="15" t="n">
        <v>0.725</v>
      </c>
      <c r="I19" s="5" t="n">
        <v>2075</v>
      </c>
      <c r="J19" s="36" t="n">
        <v>642</v>
      </c>
      <c r="K19" s="15" t="n">
        <v>0.714</v>
      </c>
      <c r="L19" s="15" t="n">
        <v>0.719</v>
      </c>
      <c r="M19" s="5" t="n">
        <v>2444</v>
      </c>
    </row>
    <row r="20" customFormat="false" ht="15" hidden="false" customHeight="false" outlineLevel="0" collapsed="false">
      <c r="A20" s="5" t="s">
        <v>90</v>
      </c>
      <c r="B20" s="36" t="n">
        <v>2017</v>
      </c>
      <c r="C20" s="15" t="n">
        <v>0.84</v>
      </c>
      <c r="D20" s="15" t="n">
        <v>0.732</v>
      </c>
      <c r="E20" s="5" t="n">
        <v>2218</v>
      </c>
      <c r="F20" s="36" t="n">
        <v>1007</v>
      </c>
      <c r="G20" s="5" t="s">
        <v>2030</v>
      </c>
      <c r="H20" s="15" t="n">
        <v>0.715</v>
      </c>
      <c r="I20" s="5" t="n">
        <v>1927</v>
      </c>
      <c r="J20" s="36" t="n">
        <v>647</v>
      </c>
      <c r="K20" s="15" t="n">
        <v>0.719</v>
      </c>
      <c r="L20" s="15" t="n">
        <v>0.695</v>
      </c>
      <c r="M20" s="5" t="n">
        <v>2296</v>
      </c>
    </row>
    <row r="21" customFormat="false" ht="15" hidden="false" customHeight="false" outlineLevel="0" collapsed="false">
      <c r="A21" s="5" t="s">
        <v>92</v>
      </c>
      <c r="B21" s="36" t="n">
        <v>2079</v>
      </c>
      <c r="C21" s="15" t="n">
        <v>0.866</v>
      </c>
      <c r="D21" s="15" t="n">
        <v>0.739</v>
      </c>
      <c r="E21" s="5" t="n">
        <v>2338</v>
      </c>
      <c r="F21" s="36" t="n">
        <v>1050</v>
      </c>
      <c r="G21" s="15" t="n">
        <v>0.808</v>
      </c>
      <c r="H21" s="15" t="n">
        <v>0.712</v>
      </c>
      <c r="I21" s="5" t="n">
        <v>2217</v>
      </c>
      <c r="J21" s="36" t="n">
        <v>671</v>
      </c>
      <c r="K21" s="15" t="n">
        <v>0.745</v>
      </c>
      <c r="L21" s="15" t="n">
        <v>0.712</v>
      </c>
      <c r="M21" s="5" t="n">
        <v>2300</v>
      </c>
    </row>
    <row r="22" customFormat="false" ht="15" hidden="false" customHeight="false" outlineLevel="0" collapsed="false">
      <c r="A22" s="37" t="n">
        <v>46265</v>
      </c>
      <c r="B22" s="36" t="n">
        <v>2081</v>
      </c>
      <c r="C22" s="5" t="s">
        <v>2031</v>
      </c>
      <c r="D22" s="15" t="n">
        <v>0.736</v>
      </c>
      <c r="E22" s="5" t="n">
        <v>1835</v>
      </c>
      <c r="F22" s="36" t="n">
        <v>1056</v>
      </c>
      <c r="G22" s="15" t="n">
        <v>0.812</v>
      </c>
      <c r="H22" s="15" t="n">
        <v>0.705</v>
      </c>
      <c r="I22" s="5" t="n">
        <v>2568</v>
      </c>
      <c r="J22" s="36" t="n">
        <v>712</v>
      </c>
      <c r="K22" s="15" t="n">
        <v>0.791</v>
      </c>
      <c r="L22" s="15" t="n">
        <v>0.717</v>
      </c>
      <c r="M22" s="5" t="n">
        <v>2786</v>
      </c>
    </row>
  </sheetData>
  <mergeCells count="3">
    <mergeCell ref="B4:E4"/>
    <mergeCell ref="F4:I4"/>
    <mergeCell ref="J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2032</v>
      </c>
    </row>
    <row r="2" customFormat="false" ht="15" hidden="false" customHeight="false" outlineLevel="0" collapsed="false">
      <c r="A2" s="5" t="s">
        <v>2033</v>
      </c>
      <c r="B2" s="5" t="n">
        <v>0.1187</v>
      </c>
    </row>
    <row r="3" customFormat="false" ht="15" hidden="false" customHeight="false" outlineLevel="0" collapsed="false">
      <c r="A3" s="5" t="s">
        <v>2034</v>
      </c>
      <c r="B3" s="5" t="n">
        <v>1240.55</v>
      </c>
    </row>
    <row r="4" customFormat="false" ht="15" hidden="false" customHeight="false" outlineLevel="0" collapsed="false">
      <c r="A4" s="5" t="s">
        <v>2035</v>
      </c>
    </row>
    <row r="6" customFormat="false" ht="15" hidden="false" customHeight="false" outlineLevel="0" collapsed="false">
      <c r="D6" s="5" t="e">
        <f aca="false">#REF!</f>
        <v>#REF!</v>
      </c>
    </row>
    <row r="8" customFormat="false" ht="15" hidden="false" customHeight="false" outlineLevel="0" collapsed="false">
      <c r="A8" s="5" t="s">
        <v>2036</v>
      </c>
      <c r="B8" s="5" t="n">
        <v>58412.7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2037</v>
      </c>
    </row>
    <row r="3" customFormat="false" ht="15" hidden="false" customHeight="false" outlineLevel="0" collapsed="false">
      <c r="A3" s="5" t="s">
        <v>83</v>
      </c>
      <c r="B3" s="5" t="n">
        <v>5120.4</v>
      </c>
      <c r="C3" s="5" t="n">
        <v>4988.1</v>
      </c>
      <c r="D3" s="5" t="n">
        <v>5301.9</v>
      </c>
    </row>
    <row r="4" customFormat="false" ht="15" hidden="false" customHeight="false" outlineLevel="0" collapsed="false">
      <c r="A4" s="5" t="s">
        <v>84</v>
      </c>
      <c r="B4" s="5" t="n">
        <v>801.2</v>
      </c>
      <c r="C4" s="5" t="n">
        <v>770.6</v>
      </c>
      <c r="D4" s="5" t="n">
        <v>810</v>
      </c>
    </row>
    <row r="6" customFormat="false" ht="15" hidden="false" customHeight="false" outlineLevel="0" collapsed="false">
      <c r="A6" s="5" t="s">
        <v>2038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2026-09-23T19:25:30Z</dcterms:created>
  <dc:creator>FP&amp;A</dc:creator>
  <dc:description/>
  <dc:language>en-US</dc:language>
  <cp:lastModifiedBy/>
  <dcterms:modified xsi:type="dcterms:W3CDTF">2026-09-23T19:25:30Z</dcterms:modified>
  <cp:revision>0</cp:revision>
  <dc:subject/>
  <dc:title>Bharat Precision Components - MIS Pack Aug-2026 (Dummy)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