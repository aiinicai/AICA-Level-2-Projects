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_FPA" sheetId="1" state="visible" r:id="rId1"/>
    <sheet name="P&amp;L Monthly" sheetId="2" state="visible" r:id="rId2"/>
    <sheet name="Budget FY27" sheetId="3" state="visible" r:id="rId3"/>
    <sheet name="BS_MonthEnd" sheetId="4" state="visible" r:id="rId4"/>
    <sheet name="Cash Flow" sheetId="5" state="visible" r:id="rId5"/>
    <sheet name="Sales Register" sheetId="6" state="visible" r:id="rId6"/>
    <sheet name="AR Ageing" sheetId="7" state="visible" r:id="rId7"/>
    <sheet name="AP Ageing" sheetId="8" state="visible" r:id="rId8"/>
    <sheet name="Headcount" sheetId="9" state="visible" r:id="rId9"/>
    <sheet name="KPI Scorecard" sheetId="10" state="visible" r:id="rId10"/>
    <sheet name="Debt &amp; Covenants" sheetId="11" state="visible" r:id="rId11"/>
    <sheet name="Capex Tracker" sheetId="12" state="visible" r:id="rId12"/>
    <sheet name="Compliance" sheetId="13" state="visible" r:id="rId13"/>
    <sheet name="Forex" sheetId="14" state="visible" r:id="rId14"/>
    <sheet name="Plant Ops" sheetId="15" state="visible" r:id="rId15"/>
    <sheet name="Sheet1" sheetId="16" state="visible" r:id="rId16"/>
    <sheet name="Old_PL_v2" sheetId="17" state="hidden" r:id="rId17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5">
    <numFmt numFmtId="164" formatCode="mmm\-yy"/>
    <numFmt numFmtId="165" formatCode="#,##0.00;\(#,##0.00\);\-"/>
    <numFmt numFmtId="166" formatCode="0.0%"/>
    <numFmt numFmtId="167" formatCode="dd\-mmm\-yy"/>
    <numFmt numFmtId="168" formatCode="[&gt;=10000000]##\,##\,##\,##0;[&gt;=100000]##\,##\,##0;#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3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EDEDED"/>
      </patternFill>
    </fill>
    <fill>
      <patternFill patternType="solid">
        <fgColor rgb="FFC6EFCE"/>
        <bgColor rgb="FFD9E1F2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center" vertical="bottom" wrapText="1"/>
    </xf>
    <xf numFmtId="0" fontId="6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indent="2"/>
    </xf>
    <xf numFmtId="165" fontId="8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indent="1"/>
    </xf>
    <xf numFmtId="166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167" fontId="9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167" fontId="8" fillId="0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168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8" fontId="6" fillId="4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164" fontId="9" fillId="2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indent="2"/>
    </xf>
    <xf numFmtId="165" fontId="8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indent="1"/>
    </xf>
    <xf numFmtId="166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167" fontId="9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167" fontId="8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168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8" fontId="6" fillId="4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 wrapText="1"/>
    </xf>
    <xf numFmtId="0" fontId="8" fillId="5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38" min="1" max="1"/>
  </cols>
  <sheetData>
    <row r="1" ht="15" customHeight="1" s="39">
      <c r="A1" s="40" t="inlineStr">
        <is>
          <t>CFO Pulse — Three-Period Upload Sample</t>
        </is>
      </c>
    </row>
    <row r="2" ht="15" customHeight="1" s="39">
      <c r="A2" s="41" t="inlineStr">
        <is>
          <t>Period covered: Jun-2026 to Aug-2026 | Snapshot schedules as at 31-Aug-2026</t>
        </is>
      </c>
    </row>
    <row r="3" ht="15" customHeight="1" s="39">
      <c r="A3" s="41" t="inlineStr">
        <is>
          <t>Synthetic demonstration MIS | 3 monthly periods; values are for product demonstration only</t>
        </is>
      </c>
    </row>
    <row r="4" ht="15" customHeight="1" s="39">
      <c r="A4" s="41" t="n"/>
    </row>
    <row r="5" ht="15" customHeight="1" s="39">
      <c r="A5" s="42" t="inlineStr">
        <is>
          <t>Notes from FP&amp;A (please read before using):</t>
        </is>
      </c>
    </row>
    <row r="6" ht="15" customHeight="1" s="39">
      <c r="A6" s="41" t="inlineStr">
        <is>
          <t>1. Monthly actual schedules contain Jun-26, Jul-26 and Aug-26 only. Snapshot schedules are as at 31-Aug-2026.</t>
        </is>
      </c>
    </row>
    <row r="7" ht="15" customHeight="1" s="39">
      <c r="A7" s="41" t="inlineStr">
        <is>
          <t>2. All company names, invoices, customers, vendors, and financial values in this file are synthetic.</t>
        </is>
      </c>
    </row>
    <row r="8" ht="15" customHeight="1" s="39">
      <c r="A8" s="41" t="inlineStr">
        <is>
          <t>3. Hidden stale and scratch sheets from the source sample are retained to demonstrate exclusion and data-quality handling.</t>
        </is>
      </c>
    </row>
    <row r="9" ht="15" customHeight="1" s="39">
      <c r="A9" s="41" t="inlineStr">
        <is>
          <t>4. Sales Register is only an extract of invoices &gt;= Rs. 25 Lakhs; it will not tie to the P&amp;L revenue.</t>
        </is>
      </c>
    </row>
    <row r="10" ht="15" customHeight="1" s="39">
      <c r="A10" s="41" t="inlineStr">
        <is>
          <t>5. Cash Flow sheet shows outflows in brackets. Some cells are text because of the Tally export.</t>
        </is>
      </c>
    </row>
    <row r="11" ht="15" customHeight="1" s="39">
      <c r="A11" s="41" t="inlineStr">
        <is>
          <t>6. EBITDA is shown excluding Other Income. Tax is provided at 25.17% (new regime, s.115BAA).</t>
        </is>
      </c>
    </row>
    <row r="12" ht="15" customHeight="1" s="39">
      <c r="A12" s="41" t="inlineStr">
        <is>
          <t>7. Plants: Pune (Chakan) - castings; Chennai (Oragadam) - valves &amp; machining; Rajkot - machining &amp; aftermarket.</t>
        </is>
      </c>
    </row>
    <row r="13" ht="15" customHeight="1" s="39">
      <c r="A13" s="41" t="inlineStr">
        <is>
          <t>8. Financial year runs April-March. Q1 = Apr-Jun, Q2 = Jul-Sep, Q3 = Oct-Dec, Q4 = Jan-Mar.</t>
        </is>
      </c>
    </row>
    <row r="14" ht="15" customHeight="1" s="39">
      <c r="A14" s="41" t="n"/>
    </row>
    <row r="15" ht="15" customHeight="1" s="39">
      <c r="A15" s="41" t="inlineStr">
        <is>
          <t>Contacts: fpa@bharatprecision.example  |  Sr. Manager FP&amp;A: Neha Kulkarni  |  Controller: Rajesh Iyer</t>
        </is>
      </c>
    </row>
    <row r="16" ht="15" customHeight="1" s="39">
      <c r="A16" s="41" t="inlineStr">
        <is>
          <t>Pending: update forex spot rates; confirm capex numbers with plant heads; Rajkot solar project status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38" min="1" max="1"/>
    <col width="12" customWidth="1" style="38" min="2" max="14"/>
    <col width="4" customWidth="1" style="38" min="15" max="15"/>
    <col width="12" customWidth="1" style="38" min="16" max="23"/>
    <col width="46" customWidth="1" style="38" min="24" max="24"/>
  </cols>
  <sheetData>
    <row r="1" ht="17.35" customHeight="1" s="39">
      <c r="A1" s="43" t="inlineStr">
        <is>
          <t>BHARAT PRECISION COMPONENTS PVT. LTD.</t>
        </is>
      </c>
    </row>
    <row r="2" ht="15" customHeight="1" s="39">
      <c r="A2" s="42" t="inlineStr">
        <is>
          <t>Statement of Profit &amp; Loss — Management Accounts (3 months)</t>
        </is>
      </c>
    </row>
    <row r="3" ht="15" customHeight="1" s="39">
      <c r="A3" s="44" t="inlineStr">
        <is>
          <t>(Rs. in Lakhs)</t>
        </is>
      </c>
    </row>
    <row r="4"/>
    <row r="5" ht="15" customHeight="1" s="39"/>
    <row r="6" ht="23.85" customHeight="1" s="39">
      <c r="A6" s="45" t="inlineStr">
        <is>
          <t>Particulars</t>
        </is>
      </c>
      <c r="B6" s="46" t="inlineStr">
        <is>
          <t>Jun 26</t>
        </is>
      </c>
      <c r="C6" s="47" t="n">
        <v>46234</v>
      </c>
      <c r="D6" s="46" t="inlineStr">
        <is>
          <t>Aug'26</t>
        </is>
      </c>
    </row>
    <row r="7" ht="15" customHeight="1" s="39">
      <c r="A7" s="48" t="inlineStr">
        <is>
          <t>INCOME</t>
        </is>
      </c>
    </row>
    <row r="8" ht="15" customHeight="1" s="39">
      <c r="A8" s="48" t="inlineStr">
        <is>
          <t>Revenue from Operations</t>
        </is>
      </c>
    </row>
    <row r="9" ht="15" customHeight="1" s="39">
      <c r="A9" s="49" t="inlineStr">
        <is>
          <t>Automotive Castings</t>
        </is>
      </c>
      <c r="B9" s="50" t="n">
        <v>2312.21</v>
      </c>
      <c r="C9" s="50" t="n">
        <v>2407.46</v>
      </c>
      <c r="D9" s="50" t="n">
        <v>2495.64</v>
      </c>
    </row>
    <row r="10" ht="15" customHeight="1" s="39">
      <c r="A10" s="49" t="inlineStr">
        <is>
          <t>Industrial Valves</t>
        </is>
      </c>
      <c r="B10" s="50" t="n">
        <v>1194.48</v>
      </c>
      <c r="C10" s="50" t="n">
        <v>1115.06</v>
      </c>
      <c r="D10" s="50" t="n">
        <v>1250.51</v>
      </c>
    </row>
    <row r="11" ht="15" customHeight="1" s="39">
      <c r="A11" s="49" t="inlineStr">
        <is>
          <t>Precision Machined Parts</t>
        </is>
      </c>
      <c r="B11" s="50" t="n">
        <v>1392.87</v>
      </c>
      <c r="C11" s="50" t="n">
        <v>1501.61</v>
      </c>
      <c r="D11" s="50" t="n">
        <v>1548.07</v>
      </c>
    </row>
    <row r="12" ht="15" customHeight="1" s="39">
      <c r="A12" s="49" t="inlineStr">
        <is>
          <t>Aftermarket &amp; Svcs</t>
        </is>
      </c>
      <c r="B12" s="50" t="n">
        <v>610.74</v>
      </c>
      <c r="C12" s="50" t="n">
        <v>639.45</v>
      </c>
      <c r="D12" s="50" t="n">
        <v>642.75</v>
      </c>
    </row>
    <row r="13" ht="15" customHeight="1" s="39">
      <c r="A13" s="42" t="inlineStr">
        <is>
          <t>Total Revenue from Operations</t>
        </is>
      </c>
      <c r="B13" s="51">
        <f>SUM(R9:R12)</f>
        <v/>
      </c>
      <c r="C13" s="51">
        <f>SUM(S9:S12)</f>
        <v/>
      </c>
      <c r="D13" s="51">
        <f>SUM(T9:T12)</f>
        <v/>
      </c>
    </row>
    <row r="14" ht="15" customHeight="1" s="39">
      <c r="A14" s="41" t="inlineStr">
        <is>
          <t>Other Income</t>
        </is>
      </c>
      <c r="B14" s="50" t="n">
        <v>56.43</v>
      </c>
      <c r="C14" s="50" t="n">
        <v>52.74</v>
      </c>
      <c r="D14" s="50" t="n">
        <v>64.37</v>
      </c>
    </row>
    <row r="15" ht="15" customHeight="1" s="39">
      <c r="A15" s="42" t="inlineStr">
        <is>
          <t>Total Income</t>
        </is>
      </c>
      <c r="B15" s="51">
        <f>R13+R14</f>
        <v/>
      </c>
      <c r="C15" s="51">
        <f>S13+S14</f>
        <v/>
      </c>
      <c r="D15" s="51">
        <f>T13+T14</f>
        <v/>
      </c>
    </row>
    <row r="16"/>
    <row r="17" ht="15" customHeight="1" s="39">
      <c r="A17" s="48" t="inlineStr">
        <is>
          <t>EXPENSES</t>
        </is>
      </c>
    </row>
    <row r="18" ht="15" customHeight="1" s="39">
      <c r="A18" s="49" t="inlineStr">
        <is>
          <t>Cost of Materials Consumed</t>
        </is>
      </c>
      <c r="B18" s="50" t="n">
        <v>3456.26</v>
      </c>
      <c r="C18" s="50" t="n">
        <v>3592.97</v>
      </c>
      <c r="D18" s="50" t="n">
        <v>3639.73</v>
      </c>
    </row>
    <row r="19" ht="15" customHeight="1" s="39">
      <c r="A19" s="49" t="inlineStr">
        <is>
          <t>Changes in Inventories of FG &amp; WIP</t>
        </is>
      </c>
      <c r="B19" s="50" t="n">
        <v>-27.29</v>
      </c>
      <c r="C19" s="50" t="n">
        <v>3.59</v>
      </c>
      <c r="D19" s="50" t="n">
        <v>-8.85</v>
      </c>
    </row>
    <row r="20" ht="15" customHeight="1" s="39">
      <c r="A20" s="49" t="inlineStr">
        <is>
          <t>Employee Benefits Expense</t>
        </is>
      </c>
      <c r="B20" s="50" t="n">
        <v>526.0700000000001</v>
      </c>
      <c r="C20" s="50" t="n">
        <v>523.1</v>
      </c>
      <c r="D20" s="50" t="n">
        <v>543.1799999999999</v>
      </c>
    </row>
    <row r="21" ht="15" customHeight="1" s="39">
      <c r="A21" s="49" t="inlineStr">
        <is>
          <t>Power &amp; Fuel</t>
        </is>
      </c>
      <c r="B21" s="50" t="n">
        <v>253.26</v>
      </c>
      <c r="C21" s="50" t="n">
        <v>232.27</v>
      </c>
      <c r="D21" s="50" t="n">
        <v>244.36</v>
      </c>
    </row>
    <row r="22" ht="15" customHeight="1" s="39">
      <c r="A22" s="49" t="inlineStr">
        <is>
          <t>Freight &amp; Forwarding</t>
        </is>
      </c>
      <c r="B22" s="50" t="n">
        <v>136.74</v>
      </c>
      <c r="C22" s="50" t="n">
        <v>130.22</v>
      </c>
      <c r="D22" s="50" t="n">
        <v>140.99</v>
      </c>
    </row>
    <row r="23" ht="15" customHeight="1" s="39">
      <c r="A23" s="49" t="inlineStr">
        <is>
          <t>Manufacturing &amp; Other Expenses</t>
        </is>
      </c>
      <c r="B23" s="50" t="n">
        <v>250.18</v>
      </c>
      <c r="C23" s="50" t="n">
        <v>255.54</v>
      </c>
      <c r="D23" s="50" t="n">
        <v>292.31</v>
      </c>
    </row>
    <row r="24" ht="15" customHeight="1" s="39">
      <c r="A24" s="49" t="inlineStr">
        <is>
          <t>Selling &amp; Distribution Expenses</t>
        </is>
      </c>
      <c r="B24" s="50" t="n">
        <v>109.07</v>
      </c>
      <c r="C24" s="50" t="n">
        <v>111.75</v>
      </c>
      <c r="D24" s="50" t="n">
        <v>109.05</v>
      </c>
    </row>
    <row r="25" ht="15" customHeight="1" s="39">
      <c r="A25" s="49" t="inlineStr">
        <is>
          <t>Admin &amp; Other Overheads</t>
        </is>
      </c>
      <c r="B25" s="50" t="n">
        <v>129.88</v>
      </c>
      <c r="C25" s="50" t="n">
        <v>138.81</v>
      </c>
      <c r="D25" s="50" t="n">
        <v>130.46</v>
      </c>
    </row>
    <row r="26" ht="15" customHeight="1" s="39">
      <c r="A26" s="42" t="inlineStr">
        <is>
          <t>Total Operating Expenses</t>
        </is>
      </c>
      <c r="B26" s="51">
        <f>SUM(R18:R25)</f>
        <v/>
      </c>
      <c r="C26" s="51">
        <f>SUM(S18:S25)</f>
        <v/>
      </c>
      <c r="D26" s="51">
        <f>SUM(T18:T25)</f>
        <v/>
      </c>
    </row>
    <row r="27"/>
    <row r="28" ht="15" customHeight="1" s="39">
      <c r="A28" s="42" t="inlineStr">
        <is>
          <t>EBITDA (excl. Other Income)</t>
        </is>
      </c>
      <c r="B28" s="51">
        <f>R13-R26</f>
        <v/>
      </c>
      <c r="C28" s="51">
        <f>S13-S26</f>
        <v/>
      </c>
      <c r="D28" s="51">
        <f>T13-T26</f>
        <v/>
      </c>
    </row>
    <row r="29" ht="15" customHeight="1" s="39">
      <c r="A29" s="52" t="inlineStr">
        <is>
          <t>EBITDA Margin %</t>
        </is>
      </c>
      <c r="B29" s="53">
        <f>IFERROR(R28/R13,0)</f>
        <v/>
      </c>
      <c r="C29" s="53">
        <f>IFERROR(S28/S13,0)</f>
        <v/>
      </c>
      <c r="D29" s="53">
        <f>IFERROR(T28/T13,0)</f>
        <v/>
      </c>
    </row>
    <row r="30" ht="15" customHeight="1" s="39">
      <c r="A30" s="52" t="inlineStr">
        <is>
          <t>Add: Other Income</t>
        </is>
      </c>
      <c r="B30" s="50">
        <f>R14</f>
        <v/>
      </c>
      <c r="C30" s="50">
        <f>S14</f>
        <v/>
      </c>
      <c r="D30" s="50">
        <f>T14</f>
        <v/>
      </c>
    </row>
    <row r="31" ht="15" customHeight="1" s="39">
      <c r="A31" s="52" t="inlineStr">
        <is>
          <t>Less: Depreciation &amp; Amortisation</t>
        </is>
      </c>
      <c r="B31" s="50" t="n">
        <v>290.44</v>
      </c>
      <c r="C31" s="50" t="n">
        <v>304.6</v>
      </c>
      <c r="D31" s="50" t="n">
        <v>305.52</v>
      </c>
    </row>
    <row r="32" ht="15" customHeight="1" s="39">
      <c r="A32" s="52" t="inlineStr">
        <is>
          <t>Less: Finance Costs</t>
        </is>
      </c>
      <c r="B32" s="50" t="n">
        <v>249.77</v>
      </c>
      <c r="C32" s="50" t="n">
        <v>262.64</v>
      </c>
      <c r="D32" s="50" t="n">
        <v>258.18</v>
      </c>
    </row>
    <row r="33" ht="15" customHeight="1" s="39">
      <c r="A33" s="42" t="inlineStr">
        <is>
          <t>Profit before Exceptional Items &amp; Tax</t>
        </is>
      </c>
      <c r="B33" s="51">
        <f>R28+R30-R31-R32</f>
        <v/>
      </c>
      <c r="C33" s="51">
        <f>S28+S30-S31-S32</f>
        <v/>
      </c>
      <c r="D33" s="51">
        <f>T28+T30-T31-T32</f>
        <v/>
      </c>
    </row>
    <row r="34" ht="15" customHeight="1" s="39">
      <c r="A34" s="52" t="inlineStr">
        <is>
          <t>Exceptional Items - Gain / (Loss)</t>
        </is>
      </c>
      <c r="B34" s="50" t="n">
        <v>85</v>
      </c>
    </row>
    <row r="35" ht="15" customHeight="1" s="39">
      <c r="A35" s="42" t="inlineStr">
        <is>
          <t>Profit Before Tax</t>
        </is>
      </c>
      <c r="B35" s="51">
        <f>SUM(R33:R34)</f>
        <v/>
      </c>
      <c r="C35" s="51">
        <f>SUM(S33:S34)</f>
        <v/>
      </c>
      <c r="D35" s="51">
        <f>SUM(T33:T34)</f>
        <v/>
      </c>
    </row>
    <row r="36" ht="15" customHeight="1" s="39">
      <c r="A36" s="52" t="inlineStr">
        <is>
          <t>Tax Expense (Current + Deferred)</t>
        </is>
      </c>
      <c r="B36" s="50" t="n">
        <v>69.81</v>
      </c>
      <c r="C36" s="50" t="n">
        <v>40.48</v>
      </c>
      <c r="D36" s="50" t="n">
        <v>87.19</v>
      </c>
    </row>
    <row r="37" ht="15" customHeight="1" s="39">
      <c r="A37" s="42" t="inlineStr">
        <is>
          <t>Profit After Tax</t>
        </is>
      </c>
      <c r="B37" s="51">
        <f>R35-R36</f>
        <v/>
      </c>
      <c r="C37" s="51">
        <f>S35-S36</f>
        <v/>
      </c>
      <c r="D37" s="51">
        <f>T35-T36</f>
        <v/>
      </c>
    </row>
    <row r="38" ht="15" customHeight="1" s="39">
      <c r="A38" s="52" t="inlineStr">
        <is>
          <t>PAT Margin %</t>
        </is>
      </c>
      <c r="B38" s="53">
        <f>IFERROR(R37/R13,0)</f>
        <v/>
      </c>
      <c r="C38" s="53">
        <f>IFERROR(S37/S13,0)</f>
        <v/>
      </c>
      <c r="D38" s="53">
        <f>IFERROR(T37/T13,0)</f>
        <v/>
      </c>
    </row>
    <row r="39"/>
    <row r="40" ht="15" customHeight="1" s="39">
      <c r="A40" s="42" t="inlineStr">
        <is>
          <t>Notes:</t>
        </is>
      </c>
    </row>
    <row r="41" ht="15" customHeight="1" s="39">
      <c r="A41" s="44" t="inlineStr">
        <is>
          <t>1. Exceptional item Nov-25: Rs. 150 L plant relocation cost (Chennai). Jun-26: Rs. 85 L insurance claim received (Pune fire, FY25).</t>
        </is>
      </c>
    </row>
    <row r="42" ht="15" customHeight="1" s="39">
      <c r="A42" s="44" t="inlineStr">
        <is>
          <t>2. Aug-26 is provisional. Figures may change after finalisation of forex revaluation.</t>
        </is>
      </c>
    </row>
    <row r="43" ht="15" customHeight="1" s="39">
      <c r="A43" s="44" t="inlineStr">
        <is>
          <t>3. Segment revenue is net of GST and excludes inter-unit transfers.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" min="1" max="1"/>
    <col width="14" customWidth="1" style="38" min="2" max="10"/>
  </cols>
  <sheetData>
    <row r="1" ht="16.15" customHeight="1" s="39">
      <c r="A1" s="54" t="inlineStr">
        <is>
          <t>FY 2026-27 Annual Operating Plan (Board approved 12-Mar-2026)</t>
        </is>
      </c>
    </row>
    <row r="2" ht="15" customHeight="1" s="39">
      <c r="A2" s="44" t="inlineStr">
        <is>
          <t>Rs. Crores</t>
        </is>
      </c>
      <c r="B2" s="44" t="inlineStr">
        <is>
          <t>Approved by Board | Rev 2 (post-Q4 review)</t>
        </is>
      </c>
    </row>
    <row r="3"/>
    <row r="4" ht="15" customHeight="1" s="39">
      <c r="A4" s="46" t="inlineStr">
        <is>
          <t>Month</t>
        </is>
      </c>
      <c r="B4" s="46" t="inlineStr">
        <is>
          <t>Castings</t>
        </is>
      </c>
      <c r="C4" s="46" t="inlineStr">
        <is>
          <t>Valves</t>
        </is>
      </c>
      <c r="D4" s="46" t="inlineStr">
        <is>
          <t>Machined Parts</t>
        </is>
      </c>
      <c r="E4" s="46" t="inlineStr">
        <is>
          <t>Aftermarket</t>
        </is>
      </c>
      <c r="F4" s="46" t="inlineStr">
        <is>
          <t>Total Revenue</t>
        </is>
      </c>
      <c r="G4" s="46" t="inlineStr">
        <is>
          <t>EBITDA</t>
        </is>
      </c>
      <c r="H4" s="46" t="inlineStr">
        <is>
          <t>EBITDA %</t>
        </is>
      </c>
      <c r="I4" s="46" t="inlineStr">
        <is>
          <t>PAT</t>
        </is>
      </c>
      <c r="J4" s="46" t="inlineStr">
        <is>
          <t>Capex</t>
        </is>
      </c>
    </row>
    <row r="5" ht="15" customHeight="1" s="39">
      <c r="A5" s="44" t="inlineStr">
        <is>
          <t>Jun'26</t>
        </is>
      </c>
      <c r="B5" s="55" t="n">
        <v>23.33</v>
      </c>
      <c r="C5" s="55" t="n">
        <v>12.19</v>
      </c>
      <c r="D5" s="55" t="n">
        <v>14.67</v>
      </c>
      <c r="E5" s="55" t="n">
        <v>6.18</v>
      </c>
      <c r="F5" s="55" t="n">
        <v>56.37</v>
      </c>
      <c r="G5" s="55" t="n">
        <v>8.73</v>
      </c>
      <c r="H5" s="53" t="n">
        <v>0.1549</v>
      </c>
      <c r="I5" s="55" t="n">
        <v>3.2</v>
      </c>
      <c r="J5" s="55" t="n">
        <v>10.13</v>
      </c>
    </row>
    <row r="6" ht="15" customHeight="1" s="39">
      <c r="A6" s="56" t="inlineStr">
        <is>
          <t>Q1 Total</t>
        </is>
      </c>
      <c r="B6" s="56" t="n">
        <v>69.09</v>
      </c>
      <c r="C6" s="56" t="n">
        <v>35.74</v>
      </c>
      <c r="D6" s="56" t="n">
        <v>42.35</v>
      </c>
      <c r="E6" s="56" t="n">
        <v>17.76</v>
      </c>
      <c r="F6" s="56" t="n">
        <v>164.94</v>
      </c>
      <c r="G6" s="56" t="n">
        <v>25.15</v>
      </c>
      <c r="H6" s="57" t="n">
        <v>0.1525</v>
      </c>
      <c r="I6" s="56" t="n">
        <v>8.83</v>
      </c>
      <c r="J6" s="56" t="n">
        <v>30.36</v>
      </c>
    </row>
    <row r="7" ht="15" customHeight="1" s="39">
      <c r="A7" s="44" t="inlineStr">
        <is>
          <t>Jul 2026</t>
        </is>
      </c>
      <c r="B7" s="55" t="n">
        <v>24.93</v>
      </c>
      <c r="C7" s="55" t="n">
        <v>12.39</v>
      </c>
      <c r="D7" s="55" t="n">
        <v>15.21</v>
      </c>
      <c r="E7" s="55" t="n">
        <v>6.33</v>
      </c>
      <c r="F7" s="55" t="n">
        <v>58.86</v>
      </c>
      <c r="G7" s="55" t="n">
        <v>9.039999999999999</v>
      </c>
      <c r="H7" s="53" t="n">
        <v>0.1536</v>
      </c>
      <c r="I7" s="55" t="n">
        <v>3.43</v>
      </c>
      <c r="J7" s="55" t="n">
        <v>13.1</v>
      </c>
    </row>
    <row r="8" ht="15" customHeight="1" s="39">
      <c r="A8" s="44" t="inlineStr">
        <is>
          <t>Aug-26</t>
        </is>
      </c>
      <c r="B8" s="55" t="n">
        <v>24.73</v>
      </c>
      <c r="C8" s="55" t="n">
        <v>13.1</v>
      </c>
      <c r="D8" s="55" t="n">
        <v>15.64</v>
      </c>
      <c r="E8" s="55" t="n">
        <v>6.59</v>
      </c>
      <c r="F8" s="55" t="n">
        <v>60.06</v>
      </c>
      <c r="G8" s="55" t="n">
        <v>9.359999999999999</v>
      </c>
      <c r="H8" s="53" t="n">
        <v>0.1558</v>
      </c>
      <c r="I8" s="55" t="n">
        <v>3.67</v>
      </c>
      <c r="J8" s="55" t="n">
        <v>8.880000000000001</v>
      </c>
    </row>
    <row r="9" ht="15" customHeight="1" s="39">
      <c r="A9" s="56" t="inlineStr">
        <is>
          <t>Q2 Total</t>
        </is>
      </c>
      <c r="B9" s="56" t="n">
        <v>75.29000000000001</v>
      </c>
      <c r="C9" s="56" t="n">
        <v>38.87</v>
      </c>
      <c r="D9" s="56" t="n">
        <v>46.87</v>
      </c>
      <c r="E9" s="56" t="n">
        <v>19.69</v>
      </c>
      <c r="F9" s="56" t="n">
        <v>180.72</v>
      </c>
      <c r="G9" s="56" t="n">
        <v>28.27</v>
      </c>
      <c r="H9" s="57" t="n">
        <v>0.1564</v>
      </c>
      <c r="I9" s="56" t="n">
        <v>11.16</v>
      </c>
      <c r="J9" s="56" t="n">
        <v>32.97</v>
      </c>
    </row>
    <row r="10" ht="15" customHeight="1" s="39"/>
    <row r="11" ht="15" customHeight="1" s="39">
      <c r="A11" s="56" t="inlineStr">
        <is>
          <t>Q3 Total</t>
        </is>
      </c>
      <c r="B11" s="56" t="n">
        <v>84.72</v>
      </c>
      <c r="C11" s="56" t="n">
        <v>42.87</v>
      </c>
      <c r="D11" s="56" t="n">
        <v>51.14</v>
      </c>
      <c r="E11" s="56" t="n">
        <v>22.29</v>
      </c>
      <c r="F11" s="56" t="n">
        <v>201.02</v>
      </c>
      <c r="G11" s="56" t="n">
        <v>30.41</v>
      </c>
      <c r="H11" s="57" t="n">
        <v>0.1513</v>
      </c>
      <c r="I11" s="56" t="n">
        <v>12.76</v>
      </c>
      <c r="J11" s="56" t="n">
        <v>29.18</v>
      </c>
    </row>
    <row r="12" ht="15" customHeight="1" s="39">
      <c r="A12" s="56" t="inlineStr">
        <is>
          <t>Q4 Total</t>
        </is>
      </c>
      <c r="B12" s="56" t="n">
        <v>81.87</v>
      </c>
      <c r="C12" s="56" t="n">
        <v>43.93</v>
      </c>
      <c r="D12" s="56" t="n">
        <v>51.14</v>
      </c>
      <c r="E12" s="56" t="n">
        <v>22.77</v>
      </c>
      <c r="F12" s="56" t="n">
        <v>199.71</v>
      </c>
      <c r="G12" s="56" t="n">
        <v>30.32</v>
      </c>
      <c r="H12" s="57" t="n">
        <v>0.1518</v>
      </c>
      <c r="I12" s="56" t="n">
        <v>12.7</v>
      </c>
      <c r="J12" s="56" t="n">
        <v>25.5</v>
      </c>
    </row>
    <row r="13"/>
    <row r="14" ht="15" customHeight="1" s="39">
      <c r="A14" s="42" t="inlineStr">
        <is>
          <t>FY27 Budget Total</t>
        </is>
      </c>
      <c r="B14" s="42" t="n">
        <v>310.97</v>
      </c>
      <c r="C14" s="42" t="n">
        <v>161.41</v>
      </c>
      <c r="D14" s="42" t="n">
        <v>191.5</v>
      </c>
      <c r="E14" s="42" t="n">
        <v>82.51000000000001</v>
      </c>
      <c r="F14" s="42" t="n">
        <v>746.39</v>
      </c>
      <c r="G14" s="42" t="n">
        <v>114.15</v>
      </c>
      <c r="H14" s="53" t="n">
        <v>0.1529</v>
      </c>
      <c r="I14" s="42" t="n">
        <v>45.45</v>
      </c>
      <c r="J14" s="42" t="n">
        <v>118.01</v>
      </c>
    </row>
    <row r="15" ht="15" customHeight="1" s="39"/>
    <row r="16" ht="15" customHeight="1" s="39">
      <c r="A16" s="44" t="inlineStr">
        <is>
          <t>Assumptions: volume growth 9-14%, price +3%, RM basket flat, wage revision 7% from Apr-26. Capex includes Rs. 24 Cr for CNC line.</t>
        </is>
      </c>
    </row>
    <row r="17" ht="15" customHeight="1" s="39"/>
    <row r="18" ht="15" customHeight="1" s="39"/>
    <row r="19" ht="15" customHeight="1" s="39"/>
    <row r="20" ht="15" customHeight="1" s="39"/>
    <row r="21" ht="15" customHeight="1" s="39"/>
    <row r="23" ht="15" customHeight="1" s="39"/>
    <row r="25" ht="15" customHeight="1" s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38" min="1" max="1"/>
    <col width="12" customWidth="1" style="38" min="2" max="20"/>
  </cols>
  <sheetData>
    <row r="1" ht="16.15" customHeight="1" s="39">
      <c r="A1" s="54" t="inlineStr">
        <is>
          <t>BALANCE SHEET - MONTH END (Rs. Lakhs)</t>
        </is>
      </c>
    </row>
    <row r="2" ht="15" customHeight="1" s="39">
      <c r="A2" s="44" t="inlineStr">
        <is>
          <t>Bharat Precision Components Pvt. Ltd. | Selected period closes through Aug-26</t>
        </is>
      </c>
    </row>
    <row r="3"/>
    <row r="4"/>
    <row r="5" ht="15" customHeight="1" s="39">
      <c r="A5" s="42" t="inlineStr">
        <is>
          <t>As at</t>
        </is>
      </c>
    </row>
    <row r="6" ht="15" customHeight="1" s="39">
      <c r="A6" s="45" t="inlineStr">
        <is>
          <t>Particulars</t>
        </is>
      </c>
      <c r="B6" s="58" t="n">
        <v>46203</v>
      </c>
      <c r="C6" s="58" t="n">
        <v>46234</v>
      </c>
      <c r="D6" s="58" t="n">
        <v>46265</v>
      </c>
    </row>
    <row r="7" ht="15" customHeight="1" s="39">
      <c r="A7" s="48" t="inlineStr">
        <is>
          <t>EQUITY AND LIABILITIES</t>
        </is>
      </c>
    </row>
    <row r="8" ht="15" customHeight="1" s="39">
      <c r="A8" s="42" t="inlineStr">
        <is>
          <t>Shareholders' Funds</t>
        </is>
      </c>
    </row>
    <row r="9" ht="15" customHeight="1" s="39">
      <c r="A9" s="49" t="inlineStr">
        <is>
          <t>Share Capital</t>
        </is>
      </c>
      <c r="B9" s="50" t="n">
        <v>1500</v>
      </c>
      <c r="C9" s="50" t="n">
        <v>1500</v>
      </c>
      <c r="D9" s="50" t="n">
        <v>1500</v>
      </c>
    </row>
    <row r="10" ht="15" customHeight="1" s="39">
      <c r="A10" s="49" t="inlineStr">
        <is>
          <t>Reserves &amp; Surplus</t>
        </is>
      </c>
      <c r="B10" s="50" t="n">
        <v>37351.98</v>
      </c>
      <c r="C10" s="50" t="n">
        <v>37472.33</v>
      </c>
      <c r="D10" s="50" t="n">
        <v>37731.55</v>
      </c>
    </row>
    <row r="11" ht="15" customHeight="1" s="39">
      <c r="A11" s="42" t="inlineStr">
        <is>
          <t>Total Shareholders' Funds</t>
        </is>
      </c>
      <c r="B11" s="51">
        <f>SUM(Q9:Q10)</f>
        <v/>
      </c>
      <c r="C11" s="51">
        <f>SUM(R9:R10)</f>
        <v/>
      </c>
      <c r="D11" s="51">
        <f>SUM(S9:S10)</f>
        <v/>
      </c>
    </row>
    <row r="12" ht="15" customHeight="1" s="39">
      <c r="A12" s="42" t="inlineStr">
        <is>
          <t>Non-Current Liabilities</t>
        </is>
      </c>
    </row>
    <row r="13" ht="15" customHeight="1" s="39">
      <c r="A13" s="49" t="inlineStr">
        <is>
          <t>Long-term Borrowings (incl. current maturities)</t>
        </is>
      </c>
      <c r="B13" s="50" t="n">
        <v>26250</v>
      </c>
      <c r="C13" s="50" t="n">
        <v>26000</v>
      </c>
      <c r="D13" s="50" t="n">
        <v>25750</v>
      </c>
    </row>
    <row r="14" ht="15" customHeight="1" s="39">
      <c r="A14" s="42" t="inlineStr">
        <is>
          <t>Current Liabilities</t>
        </is>
      </c>
    </row>
    <row r="15" ht="15" customHeight="1" s="39">
      <c r="A15" s="49" t="inlineStr">
        <is>
          <t>Short-term Borrowings (WC)</t>
        </is>
      </c>
      <c r="B15" s="50" t="n">
        <v>6164.22</v>
      </c>
      <c r="C15" s="50" t="n">
        <v>5799.43</v>
      </c>
      <c r="D15" s="50" t="n">
        <v>7394.7</v>
      </c>
    </row>
    <row r="16" ht="15" customHeight="1" s="39">
      <c r="A16" s="49" t="inlineStr">
        <is>
          <t>Trade Payables</t>
        </is>
      </c>
      <c r="B16" s="50" t="n">
        <v>6577.8</v>
      </c>
      <c r="C16" s="50" t="n">
        <v>6713.15</v>
      </c>
      <c r="D16" s="50" t="n">
        <v>6853.51</v>
      </c>
    </row>
    <row r="17" ht="15" customHeight="1" s="39">
      <c r="A17" s="49" t="inlineStr">
        <is>
          <t>Other Current Liabilities</t>
        </is>
      </c>
      <c r="B17" s="50" t="n">
        <v>2681.93</v>
      </c>
      <c r="C17" s="50" t="n">
        <v>2722.4</v>
      </c>
      <c r="D17" s="50" t="n">
        <v>2662.19</v>
      </c>
    </row>
    <row r="18" ht="15" customHeight="1" s="39">
      <c r="A18" s="49" t="inlineStr">
        <is>
          <t>Short-term Provisions</t>
        </is>
      </c>
      <c r="B18" s="50" t="n">
        <v>1279.09</v>
      </c>
      <c r="C18" s="50" t="n">
        <v>1287.07</v>
      </c>
      <c r="D18" s="50" t="n">
        <v>1306.2</v>
      </c>
    </row>
    <row r="19" ht="15" customHeight="1" s="39">
      <c r="A19" s="42" t="inlineStr">
        <is>
          <t>Total Current Liabilities</t>
        </is>
      </c>
      <c r="B19" s="51">
        <f>SUM(Q15:Q18)</f>
        <v/>
      </c>
      <c r="C19" s="51">
        <f>SUM(R15:R18)</f>
        <v/>
      </c>
      <c r="D19" s="51">
        <f>SUM(S15:S18)</f>
        <v/>
      </c>
    </row>
    <row r="20" ht="15" customHeight="1" s="39">
      <c r="A20" s="42" t="inlineStr">
        <is>
          <t>TOTAL EQUITY &amp; LIABILITIES</t>
        </is>
      </c>
      <c r="B20" s="51">
        <f>Q11+Q13+Q19</f>
        <v/>
      </c>
      <c r="C20" s="51">
        <f>R11+R13+R19</f>
        <v/>
      </c>
      <c r="D20" s="51">
        <f>S11+S13+S19</f>
        <v/>
      </c>
    </row>
    <row r="21"/>
    <row r="22" ht="15" customHeight="1" s="39">
      <c r="A22" s="48" t="inlineStr">
        <is>
          <t>ASSETS</t>
        </is>
      </c>
    </row>
    <row r="23" ht="15" customHeight="1" s="39">
      <c r="A23" s="42" t="inlineStr">
        <is>
          <t>Non-Current Assets</t>
        </is>
      </c>
    </row>
    <row r="24" ht="15" customHeight="1" s="39">
      <c r="A24" s="49" t="inlineStr">
        <is>
          <t>Net Fixed Assets (Tangible &amp; Intangible)</t>
        </is>
      </c>
      <c r="B24" s="50" t="n">
        <v>55382</v>
      </c>
      <c r="C24" s="50" t="n">
        <v>55549.01</v>
      </c>
      <c r="D24" s="50" t="n">
        <v>55685.6</v>
      </c>
    </row>
    <row r="25" ht="15" customHeight="1" s="39">
      <c r="A25" s="49" t="inlineStr">
        <is>
          <t>Capital Work-in-Progress</t>
        </is>
      </c>
      <c r="B25" s="50" t="n">
        <v>945.1</v>
      </c>
      <c r="C25" s="50" t="n">
        <v>1269.9</v>
      </c>
      <c r="D25" s="50" t="n">
        <v>1862.32</v>
      </c>
    </row>
    <row r="26" ht="15" customHeight="1" s="39">
      <c r="A26" s="49" t="inlineStr">
        <is>
          <t>Non-Current Investments</t>
        </is>
      </c>
      <c r="B26" s="50" t="n">
        <v>1250</v>
      </c>
      <c r="C26" s="50" t="n">
        <v>1250</v>
      </c>
      <c r="D26" s="50" t="n">
        <v>1250</v>
      </c>
    </row>
    <row r="27" ht="15" customHeight="1" s="39">
      <c r="A27" s="42" t="inlineStr">
        <is>
          <t>Current Assets</t>
        </is>
      </c>
    </row>
    <row r="28" ht="15" customHeight="1" s="39">
      <c r="A28" s="49" t="inlineStr">
        <is>
          <t>Inventories</t>
        </is>
      </c>
      <c r="B28" s="50" t="n">
        <v>5242.22</v>
      </c>
      <c r="C28" s="50" t="n">
        <v>5620.95</v>
      </c>
      <c r="D28" s="50" t="n">
        <v>5559.85</v>
      </c>
    </row>
    <row r="29" ht="15" customHeight="1" s="39">
      <c r="A29" s="49" t="inlineStr">
        <is>
          <t>Trade Receivables</t>
        </is>
      </c>
      <c r="B29" s="50" t="n">
        <v>11506.46</v>
      </c>
      <c r="C29" s="50" t="n">
        <v>12334.06</v>
      </c>
      <c r="D29" s="50" t="n">
        <v>13532.6</v>
      </c>
    </row>
    <row r="30" ht="15" customHeight="1" s="39">
      <c r="A30" s="49" t="inlineStr">
        <is>
          <t>Cash &amp; Bank Balances</t>
        </is>
      </c>
      <c r="B30" s="50" t="n">
        <v>4252.44</v>
      </c>
      <c r="C30" s="50" t="n">
        <v>2100</v>
      </c>
      <c r="D30" s="50" t="n">
        <v>1800</v>
      </c>
    </row>
    <row r="31" ht="15" customHeight="1" s="39">
      <c r="A31" s="49" t="inlineStr">
        <is>
          <t>Other Current Assets (incl. GST ITC, advances)</t>
        </is>
      </c>
      <c r="B31" s="50" t="n">
        <v>3226.8</v>
      </c>
      <c r="C31" s="50" t="n">
        <v>3370.46</v>
      </c>
      <c r="D31" s="50" t="n">
        <v>3507.78</v>
      </c>
    </row>
    <row r="32" ht="15" customHeight="1" s="39">
      <c r="A32" s="42" t="inlineStr">
        <is>
          <t>Total Current Assets</t>
        </is>
      </c>
      <c r="B32" s="51">
        <f>SUM(Q28:Q31)</f>
        <v/>
      </c>
      <c r="C32" s="51">
        <f>SUM(R28:R31)</f>
        <v/>
      </c>
      <c r="D32" s="51">
        <f>SUM(S28:S31)</f>
        <v/>
      </c>
    </row>
    <row r="33" ht="15" customHeight="1" s="39">
      <c r="A33" s="42" t="inlineStr">
        <is>
          <t>TOTAL ASSETS</t>
        </is>
      </c>
      <c r="B33" s="51">
        <f>Q24+Q25+Q26+Q32</f>
        <v/>
      </c>
      <c r="C33" s="51">
        <f>R24+R25+R26+R32</f>
        <v/>
      </c>
      <c r="D33" s="51">
        <f>S24+S25+S26+S32</f>
        <v/>
      </c>
    </row>
    <row r="34"/>
    <row r="35" ht="15" customHeight="1" s="39">
      <c r="A35" s="41" t="inlineStr">
        <is>
          <t>Check (Assets - Liabilities)</t>
        </is>
      </c>
      <c r="B35" s="50">
        <f>ROUND(Q33-Q20,2)</f>
        <v/>
      </c>
      <c r="C35" s="50">
        <f>ROUND(R33-R20,2)</f>
        <v/>
      </c>
      <c r="D35" s="50">
        <f>ROUND(S33-S20,2)</f>
        <v/>
      </c>
    </row>
    <row r="36"/>
    <row r="37" ht="15" customHeight="1" s="39">
      <c r="A37" s="44" t="inlineStr">
        <is>
          <t>Note: cash includes Rs. 350 L in lien-marked FDs against bank guarantees.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38" min="1" max="1"/>
    <col width="12" customWidth="1" style="38" min="2" max="19"/>
  </cols>
  <sheetData>
    <row r="1" ht="16.15" customHeight="1" s="39">
      <c r="A1" s="54" t="inlineStr">
        <is>
          <t>Cash Flow Statement - Indirect Method</t>
        </is>
      </c>
    </row>
    <row r="2" ht="15" customHeight="1" s="39">
      <c r="A2" s="44" t="inlineStr">
        <is>
          <t>Rs. Lakhs | three selected monthly periods only | outflows in ( )</t>
        </is>
      </c>
    </row>
    <row r="3"/>
    <row r="4" ht="15" customHeight="1" s="39">
      <c r="A4" s="45" t="inlineStr">
        <is>
          <t>Particulars</t>
        </is>
      </c>
      <c r="B4" s="46" t="inlineStr">
        <is>
          <t>Jun'26</t>
        </is>
      </c>
      <c r="C4" s="46" t="inlineStr">
        <is>
          <t>Jul 2026</t>
        </is>
      </c>
      <c r="D4" s="47" t="n">
        <v>46265</v>
      </c>
    </row>
    <row r="5" ht="15" customHeight="1" s="39">
      <c r="A5" s="48" t="inlineStr">
        <is>
          <t>A. CASH FLOW FROM OPERATING ACTIVITIES</t>
        </is>
      </c>
    </row>
    <row r="6" ht="15" customHeight="1" s="39">
      <c r="A6" s="41" t="inlineStr">
        <is>
          <t>Profit After Tax</t>
        </is>
      </c>
      <c r="B6" s="50" t="n">
        <v>207.54</v>
      </c>
      <c r="C6" s="50" t="n">
        <v>120.35</v>
      </c>
      <c r="D6" s="50" t="n">
        <v>259.22</v>
      </c>
    </row>
    <row r="7" ht="15" customHeight="1" s="39">
      <c r="A7" s="41" t="inlineStr">
        <is>
          <t>Add: Depreciation &amp; Amortisation</t>
        </is>
      </c>
      <c r="B7" s="59" t="inlineStr">
        <is>
          <t>290.44</t>
        </is>
      </c>
      <c r="C7" s="50" t="n">
        <v>304.6</v>
      </c>
      <c r="D7" s="50" t="n">
        <v>305.52</v>
      </c>
    </row>
    <row r="8" ht="15" customHeight="1" s="39">
      <c r="A8" s="41" t="inlineStr">
        <is>
          <t>(Increase)/Decrease in Trade Receivables</t>
        </is>
      </c>
      <c r="B8" s="59" t="inlineStr">
        <is>
          <t>(518.11)</t>
        </is>
      </c>
      <c r="C8" s="59" t="inlineStr">
        <is>
          <t>(827.60)</t>
        </is>
      </c>
      <c r="D8" s="59" t="inlineStr">
        <is>
          <t>(1,198.54)</t>
        </is>
      </c>
    </row>
    <row r="9" ht="15" customHeight="1" s="39">
      <c r="A9" s="41" t="inlineStr">
        <is>
          <t>(Increase)/Decrease in Inventories</t>
        </is>
      </c>
      <c r="B9" s="59" t="inlineStr">
        <is>
          <t>(415.15)</t>
        </is>
      </c>
      <c r="C9" s="59" t="inlineStr">
        <is>
          <t>(378.73)</t>
        </is>
      </c>
      <c r="D9" s="50" t="n">
        <v>61.1</v>
      </c>
    </row>
    <row r="10" ht="15" customHeight="1" s="39">
      <c r="A10" s="41" t="inlineStr">
        <is>
          <t>(Increase)/Decrease in Other Current Assets</t>
        </is>
      </c>
      <c r="B10" s="50" t="n">
        <v>168.28</v>
      </c>
      <c r="C10" s="59" t="inlineStr">
        <is>
          <t>(143.66)</t>
        </is>
      </c>
      <c r="D10" s="59" t="inlineStr">
        <is>
          <t>(137.32)</t>
        </is>
      </c>
    </row>
    <row r="11" ht="15" customHeight="1" s="39">
      <c r="A11" s="41" t="inlineStr">
        <is>
          <t>Increase/(Decrease) in Trade Payables</t>
        </is>
      </c>
      <c r="B11" s="50" t="n">
        <v>335.23</v>
      </c>
      <c r="C11" s="50" t="n">
        <v>135.35</v>
      </c>
      <c r="D11" s="59" t="inlineStr">
        <is>
          <t>140.36</t>
        </is>
      </c>
    </row>
    <row r="12" ht="15" customHeight="1" s="39">
      <c r="A12" s="41" t="inlineStr">
        <is>
          <t>Increase/(Decrease) in Other Liabilities &amp; Provisions</t>
        </is>
      </c>
      <c r="B12" s="59" t="inlineStr">
        <is>
          <t>155.66</t>
        </is>
      </c>
      <c r="C12" s="50" t="n">
        <v>48.45</v>
      </c>
      <c r="D12" s="59" t="inlineStr">
        <is>
          <t>(41.08)</t>
        </is>
      </c>
    </row>
    <row r="13" ht="15" customHeight="1" s="39">
      <c r="A13" s="42" t="inlineStr">
        <is>
          <t>Net Cash from Operating Activities (A)</t>
        </is>
      </c>
      <c r="B13" s="51" t="n">
        <v>223.89</v>
      </c>
      <c r="C13" s="60" t="inlineStr">
        <is>
          <t>(741.24)</t>
        </is>
      </c>
      <c r="D13" s="60" t="inlineStr">
        <is>
          <t>(610.74)</t>
        </is>
      </c>
    </row>
    <row r="14"/>
    <row r="15" ht="15" customHeight="1" s="39">
      <c r="A15" s="48" t="inlineStr">
        <is>
          <t>B. CASH FLOW FROM INVESTING ACTIVITIES</t>
        </is>
      </c>
    </row>
    <row r="16" ht="15" customHeight="1" s="39">
      <c r="A16" s="41" t="inlineStr">
        <is>
          <t>Purchase of Fixed Assets incl. CWIP</t>
        </is>
      </c>
      <c r="B16" s="59" t="inlineStr">
        <is>
          <t>(828.28)</t>
        </is>
      </c>
      <c r="C16" s="59" t="inlineStr">
        <is>
          <t>(796.41)</t>
        </is>
      </c>
      <c r="D16" s="59" t="inlineStr">
        <is>
          <t>(1,034.53)</t>
        </is>
      </c>
    </row>
    <row r="17" ht="15" customHeight="1" s="39">
      <c r="A17" s="42" t="inlineStr">
        <is>
          <t>Net Cash used in Investing Activities (B)</t>
        </is>
      </c>
      <c r="B17" s="60" t="inlineStr">
        <is>
          <t>(828.28)</t>
        </is>
      </c>
      <c r="C17" s="60" t="inlineStr">
        <is>
          <t>(796.41)</t>
        </is>
      </c>
      <c r="D17" s="60" t="inlineStr">
        <is>
          <t>(1,034.53)</t>
        </is>
      </c>
    </row>
    <row r="18"/>
    <row r="19" ht="15" customHeight="1" s="39">
      <c r="A19" s="48" t="inlineStr">
        <is>
          <t>C. CASH FLOW FROM FINANCING ACTIVITIES</t>
        </is>
      </c>
    </row>
    <row r="20" ht="15" customHeight="1" s="39">
      <c r="A20" s="41" t="inlineStr">
        <is>
          <t>Proceeds/(Repayment) - Long-term Borrowings</t>
        </is>
      </c>
      <c r="B20" s="59" t="inlineStr">
        <is>
          <t>2,750.00</t>
        </is>
      </c>
      <c r="C20" s="59" t="inlineStr">
        <is>
          <t>(250.00)</t>
        </is>
      </c>
      <c r="D20" s="59" t="inlineStr">
        <is>
          <t>(250.00)</t>
        </is>
      </c>
    </row>
    <row r="21" ht="15" customHeight="1" s="39">
      <c r="A21" s="41" t="inlineStr">
        <is>
          <t>Net Movement - Short-term Borrowings</t>
        </is>
      </c>
      <c r="B21" s="59" t="inlineStr">
        <is>
          <t>(1,091.83)</t>
        </is>
      </c>
      <c r="C21" s="59" t="inlineStr">
        <is>
          <t>(364.79)</t>
        </is>
      </c>
      <c r="D21" s="50" t="n">
        <v>1595.27</v>
      </c>
    </row>
    <row r="22" ht="15" customHeight="1" s="39">
      <c r="A22" s="41" t="inlineStr">
        <is>
          <t>Dividend Paid</t>
        </is>
      </c>
      <c r="B22" s="50" t="n">
        <v>0</v>
      </c>
      <c r="C22" s="50" t="n">
        <v>0</v>
      </c>
      <c r="D22" s="59" t="inlineStr">
        <is>
          <t>0.00</t>
        </is>
      </c>
    </row>
    <row r="23" ht="15" customHeight="1" s="39">
      <c r="A23" s="42" t="inlineStr">
        <is>
          <t>Net Cash from Financing Activities (C)</t>
        </is>
      </c>
      <c r="B23" s="51" t="n">
        <v>1658.17</v>
      </c>
      <c r="C23" s="60" t="inlineStr">
        <is>
          <t>(614.79)</t>
        </is>
      </c>
      <c r="D23" s="60" t="inlineStr">
        <is>
          <t>1,345.27</t>
        </is>
      </c>
    </row>
    <row r="24"/>
    <row r="25" ht="15" customHeight="1" s="39">
      <c r="A25" s="41" t="inlineStr">
        <is>
          <t>Others / Rounding</t>
        </is>
      </c>
      <c r="B25" s="59" t="inlineStr">
        <is>
          <t>0.00</t>
        </is>
      </c>
      <c r="C25" s="50" t="n">
        <v>0</v>
      </c>
      <c r="D25" s="50" t="n">
        <v>0</v>
      </c>
    </row>
    <row r="26" ht="15" customHeight="1" s="39">
      <c r="A26" s="42" t="inlineStr">
        <is>
          <t>Net Increase/(Decrease) in Cash (A+B+C)</t>
        </is>
      </c>
      <c r="B26" s="60" t="inlineStr">
        <is>
          <t>1,053.78</t>
        </is>
      </c>
      <c r="C26" s="60" t="inlineStr">
        <is>
          <t>(2,152.44)</t>
        </is>
      </c>
      <c r="D26" s="60" t="inlineStr">
        <is>
          <t>(300.00)</t>
        </is>
      </c>
    </row>
    <row r="27" ht="15" customHeight="1" s="39">
      <c r="A27" s="41" t="inlineStr">
        <is>
          <t>Opening Cash &amp; Bank Balance</t>
        </is>
      </c>
      <c r="B27" s="59" t="inlineStr">
        <is>
          <t>3,198.66</t>
        </is>
      </c>
      <c r="C27" s="59" t="inlineStr">
        <is>
          <t>4,252.44</t>
        </is>
      </c>
      <c r="D27" s="50" t="n">
        <v>2100</v>
      </c>
    </row>
    <row r="28" ht="15" customHeight="1" s="39">
      <c r="A28" s="42" t="inlineStr">
        <is>
          <t>Closing Cash &amp; Bank Balance</t>
        </is>
      </c>
      <c r="B28" s="51" t="n">
        <v>4252.44</v>
      </c>
      <c r="C28" s="51" t="n">
        <v>2100</v>
      </c>
      <c r="D28" s="51" t="n">
        <v>1800</v>
      </c>
    </row>
    <row r="29"/>
    <row r="30" ht="15" customHeight="1" s="39">
      <c r="A30" s="44" t="inlineStr">
        <is>
          <t>Note: Investing includes CWIP additions. Financing excludes interest (included in PAT).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8" min="1" max="1"/>
    <col width="13" customWidth="1" style="38" min="2" max="2"/>
    <col width="40" customWidth="1" style="38" min="3" max="3"/>
    <col width="10" customWidth="1" style="38" min="4" max="4"/>
    <col width="26" customWidth="1" style="38" min="5" max="5"/>
    <col width="10" customWidth="1" style="38" min="6" max="6"/>
    <col width="18" customWidth="1" style="38" min="7" max="7"/>
    <col width="16" customWidth="1" style="38" min="8" max="8"/>
    <col width="18" customWidth="1" style="38" min="9" max="9"/>
    <col width="14" customWidth="1" style="38" min="10" max="10"/>
    <col width="16" customWidth="1" style="38" min="11" max="11"/>
    <col width="26" customWidth="1" style="38" min="12" max="12"/>
  </cols>
  <sheetData>
    <row r="1" ht="16.15" customHeight="1" s="39">
      <c r="A1" s="54" t="inlineStr">
        <is>
          <t>SALES REGISTER - EXTRACT (Invoices &gt;= Rs. 25 Lakhs)</t>
        </is>
      </c>
    </row>
    <row r="2" ht="15" customHeight="1" s="39">
      <c r="A2" s="44" t="inlineStr">
        <is>
          <t>Bharat Precision Components Pvt. Ltd.  |  From 01-Apr-2025 to 31-Aug-2026  |  Amounts in Rs.</t>
        </is>
      </c>
    </row>
    <row r="3" ht="15" customHeight="1" s="39">
      <c r="A3" s="44" t="inlineStr">
        <is>
          <t>Generated from SAP-B1 on 03-Sep-2026 09:14</t>
        </is>
      </c>
    </row>
    <row r="4"/>
    <row r="5" ht="15" customHeight="1" s="39">
      <c r="A5" s="46" t="inlineStr">
        <is>
          <t>Inv No.</t>
        </is>
      </c>
      <c r="B5" s="46" t="inlineStr">
        <is>
          <t>Inv Date</t>
        </is>
      </c>
      <c r="C5" s="46" t="inlineStr">
        <is>
          <t>Customer Name</t>
        </is>
      </c>
      <c r="D5" s="46" t="inlineStr">
        <is>
          <t>Region</t>
        </is>
      </c>
      <c r="E5" s="46" t="inlineStr">
        <is>
          <t>Product Line</t>
        </is>
      </c>
      <c r="F5" s="46" t="inlineStr">
        <is>
          <t>Qty (Nos)</t>
        </is>
      </c>
      <c r="G5" s="46" t="inlineStr">
        <is>
          <t>Basic Value</t>
        </is>
      </c>
      <c r="H5" s="46" t="inlineStr">
        <is>
          <t>GST</t>
        </is>
      </c>
      <c r="I5" s="46" t="inlineStr">
        <is>
          <t>Invoice Value</t>
        </is>
      </c>
      <c r="J5" s="46" t="inlineStr">
        <is>
          <t>Payment Terms</t>
        </is>
      </c>
      <c r="K5" s="46" t="inlineStr">
        <is>
          <t>Salesperson</t>
        </is>
      </c>
    </row>
    <row r="6" ht="15" customHeight="1" s="39">
      <c r="A6" s="44" t="inlineStr">
        <is>
          <t>BPC/26-27/00066</t>
        </is>
      </c>
      <c r="B6" s="61" t="n">
        <v>46174</v>
      </c>
      <c r="C6" s="44" t="inlineStr">
        <is>
          <t>NORTHSTAR PUMPS PVT LTD.</t>
        </is>
      </c>
      <c r="D6" s="44" t="inlineStr">
        <is>
          <t>West</t>
        </is>
      </c>
      <c r="E6" s="44" t="inlineStr">
        <is>
          <t>Valves</t>
        </is>
      </c>
      <c r="F6" s="44" t="n">
        <v>104</v>
      </c>
      <c r="G6" s="55" t="n">
        <v>2500000</v>
      </c>
      <c r="H6" s="55" t="n">
        <v>450000</v>
      </c>
      <c r="I6" s="55" t="n">
        <v>2950000</v>
      </c>
      <c r="J6" s="44" t="inlineStr">
        <is>
          <t>Net 30</t>
        </is>
      </c>
      <c r="K6" s="44" t="inlineStr">
        <is>
          <t>Kavita Rao</t>
        </is>
      </c>
    </row>
    <row r="7" ht="15" customHeight="1" s="39">
      <c r="A7" s="44" t="inlineStr">
        <is>
          <t>BPC/26-27/00067</t>
        </is>
      </c>
      <c r="B7" s="44" t="inlineStr">
        <is>
          <t>01-Jun-2026</t>
        </is>
      </c>
      <c r="C7" s="44" t="inlineStr">
        <is>
          <t>Utkal Fertilisers &amp; Chemicals Limited</t>
        </is>
      </c>
      <c r="D7" s="44" t="inlineStr">
        <is>
          <t>East</t>
        </is>
      </c>
      <c r="E7" s="44" t="inlineStr">
        <is>
          <t>Industrial Valves</t>
        </is>
      </c>
      <c r="F7" s="44" t="n">
        <v>353</v>
      </c>
      <c r="G7" s="55" t="n">
        <v>8816132</v>
      </c>
      <c r="H7" s="55" t="n">
        <v>1586904</v>
      </c>
      <c r="I7" s="55" t="n">
        <v>10403036</v>
      </c>
      <c r="J7" s="44" t="inlineStr">
        <is>
          <t>30 days</t>
        </is>
      </c>
      <c r="K7" s="44" t="inlineStr">
        <is>
          <t>Priya Nair</t>
        </is>
      </c>
    </row>
    <row r="8" ht="15" customHeight="1" s="39">
      <c r="A8" s="44" t="inlineStr">
        <is>
          <t>BPC/26-27/00068</t>
        </is>
      </c>
      <c r="B8" s="61" t="n">
        <v>46175</v>
      </c>
      <c r="C8" s="44" t="inlineStr">
        <is>
          <t>Marathwada Commercial Vehicles Ltd</t>
        </is>
      </c>
      <c r="D8" s="44" t="inlineStr">
        <is>
          <t>West</t>
        </is>
      </c>
      <c r="E8" s="44" t="inlineStr">
        <is>
          <t>Automotive Castings</t>
        </is>
      </c>
      <c r="F8" s="44" t="n">
        <v>1398</v>
      </c>
      <c r="G8" s="55" t="n">
        <v>2793189</v>
      </c>
      <c r="H8" s="55" t="n">
        <v>502774</v>
      </c>
      <c r="I8" s="55" t="n">
        <v>3295963</v>
      </c>
      <c r="J8" s="44" t="inlineStr">
        <is>
          <t>45 days</t>
        </is>
      </c>
      <c r="K8" s="44" t="inlineStr">
        <is>
          <t>Sanjay Verma</t>
        </is>
      </c>
    </row>
    <row r="9" ht="15" customHeight="1" s="39">
      <c r="A9" s="44" t="inlineStr">
        <is>
          <t>BPC/26-27/00069</t>
        </is>
      </c>
      <c r="B9" s="44" t="inlineStr">
        <is>
          <t>05/06/2026</t>
        </is>
      </c>
      <c r="C9" s="44" t="inlineStr">
        <is>
          <t>Meridian Global GmbH</t>
        </is>
      </c>
      <c r="D9" s="44" t="inlineStr">
        <is>
          <t>Export</t>
        </is>
      </c>
      <c r="E9" s="44" t="inlineStr">
        <is>
          <t>Precision Machined Parts</t>
        </is>
      </c>
      <c r="F9" s="44" t="n">
        <v>1670</v>
      </c>
      <c r="G9" s="55" t="n">
        <v>5970041</v>
      </c>
      <c r="H9" s="44" t="inlineStr">
        <is>
          <t>-</t>
        </is>
      </c>
      <c r="I9" s="44" t="inlineStr">
        <is>
          <t>Rs. 59,70,041</t>
        </is>
      </c>
      <c r="J9" s="44" t="inlineStr">
        <is>
          <t>90 DAYS</t>
        </is>
      </c>
      <c r="K9" s="44" t="inlineStr">
        <is>
          <t>Kavita Rao</t>
        </is>
      </c>
    </row>
    <row r="10" ht="15" customHeight="1" s="39">
      <c r="A10" s="44" t="inlineStr">
        <is>
          <t>BPC/26-27/00070</t>
        </is>
      </c>
      <c r="B10" s="61" t="n">
        <v>46179</v>
      </c>
      <c r="C10" s="44" t="inlineStr">
        <is>
          <t>Vahan Auto Industries Limited</t>
        </is>
      </c>
      <c r="D10" s="44" t="inlineStr">
        <is>
          <t>North</t>
        </is>
      </c>
      <c r="E10" s="44" t="inlineStr">
        <is>
          <t>Automotive Castings</t>
        </is>
      </c>
      <c r="F10" s="44" t="n">
        <v>11486</v>
      </c>
      <c r="G10" s="55" t="n">
        <v>19530349</v>
      </c>
      <c r="H10" s="55" t="n">
        <v>3515463</v>
      </c>
      <c r="I10" s="55" t="n">
        <v>23045812</v>
      </c>
      <c r="J10" s="44" t="inlineStr">
        <is>
          <t>60 Days</t>
        </is>
      </c>
      <c r="K10" s="44" t="inlineStr">
        <is>
          <t>Sanjay Verma</t>
        </is>
      </c>
    </row>
    <row r="11" ht="15" customHeight="1" s="39">
      <c r="A11" s="44" t="inlineStr">
        <is>
          <t>BPC/26-27/00071</t>
        </is>
      </c>
      <c r="B11" s="44" t="inlineStr">
        <is>
          <t>07/06/2026</t>
        </is>
      </c>
      <c r="C11" s="44" t="inlineStr">
        <is>
          <t>Kaveri Engineering Works Pvt Ltd</t>
        </is>
      </c>
      <c r="D11" s="44" t="inlineStr">
        <is>
          <t>South</t>
        </is>
      </c>
      <c r="E11" s="44" t="inlineStr">
        <is>
          <t>PMP</t>
        </is>
      </c>
      <c r="F11" s="44" t="n">
        <v>797</v>
      </c>
      <c r="G11" s="55" t="n">
        <v>3045337</v>
      </c>
      <c r="H11" s="44" t="inlineStr">
        <is>
          <t>Rs. 5,48,161</t>
        </is>
      </c>
      <c r="I11" s="44" t="inlineStr">
        <is>
          <t>Rs. 35,93,498</t>
        </is>
      </c>
      <c r="J11" s="44" t="inlineStr">
        <is>
          <t>Net 30</t>
        </is>
      </c>
      <c r="K11" s="44" t="inlineStr">
        <is>
          <t>Sanjay Verma</t>
        </is>
      </c>
    </row>
    <row r="12" ht="15" customHeight="1" s="39">
      <c r="A12" s="44" t="inlineStr">
        <is>
          <t>BPC/26-27/00072</t>
        </is>
      </c>
      <c r="B12" s="61" t="n">
        <v>46181</v>
      </c>
      <c r="C12" s="44" t="inlineStr">
        <is>
          <t>Tarang Motors Ltd</t>
        </is>
      </c>
      <c r="D12" s="44" t="inlineStr">
        <is>
          <t>West</t>
        </is>
      </c>
      <c r="E12" s="44" t="inlineStr">
        <is>
          <t>Machined Parts</t>
        </is>
      </c>
      <c r="F12" s="44" t="n">
        <v>751</v>
      </c>
      <c r="G12" s="55" t="n">
        <v>2854722</v>
      </c>
      <c r="H12" s="55" t="n">
        <v>513850</v>
      </c>
      <c r="I12" s="55" t="n">
        <v>3368572</v>
      </c>
      <c r="J12" s="44" t="inlineStr">
        <is>
          <t>Net 30</t>
        </is>
      </c>
      <c r="K12" s="44" t="inlineStr">
        <is>
          <t>Amit Deshmukh</t>
        </is>
      </c>
    </row>
    <row r="13" ht="15" customHeight="1" s="39">
      <c r="A13" s="44" t="inlineStr">
        <is>
          <t>BPC/26-27/00073</t>
        </is>
      </c>
      <c r="B13" s="61" t="n">
        <v>46181</v>
      </c>
      <c r="C13" s="44" t="inlineStr">
        <is>
          <t>Pacific Rim Machinery Pty Ltd</t>
        </is>
      </c>
      <c r="D13" s="44" t="inlineStr">
        <is>
          <t>Export</t>
        </is>
      </c>
      <c r="E13" s="44" t="inlineStr">
        <is>
          <t>Precision Machined Parts</t>
        </is>
      </c>
      <c r="F13" s="44" t="n">
        <v>702</v>
      </c>
      <c r="G13" s="44" t="inlineStr">
        <is>
          <t>2932681.00</t>
        </is>
      </c>
      <c r="H13" s="55" t="n">
        <v>0</v>
      </c>
      <c r="I13" s="55" t="n">
        <v>2932681</v>
      </c>
      <c r="J13" s="44" t="inlineStr">
        <is>
          <t>LC at sight</t>
        </is>
      </c>
      <c r="K13" s="44" t="inlineStr">
        <is>
          <t>Sanjay Verma</t>
        </is>
      </c>
    </row>
    <row r="14" ht="15" customHeight="1" s="39">
      <c r="A14" s="44" t="inlineStr">
        <is>
          <t>BPC/26-27/00074</t>
        </is>
      </c>
      <c r="B14" s="44" t="inlineStr">
        <is>
          <t>08/06/2026</t>
        </is>
      </c>
      <c r="C14" s="44" t="inlineStr">
        <is>
          <t>Vahan Auto Industries Ltd</t>
        </is>
      </c>
      <c r="D14" s="44" t="inlineStr">
        <is>
          <t>North</t>
        </is>
      </c>
      <c r="E14" s="44" t="inlineStr">
        <is>
          <t>Precision Machined Parts</t>
        </is>
      </c>
      <c r="F14" s="44" t="n">
        <v>1886</v>
      </c>
      <c r="G14" s="55" t="n">
        <v>6770732</v>
      </c>
      <c r="H14" s="55" t="n">
        <v>1218732</v>
      </c>
      <c r="I14" s="55" t="n">
        <v>7989464</v>
      </c>
      <c r="J14" s="44" t="inlineStr">
        <is>
          <t>90 DAYS</t>
        </is>
      </c>
      <c r="K14" s="44" t="inlineStr">
        <is>
          <t>Rohit Mehta</t>
        </is>
      </c>
    </row>
    <row r="15" ht="15" customHeight="1" s="39">
      <c r="A15" s="44" t="inlineStr">
        <is>
          <t>BPC/26-27/00075</t>
        </is>
      </c>
      <c r="B15" s="44" t="inlineStr">
        <is>
          <t>10-Jun-2026</t>
        </is>
      </c>
      <c r="C15" s="44" t="inlineStr">
        <is>
          <t>Coromandel Process Industries Limited</t>
        </is>
      </c>
      <c r="D15" s="44" t="inlineStr">
        <is>
          <t>South</t>
        </is>
      </c>
      <c r="E15" s="44" t="inlineStr">
        <is>
          <t>Industrial Valves</t>
        </is>
      </c>
      <c r="F15" s="44" t="n">
        <v>102</v>
      </c>
      <c r="G15" s="55" t="n">
        <v>2500000</v>
      </c>
      <c r="H15" s="55" t="n">
        <v>450000</v>
      </c>
      <c r="I15" s="55" t="n">
        <v>2950000</v>
      </c>
      <c r="J15" s="44" t="inlineStr">
        <is>
          <t>30 days</t>
        </is>
      </c>
      <c r="K15" s="44" t="inlineStr">
        <is>
          <t>Sanjay Verma</t>
        </is>
      </c>
    </row>
    <row r="16" ht="15" customHeight="1" s="39">
      <c r="A16" s="44" t="inlineStr">
        <is>
          <t>BPC/26-27/00076</t>
        </is>
      </c>
      <c r="B16" s="61" t="n">
        <v>46183</v>
      </c>
      <c r="C16" s="44" t="inlineStr">
        <is>
          <t>COROMANDEL PROCESS INDUSTRIES LTD.</t>
        </is>
      </c>
      <c r="D16" s="44" t="inlineStr">
        <is>
          <t>South</t>
        </is>
      </c>
      <c r="E16" s="44" t="inlineStr">
        <is>
          <t>Industrial Valves</t>
        </is>
      </c>
      <c r="F16" s="44" t="n">
        <v>96</v>
      </c>
      <c r="G16" s="55" t="n">
        <v>2500000</v>
      </c>
      <c r="H16" s="55" t="n">
        <v>450000</v>
      </c>
      <c r="I16" s="55" t="n">
        <v>2950000</v>
      </c>
      <c r="J16" s="44" t="inlineStr">
        <is>
          <t>60 Days</t>
        </is>
      </c>
      <c r="K16" s="44" t="inlineStr">
        <is>
          <t>Vikram Singh</t>
        </is>
      </c>
    </row>
    <row r="17" ht="15" customHeight="1" s="39">
      <c r="A17" s="44" t="inlineStr">
        <is>
          <t>BPC/26-27/00077</t>
        </is>
      </c>
      <c r="B17" s="44" t="inlineStr">
        <is>
          <t>10/06/2026</t>
        </is>
      </c>
      <c r="C17" s="44" t="inlineStr">
        <is>
          <t>Marathwada Commercial Vehicles Ltd</t>
        </is>
      </c>
      <c r="D17" s="44" t="inlineStr">
        <is>
          <t>West</t>
        </is>
      </c>
      <c r="E17" s="44" t="inlineStr">
        <is>
          <t>Automotive Castings</t>
        </is>
      </c>
      <c r="F17" s="44" t="n">
        <v>1263</v>
      </c>
      <c r="G17" s="55" t="n">
        <v>2542227</v>
      </c>
      <c r="H17" s="55" t="n">
        <v>457601</v>
      </c>
      <c r="I17" s="55" t="n">
        <v>2999828</v>
      </c>
      <c r="J17" s="44" t="inlineStr">
        <is>
          <t>60 Days</t>
        </is>
      </c>
      <c r="K17" s="44" t="inlineStr">
        <is>
          <t>Vikram Singh</t>
        </is>
      </c>
      <c r="L17" s="44" t="inlineStr">
        <is>
          <t>Price diff to be raised</t>
        </is>
      </c>
    </row>
    <row r="18" ht="15" customHeight="1" s="39">
      <c r="A18" s="44" t="inlineStr">
        <is>
          <t>BPC/26-27/00078</t>
        </is>
      </c>
      <c r="B18" s="61" t="n">
        <v>46183</v>
      </c>
      <c r="C18" s="44" t="inlineStr">
        <is>
          <t>Tarang Motors Ltd</t>
        </is>
      </c>
      <c r="D18" s="44" t="inlineStr">
        <is>
          <t>West</t>
        </is>
      </c>
      <c r="E18" s="44" t="inlineStr">
        <is>
          <t>Automotive Castings</t>
        </is>
      </c>
      <c r="F18" s="44" t="n">
        <v>2810</v>
      </c>
      <c r="G18" s="55" t="n">
        <v>5235537</v>
      </c>
      <c r="H18" s="55" t="n">
        <v>942397</v>
      </c>
      <c r="I18" s="55" t="n">
        <v>6177934</v>
      </c>
      <c r="J18" s="44" t="inlineStr">
        <is>
          <t>60 days</t>
        </is>
      </c>
      <c r="K18" s="44" t="inlineStr">
        <is>
          <t>Sanjay Verma</t>
        </is>
      </c>
    </row>
    <row r="19" ht="15" customHeight="1" s="39">
      <c r="A19" s="44" t="inlineStr">
        <is>
          <t>BPC/26-27/00079</t>
        </is>
      </c>
      <c r="B19" s="61" t="n">
        <v>46185</v>
      </c>
      <c r="C19" s="44" t="inlineStr">
        <is>
          <t>Atlas Powertrain Inc</t>
        </is>
      </c>
      <c r="D19" s="44" t="inlineStr">
        <is>
          <t>Export</t>
        </is>
      </c>
      <c r="E19" s="44" t="inlineStr">
        <is>
          <t>Precision Machined Parts</t>
        </is>
      </c>
      <c r="F19" s="44" t="n">
        <v>1425</v>
      </c>
      <c r="G19" s="55" t="n">
        <v>5971497</v>
      </c>
      <c r="H19" s="55" t="n">
        <v>0</v>
      </c>
      <c r="I19" s="55" t="n">
        <v>5971497</v>
      </c>
      <c r="J19" s="44" t="inlineStr">
        <is>
          <t>30 days</t>
        </is>
      </c>
      <c r="K19" s="44" t="inlineStr">
        <is>
          <t>Rohit Mehta</t>
        </is>
      </c>
    </row>
    <row r="20" ht="15" customHeight="1" s="39">
      <c r="A20" s="44" t="inlineStr">
        <is>
          <t>BPC/26-27/00080</t>
        </is>
      </c>
      <c r="B20" s="44" t="inlineStr">
        <is>
          <t>13/06/2026</t>
        </is>
      </c>
      <c r="C20" s="44" t="inlineStr">
        <is>
          <t>Atlas Powertrain Inc</t>
        </is>
      </c>
      <c r="D20" s="44" t="inlineStr">
        <is>
          <t>Export</t>
        </is>
      </c>
      <c r="E20" s="44" t="inlineStr">
        <is>
          <t>Machined Parts</t>
        </is>
      </c>
      <c r="F20" s="44" t="n">
        <v>947</v>
      </c>
      <c r="G20" s="55" t="n">
        <v>3469789</v>
      </c>
      <c r="H20" s="55" t="n">
        <v>0</v>
      </c>
      <c r="I20" s="55" t="n">
        <v>3469789</v>
      </c>
      <c r="J20" s="44" t="inlineStr">
        <is>
          <t>60 Days</t>
        </is>
      </c>
      <c r="K20" s="44" t="inlineStr">
        <is>
          <t>Vikram Singh</t>
        </is>
      </c>
    </row>
    <row r="21" ht="15" customHeight="1" s="39">
      <c r="A21" s="44" t="inlineStr">
        <is>
          <t>BPC/26-27/00081</t>
        </is>
      </c>
      <c r="B21" s="61" t="n">
        <v>46187</v>
      </c>
      <c r="C21" s="44" t="inlineStr">
        <is>
          <t>VAHAN AUTO INDUSTRIES LTD.</t>
        </is>
      </c>
      <c r="D21" s="44" t="inlineStr">
        <is>
          <t>North</t>
        </is>
      </c>
      <c r="E21" s="44" t="inlineStr">
        <is>
          <t>PMP</t>
        </is>
      </c>
      <c r="F21" s="44" t="n">
        <v>3742</v>
      </c>
      <c r="G21" s="55" t="n">
        <v>13307294</v>
      </c>
      <c r="H21" s="44" t="inlineStr">
        <is>
          <t>Rs. 23,95,313</t>
        </is>
      </c>
      <c r="I21" s="55" t="n">
        <v>15702607</v>
      </c>
      <c r="J21" s="44" t="inlineStr">
        <is>
          <t>45 days</t>
        </is>
      </c>
      <c r="K21" s="44" t="inlineStr">
        <is>
          <t>Sanjay Verma</t>
        </is>
      </c>
    </row>
    <row r="22" ht="15" customHeight="1" s="39">
      <c r="A22" s="44" t="inlineStr">
        <is>
          <t>BPC/26-27/00082</t>
        </is>
      </c>
      <c r="B22" s="61" t="n">
        <v>46187</v>
      </c>
      <c r="C22" s="44" t="inlineStr">
        <is>
          <t>Tarang Motors Ltd</t>
        </is>
      </c>
      <c r="D22" s="44" t="inlineStr">
        <is>
          <t>West</t>
        </is>
      </c>
      <c r="E22" s="44" t="inlineStr">
        <is>
          <t>Automotive Castings</t>
        </is>
      </c>
      <c r="F22" s="44" t="n">
        <v>6345</v>
      </c>
      <c r="G22" s="55" t="n">
        <v>12589788</v>
      </c>
      <c r="H22" s="55" t="n">
        <v>2266162</v>
      </c>
      <c r="I22" s="55" t="n">
        <v>14855950</v>
      </c>
      <c r="J22" s="44" t="inlineStr">
        <is>
          <t>LC at sight</t>
        </is>
      </c>
      <c r="K22" s="44" t="inlineStr">
        <is>
          <t>Kavita Rao</t>
        </is>
      </c>
      <c r="L22" s="44" t="inlineStr">
        <is>
          <t>Credit note pending</t>
        </is>
      </c>
    </row>
    <row r="23" ht="15" customHeight="1" s="39">
      <c r="A23" s="44" t="inlineStr">
        <is>
          <t>BPC/26-27/00083</t>
        </is>
      </c>
      <c r="B23" s="61" t="n">
        <v>46190</v>
      </c>
      <c r="C23" s="44" t="inlineStr">
        <is>
          <t>Vahan Auto Industries Ltd</t>
        </is>
      </c>
      <c r="D23" s="44" t="inlineStr">
        <is>
          <t>North</t>
        </is>
      </c>
      <c r="E23" s="44" t="inlineStr">
        <is>
          <t>Automotive Castings</t>
        </is>
      </c>
      <c r="F23" s="44" t="n">
        <v>1341</v>
      </c>
      <c r="G23" s="44" t="inlineStr">
        <is>
          <t>2500000.00</t>
        </is>
      </c>
      <c r="H23" s="44" t="inlineStr">
        <is>
          <t>Rs. 4,50,000</t>
        </is>
      </c>
      <c r="I23" s="55" t="n">
        <v>2950000</v>
      </c>
      <c r="J23" s="44" t="inlineStr">
        <is>
          <t>LC at sight</t>
        </is>
      </c>
      <c r="K23" s="44" t="inlineStr">
        <is>
          <t>Anil Kumar</t>
        </is>
      </c>
    </row>
    <row r="24" ht="15" customHeight="1" s="39">
      <c r="A24" s="44" t="inlineStr">
        <is>
          <t>BPC/26-27/00084</t>
        </is>
      </c>
      <c r="B24" s="61" t="n">
        <v>46192</v>
      </c>
      <c r="C24" s="44" t="inlineStr">
        <is>
          <t>Tarang Motors Ltd</t>
        </is>
      </c>
      <c r="D24" s="44" t="inlineStr">
        <is>
          <t>West</t>
        </is>
      </c>
      <c r="E24" s="44" t="inlineStr">
        <is>
          <t>PMP</t>
        </is>
      </c>
      <c r="F24" s="44" t="n">
        <v>1067</v>
      </c>
      <c r="G24" s="55" t="n">
        <v>4193848</v>
      </c>
      <c r="H24" s="55" t="n">
        <v>754893</v>
      </c>
      <c r="I24" s="55" t="n">
        <v>4948741</v>
      </c>
      <c r="J24" s="44" t="inlineStr">
        <is>
          <t>90 DAYS</t>
        </is>
      </c>
      <c r="K24" s="44" t="inlineStr">
        <is>
          <t>Sanjay Verma</t>
        </is>
      </c>
    </row>
    <row r="25" ht="15" customHeight="1" s="39">
      <c r="A25" s="44" t="inlineStr">
        <is>
          <t>BPC/26-27/00085</t>
        </is>
      </c>
      <c r="B25" s="61" t="n">
        <v>46192</v>
      </c>
      <c r="C25" s="44" t="inlineStr">
        <is>
          <t>Meridian Global GmbH</t>
        </is>
      </c>
      <c r="D25" s="44" t="inlineStr">
        <is>
          <t>Export</t>
        </is>
      </c>
      <c r="E25" s="44" t="inlineStr">
        <is>
          <t>PMP</t>
        </is>
      </c>
      <c r="F25" s="44" t="n">
        <v>897</v>
      </c>
      <c r="G25" s="55" t="n">
        <v>3181103</v>
      </c>
      <c r="H25" s="55" t="n">
        <v>0</v>
      </c>
      <c r="I25" s="55" t="n">
        <v>3181103</v>
      </c>
      <c r="J25" s="44" t="inlineStr">
        <is>
          <t>60 Days</t>
        </is>
      </c>
      <c r="K25" s="44" t="inlineStr">
        <is>
          <t>Vikram Singh</t>
        </is>
      </c>
    </row>
    <row r="26" ht="15" customHeight="1" s="39">
      <c r="A26" s="44" t="inlineStr">
        <is>
          <t>BPC/26-27/00086</t>
        </is>
      </c>
      <c r="B26" s="61" t="n">
        <v>46193</v>
      </c>
      <c r="C26" s="44" t="inlineStr">
        <is>
          <t>Utkal Fertilisers &amp; Chemicals Ltd</t>
        </is>
      </c>
      <c r="D26" s="44" t="inlineStr">
        <is>
          <t>East</t>
        </is>
      </c>
      <c r="E26" s="44" t="inlineStr">
        <is>
          <t>IND VALVES</t>
        </is>
      </c>
      <c r="F26" s="44" t="n">
        <v>124</v>
      </c>
      <c r="G26" s="55" t="n">
        <v>3119923</v>
      </c>
      <c r="H26" s="55" t="n">
        <v>561586</v>
      </c>
      <c r="I26" s="55" t="n">
        <v>3681509</v>
      </c>
      <c r="J26" s="44" t="inlineStr">
        <is>
          <t>60 days</t>
        </is>
      </c>
      <c r="K26" s="44" t="inlineStr">
        <is>
          <t>Sanjay Verma</t>
        </is>
      </c>
    </row>
    <row r="27" ht="15" customHeight="1" s="39">
      <c r="A27" s="44" t="inlineStr">
        <is>
          <t>BPC/26-27/00087</t>
        </is>
      </c>
      <c r="B27" s="44" t="inlineStr">
        <is>
          <t>21-Jun-2026</t>
        </is>
      </c>
      <c r="D27" s="44" t="inlineStr">
        <is>
          <t>NORTH</t>
        </is>
      </c>
      <c r="E27" s="44" t="inlineStr">
        <is>
          <t>Precision Machined Parts</t>
        </is>
      </c>
      <c r="F27" s="44" t="n">
        <v>699</v>
      </c>
      <c r="G27" s="55" t="n">
        <v>2500000</v>
      </c>
      <c r="H27" s="55" t="n">
        <v>450000</v>
      </c>
      <c r="I27" s="55" t="n">
        <v>2950000</v>
      </c>
      <c r="J27" s="44" t="inlineStr">
        <is>
          <t>60 days</t>
        </is>
      </c>
      <c r="K27" s="44" t="inlineStr">
        <is>
          <t>Priya Nair</t>
        </is>
      </c>
    </row>
    <row r="28" ht="15" customHeight="1" s="39">
      <c r="A28" s="44" t="inlineStr">
        <is>
          <t>BPC/26-27/00088</t>
        </is>
      </c>
      <c r="B28" s="61" t="n">
        <v>46194</v>
      </c>
      <c r="C28" s="44" t="inlineStr">
        <is>
          <t>Shakti Tractors &amp; Farm Equipment Limited</t>
        </is>
      </c>
      <c r="D28" s="44" t="inlineStr">
        <is>
          <t>North</t>
        </is>
      </c>
      <c r="E28" s="44" t="inlineStr">
        <is>
          <t>Auto Castings</t>
        </is>
      </c>
      <c r="F28" s="44" t="n">
        <v>2921</v>
      </c>
      <c r="G28" s="55" t="n">
        <v>5125921</v>
      </c>
      <c r="H28" s="55" t="n">
        <v>922666</v>
      </c>
      <c r="I28" s="55" t="n">
        <v>6048587</v>
      </c>
      <c r="J28" s="44" t="inlineStr">
        <is>
          <t>LC at sight</t>
        </is>
      </c>
      <c r="K28" s="44" t="inlineStr">
        <is>
          <t>Sanjay Verma</t>
        </is>
      </c>
    </row>
    <row r="29" ht="15" customHeight="1" s="39">
      <c r="A29" s="44" t="inlineStr">
        <is>
          <t>BPC/26-27/00089</t>
        </is>
      </c>
      <c r="B29" s="61" t="n">
        <v>46195</v>
      </c>
      <c r="C29" s="44" t="inlineStr">
        <is>
          <t>Sunrise Infra Projects Pvt Ltd</t>
        </is>
      </c>
      <c r="D29" s="44" t="inlineStr">
        <is>
          <t>East</t>
        </is>
      </c>
      <c r="E29" s="44" t="inlineStr">
        <is>
          <t>Industrial Valves</t>
        </is>
      </c>
      <c r="F29" s="44" t="n">
        <v>102</v>
      </c>
      <c r="G29" s="55" t="n">
        <v>2500000</v>
      </c>
      <c r="H29" s="55" t="n">
        <v>450000</v>
      </c>
      <c r="I29" s="55" t="n">
        <v>2950000</v>
      </c>
      <c r="J29" s="44" t="inlineStr">
        <is>
          <t>45 days</t>
        </is>
      </c>
      <c r="K29" s="44" t="inlineStr">
        <is>
          <t>Kavita Rao</t>
        </is>
      </c>
    </row>
    <row r="30" ht="15" customHeight="1" s="39">
      <c r="A30" s="44" t="inlineStr">
        <is>
          <t>BPC/26-27/00090</t>
        </is>
      </c>
      <c r="B30" s="61" t="n">
        <v>46195</v>
      </c>
      <c r="C30" s="44" t="inlineStr">
        <is>
          <t>Meridian Global GmbH</t>
        </is>
      </c>
      <c r="D30" s="44" t="inlineStr">
        <is>
          <t>Export</t>
        </is>
      </c>
      <c r="E30" s="44" t="inlineStr">
        <is>
          <t>Machined Parts</t>
        </is>
      </c>
      <c r="F30" s="44" t="n">
        <v>4485</v>
      </c>
      <c r="G30" s="55" t="n">
        <v>17247310</v>
      </c>
      <c r="H30" s="55" t="n">
        <v>0</v>
      </c>
      <c r="I30" s="55" t="n">
        <v>17247310</v>
      </c>
      <c r="J30" s="44" t="inlineStr">
        <is>
          <t>Net 30</t>
        </is>
      </c>
      <c r="K30" s="44" t="inlineStr">
        <is>
          <t>Vikram Singh</t>
        </is>
      </c>
    </row>
    <row r="31" ht="15" customHeight="1" s="39">
      <c r="A31" s="44" t="inlineStr">
        <is>
          <t>BPC/26-27/00091</t>
        </is>
      </c>
      <c r="B31" s="44" t="inlineStr">
        <is>
          <t>24-Jun-2026</t>
        </is>
      </c>
      <c r="C31" s="44" t="inlineStr">
        <is>
          <t>Shakti Tractors &amp; Farm Equipment Limited</t>
        </is>
      </c>
      <c r="D31" s="44" t="inlineStr">
        <is>
          <t>North</t>
        </is>
      </c>
      <c r="E31" s="44" t="inlineStr">
        <is>
          <t>Automotive Castings</t>
        </is>
      </c>
      <c r="F31" s="44" t="n">
        <v>7634</v>
      </c>
      <c r="G31" s="55" t="n">
        <v>13836024</v>
      </c>
      <c r="H31" s="55" t="n">
        <v>2490484</v>
      </c>
      <c r="I31" s="55" t="n">
        <v>16326508</v>
      </c>
      <c r="J31" s="44" t="inlineStr">
        <is>
          <t>60 days</t>
        </is>
      </c>
      <c r="K31" s="44" t="inlineStr">
        <is>
          <t>Amit Deshmukh</t>
        </is>
      </c>
    </row>
    <row r="32" ht="15" customHeight="1" s="39">
      <c r="A32" s="44" t="inlineStr">
        <is>
          <t>BPC/26-27/00092</t>
        </is>
      </c>
      <c r="B32" s="44" t="inlineStr">
        <is>
          <t>26-Jun-2026</t>
        </is>
      </c>
      <c r="C32" s="44" t="inlineStr">
        <is>
          <t>Coromandel Process Industries Ltd</t>
        </is>
      </c>
      <c r="D32" s="44" t="inlineStr">
        <is>
          <t>South</t>
        </is>
      </c>
      <c r="E32" s="44" t="inlineStr">
        <is>
          <t>Industrial Valves</t>
        </is>
      </c>
      <c r="F32" s="44" t="n">
        <v>117</v>
      </c>
      <c r="G32" s="55" t="n">
        <v>2864662</v>
      </c>
      <c r="H32" s="44" t="inlineStr">
        <is>
          <t>515639.00</t>
        </is>
      </c>
      <c r="I32" s="55" t="n">
        <v>3380301</v>
      </c>
      <c r="J32" s="44" t="inlineStr">
        <is>
          <t>LC at sight</t>
        </is>
      </c>
      <c r="K32" s="44" t="inlineStr">
        <is>
          <t>Vikram Singh</t>
        </is>
      </c>
    </row>
    <row r="33" ht="15" customHeight="1" s="39">
      <c r="A33" s="44" t="inlineStr">
        <is>
          <t>BPC/26-27/00093</t>
        </is>
      </c>
      <c r="B33" s="44" t="inlineStr">
        <is>
          <t>26-Jun-2026</t>
        </is>
      </c>
      <c r="C33" s="44" t="inlineStr">
        <is>
          <t>Nordic Flow Systems AB</t>
        </is>
      </c>
      <c r="D33" s="44" t="inlineStr">
        <is>
          <t>Export</t>
        </is>
      </c>
      <c r="E33" s="44" t="inlineStr">
        <is>
          <t>IND VALVES</t>
        </is>
      </c>
      <c r="F33" s="44" t="n">
        <v>181</v>
      </c>
      <c r="G33" s="55" t="n">
        <v>4251825</v>
      </c>
      <c r="H33" s="55" t="n">
        <v>0</v>
      </c>
      <c r="I33" s="55" t="n">
        <v>4251825</v>
      </c>
      <c r="J33" s="44" t="inlineStr">
        <is>
          <t>30 days</t>
        </is>
      </c>
      <c r="K33" s="44" t="inlineStr">
        <is>
          <t>Vikram Singh</t>
        </is>
      </c>
    </row>
    <row r="34" ht="15" customHeight="1" s="39">
      <c r="A34" s="44" t="inlineStr">
        <is>
          <t>BPC/26-27/00094</t>
        </is>
      </c>
      <c r="B34" s="61" t="n">
        <v>46200</v>
      </c>
      <c r="C34" s="44" t="inlineStr">
        <is>
          <t>Marathwada Commercial Vehicles Ltd</t>
        </is>
      </c>
      <c r="D34" s="44" t="inlineStr">
        <is>
          <t>West</t>
        </is>
      </c>
      <c r="E34" s="44" t="inlineStr">
        <is>
          <t>Castings</t>
        </is>
      </c>
      <c r="F34" s="44" t="n">
        <v>1465</v>
      </c>
      <c r="G34" s="55" t="n">
        <v>2636507</v>
      </c>
      <c r="H34" s="55" t="n">
        <v>474571</v>
      </c>
      <c r="I34" s="55" t="n">
        <v>3111078</v>
      </c>
      <c r="J34" s="44" t="inlineStr">
        <is>
          <t>60 days</t>
        </is>
      </c>
      <c r="K34" s="44" t="inlineStr">
        <is>
          <t>Anil Kumar</t>
        </is>
      </c>
      <c r="L34" s="44" t="inlineStr">
        <is>
          <t>Credit note pending</t>
        </is>
      </c>
    </row>
    <row r="35" ht="15" customHeight="1" s="39">
      <c r="A35" s="44" t="inlineStr">
        <is>
          <t>BPC/26-27/00095</t>
        </is>
      </c>
      <c r="B35" s="61" t="n">
        <v>46201</v>
      </c>
      <c r="C35" s="44" t="inlineStr">
        <is>
          <t>Ganga Petrochem Limited</t>
        </is>
      </c>
      <c r="D35" s="44" t="inlineStr">
        <is>
          <t>East</t>
        </is>
      </c>
      <c r="E35" s="44" t="inlineStr">
        <is>
          <t>Valves</t>
        </is>
      </c>
      <c r="F35" s="44" t="n">
        <v>301</v>
      </c>
      <c r="G35" s="55" t="n">
        <v>7412385</v>
      </c>
      <c r="H35" s="55" t="n">
        <v>1334229</v>
      </c>
      <c r="I35" s="44" t="inlineStr">
        <is>
          <t>8746614.00</t>
        </is>
      </c>
      <c r="J35" s="44" t="inlineStr">
        <is>
          <t>90 DAYS</t>
        </is>
      </c>
      <c r="K35" s="44" t="inlineStr">
        <is>
          <t>Kavita Rao</t>
        </is>
      </c>
    </row>
    <row r="36" ht="15" customHeight="1" s="39">
      <c r="A36" s="44" t="inlineStr">
        <is>
          <t>BPC/26-27/00096</t>
        </is>
      </c>
      <c r="B36" s="44" t="inlineStr">
        <is>
          <t>28-Jun-2026</t>
        </is>
      </c>
      <c r="C36" s="44" t="inlineStr">
        <is>
          <t>Coromandel Process Industries Ltd</t>
        </is>
      </c>
      <c r="D36" s="44" t="inlineStr">
        <is>
          <t>South</t>
        </is>
      </c>
      <c r="E36" s="44" t="inlineStr">
        <is>
          <t>IND VALVES</t>
        </is>
      </c>
      <c r="F36" s="44" t="n">
        <v>120</v>
      </c>
      <c r="G36" s="55" t="n">
        <v>2956199</v>
      </c>
      <c r="H36" s="55" t="n">
        <v>532116</v>
      </c>
      <c r="I36" s="55" t="n">
        <v>3488315</v>
      </c>
      <c r="J36" s="44" t="inlineStr">
        <is>
          <t>60 Days</t>
        </is>
      </c>
      <c r="K36" s="44" t="inlineStr">
        <is>
          <t>Vikram Singh</t>
        </is>
      </c>
    </row>
    <row r="37" ht="15" customHeight="1" s="39">
      <c r="A37" s="44" t="inlineStr">
        <is>
          <t>BPC/26-27/00097</t>
        </is>
      </c>
      <c r="B37" s="61" t="n">
        <v>46202</v>
      </c>
      <c r="C37" s="44" t="inlineStr">
        <is>
          <t>Shakti Tractors &amp; Farm Equipment Ltd</t>
        </is>
      </c>
      <c r="D37" s="44" t="inlineStr">
        <is>
          <t>North</t>
        </is>
      </c>
      <c r="E37" s="44" t="inlineStr">
        <is>
          <t>Automotive Castings</t>
        </is>
      </c>
      <c r="F37" s="44" t="n">
        <v>6209</v>
      </c>
      <c r="G37" s="55" t="n">
        <v>10578191</v>
      </c>
      <c r="H37" s="55" t="n">
        <v>1904074</v>
      </c>
      <c r="I37" s="55" t="n">
        <v>12482265</v>
      </c>
      <c r="J37" s="44" t="inlineStr">
        <is>
          <t>30 days</t>
        </is>
      </c>
      <c r="K37" s="44" t="inlineStr">
        <is>
          <t>Kavita Rao</t>
        </is>
      </c>
    </row>
    <row r="38" ht="15" customHeight="1" s="39">
      <c r="A38" s="44" t="inlineStr">
        <is>
          <t>BPC/26-27/00098</t>
        </is>
      </c>
      <c r="B38" s="44" t="inlineStr">
        <is>
          <t>30-Jun-2026</t>
        </is>
      </c>
      <c r="C38" s="44" t="inlineStr">
        <is>
          <t>Tarang Motors Ltd</t>
        </is>
      </c>
      <c r="D38" s="44" t="inlineStr">
        <is>
          <t>West</t>
        </is>
      </c>
      <c r="E38" s="44" t="inlineStr">
        <is>
          <t>Automotive Castings</t>
        </is>
      </c>
      <c r="F38" s="44" t="n">
        <v>2407</v>
      </c>
      <c r="G38" s="44" t="inlineStr">
        <is>
          <t>Rs. 40,67,086</t>
        </is>
      </c>
      <c r="H38" s="55" t="n">
        <v>732075</v>
      </c>
      <c r="I38" s="55" t="n">
        <v>4799161</v>
      </c>
      <c r="J38" s="44" t="inlineStr">
        <is>
          <t>30 days</t>
        </is>
      </c>
      <c r="K38" s="44" t="inlineStr">
        <is>
          <t>Rohit Mehta</t>
        </is>
      </c>
    </row>
    <row r="39" ht="15" customHeight="1" s="39">
      <c r="A39" s="44" t="inlineStr">
        <is>
          <t>BPC/26-27/00099</t>
        </is>
      </c>
      <c r="B39" s="61" t="n">
        <v>46203</v>
      </c>
      <c r="C39" s="44" t="inlineStr">
        <is>
          <t>Orion Aftermarket Distributors</t>
        </is>
      </c>
      <c r="D39" s="44" t="inlineStr">
        <is>
          <t>West</t>
        </is>
      </c>
      <c r="E39" s="44" t="inlineStr">
        <is>
          <t>Aftermarket &amp; Services</t>
        </is>
      </c>
      <c r="F39" s="44" t="n">
        <v>792</v>
      </c>
      <c r="G39" s="55" t="n">
        <v>5213142</v>
      </c>
      <c r="H39" s="55" t="n">
        <v>938366</v>
      </c>
      <c r="I39" s="55" t="n">
        <v>6151508</v>
      </c>
      <c r="J39" s="44" t="inlineStr">
        <is>
          <t>60 Days</t>
        </is>
      </c>
      <c r="K39" s="44" t="inlineStr">
        <is>
          <t>Sanjay Verma</t>
        </is>
      </c>
    </row>
    <row r="40" ht="15" customHeight="1" s="39">
      <c r="A40" s="44" t="inlineStr">
        <is>
          <t>BPC/26-27/00100</t>
        </is>
      </c>
      <c r="B40" s="44" t="inlineStr">
        <is>
          <t>01/07/2026</t>
        </is>
      </c>
      <c r="C40" s="44" t="inlineStr">
        <is>
          <t>Sunrise Infra Projects Pvt Ltd</t>
        </is>
      </c>
      <c r="D40" s="44" t="inlineStr">
        <is>
          <t>EAST</t>
        </is>
      </c>
      <c r="E40" s="44" t="inlineStr">
        <is>
          <t>Industrial Valves</t>
        </is>
      </c>
      <c r="F40" s="44" t="n">
        <v>131</v>
      </c>
      <c r="G40" s="44" t="inlineStr">
        <is>
          <t>Rs. 35,24,424</t>
        </is>
      </c>
      <c r="H40" s="55" t="n">
        <v>634396</v>
      </c>
      <c r="I40" s="44" t="inlineStr">
        <is>
          <t>Rs. 41,58,820</t>
        </is>
      </c>
      <c r="J40" s="44" t="inlineStr">
        <is>
          <t>30 days</t>
        </is>
      </c>
      <c r="K40" s="44" t="inlineStr">
        <is>
          <t>Priya Nair</t>
        </is>
      </c>
    </row>
    <row r="41" ht="15" customHeight="1" s="39">
      <c r="A41" s="44" t="inlineStr">
        <is>
          <t>BPC/26-27/00101</t>
        </is>
      </c>
      <c r="B41" s="61" t="n">
        <v>46206</v>
      </c>
      <c r="C41" s="44" t="inlineStr">
        <is>
          <t>Ganga Petrochem Ltd</t>
        </is>
      </c>
      <c r="D41" s="44" t="inlineStr">
        <is>
          <t>East</t>
        </is>
      </c>
      <c r="E41" s="44" t="inlineStr">
        <is>
          <t>Valves</t>
        </is>
      </c>
      <c r="F41" s="44" t="n">
        <v>159</v>
      </c>
      <c r="G41" s="44" t="inlineStr">
        <is>
          <t>3928329.00</t>
        </is>
      </c>
      <c r="H41" s="55" t="n">
        <v>707099</v>
      </c>
      <c r="I41" s="55" t="n">
        <v>4635428</v>
      </c>
      <c r="J41" s="44" t="inlineStr">
        <is>
          <t>45 days</t>
        </is>
      </c>
      <c r="K41" s="44" t="inlineStr">
        <is>
          <t>Anil Kumar</t>
        </is>
      </c>
    </row>
    <row r="42" ht="15" customHeight="1" s="39">
      <c r="A42" s="44" t="inlineStr">
        <is>
          <t>BPC/26-27/00102</t>
        </is>
      </c>
      <c r="B42" s="61" t="n">
        <v>46207</v>
      </c>
      <c r="C42" s="44" t="inlineStr">
        <is>
          <t>Kaveri Engineering Works Pvt Ltd</t>
        </is>
      </c>
      <c r="D42" s="44" t="inlineStr">
        <is>
          <t>South</t>
        </is>
      </c>
      <c r="E42" s="44" t="inlineStr">
        <is>
          <t>Precision Machined Parts</t>
        </is>
      </c>
      <c r="F42" s="44" t="n">
        <v>1716</v>
      </c>
      <c r="G42" s="44" t="inlineStr">
        <is>
          <t>Rs. 63,32,797</t>
        </is>
      </c>
      <c r="H42" s="44" t="inlineStr">
        <is>
          <t>Rs. 11,39,903</t>
        </is>
      </c>
      <c r="I42" s="55" t="n">
        <v>7472700</v>
      </c>
      <c r="J42" s="44" t="inlineStr">
        <is>
          <t>Net 30</t>
        </is>
      </c>
      <c r="K42" s="44" t="inlineStr">
        <is>
          <t>Kavita Rao</t>
        </is>
      </c>
    </row>
    <row r="43" ht="15" customHeight="1" s="39">
      <c r="A43" s="44" t="inlineStr">
        <is>
          <t>BPC/26-27/00103</t>
        </is>
      </c>
      <c r="B43" s="61" t="n">
        <v>46209</v>
      </c>
      <c r="C43" s="44" t="inlineStr">
        <is>
          <t>Tarang Motors Ltd</t>
        </is>
      </c>
      <c r="D43" s="44" t="inlineStr">
        <is>
          <t>west</t>
        </is>
      </c>
      <c r="E43" s="44" t="inlineStr">
        <is>
          <t>Automotive Castings</t>
        </is>
      </c>
      <c r="F43" s="44" t="n">
        <v>5946</v>
      </c>
      <c r="G43" s="44" t="inlineStr">
        <is>
          <t>Rs. 1,18,28,061</t>
        </is>
      </c>
      <c r="H43" s="55" t="n">
        <v>2129051</v>
      </c>
      <c r="I43" s="55" t="n">
        <v>13957112</v>
      </c>
      <c r="J43" s="44" t="inlineStr">
        <is>
          <t>Net 30</t>
        </is>
      </c>
      <c r="K43" s="44" t="inlineStr">
        <is>
          <t>Sunita Joshi</t>
        </is>
      </c>
    </row>
    <row r="44" ht="15" customHeight="1" s="39">
      <c r="A44" s="44" t="inlineStr">
        <is>
          <t>BPC/26-27/00104</t>
        </is>
      </c>
      <c r="B44" s="61" t="n">
        <v>46210</v>
      </c>
      <c r="C44" s="44" t="inlineStr">
        <is>
          <t>Utkal Fertilisers &amp; Chemicals Ltd</t>
        </is>
      </c>
      <c r="D44" s="44" t="inlineStr">
        <is>
          <t>East</t>
        </is>
      </c>
      <c r="E44" s="44" t="inlineStr">
        <is>
          <t>Industrial Valves</t>
        </is>
      </c>
      <c r="F44" s="44" t="n">
        <v>211</v>
      </c>
      <c r="G44" s="55" t="n">
        <v>5519080</v>
      </c>
      <c r="H44" s="55" t="n">
        <v>993434</v>
      </c>
      <c r="I44" s="44" t="inlineStr">
        <is>
          <t>6512514.00</t>
        </is>
      </c>
      <c r="J44" s="44" t="inlineStr">
        <is>
          <t>60 Days</t>
        </is>
      </c>
      <c r="K44" s="44" t="inlineStr">
        <is>
          <t>Rohit Mehta</t>
        </is>
      </c>
    </row>
    <row r="45" ht="15" customHeight="1" s="39">
      <c r="A45" s="44" t="inlineStr">
        <is>
          <t>BPC/26-27/00105</t>
        </is>
      </c>
      <c r="B45" s="61" t="n">
        <v>46210</v>
      </c>
      <c r="C45" s="44" t="inlineStr">
        <is>
          <t>Vahan Auto Industries Ltd</t>
        </is>
      </c>
      <c r="D45" s="44" t="inlineStr">
        <is>
          <t>North</t>
        </is>
      </c>
      <c r="E45" s="44" t="inlineStr">
        <is>
          <t>Machined Parts</t>
        </is>
      </c>
      <c r="F45" s="44" t="n">
        <v>9271</v>
      </c>
      <c r="G45" s="44" t="inlineStr">
        <is>
          <t>36578667.00</t>
        </is>
      </c>
      <c r="H45" s="44" t="inlineStr">
        <is>
          <t>Rs. 65,84,160</t>
        </is>
      </c>
      <c r="I45" s="55" t="n">
        <v>43162827</v>
      </c>
      <c r="J45" s="44" t="inlineStr">
        <is>
          <t>90 DAYS</t>
        </is>
      </c>
      <c r="K45" s="44" t="inlineStr">
        <is>
          <t>Rohit Mehta</t>
        </is>
      </c>
    </row>
    <row r="46" ht="15" customHeight="1" s="39">
      <c r="A46" s="44" t="inlineStr">
        <is>
          <t>BPC/26-27/00106</t>
        </is>
      </c>
      <c r="B46" s="61" t="n">
        <v>46210</v>
      </c>
      <c r="C46" s="44" t="inlineStr">
        <is>
          <t>Atlas Powertrain Inc</t>
        </is>
      </c>
      <c r="D46" s="44" t="inlineStr">
        <is>
          <t>Export</t>
        </is>
      </c>
      <c r="E46" s="44" t="inlineStr">
        <is>
          <t>Automotive Castings</t>
        </is>
      </c>
      <c r="F46" s="44" t="n">
        <v>1243</v>
      </c>
      <c r="G46" s="55" t="n">
        <v>2500000</v>
      </c>
      <c r="H46" s="44" t="inlineStr">
        <is>
          <t>0.00</t>
        </is>
      </c>
      <c r="I46" s="44" t="inlineStr">
        <is>
          <t>Rs. 25,00,000</t>
        </is>
      </c>
      <c r="J46" s="44" t="inlineStr">
        <is>
          <t>45 days</t>
        </is>
      </c>
      <c r="K46" s="44" t="inlineStr">
        <is>
          <t>Sanjay Verma</t>
        </is>
      </c>
    </row>
    <row r="47" ht="15" customHeight="1" s="39">
      <c r="A47" s="44" t="inlineStr">
        <is>
          <t>BPC/26-27/00107</t>
        </is>
      </c>
      <c r="B47" s="61" t="n">
        <v>46210</v>
      </c>
      <c r="C47" s="44" t="inlineStr">
        <is>
          <t>Kaveri Engineering Works Pvt Limited</t>
        </is>
      </c>
      <c r="D47" s="44" t="inlineStr">
        <is>
          <t>SOUTH</t>
        </is>
      </c>
      <c r="E47" s="44" t="inlineStr">
        <is>
          <t>Machined Parts</t>
        </is>
      </c>
      <c r="F47" s="44" t="n">
        <v>706</v>
      </c>
      <c r="G47" s="55" t="n">
        <v>2500000</v>
      </c>
      <c r="H47" s="55" t="n">
        <v>450000</v>
      </c>
      <c r="I47" s="55" t="n">
        <v>2950000</v>
      </c>
      <c r="J47" s="44" t="inlineStr">
        <is>
          <t>90 DAYS</t>
        </is>
      </c>
      <c r="K47" s="44" t="inlineStr">
        <is>
          <t>Sunita Joshi</t>
        </is>
      </c>
    </row>
    <row r="48" ht="15" customHeight="1" s="39">
      <c r="A48" s="44" t="inlineStr">
        <is>
          <t>BPC/26-27/00108</t>
        </is>
      </c>
      <c r="B48" s="61" t="n">
        <v>46211</v>
      </c>
      <c r="C48" s="44" t="inlineStr">
        <is>
          <t>Kaveri Engineering Works Pvt Ltd</t>
        </is>
      </c>
      <c r="D48" s="44" t="inlineStr">
        <is>
          <t>South</t>
        </is>
      </c>
      <c r="E48" s="44" t="inlineStr">
        <is>
          <t>Castings</t>
        </is>
      </c>
      <c r="F48" s="44" t="n">
        <v>1685</v>
      </c>
      <c r="G48" s="55" t="n">
        <v>3034545</v>
      </c>
      <c r="H48" s="55" t="n">
        <v>546218</v>
      </c>
      <c r="I48" s="55" t="n">
        <v>3580763</v>
      </c>
      <c r="J48" s="44" t="inlineStr">
        <is>
          <t>60 days</t>
        </is>
      </c>
      <c r="K48" s="44" t="inlineStr">
        <is>
          <t>Priya Nair</t>
        </is>
      </c>
    </row>
    <row r="49" ht="15" customHeight="1" s="39">
      <c r="A49" s="44" t="inlineStr">
        <is>
          <t>BPC/26-27/00109</t>
        </is>
      </c>
      <c r="B49" s="61" t="n">
        <v>46212</v>
      </c>
      <c r="C49" s="44" t="inlineStr">
        <is>
          <t>NORDIC FLOW SYSTEMS AB.</t>
        </is>
      </c>
      <c r="D49" s="44" t="inlineStr">
        <is>
          <t>Export</t>
        </is>
      </c>
      <c r="E49" s="44" t="inlineStr">
        <is>
          <t>Valves</t>
        </is>
      </c>
      <c r="F49" s="44" t="n">
        <v>422</v>
      </c>
      <c r="G49" s="55" t="n">
        <v>10885786</v>
      </c>
      <c r="H49" s="55" t="n">
        <v>0</v>
      </c>
      <c r="I49" s="44" t="inlineStr">
        <is>
          <t>10885786.00</t>
        </is>
      </c>
      <c r="J49" s="44" t="inlineStr">
        <is>
          <t>LC at sight</t>
        </is>
      </c>
      <c r="K49" s="44" t="inlineStr">
        <is>
          <t>Sanjay Verma</t>
        </is>
      </c>
    </row>
    <row r="50" ht="15" customHeight="1" s="39">
      <c r="A50" s="44" t="inlineStr">
        <is>
          <t>BPC/26-27/00110</t>
        </is>
      </c>
      <c r="B50" s="44" t="inlineStr">
        <is>
          <t>12-Jul-2026</t>
        </is>
      </c>
      <c r="C50" s="44" t="inlineStr">
        <is>
          <t>Shakti Tractors &amp; Farm Equipment Ltd</t>
        </is>
      </c>
      <c r="D50" s="44" t="inlineStr">
        <is>
          <t>North</t>
        </is>
      </c>
      <c r="E50" s="44" t="inlineStr">
        <is>
          <t>Automotive Castings</t>
        </is>
      </c>
      <c r="F50" s="44" t="n">
        <v>1234</v>
      </c>
      <c r="G50" s="44" t="inlineStr">
        <is>
          <t>Rs. 25,00,000</t>
        </is>
      </c>
      <c r="H50" s="44" t="inlineStr">
        <is>
          <t>Rs. 4,50,000</t>
        </is>
      </c>
      <c r="I50" s="44" t="inlineStr">
        <is>
          <t>Rs. 29,50,000</t>
        </is>
      </c>
      <c r="J50" s="44" t="inlineStr">
        <is>
          <t>45 days</t>
        </is>
      </c>
      <c r="K50" s="44" t="inlineStr">
        <is>
          <t>Anil Kumar</t>
        </is>
      </c>
    </row>
    <row r="51" ht="15" customHeight="1" s="39">
      <c r="A51" s="44" t="inlineStr">
        <is>
          <t>BPC/26-27/00111</t>
        </is>
      </c>
      <c r="B51" s="44" t="inlineStr">
        <is>
          <t>13/07/2026</t>
        </is>
      </c>
      <c r="C51" s="44" t="inlineStr">
        <is>
          <t>Deccan Heavy Machinery Ltd</t>
        </is>
      </c>
      <c r="D51" s="44" t="inlineStr">
        <is>
          <t>South</t>
        </is>
      </c>
      <c r="E51" s="44" t="inlineStr">
        <is>
          <t>Auto Castings</t>
        </is>
      </c>
      <c r="F51" s="44" t="n">
        <v>6796</v>
      </c>
      <c r="G51" s="55" t="n">
        <v>12399561</v>
      </c>
      <c r="H51" s="55" t="n">
        <v>2231921</v>
      </c>
      <c r="I51" s="55" t="n">
        <v>14631482</v>
      </c>
      <c r="J51" s="44" t="inlineStr">
        <is>
          <t>Net 30</t>
        </is>
      </c>
      <c r="K51" s="44" t="inlineStr">
        <is>
          <t>Amit Deshmukh</t>
        </is>
      </c>
    </row>
    <row r="52" ht="15" customHeight="1" s="39">
      <c r="A52" s="44" t="inlineStr">
        <is>
          <t>BPC/26-27/00112</t>
        </is>
      </c>
      <c r="B52" s="61" t="n">
        <v>46216</v>
      </c>
      <c r="C52" s="44" t="inlineStr">
        <is>
          <t>Ganga Petrochem Ltd</t>
        </is>
      </c>
      <c r="D52" s="44" t="inlineStr">
        <is>
          <t>Eastern</t>
        </is>
      </c>
      <c r="E52" s="44" t="inlineStr">
        <is>
          <t>IND VALVES</t>
        </is>
      </c>
      <c r="F52" s="44" t="n">
        <v>229</v>
      </c>
      <c r="G52" s="44" t="inlineStr">
        <is>
          <t>Rs. 60,82,993</t>
        </is>
      </c>
      <c r="H52" s="55" t="n">
        <v>1094939</v>
      </c>
      <c r="I52" s="55" t="n">
        <v>7177932</v>
      </c>
      <c r="J52" s="44" t="inlineStr">
        <is>
          <t>30 days</t>
        </is>
      </c>
      <c r="K52" s="44" t="inlineStr">
        <is>
          <t>Anil Kumar</t>
        </is>
      </c>
    </row>
    <row r="53" ht="15" customHeight="1" s="39">
      <c r="A53" s="44" t="inlineStr">
        <is>
          <t>BPC/26-27/00113</t>
        </is>
      </c>
      <c r="B53" s="61" t="n">
        <v>46216</v>
      </c>
      <c r="C53" s="44" t="inlineStr">
        <is>
          <t>Shakti Tractors &amp; Farm Equipment Ltd</t>
        </is>
      </c>
      <c r="D53" s="44" t="inlineStr">
        <is>
          <t>North</t>
        </is>
      </c>
      <c r="E53" s="44" t="inlineStr">
        <is>
          <t>Automotive Castings</t>
        </is>
      </c>
      <c r="F53" s="44" t="n">
        <v>19914</v>
      </c>
      <c r="G53" s="55" t="n">
        <v>40000000</v>
      </c>
      <c r="H53" s="55" t="n">
        <v>7200000</v>
      </c>
      <c r="I53" s="44" t="inlineStr">
        <is>
          <t>47200000.00</t>
        </is>
      </c>
      <c r="J53" s="44" t="inlineStr">
        <is>
          <t>60 Days</t>
        </is>
      </c>
      <c r="K53" s="44" t="inlineStr">
        <is>
          <t>Vikram Singh</t>
        </is>
      </c>
    </row>
    <row r="54">
      <c r="A54" s="44" t="inlineStr">
        <is>
          <t>BPC/26-27/00114</t>
        </is>
      </c>
      <c r="B54" s="44" t="inlineStr">
        <is>
          <t>15/07/2026</t>
        </is>
      </c>
      <c r="C54" s="44" t="inlineStr">
        <is>
          <t>Kaveri Engineering Works Pvt Ltd</t>
        </is>
      </c>
      <c r="D54" s="44" t="inlineStr">
        <is>
          <t>South</t>
        </is>
      </c>
      <c r="E54" s="44" t="inlineStr">
        <is>
          <t>Automotive Castings</t>
        </is>
      </c>
      <c r="F54" s="44" t="n">
        <v>4637</v>
      </c>
      <c r="G54" s="55" t="n">
        <v>8442110</v>
      </c>
      <c r="H54" s="55" t="n">
        <v>1519580</v>
      </c>
      <c r="I54" s="55" t="n">
        <v>9961690</v>
      </c>
      <c r="J54" s="44" t="inlineStr">
        <is>
          <t>Net 30</t>
        </is>
      </c>
      <c r="K54" s="44" t="inlineStr">
        <is>
          <t>Amit Deshmukh</t>
        </is>
      </c>
    </row>
    <row r="55" ht="15" customHeight="1" s="39">
      <c r="A55" s="44" t="inlineStr">
        <is>
          <t>BPC/26-27/00115</t>
        </is>
      </c>
      <c r="B55" s="61" t="n">
        <v>46218</v>
      </c>
      <c r="C55" s="44" t="inlineStr">
        <is>
          <t>Marathwada Commercial Vehicles Ltd</t>
        </is>
      </c>
      <c r="D55" s="44" t="inlineStr">
        <is>
          <t>West</t>
        </is>
      </c>
      <c r="E55" s="44" t="inlineStr">
        <is>
          <t>Auto Castings</t>
        </is>
      </c>
      <c r="F55" s="44" t="n">
        <v>1358</v>
      </c>
      <c r="G55" s="44" t="inlineStr">
        <is>
          <t>2500000.00</t>
        </is>
      </c>
      <c r="H55" s="44" t="inlineStr">
        <is>
          <t>450000.00</t>
        </is>
      </c>
      <c r="I55" s="55" t="n">
        <v>2950000</v>
      </c>
      <c r="J55" s="44" t="inlineStr">
        <is>
          <t>Net 30</t>
        </is>
      </c>
      <c r="K55" s="44" t="inlineStr">
        <is>
          <t>Kavita Rao</t>
        </is>
      </c>
    </row>
    <row r="56" ht="15" customHeight="1" s="39">
      <c r="A56" s="44" t="inlineStr">
        <is>
          <t>BPC/26-27/00116</t>
        </is>
      </c>
      <c r="B56" s="61" t="n">
        <v>46218</v>
      </c>
      <c r="C56" s="44" t="inlineStr">
        <is>
          <t>Southern Spares &amp; Service Co</t>
        </is>
      </c>
      <c r="D56" s="44" t="inlineStr">
        <is>
          <t>South</t>
        </is>
      </c>
      <c r="E56" s="44" t="inlineStr">
        <is>
          <t>Aftermarket</t>
        </is>
      </c>
      <c r="F56" s="44" t="n">
        <v>1281</v>
      </c>
      <c r="G56" s="55" t="n">
        <v>7658374</v>
      </c>
      <c r="H56" s="55" t="n">
        <v>1378507</v>
      </c>
      <c r="I56" s="55" t="n">
        <v>9036881</v>
      </c>
      <c r="J56" s="44" t="inlineStr">
        <is>
          <t>30 days</t>
        </is>
      </c>
      <c r="K56" s="44" t="inlineStr">
        <is>
          <t>Amit Deshmukh</t>
        </is>
      </c>
    </row>
    <row r="57" ht="15" customHeight="1" s="39">
      <c r="A57" s="44" t="inlineStr">
        <is>
          <t>BPC/26-27/00117</t>
        </is>
      </c>
      <c r="B57" s="61" t="n">
        <v>46219</v>
      </c>
      <c r="C57" s="44" t="inlineStr">
        <is>
          <t>Coromandel Process Industries Limited</t>
        </is>
      </c>
      <c r="D57" s="44" t="inlineStr">
        <is>
          <t>South</t>
        </is>
      </c>
      <c r="E57" s="44" t="inlineStr">
        <is>
          <t>IND VALVES</t>
        </is>
      </c>
      <c r="F57" s="44" t="n">
        <v>192</v>
      </c>
      <c r="G57" s="55" t="n">
        <v>5108791</v>
      </c>
      <c r="H57" s="55" t="n">
        <v>919582</v>
      </c>
      <c r="I57" s="55" t="n">
        <v>6028373</v>
      </c>
      <c r="J57" s="44" t="inlineStr">
        <is>
          <t>60 Days</t>
        </is>
      </c>
      <c r="K57" s="44" t="inlineStr">
        <is>
          <t>Amit Deshmukh</t>
        </is>
      </c>
    </row>
    <row r="58" ht="15" customHeight="1" s="39">
      <c r="A58" s="44" t="inlineStr">
        <is>
          <t>BPC/26-27/00118</t>
        </is>
      </c>
      <c r="B58" s="44" t="inlineStr">
        <is>
          <t>18/07/2026</t>
        </is>
      </c>
      <c r="C58" s="44" t="inlineStr">
        <is>
          <t>Sunrise Infra Projects Pvt Ltd</t>
        </is>
      </c>
      <c r="D58" s="44" t="inlineStr">
        <is>
          <t>East</t>
        </is>
      </c>
      <c r="E58" s="44" t="inlineStr">
        <is>
          <t>Valves</t>
        </is>
      </c>
      <c r="F58" s="44" t="n">
        <v>132</v>
      </c>
      <c r="G58" s="55" t="n">
        <v>3186011</v>
      </c>
      <c r="H58" s="55" t="n">
        <v>573482</v>
      </c>
      <c r="I58" s="44" t="inlineStr">
        <is>
          <t>Rs. 37,59,493</t>
        </is>
      </c>
      <c r="J58" s="44" t="inlineStr">
        <is>
          <t>90 DAYS</t>
        </is>
      </c>
      <c r="K58" s="44" t="inlineStr">
        <is>
          <t>Rohit Mehta</t>
        </is>
      </c>
    </row>
    <row r="59" ht="15" customHeight="1" s="39">
      <c r="A59" s="44" t="inlineStr">
        <is>
          <t>BPC/26-27/00119</t>
        </is>
      </c>
      <c r="B59" s="61" t="n">
        <v>46222</v>
      </c>
      <c r="C59" s="44" t="inlineStr">
        <is>
          <t>Orion Aftermarket Distributors</t>
        </is>
      </c>
      <c r="D59" s="44" t="inlineStr">
        <is>
          <t>Western</t>
        </is>
      </c>
      <c r="E59" s="44" t="inlineStr">
        <is>
          <t>Aftermarket &amp; Services</t>
        </is>
      </c>
      <c r="F59" s="44" t="n">
        <v>762</v>
      </c>
      <c r="G59" s="44" t="inlineStr">
        <is>
          <t>Rs. 44,05,391</t>
        </is>
      </c>
      <c r="H59" s="44" t="inlineStr">
        <is>
          <t>792970.00</t>
        </is>
      </c>
      <c r="I59" s="44" t="inlineStr">
        <is>
          <t>Rs. 51,98,361</t>
        </is>
      </c>
      <c r="J59" s="44" t="inlineStr">
        <is>
          <t>90 DAYS</t>
        </is>
      </c>
      <c r="K59" s="44" t="inlineStr">
        <is>
          <t>Vikram Singh</t>
        </is>
      </c>
    </row>
    <row r="60" ht="15" customHeight="1" s="39">
      <c r="A60" s="44" t="inlineStr">
        <is>
          <t>BPC/26-27/00120</t>
        </is>
      </c>
      <c r="B60" s="44" t="inlineStr">
        <is>
          <t>20/07/2026</t>
        </is>
      </c>
      <c r="C60" s="44" t="inlineStr">
        <is>
          <t>Coromandel Process Industries Ltd</t>
        </is>
      </c>
      <c r="D60" s="44" t="inlineStr">
        <is>
          <t>South</t>
        </is>
      </c>
      <c r="E60" s="44" t="inlineStr">
        <is>
          <t>IND VALVES</t>
        </is>
      </c>
      <c r="F60" s="44" t="n">
        <v>543</v>
      </c>
      <c r="G60" s="44" t="inlineStr">
        <is>
          <t>Rs. 1,34,10,844</t>
        </is>
      </c>
      <c r="H60" s="55" t="n">
        <v>2413952</v>
      </c>
      <c r="I60" s="55" t="n">
        <v>15824796</v>
      </c>
      <c r="J60" s="44" t="inlineStr">
        <is>
          <t>LC at sight</t>
        </is>
      </c>
      <c r="K60" s="44" t="inlineStr">
        <is>
          <t>Vikram Singh</t>
        </is>
      </c>
    </row>
    <row r="61" ht="15" customHeight="1" s="39">
      <c r="A61" s="44" t="inlineStr">
        <is>
          <t>BPC/26-27/00121</t>
        </is>
      </c>
      <c r="B61" s="61" t="n">
        <v>46224</v>
      </c>
      <c r="C61" s="44" t="inlineStr">
        <is>
          <t>Ganga Petrochem Ltd</t>
        </is>
      </c>
      <c r="D61" s="44" t="inlineStr">
        <is>
          <t>East</t>
        </is>
      </c>
      <c r="E61" s="44" t="inlineStr">
        <is>
          <t>Industrial Valves</t>
        </is>
      </c>
      <c r="F61" s="44" t="n">
        <v>381</v>
      </c>
      <c r="G61" s="55" t="n">
        <v>9955682</v>
      </c>
      <c r="H61" s="55" t="n">
        <v>1792023</v>
      </c>
      <c r="I61" s="44" t="inlineStr">
        <is>
          <t>Rs. 1,17,47,705</t>
        </is>
      </c>
      <c r="J61" s="44" t="inlineStr">
        <is>
          <t>LC at sight</t>
        </is>
      </c>
      <c r="K61" s="44" t="inlineStr">
        <is>
          <t>Amit Deshmukh</t>
        </is>
      </c>
    </row>
    <row r="62" ht="15" customHeight="1" s="39">
      <c r="A62" s="44" t="inlineStr">
        <is>
          <t>BPC/26-27/00122</t>
        </is>
      </c>
      <c r="B62" s="61" t="n">
        <v>46225</v>
      </c>
      <c r="C62" s="44" t="inlineStr">
        <is>
          <t>Kaveri Engineering Works Pvt Ltd</t>
        </is>
      </c>
      <c r="D62" s="44" t="inlineStr">
        <is>
          <t>South</t>
        </is>
      </c>
      <c r="E62" s="44" t="inlineStr">
        <is>
          <t>Precision Machined Parts</t>
        </is>
      </c>
      <c r="F62" s="44" t="n">
        <v>4031</v>
      </c>
      <c r="G62" s="44" t="inlineStr">
        <is>
          <t>Rs. 1,42,30,900</t>
        </is>
      </c>
      <c r="H62" s="44" t="inlineStr">
        <is>
          <t>Rs. 25,61,562</t>
        </is>
      </c>
      <c r="I62" s="55" t="n">
        <v>16792462</v>
      </c>
      <c r="J62" s="44" t="inlineStr">
        <is>
          <t>90 DAYS</t>
        </is>
      </c>
      <c r="K62" s="44" t="inlineStr">
        <is>
          <t>Amit Deshmukh</t>
        </is>
      </c>
    </row>
    <row r="63" ht="15" customHeight="1" s="39">
      <c r="A63" s="44" t="inlineStr">
        <is>
          <t>BPC/26-27/00123</t>
        </is>
      </c>
      <c r="B63" s="44" t="inlineStr">
        <is>
          <t>23-Jul-2026</t>
        </is>
      </c>
      <c r="C63" s="44" t="inlineStr">
        <is>
          <t>Shakti Tractors &amp; Farm Equipment Ltd</t>
        </is>
      </c>
      <c r="D63" s="44" t="inlineStr">
        <is>
          <t>North</t>
        </is>
      </c>
      <c r="E63" s="44" t="inlineStr">
        <is>
          <t>Castings</t>
        </is>
      </c>
      <c r="F63" s="44" t="n">
        <v>1251</v>
      </c>
      <c r="G63" s="44" t="inlineStr">
        <is>
          <t>2500000.00</t>
        </is>
      </c>
      <c r="H63" s="55" t="n">
        <v>450000</v>
      </c>
      <c r="I63" s="55" t="n">
        <v>2950000</v>
      </c>
      <c r="J63" s="44" t="inlineStr">
        <is>
          <t>LC at sight</t>
        </is>
      </c>
      <c r="K63" s="44" t="inlineStr">
        <is>
          <t>Amit Deshmukh</t>
        </is>
      </c>
    </row>
    <row r="64" ht="15" customHeight="1" s="39">
      <c r="A64" s="44" t="inlineStr">
        <is>
          <t>BPC/26-27/00124</t>
        </is>
      </c>
      <c r="B64" s="44" t="inlineStr">
        <is>
          <t>24-Jul-2026</t>
        </is>
      </c>
      <c r="C64" s="44" t="inlineStr">
        <is>
          <t>Atlas Powertrain Inc</t>
        </is>
      </c>
      <c r="D64" s="44" t="inlineStr">
        <is>
          <t>Export</t>
        </is>
      </c>
      <c r="E64" s="44" t="inlineStr">
        <is>
          <t>Castings</t>
        </is>
      </c>
      <c r="F64" s="44" t="n">
        <v>4019</v>
      </c>
      <c r="G64" s="55" t="n">
        <v>7855768</v>
      </c>
      <c r="H64" s="44" t="inlineStr">
        <is>
          <t>-</t>
        </is>
      </c>
      <c r="I64" s="55" t="n">
        <v>7855768</v>
      </c>
      <c r="J64" s="44" t="inlineStr">
        <is>
          <t>90 DAYS</t>
        </is>
      </c>
      <c r="K64" s="44" t="inlineStr">
        <is>
          <t>Priya Nair</t>
        </is>
      </c>
    </row>
    <row r="65" ht="15" customHeight="1" s="39">
      <c r="A65" s="44" t="inlineStr">
        <is>
          <t>BPC/26-27/00125</t>
        </is>
      </c>
      <c r="B65" s="44" t="inlineStr">
        <is>
          <t>25/07/2026</t>
        </is>
      </c>
      <c r="C65" s="44" t="inlineStr">
        <is>
          <t>Orion Aftermarket Distributors</t>
        </is>
      </c>
      <c r="D65" s="44" t="inlineStr">
        <is>
          <t>west</t>
        </is>
      </c>
      <c r="E65" s="44" t="inlineStr">
        <is>
          <t>Aftermarket</t>
        </is>
      </c>
      <c r="F65" s="44" t="n">
        <v>372</v>
      </c>
      <c r="G65" s="55" t="n">
        <v>2500000</v>
      </c>
      <c r="H65" s="44" t="inlineStr">
        <is>
          <t>450000.00</t>
        </is>
      </c>
      <c r="I65" s="55" t="n">
        <v>2950000</v>
      </c>
      <c r="J65" s="44" t="inlineStr">
        <is>
          <t>60 days</t>
        </is>
      </c>
      <c r="K65" s="44" t="inlineStr">
        <is>
          <t>Rohit Mehta</t>
        </is>
      </c>
    </row>
    <row r="66" ht="15" customHeight="1" s="39">
      <c r="A66" s="44" t="inlineStr">
        <is>
          <t>BPC/26-27/00126</t>
        </is>
      </c>
      <c r="B66" s="61" t="n">
        <v>46228</v>
      </c>
      <c r="C66" s="44" t="inlineStr">
        <is>
          <t>Nordic Flow Systems AB</t>
        </is>
      </c>
      <c r="D66" s="44" t="inlineStr">
        <is>
          <t>Export</t>
        </is>
      </c>
      <c r="E66" s="44" t="inlineStr">
        <is>
          <t>Valves</t>
        </is>
      </c>
      <c r="F66" s="44" t="n">
        <v>115</v>
      </c>
      <c r="G66" s="55" t="n">
        <v>3069967</v>
      </c>
      <c r="H66" s="44" t="inlineStr">
        <is>
          <t>0.00</t>
        </is>
      </c>
      <c r="I66" s="55" t="n">
        <v>3069967</v>
      </c>
      <c r="J66" s="44" t="inlineStr">
        <is>
          <t>60 days</t>
        </is>
      </c>
      <c r="K66" s="44" t="inlineStr">
        <is>
          <t>Sunita Joshi</t>
        </is>
      </c>
    </row>
    <row r="67" ht="15" customHeight="1" s="39">
      <c r="A67" s="44" t="inlineStr">
        <is>
          <t>BPC/26-27/00127</t>
        </is>
      </c>
      <c r="B67" s="61" t="n">
        <v>46228</v>
      </c>
      <c r="C67" s="44" t="inlineStr">
        <is>
          <t>Meridian Global GmbH</t>
        </is>
      </c>
      <c r="D67" s="44" t="inlineStr">
        <is>
          <t>Export</t>
        </is>
      </c>
      <c r="E67" s="44" t="inlineStr">
        <is>
          <t>Precision Machined Parts</t>
        </is>
      </c>
      <c r="F67" s="44" t="n">
        <v>3041</v>
      </c>
      <c r="G67" s="44" t="inlineStr">
        <is>
          <t>Rs. 1,08,21,558</t>
        </is>
      </c>
      <c r="H67" s="55" t="n">
        <v>0</v>
      </c>
      <c r="I67" s="55" t="n">
        <v>10821558</v>
      </c>
      <c r="J67" s="44" t="inlineStr">
        <is>
          <t>60 days</t>
        </is>
      </c>
      <c r="K67" s="44" t="inlineStr">
        <is>
          <t>Rohit Mehta</t>
        </is>
      </c>
    </row>
    <row r="68" ht="15" customHeight="1" s="39">
      <c r="A68" s="44" t="inlineStr">
        <is>
          <t>BPC/26-27/00128</t>
        </is>
      </c>
      <c r="B68" s="44" t="inlineStr">
        <is>
          <t>26-Jul-2026</t>
        </is>
      </c>
      <c r="C68" s="44" t="inlineStr">
        <is>
          <t>Utkal Fertilisers &amp; Chemicals Limited</t>
        </is>
      </c>
      <c r="D68" s="44" t="inlineStr">
        <is>
          <t>EAST</t>
        </is>
      </c>
      <c r="E68" s="44" t="inlineStr">
        <is>
          <t>Valves</t>
        </is>
      </c>
      <c r="F68" s="44" t="n">
        <v>989</v>
      </c>
      <c r="G68" s="55" t="n">
        <v>23228261</v>
      </c>
      <c r="H68" s="55" t="n">
        <v>4181087</v>
      </c>
      <c r="I68" s="55" t="n">
        <v>27409348</v>
      </c>
      <c r="J68" s="44" t="inlineStr">
        <is>
          <t>60 Days</t>
        </is>
      </c>
      <c r="K68" s="44" t="inlineStr">
        <is>
          <t>Rohit Mehta</t>
        </is>
      </c>
    </row>
    <row r="69" ht="15" customHeight="1" s="39">
      <c r="A69" s="44" t="inlineStr">
        <is>
          <t>BPC/26-27/00129</t>
        </is>
      </c>
      <c r="B69" s="61" t="n">
        <v>46229</v>
      </c>
      <c r="C69" s="44" t="inlineStr">
        <is>
          <t>Orion Aftermarket Distributors</t>
        </is>
      </c>
      <c r="D69" s="44" t="inlineStr">
        <is>
          <t>West</t>
        </is>
      </c>
      <c r="E69" s="44" t="inlineStr">
        <is>
          <t>Aftermarket &amp; Services</t>
        </is>
      </c>
      <c r="F69" s="44" t="n">
        <v>1257</v>
      </c>
      <c r="G69" s="55" t="n">
        <v>7284515</v>
      </c>
      <c r="H69" s="55" t="n">
        <v>1311213</v>
      </c>
      <c r="I69" s="55" t="n">
        <v>8595728</v>
      </c>
      <c r="J69" s="44" t="inlineStr">
        <is>
          <t>60 Days</t>
        </is>
      </c>
      <c r="K69" s="44" t="inlineStr">
        <is>
          <t>Amit Deshmukh</t>
        </is>
      </c>
    </row>
    <row r="70" ht="15" customHeight="1" s="39">
      <c r="A70" s="44" t="inlineStr">
        <is>
          <t>BPC/26-27/00130</t>
        </is>
      </c>
      <c r="B70" s="61" t="n">
        <v>46231</v>
      </c>
      <c r="C70" s="44" t="inlineStr">
        <is>
          <t>Sunrise Infra Projects Pvt Ltd</t>
        </is>
      </c>
      <c r="D70" s="44" t="inlineStr">
        <is>
          <t>EAST</t>
        </is>
      </c>
      <c r="E70" s="44" t="inlineStr">
        <is>
          <t>Industrial Valves</t>
        </is>
      </c>
      <c r="F70" s="44" t="n">
        <v>102</v>
      </c>
      <c r="G70" s="55" t="n">
        <v>2500000</v>
      </c>
      <c r="H70" s="55" t="n">
        <v>450000</v>
      </c>
      <c r="I70" s="44" t="inlineStr">
        <is>
          <t>Rs. 29,50,000</t>
        </is>
      </c>
      <c r="J70" s="44" t="inlineStr">
        <is>
          <t>60 days</t>
        </is>
      </c>
      <c r="K70" s="44" t="inlineStr">
        <is>
          <t>Amit Deshmukh</t>
        </is>
      </c>
    </row>
    <row r="71" ht="15" customHeight="1" s="39">
      <c r="A71" s="44" t="inlineStr">
        <is>
          <t>BPC/26-27/00131</t>
        </is>
      </c>
      <c r="B71" s="44" t="inlineStr">
        <is>
          <t>28-Jul-2026</t>
        </is>
      </c>
      <c r="C71" s="44" t="inlineStr">
        <is>
          <t>Ganga Petrochem Ltd</t>
        </is>
      </c>
      <c r="D71" s="44" t="inlineStr">
        <is>
          <t>East</t>
        </is>
      </c>
      <c r="E71" s="44" t="inlineStr">
        <is>
          <t>Industrial Valves</t>
        </is>
      </c>
      <c r="F71" s="44" t="n">
        <v>313</v>
      </c>
      <c r="G71" s="55" t="n">
        <v>8332807</v>
      </c>
      <c r="H71" s="55" t="n">
        <v>1499905</v>
      </c>
      <c r="I71" s="55" t="n">
        <v>9832712</v>
      </c>
      <c r="J71" s="44" t="inlineStr">
        <is>
          <t>45 days</t>
        </is>
      </c>
      <c r="K71" s="44" t="inlineStr">
        <is>
          <t>Anil Kumar</t>
        </is>
      </c>
    </row>
    <row r="72" ht="15" customHeight="1" s="39">
      <c r="A72" s="44" t="inlineStr">
        <is>
          <t>BPC/26-27/00132</t>
        </is>
      </c>
      <c r="B72" s="44" t="inlineStr">
        <is>
          <t>29-Jul-2026</t>
        </is>
      </c>
      <c r="C72" s="44" t="inlineStr">
        <is>
          <t>Marathwada Commercial Vehicles Ltd</t>
        </is>
      </c>
      <c r="D72" s="44" t="inlineStr">
        <is>
          <t xml:space="preserve">WEST </t>
        </is>
      </c>
      <c r="E72" s="44" t="inlineStr">
        <is>
          <t>Automotive Castings</t>
        </is>
      </c>
      <c r="F72" s="44" t="n">
        <v>2225</v>
      </c>
      <c r="G72" s="55" t="n">
        <v>3816608</v>
      </c>
      <c r="H72" s="44" t="inlineStr">
        <is>
          <t>686989.00</t>
        </is>
      </c>
      <c r="I72" s="55" t="n">
        <v>4503597</v>
      </c>
      <c r="J72" s="44" t="inlineStr">
        <is>
          <t>45 days</t>
        </is>
      </c>
      <c r="K72" s="44" t="inlineStr">
        <is>
          <t>Rohit Mehta</t>
        </is>
      </c>
    </row>
    <row r="73" ht="15" customHeight="1" s="39">
      <c r="A73" s="44" t="inlineStr">
        <is>
          <t>BPC/26-27/00133</t>
        </is>
      </c>
      <c r="B73" s="61" t="n">
        <v>46233</v>
      </c>
      <c r="C73" s="44" t="inlineStr">
        <is>
          <t>Nordic Flow Systems AB</t>
        </is>
      </c>
      <c r="D73" s="44" t="inlineStr">
        <is>
          <t>Export</t>
        </is>
      </c>
      <c r="E73" s="44" t="inlineStr">
        <is>
          <t>Valves</t>
        </is>
      </c>
      <c r="F73" s="44" t="n">
        <v>131</v>
      </c>
      <c r="G73" s="55" t="n">
        <v>3380209</v>
      </c>
      <c r="H73" s="55" t="n">
        <v>0</v>
      </c>
      <c r="I73" s="44" t="inlineStr">
        <is>
          <t>Rs. 33,80,209</t>
        </is>
      </c>
      <c r="J73" s="44" t="inlineStr">
        <is>
          <t>LC at sight</t>
        </is>
      </c>
      <c r="K73" s="44" t="inlineStr">
        <is>
          <t>Rohit Mehta</t>
        </is>
      </c>
    </row>
    <row r="74" ht="15" customHeight="1" s="39">
      <c r="A74" s="44" t="inlineStr">
        <is>
          <t>BPC/26-27/00134</t>
        </is>
      </c>
      <c r="B74" s="44" t="inlineStr">
        <is>
          <t>31-Jul-2026</t>
        </is>
      </c>
      <c r="C74" s="44" t="inlineStr">
        <is>
          <t>Gulf Industrial Supplies LLC</t>
        </is>
      </c>
      <c r="D74" s="44" t="inlineStr">
        <is>
          <t>Export</t>
        </is>
      </c>
      <c r="E74" s="44" t="inlineStr">
        <is>
          <t>Aftermarket &amp; Services</t>
        </is>
      </c>
      <c r="F74" s="44" t="n">
        <v>380</v>
      </c>
      <c r="G74" s="55" t="n">
        <v>2500000</v>
      </c>
      <c r="H74" s="44" t="inlineStr">
        <is>
          <t>-</t>
        </is>
      </c>
      <c r="I74" s="55" t="n">
        <v>2500000</v>
      </c>
      <c r="J74" s="44" t="inlineStr">
        <is>
          <t>90 DAYS</t>
        </is>
      </c>
      <c r="K74" s="44" t="inlineStr">
        <is>
          <t>Rohit Mehta</t>
        </is>
      </c>
    </row>
    <row r="75" ht="15" customHeight="1" s="39">
      <c r="A75" s="44" t="inlineStr">
        <is>
          <t>BPC/26-27/00135</t>
        </is>
      </c>
      <c r="B75" s="61" t="n">
        <v>46235</v>
      </c>
      <c r="C75" s="44" t="inlineStr">
        <is>
          <t>Coromandel Process Industries Ltd</t>
        </is>
      </c>
      <c r="D75" s="44" t="inlineStr">
        <is>
          <t>SOUTH</t>
        </is>
      </c>
      <c r="E75" s="44" t="inlineStr">
        <is>
          <t>Industrial Valves</t>
        </is>
      </c>
      <c r="F75" s="44" t="n">
        <v>526</v>
      </c>
      <c r="G75" s="55" t="n">
        <v>12242308</v>
      </c>
      <c r="H75" s="55" t="n">
        <v>2203615</v>
      </c>
      <c r="I75" s="55" t="n">
        <v>14445923</v>
      </c>
      <c r="J75" s="44" t="inlineStr">
        <is>
          <t>60 Days</t>
        </is>
      </c>
      <c r="K75" s="44" t="inlineStr">
        <is>
          <t>Kavita Rao</t>
        </is>
      </c>
    </row>
    <row r="76" ht="15" customHeight="1" s="39">
      <c r="A76" s="44" t="inlineStr">
        <is>
          <t>BPC/26-27/00136</t>
        </is>
      </c>
      <c r="B76" s="61" t="n">
        <v>46237</v>
      </c>
      <c r="C76" s="44" t="inlineStr">
        <is>
          <t>Tarang Motors Ltd</t>
        </is>
      </c>
      <c r="D76" s="44" t="inlineStr">
        <is>
          <t xml:space="preserve">WEST </t>
        </is>
      </c>
      <c r="E76" s="44" t="inlineStr">
        <is>
          <t>Automotive Castings</t>
        </is>
      </c>
      <c r="F76" s="44" t="n">
        <v>1455</v>
      </c>
      <c r="G76" s="55" t="n">
        <v>2500000</v>
      </c>
      <c r="H76" s="44" t="inlineStr">
        <is>
          <t>450000.00</t>
        </is>
      </c>
      <c r="I76" s="55" t="n">
        <v>2950000</v>
      </c>
      <c r="J76" s="44" t="inlineStr">
        <is>
          <t>30 days</t>
        </is>
      </c>
      <c r="K76" s="44" t="inlineStr">
        <is>
          <t>Anil Kumar</t>
        </is>
      </c>
    </row>
    <row r="77" ht="15" customHeight="1" s="39">
      <c r="A77" s="44" t="inlineStr">
        <is>
          <t>BPC/26-27/00137</t>
        </is>
      </c>
      <c r="B77" s="61" t="n">
        <v>46237</v>
      </c>
      <c r="C77" s="44" t="inlineStr">
        <is>
          <t>Orion Aftermarket Distributors</t>
        </is>
      </c>
      <c r="D77" s="44" t="inlineStr">
        <is>
          <t>West</t>
        </is>
      </c>
      <c r="E77" s="44" t="inlineStr">
        <is>
          <t>Aftermarket &amp; Services</t>
        </is>
      </c>
      <c r="F77" s="44" t="n">
        <v>559</v>
      </c>
      <c r="G77" s="55" t="n">
        <v>3638040</v>
      </c>
      <c r="H77" s="55" t="n">
        <v>654847</v>
      </c>
      <c r="I77" s="55" t="n">
        <v>4292887</v>
      </c>
      <c r="J77" s="44" t="inlineStr">
        <is>
          <t>60 days</t>
        </is>
      </c>
      <c r="K77" s="44" t="inlineStr">
        <is>
          <t>Kavita Rao</t>
        </is>
      </c>
    </row>
    <row r="78" ht="15" customHeight="1" s="39">
      <c r="A78" s="44" t="inlineStr">
        <is>
          <t>BPC/26-27/00138</t>
        </is>
      </c>
      <c r="B78" s="44" t="inlineStr">
        <is>
          <t>03-Aug-2026</t>
        </is>
      </c>
      <c r="C78" s="44" t="inlineStr">
        <is>
          <t>Atlas Powertrain Inc</t>
        </is>
      </c>
      <c r="D78" s="44" t="inlineStr">
        <is>
          <t>Exports</t>
        </is>
      </c>
      <c r="E78" s="44" t="inlineStr">
        <is>
          <t>Precision Machined Parts</t>
        </is>
      </c>
      <c r="F78" s="44" t="n">
        <v>4325</v>
      </c>
      <c r="G78" s="55" t="n">
        <v>17731305</v>
      </c>
      <c r="H78" s="44" t="inlineStr">
        <is>
          <t>0.00</t>
        </is>
      </c>
      <c r="I78" s="44" t="inlineStr">
        <is>
          <t>17731305.00</t>
        </is>
      </c>
      <c r="J78" s="44" t="inlineStr">
        <is>
          <t>45 days</t>
        </is>
      </c>
      <c r="K78" s="44" t="inlineStr">
        <is>
          <t>Rohit Mehta</t>
        </is>
      </c>
    </row>
    <row r="79" ht="15" customHeight="1" s="39">
      <c r="A79" s="44" t="inlineStr">
        <is>
          <t>BPC/26-27/00139</t>
        </is>
      </c>
      <c r="B79" s="61" t="n">
        <v>46238</v>
      </c>
      <c r="C79" s="44" t="inlineStr">
        <is>
          <t>Deccan Heavy Machinery Ltd</t>
        </is>
      </c>
      <c r="D79" s="44" t="inlineStr">
        <is>
          <t>South</t>
        </is>
      </c>
      <c r="E79" s="44" t="inlineStr">
        <is>
          <t>Castings</t>
        </is>
      </c>
      <c r="F79" s="44" t="n">
        <v>1407</v>
      </c>
      <c r="G79" s="44" t="inlineStr">
        <is>
          <t>Rs. 25,00,000</t>
        </is>
      </c>
      <c r="H79" s="55" t="n">
        <v>450000</v>
      </c>
      <c r="I79" s="44" t="inlineStr">
        <is>
          <t>Rs. 29,50,000</t>
        </is>
      </c>
      <c r="J79" s="44" t="inlineStr">
        <is>
          <t>LC at sight</t>
        </is>
      </c>
      <c r="K79" s="44" t="inlineStr">
        <is>
          <t>Rohit Mehta</t>
        </is>
      </c>
    </row>
    <row r="80" ht="15" customHeight="1" s="39">
      <c r="A80" s="44" t="inlineStr">
        <is>
          <t>BPC/26-27/00140</t>
        </is>
      </c>
      <c r="B80" s="61" t="n">
        <v>46238</v>
      </c>
      <c r="C80" s="44" t="inlineStr">
        <is>
          <t>Coromandel Process Industries Ltd</t>
        </is>
      </c>
      <c r="D80" s="44" t="inlineStr">
        <is>
          <t>Southern</t>
        </is>
      </c>
      <c r="E80" s="44" t="inlineStr">
        <is>
          <t>IND VALVES</t>
        </is>
      </c>
      <c r="F80" s="44" t="n">
        <v>165</v>
      </c>
      <c r="G80" s="55" t="n">
        <v>4413723</v>
      </c>
      <c r="H80" s="55" t="n">
        <v>794470</v>
      </c>
      <c r="I80" s="55" t="n">
        <v>5208193</v>
      </c>
      <c r="J80" s="44" t="inlineStr">
        <is>
          <t>LC at sight</t>
        </is>
      </c>
      <c r="K80" s="44" t="inlineStr">
        <is>
          <t>Kavita Rao</t>
        </is>
      </c>
    </row>
    <row r="81" ht="15" customHeight="1" s="39">
      <c r="A81" s="44" t="inlineStr">
        <is>
          <t>BPC/26-27/00141</t>
        </is>
      </c>
      <c r="B81" s="44" t="inlineStr">
        <is>
          <t>04-Aug-2026</t>
        </is>
      </c>
      <c r="C81" s="44" t="inlineStr">
        <is>
          <t>Gulf Industrial Supplies LLC</t>
        </is>
      </c>
      <c r="D81" s="44" t="inlineStr">
        <is>
          <t>Export</t>
        </is>
      </c>
      <c r="E81" s="44" t="inlineStr">
        <is>
          <t>Aftermarket &amp; Services</t>
        </is>
      </c>
      <c r="F81" s="44" t="n">
        <v>1143</v>
      </c>
      <c r="G81" s="55" t="n">
        <v>7757916</v>
      </c>
      <c r="H81" s="55" t="n">
        <v>0</v>
      </c>
      <c r="I81" s="44" t="inlineStr">
        <is>
          <t>7757916.00</t>
        </is>
      </c>
      <c r="J81" s="44" t="inlineStr">
        <is>
          <t>Net 30</t>
        </is>
      </c>
      <c r="K81" s="44" t="inlineStr">
        <is>
          <t>Kavita Rao</t>
        </is>
      </c>
    </row>
    <row r="82" ht="15" customHeight="1" s="39">
      <c r="A82" s="44" t="inlineStr">
        <is>
          <t>BPC/26-27/00142</t>
        </is>
      </c>
      <c r="B82" s="61" t="n">
        <v>46239</v>
      </c>
      <c r="C82" s="44" t="inlineStr">
        <is>
          <t>Vahan Auto Industries Ltd</t>
        </is>
      </c>
      <c r="D82" s="44" t="inlineStr">
        <is>
          <t>North</t>
        </is>
      </c>
      <c r="E82" s="44" t="inlineStr">
        <is>
          <t>Precision Machined Parts</t>
        </is>
      </c>
      <c r="F82" s="44" t="n">
        <v>1152</v>
      </c>
      <c r="G82" s="55" t="n">
        <v>4405421</v>
      </c>
      <c r="H82" s="55" t="n">
        <v>792976</v>
      </c>
      <c r="I82" s="44" t="inlineStr">
        <is>
          <t>Rs. 51,98,397</t>
        </is>
      </c>
      <c r="J82" s="44" t="inlineStr">
        <is>
          <t>30 days</t>
        </is>
      </c>
      <c r="K82" s="44" t="inlineStr">
        <is>
          <t>Kavita Rao</t>
        </is>
      </c>
    </row>
    <row r="83" ht="15" customHeight="1" s="39">
      <c r="A83" s="44" t="inlineStr">
        <is>
          <t>BPC/26-27/00143</t>
        </is>
      </c>
      <c r="B83" s="44" t="inlineStr">
        <is>
          <t>06/08/2026</t>
        </is>
      </c>
      <c r="C83" s="44" t="inlineStr">
        <is>
          <t>Nordic Flow Systems AB</t>
        </is>
      </c>
      <c r="D83" s="44" t="inlineStr">
        <is>
          <t>Export</t>
        </is>
      </c>
      <c r="E83" s="44" t="inlineStr">
        <is>
          <t>Industrial Valves</t>
        </is>
      </c>
      <c r="F83" s="44" t="n">
        <v>220</v>
      </c>
      <c r="G83" s="55" t="n">
        <v>5193375</v>
      </c>
      <c r="H83" s="55" t="n">
        <v>0</v>
      </c>
      <c r="I83" s="55" t="n">
        <v>5193375</v>
      </c>
      <c r="J83" s="44" t="inlineStr">
        <is>
          <t>45 days</t>
        </is>
      </c>
      <c r="K83" s="44" t="inlineStr">
        <is>
          <t>Sanjay Verma</t>
        </is>
      </c>
    </row>
    <row r="84" ht="15" customHeight="1" s="39">
      <c r="A84" s="44" t="inlineStr">
        <is>
          <t>BPC/26-27/00144</t>
        </is>
      </c>
      <c r="B84" s="44" t="inlineStr">
        <is>
          <t>07-Aug-2026</t>
        </is>
      </c>
      <c r="C84" s="44" t="inlineStr">
        <is>
          <t>Tarang Motors Limited</t>
        </is>
      </c>
      <c r="D84" s="44" t="inlineStr">
        <is>
          <t>West</t>
        </is>
      </c>
      <c r="E84" s="44" t="inlineStr">
        <is>
          <t>Castings</t>
        </is>
      </c>
      <c r="F84" s="44" t="n">
        <v>5671</v>
      </c>
      <c r="G84" s="55" t="n">
        <v>10363436</v>
      </c>
      <c r="H84" s="55" t="n">
        <v>1865418</v>
      </c>
      <c r="I84" s="55" t="n">
        <v>12228854</v>
      </c>
      <c r="J84" s="44" t="inlineStr">
        <is>
          <t>Net 30</t>
        </is>
      </c>
      <c r="K84" s="44" t="inlineStr">
        <is>
          <t>Sunita Joshi</t>
        </is>
      </c>
      <c r="L84" s="44" t="inlineStr">
        <is>
          <t>Price diff to be raised</t>
        </is>
      </c>
    </row>
    <row r="85" ht="15" customHeight="1" s="39">
      <c r="A85" s="44" t="inlineStr">
        <is>
          <t>BPC/26-27/00145</t>
        </is>
      </c>
      <c r="B85" s="61" t="n">
        <v>46242</v>
      </c>
      <c r="C85" s="44" t="inlineStr">
        <is>
          <t>Ganga Petrochem Ltd</t>
        </is>
      </c>
      <c r="D85" s="44" t="inlineStr">
        <is>
          <t>Eastern</t>
        </is>
      </c>
      <c r="E85" s="44" t="inlineStr">
        <is>
          <t>Industrial Valves</t>
        </is>
      </c>
      <c r="F85" s="44" t="n">
        <v>281</v>
      </c>
      <c r="G85" s="55" t="n">
        <v>6743808</v>
      </c>
      <c r="H85" s="55" t="n">
        <v>1213885</v>
      </c>
      <c r="I85" s="55" t="n">
        <v>7957693</v>
      </c>
      <c r="J85" s="44" t="inlineStr">
        <is>
          <t>45 days</t>
        </is>
      </c>
      <c r="K85" s="44" t="inlineStr">
        <is>
          <t>Anil Kumar</t>
        </is>
      </c>
    </row>
    <row r="86" ht="15" customHeight="1" s="39">
      <c r="A86" s="44" t="inlineStr">
        <is>
          <t>BPC/26-27/00146</t>
        </is>
      </c>
      <c r="B86" s="44" t="inlineStr">
        <is>
          <t>09-Aug-2026</t>
        </is>
      </c>
      <c r="C86" s="44" t="inlineStr">
        <is>
          <t>Marathwada Commercial Vehicles Ltd</t>
        </is>
      </c>
      <c r="D86" s="44" t="inlineStr">
        <is>
          <t>Western</t>
        </is>
      </c>
      <c r="E86" s="44" t="inlineStr">
        <is>
          <t>Automotive Castings</t>
        </is>
      </c>
      <c r="F86" s="44" t="n">
        <v>6189</v>
      </c>
      <c r="G86" s="55" t="n">
        <v>10844418</v>
      </c>
      <c r="H86" s="55" t="n">
        <v>1951995</v>
      </c>
      <c r="I86" s="55" t="n">
        <v>12796413</v>
      </c>
      <c r="J86" s="44" t="inlineStr">
        <is>
          <t>LC at sight</t>
        </is>
      </c>
      <c r="K86" s="44" t="inlineStr">
        <is>
          <t>Priya Nair</t>
        </is>
      </c>
    </row>
    <row r="87" ht="15" customHeight="1" s="39">
      <c r="A87" s="44" t="inlineStr">
        <is>
          <t>BPC/26-27/00147</t>
        </is>
      </c>
      <c r="B87" s="61" t="n">
        <v>46243</v>
      </c>
      <c r="C87" s="44" t="inlineStr">
        <is>
          <t>NorthStar Pumps Pvt Ltd</t>
        </is>
      </c>
      <c r="D87" s="44" t="inlineStr">
        <is>
          <t>West</t>
        </is>
      </c>
      <c r="E87" s="44" t="inlineStr">
        <is>
          <t>Industrial Valves</t>
        </is>
      </c>
      <c r="F87" s="44" t="n">
        <v>296</v>
      </c>
      <c r="G87" s="55" t="n">
        <v>6827168</v>
      </c>
      <c r="H87" s="55" t="n">
        <v>1228890</v>
      </c>
      <c r="I87" s="55" t="n">
        <v>8056058</v>
      </c>
      <c r="J87" s="44" t="inlineStr">
        <is>
          <t>60 days</t>
        </is>
      </c>
      <c r="K87" s="44" t="inlineStr">
        <is>
          <t>Anil Kumar</t>
        </is>
      </c>
    </row>
    <row r="88" ht="15" customHeight="1" s="39">
      <c r="A88" s="44" t="inlineStr">
        <is>
          <t>BPC/26-27/00148</t>
        </is>
      </c>
      <c r="B88" s="61" t="n">
        <v>46244</v>
      </c>
      <c r="C88" s="44" t="inlineStr">
        <is>
          <t>Tarang Motors Ltd</t>
        </is>
      </c>
      <c r="D88" s="44" t="inlineStr">
        <is>
          <t>West</t>
        </is>
      </c>
      <c r="E88" s="44" t="inlineStr">
        <is>
          <t>Castings</t>
        </is>
      </c>
      <c r="F88" s="44" t="n">
        <v>2124</v>
      </c>
      <c r="G88" s="55" t="n">
        <v>4048345</v>
      </c>
      <c r="H88" s="44" t="inlineStr">
        <is>
          <t>Rs. 7,28,702</t>
        </is>
      </c>
      <c r="I88" s="55" t="n">
        <v>4777047</v>
      </c>
      <c r="J88" s="44" t="inlineStr">
        <is>
          <t>Net 30</t>
        </is>
      </c>
      <c r="K88" s="44" t="inlineStr">
        <is>
          <t>Priya Nair</t>
        </is>
      </c>
    </row>
    <row r="89" ht="15" customHeight="1" s="39">
      <c r="A89" s="44" t="inlineStr">
        <is>
          <t>BPC/26-27/00149</t>
        </is>
      </c>
      <c r="B89" s="61" t="n">
        <v>46244</v>
      </c>
      <c r="C89" s="44" t="inlineStr">
        <is>
          <t>Coromandel Process Industries Limited</t>
        </is>
      </c>
      <c r="D89" s="44" t="inlineStr">
        <is>
          <t>South</t>
        </is>
      </c>
      <c r="E89" s="44" t="inlineStr">
        <is>
          <t>Industrial Valves</t>
        </is>
      </c>
      <c r="F89" s="44" t="n">
        <v>424</v>
      </c>
      <c r="G89" s="55" t="n">
        <v>11249499</v>
      </c>
      <c r="H89" s="55" t="n">
        <v>2024910</v>
      </c>
      <c r="I89" s="55" t="n">
        <v>13274409</v>
      </c>
      <c r="J89" s="44" t="inlineStr">
        <is>
          <t>60 days</t>
        </is>
      </c>
      <c r="K89" s="44" t="inlineStr">
        <is>
          <t>Amit Deshmukh</t>
        </is>
      </c>
    </row>
    <row r="90" ht="15" customHeight="1" s="39">
      <c r="A90" s="44" t="inlineStr">
        <is>
          <t>BPC/26-27/00150</t>
        </is>
      </c>
      <c r="B90" s="61" t="n">
        <v>46246</v>
      </c>
      <c r="C90" s="44" t="inlineStr">
        <is>
          <t>Vahan Auto Industries Ltd</t>
        </is>
      </c>
      <c r="D90" s="44" t="inlineStr">
        <is>
          <t>NORTH</t>
        </is>
      </c>
      <c r="E90" s="44" t="inlineStr">
        <is>
          <t>Automotive Castings</t>
        </is>
      </c>
      <c r="F90" s="44" t="n">
        <v>5731</v>
      </c>
      <c r="G90" s="44" t="inlineStr">
        <is>
          <t>Rs. 1,03,14,647</t>
        </is>
      </c>
      <c r="H90" s="55" t="n">
        <v>1856636</v>
      </c>
      <c r="I90" s="44" t="inlineStr">
        <is>
          <t>Rs. 1,21,71,283</t>
        </is>
      </c>
      <c r="J90" s="44" t="inlineStr">
        <is>
          <t>60 days</t>
        </is>
      </c>
      <c r="K90" s="44" t="inlineStr">
        <is>
          <t>Sanjay Verma</t>
        </is>
      </c>
    </row>
    <row r="91" ht="15" customHeight="1" s="39">
      <c r="A91" s="44" t="inlineStr">
        <is>
          <t>BPC/26-27/00151</t>
        </is>
      </c>
      <c r="B91" s="61" t="n">
        <v>46247</v>
      </c>
      <c r="C91" s="44" t="inlineStr">
        <is>
          <t>Deccan Heavy Machinery Ltd</t>
        </is>
      </c>
      <c r="D91" s="44" t="inlineStr">
        <is>
          <t>SOUTH</t>
        </is>
      </c>
      <c r="E91" s="44" t="inlineStr">
        <is>
          <t>Automotive Castings</t>
        </is>
      </c>
      <c r="F91" s="44" t="n">
        <v>1595</v>
      </c>
      <c r="G91" s="55" t="n">
        <v>2991982</v>
      </c>
      <c r="H91" s="55" t="n">
        <v>538557</v>
      </c>
      <c r="I91" s="55" t="n">
        <v>3530539</v>
      </c>
      <c r="J91" s="44" t="inlineStr">
        <is>
          <t>45 days</t>
        </is>
      </c>
      <c r="K91" s="44" t="inlineStr">
        <is>
          <t>Priya Nair</t>
        </is>
      </c>
    </row>
    <row r="92" ht="15" customHeight="1" s="39">
      <c r="A92" s="44" t="inlineStr">
        <is>
          <t>BPC/26-27/00152</t>
        </is>
      </c>
      <c r="B92" s="61" t="n">
        <v>46248</v>
      </c>
      <c r="C92" s="44" t="inlineStr">
        <is>
          <t>Atlas Powertrain Inc</t>
        </is>
      </c>
      <c r="D92" s="44" t="inlineStr">
        <is>
          <t>Exports</t>
        </is>
      </c>
      <c r="E92" s="44" t="inlineStr">
        <is>
          <t>Precision Machined Parts</t>
        </is>
      </c>
      <c r="F92" s="44" t="n">
        <v>1009</v>
      </c>
      <c r="G92" s="55" t="n">
        <v>3872659</v>
      </c>
      <c r="H92" s="55" t="n">
        <v>0</v>
      </c>
      <c r="I92" s="44" t="inlineStr">
        <is>
          <t>Rs. 38,72,659</t>
        </is>
      </c>
      <c r="J92" s="44" t="inlineStr">
        <is>
          <t>45 days</t>
        </is>
      </c>
      <c r="K92" s="44" t="inlineStr">
        <is>
          <t>Vikram Singh</t>
        </is>
      </c>
    </row>
    <row r="93" ht="15" customHeight="1" s="39">
      <c r="A93" s="44" t="inlineStr">
        <is>
          <t>BPC/26-27/00153</t>
        </is>
      </c>
      <c r="B93" s="44" t="inlineStr">
        <is>
          <t>15-Aug-2026</t>
        </is>
      </c>
      <c r="C93" s="44" t="inlineStr">
        <is>
          <t>Shakti Tractors &amp; Farm Equipment Ltd</t>
        </is>
      </c>
      <c r="D93" s="44" t="inlineStr">
        <is>
          <t>North</t>
        </is>
      </c>
      <c r="E93" s="44" t="inlineStr">
        <is>
          <t>Automotive Castings</t>
        </is>
      </c>
      <c r="F93" s="44" t="n">
        <v>2550</v>
      </c>
      <c r="G93" s="55" t="n">
        <v>4636647</v>
      </c>
      <c r="H93" s="55" t="n">
        <v>834596</v>
      </c>
      <c r="I93" s="44" t="inlineStr">
        <is>
          <t>Rs. 54,71,243</t>
        </is>
      </c>
      <c r="J93" s="44" t="inlineStr">
        <is>
          <t>90 DAYS</t>
        </is>
      </c>
      <c r="K93" s="44" t="inlineStr">
        <is>
          <t>Kavita Rao</t>
        </is>
      </c>
    </row>
    <row r="94" ht="15" customHeight="1" s="39">
      <c r="A94" s="44" t="inlineStr">
        <is>
          <t>BPC/26-27/00154</t>
        </is>
      </c>
      <c r="B94" s="44" t="inlineStr">
        <is>
          <t>15-Aug-2026</t>
        </is>
      </c>
      <c r="C94" s="44" t="inlineStr">
        <is>
          <t>ATLAS POWERTRAIN INC.</t>
        </is>
      </c>
      <c r="D94" s="44" t="inlineStr">
        <is>
          <t>Export</t>
        </is>
      </c>
      <c r="E94" s="44" t="inlineStr">
        <is>
          <t>Precision Machined Parts</t>
        </is>
      </c>
      <c r="F94" s="44" t="n">
        <v>884</v>
      </c>
      <c r="G94" s="44" t="inlineStr">
        <is>
          <t>3391737.00</t>
        </is>
      </c>
      <c r="H94" s="55" t="n">
        <v>0</v>
      </c>
      <c r="I94" s="55" t="n">
        <v>3391737</v>
      </c>
      <c r="J94" s="44" t="inlineStr">
        <is>
          <t>LC at sight</t>
        </is>
      </c>
      <c r="K94" s="44" t="inlineStr">
        <is>
          <t>Sanjay Verma</t>
        </is>
      </c>
    </row>
    <row r="95" ht="15" customHeight="1" s="39">
      <c r="A95" s="44" t="inlineStr">
        <is>
          <t>BPC/26-27/00155</t>
        </is>
      </c>
      <c r="B95" s="61" t="n">
        <v>46249</v>
      </c>
      <c r="C95" s="44" t="inlineStr">
        <is>
          <t>Orion Aftermarket Distributors</t>
        </is>
      </c>
      <c r="D95" s="44" t="inlineStr">
        <is>
          <t>West</t>
        </is>
      </c>
      <c r="E95" s="44" t="inlineStr">
        <is>
          <t>Aftermarket</t>
        </is>
      </c>
      <c r="F95" s="44" t="n">
        <v>585</v>
      </c>
      <c r="G95" s="55" t="n">
        <v>3860766</v>
      </c>
      <c r="H95" s="55" t="n">
        <v>694938</v>
      </c>
      <c r="I95" s="44" t="inlineStr">
        <is>
          <t>Rs. 45,55,704</t>
        </is>
      </c>
      <c r="J95" s="44" t="inlineStr">
        <is>
          <t>90 DAYS</t>
        </is>
      </c>
      <c r="K95" s="44" t="inlineStr">
        <is>
          <t>Sanjay Verma</t>
        </is>
      </c>
    </row>
    <row r="96" ht="15" customHeight="1" s="39">
      <c r="A96" s="44" t="inlineStr">
        <is>
          <t>BPC/26-27/00156</t>
        </is>
      </c>
      <c r="B96" s="44" t="inlineStr">
        <is>
          <t>15-Aug-2026</t>
        </is>
      </c>
      <c r="C96" s="44" t="inlineStr">
        <is>
          <t>Marathwada Commercial Vehicles Ltd</t>
        </is>
      </c>
      <c r="D96" s="44" t="inlineStr">
        <is>
          <t>West</t>
        </is>
      </c>
      <c r="E96" s="44" t="inlineStr">
        <is>
          <t>Automotive Castings</t>
        </is>
      </c>
      <c r="F96" s="44" t="n">
        <v>1284</v>
      </c>
      <c r="G96" s="55" t="n">
        <v>2500000</v>
      </c>
      <c r="H96" s="55" t="n">
        <v>450000</v>
      </c>
      <c r="I96" s="55" t="n">
        <v>2950000</v>
      </c>
      <c r="J96" s="44" t="inlineStr">
        <is>
          <t>30 days</t>
        </is>
      </c>
      <c r="K96" s="44" t="inlineStr">
        <is>
          <t>Amit Deshmukh</t>
        </is>
      </c>
    </row>
    <row r="97" ht="15" customHeight="1" s="39">
      <c r="A97" s="44" t="inlineStr">
        <is>
          <t>BPC/26-27/00157</t>
        </is>
      </c>
      <c r="B97" s="44" t="inlineStr">
        <is>
          <t>16-Aug-2026</t>
        </is>
      </c>
      <c r="C97" s="44" t="inlineStr">
        <is>
          <t>Kaveri Engineering Works Pvt Ltd</t>
        </is>
      </c>
      <c r="D97" s="44" t="inlineStr">
        <is>
          <t>South</t>
        </is>
      </c>
      <c r="E97" s="44" t="inlineStr">
        <is>
          <t>Precision Machined Parts</t>
        </is>
      </c>
      <c r="F97" s="44" t="n">
        <v>2201</v>
      </c>
      <c r="G97" s="55" t="n">
        <v>8527554</v>
      </c>
      <c r="H97" s="55" t="n">
        <v>1534960</v>
      </c>
      <c r="I97" s="44" t="inlineStr">
        <is>
          <t>Rs. 1,00,62,514</t>
        </is>
      </c>
      <c r="J97" s="44" t="inlineStr">
        <is>
          <t>45 days</t>
        </is>
      </c>
      <c r="K97" s="44" t="inlineStr">
        <is>
          <t>Vikram Singh</t>
        </is>
      </c>
    </row>
    <row r="98" ht="15" customHeight="1" s="39">
      <c r="A98" s="44" t="inlineStr">
        <is>
          <t>BPC/26-27/00158</t>
        </is>
      </c>
      <c r="B98" s="61" t="n">
        <v>46251</v>
      </c>
      <c r="C98" s="44" t="inlineStr">
        <is>
          <t>Marathwada Commercial Vehicles Ltd</t>
        </is>
      </c>
      <c r="D98" s="44" t="inlineStr">
        <is>
          <t>West</t>
        </is>
      </c>
      <c r="E98" s="44" t="inlineStr">
        <is>
          <t>Automotive Castings</t>
        </is>
      </c>
      <c r="F98" s="44" t="n">
        <v>1564</v>
      </c>
      <c r="G98" s="55" t="n">
        <v>3100753</v>
      </c>
      <c r="H98" s="55" t="n">
        <v>558136</v>
      </c>
      <c r="I98" s="55" t="n">
        <v>3658889</v>
      </c>
      <c r="J98" s="44" t="inlineStr">
        <is>
          <t>45 days</t>
        </is>
      </c>
      <c r="K98" s="44" t="inlineStr">
        <is>
          <t>Kavita Rao</t>
        </is>
      </c>
    </row>
    <row r="99" ht="15" customHeight="1" s="39">
      <c r="A99" s="44" t="inlineStr">
        <is>
          <t>BPC/26-27/00159</t>
        </is>
      </c>
      <c r="B99" s="44" t="inlineStr">
        <is>
          <t>18-Aug-2026</t>
        </is>
      </c>
      <c r="C99" s="44" t="inlineStr">
        <is>
          <t>Marathwada Commercial Vehicles Limited</t>
        </is>
      </c>
      <c r="D99" s="44" t="inlineStr">
        <is>
          <t>west</t>
        </is>
      </c>
      <c r="E99" s="44" t="inlineStr">
        <is>
          <t>Auto Castings</t>
        </is>
      </c>
      <c r="F99" s="44" t="n">
        <v>1304</v>
      </c>
      <c r="G99" s="55" t="n">
        <v>2500000</v>
      </c>
      <c r="H99" s="55" t="n">
        <v>450000</v>
      </c>
      <c r="I99" s="44" t="inlineStr">
        <is>
          <t>Rs. 29,50,000</t>
        </is>
      </c>
      <c r="J99" s="44" t="inlineStr">
        <is>
          <t>Net 30</t>
        </is>
      </c>
      <c r="K99" s="44" t="inlineStr">
        <is>
          <t>Sunita Joshi</t>
        </is>
      </c>
    </row>
    <row r="100" ht="15" customHeight="1" s="39">
      <c r="A100" s="44" t="inlineStr">
        <is>
          <t>BPC/26-27/00160</t>
        </is>
      </c>
      <c r="B100" s="44" t="inlineStr">
        <is>
          <t>19/08/2026</t>
        </is>
      </c>
      <c r="C100" s="44" t="inlineStr">
        <is>
          <t>Utkal Fertilisers &amp; Chemicals Ltd</t>
        </is>
      </c>
      <c r="D100" s="44" t="inlineStr">
        <is>
          <t>East</t>
        </is>
      </c>
      <c r="E100" s="44" t="inlineStr">
        <is>
          <t>Valves</t>
        </is>
      </c>
      <c r="F100" s="44" t="n">
        <v>184</v>
      </c>
      <c r="G100" s="55" t="n">
        <v>4613508</v>
      </c>
      <c r="H100" s="55" t="n">
        <v>830431</v>
      </c>
      <c r="I100" s="55" t="n">
        <v>5443939</v>
      </c>
      <c r="J100" s="44" t="inlineStr">
        <is>
          <t>30 days</t>
        </is>
      </c>
      <c r="K100" s="44" t="inlineStr">
        <is>
          <t>Priya Nair</t>
        </is>
      </c>
    </row>
    <row r="101" ht="15" customHeight="1" s="39">
      <c r="A101" s="44" t="inlineStr">
        <is>
          <t>BPC/26-27/00161</t>
        </is>
      </c>
      <c r="B101" s="61" t="n">
        <v>46253</v>
      </c>
      <c r="C101" s="44" t="inlineStr">
        <is>
          <t>Marathwada Commercial Vehicles Ltd</t>
        </is>
      </c>
      <c r="D101" s="44" t="inlineStr">
        <is>
          <t>West</t>
        </is>
      </c>
      <c r="E101" s="44" t="inlineStr">
        <is>
          <t>Automotive Castings</t>
        </is>
      </c>
      <c r="F101" s="44" t="n">
        <v>4848</v>
      </c>
      <c r="G101" s="55" t="n">
        <v>9036038</v>
      </c>
      <c r="H101" s="55" t="n">
        <v>1626487</v>
      </c>
      <c r="I101" s="44" t="inlineStr">
        <is>
          <t>Rs. 1,06,62,525</t>
        </is>
      </c>
      <c r="J101" s="44" t="inlineStr">
        <is>
          <t>Net 30</t>
        </is>
      </c>
      <c r="K101" s="44" t="inlineStr">
        <is>
          <t>Rohit Mehta</t>
        </is>
      </c>
    </row>
    <row r="102" ht="15" customHeight="1" s="39">
      <c r="A102" s="44" t="inlineStr">
        <is>
          <t>BPC/26-27/00162</t>
        </is>
      </c>
      <c r="B102" s="61" t="n">
        <v>46253</v>
      </c>
      <c r="C102" s="44" t="inlineStr">
        <is>
          <t>Ganga Petrochem Ltd</t>
        </is>
      </c>
      <c r="D102" s="44" t="inlineStr">
        <is>
          <t>East</t>
        </is>
      </c>
      <c r="E102" s="44" t="inlineStr">
        <is>
          <t>Valves</t>
        </is>
      </c>
      <c r="F102" s="44" t="n">
        <v>916</v>
      </c>
      <c r="G102" s="44" t="inlineStr">
        <is>
          <t>22011083.00</t>
        </is>
      </c>
      <c r="H102" s="55" t="n">
        <v>3961995</v>
      </c>
      <c r="I102" s="55" t="n">
        <v>25973078</v>
      </c>
      <c r="J102" s="44" t="inlineStr">
        <is>
          <t>LC at sight</t>
        </is>
      </c>
      <c r="K102" s="44" t="inlineStr">
        <is>
          <t>Sanjay Verma</t>
        </is>
      </c>
    </row>
    <row r="103" ht="15" customHeight="1" s="39">
      <c r="A103" s="44" t="inlineStr">
        <is>
          <t>BPC/26-27/00163</t>
        </is>
      </c>
      <c r="B103" s="61" t="n">
        <v>46258</v>
      </c>
      <c r="C103" s="44" t="inlineStr">
        <is>
          <t>NorthStar Pumps Pvt Ltd</t>
        </is>
      </c>
      <c r="D103" s="44" t="inlineStr">
        <is>
          <t xml:space="preserve">WEST </t>
        </is>
      </c>
      <c r="E103" s="44" t="inlineStr">
        <is>
          <t>Industrial Valves</t>
        </is>
      </c>
      <c r="F103" s="44" t="n">
        <v>406</v>
      </c>
      <c r="G103" s="55" t="n">
        <v>10681896</v>
      </c>
      <c r="H103" s="55" t="n">
        <v>1922741</v>
      </c>
      <c r="I103" s="44" t="inlineStr">
        <is>
          <t>Rs. 1,26,04,637</t>
        </is>
      </c>
      <c r="J103" s="44" t="inlineStr">
        <is>
          <t>LC at sight</t>
        </is>
      </c>
      <c r="K103" s="44" t="inlineStr">
        <is>
          <t>Sanjay Verma</t>
        </is>
      </c>
    </row>
    <row r="104" ht="15" customHeight="1" s="39">
      <c r="A104" s="44" t="inlineStr">
        <is>
          <t>BPC/26-27/00164</t>
        </is>
      </c>
      <c r="B104" s="61" t="n">
        <v>46258</v>
      </c>
      <c r="C104" s="44" t="inlineStr">
        <is>
          <t>Vahan Auto Industries Ltd</t>
        </is>
      </c>
      <c r="D104" s="44" t="inlineStr">
        <is>
          <t>North</t>
        </is>
      </c>
      <c r="E104" s="44" t="inlineStr">
        <is>
          <t>Automotive Castings</t>
        </is>
      </c>
      <c r="F104" s="44" t="n">
        <v>4617</v>
      </c>
      <c r="G104" s="55" t="n">
        <v>8972653</v>
      </c>
      <c r="H104" s="55" t="n">
        <v>1615078</v>
      </c>
      <c r="I104" s="44" t="inlineStr">
        <is>
          <t>Rs. 1,05,87,731</t>
        </is>
      </c>
      <c r="J104" s="44" t="inlineStr">
        <is>
          <t>45 days</t>
        </is>
      </c>
      <c r="K104" s="44" t="inlineStr">
        <is>
          <t>Sanjay Verma</t>
        </is>
      </c>
    </row>
    <row r="105">
      <c r="A105" s="44" t="inlineStr">
        <is>
          <t>BPC/26-27/00165</t>
        </is>
      </c>
      <c r="B105" s="61" t="n">
        <v>46259</v>
      </c>
      <c r="C105" s="44" t="inlineStr">
        <is>
          <t>Kaveri Engineering Works Pvt Ltd</t>
        </is>
      </c>
      <c r="E105" s="44" t="inlineStr">
        <is>
          <t>Precision Machined Parts</t>
        </is>
      </c>
      <c r="F105" s="44" t="n">
        <v>1874</v>
      </c>
      <c r="G105" s="55" t="n">
        <v>6756787</v>
      </c>
      <c r="H105" s="44" t="inlineStr">
        <is>
          <t>Rs. 12,16,222</t>
        </is>
      </c>
      <c r="I105" s="55" t="n">
        <v>7973009</v>
      </c>
      <c r="J105" s="44" t="inlineStr">
        <is>
          <t>LC at sight</t>
        </is>
      </c>
      <c r="K105" s="44" t="inlineStr">
        <is>
          <t>Amit Deshmukh</t>
        </is>
      </c>
    </row>
    <row r="106" ht="15" customHeight="1" s="39">
      <c r="A106" s="44" t="inlineStr">
        <is>
          <t>BPC/26-27/00166</t>
        </is>
      </c>
      <c r="B106" s="61" t="n">
        <v>46260</v>
      </c>
      <c r="C106" s="44" t="inlineStr">
        <is>
          <t>Shakti Tractors &amp; Farm Equipment Ltd</t>
        </is>
      </c>
      <c r="D106" s="44" t="inlineStr">
        <is>
          <t>North</t>
        </is>
      </c>
      <c r="E106" s="44" t="inlineStr">
        <is>
          <t>Automotive Castings</t>
        </is>
      </c>
      <c r="F106" s="44" t="n">
        <v>2256</v>
      </c>
      <c r="G106" s="55" t="n">
        <v>3897934</v>
      </c>
      <c r="H106" s="55" t="n">
        <v>701628</v>
      </c>
      <c r="I106" s="44" t="inlineStr">
        <is>
          <t>Rs. 45,99,562</t>
        </is>
      </c>
      <c r="J106" s="44" t="inlineStr">
        <is>
          <t>90 DAYS</t>
        </is>
      </c>
      <c r="K106" s="44" t="inlineStr">
        <is>
          <t>Sanjay Verma</t>
        </is>
      </c>
    </row>
    <row r="107" ht="15" customHeight="1" s="39">
      <c r="A107" s="44" t="inlineStr">
        <is>
          <t>BPC/26-27/00167</t>
        </is>
      </c>
      <c r="B107" s="61" t="n">
        <v>46264</v>
      </c>
      <c r="C107" s="44" t="inlineStr">
        <is>
          <t>Southern Spares &amp; Service Co</t>
        </is>
      </c>
      <c r="D107" s="44" t="inlineStr">
        <is>
          <t>South</t>
        </is>
      </c>
      <c r="E107" s="44" t="inlineStr">
        <is>
          <t>Aftermarket &amp; Services</t>
        </is>
      </c>
      <c r="F107" s="44" t="n">
        <v>1182</v>
      </c>
      <c r="G107" s="55" t="n">
        <v>7244250</v>
      </c>
      <c r="H107" s="44" t="inlineStr">
        <is>
          <t>1303965.00</t>
        </is>
      </c>
      <c r="I107" s="55" t="n">
        <v>8548215</v>
      </c>
      <c r="J107" s="44" t="inlineStr">
        <is>
          <t>45 days</t>
        </is>
      </c>
      <c r="K107" s="44" t="inlineStr">
        <is>
          <t>Priya Nair</t>
        </is>
      </c>
    </row>
    <row r="108" ht="15" customHeight="1" s="39">
      <c r="A108" s="44" t="inlineStr">
        <is>
          <t>BPC/26-27/00168</t>
        </is>
      </c>
      <c r="B108" s="61" t="n">
        <v>46265</v>
      </c>
      <c r="C108" s="44" t="inlineStr">
        <is>
          <t>Marathwada Commercial Vehicles Limited</t>
        </is>
      </c>
      <c r="D108" s="44" t="inlineStr">
        <is>
          <t>West</t>
        </is>
      </c>
      <c r="E108" s="44" t="inlineStr">
        <is>
          <t>Automotive Castings</t>
        </is>
      </c>
      <c r="F108" s="44" t="n">
        <v>4440</v>
      </c>
      <c r="G108" s="55" t="n">
        <v>7785221</v>
      </c>
      <c r="H108" s="55" t="n">
        <v>1401340</v>
      </c>
      <c r="I108" s="44" t="inlineStr">
        <is>
          <t>Rs. 91,86,561</t>
        </is>
      </c>
      <c r="J108" s="44" t="inlineStr">
        <is>
          <t>45 days</t>
        </is>
      </c>
      <c r="K108" s="44" t="inlineStr">
        <is>
          <t>Anil Kumar</t>
        </is>
      </c>
    </row>
    <row r="109" ht="15" customHeight="1" s="39">
      <c r="A109" s="44" t="inlineStr">
        <is>
          <t>BPC/26-27/00169</t>
        </is>
      </c>
      <c r="B109" s="61" t="n">
        <v>46265</v>
      </c>
      <c r="C109" s="44" t="inlineStr">
        <is>
          <t>Shakti Tractors &amp; Farm Equipment Ltd</t>
        </is>
      </c>
      <c r="D109" s="44" t="inlineStr">
        <is>
          <t>North</t>
        </is>
      </c>
      <c r="E109" s="44" t="inlineStr">
        <is>
          <t>Automotive Castings</t>
        </is>
      </c>
      <c r="F109" s="44" t="n">
        <v>3485</v>
      </c>
      <c r="G109" s="55" t="n">
        <v>6086779</v>
      </c>
      <c r="H109" s="55" t="n">
        <v>1095620</v>
      </c>
      <c r="I109" s="44" t="inlineStr">
        <is>
          <t>7182399.00</t>
        </is>
      </c>
      <c r="J109" s="44" t="inlineStr">
        <is>
          <t>30 days</t>
        </is>
      </c>
      <c r="K109" s="44" t="inlineStr">
        <is>
          <t>Vikram Singh</t>
        </is>
      </c>
    </row>
    <row r="110" ht="15" customHeight="1" s="39">
      <c r="A110" s="46" t="inlineStr">
        <is>
          <t>Grand Total (3 selected periods; raw invoice rows)</t>
        </is>
      </c>
      <c r="B110" s="46" t="n"/>
      <c r="C110" s="46" t="n"/>
      <c r="D110" s="46" t="n"/>
      <c r="E110" s="46" t="n"/>
      <c r="F110" s="46" t="n"/>
      <c r="G110" s="46" t="n"/>
      <c r="H110" s="46" t="n"/>
      <c r="I110" s="46" t="n">
        <v>845410203</v>
      </c>
      <c r="J110" s="46" t="n"/>
      <c r="K110" s="46" t="n"/>
    </row>
    <row r="111" ht="15" customHeight="1" s="39"/>
    <row r="112" ht="15" customHeight="1" s="39"/>
    <row r="113" ht="15" customHeight="1" s="39"/>
    <row r="114" ht="15" customHeight="1" s="39"/>
    <row r="115" ht="15" customHeight="1" s="39"/>
    <row r="116" ht="15" customHeight="1" s="39"/>
    <row r="117" ht="15" customHeight="1" s="39"/>
    <row r="118" ht="15" customHeight="1" s="39"/>
    <row r="119" ht="15" customHeight="1" s="39"/>
    <row r="120" ht="15" customHeight="1" s="39"/>
    <row r="121" ht="15" customHeight="1" s="39"/>
    <row r="122" ht="15" customHeight="1" s="39"/>
    <row r="123" ht="15" customHeight="1" s="39"/>
    <row r="124" ht="15" customHeight="1" s="39"/>
    <row r="125" ht="15" customHeight="1" s="39"/>
    <row r="126" ht="15" customHeight="1" s="39"/>
    <row r="127" ht="15" customHeight="1" s="39"/>
    <row r="128" ht="15" customHeight="1" s="39"/>
    <row r="129" ht="15" customHeight="1" s="39"/>
    <row r="130" ht="15" customHeight="1" s="39"/>
    <row r="131" ht="15" customHeight="1" s="39"/>
    <row r="132" ht="15" customHeight="1" s="39"/>
    <row r="133" ht="15" customHeight="1" s="39"/>
    <row r="134" ht="15" customHeight="1" s="39"/>
    <row r="135" ht="15" customHeight="1" s="39"/>
    <row r="136" ht="15" customHeight="1" s="39"/>
    <row r="137" ht="15" customHeight="1" s="39"/>
    <row r="138" ht="15" customHeight="1" s="39"/>
    <row r="139" ht="15" customHeight="1" s="39"/>
    <row r="140" ht="15" customHeight="1" s="39"/>
    <row r="141" ht="15" customHeight="1" s="39"/>
    <row r="142" ht="15" customHeight="1" s="39"/>
    <row r="143" ht="15" customHeight="1" s="39"/>
    <row r="144" ht="15" customHeight="1" s="39"/>
    <row r="145" ht="15" customHeight="1" s="39"/>
    <row r="146" ht="15" customHeight="1" s="39"/>
    <row r="147" ht="15" customHeight="1" s="39"/>
    <row r="148" ht="15" customHeight="1" s="39"/>
    <row r="149" ht="15" customHeight="1" s="39"/>
    <row r="150" ht="15" customHeight="1" s="39"/>
    <row r="151" ht="15" customHeight="1" s="39"/>
    <row r="152" ht="15" customHeight="1" s="39"/>
    <row r="153" ht="15" customHeight="1" s="39"/>
    <row r="154" ht="15" customHeight="1" s="39"/>
    <row r="155" ht="15" customHeight="1" s="39"/>
    <row r="157" ht="15" customHeight="1" s="39"/>
    <row r="158" ht="15" customHeight="1" s="39"/>
    <row r="159" ht="15" customHeight="1" s="39"/>
    <row r="160" ht="15" customHeight="1" s="39"/>
    <row r="161" ht="15" customHeight="1" s="39"/>
    <row r="162" ht="15" customHeight="1" s="39"/>
    <row r="163" ht="15" customHeight="1" s="39"/>
    <row r="164" ht="15" customHeight="1" s="39"/>
    <row r="165" ht="15" customHeight="1" s="39"/>
    <row r="166" ht="15" customHeight="1" s="39"/>
    <row r="167" ht="15" customHeight="1" s="39"/>
    <row r="168" ht="15" customHeight="1" s="39"/>
    <row r="169" ht="15" customHeight="1" s="39"/>
    <row r="170" ht="15" customHeight="1" s="39"/>
    <row r="171" ht="15" customHeight="1" s="39"/>
    <row r="172" ht="15" customHeight="1" s="39"/>
    <row r="173" ht="15" customHeight="1" s="39"/>
    <row r="174" ht="15" customHeight="1" s="39"/>
    <row r="175" ht="15" customHeight="1" s="39"/>
    <row r="176" ht="15" customHeight="1" s="39"/>
    <row r="177" ht="15" customHeight="1" s="39"/>
    <row r="178" ht="15" customHeight="1" s="39"/>
    <row r="179" ht="15" customHeight="1" s="39"/>
    <row r="180" ht="15" customHeight="1" s="39"/>
    <row r="181" ht="15" customHeight="1" s="39"/>
    <row r="182" ht="15" customHeight="1" s="39"/>
    <row r="183" ht="15" customHeight="1" s="39"/>
    <row r="184" ht="15" customHeight="1" s="39"/>
    <row r="185" ht="15" customHeight="1" s="39"/>
    <row r="186" ht="15" customHeight="1" s="39"/>
    <row r="187" ht="15" customHeight="1" s="39"/>
    <row r="188" ht="15" customHeight="1" s="39"/>
    <row r="189" ht="15" customHeight="1" s="39"/>
    <row r="190" ht="15" customHeight="1" s="39"/>
    <row r="191" ht="15" customHeight="1" s="39"/>
    <row r="192" ht="15" customHeight="1" s="39"/>
    <row r="193" ht="15" customHeight="1" s="39"/>
    <row r="194" ht="15" customHeight="1" s="39"/>
    <row r="195" ht="15" customHeight="1" s="39"/>
    <row r="196" ht="15" customHeight="1" s="39"/>
    <row r="197" ht="15" customHeight="1" s="39"/>
    <row r="198" ht="15" customHeight="1" s="39"/>
    <row r="199" ht="15" customHeight="1" s="39"/>
    <row r="200" ht="15" customHeight="1" s="39"/>
    <row r="201" ht="15" customHeight="1" s="39"/>
    <row r="202" ht="15" customHeight="1" s="39"/>
    <row r="203" ht="15" customHeight="1" s="39"/>
    <row r="204" ht="15" customHeight="1" s="39"/>
    <row r="205" ht="15" customHeight="1" s="39"/>
    <row r="206" ht="15" customHeight="1" s="39"/>
    <row r="208" ht="15" customHeight="1" s="39"/>
    <row r="209" ht="15" customHeight="1" s="39"/>
    <row r="210" ht="15" customHeight="1" s="39"/>
    <row r="211" ht="15" customHeight="1" s="39"/>
    <row r="212" ht="15" customHeight="1" s="39"/>
    <row r="213" ht="15" customHeight="1" s="39"/>
    <row r="214" ht="15" customHeight="1" s="39"/>
    <row r="215" ht="15" customHeight="1" s="39"/>
    <row r="216" ht="15" customHeight="1" s="39"/>
    <row r="217" ht="15" customHeight="1" s="39"/>
    <row r="218" ht="15" customHeight="1" s="39"/>
    <row r="219" ht="15" customHeight="1" s="39"/>
    <row r="220" ht="15" customHeight="1" s="39"/>
    <row r="221" ht="15" customHeight="1" s="39"/>
    <row r="222" ht="15" customHeight="1" s="39"/>
    <row r="223" ht="15" customHeight="1" s="39"/>
    <row r="224" ht="15" customHeight="1" s="39"/>
    <row r="225" ht="15" customHeight="1" s="39"/>
    <row r="226" ht="15" customHeight="1" s="39"/>
    <row r="227" ht="15" customHeight="1" s="39"/>
    <row r="228" ht="15" customHeight="1" s="39"/>
    <row r="229" ht="15" customHeight="1" s="39"/>
    <row r="230" ht="15" customHeight="1" s="39"/>
    <row r="231" ht="15" customHeight="1" s="39"/>
    <row r="232" ht="15" customHeight="1" s="39"/>
    <row r="233" ht="15" customHeight="1" s="39"/>
    <row r="234" ht="15" customHeight="1" s="39"/>
    <row r="235" ht="15" customHeight="1" s="39"/>
    <row r="236" ht="15" customHeight="1" s="39"/>
    <row r="237" ht="15" customHeight="1" s="39"/>
    <row r="238" ht="15" customHeight="1" s="39"/>
    <row r="239" ht="15" customHeight="1" s="39"/>
    <row r="240" ht="15" customHeight="1" s="39"/>
    <row r="241" ht="15" customHeight="1" s="39"/>
    <row r="242" ht="15" customHeight="1" s="39"/>
    <row r="243" ht="15" customHeight="1" s="39"/>
    <row r="244" ht="15" customHeight="1" s="39"/>
    <row r="245" ht="15" customHeight="1" s="39"/>
    <row r="246" ht="15" customHeight="1" s="39"/>
    <row r="247" ht="15" customHeight="1" s="39"/>
    <row r="248" ht="15" customHeight="1" s="39"/>
    <row r="249" ht="15" customHeight="1" s="39"/>
    <row r="250" ht="15" customHeight="1" s="39"/>
    <row r="251" ht="15" customHeight="1" s="39"/>
    <row r="252" ht="15" customHeight="1" s="39"/>
    <row r="253" ht="15" customHeight="1" s="39"/>
    <row r="254" ht="15" customHeight="1" s="39"/>
    <row r="255" ht="15" customHeight="1" s="39"/>
    <row r="256" ht="15" customHeight="1" s="39"/>
    <row r="257" ht="15" customHeight="1" s="39"/>
    <row r="259" ht="15" customHeight="1" s="39"/>
    <row r="260" ht="15" customHeight="1" s="39"/>
    <row r="261" ht="15" customHeight="1" s="39"/>
    <row r="262" ht="15" customHeight="1" s="39"/>
    <row r="263" ht="15" customHeight="1" s="39"/>
    <row r="264" ht="15" customHeight="1" s="39"/>
    <row r="265" ht="15" customHeight="1" s="39"/>
    <row r="266" ht="15" customHeight="1" s="39"/>
    <row r="267" ht="15" customHeight="1" s="39"/>
    <row r="268" ht="15" customHeight="1" s="39"/>
    <row r="269" ht="15" customHeight="1" s="39"/>
    <row r="270" ht="15" customHeight="1" s="39"/>
    <row r="271" ht="15" customHeight="1" s="39"/>
    <row r="272" ht="15" customHeight="1" s="39"/>
    <row r="273" ht="15" customHeight="1" s="39"/>
    <row r="274" ht="15" customHeight="1" s="39"/>
    <row r="275" ht="15" customHeight="1" s="39"/>
    <row r="276" ht="15" customHeight="1" s="39"/>
    <row r="277" ht="15" customHeight="1" s="39"/>
    <row r="278" ht="15" customHeight="1" s="39"/>
    <row r="279" ht="15" customHeight="1" s="39"/>
    <row r="280" ht="15" customHeight="1" s="39"/>
    <row r="281" ht="15" customHeight="1" s="39"/>
    <row r="282" ht="15" customHeight="1" s="39"/>
    <row r="283" ht="15" customHeight="1" s="39"/>
    <row r="284" ht="15" customHeight="1" s="39"/>
    <row r="285" ht="15" customHeight="1" s="39"/>
    <row r="286" ht="15" customHeight="1" s="39"/>
    <row r="287" ht="15" customHeight="1" s="39"/>
    <row r="288" ht="15" customHeight="1" s="39"/>
    <row r="289" ht="15" customHeight="1" s="39"/>
    <row r="290" ht="15" customHeight="1" s="39"/>
    <row r="291" ht="15" customHeight="1" s="39"/>
    <row r="292" ht="15" customHeight="1" s="39"/>
    <row r="293" ht="15" customHeight="1" s="39"/>
    <row r="294" ht="15" customHeight="1" s="39"/>
    <row r="295" ht="15" customHeight="1" s="39"/>
    <row r="296" ht="15" customHeight="1" s="39"/>
    <row r="297" ht="15" customHeight="1" s="39"/>
    <row r="298" ht="15" customHeight="1" s="39"/>
    <row r="299" ht="15" customHeight="1" s="39"/>
    <row r="300" ht="15" customHeight="1" s="39"/>
    <row r="301" ht="15" customHeight="1" s="39"/>
    <row r="302" ht="15" customHeight="1" s="39"/>
    <row r="303" ht="15" customHeight="1" s="39"/>
    <row r="304" ht="15" customHeight="1" s="39"/>
    <row r="305" ht="15" customHeight="1" s="39"/>
    <row r="306" ht="15" customHeight="1" s="39"/>
    <row r="307" ht="15" customHeight="1" s="39"/>
    <row r="308" ht="15" customHeight="1" s="39"/>
    <row r="310" ht="15" customHeight="1" s="39"/>
    <row r="311" ht="15" customHeight="1" s="39"/>
    <row r="312" ht="15" customHeight="1" s="39"/>
    <row r="313" ht="15" customHeight="1" s="39"/>
    <row r="314" ht="15" customHeight="1" s="39"/>
    <row r="315" ht="15" customHeight="1" s="39"/>
    <row r="316" ht="15" customHeight="1" s="39"/>
    <row r="317" ht="15" customHeight="1" s="39"/>
    <row r="318" ht="15" customHeight="1" s="39"/>
    <row r="319" ht="15" customHeight="1" s="39"/>
    <row r="320" ht="15" customHeight="1" s="39"/>
    <row r="321" ht="15" customHeight="1" s="39"/>
    <row r="322" ht="15" customHeight="1" s="39"/>
    <row r="323" ht="15" customHeight="1" s="39"/>
    <row r="324" ht="15" customHeight="1" s="39"/>
    <row r="325" ht="15" customHeight="1" s="39"/>
    <row r="326" ht="15" customHeight="1" s="39"/>
    <row r="327" ht="15" customHeight="1" s="39"/>
    <row r="328" ht="15" customHeight="1" s="39"/>
    <row r="329" ht="15" customHeight="1" s="39"/>
    <row r="330" ht="15" customHeight="1" s="39"/>
    <row r="331" ht="15" customHeight="1" s="39"/>
    <row r="332" ht="15" customHeight="1" s="39"/>
    <row r="333" ht="15" customHeight="1" s="39"/>
    <row r="334" ht="15" customHeight="1" s="39"/>
    <row r="335" ht="15" customHeight="1" s="39"/>
    <row r="336" ht="15" customHeight="1" s="39"/>
    <row r="337" ht="15" customHeight="1" s="39"/>
    <row r="338" ht="15" customHeight="1" s="39"/>
    <row r="339" ht="15" customHeight="1" s="39"/>
    <row r="340" ht="15" customHeight="1" s="39"/>
    <row r="341" ht="15" customHeight="1" s="39"/>
    <row r="342" ht="15" customHeight="1" s="39"/>
    <row r="343" ht="15" customHeight="1" s="39"/>
    <row r="344" ht="15" customHeight="1" s="39"/>
    <row r="345" ht="15" customHeight="1" s="39"/>
    <row r="346" ht="15" customHeight="1" s="39"/>
    <row r="347" ht="15" customHeight="1" s="39"/>
    <row r="348" ht="15" customHeight="1" s="39"/>
    <row r="349" ht="15" customHeight="1" s="39"/>
    <row r="350" ht="15" customHeight="1" s="39"/>
    <row r="351" ht="15" customHeight="1" s="39"/>
    <row r="352" ht="15" customHeight="1" s="39"/>
    <row r="353" ht="15" customHeight="1" s="39"/>
    <row r="354" ht="15" customHeight="1" s="39"/>
    <row r="355" ht="15" customHeight="1" s="39"/>
    <row r="356" ht="15" customHeight="1" s="39"/>
    <row r="357" ht="15" customHeight="1" s="39"/>
    <row r="358" ht="15" customHeight="1" s="39"/>
    <row r="359" ht="15" customHeight="1" s="39"/>
    <row r="361" ht="15" customHeight="1" s="39"/>
    <row r="362" ht="15" customHeight="1" s="39"/>
    <row r="363" ht="15" customHeight="1" s="39"/>
    <row r="364" ht="15" customHeight="1" s="39"/>
    <row r="365" ht="15" customHeight="1" s="39"/>
    <row r="366" ht="15" customHeight="1" s="39"/>
    <row r="367" ht="15" customHeight="1" s="39"/>
    <row r="368" ht="15" customHeight="1" s="39"/>
    <row r="369" ht="15" customHeight="1" s="39"/>
    <row r="370" ht="15" customHeight="1" s="39"/>
    <row r="371" ht="15" customHeight="1" s="39"/>
    <row r="372" ht="15" customHeight="1" s="39"/>
    <row r="373" ht="15" customHeight="1" s="39"/>
    <row r="374" ht="15" customHeight="1" s="39"/>
    <row r="375" ht="15" customHeight="1" s="39"/>
    <row r="376" ht="15" customHeight="1" s="39"/>
    <row r="377" ht="15" customHeight="1" s="39"/>
    <row r="378" ht="15" customHeight="1" s="39"/>
    <row r="379" ht="15" customHeight="1" s="39"/>
    <row r="380" ht="15" customHeight="1" s="39"/>
    <row r="381" ht="15" customHeight="1" s="39"/>
    <row r="382" ht="15" customHeight="1" s="39"/>
    <row r="383" ht="15" customHeight="1" s="39"/>
    <row r="384" ht="15" customHeight="1" s="39"/>
    <row r="385" ht="15" customHeight="1" s="39"/>
    <row r="386" ht="15" customHeight="1" s="39"/>
    <row r="387" ht="15" customHeight="1" s="39"/>
    <row r="388" ht="15" customHeight="1" s="39"/>
    <row r="389" ht="15" customHeight="1" s="39"/>
    <row r="390" ht="15" customHeight="1" s="39"/>
    <row r="391" ht="15" customHeight="1" s="39"/>
    <row r="392" ht="15" customHeight="1" s="39"/>
    <row r="393" ht="15" customHeight="1" s="39"/>
    <row r="394" ht="15" customHeight="1" s="39"/>
    <row r="395" ht="15" customHeight="1" s="39"/>
    <row r="396" ht="15" customHeight="1" s="39"/>
    <row r="397" ht="15" customHeight="1" s="39"/>
    <row r="398" ht="15" customHeight="1" s="39"/>
    <row r="399" ht="15" customHeight="1" s="39"/>
    <row r="400" ht="15" customHeight="1" s="39"/>
    <row r="401" ht="15" customHeight="1" s="39"/>
    <row r="402" ht="15" customHeight="1" s="39"/>
    <row r="403" ht="15" customHeight="1" s="39"/>
    <row r="404" ht="15" customHeight="1" s="39"/>
    <row r="405" ht="15" customHeight="1" s="39"/>
    <row r="406" ht="15" customHeight="1" s="39"/>
    <row r="407" ht="15" customHeight="1" s="39"/>
    <row r="408" ht="15" customHeight="1" s="39"/>
    <row r="409" ht="15" customHeight="1" s="39"/>
    <row r="410" ht="15" customHeight="1" s="39"/>
    <row r="412" ht="15" customHeight="1" s="39"/>
    <row r="413" ht="15" customHeight="1" s="39"/>
    <row r="414" ht="15" customHeight="1" s="39"/>
    <row r="415" ht="15" customHeight="1" s="39"/>
    <row r="416" ht="15" customHeight="1" s="39"/>
    <row r="417" ht="15" customHeight="1" s="39"/>
    <row r="418" ht="15" customHeight="1" s="39"/>
    <row r="419" ht="15" customHeight="1" s="39"/>
    <row r="420" ht="15" customHeight="1" s="39"/>
    <row r="421" ht="15" customHeight="1" s="39"/>
    <row r="422" ht="15" customHeight="1" s="39"/>
    <row r="423" ht="15" customHeight="1" s="39"/>
    <row r="424" ht="15" customHeight="1" s="39"/>
    <row r="425" ht="15" customHeight="1" s="39"/>
    <row r="426" ht="15" customHeight="1" s="39"/>
    <row r="427" ht="15" customHeight="1" s="39"/>
    <row r="428" ht="15" customHeight="1" s="39"/>
    <row r="429" ht="15" customHeight="1" s="39"/>
    <row r="430" ht="15" customHeight="1" s="39"/>
    <row r="431" ht="15" customHeight="1" s="39"/>
    <row r="432" ht="15" customHeight="1" s="39"/>
    <row r="433" ht="15" customHeight="1" s="39"/>
    <row r="434" ht="15" customHeight="1" s="39"/>
    <row r="435" ht="15" customHeight="1" s="39"/>
    <row r="436" ht="15" customHeight="1" s="39"/>
    <row r="437" ht="15" customHeight="1" s="39"/>
    <row r="438" ht="15" customHeight="1" s="39"/>
    <row r="439" ht="15" customHeight="1" s="39"/>
    <row r="440" ht="15" customHeight="1" s="39"/>
    <row r="441" ht="15" customHeight="1" s="39"/>
    <row r="442" ht="15" customHeight="1" s="39"/>
    <row r="443" ht="15" customHeight="1" s="39"/>
    <row r="444" ht="15" customHeight="1" s="39"/>
    <row r="445" ht="15" customHeight="1" s="39"/>
    <row r="446" ht="15" customHeight="1" s="39"/>
    <row r="447" ht="15" customHeight="1" s="39"/>
    <row r="448" ht="15" customHeight="1" s="39"/>
    <row r="449" ht="15" customHeight="1" s="39"/>
    <row r="450" ht="15" customHeight="1" s="39"/>
    <row r="451" ht="15" customHeight="1" s="39"/>
    <row r="452" ht="15" customHeight="1" s="39"/>
    <row r="453" ht="15" customHeight="1" s="39"/>
    <row r="454" ht="15" customHeight="1" s="39"/>
    <row r="455" ht="15" customHeight="1" s="39"/>
    <row r="456" ht="15" customHeight="1" s="39"/>
    <row r="457" ht="15" customHeight="1" s="39"/>
    <row r="458" ht="15" customHeight="1" s="39"/>
    <row r="459" ht="15" customHeight="1" s="39"/>
    <row r="460" ht="15" customHeight="1" s="39"/>
    <row r="461" ht="15" customHeight="1" s="39"/>
    <row r="463" ht="15" customHeight="1" s="39"/>
    <row r="464" ht="15" customHeight="1" s="39"/>
    <row r="465" ht="15" customHeight="1" s="39"/>
    <row r="466" ht="15" customHeight="1" s="39"/>
    <row r="467" ht="15" customHeight="1" s="39"/>
    <row r="468" ht="15" customHeight="1" s="39"/>
    <row r="469" ht="15" customHeight="1" s="39"/>
    <row r="470" ht="15" customHeight="1" s="39"/>
    <row r="471" ht="15" customHeight="1" s="39"/>
    <row r="472" ht="15" customHeight="1" s="39"/>
    <row r="473" ht="15" customHeight="1" s="39"/>
    <row r="474" ht="15" customHeight="1" s="39"/>
    <row r="475" ht="15" customHeight="1" s="39"/>
    <row r="476" ht="15" customHeight="1" s="39"/>
    <row r="477" ht="15" customHeight="1" s="39"/>
    <row r="478" ht="15" customHeight="1" s="39"/>
    <row r="479" ht="15" customHeight="1" s="39"/>
    <row r="480" ht="15" customHeight="1" s="39"/>
    <row r="481" ht="15" customHeight="1" s="39"/>
    <row r="482" ht="15" customHeight="1" s="39"/>
    <row r="483" ht="15" customHeight="1" s="39"/>
    <row r="484" ht="15" customHeight="1" s="39"/>
    <row r="485" ht="15" customHeight="1" s="39"/>
    <row r="486" ht="15" customHeight="1" s="39"/>
    <row r="487" ht="15" customHeight="1" s="39"/>
    <row r="488" ht="15" customHeight="1" s="39"/>
    <row r="489" ht="15" customHeight="1" s="39"/>
    <row r="490" ht="15" customHeight="1" s="39"/>
    <row r="491" ht="15" customHeight="1" s="39"/>
    <row r="492" ht="15" customHeight="1" s="39"/>
    <row r="493" ht="15" customHeight="1" s="39"/>
    <row r="494" ht="15" customHeight="1" s="39"/>
    <row r="495" ht="15" customHeight="1" s="39"/>
    <row r="496" ht="15" customHeight="1" s="39"/>
    <row r="497" ht="15" customHeight="1" s="39"/>
    <row r="498" ht="15" customHeight="1" s="39"/>
    <row r="499" ht="15" customHeight="1" s="39"/>
    <row r="500" ht="15" customHeight="1" s="39"/>
    <row r="501" ht="15" customHeight="1" s="39"/>
    <row r="502" ht="15" customHeight="1" s="39"/>
    <row r="503" ht="15" customHeight="1" s="39"/>
    <row r="504" ht="15" customHeight="1" s="39"/>
    <row r="505" ht="15" customHeight="1" s="39"/>
    <row r="506" ht="15" customHeight="1" s="39"/>
    <row r="507" ht="15" customHeight="1" s="39"/>
    <row r="508" ht="15" customHeight="1" s="39"/>
    <row r="509" ht="15" customHeight="1" s="39"/>
    <row r="510" ht="15" customHeight="1" s="39"/>
    <row r="511" ht="15" customHeight="1" s="39"/>
    <row r="512" ht="15" customHeight="1" s="39"/>
    <row r="514" ht="15" customHeight="1" s="39"/>
    <row r="515" ht="15" customHeight="1" s="39"/>
    <row r="516" ht="15" customHeight="1" s="39"/>
    <row r="517" ht="15" customHeight="1" s="39"/>
    <row r="518" ht="15" customHeight="1" s="39"/>
    <row r="519" ht="15" customHeight="1" s="39"/>
    <row r="520" ht="15" customHeight="1" s="39"/>
    <row r="521" ht="15" customHeight="1" s="39"/>
    <row r="522" ht="15" customHeight="1" s="39"/>
    <row r="523" ht="15" customHeight="1" s="39"/>
    <row r="524" ht="15" customHeight="1" s="39"/>
    <row r="525" ht="15" customHeight="1" s="39"/>
    <row r="526" ht="15" customHeight="1" s="39"/>
    <row r="527" ht="15" customHeight="1" s="39"/>
    <row r="528" ht="15" customHeight="1" s="39"/>
    <row r="529" ht="15" customHeight="1" s="39"/>
    <row r="530" ht="15" customHeight="1" s="39"/>
    <row r="531" ht="15" customHeight="1" s="39"/>
    <row r="532" ht="15" customHeight="1" s="39"/>
    <row r="533" ht="15" customHeight="1" s="39"/>
    <row r="534" ht="15" customHeight="1" s="39"/>
    <row r="535" ht="15" customHeight="1" s="39"/>
    <row r="536" ht="15" customHeight="1" s="39"/>
    <row r="537" ht="15" customHeight="1" s="39"/>
    <row r="538" ht="15" customHeight="1" s="39"/>
    <row r="539" ht="15" customHeight="1" s="39"/>
    <row r="540" ht="15" customHeight="1" s="39"/>
    <row r="541" ht="15" customHeight="1" s="39"/>
    <row r="542" ht="15" customHeight="1" s="39"/>
    <row r="543" ht="15" customHeight="1" s="39"/>
    <row r="544" ht="15" customHeight="1" s="39"/>
    <row r="545" ht="15" customHeight="1" s="39"/>
    <row r="546" ht="15" customHeight="1" s="39"/>
    <row r="547" ht="15" customHeight="1" s="39"/>
    <row r="548" ht="15" customHeight="1" s="39"/>
    <row r="549" ht="15" customHeight="1" s="39"/>
    <row r="550" ht="15" customHeight="1" s="39"/>
    <row r="551" ht="15" customHeight="1" s="39"/>
    <row r="552" ht="15" customHeight="1" s="39"/>
    <row r="553" ht="15" customHeight="1" s="39"/>
    <row r="554" ht="15" customHeight="1" s="39"/>
    <row r="555" ht="15" customHeight="1" s="39"/>
    <row r="556" ht="15" customHeight="1" s="39"/>
    <row r="557" ht="15" customHeight="1" s="39"/>
    <row r="558" ht="15" customHeight="1" s="39"/>
    <row r="559" ht="15" customHeight="1" s="39"/>
    <row r="560" ht="15" customHeight="1" s="39"/>
    <row r="561" ht="15" customHeight="1" s="39"/>
    <row r="562" ht="15" customHeight="1" s="39"/>
    <row r="563" ht="15" customHeight="1" s="39"/>
    <row r="565" ht="15" customHeight="1" s="39"/>
    <row r="566" ht="15" customHeight="1" s="39"/>
    <row r="567" ht="15" customHeight="1" s="39"/>
    <row r="568" ht="15" customHeight="1" s="39"/>
    <row r="569" ht="15" customHeight="1" s="39"/>
    <row r="570" ht="15" customHeight="1" s="39"/>
    <row r="571" ht="15" customHeight="1" s="39"/>
    <row r="572" ht="15" customHeight="1" s="39"/>
    <row r="573" ht="15" customHeight="1" s="39"/>
    <row r="574" ht="15" customHeight="1" s="39"/>
    <row r="575" ht="15" customHeight="1" s="39"/>
    <row r="576" ht="15" customHeight="1" s="39"/>
    <row r="577" ht="15" customHeight="1" s="39"/>
    <row r="578" ht="15" customHeight="1" s="39"/>
    <row r="579" ht="15" customHeight="1" s="39"/>
    <row r="580" ht="15" customHeight="1" s="39"/>
    <row r="581" ht="15" customHeight="1" s="39"/>
    <row r="582" ht="15" customHeight="1" s="39"/>
    <row r="583" ht="15" customHeight="1" s="39"/>
    <row r="584" ht="15" customHeight="1" s="39"/>
    <row r="585" ht="15" customHeight="1" s="39"/>
    <row r="586" ht="15" customHeight="1" s="39"/>
    <row r="587" ht="15" customHeight="1" s="39"/>
    <row r="588" ht="15" customHeight="1" s="39"/>
    <row r="589" ht="15" customHeight="1" s="39"/>
    <row r="590" ht="15" customHeight="1" s="39"/>
    <row r="591" ht="15" customHeight="1" s="39"/>
    <row r="592" ht="15" customHeight="1" s="39"/>
    <row r="593" ht="15" customHeight="1" s="39"/>
    <row r="594" ht="15" customHeight="1" s="39"/>
    <row r="595" ht="15" customHeight="1" s="39"/>
    <row r="596" ht="15" customHeight="1" s="39"/>
    <row r="597" ht="15" customHeight="1" s="39"/>
    <row r="598" ht="15" customHeight="1" s="39"/>
    <row r="599" ht="15" customHeight="1" s="39"/>
    <row r="600" ht="15" customHeight="1" s="39"/>
    <row r="601" ht="15" customHeight="1" s="39"/>
    <row r="602" ht="15" customHeight="1" s="39"/>
    <row r="603" ht="15" customHeight="1" s="39"/>
    <row r="604" ht="15" customHeight="1" s="39"/>
    <row r="605" ht="15" customHeight="1" s="39"/>
    <row r="606" ht="15" customHeight="1" s="39"/>
    <row r="607" ht="15" customHeight="1" s="39"/>
    <row r="608" ht="15" customHeight="1" s="39"/>
    <row r="609" ht="15" customHeight="1" s="39"/>
    <row r="610" ht="15" customHeight="1" s="39"/>
    <row r="611" ht="15" customHeight="1" s="39"/>
    <row r="612" ht="15" customHeight="1" s="39"/>
    <row r="613" ht="15" customHeight="1" s="39"/>
    <row r="614" ht="15" customHeight="1" s="39"/>
    <row r="616" ht="15" customHeight="1" s="39"/>
    <row r="617" ht="15" customHeight="1" s="39"/>
    <row r="618" ht="15" customHeight="1" s="39"/>
    <row r="619" ht="15" customHeight="1" s="39"/>
    <row r="620" ht="15" customHeight="1" s="39"/>
    <row r="621" ht="15" customHeight="1" s="39"/>
    <row r="622" ht="15" customHeight="1" s="39"/>
    <row r="623" ht="15" customHeight="1" s="39"/>
    <row r="624" ht="15" customHeight="1" s="39"/>
    <row r="625" ht="15" customHeight="1" s="39"/>
    <row r="626" ht="15" customHeight="1" s="39"/>
    <row r="627" ht="15" customHeight="1" s="39"/>
    <row r="628" ht="15" customHeight="1" s="39"/>
    <row r="629" ht="15" customHeight="1" s="39"/>
    <row r="630" ht="15" customHeight="1" s="39"/>
    <row r="631" ht="15" customHeight="1" s="39"/>
    <row r="632" ht="15" customHeight="1" s="39"/>
    <row r="633" ht="15" customHeight="1" s="39"/>
    <row r="634" ht="15" customHeight="1" s="39"/>
    <row r="635" ht="15" customHeight="1" s="39"/>
    <row r="636" ht="15" customHeight="1" s="39"/>
    <row r="637" ht="15" customHeight="1" s="39"/>
    <row r="638" ht="15" customHeight="1" s="39"/>
    <row r="639" ht="15" customHeight="1" s="39"/>
    <row r="640" ht="15" customHeight="1" s="39"/>
    <row r="641" ht="15" customHeight="1" s="39"/>
    <row r="643" ht="15" customHeight="1" s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8" min="1" max="1"/>
    <col width="40" customWidth="1" style="38" min="2" max="2"/>
    <col width="18" customWidth="1" style="38" min="3" max="3"/>
    <col width="16" customWidth="1" style="38" min="4" max="10"/>
    <col width="18" customWidth="1" style="38" min="11" max="11"/>
    <col width="16" customWidth="1" style="38" min="12" max="13"/>
    <col width="30" customWidth="1" style="38" min="14" max="14"/>
  </cols>
  <sheetData>
    <row r="1" ht="16.15" customHeight="1" s="39">
      <c r="A1" s="54" t="inlineStr">
        <is>
          <t>TRADE RECEIVABLES AGEING as on 31-Aug-2026</t>
        </is>
      </c>
    </row>
    <row r="2" ht="15" customHeight="1" s="39">
      <c r="A2" s="44" t="inlineStr">
        <is>
          <t>Amounts in Rupees (Rs.)  |  Ageing based on due date</t>
        </is>
      </c>
    </row>
    <row r="5" ht="15" customHeight="1" s="39">
      <c r="F5" s="62" t="inlineStr">
        <is>
          <t>Overdue (days)</t>
        </is>
      </c>
    </row>
    <row r="6" ht="15" customHeight="1" s="39">
      <c r="A6" s="46" t="inlineStr">
        <is>
          <t>Sr</t>
        </is>
      </c>
      <c r="B6" s="46" t="inlineStr">
        <is>
          <t>Customer</t>
        </is>
      </c>
      <c r="C6" s="46" t="inlineStr">
        <is>
          <t>Segment</t>
        </is>
      </c>
      <c r="D6" s="46" t="inlineStr">
        <is>
          <t>Credit Limit</t>
        </is>
      </c>
      <c r="E6" s="46" t="inlineStr">
        <is>
          <t>Not Due</t>
        </is>
      </c>
      <c r="F6" s="46" t="inlineStr">
        <is>
          <t>1-30</t>
        </is>
      </c>
      <c r="G6" s="46" t="inlineStr">
        <is>
          <t>31-60</t>
        </is>
      </c>
      <c r="H6" s="46" t="inlineStr">
        <is>
          <t>61-90</t>
        </is>
      </c>
      <c r="I6" s="46" t="inlineStr">
        <is>
          <t>91-180</t>
        </is>
      </c>
      <c r="J6" s="46" t="inlineStr">
        <is>
          <t>&gt;180</t>
        </is>
      </c>
      <c r="K6" s="46" t="inlineStr">
        <is>
          <t>Total O/S</t>
        </is>
      </c>
      <c r="L6" s="46" t="inlineStr">
        <is>
          <t>Provision</t>
        </is>
      </c>
      <c r="M6" s="46" t="inlineStr">
        <is>
          <t>Salesperson</t>
        </is>
      </c>
      <c r="N6" s="46" t="inlineStr">
        <is>
          <t>Remarks</t>
        </is>
      </c>
    </row>
    <row r="7" ht="15" customHeight="1" s="39">
      <c r="A7" s="44" t="n">
        <v>1</v>
      </c>
      <c r="B7" s="44" t="inlineStr">
        <is>
          <t>Tarang Motors Ltd</t>
        </is>
      </c>
      <c r="C7" s="44" t="inlineStr">
        <is>
          <t>Domestic OEM</t>
        </is>
      </c>
      <c r="D7" s="63" t="n">
        <v>217000000</v>
      </c>
      <c r="E7" s="63" t="n">
        <v>60339347</v>
      </c>
      <c r="F7" s="63" t="n">
        <v>55001052</v>
      </c>
      <c r="G7" s="63" t="n">
        <v>17390332</v>
      </c>
      <c r="H7" s="63" t="n">
        <v>11645113</v>
      </c>
      <c r="I7" s="63" t="n">
        <v>5261882</v>
      </c>
      <c r="J7" s="63" t="n">
        <v>10918553</v>
      </c>
      <c r="K7" s="63" t="n">
        <v>160556279</v>
      </c>
      <c r="L7" s="63" t="n">
        <v>13549494</v>
      </c>
      <c r="M7" s="44" t="inlineStr">
        <is>
          <t>Rohit Mehta</t>
        </is>
      </c>
      <c r="N7" s="44" t="inlineStr">
        <is>
          <t>Customer in restructuring</t>
        </is>
      </c>
    </row>
    <row r="8" ht="15" customHeight="1" s="39">
      <c r="A8" s="44" t="n">
        <v>2</v>
      </c>
      <c r="B8" s="44" t="inlineStr">
        <is>
          <t>Vahan Auto Industries Ltd</t>
        </is>
      </c>
      <c r="C8" s="44" t="inlineStr">
        <is>
          <t>Domestic OEM</t>
        </is>
      </c>
      <c r="D8" s="63" t="n">
        <v>186000000</v>
      </c>
      <c r="E8" s="63" t="n">
        <v>79517602</v>
      </c>
      <c r="F8" s="63" t="n">
        <v>32067115</v>
      </c>
      <c r="G8" s="63" t="n">
        <v>13706533</v>
      </c>
      <c r="H8" s="63" t="n">
        <v>7436903</v>
      </c>
      <c r="I8" s="63" t="n">
        <v>2229234</v>
      </c>
      <c r="J8" s="63" t="n">
        <v>2662274</v>
      </c>
      <c r="K8" s="63" t="n">
        <v>137619661</v>
      </c>
      <c r="L8" s="63" t="n">
        <v>3776891</v>
      </c>
      <c r="M8" s="44" t="inlineStr">
        <is>
          <t>Amit Deshmukh</t>
        </is>
      </c>
    </row>
    <row r="9" ht="15" customHeight="1" s="39">
      <c r="A9" s="44" t="n">
        <v>3</v>
      </c>
      <c r="B9" s="44" t="inlineStr">
        <is>
          <t>Kaveri Engineering Works Pvt Ltd</t>
        </is>
      </c>
      <c r="C9" s="44" t="inlineStr">
        <is>
          <t>Domestic OEM</t>
        </is>
      </c>
      <c r="D9" s="63" t="n">
        <v>155000000</v>
      </c>
      <c r="E9" s="63" t="n">
        <v>53717246</v>
      </c>
      <c r="F9" s="63" t="n">
        <v>17749532</v>
      </c>
      <c r="G9" s="63" t="n">
        <v>10887801</v>
      </c>
      <c r="H9" s="63" t="n">
        <v>17515718</v>
      </c>
      <c r="I9" s="63" t="n">
        <v>4643574</v>
      </c>
      <c r="J9" s="44" t="inlineStr">
        <is>
          <t>1,01,69,179</t>
        </is>
      </c>
      <c r="K9" s="63" t="n">
        <v>114683050</v>
      </c>
      <c r="L9" s="63" t="n">
        <v>12490966</v>
      </c>
      <c r="M9" s="44" t="inlineStr">
        <is>
          <t>Anil Kumar</t>
        </is>
      </c>
      <c r="N9" s="44" t="inlineStr">
        <is>
          <t>Escalated to legal</t>
        </is>
      </c>
    </row>
    <row r="10" ht="15" customHeight="1" s="39">
      <c r="A10" s="44" t="n">
        <v>4</v>
      </c>
      <c r="B10" s="44" t="inlineStr">
        <is>
          <t>Shakti Tractors &amp; Farm Equipment Ltd</t>
        </is>
      </c>
      <c r="C10" s="44" t="inlineStr">
        <is>
          <t>Domestic OEM</t>
        </is>
      </c>
      <c r="D10" s="63" t="n">
        <v>124000000</v>
      </c>
      <c r="E10" s="63" t="n">
        <v>47421819</v>
      </c>
      <c r="F10" s="63" t="n">
        <v>17169602</v>
      </c>
      <c r="G10" s="44" t="inlineStr">
        <is>
          <t>89,02,411</t>
        </is>
      </c>
      <c r="H10" s="63" t="n">
        <v>11598964</v>
      </c>
      <c r="I10" s="63" t="n">
        <v>6271536</v>
      </c>
      <c r="J10" s="63" t="n">
        <v>382108</v>
      </c>
      <c r="K10" s="63" t="n">
        <v>91746440</v>
      </c>
      <c r="L10" s="63" t="n">
        <v>3517876</v>
      </c>
      <c r="M10" s="44" t="inlineStr">
        <is>
          <t>Amit Deshmukh</t>
        </is>
      </c>
    </row>
    <row r="11" ht="15" customHeight="1" s="39">
      <c r="A11" s="44" t="n">
        <v>5</v>
      </c>
      <c r="B11" s="44" t="inlineStr">
        <is>
          <t>Deccan Heavy Machinery Ltd</t>
        </is>
      </c>
      <c r="C11" s="44" t="inlineStr">
        <is>
          <t>Domestic OEM</t>
        </is>
      </c>
      <c r="D11" s="63" t="n">
        <v>109000000</v>
      </c>
      <c r="E11" s="63" t="n">
        <v>41434176</v>
      </c>
      <c r="F11" s="63" t="n">
        <v>21376411</v>
      </c>
      <c r="G11" s="63" t="n">
        <v>2640030</v>
      </c>
      <c r="H11" s="63" t="n">
        <v>8030977</v>
      </c>
      <c r="I11" s="63" t="n">
        <v>6518432</v>
      </c>
      <c r="J11" s="63" t="n">
        <v>278109</v>
      </c>
      <c r="K11" s="63" t="n">
        <v>80278135</v>
      </c>
      <c r="L11" s="63" t="n">
        <v>3537325</v>
      </c>
      <c r="M11" s="44" t="inlineStr">
        <is>
          <t>Vikram Singh</t>
        </is>
      </c>
      <c r="N11" s="44" t="inlineStr">
        <is>
          <t>PDC received</t>
        </is>
      </c>
    </row>
    <row r="12" ht="15" customHeight="1" s="39">
      <c r="A12" s="44" t="n">
        <v>6</v>
      </c>
      <c r="B12" s="44" t="inlineStr">
        <is>
          <t>Marathwada Commercial Vehicles Ltd</t>
        </is>
      </c>
      <c r="C12" s="44" t="inlineStr">
        <is>
          <t>Domestic OEM</t>
        </is>
      </c>
      <c r="D12" s="63" t="n">
        <v>109000000</v>
      </c>
      <c r="E12" s="63" t="n">
        <v>14129462</v>
      </c>
      <c r="F12" s="63" t="n">
        <v>4952774</v>
      </c>
      <c r="G12" s="63" t="n">
        <v>11456817</v>
      </c>
      <c r="H12" s="63" t="n">
        <v>11902553</v>
      </c>
      <c r="I12" s="63" t="n">
        <v>20022608</v>
      </c>
      <c r="J12" s="63" t="n">
        <v>17813921</v>
      </c>
      <c r="K12" s="63" t="n">
        <v>80278135</v>
      </c>
      <c r="L12" s="63" t="n">
        <v>27825225</v>
      </c>
      <c r="M12" s="44" t="inlineStr">
        <is>
          <t>Sanjay Verma</t>
        </is>
      </c>
      <c r="N12" s="44" t="inlineStr">
        <is>
          <t>Disputed - quality claim</t>
        </is>
      </c>
    </row>
    <row r="13" ht="15" customHeight="1" s="39">
      <c r="A13" s="64" t="n"/>
      <c r="B13" s="56" t="inlineStr">
        <is>
          <t>Sub-total - Domestic OEM</t>
        </is>
      </c>
      <c r="C13" s="64" t="n"/>
      <c r="D13" s="64" t="n"/>
      <c r="E13" s="65" t="n">
        <v>296559652</v>
      </c>
      <c r="F13" s="65" t="n">
        <v>148316486</v>
      </c>
      <c r="G13" s="65" t="n">
        <v>64983924</v>
      </c>
      <c r="H13" s="65" t="n">
        <v>68130228</v>
      </c>
      <c r="I13" s="65" t="n">
        <v>44947266</v>
      </c>
      <c r="J13" s="65" t="n">
        <v>42224144</v>
      </c>
      <c r="K13" s="65" t="n">
        <v>665161700</v>
      </c>
      <c r="L13" s="65" t="n">
        <v>64697777</v>
      </c>
      <c r="M13" s="64" t="n"/>
      <c r="N13" s="64" t="n"/>
    </row>
    <row r="15" ht="15" customHeight="1" s="39">
      <c r="A15" s="44" t="n">
        <v>7</v>
      </c>
      <c r="B15" s="44" t="inlineStr">
        <is>
          <t>Ganga Petrochem Ltd</t>
        </is>
      </c>
      <c r="C15" s="44" t="inlineStr">
        <is>
          <t>Process Industry</t>
        </is>
      </c>
      <c r="D15" s="63" t="n">
        <v>93000000</v>
      </c>
      <c r="E15" s="63" t="n">
        <v>31730061</v>
      </c>
      <c r="F15" s="63" t="n">
        <v>17310009</v>
      </c>
      <c r="G15" s="63" t="n">
        <v>7305994</v>
      </c>
      <c r="H15" s="63" t="n">
        <v>5405063</v>
      </c>
      <c r="I15" s="63" t="n">
        <v>5613129</v>
      </c>
      <c r="J15" s="63" t="n">
        <v>1445574</v>
      </c>
      <c r="K15" s="63" t="n">
        <v>68809830</v>
      </c>
      <c r="L15" s="63" t="n">
        <v>4252138</v>
      </c>
      <c r="M15" s="44" t="inlineStr">
        <is>
          <t>Priya Nair</t>
        </is>
      </c>
      <c r="N15" s="44" t="inlineStr">
        <is>
          <t>PDC received</t>
        </is>
      </c>
    </row>
    <row r="16" ht="15" customHeight="1" s="39">
      <c r="A16" s="44" t="n">
        <v>8</v>
      </c>
      <c r="B16" s="44" t="inlineStr">
        <is>
          <t>Himalaya Valves &amp; Pumps Pvt Ltd</t>
        </is>
      </c>
      <c r="C16" s="44" t="inlineStr">
        <is>
          <t>Process Industry</t>
        </is>
      </c>
      <c r="D16" s="63" t="n">
        <v>78000000</v>
      </c>
      <c r="E16" s="63" t="n">
        <v>29894298</v>
      </c>
      <c r="F16" s="44" t="inlineStr">
        <is>
          <t>1,25,72,538</t>
        </is>
      </c>
      <c r="G16" s="63" t="n">
        <v>5808292</v>
      </c>
      <c r="H16" s="63" t="n">
        <v>5065056</v>
      </c>
      <c r="I16" s="63" t="n">
        <v>3349243</v>
      </c>
      <c r="J16" s="63" t="n">
        <v>652098</v>
      </c>
      <c r="K16" s="63" t="n">
        <v>57341525</v>
      </c>
      <c r="L16" s="63" t="n">
        <v>2326719</v>
      </c>
      <c r="M16" s="44" t="inlineStr">
        <is>
          <t>Kavita Rao</t>
        </is>
      </c>
    </row>
    <row r="17" ht="15" customHeight="1" s="39">
      <c r="A17" s="44" t="n">
        <v>9</v>
      </c>
      <c r="B17" s="44" t="inlineStr">
        <is>
          <t>NorthStar Pumps Pvt Ltd</t>
        </is>
      </c>
      <c r="C17" s="44" t="inlineStr">
        <is>
          <t>Process Industry</t>
        </is>
      </c>
      <c r="D17" s="63" t="n">
        <v>78000000</v>
      </c>
      <c r="E17" s="63" t="n">
        <v>24709239</v>
      </c>
      <c r="F17" s="63" t="n">
        <v>15047943</v>
      </c>
      <c r="G17" s="44" t="inlineStr">
        <is>
          <t>44,51,103</t>
        </is>
      </c>
      <c r="H17" s="63" t="n">
        <v>8641328</v>
      </c>
      <c r="I17" s="63" t="n">
        <v>2910034</v>
      </c>
      <c r="J17" s="63" t="n">
        <v>1581878</v>
      </c>
      <c r="K17" s="63" t="n">
        <v>57341525</v>
      </c>
      <c r="L17" s="63" t="n">
        <v>3036895</v>
      </c>
      <c r="M17" s="44" t="inlineStr">
        <is>
          <t>Sunita Joshi</t>
        </is>
      </c>
    </row>
    <row r="18" ht="15" customHeight="1" s="39">
      <c r="A18" s="44" t="n">
        <v>10</v>
      </c>
      <c r="B18" s="44" t="inlineStr">
        <is>
          <t>Coromandel Process Industries Ltd</t>
        </is>
      </c>
      <c r="C18" s="44" t="inlineStr">
        <is>
          <t>Process Industry</t>
        </is>
      </c>
      <c r="D18" s="63" t="n">
        <v>78000000</v>
      </c>
      <c r="E18" s="44" t="inlineStr">
        <is>
          <t>3,24,51,301</t>
        </is>
      </c>
      <c r="F18" s="63" t="n">
        <v>10211227</v>
      </c>
      <c r="G18" s="63" t="n">
        <v>2996067</v>
      </c>
      <c r="H18" s="63" t="n">
        <v>3079180</v>
      </c>
      <c r="I18" s="63" t="n">
        <v>8166679</v>
      </c>
      <c r="J18" s="63" t="n">
        <v>437071</v>
      </c>
      <c r="K18" s="63" t="n">
        <v>57341525</v>
      </c>
      <c r="L18" s="63" t="n">
        <v>4520410</v>
      </c>
      <c r="M18" s="44" t="inlineStr">
        <is>
          <t>Vikram Singh</t>
        </is>
      </c>
      <c r="N18" s="44" t="inlineStr">
        <is>
          <t>PDC received</t>
        </is>
      </c>
    </row>
    <row r="19" ht="15" customHeight="1" s="39">
      <c r="A19" s="44" t="n">
        <v>11</v>
      </c>
      <c r="B19" s="44" t="inlineStr">
        <is>
          <t>Utkal Fertilisers &amp; Chemicals Ltd</t>
        </is>
      </c>
      <c r="C19" s="44" t="inlineStr">
        <is>
          <t>Process Industry</t>
        </is>
      </c>
      <c r="D19" s="63" t="n">
        <v>62000000</v>
      </c>
      <c r="E19" s="63" t="n">
        <v>6188973</v>
      </c>
      <c r="F19" s="44" t="inlineStr">
        <is>
          <t>48,40,986</t>
        </is>
      </c>
      <c r="G19" s="63" t="n">
        <v>5417312</v>
      </c>
      <c r="H19" s="63" t="n">
        <v>9256859</v>
      </c>
      <c r="I19" s="63" t="n">
        <v>11191525</v>
      </c>
      <c r="J19" s="44" t="inlineStr">
        <is>
          <t>89,77,565</t>
        </is>
      </c>
      <c r="K19" s="63" t="n">
        <v>45873220</v>
      </c>
      <c r="L19" s="63" t="n">
        <v>14573327</v>
      </c>
      <c r="M19" s="44" t="inlineStr">
        <is>
          <t>Anil Kumar</t>
        </is>
      </c>
      <c r="N19" s="44" t="inlineStr">
        <is>
          <t>Escalated to legal</t>
        </is>
      </c>
    </row>
    <row r="20" ht="15" customHeight="1" s="39">
      <c r="A20" s="44" t="n">
        <v>12</v>
      </c>
      <c r="B20" s="44" t="inlineStr">
        <is>
          <t>Sunrise Infra Projects Pvt Ltd</t>
        </is>
      </c>
      <c r="C20" s="44" t="inlineStr">
        <is>
          <t>Process Industry</t>
        </is>
      </c>
      <c r="D20" s="63" t="n">
        <v>47000000</v>
      </c>
      <c r="E20" s="63" t="n">
        <v>20548762</v>
      </c>
      <c r="F20" s="63" t="n">
        <v>3632878</v>
      </c>
      <c r="G20" s="44" t="inlineStr">
        <is>
          <t>17,44,736</t>
        </is>
      </c>
      <c r="H20" s="63" t="n">
        <v>4068916</v>
      </c>
      <c r="I20" s="63" t="n">
        <v>791919</v>
      </c>
      <c r="J20" s="63" t="n">
        <v>3617704</v>
      </c>
      <c r="K20" s="63" t="n">
        <v>34404915</v>
      </c>
      <c r="L20" s="63" t="n">
        <v>4013663</v>
      </c>
      <c r="M20" s="44" t="inlineStr">
        <is>
          <t>Sanjay Verma</t>
        </is>
      </c>
      <c r="N20" s="44" t="inlineStr">
        <is>
          <t>Escalated to legal</t>
        </is>
      </c>
    </row>
    <row r="21" ht="15" customHeight="1" s="39">
      <c r="A21" s="64" t="n"/>
      <c r="B21" s="56" t="inlineStr">
        <is>
          <t>Sub-total - Process Industry</t>
        </is>
      </c>
      <c r="C21" s="64" t="n"/>
      <c r="D21" s="64" t="n"/>
      <c r="E21" s="65" t="n">
        <v>145522634</v>
      </c>
      <c r="F21" s="65" t="n">
        <v>63615581</v>
      </c>
      <c r="G21" s="65" t="n">
        <v>27723504</v>
      </c>
      <c r="H21" s="65" t="n">
        <v>35516402</v>
      </c>
      <c r="I21" s="65" t="n">
        <v>32022529</v>
      </c>
      <c r="J21" s="65" t="n">
        <v>16711890</v>
      </c>
      <c r="K21" s="65" t="n">
        <v>321112540</v>
      </c>
      <c r="L21" s="65" t="n">
        <v>32723152</v>
      </c>
      <c r="M21" s="64" t="n"/>
      <c r="N21" s="64" t="n"/>
    </row>
    <row r="23" ht="15" customHeight="1" s="39">
      <c r="A23" s="44" t="n">
        <v>13</v>
      </c>
      <c r="B23" s="44" t="inlineStr">
        <is>
          <t>Orion Aftermarket Distributors</t>
        </is>
      </c>
      <c r="C23" s="44" t="inlineStr">
        <is>
          <t>Aftermarket</t>
        </is>
      </c>
      <c r="D23" s="63" t="n">
        <v>62000000</v>
      </c>
      <c r="E23" s="63" t="n">
        <v>24663292</v>
      </c>
      <c r="F23" s="63" t="n">
        <v>7026257</v>
      </c>
      <c r="G23" s="63" t="n">
        <v>8555157</v>
      </c>
      <c r="H23" s="63" t="n">
        <v>2465296</v>
      </c>
      <c r="I23" s="63" t="n">
        <v>1917174</v>
      </c>
      <c r="J23" s="63" t="n">
        <v>1246044</v>
      </c>
      <c r="K23" s="63" t="n">
        <v>45873220</v>
      </c>
      <c r="L23" s="63" t="n">
        <v>2204631</v>
      </c>
      <c r="M23" s="44" t="inlineStr">
        <is>
          <t>Rohit Mehta</t>
        </is>
      </c>
    </row>
    <row r="24" ht="15" customHeight="1" s="39">
      <c r="A24" s="44" t="n">
        <v>14</v>
      </c>
      <c r="B24" s="44" t="inlineStr">
        <is>
          <t>Bharat AutoParts Traders</t>
        </is>
      </c>
      <c r="C24" s="44" t="inlineStr">
        <is>
          <t>Aftermarket</t>
        </is>
      </c>
      <c r="D24" s="63" t="n">
        <v>47000000</v>
      </c>
      <c r="E24" s="63" t="n">
        <v>19766800</v>
      </c>
      <c r="F24" s="63" t="n">
        <v>6119760</v>
      </c>
      <c r="G24" s="63" t="n">
        <v>2973703</v>
      </c>
      <c r="H24" s="44" t="inlineStr">
        <is>
          <t>43,14,779</t>
        </is>
      </c>
      <c r="I24" s="63" t="n">
        <v>329732</v>
      </c>
      <c r="J24" s="63" t="n">
        <v>900141</v>
      </c>
      <c r="K24" s="63" t="n">
        <v>34404915</v>
      </c>
      <c r="L24" s="63" t="n">
        <v>1065007</v>
      </c>
      <c r="M24" s="44" t="inlineStr">
        <is>
          <t>Amit Deshmukh</t>
        </is>
      </c>
    </row>
    <row r="25" ht="15" customHeight="1" s="39">
      <c r="A25" s="44" t="n">
        <v>15</v>
      </c>
      <c r="B25" s="44" t="inlineStr">
        <is>
          <t>Southern Spares &amp; Service Co</t>
        </is>
      </c>
      <c r="C25" s="44" t="inlineStr">
        <is>
          <t>Aftermarket</t>
        </is>
      </c>
      <c r="D25" s="63" t="n">
        <v>47000000</v>
      </c>
      <c r="E25" s="63" t="n">
        <v>15968449</v>
      </c>
      <c r="F25" s="63" t="n">
        <v>8025697</v>
      </c>
      <c r="G25" s="63" t="n">
        <v>3597397</v>
      </c>
      <c r="H25" s="63" t="n">
        <v>3183617</v>
      </c>
      <c r="I25" s="63" t="n">
        <v>2871586</v>
      </c>
      <c r="J25" s="63" t="n">
        <v>758169</v>
      </c>
      <c r="K25" s="63" t="n">
        <v>34404915</v>
      </c>
      <c r="L25" s="63" t="n">
        <v>2193962</v>
      </c>
      <c r="M25" s="44" t="inlineStr">
        <is>
          <t>Rohit Mehta</t>
        </is>
      </c>
      <c r="N25" s="44" t="inlineStr">
        <is>
          <t>Awaiting GRN</t>
        </is>
      </c>
    </row>
    <row r="26" ht="15" customHeight="1" s="39">
      <c r="A26" s="64" t="n"/>
      <c r="B26" s="56" t="inlineStr">
        <is>
          <t>Sub-total - Aftermarket</t>
        </is>
      </c>
      <c r="C26" s="64" t="n"/>
      <c r="D26" s="64" t="n"/>
      <c r="E26" s="65" t="n">
        <v>60398541</v>
      </c>
      <c r="F26" s="65" t="n">
        <v>21171714</v>
      </c>
      <c r="G26" s="65" t="n">
        <v>15126257</v>
      </c>
      <c r="H26" s="65" t="n">
        <v>9963692</v>
      </c>
      <c r="I26" s="65" t="n">
        <v>5118492</v>
      </c>
      <c r="J26" s="65" t="n">
        <v>2904354</v>
      </c>
      <c r="K26" s="65" t="n">
        <v>114683050</v>
      </c>
      <c r="L26" s="65" t="n">
        <v>5463600</v>
      </c>
      <c r="M26" s="64" t="n"/>
      <c r="N26" s="64" t="n"/>
    </row>
    <row r="28" ht="15" customHeight="1" s="39">
      <c r="A28" s="44" t="n">
        <v>16</v>
      </c>
      <c r="B28" s="44" t="inlineStr">
        <is>
          <t>Meridian Global GmbH</t>
        </is>
      </c>
      <c r="C28" s="44" t="inlineStr">
        <is>
          <t>Export</t>
        </is>
      </c>
      <c r="D28" s="63" t="n">
        <v>109000000</v>
      </c>
      <c r="E28" s="63" t="n">
        <v>40841619</v>
      </c>
      <c r="F28" s="44" t="inlineStr">
        <is>
          <t>2,26,61,219</t>
        </is>
      </c>
      <c r="G28" s="63" t="n">
        <v>2898861</v>
      </c>
      <c r="H28" s="63" t="n">
        <v>5376743</v>
      </c>
      <c r="I28" s="63" t="n">
        <v>3081087</v>
      </c>
      <c r="J28" s="63" t="n">
        <v>5418606</v>
      </c>
      <c r="K28" s="63" t="n">
        <v>80278135</v>
      </c>
      <c r="L28" s="63" t="n">
        <v>6959149</v>
      </c>
      <c r="M28" s="44" t="inlineStr">
        <is>
          <t>Rohit Mehta</t>
        </is>
      </c>
      <c r="N28" s="44" t="inlineStr">
        <is>
          <t>Escalated to legal</t>
        </is>
      </c>
    </row>
    <row r="29" ht="15" customHeight="1" s="39">
      <c r="A29" s="44" t="n">
        <v>17</v>
      </c>
      <c r="B29" s="44" t="inlineStr">
        <is>
          <t>Atlas Powertrain Inc</t>
        </is>
      </c>
      <c r="C29" s="44" t="inlineStr">
        <is>
          <t>Export</t>
        </is>
      </c>
      <c r="D29" s="63" t="n">
        <v>93000000</v>
      </c>
      <c r="E29" s="63" t="n">
        <v>37604851</v>
      </c>
      <c r="F29" s="63" t="n">
        <v>10789006</v>
      </c>
      <c r="G29" s="63" t="n">
        <v>13488164</v>
      </c>
      <c r="H29" s="63" t="n">
        <v>4421351</v>
      </c>
      <c r="I29" s="44" t="inlineStr">
        <is>
          <t>11,06,927</t>
        </is>
      </c>
      <c r="J29" s="63" t="n">
        <v>1399531</v>
      </c>
      <c r="K29" s="63" t="n">
        <v>68809830</v>
      </c>
      <c r="L29" s="63" t="n">
        <v>1952994</v>
      </c>
      <c r="M29" s="44" t="inlineStr">
        <is>
          <t>Rohit Mehta</t>
        </is>
      </c>
    </row>
    <row r="30" ht="15" customHeight="1" s="39">
      <c r="A30" s="44" t="n">
        <v>18</v>
      </c>
      <c r="B30" s="44" t="inlineStr">
        <is>
          <t>Nordic Flow Systems AB</t>
        </is>
      </c>
      <c r="C30" s="44" t="inlineStr">
        <is>
          <t>Export</t>
        </is>
      </c>
      <c r="D30" s="63" t="n">
        <v>62000000</v>
      </c>
      <c r="E30" s="63" t="n">
        <v>9346994</v>
      </c>
      <c r="F30" s="63" t="n">
        <v>3291866</v>
      </c>
      <c r="G30" s="63" t="n">
        <v>8979439</v>
      </c>
      <c r="H30" s="63" t="n">
        <v>5997987</v>
      </c>
      <c r="I30" s="44" t="inlineStr">
        <is>
          <t>1,17,35,814</t>
        </is>
      </c>
      <c r="J30" s="63" t="n">
        <v>6521120</v>
      </c>
      <c r="K30" s="63" t="n">
        <v>45873220</v>
      </c>
      <c r="L30" s="63" t="n">
        <v>12389027</v>
      </c>
      <c r="M30" s="44" t="inlineStr">
        <is>
          <t>Vikram Singh</t>
        </is>
      </c>
      <c r="N30" s="44" t="inlineStr">
        <is>
          <t>Disputed - quality claim</t>
        </is>
      </c>
    </row>
    <row r="31" ht="15" customHeight="1" s="39">
      <c r="A31" s="44" t="n">
        <v>19</v>
      </c>
      <c r="B31" s="44" t="inlineStr">
        <is>
          <t>Gulf Industrial Supplies LLC</t>
        </is>
      </c>
      <c r="C31" s="44" t="inlineStr">
        <is>
          <t>Export</t>
        </is>
      </c>
      <c r="D31" s="63" t="n">
        <v>47000000</v>
      </c>
      <c r="E31" s="63" t="n">
        <v>19068560</v>
      </c>
      <c r="F31" s="63" t="n">
        <v>8364958</v>
      </c>
      <c r="G31" s="63" t="n">
        <v>2823322</v>
      </c>
      <c r="H31" s="63" t="n">
        <v>2679906</v>
      </c>
      <c r="I31" s="63" t="n">
        <v>534091</v>
      </c>
      <c r="J31" s="63" t="n">
        <v>934078</v>
      </c>
      <c r="K31" s="63" t="n">
        <v>34404915</v>
      </c>
      <c r="L31" s="63" t="n">
        <v>1201123</v>
      </c>
      <c r="M31" s="44" t="inlineStr">
        <is>
          <t>Priya Nair</t>
        </is>
      </c>
    </row>
    <row r="32" ht="15" customHeight="1" s="39">
      <c r="A32" s="44" t="n">
        <v>20</v>
      </c>
      <c r="B32" s="44" t="inlineStr">
        <is>
          <t>Pacific Rim Machinery Pty Ltd</t>
        </is>
      </c>
      <c r="C32" s="44" t="inlineStr">
        <is>
          <t>Export</t>
        </is>
      </c>
      <c r="D32" s="63" t="n">
        <v>31000000</v>
      </c>
      <c r="E32" s="63" t="n">
        <v>9613083</v>
      </c>
      <c r="F32" s="63" t="n">
        <v>6512813</v>
      </c>
      <c r="G32" s="63" t="n">
        <v>2088406</v>
      </c>
      <c r="H32" s="63" t="n">
        <v>2418658</v>
      </c>
      <c r="I32" s="63" t="n">
        <v>924811</v>
      </c>
      <c r="J32" s="63" t="n">
        <v>1378839</v>
      </c>
      <c r="K32" s="63" t="n">
        <v>22936610</v>
      </c>
      <c r="L32" s="63" t="n">
        <v>1841244</v>
      </c>
      <c r="M32" s="44" t="inlineStr">
        <is>
          <t>Rohit Mehta</t>
        </is>
      </c>
      <c r="N32" s="44" t="inlineStr">
        <is>
          <t>Disputed - quality claim</t>
        </is>
      </c>
    </row>
    <row r="33" ht="15" customHeight="1" s="39">
      <c r="A33" s="64" t="n"/>
      <c r="B33" s="56" t="inlineStr">
        <is>
          <t>Sub-total - Export</t>
        </is>
      </c>
      <c r="C33" s="64" t="n"/>
      <c r="D33" s="64" t="n"/>
      <c r="E33" s="65" t="n">
        <v>116475107</v>
      </c>
      <c r="F33" s="65" t="n">
        <v>51619862</v>
      </c>
      <c r="G33" s="65" t="n">
        <v>30278192</v>
      </c>
      <c r="H33" s="65" t="n">
        <v>20894645</v>
      </c>
      <c r="I33" s="65" t="n">
        <v>17382730</v>
      </c>
      <c r="J33" s="65" t="n">
        <v>15652174</v>
      </c>
      <c r="K33" s="65" t="n">
        <v>252302710</v>
      </c>
      <c r="L33" s="65" t="n">
        <v>24343537</v>
      </c>
      <c r="M33" s="64" t="n"/>
      <c r="N33" s="64" t="n"/>
    </row>
    <row r="35" ht="15" customHeight="1" s="39">
      <c r="B35" s="42" t="inlineStr">
        <is>
          <t>GRAND TOTAL</t>
        </is>
      </c>
      <c r="E35" s="66" t="n">
        <v>618955934</v>
      </c>
      <c r="F35" s="66" t="n">
        <v>284723643</v>
      </c>
      <c r="G35" s="66" t="n">
        <v>138111877</v>
      </c>
      <c r="H35" s="66" t="n">
        <v>134504967</v>
      </c>
      <c r="I35" s="66" t="n">
        <v>99471017</v>
      </c>
      <c r="J35" s="66" t="n">
        <v>77492562</v>
      </c>
      <c r="K35" s="66" t="n">
        <v>1353260000</v>
      </c>
      <c r="L35" s="66" t="n">
        <v>127228066</v>
      </c>
    </row>
    <row r="37" ht="15" customHeight="1" s="39">
      <c r="B37" s="44" t="inlineStr">
        <is>
          <t>Note: Provision policy - 50% for 91-180 days, 100% for &gt;180 days. Export customer balances are INR equivalent at spot.</t>
        </is>
      </c>
    </row>
  </sheetData>
  <mergeCells count="1">
    <mergeCell ref="F5:J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1" max="1"/>
    <col width="24" customWidth="1" style="38" min="2" max="2"/>
    <col width="11" customWidth="1" style="38" min="3" max="3"/>
    <col width="16" customWidth="1" style="38" min="4" max="8"/>
    <col width="18" customWidth="1" style="38" min="9" max="9"/>
    <col width="11" customWidth="1" style="38" min="10" max="10"/>
    <col width="48" customWidth="1" style="38" min="11" max="11"/>
  </cols>
  <sheetData>
    <row r="1" ht="16.15" customHeight="1" s="39">
      <c r="A1" s="54" t="inlineStr">
        <is>
          <t>TRADE PAYABLES AGEING - as on 31.08.2026</t>
        </is>
      </c>
    </row>
    <row r="2" ht="15" customHeight="1" s="39">
      <c r="A2" s="44" t="inlineStr">
        <is>
          <t>Rs. (full rupees)  |  MSME = registered under Udyam (s.43B(h) - pay within 45 days)</t>
        </is>
      </c>
    </row>
    <row r="5" ht="23.85" customHeight="1" s="39">
      <c r="A5" s="67" t="inlineStr">
        <is>
          <t>Vendor</t>
        </is>
      </c>
      <c r="B5" s="67" t="inlineStr">
        <is>
          <t>Category</t>
        </is>
      </c>
      <c r="C5" s="67" t="inlineStr">
        <is>
          <t>MSME (Y/N)</t>
        </is>
      </c>
      <c r="D5" s="67" t="inlineStr">
        <is>
          <t>Not Due</t>
        </is>
      </c>
      <c r="E5" s="67" t="inlineStr">
        <is>
          <t>Overdue 0-30</t>
        </is>
      </c>
      <c r="F5" s="67" t="inlineStr">
        <is>
          <t>Overdue 31-45</t>
        </is>
      </c>
      <c r="G5" s="67" t="inlineStr">
        <is>
          <t>Overdue 46-90</t>
        </is>
      </c>
      <c r="H5" s="67" t="inlineStr">
        <is>
          <t>Overdue &gt;90</t>
        </is>
      </c>
      <c r="I5" s="67" t="inlineStr">
        <is>
          <t>Total Payable</t>
        </is>
      </c>
      <c r="J5" s="67" t="inlineStr">
        <is>
          <t>Terms (days)</t>
        </is>
      </c>
      <c r="K5" s="67" t="inlineStr">
        <is>
          <t>Remarks</t>
        </is>
      </c>
    </row>
    <row r="6" ht="15" customHeight="1" s="39">
      <c r="A6" s="44" t="inlineStr">
        <is>
          <t>Kalinga Steel &amp; Alloys Ltd</t>
        </is>
      </c>
      <c r="B6" s="44" t="inlineStr">
        <is>
          <t>Raw Material</t>
        </is>
      </c>
      <c r="C6" s="44" t="inlineStr">
        <is>
          <t>N</t>
        </is>
      </c>
      <c r="D6" s="63" t="n">
        <v>95838973</v>
      </c>
      <c r="E6" s="63" t="n">
        <v>33780827</v>
      </c>
      <c r="F6" s="63" t="n">
        <v>8417836</v>
      </c>
      <c r="G6" s="63" t="n">
        <v>1482024</v>
      </c>
      <c r="H6" s="63" t="n">
        <v>3925902</v>
      </c>
      <c r="I6" s="63" t="n">
        <v>143445562</v>
      </c>
      <c r="J6" s="44" t="n">
        <v>30</v>
      </c>
    </row>
    <row r="7" ht="15" customHeight="1" s="39">
      <c r="A7" s="44" t="inlineStr">
        <is>
          <t>Sundaram Scrap Traders</t>
        </is>
      </c>
      <c r="B7" s="44" t="inlineStr">
        <is>
          <t>Raw Material</t>
        </is>
      </c>
      <c r="C7" s="44" t="inlineStr">
        <is>
          <t>Y</t>
        </is>
      </c>
      <c r="D7" s="44" t="inlineStr">
        <is>
          <t>2,13,69,921</t>
        </is>
      </c>
      <c r="E7" s="63" t="n">
        <v>21195165</v>
      </c>
      <c r="F7" s="63" t="n">
        <v>12429971</v>
      </c>
      <c r="G7" s="63" t="n">
        <v>6015488</v>
      </c>
      <c r="H7" s="63" t="n">
        <v>2743036</v>
      </c>
      <c r="I7" s="63" t="n">
        <v>63753581</v>
      </c>
      <c r="J7" s="44" t="n">
        <v>30</v>
      </c>
      <c r="K7" s="44" t="inlineStr">
        <is>
          <t>MSME - &gt;45d overdue: s.43B(h) disallowance risk</t>
        </is>
      </c>
    </row>
    <row r="8" ht="15" customHeight="1" s="39">
      <c r="A8" s="44" t="inlineStr">
        <is>
          <t>Eastern Ferro Alloys Pvt Ltd</t>
        </is>
      </c>
      <c r="B8" s="44" t="inlineStr">
        <is>
          <t>Raw Material</t>
        </is>
      </c>
      <c r="C8" s="44" t="inlineStr">
        <is>
          <t>N</t>
        </is>
      </c>
      <c r="D8" s="63" t="n">
        <v>47640288</v>
      </c>
      <c r="E8" s="63" t="n">
        <v>16349860</v>
      </c>
      <c r="F8" s="63" t="n">
        <v>4513985</v>
      </c>
      <c r="G8" s="44" t="inlineStr">
        <is>
          <t>31,27,207</t>
        </is>
      </c>
      <c r="H8" s="63" t="n">
        <v>91439</v>
      </c>
      <c r="I8" s="63" t="n">
        <v>71722779</v>
      </c>
      <c r="J8" s="44" t="n">
        <v>30</v>
      </c>
    </row>
    <row r="9" ht="15" customHeight="1" s="39">
      <c r="A9" s="44" t="inlineStr">
        <is>
          <t>Malwa Foundry Supplies</t>
        </is>
      </c>
      <c r="B9" s="44" t="inlineStr">
        <is>
          <t>Raw Material</t>
        </is>
      </c>
      <c r="C9" s="44" t="inlineStr">
        <is>
          <t>Y</t>
        </is>
      </c>
      <c r="D9" s="63" t="n">
        <v>27460945</v>
      </c>
      <c r="E9" s="63" t="n">
        <v>11007456</v>
      </c>
      <c r="F9" s="63" t="n">
        <v>4884563</v>
      </c>
      <c r="G9" s="63" t="n">
        <v>2883985</v>
      </c>
      <c r="H9" s="63" t="n">
        <v>1578237</v>
      </c>
      <c r="I9" s="63" t="n">
        <v>47815186</v>
      </c>
      <c r="J9" s="44" t="n">
        <v>30</v>
      </c>
      <c r="K9" s="44" t="inlineStr">
        <is>
          <t>MSME - &gt;45d overdue: s.43B(h) disallowance risk</t>
        </is>
      </c>
    </row>
    <row r="10" ht="15" customHeight="1" s="39">
      <c r="A10" s="44" t="inlineStr">
        <is>
          <t>Goa Bauxite &amp; Aluminium Ltd</t>
        </is>
      </c>
      <c r="B10" s="44" t="inlineStr">
        <is>
          <t>Raw Material</t>
        </is>
      </c>
      <c r="C10" s="44" t="inlineStr">
        <is>
          <t>N</t>
        </is>
      </c>
      <c r="D10" s="63" t="n">
        <v>30408113</v>
      </c>
      <c r="E10" s="63" t="n">
        <v>17196132</v>
      </c>
      <c r="F10" s="63" t="n">
        <v>5437129</v>
      </c>
      <c r="G10" s="63" t="n">
        <v>2742887</v>
      </c>
      <c r="H10" s="63" t="n">
        <v>122</v>
      </c>
      <c r="I10" s="63" t="n">
        <v>55784383</v>
      </c>
      <c r="J10" s="44" t="n">
        <v>45</v>
      </c>
    </row>
    <row r="11" ht="15" customHeight="1" s="39">
      <c r="A11" s="44" t="inlineStr">
        <is>
          <t>State Electricity Board - Pune</t>
        </is>
      </c>
      <c r="B11" s="44" t="inlineStr">
        <is>
          <t>Utilities</t>
        </is>
      </c>
      <c r="C11" s="44" t="inlineStr">
        <is>
          <t>N</t>
        </is>
      </c>
      <c r="D11" s="63" t="n">
        <v>23235894</v>
      </c>
      <c r="E11" s="63" t="n">
        <v>13321382</v>
      </c>
      <c r="F11" s="63" t="n">
        <v>6484373</v>
      </c>
      <c r="G11" s="63" t="n">
        <v>4693176</v>
      </c>
      <c r="H11" s="44" t="inlineStr">
        <is>
          <t>80,361</t>
        </is>
      </c>
      <c r="I11" s="63" t="n">
        <v>47815186</v>
      </c>
      <c r="J11" s="44" t="n">
        <v>60</v>
      </c>
    </row>
    <row r="12" ht="15" customHeight="1" s="39">
      <c r="A12" s="44" t="inlineStr">
        <is>
          <t>State Electricity Board - Chennai</t>
        </is>
      </c>
      <c r="B12" s="44" t="inlineStr">
        <is>
          <t>Utilities</t>
        </is>
      </c>
      <c r="C12" s="44" t="inlineStr">
        <is>
          <t>N</t>
        </is>
      </c>
      <c r="D12" s="63" t="n">
        <v>16754466</v>
      </c>
      <c r="E12" s="63" t="n">
        <v>11187566</v>
      </c>
      <c r="F12" s="63" t="n">
        <v>2595227</v>
      </c>
      <c r="G12" s="63" t="n">
        <v>731878</v>
      </c>
      <c r="H12" s="63" t="n">
        <v>607653</v>
      </c>
      <c r="I12" s="63" t="n">
        <v>31876790</v>
      </c>
      <c r="J12" s="44" t="n">
        <v>90</v>
      </c>
    </row>
    <row r="13" ht="15" customHeight="1" s="39">
      <c r="A13" s="44" t="inlineStr">
        <is>
          <t>Coastal Logistics Pvt Ltd</t>
        </is>
      </c>
      <c r="B13" s="44" t="inlineStr">
        <is>
          <t>Logistics</t>
        </is>
      </c>
      <c r="C13" s="44" t="inlineStr">
        <is>
          <t>Y</t>
        </is>
      </c>
      <c r="D13" s="63" t="n">
        <v>23885621</v>
      </c>
      <c r="E13" s="63" t="n">
        <v>7323700</v>
      </c>
      <c r="F13" s="63" t="n">
        <v>5034651</v>
      </c>
      <c r="G13" s="63" t="n">
        <v>3310574</v>
      </c>
      <c r="H13" s="63" t="n">
        <v>291442</v>
      </c>
      <c r="I13" s="63" t="n">
        <v>39845988</v>
      </c>
      <c r="J13" s="44" t="n">
        <v>45</v>
      </c>
      <c r="K13" s="44" t="inlineStr">
        <is>
          <t>MSME - &gt;45d overdue: s.43B(h) disallowance risk</t>
        </is>
      </c>
    </row>
    <row r="14" ht="15" customHeight="1" s="39">
      <c r="A14" s="44" t="inlineStr">
        <is>
          <t>Swift Roadways India Pvt Ltd</t>
        </is>
      </c>
      <c r="B14" s="44" t="inlineStr">
        <is>
          <t>Logistics</t>
        </is>
      </c>
      <c r="C14" s="44" t="inlineStr">
        <is>
          <t>Y</t>
        </is>
      </c>
      <c r="D14" s="63" t="n">
        <v>20180189</v>
      </c>
      <c r="E14" s="63" t="n">
        <v>4572350</v>
      </c>
      <c r="F14" s="63" t="n">
        <v>4695008</v>
      </c>
      <c r="G14" s="63" t="n">
        <v>1276640</v>
      </c>
      <c r="H14" s="63" t="n">
        <v>1152603</v>
      </c>
      <c r="I14" s="63" t="n">
        <v>31876790</v>
      </c>
      <c r="J14" s="44" t="n">
        <v>30</v>
      </c>
      <c r="K14" s="44" t="inlineStr">
        <is>
          <t>MSME - &gt;45d overdue: s.43B(h) disallowance risk</t>
        </is>
      </c>
    </row>
    <row r="15" ht="15" customHeight="1" s="39">
      <c r="A15" s="44" t="inlineStr">
        <is>
          <t>OceanBridge Freight Forwarders</t>
        </is>
      </c>
      <c r="B15" s="44" t="inlineStr">
        <is>
          <t>Logistics</t>
        </is>
      </c>
      <c r="C15" s="44" t="inlineStr">
        <is>
          <t>N</t>
        </is>
      </c>
      <c r="D15" s="63" t="n">
        <v>11753859</v>
      </c>
      <c r="E15" s="63" t="n">
        <v>6882972</v>
      </c>
      <c r="F15" s="63" t="n">
        <v>3989967</v>
      </c>
      <c r="G15" s="63" t="n">
        <v>1155616</v>
      </c>
      <c r="H15" s="63" t="n">
        <v>125179</v>
      </c>
      <c r="I15" s="63" t="n">
        <v>23907593</v>
      </c>
      <c r="J15" s="44" t="n">
        <v>90</v>
      </c>
    </row>
    <row r="16" ht="15" customHeight="1" s="39">
      <c r="A16" s="44" t="inlineStr">
        <is>
          <t>Precision Tooling Co</t>
        </is>
      </c>
      <c r="B16" s="44" t="inlineStr">
        <is>
          <t>Tooling &amp; Consumables</t>
        </is>
      </c>
      <c r="C16" s="44" t="inlineStr">
        <is>
          <t>Y</t>
        </is>
      </c>
      <c r="D16" s="63" t="n">
        <v>21442912</v>
      </c>
      <c r="E16" s="63" t="n">
        <v>5547975</v>
      </c>
      <c r="F16" s="63" t="n">
        <v>5856472</v>
      </c>
      <c r="G16" s="63" t="n">
        <v>10470508</v>
      </c>
      <c r="H16" s="44" t="inlineStr">
        <is>
          <t>44,97,319</t>
        </is>
      </c>
      <c r="I16" s="63" t="n">
        <v>47815186</v>
      </c>
      <c r="J16" s="44" t="n">
        <v>30</v>
      </c>
      <c r="K16" s="44" t="inlineStr">
        <is>
          <t>MSME - &gt;45d overdue: s.43B(h) disallowance risk</t>
        </is>
      </c>
    </row>
    <row r="17" ht="15" customHeight="1" s="39">
      <c r="A17" s="44" t="inlineStr">
        <is>
          <t>Aarav Packaging Industries</t>
        </is>
      </c>
      <c r="B17" s="44" t="inlineStr">
        <is>
          <t>Tooling &amp; Consumables</t>
        </is>
      </c>
      <c r="C17" s="44" t="inlineStr">
        <is>
          <t>Y</t>
        </is>
      </c>
      <c r="D17" s="63" t="n">
        <v>9794752</v>
      </c>
      <c r="E17" s="44" t="inlineStr">
        <is>
          <t>87,34,237</t>
        </is>
      </c>
      <c r="F17" s="63" t="n">
        <v>2423871</v>
      </c>
      <c r="G17" s="44" t="inlineStr">
        <is>
          <t>15,29,635</t>
        </is>
      </c>
      <c r="H17" s="63" t="n">
        <v>1425098</v>
      </c>
      <c r="I17" s="63" t="n">
        <v>23907593</v>
      </c>
      <c r="J17" s="44" t="n">
        <v>45</v>
      </c>
      <c r="K17" s="44" t="inlineStr">
        <is>
          <t>MSME - &gt;45d overdue: s.43B(h) disallowance risk</t>
        </is>
      </c>
    </row>
    <row r="18" ht="15" customHeight="1" s="39">
      <c r="A18" s="44" t="inlineStr">
        <is>
          <t>Kirti Industrial Consumables</t>
        </is>
      </c>
      <c r="B18" s="44" t="inlineStr">
        <is>
          <t>Tooling &amp; Consumables</t>
        </is>
      </c>
      <c r="C18" s="44" t="inlineStr">
        <is>
          <t>Y</t>
        </is>
      </c>
      <c r="D18" s="63" t="n">
        <v>7840952</v>
      </c>
      <c r="E18" s="63" t="n">
        <v>7108074</v>
      </c>
      <c r="F18" s="63" t="n">
        <v>6532053</v>
      </c>
      <c r="G18" s="63" t="n">
        <v>1695059</v>
      </c>
      <c r="H18" s="63" t="n">
        <v>731455</v>
      </c>
      <c r="I18" s="63" t="n">
        <v>23907593</v>
      </c>
      <c r="J18" s="44" t="n">
        <v>45</v>
      </c>
      <c r="K18" s="44" t="inlineStr">
        <is>
          <t>MSME - &gt;45d overdue: s.43B(h) disallowance risk</t>
        </is>
      </c>
    </row>
    <row r="19" ht="15" customHeight="1" s="39">
      <c r="A19" s="44" t="inlineStr">
        <is>
          <t>Nimbus IT Solutions Pvt Ltd</t>
        </is>
      </c>
      <c r="B19" s="44" t="inlineStr">
        <is>
          <t>Services</t>
        </is>
      </c>
      <c r="C19" s="44" t="inlineStr">
        <is>
          <t>N</t>
        </is>
      </c>
      <c r="D19" s="63" t="n">
        <v>9945354</v>
      </c>
      <c r="E19" s="63" t="n">
        <v>3770355</v>
      </c>
      <c r="F19" s="63" t="n">
        <v>1472560</v>
      </c>
      <c r="G19" s="44" t="inlineStr">
        <is>
          <t>1,96,076</t>
        </is>
      </c>
      <c r="H19" s="63" t="n">
        <v>554050</v>
      </c>
      <c r="I19" s="63" t="n">
        <v>15938395</v>
      </c>
      <c r="J19" s="44" t="n">
        <v>30</v>
      </c>
    </row>
    <row r="20" ht="15" customHeight="1" s="39">
      <c r="A20" s="44" t="inlineStr">
        <is>
          <t>Bright Facility Services LLP</t>
        </is>
      </c>
      <c r="B20" s="44" t="inlineStr">
        <is>
          <t>Services</t>
        </is>
      </c>
      <c r="C20" s="44" t="inlineStr">
        <is>
          <t>Y</t>
        </is>
      </c>
      <c r="D20" s="63" t="n">
        <v>7149031</v>
      </c>
      <c r="E20" s="63" t="n">
        <v>4952856</v>
      </c>
      <c r="F20" s="63" t="n">
        <v>1961224</v>
      </c>
      <c r="G20" s="63" t="n">
        <v>1489596</v>
      </c>
      <c r="H20" s="63" t="n">
        <v>385688</v>
      </c>
      <c r="I20" s="63" t="n">
        <v>15938395</v>
      </c>
      <c r="J20" s="44" t="n">
        <v>45</v>
      </c>
      <c r="K20" s="44" t="inlineStr">
        <is>
          <t>MSME - &gt;45d overdue: s.43B(h) disallowance risk</t>
        </is>
      </c>
    </row>
    <row r="22" ht="15" customHeight="1" s="39">
      <c r="A22" s="42" t="inlineStr">
        <is>
          <t>TOTAL</t>
        </is>
      </c>
      <c r="D22" s="66" t="n">
        <v>374701270</v>
      </c>
      <c r="E22" s="66" t="n">
        <v>172930907</v>
      </c>
      <c r="F22" s="66" t="n">
        <v>76728890</v>
      </c>
      <c r="G22" s="66" t="n">
        <v>42800349</v>
      </c>
      <c r="H22" s="66" t="n">
        <v>18189584</v>
      </c>
      <c r="I22" s="66" t="n">
        <v>685351000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1" max="1"/>
    <col width="11" customWidth="1" style="38" min="2" max="19"/>
  </cols>
  <sheetData>
    <row r="1" ht="16.15" customHeight="1" s="39">
      <c r="A1" s="54" t="inlineStr">
        <is>
          <t>Headcount &amp; People Analytics</t>
        </is>
      </c>
    </row>
    <row r="2" ht="15" customHeight="1" s="39">
      <c r="A2" s="44" t="inlineStr">
        <is>
          <t>Source: HRMS (Keka) | month-end permanent headcount (excl. contract labour)</t>
        </is>
      </c>
    </row>
    <row r="3"/>
    <row r="4" ht="15" customHeight="1" s="39">
      <c r="A4" s="45" t="inlineStr">
        <is>
          <t>Department</t>
        </is>
      </c>
      <c r="B4" s="47" t="n">
        <v>46203</v>
      </c>
      <c r="C4" s="47" t="n">
        <v>46234</v>
      </c>
      <c r="D4" s="46" t="inlineStr">
        <is>
          <t>Aug'26</t>
        </is>
      </c>
    </row>
    <row r="5" ht="15" customHeight="1" s="39">
      <c r="A5" s="44" t="inlineStr">
        <is>
          <t>Manufacturing</t>
        </is>
      </c>
      <c r="B5" s="44" t="n">
        <v>809</v>
      </c>
      <c r="C5" s="44" t="n">
        <v>807</v>
      </c>
      <c r="D5" s="44" t="n">
        <v>807</v>
      </c>
    </row>
    <row r="6" ht="15" customHeight="1" s="39">
      <c r="A6" s="44" t="inlineStr">
        <is>
          <t>Quality</t>
        </is>
      </c>
      <c r="B6" s="44" t="n">
        <v>122</v>
      </c>
      <c r="C6" s="44" t="n">
        <v>122</v>
      </c>
      <c r="D6" s="44" t="n">
        <v>122</v>
      </c>
    </row>
    <row r="7" ht="15" customHeight="1" s="39">
      <c r="A7" s="44" t="inlineStr">
        <is>
          <t>Engineering &amp; R&amp;D</t>
        </is>
      </c>
      <c r="B7" s="44" t="n">
        <v>104</v>
      </c>
      <c r="C7" s="44" t="n">
        <v>103</v>
      </c>
      <c r="D7" s="44" t="n">
        <v>104</v>
      </c>
    </row>
    <row r="8" ht="15" customHeight="1" s="39">
      <c r="A8" s="44" t="inlineStr">
        <is>
          <t>Sales &amp; Marketing</t>
        </is>
      </c>
      <c r="B8" s="44" t="n">
        <v>87</v>
      </c>
      <c r="C8" s="44" t="n">
        <v>87</v>
      </c>
      <c r="D8" s="44" t="n">
        <v>88</v>
      </c>
    </row>
    <row r="9" ht="15" customHeight="1" s="39">
      <c r="A9" s="44" t="inlineStr">
        <is>
          <t>Supply Chain</t>
        </is>
      </c>
      <c r="B9" s="44" t="n">
        <v>86</v>
      </c>
      <c r="C9" s="44" t="n">
        <v>86</v>
      </c>
      <c r="D9" s="44" t="n">
        <v>86</v>
      </c>
    </row>
    <row r="10" ht="15" customHeight="1" s="39">
      <c r="A10" s="44" t="inlineStr">
        <is>
          <t>Finance &amp; Accounts</t>
        </is>
      </c>
      <c r="B10" s="44" t="n">
        <v>57</v>
      </c>
      <c r="C10" s="44" t="n">
        <v>57</v>
      </c>
      <c r="D10" s="44" t="n">
        <v>58</v>
      </c>
    </row>
    <row r="11" ht="15" customHeight="1" s="39">
      <c r="A11" s="44" t="inlineStr">
        <is>
          <t>HR &amp; Admin</t>
        </is>
      </c>
      <c r="B11" s="44" t="n">
        <v>46</v>
      </c>
      <c r="C11" s="44" t="n">
        <v>45</v>
      </c>
      <c r="D11" s="44" t="n">
        <v>45</v>
      </c>
    </row>
    <row r="12" ht="15" customHeight="1" s="39">
      <c r="A12" s="44" t="inlineStr">
        <is>
          <t>IT</t>
        </is>
      </c>
      <c r="B12" s="44" t="n">
        <v>35</v>
      </c>
      <c r="C12" s="44" t="n">
        <v>35</v>
      </c>
      <c r="D12" s="44" t="n">
        <v>34</v>
      </c>
    </row>
    <row r="13" ht="15" customHeight="1" s="39">
      <c r="A13" s="44" t="inlineStr">
        <is>
          <t>EHS &amp; Maintenance</t>
        </is>
      </c>
      <c r="B13" s="44" t="n">
        <v>26</v>
      </c>
      <c r="C13" s="44" t="n">
        <v>25</v>
      </c>
      <c r="D13" s="44" t="n">
        <v>26</v>
      </c>
    </row>
    <row r="14" ht="15" customHeight="1" s="39">
      <c r="A14" s="42" t="inlineStr">
        <is>
          <t>Total Headcount</t>
        </is>
      </c>
      <c r="B14" s="42" t="n">
        <v>1372</v>
      </c>
      <c r="C14" s="42" t="n">
        <v>1367</v>
      </c>
      <c r="D14" s="42" t="n">
        <v>1370</v>
      </c>
    </row>
    <row r="15"/>
    <row r="16"/>
    <row r="17"/>
    <row r="18" ht="15" customHeight="1" s="39">
      <c r="A18" s="42" t="inlineStr">
        <is>
          <t>ATTRITION (annualised %) - last 5 months</t>
        </is>
      </c>
    </row>
    <row r="19" ht="15" customHeight="1" s="39">
      <c r="A19" s="45" t="inlineStr">
        <is>
          <t>Department</t>
        </is>
      </c>
    </row>
    <row r="20" ht="15" customHeight="1" s="39">
      <c r="A20" s="44" t="inlineStr">
        <is>
          <t>Manufacturing</t>
        </is>
      </c>
    </row>
    <row r="21" ht="15" customHeight="1" s="39">
      <c r="A21" s="44" t="inlineStr">
        <is>
          <t>Quality</t>
        </is>
      </c>
    </row>
    <row r="22" ht="15" customHeight="1" s="39">
      <c r="A22" s="44" t="inlineStr">
        <is>
          <t>Engineering &amp; R&amp;D</t>
        </is>
      </c>
    </row>
    <row r="23" ht="15" customHeight="1" s="39">
      <c r="A23" s="44" t="inlineStr">
        <is>
          <t>Sales &amp; Marketing</t>
        </is>
      </c>
    </row>
    <row r="24" ht="15" customHeight="1" s="39">
      <c r="A24" s="44" t="inlineStr">
        <is>
          <t>Supply Chain</t>
        </is>
      </c>
    </row>
    <row r="25" ht="15" customHeight="1" s="39">
      <c r="A25" s="44" t="inlineStr">
        <is>
          <t>Finance &amp; Accounts</t>
        </is>
      </c>
    </row>
    <row r="26" ht="15" customHeight="1" s="39">
      <c r="A26" s="44" t="inlineStr">
        <is>
          <t>HR &amp; Admin</t>
        </is>
      </c>
    </row>
    <row r="27" ht="15" customHeight="1" s="39">
      <c r="A27" s="44" t="inlineStr">
        <is>
          <t>IT</t>
        </is>
      </c>
    </row>
    <row r="28" ht="15" customHeight="1" s="39">
      <c r="A28" s="44" t="inlineStr">
        <is>
          <t>EHS &amp; Maintenance</t>
        </is>
      </c>
    </row>
    <row r="29"/>
    <row r="30"/>
    <row r="31" ht="15" customHeight="1" s="39">
      <c r="A31" s="42" t="inlineStr">
        <is>
          <t>OPEN POSITIONS</t>
        </is>
      </c>
    </row>
    <row r="32" ht="15" customHeight="1" s="39">
      <c r="A32" s="45" t="inlineStr">
        <is>
          <t>Department</t>
        </is>
      </c>
    </row>
    <row r="33" ht="15" customHeight="1" s="39">
      <c r="A33" s="44" t="inlineStr">
        <is>
          <t>Manufacturing</t>
        </is>
      </c>
    </row>
    <row r="34" ht="15" customHeight="1" s="39">
      <c r="A34" s="44" t="inlineStr">
        <is>
          <t>Quality</t>
        </is>
      </c>
    </row>
    <row r="35" ht="15" customHeight="1" s="39">
      <c r="A35" s="44" t="inlineStr">
        <is>
          <t>Engineering &amp; R&amp;D</t>
        </is>
      </c>
    </row>
    <row r="36" ht="15" customHeight="1" s="39">
      <c r="A36" s="44" t="inlineStr">
        <is>
          <t>Sales &amp; Marketing</t>
        </is>
      </c>
    </row>
    <row r="37" ht="15" customHeight="1" s="39">
      <c r="A37" s="44" t="inlineStr">
        <is>
          <t>Supply Chain</t>
        </is>
      </c>
    </row>
    <row r="38" ht="15" customHeight="1" s="39">
      <c r="A38" s="44" t="inlineStr">
        <is>
          <t>Finance &amp; Accounts</t>
        </is>
      </c>
    </row>
    <row r="39" ht="15" customHeight="1" s="39">
      <c r="A39" s="44" t="inlineStr">
        <is>
          <t>HR &amp; Admin</t>
        </is>
      </c>
    </row>
    <row r="40" ht="15" customHeight="1" s="39">
      <c r="A40" s="44" t="inlineStr">
        <is>
          <t>IT</t>
        </is>
      </c>
    </row>
    <row r="41" ht="15" customHeight="1" s="39">
      <c r="A41" s="44" t="inlineStr">
        <is>
          <t>EHS &amp; Maintenance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38" min="1" max="1"/>
    <col width="9" customWidth="1" style="38" min="2" max="2"/>
    <col width="14" customWidth="1" style="38" min="3" max="3"/>
    <col width="16" customWidth="1" style="38" min="4" max="4"/>
    <col width="20" customWidth="1" style="38" min="5" max="5"/>
    <col width="18" customWidth="1" style="38" min="6" max="6"/>
    <col width="20" customWidth="1" style="38" min="7" max="7"/>
    <col width="48" customWidth="1" style="38" min="8" max="8"/>
  </cols>
  <sheetData>
    <row r="1" ht="16.15" customHeight="1" s="39">
      <c r="A1" s="54" t="inlineStr">
        <is>
          <t>CFO KPI SCORECARD - Aug 2026</t>
        </is>
      </c>
    </row>
    <row r="2" ht="15" customHeight="1" s="39">
      <c r="A2" s="44" t="inlineStr">
        <is>
          <t>Status per FP&amp;A judgement; targets from AOP FY27</t>
        </is>
      </c>
    </row>
    <row r="4" ht="15" customHeight="1" s="39">
      <c r="A4" s="45" t="inlineStr">
        <is>
          <t>KPI</t>
        </is>
      </c>
      <c r="B4" s="45" t="inlineStr">
        <is>
          <t>Unit</t>
        </is>
      </c>
      <c r="C4" s="45" t="inlineStr">
        <is>
          <t>Target FY27</t>
        </is>
      </c>
      <c r="D4" s="45" t="inlineStr">
        <is>
          <t>Actual Aug-26</t>
        </is>
      </c>
      <c r="E4" s="45" t="inlineStr">
        <is>
          <t>Prev Month (Jul-26)</t>
        </is>
      </c>
      <c r="F4" s="45" t="inlineStr">
        <is>
          <t>Status</t>
        </is>
      </c>
      <c r="G4" s="45" t="inlineStr">
        <is>
          <t>Owner</t>
        </is>
      </c>
      <c r="H4" s="45" t="inlineStr">
        <is>
          <t>Comments</t>
        </is>
      </c>
    </row>
    <row r="5" ht="15" customHeight="1" s="39">
      <c r="A5" s="44" t="inlineStr">
        <is>
          <t>Days Sales Outstanding (DSO)</t>
        </is>
      </c>
      <c r="B5" s="44" t="inlineStr">
        <is>
          <t>days</t>
        </is>
      </c>
      <c r="C5" s="44" t="inlineStr">
        <is>
          <t>60 days</t>
        </is>
      </c>
      <c r="D5" s="44" t="inlineStr">
        <is>
          <t>68 days</t>
        </is>
      </c>
      <c r="E5" s="44" t="inlineStr">
        <is>
          <t>65 days</t>
        </is>
      </c>
      <c r="F5" s="68" t="inlineStr">
        <is>
          <t>RED - off track</t>
        </is>
      </c>
      <c r="G5" s="44" t="inlineStr">
        <is>
          <t>AR Head</t>
        </is>
      </c>
      <c r="H5" s="44" t="inlineStr">
        <is>
          <t>Rising for 3 months; 3 OEM accounts stretched</t>
        </is>
      </c>
    </row>
    <row r="6" ht="15" customHeight="1" s="39">
      <c r="A6" s="44" t="inlineStr">
        <is>
          <t>Days Payable Outstanding (DPO)</t>
        </is>
      </c>
      <c r="B6" s="44" t="inlineStr">
        <is>
          <t>days</t>
        </is>
      </c>
      <c r="C6" s="44" t="inlineStr">
        <is>
          <t>55 days</t>
        </is>
      </c>
      <c r="D6" s="44" t="inlineStr">
        <is>
          <t>52 days</t>
        </is>
      </c>
      <c r="E6" s="44" t="inlineStr">
        <is>
          <t>52 days</t>
        </is>
      </c>
      <c r="F6" s="69" t="inlineStr">
        <is>
          <t>Amber - watch</t>
        </is>
      </c>
      <c r="G6" s="44" t="inlineStr">
        <is>
          <t>Procurement</t>
        </is>
      </c>
      <c r="H6" s="44" t="inlineStr">
        <is>
          <t>MSME payments being expedited</t>
        </is>
      </c>
    </row>
    <row r="7" ht="15" customHeight="1" s="39">
      <c r="A7" s="44" t="inlineStr">
        <is>
          <t>Inventory Days</t>
        </is>
      </c>
      <c r="B7" s="44" t="inlineStr">
        <is>
          <t>days</t>
        </is>
      </c>
      <c r="C7" s="44" t="inlineStr">
        <is>
          <t>45 days</t>
        </is>
      </c>
      <c r="D7" s="44" t="inlineStr">
        <is>
          <t>46 days</t>
        </is>
      </c>
      <c r="E7" s="44" t="inlineStr">
        <is>
          <t>47 days</t>
        </is>
      </c>
      <c r="F7" s="69" t="inlineStr">
        <is>
          <t>Amber</t>
        </is>
      </c>
      <c r="G7" s="44" t="inlineStr">
        <is>
          <t>SCM Head</t>
        </is>
      </c>
      <c r="H7" s="44" t="inlineStr">
        <is>
          <t>Buffer stock on steel</t>
        </is>
      </c>
    </row>
    <row r="8" ht="15" customHeight="1" s="39">
      <c r="A8" s="44" t="inlineStr">
        <is>
          <t>Cash Conversion Cycle</t>
        </is>
      </c>
      <c r="B8" s="44" t="inlineStr">
        <is>
          <t>days</t>
        </is>
      </c>
      <c r="C8" s="44" t="inlineStr">
        <is>
          <t>50 days</t>
        </is>
      </c>
      <c r="D8" s="44" t="inlineStr">
        <is>
          <t>62 days</t>
        </is>
      </c>
      <c r="E8" s="44" t="inlineStr">
        <is>
          <t>60 days</t>
        </is>
      </c>
      <c r="F8" s="68" t="inlineStr">
        <is>
          <t>RED - off track</t>
        </is>
      </c>
      <c r="G8" s="44" t="inlineStr">
        <is>
          <t>CFO Office</t>
        </is>
      </c>
      <c r="H8" s="44" t="n"/>
    </row>
    <row r="9" ht="15" customHeight="1" s="39">
      <c r="A9" s="44" t="inlineStr">
        <is>
          <t>Net Debt / LTM EBITDA</t>
        </is>
      </c>
      <c r="B9" s="44" t="inlineStr">
        <is>
          <t>x</t>
        </is>
      </c>
      <c r="C9" s="44" t="inlineStr">
        <is>
          <t>&lt;= 3.0x</t>
        </is>
      </c>
      <c r="D9" s="44" t="inlineStr">
        <is>
          <t>3.09x</t>
        </is>
      </c>
      <c r="E9" s="44" t="inlineStr">
        <is>
          <t>2.95x</t>
        </is>
      </c>
      <c r="F9" s="69" t="inlineStr">
        <is>
          <t>Amber - watch</t>
        </is>
      </c>
      <c r="G9" s="44" t="inlineStr">
        <is>
          <t>Treasury</t>
        </is>
      </c>
      <c r="H9" s="44" t="inlineStr">
        <is>
          <t>Covenant limit 3.5x</t>
        </is>
      </c>
    </row>
    <row r="10" ht="15" customHeight="1" s="39">
      <c r="A10" s="44" t="inlineStr">
        <is>
          <t>Interest Coverage (EBITDA / Finance cost)</t>
        </is>
      </c>
      <c r="B10" s="44" t="inlineStr">
        <is>
          <t>x</t>
        </is>
      </c>
      <c r="C10" s="44" t="inlineStr">
        <is>
          <t>&gt;= 3.5x</t>
        </is>
      </c>
      <c r="D10" s="44" t="inlineStr">
        <is>
          <t>3.35x</t>
        </is>
      </c>
      <c r="E10" s="44" t="n"/>
      <c r="F10" s="69" t="inlineStr">
        <is>
          <t>Amber - watch</t>
        </is>
      </c>
      <c r="G10" s="44" t="inlineStr">
        <is>
          <t>Treasury</t>
        </is>
      </c>
      <c r="H10" s="44" t="n"/>
    </row>
    <row r="11" ht="15" customHeight="1" s="39">
      <c r="A11" s="44" t="inlineStr">
        <is>
          <t>ROCE (LTM, pre-tax)</t>
        </is>
      </c>
      <c r="B11" s="44" t="inlineStr">
        <is>
          <t>%</t>
        </is>
      </c>
      <c r="C11" s="44" t="inlineStr">
        <is>
          <t>16%</t>
        </is>
      </c>
      <c r="D11" s="44" t="inlineStr">
        <is>
          <t>10.4%</t>
        </is>
      </c>
      <c r="E11" s="44" t="n"/>
      <c r="F11" s="69" t="inlineStr">
        <is>
          <t>Amber - watch</t>
        </is>
      </c>
      <c r="G11" s="44" t="inlineStr">
        <is>
          <t>CFO Office</t>
        </is>
      </c>
      <c r="H11" s="44" t="inlineStr">
        <is>
          <t>Capital employed = equity + debt</t>
        </is>
      </c>
    </row>
    <row r="12" ht="15" customHeight="1" s="39">
      <c r="A12" s="44" t="inlineStr">
        <is>
          <t>EBITDA Margin (Aug-26)</t>
        </is>
      </c>
      <c r="B12" s="44" t="inlineStr">
        <is>
          <t>%</t>
        </is>
      </c>
      <c r="C12" s="44" t="inlineStr">
        <is>
          <t>15.3%</t>
        </is>
      </c>
      <c r="D12" s="44" t="inlineStr">
        <is>
          <t>14.2%</t>
        </is>
      </c>
      <c r="E12" s="44" t="inlineStr">
        <is>
          <t>11.9%</t>
        </is>
      </c>
      <c r="F12" s="68" t="inlineStr">
        <is>
          <t>Red</t>
        </is>
      </c>
      <c r="G12" s="44" t="inlineStr">
        <is>
          <t>COO</t>
        </is>
      </c>
      <c r="H12" s="44" t="inlineStr">
        <is>
          <t>RM inflation not fully passed on</t>
        </is>
      </c>
    </row>
    <row r="13" ht="15" customHeight="1" s="39">
      <c r="A13" s="44" t="inlineStr">
        <is>
          <t>On-Time-In-Full (OTIF)</t>
        </is>
      </c>
      <c r="B13" s="44" t="inlineStr">
        <is>
          <t>%</t>
        </is>
      </c>
      <c r="C13" s="44" t="inlineStr">
        <is>
          <t>95%</t>
        </is>
      </c>
      <c r="D13" s="44" t="inlineStr">
        <is>
          <t>93.6%</t>
        </is>
      </c>
      <c r="E13" s="44" t="inlineStr">
        <is>
          <t>92.1%</t>
        </is>
      </c>
      <c r="F13" s="69" t="inlineStr">
        <is>
          <t>Amber</t>
        </is>
      </c>
      <c r="G13" s="44" t="inlineStr">
        <is>
          <t>SCM Head</t>
        </is>
      </c>
      <c r="H13" s="44" t="n"/>
    </row>
    <row r="14" ht="15" customHeight="1" s="39">
      <c r="A14" s="44" t="inlineStr">
        <is>
          <t>Rejection (customer PPM)</t>
        </is>
      </c>
      <c r="B14" s="44" t="inlineStr">
        <is>
          <t>PPM</t>
        </is>
      </c>
      <c r="C14" s="44" t="inlineStr">
        <is>
          <t>2000</t>
        </is>
      </c>
      <c r="D14" s="44" t="inlineStr">
        <is>
          <t>2,180</t>
        </is>
      </c>
      <c r="E14" s="44" t="inlineStr">
        <is>
          <t>2,340</t>
        </is>
      </c>
      <c r="F14" s="69" t="inlineStr">
        <is>
          <t>Amber - watch</t>
        </is>
      </c>
      <c r="G14" s="44" t="inlineStr">
        <is>
          <t>Quality Head</t>
        </is>
      </c>
      <c r="H14" s="44" t="inlineStr">
        <is>
          <t>Rajkot machining line</t>
        </is>
      </c>
    </row>
    <row r="15" ht="15" customHeight="1" s="39">
      <c r="A15" s="44" t="inlineStr">
        <is>
          <t>Order Book</t>
        </is>
      </c>
      <c r="B15" s="44" t="inlineStr">
        <is>
          <t>Rs. Cr</t>
        </is>
      </c>
      <c r="C15" s="44" t="inlineStr">
        <is>
          <t>Rs. 400 Cr</t>
        </is>
      </c>
      <c r="D15" s="44" t="inlineStr">
        <is>
          <t>Rs. 412.6 Cr</t>
        </is>
      </c>
      <c r="E15" s="44" t="inlineStr">
        <is>
          <t>Rs. 398.2 Cr</t>
        </is>
      </c>
      <c r="F15" s="70" t="inlineStr">
        <is>
          <t>GREEN - on track</t>
        </is>
      </c>
      <c r="G15" s="44" t="inlineStr">
        <is>
          <t>Sales Head</t>
        </is>
      </c>
      <c r="H15" s="44" t="n"/>
    </row>
    <row r="16" ht="15" customHeight="1" s="39">
      <c r="A16" s="44" t="inlineStr">
        <is>
          <t>Export share of revenue (Apr-Aug 26 extract)</t>
        </is>
      </c>
      <c r="B16" s="44" t="inlineStr">
        <is>
          <t>%</t>
        </is>
      </c>
      <c r="C16" s="44" t="inlineStr">
        <is>
          <t>20%</t>
        </is>
      </c>
      <c r="D16" s="44" t="inlineStr">
        <is>
          <t>14.7%</t>
        </is>
      </c>
      <c r="E16" s="44" t="n"/>
      <c r="F16" s="69" t="inlineStr">
        <is>
          <t>Amber</t>
        </is>
      </c>
      <c r="G16" s="44" t="inlineStr">
        <is>
          <t>Export Head</t>
        </is>
      </c>
      <c r="H16" s="44" t="n"/>
    </row>
    <row r="17" ht="15" customHeight="1" s="39">
      <c r="A17" s="44" t="inlineStr">
        <is>
          <t>Capex utilisation vs budget (YTD)</t>
        </is>
      </c>
      <c r="B17" s="44" t="inlineStr">
        <is>
          <t>%</t>
        </is>
      </c>
      <c r="C17" s="44" t="inlineStr">
        <is>
          <t>-</t>
        </is>
      </c>
      <c r="D17" s="44" t="inlineStr">
        <is>
          <t>78%</t>
        </is>
      </c>
      <c r="E17" s="44" t="inlineStr">
        <is>
          <t>71%</t>
        </is>
      </c>
      <c r="F17" s="70" t="inlineStr">
        <is>
          <t>Green</t>
        </is>
      </c>
      <c r="G17" s="44" t="inlineStr">
        <is>
          <t>Projects</t>
        </is>
      </c>
      <c r="H17" s="44" t="n"/>
    </row>
    <row r="18" ht="15" customHeight="1" s="39">
      <c r="A18" s="44" t="inlineStr">
        <is>
          <t>LTIFR (lost time injury freq.)</t>
        </is>
      </c>
      <c r="B18" s="44" t="inlineStr">
        <is>
          <t>rate</t>
        </is>
      </c>
      <c r="C18" s="44" t="inlineStr">
        <is>
          <t>&lt; 0.5</t>
        </is>
      </c>
      <c r="D18" s="44" t="inlineStr">
        <is>
          <t>0.41</t>
        </is>
      </c>
      <c r="E18" s="44" t="inlineStr">
        <is>
          <t>0.38</t>
        </is>
      </c>
      <c r="F18" s="70" t="inlineStr">
        <is>
          <t>GREEN - on track</t>
        </is>
      </c>
      <c r="G18" s="44" t="inlineStr">
        <is>
          <t>EHS Head</t>
        </is>
      </c>
      <c r="H18" s="44" t="inlineStr">
        <is>
          <t>1 reportable incident YTD</t>
        </is>
      </c>
    </row>
    <row r="19" ht="15" customHeight="1" s="39">
      <c r="A19" s="44" t="inlineStr">
        <is>
          <t>Power cost per tonne</t>
        </is>
      </c>
      <c r="B19" s="44" t="inlineStr">
        <is>
          <t>Rs.</t>
        </is>
      </c>
      <c r="C19" s="44" t="inlineStr">
        <is>
          <t>Rs. 6,900</t>
        </is>
      </c>
      <c r="D19" s="44" t="inlineStr">
        <is>
          <t>Rs. 7,240</t>
        </is>
      </c>
      <c r="E19" s="44" t="inlineStr">
        <is>
          <t>Rs. 7,410</t>
        </is>
      </c>
      <c r="F19" s="69" t="inlineStr">
        <is>
          <t>Amber - watch</t>
        </is>
      </c>
      <c r="G19" s="44" t="inlineStr">
        <is>
          <t>Plant Head - Pune</t>
        </is>
      </c>
      <c r="H19" s="4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38" min="1" max="1"/>
    <col width="24" customWidth="1" style="38" min="2" max="3"/>
    <col width="18" customWidth="1" style="38" min="4" max="4"/>
    <col width="22" customWidth="1" style="38" min="5" max="5"/>
    <col width="34" customWidth="1" style="38" min="6" max="6"/>
    <col width="18" customWidth="1" style="38" min="7" max="7"/>
    <col width="40" customWidth="1" style="38" min="8" max="8"/>
  </cols>
  <sheetData>
    <row r="1" ht="16.15" customHeight="1" s="39">
      <c r="A1" s="54" t="inlineStr">
        <is>
          <t>Borrowings &amp; Covenant Compliance - 31-Aug-2026</t>
        </is>
      </c>
    </row>
    <row r="2" ht="15" customHeight="1" s="39">
      <c r="A2" s="44" t="inlineStr">
        <is>
          <t>Rs. Crores</t>
        </is>
      </c>
    </row>
    <row r="4" ht="15" customHeight="1" s="39">
      <c r="A4" s="45" t="inlineStr">
        <is>
          <t>Facility</t>
        </is>
      </c>
      <c r="B4" s="45" t="inlineStr">
        <is>
          <t>Lender</t>
        </is>
      </c>
      <c r="C4" s="45" t="inlineStr">
        <is>
          <t>Type</t>
        </is>
      </c>
      <c r="D4" s="45" t="inlineStr">
        <is>
          <t>Sanctioned</t>
        </is>
      </c>
      <c r="E4" s="45" t="inlineStr">
        <is>
          <t>Outstanding</t>
        </is>
      </c>
      <c r="F4" s="45" t="inlineStr">
        <is>
          <t>Interest rate</t>
        </is>
      </c>
      <c r="G4" s="45" t="inlineStr">
        <is>
          <t>Maturity</t>
        </is>
      </c>
      <c r="H4" s="45" t="inlineStr">
        <is>
          <t>Security / Remarks</t>
        </is>
      </c>
    </row>
    <row r="5" ht="15" customHeight="1" s="39">
      <c r="A5" s="44" t="inlineStr">
        <is>
          <t>Term Loan 1</t>
        </is>
      </c>
      <c r="B5" s="44" t="inlineStr">
        <is>
          <t>State Bank of India</t>
        </is>
      </c>
      <c r="C5" s="44" t="inlineStr">
        <is>
          <t>Term Loan</t>
        </is>
      </c>
      <c r="D5" s="55" t="n">
        <v>190</v>
      </c>
      <c r="E5" s="55" t="n">
        <v>115.88</v>
      </c>
      <c r="F5" s="44" t="inlineStr">
        <is>
          <t>9.05% p.a. (1Y MCLR + 0.60%)</t>
        </is>
      </c>
      <c r="G5" s="44" t="inlineStr">
        <is>
          <t>Mar-2031</t>
        </is>
      </c>
      <c r="H5" s="44" t="inlineStr">
        <is>
          <t>First charge on Pune plant assets</t>
        </is>
      </c>
    </row>
    <row r="6" ht="15" customHeight="1" s="39">
      <c r="A6" s="44" t="inlineStr">
        <is>
          <t>Term Loan 2</t>
        </is>
      </c>
      <c r="B6" s="44" t="inlineStr">
        <is>
          <t>ICICI Bank</t>
        </is>
      </c>
      <c r="C6" s="44" t="inlineStr">
        <is>
          <t>Term Loan</t>
        </is>
      </c>
      <c r="D6" s="55" t="n">
        <v>105</v>
      </c>
      <c r="E6" s="55" t="n">
        <v>64.38</v>
      </c>
      <c r="F6" s="44" t="inlineStr">
        <is>
          <t>9.30% p.a. floating</t>
        </is>
      </c>
      <c r="G6" s="44" t="inlineStr">
        <is>
          <t>Dec-2029</t>
        </is>
      </c>
      <c r="H6" s="44" t="inlineStr">
        <is>
          <t>Chennai plant; DSRA maintained</t>
        </is>
      </c>
    </row>
    <row r="7" ht="15" customHeight="1" s="39">
      <c r="A7" s="44" t="inlineStr">
        <is>
          <t>Term Loan 3 (Foundry &amp; CNC)</t>
        </is>
      </c>
      <c r="B7" s="44" t="inlineStr">
        <is>
          <t>HDFC Bank</t>
        </is>
      </c>
      <c r="C7" s="44" t="inlineStr">
        <is>
          <t>Term Loan</t>
        </is>
      </c>
      <c r="D7" s="55" t="n">
        <v>125</v>
      </c>
      <c r="E7" s="55" t="n">
        <v>77.25</v>
      </c>
      <c r="F7" s="44" t="inlineStr">
        <is>
          <t>8.95% p.a. (Repo + 2.45%)</t>
        </is>
      </c>
      <c r="G7" s="44" t="inlineStr">
        <is>
          <t>Sep-2032</t>
        </is>
      </c>
      <c r="H7" s="44" t="inlineStr">
        <is>
          <t>Specific machinery</t>
        </is>
      </c>
    </row>
    <row r="8" ht="15" customHeight="1" s="39">
      <c r="A8" s="44" t="inlineStr">
        <is>
          <t>Cash Credit</t>
        </is>
      </c>
      <c r="B8" s="44" t="inlineStr">
        <is>
          <t>HDFC Bank</t>
        </is>
      </c>
      <c r="C8" s="44" t="inlineStr">
        <is>
          <t>Working Capital</t>
        </is>
      </c>
      <c r="D8" s="55" t="n">
        <v>50</v>
      </c>
      <c r="E8" s="55" t="n">
        <v>33.28</v>
      </c>
      <c r="F8" s="44" t="inlineStr">
        <is>
          <t>9.10% p.a.</t>
        </is>
      </c>
      <c r="G8" s="44" t="inlineStr">
        <is>
          <t>Renewal Mar-27</t>
        </is>
      </c>
      <c r="H8" s="44" t="inlineStr">
        <is>
          <t>Hypothecation of stock &amp; book debts</t>
        </is>
      </c>
    </row>
    <row r="9" ht="15" customHeight="1" s="39">
      <c r="A9" s="44" t="inlineStr">
        <is>
          <t>PCFC / Export Credit</t>
        </is>
      </c>
      <c r="B9" s="44" t="inlineStr">
        <is>
          <t>Axis Bank</t>
        </is>
      </c>
      <c r="C9" s="44" t="inlineStr">
        <is>
          <t>Working Capital (FCY)</t>
        </is>
      </c>
      <c r="D9" s="55" t="n">
        <v>35</v>
      </c>
      <c r="E9" s="55" t="n">
        <v>22.18</v>
      </c>
      <c r="F9" s="44" t="inlineStr">
        <is>
          <t>SOFR + 1.6% (approx 6.4%)</t>
        </is>
      </c>
      <c r="G9" s="44" t="inlineStr">
        <is>
          <t>Renewal Jan-27</t>
        </is>
      </c>
      <c r="H9" s="44" t="inlineStr">
        <is>
          <t>Export receivables</t>
        </is>
      </c>
    </row>
    <row r="10" ht="15" customHeight="1" s="39">
      <c r="A10" s="44" t="inlineStr">
        <is>
          <t>WCDL</t>
        </is>
      </c>
      <c r="B10" s="44" t="inlineStr">
        <is>
          <t>Kotak Mahindra Bank</t>
        </is>
      </c>
      <c r="C10" s="44" t="inlineStr">
        <is>
          <t>Working Capital</t>
        </is>
      </c>
      <c r="D10" s="55" t="n">
        <v>30</v>
      </c>
      <c r="E10" s="55" t="n">
        <v>18.48</v>
      </c>
      <c r="F10" s="44" t="inlineStr">
        <is>
          <t>9.00% p.a.</t>
        </is>
      </c>
      <c r="G10" s="44" t="inlineStr">
        <is>
          <t>Renewal Mar-27</t>
        </is>
      </c>
      <c r="H10" s="44" t="inlineStr">
        <is>
          <t>Pari-passu</t>
        </is>
      </c>
    </row>
    <row r="11" ht="15" customHeight="1" s="39">
      <c r="A11" s="42" t="inlineStr">
        <is>
          <t>TOTAL BORROWINGS</t>
        </is>
      </c>
      <c r="E11" s="71" t="n">
        <v>331.45</v>
      </c>
    </row>
    <row r="14" ht="15" customHeight="1" s="39">
      <c r="A14" s="42" t="inlineStr">
        <is>
          <t>FINANCIAL COVENANTS (tested quarterly on LTM basis)</t>
        </is>
      </c>
    </row>
    <row r="15" ht="15" customHeight="1" s="39">
      <c r="A15" s="45" t="inlineStr">
        <is>
          <t>Covenant</t>
        </is>
      </c>
      <c r="B15" s="45" t="inlineStr">
        <is>
          <t>Threshold</t>
        </is>
      </c>
      <c r="C15" s="45" t="inlineStr">
        <is>
          <t>Actual (Aug-26 LTM)</t>
        </is>
      </c>
      <c r="D15" s="45" t="inlineStr">
        <is>
          <t>Status</t>
        </is>
      </c>
      <c r="E15" s="45" t="inlineStr">
        <is>
          <t>Headroom / comment</t>
        </is>
      </c>
    </row>
    <row r="16" ht="15" customHeight="1" s="39">
      <c r="A16" s="44" t="inlineStr">
        <is>
          <t>Net Debt / EBITDA</t>
        </is>
      </c>
      <c r="B16" s="44" t="inlineStr">
        <is>
          <t>&lt;= 3.50x</t>
        </is>
      </c>
      <c r="C16" s="44" t="inlineStr">
        <is>
          <t>3.09x</t>
        </is>
      </c>
      <c r="D16" s="44" t="inlineStr">
        <is>
          <t>Compliant</t>
        </is>
      </c>
      <c r="E16" s="44" t="inlineStr">
        <is>
          <t>Tested by statutory auditor at half-year</t>
        </is>
      </c>
    </row>
    <row r="17" ht="15" customHeight="1" s="39">
      <c r="A17" s="44" t="inlineStr">
        <is>
          <t>DSCR</t>
        </is>
      </c>
      <c r="B17" s="44" t="inlineStr">
        <is>
          <t>&gt;= 1.25x</t>
        </is>
      </c>
      <c r="C17" s="44" t="inlineStr">
        <is>
          <t>1.62x</t>
        </is>
      </c>
      <c r="D17" s="44" t="inlineStr">
        <is>
          <t>Compliant</t>
        </is>
      </c>
      <c r="E17" s="44" t="inlineStr">
        <is>
          <t>Tested by statutory auditor at half-year</t>
        </is>
      </c>
    </row>
    <row r="18" ht="15" customHeight="1" s="39">
      <c r="A18" s="44" t="inlineStr">
        <is>
          <t>Current Ratio</t>
        </is>
      </c>
      <c r="B18" s="44" t="inlineStr">
        <is>
          <t>&gt;= 1.10x</t>
        </is>
      </c>
      <c r="C18" s="44" t="inlineStr">
        <is>
          <t>1.34x</t>
        </is>
      </c>
      <c r="D18" s="44" t="inlineStr">
        <is>
          <t>Compliant</t>
        </is>
      </c>
      <c r="E18" s="44" t="inlineStr">
        <is>
          <t>Tested by statutory auditor at half-year</t>
        </is>
      </c>
    </row>
    <row r="19" ht="15" customHeight="1" s="39">
      <c r="A19" s="44" t="inlineStr">
        <is>
          <t>TOL / TNW</t>
        </is>
      </c>
      <c r="B19" s="44" t="inlineStr">
        <is>
          <t>&lt;= 2.50x</t>
        </is>
      </c>
      <c r="C19" s="44" t="inlineStr">
        <is>
          <t>1.12x</t>
        </is>
      </c>
      <c r="D19" s="44" t="inlineStr">
        <is>
          <t>Compliant</t>
        </is>
      </c>
      <c r="E19" s="44" t="inlineStr">
        <is>
          <t>Tested by statutory auditor at half-year</t>
        </is>
      </c>
    </row>
    <row r="20" ht="15" customHeight="1" s="39">
      <c r="A20" s="44" t="inlineStr">
        <is>
          <t>Interest Cover (EBITDA / Interest)</t>
        </is>
      </c>
      <c r="B20" s="44" t="inlineStr">
        <is>
          <t>&gt;= 2.00x</t>
        </is>
      </c>
      <c r="C20" s="44" t="inlineStr">
        <is>
          <t>3.35x</t>
        </is>
      </c>
      <c r="D20" s="44" t="inlineStr">
        <is>
          <t>Compliant</t>
        </is>
      </c>
      <c r="E20" s="44" t="inlineStr">
        <is>
          <t>Tested by statutory auditor at half-year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8" min="1" max="1"/>
    <col width="40" customWidth="1" style="38" min="2" max="2"/>
    <col width="12" customWidth="1" style="38" min="3" max="3"/>
    <col width="18" customWidth="1" style="38" min="4" max="4"/>
    <col width="14" customWidth="1" style="38" min="5" max="9"/>
    <col width="9" customWidth="1" style="38" min="10" max="10"/>
    <col width="12" customWidth="1" style="38" min="11" max="11"/>
    <col width="14" customWidth="1" style="38" min="12" max="12"/>
    <col width="26" customWidth="1" style="38" min="13" max="13"/>
    <col width="16" customWidth="1" style="38" min="14" max="14"/>
  </cols>
  <sheetData>
    <row r="1" ht="16.15" customHeight="1" s="39">
      <c r="A1" s="54" t="inlineStr">
        <is>
          <t>CAPEX PROJECT TRACKER - as on 31-Aug-2026 (Rs. Lakhs)</t>
        </is>
      </c>
    </row>
    <row r="3" ht="35.05" customHeight="1" s="39">
      <c r="A3" s="67" t="inlineStr">
        <is>
          <t>Project ID</t>
        </is>
      </c>
      <c r="B3" s="67" t="inlineStr">
        <is>
          <t>Project</t>
        </is>
      </c>
      <c r="C3" s="67" t="inlineStr">
        <is>
          <t>Plant</t>
        </is>
      </c>
      <c r="D3" s="67" t="inlineStr">
        <is>
          <t>Category</t>
        </is>
      </c>
      <c r="E3" s="67" t="inlineStr">
        <is>
          <t>Approved Budget</t>
        </is>
      </c>
      <c r="F3" s="67" t="inlineStr">
        <is>
          <t>Spent till Mar-26</t>
        </is>
      </c>
      <c r="G3" s="67" t="inlineStr">
        <is>
          <t>Spent Apr-Aug 26</t>
        </is>
      </c>
      <c r="H3" s="67" t="inlineStr">
        <is>
          <t>Total Spent</t>
        </is>
      </c>
      <c r="I3" s="67" t="inlineStr">
        <is>
          <t>Balance</t>
        </is>
      </c>
      <c r="J3" s="67" t="inlineStr">
        <is>
          <t>% Spent</t>
        </is>
      </c>
      <c r="K3" s="67" t="inlineStr">
        <is>
          <t>Start</t>
        </is>
      </c>
      <c r="L3" s="67" t="inlineStr">
        <is>
          <t>Expected Commissioning</t>
        </is>
      </c>
      <c r="M3" s="67" t="inlineStr">
        <is>
          <t>Status</t>
        </is>
      </c>
      <c r="N3" s="67" t="inlineStr">
        <is>
          <t>Project Manager</t>
        </is>
      </c>
    </row>
    <row r="4" ht="15" customHeight="1" s="39">
      <c r="A4" s="44" t="inlineStr">
        <is>
          <t>CX-101</t>
        </is>
      </c>
      <c r="B4" s="44" t="inlineStr">
        <is>
          <t>CNC Machining Line - Pune Plant 2</t>
        </is>
      </c>
      <c r="C4" s="44" t="inlineStr">
        <is>
          <t>Pune</t>
        </is>
      </c>
      <c r="D4" s="44" t="inlineStr">
        <is>
          <t>Growth</t>
        </is>
      </c>
      <c r="E4" s="50" t="n">
        <v>4150</v>
      </c>
      <c r="F4" s="50" t="n">
        <v>2400</v>
      </c>
      <c r="G4" s="50" t="n">
        <v>824.61</v>
      </c>
      <c r="H4" s="50" t="n">
        <v>3224.61</v>
      </c>
      <c r="I4" s="50" t="n">
        <v>925.39</v>
      </c>
      <c r="J4" s="53" t="n">
        <v>0.777</v>
      </c>
      <c r="K4" s="44" t="inlineStr">
        <is>
          <t>01-Oct-25</t>
        </is>
      </c>
      <c r="L4" s="44" t="inlineStr">
        <is>
          <t>Jun-26</t>
        </is>
      </c>
      <c r="M4" s="44" t="inlineStr">
        <is>
          <t>Commissioned (stabilising)</t>
        </is>
      </c>
      <c r="N4" s="44" t="inlineStr">
        <is>
          <t>R. Patil</t>
        </is>
      </c>
    </row>
    <row r="5" ht="15" customHeight="1" s="39">
      <c r="A5" s="44" t="inlineStr">
        <is>
          <t>CX-102</t>
        </is>
      </c>
      <c r="B5" s="44" t="inlineStr">
        <is>
          <t>Foundry Induction Furnace Upgrade</t>
        </is>
      </c>
      <c r="C5" s="44" t="inlineStr">
        <is>
          <t>Pune</t>
        </is>
      </c>
      <c r="D5" s="44" t="inlineStr">
        <is>
          <t>Maintenance</t>
        </is>
      </c>
      <c r="E5" s="50" t="n">
        <v>2950</v>
      </c>
      <c r="F5" s="50" t="n">
        <v>2650</v>
      </c>
      <c r="G5" s="50" t="n">
        <v>253.72</v>
      </c>
      <c r="H5" s="50" t="n">
        <v>2903.72</v>
      </c>
      <c r="I5" s="50" t="n">
        <v>46.28</v>
      </c>
      <c r="J5" s="53" t="n">
        <v>0.984</v>
      </c>
      <c r="K5" s="44" t="inlineStr">
        <is>
          <t>Apr-25</t>
        </is>
      </c>
      <c r="L5" s="44" t="inlineStr">
        <is>
          <t>Oct-25</t>
        </is>
      </c>
      <c r="M5" s="44" t="inlineStr">
        <is>
          <t>Completed</t>
        </is>
      </c>
      <c r="N5" s="44" t="inlineStr">
        <is>
          <t>S. Bhide</t>
        </is>
      </c>
    </row>
    <row r="6" ht="15" customHeight="1" s="39">
      <c r="A6" s="44" t="inlineStr">
        <is>
          <t>CX-103</t>
        </is>
      </c>
      <c r="B6" s="44" t="inlineStr">
        <is>
          <t>Rooftop Solar 4 MWp</t>
        </is>
      </c>
      <c r="C6" s="44" t="inlineStr">
        <is>
          <t>Rajkot</t>
        </is>
      </c>
      <c r="D6" s="44" t="inlineStr">
        <is>
          <t>Compliance / ESG</t>
        </is>
      </c>
      <c r="E6" s="50" t="n">
        <v>1100</v>
      </c>
      <c r="F6" s="50" t="n">
        <v>0</v>
      </c>
      <c r="G6" s="50" t="n">
        <v>697.74</v>
      </c>
      <c r="H6" s="50" t="n">
        <v>697.74</v>
      </c>
      <c r="I6" s="50" t="n">
        <v>402.26</v>
      </c>
      <c r="J6" s="53" t="n">
        <v>0.634</v>
      </c>
      <c r="K6" s="44" t="inlineStr">
        <is>
          <t>Jan-26</t>
        </is>
      </c>
      <c r="L6" s="44" t="inlineStr">
        <is>
          <t>Dec-26</t>
        </is>
      </c>
      <c r="M6" s="44" t="inlineStr">
        <is>
          <t>In progress</t>
        </is>
      </c>
      <c r="N6" s="44" t="inlineStr">
        <is>
          <t>H. Trivedi</t>
        </is>
      </c>
    </row>
    <row r="7" ht="15" customHeight="1" s="39">
      <c r="A7" s="44" t="inlineStr">
        <is>
          <t>CX-104</t>
        </is>
      </c>
      <c r="B7" s="44" t="inlineStr">
        <is>
          <t>SAP S/4HANA Migration</t>
        </is>
      </c>
      <c r="C7" s="44" t="inlineStr">
        <is>
          <t>Corporate</t>
        </is>
      </c>
      <c r="D7" s="44" t="inlineStr">
        <is>
          <t>Digital</t>
        </is>
      </c>
      <c r="E7" s="50" t="n">
        <v>1450</v>
      </c>
      <c r="F7" s="50" t="n">
        <v>300</v>
      </c>
      <c r="G7" s="50" t="n">
        <v>475.73</v>
      </c>
      <c r="H7" s="50" t="n">
        <v>775.73</v>
      </c>
      <c r="I7" s="50" t="n">
        <v>674.27</v>
      </c>
      <c r="J7" s="53" t="n">
        <v>0.535</v>
      </c>
      <c r="K7" s="44" t="inlineStr">
        <is>
          <t>Jul-25</t>
        </is>
      </c>
      <c r="L7" s="44" t="inlineStr">
        <is>
          <t>Mar-27</t>
        </is>
      </c>
      <c r="M7" s="44" t="inlineStr">
        <is>
          <t>In progress - delayed</t>
        </is>
      </c>
      <c r="N7" s="44" t="inlineStr">
        <is>
          <t>A. Menon</t>
        </is>
      </c>
    </row>
    <row r="8" ht="15" customHeight="1" s="39">
      <c r="A8" s="44" t="inlineStr">
        <is>
          <t>CX-105</t>
        </is>
      </c>
      <c r="B8" s="44" t="inlineStr">
        <is>
          <t>2000T Die-Casting Machine</t>
        </is>
      </c>
      <c r="C8" s="44" t="inlineStr">
        <is>
          <t>Chennai</t>
        </is>
      </c>
      <c r="D8" s="44" t="inlineStr">
        <is>
          <t>Growth</t>
        </is>
      </c>
      <c r="E8" s="50" t="n">
        <v>1800</v>
      </c>
      <c r="F8" s="50" t="n">
        <v>100</v>
      </c>
      <c r="G8" s="50" t="n">
        <v>792.89</v>
      </c>
      <c r="H8" s="50" t="n">
        <v>892.89</v>
      </c>
      <c r="I8" s="50" t="n">
        <v>907.11</v>
      </c>
      <c r="J8" s="53" t="n">
        <v>0.496</v>
      </c>
      <c r="K8" s="44" t="inlineStr">
        <is>
          <t>Nov-25</t>
        </is>
      </c>
      <c r="L8" s="44" t="inlineStr">
        <is>
          <t>Feb-27</t>
        </is>
      </c>
      <c r="M8" s="44" t="inlineStr">
        <is>
          <t>Order placed</t>
        </is>
      </c>
      <c r="N8" s="44" t="inlineStr">
        <is>
          <t>K. Selvam</t>
        </is>
      </c>
    </row>
    <row r="9" ht="15" customHeight="1" s="39">
      <c r="A9" s="44" t="inlineStr">
        <is>
          <t>CX-106</t>
        </is>
      </c>
      <c r="B9" s="44" t="inlineStr">
        <is>
          <t>Robotic Welding Cell</t>
        </is>
      </c>
      <c r="C9" s="44" t="inlineStr">
        <is>
          <t>Chennai</t>
        </is>
      </c>
      <c r="D9" s="44" t="inlineStr">
        <is>
          <t>Growth</t>
        </is>
      </c>
      <c r="E9" s="50" t="n">
        <v>700</v>
      </c>
      <c r="F9" s="50" t="n">
        <v>60</v>
      </c>
      <c r="G9" s="50" t="n">
        <v>317.16</v>
      </c>
      <c r="H9" s="50" t="n">
        <v>377.16</v>
      </c>
      <c r="I9" s="50" t="n">
        <v>322.84</v>
      </c>
      <c r="J9" s="53" t="n">
        <v>0.539</v>
      </c>
      <c r="K9" s="44" t="inlineStr">
        <is>
          <t>Sep-25</t>
        </is>
      </c>
      <c r="L9" s="44" t="inlineStr">
        <is>
          <t>Nov-26</t>
        </is>
      </c>
      <c r="M9" s="44" t="inlineStr">
        <is>
          <t>In progress</t>
        </is>
      </c>
      <c r="N9" s="44" t="inlineStr">
        <is>
          <t>K. Selvam</t>
        </is>
      </c>
    </row>
    <row r="10" ht="15" customHeight="1" s="39">
      <c r="A10" s="44" t="inlineStr">
        <is>
          <t>CX-107</t>
        </is>
      </c>
      <c r="B10" s="44" t="inlineStr">
        <is>
          <t>EV Programme Tooling</t>
        </is>
      </c>
      <c r="C10" s="44" t="inlineStr">
        <is>
          <t>Pune</t>
        </is>
      </c>
      <c r="D10" s="44" t="inlineStr">
        <is>
          <t>Growth</t>
        </is>
      </c>
      <c r="E10" s="50" t="n">
        <v>950</v>
      </c>
      <c r="F10" s="50" t="n">
        <v>0</v>
      </c>
      <c r="G10" s="50" t="n">
        <v>444.02</v>
      </c>
      <c r="H10" s="50" t="n">
        <v>444.02</v>
      </c>
      <c r="I10" s="50" t="n">
        <v>505.98</v>
      </c>
      <c r="J10" s="53" t="n">
        <v>0.467</v>
      </c>
      <c r="K10" s="44" t="inlineStr">
        <is>
          <t>Jan-26</t>
        </is>
      </c>
      <c r="L10" s="44" t="inlineStr">
        <is>
          <t>Mar-27</t>
        </is>
      </c>
      <c r="M10" s="44" t="inlineStr">
        <is>
          <t>In progress</t>
        </is>
      </c>
      <c r="N10" s="44" t="inlineStr">
        <is>
          <t>R. Patil</t>
        </is>
      </c>
    </row>
    <row r="11" ht="15" customHeight="1" s="39">
      <c r="A11" s="44" t="inlineStr">
        <is>
          <t>CX-108</t>
        </is>
      </c>
      <c r="B11" s="44" t="inlineStr">
        <is>
          <t>Effluent Treatment Plant Expansion</t>
        </is>
      </c>
      <c r="C11" s="44" t="inlineStr">
        <is>
          <t>Chennai</t>
        </is>
      </c>
      <c r="D11" s="44" t="inlineStr">
        <is>
          <t>Compliance / ESG</t>
        </is>
      </c>
      <c r="E11" s="50" t="n">
        <v>400</v>
      </c>
      <c r="F11" s="50" t="n">
        <v>40</v>
      </c>
      <c r="G11" s="50" t="n">
        <v>190.29</v>
      </c>
      <c r="H11" s="50" t="n">
        <v>230.29</v>
      </c>
      <c r="I11" s="50" t="n">
        <v>169.71</v>
      </c>
      <c r="J11" s="53" t="n">
        <v>0.576</v>
      </c>
      <c r="K11" s="44" t="inlineStr">
        <is>
          <t>Feb-26</t>
        </is>
      </c>
      <c r="L11" s="44" t="inlineStr">
        <is>
          <t>Sep-26</t>
        </is>
      </c>
      <c r="M11" s="44" t="inlineStr">
        <is>
          <t>Near completion</t>
        </is>
      </c>
      <c r="N11" s="44" t="inlineStr">
        <is>
          <t>V. Ramesh</t>
        </is>
      </c>
    </row>
    <row r="12" ht="15" customHeight="1" s="39">
      <c r="A12" s="44" t="inlineStr">
        <is>
          <t>CX-109</t>
        </is>
      </c>
      <c r="B12" s="44" t="inlineStr">
        <is>
          <t>Warehouse Automation (AS/RS)</t>
        </is>
      </c>
      <c r="C12" s="44" t="inlineStr">
        <is>
          <t>Rajkot</t>
        </is>
      </c>
      <c r="D12" s="44" t="inlineStr">
        <is>
          <t>Digital</t>
        </is>
      </c>
      <c r="E12" s="50" t="n">
        <v>400</v>
      </c>
      <c r="F12" s="50" t="n">
        <v>0</v>
      </c>
      <c r="G12" s="50" t="n">
        <v>0</v>
      </c>
      <c r="H12" s="50" t="n">
        <v>0</v>
      </c>
      <c r="I12" s="50" t="n">
        <v>400</v>
      </c>
      <c r="J12" s="53" t="n">
        <v>0</v>
      </c>
      <c r="K12" s="44" t="inlineStr">
        <is>
          <t>Aug-26</t>
        </is>
      </c>
      <c r="L12" s="44" t="inlineStr">
        <is>
          <t>Jun-27</t>
        </is>
      </c>
      <c r="M12" s="44" t="inlineStr">
        <is>
          <t>Not started</t>
        </is>
      </c>
      <c r="N12" s="44" t="inlineStr">
        <is>
          <t>H. Trivedi</t>
        </is>
      </c>
    </row>
    <row r="13" ht="15" customHeight="1" s="39">
      <c r="A13" s="44" t="inlineStr">
        <is>
          <t>CX-110</t>
        </is>
      </c>
      <c r="B13" s="44" t="inlineStr">
        <is>
          <t>R&amp;D Metallurgy Lab</t>
        </is>
      </c>
      <c r="C13" s="44" t="inlineStr">
        <is>
          <t>Pune</t>
        </is>
      </c>
      <c r="D13" s="44" t="inlineStr">
        <is>
          <t>Growth</t>
        </is>
      </c>
      <c r="E13" s="50" t="n">
        <v>350</v>
      </c>
      <c r="F13" s="50" t="n">
        <v>0</v>
      </c>
      <c r="G13" s="50" t="n">
        <v>158.58</v>
      </c>
      <c r="H13" s="50" t="n">
        <v>158.58</v>
      </c>
      <c r="I13" s="50" t="n">
        <v>191.42</v>
      </c>
      <c r="J13" s="53" t="n">
        <v>0.453</v>
      </c>
      <c r="K13" s="44" t="inlineStr">
        <is>
          <t>Mar-26</t>
        </is>
      </c>
      <c r="L13" s="44" t="inlineStr">
        <is>
          <t>Dec-26</t>
        </is>
      </c>
      <c r="M13" s="44" t="inlineStr">
        <is>
          <t>In progress</t>
        </is>
      </c>
      <c r="N13" s="44" t="inlineStr">
        <is>
          <t>Dr. P. Sen</t>
        </is>
      </c>
    </row>
    <row r="15" ht="15" customHeight="1" s="39">
      <c r="B15" s="42" t="inlineStr">
        <is>
          <t>Total (Apr-Aug 26 spend ties to Cash Flow capex)</t>
        </is>
      </c>
      <c r="G15" s="51" t="n">
        <v>4154.74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1" max="1"/>
    <col width="12" customWidth="1" style="38" min="2" max="2"/>
    <col width="13" customWidth="1" style="38" min="3" max="3"/>
    <col width="15" customWidth="1" style="38" min="4" max="4"/>
    <col width="38" customWidth="1" style="38" min="5" max="5"/>
    <col width="15" customWidth="1" style="38" min="6" max="6"/>
    <col width="40" customWidth="1" style="38" min="7" max="7"/>
  </cols>
  <sheetData>
    <row r="1" ht="16.15" customHeight="1" s="39">
      <c r="A1" s="54" t="inlineStr">
        <is>
          <t>STATUTORY COMPLIANCE TRACKER (GST / TDS / PF-ESI / Income Tax / MCA)</t>
        </is>
      </c>
    </row>
    <row r="2" ht="15" customHeight="1" s="39">
      <c r="A2" s="44" t="inlineStr">
        <is>
          <t>Status as on 31-Aug-2026 | Amounts Rs. Lakhs</t>
        </is>
      </c>
    </row>
    <row r="3"/>
    <row r="4" ht="15" customHeight="1" s="39">
      <c r="A4" s="45" t="inlineStr">
        <is>
          <t>Compliance</t>
        </is>
      </c>
      <c r="B4" s="45" t="inlineStr">
        <is>
          <t>Period</t>
        </is>
      </c>
      <c r="C4" s="45" t="inlineStr">
        <is>
          <t>Due Date</t>
        </is>
      </c>
      <c r="D4" s="45" t="inlineStr">
        <is>
          <t>Filed / Paid On</t>
        </is>
      </c>
      <c r="E4" s="45" t="inlineStr">
        <is>
          <t>Status</t>
        </is>
      </c>
      <c r="F4" s="45" t="inlineStr">
        <is>
          <t>Amount (Rs. L)</t>
        </is>
      </c>
      <c r="G4" s="45" t="inlineStr">
        <is>
          <t>Remarks</t>
        </is>
      </c>
    </row>
    <row r="5" ht="15" customHeight="1" s="39">
      <c r="A5" s="44" t="inlineStr">
        <is>
          <t>GSTR-1</t>
        </is>
      </c>
      <c r="B5" s="44" t="inlineStr">
        <is>
          <t>Jun-26</t>
        </is>
      </c>
      <c r="C5" s="61" t="n">
        <v>46214</v>
      </c>
      <c r="D5" s="44" t="inlineStr">
        <is>
          <t>07/07/2026</t>
        </is>
      </c>
      <c r="E5" s="44" t="inlineStr">
        <is>
          <t>Filed on time</t>
        </is>
      </c>
    </row>
    <row r="6" ht="15" customHeight="1" s="39">
      <c r="A6" s="44" t="inlineStr">
        <is>
          <t>GSTR-3B</t>
        </is>
      </c>
      <c r="B6" s="44" t="inlineStr">
        <is>
          <t>Jun-26</t>
        </is>
      </c>
      <c r="C6" s="61" t="n">
        <v>46223</v>
      </c>
      <c r="D6" s="61" t="n">
        <v>46222</v>
      </c>
      <c r="E6" s="44" t="inlineStr">
        <is>
          <t>Filed on time</t>
        </is>
      </c>
      <c r="F6" s="50" t="n">
        <v>347.85</v>
      </c>
    </row>
    <row r="7" ht="15" customHeight="1" s="39">
      <c r="A7" s="44" t="inlineStr">
        <is>
          <t>TDS Deposit</t>
        </is>
      </c>
      <c r="B7" s="44" t="inlineStr">
        <is>
          <t>Jun-26</t>
        </is>
      </c>
      <c r="C7" s="44" t="inlineStr">
        <is>
          <t>07-Jul-26</t>
        </is>
      </c>
      <c r="D7" s="61" t="n">
        <v>46213</v>
      </c>
      <c r="E7" s="44" t="inlineStr">
        <is>
          <t>Filed - LATE (interest/late fee paid)</t>
        </is>
      </c>
      <c r="F7" s="50" t="n">
        <v>111.75</v>
      </c>
      <c r="G7" s="44" t="inlineStr">
        <is>
          <t>Interest paid</t>
        </is>
      </c>
    </row>
    <row r="8" ht="15" customHeight="1" s="39">
      <c r="A8" s="44" t="inlineStr">
        <is>
          <t>PF &amp; ESI</t>
        </is>
      </c>
      <c r="B8" s="44" t="inlineStr">
        <is>
          <t>Jun-26</t>
        </is>
      </c>
      <c r="C8" s="61" t="n">
        <v>46218</v>
      </c>
      <c r="D8" s="44" t="inlineStr">
        <is>
          <t>11-Jul-26</t>
        </is>
      </c>
      <c r="E8" s="44" t="inlineStr">
        <is>
          <t>Filed on time</t>
        </is>
      </c>
      <c r="F8" s="50" t="n">
        <v>61.33</v>
      </c>
    </row>
    <row r="9" ht="15" customHeight="1" s="39">
      <c r="A9" s="44" t="inlineStr">
        <is>
          <t>GSTR-1</t>
        </is>
      </c>
      <c r="B9" s="44" t="inlineStr">
        <is>
          <t>Jul-26</t>
        </is>
      </c>
      <c r="C9" s="44" t="inlineStr">
        <is>
          <t>11-Aug-26</t>
        </is>
      </c>
      <c r="D9" s="61" t="n">
        <v>46241</v>
      </c>
      <c r="E9" s="44" t="inlineStr">
        <is>
          <t>Filed on time</t>
        </is>
      </c>
    </row>
    <row r="10" ht="15" customHeight="1" s="39">
      <c r="A10" s="44" t="inlineStr">
        <is>
          <t>GSTR-3B</t>
        </is>
      </c>
      <c r="B10" s="44" t="inlineStr">
        <is>
          <t>Jul-26</t>
        </is>
      </c>
      <c r="C10" s="44" t="inlineStr">
        <is>
          <t>20-Aug-26</t>
        </is>
      </c>
      <c r="D10" s="44" t="inlineStr">
        <is>
          <t>16/08/2026</t>
        </is>
      </c>
      <c r="E10" s="44" t="inlineStr">
        <is>
          <t>Filed on time</t>
        </is>
      </c>
      <c r="F10" s="50" t="n">
        <v>414.72</v>
      </c>
    </row>
    <row r="11" ht="15" customHeight="1" s="39">
      <c r="A11" s="44" t="inlineStr">
        <is>
          <t>TDS Deposit</t>
        </is>
      </c>
      <c r="B11" s="44" t="inlineStr">
        <is>
          <t>Jul-26</t>
        </is>
      </c>
      <c r="C11" s="61" t="n">
        <v>46241</v>
      </c>
      <c r="D11" s="44" t="inlineStr">
        <is>
          <t>03/08/2026</t>
        </is>
      </c>
      <c r="E11" s="44" t="inlineStr">
        <is>
          <t>Filed on time</t>
        </is>
      </c>
      <c r="F11" s="50" t="n">
        <v>100.74</v>
      </c>
    </row>
    <row r="12" ht="15" customHeight="1" s="39">
      <c r="A12" s="44" t="inlineStr">
        <is>
          <t>PF &amp; ESI</t>
        </is>
      </c>
      <c r="B12" s="44" t="inlineStr">
        <is>
          <t>Jul-26</t>
        </is>
      </c>
      <c r="C12" s="61" t="n">
        <v>46249</v>
      </c>
      <c r="D12" s="44" t="inlineStr">
        <is>
          <t>18-Aug-26</t>
        </is>
      </c>
      <c r="E12" s="44" t="inlineStr">
        <is>
          <t>Filed - LATE (interest/late fee paid)</t>
        </is>
      </c>
      <c r="F12" s="50" t="n">
        <v>61.94</v>
      </c>
      <c r="G12" s="44" t="inlineStr">
        <is>
          <t>Interest paid</t>
        </is>
      </c>
    </row>
    <row r="13" ht="15" customHeight="1" s="39">
      <c r="A13" s="44" t="inlineStr">
        <is>
          <t>TDS Return 24Q/26Q</t>
        </is>
      </c>
      <c r="B13" s="44" t="inlineStr">
        <is>
          <t>Q4 FY26</t>
        </is>
      </c>
      <c r="C13" s="61" t="n">
        <v>46173</v>
      </c>
      <c r="D13" s="44" t="inlineStr">
        <is>
          <t>29-May-26</t>
        </is>
      </c>
      <c r="E13" s="44" t="inlineStr">
        <is>
          <t>Filed on time</t>
        </is>
      </c>
    </row>
    <row r="14" ht="15" customHeight="1" s="39">
      <c r="A14" s="44" t="inlineStr">
        <is>
          <t>TDS Return 24Q/26Q</t>
        </is>
      </c>
      <c r="B14" s="44" t="inlineStr">
        <is>
          <t>Q1 FY27</t>
        </is>
      </c>
      <c r="C14" s="44" t="inlineStr">
        <is>
          <t>31/07/2026</t>
        </is>
      </c>
      <c r="D14" s="44" t="inlineStr">
        <is>
          <t>30/07/2026</t>
        </is>
      </c>
      <c r="E14" s="44" t="inlineStr">
        <is>
          <t>Filed on time</t>
        </is>
      </c>
    </row>
    <row r="15" ht="15" customHeight="1" s="39">
      <c r="A15" s="44" t="inlineStr">
        <is>
          <t>Advance Tax - Instalment 1 (15%)</t>
        </is>
      </c>
      <c r="B15" s="44" t="inlineStr">
        <is>
          <t>FY27</t>
        </is>
      </c>
      <c r="C15" s="44" t="inlineStr">
        <is>
          <t>15-Jun-26</t>
        </is>
      </c>
      <c r="D15" s="44" t="inlineStr">
        <is>
          <t>13-Jun-26</t>
        </is>
      </c>
      <c r="E15" s="44" t="inlineStr">
        <is>
          <t>Paid</t>
        </is>
      </c>
      <c r="F15" s="50" t="n">
        <v>172.5</v>
      </c>
    </row>
    <row r="16" ht="15" customHeight="1" s="39">
      <c r="A16" s="44" t="inlineStr">
        <is>
          <t>Advance Tax - Instalment 2 (45% cum.)</t>
        </is>
      </c>
      <c r="B16" s="44" t="inlineStr">
        <is>
          <t>FY27</t>
        </is>
      </c>
      <c r="C16" s="61" t="n">
        <v>46280</v>
      </c>
      <c r="E16" s="44" t="inlineStr">
        <is>
          <t>Upcoming - due</t>
        </is>
      </c>
      <c r="F16" s="50" t="n">
        <v>345</v>
      </c>
      <c r="G16" s="44" t="inlineStr">
        <is>
          <t>Cash planning required</t>
        </is>
      </c>
    </row>
    <row r="17" ht="15" customHeight="1" s="39">
      <c r="A17" s="44" t="inlineStr">
        <is>
          <t>GSTR-1</t>
        </is>
      </c>
      <c r="B17" s="44" t="inlineStr">
        <is>
          <t>Aug-26</t>
        </is>
      </c>
      <c r="C17" s="61" t="n">
        <v>46276</v>
      </c>
      <c r="E17" s="44" t="inlineStr">
        <is>
          <t>Upcoming - due</t>
        </is>
      </c>
    </row>
    <row r="18" ht="15" customHeight="1" s="39">
      <c r="A18" s="44" t="inlineStr">
        <is>
          <t>GSTR-3B</t>
        </is>
      </c>
      <c r="B18" s="44" t="inlineStr">
        <is>
          <t>Aug-26</t>
        </is>
      </c>
      <c r="C18" s="61" t="n">
        <v>46285</v>
      </c>
      <c r="E18" s="44" t="inlineStr">
        <is>
          <t>Upcoming - due</t>
        </is>
      </c>
      <c r="F18" s="50" t="n">
        <v>455</v>
      </c>
      <c r="G18" s="44" t="inlineStr">
        <is>
          <t>Estimated liability</t>
        </is>
      </c>
    </row>
    <row r="19" ht="15" customHeight="1" s="39">
      <c r="A19" s="44" t="inlineStr">
        <is>
          <t>Tax Audit Report (Form 3CD)</t>
        </is>
      </c>
      <c r="B19" s="44" t="inlineStr">
        <is>
          <t>FY26</t>
        </is>
      </c>
      <c r="C19" s="61" t="n">
        <v>46295</v>
      </c>
      <c r="E19" s="44" t="inlineStr">
        <is>
          <t>In progress</t>
        </is>
      </c>
      <c r="G19" s="44" t="inlineStr">
        <is>
          <t>Auditor: MSKA &amp; Co (dummy)</t>
        </is>
      </c>
    </row>
    <row r="20" ht="15" customHeight="1" s="39">
      <c r="A20" s="44" t="inlineStr">
        <is>
          <t>Annual General Meeting</t>
        </is>
      </c>
      <c r="B20" s="44" t="inlineStr">
        <is>
          <t>FY26</t>
        </is>
      </c>
      <c r="C20" s="44" t="inlineStr">
        <is>
          <t>30-Sep-26</t>
        </is>
      </c>
      <c r="E20" s="44" t="inlineStr">
        <is>
          <t>Scheduled</t>
        </is>
      </c>
      <c r="G20" s="44" t="inlineStr">
        <is>
          <t>Notice issued 22-Aug-26</t>
        </is>
      </c>
    </row>
    <row r="21" ht="15" customHeight="1" s="39">
      <c r="A21" s="44" t="inlineStr">
        <is>
          <t>MSME-1 Half-yearly Return</t>
        </is>
      </c>
      <c r="B21" s="44" t="inlineStr">
        <is>
          <t>Apr-Sep 26</t>
        </is>
      </c>
      <c r="C21" s="61" t="n">
        <v>46326</v>
      </c>
      <c r="E21" s="44" t="inlineStr">
        <is>
          <t>Not started</t>
        </is>
      </c>
      <c r="G21" s="44" t="inlineStr">
        <is>
          <t>Requires MSME &gt;45d list</t>
        </is>
      </c>
    </row>
    <row r="22" ht="15" customHeight="1" s="39">
      <c r="A22" s="44" t="inlineStr">
        <is>
          <t>ROC - AOC-4 / MGT-7</t>
        </is>
      </c>
      <c r="B22" s="44" t="inlineStr">
        <is>
          <t>FY26</t>
        </is>
      </c>
      <c r="C22" s="61" t="n">
        <v>46325</v>
      </c>
      <c r="E22" s="44" t="inlineStr">
        <is>
          <t>Not started</t>
        </is>
      </c>
      <c r="G22" s="44" t="inlineStr">
        <is>
          <t>Within 30 days of AGM</t>
        </is>
      </c>
    </row>
    <row r="23" ht="15" customHeight="1" s="39"/>
    <row r="24" ht="15" customHeight="1" s="39"/>
    <row r="25" ht="15" customHeight="1" s="39"/>
    <row r="26" ht="15" customHeight="1" s="39"/>
    <row r="27" ht="15" customHeight="1" s="39"/>
    <row r="28" ht="15" customHeight="1" s="39"/>
    <row r="29" ht="15" customHeight="1" s="39"/>
    <row r="30" ht="15" customHeight="1" s="39"/>
    <row r="31" ht="15" customHeight="1" s="39"/>
    <row r="32" ht="15" customHeight="1" s="39"/>
    <row r="33" ht="15" customHeight="1" s="39"/>
    <row r="34" ht="15" customHeight="1" s="39"/>
    <row r="35" ht="15" customHeight="1" s="39"/>
    <row r="36" ht="15" customHeight="1" s="39"/>
    <row r="37" ht="15" customHeight="1" s="39"/>
    <row r="38" ht="15" customHeight="1" s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8" min="1" max="1"/>
    <col width="16" customWidth="1" style="38" min="2" max="2"/>
    <col width="20" customWidth="1" style="38" min="3" max="3"/>
    <col width="18" customWidth="1" style="38" min="4" max="4"/>
    <col width="20" customWidth="1" style="38" min="5" max="5"/>
    <col width="16" customWidth="1" style="38" min="6" max="6"/>
    <col width="12" customWidth="1" style="38" min="7" max="7"/>
    <col width="20" customWidth="1" style="38" min="8" max="8"/>
    <col width="18" customWidth="1" style="38" min="9" max="9"/>
  </cols>
  <sheetData>
    <row r="1" ht="16.15" customHeight="1" s="39">
      <c r="A1" s="54" t="inlineStr">
        <is>
          <t>FOREX EXPOSURE &amp; HEDGING - 31-Aug-2026</t>
        </is>
      </c>
    </row>
    <row r="2" ht="15" customHeight="1" s="39">
      <c r="A2" s="44" t="inlineStr">
        <is>
          <t>Foreign currency amounts in FCY units; INR in Rs. Lakhs. Spot rates are indicative (dummy).</t>
        </is>
      </c>
    </row>
    <row r="4" ht="15" customHeight="1" s="39">
      <c r="A4" s="67" t="inlineStr">
        <is>
          <t>Currency</t>
        </is>
      </c>
      <c r="B4" s="67" t="inlineStr">
        <is>
          <t>Spot 31-Aug-26</t>
        </is>
      </c>
      <c r="C4" s="67" t="inlineStr">
        <is>
          <t>Receivables (FCY)</t>
        </is>
      </c>
      <c r="D4" s="67" t="inlineStr">
        <is>
          <t>Payables (FCY)</t>
        </is>
      </c>
      <c r="E4" s="67" t="inlineStr">
        <is>
          <t>Net Exposure (FCY)</t>
        </is>
      </c>
      <c r="F4" s="67" t="inlineStr">
        <is>
          <t>Hedged (FCY)</t>
        </is>
      </c>
      <c r="G4" s="67" t="inlineStr">
        <is>
          <t>Hedge %</t>
        </is>
      </c>
      <c r="H4" s="67" t="inlineStr">
        <is>
          <t>Net Exposure (Rs. L)</t>
        </is>
      </c>
      <c r="I4" s="67" t="inlineStr">
        <is>
          <t>Unhedged (Rs. L)</t>
        </is>
      </c>
    </row>
    <row r="5" ht="15" customHeight="1" s="39">
      <c r="A5" s="44" t="inlineStr">
        <is>
          <t>USD</t>
        </is>
      </c>
      <c r="B5" s="44" t="n">
        <v>88.40000000000001</v>
      </c>
      <c r="C5" s="72" t="n">
        <v>778392</v>
      </c>
      <c r="D5" s="72" t="n">
        <v>420000</v>
      </c>
      <c r="E5" s="72" t="n">
        <v>358392</v>
      </c>
      <c r="F5" s="72" t="n">
        <v>254000</v>
      </c>
      <c r="G5" s="53" t="n">
        <v>0.709</v>
      </c>
      <c r="H5" s="50" t="n">
        <v>316.82</v>
      </c>
      <c r="I5" s="50" t="n">
        <v>92.28</v>
      </c>
    </row>
    <row r="6" ht="15" customHeight="1" s="39">
      <c r="A6" s="44" t="inlineStr">
        <is>
          <t>EUR</t>
        </is>
      </c>
      <c r="B6" s="44" t="n">
        <v>103.2</v>
      </c>
      <c r="C6" s="72" t="n">
        <v>1222397</v>
      </c>
      <c r="D6" s="72" t="n">
        <v>260000</v>
      </c>
      <c r="E6" s="72" t="n">
        <v>962397</v>
      </c>
      <c r="F6" s="72" t="n">
        <v>599000</v>
      </c>
      <c r="G6" s="53" t="n">
        <v>0.622</v>
      </c>
      <c r="H6" s="50" t="n">
        <v>993.1900000000001</v>
      </c>
      <c r="I6" s="50" t="n">
        <v>375.03</v>
      </c>
    </row>
    <row r="7" ht="15" customHeight="1" s="39">
      <c r="A7" s="44" t="inlineStr">
        <is>
          <t>AED</t>
        </is>
      </c>
      <c r="B7" s="44" t="n">
        <v>24.07</v>
      </c>
      <c r="C7" s="72" t="n">
        <v>1429369</v>
      </c>
      <c r="D7" s="72" t="n">
        <v>0</v>
      </c>
      <c r="E7" s="72" t="n">
        <v>1429369</v>
      </c>
      <c r="F7" s="72" t="n">
        <v>889000</v>
      </c>
      <c r="G7" s="53" t="n">
        <v>0.622</v>
      </c>
      <c r="H7" s="50" t="n">
        <v>344.05</v>
      </c>
      <c r="I7" s="50" t="n">
        <v>130.07</v>
      </c>
    </row>
    <row r="8" ht="15" customHeight="1" s="39">
      <c r="A8" s="44" t="inlineStr">
        <is>
          <t>AUD</t>
        </is>
      </c>
      <c r="B8" s="44" t="n">
        <v>58.6</v>
      </c>
      <c r="C8" s="72" t="n">
        <v>391410</v>
      </c>
      <c r="D8" s="72" t="n">
        <v>0</v>
      </c>
      <c r="E8" s="72" t="n">
        <v>391410</v>
      </c>
      <c r="F8" s="72" t="n">
        <v>254000</v>
      </c>
      <c r="G8" s="53" t="n">
        <v>0.649</v>
      </c>
      <c r="H8" s="50" t="n">
        <v>229.37</v>
      </c>
      <c r="I8" s="50" t="n">
        <v>80.52</v>
      </c>
    </row>
    <row r="11" ht="15" customHeight="1" s="39">
      <c r="A11" s="42" t="inlineStr">
        <is>
          <t>FORWARD CONTRACTS OUTSTANDING</t>
        </is>
      </c>
    </row>
    <row r="12" ht="15" customHeight="1" s="39">
      <c r="A12" s="45" t="inlineStr">
        <is>
          <t>Bank</t>
        </is>
      </c>
      <c r="B12" s="45" t="inlineStr">
        <is>
          <t>Currency</t>
        </is>
      </c>
      <c r="C12" s="45" t="inlineStr">
        <is>
          <t>Notional (FCY)</t>
        </is>
      </c>
      <c r="D12" s="45" t="inlineStr">
        <is>
          <t>Fwd Rate</t>
        </is>
      </c>
      <c r="E12" s="45" t="inlineStr">
        <is>
          <t>Maturity</t>
        </is>
      </c>
      <c r="F12" s="45" t="inlineStr">
        <is>
          <t>MTM (Rs. L)</t>
        </is>
      </c>
    </row>
    <row r="13" ht="15" customHeight="1" s="39">
      <c r="A13" s="44" t="inlineStr">
        <is>
          <t>Axis Bank</t>
        </is>
      </c>
      <c r="B13" s="44" t="inlineStr">
        <is>
          <t>USD</t>
        </is>
      </c>
      <c r="C13" s="72" t="n">
        <v>152000</v>
      </c>
      <c r="D13" s="44" t="n">
        <v>88</v>
      </c>
      <c r="E13" s="61" t="n">
        <v>46293</v>
      </c>
      <c r="F13" s="50" t="n">
        <v>-0.61</v>
      </c>
    </row>
    <row r="14" ht="15" customHeight="1" s="39">
      <c r="A14" s="44" t="inlineStr">
        <is>
          <t>Axis Bank</t>
        </is>
      </c>
      <c r="B14" s="44" t="inlineStr">
        <is>
          <t>USD</t>
        </is>
      </c>
      <c r="C14" s="72" t="n">
        <v>102000</v>
      </c>
      <c r="D14" s="44" t="n">
        <v>89.59999999999999</v>
      </c>
      <c r="E14" s="61" t="n">
        <v>46354</v>
      </c>
      <c r="F14" s="50" t="n">
        <v>1.22</v>
      </c>
    </row>
    <row r="15" ht="15" customHeight="1" s="39">
      <c r="A15" s="44" t="inlineStr">
        <is>
          <t>ICICI Bank</t>
        </is>
      </c>
      <c r="B15" s="44" t="inlineStr">
        <is>
          <t>EUR</t>
        </is>
      </c>
      <c r="C15" s="72" t="n">
        <v>359000</v>
      </c>
      <c r="D15" s="44" t="n">
        <v>104.15</v>
      </c>
      <c r="E15" s="61" t="n">
        <v>46293</v>
      </c>
      <c r="F15" s="50" t="n">
        <v>3.41</v>
      </c>
    </row>
    <row r="16" ht="15" customHeight="1" s="39">
      <c r="A16" s="44" t="inlineStr">
        <is>
          <t>ICICI Bank</t>
        </is>
      </c>
      <c r="B16" s="44" t="inlineStr">
        <is>
          <t>EUR</t>
        </is>
      </c>
      <c r="C16" s="72" t="n">
        <v>240000</v>
      </c>
      <c r="D16" s="44" t="n">
        <v>104.18</v>
      </c>
      <c r="E16" s="61" t="n">
        <v>46354</v>
      </c>
      <c r="F16" s="50" t="n">
        <v>2.35</v>
      </c>
    </row>
    <row r="17" ht="15" customHeight="1" s="39">
      <c r="A17" s="44" t="inlineStr">
        <is>
          <t>ICICI Bank</t>
        </is>
      </c>
      <c r="B17" s="44" t="inlineStr">
        <is>
          <t>AED</t>
        </is>
      </c>
      <c r="C17" s="72" t="n">
        <v>533000</v>
      </c>
      <c r="D17" s="44" t="n">
        <v>24.27</v>
      </c>
      <c r="E17" s="61" t="n">
        <v>46293</v>
      </c>
      <c r="F17" s="50" t="n">
        <v>1.07</v>
      </c>
    </row>
    <row r="18" ht="15" customHeight="1" s="39">
      <c r="A18" s="44" t="inlineStr">
        <is>
          <t>ICICI Bank</t>
        </is>
      </c>
      <c r="B18" s="44" t="inlineStr">
        <is>
          <t>AED</t>
        </is>
      </c>
      <c r="C18" s="72" t="n">
        <v>356000</v>
      </c>
      <c r="D18" s="44" t="n">
        <v>24.35</v>
      </c>
      <c r="E18" s="61" t="n">
        <v>46354</v>
      </c>
      <c r="F18" s="50" t="n">
        <v>1</v>
      </c>
    </row>
    <row r="19" ht="15" customHeight="1" s="39">
      <c r="A19" s="44" t="inlineStr">
        <is>
          <t>HDFC Bank</t>
        </is>
      </c>
      <c r="B19" s="44" t="inlineStr">
        <is>
          <t>AUD</t>
        </is>
      </c>
      <c r="C19" s="72" t="n">
        <v>152000</v>
      </c>
      <c r="D19" s="44" t="n">
        <v>59.73</v>
      </c>
      <c r="E19" s="61" t="n">
        <v>46293</v>
      </c>
      <c r="F19" s="50" t="n">
        <v>1.72</v>
      </c>
    </row>
    <row r="20" ht="15" customHeight="1" s="39">
      <c r="A20" s="44" t="inlineStr">
        <is>
          <t>Axis Bank</t>
        </is>
      </c>
      <c r="B20" s="44" t="inlineStr">
        <is>
          <t>AUD</t>
        </is>
      </c>
      <c r="C20" s="72" t="n">
        <v>102000</v>
      </c>
      <c r="D20" s="44" t="n">
        <v>59.21</v>
      </c>
      <c r="E20" s="61" t="n">
        <v>46354</v>
      </c>
      <c r="F20" s="50" t="n">
        <v>0.62</v>
      </c>
    </row>
    <row r="23" ht="15" customHeight="1" s="39">
      <c r="A23" s="42" t="inlineStr">
        <is>
          <t>Forex gain/(loss) - Rs. Lakhs</t>
        </is>
      </c>
    </row>
    <row r="24" ht="15" customHeight="1" s="39">
      <c r="A24" s="45" t="inlineStr">
        <is>
          <t>Type</t>
        </is>
      </c>
      <c r="B24" s="46" t="inlineStr">
        <is>
          <t>Apr'26</t>
        </is>
      </c>
      <c r="C24" s="46" t="inlineStr">
        <is>
          <t>May 2026</t>
        </is>
      </c>
      <c r="D24" s="46" t="inlineStr">
        <is>
          <t>Jun'26</t>
        </is>
      </c>
      <c r="E24" s="46" t="inlineStr">
        <is>
          <t>Jul 2026</t>
        </is>
      </c>
      <c r="F24" s="46" t="inlineStr">
        <is>
          <t>Aug'26</t>
        </is>
      </c>
    </row>
    <row r="25" ht="15" customHeight="1" s="39">
      <c r="A25" s="44" t="inlineStr">
        <is>
          <t>Realised</t>
        </is>
      </c>
      <c r="B25" s="50" t="n">
        <v>-0.83</v>
      </c>
      <c r="C25" s="50" t="n">
        <v>7.6</v>
      </c>
      <c r="D25" s="50" t="n">
        <v>15.92</v>
      </c>
      <c r="E25" s="50" t="n">
        <v>-2.03</v>
      </c>
      <c r="F25" s="50" t="n">
        <v>2.01</v>
      </c>
    </row>
    <row r="26" ht="15" customHeight="1" s="39">
      <c r="A26" s="44" t="inlineStr">
        <is>
          <t>Unrealised (MTM)</t>
        </is>
      </c>
      <c r="B26" s="44" t="n">
        <v>-3.91</v>
      </c>
      <c r="C26" s="44" t="inlineStr">
        <is>
          <t>21.97</t>
        </is>
      </c>
      <c r="D26" s="44" t="inlineStr">
        <is>
          <t>(12.92)</t>
        </is>
      </c>
      <c r="E26" s="44" t="inlineStr">
        <is>
          <t>(2.29)</t>
        </is>
      </c>
      <c r="F26" s="44" t="n">
        <v>-12.61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8" min="1" max="1"/>
    <col width="13" customWidth="1" style="38" min="2" max="13"/>
  </cols>
  <sheetData>
    <row r="1" ht="16.15" customHeight="1" s="39">
      <c r="A1" s="54" t="inlineStr">
        <is>
          <t>PLANT OPERATIONS DASHBOARD DATA</t>
        </is>
      </c>
    </row>
    <row r="2" ht="15" customHeight="1" s="39">
      <c r="A2" s="44" t="inlineStr">
        <is>
          <t>Production in MT (metric tonnes) | Utilisation &amp; OEE in % | Rejection in PPM</t>
        </is>
      </c>
    </row>
    <row r="3"/>
    <row r="4" ht="15" customHeight="1" s="39">
      <c r="B4" s="46" t="inlineStr">
        <is>
          <t>Pune (Chakan)</t>
        </is>
      </c>
      <c r="F4" s="46" t="inlineStr">
        <is>
          <t>Chennai (Oragadam)</t>
        </is>
      </c>
      <c r="J4" s="46" t="inlineStr">
        <is>
          <t>Rajkot</t>
        </is>
      </c>
    </row>
    <row r="5" ht="15" customHeight="1" s="39">
      <c r="A5" s="45" t="inlineStr">
        <is>
          <t>Month</t>
        </is>
      </c>
      <c r="B5" s="48" t="inlineStr">
        <is>
          <t>Prod (MT)</t>
        </is>
      </c>
      <c r="C5" s="48" t="inlineStr">
        <is>
          <t>Util %</t>
        </is>
      </c>
      <c r="D5" s="48" t="inlineStr">
        <is>
          <t>OEE %</t>
        </is>
      </c>
      <c r="E5" s="48" t="inlineStr">
        <is>
          <t>Rejection PPM</t>
        </is>
      </c>
      <c r="F5" s="48" t="inlineStr">
        <is>
          <t>Prod (MT)</t>
        </is>
      </c>
      <c r="G5" s="48" t="inlineStr">
        <is>
          <t>Util %</t>
        </is>
      </c>
      <c r="H5" s="48" t="inlineStr">
        <is>
          <t>OEE %</t>
        </is>
      </c>
      <c r="I5" s="48" t="inlineStr">
        <is>
          <t>Rejection PPM</t>
        </is>
      </c>
      <c r="J5" s="48" t="inlineStr">
        <is>
          <t>Prod (MT)</t>
        </is>
      </c>
      <c r="K5" s="48" t="inlineStr">
        <is>
          <t>Util %</t>
        </is>
      </c>
      <c r="L5" s="48" t="inlineStr">
        <is>
          <t>OEE %</t>
        </is>
      </c>
      <c r="M5" s="48" t="inlineStr">
        <is>
          <t>Rejection PPM</t>
        </is>
      </c>
    </row>
    <row r="6" ht="15" customHeight="1" s="39">
      <c r="A6" s="44" t="inlineStr">
        <is>
          <t>Jun'26</t>
        </is>
      </c>
      <c r="B6" s="72" t="n">
        <v>2017</v>
      </c>
      <c r="C6" s="53" t="n">
        <v>0.84</v>
      </c>
      <c r="D6" s="53" t="n">
        <v>0.732</v>
      </c>
      <c r="E6" s="44" t="n">
        <v>2218</v>
      </c>
      <c r="F6" s="72" t="n">
        <v>1007</v>
      </c>
      <c r="G6" s="44" t="inlineStr">
        <is>
          <t>77.5%</t>
        </is>
      </c>
      <c r="H6" s="53" t="n">
        <v>0.715</v>
      </c>
      <c r="I6" s="44" t="n">
        <v>1927</v>
      </c>
      <c r="J6" s="72" t="n">
        <v>647</v>
      </c>
      <c r="K6" s="53" t="n">
        <v>0.719</v>
      </c>
      <c r="L6" s="53" t="n">
        <v>0.695</v>
      </c>
      <c r="M6" s="44" t="n">
        <v>2296</v>
      </c>
    </row>
    <row r="7" ht="15" customHeight="1" s="39">
      <c r="A7" s="44" t="inlineStr">
        <is>
          <t>Jul 2026</t>
        </is>
      </c>
      <c r="B7" s="72" t="n">
        <v>2079</v>
      </c>
      <c r="C7" s="53" t="n">
        <v>0.866</v>
      </c>
      <c r="D7" s="53" t="n">
        <v>0.739</v>
      </c>
      <c r="E7" s="44" t="n">
        <v>2338</v>
      </c>
      <c r="F7" s="72" t="n">
        <v>1050</v>
      </c>
      <c r="G7" s="53" t="n">
        <v>0.8080000000000001</v>
      </c>
      <c r="H7" s="53" t="n">
        <v>0.712</v>
      </c>
      <c r="I7" s="44" t="n">
        <v>2217</v>
      </c>
      <c r="J7" s="72" t="n">
        <v>671</v>
      </c>
      <c r="K7" s="53" t="n">
        <v>0.745</v>
      </c>
      <c r="L7" s="53" t="n">
        <v>0.712</v>
      </c>
      <c r="M7" s="44" t="n">
        <v>2300</v>
      </c>
    </row>
    <row r="8" ht="15" customHeight="1" s="39">
      <c r="A8" s="73" t="n">
        <v>46265</v>
      </c>
      <c r="B8" s="72" t="n">
        <v>2081</v>
      </c>
      <c r="C8" s="44" t="inlineStr">
        <is>
          <t>86.7%</t>
        </is>
      </c>
      <c r="D8" s="53" t="n">
        <v>0.736</v>
      </c>
      <c r="E8" s="44" t="n">
        <v>1835</v>
      </c>
      <c r="F8" s="72" t="n">
        <v>1056</v>
      </c>
      <c r="G8" s="53" t="n">
        <v>0.8120000000000001</v>
      </c>
      <c r="H8" s="53" t="n">
        <v>0.705</v>
      </c>
      <c r="I8" s="44" t="n">
        <v>2568</v>
      </c>
      <c r="J8" s="72" t="n">
        <v>712</v>
      </c>
      <c r="K8" s="53" t="n">
        <v>0.791</v>
      </c>
      <c r="L8" s="53" t="n">
        <v>0.717</v>
      </c>
      <c r="M8" s="44" t="n">
        <v>2786</v>
      </c>
    </row>
    <row r="9" ht="15" customHeight="1" s="39"/>
    <row r="10" ht="15" customHeight="1" s="39"/>
    <row r="11" ht="15" customHeight="1" s="39"/>
    <row r="12" ht="15" customHeight="1" s="39"/>
    <row r="13" ht="15" customHeight="1" s="39"/>
    <row r="14" ht="15" customHeight="1" s="39"/>
    <row r="15" ht="15" customHeight="1" s="39"/>
    <row r="16" ht="15" customHeight="1" s="39"/>
    <row r="17" ht="15" customHeight="1" s="39"/>
    <row r="18" ht="15" customHeight="1" s="39"/>
    <row r="19" ht="15" customHeight="1" s="39"/>
    <row r="20" ht="15" customHeight="1" s="39"/>
    <row r="21" ht="15" customHeight="1" s="39"/>
    <row r="22" ht="15" customHeight="1" s="39"/>
  </sheetData>
  <mergeCells count="3">
    <mergeCell ref="F4:I4"/>
    <mergeCell ref="J4:M4"/>
    <mergeCell ref="B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9">
      <c r="A1" s="44" t="inlineStr">
        <is>
          <t>scratch</t>
        </is>
      </c>
    </row>
    <row r="2" ht="15" customHeight="1" s="39">
      <c r="A2" s="44" t="inlineStr">
        <is>
          <t>rev growth ??</t>
        </is>
      </c>
      <c r="B2" s="44" t="n">
        <v>0.1187</v>
      </c>
    </row>
    <row r="3" ht="15" customHeight="1" s="39">
      <c r="A3" s="44" t="inlineStr">
        <is>
          <t>check ebitda</t>
        </is>
      </c>
      <c r="B3" s="44" t="n">
        <v>1240.55</v>
      </c>
    </row>
    <row r="4" ht="15" customHeight="1" s="39">
      <c r="A4" s="44" t="inlineStr">
        <is>
          <t>ask Rajesh about provision</t>
        </is>
      </c>
    </row>
    <row r="6" ht="15" customHeight="1" s="39">
      <c r="D6" s="44">
        <f>#REF!</f>
        <v/>
      </c>
    </row>
    <row r="8" ht="15" customHeight="1" s="39">
      <c r="A8" s="44" t="inlineStr">
        <is>
          <t>temp total</t>
        </is>
      </c>
      <c r="B8" s="44" t="n">
        <v>58412.7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9">
      <c r="A1" s="44" t="inlineStr">
        <is>
          <t>OLD P&amp;L v2 - superseded</t>
        </is>
      </c>
    </row>
    <row r="3" ht="15" customHeight="1" s="39">
      <c r="A3" s="44" t="inlineStr">
        <is>
          <t>Total Revenue</t>
        </is>
      </c>
      <c r="B3" s="44" t="n">
        <v>5120.4</v>
      </c>
      <c r="C3" s="44" t="n">
        <v>4988.1</v>
      </c>
      <c r="D3" s="44" t="n">
        <v>5301.9</v>
      </c>
    </row>
    <row r="4" ht="15" customHeight="1" s="39">
      <c r="A4" s="44" t="inlineStr">
        <is>
          <t>EBITDA</t>
        </is>
      </c>
      <c r="B4" s="44" t="n">
        <v>801.2</v>
      </c>
      <c r="C4" s="44" t="n">
        <v>770.6</v>
      </c>
      <c r="D4" s="44" t="n">
        <v>810</v>
      </c>
    </row>
    <row r="6" ht="15" customHeight="1" s="39">
      <c r="A6" s="44" t="inlineStr">
        <is>
          <t>DO NOT USE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FP&amp;A</dc:creator>
  <dc:title>Bharat Precision Components - MIS Pack Aug-2026 (Dummy)</dc:title>
  <dc:language>en-US</dc:language>
  <dcterms:created xsi:type="dcterms:W3CDTF">2026-09-23T19:25:30Z</dcterms:created>
  <dcterms:modified xsi:type="dcterms:W3CDTF">2026-09-26T06:00:23Z</dcterms:modified>
  <cp:revision>0</cp:revision>
</cp:coreProperties>
</file>