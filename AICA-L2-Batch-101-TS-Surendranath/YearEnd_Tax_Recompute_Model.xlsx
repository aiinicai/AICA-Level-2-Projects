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Settings" sheetId="2" state="visible" r:id="rId4"/>
    <sheet name="Trial_Balance" sheetId="3" state="visible" r:id="rId5"/>
    <sheet name="Adjustments" sheetId="4" state="visible" r:id="rId6"/>
    <sheet name="Financial_Statements" sheetId="5" state="visible" r:id="rId7"/>
    <sheet name="Tax_Computation" sheetId="6" state="visible" r:id="rId8"/>
    <sheet name="Checks" sheetId="7" state="visible" r:id="rId9"/>
    <sheet name="Version_Log" sheetId="8" state="visible" r:id="rId10"/>
    <sheet name="Time_Study" sheetId="9" state="visible" r:id="rId11"/>
    <sheet name="AI_Prompts" sheetId="10" state="visible" r:id="rId12"/>
    <sheet name="AI_Live_Demo"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<sst xmlns="http://schemas.openxmlformats.org/spreadsheetml/2006/main" count="597" uniqueCount="410">
  <si>
    <t xml:space="preserve">Year-End Adjustment Tracker &amp; Automatic Income Tax Recomputation</t>
  </si>
  <si>
    <t xml:space="preserve">AICA Level 2 Capstone Project | CA T S Surendranath | Batch AICA-L2B101, Chennai | Dummy data only - no client data used in any AI tool</t>
  </si>
  <si>
    <t xml:space="preserve">HOW THE MODEL FLOWS</t>
  </si>
  <si>
    <t xml:space="preserve">1</t>
  </si>
  <si>
    <t xml:space="preserve">Settings: company name, financial year, tax rates and the 'Tax Nature' list (how much of each kind of expense is added back).</t>
  </si>
  <si>
    <t xml:space="preserve">2</t>
  </si>
  <si>
    <t xml:space="preserve">Trial_Balance: enter the unadjusted trial balance in column E (Debit = +, Credit = -). Adjusted balances calculate automatically.</t>
  </si>
  <si>
    <t xml:space="preserve">3</t>
  </si>
  <si>
    <t xml:space="preserve">Adjustments: every year-end entry goes here ONE line each - version (V1/V2/V3), Dr ledger, Cr ledger, amount, Include Y/N, Tax Nature.</t>
  </si>
  <si>
    <t xml:space="preserve">4</t>
  </si>
  <si>
    <t xml:space="preserve">Financial_Statements: P&amp;L and Balance Sheet build themselves from the adjusted trial balance.</t>
  </si>
  <si>
    <t xml:space="preserve">5</t>
  </si>
  <si>
    <t xml:space="preserve">Tax_Computation: starts from PBT in the P&amp;L, adds back disallowances by type, replaces book depreciation with tax depreciation, works out current tax and deferred tax.</t>
  </si>
  <si>
    <t xml:space="preserve">6</t>
  </si>
  <si>
    <t xml:space="preserve">Checks: 10 automatic reconciliation checks. All must show OK before the accounts are final.</t>
  </si>
  <si>
    <t xml:space="preserve">7</t>
  </si>
  <si>
    <t xml:space="preserve">Version_Log: shows how PBT and tax moved from Draft (V1) to Audit (V2) to Final (V3).</t>
  </si>
  <si>
    <t xml:space="preserve">8</t>
  </si>
  <si>
    <t xml:space="preserve">Time_Study: record your own manual vs. tool timings to measure time saved.</t>
  </si>
  <si>
    <t xml:space="preserve">9</t>
  </si>
  <si>
    <t xml:space="preserve">AI_Prompts: the prompts used with ChatGPT / Copilot / Claude to classify entries and build formulas.</t>
  </si>
  <si>
    <t xml:space="preserve">10</t>
  </si>
  <si>
    <t xml:space="preserve">AI_Live_Demo: four new entries to classify with AI live in the video, including two where the CA must check / correct the AI.</t>
  </si>
  <si>
    <t xml:space="preserve">COLOUR LEGEND</t>
  </si>
  <si>
    <t xml:space="preserve">Blue</t>
  </si>
  <si>
    <t xml:space="preserve">Blue text = input you type. Black text = formula (do not overwrite). Green text = link from another sheet.</t>
  </si>
  <si>
    <t xml:space="preserve">Yellow</t>
  </si>
  <si>
    <t xml:space="preserve">Yellow cells = the main inputs you change during the demo (Include Y/N, amounts, tax depreciation, timings).</t>
  </si>
  <si>
    <t xml:space="preserve">DEMO TIP</t>
  </si>
  <si>
    <t xml:space="preserve">Try</t>
  </si>
  <si>
    <t xml:space="preserve">On Adjustments, change 'Include' of A05 (gratuity) from Y to N. Watch PBT, tax, deferred tax and all checks update in seconds.</t>
  </si>
  <si>
    <t xml:space="preserve">Note</t>
  </si>
  <si>
    <t xml:space="preserve">Figures are for FY 2025-26 (AY 2026-27), so section references follow the Income-tax Act, 1961. From FY 2026-27 the Income-tax Act, 2025 applies with new section numbers.</t>
  </si>
  <si>
    <t xml:space="preserve">AI suggestions on tax treatment must always be verified by the Chartered Accountant before finalisation.</t>
  </si>
  <si>
    <t xml:space="preserve">Settings &amp; Assumptions</t>
  </si>
  <si>
    <t xml:space="preserve">Company name</t>
  </si>
  <si>
    <t xml:space="preserve">Sunrise Textiles Pvt Ltd (dummy)</t>
  </si>
  <si>
    <t xml:space="preserve">Financial year</t>
  </si>
  <si>
    <t xml:space="preserve">FY 2025-26 (AY 2026-27)</t>
  </si>
  <si>
    <t xml:space="preserve">Tax regime</t>
  </si>
  <si>
    <t xml:space="preserve">Section 115BAA</t>
  </si>
  <si>
    <t xml:space="preserve">Domestic company opting for concessional rate</t>
  </si>
  <si>
    <t xml:space="preserve">Base tax rate</t>
  </si>
  <si>
    <t xml:space="preserve">Sec 115BAA</t>
  </si>
  <si>
    <t xml:space="preserve">Surcharge</t>
  </si>
  <si>
    <t xml:space="preserve">Flat 10% under 115BAA</t>
  </si>
  <si>
    <t xml:space="preserve">Health &amp; education cess</t>
  </si>
  <si>
    <t xml:space="preserve">Effective tax rate</t>
  </si>
  <si>
    <t xml:space="preserve">TAX NATURE LIST (used by the Adjustments sheet)</t>
  </si>
  <si>
    <t xml:space="preserve">Tax Nature</t>
  </si>
  <si>
    <t xml:space="preserve">Add-back %</t>
  </si>
  <si>
    <t xml:space="preserve">Difference type</t>
  </si>
  <si>
    <t xml:space="preserve">Explanation (FY 2025-26, IT Act 1961)</t>
  </si>
  <si>
    <t xml:space="preserve">Allowable</t>
  </si>
  <si>
    <t xml:space="preserve">None</t>
  </si>
  <si>
    <t xml:space="preserve">Fully deductible in the year; taxable income moves with book profit.</t>
  </si>
  <si>
    <t xml:space="preserve">Disallowed - 43B (Timing)</t>
  </si>
  <si>
    <t xml:space="preserve">Timing</t>
  </si>
  <si>
    <t xml:space="preserve">Bonus/gratuity/leave etc. unpaid by due date of return - allowed when paid (sec 43B). Creates DTA.</t>
  </si>
  <si>
    <t xml:space="preserve">Disallowed - 40(a)(ia) 30%</t>
  </si>
  <si>
    <t xml:space="preserve">TDS not deducted/paid - 30% disallowed, allowed in year TDS is paid (sec 40(a)(ia)).</t>
  </si>
  <si>
    <t xml:space="preserve">Disallowed - Provision (Timing)</t>
  </si>
  <si>
    <t xml:space="preserve">General provisions e.g. doubtful debts - allowed only on actual write-off (sec 36(1)(vii)).</t>
  </si>
  <si>
    <t xml:space="preserve">Disallowed - Permanent</t>
  </si>
  <si>
    <t xml:space="preserve">Permanent</t>
  </si>
  <si>
    <t xml:space="preserve">Never allowed: penalties (Expl. 1 to 37(1)), MSME delayed-payment interest (sec 23 MSMED Act), CSR.</t>
  </si>
  <si>
    <t xml:space="preserve">Book Depreciation</t>
  </si>
  <si>
    <t xml:space="preserve">Replaced</t>
  </si>
  <si>
    <t xml:space="preserve">Book depreciation is added back in full and replaced by depreciation as per sec 32.</t>
  </si>
  <si>
    <t xml:space="preserve">Trial Balance - Unadjusted to Adjusted (Rs.)</t>
  </si>
  <si>
    <t xml:space="preserve">Debit = positive, Credit = negative. Only column E is input.</t>
  </si>
  <si>
    <t xml:space="preserve">Code</t>
  </si>
  <si>
    <t xml:space="preserve">Ledger</t>
  </si>
  <si>
    <t xml:space="preserve">Type</t>
  </si>
  <si>
    <t xml:space="preserve">FS Line</t>
  </si>
  <si>
    <t xml:space="preserve">Unadjusted (Dr+/Cr-)</t>
  </si>
  <si>
    <t xml:space="preserve">Adjustment Dr</t>
  </si>
  <si>
    <t xml:space="preserve">Adjustment Cr</t>
  </si>
  <si>
    <t xml:space="preserve">Adjusted (Dr+/Cr-)</t>
  </si>
  <si>
    <t xml:space="preserve">L01</t>
  </si>
  <si>
    <t xml:space="preserve">Sales</t>
  </si>
  <si>
    <t xml:space="preserve">PL-Income</t>
  </si>
  <si>
    <t xml:space="preserve">Revenue from operations</t>
  </si>
  <si>
    <t xml:space="preserve">L02</t>
  </si>
  <si>
    <t xml:space="preserve">Interest income</t>
  </si>
  <si>
    <t xml:space="preserve">Other income</t>
  </si>
  <si>
    <t xml:space="preserve">L03</t>
  </si>
  <si>
    <t xml:space="preserve">Purchases &amp; materials consumed</t>
  </si>
  <si>
    <t xml:space="preserve">PL-Expense</t>
  </si>
  <si>
    <t xml:space="preserve">Cost of materials consumed</t>
  </si>
  <si>
    <t xml:space="preserve">L04</t>
  </si>
  <si>
    <t xml:space="preserve">Salaries, bonus &amp; gratuity</t>
  </si>
  <si>
    <t xml:space="preserve">Employee benefits expense</t>
  </si>
  <si>
    <t xml:space="preserve">L05</t>
  </si>
  <si>
    <t xml:space="preserve">Interest on loans</t>
  </si>
  <si>
    <t xml:space="preserve">Finance costs</t>
  </si>
  <si>
    <t xml:space="preserve">L06</t>
  </si>
  <si>
    <t xml:space="preserve">Depreciation</t>
  </si>
  <si>
    <t xml:space="preserve">L07</t>
  </si>
  <si>
    <t xml:space="preserve">Professional &amp; consultancy fees</t>
  </si>
  <si>
    <t xml:space="preserve">Professional fees</t>
  </si>
  <si>
    <t xml:space="preserve">L08</t>
  </si>
  <si>
    <t xml:space="preserve">Rent</t>
  </si>
  <si>
    <t xml:space="preserve">L09</t>
  </si>
  <si>
    <t xml:space="preserve">Power &amp; fuel</t>
  </si>
  <si>
    <t xml:space="preserve">L10</t>
  </si>
  <si>
    <t xml:space="preserve">Other expenses</t>
  </si>
  <si>
    <t xml:space="preserve">L11</t>
  </si>
  <si>
    <t xml:space="preserve">CSR expenditure</t>
  </si>
  <si>
    <t xml:space="preserve">L12</t>
  </si>
  <si>
    <t xml:space="preserve">Property, plant &amp; equipment (net)</t>
  </si>
  <si>
    <t xml:space="preserve">BS-Asset</t>
  </si>
  <si>
    <t xml:space="preserve">Property, plant &amp; equipment</t>
  </si>
  <si>
    <t xml:space="preserve">L13</t>
  </si>
  <si>
    <t xml:space="preserve">Inventory</t>
  </si>
  <si>
    <t xml:space="preserve">Inventories</t>
  </si>
  <si>
    <t xml:space="preserve">L14</t>
  </si>
  <si>
    <t xml:space="preserve">Trade receivables</t>
  </si>
  <si>
    <t xml:space="preserve">Trade receivables (net)</t>
  </si>
  <si>
    <t xml:space="preserve">L15</t>
  </si>
  <si>
    <t xml:space="preserve">Provision for doubtful debts</t>
  </si>
  <si>
    <t xml:space="preserve">L16</t>
  </si>
  <si>
    <t xml:space="preserve">Cash &amp; bank</t>
  </si>
  <si>
    <t xml:space="preserve">Cash &amp; bank balances</t>
  </si>
  <si>
    <t xml:space="preserve">L17</t>
  </si>
  <si>
    <t xml:space="preserve">Prepaid expenses</t>
  </si>
  <si>
    <t xml:space="preserve">L18</t>
  </si>
  <si>
    <t xml:space="preserve">Advance tax &amp; TDS receivable</t>
  </si>
  <si>
    <t xml:space="preserve">Advance tax &amp; TDS</t>
  </si>
  <si>
    <t xml:space="preserve">L19</t>
  </si>
  <si>
    <t xml:space="preserve">Other current assets</t>
  </si>
  <si>
    <t xml:space="preserve">L20</t>
  </si>
  <si>
    <t xml:space="preserve">Share capital</t>
  </si>
  <si>
    <t xml:space="preserve">BS-Equity</t>
  </si>
  <si>
    <t xml:space="preserve">L21</t>
  </si>
  <si>
    <t xml:space="preserve">Reserves &amp; surplus (opening)</t>
  </si>
  <si>
    <t xml:space="preserve">Reserves &amp; surplus</t>
  </si>
  <si>
    <t xml:space="preserve">L22</t>
  </si>
  <si>
    <t xml:space="preserve">Term loan</t>
  </si>
  <si>
    <t xml:space="preserve">BS-Liability</t>
  </si>
  <si>
    <t xml:space="preserve">Long-term borrowings</t>
  </si>
  <si>
    <t xml:space="preserve">L23</t>
  </si>
  <si>
    <t xml:space="preserve">Deferred tax liability (opening)</t>
  </si>
  <si>
    <t xml:space="preserve">Deferred tax liability (net)</t>
  </si>
  <si>
    <t xml:space="preserve">L24</t>
  </si>
  <si>
    <t xml:space="preserve">Provision for employee benefits</t>
  </si>
  <si>
    <t xml:space="preserve">L25</t>
  </si>
  <si>
    <t xml:space="preserve">Trade payables</t>
  </si>
  <si>
    <t xml:space="preserve">L26</t>
  </si>
  <si>
    <t xml:space="preserve">Expenses payable &amp; other liabilities</t>
  </si>
  <si>
    <t xml:space="preserve">Other current liabilities</t>
  </si>
  <si>
    <t xml:space="preserve">Total (must be zero)</t>
  </si>
  <si>
    <t xml:space="preserve">Year-End Adjustment Register</t>
  </si>
  <si>
    <t xml:space="preserve">One line per entry. Inputs: B-E, G, I-K, P. Columns F, H and L-O, Q calculate automatically.</t>
  </si>
  <si>
    <t xml:space="preserve">No.</t>
  </si>
  <si>
    <t xml:space="preserve">Version</t>
  </si>
  <si>
    <t xml:space="preserve">Date</t>
  </si>
  <si>
    <t xml:space="preserve">Description</t>
  </si>
  <si>
    <t xml:space="preserve">Dr Ledger</t>
  </si>
  <si>
    <t xml:space="preserve">Dr Ledger Name</t>
  </si>
  <si>
    <t xml:space="preserve">Cr Ledger</t>
  </si>
  <si>
    <t xml:space="preserve">Cr Ledger Name</t>
  </si>
  <si>
    <t xml:space="preserve">Amount (Rs.)</t>
  </si>
  <si>
    <t xml:space="preserve">Include? (Y/N)</t>
  </si>
  <si>
    <t xml:space="preserve">Impact on PBT</t>
  </si>
  <si>
    <t xml:space="preserve">Tax add-back</t>
  </si>
  <si>
    <t xml:space="preserve">Impact on taxable income</t>
  </si>
  <si>
    <t xml:space="preserve">Impact on current tax</t>
  </si>
  <si>
    <t xml:space="preserve">AI suggestion / remarks</t>
  </si>
  <si>
    <t xml:space="preserve">A01</t>
  </si>
  <si>
    <t xml:space="preserve">V1</t>
  </si>
  <si>
    <t xml:space="preserve">2026-04-08</t>
  </si>
  <si>
    <t xml:space="preserve">Depreciation on new looms added in Feb not charged</t>
  </si>
  <si>
    <t xml:space="preserve">Y</t>
  </si>
  <si>
    <t xml:space="preserve">AI: Book depreciation correction. Added back in full; tax depreciation under sec 32 is computed separately (half rate - used &lt; 180 days).</t>
  </si>
  <si>
    <t xml:space="preserve">A02</t>
  </si>
  <si>
    <t xml:space="preserve">Insurance paid for Apr-Sep 2026 - prepaid portion</t>
  </si>
  <si>
    <t xml:space="preserve">AI: Reverses expense of next year. Increases profit and taxable income equally; no add-back.</t>
  </si>
  <si>
    <t xml:space="preserve">A03</t>
  </si>
  <si>
    <t xml:space="preserve">2026-04-10</t>
  </si>
  <si>
    <t xml:space="preserve">Statutory audit fee provision (TDS deducted &amp; paid)</t>
  </si>
  <si>
    <t xml:space="preserve">AI: Accrued expense with TDS complied - fully allowable.</t>
  </si>
  <si>
    <t xml:space="preserve">A04</t>
  </si>
  <si>
    <t xml:space="preserve">V2</t>
  </si>
  <si>
    <t xml:space="preserve">2026-05-05</t>
  </si>
  <si>
    <t xml:space="preserve">Bonus for FY 25-26 payable in Nov 2026</t>
  </si>
  <si>
    <t xml:space="preserve">AI: Bonus paid after due date of return - disallowed u/s 43B(c); allowed on payment. Timing difference -&gt; DTA.</t>
  </si>
  <si>
    <t xml:space="preserve">A05</t>
  </si>
  <si>
    <t xml:space="preserve">Gratuity provision as per actuarial report</t>
  </si>
  <si>
    <t xml:space="preserve">AI: Gratuity provision not paid to approved fund - sec 43B / 40A(7). Timing difference -&gt; DTA.</t>
  </si>
  <si>
    <t xml:space="preserve">A06</t>
  </si>
  <si>
    <t xml:space="preserve">2026-05-12</t>
  </si>
  <si>
    <t xml:space="preserve">Consultancy fee booked - TDS not deducted</t>
  </si>
  <si>
    <t xml:space="preserve">AI: 30% disallowed u/s 40(a)(ia) until TDS is deducted and paid. Timing difference.</t>
  </si>
  <si>
    <t xml:space="preserve">A07</t>
  </si>
  <si>
    <t xml:space="preserve">Slow-moving yarn written down to NRV (AS 2)</t>
  </si>
  <si>
    <t xml:space="preserve">AI: Valuation at lower of cost or NRV is accepted for tax (ICDS II). Allowable.</t>
  </si>
  <si>
    <t xml:space="preserve">A08</t>
  </si>
  <si>
    <t xml:space="preserve">2026-05-15</t>
  </si>
  <si>
    <t xml:space="preserve">Provision for doubtful debts (ageing &gt; 1 year)</t>
  </si>
  <si>
    <t xml:space="preserve">AI: General provision not allowed; deduction only on actual write-off u/s 36(1)(vii). Timing -&gt; DTA.</t>
  </si>
  <si>
    <t xml:space="preserve">A09</t>
  </si>
  <si>
    <t xml:space="preserve">V3</t>
  </si>
  <si>
    <t xml:space="preserve">2026-06-02</t>
  </si>
  <si>
    <t xml:space="preserve">Interest on delayed payment to MSME supplier</t>
  </si>
  <si>
    <t xml:space="preserve">AI: Sec 23 of MSMED Act - interest not deductible at any time. Permanent difference, no deferred tax.</t>
  </si>
  <si>
    <t xml:space="preserve">A10</t>
  </si>
  <si>
    <t xml:space="preserve">Penalty for late filing (non-compensatory)</t>
  </si>
  <si>
    <t xml:space="preserve">AI: Penalty for offence/violation of law - Explanation 1 to sec 37(1). Permanent. (Interest on late GST is compensatory - verify separately.)</t>
  </si>
  <si>
    <t xml:space="preserve">A11</t>
  </si>
  <si>
    <t xml:space="preserve">2026-06-03</t>
  </si>
  <si>
    <t xml:space="preserve">Interest accrued on fixed deposits</t>
  </si>
  <si>
    <t xml:space="preserve">AI: Income accrued - taxable as income from other sources. Increases both profit and taxable income.</t>
  </si>
  <si>
    <t xml:space="preserve">A12</t>
  </si>
  <si>
    <t xml:space="preserve">Reclassify warehouse rent wrongly booked in Other exp.</t>
  </si>
  <si>
    <t xml:space="preserve">AI: Reclassification within expenses - no impact on profit or tax.</t>
  </si>
  <si>
    <t xml:space="preserve">A13</t>
  </si>
  <si>
    <t xml:space="preserve">2026-06-05</t>
  </si>
  <si>
    <t xml:space="preserve">LIVE DEMO: Leave encashment provision (unpaid)</t>
  </si>
  <si>
    <t xml:space="preserve">N</t>
  </si>
  <si>
    <t xml:space="preserve">LIVE DEMO entry - switch Include to Y in the video. AI: sec 43B(f), allowed on payment. Timing -&gt; DTA.</t>
  </si>
  <si>
    <t xml:space="preserve">A14</t>
  </si>
  <si>
    <t xml:space="preserve">LIVE DEMO: Interest on delayed GST payment</t>
  </si>
  <si>
    <t xml:space="preserve">LIVE DEMO entry - switch Include to Y in the video. AI: compensatory interest, allowable u/s 37(1).</t>
  </si>
  <si>
    <t xml:space="preserve">A15</t>
  </si>
  <si>
    <t xml:space="preserve">LIVE DEMO: Agent commission - TDS u/s 194H not deducted</t>
  </si>
  <si>
    <t xml:space="preserve">LIVE DEMO entry - switch Include to Y in the video. AI: 30% (Rs. 60,000) disallowed u/s 40(a)(ia). Timing -&gt; DTA.</t>
  </si>
  <si>
    <t xml:space="preserve">A16</t>
  </si>
  <si>
    <t xml:space="preserve">LIVE DEMO: Donation to political party (by cheque)</t>
  </si>
  <si>
    <t xml:space="preserve">LIVE DEMO entry - switch Include to Y in the video. AI: 80GGB not available under 115BAA. Permanent difference.</t>
  </si>
  <si>
    <t xml:space="preserve">Total of included adjustments</t>
  </si>
  <si>
    <t xml:space="preserve">Versions: V1 = Draft (management), V2 = After audit observations, V3 = Final close. Blank rows are ready for new entries.</t>
  </si>
  <si>
    <t xml:space="preserve">Financial Statements (Rs.) - built automatically from the adjusted trial balance</t>
  </si>
  <si>
    <t xml:space="preserve">STATEMENT OF PROFIT AND LOSS</t>
  </si>
  <si>
    <t xml:space="preserve">Before adjustments</t>
  </si>
  <si>
    <t xml:space="preserve">After adjustments</t>
  </si>
  <si>
    <t xml:space="preserve">Change</t>
  </si>
  <si>
    <t xml:space="preserve">Total income</t>
  </si>
  <si>
    <t xml:space="preserve">Total expenses</t>
  </si>
  <si>
    <t xml:space="preserve">Profit before tax (PBT)</t>
  </si>
  <si>
    <t xml:space="preserve">Current tax (from Tax_Computation)</t>
  </si>
  <si>
    <t xml:space="preserve">Deferred tax charge / (credit)</t>
  </si>
  <si>
    <t xml:space="preserve">Profit after tax (PAT)</t>
  </si>
  <si>
    <t xml:space="preserve">BALANCE SHEET</t>
  </si>
  <si>
    <t xml:space="preserve">EQUITY AND LIABILITIES</t>
  </si>
  <si>
    <t xml:space="preserve">Reserves &amp; surplus (opening + PAT)</t>
  </si>
  <si>
    <t xml:space="preserve">Deferred tax liability (net) (opening + charge)</t>
  </si>
  <si>
    <t xml:space="preserve">Provision for income tax (current year)</t>
  </si>
  <si>
    <t xml:space="preserve">Total equity and liabilities</t>
  </si>
  <si>
    <t xml:space="preserve">ASSETS</t>
  </si>
  <si>
    <t xml:space="preserve">Total assets</t>
  </si>
  <si>
    <t xml:space="preserve">Difference (must be zero)</t>
  </si>
  <si>
    <t xml:space="preserve">Computation of Total Income &amp; Tax (Rs.) - FY 2025-26 / AY 2026-27</t>
  </si>
  <si>
    <t xml:space="preserve">Recomputes automatically when any adjustment changes</t>
  </si>
  <si>
    <t xml:space="preserve">Particulars</t>
  </si>
  <si>
    <t xml:space="preserve">Amount</t>
  </si>
  <si>
    <t xml:space="preserve">Source / basis</t>
  </si>
  <si>
    <t xml:space="preserve">INPUT: Depreciation as per Income-tax Act (sec 32)</t>
  </si>
  <si>
    <t xml:space="preserve">From tax depreciation schedule - type here</t>
  </si>
  <si>
    <t xml:space="preserve">Profit before tax as per P&amp;L</t>
  </si>
  <si>
    <t xml:space="preserve">Link: Financial_Statements</t>
  </si>
  <si>
    <t xml:space="preserve">Add:</t>
  </si>
  <si>
    <t xml:space="preserve">Depreciation as per books</t>
  </si>
  <si>
    <t xml:space="preserve">Adjusted trial balance</t>
  </si>
  <si>
    <t xml:space="preserve">CSR expenditure (Explanation 2 to sec 37(1))</t>
  </si>
  <si>
    <t xml:space="preserve">Adjustment register</t>
  </si>
  <si>
    <t xml:space="preserve">Total additions</t>
  </si>
  <si>
    <t xml:space="preserve">Less:</t>
  </si>
  <si>
    <t xml:space="preserve">Depreciation as per Income-tax Act</t>
  </si>
  <si>
    <t xml:space="preserve">Input above</t>
  </si>
  <si>
    <t xml:space="preserve">Total income (business income)</t>
  </si>
  <si>
    <t xml:space="preserve">Total income rounded off (sec 288A)</t>
  </si>
  <si>
    <t xml:space="preserve">Nearest Rs. 10</t>
  </si>
  <si>
    <t xml:space="preserve">Tax calculation</t>
  </si>
  <si>
    <t xml:space="preserve">Income tax @ base rate</t>
  </si>
  <si>
    <t xml:space="preserve">Settings: 22%</t>
  </si>
  <si>
    <t xml:space="preserve">Settings: 10%</t>
  </si>
  <si>
    <t xml:space="preserve">Settings: 4%</t>
  </si>
  <si>
    <t xml:space="preserve">Total tax (unrounded)</t>
  </si>
  <si>
    <t xml:space="preserve">CURRENT TAX (rounded, sec 288B)</t>
  </si>
  <si>
    <t xml:space="preserve">Goes to P&amp;L and Balance Sheet</t>
  </si>
  <si>
    <t xml:space="preserve">Less: Advance tax &amp; TDS</t>
  </si>
  <si>
    <t xml:space="preserve">Net tax payable / (refundable)</t>
  </si>
  <si>
    <t xml:space="preserve">Deferred tax (AS 22)</t>
  </si>
  <si>
    <t xml:space="preserve">Depreciation difference (tax - book): creates DTL if positive</t>
  </si>
  <si>
    <t xml:space="preserve">Timing disallowances (reverse later): creates DTA</t>
  </si>
  <si>
    <t xml:space="preserve">Net timing difference for the year</t>
  </si>
  <si>
    <t xml:space="preserve">Settings</t>
  </si>
  <si>
    <t xml:space="preserve">DEFERRED TAX CHARGE / (CREDIT)</t>
  </si>
  <si>
    <t xml:space="preserve">Total tax expense (current + deferred)</t>
  </si>
  <si>
    <t xml:space="preserve">Effective tax rate on book profit</t>
  </si>
  <si>
    <t xml:space="preserve">Sense check</t>
  </si>
  <si>
    <t xml:space="preserve">Reconciliation Checks &amp; Summary</t>
  </si>
  <si>
    <t xml:space="preserve">Every check must say OK before signing the accounts</t>
  </si>
  <si>
    <t xml:space="preserve">Check</t>
  </si>
  <si>
    <t xml:space="preserve">Difference</t>
  </si>
  <si>
    <t xml:space="preserve">Status</t>
  </si>
  <si>
    <t xml:space="preserve">Unadjusted trial balance totals to zero</t>
  </si>
  <si>
    <t xml:space="preserve">Adjusted trial balance totals to zero</t>
  </si>
  <si>
    <t xml:space="preserve">Every included adjustment uses a valid ledger code (count of errors)</t>
  </si>
  <si>
    <t xml:space="preserve">Every included adjustment has a Tax Nature (count missing)</t>
  </si>
  <si>
    <t xml:space="preserve">Balance Sheet tallies (Equity &amp; liabilities - Assets)</t>
  </si>
  <si>
    <t xml:space="preserve">PBT in tax computation = PBT in P&amp;L</t>
  </si>
  <si>
    <t xml:space="preserve">Current tax in P&amp;L = tax computation</t>
  </si>
  <si>
    <t xml:space="preserve">Provision for tax in Balance Sheet = tax computation</t>
  </si>
  <si>
    <t xml:space="preserve">Deferred tax: Balance Sheet movement = P&amp;L charge</t>
  </si>
  <si>
    <t xml:space="preserve">Sum of adjustment PBT impacts = Adjusted PBT - Unadjusted PBT</t>
  </si>
  <si>
    <t xml:space="preserve">OVERALL STATUS</t>
  </si>
  <si>
    <t xml:space="preserve">KEY FIGURES</t>
  </si>
  <si>
    <t xml:space="preserve">Profit before tax - before adjustments</t>
  </si>
  <si>
    <t xml:space="preserve">Profit before tax - after adjustments</t>
  </si>
  <si>
    <t xml:space="preserve">Number of adjustments included</t>
  </si>
  <si>
    <t xml:space="preserve">Total income (rounded)</t>
  </si>
  <si>
    <t xml:space="preserve">Current tax</t>
  </si>
  <si>
    <t xml:space="preserve">Profit after tax</t>
  </si>
  <si>
    <t xml:space="preserve">Version Log - how profit and tax moved through each revision (Rs.)</t>
  </si>
  <si>
    <t xml:space="preserve">Stage</t>
  </si>
  <si>
    <t xml:space="preserve">No. of entries</t>
  </si>
  <si>
    <t xml:space="preserve">PBT impact</t>
  </si>
  <si>
    <t xml:space="preserve">Taxable income impact</t>
  </si>
  <si>
    <t xml:space="preserve">Current tax impact</t>
  </si>
  <si>
    <t xml:space="preserve">Cumulative PBT</t>
  </si>
  <si>
    <t xml:space="preserve">Cumulative taxable-income impact</t>
  </si>
  <si>
    <t xml:space="preserve">V0</t>
  </si>
  <si>
    <t xml:space="preserve">Unadjusted trial balance</t>
  </si>
  <si>
    <t xml:space="preserve">Draft - management entries</t>
  </si>
  <si>
    <t xml:space="preserve">After audit observations</t>
  </si>
  <si>
    <t xml:space="preserve">Final close</t>
  </si>
  <si>
    <t xml:space="preserve">Total</t>
  </si>
  <si>
    <t xml:space="preserve">Reading this: each audit round changes profit, and the tax changes with it. Taxable-income impact differs from PBT impact because of disallowances (43B, 40(a)(ia), provisions, penalties).</t>
  </si>
  <si>
    <t xml:space="preserve">Time Study - Manual method vs. this tool (minutes per revision)</t>
  </si>
  <si>
    <t xml:space="preserve">Illustrative figures. REPLACE the yellow cells with your own timings from trying both methods.</t>
  </si>
  <si>
    <t xml:space="preserve">Task</t>
  </si>
  <si>
    <t xml:space="preserve">Manual (min)</t>
  </si>
  <si>
    <t xml:space="preserve">With tool (min)</t>
  </si>
  <si>
    <t xml:space="preserve">Time saved (min)</t>
  </si>
  <si>
    <t xml:space="preserve">Saving %</t>
  </si>
  <si>
    <t xml:space="preserve">Pass entries and update trial balance</t>
  </si>
  <si>
    <t xml:space="preserve">Redraft P&amp;L and Balance Sheet</t>
  </si>
  <si>
    <t xml:space="preserve">Identify tax treatment of each new entry</t>
  </si>
  <si>
    <t xml:space="preserve">Recompute total income and tax</t>
  </si>
  <si>
    <t xml:space="preserve">Recompute deferred tax</t>
  </si>
  <si>
    <t xml:space="preserve">Tie tax provision &amp; DTL back to financial statements</t>
  </si>
  <si>
    <t xml:space="preserve">Explain changes to partner / client</t>
  </si>
  <si>
    <t xml:space="preserve">Total per revision</t>
  </si>
  <si>
    <t xml:space="preserve">Number of revisions in a typical close (V1, V2, V3)</t>
  </si>
  <si>
    <t xml:space="preserve">Total hours saved per client per year</t>
  </si>
  <si>
    <t xml:space="preserve">AI Prompts used in this project</t>
  </si>
  <si>
    <t xml:space="preserve">Tools: ChatGPT / Microsoft Copilot / Claude. Always verify AI output.</t>
  </si>
  <si>
    <t xml:space="preserve">Purpose</t>
  </si>
  <si>
    <t xml:space="preserve">Prompt (copy-paste ready)</t>
  </si>
  <si>
    <t xml:space="preserve">How the output was used</t>
  </si>
  <si>
    <t xml:space="preserve">Classify adjustments</t>
  </si>
  <si>
    <t xml:space="preserve">You are a Chartered Accountant in India. For FY 2025-26 (Income-tax Act, 1961), classify each year-end journal entry below into exactly one of: Allowable; Disallowed - 43B (Timing); Disallowed - 40(a)(ia) 30%; Disallowed - Provision (Timing); Disallowed - Permanent; Book Depreciation. Give the section reference and whether it creates a DTA, DTL or permanent difference. Return a table. Entries: [paste Description, Dr, Cr, Amount]</t>
  </si>
  <si>
    <t xml:space="preserve">Filled the 'Tax Nature' and 'AI suggestion' columns; each verified by me.</t>
  </si>
  <si>
    <t xml:space="preserve">Map ledgers to FS lines</t>
  </si>
  <si>
    <t xml:space="preserve">Map these trial balance ledger names to Schedule III line items and tag each as PL-Income, PL-Expense, BS-Asset, BS-Liability or BS-Equity. Return as a table with columns Code, Ledger, Type, FS Line: [paste ledger list]</t>
  </si>
  <si>
    <t xml:space="preserve">Created the 'Type' and 'FS Line' columns of Trial_Balance.</t>
  </si>
  <si>
    <t xml:space="preserve">Build Excel formulas</t>
  </si>
  <si>
    <t xml:space="preserve">Write an Excel formula (no XLOOKUP, must work in Excel 2016) that returns the total of column I in sheet 'Adjustments' where column E equals the ledger code in A5 and column J is 'Y'.</t>
  </si>
  <si>
    <t xml:space="preserve">Adjustment Dr / Cr columns in Trial_Balance.</t>
  </si>
  <si>
    <t xml:space="preserve">Impact formula</t>
  </si>
  <si>
    <t xml:space="preserve">In Excel, an adjustment has Dr ledger in E5 and Cr ledger in G5. Ledger types are in Trial_Balance column C. Write a formula giving the impact on profit: +amount if the credit side is a P&amp;L ledger, -amount if the debit side is a P&amp;L ledger.</t>
  </si>
  <si>
    <t xml:space="preserve">'Impact on PBT' column of Adjustments.</t>
  </si>
  <si>
    <t xml:space="preserve">Reconciliation checks</t>
  </si>
  <si>
    <t xml:space="preserve">List the reconciliation checks a CA should perform between the final financial statements and the income-tax computation of a company at year end, and suggest an Excel formula for each.</t>
  </si>
  <si>
    <t xml:space="preserve">Designed the 10 checks in the Checks sheet.</t>
  </si>
  <si>
    <t xml:space="preserve">Explain changes</t>
  </si>
  <si>
    <t xml:space="preserve">Using this version log [paste], write a 5-line note for the client explaining why profit and tax changed between the draft and final accounts, in simple language.</t>
  </si>
  <si>
    <t xml:space="preserve">Client communication; shown in the video demo.</t>
  </si>
  <si>
    <t xml:space="preserve">Live AI Demonstration - 4 new entries to classify with AI on camera</t>
  </si>
  <si>
    <t xml:space="preserve">Step 1: copy the prompt into ChatGPT / Copilot / Claude. Step 2: compare with the 'CA review' column. Step 3: on Adjustments rows 17-20, change Include from N to Y.</t>
  </si>
  <si>
    <t xml:space="preserve">New entry</t>
  </si>
  <si>
    <t xml:space="preserve">Dr</t>
  </si>
  <si>
    <t xml:space="preserve">Cr</t>
  </si>
  <si>
    <t xml:space="preserve">Correct Tax Nature</t>
  </si>
  <si>
    <t xml:space="preserve">CA review point (what to check in the AI answer)</t>
  </si>
  <si>
    <t xml:space="preserve">Leave encashment provision (unpaid)</t>
  </si>
  <si>
    <t xml:space="preserve">Straightforward: sec 43B(f), allowed on payment. Expect AI to get this right.</t>
  </si>
  <si>
    <t xml:space="preserve">Interest on delayed GST payment</t>
  </si>
  <si>
    <t xml:space="preserve">WATCH: AI may call this a 'penalty'. Interest for delay is compensatory, not penal, so generally allowable u/s 37(1). Correct the AI if needed.</t>
  </si>
  <si>
    <t xml:space="preserve">Agent commission - TDS u/s 194H not deducted</t>
  </si>
  <si>
    <t xml:space="preserve">30% disallowed (Rs. 60,000), allowed in the year TDS is paid.</t>
  </si>
  <si>
    <t xml:space="preserve">Donation to political party (by cheque)</t>
  </si>
  <si>
    <t xml:space="preserve">WATCH: AI may suggest deduction u/s 80GGB. But a company under 115BAA cannot claim Chapter VI-A deductions (except 80JJAA / 80M), so it is fully disallowed. This is the CA's judgement.</t>
  </si>
  <si>
    <t xml:space="preserve">PROMPT TO PASTE INTO THE AI TOOL</t>
  </si>
  <si>
    <t xml:space="preserve">You are a Chartered Accountant in India. The company is a domestic company that has opted for section 115BAA, FY 2025-26 (Income-tax Act, 1961). Classify each year-end entry below into exactly one of: Allowable; Disallowed - 43B (Timing); Disallowed - 40(a)(ia) 30%; Disallowed - Provision (Timing); Disallowed - Permanent; Book Depreciation. For each, give the section reference, the amount disallowed, and whether it creates a DTA or a permanent difference. Return a table.
1. Leave encashment provision (unpaid) Rs. 1,50,000
2. Interest on delayed GST payment Rs. 18,000
3. Agent commission Rs. 2,00,000 - TDS u/s 194H not deducted
4. Donation to political party by cheque Rs. 50,000</t>
  </si>
  <si>
    <t xml:space="preserve">EXPECTED RESULT after changing Include from N to Y for rows 17-20 of Adjustments</t>
  </si>
  <si>
    <t xml:space="preserve">Profit before tax</t>
  </si>
  <si>
    <t xml:space="preserve">47,75,000 -&gt; 43,57,000</t>
  </si>
  <si>
    <t xml:space="preserve">63,70,000 -&gt; 62,12,000</t>
  </si>
  <si>
    <t xml:space="preserve">16,03,200 -&gt; 15,63,440</t>
  </si>
  <si>
    <t xml:space="preserve">Deferred tax credit</t>
  </si>
  <si>
    <t xml:space="preserve">3,24,667 -&gt; 3,77,520</t>
  </si>
  <si>
    <t xml:space="preserve">Checks</t>
  </si>
  <si>
    <t xml:space="preserve">Still ALL OK</t>
  </si>
  <si>
    <t xml:space="preserve">SECOND LIVE PROMPT - client note (paste the Version_Log table after it)</t>
  </si>
  <si>
    <t xml:space="preserve">Using this version log, write a 5-line note to the client's managing director explaining in simple language why profit and tax changed between the draft and the final accounts. Mention that many audit entries reduced profit but not tax because they are disallowed now and allowed later. [paste Version_Log]</t>
  </si>
  <si>
    <t xml:space="preserve">Note: AI answers vary between tools and runs. Whatever the AI says, the 'Correct Tax Nature' column is what goes into the model, after your review.</t>
  </si>
  <si>
    <t xml:space="preserve">TRAP 2 - Additional depreciation for a 115BAA company (ask the AI separately)</t>
  </si>
  <si>
    <t xml:space="preserve">Prompt: New looms costing Rs. 40,00,000 were bought and put to use in February 2026 (less than 180 days in the year). The company has opted for section 115BAA. Compute tax depreciation, including any additional depreciation available for new plant and machinery.</t>
  </si>
  <si>
    <t xml:space="preserve">Item</t>
  </si>
  <si>
    <t xml:space="preserve">AI's likely answer (Rs.)</t>
  </si>
  <si>
    <t xml:space="preserve">Correct answer (Rs.)</t>
  </si>
  <si>
    <t xml:space="preserve">Normal depreciation 15% x 1/2</t>
  </si>
  <si>
    <t xml:space="preserve">Additional depreciation 20% x 1/2 u/s 32(1)(iia)</t>
  </si>
  <si>
    <t xml:space="preserve">Not allowed (115BAA)</t>
  </si>
  <si>
    <t xml:space="preserve">Total depreciation</t>
  </si>
  <si>
    <t xml:space="preserve">Tax understated if AI accepted (Rs. 4,00,000 x 25.168%)</t>
  </si>
  <si>
    <t xml:space="preserve">Two-model test: run Trap 1 and Trap 2 on two different models in the ICAI AI Agent and compare. The model's tax depreciation input (Tax_Computation C5) already excludes additional depreciation.</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</si>
</sst>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11"/>
      <color rgb="FF0000FF"/>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b val="true"/>
      <sz val="12"/>
      <name val="Arial"/>
      <family val="0"/>
      <charset val="1"/>
    </font>
    <font>
      <i val="true"/>
      <sz val="10"/>
      <name val="Arial"/>
      <family val="0"/>
      <charset val="1"/>
    </font>
    <font>
      <i val="true"/>
      <sz val="9"/>
      <color rgb="FFC00000"/>
      <name val="Arial"/>
      <family val="0"/>
      <charset val="1"/>
    </font>
  </fonts>
  <fills count="6">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D9E1F2"/>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7" fontId="10" fillId="2"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7" fontId="10"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4" fontId="14" fillId="5"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23.85" hidden="false" customHeight="false" outlineLevel="0" collapsed="false">
      <c r="A7" s="4" t="s">
        <v>7</v>
      </c>
      <c r="B7" s="5" t="s">
        <v>8</v>
      </c>
    </row>
    <row r="8" customFormat="false" ht="15" hidden="false" customHeight="false" outlineLevel="0" collapsed="false">
      <c r="A8" s="4" t="s">
        <v>9</v>
      </c>
      <c r="B8" s="5" t="s">
        <v>10</v>
      </c>
    </row>
    <row r="9" customFormat="false" ht="23.85" hidden="false" customHeight="false" outlineLevel="0" collapsed="false">
      <c r="A9" s="4" t="s">
        <v>11</v>
      </c>
      <c r="B9" s="5" t="s">
        <v>12</v>
      </c>
    </row>
    <row r="10" customFormat="false" ht="15" hidden="false" customHeight="false" outlineLevel="0" collapsed="false">
      <c r="A10" s="4" t="s">
        <v>13</v>
      </c>
      <c r="B10" s="5" t="s">
        <v>14</v>
      </c>
    </row>
    <row r="11" customFormat="false" ht="15" hidden="false" customHeight="false" outlineLevel="0" collapsed="false">
      <c r="A11" s="4" t="s">
        <v>15</v>
      </c>
      <c r="B11" s="5" t="s">
        <v>16</v>
      </c>
    </row>
    <row r="12" customFormat="false" ht="15" hidden="false" customHeight="false" outlineLevel="0" collapsed="false">
      <c r="A12" s="4" t="s">
        <v>17</v>
      </c>
      <c r="B12" s="5" t="s">
        <v>18</v>
      </c>
    </row>
    <row r="13" customFormat="false" ht="15" hidden="false" customHeight="false" outlineLevel="0" collapsed="false">
      <c r="A13" s="4" t="s">
        <v>19</v>
      </c>
      <c r="B13" s="5" t="s">
        <v>20</v>
      </c>
    </row>
    <row r="14" customFormat="false" ht="15" hidden="false" customHeight="false" outlineLevel="0" collapsed="false">
      <c r="A14" s="4" t="s">
        <v>21</v>
      </c>
      <c r="B14" s="5" t="s">
        <v>22</v>
      </c>
    </row>
    <row r="15" customFormat="false" ht="15" hidden="false" customHeight="false" outlineLevel="0" collapsed="false">
      <c r="A15" s="3" t="s">
        <v>23</v>
      </c>
    </row>
    <row r="16" customFormat="false" ht="15" hidden="false" customHeight="false" outlineLevel="0" collapsed="false">
      <c r="A16" s="6" t="s">
        <v>24</v>
      </c>
      <c r="B16" s="5" t="s">
        <v>25</v>
      </c>
    </row>
    <row r="17" customFormat="false" ht="15" hidden="false" customHeight="false" outlineLevel="0" collapsed="false">
      <c r="A17" s="7" t="s">
        <v>26</v>
      </c>
      <c r="B17" s="5" t="s">
        <v>27</v>
      </c>
    </row>
    <row r="18" customFormat="false" ht="15" hidden="false" customHeight="false" outlineLevel="0" collapsed="false">
      <c r="A18" s="4"/>
      <c r="B18" s="5"/>
    </row>
    <row r="19" customFormat="false" ht="15" hidden="false" customHeight="false" outlineLevel="0" collapsed="false">
      <c r="A19" s="3" t="s">
        <v>28</v>
      </c>
    </row>
    <row r="20" customFormat="false" ht="15" hidden="false" customHeight="false" outlineLevel="0" collapsed="false">
      <c r="A20" s="4" t="s">
        <v>29</v>
      </c>
      <c r="B20" s="5" t="s">
        <v>30</v>
      </c>
    </row>
    <row r="21" customFormat="false" ht="23.85" hidden="false" customHeight="false" outlineLevel="0" collapsed="false">
      <c r="A21" s="4" t="s">
        <v>31</v>
      </c>
      <c r="B21" s="5" t="s">
        <v>32</v>
      </c>
    </row>
    <row r="22" customFormat="false" ht="15" hidden="false" customHeight="false" outlineLevel="0" collapsed="false">
      <c r="A22" s="4" t="s">
        <v>31</v>
      </c>
      <c r="B22" s="5"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22"/>
    <col collapsed="false" customWidth="true" hidden="false" outlineLevel="0" max="4" min="4" style="0" width="60"/>
  </cols>
  <sheetData>
    <row r="1" customFormat="false" ht="17.35" hidden="false" customHeight="false" outlineLevel="0" collapsed="false">
      <c r="A1" s="1" t="s">
        <v>34</v>
      </c>
    </row>
    <row r="4" customFormat="false" ht="15" hidden="false" customHeight="false" outlineLevel="0" collapsed="false">
      <c r="A4" s="8" t="s">
        <v>35</v>
      </c>
      <c r="B4" s="9" t="s">
        <v>36</v>
      </c>
    </row>
    <row r="5" customFormat="false" ht="15" hidden="false" customHeight="false" outlineLevel="0" collapsed="false">
      <c r="A5" s="8" t="s">
        <v>37</v>
      </c>
      <c r="B5" s="9" t="s">
        <v>38</v>
      </c>
    </row>
    <row r="6" customFormat="false" ht="15" hidden="false" customHeight="false" outlineLevel="0" collapsed="false">
      <c r="A6" s="8" t="s">
        <v>39</v>
      </c>
      <c r="B6" s="9" t="s">
        <v>40</v>
      </c>
      <c r="C6" s="2" t="s">
        <v>41</v>
      </c>
    </row>
    <row r="7" customFormat="false" ht="15" hidden="false" customHeight="false" outlineLevel="0" collapsed="false">
      <c r="A7" s="8" t="s">
        <v>42</v>
      </c>
      <c r="B7" s="10" t="n">
        <v>0.22</v>
      </c>
      <c r="C7" s="2" t="s">
        <v>43</v>
      </c>
    </row>
    <row r="8" customFormat="false" ht="15" hidden="false" customHeight="false" outlineLevel="0" collapsed="false">
      <c r="A8" s="8" t="s">
        <v>44</v>
      </c>
      <c r="B8" s="10" t="n">
        <v>0.1</v>
      </c>
      <c r="C8" s="2" t="s">
        <v>45</v>
      </c>
    </row>
    <row r="9" customFormat="false" ht="15" hidden="false" customHeight="false" outlineLevel="0" collapsed="false">
      <c r="A9" s="8" t="s">
        <v>46</v>
      </c>
      <c r="B9" s="10" t="n">
        <v>0.04</v>
      </c>
    </row>
    <row r="10" customFormat="false" ht="15" hidden="false" customHeight="false" outlineLevel="0" collapsed="false">
      <c r="A10" s="4" t="s">
        <v>47</v>
      </c>
      <c r="B10" s="11" t="n">
        <f aca="false">B7*(1+B8)*(1+B9)</f>
        <v>0.25168</v>
      </c>
    </row>
    <row r="13" customFormat="false" ht="15" hidden="false" customHeight="false" outlineLevel="0" collapsed="false">
      <c r="A13" s="3" t="s">
        <v>48</v>
      </c>
    </row>
    <row r="14" customFormat="false" ht="15" hidden="false" customHeight="false" outlineLevel="0" collapsed="false">
      <c r="A14" s="12" t="s">
        <v>49</v>
      </c>
      <c r="B14" s="12" t="s">
        <v>50</v>
      </c>
      <c r="C14" s="12" t="s">
        <v>51</v>
      </c>
      <c r="D14" s="12" t="s">
        <v>52</v>
      </c>
    </row>
    <row r="15" customFormat="false" ht="27.75" hidden="false" customHeight="true" outlineLevel="0" collapsed="false">
      <c r="A15" s="13" t="s">
        <v>53</v>
      </c>
      <c r="B15" s="14" t="n">
        <v>0</v>
      </c>
      <c r="C15" s="15" t="s">
        <v>54</v>
      </c>
      <c r="D15" s="16" t="s">
        <v>55</v>
      </c>
    </row>
    <row r="16" customFormat="false" ht="27.75" hidden="false" customHeight="true" outlineLevel="0" collapsed="false">
      <c r="A16" s="13" t="s">
        <v>56</v>
      </c>
      <c r="B16" s="14" t="n">
        <v>1</v>
      </c>
      <c r="C16" s="15" t="s">
        <v>57</v>
      </c>
      <c r="D16" s="16" t="s">
        <v>58</v>
      </c>
    </row>
    <row r="17" customFormat="false" ht="27.75" hidden="false" customHeight="true" outlineLevel="0" collapsed="false">
      <c r="A17" s="13" t="s">
        <v>59</v>
      </c>
      <c r="B17" s="14" t="n">
        <v>0.3</v>
      </c>
      <c r="C17" s="15" t="s">
        <v>57</v>
      </c>
      <c r="D17" s="16" t="s">
        <v>60</v>
      </c>
    </row>
    <row r="18" customFormat="false" ht="27.75" hidden="false" customHeight="true" outlineLevel="0" collapsed="false">
      <c r="A18" s="13" t="s">
        <v>61</v>
      </c>
      <c r="B18" s="14" t="n">
        <v>1</v>
      </c>
      <c r="C18" s="15" t="s">
        <v>57</v>
      </c>
      <c r="D18" s="16" t="s">
        <v>62</v>
      </c>
    </row>
    <row r="19" customFormat="false" ht="27.75" hidden="false" customHeight="true" outlineLevel="0" collapsed="false">
      <c r="A19" s="13" t="s">
        <v>63</v>
      </c>
      <c r="B19" s="14" t="n">
        <v>1</v>
      </c>
      <c r="C19" s="15" t="s">
        <v>64</v>
      </c>
      <c r="D19" s="16" t="s">
        <v>65</v>
      </c>
    </row>
    <row r="20" customFormat="false" ht="27.75" hidden="false" customHeight="true" outlineLevel="0" collapsed="false">
      <c r="A20" s="13" t="s">
        <v>66</v>
      </c>
      <c r="B20" s="14" t="n">
        <v>1</v>
      </c>
      <c r="C20" s="15" t="s">
        <v>67</v>
      </c>
      <c r="D20" s="16"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3"/>
    <col collapsed="false" customWidth="true" hidden="false" outlineLevel="0" max="4" min="4" style="0" width="30"/>
    <col collapsed="false" customWidth="true" hidden="false" outlineLevel="0" max="5" min="5" style="0" width="18"/>
    <col collapsed="false" customWidth="true" hidden="false" outlineLevel="0" max="7" min="6" style="0" width="16"/>
    <col collapsed="false" customWidth="true" hidden="false" outlineLevel="0" max="8" min="8" style="0" width="18"/>
  </cols>
  <sheetData>
    <row r="1" customFormat="false" ht="17.35" hidden="false" customHeight="false" outlineLevel="0" collapsed="false">
      <c r="A1" s="1" t="s">
        <v>69</v>
      </c>
    </row>
    <row r="2" customFormat="false" ht="15" hidden="false" customHeight="false" outlineLevel="0" collapsed="false">
      <c r="A2" s="2" t="s">
        <v>70</v>
      </c>
    </row>
    <row r="4" customFormat="false" ht="23.85" hidden="false" customHeight="false" outlineLevel="0" collapsed="false">
      <c r="A4" s="17" t="s">
        <v>71</v>
      </c>
      <c r="B4" s="17" t="s">
        <v>72</v>
      </c>
      <c r="C4" s="17" t="s">
        <v>73</v>
      </c>
      <c r="D4" s="17" t="s">
        <v>74</v>
      </c>
      <c r="E4" s="17" t="s">
        <v>75</v>
      </c>
      <c r="F4" s="17" t="s">
        <v>76</v>
      </c>
      <c r="G4" s="17" t="s">
        <v>77</v>
      </c>
      <c r="H4" s="17" t="s">
        <v>78</v>
      </c>
    </row>
    <row r="5" customFormat="false" ht="15" hidden="false" customHeight="false" outlineLevel="0" collapsed="false">
      <c r="A5" s="13" t="s">
        <v>79</v>
      </c>
      <c r="B5" s="13" t="s">
        <v>80</v>
      </c>
      <c r="C5" s="13" t="s">
        <v>81</v>
      </c>
      <c r="D5" s="13" t="s">
        <v>82</v>
      </c>
      <c r="E5" s="18" t="n">
        <v>-50000000</v>
      </c>
      <c r="F5" s="19" t="n">
        <f aca="false">SUMIFS(Adjustments!$I:$I,Adjustments!$E:$E,A5,Adjustments!$J:$J,"Y")</f>
        <v>0</v>
      </c>
      <c r="G5" s="19" t="n">
        <f aca="false">SUMIFS(Adjustments!$I:$I,Adjustments!$G:$G,A5,Adjustments!$J:$J,"Y")</f>
        <v>0</v>
      </c>
      <c r="H5" s="19" t="n">
        <f aca="false">E5+F5-G5</f>
        <v>-50000000</v>
      </c>
    </row>
    <row r="6" customFormat="false" ht="15" hidden="false" customHeight="false" outlineLevel="0" collapsed="false">
      <c r="A6" s="13" t="s">
        <v>83</v>
      </c>
      <c r="B6" s="13" t="s">
        <v>84</v>
      </c>
      <c r="C6" s="13" t="s">
        <v>81</v>
      </c>
      <c r="D6" s="13" t="s">
        <v>85</v>
      </c>
      <c r="E6" s="18" t="n">
        <v>-800000</v>
      </c>
      <c r="F6" s="19" t="n">
        <f aca="false">SUMIFS(Adjustments!$I:$I,Adjustments!$E:$E,A6,Adjustments!$J:$J,"Y")</f>
        <v>0</v>
      </c>
      <c r="G6" s="19" t="n">
        <f aca="false">SUMIFS(Adjustments!$I:$I,Adjustments!$G:$G,A6,Adjustments!$J:$J,"Y")</f>
        <v>60000</v>
      </c>
      <c r="H6" s="19" t="n">
        <f aca="false">E6+F6-G6</f>
        <v>-860000</v>
      </c>
    </row>
    <row r="7" customFormat="false" ht="15" hidden="false" customHeight="false" outlineLevel="0" collapsed="false">
      <c r="A7" s="13" t="s">
        <v>86</v>
      </c>
      <c r="B7" s="13" t="s">
        <v>87</v>
      </c>
      <c r="C7" s="13" t="s">
        <v>88</v>
      </c>
      <c r="D7" s="13" t="s">
        <v>89</v>
      </c>
      <c r="E7" s="18" t="n">
        <v>28000000</v>
      </c>
      <c r="F7" s="19" t="n">
        <f aca="false">SUMIFS(Adjustments!$I:$I,Adjustments!$E:$E,A7,Adjustments!$J:$J,"Y")</f>
        <v>450000</v>
      </c>
      <c r="G7" s="19" t="n">
        <f aca="false">SUMIFS(Adjustments!$I:$I,Adjustments!$G:$G,A7,Adjustments!$J:$J,"Y")</f>
        <v>0</v>
      </c>
      <c r="H7" s="19" t="n">
        <f aca="false">E7+F7-G7</f>
        <v>28450000</v>
      </c>
    </row>
    <row r="8" customFormat="false" ht="15" hidden="false" customHeight="false" outlineLevel="0" collapsed="false">
      <c r="A8" s="13" t="s">
        <v>90</v>
      </c>
      <c r="B8" s="13" t="s">
        <v>91</v>
      </c>
      <c r="C8" s="13" t="s">
        <v>88</v>
      </c>
      <c r="D8" s="13" t="s">
        <v>92</v>
      </c>
      <c r="E8" s="18" t="n">
        <v>6000000</v>
      </c>
      <c r="F8" s="19" t="n">
        <f aca="false">SUMIFS(Adjustments!$I:$I,Adjustments!$E:$E,A8,Adjustments!$J:$J,"Y")</f>
        <v>1000000</v>
      </c>
      <c r="G8" s="19" t="n">
        <f aca="false">SUMIFS(Adjustments!$I:$I,Adjustments!$G:$G,A8,Adjustments!$J:$J,"Y")</f>
        <v>0</v>
      </c>
      <c r="H8" s="19" t="n">
        <f aca="false">E8+F8-G8</f>
        <v>7000000</v>
      </c>
    </row>
    <row r="9" customFormat="false" ht="15" hidden="false" customHeight="false" outlineLevel="0" collapsed="false">
      <c r="A9" s="13" t="s">
        <v>93</v>
      </c>
      <c r="B9" s="13" t="s">
        <v>94</v>
      </c>
      <c r="C9" s="13" t="s">
        <v>88</v>
      </c>
      <c r="D9" s="13" t="s">
        <v>95</v>
      </c>
      <c r="E9" s="18" t="n">
        <v>900000</v>
      </c>
      <c r="F9" s="19" t="n">
        <f aca="false">SUMIFS(Adjustments!$I:$I,Adjustments!$E:$E,A9,Adjustments!$J:$J,"Y")</f>
        <v>80000</v>
      </c>
      <c r="G9" s="19" t="n">
        <f aca="false">SUMIFS(Adjustments!$I:$I,Adjustments!$G:$G,A9,Adjustments!$J:$J,"Y")</f>
        <v>0</v>
      </c>
      <c r="H9" s="19" t="n">
        <f aca="false">E9+F9-G9</f>
        <v>980000</v>
      </c>
    </row>
    <row r="10" customFormat="false" ht="15" hidden="false" customHeight="false" outlineLevel="0" collapsed="false">
      <c r="A10" s="13" t="s">
        <v>96</v>
      </c>
      <c r="B10" s="13" t="s">
        <v>97</v>
      </c>
      <c r="C10" s="13" t="s">
        <v>88</v>
      </c>
      <c r="D10" s="13" t="s">
        <v>97</v>
      </c>
      <c r="E10" s="18" t="n">
        <v>1500000</v>
      </c>
      <c r="F10" s="19" t="n">
        <f aca="false">SUMIFS(Adjustments!$I:$I,Adjustments!$E:$E,A10,Adjustments!$J:$J,"Y")</f>
        <v>350000</v>
      </c>
      <c r="G10" s="19" t="n">
        <f aca="false">SUMIFS(Adjustments!$I:$I,Adjustments!$G:$G,A10,Adjustments!$J:$J,"Y")</f>
        <v>0</v>
      </c>
      <c r="H10" s="19" t="n">
        <f aca="false">E10+F10-G10</f>
        <v>1850000</v>
      </c>
    </row>
    <row r="11" customFormat="false" ht="15" hidden="false" customHeight="false" outlineLevel="0" collapsed="false">
      <c r="A11" s="13" t="s">
        <v>98</v>
      </c>
      <c r="B11" s="13" t="s">
        <v>99</v>
      </c>
      <c r="C11" s="13" t="s">
        <v>88</v>
      </c>
      <c r="D11" s="13" t="s">
        <v>100</v>
      </c>
      <c r="E11" s="18" t="n">
        <v>1200000</v>
      </c>
      <c r="F11" s="19" t="n">
        <f aca="false">SUMIFS(Adjustments!$I:$I,Adjustments!$E:$E,A11,Adjustments!$J:$J,"Y")</f>
        <v>450000</v>
      </c>
      <c r="G11" s="19" t="n">
        <f aca="false">SUMIFS(Adjustments!$I:$I,Adjustments!$G:$G,A11,Adjustments!$J:$J,"Y")</f>
        <v>0</v>
      </c>
      <c r="H11" s="19" t="n">
        <f aca="false">E11+F11-G11</f>
        <v>1650000</v>
      </c>
    </row>
    <row r="12" customFormat="false" ht="15" hidden="false" customHeight="false" outlineLevel="0" collapsed="false">
      <c r="A12" s="13" t="s">
        <v>101</v>
      </c>
      <c r="B12" s="13" t="s">
        <v>102</v>
      </c>
      <c r="C12" s="13" t="s">
        <v>88</v>
      </c>
      <c r="D12" s="13" t="s">
        <v>102</v>
      </c>
      <c r="E12" s="18" t="n">
        <v>1800000</v>
      </c>
      <c r="F12" s="19" t="n">
        <f aca="false">SUMIFS(Adjustments!$I:$I,Adjustments!$E:$E,A12,Adjustments!$J:$J,"Y")</f>
        <v>100000</v>
      </c>
      <c r="G12" s="19" t="n">
        <f aca="false">SUMIFS(Adjustments!$I:$I,Adjustments!$G:$G,A12,Adjustments!$J:$J,"Y")</f>
        <v>0</v>
      </c>
      <c r="H12" s="19" t="n">
        <f aca="false">E12+F12-G12</f>
        <v>1900000</v>
      </c>
    </row>
    <row r="13" customFormat="false" ht="15" hidden="false" customHeight="false" outlineLevel="0" collapsed="false">
      <c r="A13" s="13" t="s">
        <v>103</v>
      </c>
      <c r="B13" s="13" t="s">
        <v>104</v>
      </c>
      <c r="C13" s="13" t="s">
        <v>88</v>
      </c>
      <c r="D13" s="13" t="s">
        <v>104</v>
      </c>
      <c r="E13" s="18" t="n">
        <v>2400000</v>
      </c>
      <c r="F13" s="19" t="n">
        <f aca="false">SUMIFS(Adjustments!$I:$I,Adjustments!$E:$E,A13,Adjustments!$J:$J,"Y")</f>
        <v>0</v>
      </c>
      <c r="G13" s="19" t="n">
        <f aca="false">SUMIFS(Adjustments!$I:$I,Adjustments!$G:$G,A13,Adjustments!$J:$J,"Y")</f>
        <v>0</v>
      </c>
      <c r="H13" s="19" t="n">
        <f aca="false">E13+F13-G13</f>
        <v>2400000</v>
      </c>
    </row>
    <row r="14" customFormat="false" ht="15" hidden="false" customHeight="false" outlineLevel="0" collapsed="false">
      <c r="A14" s="13" t="s">
        <v>105</v>
      </c>
      <c r="B14" s="13" t="s">
        <v>106</v>
      </c>
      <c r="C14" s="13" t="s">
        <v>88</v>
      </c>
      <c r="D14" s="13" t="s">
        <v>106</v>
      </c>
      <c r="E14" s="18" t="n">
        <v>1600000</v>
      </c>
      <c r="F14" s="19" t="n">
        <f aca="false">SUMIFS(Adjustments!$I:$I,Adjustments!$E:$E,A14,Adjustments!$J:$J,"Y")</f>
        <v>275000</v>
      </c>
      <c r="G14" s="19" t="n">
        <f aca="false">SUMIFS(Adjustments!$I:$I,Adjustments!$G:$G,A14,Adjustments!$J:$J,"Y")</f>
        <v>220000</v>
      </c>
      <c r="H14" s="19" t="n">
        <f aca="false">E14+F14-G14</f>
        <v>1655000</v>
      </c>
    </row>
    <row r="15" customFormat="false" ht="15" hidden="false" customHeight="false" outlineLevel="0" collapsed="false">
      <c r="A15" s="13" t="s">
        <v>107</v>
      </c>
      <c r="B15" s="13" t="s">
        <v>108</v>
      </c>
      <c r="C15" s="13" t="s">
        <v>88</v>
      </c>
      <c r="D15" s="13" t="s">
        <v>108</v>
      </c>
      <c r="E15" s="18" t="n">
        <v>200000</v>
      </c>
      <c r="F15" s="19" t="n">
        <f aca="false">SUMIFS(Adjustments!$I:$I,Adjustments!$E:$E,A15,Adjustments!$J:$J,"Y")</f>
        <v>0</v>
      </c>
      <c r="G15" s="19" t="n">
        <f aca="false">SUMIFS(Adjustments!$I:$I,Adjustments!$G:$G,A15,Adjustments!$J:$J,"Y")</f>
        <v>0</v>
      </c>
      <c r="H15" s="19" t="n">
        <f aca="false">E15+F15-G15</f>
        <v>200000</v>
      </c>
    </row>
    <row r="16" customFormat="false" ht="15" hidden="false" customHeight="false" outlineLevel="0" collapsed="false">
      <c r="A16" s="13" t="s">
        <v>109</v>
      </c>
      <c r="B16" s="13" t="s">
        <v>110</v>
      </c>
      <c r="C16" s="13" t="s">
        <v>111</v>
      </c>
      <c r="D16" s="13" t="s">
        <v>112</v>
      </c>
      <c r="E16" s="18" t="n">
        <v>18000000</v>
      </c>
      <c r="F16" s="19" t="n">
        <f aca="false">SUMIFS(Adjustments!$I:$I,Adjustments!$E:$E,A16,Adjustments!$J:$J,"Y")</f>
        <v>0</v>
      </c>
      <c r="G16" s="19" t="n">
        <f aca="false">SUMIFS(Adjustments!$I:$I,Adjustments!$G:$G,A16,Adjustments!$J:$J,"Y")</f>
        <v>350000</v>
      </c>
      <c r="H16" s="19" t="n">
        <f aca="false">E16+F16-G16</f>
        <v>17650000</v>
      </c>
    </row>
    <row r="17" customFormat="false" ht="15" hidden="false" customHeight="false" outlineLevel="0" collapsed="false">
      <c r="A17" s="13" t="s">
        <v>113</v>
      </c>
      <c r="B17" s="13" t="s">
        <v>114</v>
      </c>
      <c r="C17" s="13" t="s">
        <v>111</v>
      </c>
      <c r="D17" s="13" t="s">
        <v>115</v>
      </c>
      <c r="E17" s="18" t="n">
        <v>7500000</v>
      </c>
      <c r="F17" s="19" t="n">
        <f aca="false">SUMIFS(Adjustments!$I:$I,Adjustments!$E:$E,A17,Adjustments!$J:$J,"Y")</f>
        <v>0</v>
      </c>
      <c r="G17" s="19" t="n">
        <f aca="false">SUMIFS(Adjustments!$I:$I,Adjustments!$G:$G,A17,Adjustments!$J:$J,"Y")</f>
        <v>450000</v>
      </c>
      <c r="H17" s="19" t="n">
        <f aca="false">E17+F17-G17</f>
        <v>7050000</v>
      </c>
    </row>
    <row r="18" customFormat="false" ht="15" hidden="false" customHeight="false" outlineLevel="0" collapsed="false">
      <c r="A18" s="13" t="s">
        <v>116</v>
      </c>
      <c r="B18" s="13" t="s">
        <v>117</v>
      </c>
      <c r="C18" s="13" t="s">
        <v>111</v>
      </c>
      <c r="D18" s="13" t="s">
        <v>118</v>
      </c>
      <c r="E18" s="18" t="n">
        <v>9000000</v>
      </c>
      <c r="F18" s="19" t="n">
        <f aca="false">SUMIFS(Adjustments!$I:$I,Adjustments!$E:$E,A18,Adjustments!$J:$J,"Y")</f>
        <v>0</v>
      </c>
      <c r="G18" s="19" t="n">
        <f aca="false">SUMIFS(Adjustments!$I:$I,Adjustments!$G:$G,A18,Adjustments!$J:$J,"Y")</f>
        <v>0</v>
      </c>
      <c r="H18" s="19" t="n">
        <f aca="false">E18+F18-G18</f>
        <v>9000000</v>
      </c>
    </row>
    <row r="19" customFormat="false" ht="15" hidden="false" customHeight="false" outlineLevel="0" collapsed="false">
      <c r="A19" s="13" t="s">
        <v>119</v>
      </c>
      <c r="B19" s="13" t="s">
        <v>120</v>
      </c>
      <c r="C19" s="13" t="s">
        <v>111</v>
      </c>
      <c r="D19" s="13" t="s">
        <v>118</v>
      </c>
      <c r="E19" s="18" t="n">
        <v>0</v>
      </c>
      <c r="F19" s="19" t="n">
        <f aca="false">SUMIFS(Adjustments!$I:$I,Adjustments!$E:$E,A19,Adjustments!$J:$J,"Y")</f>
        <v>0</v>
      </c>
      <c r="G19" s="19" t="n">
        <f aca="false">SUMIFS(Adjustments!$I:$I,Adjustments!$G:$G,A19,Adjustments!$J:$J,"Y")</f>
        <v>250000</v>
      </c>
      <c r="H19" s="19" t="n">
        <f aca="false">E19+F19-G19</f>
        <v>-250000</v>
      </c>
    </row>
    <row r="20" customFormat="false" ht="15" hidden="false" customHeight="false" outlineLevel="0" collapsed="false">
      <c r="A20" s="13" t="s">
        <v>121</v>
      </c>
      <c r="B20" s="13" t="s">
        <v>122</v>
      </c>
      <c r="C20" s="13" t="s">
        <v>111</v>
      </c>
      <c r="D20" s="13" t="s">
        <v>123</v>
      </c>
      <c r="E20" s="18" t="n">
        <v>2500000</v>
      </c>
      <c r="F20" s="19" t="n">
        <f aca="false">SUMIFS(Adjustments!$I:$I,Adjustments!$E:$E,A20,Adjustments!$J:$J,"Y")</f>
        <v>0</v>
      </c>
      <c r="G20" s="19" t="n">
        <f aca="false">SUMIFS(Adjustments!$I:$I,Adjustments!$G:$G,A20,Adjustments!$J:$J,"Y")</f>
        <v>25000</v>
      </c>
      <c r="H20" s="19" t="n">
        <f aca="false">E20+F20-G20</f>
        <v>2475000</v>
      </c>
    </row>
    <row r="21" customFormat="false" ht="15" hidden="false" customHeight="false" outlineLevel="0" collapsed="false">
      <c r="A21" s="13" t="s">
        <v>124</v>
      </c>
      <c r="B21" s="13" t="s">
        <v>125</v>
      </c>
      <c r="C21" s="13" t="s">
        <v>111</v>
      </c>
      <c r="D21" s="13" t="s">
        <v>125</v>
      </c>
      <c r="E21" s="18" t="n">
        <v>300000</v>
      </c>
      <c r="F21" s="19" t="n">
        <f aca="false">SUMIFS(Adjustments!$I:$I,Adjustments!$E:$E,A21,Adjustments!$J:$J,"Y")</f>
        <v>120000</v>
      </c>
      <c r="G21" s="19" t="n">
        <f aca="false">SUMIFS(Adjustments!$I:$I,Adjustments!$G:$G,A21,Adjustments!$J:$J,"Y")</f>
        <v>0</v>
      </c>
      <c r="H21" s="19" t="n">
        <f aca="false">E21+F21-G21</f>
        <v>420000</v>
      </c>
    </row>
    <row r="22" customFormat="false" ht="15" hidden="false" customHeight="false" outlineLevel="0" collapsed="false">
      <c r="A22" s="13" t="s">
        <v>126</v>
      </c>
      <c r="B22" s="13" t="s">
        <v>127</v>
      </c>
      <c r="C22" s="13" t="s">
        <v>111</v>
      </c>
      <c r="D22" s="13" t="s">
        <v>128</v>
      </c>
      <c r="E22" s="18" t="n">
        <v>1400000</v>
      </c>
      <c r="F22" s="19" t="n">
        <f aca="false">SUMIFS(Adjustments!$I:$I,Adjustments!$E:$E,A22,Adjustments!$J:$J,"Y")</f>
        <v>0</v>
      </c>
      <c r="G22" s="19" t="n">
        <f aca="false">SUMIFS(Adjustments!$I:$I,Adjustments!$G:$G,A22,Adjustments!$J:$J,"Y")</f>
        <v>0</v>
      </c>
      <c r="H22" s="19" t="n">
        <f aca="false">E22+F22-G22</f>
        <v>1400000</v>
      </c>
    </row>
    <row r="23" customFormat="false" ht="15" hidden="false" customHeight="false" outlineLevel="0" collapsed="false">
      <c r="A23" s="13" t="s">
        <v>129</v>
      </c>
      <c r="B23" s="13" t="s">
        <v>130</v>
      </c>
      <c r="C23" s="13" t="s">
        <v>111</v>
      </c>
      <c r="D23" s="13" t="s">
        <v>130</v>
      </c>
      <c r="E23" s="18" t="n">
        <v>600000</v>
      </c>
      <c r="F23" s="19" t="n">
        <f aca="false">SUMIFS(Adjustments!$I:$I,Adjustments!$E:$E,A23,Adjustments!$J:$J,"Y")</f>
        <v>60000</v>
      </c>
      <c r="G23" s="19" t="n">
        <f aca="false">SUMIFS(Adjustments!$I:$I,Adjustments!$G:$G,A23,Adjustments!$J:$J,"Y")</f>
        <v>0</v>
      </c>
      <c r="H23" s="19" t="n">
        <f aca="false">E23+F23-G23</f>
        <v>660000</v>
      </c>
    </row>
    <row r="24" customFormat="false" ht="15" hidden="false" customHeight="false" outlineLevel="0" collapsed="false">
      <c r="A24" s="13" t="s">
        <v>131</v>
      </c>
      <c r="B24" s="13" t="s">
        <v>132</v>
      </c>
      <c r="C24" s="13" t="s">
        <v>133</v>
      </c>
      <c r="D24" s="13" t="s">
        <v>132</v>
      </c>
      <c r="E24" s="18" t="n">
        <v>-5000000</v>
      </c>
      <c r="F24" s="19" t="n">
        <f aca="false">SUMIFS(Adjustments!$I:$I,Adjustments!$E:$E,A24,Adjustments!$J:$J,"Y")</f>
        <v>0</v>
      </c>
      <c r="G24" s="19" t="n">
        <f aca="false">SUMIFS(Adjustments!$I:$I,Adjustments!$G:$G,A24,Adjustments!$J:$J,"Y")</f>
        <v>0</v>
      </c>
      <c r="H24" s="19" t="n">
        <f aca="false">E24+F24-G24</f>
        <v>-5000000</v>
      </c>
    </row>
    <row r="25" customFormat="false" ht="15" hidden="false" customHeight="false" outlineLevel="0" collapsed="false">
      <c r="A25" s="13" t="s">
        <v>134</v>
      </c>
      <c r="B25" s="13" t="s">
        <v>135</v>
      </c>
      <c r="C25" s="13" t="s">
        <v>133</v>
      </c>
      <c r="D25" s="13" t="s">
        <v>136</v>
      </c>
      <c r="E25" s="18" t="n">
        <v>-10500000</v>
      </c>
      <c r="F25" s="19" t="n">
        <f aca="false">SUMIFS(Adjustments!$I:$I,Adjustments!$E:$E,A25,Adjustments!$J:$J,"Y")</f>
        <v>0</v>
      </c>
      <c r="G25" s="19" t="n">
        <f aca="false">SUMIFS(Adjustments!$I:$I,Adjustments!$G:$G,A25,Adjustments!$J:$J,"Y")</f>
        <v>0</v>
      </c>
      <c r="H25" s="19" t="n">
        <f aca="false">E25+F25-G25</f>
        <v>-10500000</v>
      </c>
    </row>
    <row r="26" customFormat="false" ht="15" hidden="false" customHeight="false" outlineLevel="0" collapsed="false">
      <c r="A26" s="13" t="s">
        <v>137</v>
      </c>
      <c r="B26" s="13" t="s">
        <v>138</v>
      </c>
      <c r="C26" s="13" t="s">
        <v>139</v>
      </c>
      <c r="D26" s="13" t="s">
        <v>140</v>
      </c>
      <c r="E26" s="18" t="n">
        <v>-8000000</v>
      </c>
      <c r="F26" s="19" t="n">
        <f aca="false">SUMIFS(Adjustments!$I:$I,Adjustments!$E:$E,A26,Adjustments!$J:$J,"Y")</f>
        <v>0</v>
      </c>
      <c r="G26" s="19" t="n">
        <f aca="false">SUMIFS(Adjustments!$I:$I,Adjustments!$G:$G,A26,Adjustments!$J:$J,"Y")</f>
        <v>0</v>
      </c>
      <c r="H26" s="19" t="n">
        <f aca="false">E26+F26-G26</f>
        <v>-8000000</v>
      </c>
    </row>
    <row r="27" customFormat="false" ht="15" hidden="false" customHeight="false" outlineLevel="0" collapsed="false">
      <c r="A27" s="13" t="s">
        <v>141</v>
      </c>
      <c r="B27" s="13" t="s">
        <v>142</v>
      </c>
      <c r="C27" s="13" t="s">
        <v>139</v>
      </c>
      <c r="D27" s="13" t="s">
        <v>143</v>
      </c>
      <c r="E27" s="18" t="n">
        <v>-400000</v>
      </c>
      <c r="F27" s="19" t="n">
        <f aca="false">SUMIFS(Adjustments!$I:$I,Adjustments!$E:$E,A27,Adjustments!$J:$J,"Y")</f>
        <v>0</v>
      </c>
      <c r="G27" s="19" t="n">
        <f aca="false">SUMIFS(Adjustments!$I:$I,Adjustments!$G:$G,A27,Adjustments!$J:$J,"Y")</f>
        <v>0</v>
      </c>
      <c r="H27" s="19" t="n">
        <f aca="false">E27+F27-G27</f>
        <v>-400000</v>
      </c>
    </row>
    <row r="28" customFormat="false" ht="15" hidden="false" customHeight="false" outlineLevel="0" collapsed="false">
      <c r="A28" s="13" t="s">
        <v>144</v>
      </c>
      <c r="B28" s="13" t="s">
        <v>145</v>
      </c>
      <c r="C28" s="13" t="s">
        <v>139</v>
      </c>
      <c r="D28" s="13" t="s">
        <v>145</v>
      </c>
      <c r="E28" s="18" t="n">
        <v>-500000</v>
      </c>
      <c r="F28" s="19" t="n">
        <f aca="false">SUMIFS(Adjustments!$I:$I,Adjustments!$E:$E,A28,Adjustments!$J:$J,"Y")</f>
        <v>0</v>
      </c>
      <c r="G28" s="19" t="n">
        <f aca="false">SUMIFS(Adjustments!$I:$I,Adjustments!$G:$G,A28,Adjustments!$J:$J,"Y")</f>
        <v>1000000</v>
      </c>
      <c r="H28" s="19" t="n">
        <f aca="false">E28+F28-G28</f>
        <v>-1500000</v>
      </c>
    </row>
    <row r="29" customFormat="false" ht="15" hidden="false" customHeight="false" outlineLevel="0" collapsed="false">
      <c r="A29" s="13" t="s">
        <v>146</v>
      </c>
      <c r="B29" s="13" t="s">
        <v>147</v>
      </c>
      <c r="C29" s="13" t="s">
        <v>139</v>
      </c>
      <c r="D29" s="13" t="s">
        <v>147</v>
      </c>
      <c r="E29" s="18" t="n">
        <v>-6500000</v>
      </c>
      <c r="F29" s="19" t="n">
        <f aca="false">SUMIFS(Adjustments!$I:$I,Adjustments!$E:$E,A29,Adjustments!$J:$J,"Y")</f>
        <v>0</v>
      </c>
      <c r="G29" s="19" t="n">
        <f aca="false">SUMIFS(Adjustments!$I:$I,Adjustments!$G:$G,A29,Adjustments!$J:$J,"Y")</f>
        <v>300000</v>
      </c>
      <c r="H29" s="19" t="n">
        <f aca="false">E29+F29-G29</f>
        <v>-6800000</v>
      </c>
    </row>
    <row r="30" customFormat="false" ht="15" hidden="false" customHeight="false" outlineLevel="0" collapsed="false">
      <c r="A30" s="13" t="s">
        <v>148</v>
      </c>
      <c r="B30" s="13" t="s">
        <v>149</v>
      </c>
      <c r="C30" s="13" t="s">
        <v>139</v>
      </c>
      <c r="D30" s="13" t="s">
        <v>150</v>
      </c>
      <c r="E30" s="18" t="n">
        <v>-1200000</v>
      </c>
      <c r="F30" s="19" t="n">
        <f aca="false">SUMIFS(Adjustments!$I:$I,Adjustments!$E:$E,A30,Adjustments!$J:$J,"Y")</f>
        <v>0</v>
      </c>
      <c r="G30" s="19" t="n">
        <f aca="false">SUMIFS(Adjustments!$I:$I,Adjustments!$G:$G,A30,Adjustments!$J:$J,"Y")</f>
        <v>230000</v>
      </c>
      <c r="H30" s="19" t="n">
        <f aca="false">E30+F30-G30</f>
        <v>-1430000</v>
      </c>
    </row>
    <row r="31" customFormat="false" ht="15" hidden="false" customHeight="false" outlineLevel="0" collapsed="false">
      <c r="B31" s="4" t="s">
        <v>151</v>
      </c>
      <c r="E31" s="20" t="n">
        <f aca="false">SUM(E5:E30)</f>
        <v>0</v>
      </c>
      <c r="F31" s="20" t="n">
        <f aca="false">SUM(F5:F30)</f>
        <v>2885000</v>
      </c>
      <c r="G31" s="20" t="n">
        <f aca="false">SUM(G5:G30)</f>
        <v>2885000</v>
      </c>
      <c r="H31" s="20" t="n">
        <f aca="false">SUM(H5:H30)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1"/>
    <col collapsed="false" customWidth="true" hidden="false" outlineLevel="0" max="4" min="4" style="0" width="40"/>
    <col collapsed="false" customWidth="true" hidden="false" outlineLevel="0" max="5" min="5" style="0" width="9"/>
    <col collapsed="false" customWidth="true" hidden="false" outlineLevel="0" max="6" min="6" style="0" width="26"/>
    <col collapsed="false" customWidth="true" hidden="false" outlineLevel="0" max="7" min="7" style="0" width="9"/>
    <col collapsed="false" customWidth="true" hidden="false" outlineLevel="0" max="8" min="8" style="0" width="26"/>
    <col collapsed="false" customWidth="true" hidden="false" outlineLevel="0" max="9" min="9" style="0" width="14"/>
    <col collapsed="false" customWidth="true" hidden="false" outlineLevel="0" max="10" min="10" style="0" width="9"/>
    <col collapsed="false" customWidth="true" hidden="false" outlineLevel="0" max="11" min="11" style="0" width="28"/>
    <col collapsed="false" customWidth="true" hidden="false" outlineLevel="0" max="12" min="12" style="0" width="14"/>
    <col collapsed="false" customWidth="true" hidden="false" outlineLevel="0" max="13" min="13" style="0" width="13"/>
    <col collapsed="false" customWidth="true" hidden="false" outlineLevel="0" max="14" min="14" style="0" width="14"/>
    <col collapsed="false" customWidth="true" hidden="false" outlineLevel="0" max="15" min="15" style="0" width="13"/>
    <col collapsed="false" customWidth="true" hidden="false" outlineLevel="0" max="16" min="16" style="0" width="60"/>
    <col collapsed="false" customWidth="true" hidden="false" outlineLevel="0" max="17" min="17" style="0" width="12"/>
  </cols>
  <sheetData>
    <row r="1" customFormat="false" ht="17.35" hidden="false" customHeight="false" outlineLevel="0" collapsed="false">
      <c r="A1" s="1" t="s">
        <v>152</v>
      </c>
    </row>
    <row r="2" customFormat="false" ht="15" hidden="false" customHeight="false" outlineLevel="0" collapsed="false">
      <c r="A2" s="2" t="s">
        <v>153</v>
      </c>
    </row>
    <row r="4" customFormat="false" ht="23.85" hidden="false" customHeight="false" outlineLevel="0" collapsed="false">
      <c r="A4" s="17" t="s">
        <v>154</v>
      </c>
      <c r="B4" s="17" t="s">
        <v>155</v>
      </c>
      <c r="C4" s="17" t="s">
        <v>156</v>
      </c>
      <c r="D4" s="17" t="s">
        <v>157</v>
      </c>
      <c r="E4" s="17" t="s">
        <v>158</v>
      </c>
      <c r="F4" s="17" t="s">
        <v>159</v>
      </c>
      <c r="G4" s="17" t="s">
        <v>160</v>
      </c>
      <c r="H4" s="17" t="s">
        <v>161</v>
      </c>
      <c r="I4" s="17" t="s">
        <v>162</v>
      </c>
      <c r="J4" s="17" t="s">
        <v>163</v>
      </c>
      <c r="K4" s="17" t="s">
        <v>49</v>
      </c>
      <c r="L4" s="17" t="s">
        <v>164</v>
      </c>
      <c r="M4" s="17" t="s">
        <v>165</v>
      </c>
      <c r="N4" s="17" t="s">
        <v>166</v>
      </c>
      <c r="O4" s="17" t="s">
        <v>167</v>
      </c>
      <c r="P4" s="17" t="s">
        <v>168</v>
      </c>
      <c r="Q4" s="17" t="s">
        <v>51</v>
      </c>
    </row>
    <row r="5" customFormat="false" ht="37.5" hidden="false" customHeight="true" outlineLevel="0" collapsed="false">
      <c r="A5" s="15" t="s">
        <v>169</v>
      </c>
      <c r="B5" s="15" t="s">
        <v>170</v>
      </c>
      <c r="C5" s="15" t="s">
        <v>171</v>
      </c>
      <c r="D5" s="21" t="s">
        <v>172</v>
      </c>
      <c r="E5" s="15" t="s">
        <v>96</v>
      </c>
      <c r="F5" s="13" t="str">
        <f aca="false">IF(E5="","",IFERROR(INDEX(Trial_Balance!$B$5:$B$30,MATCH(E5,Trial_Balance!$A$5:$A$30,0)),"NOT FOUND"))</f>
        <v>Depreciation</v>
      </c>
      <c r="G5" s="15" t="s">
        <v>109</v>
      </c>
      <c r="H5" s="13" t="str">
        <f aca="false">IF(G5="","",IFERROR(INDEX(Trial_Balance!$B$5:$B$30,MATCH(G5,Trial_Balance!$A$5:$A$30,0)),"NOT FOUND"))</f>
        <v>Property, plant &amp; equipment (net)</v>
      </c>
      <c r="I5" s="18" t="n">
        <v>350000</v>
      </c>
      <c r="J5" s="22" t="s">
        <v>173</v>
      </c>
      <c r="K5" s="22" t="s">
        <v>66</v>
      </c>
      <c r="L5" s="19" t="n">
        <f aca="false">IF(AND(J5="Y",E5&lt;&gt;"",G5&lt;&gt;""),I5*(IF(LEFT(IFERROR(INDEX(Trial_Balance!$C$5:$C$30,MATCH(G5,Trial_Balance!$A$5:$A$30,0)),""),2)="PL",1,0)-IF(LEFT(IFERROR(INDEX(Trial_Balance!$C$5:$C$30,MATCH(E5,Trial_Balance!$A$5:$A$30,0)),""),2)="PL",1,0)),0)</f>
        <v>-350000</v>
      </c>
      <c r="M5" s="19" t="n">
        <f aca="false">IF(AND(L5&lt;0,K5&lt;&gt;""),-L5*IFERROR(INDEX(Settings!$B$15:$B$20,MATCH(K5,Settings!$A$15:$A$20,0)),0),0)</f>
        <v>350000</v>
      </c>
      <c r="N5" s="19" t="n">
        <f aca="false">L5+M5</f>
        <v>0</v>
      </c>
      <c r="O5" s="19" t="n">
        <f aca="false">N5*Settings!$B$10</f>
        <v>0</v>
      </c>
      <c r="P5" s="21" t="s">
        <v>174</v>
      </c>
      <c r="Q5" s="13" t="str">
        <f aca="false">IF(K5="","",IFERROR(INDEX(Settings!$C$15:$C$20,MATCH(K5,Settings!$A$15:$A$20,0)),""))</f>
        <v>Replaced</v>
      </c>
    </row>
    <row r="6" customFormat="false" ht="37.5" hidden="false" customHeight="true" outlineLevel="0" collapsed="false">
      <c r="A6" s="15" t="s">
        <v>175</v>
      </c>
      <c r="B6" s="15" t="s">
        <v>170</v>
      </c>
      <c r="C6" s="15" t="s">
        <v>171</v>
      </c>
      <c r="D6" s="21" t="s">
        <v>176</v>
      </c>
      <c r="E6" s="15" t="s">
        <v>124</v>
      </c>
      <c r="F6" s="13" t="str">
        <f aca="false">IF(E6="","",IFERROR(INDEX(Trial_Balance!$B$5:$B$30,MATCH(E6,Trial_Balance!$A$5:$A$30,0)),"NOT FOUND"))</f>
        <v>Prepaid expenses</v>
      </c>
      <c r="G6" s="15" t="s">
        <v>105</v>
      </c>
      <c r="H6" s="13" t="str">
        <f aca="false">IF(G6="","",IFERROR(INDEX(Trial_Balance!$B$5:$B$30,MATCH(G6,Trial_Balance!$A$5:$A$30,0)),"NOT FOUND"))</f>
        <v>Other expenses</v>
      </c>
      <c r="I6" s="18" t="n">
        <v>120000</v>
      </c>
      <c r="J6" s="22" t="s">
        <v>173</v>
      </c>
      <c r="K6" s="22" t="s">
        <v>53</v>
      </c>
      <c r="L6" s="19" t="n">
        <f aca="false">IF(AND(J6="Y",E6&lt;&gt;"",G6&lt;&gt;""),I6*(IF(LEFT(IFERROR(INDEX(Trial_Balance!$C$5:$C$30,MATCH(G6,Trial_Balance!$A$5:$A$30,0)),""),2)="PL",1,0)-IF(LEFT(IFERROR(INDEX(Trial_Balance!$C$5:$C$30,MATCH(E6,Trial_Balance!$A$5:$A$30,0)),""),2)="PL",1,0)),0)</f>
        <v>120000</v>
      </c>
      <c r="M6" s="19" t="n">
        <f aca="false">IF(AND(L6&lt;0,K6&lt;&gt;""),-L6*IFERROR(INDEX(Settings!$B$15:$B$20,MATCH(K6,Settings!$A$15:$A$20,0)),0),0)</f>
        <v>0</v>
      </c>
      <c r="N6" s="19" t="n">
        <f aca="false">L6+M6</f>
        <v>120000</v>
      </c>
      <c r="O6" s="19" t="n">
        <f aca="false">N6*Settings!$B$10</f>
        <v>30201.6</v>
      </c>
      <c r="P6" s="21" t="s">
        <v>177</v>
      </c>
      <c r="Q6" s="13" t="str">
        <f aca="false">IF(K6="","",IFERROR(INDEX(Settings!$C$15:$C$20,MATCH(K6,Settings!$A$15:$A$20,0)),""))</f>
        <v>None</v>
      </c>
    </row>
    <row r="7" customFormat="false" ht="37.5" hidden="false" customHeight="true" outlineLevel="0" collapsed="false">
      <c r="A7" s="15" t="s">
        <v>178</v>
      </c>
      <c r="B7" s="15" t="s">
        <v>170</v>
      </c>
      <c r="C7" s="15" t="s">
        <v>179</v>
      </c>
      <c r="D7" s="21" t="s">
        <v>180</v>
      </c>
      <c r="E7" s="15" t="s">
        <v>98</v>
      </c>
      <c r="F7" s="13" t="str">
        <f aca="false">IF(E7="","",IFERROR(INDEX(Trial_Balance!$B$5:$B$30,MATCH(E7,Trial_Balance!$A$5:$A$30,0)),"NOT FOUND"))</f>
        <v>Professional &amp; consultancy fees</v>
      </c>
      <c r="G7" s="15" t="s">
        <v>148</v>
      </c>
      <c r="H7" s="13" t="str">
        <f aca="false">IF(G7="","",IFERROR(INDEX(Trial_Balance!$B$5:$B$30,MATCH(G7,Trial_Balance!$A$5:$A$30,0)),"NOT FOUND"))</f>
        <v>Expenses payable &amp; other liabilities</v>
      </c>
      <c r="I7" s="18" t="n">
        <v>150000</v>
      </c>
      <c r="J7" s="22" t="s">
        <v>173</v>
      </c>
      <c r="K7" s="22" t="s">
        <v>53</v>
      </c>
      <c r="L7" s="19" t="n">
        <f aca="false">IF(AND(J7="Y",E7&lt;&gt;"",G7&lt;&gt;""),I7*(IF(LEFT(IFERROR(INDEX(Trial_Balance!$C$5:$C$30,MATCH(G7,Trial_Balance!$A$5:$A$30,0)),""),2)="PL",1,0)-IF(LEFT(IFERROR(INDEX(Trial_Balance!$C$5:$C$30,MATCH(E7,Trial_Balance!$A$5:$A$30,0)),""),2)="PL",1,0)),0)</f>
        <v>-150000</v>
      </c>
      <c r="M7" s="19" t="n">
        <f aca="false">IF(AND(L7&lt;0,K7&lt;&gt;""),-L7*IFERROR(INDEX(Settings!$B$15:$B$20,MATCH(K7,Settings!$A$15:$A$20,0)),0),0)</f>
        <v>0</v>
      </c>
      <c r="N7" s="19" t="n">
        <f aca="false">L7+M7</f>
        <v>-150000</v>
      </c>
      <c r="O7" s="19" t="n">
        <f aca="false">N7*Settings!$B$10</f>
        <v>-37752</v>
      </c>
      <c r="P7" s="21" t="s">
        <v>181</v>
      </c>
      <c r="Q7" s="13" t="str">
        <f aca="false">IF(K7="","",IFERROR(INDEX(Settings!$C$15:$C$20,MATCH(K7,Settings!$A$15:$A$20,0)),""))</f>
        <v>None</v>
      </c>
    </row>
    <row r="8" customFormat="false" ht="37.5" hidden="false" customHeight="true" outlineLevel="0" collapsed="false">
      <c r="A8" s="15" t="s">
        <v>182</v>
      </c>
      <c r="B8" s="15" t="s">
        <v>183</v>
      </c>
      <c r="C8" s="15" t="s">
        <v>184</v>
      </c>
      <c r="D8" s="21" t="s">
        <v>185</v>
      </c>
      <c r="E8" s="15" t="s">
        <v>90</v>
      </c>
      <c r="F8" s="13" t="str">
        <f aca="false">IF(E8="","",IFERROR(INDEX(Trial_Balance!$B$5:$B$30,MATCH(E8,Trial_Balance!$A$5:$A$30,0)),"NOT FOUND"))</f>
        <v>Salaries, bonus &amp; gratuity</v>
      </c>
      <c r="G8" s="15" t="s">
        <v>144</v>
      </c>
      <c r="H8" s="13" t="str">
        <f aca="false">IF(G8="","",IFERROR(INDEX(Trial_Balance!$B$5:$B$30,MATCH(G8,Trial_Balance!$A$5:$A$30,0)),"NOT FOUND"))</f>
        <v>Provision for employee benefits</v>
      </c>
      <c r="I8" s="18" t="n">
        <v>400000</v>
      </c>
      <c r="J8" s="22" t="s">
        <v>173</v>
      </c>
      <c r="K8" s="22" t="s">
        <v>56</v>
      </c>
      <c r="L8" s="19" t="n">
        <f aca="false">IF(AND(J8="Y",E8&lt;&gt;"",G8&lt;&gt;""),I8*(IF(LEFT(IFERROR(INDEX(Trial_Balance!$C$5:$C$30,MATCH(G8,Trial_Balance!$A$5:$A$30,0)),""),2)="PL",1,0)-IF(LEFT(IFERROR(INDEX(Trial_Balance!$C$5:$C$30,MATCH(E8,Trial_Balance!$A$5:$A$30,0)),""),2)="PL",1,0)),0)</f>
        <v>-400000</v>
      </c>
      <c r="M8" s="19" t="n">
        <f aca="false">IF(AND(L8&lt;0,K8&lt;&gt;""),-L8*IFERROR(INDEX(Settings!$B$15:$B$20,MATCH(K8,Settings!$A$15:$A$20,0)),0),0)</f>
        <v>400000</v>
      </c>
      <c r="N8" s="19" t="n">
        <f aca="false">L8+M8</f>
        <v>0</v>
      </c>
      <c r="O8" s="19" t="n">
        <f aca="false">N8*Settings!$B$10</f>
        <v>0</v>
      </c>
      <c r="P8" s="21" t="s">
        <v>186</v>
      </c>
      <c r="Q8" s="13" t="str">
        <f aca="false">IF(K8="","",IFERROR(INDEX(Settings!$C$15:$C$20,MATCH(K8,Settings!$A$15:$A$20,0)),""))</f>
        <v>Timing</v>
      </c>
    </row>
    <row r="9" customFormat="false" ht="37.5" hidden="false" customHeight="true" outlineLevel="0" collapsed="false">
      <c r="A9" s="15" t="s">
        <v>187</v>
      </c>
      <c r="B9" s="15" t="s">
        <v>183</v>
      </c>
      <c r="C9" s="15" t="s">
        <v>184</v>
      </c>
      <c r="D9" s="21" t="s">
        <v>188</v>
      </c>
      <c r="E9" s="15" t="s">
        <v>90</v>
      </c>
      <c r="F9" s="13" t="str">
        <f aca="false">IF(E9="","",IFERROR(INDEX(Trial_Balance!$B$5:$B$30,MATCH(E9,Trial_Balance!$A$5:$A$30,0)),"NOT FOUND"))</f>
        <v>Salaries, bonus &amp; gratuity</v>
      </c>
      <c r="G9" s="15" t="s">
        <v>144</v>
      </c>
      <c r="H9" s="13" t="str">
        <f aca="false">IF(G9="","",IFERROR(INDEX(Trial_Balance!$B$5:$B$30,MATCH(G9,Trial_Balance!$A$5:$A$30,0)),"NOT FOUND"))</f>
        <v>Provision for employee benefits</v>
      </c>
      <c r="I9" s="18" t="n">
        <v>600000</v>
      </c>
      <c r="J9" s="22" t="s">
        <v>173</v>
      </c>
      <c r="K9" s="22" t="s">
        <v>56</v>
      </c>
      <c r="L9" s="19" t="n">
        <f aca="false">IF(AND(J9="Y",E9&lt;&gt;"",G9&lt;&gt;""),I9*(IF(LEFT(IFERROR(INDEX(Trial_Balance!$C$5:$C$30,MATCH(G9,Trial_Balance!$A$5:$A$30,0)),""),2)="PL",1,0)-IF(LEFT(IFERROR(INDEX(Trial_Balance!$C$5:$C$30,MATCH(E9,Trial_Balance!$A$5:$A$30,0)),""),2)="PL",1,0)),0)</f>
        <v>-600000</v>
      </c>
      <c r="M9" s="19" t="n">
        <f aca="false">IF(AND(L9&lt;0,K9&lt;&gt;""),-L9*IFERROR(INDEX(Settings!$B$15:$B$20,MATCH(K9,Settings!$A$15:$A$20,0)),0),0)</f>
        <v>600000</v>
      </c>
      <c r="N9" s="19" t="n">
        <f aca="false">L9+M9</f>
        <v>0</v>
      </c>
      <c r="O9" s="19" t="n">
        <f aca="false">N9*Settings!$B$10</f>
        <v>0</v>
      </c>
      <c r="P9" s="21" t="s">
        <v>189</v>
      </c>
      <c r="Q9" s="13" t="str">
        <f aca="false">IF(K9="","",IFERROR(INDEX(Settings!$C$15:$C$20,MATCH(K9,Settings!$A$15:$A$20,0)),""))</f>
        <v>Timing</v>
      </c>
    </row>
    <row r="10" customFormat="false" ht="37.5" hidden="false" customHeight="true" outlineLevel="0" collapsed="false">
      <c r="A10" s="15" t="s">
        <v>190</v>
      </c>
      <c r="B10" s="15" t="s">
        <v>183</v>
      </c>
      <c r="C10" s="15" t="s">
        <v>191</v>
      </c>
      <c r="D10" s="21" t="s">
        <v>192</v>
      </c>
      <c r="E10" s="15" t="s">
        <v>98</v>
      </c>
      <c r="F10" s="13" t="str">
        <f aca="false">IF(E10="","",IFERROR(INDEX(Trial_Balance!$B$5:$B$30,MATCH(E10,Trial_Balance!$A$5:$A$30,0)),"NOT FOUND"))</f>
        <v>Professional &amp; consultancy fees</v>
      </c>
      <c r="G10" s="15" t="s">
        <v>146</v>
      </c>
      <c r="H10" s="13" t="str">
        <f aca="false">IF(G10="","",IFERROR(INDEX(Trial_Balance!$B$5:$B$30,MATCH(G10,Trial_Balance!$A$5:$A$30,0)),"NOT FOUND"))</f>
        <v>Trade payables</v>
      </c>
      <c r="I10" s="18" t="n">
        <v>300000</v>
      </c>
      <c r="J10" s="22" t="s">
        <v>173</v>
      </c>
      <c r="K10" s="22" t="s">
        <v>59</v>
      </c>
      <c r="L10" s="19" t="n">
        <f aca="false">IF(AND(J10="Y",E10&lt;&gt;"",G10&lt;&gt;""),I10*(IF(LEFT(IFERROR(INDEX(Trial_Balance!$C$5:$C$30,MATCH(G10,Trial_Balance!$A$5:$A$30,0)),""),2)="PL",1,0)-IF(LEFT(IFERROR(INDEX(Trial_Balance!$C$5:$C$30,MATCH(E10,Trial_Balance!$A$5:$A$30,0)),""),2)="PL",1,0)),0)</f>
        <v>-300000</v>
      </c>
      <c r="M10" s="19" t="n">
        <f aca="false">IF(AND(L10&lt;0,K10&lt;&gt;""),-L10*IFERROR(INDEX(Settings!$B$15:$B$20,MATCH(K10,Settings!$A$15:$A$20,0)),0),0)</f>
        <v>90000</v>
      </c>
      <c r="N10" s="19" t="n">
        <f aca="false">L10+M10</f>
        <v>-210000</v>
      </c>
      <c r="O10" s="19" t="n">
        <f aca="false">N10*Settings!$B$10</f>
        <v>-52852.8</v>
      </c>
      <c r="P10" s="21" t="s">
        <v>193</v>
      </c>
      <c r="Q10" s="13" t="str">
        <f aca="false">IF(K10="","",IFERROR(INDEX(Settings!$C$15:$C$20,MATCH(K10,Settings!$A$15:$A$20,0)),""))</f>
        <v>Timing</v>
      </c>
    </row>
    <row r="11" customFormat="false" ht="37.5" hidden="false" customHeight="true" outlineLevel="0" collapsed="false">
      <c r="A11" s="15" t="s">
        <v>194</v>
      </c>
      <c r="B11" s="15" t="s">
        <v>183</v>
      </c>
      <c r="C11" s="15" t="s">
        <v>191</v>
      </c>
      <c r="D11" s="21" t="s">
        <v>195</v>
      </c>
      <c r="E11" s="15" t="s">
        <v>86</v>
      </c>
      <c r="F11" s="13" t="str">
        <f aca="false">IF(E11="","",IFERROR(INDEX(Trial_Balance!$B$5:$B$30,MATCH(E11,Trial_Balance!$A$5:$A$30,0)),"NOT FOUND"))</f>
        <v>Purchases &amp; materials consumed</v>
      </c>
      <c r="G11" s="15" t="s">
        <v>113</v>
      </c>
      <c r="H11" s="13" t="str">
        <f aca="false">IF(G11="","",IFERROR(INDEX(Trial_Balance!$B$5:$B$30,MATCH(G11,Trial_Balance!$A$5:$A$30,0)),"NOT FOUND"))</f>
        <v>Inventory</v>
      </c>
      <c r="I11" s="18" t="n">
        <v>450000</v>
      </c>
      <c r="J11" s="22" t="s">
        <v>173</v>
      </c>
      <c r="K11" s="22" t="s">
        <v>53</v>
      </c>
      <c r="L11" s="19" t="n">
        <f aca="false">IF(AND(J11="Y",E11&lt;&gt;"",G11&lt;&gt;""),I11*(IF(LEFT(IFERROR(INDEX(Trial_Balance!$C$5:$C$30,MATCH(G11,Trial_Balance!$A$5:$A$30,0)),""),2)="PL",1,0)-IF(LEFT(IFERROR(INDEX(Trial_Balance!$C$5:$C$30,MATCH(E11,Trial_Balance!$A$5:$A$30,0)),""),2)="PL",1,0)),0)</f>
        <v>-450000</v>
      </c>
      <c r="M11" s="19" t="n">
        <f aca="false">IF(AND(L11&lt;0,K11&lt;&gt;""),-L11*IFERROR(INDEX(Settings!$B$15:$B$20,MATCH(K11,Settings!$A$15:$A$20,0)),0),0)</f>
        <v>0</v>
      </c>
      <c r="N11" s="19" t="n">
        <f aca="false">L11+M11</f>
        <v>-450000</v>
      </c>
      <c r="O11" s="19" t="n">
        <f aca="false">N11*Settings!$B$10</f>
        <v>-113256</v>
      </c>
      <c r="P11" s="21" t="s">
        <v>196</v>
      </c>
      <c r="Q11" s="13" t="str">
        <f aca="false">IF(K11="","",IFERROR(INDEX(Settings!$C$15:$C$20,MATCH(K11,Settings!$A$15:$A$20,0)),""))</f>
        <v>None</v>
      </c>
    </row>
    <row r="12" customFormat="false" ht="37.5" hidden="false" customHeight="true" outlineLevel="0" collapsed="false">
      <c r="A12" s="15" t="s">
        <v>197</v>
      </c>
      <c r="B12" s="15" t="s">
        <v>183</v>
      </c>
      <c r="C12" s="15" t="s">
        <v>198</v>
      </c>
      <c r="D12" s="21" t="s">
        <v>199</v>
      </c>
      <c r="E12" s="15" t="s">
        <v>105</v>
      </c>
      <c r="F12" s="13" t="str">
        <f aca="false">IF(E12="","",IFERROR(INDEX(Trial_Balance!$B$5:$B$30,MATCH(E12,Trial_Balance!$A$5:$A$30,0)),"NOT FOUND"))</f>
        <v>Other expenses</v>
      </c>
      <c r="G12" s="15" t="s">
        <v>119</v>
      </c>
      <c r="H12" s="13" t="str">
        <f aca="false">IF(G12="","",IFERROR(INDEX(Trial_Balance!$B$5:$B$30,MATCH(G12,Trial_Balance!$A$5:$A$30,0)),"NOT FOUND"))</f>
        <v>Provision for doubtful debts</v>
      </c>
      <c r="I12" s="18" t="n">
        <v>250000</v>
      </c>
      <c r="J12" s="22" t="s">
        <v>173</v>
      </c>
      <c r="K12" s="22" t="s">
        <v>61</v>
      </c>
      <c r="L12" s="19" t="n">
        <f aca="false">IF(AND(J12="Y",E12&lt;&gt;"",G12&lt;&gt;""),I12*(IF(LEFT(IFERROR(INDEX(Trial_Balance!$C$5:$C$30,MATCH(G12,Trial_Balance!$A$5:$A$30,0)),""),2)="PL",1,0)-IF(LEFT(IFERROR(INDEX(Trial_Balance!$C$5:$C$30,MATCH(E12,Trial_Balance!$A$5:$A$30,0)),""),2)="PL",1,0)),0)</f>
        <v>-250000</v>
      </c>
      <c r="M12" s="19" t="n">
        <f aca="false">IF(AND(L12&lt;0,K12&lt;&gt;""),-L12*IFERROR(INDEX(Settings!$B$15:$B$20,MATCH(K12,Settings!$A$15:$A$20,0)),0),0)</f>
        <v>250000</v>
      </c>
      <c r="N12" s="19" t="n">
        <f aca="false">L12+M12</f>
        <v>0</v>
      </c>
      <c r="O12" s="19" t="n">
        <f aca="false">N12*Settings!$B$10</f>
        <v>0</v>
      </c>
      <c r="P12" s="21" t="s">
        <v>200</v>
      </c>
      <c r="Q12" s="13" t="str">
        <f aca="false">IF(K12="","",IFERROR(INDEX(Settings!$C$15:$C$20,MATCH(K12,Settings!$A$15:$A$20,0)),""))</f>
        <v>Timing</v>
      </c>
    </row>
    <row r="13" customFormat="false" ht="37.5" hidden="false" customHeight="true" outlineLevel="0" collapsed="false">
      <c r="A13" s="15" t="s">
        <v>201</v>
      </c>
      <c r="B13" s="15" t="s">
        <v>202</v>
      </c>
      <c r="C13" s="15" t="s">
        <v>203</v>
      </c>
      <c r="D13" s="21" t="s">
        <v>204</v>
      </c>
      <c r="E13" s="15" t="s">
        <v>93</v>
      </c>
      <c r="F13" s="13" t="str">
        <f aca="false">IF(E13="","",IFERROR(INDEX(Trial_Balance!$B$5:$B$30,MATCH(E13,Trial_Balance!$A$5:$A$30,0)),"NOT FOUND"))</f>
        <v>Interest on loans</v>
      </c>
      <c r="G13" s="15" t="s">
        <v>148</v>
      </c>
      <c r="H13" s="13" t="str">
        <f aca="false">IF(G13="","",IFERROR(INDEX(Trial_Balance!$B$5:$B$30,MATCH(G13,Trial_Balance!$A$5:$A$30,0)),"NOT FOUND"))</f>
        <v>Expenses payable &amp; other liabilities</v>
      </c>
      <c r="I13" s="18" t="n">
        <v>80000</v>
      </c>
      <c r="J13" s="22" t="s">
        <v>173</v>
      </c>
      <c r="K13" s="22" t="s">
        <v>63</v>
      </c>
      <c r="L13" s="19" t="n">
        <f aca="false">IF(AND(J13="Y",E13&lt;&gt;"",G13&lt;&gt;""),I13*(IF(LEFT(IFERROR(INDEX(Trial_Balance!$C$5:$C$30,MATCH(G13,Trial_Balance!$A$5:$A$30,0)),""),2)="PL",1,0)-IF(LEFT(IFERROR(INDEX(Trial_Balance!$C$5:$C$30,MATCH(E13,Trial_Balance!$A$5:$A$30,0)),""),2)="PL",1,0)),0)</f>
        <v>-80000</v>
      </c>
      <c r="M13" s="19" t="n">
        <f aca="false">IF(AND(L13&lt;0,K13&lt;&gt;""),-L13*IFERROR(INDEX(Settings!$B$15:$B$20,MATCH(K13,Settings!$A$15:$A$20,0)),0),0)</f>
        <v>80000</v>
      </c>
      <c r="N13" s="19" t="n">
        <f aca="false">L13+M13</f>
        <v>0</v>
      </c>
      <c r="O13" s="19" t="n">
        <f aca="false">N13*Settings!$B$10</f>
        <v>0</v>
      </c>
      <c r="P13" s="21" t="s">
        <v>205</v>
      </c>
      <c r="Q13" s="13" t="str">
        <f aca="false">IF(K13="","",IFERROR(INDEX(Settings!$C$15:$C$20,MATCH(K13,Settings!$A$15:$A$20,0)),""))</f>
        <v>Permanent</v>
      </c>
    </row>
    <row r="14" customFormat="false" ht="37.5" hidden="false" customHeight="true" outlineLevel="0" collapsed="false">
      <c r="A14" s="15" t="s">
        <v>206</v>
      </c>
      <c r="B14" s="15" t="s">
        <v>202</v>
      </c>
      <c r="C14" s="15" t="s">
        <v>203</v>
      </c>
      <c r="D14" s="21" t="s">
        <v>207</v>
      </c>
      <c r="E14" s="15" t="s">
        <v>105</v>
      </c>
      <c r="F14" s="13" t="str">
        <f aca="false">IF(E14="","",IFERROR(INDEX(Trial_Balance!$B$5:$B$30,MATCH(E14,Trial_Balance!$A$5:$A$30,0)),"NOT FOUND"))</f>
        <v>Other expenses</v>
      </c>
      <c r="G14" s="15" t="s">
        <v>121</v>
      </c>
      <c r="H14" s="13" t="str">
        <f aca="false">IF(G14="","",IFERROR(INDEX(Trial_Balance!$B$5:$B$30,MATCH(G14,Trial_Balance!$A$5:$A$30,0)),"NOT FOUND"))</f>
        <v>Cash &amp; bank</v>
      </c>
      <c r="I14" s="18" t="n">
        <v>25000</v>
      </c>
      <c r="J14" s="22" t="s">
        <v>173</v>
      </c>
      <c r="K14" s="22" t="s">
        <v>63</v>
      </c>
      <c r="L14" s="19" t="n">
        <f aca="false">IF(AND(J14="Y",E14&lt;&gt;"",G14&lt;&gt;""),I14*(IF(LEFT(IFERROR(INDEX(Trial_Balance!$C$5:$C$30,MATCH(G14,Trial_Balance!$A$5:$A$30,0)),""),2)="PL",1,0)-IF(LEFT(IFERROR(INDEX(Trial_Balance!$C$5:$C$30,MATCH(E14,Trial_Balance!$A$5:$A$30,0)),""),2)="PL",1,0)),0)</f>
        <v>-25000</v>
      </c>
      <c r="M14" s="19" t="n">
        <f aca="false">IF(AND(L14&lt;0,K14&lt;&gt;""),-L14*IFERROR(INDEX(Settings!$B$15:$B$20,MATCH(K14,Settings!$A$15:$A$20,0)),0),0)</f>
        <v>25000</v>
      </c>
      <c r="N14" s="19" t="n">
        <f aca="false">L14+M14</f>
        <v>0</v>
      </c>
      <c r="O14" s="19" t="n">
        <f aca="false">N14*Settings!$B$10</f>
        <v>0</v>
      </c>
      <c r="P14" s="21" t="s">
        <v>208</v>
      </c>
      <c r="Q14" s="13" t="str">
        <f aca="false">IF(K14="","",IFERROR(INDEX(Settings!$C$15:$C$20,MATCH(K14,Settings!$A$15:$A$20,0)),""))</f>
        <v>Permanent</v>
      </c>
    </row>
    <row r="15" customFormat="false" ht="37.5" hidden="false" customHeight="true" outlineLevel="0" collapsed="false">
      <c r="A15" s="15" t="s">
        <v>209</v>
      </c>
      <c r="B15" s="15" t="s">
        <v>202</v>
      </c>
      <c r="C15" s="15" t="s">
        <v>210</v>
      </c>
      <c r="D15" s="21" t="s">
        <v>211</v>
      </c>
      <c r="E15" s="15" t="s">
        <v>129</v>
      </c>
      <c r="F15" s="13" t="str">
        <f aca="false">IF(E15="","",IFERROR(INDEX(Trial_Balance!$B$5:$B$30,MATCH(E15,Trial_Balance!$A$5:$A$30,0)),"NOT FOUND"))</f>
        <v>Other current assets</v>
      </c>
      <c r="G15" s="15" t="s">
        <v>83</v>
      </c>
      <c r="H15" s="13" t="str">
        <f aca="false">IF(G15="","",IFERROR(INDEX(Trial_Balance!$B$5:$B$30,MATCH(G15,Trial_Balance!$A$5:$A$30,0)),"NOT FOUND"))</f>
        <v>Interest income</v>
      </c>
      <c r="I15" s="18" t="n">
        <v>60000</v>
      </c>
      <c r="J15" s="22" t="s">
        <v>173</v>
      </c>
      <c r="K15" s="22" t="s">
        <v>53</v>
      </c>
      <c r="L15" s="19" t="n">
        <f aca="false">IF(AND(J15="Y",E15&lt;&gt;"",G15&lt;&gt;""),I15*(IF(LEFT(IFERROR(INDEX(Trial_Balance!$C$5:$C$30,MATCH(G15,Trial_Balance!$A$5:$A$30,0)),""),2)="PL",1,0)-IF(LEFT(IFERROR(INDEX(Trial_Balance!$C$5:$C$30,MATCH(E15,Trial_Balance!$A$5:$A$30,0)),""),2)="PL",1,0)),0)</f>
        <v>60000</v>
      </c>
      <c r="M15" s="19" t="n">
        <f aca="false">IF(AND(L15&lt;0,K15&lt;&gt;""),-L15*IFERROR(INDEX(Settings!$B$15:$B$20,MATCH(K15,Settings!$A$15:$A$20,0)),0),0)</f>
        <v>0</v>
      </c>
      <c r="N15" s="19" t="n">
        <f aca="false">L15+M15</f>
        <v>60000</v>
      </c>
      <c r="O15" s="19" t="n">
        <f aca="false">N15*Settings!$B$10</f>
        <v>15100.8</v>
      </c>
      <c r="P15" s="21" t="s">
        <v>212</v>
      </c>
      <c r="Q15" s="13" t="str">
        <f aca="false">IF(K15="","",IFERROR(INDEX(Settings!$C$15:$C$20,MATCH(K15,Settings!$A$15:$A$20,0)),""))</f>
        <v>None</v>
      </c>
    </row>
    <row r="16" customFormat="false" ht="37.5" hidden="false" customHeight="true" outlineLevel="0" collapsed="false">
      <c r="A16" s="15" t="s">
        <v>213</v>
      </c>
      <c r="B16" s="15" t="s">
        <v>202</v>
      </c>
      <c r="C16" s="15" t="s">
        <v>210</v>
      </c>
      <c r="D16" s="21" t="s">
        <v>214</v>
      </c>
      <c r="E16" s="15" t="s">
        <v>101</v>
      </c>
      <c r="F16" s="13" t="str">
        <f aca="false">IF(E16="","",IFERROR(INDEX(Trial_Balance!$B$5:$B$30,MATCH(E16,Trial_Balance!$A$5:$A$30,0)),"NOT FOUND"))</f>
        <v>Rent</v>
      </c>
      <c r="G16" s="15" t="s">
        <v>105</v>
      </c>
      <c r="H16" s="13" t="str">
        <f aca="false">IF(G16="","",IFERROR(INDEX(Trial_Balance!$B$5:$B$30,MATCH(G16,Trial_Balance!$A$5:$A$30,0)),"NOT FOUND"))</f>
        <v>Other expenses</v>
      </c>
      <c r="I16" s="18" t="n">
        <v>100000</v>
      </c>
      <c r="J16" s="22" t="s">
        <v>173</v>
      </c>
      <c r="K16" s="22" t="s">
        <v>53</v>
      </c>
      <c r="L16" s="19" t="n">
        <f aca="false">IF(AND(J16="Y",E16&lt;&gt;"",G16&lt;&gt;""),I16*(IF(LEFT(IFERROR(INDEX(Trial_Balance!$C$5:$C$30,MATCH(G16,Trial_Balance!$A$5:$A$30,0)),""),2)="PL",1,0)-IF(LEFT(IFERROR(INDEX(Trial_Balance!$C$5:$C$30,MATCH(E16,Trial_Balance!$A$5:$A$30,0)),""),2)="PL",1,0)),0)</f>
        <v>0</v>
      </c>
      <c r="M16" s="19" t="n">
        <f aca="false">IF(AND(L16&lt;0,K16&lt;&gt;""),-L16*IFERROR(INDEX(Settings!$B$15:$B$20,MATCH(K16,Settings!$A$15:$A$20,0)),0),0)</f>
        <v>0</v>
      </c>
      <c r="N16" s="19" t="n">
        <f aca="false">L16+M16</f>
        <v>0</v>
      </c>
      <c r="O16" s="19" t="n">
        <f aca="false">N16*Settings!$B$10</f>
        <v>0</v>
      </c>
      <c r="P16" s="21" t="s">
        <v>215</v>
      </c>
      <c r="Q16" s="13" t="str">
        <f aca="false">IF(K16="","",IFERROR(INDEX(Settings!$C$15:$C$20,MATCH(K16,Settings!$A$15:$A$20,0)),""))</f>
        <v>None</v>
      </c>
    </row>
    <row r="17" customFormat="false" ht="37.5" hidden="false" customHeight="true" outlineLevel="0" collapsed="false">
      <c r="A17" s="15" t="s">
        <v>216</v>
      </c>
      <c r="B17" s="15" t="s">
        <v>202</v>
      </c>
      <c r="C17" s="15" t="s">
        <v>217</v>
      </c>
      <c r="D17" s="21" t="s">
        <v>218</v>
      </c>
      <c r="E17" s="15" t="s">
        <v>90</v>
      </c>
      <c r="F17" s="13" t="str">
        <f aca="false">IF(E17="","",IFERROR(INDEX(Trial_Balance!$B$5:$B$30,MATCH(E17,Trial_Balance!$A$5:$A$30,0)),"NOT FOUND"))</f>
        <v>Salaries, bonus &amp; gratuity</v>
      </c>
      <c r="G17" s="15" t="s">
        <v>144</v>
      </c>
      <c r="H17" s="13" t="str">
        <f aca="false">IF(G17="","",IFERROR(INDEX(Trial_Balance!$B$5:$B$30,MATCH(G17,Trial_Balance!$A$5:$A$30,0)),"NOT FOUND"))</f>
        <v>Provision for employee benefits</v>
      </c>
      <c r="I17" s="18" t="n">
        <v>150000</v>
      </c>
      <c r="J17" s="22" t="s">
        <v>219</v>
      </c>
      <c r="K17" s="22" t="s">
        <v>56</v>
      </c>
      <c r="L17" s="19" t="n">
        <f aca="false">IF(AND(J17="Y",E17&lt;&gt;"",G17&lt;&gt;""),I17*(IF(LEFT(IFERROR(INDEX(Trial_Balance!$C$5:$C$30,MATCH(G17,Trial_Balance!$A$5:$A$30,0)),""),2)="PL",1,0)-IF(LEFT(IFERROR(INDEX(Trial_Balance!$C$5:$C$30,MATCH(E17,Trial_Balance!$A$5:$A$30,0)),""),2)="PL",1,0)),0)</f>
        <v>0</v>
      </c>
      <c r="M17" s="19" t="n">
        <f aca="false">IF(AND(L17&lt;0,K17&lt;&gt;""),-L17*IFERROR(INDEX(Settings!$B$15:$B$20,MATCH(K17,Settings!$A$15:$A$20,0)),0),0)</f>
        <v>0</v>
      </c>
      <c r="N17" s="19" t="n">
        <f aca="false">L17+M17</f>
        <v>0</v>
      </c>
      <c r="O17" s="19" t="n">
        <f aca="false">N17*Settings!$B$10</f>
        <v>0</v>
      </c>
      <c r="P17" s="21" t="s">
        <v>220</v>
      </c>
      <c r="Q17" s="13" t="str">
        <f aca="false">IF(K17="","",IFERROR(INDEX(Settings!$C$15:$C$20,MATCH(K17,Settings!$A$15:$A$20,0)),""))</f>
        <v>Timing</v>
      </c>
    </row>
    <row r="18" customFormat="false" ht="37.5" hidden="false" customHeight="true" outlineLevel="0" collapsed="false">
      <c r="A18" s="15" t="s">
        <v>221</v>
      </c>
      <c r="B18" s="15" t="s">
        <v>202</v>
      </c>
      <c r="C18" s="15" t="s">
        <v>217</v>
      </c>
      <c r="D18" s="21" t="s">
        <v>222</v>
      </c>
      <c r="E18" s="15" t="s">
        <v>93</v>
      </c>
      <c r="F18" s="13" t="str">
        <f aca="false">IF(E18="","",IFERROR(INDEX(Trial_Balance!$B$5:$B$30,MATCH(E18,Trial_Balance!$A$5:$A$30,0)),"NOT FOUND"))</f>
        <v>Interest on loans</v>
      </c>
      <c r="G18" s="15" t="s">
        <v>148</v>
      </c>
      <c r="H18" s="13" t="str">
        <f aca="false">IF(G18="","",IFERROR(INDEX(Trial_Balance!$B$5:$B$30,MATCH(G18,Trial_Balance!$A$5:$A$30,0)),"NOT FOUND"))</f>
        <v>Expenses payable &amp; other liabilities</v>
      </c>
      <c r="I18" s="18" t="n">
        <v>18000</v>
      </c>
      <c r="J18" s="22" t="s">
        <v>219</v>
      </c>
      <c r="K18" s="22" t="s">
        <v>53</v>
      </c>
      <c r="L18" s="19" t="n">
        <f aca="false">IF(AND(J18="Y",E18&lt;&gt;"",G18&lt;&gt;""),I18*(IF(LEFT(IFERROR(INDEX(Trial_Balance!$C$5:$C$30,MATCH(G18,Trial_Balance!$A$5:$A$30,0)),""),2)="PL",1,0)-IF(LEFT(IFERROR(INDEX(Trial_Balance!$C$5:$C$30,MATCH(E18,Trial_Balance!$A$5:$A$30,0)),""),2)="PL",1,0)),0)</f>
        <v>0</v>
      </c>
      <c r="M18" s="19" t="n">
        <f aca="false">IF(AND(L18&lt;0,K18&lt;&gt;""),-L18*IFERROR(INDEX(Settings!$B$15:$B$20,MATCH(K18,Settings!$A$15:$A$20,0)),0),0)</f>
        <v>0</v>
      </c>
      <c r="N18" s="19" t="n">
        <f aca="false">L18+M18</f>
        <v>0</v>
      </c>
      <c r="O18" s="19" t="n">
        <f aca="false">N18*Settings!$B$10</f>
        <v>0</v>
      </c>
      <c r="P18" s="21" t="s">
        <v>223</v>
      </c>
      <c r="Q18" s="13" t="str">
        <f aca="false">IF(K18="","",IFERROR(INDEX(Settings!$C$15:$C$20,MATCH(K18,Settings!$A$15:$A$20,0)),""))</f>
        <v>None</v>
      </c>
    </row>
    <row r="19" customFormat="false" ht="37.5" hidden="false" customHeight="true" outlineLevel="0" collapsed="false">
      <c r="A19" s="15" t="s">
        <v>224</v>
      </c>
      <c r="B19" s="15" t="s">
        <v>202</v>
      </c>
      <c r="C19" s="15" t="s">
        <v>217</v>
      </c>
      <c r="D19" s="21" t="s">
        <v>225</v>
      </c>
      <c r="E19" s="15" t="s">
        <v>105</v>
      </c>
      <c r="F19" s="13" t="str">
        <f aca="false">IF(E19="","",IFERROR(INDEX(Trial_Balance!$B$5:$B$30,MATCH(E19,Trial_Balance!$A$5:$A$30,0)),"NOT FOUND"))</f>
        <v>Other expenses</v>
      </c>
      <c r="G19" s="15" t="s">
        <v>146</v>
      </c>
      <c r="H19" s="13" t="str">
        <f aca="false">IF(G19="","",IFERROR(INDEX(Trial_Balance!$B$5:$B$30,MATCH(G19,Trial_Balance!$A$5:$A$30,0)),"NOT FOUND"))</f>
        <v>Trade payables</v>
      </c>
      <c r="I19" s="18" t="n">
        <v>200000</v>
      </c>
      <c r="J19" s="22" t="s">
        <v>219</v>
      </c>
      <c r="K19" s="22" t="s">
        <v>59</v>
      </c>
      <c r="L19" s="19" t="n">
        <f aca="false">IF(AND(J19="Y",E19&lt;&gt;"",G19&lt;&gt;""),I19*(IF(LEFT(IFERROR(INDEX(Trial_Balance!$C$5:$C$30,MATCH(G19,Trial_Balance!$A$5:$A$30,0)),""),2)="PL",1,0)-IF(LEFT(IFERROR(INDEX(Trial_Balance!$C$5:$C$30,MATCH(E19,Trial_Balance!$A$5:$A$30,0)),""),2)="PL",1,0)),0)</f>
        <v>0</v>
      </c>
      <c r="M19" s="19" t="n">
        <f aca="false">IF(AND(L19&lt;0,K19&lt;&gt;""),-L19*IFERROR(INDEX(Settings!$B$15:$B$20,MATCH(K19,Settings!$A$15:$A$20,0)),0),0)</f>
        <v>0</v>
      </c>
      <c r="N19" s="19" t="n">
        <f aca="false">L19+M19</f>
        <v>0</v>
      </c>
      <c r="O19" s="19" t="n">
        <f aca="false">N19*Settings!$B$10</f>
        <v>0</v>
      </c>
      <c r="P19" s="21" t="s">
        <v>226</v>
      </c>
      <c r="Q19" s="13" t="str">
        <f aca="false">IF(K19="","",IFERROR(INDEX(Settings!$C$15:$C$20,MATCH(K19,Settings!$A$15:$A$20,0)),""))</f>
        <v>Timing</v>
      </c>
    </row>
    <row r="20" customFormat="false" ht="37.5" hidden="false" customHeight="true" outlineLevel="0" collapsed="false">
      <c r="A20" s="15" t="s">
        <v>227</v>
      </c>
      <c r="B20" s="15" t="s">
        <v>202</v>
      </c>
      <c r="C20" s="15" t="s">
        <v>217</v>
      </c>
      <c r="D20" s="21" t="s">
        <v>228</v>
      </c>
      <c r="E20" s="15" t="s">
        <v>105</v>
      </c>
      <c r="F20" s="13" t="str">
        <f aca="false">IF(E20="","",IFERROR(INDEX(Trial_Balance!$B$5:$B$30,MATCH(E20,Trial_Balance!$A$5:$A$30,0)),"NOT FOUND"))</f>
        <v>Other expenses</v>
      </c>
      <c r="G20" s="15" t="s">
        <v>121</v>
      </c>
      <c r="H20" s="13" t="str">
        <f aca="false">IF(G20="","",IFERROR(INDEX(Trial_Balance!$B$5:$B$30,MATCH(G20,Trial_Balance!$A$5:$A$30,0)),"NOT FOUND"))</f>
        <v>Cash &amp; bank</v>
      </c>
      <c r="I20" s="18" t="n">
        <v>50000</v>
      </c>
      <c r="J20" s="22" t="s">
        <v>219</v>
      </c>
      <c r="K20" s="22" t="s">
        <v>63</v>
      </c>
      <c r="L20" s="19" t="n">
        <f aca="false">IF(AND(J20="Y",E20&lt;&gt;"",G20&lt;&gt;""),I20*(IF(LEFT(IFERROR(INDEX(Trial_Balance!$C$5:$C$30,MATCH(G20,Trial_Balance!$A$5:$A$30,0)),""),2)="PL",1,0)-IF(LEFT(IFERROR(INDEX(Trial_Balance!$C$5:$C$30,MATCH(E20,Trial_Balance!$A$5:$A$30,0)),""),2)="PL",1,0)),0)</f>
        <v>0</v>
      </c>
      <c r="M20" s="19" t="n">
        <f aca="false">IF(AND(L20&lt;0,K20&lt;&gt;""),-L20*IFERROR(INDEX(Settings!$B$15:$B$20,MATCH(K20,Settings!$A$15:$A$20,0)),0),0)</f>
        <v>0</v>
      </c>
      <c r="N20" s="19" t="n">
        <f aca="false">L20+M20</f>
        <v>0</v>
      </c>
      <c r="O20" s="19" t="n">
        <f aca="false">N20*Settings!$B$10</f>
        <v>0</v>
      </c>
      <c r="P20" s="21" t="s">
        <v>229</v>
      </c>
      <c r="Q20" s="13" t="str">
        <f aca="false">IF(K20="","",IFERROR(INDEX(Settings!$C$15:$C$20,MATCH(K20,Settings!$A$15:$A$20,0)),""))</f>
        <v>Permanent</v>
      </c>
    </row>
    <row r="21" customFormat="false" ht="15.75" hidden="false" customHeight="true" outlineLevel="0" collapsed="false">
      <c r="A21" s="23"/>
      <c r="B21" s="23"/>
      <c r="C21" s="23"/>
      <c r="D21" s="24"/>
      <c r="E21" s="23"/>
      <c r="F21" s="13" t="str">
        <f aca="false">IF(E21="","",IFERROR(INDEX(Trial_Balance!$B$5:$B$30,MATCH(E21,Trial_Balance!$A$5:$A$30,0)),"NOT FOUND"))</f>
        <v/>
      </c>
      <c r="G21" s="23"/>
      <c r="H21" s="13" t="str">
        <f aca="false">IF(G21="","",IFERROR(INDEX(Trial_Balance!$B$5:$B$30,MATCH(G21,Trial_Balance!$A$5:$A$30,0)),"NOT FOUND"))</f>
        <v/>
      </c>
      <c r="I21" s="25"/>
      <c r="J21" s="23"/>
      <c r="K21" s="23"/>
      <c r="L21" s="19" t="n">
        <f aca="false">IF(AND(J21="Y",E21&lt;&gt;"",G21&lt;&gt;""),I21*(IF(LEFT(IFERROR(INDEX(Trial_Balance!$C$5:$C$30,MATCH(G21,Trial_Balance!$A$5:$A$30,0)),""),2)="PL",1,0)-IF(LEFT(IFERROR(INDEX(Trial_Balance!$C$5:$C$30,MATCH(E21,Trial_Balance!$A$5:$A$30,0)),""),2)="PL",1,0)),0)</f>
        <v>0</v>
      </c>
      <c r="M21" s="19" t="n">
        <f aca="false">IF(AND(L21&lt;0,K21&lt;&gt;""),-L21*IFERROR(INDEX(Settings!$B$15:$B$20,MATCH(K21,Settings!$A$15:$A$20,0)),0),0)</f>
        <v>0</v>
      </c>
      <c r="N21" s="19" t="n">
        <f aca="false">L21+M21</f>
        <v>0</v>
      </c>
      <c r="O21" s="19" t="n">
        <f aca="false">N21*Settings!$B$10</f>
        <v>0</v>
      </c>
      <c r="P21" s="24"/>
      <c r="Q21" s="13" t="str">
        <f aca="false">IF(K21="","",IFERROR(INDEX(Settings!$C$15:$C$20,MATCH(K21,Settings!$A$15:$A$20,0)),""))</f>
        <v/>
      </c>
    </row>
    <row r="22" customFormat="false" ht="15.75" hidden="false" customHeight="true" outlineLevel="0" collapsed="false">
      <c r="A22" s="23"/>
      <c r="B22" s="23"/>
      <c r="C22" s="23"/>
      <c r="D22" s="24"/>
      <c r="E22" s="23"/>
      <c r="F22" s="13" t="str">
        <f aca="false">IF(E22="","",IFERROR(INDEX(Trial_Balance!$B$5:$B$30,MATCH(E22,Trial_Balance!$A$5:$A$30,0)),"NOT FOUND"))</f>
        <v/>
      </c>
      <c r="G22" s="23"/>
      <c r="H22" s="13" t="str">
        <f aca="false">IF(G22="","",IFERROR(INDEX(Trial_Balance!$B$5:$B$30,MATCH(G22,Trial_Balance!$A$5:$A$30,0)),"NOT FOUND"))</f>
        <v/>
      </c>
      <c r="I22" s="25"/>
      <c r="J22" s="23"/>
      <c r="K22" s="23"/>
      <c r="L22" s="19" t="n">
        <f aca="false">IF(AND(J22="Y",E22&lt;&gt;"",G22&lt;&gt;""),I22*(IF(LEFT(IFERROR(INDEX(Trial_Balance!$C$5:$C$30,MATCH(G22,Trial_Balance!$A$5:$A$30,0)),""),2)="PL",1,0)-IF(LEFT(IFERROR(INDEX(Trial_Balance!$C$5:$C$30,MATCH(E22,Trial_Balance!$A$5:$A$30,0)),""),2)="PL",1,0)),0)</f>
        <v>0</v>
      </c>
      <c r="M22" s="19" t="n">
        <f aca="false">IF(AND(L22&lt;0,K22&lt;&gt;""),-L22*IFERROR(INDEX(Settings!$B$15:$B$20,MATCH(K22,Settings!$A$15:$A$20,0)),0),0)</f>
        <v>0</v>
      </c>
      <c r="N22" s="19" t="n">
        <f aca="false">L22+M22</f>
        <v>0</v>
      </c>
      <c r="O22" s="19" t="n">
        <f aca="false">N22*Settings!$B$10</f>
        <v>0</v>
      </c>
      <c r="P22" s="24"/>
      <c r="Q22" s="13" t="str">
        <f aca="false">IF(K22="","",IFERROR(INDEX(Settings!$C$15:$C$20,MATCH(K22,Settings!$A$15:$A$20,0)),""))</f>
        <v/>
      </c>
    </row>
    <row r="23" customFormat="false" ht="15.75" hidden="false" customHeight="true" outlineLevel="0" collapsed="false">
      <c r="A23" s="23"/>
      <c r="B23" s="23"/>
      <c r="C23" s="23"/>
      <c r="D23" s="24"/>
      <c r="E23" s="23"/>
      <c r="F23" s="13" t="str">
        <f aca="false">IF(E23="","",IFERROR(INDEX(Trial_Balance!$B$5:$B$30,MATCH(E23,Trial_Balance!$A$5:$A$30,0)),"NOT FOUND"))</f>
        <v/>
      </c>
      <c r="G23" s="23"/>
      <c r="H23" s="13" t="str">
        <f aca="false">IF(G23="","",IFERROR(INDEX(Trial_Balance!$B$5:$B$30,MATCH(G23,Trial_Balance!$A$5:$A$30,0)),"NOT FOUND"))</f>
        <v/>
      </c>
      <c r="I23" s="25"/>
      <c r="J23" s="23"/>
      <c r="K23" s="23"/>
      <c r="L23" s="19" t="n">
        <f aca="false">IF(AND(J23="Y",E23&lt;&gt;"",G23&lt;&gt;""),I23*(IF(LEFT(IFERROR(INDEX(Trial_Balance!$C$5:$C$30,MATCH(G23,Trial_Balance!$A$5:$A$30,0)),""),2)="PL",1,0)-IF(LEFT(IFERROR(INDEX(Trial_Balance!$C$5:$C$30,MATCH(E23,Trial_Balance!$A$5:$A$30,0)),""),2)="PL",1,0)),0)</f>
        <v>0</v>
      </c>
      <c r="M23" s="19" t="n">
        <f aca="false">IF(AND(L23&lt;0,K23&lt;&gt;""),-L23*IFERROR(INDEX(Settings!$B$15:$B$20,MATCH(K23,Settings!$A$15:$A$20,0)),0),0)</f>
        <v>0</v>
      </c>
      <c r="N23" s="19" t="n">
        <f aca="false">L23+M23</f>
        <v>0</v>
      </c>
      <c r="O23" s="19" t="n">
        <f aca="false">N23*Settings!$B$10</f>
        <v>0</v>
      </c>
      <c r="P23" s="24"/>
      <c r="Q23" s="13" t="str">
        <f aca="false">IF(K23="","",IFERROR(INDEX(Settings!$C$15:$C$20,MATCH(K23,Settings!$A$15:$A$20,0)),""))</f>
        <v/>
      </c>
    </row>
    <row r="24" customFormat="false" ht="15.75" hidden="false" customHeight="true" outlineLevel="0" collapsed="false">
      <c r="A24" s="23"/>
      <c r="B24" s="23"/>
      <c r="C24" s="23"/>
      <c r="D24" s="24"/>
      <c r="E24" s="23"/>
      <c r="F24" s="13" t="str">
        <f aca="false">IF(E24="","",IFERROR(INDEX(Trial_Balance!$B$5:$B$30,MATCH(E24,Trial_Balance!$A$5:$A$30,0)),"NOT FOUND"))</f>
        <v/>
      </c>
      <c r="G24" s="23"/>
      <c r="H24" s="13" t="str">
        <f aca="false">IF(G24="","",IFERROR(INDEX(Trial_Balance!$B$5:$B$30,MATCH(G24,Trial_Balance!$A$5:$A$30,0)),"NOT FOUND"))</f>
        <v/>
      </c>
      <c r="I24" s="25"/>
      <c r="J24" s="23"/>
      <c r="K24" s="23"/>
      <c r="L24" s="19" t="n">
        <f aca="false">IF(AND(J24="Y",E24&lt;&gt;"",G24&lt;&gt;""),I24*(IF(LEFT(IFERROR(INDEX(Trial_Balance!$C$5:$C$30,MATCH(G24,Trial_Balance!$A$5:$A$30,0)),""),2)="PL",1,0)-IF(LEFT(IFERROR(INDEX(Trial_Balance!$C$5:$C$30,MATCH(E24,Trial_Balance!$A$5:$A$30,0)),""),2)="PL",1,0)),0)</f>
        <v>0</v>
      </c>
      <c r="M24" s="19" t="n">
        <f aca="false">IF(AND(L24&lt;0,K24&lt;&gt;""),-L24*IFERROR(INDEX(Settings!$B$15:$B$20,MATCH(K24,Settings!$A$15:$A$20,0)),0),0)</f>
        <v>0</v>
      </c>
      <c r="N24" s="19" t="n">
        <f aca="false">L24+M24</f>
        <v>0</v>
      </c>
      <c r="O24" s="19" t="n">
        <f aca="false">N24*Settings!$B$10</f>
        <v>0</v>
      </c>
      <c r="P24" s="24"/>
      <c r="Q24" s="13" t="str">
        <f aca="false">IF(K24="","",IFERROR(INDEX(Settings!$C$15:$C$20,MATCH(K24,Settings!$A$15:$A$20,0)),""))</f>
        <v/>
      </c>
    </row>
    <row r="25" customFormat="false" ht="15.75" hidden="false" customHeight="true" outlineLevel="0" collapsed="false">
      <c r="A25" s="23"/>
      <c r="B25" s="23"/>
      <c r="C25" s="23"/>
      <c r="D25" s="24"/>
      <c r="E25" s="23"/>
      <c r="F25" s="13" t="str">
        <f aca="false">IF(E25="","",IFERROR(INDEX(Trial_Balance!$B$5:$B$30,MATCH(E25,Trial_Balance!$A$5:$A$30,0)),"NOT FOUND"))</f>
        <v/>
      </c>
      <c r="G25" s="23"/>
      <c r="H25" s="13" t="str">
        <f aca="false">IF(G25="","",IFERROR(INDEX(Trial_Balance!$B$5:$B$30,MATCH(G25,Trial_Balance!$A$5:$A$30,0)),"NOT FOUND"))</f>
        <v/>
      </c>
      <c r="I25" s="25"/>
      <c r="J25" s="23"/>
      <c r="K25" s="23"/>
      <c r="L25" s="19" t="n">
        <f aca="false">IF(AND(J25="Y",E25&lt;&gt;"",G25&lt;&gt;""),I25*(IF(LEFT(IFERROR(INDEX(Trial_Balance!$C$5:$C$30,MATCH(G25,Trial_Balance!$A$5:$A$30,0)),""),2)="PL",1,0)-IF(LEFT(IFERROR(INDEX(Trial_Balance!$C$5:$C$30,MATCH(E25,Trial_Balance!$A$5:$A$30,0)),""),2)="PL",1,0)),0)</f>
        <v>0</v>
      </c>
      <c r="M25" s="19" t="n">
        <f aca="false">IF(AND(L25&lt;0,K25&lt;&gt;""),-L25*IFERROR(INDEX(Settings!$B$15:$B$20,MATCH(K25,Settings!$A$15:$A$20,0)),0),0)</f>
        <v>0</v>
      </c>
      <c r="N25" s="19" t="n">
        <f aca="false">L25+M25</f>
        <v>0</v>
      </c>
      <c r="O25" s="19" t="n">
        <f aca="false">N25*Settings!$B$10</f>
        <v>0</v>
      </c>
      <c r="P25" s="24"/>
      <c r="Q25" s="13" t="str">
        <f aca="false">IF(K25="","",IFERROR(INDEX(Settings!$C$15:$C$20,MATCH(K25,Settings!$A$15:$A$20,0)),""))</f>
        <v/>
      </c>
    </row>
    <row r="26" customFormat="false" ht="15.75" hidden="false" customHeight="true" outlineLevel="0" collapsed="false">
      <c r="A26" s="23"/>
      <c r="B26" s="23"/>
      <c r="C26" s="23"/>
      <c r="D26" s="24"/>
      <c r="E26" s="23"/>
      <c r="F26" s="13" t="str">
        <f aca="false">IF(E26="","",IFERROR(INDEX(Trial_Balance!$B$5:$B$30,MATCH(E26,Trial_Balance!$A$5:$A$30,0)),"NOT FOUND"))</f>
        <v/>
      </c>
      <c r="G26" s="23"/>
      <c r="H26" s="13" t="str">
        <f aca="false">IF(G26="","",IFERROR(INDEX(Trial_Balance!$B$5:$B$30,MATCH(G26,Trial_Balance!$A$5:$A$30,0)),"NOT FOUND"))</f>
        <v/>
      </c>
      <c r="I26" s="25"/>
      <c r="J26" s="23"/>
      <c r="K26" s="23"/>
      <c r="L26" s="19" t="n">
        <f aca="false">IF(AND(J26="Y",E26&lt;&gt;"",G26&lt;&gt;""),I26*(IF(LEFT(IFERROR(INDEX(Trial_Balance!$C$5:$C$30,MATCH(G26,Trial_Balance!$A$5:$A$30,0)),""),2)="PL",1,0)-IF(LEFT(IFERROR(INDEX(Trial_Balance!$C$5:$C$30,MATCH(E26,Trial_Balance!$A$5:$A$30,0)),""),2)="PL",1,0)),0)</f>
        <v>0</v>
      </c>
      <c r="M26" s="19" t="n">
        <f aca="false">IF(AND(L26&lt;0,K26&lt;&gt;""),-L26*IFERROR(INDEX(Settings!$B$15:$B$20,MATCH(K26,Settings!$A$15:$A$20,0)),0),0)</f>
        <v>0</v>
      </c>
      <c r="N26" s="19" t="n">
        <f aca="false">L26+M26</f>
        <v>0</v>
      </c>
      <c r="O26" s="19" t="n">
        <f aca="false">N26*Settings!$B$10</f>
        <v>0</v>
      </c>
      <c r="P26" s="24"/>
      <c r="Q26" s="13" t="str">
        <f aca="false">IF(K26="","",IFERROR(INDEX(Settings!$C$15:$C$20,MATCH(K26,Settings!$A$15:$A$20,0)),""))</f>
        <v/>
      </c>
    </row>
    <row r="27" customFormat="false" ht="15.75" hidden="false" customHeight="true" outlineLevel="0" collapsed="false">
      <c r="A27" s="23"/>
      <c r="B27" s="23"/>
      <c r="C27" s="23"/>
      <c r="D27" s="24"/>
      <c r="E27" s="23"/>
      <c r="F27" s="13" t="str">
        <f aca="false">IF(E27="","",IFERROR(INDEX(Trial_Balance!$B$5:$B$30,MATCH(E27,Trial_Balance!$A$5:$A$30,0)),"NOT FOUND"))</f>
        <v/>
      </c>
      <c r="G27" s="23"/>
      <c r="H27" s="13" t="str">
        <f aca="false">IF(G27="","",IFERROR(INDEX(Trial_Balance!$B$5:$B$30,MATCH(G27,Trial_Balance!$A$5:$A$30,0)),"NOT FOUND"))</f>
        <v/>
      </c>
      <c r="I27" s="25"/>
      <c r="J27" s="23"/>
      <c r="K27" s="23"/>
      <c r="L27" s="19" t="n">
        <f aca="false">IF(AND(J27="Y",E27&lt;&gt;"",G27&lt;&gt;""),I27*(IF(LEFT(IFERROR(INDEX(Trial_Balance!$C$5:$C$30,MATCH(G27,Trial_Balance!$A$5:$A$30,0)),""),2)="PL",1,0)-IF(LEFT(IFERROR(INDEX(Trial_Balance!$C$5:$C$30,MATCH(E27,Trial_Balance!$A$5:$A$30,0)),""),2)="PL",1,0)),0)</f>
        <v>0</v>
      </c>
      <c r="M27" s="19" t="n">
        <f aca="false">IF(AND(L27&lt;0,K27&lt;&gt;""),-L27*IFERROR(INDEX(Settings!$B$15:$B$20,MATCH(K27,Settings!$A$15:$A$20,0)),0),0)</f>
        <v>0</v>
      </c>
      <c r="N27" s="19" t="n">
        <f aca="false">L27+M27</f>
        <v>0</v>
      </c>
      <c r="O27" s="19" t="n">
        <f aca="false">N27*Settings!$B$10</f>
        <v>0</v>
      </c>
      <c r="P27" s="24"/>
      <c r="Q27" s="13" t="str">
        <f aca="false">IF(K27="","",IFERROR(INDEX(Settings!$C$15:$C$20,MATCH(K27,Settings!$A$15:$A$20,0)),""))</f>
        <v/>
      </c>
    </row>
    <row r="28" customFormat="false" ht="15.75" hidden="false" customHeight="true" outlineLevel="0" collapsed="false">
      <c r="A28" s="23"/>
      <c r="B28" s="23"/>
      <c r="C28" s="23"/>
      <c r="D28" s="24"/>
      <c r="E28" s="23"/>
      <c r="F28" s="13" t="str">
        <f aca="false">IF(E28="","",IFERROR(INDEX(Trial_Balance!$B$5:$B$30,MATCH(E28,Trial_Balance!$A$5:$A$30,0)),"NOT FOUND"))</f>
        <v/>
      </c>
      <c r="G28" s="23"/>
      <c r="H28" s="13" t="str">
        <f aca="false">IF(G28="","",IFERROR(INDEX(Trial_Balance!$B$5:$B$30,MATCH(G28,Trial_Balance!$A$5:$A$30,0)),"NOT FOUND"))</f>
        <v/>
      </c>
      <c r="I28" s="25"/>
      <c r="J28" s="23"/>
      <c r="K28" s="23"/>
      <c r="L28" s="19" t="n">
        <f aca="false">IF(AND(J28="Y",E28&lt;&gt;"",G28&lt;&gt;""),I28*(IF(LEFT(IFERROR(INDEX(Trial_Balance!$C$5:$C$30,MATCH(G28,Trial_Balance!$A$5:$A$30,0)),""),2)="PL",1,0)-IF(LEFT(IFERROR(INDEX(Trial_Balance!$C$5:$C$30,MATCH(E28,Trial_Balance!$A$5:$A$30,0)),""),2)="PL",1,0)),0)</f>
        <v>0</v>
      </c>
      <c r="M28" s="19" t="n">
        <f aca="false">IF(AND(L28&lt;0,K28&lt;&gt;""),-L28*IFERROR(INDEX(Settings!$B$15:$B$20,MATCH(K28,Settings!$A$15:$A$20,0)),0),0)</f>
        <v>0</v>
      </c>
      <c r="N28" s="19" t="n">
        <f aca="false">L28+M28</f>
        <v>0</v>
      </c>
      <c r="O28" s="19" t="n">
        <f aca="false">N28*Settings!$B$10</f>
        <v>0</v>
      </c>
      <c r="P28" s="24"/>
      <c r="Q28" s="13" t="str">
        <f aca="false">IF(K28="","",IFERROR(INDEX(Settings!$C$15:$C$20,MATCH(K28,Settings!$A$15:$A$20,0)),""))</f>
        <v/>
      </c>
    </row>
    <row r="29" customFormat="false" ht="15" hidden="false" customHeight="false" outlineLevel="0" collapsed="false">
      <c r="D29" s="4" t="s">
        <v>230</v>
      </c>
      <c r="I29" s="20" t="n">
        <f aca="false">SUMIFS(I5:I28,J5:J28,"Y")</f>
        <v>2885000</v>
      </c>
      <c r="L29" s="20" t="n">
        <f aca="false">SUM(L5:L28)</f>
        <v>-2425000</v>
      </c>
      <c r="M29" s="20" t="n">
        <f aca="false">SUM(M5:M28)</f>
        <v>1795000</v>
      </c>
      <c r="N29" s="20" t="n">
        <f aca="false">SUM(N5:N28)</f>
        <v>-630000</v>
      </c>
      <c r="O29" s="20" t="n">
        <f aca="false">SUM(O5:O28)</f>
        <v>-158558.4</v>
      </c>
    </row>
    <row r="31" customFormat="false" ht="15" hidden="false" customHeight="false" outlineLevel="0" collapsed="false">
      <c r="D31" s="2" t="s">
        <v>231</v>
      </c>
    </row>
  </sheetData>
  <dataValidations count="3">
    <dataValidation allowBlank="true" errorStyle="stop" operator="between" showDropDown="false" showErrorMessage="false" showInputMessage="false" sqref="J5:J28" type="list">
      <formula1>"Y,N"</formula1>
      <formula2>0</formula2>
    </dataValidation>
    <dataValidation allowBlank="true" errorStyle="stop" operator="between" showDropDown="false" showErrorMessage="false" showInputMessage="false" sqref="K5:K28" type="list">
      <formula1>Settings!$A$15:$A$20</formula1>
      <formula2>0</formula2>
    </dataValidation>
    <dataValidation allowBlank="true" errorStyle="stop" operator="between" showDropDown="false" showErrorMessage="false" showInputMessage="false" sqref="B5:B28" type="list">
      <formula1>"V1,V2,V3"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8"/>
  </cols>
  <sheetData>
    <row r="1" customFormat="false" ht="17.35" hidden="false" customHeight="false" outlineLevel="0" collapsed="false">
      <c r="A1" s="1" t="s">
        <v>232</v>
      </c>
    </row>
    <row r="3" customFormat="false" ht="15" hidden="false" customHeight="false" outlineLevel="0" collapsed="false">
      <c r="A3" s="12" t="s">
        <v>233</v>
      </c>
      <c r="B3" s="12" t="s">
        <v>234</v>
      </c>
      <c r="C3" s="12" t="s">
        <v>235</v>
      </c>
      <c r="D3" s="12" t="s">
        <v>236</v>
      </c>
    </row>
    <row r="4" customFormat="false" ht="15" hidden="false" customHeight="false" outlineLevel="0" collapsed="false">
      <c r="A4" s="8" t="s">
        <v>82</v>
      </c>
      <c r="B4" s="26" t="n">
        <f aca="false">-SUMIFS(Trial_Balance!$E$5:$E$30,Trial_Balance!$D$5:$D$30,"Revenue from operations")</f>
        <v>50000000</v>
      </c>
      <c r="C4" s="26" t="n">
        <f aca="false">-SUMIFS(Trial_Balance!$H$5:$H$30,Trial_Balance!$D$5:$D$30,"Revenue from operations")</f>
        <v>50000000</v>
      </c>
      <c r="D4" s="26" t="n">
        <f aca="false">C4-B4</f>
        <v>0</v>
      </c>
    </row>
    <row r="5" customFormat="false" ht="15" hidden="false" customHeight="false" outlineLevel="0" collapsed="false">
      <c r="A5" s="8" t="s">
        <v>85</v>
      </c>
      <c r="B5" s="26" t="n">
        <f aca="false">-SUMIFS(Trial_Balance!$E$5:$E$30,Trial_Balance!$D$5:$D$30,"Other income")</f>
        <v>800000</v>
      </c>
      <c r="C5" s="26" t="n">
        <f aca="false">-SUMIFS(Trial_Balance!$H$5:$H$30,Trial_Balance!$D$5:$D$30,"Other income")</f>
        <v>860000</v>
      </c>
      <c r="D5" s="26" t="n">
        <f aca="false">C5-B5</f>
        <v>60000</v>
      </c>
    </row>
    <row r="6" customFormat="false" ht="15" hidden="false" customHeight="false" outlineLevel="0" collapsed="false">
      <c r="A6" s="4" t="s">
        <v>237</v>
      </c>
      <c r="B6" s="20" t="n">
        <f aca="false">SUM(B4:B5)</f>
        <v>50800000</v>
      </c>
      <c r="C6" s="20" t="n">
        <f aca="false">SUM(C4:C5)</f>
        <v>50860000</v>
      </c>
      <c r="D6" s="20" t="n">
        <f aca="false">SUM(D4:D5)</f>
        <v>60000</v>
      </c>
    </row>
    <row r="7" customFormat="false" ht="15" hidden="false" customHeight="false" outlineLevel="0" collapsed="false">
      <c r="A7" s="8" t="s">
        <v>89</v>
      </c>
      <c r="B7" s="26" t="n">
        <f aca="false">SUMIFS(Trial_Balance!$E$5:$E$30,Trial_Balance!$D$5:$D$30,"Cost of materials consumed")</f>
        <v>28000000</v>
      </c>
      <c r="C7" s="26" t="n">
        <f aca="false">SUMIFS(Trial_Balance!$H$5:$H$30,Trial_Balance!$D$5:$D$30,"Cost of materials consumed")</f>
        <v>28450000</v>
      </c>
      <c r="D7" s="26" t="n">
        <f aca="false">C7-B7</f>
        <v>450000</v>
      </c>
    </row>
    <row r="8" customFormat="false" ht="15" hidden="false" customHeight="false" outlineLevel="0" collapsed="false">
      <c r="A8" s="8" t="s">
        <v>92</v>
      </c>
      <c r="B8" s="26" t="n">
        <f aca="false">SUMIFS(Trial_Balance!$E$5:$E$30,Trial_Balance!$D$5:$D$30,"Employee benefits expense")</f>
        <v>6000000</v>
      </c>
      <c r="C8" s="26" t="n">
        <f aca="false">SUMIFS(Trial_Balance!$H$5:$H$30,Trial_Balance!$D$5:$D$30,"Employee benefits expense")</f>
        <v>7000000</v>
      </c>
      <c r="D8" s="26" t="n">
        <f aca="false">C8-B8</f>
        <v>1000000</v>
      </c>
    </row>
    <row r="9" customFormat="false" ht="15" hidden="false" customHeight="false" outlineLevel="0" collapsed="false">
      <c r="A9" s="8" t="s">
        <v>95</v>
      </c>
      <c r="B9" s="26" t="n">
        <f aca="false">SUMIFS(Trial_Balance!$E$5:$E$30,Trial_Balance!$D$5:$D$30,"Finance costs")</f>
        <v>900000</v>
      </c>
      <c r="C9" s="26" t="n">
        <f aca="false">SUMIFS(Trial_Balance!$H$5:$H$30,Trial_Balance!$D$5:$D$30,"Finance costs")</f>
        <v>980000</v>
      </c>
      <c r="D9" s="26" t="n">
        <f aca="false">C9-B9</f>
        <v>80000</v>
      </c>
    </row>
    <row r="10" customFormat="false" ht="15" hidden="false" customHeight="false" outlineLevel="0" collapsed="false">
      <c r="A10" s="8" t="s">
        <v>97</v>
      </c>
      <c r="B10" s="26" t="n">
        <f aca="false">SUMIFS(Trial_Balance!$E$5:$E$30,Trial_Balance!$D$5:$D$30,"Depreciation")</f>
        <v>1500000</v>
      </c>
      <c r="C10" s="26" t="n">
        <f aca="false">SUMIFS(Trial_Balance!$H$5:$H$30,Trial_Balance!$D$5:$D$30,"Depreciation")</f>
        <v>1850000</v>
      </c>
      <c r="D10" s="26" t="n">
        <f aca="false">C10-B10</f>
        <v>350000</v>
      </c>
    </row>
    <row r="11" customFormat="false" ht="15" hidden="false" customHeight="false" outlineLevel="0" collapsed="false">
      <c r="A11" s="8" t="s">
        <v>100</v>
      </c>
      <c r="B11" s="26" t="n">
        <f aca="false">SUMIFS(Trial_Balance!$E$5:$E$30,Trial_Balance!$D$5:$D$30,"Professional fees")</f>
        <v>1200000</v>
      </c>
      <c r="C11" s="26" t="n">
        <f aca="false">SUMIFS(Trial_Balance!$H$5:$H$30,Trial_Balance!$D$5:$D$30,"Professional fees")</f>
        <v>1650000</v>
      </c>
      <c r="D11" s="26" t="n">
        <f aca="false">C11-B11</f>
        <v>450000</v>
      </c>
    </row>
    <row r="12" customFormat="false" ht="15" hidden="false" customHeight="false" outlineLevel="0" collapsed="false">
      <c r="A12" s="8" t="s">
        <v>102</v>
      </c>
      <c r="B12" s="26" t="n">
        <f aca="false">SUMIFS(Trial_Balance!$E$5:$E$30,Trial_Balance!$D$5:$D$30,"Rent")</f>
        <v>1800000</v>
      </c>
      <c r="C12" s="26" t="n">
        <f aca="false">SUMIFS(Trial_Balance!$H$5:$H$30,Trial_Balance!$D$5:$D$30,"Rent")</f>
        <v>1900000</v>
      </c>
      <c r="D12" s="26" t="n">
        <f aca="false">C12-B12</f>
        <v>100000</v>
      </c>
    </row>
    <row r="13" customFormat="false" ht="15" hidden="false" customHeight="false" outlineLevel="0" collapsed="false">
      <c r="A13" s="8" t="s">
        <v>104</v>
      </c>
      <c r="B13" s="26" t="n">
        <f aca="false">SUMIFS(Trial_Balance!$E$5:$E$30,Trial_Balance!$D$5:$D$30,"Power &amp; fuel")</f>
        <v>2400000</v>
      </c>
      <c r="C13" s="26" t="n">
        <f aca="false">SUMIFS(Trial_Balance!$H$5:$H$30,Trial_Balance!$D$5:$D$30,"Power &amp; fuel")</f>
        <v>2400000</v>
      </c>
      <c r="D13" s="26" t="n">
        <f aca="false">C13-B13</f>
        <v>0</v>
      </c>
    </row>
    <row r="14" customFormat="false" ht="15" hidden="false" customHeight="false" outlineLevel="0" collapsed="false">
      <c r="A14" s="8" t="s">
        <v>106</v>
      </c>
      <c r="B14" s="26" t="n">
        <f aca="false">SUMIFS(Trial_Balance!$E$5:$E$30,Trial_Balance!$D$5:$D$30,"Other expenses")</f>
        <v>1600000</v>
      </c>
      <c r="C14" s="26" t="n">
        <f aca="false">SUMIFS(Trial_Balance!$H$5:$H$30,Trial_Balance!$D$5:$D$30,"Other expenses")</f>
        <v>1655000</v>
      </c>
      <c r="D14" s="26" t="n">
        <f aca="false">C14-B14</f>
        <v>55000</v>
      </c>
    </row>
    <row r="15" customFormat="false" ht="15" hidden="false" customHeight="false" outlineLevel="0" collapsed="false">
      <c r="A15" s="8" t="s">
        <v>108</v>
      </c>
      <c r="B15" s="26" t="n">
        <f aca="false">SUMIFS(Trial_Balance!$E$5:$E$30,Trial_Balance!$D$5:$D$30,"CSR expenditure")</f>
        <v>200000</v>
      </c>
      <c r="C15" s="26" t="n">
        <f aca="false">SUMIFS(Trial_Balance!$H$5:$H$30,Trial_Balance!$D$5:$D$30,"CSR expenditure")</f>
        <v>200000</v>
      </c>
      <c r="D15" s="26" t="n">
        <f aca="false">C15-B15</f>
        <v>0</v>
      </c>
    </row>
    <row r="16" customFormat="false" ht="15" hidden="false" customHeight="false" outlineLevel="0" collapsed="false">
      <c r="A16" s="4" t="s">
        <v>238</v>
      </c>
      <c r="B16" s="20" t="n">
        <f aca="false">SUM(B7:B15)</f>
        <v>43600000</v>
      </c>
      <c r="C16" s="20" t="n">
        <f aca="false">SUM(C7:C15)</f>
        <v>46085000</v>
      </c>
      <c r="D16" s="20" t="n">
        <f aca="false">SUM(D7:D15)</f>
        <v>2485000</v>
      </c>
    </row>
    <row r="17" customFormat="false" ht="15" hidden="false" customHeight="false" outlineLevel="0" collapsed="false">
      <c r="A17" s="4" t="s">
        <v>239</v>
      </c>
      <c r="B17" s="20" t="n">
        <f aca="false">B6-B16</f>
        <v>7200000</v>
      </c>
      <c r="C17" s="20" t="n">
        <f aca="false">C6-C16</f>
        <v>4775000</v>
      </c>
      <c r="D17" s="20" t="n">
        <f aca="false">D6-D16</f>
        <v>-2425000</v>
      </c>
    </row>
    <row r="18" customFormat="false" ht="15" hidden="false" customHeight="false" outlineLevel="0" collapsed="false">
      <c r="A18" s="8" t="s">
        <v>240</v>
      </c>
      <c r="B18" s="27"/>
      <c r="C18" s="28" t="n">
        <f aca="false">Tax_Computation!C30</f>
        <v>1603200</v>
      </c>
      <c r="D18" s="27"/>
    </row>
    <row r="19" customFormat="false" ht="15" hidden="false" customHeight="false" outlineLevel="0" collapsed="false">
      <c r="A19" s="8" t="s">
        <v>241</v>
      </c>
      <c r="B19" s="27"/>
      <c r="C19" s="28" t="n">
        <f aca="false">Tax_Computation!C40</f>
        <v>-324667</v>
      </c>
      <c r="D19" s="27"/>
    </row>
    <row r="20" customFormat="false" ht="15" hidden="false" customHeight="false" outlineLevel="0" collapsed="false">
      <c r="A20" s="4" t="s">
        <v>242</v>
      </c>
      <c r="B20" s="20"/>
      <c r="C20" s="20" t="n">
        <f aca="false">C17-C18-C19</f>
        <v>3496467</v>
      </c>
      <c r="D20" s="20"/>
    </row>
    <row r="22" customFormat="false" ht="15" hidden="false" customHeight="false" outlineLevel="0" collapsed="false">
      <c r="A22" s="12" t="s">
        <v>243</v>
      </c>
      <c r="B22" s="12"/>
      <c r="C22" s="12" t="s">
        <v>235</v>
      </c>
      <c r="D22" s="12"/>
    </row>
    <row r="23" customFormat="false" ht="15" hidden="false" customHeight="false" outlineLevel="0" collapsed="false">
      <c r="A23" s="4" t="s">
        <v>244</v>
      </c>
    </row>
    <row r="24" customFormat="false" ht="15" hidden="false" customHeight="false" outlineLevel="0" collapsed="false">
      <c r="A24" s="8" t="s">
        <v>132</v>
      </c>
      <c r="C24" s="27" t="n">
        <f aca="false">-SUMIFS(Trial_Balance!$H$5:$H$30,Trial_Balance!$D$5:$D$30,"Share capital")</f>
        <v>5000000</v>
      </c>
    </row>
    <row r="25" customFormat="false" ht="15" hidden="false" customHeight="false" outlineLevel="0" collapsed="false">
      <c r="A25" s="8" t="s">
        <v>245</v>
      </c>
      <c r="C25" s="27" t="n">
        <f aca="false">-SUMIFS(Trial_Balance!$H$5:$H$30,Trial_Balance!$D$5:$D$30,"Reserves &amp; surplus")+C20</f>
        <v>13996467</v>
      </c>
    </row>
    <row r="26" customFormat="false" ht="15" hidden="false" customHeight="false" outlineLevel="0" collapsed="false">
      <c r="A26" s="8" t="s">
        <v>140</v>
      </c>
      <c r="C26" s="27" t="n">
        <f aca="false">-SUMIFS(Trial_Balance!$H$5:$H$30,Trial_Balance!$D$5:$D$30,"Long-term borrowings")</f>
        <v>8000000</v>
      </c>
    </row>
    <row r="27" customFormat="false" ht="15" hidden="false" customHeight="false" outlineLevel="0" collapsed="false">
      <c r="A27" s="8" t="s">
        <v>246</v>
      </c>
      <c r="C27" s="27" t="n">
        <f aca="false">-SUMIFS(Trial_Balance!$H$5:$H$30,Trial_Balance!$D$5:$D$30,"Deferred tax liability (net)")+C19</f>
        <v>75333</v>
      </c>
    </row>
    <row r="28" customFormat="false" ht="15" hidden="false" customHeight="false" outlineLevel="0" collapsed="false">
      <c r="A28" s="8" t="s">
        <v>145</v>
      </c>
      <c r="C28" s="27" t="n">
        <f aca="false">-SUMIFS(Trial_Balance!$H$5:$H$30,Trial_Balance!$D$5:$D$30,"Provision for employee benefits")</f>
        <v>1500000</v>
      </c>
    </row>
    <row r="29" customFormat="false" ht="15" hidden="false" customHeight="false" outlineLevel="0" collapsed="false">
      <c r="A29" s="8" t="s">
        <v>147</v>
      </c>
      <c r="C29" s="27" t="n">
        <f aca="false">-SUMIFS(Trial_Balance!$H$5:$H$30,Trial_Balance!$D$5:$D$30,"Trade payables")</f>
        <v>6800000</v>
      </c>
    </row>
    <row r="30" customFormat="false" ht="15" hidden="false" customHeight="false" outlineLevel="0" collapsed="false">
      <c r="A30" s="8" t="s">
        <v>150</v>
      </c>
      <c r="C30" s="27" t="n">
        <f aca="false">-SUMIFS(Trial_Balance!$H$5:$H$30,Trial_Balance!$D$5:$D$30,"Other current liabilities")</f>
        <v>1430000</v>
      </c>
    </row>
    <row r="31" customFormat="false" ht="15" hidden="false" customHeight="false" outlineLevel="0" collapsed="false">
      <c r="A31" s="8" t="s">
        <v>247</v>
      </c>
      <c r="C31" s="27" t="n">
        <f aca="false">C18</f>
        <v>1603200</v>
      </c>
    </row>
    <row r="32" customFormat="false" ht="15" hidden="false" customHeight="false" outlineLevel="0" collapsed="false">
      <c r="A32" s="4" t="s">
        <v>248</v>
      </c>
      <c r="C32" s="20" t="n">
        <f aca="false">SUM(C24:C31)</f>
        <v>38405000</v>
      </c>
    </row>
    <row r="34" customFormat="false" ht="15" hidden="false" customHeight="false" outlineLevel="0" collapsed="false">
      <c r="A34" s="4" t="s">
        <v>249</v>
      </c>
    </row>
    <row r="35" customFormat="false" ht="15" hidden="false" customHeight="false" outlineLevel="0" collapsed="false">
      <c r="A35" s="8" t="s">
        <v>112</v>
      </c>
      <c r="C35" s="27" t="n">
        <f aca="false">SUMIFS(Trial_Balance!$H$5:$H$30,Trial_Balance!$D$5:$D$30,"Property, plant &amp; equipment")</f>
        <v>17650000</v>
      </c>
    </row>
    <row r="36" customFormat="false" ht="15" hidden="false" customHeight="false" outlineLevel="0" collapsed="false">
      <c r="A36" s="8" t="s">
        <v>115</v>
      </c>
      <c r="C36" s="27" t="n">
        <f aca="false">SUMIFS(Trial_Balance!$H$5:$H$30,Trial_Balance!$D$5:$D$30,"Inventories")</f>
        <v>7050000</v>
      </c>
    </row>
    <row r="37" customFormat="false" ht="15" hidden="false" customHeight="false" outlineLevel="0" collapsed="false">
      <c r="A37" s="8" t="s">
        <v>118</v>
      </c>
      <c r="C37" s="27" t="n">
        <f aca="false">SUMIFS(Trial_Balance!$H$5:$H$30,Trial_Balance!$D$5:$D$30,"Trade receivables (net)")</f>
        <v>8750000</v>
      </c>
    </row>
    <row r="38" customFormat="false" ht="15" hidden="false" customHeight="false" outlineLevel="0" collapsed="false">
      <c r="A38" s="8" t="s">
        <v>123</v>
      </c>
      <c r="C38" s="27" t="n">
        <f aca="false">SUMIFS(Trial_Balance!$H$5:$H$30,Trial_Balance!$D$5:$D$30,"Cash &amp; bank balances")</f>
        <v>2475000</v>
      </c>
    </row>
    <row r="39" customFormat="false" ht="15" hidden="false" customHeight="false" outlineLevel="0" collapsed="false">
      <c r="A39" s="8" t="s">
        <v>125</v>
      </c>
      <c r="C39" s="27" t="n">
        <f aca="false">SUMIFS(Trial_Balance!$H$5:$H$30,Trial_Balance!$D$5:$D$30,"Prepaid expenses")</f>
        <v>420000</v>
      </c>
    </row>
    <row r="40" customFormat="false" ht="15" hidden="false" customHeight="false" outlineLevel="0" collapsed="false">
      <c r="A40" s="8" t="s">
        <v>128</v>
      </c>
      <c r="C40" s="27" t="n">
        <f aca="false">SUMIFS(Trial_Balance!$H$5:$H$30,Trial_Balance!$D$5:$D$30,"Advance tax &amp; TDS")</f>
        <v>1400000</v>
      </c>
    </row>
    <row r="41" customFormat="false" ht="15" hidden="false" customHeight="false" outlineLevel="0" collapsed="false">
      <c r="A41" s="8" t="s">
        <v>130</v>
      </c>
      <c r="C41" s="27" t="n">
        <f aca="false">SUMIFS(Trial_Balance!$H$5:$H$30,Trial_Balance!$D$5:$D$30,"Other current assets")</f>
        <v>660000</v>
      </c>
    </row>
    <row r="42" customFormat="false" ht="15" hidden="false" customHeight="false" outlineLevel="0" collapsed="false">
      <c r="A42" s="4" t="s">
        <v>250</v>
      </c>
      <c r="C42" s="20" t="n">
        <f aca="false">SUM(C35:C41)</f>
        <v>38405000</v>
      </c>
    </row>
    <row r="43" customFormat="false" ht="15" hidden="false" customHeight="false" outlineLevel="0" collapsed="false">
      <c r="A43" s="4" t="s">
        <v>251</v>
      </c>
      <c r="C43" s="20" t="n">
        <f aca="false">C32-C42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3" min="3" style="0" width="18"/>
    <col collapsed="false" customWidth="true" hidden="false" outlineLevel="0" max="4" min="4" style="0" width="44"/>
  </cols>
  <sheetData>
    <row r="1" customFormat="false" ht="17.35" hidden="false" customHeight="false" outlineLevel="0" collapsed="false">
      <c r="A1" s="1" t="s">
        <v>252</v>
      </c>
    </row>
    <row r="2" customFormat="false" ht="15" hidden="false" customHeight="false" outlineLevel="0" collapsed="false">
      <c r="A2" s="2" t="s">
        <v>253</v>
      </c>
    </row>
    <row r="4" customFormat="false" ht="15" hidden="false" customHeight="false" outlineLevel="0" collapsed="false">
      <c r="A4" s="29"/>
      <c r="B4" s="29" t="s">
        <v>254</v>
      </c>
      <c r="C4" s="29" t="s">
        <v>255</v>
      </c>
      <c r="D4" s="29" t="s">
        <v>256</v>
      </c>
    </row>
    <row r="5" customFormat="false" ht="15" hidden="false" customHeight="false" outlineLevel="0" collapsed="false">
      <c r="B5" s="8" t="s">
        <v>257</v>
      </c>
      <c r="C5" s="30" t="n">
        <v>1900000</v>
      </c>
      <c r="D5" s="2" t="s">
        <v>258</v>
      </c>
    </row>
    <row r="7" customFormat="false" ht="15" hidden="false" customHeight="false" outlineLevel="0" collapsed="false">
      <c r="B7" s="4" t="s">
        <v>259</v>
      </c>
      <c r="C7" s="20" t="n">
        <f aca="false">Financial_Statements!C17</f>
        <v>4775000</v>
      </c>
      <c r="D7" s="2" t="s">
        <v>260</v>
      </c>
    </row>
    <row r="8" customFormat="false" ht="15" hidden="false" customHeight="false" outlineLevel="0" collapsed="false">
      <c r="B8" s="4" t="s">
        <v>261</v>
      </c>
    </row>
    <row r="9" customFormat="false" ht="15" hidden="false" customHeight="false" outlineLevel="0" collapsed="false">
      <c r="B9" s="8" t="s">
        <v>262</v>
      </c>
      <c r="C9" s="26" t="n">
        <f aca="false">SUMIFS(Trial_Balance!$H$5:$H$30,Trial_Balance!$D$5:$D$30,"Depreciation")</f>
        <v>1850000</v>
      </c>
      <c r="D9" s="2" t="s">
        <v>263</v>
      </c>
    </row>
    <row r="10" customFormat="false" ht="15" hidden="false" customHeight="false" outlineLevel="0" collapsed="false">
      <c r="B10" s="8" t="s">
        <v>264</v>
      </c>
      <c r="C10" s="26" t="n">
        <f aca="false">SUMIFS(Trial_Balance!$H$5:$H$30,Trial_Balance!$D$5:$D$30,"CSR expenditure")</f>
        <v>200000</v>
      </c>
      <c r="D10" s="2" t="s">
        <v>263</v>
      </c>
    </row>
    <row r="11" customFormat="false" ht="15" hidden="false" customHeight="false" outlineLevel="0" collapsed="false">
      <c r="B11" s="8" t="s">
        <v>56</v>
      </c>
      <c r="C11" s="26" t="n">
        <f aca="false">SUMIFS(Adjustments!$M$5:$M$28,Adjustments!$K$5:$K$28,"Disallowed - 43B (Timing)")</f>
        <v>1000000</v>
      </c>
      <c r="D11" s="2" t="s">
        <v>265</v>
      </c>
    </row>
    <row r="12" customFormat="false" ht="15" hidden="false" customHeight="false" outlineLevel="0" collapsed="false">
      <c r="B12" s="8" t="s">
        <v>59</v>
      </c>
      <c r="C12" s="26" t="n">
        <f aca="false">SUMIFS(Adjustments!$M$5:$M$28,Adjustments!$K$5:$K$28,"Disallowed - 40(a)(ia) 30%")</f>
        <v>90000</v>
      </c>
      <c r="D12" s="2" t="s">
        <v>265</v>
      </c>
    </row>
    <row r="13" customFormat="false" ht="15" hidden="false" customHeight="false" outlineLevel="0" collapsed="false">
      <c r="B13" s="8" t="s">
        <v>61</v>
      </c>
      <c r="C13" s="26" t="n">
        <f aca="false">SUMIFS(Adjustments!$M$5:$M$28,Adjustments!$K$5:$K$28,"Disallowed - Provision (Timing)")</f>
        <v>250000</v>
      </c>
      <c r="D13" s="2" t="s">
        <v>265</v>
      </c>
    </row>
    <row r="14" customFormat="false" ht="15" hidden="false" customHeight="false" outlineLevel="0" collapsed="false">
      <c r="B14" s="8" t="s">
        <v>63</v>
      </c>
      <c r="C14" s="26" t="n">
        <f aca="false">SUMIFS(Adjustments!$M$5:$M$28,Adjustments!$K$5:$K$28,"Disallowed - Permanent")</f>
        <v>105000</v>
      </c>
      <c r="D14" s="2" t="s">
        <v>265</v>
      </c>
    </row>
    <row r="15" customFormat="false" ht="15" hidden="false" customHeight="false" outlineLevel="0" collapsed="false">
      <c r="B15" s="4" t="s">
        <v>266</v>
      </c>
      <c r="C15" s="20" t="n">
        <f aca="false">SUM(C9:C14)</f>
        <v>3495000</v>
      </c>
      <c r="D15" s="2"/>
    </row>
    <row r="17" customFormat="false" ht="15" hidden="false" customHeight="false" outlineLevel="0" collapsed="false">
      <c r="B17" s="4" t="s">
        <v>267</v>
      </c>
    </row>
    <row r="18" customFormat="false" ht="15" hidden="false" customHeight="false" outlineLevel="0" collapsed="false">
      <c r="B18" s="8" t="s">
        <v>268</v>
      </c>
      <c r="C18" s="26" t="n">
        <f aca="false">C5</f>
        <v>1900000</v>
      </c>
      <c r="D18" s="2" t="s">
        <v>269</v>
      </c>
    </row>
    <row r="20" customFormat="false" ht="15" hidden="false" customHeight="false" outlineLevel="0" collapsed="false">
      <c r="B20" s="4" t="s">
        <v>270</v>
      </c>
      <c r="C20" s="20" t="n">
        <f aca="false">C7+C15-C18</f>
        <v>6370000</v>
      </c>
      <c r="D20" s="2"/>
    </row>
    <row r="21" customFormat="false" ht="15" hidden="false" customHeight="false" outlineLevel="0" collapsed="false">
      <c r="B21" s="4" t="s">
        <v>271</v>
      </c>
      <c r="C21" s="20" t="n">
        <f aca="false">ROUND(C20/10,0)*10</f>
        <v>6370000</v>
      </c>
      <c r="D21" s="2" t="s">
        <v>272</v>
      </c>
    </row>
    <row r="23" customFormat="false" ht="15" hidden="false" customHeight="false" outlineLevel="0" collapsed="false">
      <c r="B23" s="4" t="s">
        <v>273</v>
      </c>
    </row>
    <row r="24" customFormat="false" ht="15" hidden="false" customHeight="false" outlineLevel="0" collapsed="false">
      <c r="B24" s="8" t="s">
        <v>274</v>
      </c>
      <c r="C24" s="26" t="n">
        <f aca="false">C21*Settings!B7</f>
        <v>1401400</v>
      </c>
      <c r="D24" s="2" t="s">
        <v>275</v>
      </c>
    </row>
    <row r="25" customFormat="false" ht="15" hidden="false" customHeight="false" outlineLevel="0" collapsed="false">
      <c r="B25" s="8" t="s">
        <v>44</v>
      </c>
      <c r="C25" s="26" t="n">
        <f aca="false">C24*Settings!B8</f>
        <v>140140</v>
      </c>
      <c r="D25" s="2" t="s">
        <v>276</v>
      </c>
    </row>
    <row r="26" customFormat="false" ht="15" hidden="false" customHeight="false" outlineLevel="0" collapsed="false">
      <c r="B26" s="8" t="s">
        <v>46</v>
      </c>
      <c r="C26" s="26" t="n">
        <f aca="false">(C24+C25)*Settings!B9</f>
        <v>61661.6</v>
      </c>
      <c r="D26" s="2" t="s">
        <v>277</v>
      </c>
    </row>
    <row r="28" customFormat="false" ht="15" hidden="false" customHeight="false" outlineLevel="0" collapsed="false">
      <c r="B28" s="8" t="s">
        <v>278</v>
      </c>
      <c r="C28" s="26" t="n">
        <f aca="false">SUM(C24:C26)</f>
        <v>1603201.6</v>
      </c>
      <c r="D28" s="2"/>
    </row>
    <row r="30" customFormat="false" ht="15" hidden="false" customHeight="false" outlineLevel="0" collapsed="false">
      <c r="B30" s="4" t="s">
        <v>279</v>
      </c>
      <c r="C30" s="20" t="n">
        <f aca="false">ROUND(C28/10,0)*10</f>
        <v>1603200</v>
      </c>
      <c r="D30" s="2" t="s">
        <v>280</v>
      </c>
    </row>
    <row r="31" customFormat="false" ht="15" hidden="false" customHeight="false" outlineLevel="0" collapsed="false">
      <c r="B31" s="8" t="s">
        <v>281</v>
      </c>
      <c r="C31" s="26" t="n">
        <f aca="false">SUMIFS(Trial_Balance!$H$5:$H$30,Trial_Balance!$D$5:$D$30,"Advance tax &amp; TDS")</f>
        <v>1400000</v>
      </c>
      <c r="D31" s="2" t="s">
        <v>263</v>
      </c>
    </row>
    <row r="32" customFormat="false" ht="15" hidden="false" customHeight="false" outlineLevel="0" collapsed="false">
      <c r="B32" s="4" t="s">
        <v>282</v>
      </c>
      <c r="C32" s="20" t="n">
        <f aca="false">C30-C31</f>
        <v>203200</v>
      </c>
      <c r="D32" s="2"/>
    </row>
    <row r="34" customFormat="false" ht="15" hidden="false" customHeight="false" outlineLevel="0" collapsed="false">
      <c r="B34" s="4" t="s">
        <v>283</v>
      </c>
    </row>
    <row r="35" customFormat="false" ht="15" hidden="false" customHeight="false" outlineLevel="0" collapsed="false">
      <c r="B35" s="8" t="s">
        <v>284</v>
      </c>
      <c r="C35" s="26" t="n">
        <f aca="false">C18-C9</f>
        <v>50000</v>
      </c>
      <c r="D35" s="2"/>
    </row>
    <row r="36" customFormat="false" ht="15" hidden="false" customHeight="false" outlineLevel="0" collapsed="false">
      <c r="B36" s="8" t="s">
        <v>285</v>
      </c>
      <c r="C36" s="26" t="n">
        <f aca="false">-SUMIFS(Adjustments!$M$5:$M$28,Adjustments!$Q$5:$Q$28,"Timing")</f>
        <v>-1340000</v>
      </c>
      <c r="D36" s="2" t="s">
        <v>265</v>
      </c>
    </row>
    <row r="37" customFormat="false" ht="15" hidden="false" customHeight="false" outlineLevel="0" collapsed="false">
      <c r="B37" s="8" t="s">
        <v>286</v>
      </c>
      <c r="C37" s="26" t="n">
        <f aca="false">C35+C36</f>
        <v>-1290000</v>
      </c>
      <c r="D37" s="2"/>
    </row>
    <row r="38" customFormat="false" ht="15" hidden="false" customHeight="false" outlineLevel="0" collapsed="false">
      <c r="B38" s="8" t="s">
        <v>47</v>
      </c>
      <c r="C38" s="31" t="n">
        <f aca="false">Settings!$B$10</f>
        <v>0.25168</v>
      </c>
      <c r="D38" s="2" t="s">
        <v>287</v>
      </c>
    </row>
    <row r="40" customFormat="false" ht="15" hidden="false" customHeight="false" outlineLevel="0" collapsed="false">
      <c r="B40" s="4" t="s">
        <v>288</v>
      </c>
      <c r="C40" s="20" t="n">
        <f aca="false">ROUND(C37*C38,0)</f>
        <v>-324667</v>
      </c>
      <c r="D40" s="2" t="s">
        <v>280</v>
      </c>
    </row>
    <row r="42" customFormat="false" ht="15" hidden="false" customHeight="false" outlineLevel="0" collapsed="false">
      <c r="B42" s="4" t="s">
        <v>289</v>
      </c>
      <c r="C42" s="20" t="n">
        <f aca="false">C30+C40</f>
        <v>1278533</v>
      </c>
      <c r="D42" s="2"/>
    </row>
    <row r="43" customFormat="false" ht="15" hidden="false" customHeight="false" outlineLevel="0" collapsed="false">
      <c r="B43" s="8" t="s">
        <v>290</v>
      </c>
      <c r="C43" s="31" t="n">
        <f aca="false">IFERROR(C42/C7,0)</f>
        <v>0.267755602094241</v>
      </c>
      <c r="D43" s="2"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6"/>
    <col collapsed="false" customWidth="true" hidden="false" outlineLevel="0" max="3" min="3" style="0" width="18"/>
    <col collapsed="false" customWidth="true" hidden="false" outlineLevel="0" max="4" min="4" style="0" width="12"/>
  </cols>
  <sheetData>
    <row r="1" customFormat="false" ht="17.35" hidden="false" customHeight="false" outlineLevel="0" collapsed="false">
      <c r="A1" s="1" t="s">
        <v>292</v>
      </c>
    </row>
    <row r="2" customFormat="false" ht="15" hidden="false" customHeight="false" outlineLevel="0" collapsed="false">
      <c r="A2" s="2" t="s">
        <v>293</v>
      </c>
    </row>
    <row r="4" customFormat="false" ht="15" hidden="false" customHeight="false" outlineLevel="0" collapsed="false">
      <c r="A4" s="29" t="s">
        <v>154</v>
      </c>
      <c r="B4" s="29" t="s">
        <v>294</v>
      </c>
      <c r="C4" s="29" t="s">
        <v>295</v>
      </c>
      <c r="D4" s="29" t="s">
        <v>296</v>
      </c>
    </row>
    <row r="5" customFormat="false" ht="15" hidden="false" customHeight="false" outlineLevel="0" collapsed="false">
      <c r="A5" s="13" t="n">
        <v>1</v>
      </c>
      <c r="B5" s="13" t="s">
        <v>297</v>
      </c>
      <c r="C5" s="25" t="n">
        <f aca="false">Trial_Balance!E31</f>
        <v>0</v>
      </c>
      <c r="D5" s="32" t="str">
        <f aca="false">IF(ABS(C5)&lt;1,"OK","CHECK")</f>
        <v>OK</v>
      </c>
    </row>
    <row r="6" customFormat="false" ht="15" hidden="false" customHeight="false" outlineLevel="0" collapsed="false">
      <c r="A6" s="13" t="n">
        <v>2</v>
      </c>
      <c r="B6" s="13" t="s">
        <v>298</v>
      </c>
      <c r="C6" s="25" t="n">
        <f aca="false">Trial_Balance!H31</f>
        <v>0</v>
      </c>
      <c r="D6" s="32" t="str">
        <f aca="false">IF(ABS(C6)&lt;1,"OK","CHECK")</f>
        <v>OK</v>
      </c>
    </row>
    <row r="7" customFormat="false" ht="15" hidden="false" customHeight="false" outlineLevel="0" collapsed="false">
      <c r="A7" s="13" t="n">
        <v>3</v>
      </c>
      <c r="B7" s="13" t="s">
        <v>299</v>
      </c>
      <c r="C7" s="25" t="n">
        <f aca="false">COUNTIFS(Adjustments!$J$5:$J$28,"Y",Adjustments!$F$5:$F$28,"NOT FOUND")+COUNTIFS(Adjustments!$J$5:$J$28,"Y",Adjustments!$H$5:$H$28,"NOT FOUND")</f>
        <v>0</v>
      </c>
      <c r="D7" s="32" t="str">
        <f aca="false">IF(ABS(C7)&lt;1,"OK","CHECK")</f>
        <v>OK</v>
      </c>
    </row>
    <row r="8" customFormat="false" ht="15" hidden="false" customHeight="false" outlineLevel="0" collapsed="false">
      <c r="A8" s="13" t="n">
        <v>4</v>
      </c>
      <c r="B8" s="13" t="s">
        <v>300</v>
      </c>
      <c r="C8" s="25" t="n">
        <f aca="false">COUNTIFS(Adjustments!$J$5:$J$28,"Y",Adjustments!$K$5:$K$28,"")</f>
        <v>0</v>
      </c>
      <c r="D8" s="32" t="str">
        <f aca="false">IF(ABS(C8)&lt;1,"OK","CHECK")</f>
        <v>OK</v>
      </c>
    </row>
    <row r="9" customFormat="false" ht="15" hidden="false" customHeight="false" outlineLevel="0" collapsed="false">
      <c r="A9" s="13" t="n">
        <v>5</v>
      </c>
      <c r="B9" s="13" t="s">
        <v>301</v>
      </c>
      <c r="C9" s="25" t="n">
        <f aca="false">Financial_Statements!C43</f>
        <v>0</v>
      </c>
      <c r="D9" s="32" t="str">
        <f aca="false">IF(ABS(C9)&lt;1,"OK","CHECK")</f>
        <v>OK</v>
      </c>
    </row>
    <row r="10" customFormat="false" ht="15" hidden="false" customHeight="false" outlineLevel="0" collapsed="false">
      <c r="A10" s="13" t="n">
        <v>6</v>
      </c>
      <c r="B10" s="13" t="s">
        <v>302</v>
      </c>
      <c r="C10" s="25" t="n">
        <f aca="false">Tax_Computation!C7-Financial_Statements!C17</f>
        <v>0</v>
      </c>
      <c r="D10" s="32" t="str">
        <f aca="false">IF(ABS(C10)&lt;1,"OK","CHECK")</f>
        <v>OK</v>
      </c>
    </row>
    <row r="11" customFormat="false" ht="15" hidden="false" customHeight="false" outlineLevel="0" collapsed="false">
      <c r="A11" s="13" t="n">
        <v>7</v>
      </c>
      <c r="B11" s="13" t="s">
        <v>303</v>
      </c>
      <c r="C11" s="25" t="n">
        <f aca="false">Financial_Statements!C18-Tax_Computation!C30</f>
        <v>0</v>
      </c>
      <c r="D11" s="32" t="str">
        <f aca="false">IF(ABS(C11)&lt;1,"OK","CHECK")</f>
        <v>OK</v>
      </c>
    </row>
    <row r="12" customFormat="false" ht="15" hidden="false" customHeight="false" outlineLevel="0" collapsed="false">
      <c r="A12" s="13" t="n">
        <v>8</v>
      </c>
      <c r="B12" s="13" t="s">
        <v>304</v>
      </c>
      <c r="C12" s="25" t="n">
        <f aca="false">Financial_Statements!C31-Tax_Computation!C30</f>
        <v>0</v>
      </c>
      <c r="D12" s="32" t="str">
        <f aca="false">IF(ABS(C12)&lt;1,"OK","CHECK")</f>
        <v>OK</v>
      </c>
    </row>
    <row r="13" customFormat="false" ht="15" hidden="false" customHeight="false" outlineLevel="0" collapsed="false">
      <c r="A13" s="13" t="n">
        <v>9</v>
      </c>
      <c r="B13" s="13" t="s">
        <v>305</v>
      </c>
      <c r="C13" s="25" t="n">
        <f aca="false">(Financial_Statements!C27+SUMIFS(Trial_Balance!$H$5:$H$30,Trial_Balance!$D$5:$D$30,"Deferred tax liability (net)"))-Financial_Statements!C19</f>
        <v>0</v>
      </c>
      <c r="D13" s="32" t="str">
        <f aca="false">IF(ABS(C13)&lt;1,"OK","CHECK")</f>
        <v>OK</v>
      </c>
    </row>
    <row r="14" customFormat="false" ht="15" hidden="false" customHeight="false" outlineLevel="0" collapsed="false">
      <c r="A14" s="13" t="n">
        <v>10</v>
      </c>
      <c r="B14" s="13" t="s">
        <v>306</v>
      </c>
      <c r="C14" s="25" t="n">
        <f aca="false">Adjustments!L29-(Financial_Statements!C17-Financial_Statements!B17)</f>
        <v>0</v>
      </c>
      <c r="D14" s="32" t="str">
        <f aca="false">IF(ABS(C14)&lt;1,"OK","CHECK")</f>
        <v>OK</v>
      </c>
    </row>
    <row r="15" customFormat="false" ht="15" hidden="false" customHeight="false" outlineLevel="0" collapsed="false">
      <c r="B15" s="4" t="s">
        <v>307</v>
      </c>
      <c r="D15" s="33" t="str">
        <f aca="false">IF(COUNTIF(D5:D14,"OK")=10,"ALL OK","REVIEW")</f>
        <v>ALL OK</v>
      </c>
    </row>
    <row r="18" customFormat="false" ht="15" hidden="false" customHeight="false" outlineLevel="0" collapsed="false">
      <c r="B18" s="3" t="s">
        <v>308</v>
      </c>
    </row>
    <row r="19" customFormat="false" ht="15" hidden="false" customHeight="false" outlineLevel="0" collapsed="false">
      <c r="B19" s="8" t="s">
        <v>309</v>
      </c>
      <c r="C19" s="34" t="n">
        <f aca="false">Financial_Statements!B17</f>
        <v>7200000</v>
      </c>
    </row>
    <row r="20" customFormat="false" ht="15" hidden="false" customHeight="false" outlineLevel="0" collapsed="false">
      <c r="B20" s="8" t="s">
        <v>310</v>
      </c>
      <c r="C20" s="34" t="n">
        <f aca="false">Financial_Statements!C17</f>
        <v>4775000</v>
      </c>
    </row>
    <row r="21" customFormat="false" ht="15" hidden="false" customHeight="false" outlineLevel="0" collapsed="false">
      <c r="B21" s="8" t="s">
        <v>311</v>
      </c>
      <c r="C21" s="34" t="n">
        <f aca="false">COUNTIFS(Adjustments!$J$5:$J$28,"Y",Adjustments!$A$5:$A$28,"&lt;&gt;")</f>
        <v>12</v>
      </c>
    </row>
    <row r="22" customFormat="false" ht="15" hidden="false" customHeight="false" outlineLevel="0" collapsed="false">
      <c r="B22" s="8" t="s">
        <v>312</v>
      </c>
      <c r="C22" s="34" t="n">
        <f aca="false">Tax_Computation!C21</f>
        <v>6370000</v>
      </c>
    </row>
    <row r="23" customFormat="false" ht="15" hidden="false" customHeight="false" outlineLevel="0" collapsed="false">
      <c r="B23" s="8" t="s">
        <v>313</v>
      </c>
      <c r="C23" s="34" t="n">
        <f aca="false">Tax_Computation!C30</f>
        <v>1603200</v>
      </c>
    </row>
    <row r="24" customFormat="false" ht="15" hidden="false" customHeight="false" outlineLevel="0" collapsed="false">
      <c r="B24" s="8" t="s">
        <v>241</v>
      </c>
      <c r="C24" s="34" t="n">
        <f aca="false">Tax_Computation!C40</f>
        <v>-324667</v>
      </c>
    </row>
    <row r="25" customFormat="false" ht="15" hidden="false" customHeight="false" outlineLevel="0" collapsed="false">
      <c r="B25" s="8" t="s">
        <v>282</v>
      </c>
      <c r="C25" s="34" t="n">
        <f aca="false">Tax_Computation!C32</f>
        <v>203200</v>
      </c>
    </row>
    <row r="26" customFormat="false" ht="15" hidden="false" customHeight="false" outlineLevel="0" collapsed="false">
      <c r="B26" s="8" t="s">
        <v>314</v>
      </c>
      <c r="C26" s="34" t="n">
        <f aca="false">Financial_Statements!C20</f>
        <v>3496467</v>
      </c>
    </row>
  </sheetData>
  <conditionalFormatting sqref="D5:D15">
    <cfRule type="cellIs" priority="2" operator="equal" aboveAverage="0" equalAverage="0" bottom="0" percent="0" rank="0" text="" dxfId="0">
      <formula>"OK"</formula>
    </cfRule>
    <cfRule type="cellIs" priority="3" operator="equal" aboveAverage="0" equalAverage="0" bottom="0" percent="0" rank="0" text="" dxfId="0">
      <formula>"ALL OK"</formula>
    </cfRule>
    <cfRule type="cellIs" priority="4" operator="equal" aboveAverage="0" equalAverage="0" bottom="0" percent="0" rank="0" text="" dxfId="1">
      <formula>"CHECK"</formula>
    </cfRule>
    <cfRule type="cellIs" priority="5" operator="equal" aboveAverage="0" equalAverage="0" bottom="0" percent="0" rank="0" text="" dxfId="1">
      <formula>"REVIEW"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3"/>
    <col collapsed="false" customWidth="true" hidden="false" outlineLevel="0" max="4" min="4" style="0" width="15"/>
    <col collapsed="false" customWidth="true" hidden="false" outlineLevel="0" max="5" min="5" style="0" width="18"/>
    <col collapsed="false" customWidth="true" hidden="false" outlineLevel="0" max="7" min="6" style="0" width="16"/>
    <col collapsed="false" customWidth="true" hidden="false" outlineLevel="0" max="8" min="8" style="0" width="20"/>
  </cols>
  <sheetData>
    <row r="1" customFormat="false" ht="17.35" hidden="false" customHeight="false" outlineLevel="0" collapsed="false">
      <c r="A1" s="1" t="s">
        <v>315</v>
      </c>
    </row>
    <row r="4" customFormat="false" ht="23.85" hidden="false" customHeight="false" outlineLevel="0" collapsed="false">
      <c r="A4" s="17" t="s">
        <v>155</v>
      </c>
      <c r="B4" s="17" t="s">
        <v>316</v>
      </c>
      <c r="C4" s="17" t="s">
        <v>317</v>
      </c>
      <c r="D4" s="17" t="s">
        <v>318</v>
      </c>
      <c r="E4" s="17" t="s">
        <v>319</v>
      </c>
      <c r="F4" s="17" t="s">
        <v>320</v>
      </c>
      <c r="G4" s="17" t="s">
        <v>321</v>
      </c>
      <c r="H4" s="17" t="s">
        <v>322</v>
      </c>
    </row>
    <row r="5" customFormat="false" ht="15" hidden="false" customHeight="false" outlineLevel="0" collapsed="false">
      <c r="A5" s="13" t="s">
        <v>323</v>
      </c>
      <c r="B5" s="13" t="s">
        <v>324</v>
      </c>
      <c r="C5" s="13"/>
      <c r="D5" s="19"/>
      <c r="E5" s="19"/>
      <c r="F5" s="19"/>
      <c r="G5" s="19" t="n">
        <f aca="false">Financial_Statements!B17</f>
        <v>7200000</v>
      </c>
      <c r="H5" s="19" t="n">
        <v>0</v>
      </c>
    </row>
    <row r="6" customFormat="false" ht="15" hidden="false" customHeight="false" outlineLevel="0" collapsed="false">
      <c r="A6" s="13" t="s">
        <v>170</v>
      </c>
      <c r="B6" s="13" t="s">
        <v>325</v>
      </c>
      <c r="C6" s="13" t="n">
        <f aca="false">COUNTIFS(Adjustments!$B$5:$B$28,A6,Adjustments!$J$5:$J$28,"Y")</f>
        <v>3</v>
      </c>
      <c r="D6" s="19" t="n">
        <f aca="false">SUMIFS(Adjustments!$L$5:$L$28,Adjustments!$B$5:$B$28,A6)</f>
        <v>-380000</v>
      </c>
      <c r="E6" s="19" t="n">
        <f aca="false">SUMIFS(Adjustments!$N$5:$N$28,Adjustments!$B$5:$B$28,A6)</f>
        <v>-30000</v>
      </c>
      <c r="F6" s="19" t="n">
        <f aca="false">SUMIFS(Adjustments!$O$5:$O$28,Adjustments!$B$5:$B$28,A6)</f>
        <v>-7550.4</v>
      </c>
      <c r="G6" s="19" t="n">
        <f aca="false">G5+D6</f>
        <v>6820000</v>
      </c>
      <c r="H6" s="19" t="n">
        <f aca="false">H5+E6</f>
        <v>-30000</v>
      </c>
    </row>
    <row r="7" customFormat="false" ht="15" hidden="false" customHeight="false" outlineLevel="0" collapsed="false">
      <c r="A7" s="13" t="s">
        <v>183</v>
      </c>
      <c r="B7" s="13" t="s">
        <v>326</v>
      </c>
      <c r="C7" s="13" t="n">
        <f aca="false">COUNTIFS(Adjustments!$B$5:$B$28,A7,Adjustments!$J$5:$J$28,"Y")</f>
        <v>5</v>
      </c>
      <c r="D7" s="19" t="n">
        <f aca="false">SUMIFS(Adjustments!$L$5:$L$28,Adjustments!$B$5:$B$28,A7)</f>
        <v>-2000000</v>
      </c>
      <c r="E7" s="19" t="n">
        <f aca="false">SUMIFS(Adjustments!$N$5:$N$28,Adjustments!$B$5:$B$28,A7)</f>
        <v>-660000</v>
      </c>
      <c r="F7" s="19" t="n">
        <f aca="false">SUMIFS(Adjustments!$O$5:$O$28,Adjustments!$B$5:$B$28,A7)</f>
        <v>-166108.8</v>
      </c>
      <c r="G7" s="19" t="n">
        <f aca="false">G6+D7</f>
        <v>4820000</v>
      </c>
      <c r="H7" s="19" t="n">
        <f aca="false">H6+E7</f>
        <v>-690000</v>
      </c>
    </row>
    <row r="8" customFormat="false" ht="15" hidden="false" customHeight="false" outlineLevel="0" collapsed="false">
      <c r="A8" s="13" t="s">
        <v>202</v>
      </c>
      <c r="B8" s="13" t="s">
        <v>327</v>
      </c>
      <c r="C8" s="13" t="n">
        <f aca="false">COUNTIFS(Adjustments!$B$5:$B$28,A8,Adjustments!$J$5:$J$28,"Y")</f>
        <v>4</v>
      </c>
      <c r="D8" s="19" t="n">
        <f aca="false">SUMIFS(Adjustments!$L$5:$L$28,Adjustments!$B$5:$B$28,A8)</f>
        <v>-45000</v>
      </c>
      <c r="E8" s="19" t="n">
        <f aca="false">SUMIFS(Adjustments!$N$5:$N$28,Adjustments!$B$5:$B$28,A8)</f>
        <v>60000</v>
      </c>
      <c r="F8" s="19" t="n">
        <f aca="false">SUMIFS(Adjustments!$O$5:$O$28,Adjustments!$B$5:$B$28,A8)</f>
        <v>15100.8</v>
      </c>
      <c r="G8" s="19" t="n">
        <f aca="false">G7+D8</f>
        <v>4775000</v>
      </c>
      <c r="H8" s="19" t="n">
        <f aca="false">H7+E8</f>
        <v>-630000</v>
      </c>
    </row>
    <row r="9" customFormat="false" ht="15" hidden="false" customHeight="false" outlineLevel="0" collapsed="false">
      <c r="A9" s="32"/>
      <c r="B9" s="32" t="s">
        <v>328</v>
      </c>
      <c r="C9" s="32" t="n">
        <f aca="false">SUM(C6:C8)</f>
        <v>12</v>
      </c>
      <c r="D9" s="35" t="n">
        <f aca="false">SUM(D6:D8)</f>
        <v>-2425000</v>
      </c>
      <c r="E9" s="35" t="n">
        <f aca="false">SUM(E6:E8)</f>
        <v>-630000</v>
      </c>
      <c r="F9" s="35" t="n">
        <f aca="false">SUM(F6:F8)</f>
        <v>-158558.4</v>
      </c>
      <c r="G9" s="35"/>
      <c r="H9" s="35"/>
    </row>
    <row r="11" customFormat="false" ht="15" hidden="false" customHeight="false" outlineLevel="0" collapsed="false">
      <c r="B11" s="2"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4"/>
    <col collapsed="false" customWidth="true" hidden="false" outlineLevel="0" max="4" min="4" style="0" width="15"/>
    <col collapsed="false" customWidth="true" hidden="false" outlineLevel="0" max="5" min="5" style="0" width="16"/>
    <col collapsed="false" customWidth="true" hidden="false" outlineLevel="0" max="6" min="6" style="0" width="12"/>
  </cols>
  <sheetData>
    <row r="1" customFormat="false" ht="17.35" hidden="false" customHeight="false" outlineLevel="0" collapsed="false">
      <c r="A1" s="1" t="s">
        <v>330</v>
      </c>
    </row>
    <row r="2" customFormat="false" ht="15" hidden="false" customHeight="false" outlineLevel="0" collapsed="false">
      <c r="A2" s="2" t="s">
        <v>331</v>
      </c>
    </row>
    <row r="4" customFormat="false" ht="15" hidden="false" customHeight="false" outlineLevel="0" collapsed="false">
      <c r="A4" s="17" t="s">
        <v>154</v>
      </c>
      <c r="B4" s="17" t="s">
        <v>332</v>
      </c>
      <c r="C4" s="17" t="s">
        <v>333</v>
      </c>
      <c r="D4" s="17" t="s">
        <v>334</v>
      </c>
      <c r="E4" s="17" t="s">
        <v>335</v>
      </c>
      <c r="F4" s="17" t="s">
        <v>336</v>
      </c>
    </row>
    <row r="5" customFormat="false" ht="15" hidden="false" customHeight="false" outlineLevel="0" collapsed="false">
      <c r="A5" s="23" t="n">
        <v>1</v>
      </c>
      <c r="B5" s="23" t="s">
        <v>337</v>
      </c>
      <c r="C5" s="22" t="n">
        <v>20</v>
      </c>
      <c r="D5" s="22" t="n">
        <v>5</v>
      </c>
      <c r="E5" s="23" t="n">
        <f aca="false">C5-D5</f>
        <v>15</v>
      </c>
      <c r="F5" s="36" t="n">
        <f aca="false">IFERROR(E5/C5,0)</f>
        <v>0.75</v>
      </c>
    </row>
    <row r="6" customFormat="false" ht="15" hidden="false" customHeight="false" outlineLevel="0" collapsed="false">
      <c r="A6" s="23" t="n">
        <v>2</v>
      </c>
      <c r="B6" s="23" t="s">
        <v>338</v>
      </c>
      <c r="C6" s="22" t="n">
        <v>30</v>
      </c>
      <c r="D6" s="22" t="n">
        <v>0</v>
      </c>
      <c r="E6" s="23" t="n">
        <f aca="false">C6-D6</f>
        <v>30</v>
      </c>
      <c r="F6" s="36" t="n">
        <f aca="false">IFERROR(E6/C6,0)</f>
        <v>1</v>
      </c>
    </row>
    <row r="7" customFormat="false" ht="15" hidden="false" customHeight="false" outlineLevel="0" collapsed="false">
      <c r="A7" s="23" t="n">
        <v>3</v>
      </c>
      <c r="B7" s="23" t="s">
        <v>339</v>
      </c>
      <c r="C7" s="22" t="n">
        <v>25</v>
      </c>
      <c r="D7" s="22" t="n">
        <v>5</v>
      </c>
      <c r="E7" s="23" t="n">
        <f aca="false">C7-D7</f>
        <v>20</v>
      </c>
      <c r="F7" s="36" t="n">
        <f aca="false">IFERROR(E7/C7,0)</f>
        <v>0.8</v>
      </c>
    </row>
    <row r="8" customFormat="false" ht="15" hidden="false" customHeight="false" outlineLevel="0" collapsed="false">
      <c r="A8" s="23" t="n">
        <v>4</v>
      </c>
      <c r="B8" s="23" t="s">
        <v>340</v>
      </c>
      <c r="C8" s="22" t="n">
        <v>30</v>
      </c>
      <c r="D8" s="22" t="n">
        <v>0</v>
      </c>
      <c r="E8" s="23" t="n">
        <f aca="false">C8-D8</f>
        <v>30</v>
      </c>
      <c r="F8" s="36" t="n">
        <f aca="false">IFERROR(E8/C8,0)</f>
        <v>1</v>
      </c>
    </row>
    <row r="9" customFormat="false" ht="15" hidden="false" customHeight="false" outlineLevel="0" collapsed="false">
      <c r="A9" s="23" t="n">
        <v>5</v>
      </c>
      <c r="B9" s="23" t="s">
        <v>341</v>
      </c>
      <c r="C9" s="22" t="n">
        <v>20</v>
      </c>
      <c r="D9" s="22" t="n">
        <v>0</v>
      </c>
      <c r="E9" s="23" t="n">
        <f aca="false">C9-D9</f>
        <v>20</v>
      </c>
      <c r="F9" s="36" t="n">
        <f aca="false">IFERROR(E9/C9,0)</f>
        <v>1</v>
      </c>
    </row>
    <row r="10" customFormat="false" ht="15" hidden="false" customHeight="false" outlineLevel="0" collapsed="false">
      <c r="A10" s="23" t="n">
        <v>6</v>
      </c>
      <c r="B10" s="23" t="s">
        <v>342</v>
      </c>
      <c r="C10" s="22" t="n">
        <v>15</v>
      </c>
      <c r="D10" s="22" t="n">
        <v>1</v>
      </c>
      <c r="E10" s="23" t="n">
        <f aca="false">C10-D10</f>
        <v>14</v>
      </c>
      <c r="F10" s="36" t="n">
        <f aca="false">IFERROR(E10/C10,0)</f>
        <v>0.933333333333333</v>
      </c>
    </row>
    <row r="11" customFormat="false" ht="15" hidden="false" customHeight="false" outlineLevel="0" collapsed="false">
      <c r="A11" s="23" t="n">
        <v>7</v>
      </c>
      <c r="B11" s="23" t="s">
        <v>343</v>
      </c>
      <c r="C11" s="22" t="n">
        <v>20</v>
      </c>
      <c r="D11" s="22" t="n">
        <v>5</v>
      </c>
      <c r="E11" s="23" t="n">
        <f aca="false">C11-D11</f>
        <v>15</v>
      </c>
      <c r="F11" s="36" t="n">
        <f aca="false">IFERROR(E11/C11,0)</f>
        <v>0.75</v>
      </c>
    </row>
    <row r="12" customFormat="false" ht="15" hidden="false" customHeight="false" outlineLevel="0" collapsed="false">
      <c r="B12" s="37" t="s">
        <v>344</v>
      </c>
      <c r="C12" s="37" t="n">
        <f aca="false">SUM(C5:C11)</f>
        <v>160</v>
      </c>
      <c r="D12" s="37" t="n">
        <f aca="false">SUM(D5:D11)</f>
        <v>16</v>
      </c>
      <c r="E12" s="37" t="n">
        <f aca="false">SUM(E5:E11)</f>
        <v>144</v>
      </c>
      <c r="F12" s="38" t="n">
        <f aca="false">IFERROR(E12/C12,0)</f>
        <v>0.9</v>
      </c>
    </row>
    <row r="13" customFormat="false" ht="15" hidden="false" customHeight="false" outlineLevel="0" collapsed="false">
      <c r="B13" s="0" t="s">
        <v>345</v>
      </c>
      <c r="C13" s="39" t="n">
        <v>3</v>
      </c>
    </row>
    <row r="14" customFormat="false" ht="15" hidden="false" customHeight="false" outlineLevel="0" collapsed="false">
      <c r="B14" s="37" t="s">
        <v>346</v>
      </c>
      <c r="C14" s="40" t="n">
        <f aca="false">E12*C13/60</f>
        <v>7.2</v>
      </c>
      <c r="D14" s="37"/>
      <c r="E14" s="37"/>
      <c r="F14"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90"/>
    <col collapsed="false" customWidth="true" hidden="false" outlineLevel="0" max="4" min="4" style="0" width="40"/>
  </cols>
  <sheetData>
    <row r="1" customFormat="false" ht="17.35" hidden="false" customHeight="false" outlineLevel="0" collapsed="false">
      <c r="A1" s="1" t="s">
        <v>347</v>
      </c>
    </row>
    <row r="2" customFormat="false" ht="15" hidden="false" customHeight="false" outlineLevel="0" collapsed="false">
      <c r="A2" s="2" t="s">
        <v>348</v>
      </c>
    </row>
    <row r="4" customFormat="false" ht="15" hidden="false" customHeight="false" outlineLevel="0" collapsed="false">
      <c r="A4" s="17" t="s">
        <v>154</v>
      </c>
      <c r="B4" s="17" t="s">
        <v>349</v>
      </c>
      <c r="C4" s="17" t="s">
        <v>350</v>
      </c>
      <c r="D4" s="17" t="s">
        <v>351</v>
      </c>
    </row>
    <row r="5" customFormat="false" ht="75" hidden="false" customHeight="true" outlineLevel="0" collapsed="false">
      <c r="A5" s="16" t="n">
        <v>1</v>
      </c>
      <c r="B5" s="16" t="s">
        <v>352</v>
      </c>
      <c r="C5" s="16" t="s">
        <v>353</v>
      </c>
      <c r="D5" s="16" t="s">
        <v>354</v>
      </c>
    </row>
    <row r="6" customFormat="false" ht="75" hidden="false" customHeight="true" outlineLevel="0" collapsed="false">
      <c r="A6" s="16" t="n">
        <v>2</v>
      </c>
      <c r="B6" s="16" t="s">
        <v>355</v>
      </c>
      <c r="C6" s="16" t="s">
        <v>356</v>
      </c>
      <c r="D6" s="16" t="s">
        <v>357</v>
      </c>
    </row>
    <row r="7" customFormat="false" ht="75" hidden="false" customHeight="true" outlineLevel="0" collapsed="false">
      <c r="A7" s="16" t="n">
        <v>3</v>
      </c>
      <c r="B7" s="16" t="s">
        <v>358</v>
      </c>
      <c r="C7" s="16" t="s">
        <v>359</v>
      </c>
      <c r="D7" s="16" t="s">
        <v>360</v>
      </c>
    </row>
    <row r="8" customFormat="false" ht="75" hidden="false" customHeight="true" outlineLevel="0" collapsed="false">
      <c r="A8" s="16" t="n">
        <v>4</v>
      </c>
      <c r="B8" s="16" t="s">
        <v>361</v>
      </c>
      <c r="C8" s="16" t="s">
        <v>362</v>
      </c>
      <c r="D8" s="16" t="s">
        <v>363</v>
      </c>
    </row>
    <row r="9" customFormat="false" ht="75" hidden="false" customHeight="true" outlineLevel="0" collapsed="false">
      <c r="A9" s="16" t="n">
        <v>5</v>
      </c>
      <c r="B9" s="16" t="s">
        <v>364</v>
      </c>
      <c r="C9" s="16" t="s">
        <v>365</v>
      </c>
      <c r="D9" s="16" t="s">
        <v>366</v>
      </c>
    </row>
    <row r="10" customFormat="false" ht="75" hidden="false" customHeight="true" outlineLevel="0" collapsed="false">
      <c r="A10" s="16" t="n">
        <v>6</v>
      </c>
      <c r="B10" s="16" t="s">
        <v>367</v>
      </c>
      <c r="C10" s="16" t="s">
        <v>368</v>
      </c>
      <c r="D10" s="16"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4" min="3" style="0" width="9"/>
    <col collapsed="false" customWidth="true" hidden="false" outlineLevel="0" max="5" min="5" style="0" width="12"/>
    <col collapsed="false" customWidth="true" hidden="false" outlineLevel="0" max="6" min="6" style="0" width="28"/>
    <col collapsed="false" customWidth="true" hidden="false" outlineLevel="0" max="7" min="7" style="0" width="62"/>
  </cols>
  <sheetData>
    <row r="1" customFormat="false" ht="17.35" hidden="false" customHeight="false" outlineLevel="0" collapsed="false">
      <c r="A1" s="1" t="s">
        <v>370</v>
      </c>
    </row>
    <row r="2" customFormat="false" ht="15" hidden="false" customHeight="false" outlineLevel="0" collapsed="false">
      <c r="A2" s="2" t="s">
        <v>371</v>
      </c>
    </row>
    <row r="4" customFormat="false" ht="15" hidden="false" customHeight="false" outlineLevel="0" collapsed="false">
      <c r="A4" s="17" t="s">
        <v>154</v>
      </c>
      <c r="B4" s="17" t="s">
        <v>372</v>
      </c>
      <c r="C4" s="17" t="s">
        <v>373</v>
      </c>
      <c r="D4" s="17" t="s">
        <v>374</v>
      </c>
      <c r="E4" s="17" t="s">
        <v>162</v>
      </c>
      <c r="F4" s="17" t="s">
        <v>375</v>
      </c>
      <c r="G4" s="17" t="s">
        <v>376</v>
      </c>
    </row>
    <row r="5" customFormat="false" ht="48" hidden="false" customHeight="true" outlineLevel="0" collapsed="false">
      <c r="A5" s="16" t="s">
        <v>216</v>
      </c>
      <c r="B5" s="16" t="s">
        <v>377</v>
      </c>
      <c r="C5" s="16" t="s">
        <v>90</v>
      </c>
      <c r="D5" s="16" t="s">
        <v>144</v>
      </c>
      <c r="E5" s="41" t="n">
        <v>150000</v>
      </c>
      <c r="F5" s="16" t="s">
        <v>56</v>
      </c>
      <c r="G5" s="16" t="s">
        <v>378</v>
      </c>
    </row>
    <row r="6" customFormat="false" ht="48" hidden="false" customHeight="true" outlineLevel="0" collapsed="false">
      <c r="A6" s="16" t="s">
        <v>221</v>
      </c>
      <c r="B6" s="16" t="s">
        <v>379</v>
      </c>
      <c r="C6" s="16" t="s">
        <v>93</v>
      </c>
      <c r="D6" s="16" t="s">
        <v>148</v>
      </c>
      <c r="E6" s="41" t="n">
        <v>18000</v>
      </c>
      <c r="F6" s="16" t="s">
        <v>53</v>
      </c>
      <c r="G6" s="16" t="s">
        <v>380</v>
      </c>
    </row>
    <row r="7" customFormat="false" ht="48" hidden="false" customHeight="true" outlineLevel="0" collapsed="false">
      <c r="A7" s="16" t="s">
        <v>224</v>
      </c>
      <c r="B7" s="16" t="s">
        <v>381</v>
      </c>
      <c r="C7" s="16" t="s">
        <v>105</v>
      </c>
      <c r="D7" s="16" t="s">
        <v>146</v>
      </c>
      <c r="E7" s="41" t="n">
        <v>200000</v>
      </c>
      <c r="F7" s="16" t="s">
        <v>59</v>
      </c>
      <c r="G7" s="16" t="s">
        <v>382</v>
      </c>
    </row>
    <row r="8" customFormat="false" ht="48" hidden="false" customHeight="true" outlineLevel="0" collapsed="false">
      <c r="A8" s="16" t="s">
        <v>227</v>
      </c>
      <c r="B8" s="16" t="s">
        <v>383</v>
      </c>
      <c r="C8" s="16" t="s">
        <v>105</v>
      </c>
      <c r="D8" s="16" t="s">
        <v>121</v>
      </c>
      <c r="E8" s="41" t="n">
        <v>50000</v>
      </c>
      <c r="F8" s="16" t="s">
        <v>63</v>
      </c>
      <c r="G8" s="16" t="s">
        <v>384</v>
      </c>
    </row>
    <row r="10" customFormat="false" ht="15" hidden="false" customHeight="false" outlineLevel="0" collapsed="false">
      <c r="B10" s="3" t="s">
        <v>385</v>
      </c>
    </row>
    <row r="11" customFormat="false" ht="150" hidden="false" customHeight="true" outlineLevel="0" collapsed="false">
      <c r="B11" s="42" t="s">
        <v>386</v>
      </c>
      <c r="C11" s="42"/>
      <c r="D11" s="42"/>
      <c r="E11" s="42"/>
      <c r="F11" s="42"/>
      <c r="G11" s="42"/>
    </row>
    <row r="13" customFormat="false" ht="15" hidden="false" customHeight="false" outlineLevel="0" collapsed="false">
      <c r="B13" s="3" t="s">
        <v>387</v>
      </c>
    </row>
    <row r="14" customFormat="false" ht="15" hidden="false" customHeight="false" outlineLevel="0" collapsed="false">
      <c r="B14" s="8" t="s">
        <v>388</v>
      </c>
      <c r="C14" s="43" t="s">
        <v>389</v>
      </c>
      <c r="D14" s="43"/>
      <c r="E14" s="43"/>
      <c r="F14" s="43"/>
    </row>
    <row r="15" customFormat="false" ht="15" hidden="false" customHeight="false" outlineLevel="0" collapsed="false">
      <c r="B15" s="8" t="s">
        <v>237</v>
      </c>
      <c r="C15" s="43" t="s">
        <v>390</v>
      </c>
      <c r="D15" s="43"/>
      <c r="E15" s="43"/>
      <c r="F15" s="43"/>
    </row>
    <row r="16" customFormat="false" ht="15" hidden="false" customHeight="false" outlineLevel="0" collapsed="false">
      <c r="B16" s="8" t="s">
        <v>313</v>
      </c>
      <c r="C16" s="43" t="s">
        <v>391</v>
      </c>
      <c r="D16" s="43"/>
      <c r="E16" s="43"/>
      <c r="F16" s="43"/>
    </row>
    <row r="17" customFormat="false" ht="15" hidden="false" customHeight="false" outlineLevel="0" collapsed="false">
      <c r="B17" s="8" t="s">
        <v>392</v>
      </c>
      <c r="C17" s="43" t="s">
        <v>393</v>
      </c>
      <c r="D17" s="43"/>
      <c r="E17" s="43"/>
      <c r="F17" s="43"/>
    </row>
    <row r="18" customFormat="false" ht="15" hidden="false" customHeight="false" outlineLevel="0" collapsed="false">
      <c r="B18" s="8" t="s">
        <v>394</v>
      </c>
      <c r="C18" s="43" t="s">
        <v>395</v>
      </c>
      <c r="D18" s="43"/>
      <c r="E18" s="43"/>
      <c r="F18" s="43"/>
    </row>
    <row r="20" customFormat="false" ht="15" hidden="false" customHeight="false" outlineLevel="0" collapsed="false">
      <c r="B20" s="3" t="s">
        <v>396</v>
      </c>
    </row>
    <row r="21" customFormat="false" ht="60" hidden="false" customHeight="true" outlineLevel="0" collapsed="false">
      <c r="B21" s="42" t="s">
        <v>397</v>
      </c>
      <c r="C21" s="42"/>
      <c r="D21" s="42"/>
      <c r="E21" s="42"/>
      <c r="F21" s="42"/>
      <c r="G21" s="42"/>
    </row>
    <row r="23" customFormat="false" ht="15" hidden="false" customHeight="false" outlineLevel="0" collapsed="false">
      <c r="B23" s="44" t="s">
        <v>398</v>
      </c>
    </row>
    <row r="25" customFormat="false" ht="15" hidden="false" customHeight="false" outlineLevel="0" collapsed="false">
      <c r="B25" s="3" t="s">
        <v>399</v>
      </c>
    </row>
    <row r="26" customFormat="false" ht="48" hidden="false" customHeight="true" outlineLevel="0" collapsed="false">
      <c r="B26" s="42" t="s">
        <v>400</v>
      </c>
      <c r="C26" s="42"/>
      <c r="D26" s="42"/>
      <c r="E26" s="42"/>
      <c r="F26" s="42"/>
      <c r="G26" s="42"/>
    </row>
    <row r="27" customFormat="false" ht="15" hidden="false" customHeight="false" outlineLevel="0" collapsed="false">
      <c r="B27" s="12" t="s">
        <v>401</v>
      </c>
      <c r="E27" s="12" t="s">
        <v>402</v>
      </c>
      <c r="F27" s="12" t="s">
        <v>403</v>
      </c>
    </row>
    <row r="28" customFormat="false" ht="15" hidden="false" customHeight="false" outlineLevel="0" collapsed="false">
      <c r="B28" s="13" t="s">
        <v>404</v>
      </c>
      <c r="E28" s="19" t="n">
        <v>300000</v>
      </c>
      <c r="F28" s="19" t="n">
        <v>300000</v>
      </c>
    </row>
    <row r="29" customFormat="false" ht="15" hidden="false" customHeight="false" outlineLevel="0" collapsed="false">
      <c r="B29" s="13" t="s">
        <v>405</v>
      </c>
      <c r="E29" s="19" t="n">
        <v>400000</v>
      </c>
      <c r="F29" s="19" t="s">
        <v>406</v>
      </c>
    </row>
    <row r="30" customFormat="false" ht="15" hidden="false" customHeight="false" outlineLevel="0" collapsed="false">
      <c r="B30" s="13" t="s">
        <v>407</v>
      </c>
      <c r="E30" s="19" t="n">
        <v>700000</v>
      </c>
      <c r="F30" s="19" t="n">
        <v>300000</v>
      </c>
    </row>
    <row r="31" customFormat="false" ht="15" hidden="false" customHeight="false" outlineLevel="0" collapsed="false">
      <c r="B31" s="13" t="s">
        <v>408</v>
      </c>
      <c r="E31" s="19" t="n">
        <f aca="false">ROUND(400000*Settings!$B$10,0)</f>
        <v>100672</v>
      </c>
      <c r="F31" s="19"/>
    </row>
    <row r="33" customFormat="false" ht="15" hidden="false" customHeight="false" outlineLevel="0" collapsed="false">
      <c r="B33" s="2" t="s">
        <v>409</v>
      </c>
    </row>
  </sheetData>
  <mergeCells count="8">
    <mergeCell ref="B11:G11"/>
    <mergeCell ref="C14:F14"/>
    <mergeCell ref="C15:F15"/>
    <mergeCell ref="C16:F16"/>
    <mergeCell ref="C17:F17"/>
    <mergeCell ref="C18:F18"/>
    <mergeCell ref="B21:G21"/>
    <mergeCell ref="B26: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2026-10-20T11:50:11Z</dcterms:created>
  <dc:creator>openpyxl</dc:creator>
  <dc:description/>
  <dc:language>en-US</dc:language>
  <cp:lastModifiedBy/>
  <dcterms:modified xsi:type="dcterms:W3CDTF">2026-10-20T11:50:12Z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