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upplier" sheetId="1" state="visible" r:id="rId1"/>
    <sheet xmlns:r="http://schemas.openxmlformats.org/officeDocument/2006/relationships" name="By bill" sheetId="2" state="visible" r:id="rId2"/>
    <sheet xmlns:r="http://schemas.openxmlformats.org/officeDocument/2006/relationships" name="Bank rates" sheetId="3" state="visible" r:id="rId3"/>
  </sheets>
  <definedNames>
    <definedName name="_xlnm._FilterDatabase" localSheetId="0" hidden="1">'By supplier'!$A$1:$D$5</definedName>
    <definedName name="_xlnm.Print_Titles" localSheetId="0">'By supplier'!$1:$1</definedName>
    <definedName name="_xlnm._FilterDatabase" localSheetId="1" hidden="1">'By bill'!$A$1:$M$34</definedName>
    <definedName name="_xlnm.Print_Titles" localSheetId="1">'By bill'!$1:$1</definedName>
    <definedName name="_xlnm._FilterDatabase" localSheetId="2" hidden="1">'Bank rates'!$A$1:$B$12</definedName>
    <definedName name="_xlnm.Print_Titles" localSheetId="2">'Bank rates'!$1:$1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&gt;=10000000]##\,##\,##\,##0.00;[&gt;=100000]##\,##\,##0.00;##,##0.00"/>
    <numFmt numFmtId="165" formatCode="yyyy-mm-dd h:mm:ss"/>
    <numFmt numFmtId="166" formatCode="YYYY-MM-DD HH:MM:SS"/>
    <numFmt numFmtId="167" formatCode="DD-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57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C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4" borderId="2" pivotButton="0" quotePrefix="0" xfId="0"/>
    <xf numFmtId="3" fontId="2" fillId="4" borderId="2" pivotButton="0" quotePrefix="0" xfId="0"/>
    <xf numFmtId="164" fontId="2" fillId="4" borderId="2" pivotButton="0" quotePrefix="0" xfId="0"/>
    <xf numFmtId="167" fontId="0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.15" customWidth="1" min="3" max="3"/>
    <col width="17.2" customWidth="1" min="4" max="4"/>
  </cols>
  <sheetData>
    <row r="1" ht="32" customHeight="1">
      <c r="A1" s="1" t="inlineStr">
        <is>
          <t>Vendor Name</t>
        </is>
      </c>
      <c r="B1" s="1" t="inlineStr">
        <is>
          <t>Bills</t>
        </is>
      </c>
      <c r="C1" s="1" t="inlineStr">
        <is>
          <t>Principal Delayed</t>
        </is>
      </c>
      <c r="D1" s="1" t="inlineStr">
        <is>
          <t>Interest Payable</t>
        </is>
      </c>
    </row>
    <row r="2">
      <c r="A2" s="2" t="inlineStr">
        <is>
          <t>Surya Cartons</t>
        </is>
      </c>
      <c r="B2" s="2" t="n">
        <v>8</v>
      </c>
      <c r="C2" s="3" t="n">
        <v>1556600</v>
      </c>
      <c r="D2" s="3" t="n">
        <v>122836.37</v>
      </c>
    </row>
    <row r="3">
      <c r="A3" s="4" t="inlineStr">
        <is>
          <t>Sri Lakshmi Plastics</t>
        </is>
      </c>
      <c r="B3" s="4" t="n">
        <v>11</v>
      </c>
      <c r="C3" s="5" t="n">
        <v>1829200</v>
      </c>
      <c r="D3" s="5" t="n">
        <v>120111.19</v>
      </c>
    </row>
    <row r="4">
      <c r="A4" s="2" t="inlineStr">
        <is>
          <t>Kaveri Packaging</t>
        </is>
      </c>
      <c r="B4" s="2" t="n">
        <v>8</v>
      </c>
      <c r="C4" s="3" t="n">
        <v>1465000</v>
      </c>
      <c r="D4" s="3" t="n">
        <v>83650.72</v>
      </c>
    </row>
    <row r="5">
      <c r="A5" s="4" t="inlineStr">
        <is>
          <t>Anand Die Casting</t>
        </is>
      </c>
      <c r="B5" s="4" t="n">
        <v>6</v>
      </c>
      <c r="C5" s="5" t="n">
        <v>1219200</v>
      </c>
      <c r="D5" s="5" t="n">
        <v>44906.09</v>
      </c>
    </row>
    <row r="6">
      <c r="A6" s="6" t="inlineStr">
        <is>
          <t>Total</t>
        </is>
      </c>
      <c r="B6" s="7">
        <f>SUBTOTAL(9,B2:B5)</f>
        <v/>
      </c>
      <c r="C6" s="8">
        <f>SUBTOTAL(9,C2:C5)</f>
        <v/>
      </c>
      <c r="D6" s="8">
        <f>SUBTOTAL(9,D2:D5)</f>
        <v/>
      </c>
    </row>
  </sheetData>
  <autoFilter ref="A1:D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2.45" customWidth="1" min="4" max="4"/>
    <col width="12" customWidth="1" min="5" max="5"/>
    <col width="14" customWidth="1" min="6" max="6"/>
    <col width="18.15" customWidth="1" min="7" max="7"/>
    <col width="14.35" customWidth="1" min="8" max="8"/>
    <col width="12.45" customWidth="1" min="9" max="9"/>
    <col width="10" customWidth="1" min="10" max="10"/>
    <col width="18.15" customWidth="1" min="11" max="11"/>
    <col width="11" customWidth="1" min="12" max="12"/>
    <col width="17.2" customWidth="1" min="13" max="13"/>
  </cols>
  <sheetData>
    <row r="1" ht="32" customHeight="1">
      <c r="A1" s="1" t="inlineStr">
        <is>
          <t>Vendor Name</t>
        </is>
      </c>
      <c r="B1" s="1" t="inlineStr">
        <is>
          <t>Bill No</t>
        </is>
      </c>
      <c r="C1" s="1" t="inlineStr">
        <is>
          <t>Branch</t>
        </is>
      </c>
      <c r="D1" s="1" t="inlineStr">
        <is>
          <t>Accepted On</t>
        </is>
      </c>
      <c r="E1" s="1" t="inlineStr">
        <is>
          <t>Due Date</t>
        </is>
      </c>
      <c r="F1" s="1" t="inlineStr">
        <is>
          <t>Bill Amount</t>
        </is>
      </c>
      <c r="G1" s="1" t="inlineStr">
        <is>
          <t>Principal Delayed</t>
        </is>
      </c>
      <c r="H1" s="1" t="inlineStr">
        <is>
          <t>Interest From</t>
        </is>
      </c>
      <c r="I1" s="1" t="inlineStr">
        <is>
          <t>Interest To</t>
        </is>
      </c>
      <c r="J1" s="1" t="inlineStr">
        <is>
          <t>Days</t>
        </is>
      </c>
      <c r="K1" s="1" t="inlineStr">
        <is>
          <t>Still Outstanding</t>
        </is>
      </c>
      <c r="L1" s="1" t="inlineStr">
        <is>
          <t>Status</t>
        </is>
      </c>
      <c r="M1" s="1" t="inlineStr">
        <is>
          <t>Interest Payable</t>
        </is>
      </c>
    </row>
    <row r="2">
      <c r="A2" s="2" t="inlineStr">
        <is>
          <t>Sri Lakshmi Plastics</t>
        </is>
      </c>
      <c r="B2" s="2" t="inlineStr">
        <is>
          <t>INV-0003</t>
        </is>
      </c>
      <c r="C2" s="2" t="inlineStr">
        <is>
          <t>Pune</t>
        </is>
      </c>
      <c r="D2" s="9" t="n">
        <v>46046</v>
      </c>
      <c r="E2" s="9" t="n">
        <v>46076</v>
      </c>
      <c r="F2" s="3" t="n">
        <v>149000</v>
      </c>
      <c r="G2" s="3" t="n">
        <v>149000</v>
      </c>
      <c r="H2" s="9" t="n">
        <v>46077</v>
      </c>
      <c r="I2" s="9" t="n">
        <v>46089</v>
      </c>
      <c r="J2" s="2" t="n">
        <v>13</v>
      </c>
      <c r="K2" s="3" t="n">
        <v>0</v>
      </c>
      <c r="L2" s="10" t="inlineStr">
        <is>
          <t>Paid late</t>
        </is>
      </c>
      <c r="M2" s="3" t="n">
        <v>876.85</v>
      </c>
    </row>
    <row r="3">
      <c r="A3" s="4" t="inlineStr">
        <is>
          <t>Sri Lakshmi Plastics</t>
        </is>
      </c>
      <c r="B3" s="4" t="inlineStr">
        <is>
          <t>INV-0004</t>
        </is>
      </c>
      <c r="C3" s="4" t="inlineStr">
        <is>
          <t>Cochin</t>
        </is>
      </c>
      <c r="D3" s="11" t="n">
        <v>46126</v>
      </c>
      <c r="E3" s="11" t="n">
        <v>46156</v>
      </c>
      <c r="F3" s="5" t="n">
        <v>213000</v>
      </c>
      <c r="G3" s="5" t="n">
        <v>213000</v>
      </c>
      <c r="H3" s="11" t="n">
        <v>46157</v>
      </c>
      <c r="I3" s="11" t="n">
        <v>46295</v>
      </c>
      <c r="J3" s="4" t="n">
        <v>139</v>
      </c>
      <c r="K3" s="5" t="n">
        <v>213000</v>
      </c>
      <c r="L3" s="12" t="inlineStr">
        <is>
          <t>Open</t>
        </is>
      </c>
      <c r="M3" s="5" t="n">
        <v>13721.31</v>
      </c>
    </row>
    <row r="4">
      <c r="A4" s="2" t="inlineStr">
        <is>
          <t>Sri Lakshmi Plastics</t>
        </is>
      </c>
      <c r="B4" s="2" t="inlineStr">
        <is>
          <t>INV-0005</t>
        </is>
      </c>
      <c r="C4" s="2" t="inlineStr">
        <is>
          <t>Chennai</t>
        </is>
      </c>
      <c r="D4" s="9" t="n">
        <v>46167</v>
      </c>
      <c r="E4" s="9" t="n">
        <v>46197</v>
      </c>
      <c r="F4" s="3" t="n">
        <v>197000</v>
      </c>
      <c r="G4" s="3" t="n">
        <v>118200</v>
      </c>
      <c r="H4" s="9" t="n">
        <v>46198</v>
      </c>
      <c r="I4" s="9" t="n">
        <v>46295</v>
      </c>
      <c r="J4" s="2" t="n">
        <v>98</v>
      </c>
      <c r="K4" s="3" t="n">
        <v>118200</v>
      </c>
      <c r="L4" s="12" t="inlineStr">
        <is>
          <t>Open</t>
        </is>
      </c>
      <c r="M4" s="3" t="n">
        <v>5318.4</v>
      </c>
    </row>
    <row r="5">
      <c r="A5" s="4" t="inlineStr">
        <is>
          <t>Sri Lakshmi Plastics</t>
        </is>
      </c>
      <c r="B5" s="4" t="inlineStr">
        <is>
          <t>INV-0006</t>
        </is>
      </c>
      <c r="C5" s="4" t="inlineStr">
        <is>
          <t>Cochin</t>
        </is>
      </c>
      <c r="D5" s="11" t="n">
        <v>45947</v>
      </c>
      <c r="E5" s="11" t="n">
        <v>45977</v>
      </c>
      <c r="F5" s="5" t="n">
        <v>73000</v>
      </c>
      <c r="G5" s="5" t="n">
        <v>73000</v>
      </c>
      <c r="H5" s="11" t="n">
        <v>45978</v>
      </c>
      <c r="I5" s="11" t="n">
        <v>46295</v>
      </c>
      <c r="J5" s="4" t="n">
        <v>318</v>
      </c>
      <c r="K5" s="5" t="n">
        <v>73000</v>
      </c>
      <c r="L5" s="12" t="inlineStr">
        <is>
          <t>Open</t>
        </is>
      </c>
      <c r="M5" s="5" t="n">
        <v>11236.07</v>
      </c>
    </row>
    <row r="6">
      <c r="A6" s="2" t="inlineStr">
        <is>
          <t>Sri Lakshmi Plastics</t>
        </is>
      </c>
      <c r="B6" s="2" t="inlineStr">
        <is>
          <t>INV-0007</t>
        </is>
      </c>
      <c r="C6" s="2" t="inlineStr">
        <is>
          <t>Pune</t>
        </is>
      </c>
      <c r="D6" s="9" t="n">
        <v>46243</v>
      </c>
      <c r="E6" s="9" t="n">
        <v>46273</v>
      </c>
      <c r="F6" s="3" t="n">
        <v>259000</v>
      </c>
      <c r="G6" s="3" t="n">
        <v>259000</v>
      </c>
      <c r="H6" s="9" t="n">
        <v>46274</v>
      </c>
      <c r="I6" s="9" t="n">
        <v>46287</v>
      </c>
      <c r="J6" s="2" t="n">
        <v>14</v>
      </c>
      <c r="K6" s="3" t="n">
        <v>0</v>
      </c>
      <c r="L6" s="10" t="inlineStr">
        <is>
          <t>Paid late</t>
        </is>
      </c>
      <c r="M6" s="3" t="n">
        <v>1639.15</v>
      </c>
    </row>
    <row r="7">
      <c r="A7" s="4" t="inlineStr">
        <is>
          <t>Sri Lakshmi Plastics</t>
        </is>
      </c>
      <c r="B7" s="4" t="inlineStr">
        <is>
          <t>INV-0008</t>
        </is>
      </c>
      <c r="C7" s="4" t="inlineStr">
        <is>
          <t>Chennai</t>
        </is>
      </c>
      <c r="D7" s="11" t="n">
        <v>45971</v>
      </c>
      <c r="E7" s="11" t="n">
        <v>46001</v>
      </c>
      <c r="F7" s="5" t="n">
        <v>93000</v>
      </c>
      <c r="G7" s="5" t="n">
        <v>93000</v>
      </c>
      <c r="H7" s="11" t="n">
        <v>46002</v>
      </c>
      <c r="I7" s="11" t="n">
        <v>46011</v>
      </c>
      <c r="J7" s="4" t="n">
        <v>10</v>
      </c>
      <c r="K7" s="5" t="n">
        <v>0</v>
      </c>
      <c r="L7" s="10" t="inlineStr">
        <is>
          <t>Paid late</t>
        </is>
      </c>
      <c r="M7" s="5" t="n">
        <v>420.41</v>
      </c>
    </row>
    <row r="8">
      <c r="A8" s="2" t="inlineStr">
        <is>
          <t>Sri Lakshmi Plastics</t>
        </is>
      </c>
      <c r="B8" s="2" t="inlineStr">
        <is>
          <t>INV-0009</t>
        </is>
      </c>
      <c r="C8" s="2" t="inlineStr">
        <is>
          <t>Chennai</t>
        </is>
      </c>
      <c r="D8" s="9" t="n">
        <v>45932</v>
      </c>
      <c r="E8" s="9" t="n">
        <v>45962</v>
      </c>
      <c r="F8" s="3" t="n">
        <v>272000</v>
      </c>
      <c r="G8" s="3" t="n">
        <v>272000</v>
      </c>
      <c r="H8" s="9" t="n">
        <v>45963</v>
      </c>
      <c r="I8" s="9" t="n">
        <v>46295</v>
      </c>
      <c r="J8" s="2" t="n">
        <v>333</v>
      </c>
      <c r="K8" s="3" t="n">
        <v>272000</v>
      </c>
      <c r="L8" s="12" t="inlineStr">
        <is>
          <t>Open</t>
        </is>
      </c>
      <c r="M8" s="3" t="n">
        <v>44076.3</v>
      </c>
    </row>
    <row r="9">
      <c r="A9" s="4" t="inlineStr">
        <is>
          <t>Sri Lakshmi Plastics</t>
        </is>
      </c>
      <c r="B9" s="4" t="inlineStr">
        <is>
          <t>INV-0010</t>
        </is>
      </c>
      <c r="C9" s="4" t="inlineStr">
        <is>
          <t>Cochin</t>
        </is>
      </c>
      <c r="D9" s="11" t="n">
        <v>46004</v>
      </c>
      <c r="E9" s="11" t="n">
        <v>46034</v>
      </c>
      <c r="F9" s="5" t="n">
        <v>213000</v>
      </c>
      <c r="G9" s="5" t="n">
        <v>213000</v>
      </c>
      <c r="H9" s="11" t="n">
        <v>46035</v>
      </c>
      <c r="I9" s="11" t="n">
        <v>46295</v>
      </c>
      <c r="J9" s="4" t="n">
        <v>261</v>
      </c>
      <c r="K9" s="5" t="n">
        <v>213000</v>
      </c>
      <c r="L9" s="12" t="inlineStr">
        <is>
          <t>Open</t>
        </is>
      </c>
      <c r="M9" s="5" t="n">
        <v>26487.16</v>
      </c>
    </row>
    <row r="10">
      <c r="A10" s="2" t="inlineStr">
        <is>
          <t>Sri Lakshmi Plastics</t>
        </is>
      </c>
      <c r="B10" s="2" t="inlineStr">
        <is>
          <t>INV-0011</t>
        </is>
      </c>
      <c r="C10" s="2" t="inlineStr">
        <is>
          <t>Cochin</t>
        </is>
      </c>
      <c r="D10" s="9" t="n">
        <v>46110</v>
      </c>
      <c r="E10" s="9" t="n">
        <v>46140</v>
      </c>
      <c r="F10" s="3" t="n">
        <v>54000</v>
      </c>
      <c r="G10" s="3" t="n">
        <v>54000</v>
      </c>
      <c r="H10" s="9" t="n">
        <v>46141</v>
      </c>
      <c r="I10" s="9" t="n">
        <v>46295</v>
      </c>
      <c r="J10" s="2" t="n">
        <v>155</v>
      </c>
      <c r="K10" s="3" t="n">
        <v>54000</v>
      </c>
      <c r="L10" s="12" t="inlineStr">
        <is>
          <t>Open</t>
        </is>
      </c>
      <c r="M10" s="3" t="n">
        <v>3891.93</v>
      </c>
    </row>
    <row r="11">
      <c r="A11" s="4" t="inlineStr">
        <is>
          <t>Sri Lakshmi Plastics</t>
        </is>
      </c>
      <c r="B11" s="4" t="inlineStr">
        <is>
          <t>INV-0012</t>
        </is>
      </c>
      <c r="C11" s="4" t="inlineStr">
        <is>
          <t>Pune</t>
        </is>
      </c>
      <c r="D11" s="11" t="n">
        <v>46123</v>
      </c>
      <c r="E11" s="11" t="n">
        <v>46153</v>
      </c>
      <c r="F11" s="5" t="n">
        <v>280000</v>
      </c>
      <c r="G11" s="5" t="n">
        <v>280000</v>
      </c>
      <c r="H11" s="11" t="n">
        <v>46154</v>
      </c>
      <c r="I11" s="11" t="n">
        <v>46179</v>
      </c>
      <c r="J11" s="4" t="n">
        <v>26</v>
      </c>
      <c r="K11" s="5" t="n">
        <v>0</v>
      </c>
      <c r="L11" s="10" t="inlineStr">
        <is>
          <t>Paid late</t>
        </is>
      </c>
      <c r="M11" s="5" t="n">
        <v>3297.83</v>
      </c>
    </row>
    <row r="12">
      <c r="A12" s="2" t="inlineStr">
        <is>
          <t>Sri Lakshmi Plastics</t>
        </is>
      </c>
      <c r="B12" s="2" t="inlineStr">
        <is>
          <t>INV-0013</t>
        </is>
      </c>
      <c r="C12" s="2" t="inlineStr">
        <is>
          <t>Pune</t>
        </is>
      </c>
      <c r="D12" s="9" t="n">
        <v>46079</v>
      </c>
      <c r="E12" s="9" t="n">
        <v>46109</v>
      </c>
      <c r="F12" s="3" t="n">
        <v>105000</v>
      </c>
      <c r="G12" s="3" t="n">
        <v>105000</v>
      </c>
      <c r="H12" s="9" t="n">
        <v>46110</v>
      </c>
      <c r="I12" s="9" t="n">
        <v>46295</v>
      </c>
      <c r="J12" s="2" t="n">
        <v>186</v>
      </c>
      <c r="K12" s="3" t="n">
        <v>105000</v>
      </c>
      <c r="L12" s="12" t="inlineStr">
        <is>
          <t>Open</t>
        </is>
      </c>
      <c r="M12" s="3" t="n">
        <v>9145.780000000001</v>
      </c>
    </row>
    <row r="13">
      <c r="A13" s="4" t="inlineStr">
        <is>
          <t>Kaveri Packaging</t>
        </is>
      </c>
      <c r="B13" s="4" t="inlineStr">
        <is>
          <t>INV-0014</t>
        </is>
      </c>
      <c r="C13" s="4" t="inlineStr">
        <is>
          <t>Cochin</t>
        </is>
      </c>
      <c r="D13" s="11" t="n">
        <v>46082</v>
      </c>
      <c r="E13" s="11" t="n">
        <v>46097</v>
      </c>
      <c r="F13" s="5" t="n">
        <v>244000</v>
      </c>
      <c r="G13" s="5" t="n">
        <v>244000</v>
      </c>
      <c r="H13" s="11" t="n">
        <v>46098</v>
      </c>
      <c r="I13" s="11" t="n">
        <v>46295</v>
      </c>
      <c r="J13" s="4" t="n">
        <v>198</v>
      </c>
      <c r="K13" s="5" t="n">
        <v>146400</v>
      </c>
      <c r="L13" s="12" t="inlineStr">
        <is>
          <t>Open</t>
        </is>
      </c>
      <c r="M13" s="5" t="n">
        <v>15088.6</v>
      </c>
    </row>
    <row r="14">
      <c r="A14" s="2" t="inlineStr">
        <is>
          <t>Kaveri Packaging</t>
        </is>
      </c>
      <c r="B14" s="2" t="inlineStr">
        <is>
          <t>INV-0015</t>
        </is>
      </c>
      <c r="C14" s="2" t="inlineStr">
        <is>
          <t>Chennai</t>
        </is>
      </c>
      <c r="D14" s="9" t="n">
        <v>45988</v>
      </c>
      <c r="E14" s="9" t="n">
        <v>46003</v>
      </c>
      <c r="F14" s="3" t="n">
        <v>156000</v>
      </c>
      <c r="G14" s="3" t="n">
        <v>156000</v>
      </c>
      <c r="H14" s="9" t="n">
        <v>46004</v>
      </c>
      <c r="I14" s="9" t="n">
        <v>46026</v>
      </c>
      <c r="J14" s="2" t="n">
        <v>23</v>
      </c>
      <c r="K14" s="3" t="n">
        <v>0</v>
      </c>
      <c r="L14" s="10" t="inlineStr">
        <is>
          <t>Paid late</t>
        </is>
      </c>
      <c r="M14" s="3" t="n">
        <v>1624.4</v>
      </c>
    </row>
    <row r="15">
      <c r="A15" s="4" t="inlineStr">
        <is>
          <t>Kaveri Packaging</t>
        </is>
      </c>
      <c r="B15" s="4" t="inlineStr">
        <is>
          <t>INV-0017</t>
        </is>
      </c>
      <c r="C15" s="4" t="inlineStr">
        <is>
          <t>Hyderabad</t>
        </is>
      </c>
      <c r="D15" s="11" t="n">
        <v>45966</v>
      </c>
      <c r="E15" s="11" t="n">
        <v>45981</v>
      </c>
      <c r="F15" s="5" t="n">
        <v>271000</v>
      </c>
      <c r="G15" s="5" t="n">
        <v>271000</v>
      </c>
      <c r="H15" s="11" t="n">
        <v>45982</v>
      </c>
      <c r="I15" s="11" t="n">
        <v>46295</v>
      </c>
      <c r="J15" s="4" t="n">
        <v>314</v>
      </c>
      <c r="K15" s="5" t="n">
        <v>271000</v>
      </c>
      <c r="L15" s="12" t="inlineStr">
        <is>
          <t>Open</t>
        </is>
      </c>
      <c r="M15" s="5" t="n">
        <v>41124.73</v>
      </c>
    </row>
    <row r="16">
      <c r="A16" s="2" t="inlineStr">
        <is>
          <t>Kaveri Packaging</t>
        </is>
      </c>
      <c r="B16" s="2" t="inlineStr">
        <is>
          <t>INV-0018</t>
        </is>
      </c>
      <c r="C16" s="2" t="inlineStr">
        <is>
          <t>Hyderabad</t>
        </is>
      </c>
      <c r="D16" s="9" t="n">
        <v>46252</v>
      </c>
      <c r="E16" s="9" t="n">
        <v>46267</v>
      </c>
      <c r="F16" s="3" t="n">
        <v>250000</v>
      </c>
      <c r="G16" s="3" t="n">
        <v>250000</v>
      </c>
      <c r="H16" s="9" t="n">
        <v>46268</v>
      </c>
      <c r="I16" s="9" t="n">
        <v>46295</v>
      </c>
      <c r="J16" s="2" t="n">
        <v>28</v>
      </c>
      <c r="K16" s="3" t="n">
        <v>250000</v>
      </c>
      <c r="L16" s="12" t="inlineStr">
        <is>
          <t>Open</t>
        </is>
      </c>
      <c r="M16" s="3" t="n">
        <v>3164.38</v>
      </c>
    </row>
    <row r="17">
      <c r="A17" s="4" t="inlineStr">
        <is>
          <t>Kaveri Packaging</t>
        </is>
      </c>
      <c r="B17" s="4" t="inlineStr">
        <is>
          <t>INV-0019</t>
        </is>
      </c>
      <c r="C17" s="4" t="inlineStr">
        <is>
          <t>Cochin</t>
        </is>
      </c>
      <c r="D17" s="11" t="n">
        <v>46004</v>
      </c>
      <c r="E17" s="11" t="n">
        <v>46019</v>
      </c>
      <c r="F17" s="5" t="n">
        <v>113000</v>
      </c>
      <c r="G17" s="5" t="n">
        <v>113000</v>
      </c>
      <c r="H17" s="11" t="n">
        <v>46020</v>
      </c>
      <c r="I17" s="11" t="n">
        <v>46295</v>
      </c>
      <c r="J17" s="4" t="n">
        <v>276</v>
      </c>
      <c r="K17" s="5" t="n">
        <v>113000</v>
      </c>
      <c r="L17" s="12" t="inlineStr">
        <is>
          <t>Open</t>
        </is>
      </c>
      <c r="M17" s="5" t="n">
        <v>14908.45</v>
      </c>
    </row>
    <row r="18">
      <c r="A18" s="2" t="inlineStr">
        <is>
          <t>Kaveri Packaging</t>
        </is>
      </c>
      <c r="B18" s="2" t="inlineStr">
        <is>
          <t>INV-0021</t>
        </is>
      </c>
      <c r="C18" s="2" t="inlineStr">
        <is>
          <t>Hyderabad</t>
        </is>
      </c>
      <c r="D18" s="9" t="n">
        <v>46012</v>
      </c>
      <c r="E18" s="9" t="n">
        <v>46027</v>
      </c>
      <c r="F18" s="3" t="n">
        <v>111000</v>
      </c>
      <c r="G18" s="3" t="n">
        <v>111000</v>
      </c>
      <c r="H18" s="9" t="n">
        <v>46028</v>
      </c>
      <c r="I18" s="9" t="n">
        <v>46083</v>
      </c>
      <c r="J18" s="2" t="n">
        <v>56</v>
      </c>
      <c r="K18" s="3" t="n">
        <v>0</v>
      </c>
      <c r="L18" s="10" t="inlineStr">
        <is>
          <t>Paid late</t>
        </is>
      </c>
      <c r="M18" s="3" t="n">
        <v>2828.95</v>
      </c>
    </row>
    <row r="19">
      <c r="A19" s="4" t="inlineStr">
        <is>
          <t>Kaveri Packaging</t>
        </is>
      </c>
      <c r="B19" s="4" t="inlineStr">
        <is>
          <t>INV-0022</t>
        </is>
      </c>
      <c r="C19" s="4" t="inlineStr">
        <is>
          <t>Chennai</t>
        </is>
      </c>
      <c r="D19" s="11" t="n">
        <v>46113</v>
      </c>
      <c r="E19" s="11" t="n">
        <v>46128</v>
      </c>
      <c r="F19" s="5" t="n">
        <v>142000</v>
      </c>
      <c r="G19" s="5" t="n">
        <v>142000</v>
      </c>
      <c r="H19" s="11" t="n">
        <v>46129</v>
      </c>
      <c r="I19" s="11" t="n">
        <v>46178</v>
      </c>
      <c r="J19" s="4" t="n">
        <v>50</v>
      </c>
      <c r="K19" s="5" t="n">
        <v>0</v>
      </c>
      <c r="L19" s="10" t="inlineStr">
        <is>
          <t>Paid late</t>
        </is>
      </c>
      <c r="M19" s="5" t="n">
        <v>3228.74</v>
      </c>
    </row>
    <row r="20">
      <c r="A20" s="2" t="inlineStr">
        <is>
          <t>Kaveri Packaging</t>
        </is>
      </c>
      <c r="B20" s="2" t="inlineStr">
        <is>
          <t>INV-0023</t>
        </is>
      </c>
      <c r="C20" s="2" t="inlineStr">
        <is>
          <t>Cochin</t>
        </is>
      </c>
      <c r="D20" s="9" t="n">
        <v>45946</v>
      </c>
      <c r="E20" s="9" t="n">
        <v>45961</v>
      </c>
      <c r="F20" s="3" t="n">
        <v>178000</v>
      </c>
      <c r="G20" s="3" t="n">
        <v>178000</v>
      </c>
      <c r="H20" s="9" t="n">
        <v>45962</v>
      </c>
      <c r="I20" s="9" t="n">
        <v>45981</v>
      </c>
      <c r="J20" s="2" t="n">
        <v>20</v>
      </c>
      <c r="K20" s="3" t="n">
        <v>0</v>
      </c>
      <c r="L20" s="10" t="inlineStr">
        <is>
          <t>Paid late</t>
        </is>
      </c>
      <c r="M20" s="3" t="n">
        <v>1682.47</v>
      </c>
    </row>
    <row r="21">
      <c r="A21" s="4" t="inlineStr">
        <is>
          <t>Anand Die Casting</t>
        </is>
      </c>
      <c r="B21" s="4" t="inlineStr">
        <is>
          <t>INV-0050</t>
        </is>
      </c>
      <c r="C21" s="4" t="inlineStr">
        <is>
          <t>Hyderabad</t>
        </is>
      </c>
      <c r="D21" s="11" t="n">
        <v>46165</v>
      </c>
      <c r="E21" s="11" t="n">
        <v>46210</v>
      </c>
      <c r="F21" s="5" t="n">
        <v>192000</v>
      </c>
      <c r="G21" s="5" t="n">
        <v>192000</v>
      </c>
      <c r="H21" s="11" t="n">
        <v>46211</v>
      </c>
      <c r="I21" s="11" t="n">
        <v>46295</v>
      </c>
      <c r="J21" s="4" t="n">
        <v>85</v>
      </c>
      <c r="K21" s="5" t="n">
        <v>192000</v>
      </c>
      <c r="L21" s="12" t="inlineStr">
        <is>
          <t>Open</t>
        </is>
      </c>
      <c r="M21" s="5" t="n">
        <v>7471.86</v>
      </c>
    </row>
    <row r="22">
      <c r="A22" s="2" t="inlineStr">
        <is>
          <t>Anand Die Casting</t>
        </is>
      </c>
      <c r="B22" s="2" t="inlineStr">
        <is>
          <t>INV-0051</t>
        </is>
      </c>
      <c r="C22" s="2" t="inlineStr">
        <is>
          <t>Pune</t>
        </is>
      </c>
      <c r="D22" s="9" t="n">
        <v>46246</v>
      </c>
      <c r="E22" s="9" t="n">
        <v>46291</v>
      </c>
      <c r="F22" s="3" t="n">
        <v>157000</v>
      </c>
      <c r="G22" s="3" t="n">
        <v>157000</v>
      </c>
      <c r="H22" s="9" t="n">
        <v>46292</v>
      </c>
      <c r="I22" s="9" t="n">
        <v>46295</v>
      </c>
      <c r="J22" s="2" t="n">
        <v>4</v>
      </c>
      <c r="K22" s="3" t="n">
        <v>157000</v>
      </c>
      <c r="L22" s="12" t="inlineStr">
        <is>
          <t>Open</t>
        </is>
      </c>
      <c r="M22" s="3" t="n">
        <v>283.89</v>
      </c>
    </row>
    <row r="23">
      <c r="A23" s="4" t="inlineStr">
        <is>
          <t>Anand Die Casting</t>
        </is>
      </c>
      <c r="B23" s="4" t="inlineStr">
        <is>
          <t>INV-0053</t>
        </is>
      </c>
      <c r="C23" s="4" t="inlineStr">
        <is>
          <t>Hyderabad</t>
        </is>
      </c>
      <c r="D23" s="11" t="n">
        <v>46012</v>
      </c>
      <c r="E23" s="11" t="n">
        <v>46057</v>
      </c>
      <c r="F23" s="5" t="n">
        <v>260000</v>
      </c>
      <c r="G23" s="5" t="n">
        <v>260000</v>
      </c>
      <c r="H23" s="11" t="n">
        <v>46058</v>
      </c>
      <c r="I23" s="11" t="n">
        <v>46083</v>
      </c>
      <c r="J23" s="4" t="n">
        <v>26</v>
      </c>
      <c r="K23" s="5" t="n">
        <v>0</v>
      </c>
      <c r="L23" s="10" t="inlineStr">
        <is>
          <t>Paid late</t>
        </is>
      </c>
      <c r="M23" s="5" t="n">
        <v>3058.44</v>
      </c>
    </row>
    <row r="24">
      <c r="A24" s="2" t="inlineStr">
        <is>
          <t>Anand Die Casting</t>
        </is>
      </c>
      <c r="B24" s="2" t="inlineStr">
        <is>
          <t>INV-0057</t>
        </is>
      </c>
      <c r="C24" s="2" t="inlineStr">
        <is>
          <t>Pune</t>
        </is>
      </c>
      <c r="D24" s="9" t="n">
        <v>46217</v>
      </c>
      <c r="E24" s="9" t="n">
        <v>46262</v>
      </c>
      <c r="F24" s="3" t="n">
        <v>352000</v>
      </c>
      <c r="G24" s="3" t="n">
        <v>352000</v>
      </c>
      <c r="H24" s="9" t="n">
        <v>46263</v>
      </c>
      <c r="I24" s="9" t="n">
        <v>46295</v>
      </c>
      <c r="J24" s="2" t="n">
        <v>33</v>
      </c>
      <c r="K24" s="3" t="n">
        <v>352000</v>
      </c>
      <c r="L24" s="12" t="inlineStr">
        <is>
          <t>Open</t>
        </is>
      </c>
      <c r="M24" s="3" t="n">
        <v>5257.54</v>
      </c>
    </row>
    <row r="25">
      <c r="A25" s="4" t="inlineStr">
        <is>
          <t>Anand Die Casting</t>
        </is>
      </c>
      <c r="B25" s="4" t="inlineStr">
        <is>
          <t>INV-0059</t>
        </is>
      </c>
      <c r="C25" s="4" t="inlineStr">
        <is>
          <t>Hyderabad</t>
        </is>
      </c>
      <c r="D25" s="11" t="n">
        <v>46209</v>
      </c>
      <c r="E25" s="11" t="n">
        <v>46254</v>
      </c>
      <c r="F25" s="5" t="n">
        <v>122000</v>
      </c>
      <c r="G25" s="5" t="n">
        <v>73200</v>
      </c>
      <c r="H25" s="11" t="n">
        <v>46255</v>
      </c>
      <c r="I25" s="11" t="n">
        <v>46295</v>
      </c>
      <c r="J25" s="4" t="n">
        <v>41</v>
      </c>
      <c r="K25" s="5" t="n">
        <v>73200</v>
      </c>
      <c r="L25" s="12" t="inlineStr">
        <is>
          <t>Open</t>
        </is>
      </c>
      <c r="M25" s="5" t="n">
        <v>1361.64</v>
      </c>
    </row>
    <row r="26">
      <c r="A26" s="2" t="inlineStr">
        <is>
          <t>Anand Die Casting</t>
        </is>
      </c>
      <c r="B26" s="2" t="inlineStr">
        <is>
          <t>INV-0060</t>
        </is>
      </c>
      <c r="C26" s="2" t="inlineStr">
        <is>
          <t>Pune</t>
        </is>
      </c>
      <c r="D26" s="9" t="n">
        <v>45942</v>
      </c>
      <c r="E26" s="9" t="n">
        <v>45987</v>
      </c>
      <c r="F26" s="3" t="n">
        <v>185000</v>
      </c>
      <c r="G26" s="3" t="n">
        <v>185000</v>
      </c>
      <c r="H26" s="9" t="n">
        <v>45988</v>
      </c>
      <c r="I26" s="9" t="n">
        <v>46295</v>
      </c>
      <c r="J26" s="2" t="n">
        <v>308</v>
      </c>
      <c r="K26" s="3" t="n">
        <v>185000</v>
      </c>
      <c r="L26" s="12" t="inlineStr">
        <is>
          <t>Open</t>
        </is>
      </c>
      <c r="M26" s="3" t="n">
        <v>27472.72</v>
      </c>
    </row>
    <row r="27">
      <c r="A27" s="4" t="inlineStr">
        <is>
          <t>Surya Cartons</t>
        </is>
      </c>
      <c r="B27" s="4" t="inlineStr">
        <is>
          <t>INV-0061</t>
        </is>
      </c>
      <c r="C27" s="4" t="inlineStr">
        <is>
          <t>Cochin</t>
        </is>
      </c>
      <c r="D27" s="11" t="n">
        <v>45970</v>
      </c>
      <c r="E27" s="11" t="n">
        <v>46015</v>
      </c>
      <c r="F27" s="5" t="n">
        <v>271000</v>
      </c>
      <c r="G27" s="5" t="n">
        <v>162600</v>
      </c>
      <c r="H27" s="11" t="n">
        <v>46016</v>
      </c>
      <c r="I27" s="11" t="n">
        <v>46295</v>
      </c>
      <c r="J27" s="4" t="n">
        <v>280</v>
      </c>
      <c r="K27" s="5" t="n">
        <v>162600</v>
      </c>
      <c r="L27" s="12" t="inlineStr">
        <is>
          <t>Open</t>
        </is>
      </c>
      <c r="M27" s="5" t="n">
        <v>21784.69</v>
      </c>
    </row>
    <row r="28">
      <c r="A28" s="2" t="inlineStr">
        <is>
          <t>Surya Cartons</t>
        </is>
      </c>
      <c r="B28" s="2" t="inlineStr">
        <is>
          <t>INV-0062</t>
        </is>
      </c>
      <c r="C28" s="2" t="inlineStr">
        <is>
          <t>Hyderabad</t>
        </is>
      </c>
      <c r="D28" s="9" t="n">
        <v>46206</v>
      </c>
      <c r="E28" s="9" t="n">
        <v>46251</v>
      </c>
      <c r="F28" s="3" t="n">
        <v>44000</v>
      </c>
      <c r="G28" s="3" t="n">
        <v>44000</v>
      </c>
      <c r="H28" s="9" t="n">
        <v>46252</v>
      </c>
      <c r="I28" s="9" t="n">
        <v>46269</v>
      </c>
      <c r="J28" s="2" t="n">
        <v>18</v>
      </c>
      <c r="K28" s="3" t="n">
        <v>0</v>
      </c>
      <c r="L28" s="10" t="inlineStr">
        <is>
          <t>Paid late</t>
        </is>
      </c>
      <c r="M28" s="3" t="n">
        <v>358.53</v>
      </c>
    </row>
    <row r="29">
      <c r="A29" s="4" t="inlineStr">
        <is>
          <t>Surya Cartons</t>
        </is>
      </c>
      <c r="B29" s="4" t="inlineStr">
        <is>
          <t>INV-0063</t>
        </is>
      </c>
      <c r="C29" s="4" t="inlineStr">
        <is>
          <t>Hyderabad</t>
        </is>
      </c>
      <c r="D29" s="11" t="n">
        <v>46218</v>
      </c>
      <c r="E29" s="11" t="n">
        <v>46263</v>
      </c>
      <c r="F29" s="5" t="n">
        <v>223000</v>
      </c>
      <c r="G29" s="5" t="n">
        <v>223000</v>
      </c>
      <c r="H29" s="11" t="n">
        <v>46264</v>
      </c>
      <c r="I29" s="11" t="n">
        <v>46287</v>
      </c>
      <c r="J29" s="4" t="n">
        <v>24</v>
      </c>
      <c r="K29" s="5" t="n">
        <v>0</v>
      </c>
      <c r="L29" s="10" t="inlineStr">
        <is>
          <t>Paid late</t>
        </is>
      </c>
      <c r="M29" s="5" t="n">
        <v>2421.4</v>
      </c>
    </row>
    <row r="30">
      <c r="A30" s="2" t="inlineStr">
        <is>
          <t>Surya Cartons</t>
        </is>
      </c>
      <c r="B30" s="2" t="inlineStr">
        <is>
          <t>INV-0064</t>
        </is>
      </c>
      <c r="C30" s="2" t="inlineStr">
        <is>
          <t>Pune</t>
        </is>
      </c>
      <c r="D30" s="9" t="n">
        <v>46004</v>
      </c>
      <c r="E30" s="9" t="n">
        <v>46049</v>
      </c>
      <c r="F30" s="3" t="n">
        <v>191000</v>
      </c>
      <c r="G30" s="3" t="n">
        <v>191000</v>
      </c>
      <c r="H30" s="9" t="n">
        <v>46050</v>
      </c>
      <c r="I30" s="9" t="n">
        <v>46295</v>
      </c>
      <c r="J30" s="2" t="n">
        <v>246</v>
      </c>
      <c r="K30" s="3" t="n">
        <v>191000</v>
      </c>
      <c r="L30" s="12" t="inlineStr">
        <is>
          <t>Open</t>
        </is>
      </c>
      <c r="M30" s="3" t="n">
        <v>22307.61</v>
      </c>
    </row>
    <row r="31">
      <c r="A31" s="4" t="inlineStr">
        <is>
          <t>Surya Cartons</t>
        </is>
      </c>
      <c r="B31" s="4" t="inlineStr">
        <is>
          <t>INV-0066</t>
        </is>
      </c>
      <c r="C31" s="4" t="inlineStr">
        <is>
          <t>Hyderabad</t>
        </is>
      </c>
      <c r="D31" s="11" t="n">
        <v>46009</v>
      </c>
      <c r="E31" s="11" t="n">
        <v>46054</v>
      </c>
      <c r="F31" s="5" t="n">
        <v>90000</v>
      </c>
      <c r="G31" s="5" t="n">
        <v>90000</v>
      </c>
      <c r="H31" s="11" t="n">
        <v>46055</v>
      </c>
      <c r="I31" s="11" t="n">
        <v>46295</v>
      </c>
      <c r="J31" s="4" t="n">
        <v>241</v>
      </c>
      <c r="K31" s="5" t="n">
        <v>90000</v>
      </c>
      <c r="L31" s="12" t="inlineStr">
        <is>
          <t>Open</t>
        </is>
      </c>
      <c r="M31" s="5" t="n">
        <v>10285.23</v>
      </c>
    </row>
    <row r="32">
      <c r="A32" s="2" t="inlineStr">
        <is>
          <t>Surya Cartons</t>
        </is>
      </c>
      <c r="B32" s="2" t="inlineStr">
        <is>
          <t>INV-0068</t>
        </is>
      </c>
      <c r="C32" s="2" t="inlineStr">
        <is>
          <t>Hyderabad</t>
        </is>
      </c>
      <c r="D32" s="9" t="n">
        <v>46095</v>
      </c>
      <c r="E32" s="9" t="n">
        <v>46140</v>
      </c>
      <c r="F32" s="3" t="n">
        <v>226000</v>
      </c>
      <c r="G32" s="3" t="n">
        <v>226000</v>
      </c>
      <c r="H32" s="9" t="n">
        <v>46141</v>
      </c>
      <c r="I32" s="9" t="n">
        <v>46295</v>
      </c>
      <c r="J32" s="2" t="n">
        <v>155</v>
      </c>
      <c r="K32" s="3" t="n">
        <v>226000</v>
      </c>
      <c r="L32" s="12" t="inlineStr">
        <is>
          <t>Open</t>
        </is>
      </c>
      <c r="M32" s="3" t="n">
        <v>16288.45</v>
      </c>
    </row>
    <row r="33">
      <c r="A33" s="4" t="inlineStr">
        <is>
          <t>Surya Cartons</t>
        </is>
      </c>
      <c r="B33" s="4" t="inlineStr">
        <is>
          <t>INV-0069</t>
        </is>
      </c>
      <c r="C33" s="4" t="inlineStr">
        <is>
          <t>Pune</t>
        </is>
      </c>
      <c r="D33" s="11" t="n">
        <v>46141</v>
      </c>
      <c r="E33" s="11" t="n">
        <v>46186</v>
      </c>
      <c r="F33" s="5" t="n">
        <v>312000</v>
      </c>
      <c r="G33" s="5" t="n">
        <v>312000</v>
      </c>
      <c r="H33" s="11" t="n">
        <v>46187</v>
      </c>
      <c r="I33" s="11" t="n">
        <v>46213</v>
      </c>
      <c r="J33" s="4" t="n">
        <v>27</v>
      </c>
      <c r="K33" s="5" t="n">
        <v>0</v>
      </c>
      <c r="L33" s="10" t="inlineStr">
        <is>
          <t>Paid late</t>
        </is>
      </c>
      <c r="M33" s="5" t="n">
        <v>3818.95</v>
      </c>
    </row>
    <row r="34">
      <c r="A34" s="2" t="inlineStr">
        <is>
          <t>Surya Cartons</t>
        </is>
      </c>
      <c r="B34" s="2" t="inlineStr">
        <is>
          <t>INV-0070</t>
        </is>
      </c>
      <c r="C34" s="2" t="inlineStr">
        <is>
          <t>Chennai</t>
        </is>
      </c>
      <c r="D34" s="9" t="n">
        <v>45943</v>
      </c>
      <c r="E34" s="9" t="n">
        <v>45988</v>
      </c>
      <c r="F34" s="3" t="n">
        <v>308000</v>
      </c>
      <c r="G34" s="3" t="n">
        <v>308000</v>
      </c>
      <c r="H34" s="9" t="n">
        <v>45989</v>
      </c>
      <c r="I34" s="9" t="n">
        <v>46295</v>
      </c>
      <c r="J34" s="2" t="n">
        <v>307</v>
      </c>
      <c r="K34" s="3" t="n">
        <v>308000</v>
      </c>
      <c r="L34" s="12" t="inlineStr">
        <is>
          <t>Open</t>
        </is>
      </c>
      <c r="M34" s="3" t="n">
        <v>45571.51</v>
      </c>
    </row>
    <row r="35">
      <c r="A35" s="6" t="inlineStr">
        <is>
          <t>Total</t>
        </is>
      </c>
      <c r="B35" s="6" t="n"/>
      <c r="C35" s="6" t="n"/>
      <c r="D35" s="6" t="n"/>
      <c r="E35" s="6" t="n"/>
      <c r="F35" s="8">
        <f>SUBTOTAL(9,F2:F34)</f>
        <v/>
      </c>
      <c r="G35" s="8">
        <f>SUBTOTAL(9,G2:G34)</f>
        <v/>
      </c>
      <c r="H35" s="6" t="n"/>
      <c r="I35" s="6" t="n"/>
      <c r="J35" s="6" t="n"/>
      <c r="K35" s="8">
        <f>SUBTOTAL(9,K2:K34)</f>
        <v/>
      </c>
      <c r="L35" s="6" t="n"/>
      <c r="M35" s="8">
        <f>SUBTOTAL(9,M2:M34)</f>
        <v/>
      </c>
    </row>
  </sheetData>
  <autoFilter ref="A1:M3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2.45" customWidth="1" min="2" max="2"/>
  </cols>
  <sheetData>
    <row r="1" ht="32" customHeight="1">
      <c r="A1" s="1" t="inlineStr">
        <is>
          <t>Effective From</t>
        </is>
      </c>
      <c r="B1" s="1" t="inlineStr">
        <is>
          <t>Bank Rate %</t>
        </is>
      </c>
    </row>
    <row r="2">
      <c r="A2" s="9" t="n">
        <v>44685</v>
      </c>
      <c r="B2" s="2" t="n">
        <v>4.65</v>
      </c>
    </row>
    <row r="3">
      <c r="A3" s="11" t="n">
        <v>44720</v>
      </c>
      <c r="B3" s="4" t="n">
        <v>5.15</v>
      </c>
    </row>
    <row r="4">
      <c r="A4" s="9" t="n">
        <v>44778</v>
      </c>
      <c r="B4" s="2" t="n">
        <v>5.65</v>
      </c>
    </row>
    <row r="5">
      <c r="A5" s="11" t="n">
        <v>44834</v>
      </c>
      <c r="B5" s="4" t="n">
        <v>6.15</v>
      </c>
    </row>
    <row r="6">
      <c r="A6" s="9" t="n">
        <v>44902</v>
      </c>
      <c r="B6" s="2" t="n">
        <v>6.5</v>
      </c>
    </row>
    <row r="7">
      <c r="A7" s="11" t="n">
        <v>44965</v>
      </c>
      <c r="B7" s="4" t="n">
        <v>6.75</v>
      </c>
    </row>
    <row r="8">
      <c r="A8" s="9" t="n">
        <v>45695</v>
      </c>
      <c r="B8" s="2" t="n">
        <v>6.5</v>
      </c>
    </row>
    <row r="9">
      <c r="A9" s="11" t="n">
        <v>45756</v>
      </c>
      <c r="B9" s="4" t="n">
        <v>6.25</v>
      </c>
    </row>
    <row r="10">
      <c r="A10" s="9" t="n">
        <v>45814</v>
      </c>
      <c r="B10" s="2" t="n">
        <v>5.75</v>
      </c>
    </row>
    <row r="11">
      <c r="A11" s="11" t="n">
        <v>45996</v>
      </c>
      <c r="B11" s="4" t="n">
        <v>5.5</v>
      </c>
    </row>
    <row r="12">
      <c r="A12" s="9" t="n">
        <v>46302</v>
      </c>
      <c r="B12" s="2" t="n">
        <v>5.75</v>
      </c>
    </row>
  </sheetData>
  <autoFilter ref="A1:B1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2026-10-24T14:43:53Z</dcterms:created>
  <dcterms:modified xmlns:dcterms="http://purl.org/dc/terms/" xmlns:xsi="http://www.w3.org/2001/XMLSchema-instance" xsi:type="dcterms:W3CDTF">2026-10-24T14:43:53Z</dcterms:modified>
</cp:coreProperties>
</file>