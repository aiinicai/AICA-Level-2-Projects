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llowed" sheetId="1" state="visible" r:id="rId1"/>
    <sheet xmlns:r="http://schemas.openxmlformats.org/officeDocument/2006/relationships" name="Not yet due" sheetId="2" state="visible" r:id="rId2"/>
    <sheet xmlns:r="http://schemas.openxmlformats.org/officeDocument/2006/relationships" name="Prior-yr reversal" sheetId="3" state="visible" r:id="rId3"/>
    <sheet xmlns:r="http://schemas.openxmlformats.org/officeDocument/2006/relationships" name="Paid late in FY" sheetId="4" state="visible" r:id="rId4"/>
  </sheets>
  <definedNames>
    <definedName name="_xlnm._FilterDatabase" localSheetId="0" hidden="1">'Disallowed'!$A$1:$T$13</definedName>
    <definedName name="_xlnm.Print_Titles" localSheetId="0">'Disallowed'!$1:$1</definedName>
    <definedName name="_xlnm._FilterDatabase" localSheetId="1" hidden="1">'Not yet due'!$A$1:$T$4</definedName>
    <definedName name="_xlnm.Print_Titles" localSheetId="1">'Not yet due'!$1:$1</definedName>
    <definedName name="_xlnm._FilterDatabase" localSheetId="2" hidden="1">'Prior-yr reversal'!$A$1:$U$1</definedName>
    <definedName name="_xlnm.Print_Titles" localSheetId="2">'Prior-yr reversal'!$1:$1</definedName>
    <definedName name="_xlnm._FilterDatabase" localSheetId="3" hidden="1">'Paid late in FY'!$A$1:$T$7</definedName>
    <definedName name="_xlnm.Print_Titles" localSheetId="3">'Paid late in FY'!$1:$1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-YYYY"/>
    <numFmt numFmtId="167" formatCode="[&gt;=10000000]##\,##\,##\,##0.00;[&gt;=100000]##\,##\,##0.00;#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  <font>
      <b val="1"/>
      <color rgb="001F4E78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2F7FC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/>
    </xf>
    <xf numFmtId="167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pivotButton="0" quotePrefix="0" xfId="0"/>
    <xf numFmtId="166" fontId="0" fillId="4" borderId="1" applyAlignment="1" pivotButton="0" quotePrefix="0" xfId="0">
      <alignment horizontal="center"/>
    </xf>
    <xf numFmtId="167" fontId="0" fillId="4" borderId="1" pivotButton="0" quotePrefix="0" xfId="0"/>
    <xf numFmtId="0" fontId="3" fillId="5" borderId="2" pivotButton="0" quotePrefix="0" xfId="0"/>
    <xf numFmtId="167" fontId="3" fillId="5" borderId="2" pivotButton="0" quotePrefix="0" xfId="0"/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1" customWidth="1" min="5" max="5"/>
    <col width="12" customWidth="1" min="6" max="6"/>
    <col width="12.45" customWidth="1" min="7" max="7"/>
    <col width="13.4" customWidth="1" min="8" max="8"/>
    <col width="12" customWidth="1" min="9" max="9"/>
    <col width="14" customWidth="1" min="10" max="10"/>
    <col width="13" customWidth="1" min="11" max="11"/>
    <col width="13.4" customWidth="1" min="12" max="12"/>
    <col width="10.55" customWidth="1" min="13" max="13"/>
    <col width="14" customWidth="1" min="14" max="14"/>
    <col width="18.15" customWidth="1" min="15" max="15"/>
    <col width="13.4" customWidth="1" min="16" max="16"/>
    <col width="10" customWidth="1" min="17" max="17"/>
    <col width="12" customWidth="1" min="18" max="18"/>
    <col width="12" customWidth="1" min="19" max="19"/>
    <col width="21" customWidth="1" min="20" max="20"/>
  </cols>
  <sheetData>
    <row r="1" ht="32" customHeight="1">
      <c r="A1" s="1" t="inlineStr">
        <is>
          <t>Bill No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Covered</t>
        </is>
      </c>
      <c r="E1" s="1" t="inlineStr">
        <is>
          <t>Branch</t>
        </is>
      </c>
      <c r="F1" s="1" t="inlineStr">
        <is>
          <t>Bill Date</t>
        </is>
      </c>
      <c r="G1" s="1" t="inlineStr">
        <is>
          <t>Accepted On</t>
        </is>
      </c>
      <c r="H1" s="1" t="inlineStr">
        <is>
          <t>Days Allowed</t>
        </is>
      </c>
      <c r="I1" s="1" t="inlineStr">
        <is>
          <t>Due Date</t>
        </is>
      </c>
      <c r="J1" s="1" t="inlineStr">
        <is>
          <t>Bill Amount</t>
        </is>
      </c>
      <c r="K1" s="1" t="inlineStr">
        <is>
          <t>Paid</t>
        </is>
      </c>
      <c r="L1" s="1" t="inlineStr">
        <is>
          <t>Paid On Time</t>
        </is>
      </c>
      <c r="M1" s="1" t="inlineStr">
        <is>
          <t>Paid Late</t>
        </is>
      </c>
      <c r="N1" s="1" t="inlineStr">
        <is>
          <t>Outstanding</t>
        </is>
      </c>
      <c r="O1" s="1" t="inlineStr">
        <is>
          <t>Last Payment Date</t>
        </is>
      </c>
      <c r="P1" s="1" t="inlineStr">
        <is>
          <t>Days Overdue</t>
        </is>
      </c>
      <c r="Q1" s="1" t="inlineStr">
        <is>
          <t>Status</t>
        </is>
      </c>
      <c r="R1" s="1" t="inlineStr">
        <is>
          <t>Age Bucket</t>
        </is>
      </c>
      <c r="S1" s="1" t="inlineStr">
        <is>
          <t>PAN</t>
        </is>
      </c>
      <c r="T1" s="1" t="inlineStr">
        <is>
          <t>Udyam Number</t>
        </is>
      </c>
    </row>
    <row r="2">
      <c r="A2" s="2" t="inlineStr">
        <is>
          <t>INV-0006</t>
        </is>
      </c>
      <c r="B2" s="2" t="inlineStr">
        <is>
          <t>Sri Lakshmi Plastics</t>
        </is>
      </c>
      <c r="C2" s="2" t="inlineStr">
        <is>
          <t>Micro</t>
        </is>
      </c>
      <c r="D2" s="2" t="b">
        <v>1</v>
      </c>
      <c r="E2" s="2" t="inlineStr">
        <is>
          <t>Cochin</t>
        </is>
      </c>
      <c r="F2" s="3" t="n">
        <v>45947</v>
      </c>
      <c r="G2" s="3" t="n">
        <v>45947</v>
      </c>
      <c r="H2" s="2" t="n">
        <v>30</v>
      </c>
      <c r="I2" s="3" t="n">
        <v>45977</v>
      </c>
      <c r="J2" s="4" t="n">
        <v>73000</v>
      </c>
      <c r="K2" s="4" t="n">
        <v>0</v>
      </c>
      <c r="L2" s="4" t="n">
        <v>0</v>
      </c>
      <c r="M2" s="4" t="n">
        <v>0</v>
      </c>
      <c r="N2" s="4" t="n">
        <v>73000</v>
      </c>
      <c r="O2" s="3" t="inlineStr"/>
      <c r="P2" s="2" t="n">
        <v>135</v>
      </c>
      <c r="Q2" s="5" t="inlineStr">
        <is>
          <t>Overdue</t>
        </is>
      </c>
      <c r="R2" s="2" t="inlineStr">
        <is>
          <t>90+ days</t>
        </is>
      </c>
      <c r="S2" s="2" t="inlineStr">
        <is>
          <t>ABCDE1234F</t>
        </is>
      </c>
      <c r="T2" s="2" t="inlineStr">
        <is>
          <t>UDYAM-TN-02-0012345</t>
        </is>
      </c>
    </row>
    <row r="3">
      <c r="A3" s="6" t="inlineStr">
        <is>
          <t>INV-0009</t>
        </is>
      </c>
      <c r="B3" s="6" t="inlineStr">
        <is>
          <t>Sri Lakshmi Plastics</t>
        </is>
      </c>
      <c r="C3" s="6" t="inlineStr">
        <is>
          <t>Micro</t>
        </is>
      </c>
      <c r="D3" s="6" t="b">
        <v>1</v>
      </c>
      <c r="E3" s="6" t="inlineStr">
        <is>
          <t>Chennai</t>
        </is>
      </c>
      <c r="F3" s="7" t="n">
        <v>45932</v>
      </c>
      <c r="G3" s="7" t="n">
        <v>45932</v>
      </c>
      <c r="H3" s="6" t="n">
        <v>30</v>
      </c>
      <c r="I3" s="7" t="n">
        <v>45962</v>
      </c>
      <c r="J3" s="8" t="n">
        <v>272000</v>
      </c>
      <c r="K3" s="8" t="n">
        <v>0</v>
      </c>
      <c r="L3" s="8" t="n">
        <v>0</v>
      </c>
      <c r="M3" s="8" t="n">
        <v>0</v>
      </c>
      <c r="N3" s="8" t="n">
        <v>272000</v>
      </c>
      <c r="O3" s="7" t="inlineStr"/>
      <c r="P3" s="6" t="n">
        <v>150</v>
      </c>
      <c r="Q3" s="5" t="inlineStr">
        <is>
          <t>Overdue</t>
        </is>
      </c>
      <c r="R3" s="6" t="inlineStr">
        <is>
          <t>90+ days</t>
        </is>
      </c>
      <c r="S3" s="6" t="inlineStr">
        <is>
          <t>ABCDE1234F</t>
        </is>
      </c>
      <c r="T3" s="6" t="inlineStr">
        <is>
          <t>UDYAM-TN-02-0012345</t>
        </is>
      </c>
    </row>
    <row r="4">
      <c r="A4" s="2" t="inlineStr">
        <is>
          <t>INV-0010</t>
        </is>
      </c>
      <c r="B4" s="2" t="inlineStr">
        <is>
          <t>Sri Lakshmi Plastics</t>
        </is>
      </c>
      <c r="C4" s="2" t="inlineStr">
        <is>
          <t>Micro</t>
        </is>
      </c>
      <c r="D4" s="2" t="b">
        <v>1</v>
      </c>
      <c r="E4" s="2" t="inlineStr">
        <is>
          <t>Cochin</t>
        </is>
      </c>
      <c r="F4" s="3" t="n">
        <v>46001</v>
      </c>
      <c r="G4" s="3" t="n">
        <v>46004</v>
      </c>
      <c r="H4" s="2" t="n">
        <v>30</v>
      </c>
      <c r="I4" s="3" t="n">
        <v>46034</v>
      </c>
      <c r="J4" s="4" t="n">
        <v>213000</v>
      </c>
      <c r="K4" s="4" t="n">
        <v>0</v>
      </c>
      <c r="L4" s="4" t="n">
        <v>0</v>
      </c>
      <c r="M4" s="4" t="n">
        <v>0</v>
      </c>
      <c r="N4" s="4" t="n">
        <v>213000</v>
      </c>
      <c r="O4" s="3" t="inlineStr"/>
      <c r="P4" s="2" t="n">
        <v>78</v>
      </c>
      <c r="Q4" s="5" t="inlineStr">
        <is>
          <t>Overdue</t>
        </is>
      </c>
      <c r="R4" s="2" t="inlineStr">
        <is>
          <t>46-90 days</t>
        </is>
      </c>
      <c r="S4" s="2" t="inlineStr">
        <is>
          <t>ABCDE1234F</t>
        </is>
      </c>
      <c r="T4" s="2" t="inlineStr">
        <is>
          <t>UDYAM-TN-02-0012345</t>
        </is>
      </c>
    </row>
    <row r="5">
      <c r="A5" s="6" t="inlineStr">
        <is>
          <t>INV-0013</t>
        </is>
      </c>
      <c r="B5" s="6" t="inlineStr">
        <is>
          <t>Sri Lakshmi Plastics</t>
        </is>
      </c>
      <c r="C5" s="6" t="inlineStr">
        <is>
          <t>Micro</t>
        </is>
      </c>
      <c r="D5" s="6" t="b">
        <v>1</v>
      </c>
      <c r="E5" s="6" t="inlineStr">
        <is>
          <t>Pune</t>
        </is>
      </c>
      <c r="F5" s="7" t="n">
        <v>46078</v>
      </c>
      <c r="G5" s="7" t="n">
        <v>46079</v>
      </c>
      <c r="H5" s="6" t="n">
        <v>30</v>
      </c>
      <c r="I5" s="7" t="n">
        <v>46109</v>
      </c>
      <c r="J5" s="8" t="n">
        <v>105000</v>
      </c>
      <c r="K5" s="8" t="n">
        <v>0</v>
      </c>
      <c r="L5" s="8" t="n">
        <v>0</v>
      </c>
      <c r="M5" s="8" t="n">
        <v>0</v>
      </c>
      <c r="N5" s="8" t="n">
        <v>105000</v>
      </c>
      <c r="O5" s="7" t="inlineStr"/>
      <c r="P5" s="6" t="n">
        <v>3</v>
      </c>
      <c r="Q5" s="5" t="inlineStr">
        <is>
          <t>Overdue</t>
        </is>
      </c>
      <c r="R5" s="6" t="inlineStr">
        <is>
          <t>1-15 days</t>
        </is>
      </c>
      <c r="S5" s="6" t="inlineStr">
        <is>
          <t>ABCDE1234F</t>
        </is>
      </c>
      <c r="T5" s="6" t="inlineStr">
        <is>
          <t>UDYAM-TN-02-0012345</t>
        </is>
      </c>
    </row>
    <row r="6">
      <c r="A6" s="2" t="inlineStr">
        <is>
          <t>INV-0014</t>
        </is>
      </c>
      <c r="B6" s="2" t="inlineStr">
        <is>
          <t>Kaveri Packaging</t>
        </is>
      </c>
      <c r="C6" s="2" t="inlineStr">
        <is>
          <t>Small</t>
        </is>
      </c>
      <c r="D6" s="2" t="b">
        <v>1</v>
      </c>
      <c r="E6" s="2" t="inlineStr">
        <is>
          <t>Cochin</t>
        </is>
      </c>
      <c r="F6" s="3" t="n">
        <v>46080</v>
      </c>
      <c r="G6" s="3" t="n">
        <v>46082</v>
      </c>
      <c r="H6" s="2" t="n">
        <v>15</v>
      </c>
      <c r="I6" s="3" t="n">
        <v>46097</v>
      </c>
      <c r="J6" s="4" t="n">
        <v>244000</v>
      </c>
      <c r="K6" s="4" t="n">
        <v>0</v>
      </c>
      <c r="L6" s="4" t="n">
        <v>0</v>
      </c>
      <c r="M6" s="4" t="n">
        <v>0</v>
      </c>
      <c r="N6" s="4" t="n">
        <v>244000</v>
      </c>
      <c r="O6" s="3" t="inlineStr"/>
      <c r="P6" s="2" t="n">
        <v>15</v>
      </c>
      <c r="Q6" s="5" t="inlineStr">
        <is>
          <t>Overdue</t>
        </is>
      </c>
      <c r="R6" s="2" t="inlineStr">
        <is>
          <t>1-15 days</t>
        </is>
      </c>
      <c r="S6" s="2" t="inlineStr">
        <is>
          <t>BCDEF2345G</t>
        </is>
      </c>
      <c r="T6" s="2" t="inlineStr">
        <is>
          <t>UDYAM-TN-02-0023456</t>
        </is>
      </c>
    </row>
    <row r="7">
      <c r="A7" s="6" t="inlineStr">
        <is>
          <t>INV-0017</t>
        </is>
      </c>
      <c r="B7" s="6" t="inlineStr">
        <is>
          <t>Kaveri Packaging</t>
        </is>
      </c>
      <c r="C7" s="6" t="inlineStr">
        <is>
          <t>Small</t>
        </is>
      </c>
      <c r="D7" s="6" t="b">
        <v>1</v>
      </c>
      <c r="E7" s="6" t="inlineStr">
        <is>
          <t>Hyderabad</t>
        </is>
      </c>
      <c r="F7" s="7" t="n">
        <v>45966</v>
      </c>
      <c r="G7" s="7" t="n">
        <v>45966</v>
      </c>
      <c r="H7" s="6" t="n">
        <v>15</v>
      </c>
      <c r="I7" s="7" t="n">
        <v>45981</v>
      </c>
      <c r="J7" s="8" t="n">
        <v>271000</v>
      </c>
      <c r="K7" s="8" t="n">
        <v>0</v>
      </c>
      <c r="L7" s="8" t="n">
        <v>0</v>
      </c>
      <c r="M7" s="8" t="n">
        <v>0</v>
      </c>
      <c r="N7" s="8" t="n">
        <v>271000</v>
      </c>
      <c r="O7" s="7" t="inlineStr"/>
      <c r="P7" s="6" t="n">
        <v>131</v>
      </c>
      <c r="Q7" s="5" t="inlineStr">
        <is>
          <t>Overdue</t>
        </is>
      </c>
      <c r="R7" s="6" t="inlineStr">
        <is>
          <t>90+ days</t>
        </is>
      </c>
      <c r="S7" s="6" t="inlineStr">
        <is>
          <t>BCDEF2345G</t>
        </is>
      </c>
      <c r="T7" s="6" t="inlineStr">
        <is>
          <t>UDYAM-TN-02-0023456</t>
        </is>
      </c>
    </row>
    <row r="8">
      <c r="A8" s="2" t="inlineStr">
        <is>
          <t>INV-0019</t>
        </is>
      </c>
      <c r="B8" s="2" t="inlineStr">
        <is>
          <t>Kaveri Packaging</t>
        </is>
      </c>
      <c r="C8" s="2" t="inlineStr">
        <is>
          <t>Small</t>
        </is>
      </c>
      <c r="D8" s="2" t="b">
        <v>1</v>
      </c>
      <c r="E8" s="2" t="inlineStr">
        <is>
          <t>Cochin</t>
        </is>
      </c>
      <c r="F8" s="3" t="n">
        <v>46004</v>
      </c>
      <c r="G8" s="3" t="n">
        <v>46004</v>
      </c>
      <c r="H8" s="2" t="n">
        <v>15</v>
      </c>
      <c r="I8" s="3" t="n">
        <v>46019</v>
      </c>
      <c r="J8" s="4" t="n">
        <v>113000</v>
      </c>
      <c r="K8" s="4" t="n">
        <v>0</v>
      </c>
      <c r="L8" s="4" t="n">
        <v>0</v>
      </c>
      <c r="M8" s="4" t="n">
        <v>0</v>
      </c>
      <c r="N8" s="4" t="n">
        <v>113000</v>
      </c>
      <c r="O8" s="3" t="inlineStr"/>
      <c r="P8" s="2" t="n">
        <v>93</v>
      </c>
      <c r="Q8" s="5" t="inlineStr">
        <is>
          <t>Overdue</t>
        </is>
      </c>
      <c r="R8" s="2" t="inlineStr">
        <is>
          <t>90+ days</t>
        </is>
      </c>
      <c r="S8" s="2" t="inlineStr">
        <is>
          <t>BCDEF2345G</t>
        </is>
      </c>
      <c r="T8" s="2" t="inlineStr">
        <is>
          <t>UDYAM-TN-02-0023456</t>
        </is>
      </c>
    </row>
    <row r="9">
      <c r="A9" s="6" t="inlineStr">
        <is>
          <t>INV-0060</t>
        </is>
      </c>
      <c r="B9" s="6" t="inlineStr">
        <is>
          <t>Anand Die Casting</t>
        </is>
      </c>
      <c r="C9" s="6" t="inlineStr">
        <is>
          <t>Micro</t>
        </is>
      </c>
      <c r="D9" s="6" t="b">
        <v>1</v>
      </c>
      <c r="E9" s="6" t="inlineStr">
        <is>
          <t>Pune</t>
        </is>
      </c>
      <c r="F9" s="7" t="n">
        <v>45938</v>
      </c>
      <c r="G9" s="7" t="n">
        <v>45942</v>
      </c>
      <c r="H9" s="6" t="n">
        <v>45</v>
      </c>
      <c r="I9" s="7" t="n">
        <v>45987</v>
      </c>
      <c r="J9" s="8" t="n">
        <v>185000</v>
      </c>
      <c r="K9" s="8" t="n">
        <v>0</v>
      </c>
      <c r="L9" s="8" t="n">
        <v>0</v>
      </c>
      <c r="M9" s="8" t="n">
        <v>0</v>
      </c>
      <c r="N9" s="8" t="n">
        <v>185000</v>
      </c>
      <c r="O9" s="7" t="inlineStr"/>
      <c r="P9" s="6" t="n">
        <v>125</v>
      </c>
      <c r="Q9" s="5" t="inlineStr">
        <is>
          <t>Overdue</t>
        </is>
      </c>
      <c r="R9" s="6" t="inlineStr">
        <is>
          <t>90+ days</t>
        </is>
      </c>
      <c r="S9" s="6" t="inlineStr">
        <is>
          <t>EFGHJ5678K</t>
        </is>
      </c>
      <c r="T9" s="6" t="inlineStr">
        <is>
          <t>UDYAM-TN-02-0045678</t>
        </is>
      </c>
    </row>
    <row r="10">
      <c r="A10" s="2" t="inlineStr">
        <is>
          <t>INV-0061</t>
        </is>
      </c>
      <c r="B10" s="2" t="inlineStr">
        <is>
          <t>Surya Cartons</t>
        </is>
      </c>
      <c r="C10" s="2" t="inlineStr">
        <is>
          <t>Small</t>
        </is>
      </c>
      <c r="D10" s="2" t="b">
        <v>1</v>
      </c>
      <c r="E10" s="2" t="inlineStr">
        <is>
          <t>Cochin</t>
        </is>
      </c>
      <c r="F10" s="3" t="n">
        <v>45967</v>
      </c>
      <c r="G10" s="3" t="n">
        <v>45970</v>
      </c>
      <c r="H10" s="2" t="n">
        <v>45</v>
      </c>
      <c r="I10" s="3" t="n">
        <v>46015</v>
      </c>
      <c r="J10" s="4" t="n">
        <v>271000</v>
      </c>
      <c r="K10" s="4" t="n">
        <v>108400</v>
      </c>
      <c r="L10" s="4" t="n">
        <v>108400</v>
      </c>
      <c r="M10" s="4" t="n">
        <v>0</v>
      </c>
      <c r="N10" s="4" t="n">
        <v>162600</v>
      </c>
      <c r="O10" s="3" t="n">
        <v>46010</v>
      </c>
      <c r="P10" s="2" t="n">
        <v>97</v>
      </c>
      <c r="Q10" s="5" t="inlineStr">
        <is>
          <t>Overdue</t>
        </is>
      </c>
      <c r="R10" s="2" t="inlineStr">
        <is>
          <t>90+ days</t>
        </is>
      </c>
      <c r="S10" s="2" t="inlineStr">
        <is>
          <t>FGHJK6789L</t>
        </is>
      </c>
      <c r="T10" s="2" t="inlineStr">
        <is>
          <t>UDYAM-MH-14-0056789</t>
        </is>
      </c>
    </row>
    <row r="11">
      <c r="A11" s="6" t="inlineStr">
        <is>
          <t>INV-0064</t>
        </is>
      </c>
      <c r="B11" s="6" t="inlineStr">
        <is>
          <t>Surya Cartons</t>
        </is>
      </c>
      <c r="C11" s="6" t="inlineStr">
        <is>
          <t>Small</t>
        </is>
      </c>
      <c r="D11" s="6" t="b">
        <v>1</v>
      </c>
      <c r="E11" s="6" t="inlineStr">
        <is>
          <t>Pune</t>
        </is>
      </c>
      <c r="F11" s="7" t="n">
        <v>46001</v>
      </c>
      <c r="G11" s="7" t="n">
        <v>46004</v>
      </c>
      <c r="H11" s="6" t="n">
        <v>45</v>
      </c>
      <c r="I11" s="7" t="n">
        <v>46049</v>
      </c>
      <c r="J11" s="8" t="n">
        <v>191000</v>
      </c>
      <c r="K11" s="8" t="n">
        <v>0</v>
      </c>
      <c r="L11" s="8" t="n">
        <v>0</v>
      </c>
      <c r="M11" s="8" t="n">
        <v>0</v>
      </c>
      <c r="N11" s="8" t="n">
        <v>191000</v>
      </c>
      <c r="O11" s="7" t="inlineStr"/>
      <c r="P11" s="6" t="n">
        <v>63</v>
      </c>
      <c r="Q11" s="5" t="inlineStr">
        <is>
          <t>Overdue</t>
        </is>
      </c>
      <c r="R11" s="6" t="inlineStr">
        <is>
          <t>46-90 days</t>
        </is>
      </c>
      <c r="S11" s="6" t="inlineStr">
        <is>
          <t>FGHJK6789L</t>
        </is>
      </c>
      <c r="T11" s="6" t="inlineStr">
        <is>
          <t>UDYAM-MH-14-0056789</t>
        </is>
      </c>
    </row>
    <row r="12">
      <c r="A12" s="2" t="inlineStr">
        <is>
          <t>INV-0066</t>
        </is>
      </c>
      <c r="B12" s="2" t="inlineStr">
        <is>
          <t>Surya Cartons</t>
        </is>
      </c>
      <c r="C12" s="2" t="inlineStr">
        <is>
          <t>Small</t>
        </is>
      </c>
      <c r="D12" s="2" t="b">
        <v>1</v>
      </c>
      <c r="E12" s="2" t="inlineStr">
        <is>
          <t>Hyderabad</t>
        </is>
      </c>
      <c r="F12" s="3" t="n">
        <v>46006</v>
      </c>
      <c r="G12" s="3" t="n">
        <v>46009</v>
      </c>
      <c r="H12" s="2" t="n">
        <v>45</v>
      </c>
      <c r="I12" s="3" t="n">
        <v>46054</v>
      </c>
      <c r="J12" s="4" t="n">
        <v>90000</v>
      </c>
      <c r="K12" s="4" t="n">
        <v>0</v>
      </c>
      <c r="L12" s="4" t="n">
        <v>0</v>
      </c>
      <c r="M12" s="4" t="n">
        <v>0</v>
      </c>
      <c r="N12" s="4" t="n">
        <v>90000</v>
      </c>
      <c r="O12" s="3" t="inlineStr"/>
      <c r="P12" s="2" t="n">
        <v>58</v>
      </c>
      <c r="Q12" s="5" t="inlineStr">
        <is>
          <t>Overdue</t>
        </is>
      </c>
      <c r="R12" s="2" t="inlineStr">
        <is>
          <t>46-90 days</t>
        </is>
      </c>
      <c r="S12" s="2" t="inlineStr">
        <is>
          <t>FGHJK6789L</t>
        </is>
      </c>
      <c r="T12" s="2" t="inlineStr">
        <is>
          <t>UDYAM-MH-14-0056789</t>
        </is>
      </c>
    </row>
    <row r="13">
      <c r="A13" s="6" t="inlineStr">
        <is>
          <t>INV-0070</t>
        </is>
      </c>
      <c r="B13" s="6" t="inlineStr">
        <is>
          <t>Surya Cartons</t>
        </is>
      </c>
      <c r="C13" s="6" t="inlineStr">
        <is>
          <t>Small</t>
        </is>
      </c>
      <c r="D13" s="6" t="b">
        <v>1</v>
      </c>
      <c r="E13" s="6" t="inlineStr">
        <is>
          <t>Chennai</t>
        </is>
      </c>
      <c r="F13" s="7" t="n">
        <v>45942</v>
      </c>
      <c r="G13" s="7" t="n">
        <v>45943</v>
      </c>
      <c r="H13" s="6" t="n">
        <v>45</v>
      </c>
      <c r="I13" s="7" t="n">
        <v>45988</v>
      </c>
      <c r="J13" s="8" t="n">
        <v>308000</v>
      </c>
      <c r="K13" s="8" t="n">
        <v>0</v>
      </c>
      <c r="L13" s="8" t="n">
        <v>0</v>
      </c>
      <c r="M13" s="8" t="n">
        <v>0</v>
      </c>
      <c r="N13" s="8" t="n">
        <v>308000</v>
      </c>
      <c r="O13" s="7" t="inlineStr"/>
      <c r="P13" s="6" t="n">
        <v>124</v>
      </c>
      <c r="Q13" s="5" t="inlineStr">
        <is>
          <t>Overdue</t>
        </is>
      </c>
      <c r="R13" s="6" t="inlineStr">
        <is>
          <t>90+ days</t>
        </is>
      </c>
      <c r="S13" s="6" t="inlineStr">
        <is>
          <t>FGHJK6789L</t>
        </is>
      </c>
      <c r="T13" s="6" t="inlineStr">
        <is>
          <t>UDYAM-MH-14-0056789</t>
        </is>
      </c>
    </row>
    <row r="14">
      <c r="A14" s="9" t="inlineStr">
        <is>
          <t>Total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10">
        <f>SUBTOTAL(9,J2:J13)</f>
        <v/>
      </c>
      <c r="K14" s="10">
        <f>SUBTOTAL(9,K2:K13)</f>
        <v/>
      </c>
      <c r="L14" s="10">
        <f>SUBTOTAL(9,L2:L13)</f>
        <v/>
      </c>
      <c r="M14" s="10">
        <f>SUBTOTAL(9,M2:M13)</f>
        <v/>
      </c>
      <c r="N14" s="10">
        <f>SUBTOTAL(9,N2:N13)</f>
        <v/>
      </c>
      <c r="O14" s="9" t="n"/>
      <c r="P14" s="9" t="n"/>
      <c r="Q14" s="9" t="n"/>
      <c r="R14" s="9" t="n"/>
      <c r="S14" s="9" t="n"/>
      <c r="T14" s="9" t="n"/>
    </row>
  </sheetData>
  <autoFilter ref="A1:T1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1" customWidth="1" min="5" max="5"/>
    <col width="12" customWidth="1" min="6" max="6"/>
    <col width="12.45" customWidth="1" min="7" max="7"/>
    <col width="13.4" customWidth="1" min="8" max="8"/>
    <col width="12" customWidth="1" min="9" max="9"/>
    <col width="13" customWidth="1" min="10" max="10"/>
    <col width="10" customWidth="1" min="11" max="11"/>
    <col width="13.4" customWidth="1" min="12" max="12"/>
    <col width="10.55" customWidth="1" min="13" max="13"/>
    <col width="13" customWidth="1" min="14" max="14"/>
    <col width="18.15" customWidth="1" min="15" max="15"/>
    <col width="13.4" customWidth="1" min="16" max="16"/>
    <col width="14" customWidth="1" min="17" max="17"/>
    <col width="13" customWidth="1" min="18" max="18"/>
    <col width="12" customWidth="1" min="19" max="19"/>
    <col width="21" customWidth="1" min="20" max="20"/>
  </cols>
  <sheetData>
    <row r="1" ht="32" customHeight="1">
      <c r="A1" s="1" t="inlineStr">
        <is>
          <t>Bill No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Covered</t>
        </is>
      </c>
      <c r="E1" s="1" t="inlineStr">
        <is>
          <t>Branch</t>
        </is>
      </c>
      <c r="F1" s="1" t="inlineStr">
        <is>
          <t>Bill Date</t>
        </is>
      </c>
      <c r="G1" s="1" t="inlineStr">
        <is>
          <t>Accepted On</t>
        </is>
      </c>
      <c r="H1" s="1" t="inlineStr">
        <is>
          <t>Days Allowed</t>
        </is>
      </c>
      <c r="I1" s="1" t="inlineStr">
        <is>
          <t>Due Date</t>
        </is>
      </c>
      <c r="J1" s="1" t="inlineStr">
        <is>
          <t>Bill Amount</t>
        </is>
      </c>
      <c r="K1" s="1" t="inlineStr">
        <is>
          <t>Paid</t>
        </is>
      </c>
      <c r="L1" s="1" t="inlineStr">
        <is>
          <t>Paid On Time</t>
        </is>
      </c>
      <c r="M1" s="1" t="inlineStr">
        <is>
          <t>Paid Late</t>
        </is>
      </c>
      <c r="N1" s="1" t="inlineStr">
        <is>
          <t>Outstanding</t>
        </is>
      </c>
      <c r="O1" s="1" t="inlineStr">
        <is>
          <t>Last Payment Date</t>
        </is>
      </c>
      <c r="P1" s="1" t="inlineStr">
        <is>
          <t>Days Overdue</t>
        </is>
      </c>
      <c r="Q1" s="1" t="inlineStr">
        <is>
          <t>Status</t>
        </is>
      </c>
      <c r="R1" s="1" t="inlineStr">
        <is>
          <t>Age Bucket</t>
        </is>
      </c>
      <c r="S1" s="1" t="inlineStr">
        <is>
          <t>PAN</t>
        </is>
      </c>
      <c r="T1" s="1" t="inlineStr">
        <is>
          <t>Udyam Number</t>
        </is>
      </c>
    </row>
    <row r="2">
      <c r="A2" s="2" t="inlineStr">
        <is>
          <t>INV-0011</t>
        </is>
      </c>
      <c r="B2" s="2" t="inlineStr">
        <is>
          <t>Sri Lakshmi Plastics</t>
        </is>
      </c>
      <c r="C2" s="2" t="inlineStr">
        <is>
          <t>Micro</t>
        </is>
      </c>
      <c r="D2" s="2" t="b">
        <v>1</v>
      </c>
      <c r="E2" s="2" t="inlineStr">
        <is>
          <t>Cochin</t>
        </is>
      </c>
      <c r="F2" s="3" t="n">
        <v>46110</v>
      </c>
      <c r="G2" s="3" t="n">
        <v>46110</v>
      </c>
      <c r="H2" s="2" t="n">
        <v>30</v>
      </c>
      <c r="I2" s="3" t="n">
        <v>46140</v>
      </c>
      <c r="J2" s="4" t="n">
        <v>54000</v>
      </c>
      <c r="K2" s="4" t="n">
        <v>0</v>
      </c>
      <c r="L2" s="4" t="n">
        <v>0</v>
      </c>
      <c r="M2" s="4" t="n">
        <v>0</v>
      </c>
      <c r="N2" s="4" t="n">
        <v>54000</v>
      </c>
      <c r="O2" s="3" t="inlineStr"/>
      <c r="P2" s="2" t="n">
        <v>0</v>
      </c>
      <c r="Q2" s="11" t="inlineStr">
        <is>
          <t>Within limit</t>
        </is>
      </c>
      <c r="R2" s="2" t="inlineStr">
        <is>
          <t>Not yet due</t>
        </is>
      </c>
      <c r="S2" s="2" t="inlineStr">
        <is>
          <t>ABCDE1234F</t>
        </is>
      </c>
      <c r="T2" s="2" t="inlineStr">
        <is>
          <t>UDYAM-TN-02-0012345</t>
        </is>
      </c>
    </row>
    <row r="3">
      <c r="A3" s="6" t="inlineStr">
        <is>
          <t>INV-0054</t>
        </is>
      </c>
      <c r="B3" s="6" t="inlineStr">
        <is>
          <t>Anand Die Casting</t>
        </is>
      </c>
      <c r="C3" s="6" t="inlineStr">
        <is>
          <t>Micro</t>
        </is>
      </c>
      <c r="D3" s="6" t="b">
        <v>1</v>
      </c>
      <c r="E3" s="6" t="inlineStr">
        <is>
          <t>Chennai</t>
        </is>
      </c>
      <c r="F3" s="7" t="n">
        <v>46104</v>
      </c>
      <c r="G3" s="7" t="n">
        <v>46104</v>
      </c>
      <c r="H3" s="6" t="n">
        <v>45</v>
      </c>
      <c r="I3" s="7" t="n">
        <v>46149</v>
      </c>
      <c r="J3" s="8" t="n">
        <v>246000</v>
      </c>
      <c r="K3" s="8" t="n">
        <v>0</v>
      </c>
      <c r="L3" s="8" t="n">
        <v>0</v>
      </c>
      <c r="M3" s="8" t="n">
        <v>0</v>
      </c>
      <c r="N3" s="8" t="n">
        <v>246000</v>
      </c>
      <c r="O3" s="7" t="inlineStr"/>
      <c r="P3" s="6" t="n">
        <v>0</v>
      </c>
      <c r="Q3" s="11" t="inlineStr">
        <is>
          <t>Within limit</t>
        </is>
      </c>
      <c r="R3" s="6" t="inlineStr">
        <is>
          <t>Not yet due</t>
        </is>
      </c>
      <c r="S3" s="6" t="inlineStr">
        <is>
          <t>EFGHJ5678K</t>
        </is>
      </c>
      <c r="T3" s="6" t="inlineStr">
        <is>
          <t>UDYAM-TN-02-0045678</t>
        </is>
      </c>
    </row>
    <row r="4">
      <c r="A4" s="2" t="inlineStr">
        <is>
          <t>INV-0068</t>
        </is>
      </c>
      <c r="B4" s="2" t="inlineStr">
        <is>
          <t>Surya Cartons</t>
        </is>
      </c>
      <c r="C4" s="2" t="inlineStr">
        <is>
          <t>Small</t>
        </is>
      </c>
      <c r="D4" s="2" t="b">
        <v>1</v>
      </c>
      <c r="E4" s="2" t="inlineStr">
        <is>
          <t>Hyderabad</t>
        </is>
      </c>
      <c r="F4" s="3" t="n">
        <v>46095</v>
      </c>
      <c r="G4" s="3" t="n">
        <v>46095</v>
      </c>
      <c r="H4" s="2" t="n">
        <v>45</v>
      </c>
      <c r="I4" s="3" t="n">
        <v>46140</v>
      </c>
      <c r="J4" s="4" t="n">
        <v>226000</v>
      </c>
      <c r="K4" s="4" t="n">
        <v>0</v>
      </c>
      <c r="L4" s="4" t="n">
        <v>0</v>
      </c>
      <c r="M4" s="4" t="n">
        <v>0</v>
      </c>
      <c r="N4" s="4" t="n">
        <v>226000</v>
      </c>
      <c r="O4" s="3" t="inlineStr"/>
      <c r="P4" s="2" t="n">
        <v>0</v>
      </c>
      <c r="Q4" s="11" t="inlineStr">
        <is>
          <t>Within limit</t>
        </is>
      </c>
      <c r="R4" s="2" t="inlineStr">
        <is>
          <t>Not yet due</t>
        </is>
      </c>
      <c r="S4" s="2" t="inlineStr">
        <is>
          <t>FGHJK6789L</t>
        </is>
      </c>
      <c r="T4" s="2" t="inlineStr">
        <is>
          <t>UDYAM-MH-14-0056789</t>
        </is>
      </c>
    </row>
    <row r="5">
      <c r="A5" s="9" t="inlineStr">
        <is>
          <t>Total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10">
        <f>SUBTOTAL(9,J2:J4)</f>
        <v/>
      </c>
      <c r="K5" s="10">
        <f>SUBTOTAL(9,K2:K4)</f>
        <v/>
      </c>
      <c r="L5" s="10">
        <f>SUBTOTAL(9,L2:L4)</f>
        <v/>
      </c>
      <c r="M5" s="10">
        <f>SUBTOTAL(9,M2:M4)</f>
        <v/>
      </c>
      <c r="N5" s="10">
        <f>SUBTOTAL(9,N2:N4)</f>
        <v/>
      </c>
      <c r="O5" s="9" t="n"/>
      <c r="P5" s="9" t="n"/>
      <c r="Q5" s="9" t="n"/>
      <c r="R5" s="9" t="n"/>
      <c r="S5" s="9" t="n"/>
      <c r="T5" s="9" t="n"/>
    </row>
  </sheetData>
  <autoFilter ref="A1:T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45" customWidth="1" min="2" max="2"/>
    <col width="10" customWidth="1" min="3" max="3"/>
    <col width="10" customWidth="1" min="4" max="4"/>
    <col width="10" customWidth="1" min="5" max="5"/>
    <col width="12" customWidth="1" min="6" max="6"/>
    <col width="12.45" customWidth="1" min="7" max="7"/>
    <col width="13.4" customWidth="1" min="8" max="8"/>
    <col width="12" customWidth="1" min="9" max="9"/>
    <col width="12.45" customWidth="1" min="10" max="10"/>
    <col width="10" customWidth="1" min="11" max="11"/>
    <col width="13.4" customWidth="1" min="12" max="12"/>
    <col width="10.55" customWidth="1" min="13" max="13"/>
    <col width="12.45" customWidth="1" min="14" max="14"/>
    <col width="18.15" customWidth="1" min="15" max="15"/>
    <col width="13.4" customWidth="1" min="16" max="16"/>
    <col width="10" customWidth="1" min="17" max="17"/>
    <col width="11.5" customWidth="1" min="18" max="18"/>
    <col width="10" customWidth="1" min="19" max="19"/>
    <col width="13.4" customWidth="1" min="20" max="20"/>
    <col width="11.5" customWidth="1" min="21" max="21"/>
  </cols>
  <sheetData>
    <row r="1" ht="32" customHeight="1">
      <c r="A1" s="1" t="inlineStr">
        <is>
          <t>Bill No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Covered</t>
        </is>
      </c>
      <c r="E1" s="1" t="inlineStr">
        <is>
          <t>Branch</t>
        </is>
      </c>
      <c r="F1" s="1" t="inlineStr">
        <is>
          <t>Bill Date</t>
        </is>
      </c>
      <c r="G1" s="1" t="inlineStr">
        <is>
          <t>Accepted On</t>
        </is>
      </c>
      <c r="H1" s="1" t="inlineStr">
        <is>
          <t>Days Allowed</t>
        </is>
      </c>
      <c r="I1" s="1" t="inlineStr">
        <is>
          <t>Due Date</t>
        </is>
      </c>
      <c r="J1" s="1" t="inlineStr">
        <is>
          <t>Bill Amount</t>
        </is>
      </c>
      <c r="K1" s="1" t="inlineStr">
        <is>
          <t>Paid</t>
        </is>
      </c>
      <c r="L1" s="1" t="inlineStr">
        <is>
          <t>Paid On Time</t>
        </is>
      </c>
      <c r="M1" s="1" t="inlineStr">
        <is>
          <t>Paid Late</t>
        </is>
      </c>
      <c r="N1" s="1" t="inlineStr">
        <is>
          <t>Outstanding</t>
        </is>
      </c>
      <c r="O1" s="1" t="inlineStr">
        <is>
          <t>Last Payment Date</t>
        </is>
      </c>
      <c r="P1" s="1" t="inlineStr">
        <is>
          <t>Days Overdue</t>
        </is>
      </c>
      <c r="Q1" s="1" t="inlineStr">
        <is>
          <t>Status</t>
        </is>
      </c>
      <c r="R1" s="1" t="inlineStr">
        <is>
          <t>Age Bucket</t>
        </is>
      </c>
      <c r="S1" s="1" t="inlineStr">
        <is>
          <t>PAN</t>
        </is>
      </c>
      <c r="T1" s="1" t="inlineStr">
        <is>
          <t>Udyam Number</t>
        </is>
      </c>
      <c r="U1" s="1" t="inlineStr">
        <is>
          <t>Paid In FY</t>
        </is>
      </c>
    </row>
  </sheetData>
  <autoFilter ref="A1:U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1" customWidth="1" min="5" max="5"/>
    <col width="12" customWidth="1" min="6" max="6"/>
    <col width="12.45" customWidth="1" min="7" max="7"/>
    <col width="13.4" customWidth="1" min="8" max="8"/>
    <col width="12" customWidth="1" min="9" max="9"/>
    <col width="13" customWidth="1" min="10" max="10"/>
    <col width="13" customWidth="1" min="11" max="11"/>
    <col width="13.4" customWidth="1" min="12" max="12"/>
    <col width="13" customWidth="1" min="13" max="13"/>
    <col width="12.45" customWidth="1" min="14" max="14"/>
    <col width="18.15" customWidth="1" min="15" max="15"/>
    <col width="13.4" customWidth="1" min="16" max="16"/>
    <col width="11" customWidth="1" min="17" max="17"/>
    <col width="11.5" customWidth="1" min="18" max="18"/>
    <col width="12" customWidth="1" min="19" max="19"/>
    <col width="21" customWidth="1" min="20" max="20"/>
  </cols>
  <sheetData>
    <row r="1" ht="32" customHeight="1">
      <c r="A1" s="1" t="inlineStr">
        <is>
          <t>Bill No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Covered</t>
        </is>
      </c>
      <c r="E1" s="1" t="inlineStr">
        <is>
          <t>Branch</t>
        </is>
      </c>
      <c r="F1" s="1" t="inlineStr">
        <is>
          <t>Bill Date</t>
        </is>
      </c>
      <c r="G1" s="1" t="inlineStr">
        <is>
          <t>Accepted On</t>
        </is>
      </c>
      <c r="H1" s="1" t="inlineStr">
        <is>
          <t>Days Allowed</t>
        </is>
      </c>
      <c r="I1" s="1" t="inlineStr">
        <is>
          <t>Due Date</t>
        </is>
      </c>
      <c r="J1" s="1" t="inlineStr">
        <is>
          <t>Bill Amount</t>
        </is>
      </c>
      <c r="K1" s="1" t="inlineStr">
        <is>
          <t>Paid</t>
        </is>
      </c>
      <c r="L1" s="1" t="inlineStr">
        <is>
          <t>Paid On Time</t>
        </is>
      </c>
      <c r="M1" s="1" t="inlineStr">
        <is>
          <t>Paid Late</t>
        </is>
      </c>
      <c r="N1" s="1" t="inlineStr">
        <is>
          <t>Outstanding</t>
        </is>
      </c>
      <c r="O1" s="1" t="inlineStr">
        <is>
          <t>Last Payment Date</t>
        </is>
      </c>
      <c r="P1" s="1" t="inlineStr">
        <is>
          <t>Days Overdue</t>
        </is>
      </c>
      <c r="Q1" s="1" t="inlineStr">
        <is>
          <t>Status</t>
        </is>
      </c>
      <c r="R1" s="1" t="inlineStr">
        <is>
          <t>Age Bucket</t>
        </is>
      </c>
      <c r="S1" s="1" t="inlineStr">
        <is>
          <t>PAN</t>
        </is>
      </c>
      <c r="T1" s="1" t="inlineStr">
        <is>
          <t>Udyam Number</t>
        </is>
      </c>
    </row>
    <row r="2">
      <c r="A2" s="2" t="inlineStr">
        <is>
          <t>INV-0003</t>
        </is>
      </c>
      <c r="B2" s="2" t="inlineStr">
        <is>
          <t>Sri Lakshmi Plastics</t>
        </is>
      </c>
      <c r="C2" s="2" t="inlineStr">
        <is>
          <t>Micro</t>
        </is>
      </c>
      <c r="D2" s="2" t="b">
        <v>1</v>
      </c>
      <c r="E2" s="2" t="inlineStr">
        <is>
          <t>Pune</t>
        </is>
      </c>
      <c r="F2" s="3" t="n">
        <v>46046</v>
      </c>
      <c r="G2" s="3" t="n">
        <v>46046</v>
      </c>
      <c r="H2" s="2" t="n">
        <v>30</v>
      </c>
      <c r="I2" s="3" t="n">
        <v>46076</v>
      </c>
      <c r="J2" s="4" t="n">
        <v>149000</v>
      </c>
      <c r="K2" s="4" t="n">
        <v>149000</v>
      </c>
      <c r="L2" s="4" t="n">
        <v>0</v>
      </c>
      <c r="M2" s="4" t="n">
        <v>149000</v>
      </c>
      <c r="N2" s="4" t="n">
        <v>0</v>
      </c>
      <c r="O2" s="3" t="n">
        <v>46089</v>
      </c>
      <c r="P2" s="2" t="n">
        <v>0</v>
      </c>
      <c r="Q2" s="12" t="inlineStr">
        <is>
          <t>Paid late</t>
        </is>
      </c>
      <c r="R2" s="2" t="inlineStr">
        <is>
          <t>Settled</t>
        </is>
      </c>
      <c r="S2" s="2" t="inlineStr">
        <is>
          <t>ABCDE1234F</t>
        </is>
      </c>
      <c r="T2" s="2" t="inlineStr">
        <is>
          <t>UDYAM-TN-02-0012345</t>
        </is>
      </c>
    </row>
    <row r="3">
      <c r="A3" s="6" t="inlineStr">
        <is>
          <t>INV-0008</t>
        </is>
      </c>
      <c r="B3" s="6" t="inlineStr">
        <is>
          <t>Sri Lakshmi Plastics</t>
        </is>
      </c>
      <c r="C3" s="6" t="inlineStr">
        <is>
          <t>Micro</t>
        </is>
      </c>
      <c r="D3" s="6" t="b">
        <v>1</v>
      </c>
      <c r="E3" s="6" t="inlineStr">
        <is>
          <t>Chennai</t>
        </is>
      </c>
      <c r="F3" s="7" t="n">
        <v>45967</v>
      </c>
      <c r="G3" s="7" t="n">
        <v>45971</v>
      </c>
      <c r="H3" s="6" t="n">
        <v>30</v>
      </c>
      <c r="I3" s="7" t="n">
        <v>46001</v>
      </c>
      <c r="J3" s="8" t="n">
        <v>93000</v>
      </c>
      <c r="K3" s="8" t="n">
        <v>93000</v>
      </c>
      <c r="L3" s="8" t="n">
        <v>0</v>
      </c>
      <c r="M3" s="8" t="n">
        <v>93000</v>
      </c>
      <c r="N3" s="8" t="n">
        <v>0</v>
      </c>
      <c r="O3" s="7" t="n">
        <v>46011</v>
      </c>
      <c r="P3" s="6" t="n">
        <v>0</v>
      </c>
      <c r="Q3" s="12" t="inlineStr">
        <is>
          <t>Paid late</t>
        </is>
      </c>
      <c r="R3" s="6" t="inlineStr">
        <is>
          <t>Settled</t>
        </is>
      </c>
      <c r="S3" s="6" t="inlineStr">
        <is>
          <t>ABCDE1234F</t>
        </is>
      </c>
      <c r="T3" s="6" t="inlineStr">
        <is>
          <t>UDYAM-TN-02-0012345</t>
        </is>
      </c>
    </row>
    <row r="4">
      <c r="A4" s="2" t="inlineStr">
        <is>
          <t>INV-0015</t>
        </is>
      </c>
      <c r="B4" s="2" t="inlineStr">
        <is>
          <t>Kaveri Packaging</t>
        </is>
      </c>
      <c r="C4" s="2" t="inlineStr">
        <is>
          <t>Small</t>
        </is>
      </c>
      <c r="D4" s="2" t="b">
        <v>1</v>
      </c>
      <c r="E4" s="2" t="inlineStr">
        <is>
          <t>Chennai</t>
        </is>
      </c>
      <c r="F4" s="3" t="n">
        <v>45988</v>
      </c>
      <c r="G4" s="3" t="n">
        <v>45988</v>
      </c>
      <c r="H4" s="2" t="n">
        <v>15</v>
      </c>
      <c r="I4" s="3" t="n">
        <v>46003</v>
      </c>
      <c r="J4" s="4" t="n">
        <v>156000</v>
      </c>
      <c r="K4" s="4" t="n">
        <v>156000</v>
      </c>
      <c r="L4" s="4" t="n">
        <v>0</v>
      </c>
      <c r="M4" s="4" t="n">
        <v>156000</v>
      </c>
      <c r="N4" s="4" t="n">
        <v>0</v>
      </c>
      <c r="O4" s="3" t="n">
        <v>46026</v>
      </c>
      <c r="P4" s="2" t="n">
        <v>0</v>
      </c>
      <c r="Q4" s="12" t="inlineStr">
        <is>
          <t>Paid late</t>
        </is>
      </c>
      <c r="R4" s="2" t="inlineStr">
        <is>
          <t>Settled</t>
        </is>
      </c>
      <c r="S4" s="2" t="inlineStr">
        <is>
          <t>BCDEF2345G</t>
        </is>
      </c>
      <c r="T4" s="2" t="inlineStr">
        <is>
          <t>UDYAM-TN-02-0023456</t>
        </is>
      </c>
    </row>
    <row r="5">
      <c r="A5" s="6" t="inlineStr">
        <is>
          <t>INV-0021</t>
        </is>
      </c>
      <c r="B5" s="6" t="inlineStr">
        <is>
          <t>Kaveri Packaging</t>
        </is>
      </c>
      <c r="C5" s="6" t="inlineStr">
        <is>
          <t>Small</t>
        </is>
      </c>
      <c r="D5" s="6" t="b">
        <v>1</v>
      </c>
      <c r="E5" s="6" t="inlineStr">
        <is>
          <t>Hyderabad</t>
        </is>
      </c>
      <c r="F5" s="7" t="n">
        <v>46012</v>
      </c>
      <c r="G5" s="7" t="n">
        <v>46012</v>
      </c>
      <c r="H5" s="6" t="n">
        <v>15</v>
      </c>
      <c r="I5" s="7" t="n">
        <v>46027</v>
      </c>
      <c r="J5" s="8" t="n">
        <v>111000</v>
      </c>
      <c r="K5" s="8" t="n">
        <v>111000</v>
      </c>
      <c r="L5" s="8" t="n">
        <v>0</v>
      </c>
      <c r="M5" s="8" t="n">
        <v>111000</v>
      </c>
      <c r="N5" s="8" t="n">
        <v>0</v>
      </c>
      <c r="O5" s="7" t="n">
        <v>46083</v>
      </c>
      <c r="P5" s="6" t="n">
        <v>0</v>
      </c>
      <c r="Q5" s="12" t="inlineStr">
        <is>
          <t>Paid late</t>
        </is>
      </c>
      <c r="R5" s="6" t="inlineStr">
        <is>
          <t>Settled</t>
        </is>
      </c>
      <c r="S5" s="6" t="inlineStr">
        <is>
          <t>BCDEF2345G</t>
        </is>
      </c>
      <c r="T5" s="6" t="inlineStr">
        <is>
          <t>UDYAM-TN-02-0023456</t>
        </is>
      </c>
    </row>
    <row r="6">
      <c r="A6" s="2" t="inlineStr">
        <is>
          <t>INV-0023</t>
        </is>
      </c>
      <c r="B6" s="2" t="inlineStr">
        <is>
          <t>Kaveri Packaging</t>
        </is>
      </c>
      <c r="C6" s="2" t="inlineStr">
        <is>
          <t>Small</t>
        </is>
      </c>
      <c r="D6" s="2" t="b">
        <v>1</v>
      </c>
      <c r="E6" s="2" t="inlineStr">
        <is>
          <t>Cochin</t>
        </is>
      </c>
      <c r="F6" s="3" t="n">
        <v>45942</v>
      </c>
      <c r="G6" s="3" t="n">
        <v>45946</v>
      </c>
      <c r="H6" s="2" t="n">
        <v>15</v>
      </c>
      <c r="I6" s="3" t="n">
        <v>45961</v>
      </c>
      <c r="J6" s="4" t="n">
        <v>178000</v>
      </c>
      <c r="K6" s="4" t="n">
        <v>178000</v>
      </c>
      <c r="L6" s="4" t="n">
        <v>0</v>
      </c>
      <c r="M6" s="4" t="n">
        <v>178000</v>
      </c>
      <c r="N6" s="4" t="n">
        <v>0</v>
      </c>
      <c r="O6" s="3" t="n">
        <v>45981</v>
      </c>
      <c r="P6" s="2" t="n">
        <v>0</v>
      </c>
      <c r="Q6" s="12" t="inlineStr">
        <is>
          <t>Paid late</t>
        </is>
      </c>
      <c r="R6" s="2" t="inlineStr">
        <is>
          <t>Settled</t>
        </is>
      </c>
      <c r="S6" s="2" t="inlineStr">
        <is>
          <t>BCDEF2345G</t>
        </is>
      </c>
      <c r="T6" s="2" t="inlineStr">
        <is>
          <t>UDYAM-TN-02-0023456</t>
        </is>
      </c>
    </row>
    <row r="7">
      <c r="A7" s="6" t="inlineStr">
        <is>
          <t>INV-0053</t>
        </is>
      </c>
      <c r="B7" s="6" t="inlineStr">
        <is>
          <t>Anand Die Casting</t>
        </is>
      </c>
      <c r="C7" s="6" t="inlineStr">
        <is>
          <t>Micro</t>
        </is>
      </c>
      <c r="D7" s="6" t="b">
        <v>1</v>
      </c>
      <c r="E7" s="6" t="inlineStr">
        <is>
          <t>Hyderabad</t>
        </is>
      </c>
      <c r="F7" s="7" t="n">
        <v>46012</v>
      </c>
      <c r="G7" s="7" t="n">
        <v>46012</v>
      </c>
      <c r="H7" s="6" t="n">
        <v>45</v>
      </c>
      <c r="I7" s="7" t="n">
        <v>46057</v>
      </c>
      <c r="J7" s="8" t="n">
        <v>260000</v>
      </c>
      <c r="K7" s="8" t="n">
        <v>260000</v>
      </c>
      <c r="L7" s="8" t="n">
        <v>0</v>
      </c>
      <c r="M7" s="8" t="n">
        <v>260000</v>
      </c>
      <c r="N7" s="8" t="n">
        <v>0</v>
      </c>
      <c r="O7" s="7" t="n">
        <v>46083</v>
      </c>
      <c r="P7" s="6" t="n">
        <v>0</v>
      </c>
      <c r="Q7" s="12" t="inlineStr">
        <is>
          <t>Paid late</t>
        </is>
      </c>
      <c r="R7" s="6" t="inlineStr">
        <is>
          <t>Settled</t>
        </is>
      </c>
      <c r="S7" s="6" t="inlineStr">
        <is>
          <t>EFGHJ5678K</t>
        </is>
      </c>
      <c r="T7" s="6" t="inlineStr">
        <is>
          <t>UDYAM-TN-02-0045678</t>
        </is>
      </c>
    </row>
    <row r="8">
      <c r="A8" s="9" t="inlineStr">
        <is>
          <t>Total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10">
        <f>SUBTOTAL(9,J2:J7)</f>
        <v/>
      </c>
      <c r="K8" s="10">
        <f>SUBTOTAL(9,K2:K7)</f>
        <v/>
      </c>
      <c r="L8" s="10">
        <f>SUBTOTAL(9,L2:L7)</f>
        <v/>
      </c>
      <c r="M8" s="10">
        <f>SUBTOTAL(9,M2:M7)</f>
        <v/>
      </c>
      <c r="N8" s="10">
        <f>SUBTOTAL(9,N2:N7)</f>
        <v/>
      </c>
      <c r="O8" s="9" t="n"/>
      <c r="P8" s="9" t="n"/>
      <c r="Q8" s="9" t="n"/>
      <c r="R8" s="9" t="n"/>
      <c r="S8" s="9" t="n"/>
      <c r="T8" s="9" t="n"/>
    </row>
  </sheetData>
  <autoFilter ref="A1:T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2026-10-24T14:43:53Z</dcterms:created>
  <dcterms:modified xmlns:dcterms="http://purl.org/dc/terms/" xmlns:xsi="http://www.w3.org/2001/XMLSchema-instance" xsi:type="dcterms:W3CDTF">2026-10-24T14:43:53Z</dcterms:modified>
</cp:coreProperties>
</file>