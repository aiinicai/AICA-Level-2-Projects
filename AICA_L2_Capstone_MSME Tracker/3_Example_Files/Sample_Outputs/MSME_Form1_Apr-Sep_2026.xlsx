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1" sheetId="1" state="visible" r:id="rId1"/>
    <sheet xmlns:r="http://schemas.openxmlformats.org/officeDocument/2006/relationships" name="Bill annexure" sheetId="2" state="visible" r:id="rId2"/>
  </sheets>
  <definedNames>
    <definedName name="_xlnm._FilterDatabase" localSheetId="1" hidden="1">'Bill annexure'!$A$1:$U$21</definedName>
    <definedName name="_xlnm.Print_Titles" localSheetId="1">'Bill annexure'!$1:$1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[&gt;=10000000]##\,##\,##\,##0.00;[&gt;=100000]##\,##\,##0.00;#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2F7FC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double">
        <color rgb="001F4E7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165" fontId="0" fillId="4" borderId="1" pivotButton="0" quotePrefix="0" xfId="0"/>
    <xf numFmtId="0" fontId="3" fillId="5" borderId="2" pivotButton="0" quotePrefix="0" xfId="0"/>
    <xf numFmtId="165" fontId="3" fillId="5" borderId="2" pivotButton="0" quotePrefix="0" xfId="0"/>
    <xf numFmtId="0" fontId="4" fillId="0" borderId="0" pivotButton="0" quotePrefix="0" xfId="0"/>
    <xf numFmtId="0" fontId="3" fillId="5" borderId="3" applyAlignment="1" pivotButton="0" quotePrefix="0" xfId="0">
      <alignment horizontal="center" vertical="center" wrapText="1"/>
    </xf>
    <xf numFmtId="0" fontId="0" fillId="5" borderId="3" pivotButton="0" quotePrefix="0" xfId="0"/>
    <xf numFmtId="0" fontId="0" fillId="0" borderId="3" pivotButton="0" quotePrefix="0" xfId="0"/>
    <xf numFmtId="165" fontId="0" fillId="0" borderId="3" pivotButton="0" quotePrefix="0" xfId="0"/>
    <xf numFmtId="0" fontId="3" fillId="5" borderId="3" pivotButton="0" quotePrefix="0" xfId="0"/>
    <xf numFmtId="1" fontId="3" fillId="5" borderId="3" pivotButton="0" quotePrefix="0" xfId="0"/>
    <xf numFmtId="165" fontId="3" fillId="5" borderId="3" pivotButton="0" quotePrefix="0" xfId="0"/>
    <xf numFmtId="164" fontId="0" fillId="0" borderId="1" applyAlignment="1" pivotButton="0" quotePrefix="0" xfId="0">
      <alignment horizontal="center"/>
    </xf>
    <xf numFmtId="165" fontId="0" fillId="0" borderId="1" pivotButton="0" quotePrefix="0" xfId="0"/>
    <xf numFmtId="164" fontId="0" fillId="4" borderId="1" applyAlignment="1" pivotButton="0" quotePrefix="0" xfId="0">
      <alignment horizontal="center"/>
    </xf>
    <xf numFmtId="165" fontId="0" fillId="4" borderId="1" pivotButton="0" quotePrefix="0" xfId="0"/>
    <xf numFmtId="165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7" customWidth="1" min="4" max="4"/>
    <col width="16" customWidth="1" min="5" max="5"/>
    <col width="7" customWidth="1" min="6" max="6"/>
    <col width="16" customWidth="1" min="7" max="7"/>
    <col width="7" customWidth="1" min="8" max="8"/>
    <col width="16" customWidth="1" min="9" max="9"/>
    <col width="7" customWidth="1" min="10" max="10"/>
    <col width="16" customWidth="1" min="11" max="11"/>
    <col width="7" customWidth="1" min="12" max="12"/>
    <col width="16" customWidth="1" min="13" max="13"/>
    <col width="40" customWidth="1" min="14" max="14"/>
  </cols>
  <sheetData>
    <row r="1">
      <c r="A1" s="11" t="inlineStr">
        <is>
          <t>MSME Form 1 – Demo Company LLP</t>
        </is>
      </c>
    </row>
    <row r="2">
      <c r="A2" t="inlineStr">
        <is>
          <t>Period: 01-04-2026 to 30-09-2026</t>
        </is>
      </c>
    </row>
    <row r="4" ht="30" customHeight="1">
      <c r="A4" s="12" t="inlineStr">
        <is>
          <t>(a)
S.No.</t>
        </is>
      </c>
      <c r="B4" s="12" t="inlineStr">
        <is>
          <t>(b)
Name of MSE Supplier</t>
        </is>
      </c>
      <c r="C4" s="12" t="inlineStr">
        <is>
          <t>(c)
PAN of the Supplier</t>
        </is>
      </c>
      <c r="D4" s="12" t="inlineStr">
        <is>
          <t>(d)
Paid within 45 days</t>
        </is>
      </c>
      <c r="E4" s="13" t="n"/>
      <c r="F4" s="13" t="n"/>
      <c r="G4" s="13" t="n"/>
      <c r="H4" s="12" t="inlineStr">
        <is>
          <t>(e)
Paid after 45 days</t>
        </is>
      </c>
      <c r="I4" s="13" t="n"/>
      <c r="J4" s="12" t="inlineStr">
        <is>
          <t>(f)
Outstanding for 45 days or less</t>
        </is>
      </c>
      <c r="K4" s="13" t="n"/>
      <c r="L4" s="12" t="inlineStr">
        <is>
          <t>(g)
Outstanding for more than 45 days</t>
        </is>
      </c>
      <c r="M4" s="13" t="n"/>
      <c r="N4" s="12" t="inlineStr">
        <is>
          <t>(h)
Reason for delay in payment / amount outstanding</t>
        </is>
      </c>
    </row>
    <row r="5">
      <c r="A5" s="13" t="n"/>
      <c r="B5" s="13" t="n"/>
      <c r="C5" s="13" t="n"/>
      <c r="D5" s="12" t="inlineStr">
        <is>
          <t>Through TReDS (i)</t>
        </is>
      </c>
      <c r="E5" s="13" t="n"/>
      <c r="F5" s="12" t="inlineStr">
        <is>
          <t>Other mode of payments (ii)</t>
        </is>
      </c>
      <c r="G5" s="13" t="n"/>
      <c r="H5" s="13" t="n"/>
      <c r="I5" s="13" t="n"/>
      <c r="J5" s="13" t="n"/>
      <c r="K5" s="13" t="n"/>
      <c r="L5" s="13" t="n"/>
      <c r="M5" s="13" t="n"/>
      <c r="N5" s="13" t="n"/>
    </row>
    <row r="6">
      <c r="A6" s="13" t="n"/>
      <c r="B6" s="13" t="n"/>
      <c r="C6" s="13" t="n"/>
      <c r="D6" s="12" t="inlineStr">
        <is>
          <t>No.</t>
        </is>
      </c>
      <c r="E6" s="12" t="inlineStr">
        <is>
          <t>Amount (Rs.)</t>
        </is>
      </c>
      <c r="F6" s="12" t="inlineStr">
        <is>
          <t>No.</t>
        </is>
      </c>
      <c r="G6" s="12" t="inlineStr">
        <is>
          <t>Amount (Rs.)</t>
        </is>
      </c>
      <c r="H6" s="12" t="inlineStr">
        <is>
          <t>No.</t>
        </is>
      </c>
      <c r="I6" s="12" t="inlineStr">
        <is>
          <t>Amount (Rs.)</t>
        </is>
      </c>
      <c r="J6" s="12" t="inlineStr">
        <is>
          <t>No.</t>
        </is>
      </c>
      <c r="K6" s="12" t="inlineStr">
        <is>
          <t>Amount (Rs.)</t>
        </is>
      </c>
      <c r="L6" s="12" t="inlineStr">
        <is>
          <t>No.</t>
        </is>
      </c>
      <c r="M6" s="12" t="inlineStr">
        <is>
          <t>Amount (Rs.)</t>
        </is>
      </c>
      <c r="N6" s="13" t="n"/>
    </row>
    <row r="7">
      <c r="A7" s="14" t="n">
        <v>1</v>
      </c>
      <c r="B7" s="14" t="inlineStr">
        <is>
          <t>Anand Die Casting</t>
        </is>
      </c>
      <c r="C7" s="14" t="inlineStr">
        <is>
          <t>EFGHJ5678K</t>
        </is>
      </c>
      <c r="D7" s="14" t="n">
        <v>2</v>
      </c>
      <c r="E7" s="15" t="n">
        <v>132400</v>
      </c>
      <c r="F7" s="14" t="n">
        <v>3</v>
      </c>
      <c r="G7" s="15" t="n">
        <v>534000</v>
      </c>
      <c r="H7" s="14" t="n">
        <v>0</v>
      </c>
      <c r="I7" s="15" t="n">
        <v>0</v>
      </c>
      <c r="J7" s="14" t="n">
        <v>2</v>
      </c>
      <c r="K7" s="15" t="n">
        <v>197400</v>
      </c>
      <c r="L7" s="14" t="n">
        <v>5</v>
      </c>
      <c r="M7" s="15" t="n">
        <v>959200</v>
      </c>
      <c r="N7" s="14" t="inlineStr"/>
    </row>
    <row r="8">
      <c r="A8" s="14" t="n">
        <v>2</v>
      </c>
      <c r="B8" s="14" t="inlineStr">
        <is>
          <t>Kaveri Packaging</t>
        </is>
      </c>
      <c r="C8" s="14" t="inlineStr">
        <is>
          <t>BCDEF2345G</t>
        </is>
      </c>
      <c r="D8" s="14" t="n">
        <v>0</v>
      </c>
      <c r="E8" s="15" t="n">
        <v>0</v>
      </c>
      <c r="F8" s="14" t="n">
        <v>0</v>
      </c>
      <c r="G8" s="15" t="n">
        <v>0</v>
      </c>
      <c r="H8" s="14" t="n">
        <v>2</v>
      </c>
      <c r="I8" s="15" t="n">
        <v>239600</v>
      </c>
      <c r="J8" s="14" t="n">
        <v>1</v>
      </c>
      <c r="K8" s="15" t="n">
        <v>250000</v>
      </c>
      <c r="L8" s="14" t="n">
        <v>3</v>
      </c>
      <c r="M8" s="15" t="n">
        <v>530400</v>
      </c>
      <c r="N8" s="14" t="inlineStr"/>
    </row>
    <row r="9">
      <c r="A9" s="14" t="n">
        <v>3</v>
      </c>
      <c r="B9" s="14" t="inlineStr">
        <is>
          <t>Sri Lakshmi Plastics</t>
        </is>
      </c>
      <c r="C9" s="14" t="inlineStr">
        <is>
          <t>ABCDE1234F</t>
        </is>
      </c>
      <c r="D9" s="14" t="n">
        <v>2</v>
      </c>
      <c r="E9" s="15" t="n">
        <v>337800</v>
      </c>
      <c r="F9" s="14" t="n">
        <v>1</v>
      </c>
      <c r="G9" s="15" t="n">
        <v>279000</v>
      </c>
      <c r="H9" s="14" t="n">
        <v>1</v>
      </c>
      <c r="I9" s="15" t="n">
        <v>280000</v>
      </c>
      <c r="J9" s="14" t="n">
        <v>1</v>
      </c>
      <c r="K9" s="15" t="n">
        <v>22000</v>
      </c>
      <c r="L9" s="14" t="n">
        <v>7</v>
      </c>
      <c r="M9" s="15" t="n">
        <v>1048200</v>
      </c>
      <c r="N9" s="14" t="inlineStr"/>
    </row>
    <row r="10">
      <c r="A10" s="14" t="n">
        <v>4</v>
      </c>
      <c r="B10" s="14" t="inlineStr">
        <is>
          <t>Surya Cartons</t>
        </is>
      </c>
      <c r="C10" s="14" t="inlineStr">
        <is>
          <t>FGHJK6789L</t>
        </is>
      </c>
      <c r="D10" s="14" t="n">
        <v>0</v>
      </c>
      <c r="E10" s="15" t="n">
        <v>0</v>
      </c>
      <c r="F10" s="14" t="n">
        <v>0</v>
      </c>
      <c r="G10" s="15" t="n">
        <v>0</v>
      </c>
      <c r="H10" s="14" t="n">
        <v>3</v>
      </c>
      <c r="I10" s="15" t="n">
        <v>579000</v>
      </c>
      <c r="J10" s="14" t="n">
        <v>0</v>
      </c>
      <c r="K10" s="15" t="n">
        <v>0</v>
      </c>
      <c r="L10" s="14" t="n">
        <v>5</v>
      </c>
      <c r="M10" s="15" t="n">
        <v>977600</v>
      </c>
      <c r="N10" s="14" t="inlineStr"/>
    </row>
    <row r="11">
      <c r="A11" s="13" t="n"/>
      <c r="B11" s="16" t="inlineStr">
        <is>
          <t>Total</t>
        </is>
      </c>
      <c r="C11" s="13" t="n"/>
      <c r="D11" s="17">
        <f>SUM(D7:D10)</f>
        <v/>
      </c>
      <c r="E11" s="18">
        <f>SUM(E7:E10)</f>
        <v/>
      </c>
      <c r="F11" s="17">
        <f>SUM(F7:F10)</f>
        <v/>
      </c>
      <c r="G11" s="18">
        <f>SUM(G7:G10)</f>
        <v/>
      </c>
      <c r="H11" s="17">
        <f>SUM(H7:H10)</f>
        <v/>
      </c>
      <c r="I11" s="18">
        <f>SUM(I7:I10)</f>
        <v/>
      </c>
      <c r="J11" s="17">
        <f>SUM(J7:J10)</f>
        <v/>
      </c>
      <c r="K11" s="18">
        <f>SUM(K7:K10)</f>
        <v/>
      </c>
      <c r="L11" s="17">
        <f>SUM(L7:L10)</f>
        <v/>
      </c>
      <c r="M11" s="18">
        <f>SUM(M7:M10)</f>
        <v/>
      </c>
      <c r="N11" s="13" t="n"/>
    </row>
  </sheetData>
  <mergeCells count="20">
    <mergeCell ref="J4:K5"/>
    <mergeCell ref="L4:M5"/>
    <mergeCell ref="L6"/>
    <mergeCell ref="K6"/>
    <mergeCell ref="A4:A6"/>
    <mergeCell ref="B4:B6"/>
    <mergeCell ref="F5:G5"/>
    <mergeCell ref="I6"/>
    <mergeCell ref="F6"/>
    <mergeCell ref="N4:N6"/>
    <mergeCell ref="H4:I5"/>
    <mergeCell ref="H6"/>
    <mergeCell ref="D6"/>
    <mergeCell ref="J6"/>
    <mergeCell ref="G6"/>
    <mergeCell ref="C4:C6"/>
    <mergeCell ref="D5:E5"/>
    <mergeCell ref="M6"/>
    <mergeCell ref="E6"/>
    <mergeCell ref="D4:G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1" customWidth="1" min="5" max="5"/>
    <col width="12" customWidth="1" min="6" max="6"/>
    <col width="12.45" customWidth="1" min="7" max="7"/>
    <col width="13.4" customWidth="1" min="8" max="8"/>
    <col width="12" customWidth="1" min="9" max="9"/>
    <col width="14" customWidth="1" min="10" max="10"/>
    <col width="13" customWidth="1" min="11" max="11"/>
    <col width="13.4" customWidth="1" min="12" max="12"/>
    <col width="11" customWidth="1" min="13" max="13"/>
    <col width="14" customWidth="1" min="14" max="14"/>
    <col width="18.15" customWidth="1" min="15" max="15"/>
    <col width="13.4" customWidth="1" min="16" max="16"/>
    <col width="10" customWidth="1" min="17" max="17"/>
    <col width="12" customWidth="1" min="18" max="18"/>
    <col width="12" customWidth="1" min="19" max="19"/>
    <col width="21" customWidth="1" min="20" max="20"/>
    <col width="21.95" customWidth="1" min="21" max="21"/>
  </cols>
  <sheetData>
    <row r="1" ht="32" customHeight="1">
      <c r="A1" s="1" t="inlineStr">
        <is>
          <t>Bill No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Covered</t>
        </is>
      </c>
      <c r="E1" s="1" t="inlineStr">
        <is>
          <t>Branch</t>
        </is>
      </c>
      <c r="F1" s="1" t="inlineStr">
        <is>
          <t>Bill Date</t>
        </is>
      </c>
      <c r="G1" s="1" t="inlineStr">
        <is>
          <t>Accepted On</t>
        </is>
      </c>
      <c r="H1" s="1" t="inlineStr">
        <is>
          <t>Days Allowed</t>
        </is>
      </c>
      <c r="I1" s="1" t="inlineStr">
        <is>
          <t>Due Date</t>
        </is>
      </c>
      <c r="J1" s="1" t="inlineStr">
        <is>
          <t>Bill Amount</t>
        </is>
      </c>
      <c r="K1" s="1" t="inlineStr">
        <is>
          <t>Paid</t>
        </is>
      </c>
      <c r="L1" s="1" t="inlineStr">
        <is>
          <t>Paid On Time</t>
        </is>
      </c>
      <c r="M1" s="1" t="inlineStr">
        <is>
          <t>Paid Late</t>
        </is>
      </c>
      <c r="N1" s="1" t="inlineStr">
        <is>
          <t>Outstanding</t>
        </is>
      </c>
      <c r="O1" s="1" t="inlineStr">
        <is>
          <t>Last Payment Date</t>
        </is>
      </c>
      <c r="P1" s="1" t="inlineStr">
        <is>
          <t>Days Overdue</t>
        </is>
      </c>
      <c r="Q1" s="1" t="inlineStr">
        <is>
          <t>Status</t>
        </is>
      </c>
      <c r="R1" s="1" t="inlineStr">
        <is>
          <t>Age Bucket</t>
        </is>
      </c>
      <c r="S1" s="1" t="inlineStr">
        <is>
          <t>PAN</t>
        </is>
      </c>
      <c r="T1" s="1" t="inlineStr">
        <is>
          <t>Udyam Number</t>
        </is>
      </c>
      <c r="U1" s="1" t="inlineStr">
        <is>
          <t>Days Since Acceptance</t>
        </is>
      </c>
    </row>
    <row r="2">
      <c r="A2" s="2" t="inlineStr">
        <is>
          <t>INV-0060</t>
        </is>
      </c>
      <c r="B2" s="2" t="inlineStr">
        <is>
          <t>Anand Die Casting</t>
        </is>
      </c>
      <c r="C2" s="2" t="inlineStr">
        <is>
          <t>Micro</t>
        </is>
      </c>
      <c r="D2" s="2" t="b">
        <v>1</v>
      </c>
      <c r="E2" s="2" t="inlineStr">
        <is>
          <t>Pune</t>
        </is>
      </c>
      <c r="F2" s="19" t="n">
        <v>45938</v>
      </c>
      <c r="G2" s="19" t="n">
        <v>45942</v>
      </c>
      <c r="H2" s="2" t="n">
        <v>45</v>
      </c>
      <c r="I2" s="19" t="n">
        <v>45987</v>
      </c>
      <c r="J2" s="20" t="n">
        <v>185000</v>
      </c>
      <c r="K2" s="20" t="n">
        <v>0</v>
      </c>
      <c r="L2" s="20" t="n">
        <v>0</v>
      </c>
      <c r="M2" s="20" t="n">
        <v>0</v>
      </c>
      <c r="N2" s="20" t="n">
        <v>185000</v>
      </c>
      <c r="O2" s="19" t="inlineStr"/>
      <c r="P2" s="2" t="n">
        <v>308</v>
      </c>
      <c r="Q2" s="5" t="inlineStr">
        <is>
          <t>Overdue</t>
        </is>
      </c>
      <c r="R2" s="2" t="inlineStr">
        <is>
          <t>90+ days</t>
        </is>
      </c>
      <c r="S2" s="2" t="inlineStr">
        <is>
          <t>EFGHJ5678K</t>
        </is>
      </c>
      <c r="T2" s="2" t="inlineStr">
        <is>
          <t>UDYAM-TN-02-0045678</t>
        </is>
      </c>
      <c r="U2" s="2" t="n">
        <v>353</v>
      </c>
    </row>
    <row r="3">
      <c r="A3" s="6" t="inlineStr">
        <is>
          <t>INV-0050</t>
        </is>
      </c>
      <c r="B3" s="6" t="inlineStr">
        <is>
          <t>Anand Die Casting</t>
        </is>
      </c>
      <c r="C3" s="6" t="inlineStr">
        <is>
          <t>Micro</t>
        </is>
      </c>
      <c r="D3" s="6" t="b">
        <v>1</v>
      </c>
      <c r="E3" s="6" t="inlineStr">
        <is>
          <t>Hyderabad</t>
        </is>
      </c>
      <c r="F3" s="21" t="n">
        <v>46162</v>
      </c>
      <c r="G3" s="21" t="n">
        <v>46165</v>
      </c>
      <c r="H3" s="6" t="n">
        <v>45</v>
      </c>
      <c r="I3" s="21" t="n">
        <v>46210</v>
      </c>
      <c r="J3" s="22" t="n">
        <v>192000</v>
      </c>
      <c r="K3" s="22" t="n">
        <v>0</v>
      </c>
      <c r="L3" s="22" t="n">
        <v>0</v>
      </c>
      <c r="M3" s="22" t="n">
        <v>0</v>
      </c>
      <c r="N3" s="22" t="n">
        <v>192000</v>
      </c>
      <c r="O3" s="21" t="inlineStr"/>
      <c r="P3" s="6" t="n">
        <v>85</v>
      </c>
      <c r="Q3" s="5" t="inlineStr">
        <is>
          <t>Overdue</t>
        </is>
      </c>
      <c r="R3" s="6" t="inlineStr">
        <is>
          <t>46-90 days</t>
        </is>
      </c>
      <c r="S3" s="6" t="inlineStr">
        <is>
          <t>EFGHJ5678K</t>
        </is>
      </c>
      <c r="T3" s="6" t="inlineStr">
        <is>
          <t>UDYAM-TN-02-0045678</t>
        </is>
      </c>
      <c r="U3" s="6" t="n">
        <v>130</v>
      </c>
    </row>
    <row r="4">
      <c r="A4" s="2" t="inlineStr">
        <is>
          <t>INV-0059</t>
        </is>
      </c>
      <c r="B4" s="2" t="inlineStr">
        <is>
          <t>Anand Die Casting</t>
        </is>
      </c>
      <c r="C4" s="2" t="inlineStr">
        <is>
          <t>Micro</t>
        </is>
      </c>
      <c r="D4" s="2" t="b">
        <v>1</v>
      </c>
      <c r="E4" s="2" t="inlineStr">
        <is>
          <t>Hyderabad</t>
        </is>
      </c>
      <c r="F4" s="19" t="n">
        <v>46209</v>
      </c>
      <c r="G4" s="19" t="n">
        <v>46209</v>
      </c>
      <c r="H4" s="2" t="n">
        <v>45</v>
      </c>
      <c r="I4" s="19" t="n">
        <v>46254</v>
      </c>
      <c r="J4" s="20" t="n">
        <v>122000</v>
      </c>
      <c r="K4" s="20" t="n">
        <v>48800</v>
      </c>
      <c r="L4" s="20" t="n">
        <v>48800</v>
      </c>
      <c r="M4" s="20" t="n">
        <v>0</v>
      </c>
      <c r="N4" s="20" t="n">
        <v>73200</v>
      </c>
      <c r="O4" s="19" t="n">
        <v>46252</v>
      </c>
      <c r="P4" s="2" t="n">
        <v>41</v>
      </c>
      <c r="Q4" s="5" t="inlineStr">
        <is>
          <t>Overdue</t>
        </is>
      </c>
      <c r="R4" s="2" t="inlineStr">
        <is>
          <t>31-45 days</t>
        </is>
      </c>
      <c r="S4" s="2" t="inlineStr">
        <is>
          <t>EFGHJ5678K</t>
        </is>
      </c>
      <c r="T4" s="2" t="inlineStr">
        <is>
          <t>UDYAM-TN-02-0045678</t>
        </is>
      </c>
      <c r="U4" s="2" t="n">
        <v>86</v>
      </c>
    </row>
    <row r="5">
      <c r="A5" s="6" t="inlineStr">
        <is>
          <t>INV-0057</t>
        </is>
      </c>
      <c r="B5" s="6" t="inlineStr">
        <is>
          <t>Anand Die Casting</t>
        </is>
      </c>
      <c r="C5" s="6" t="inlineStr">
        <is>
          <t>Micro</t>
        </is>
      </c>
      <c r="D5" s="6" t="b">
        <v>1</v>
      </c>
      <c r="E5" s="6" t="inlineStr">
        <is>
          <t>Pune</t>
        </is>
      </c>
      <c r="F5" s="21" t="n">
        <v>46217</v>
      </c>
      <c r="G5" s="21" t="n">
        <v>46217</v>
      </c>
      <c r="H5" s="6" t="n">
        <v>45</v>
      </c>
      <c r="I5" s="21" t="n">
        <v>46262</v>
      </c>
      <c r="J5" s="22" t="n">
        <v>352000</v>
      </c>
      <c r="K5" s="22" t="n">
        <v>0</v>
      </c>
      <c r="L5" s="22" t="n">
        <v>0</v>
      </c>
      <c r="M5" s="22" t="n">
        <v>0</v>
      </c>
      <c r="N5" s="22" t="n">
        <v>352000</v>
      </c>
      <c r="O5" s="21" t="inlineStr"/>
      <c r="P5" s="6" t="n">
        <v>33</v>
      </c>
      <c r="Q5" s="5" t="inlineStr">
        <is>
          <t>Overdue</t>
        </is>
      </c>
      <c r="R5" s="6" t="inlineStr">
        <is>
          <t>31-45 days</t>
        </is>
      </c>
      <c r="S5" s="6" t="inlineStr">
        <is>
          <t>EFGHJ5678K</t>
        </is>
      </c>
      <c r="T5" s="6" t="inlineStr">
        <is>
          <t>UDYAM-TN-02-0045678</t>
        </is>
      </c>
      <c r="U5" s="6" t="n">
        <v>78</v>
      </c>
    </row>
    <row r="6">
      <c r="A6" s="2" t="inlineStr">
        <is>
          <t>INV-0051</t>
        </is>
      </c>
      <c r="B6" s="2" t="inlineStr">
        <is>
          <t>Anand Die Casting</t>
        </is>
      </c>
      <c r="C6" s="2" t="inlineStr">
        <is>
          <t>Micro</t>
        </is>
      </c>
      <c r="D6" s="2" t="b">
        <v>1</v>
      </c>
      <c r="E6" s="2" t="inlineStr">
        <is>
          <t>Pune</t>
        </is>
      </c>
      <c r="F6" s="19" t="n">
        <v>46244</v>
      </c>
      <c r="G6" s="19" t="n">
        <v>46246</v>
      </c>
      <c r="H6" s="2" t="n">
        <v>45</v>
      </c>
      <c r="I6" s="19" t="n">
        <v>46291</v>
      </c>
      <c r="J6" s="20" t="n">
        <v>157000</v>
      </c>
      <c r="K6" s="20" t="n">
        <v>0</v>
      </c>
      <c r="L6" s="20" t="n">
        <v>0</v>
      </c>
      <c r="M6" s="20" t="n">
        <v>0</v>
      </c>
      <c r="N6" s="20" t="n">
        <v>157000</v>
      </c>
      <c r="O6" s="19" t="inlineStr"/>
      <c r="P6" s="2" t="n">
        <v>4</v>
      </c>
      <c r="Q6" s="5" t="inlineStr">
        <is>
          <t>Overdue</t>
        </is>
      </c>
      <c r="R6" s="2" t="inlineStr">
        <is>
          <t>1-15 days</t>
        </is>
      </c>
      <c r="S6" s="2" t="inlineStr">
        <is>
          <t>EFGHJ5678K</t>
        </is>
      </c>
      <c r="T6" s="2" t="inlineStr">
        <is>
          <t>UDYAM-TN-02-0045678</t>
        </is>
      </c>
      <c r="U6" s="2" t="n">
        <v>49</v>
      </c>
    </row>
    <row r="7">
      <c r="A7" s="6" t="inlineStr">
        <is>
          <t>INV-0017</t>
        </is>
      </c>
      <c r="B7" s="6" t="inlineStr">
        <is>
          <t>Kaveri Packaging</t>
        </is>
      </c>
      <c r="C7" s="6" t="inlineStr">
        <is>
          <t>Small</t>
        </is>
      </c>
      <c r="D7" s="6" t="b">
        <v>1</v>
      </c>
      <c r="E7" s="6" t="inlineStr">
        <is>
          <t>Hyderabad</t>
        </is>
      </c>
      <c r="F7" s="21" t="n">
        <v>45966</v>
      </c>
      <c r="G7" s="21" t="n">
        <v>45966</v>
      </c>
      <c r="H7" s="6" t="n">
        <v>15</v>
      </c>
      <c r="I7" s="21" t="n">
        <v>45981</v>
      </c>
      <c r="J7" s="22" t="n">
        <v>271000</v>
      </c>
      <c r="K7" s="22" t="n">
        <v>0</v>
      </c>
      <c r="L7" s="22" t="n">
        <v>0</v>
      </c>
      <c r="M7" s="22" t="n">
        <v>0</v>
      </c>
      <c r="N7" s="22" t="n">
        <v>271000</v>
      </c>
      <c r="O7" s="21" t="inlineStr"/>
      <c r="P7" s="6" t="n">
        <v>314</v>
      </c>
      <c r="Q7" s="5" t="inlineStr">
        <is>
          <t>Overdue</t>
        </is>
      </c>
      <c r="R7" s="6" t="inlineStr">
        <is>
          <t>90+ days</t>
        </is>
      </c>
      <c r="S7" s="6" t="inlineStr">
        <is>
          <t>BCDEF2345G</t>
        </is>
      </c>
      <c r="T7" s="6" t="inlineStr">
        <is>
          <t>UDYAM-TN-02-0023456</t>
        </is>
      </c>
      <c r="U7" s="6" t="n">
        <v>329</v>
      </c>
    </row>
    <row r="8">
      <c r="A8" s="2" t="inlineStr">
        <is>
          <t>INV-0019</t>
        </is>
      </c>
      <c r="B8" s="2" t="inlineStr">
        <is>
          <t>Kaveri Packaging</t>
        </is>
      </c>
      <c r="C8" s="2" t="inlineStr">
        <is>
          <t>Small</t>
        </is>
      </c>
      <c r="D8" s="2" t="b">
        <v>1</v>
      </c>
      <c r="E8" s="2" t="inlineStr">
        <is>
          <t>Cochin</t>
        </is>
      </c>
      <c r="F8" s="19" t="n">
        <v>46004</v>
      </c>
      <c r="G8" s="19" t="n">
        <v>46004</v>
      </c>
      <c r="H8" s="2" t="n">
        <v>15</v>
      </c>
      <c r="I8" s="19" t="n">
        <v>46019</v>
      </c>
      <c r="J8" s="20" t="n">
        <v>113000</v>
      </c>
      <c r="K8" s="20" t="n">
        <v>0</v>
      </c>
      <c r="L8" s="20" t="n">
        <v>0</v>
      </c>
      <c r="M8" s="20" t="n">
        <v>0</v>
      </c>
      <c r="N8" s="20" t="n">
        <v>113000</v>
      </c>
      <c r="O8" s="19" t="inlineStr"/>
      <c r="P8" s="2" t="n">
        <v>276</v>
      </c>
      <c r="Q8" s="5" t="inlineStr">
        <is>
          <t>Overdue</t>
        </is>
      </c>
      <c r="R8" s="2" t="inlineStr">
        <is>
          <t>90+ days</t>
        </is>
      </c>
      <c r="S8" s="2" t="inlineStr">
        <is>
          <t>BCDEF2345G</t>
        </is>
      </c>
      <c r="T8" s="2" t="inlineStr">
        <is>
          <t>UDYAM-TN-02-0023456</t>
        </is>
      </c>
      <c r="U8" s="2" t="n">
        <v>291</v>
      </c>
    </row>
    <row r="9">
      <c r="A9" s="6" t="inlineStr">
        <is>
          <t>INV-0014</t>
        </is>
      </c>
      <c r="B9" s="6" t="inlineStr">
        <is>
          <t>Kaveri Packaging</t>
        </is>
      </c>
      <c r="C9" s="6" t="inlineStr">
        <is>
          <t>Small</t>
        </is>
      </c>
      <c r="D9" s="6" t="b">
        <v>1</v>
      </c>
      <c r="E9" s="6" t="inlineStr">
        <is>
          <t>Cochin</t>
        </is>
      </c>
      <c r="F9" s="21" t="n">
        <v>46080</v>
      </c>
      <c r="G9" s="21" t="n">
        <v>46082</v>
      </c>
      <c r="H9" s="6" t="n">
        <v>15</v>
      </c>
      <c r="I9" s="21" t="n">
        <v>46097</v>
      </c>
      <c r="J9" s="22" t="n">
        <v>244000</v>
      </c>
      <c r="K9" s="22" t="n">
        <v>97600</v>
      </c>
      <c r="L9" s="22" t="n">
        <v>0</v>
      </c>
      <c r="M9" s="22" t="n">
        <v>97600</v>
      </c>
      <c r="N9" s="22" t="n">
        <v>146400</v>
      </c>
      <c r="O9" s="21" t="n">
        <v>46128</v>
      </c>
      <c r="P9" s="6" t="n">
        <v>198</v>
      </c>
      <c r="Q9" s="5" t="inlineStr">
        <is>
          <t>Overdue</t>
        </is>
      </c>
      <c r="R9" s="6" t="inlineStr">
        <is>
          <t>90+ days</t>
        </is>
      </c>
      <c r="S9" s="6" t="inlineStr">
        <is>
          <t>BCDEF2345G</t>
        </is>
      </c>
      <c r="T9" s="6" t="inlineStr">
        <is>
          <t>UDYAM-TN-02-0023456</t>
        </is>
      </c>
      <c r="U9" s="6" t="n">
        <v>213</v>
      </c>
    </row>
    <row r="10">
      <c r="A10" s="2" t="inlineStr">
        <is>
          <t>INV-0009</t>
        </is>
      </c>
      <c r="B10" s="2" t="inlineStr">
        <is>
          <t>Sri Lakshmi Plastics</t>
        </is>
      </c>
      <c r="C10" s="2" t="inlineStr">
        <is>
          <t>Micro</t>
        </is>
      </c>
      <c r="D10" s="2" t="b">
        <v>1</v>
      </c>
      <c r="E10" s="2" t="inlineStr">
        <is>
          <t>Chennai</t>
        </is>
      </c>
      <c r="F10" s="19" t="n">
        <v>45932</v>
      </c>
      <c r="G10" s="19" t="n">
        <v>45932</v>
      </c>
      <c r="H10" s="2" t="n">
        <v>30</v>
      </c>
      <c r="I10" s="19" t="n">
        <v>45962</v>
      </c>
      <c r="J10" s="20" t="n">
        <v>272000</v>
      </c>
      <c r="K10" s="20" t="n">
        <v>0</v>
      </c>
      <c r="L10" s="20" t="n">
        <v>0</v>
      </c>
      <c r="M10" s="20" t="n">
        <v>0</v>
      </c>
      <c r="N10" s="20" t="n">
        <v>272000</v>
      </c>
      <c r="O10" s="19" t="inlineStr"/>
      <c r="P10" s="2" t="n">
        <v>333</v>
      </c>
      <c r="Q10" s="5" t="inlineStr">
        <is>
          <t>Overdue</t>
        </is>
      </c>
      <c r="R10" s="2" t="inlineStr">
        <is>
          <t>90+ days</t>
        </is>
      </c>
      <c r="S10" s="2" t="inlineStr">
        <is>
          <t>ABCDE1234F</t>
        </is>
      </c>
      <c r="T10" s="2" t="inlineStr">
        <is>
          <t>UDYAM-TN-02-0012345</t>
        </is>
      </c>
      <c r="U10" s="2" t="n">
        <v>363</v>
      </c>
    </row>
    <row r="11">
      <c r="A11" s="6" t="inlineStr">
        <is>
          <t>INV-0006</t>
        </is>
      </c>
      <c r="B11" s="6" t="inlineStr">
        <is>
          <t>Sri Lakshmi Plastics</t>
        </is>
      </c>
      <c r="C11" s="6" t="inlineStr">
        <is>
          <t>Micro</t>
        </is>
      </c>
      <c r="D11" s="6" t="b">
        <v>1</v>
      </c>
      <c r="E11" s="6" t="inlineStr">
        <is>
          <t>Cochin</t>
        </is>
      </c>
      <c r="F11" s="21" t="n">
        <v>45947</v>
      </c>
      <c r="G11" s="21" t="n">
        <v>45947</v>
      </c>
      <c r="H11" s="6" t="n">
        <v>30</v>
      </c>
      <c r="I11" s="21" t="n">
        <v>45977</v>
      </c>
      <c r="J11" s="22" t="n">
        <v>73000</v>
      </c>
      <c r="K11" s="22" t="n">
        <v>0</v>
      </c>
      <c r="L11" s="22" t="n">
        <v>0</v>
      </c>
      <c r="M11" s="22" t="n">
        <v>0</v>
      </c>
      <c r="N11" s="22" t="n">
        <v>73000</v>
      </c>
      <c r="O11" s="21" t="inlineStr"/>
      <c r="P11" s="6" t="n">
        <v>318</v>
      </c>
      <c r="Q11" s="5" t="inlineStr">
        <is>
          <t>Overdue</t>
        </is>
      </c>
      <c r="R11" s="6" t="inlineStr">
        <is>
          <t>90+ days</t>
        </is>
      </c>
      <c r="S11" s="6" t="inlineStr">
        <is>
          <t>ABCDE1234F</t>
        </is>
      </c>
      <c r="T11" s="6" t="inlineStr">
        <is>
          <t>UDYAM-TN-02-0012345</t>
        </is>
      </c>
      <c r="U11" s="6" t="n">
        <v>348</v>
      </c>
    </row>
    <row r="12">
      <c r="A12" s="2" t="inlineStr">
        <is>
          <t>INV-0010</t>
        </is>
      </c>
      <c r="B12" s="2" t="inlineStr">
        <is>
          <t>Sri Lakshmi Plastics</t>
        </is>
      </c>
      <c r="C12" s="2" t="inlineStr">
        <is>
          <t>Micro</t>
        </is>
      </c>
      <c r="D12" s="2" t="b">
        <v>1</v>
      </c>
      <c r="E12" s="2" t="inlineStr">
        <is>
          <t>Cochin</t>
        </is>
      </c>
      <c r="F12" s="19" t="n">
        <v>46001</v>
      </c>
      <c r="G12" s="19" t="n">
        <v>46004</v>
      </c>
      <c r="H12" s="2" t="n">
        <v>30</v>
      </c>
      <c r="I12" s="19" t="n">
        <v>46034</v>
      </c>
      <c r="J12" s="20" t="n">
        <v>213000</v>
      </c>
      <c r="K12" s="20" t="n">
        <v>0</v>
      </c>
      <c r="L12" s="20" t="n">
        <v>0</v>
      </c>
      <c r="M12" s="20" t="n">
        <v>0</v>
      </c>
      <c r="N12" s="20" t="n">
        <v>213000</v>
      </c>
      <c r="O12" s="19" t="inlineStr"/>
      <c r="P12" s="2" t="n">
        <v>261</v>
      </c>
      <c r="Q12" s="5" t="inlineStr">
        <is>
          <t>Overdue</t>
        </is>
      </c>
      <c r="R12" s="2" t="inlineStr">
        <is>
          <t>90+ days</t>
        </is>
      </c>
      <c r="S12" s="2" t="inlineStr">
        <is>
          <t>ABCDE1234F</t>
        </is>
      </c>
      <c r="T12" s="2" t="inlineStr">
        <is>
          <t>UDYAM-TN-02-0012345</t>
        </is>
      </c>
      <c r="U12" s="2" t="n">
        <v>291</v>
      </c>
    </row>
    <row r="13">
      <c r="A13" s="6" t="inlineStr">
        <is>
          <t>INV-0013</t>
        </is>
      </c>
      <c r="B13" s="6" t="inlineStr">
        <is>
          <t>Sri Lakshmi Plastics</t>
        </is>
      </c>
      <c r="C13" s="6" t="inlineStr">
        <is>
          <t>Micro</t>
        </is>
      </c>
      <c r="D13" s="6" t="b">
        <v>1</v>
      </c>
      <c r="E13" s="6" t="inlineStr">
        <is>
          <t>Pune</t>
        </is>
      </c>
      <c r="F13" s="21" t="n">
        <v>46078</v>
      </c>
      <c r="G13" s="21" t="n">
        <v>46079</v>
      </c>
      <c r="H13" s="6" t="n">
        <v>30</v>
      </c>
      <c r="I13" s="21" t="n">
        <v>46109</v>
      </c>
      <c r="J13" s="22" t="n">
        <v>105000</v>
      </c>
      <c r="K13" s="22" t="n">
        <v>0</v>
      </c>
      <c r="L13" s="22" t="n">
        <v>0</v>
      </c>
      <c r="M13" s="22" t="n">
        <v>0</v>
      </c>
      <c r="N13" s="22" t="n">
        <v>105000</v>
      </c>
      <c r="O13" s="21" t="inlineStr"/>
      <c r="P13" s="6" t="n">
        <v>186</v>
      </c>
      <c r="Q13" s="5" t="inlineStr">
        <is>
          <t>Overdue</t>
        </is>
      </c>
      <c r="R13" s="6" t="inlineStr">
        <is>
          <t>90+ days</t>
        </is>
      </c>
      <c r="S13" s="6" t="inlineStr">
        <is>
          <t>ABCDE1234F</t>
        </is>
      </c>
      <c r="T13" s="6" t="inlineStr">
        <is>
          <t>UDYAM-TN-02-0012345</t>
        </is>
      </c>
      <c r="U13" s="6" t="n">
        <v>216</v>
      </c>
    </row>
    <row r="14">
      <c r="A14" s="2" t="inlineStr">
        <is>
          <t>INV-0011</t>
        </is>
      </c>
      <c r="B14" s="2" t="inlineStr">
        <is>
          <t>Sri Lakshmi Plastics</t>
        </is>
      </c>
      <c r="C14" s="2" t="inlineStr">
        <is>
          <t>Micro</t>
        </is>
      </c>
      <c r="D14" s="2" t="b">
        <v>1</v>
      </c>
      <c r="E14" s="2" t="inlineStr">
        <is>
          <t>Cochin</t>
        </is>
      </c>
      <c r="F14" s="19" t="n">
        <v>46110</v>
      </c>
      <c r="G14" s="19" t="n">
        <v>46110</v>
      </c>
      <c r="H14" s="2" t="n">
        <v>30</v>
      </c>
      <c r="I14" s="19" t="n">
        <v>46140</v>
      </c>
      <c r="J14" s="20" t="n">
        <v>54000</v>
      </c>
      <c r="K14" s="20" t="n">
        <v>0</v>
      </c>
      <c r="L14" s="20" t="n">
        <v>0</v>
      </c>
      <c r="M14" s="20" t="n">
        <v>0</v>
      </c>
      <c r="N14" s="20" t="n">
        <v>54000</v>
      </c>
      <c r="O14" s="19" t="inlineStr"/>
      <c r="P14" s="2" t="n">
        <v>155</v>
      </c>
      <c r="Q14" s="5" t="inlineStr">
        <is>
          <t>Overdue</t>
        </is>
      </c>
      <c r="R14" s="2" t="inlineStr">
        <is>
          <t>90+ days</t>
        </is>
      </c>
      <c r="S14" s="2" t="inlineStr">
        <is>
          <t>ABCDE1234F</t>
        </is>
      </c>
      <c r="T14" s="2" t="inlineStr">
        <is>
          <t>UDYAM-TN-02-0012345</t>
        </is>
      </c>
      <c r="U14" s="2" t="n">
        <v>185</v>
      </c>
    </row>
    <row r="15">
      <c r="A15" s="6" t="inlineStr">
        <is>
          <t>INV-0004</t>
        </is>
      </c>
      <c r="B15" s="6" t="inlineStr">
        <is>
          <t>Sri Lakshmi Plastics</t>
        </is>
      </c>
      <c r="C15" s="6" t="inlineStr">
        <is>
          <t>Micro</t>
        </is>
      </c>
      <c r="D15" s="6" t="b">
        <v>1</v>
      </c>
      <c r="E15" s="6" t="inlineStr">
        <is>
          <t>Cochin</t>
        </is>
      </c>
      <c r="F15" s="21" t="n">
        <v>46122</v>
      </c>
      <c r="G15" s="21" t="n">
        <v>46126</v>
      </c>
      <c r="H15" s="6" t="n">
        <v>30</v>
      </c>
      <c r="I15" s="21" t="n">
        <v>46156</v>
      </c>
      <c r="J15" s="22" t="n">
        <v>213000</v>
      </c>
      <c r="K15" s="22" t="n">
        <v>0</v>
      </c>
      <c r="L15" s="22" t="n">
        <v>0</v>
      </c>
      <c r="M15" s="22" t="n">
        <v>0</v>
      </c>
      <c r="N15" s="22" t="n">
        <v>213000</v>
      </c>
      <c r="O15" s="21" t="inlineStr"/>
      <c r="P15" s="6" t="n">
        <v>139</v>
      </c>
      <c r="Q15" s="5" t="inlineStr">
        <is>
          <t>Overdue</t>
        </is>
      </c>
      <c r="R15" s="6" t="inlineStr">
        <is>
          <t>90+ days</t>
        </is>
      </c>
      <c r="S15" s="6" t="inlineStr">
        <is>
          <t>ABCDE1234F</t>
        </is>
      </c>
      <c r="T15" s="6" t="inlineStr">
        <is>
          <t>UDYAM-TN-02-0012345</t>
        </is>
      </c>
      <c r="U15" s="6" t="n">
        <v>169</v>
      </c>
    </row>
    <row r="16">
      <c r="A16" s="2" t="inlineStr">
        <is>
          <t>INV-0005</t>
        </is>
      </c>
      <c r="B16" s="2" t="inlineStr">
        <is>
          <t>Sri Lakshmi Plastics</t>
        </is>
      </c>
      <c r="C16" s="2" t="inlineStr">
        <is>
          <t>Micro</t>
        </is>
      </c>
      <c r="D16" s="2" t="b">
        <v>1</v>
      </c>
      <c r="E16" s="2" t="inlineStr">
        <is>
          <t>Chennai</t>
        </is>
      </c>
      <c r="F16" s="19" t="n">
        <v>46167</v>
      </c>
      <c r="G16" s="19" t="n">
        <v>46167</v>
      </c>
      <c r="H16" s="2" t="n">
        <v>30</v>
      </c>
      <c r="I16" s="19" t="n">
        <v>46197</v>
      </c>
      <c r="J16" s="20" t="n">
        <v>197000</v>
      </c>
      <c r="K16" s="20" t="n">
        <v>78800</v>
      </c>
      <c r="L16" s="20" t="n">
        <v>78800</v>
      </c>
      <c r="M16" s="20" t="n">
        <v>0</v>
      </c>
      <c r="N16" s="20" t="n">
        <v>118200</v>
      </c>
      <c r="O16" s="19" t="n">
        <v>46181</v>
      </c>
      <c r="P16" s="2" t="n">
        <v>98</v>
      </c>
      <c r="Q16" s="5" t="inlineStr">
        <is>
          <t>Overdue</t>
        </is>
      </c>
      <c r="R16" s="2" t="inlineStr">
        <is>
          <t>90+ days</t>
        </is>
      </c>
      <c r="S16" s="2" t="inlineStr">
        <is>
          <t>ABCDE1234F</t>
        </is>
      </c>
      <c r="T16" s="2" t="inlineStr">
        <is>
          <t>UDYAM-TN-02-0012345</t>
        </is>
      </c>
      <c r="U16" s="2" t="n">
        <v>128</v>
      </c>
    </row>
    <row r="17">
      <c r="A17" s="6" t="inlineStr">
        <is>
          <t>INV-0070</t>
        </is>
      </c>
      <c r="B17" s="6" t="inlineStr">
        <is>
          <t>Surya Cartons</t>
        </is>
      </c>
      <c r="C17" s="6" t="inlineStr">
        <is>
          <t>Small</t>
        </is>
      </c>
      <c r="D17" s="6" t="b">
        <v>1</v>
      </c>
      <c r="E17" s="6" t="inlineStr">
        <is>
          <t>Chennai</t>
        </is>
      </c>
      <c r="F17" s="21" t="n">
        <v>45942</v>
      </c>
      <c r="G17" s="21" t="n">
        <v>45943</v>
      </c>
      <c r="H17" s="6" t="n">
        <v>45</v>
      </c>
      <c r="I17" s="21" t="n">
        <v>45988</v>
      </c>
      <c r="J17" s="22" t="n">
        <v>308000</v>
      </c>
      <c r="K17" s="22" t="n">
        <v>0</v>
      </c>
      <c r="L17" s="22" t="n">
        <v>0</v>
      </c>
      <c r="M17" s="22" t="n">
        <v>0</v>
      </c>
      <c r="N17" s="22" t="n">
        <v>308000</v>
      </c>
      <c r="O17" s="21" t="inlineStr"/>
      <c r="P17" s="6" t="n">
        <v>307</v>
      </c>
      <c r="Q17" s="5" t="inlineStr">
        <is>
          <t>Overdue</t>
        </is>
      </c>
      <c r="R17" s="6" t="inlineStr">
        <is>
          <t>90+ days</t>
        </is>
      </c>
      <c r="S17" s="6" t="inlineStr">
        <is>
          <t>FGHJK6789L</t>
        </is>
      </c>
      <c r="T17" s="6" t="inlineStr">
        <is>
          <t>UDYAM-MH-14-0056789</t>
        </is>
      </c>
      <c r="U17" s="6" t="n">
        <v>352</v>
      </c>
    </row>
    <row r="18">
      <c r="A18" s="2" t="inlineStr">
        <is>
          <t>INV-0061</t>
        </is>
      </c>
      <c r="B18" s="2" t="inlineStr">
        <is>
          <t>Surya Cartons</t>
        </is>
      </c>
      <c r="C18" s="2" t="inlineStr">
        <is>
          <t>Small</t>
        </is>
      </c>
      <c r="D18" s="2" t="b">
        <v>1</v>
      </c>
      <c r="E18" s="2" t="inlineStr">
        <is>
          <t>Cochin</t>
        </is>
      </c>
      <c r="F18" s="19" t="n">
        <v>45967</v>
      </c>
      <c r="G18" s="19" t="n">
        <v>45970</v>
      </c>
      <c r="H18" s="2" t="n">
        <v>45</v>
      </c>
      <c r="I18" s="19" t="n">
        <v>46015</v>
      </c>
      <c r="J18" s="20" t="n">
        <v>271000</v>
      </c>
      <c r="K18" s="20" t="n">
        <v>108400</v>
      </c>
      <c r="L18" s="20" t="n">
        <v>108400</v>
      </c>
      <c r="M18" s="20" t="n">
        <v>0</v>
      </c>
      <c r="N18" s="20" t="n">
        <v>162600</v>
      </c>
      <c r="O18" s="19" t="n">
        <v>46010</v>
      </c>
      <c r="P18" s="2" t="n">
        <v>280</v>
      </c>
      <c r="Q18" s="5" t="inlineStr">
        <is>
          <t>Overdue</t>
        </is>
      </c>
      <c r="R18" s="2" t="inlineStr">
        <is>
          <t>90+ days</t>
        </is>
      </c>
      <c r="S18" s="2" t="inlineStr">
        <is>
          <t>FGHJK6789L</t>
        </is>
      </c>
      <c r="T18" s="2" t="inlineStr">
        <is>
          <t>UDYAM-MH-14-0056789</t>
        </is>
      </c>
      <c r="U18" s="2" t="n">
        <v>325</v>
      </c>
    </row>
    <row r="19">
      <c r="A19" s="6" t="inlineStr">
        <is>
          <t>INV-0064</t>
        </is>
      </c>
      <c r="B19" s="6" t="inlineStr">
        <is>
          <t>Surya Cartons</t>
        </is>
      </c>
      <c r="C19" s="6" t="inlineStr">
        <is>
          <t>Small</t>
        </is>
      </c>
      <c r="D19" s="6" t="b">
        <v>1</v>
      </c>
      <c r="E19" s="6" t="inlineStr">
        <is>
          <t>Pune</t>
        </is>
      </c>
      <c r="F19" s="21" t="n">
        <v>46001</v>
      </c>
      <c r="G19" s="21" t="n">
        <v>46004</v>
      </c>
      <c r="H19" s="6" t="n">
        <v>45</v>
      </c>
      <c r="I19" s="21" t="n">
        <v>46049</v>
      </c>
      <c r="J19" s="22" t="n">
        <v>191000</v>
      </c>
      <c r="K19" s="22" t="n">
        <v>0</v>
      </c>
      <c r="L19" s="22" t="n">
        <v>0</v>
      </c>
      <c r="M19" s="22" t="n">
        <v>0</v>
      </c>
      <c r="N19" s="22" t="n">
        <v>191000</v>
      </c>
      <c r="O19" s="21" t="inlineStr"/>
      <c r="P19" s="6" t="n">
        <v>246</v>
      </c>
      <c r="Q19" s="5" t="inlineStr">
        <is>
          <t>Overdue</t>
        </is>
      </c>
      <c r="R19" s="6" t="inlineStr">
        <is>
          <t>90+ days</t>
        </is>
      </c>
      <c r="S19" s="6" t="inlineStr">
        <is>
          <t>FGHJK6789L</t>
        </is>
      </c>
      <c r="T19" s="6" t="inlineStr">
        <is>
          <t>UDYAM-MH-14-0056789</t>
        </is>
      </c>
      <c r="U19" s="6" t="n">
        <v>291</v>
      </c>
    </row>
    <row r="20">
      <c r="A20" s="2" t="inlineStr">
        <is>
          <t>INV-0066</t>
        </is>
      </c>
      <c r="B20" s="2" t="inlineStr">
        <is>
          <t>Surya Cartons</t>
        </is>
      </c>
      <c r="C20" s="2" t="inlineStr">
        <is>
          <t>Small</t>
        </is>
      </c>
      <c r="D20" s="2" t="b">
        <v>1</v>
      </c>
      <c r="E20" s="2" t="inlineStr">
        <is>
          <t>Hyderabad</t>
        </is>
      </c>
      <c r="F20" s="19" t="n">
        <v>46006</v>
      </c>
      <c r="G20" s="19" t="n">
        <v>46009</v>
      </c>
      <c r="H20" s="2" t="n">
        <v>45</v>
      </c>
      <c r="I20" s="19" t="n">
        <v>46054</v>
      </c>
      <c r="J20" s="20" t="n">
        <v>90000</v>
      </c>
      <c r="K20" s="20" t="n">
        <v>0</v>
      </c>
      <c r="L20" s="20" t="n">
        <v>0</v>
      </c>
      <c r="M20" s="20" t="n">
        <v>0</v>
      </c>
      <c r="N20" s="20" t="n">
        <v>90000</v>
      </c>
      <c r="O20" s="19" t="inlineStr"/>
      <c r="P20" s="2" t="n">
        <v>241</v>
      </c>
      <c r="Q20" s="5" t="inlineStr">
        <is>
          <t>Overdue</t>
        </is>
      </c>
      <c r="R20" s="2" t="inlineStr">
        <is>
          <t>90+ days</t>
        </is>
      </c>
      <c r="S20" s="2" t="inlineStr">
        <is>
          <t>FGHJK6789L</t>
        </is>
      </c>
      <c r="T20" s="2" t="inlineStr">
        <is>
          <t>UDYAM-MH-14-0056789</t>
        </is>
      </c>
      <c r="U20" s="2" t="n">
        <v>286</v>
      </c>
    </row>
    <row r="21">
      <c r="A21" s="6" t="inlineStr">
        <is>
          <t>INV-0068</t>
        </is>
      </c>
      <c r="B21" s="6" t="inlineStr">
        <is>
          <t>Surya Cartons</t>
        </is>
      </c>
      <c r="C21" s="6" t="inlineStr">
        <is>
          <t>Small</t>
        </is>
      </c>
      <c r="D21" s="6" t="b">
        <v>1</v>
      </c>
      <c r="E21" s="6" t="inlineStr">
        <is>
          <t>Hyderabad</t>
        </is>
      </c>
      <c r="F21" s="21" t="n">
        <v>46095</v>
      </c>
      <c r="G21" s="21" t="n">
        <v>46095</v>
      </c>
      <c r="H21" s="6" t="n">
        <v>45</v>
      </c>
      <c r="I21" s="21" t="n">
        <v>46140</v>
      </c>
      <c r="J21" s="22" t="n">
        <v>226000</v>
      </c>
      <c r="K21" s="22" t="n">
        <v>0</v>
      </c>
      <c r="L21" s="22" t="n">
        <v>0</v>
      </c>
      <c r="M21" s="22" t="n">
        <v>0</v>
      </c>
      <c r="N21" s="22" t="n">
        <v>226000</v>
      </c>
      <c r="O21" s="21" t="inlineStr"/>
      <c r="P21" s="6" t="n">
        <v>155</v>
      </c>
      <c r="Q21" s="5" t="inlineStr">
        <is>
          <t>Overdue</t>
        </is>
      </c>
      <c r="R21" s="6" t="inlineStr">
        <is>
          <t>90+ days</t>
        </is>
      </c>
      <c r="S21" s="6" t="inlineStr">
        <is>
          <t>FGHJK6789L</t>
        </is>
      </c>
      <c r="T21" s="6" t="inlineStr">
        <is>
          <t>UDYAM-MH-14-0056789</t>
        </is>
      </c>
      <c r="U21" s="6" t="n">
        <v>200</v>
      </c>
    </row>
    <row r="22">
      <c r="A22" s="9" t="inlineStr">
        <is>
          <t>Total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23">
        <f>SUBTOTAL(9,J2:J21)</f>
        <v/>
      </c>
      <c r="K22" s="23">
        <f>SUBTOTAL(9,K2:K21)</f>
        <v/>
      </c>
      <c r="L22" s="23">
        <f>SUBTOTAL(9,L2:L21)</f>
        <v/>
      </c>
      <c r="M22" s="23">
        <f>SUBTOTAL(9,M2:M21)</f>
        <v/>
      </c>
      <c r="N22" s="23">
        <f>SUBTOTAL(9,N2:N21)</f>
        <v/>
      </c>
      <c r="O22" s="9" t="n"/>
      <c r="P22" s="9" t="n"/>
      <c r="Q22" s="9" t="n"/>
      <c r="R22" s="9" t="n"/>
      <c r="S22" s="9" t="n"/>
      <c r="T22" s="9" t="n"/>
      <c r="U22" s="9" t="n"/>
    </row>
  </sheetData>
  <autoFilter ref="A1:U2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2026-10-24T14:43:53Z</dcterms:created>
  <dcterms:modified xmlns:dcterms="http://purl.org/dc/terms/" xmlns:xsi="http://www.w3.org/2001/XMLSchema-instance" xsi:type="dcterms:W3CDTF">2026-10-24T14:43:53Z</dcterms:modified>
</cp:coreProperties>
</file>