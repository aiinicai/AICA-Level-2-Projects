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 Action List" sheetId="1" state="visible" r:id="rId1"/>
    <sheet xmlns:r="http://schemas.openxmlformats.org/officeDocument/2006/relationships" name="Application Checks" sheetId="2" state="visible" r:id="rId2"/>
    <sheet xmlns:r="http://schemas.openxmlformats.org/officeDocument/2006/relationships" name="Confirmation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8F0FA"/>
      </patternFill>
    </fill>
    <fill>
      <patternFill patternType="solid">
        <fgColor rgb="00FFF3CD"/>
      </patternFill>
    </fill>
    <fill>
      <patternFill patternType="solid">
        <fgColor rgb="00FFF9E5"/>
      </patternFill>
    </fill>
    <fill>
      <patternFill patternType="solid">
        <fgColor rgb="00E3F4E8"/>
      </patternFill>
    </fill>
  </fills>
  <borders count="3">
    <border>
      <left/>
      <right/>
      <top/>
      <bottom/>
      <diagonal/>
    </border>
    <border>
      <bottom style="hair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2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34" customWidth="1" min="3" max="3"/>
    <col width="62" customWidth="1" min="4" max="4"/>
    <col width="28" customWidth="1" min="5" max="5"/>
    <col width="10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Sample Engineering Private Limited</t>
        </is>
      </c>
    </row>
    <row r="2">
      <c r="A2" s="2" t="inlineStr">
        <is>
          <t>Auditor action list for the year ended 31st March 2026</t>
        </is>
      </c>
    </row>
    <row r="3">
      <c r="A3" s="3" t="inlineStr">
        <is>
          <t>Framework: AS (Schedule III, Division I) | Prepared on 26-Oct-2026 from the application's checks and standard audit procedures. A working aid for the auditor; it does not form part of the financial statements. The auditor completes Status, Done by / date and Working paper / remarks for every line, signs off at the bottom, and uploads the file in the application before filing.</t>
        </is>
      </c>
    </row>
    <row r="5" ht="30" customHeight="1">
      <c r="A5" s="4" t="inlineStr">
        <is>
          <t>Ref</t>
        </is>
      </c>
      <c r="B5" s="4" t="inlineStr">
        <is>
          <t>Area</t>
        </is>
      </c>
      <c r="C5" s="4" t="inlineStr">
        <is>
          <t>Item</t>
        </is>
      </c>
      <c r="D5" s="4" t="inlineStr">
        <is>
          <t>Action for the auditor</t>
        </is>
      </c>
      <c r="E5" s="4" t="inlineStr">
        <is>
          <t>Reference</t>
        </is>
      </c>
      <c r="F5" s="4" t="inlineStr">
        <is>
          <t>Priority</t>
        </is>
      </c>
      <c r="G5" s="4" t="inlineStr">
        <is>
          <t>Status</t>
        </is>
      </c>
      <c r="H5" s="4" t="inlineStr">
        <is>
          <t>Done by / date</t>
        </is>
      </c>
      <c r="I5" s="4" t="inlineStr">
        <is>
          <t>Working paper / remarks</t>
        </is>
      </c>
    </row>
    <row r="6">
      <c r="A6" s="5" t="inlineStr">
        <is>
          <t>A. Findings from this run of the application (specific to this client and year)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75" customHeight="1">
      <c r="A7" s="7" t="inlineStr">
        <is>
          <t>A1</t>
        </is>
      </c>
      <c r="B7" s="7" t="inlineStr">
        <is>
          <t>Application check</t>
        </is>
      </c>
      <c r="C7" s="7" t="inlineStr">
        <is>
          <t>Trial balance as pulled: Debits less credits = -35,23,000. Expected when Tally's Profit &amp; Loss A/c already holds this year's profit; see the P&amp;L A/c check.</t>
        </is>
      </c>
      <c r="D7" s="7" t="inlineStr">
        <is>
          <t>Agree the trial balance total to Tally's Trial Balance report for the period; investigate any difference.</t>
        </is>
      </c>
      <c r="E7" s="7" t="inlineStr">
        <is>
          <t>Checks and export tab</t>
        </is>
      </c>
      <c r="F7" s="8" t="inlineStr">
        <is>
          <t>Low</t>
        </is>
      </c>
      <c r="G7" s="7" t="inlineStr">
        <is>
          <t>Open</t>
        </is>
      </c>
      <c r="H7" s="7" t="inlineStr"/>
      <c r="I7" s="7" t="inlineStr"/>
    </row>
    <row r="8" ht="75" customHeight="1">
      <c r="A8" s="7" t="inlineStr">
        <is>
          <t>A2</t>
        </is>
      </c>
      <c r="B8" s="7" t="inlineStr">
        <is>
          <t>Application check</t>
        </is>
      </c>
      <c r="C8" s="7" t="inlineStr">
        <is>
          <t>Opposite balances shown gross: Rs 90,000 of balances in the opposite direction to their head were reclassified (see '[reclassified]' in the mapping sheet).</t>
        </is>
      </c>
      <c r="D8" s="7" t="inlineStr">
        <is>
          <t>Confirm that the reclassified balances (advances from customers, debit balances in creditors, overdrafts) are genuine and correctly grouped.</t>
        </is>
      </c>
      <c r="E8" s="7" t="inlineStr">
        <is>
          <t>Checks and export tab</t>
        </is>
      </c>
      <c r="F8" s="8" t="inlineStr">
        <is>
          <t>Low</t>
        </is>
      </c>
      <c r="G8" s="7" t="inlineStr">
        <is>
          <t>Open</t>
        </is>
      </c>
      <c r="H8" s="7" t="inlineStr"/>
      <c r="I8" s="7" t="inlineStr"/>
    </row>
    <row r="9" ht="60" customHeight="1">
      <c r="A9" s="7" t="inlineStr">
        <is>
          <t>A3</t>
        </is>
      </c>
      <c r="B9" s="7" t="inlineStr">
        <is>
          <t>Application check</t>
        </is>
      </c>
      <c r="C9" s="7" t="inlineStr">
        <is>
          <t>Income-tax provision: Nil. Profit is before tax; enter the provision in the sidebar once computed.</t>
        </is>
      </c>
      <c r="D9" s="7" t="inlineStr">
        <is>
          <t>Obtain the income-tax computation; book the current tax and deferred tax and re-run the application.</t>
        </is>
      </c>
      <c r="E9" s="7" t="inlineStr">
        <is>
          <t>Checks and export tab</t>
        </is>
      </c>
      <c r="F9" s="9" t="inlineStr">
        <is>
          <t>Medium</t>
        </is>
      </c>
      <c r="G9" s="7" t="inlineStr">
        <is>
          <t>Open</t>
        </is>
      </c>
      <c r="H9" s="7" t="inlineStr"/>
      <c r="I9" s="7" t="inlineStr"/>
    </row>
    <row r="10" ht="60" customHeight="1">
      <c r="A10" s="7" t="inlineStr">
        <is>
          <t>A4</t>
        </is>
      </c>
      <c r="B10" s="7" t="inlineStr">
        <is>
          <t>Ageing and MSME</t>
        </is>
      </c>
      <c r="C10" s="7" t="inlineStr">
        <is>
          <t>Ageing of receivables and payables and the MSME disclosure need bill-wise data, which the trial balance does not contain.</t>
        </is>
      </c>
      <c r="D10" s="7" t="inlineStr">
        <is>
          <t>Obtain bill-wise outstanding from Tally, prepare the ageing schedules and MSME disclosure, and add them to the notes.</t>
        </is>
      </c>
      <c r="E10" s="7" t="inlineStr">
        <is>
          <t>Notes sheets</t>
        </is>
      </c>
      <c r="F10" s="9" t="inlineStr">
        <is>
          <t>Medium</t>
        </is>
      </c>
      <c r="G10" s="7" t="inlineStr">
        <is>
          <t>Open</t>
        </is>
      </c>
      <c r="H10" s="7" t="inlineStr"/>
      <c r="I10" s="7" t="inlineStr"/>
    </row>
    <row r="11" ht="45" customHeight="1">
      <c r="A11" s="7" t="inlineStr">
        <is>
          <t>A5</t>
        </is>
      </c>
      <c r="B11" s="7" t="inlineStr">
        <is>
          <t>Loan terms</t>
        </is>
      </c>
      <c r="C11" s="7" t="inlineStr">
        <is>
          <t>Repayment terms, interest rates and security for borrowings are not available from Tally.</t>
        </is>
      </c>
      <c r="D11" s="7" t="inlineStr">
        <is>
          <t>Obtain sanction letters and prepare the disclosure of terms and security.</t>
        </is>
      </c>
      <c r="E11" s="7" t="inlineStr">
        <is>
          <t>Notes sheets</t>
        </is>
      </c>
      <c r="F11" s="9" t="inlineStr">
        <is>
          <t>Medium</t>
        </is>
      </c>
      <c r="G11" s="7" t="inlineStr">
        <is>
          <t>Open</t>
        </is>
      </c>
      <c r="H11" s="7" t="inlineStr"/>
      <c r="I11" s="7" t="inlineStr"/>
    </row>
    <row r="12">
      <c r="A12" s="5" t="inlineStr">
        <is>
          <t>B. Standard audit procedures for this type of entity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30" customHeight="1">
      <c r="A13" s="7" t="inlineStr">
        <is>
          <t>B1</t>
        </is>
      </c>
      <c r="B13" s="7" t="inlineStr">
        <is>
          <t>Engagement</t>
        </is>
      </c>
      <c r="C13" s="7" t="inlineStr">
        <is>
          <t>Engagement terms and independence</t>
        </is>
      </c>
      <c r="D13" s="7" t="inlineStr">
        <is>
          <t>Confirm the engagement letter, independence, and the auditor's appointment and eligibility.</t>
        </is>
      </c>
      <c r="E13" s="7" t="inlineStr">
        <is>
          <t>SA 210, SA 220, Companies Act s.141</t>
        </is>
      </c>
      <c r="F13" s="8" t="inlineStr">
        <is>
          <t>Low</t>
        </is>
      </c>
      <c r="G13" s="7" t="inlineStr">
        <is>
          <t>Open</t>
        </is>
      </c>
      <c r="H13" s="7" t="inlineStr"/>
      <c r="I13" s="7" t="inlineStr"/>
    </row>
    <row r="14" ht="30" customHeight="1">
      <c r="A14" s="7" t="inlineStr">
        <is>
          <t>B2</t>
        </is>
      </c>
      <c r="B14" s="7" t="inlineStr">
        <is>
          <t>Engagement</t>
        </is>
      </c>
      <c r="C14" s="7" t="inlineStr">
        <is>
          <t>Planning, materiality and risk assessment</t>
        </is>
      </c>
      <c r="D14" s="7" t="inlineStr">
        <is>
          <t>Document materiality, significant risks and the audit approach before fieldwork.</t>
        </is>
      </c>
      <c r="E14" s="7" t="inlineStr">
        <is>
          <t>SA 300, SA 315, SA 320</t>
        </is>
      </c>
      <c r="F14" s="8" t="inlineStr">
        <is>
          <t>Low</t>
        </is>
      </c>
      <c r="G14" s="7" t="inlineStr">
        <is>
          <t>Open</t>
        </is>
      </c>
      <c r="H14" s="7" t="inlineStr"/>
      <c r="I14" s="7" t="inlineStr"/>
    </row>
    <row r="15" ht="45" customHeight="1">
      <c r="A15" s="7" t="inlineStr">
        <is>
          <t>B3</t>
        </is>
      </c>
      <c r="B15" s="7" t="inlineStr">
        <is>
          <t>Revenue</t>
        </is>
      </c>
      <c r="C15" s="7" t="inlineStr">
        <is>
          <t>Revenue recognition and cut-off</t>
        </is>
      </c>
      <c r="D15" s="7" t="inlineStr">
        <is>
          <t>Test sales near the year-end for cut-off; agree sales to invoices, dispatches and GST returns (GSTR-1 / 3B); reconcile turnover to the GST and tax returns.</t>
        </is>
      </c>
      <c r="E15" s="7" t="inlineStr">
        <is>
          <t>SA 240, SA 330, AS 9</t>
        </is>
      </c>
      <c r="F15" s="9" t="inlineStr">
        <is>
          <t>Medium</t>
        </is>
      </c>
      <c r="G15" s="7" t="inlineStr">
        <is>
          <t>Open</t>
        </is>
      </c>
      <c r="H15" s="7" t="inlineStr"/>
      <c r="I15" s="7" t="inlineStr"/>
    </row>
    <row r="16" ht="30" customHeight="1">
      <c r="A16" s="7" t="inlineStr">
        <is>
          <t>B4</t>
        </is>
      </c>
      <c r="B16" s="7" t="inlineStr">
        <is>
          <t>Receivables</t>
        </is>
      </c>
      <c r="C16" s="7" t="inlineStr">
        <is>
          <t>Trade receivables</t>
        </is>
      </c>
      <c r="D16" s="7" t="inlineStr">
        <is>
          <t>Send balance confirmations; test ageing, subsequent receipts, disputed and doubtful balances; review the provision.</t>
        </is>
      </c>
      <c r="E16" s="7" t="inlineStr">
        <is>
          <t>SA 505, SA 500</t>
        </is>
      </c>
      <c r="F16" s="9" t="inlineStr">
        <is>
          <t>Medium</t>
        </is>
      </c>
      <c r="G16" s="7" t="inlineStr">
        <is>
          <t>Open</t>
        </is>
      </c>
      <c r="H16" s="7" t="inlineStr"/>
      <c r="I16" s="7" t="inlineStr"/>
    </row>
    <row r="17" ht="45" customHeight="1">
      <c r="A17" s="7" t="inlineStr">
        <is>
          <t>B5</t>
        </is>
      </c>
      <c r="B17" s="7" t="inlineStr">
        <is>
          <t>Payables</t>
        </is>
      </c>
      <c r="C17" s="7" t="inlineStr">
        <is>
          <t>Trade payables and MSME</t>
        </is>
      </c>
      <c r="D17" s="7" t="inlineStr">
        <is>
          <t>Confirm major creditors; search for unrecorded liabilities; identify MSME suppliers and check interest and disclosure.</t>
        </is>
      </c>
      <c r="E17" s="7" t="inlineStr">
        <is>
          <t>SA 505, MSMED Act s.15 and s.22</t>
        </is>
      </c>
      <c r="F17" s="8" t="inlineStr">
        <is>
          <t>Low</t>
        </is>
      </c>
      <c r="G17" s="7" t="inlineStr">
        <is>
          <t>Open</t>
        </is>
      </c>
      <c r="H17" s="7" t="inlineStr"/>
      <c r="I17" s="7" t="inlineStr"/>
    </row>
    <row r="18" ht="45" customHeight="1">
      <c r="A18" s="7" t="inlineStr">
        <is>
          <t>B6</t>
        </is>
      </c>
      <c r="B18" s="7" t="inlineStr">
        <is>
          <t>Inventory</t>
        </is>
      </c>
      <c r="C18" s="7" t="inlineStr">
        <is>
          <t>Inventory existence and valuation</t>
        </is>
      </c>
      <c r="D18" s="7" t="inlineStr">
        <is>
          <t>Attend or review the physical count; test valuation at lower of cost and net realisable value; check slow-moving items.</t>
        </is>
      </c>
      <c r="E18" s="7" t="inlineStr">
        <is>
          <t>SA 501, AS 2</t>
        </is>
      </c>
      <c r="F18" s="9" t="inlineStr">
        <is>
          <t>Medium</t>
        </is>
      </c>
      <c r="G18" s="7" t="inlineStr">
        <is>
          <t>Open</t>
        </is>
      </c>
      <c r="H18" s="7" t="inlineStr"/>
      <c r="I18" s="7" t="inlineStr"/>
    </row>
    <row r="19" ht="45" customHeight="1">
      <c r="A19" s="7" t="inlineStr">
        <is>
          <t>B7</t>
        </is>
      </c>
      <c r="B19" s="7" t="inlineStr">
        <is>
          <t>Fixed assets</t>
        </is>
      </c>
      <c r="C19" s="7" t="inlineStr">
        <is>
          <t>Fixed assets and depreciation</t>
        </is>
      </c>
      <c r="D19" s="7" t="inlineStr">
        <is>
          <t>Vouch additions and disposals; inspect assets; check capitalisation, useful lives and the depreciation charge to the Fixed Assets Schedule.</t>
        </is>
      </c>
      <c r="E19" s="7" t="inlineStr">
        <is>
          <t>Schedule II, AS 10 and AS 6</t>
        </is>
      </c>
      <c r="F19" s="9" t="inlineStr">
        <is>
          <t>Medium</t>
        </is>
      </c>
      <c r="G19" s="7" t="inlineStr">
        <is>
          <t>Open</t>
        </is>
      </c>
      <c r="H19" s="7" t="inlineStr"/>
      <c r="I19" s="7" t="inlineStr"/>
    </row>
    <row r="20" ht="45" customHeight="1">
      <c r="A20" s="7" t="inlineStr">
        <is>
          <t>B8</t>
        </is>
      </c>
      <c r="B20" s="7" t="inlineStr">
        <is>
          <t>Borrowings</t>
        </is>
      </c>
      <c r="C20" s="7" t="inlineStr">
        <is>
          <t>Borrowings and finance cost</t>
        </is>
      </c>
      <c r="D20" s="7" t="inlineStr">
        <is>
          <t>Obtain bank and lender confirmations and sanction letters; check security, covenants, classification of current maturities and interest accrued.</t>
        </is>
      </c>
      <c r="E20" s="7" t="inlineStr">
        <is>
          <t>SA 505, Schedule III disclosures</t>
        </is>
      </c>
      <c r="F20" s="8" t="inlineStr">
        <is>
          <t>Low</t>
        </is>
      </c>
      <c r="G20" s="7" t="inlineStr">
        <is>
          <t>Open</t>
        </is>
      </c>
      <c r="H20" s="7" t="inlineStr"/>
      <c r="I20" s="7" t="inlineStr"/>
    </row>
    <row r="21" ht="30" customHeight="1">
      <c r="A21" s="7" t="inlineStr">
        <is>
          <t>B9</t>
        </is>
      </c>
      <c r="B21" s="7" t="inlineStr">
        <is>
          <t>Cash and bank</t>
        </is>
      </c>
      <c r="C21" s="7" t="inlineStr">
        <is>
          <t>Cash and bank balances</t>
        </is>
      </c>
      <c r="D21" s="7" t="inlineStr">
        <is>
          <t>Agree bank balances to confirmations and reconciliations; count cash; review unusual or old reconciling items.</t>
        </is>
      </c>
      <c r="E21" s="7" t="inlineStr">
        <is>
          <t>SA 505, SA 500</t>
        </is>
      </c>
      <c r="F21" s="8" t="inlineStr">
        <is>
          <t>Low</t>
        </is>
      </c>
      <c r="G21" s="7" t="inlineStr">
        <is>
          <t>Open</t>
        </is>
      </c>
      <c r="H21" s="7" t="inlineStr"/>
      <c r="I21" s="7" t="inlineStr"/>
    </row>
    <row r="22" ht="45" customHeight="1">
      <c r="A22" s="7" t="inlineStr">
        <is>
          <t>B10</t>
        </is>
      </c>
      <c r="B22" s="7" t="inlineStr">
        <is>
          <t>Statutory dues</t>
        </is>
      </c>
      <c r="C22" s="7" t="inlineStr">
        <is>
          <t>GST, TDS, PF, ESI and other dues</t>
        </is>
      </c>
      <c r="D22" s="7" t="inlineStr">
        <is>
          <t>Reconcile the ledgers to returns and challans; check payment dates, interest and any dues outstanding over six months.</t>
        </is>
      </c>
      <c r="E22" s="7" t="inlineStr">
        <is>
          <t>Schedule III, SA 250</t>
        </is>
      </c>
      <c r="F22" s="8" t="inlineStr">
        <is>
          <t>Low</t>
        </is>
      </c>
      <c r="G22" s="7" t="inlineStr">
        <is>
          <t>Open</t>
        </is>
      </c>
      <c r="H22" s="7" t="inlineStr"/>
      <c r="I22" s="7" t="inlineStr"/>
    </row>
    <row r="23" ht="30" customHeight="1">
      <c r="A23" s="7" t="inlineStr">
        <is>
          <t>B11</t>
        </is>
      </c>
      <c r="B23" s="7" t="inlineStr">
        <is>
          <t>Employees</t>
        </is>
      </c>
      <c r="C23" s="7" t="inlineStr">
        <is>
          <t>Employee costs and benefits</t>
        </is>
      </c>
      <c r="D23" s="7" t="inlineStr">
        <is>
          <t>Agree payroll to registers and statutory returns; check provision for gratuity and leave encashment.</t>
        </is>
      </c>
      <c r="E23" s="7" t="inlineStr">
        <is>
          <t>SA 500, AS 15</t>
        </is>
      </c>
      <c r="F23" s="8" t="inlineStr">
        <is>
          <t>Low</t>
        </is>
      </c>
      <c r="G23" s="7" t="inlineStr">
        <is>
          <t>Open</t>
        </is>
      </c>
      <c r="H23" s="7" t="inlineStr"/>
      <c r="I23" s="7" t="inlineStr"/>
    </row>
    <row r="24" ht="30" customHeight="1">
      <c r="A24" s="7" t="inlineStr">
        <is>
          <t>B12</t>
        </is>
      </c>
      <c r="B24" s="7" t="inlineStr">
        <is>
          <t>Taxation</t>
        </is>
      </c>
      <c r="C24" s="7" t="inlineStr">
        <is>
          <t>Income tax and deferred tax</t>
        </is>
      </c>
      <c r="D24" s="7" t="inlineStr">
        <is>
          <t>Review the tax computation, advance tax and TDS credits, and deferred tax on depreciation and disallowances.</t>
        </is>
      </c>
      <c r="E24" s="7" t="inlineStr">
        <is>
          <t>Income-tax Act 1961, AS 22</t>
        </is>
      </c>
      <c r="F24" s="8" t="inlineStr">
        <is>
          <t>Low</t>
        </is>
      </c>
      <c r="G24" s="7" t="inlineStr">
        <is>
          <t>Open</t>
        </is>
      </c>
      <c r="H24" s="7" t="inlineStr"/>
      <c r="I24" s="7" t="inlineStr"/>
    </row>
    <row r="25" ht="30" customHeight="1">
      <c r="A25" s="7" t="inlineStr">
        <is>
          <t>B13</t>
        </is>
      </c>
      <c r="B25" s="7" t="inlineStr">
        <is>
          <t>Related parties</t>
        </is>
      </c>
      <c r="C25" s="7" t="inlineStr">
        <is>
          <t>Related-party transactions</t>
        </is>
      </c>
      <c r="D25" s="7" t="inlineStr">
        <is>
          <t>Obtain the list of related parties; test transactions and balances; check disclosure and arm's-length support.</t>
        </is>
      </c>
      <c r="E25" s="7" t="inlineStr">
        <is>
          <t>SA 550, AS 18, Companies Act s.188</t>
        </is>
      </c>
      <c r="F25" s="8" t="inlineStr">
        <is>
          <t>Low</t>
        </is>
      </c>
      <c r="G25" s="7" t="inlineStr">
        <is>
          <t>Open</t>
        </is>
      </c>
      <c r="H25" s="7" t="inlineStr"/>
      <c r="I25" s="7" t="inlineStr"/>
    </row>
    <row r="26" ht="30" customHeight="1">
      <c r="A26" s="7" t="inlineStr">
        <is>
          <t>B14</t>
        </is>
      </c>
      <c r="B26" s="7" t="inlineStr">
        <is>
          <t>Contingencies</t>
        </is>
      </c>
      <c r="C26" s="7" t="inlineStr">
        <is>
          <t>Contingent liabilities and commitments</t>
        </is>
      </c>
      <c r="D26" s="7" t="inlineStr">
        <is>
          <t>Obtain legal and tax litigation details; check provisions and disclosure.</t>
        </is>
      </c>
      <c r="E26" s="7" t="inlineStr">
        <is>
          <t>SA 501, SA 580, AS 29</t>
        </is>
      </c>
      <c r="F26" s="8" t="inlineStr">
        <is>
          <t>Low</t>
        </is>
      </c>
      <c r="G26" s="7" t="inlineStr">
        <is>
          <t>Open</t>
        </is>
      </c>
      <c r="H26" s="7" t="inlineStr"/>
      <c r="I26" s="7" t="inlineStr"/>
    </row>
    <row r="27" ht="30" customHeight="1">
      <c r="A27" s="7" t="inlineStr">
        <is>
          <t>B15</t>
        </is>
      </c>
      <c r="B27" s="7" t="inlineStr">
        <is>
          <t>Subsequent events</t>
        </is>
      </c>
      <c r="C27" s="7" t="inlineStr">
        <is>
          <t>Events after the reporting date</t>
        </is>
      </c>
      <c r="D27" s="7" t="inlineStr">
        <is>
          <t>Review events up to the date of the report for adjustment or disclosure.</t>
        </is>
      </c>
      <c r="E27" s="7" t="inlineStr">
        <is>
          <t>SA 560</t>
        </is>
      </c>
      <c r="F27" s="8" t="inlineStr">
        <is>
          <t>Low</t>
        </is>
      </c>
      <c r="G27" s="7" t="inlineStr">
        <is>
          <t>Open</t>
        </is>
      </c>
      <c r="H27" s="7" t="inlineStr"/>
      <c r="I27" s="7" t="inlineStr"/>
    </row>
    <row r="28" ht="30" customHeight="1">
      <c r="A28" s="7" t="inlineStr">
        <is>
          <t>B16</t>
        </is>
      </c>
      <c r="B28" s="7" t="inlineStr">
        <is>
          <t>Going concern</t>
        </is>
      </c>
      <c r="C28" s="7" t="inlineStr">
        <is>
          <t>Going concern</t>
        </is>
      </c>
      <c r="D28" s="7" t="inlineStr">
        <is>
          <t>Assess management's going-concern assessment, cash flows and borrowing headroom.</t>
        </is>
      </c>
      <c r="E28" s="7" t="inlineStr">
        <is>
          <t>SA 570</t>
        </is>
      </c>
      <c r="F28" s="8" t="inlineStr">
        <is>
          <t>Low</t>
        </is>
      </c>
      <c r="G28" s="7" t="inlineStr">
        <is>
          <t>Open</t>
        </is>
      </c>
      <c r="H28" s="7" t="inlineStr"/>
      <c r="I28" s="7" t="inlineStr"/>
    </row>
    <row r="29" ht="30" customHeight="1">
      <c r="A29" s="7" t="inlineStr">
        <is>
          <t>B17</t>
        </is>
      </c>
      <c r="B29" s="7" t="inlineStr">
        <is>
          <t>Representations</t>
        </is>
      </c>
      <c r="C29" s="7" t="inlineStr">
        <is>
          <t>Management representation letter</t>
        </is>
      </c>
      <c r="D29" s="7" t="inlineStr">
        <is>
          <t>Obtain a signed representation letter covering completeness, related parties, litigation and going concern.</t>
        </is>
      </c>
      <c r="E29" s="7" t="inlineStr">
        <is>
          <t>SA 580</t>
        </is>
      </c>
      <c r="F29" s="8" t="inlineStr">
        <is>
          <t>Low</t>
        </is>
      </c>
      <c r="G29" s="7" t="inlineStr">
        <is>
          <t>Open</t>
        </is>
      </c>
      <c r="H29" s="7" t="inlineStr"/>
      <c r="I29" s="7" t="inlineStr"/>
    </row>
    <row r="30" ht="45" customHeight="1">
      <c r="A30" s="7" t="inlineStr">
        <is>
          <t>B18</t>
        </is>
      </c>
      <c r="B30" s="7" t="inlineStr">
        <is>
          <t>Share capital</t>
        </is>
      </c>
      <c r="C30" s="7" t="inlineStr">
        <is>
          <t>Share capital and shareholding</t>
        </is>
      </c>
      <c r="D30" s="7" t="inlineStr">
        <is>
          <t>Agree authorised and paid-up capital, shares issued and shareholding pattern to the statutory registers and ROC filings; add the share capital details to the notes.</t>
        </is>
      </c>
      <c r="E30" s="7" t="inlineStr">
        <is>
          <t>Schedule III, Companies Act s.43 and s.62</t>
        </is>
      </c>
      <c r="F30" s="8" t="inlineStr">
        <is>
          <t>Low</t>
        </is>
      </c>
      <c r="G30" s="7" t="inlineStr">
        <is>
          <t>Open</t>
        </is>
      </c>
      <c r="H30" s="7" t="inlineStr"/>
      <c r="I30" s="7" t="inlineStr"/>
    </row>
    <row r="31" ht="30" customHeight="1">
      <c r="A31" s="7" t="inlineStr">
        <is>
          <t>B19</t>
        </is>
      </c>
      <c r="B31" s="7" t="inlineStr">
        <is>
          <t>Reporting</t>
        </is>
      </c>
      <c r="C31" s="7" t="inlineStr">
        <is>
          <t>Companies (Auditor's Report) Order 2020</t>
        </is>
      </c>
      <c r="D31" s="7" t="inlineStr">
        <is>
          <t>Determine applicability of CARO 2020 and prepare the clause-by-clause report.</t>
        </is>
      </c>
      <c r="E31" s="7" t="inlineStr">
        <is>
          <t>CARO 2020</t>
        </is>
      </c>
      <c r="F31" s="9" t="inlineStr">
        <is>
          <t>Medium</t>
        </is>
      </c>
      <c r="G31" s="7" t="inlineStr">
        <is>
          <t>Open</t>
        </is>
      </c>
      <c r="H31" s="7" t="inlineStr"/>
      <c r="I31" s="7" t="inlineStr"/>
    </row>
    <row r="32" ht="60" customHeight="1">
      <c r="A32" s="7" t="inlineStr">
        <is>
          <t>B20</t>
        </is>
      </c>
      <c r="B32" s="7" t="inlineStr">
        <is>
          <t>Reporting</t>
        </is>
      </c>
      <c r="C32" s="7" t="inlineStr">
        <is>
          <t>Financial ratios and other Schedule III disclosures</t>
        </is>
      </c>
      <c r="D32" s="7" t="inlineStr">
        <is>
          <t>Review the analytical ratios, explain variations above 25 per cent, and complete the other Schedule III disclosures (ageing schedules, benami property, wilful defaulter, CSR).</t>
        </is>
      </c>
      <c r="E32" s="7" t="inlineStr">
        <is>
          <t>Schedule III</t>
        </is>
      </c>
      <c r="F32" s="9" t="inlineStr">
        <is>
          <t>Medium</t>
        </is>
      </c>
      <c r="G32" s="7" t="inlineStr">
        <is>
          <t>Open</t>
        </is>
      </c>
      <c r="H32" s="7" t="inlineStr"/>
      <c r="I32" s="7" t="inlineStr"/>
    </row>
    <row r="33" ht="30" customHeight="1">
      <c r="A33" s="7" t="inlineStr">
        <is>
          <t>B21</t>
        </is>
      </c>
      <c r="B33" s="7" t="inlineStr">
        <is>
          <t>Reporting</t>
        </is>
      </c>
      <c r="C33" s="7" t="inlineStr">
        <is>
          <t>Internal financial controls</t>
        </is>
      </c>
      <c r="D33" s="7" t="inlineStr">
        <is>
          <t>Assess whether reporting on internal financial controls over financial reporting applies.</t>
        </is>
      </c>
      <c r="E33" s="7" t="inlineStr">
        <is>
          <t>Companies Act s.143(3)(i), SA 265</t>
        </is>
      </c>
      <c r="F33" s="9" t="inlineStr">
        <is>
          <t>Medium</t>
        </is>
      </c>
      <c r="G33" s="7" t="inlineStr">
        <is>
          <t>Open</t>
        </is>
      </c>
      <c r="H33" s="7" t="inlineStr"/>
      <c r="I33" s="7" t="inlineStr"/>
    </row>
    <row r="34" ht="45" customHeight="1">
      <c r="A34" s="7" t="inlineStr">
        <is>
          <t>B22</t>
        </is>
      </c>
      <c r="B34" s="7" t="inlineStr">
        <is>
          <t>Reporting</t>
        </is>
      </c>
      <c r="C34" s="7" t="inlineStr">
        <is>
          <t>Audit report, UDIN and signing</t>
        </is>
      </c>
      <c r="D34" s="7" t="inlineStr">
        <is>
          <t>Finalise the report; obtain Board approval of the statements; generate the UDIN; sign in the order: Board, then auditor.</t>
        </is>
      </c>
      <c r="E34" s="7" t="inlineStr">
        <is>
          <t>SA 700, Companies Act s.134 and s.143</t>
        </is>
      </c>
      <c r="F34" s="9" t="inlineStr">
        <is>
          <t>Medium</t>
        </is>
      </c>
      <c r="G34" s="7" t="inlineStr">
        <is>
          <t>Open</t>
        </is>
      </c>
      <c r="H34" s="7" t="inlineStr"/>
      <c r="I34" s="7" t="inlineStr"/>
    </row>
    <row r="36">
      <c r="C36" s="2" t="inlineStr">
        <is>
          <t>Open items remaining</t>
        </is>
      </c>
      <c r="D36">
        <f>COUNTIF(G6:G34,"Open")+COUNTIF(G6:G34,"In progress")</f>
        <v/>
      </c>
    </row>
    <row r="38">
      <c r="C38" s="2" t="inlineStr">
        <is>
          <t>Reviewed by (name, membership no.)</t>
        </is>
      </c>
      <c r="D38" s="10" t="n"/>
    </row>
    <row r="39">
      <c r="C39" s="2" t="inlineStr">
        <is>
          <t>Date of review</t>
        </is>
      </c>
      <c r="D39" s="10" t="n"/>
    </row>
  </sheetData>
  <dataValidations count="2">
    <dataValidation sqref="G6:G34" showDropDown="0" showInputMessage="0" showErrorMessage="0" allowBlank="1" type="list">
      <formula1>"Open,In progress,Done,Not applicable"</formula1>
    </dataValidation>
    <dataValidation sqref="F6:F34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00" customWidth="1" min="3" max="3"/>
  </cols>
  <sheetData>
    <row r="1">
      <c r="A1" s="11" t="inlineStr">
        <is>
          <t>Checks run by the application</t>
        </is>
      </c>
    </row>
    <row r="3">
      <c r="A3" s="12" t="inlineStr">
        <is>
          <t>Check</t>
        </is>
      </c>
      <c r="B3" s="12" t="inlineStr">
        <is>
          <t>Result</t>
        </is>
      </c>
      <c r="C3" s="12" t="inlineStr">
        <is>
          <t>Detail</t>
        </is>
      </c>
    </row>
    <row r="4">
      <c r="A4" s="13" t="inlineStr">
        <is>
          <t>Trial balance as pulled</t>
        </is>
      </c>
      <c r="B4" s="14" t="inlineStr">
        <is>
          <t>Info</t>
        </is>
      </c>
      <c r="C4" s="13" t="inlineStr">
        <is>
          <t>Debits less credits = -35,23,000. Expected when Tally's Profit &amp; Loss A/c already holds this year's profit; see the P&amp;L A/c check.</t>
        </is>
      </c>
    </row>
    <row r="5">
      <c r="A5" s="13" t="inlineStr">
        <is>
          <t>All ledgers classified</t>
        </is>
      </c>
      <c r="B5" s="15" t="inlineStr">
        <is>
          <t>Pass</t>
        </is>
      </c>
      <c r="C5" s="13" t="inlineStr">
        <is>
          <t>0 ledger(s) without a head</t>
        </is>
      </c>
    </row>
    <row r="6">
      <c r="A6" s="13" t="inlineStr">
        <is>
          <t>Balance Sheet balances</t>
        </is>
      </c>
      <c r="B6" s="15" t="inlineStr">
        <is>
          <t>Pass</t>
        </is>
      </c>
      <c r="C6" s="13" t="inlineStr">
        <is>
          <t>Assets 1,95,76,402 | Equity and liabilities 1,95,76,402 | Difference 0</t>
        </is>
      </c>
    </row>
    <row r="7">
      <c r="A7" s="13" t="inlineStr">
        <is>
          <t>Tally Profit &amp; Loss A/c tie-out</t>
        </is>
      </c>
      <c r="B7" s="15" t="inlineStr">
        <is>
          <t>Pass</t>
        </is>
      </c>
      <c r="C7" s="13" t="inlineStr">
        <is>
          <t>Agrees to opening reserves + profit before tax</t>
        </is>
      </c>
    </row>
    <row r="8">
      <c r="A8" s="13" t="inlineStr">
        <is>
          <t>Closing stock</t>
        </is>
      </c>
      <c r="B8" s="15" t="inlineStr">
        <is>
          <t>Pass</t>
        </is>
      </c>
      <c r="C8" s="13" t="inlineStr">
        <is>
          <t>Closing stock 22,50,000 agrees to Tally's stock items.</t>
        </is>
      </c>
    </row>
    <row r="9">
      <c r="A9" s="13" t="inlineStr">
        <is>
          <t>Fixed assets agree to depreciation calculator</t>
        </is>
      </c>
      <c r="B9" s="15" t="inlineStr">
        <is>
          <t>Pass</t>
        </is>
      </c>
      <c r="C9" s="13" t="inlineStr">
        <is>
          <t>Calculator net block 69,29,402 | Statements 69,29,402 | Difference 0</t>
        </is>
      </c>
    </row>
    <row r="10">
      <c r="A10" s="13" t="inlineStr">
        <is>
          <t>Depreciation inputs agree to Tally fixed assets</t>
        </is>
      </c>
      <c r="B10" s="15" t="inlineStr">
        <is>
          <t>Pass</t>
        </is>
      </c>
      <c r="C10" s="13" t="inlineStr">
        <is>
          <t>Unexplained difference 0</t>
        </is>
      </c>
    </row>
    <row r="11">
      <c r="A11" s="13" t="inlineStr">
        <is>
          <t>Opposite balances shown gross</t>
        </is>
      </c>
      <c r="B11" s="14" t="inlineStr">
        <is>
          <t>Info</t>
        </is>
      </c>
      <c r="C11" s="13" t="inlineStr">
        <is>
          <t>Rs 90,000 of balances in the opposite direction to their head were reclassified (see '[reclassified]' in the mapping sheet).</t>
        </is>
      </c>
    </row>
    <row r="12">
      <c r="A12" s="13" t="inlineStr">
        <is>
          <t>Income-tax provision</t>
        </is>
      </c>
      <c r="B12" s="16" t="inlineStr">
        <is>
          <t>Review</t>
        </is>
      </c>
      <c r="C12" s="13" t="inlineStr">
        <is>
          <t>Nil. Profit is before tax; enter the provision in the sidebar once computed.</t>
        </is>
      </c>
    </row>
    <row r="13">
      <c r="A13" s="13" t="inlineStr">
        <is>
          <t>Previous year: all ledgers classified</t>
        </is>
      </c>
      <c r="B13" s="15" t="inlineStr">
        <is>
          <t>Pass</t>
        </is>
      </c>
      <c r="C13" s="13" t="inlineStr">
        <is>
          <t>0 ledger(s) without a head</t>
        </is>
      </c>
    </row>
    <row r="14">
      <c r="A14" s="13" t="inlineStr">
        <is>
          <t>Previous year: classification source</t>
        </is>
      </c>
      <c r="B14" s="15" t="inlineStr">
        <is>
          <t>Pass</t>
        </is>
      </c>
      <c r="C14" s="13" t="inlineStr">
        <is>
          <t>Every ledger matched by name, group rule or last year's workbook.</t>
        </is>
      </c>
    </row>
    <row r="15">
      <c r="A15" s="13" t="inlineStr">
        <is>
          <t>Previous year: Balance Sheet balances</t>
        </is>
      </c>
      <c r="B15" s="15" t="inlineStr">
        <is>
          <t>Pass</t>
        </is>
      </c>
      <c r="C15" s="13" t="inlineStr">
        <is>
          <t>Difference 0</t>
        </is>
      </c>
    </row>
    <row r="16">
      <c r="A16" s="13" t="inlineStr">
        <is>
          <t>Opening equity agrees to previous year closing</t>
        </is>
      </c>
      <c r="B16" s="15" t="inlineStr">
        <is>
          <t>Pass</t>
        </is>
      </c>
      <c r="C16" s="13" t="inlineStr">
        <is>
          <t>Current-year opening 68,17,000 | Previous-year closing 68,17,000 | Difference 0</t>
        </is>
      </c>
    </row>
    <row r="17">
      <c r="A17" s="13" t="inlineStr">
        <is>
          <t>Same ledgers classified the same way in both years</t>
        </is>
      </c>
      <c r="B17" s="15" t="inlineStr">
        <is>
          <t>Pass</t>
        </is>
      </c>
      <c r="C17" s="13" t="inlineStr">
        <is>
          <t>0 ledger(s) carry a different head in the two years.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6" customWidth="1" min="3" max="3"/>
    <col width="18" customWidth="1" min="4" max="4"/>
    <col width="8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11" t="inlineStr">
        <is>
          <t>Balances for confirmation and vouching (largest first)</t>
        </is>
      </c>
    </row>
    <row r="3">
      <c r="A3" s="17" t="inlineStr">
        <is>
          <t>Ledger</t>
        </is>
      </c>
      <c r="B3" s="17" t="inlineStr">
        <is>
          <t>Tally group</t>
        </is>
      </c>
      <c r="C3" s="17" t="inlineStr">
        <is>
          <t>Statement head</t>
        </is>
      </c>
      <c r="D3" s="17" t="inlineStr">
        <is>
          <t>Balance (Rs)</t>
        </is>
      </c>
      <c r="E3" s="17" t="inlineStr">
        <is>
          <t>Dr/Cr</t>
        </is>
      </c>
      <c r="F3" s="17" t="inlineStr">
        <is>
          <t>Request sent on</t>
        </is>
      </c>
      <c r="G3" s="17" t="inlineStr">
        <is>
          <t>Reply received on</t>
        </is>
      </c>
      <c r="H3" s="17" t="inlineStr">
        <is>
          <t>Difference (Rs)</t>
        </is>
      </c>
      <c r="I3" s="17" t="inlineStr">
        <is>
          <t>Remarks</t>
        </is>
      </c>
    </row>
    <row r="4">
      <c r="A4" t="inlineStr">
        <is>
          <t>Delta Industries Ltd</t>
        </is>
      </c>
      <c r="B4" t="inlineStr">
        <is>
          <t>Sundry Debtors</t>
        </is>
      </c>
      <c r="C4" t="inlineStr">
        <is>
          <t>Trade Receivables</t>
        </is>
      </c>
      <c r="D4" s="18" t="n">
        <v>2150000</v>
      </c>
      <c r="E4" t="inlineStr">
        <is>
          <t>Dr</t>
        </is>
      </c>
      <c r="H4" s="18">
        <f>IF(F4="","",D4-H4)</f>
        <v/>
      </c>
    </row>
    <row r="5">
      <c r="A5" t="inlineStr">
        <is>
          <t>Epsilon Engineering</t>
        </is>
      </c>
      <c r="B5" t="inlineStr">
        <is>
          <t>Sundry Debtors</t>
        </is>
      </c>
      <c r="C5" t="inlineStr">
        <is>
          <t>Trade Receivables</t>
        </is>
      </c>
      <c r="D5" s="18" t="n">
        <v>1640000</v>
      </c>
      <c r="E5" t="inlineStr">
        <is>
          <t>Dr</t>
        </is>
      </c>
      <c r="H5" s="18">
        <f>IF(F5="","",D5-H5)</f>
        <v/>
      </c>
    </row>
    <row r="6">
      <c r="A6" t="inlineStr">
        <is>
          <t>Zeta Retail Co</t>
        </is>
      </c>
      <c r="B6" t="inlineStr">
        <is>
          <t>Sundry Debtors</t>
        </is>
      </c>
      <c r="C6" t="inlineStr">
        <is>
          <t>Trade Receivables</t>
        </is>
      </c>
      <c r="D6" s="18" t="n">
        <v>880000</v>
      </c>
      <c r="E6" t="inlineStr">
        <is>
          <t>Dr</t>
        </is>
      </c>
      <c r="H6" s="18">
        <f>IF(F6="","",D6-H6)</f>
        <v/>
      </c>
    </row>
    <row r="7">
      <c r="A7" t="inlineStr">
        <is>
          <t>Alpha Components Pvt Ltd</t>
        </is>
      </c>
      <c r="B7" t="inlineStr">
        <is>
          <t>Sundry Creditors</t>
        </is>
      </c>
      <c r="C7" t="inlineStr">
        <is>
          <t>Trade Payables</t>
        </is>
      </c>
      <c r="D7" s="18" t="n">
        <v>1380000</v>
      </c>
      <c r="E7" t="inlineStr">
        <is>
          <t>Cr</t>
        </is>
      </c>
      <c r="H7" s="18">
        <f>IF(F7="","",D7-H7)</f>
        <v/>
      </c>
    </row>
    <row r="8">
      <c r="A8" t="inlineStr">
        <is>
          <t>Beta Metals Traders</t>
        </is>
      </c>
      <c r="B8" t="inlineStr">
        <is>
          <t>Sundry Creditors</t>
        </is>
      </c>
      <c r="C8" t="inlineStr">
        <is>
          <t>Trade Payables</t>
        </is>
      </c>
      <c r="D8" s="18" t="n">
        <v>920000</v>
      </c>
      <c r="E8" t="inlineStr">
        <is>
          <t>Cr</t>
        </is>
      </c>
      <c r="H8" s="18">
        <f>IF(F8="","",D8-H8)</f>
        <v/>
      </c>
    </row>
    <row r="9">
      <c r="A9" t="inlineStr">
        <is>
          <t>Gamma Logistics</t>
        </is>
      </c>
      <c r="B9" t="inlineStr">
        <is>
          <t>Sundry Creditors</t>
        </is>
      </c>
      <c r="C9" t="inlineStr">
        <is>
          <t>Trade Payables</t>
        </is>
      </c>
      <c r="D9" s="18" t="n">
        <v>340000</v>
      </c>
      <c r="E9" t="inlineStr">
        <is>
          <t>Cr</t>
        </is>
      </c>
      <c r="H9" s="18">
        <f>IF(F9="","",D9-H9)</f>
        <v/>
      </c>
    </row>
    <row r="10">
      <c r="A10" t="inlineStr">
        <is>
          <t>Sample Bank Current Account</t>
        </is>
      </c>
      <c r="B10" t="inlineStr">
        <is>
          <t>Bank Accounts</t>
        </is>
      </c>
      <c r="C10" t="inlineStr">
        <is>
          <t>Cash &amp; Cash Equivalents</t>
        </is>
      </c>
      <c r="D10" s="18" t="n">
        <v>4609000</v>
      </c>
      <c r="E10" t="inlineStr">
        <is>
          <t>Dr</t>
        </is>
      </c>
      <c r="H10" s="18">
        <f>IF(F10="","",D10-H10)</f>
        <v/>
      </c>
    </row>
    <row r="11">
      <c r="A11" t="inlineStr">
        <is>
          <t>Cash in Hand</t>
        </is>
      </c>
      <c r="B11" t="inlineStr">
        <is>
          <t>Cash-in-Hand</t>
        </is>
      </c>
      <c r="C11" t="inlineStr">
        <is>
          <t>Cash &amp; Cash Equivalents</t>
        </is>
      </c>
      <c r="D11" s="18" t="n">
        <v>45000</v>
      </c>
      <c r="E11" t="inlineStr">
        <is>
          <t>Dr</t>
        </is>
      </c>
      <c r="H11" s="18">
        <f>IF(F11="","",D11-H11)</f>
        <v/>
      </c>
    </row>
    <row r="12">
      <c r="A12" t="inlineStr">
        <is>
          <t>Term Loan - Sample Bank</t>
        </is>
      </c>
      <c r="B12" t="inlineStr">
        <is>
          <t>Secured Loans</t>
        </is>
      </c>
      <c r="C12" t="inlineStr">
        <is>
          <t>Long-term Borrowings</t>
        </is>
      </c>
      <c r="D12" s="18" t="n">
        <v>3200000</v>
      </c>
      <c r="E12" t="inlineStr">
        <is>
          <t>Cr</t>
        </is>
      </c>
      <c r="H12" s="18">
        <f>IF(F12="","",D12-H12)</f>
        <v/>
      </c>
    </row>
    <row r="13">
      <c r="A13" t="inlineStr">
        <is>
          <t>Loan from Director</t>
        </is>
      </c>
      <c r="B13" t="inlineStr">
        <is>
          <t>Unsecured Loans</t>
        </is>
      </c>
      <c r="C13" t="inlineStr">
        <is>
          <t>Long-term Borrowings</t>
        </is>
      </c>
      <c r="D13" s="18" t="n">
        <v>600000</v>
      </c>
      <c r="E13" t="inlineStr">
        <is>
          <t>Cr</t>
        </is>
      </c>
      <c r="H13" s="18">
        <f>IF(F13="","",D13-H13)</f>
        <v/>
      </c>
    </row>
    <row r="14">
      <c r="A14" t="inlineStr">
        <is>
          <t>Cash Credit - Sample Bank</t>
        </is>
      </c>
      <c r="B14" t="inlineStr">
        <is>
          <t>Bank OD A/c</t>
        </is>
      </c>
      <c r="C14" t="inlineStr">
        <is>
          <t>Short-term Borrowings</t>
        </is>
      </c>
      <c r="D14" s="18" t="n">
        <v>1450000</v>
      </c>
      <c r="E14" t="inlineStr">
        <is>
          <t>Cr</t>
        </is>
      </c>
      <c r="H14" s="18">
        <f>IF(F14="","",D14-H14)</f>
        <v/>
      </c>
    </row>
    <row r="15">
      <c r="A15" t="inlineStr">
        <is>
          <t>Rent Deposit</t>
        </is>
      </c>
      <c r="B15" t="inlineStr">
        <is>
          <t>Deposits (Asset)</t>
        </is>
      </c>
      <c r="C15" t="inlineStr">
        <is>
          <t>Short-term Loans and Advances</t>
        </is>
      </c>
      <c r="D15" s="18" t="n">
        <v>300000</v>
      </c>
      <c r="E15" t="inlineStr">
        <is>
          <t>Dr</t>
        </is>
      </c>
      <c r="H15" s="18">
        <f>IF(F15="","",D15-H15)</f>
        <v/>
      </c>
    </row>
    <row r="16">
      <c r="A16" t="inlineStr">
        <is>
          <t>Advance to Suppliers</t>
        </is>
      </c>
      <c r="B16" t="inlineStr">
        <is>
          <t>Loans &amp; Advances (Asset)</t>
        </is>
      </c>
      <c r="C16" t="inlineStr">
        <is>
          <t>Short-term Loans and Advances</t>
        </is>
      </c>
      <c r="D16" s="18" t="n">
        <v>260000</v>
      </c>
      <c r="E16" t="inlineStr">
        <is>
          <t>Dr</t>
        </is>
      </c>
      <c r="H16" s="18">
        <f>IF(F16="","",D16-H16)</f>
        <v/>
      </c>
    </row>
    <row r="17">
      <c r="A17" t="inlineStr">
        <is>
          <t>Staff Advances</t>
        </is>
      </c>
      <c r="B17" t="inlineStr">
        <is>
          <t>Loans &amp; Advances (Asset)</t>
        </is>
      </c>
      <c r="C17" t="inlineStr">
        <is>
          <t>Short-term Loans and Advances</t>
        </is>
      </c>
      <c r="D17" s="18" t="n">
        <v>75000</v>
      </c>
      <c r="E17" t="inlineStr">
        <is>
          <t>Dr</t>
        </is>
      </c>
      <c r="H17" s="18">
        <f>IF(F17="","",D17-H17)</f>
        <v/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2026-10-26T11:06:16Z</dcterms:created>
  <dcterms:modified xmlns:dcterms="http://purl.org/dc/terms/" xmlns:xsi="http://www.w3.org/2001/XMLSchema-instance" xsi:type="dcterms:W3CDTF">2026-10-26T11:06:16Z</dcterms:modified>
</cp:coreProperties>
</file>