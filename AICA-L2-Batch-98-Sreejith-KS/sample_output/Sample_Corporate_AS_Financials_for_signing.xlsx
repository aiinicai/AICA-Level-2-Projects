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lance Sheet" sheetId="1" state="visible" r:id="rId3"/>
    <sheet name="Profit &amp; Loss" sheetId="2" state="visible" r:id="rId4"/>
    <sheet name="Accounting Policies" sheetId="3" state="visible" r:id="rId5"/>
    <sheet name="Notes - Balance Sheet" sheetId="4" state="visible" r:id="rId6"/>
    <sheet name="Fixed Assets Schedule" sheetId="5" state="visible" r:id="rId7"/>
    <sheet name="Notes - Profit and Loss" sheetId="6" state="visible" r:id="rId8"/>
    <sheet name="Notes - Ratios" sheetId="7" state="visible" r:id="rId9"/>
    <sheet name="Trial Balance Mapping" sheetId="8" state="visible" r:id="rId10"/>
    <sheet name="Trial Balance Mapping PY" sheetId="9" state="visible" r:id="rId11"/>
    <sheet name="Depreciation Schedule" sheetId="10" state="visible" r:id="rId12"/>
  </sheets>
  <definedNames>
    <definedName function="false" hidden="false" localSheetId="2" name="_xlnm.Print_Area" vbProcedure="false">'Accounting Policies'!$A$1:$B$29</definedName>
    <definedName function="false" hidden="false" localSheetId="0" name="_xlnm.Print_Area" vbProcedure="false">'Balance Sheet'!$A$1:$D$54</definedName>
    <definedName function="false" hidden="false" localSheetId="0" name="_xlnm.Print_Titles" vbProcedure="false">'Balance Sheet'!$5:$5</definedName>
    <definedName function="false" hidden="false" localSheetId="4" name="_xlnm.Print_Area" vbProcedure="false">'Fixed Assets Schedule'!$A$1:$L$15</definedName>
    <definedName function="false" hidden="false" localSheetId="3" name="_xlnm.Print_Area" vbProcedure="false">'Notes - Balance Sheet'!$A$1:$D$131</definedName>
    <definedName function="false" hidden="false" localSheetId="5" name="_xlnm.Print_Area" vbProcedure="false">'Notes - Profit and Loss'!$A$1:$D$89</definedName>
    <definedName function="false" hidden="false" localSheetId="6" name="_xlnm.Print_Area" vbProcedure="false">'Notes - Ratios'!$A$1:$G$18</definedName>
    <definedName function="false" hidden="false" localSheetId="1" name="_xlnm.Print_Area" vbProcedure="false">'Profit &amp; Loss'!$A$1:$D$41</definedName>
    <definedName function="false" hidden="false" localSheetId="1" name="_xlnm.Print_Titles" vbProcedure="false">'Profit &amp; Loss'!$5:$5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<sst xmlns="http://schemas.openxmlformats.org/spreadsheetml/2006/main" count="868" uniqueCount="366">
  <si>
    <t xml:space="preserve">Sample Engineering Private Limited</t>
  </si>
  <si>
    <t xml:space="preserve">Balance Sheet as at 31st March 2026</t>
  </si>
  <si>
    <t xml:space="preserve">(Schedule III, Division I - Accounting Standards, Companies Act 2013) | Amounts in Rupees</t>
  </si>
  <si>
    <t xml:space="preserve">CIN / LLPIN: U00000KL2015PTC000000 | PAN: AAAAA0000A | Sample Industrial Estate, Kochi, Kerala</t>
  </si>
  <si>
    <t xml:space="preserve">Particulars</t>
  </si>
  <si>
    <t xml:space="preserve">Note</t>
  </si>
  <si>
    <t xml:space="preserve">As at
31-Mar-2026 (Rs)</t>
  </si>
  <si>
    <t xml:space="preserve">As at
31-Mar-2025 (Rs)</t>
  </si>
  <si>
    <t xml:space="preserve">I. EQUITY AND LIABILITIES</t>
  </si>
  <si>
    <t xml:space="preserve">(1) Shareholders' Funds</t>
  </si>
  <si>
    <t xml:space="preserve">(a) Share capital</t>
  </si>
  <si>
    <t xml:space="preserve">(b) Reserves and surplus</t>
  </si>
  <si>
    <t xml:space="preserve">Total Shareholders' Funds</t>
  </si>
  <si>
    <t xml:space="preserve">(2) Non-current liabilities</t>
  </si>
  <si>
    <t xml:space="preserve">(a) Long-term borrowings</t>
  </si>
  <si>
    <t xml:space="preserve">(b) Other long-term liabilities and provisions</t>
  </si>
  <si>
    <t xml:space="preserve">Total Non-current Liabilities</t>
  </si>
  <si>
    <t xml:space="preserve">(3) Current Liabilities</t>
  </si>
  <si>
    <t xml:space="preserve">(a) Short-term borrowings</t>
  </si>
  <si>
    <t xml:space="preserve">(b) Trade payables</t>
  </si>
  <si>
    <t xml:space="preserve">(c) Other current liabilities</t>
  </si>
  <si>
    <t xml:space="preserve">(d) Short-term provisions</t>
  </si>
  <si>
    <t xml:space="preserve">Total Current Liabilities</t>
  </si>
  <si>
    <t xml:space="preserve">TOTAL EQUITY AND LIABILITIES</t>
  </si>
  <si>
    <t xml:space="preserve">II. ASSETS</t>
  </si>
  <si>
    <t xml:space="preserve">(1) Non-current assets</t>
  </si>
  <si>
    <t xml:space="preserve">(a) Property, plant and equipment</t>
  </si>
  <si>
    <t xml:space="preserve">(b) Investments</t>
  </si>
  <si>
    <t xml:space="preserve">(c) Other non-current assets</t>
  </si>
  <si>
    <t xml:space="preserve">Total Non-current Assets</t>
  </si>
  <si>
    <t xml:space="preserve">(2) Current assets</t>
  </si>
  <si>
    <t xml:space="preserve">(a) Inventories</t>
  </si>
  <si>
    <t xml:space="preserve">(b) Trade receivables</t>
  </si>
  <si>
    <t xml:space="preserve">(c) Cash and cash equivalents</t>
  </si>
  <si>
    <t xml:space="preserve">(d) Short-term loans and advances</t>
  </si>
  <si>
    <t xml:space="preserve">(e) Other current assets</t>
  </si>
  <si>
    <t xml:space="preserve">Total Current Assets</t>
  </si>
  <si>
    <t xml:space="preserve">TOTAL ASSETS</t>
  </si>
  <si>
    <t xml:space="preserve">Balance check (not printed)</t>
  </si>
  <si>
    <t xml:space="preserve">As per our report of even date attached</t>
  </si>
  <si>
    <t xml:space="preserve">For and on behalf of the Board of Directors of Sample Engineering Private Limited</t>
  </si>
  <si>
    <t xml:space="preserve">For Sample and Associates</t>
  </si>
  <si>
    <t xml:space="preserve">Chartered Accountants</t>
  </si>
  <si>
    <t xml:space="preserve">Firm Registration No.: 000000S</t>
  </si>
  <si>
    <t xml:space="preserve">Director One</t>
  </si>
  <si>
    <t xml:space="preserve">Director  |  DIN 00000001</t>
  </si>
  <si>
    <t xml:space="preserve">A. Sample</t>
  </si>
  <si>
    <t xml:space="preserve">Partner</t>
  </si>
  <si>
    <t xml:space="preserve">Director Two</t>
  </si>
  <si>
    <t xml:space="preserve">Membership No.: 000000</t>
  </si>
  <si>
    <t xml:space="preserve">Director  |  DIN 00000002</t>
  </si>
  <si>
    <t xml:space="preserve">UDIN: (to be generated)</t>
  </si>
  <si>
    <t xml:space="preserve">Place: Kochi</t>
  </si>
  <si>
    <t xml:space="preserve">Date of approval: 28-Oct-2026</t>
  </si>
  <si>
    <t xml:space="preserve">Date: 28-Oct-2026</t>
  </si>
  <si>
    <t xml:space="preserve">Statement of Profit and Loss for the year ended 31st March 2026</t>
  </si>
  <si>
    <t xml:space="preserve">Year ended
31-Mar-2026 (Rs)</t>
  </si>
  <si>
    <t xml:space="preserve">Year ended
31-Mar-2025 (Rs)</t>
  </si>
  <si>
    <t xml:space="preserve">I. Revenue from operations</t>
  </si>
  <si>
    <t xml:space="preserve">II. Other income</t>
  </si>
  <si>
    <t xml:space="preserve">III. Total Income (I + II)</t>
  </si>
  <si>
    <t xml:space="preserve">IV. Expenses</t>
  </si>
  <si>
    <t xml:space="preserve">Purchases of stock-in-trade</t>
  </si>
  <si>
    <t xml:space="preserve">Changes in inventories of stock-in-trade</t>
  </si>
  <si>
    <t xml:space="preserve">Employee benefits expense</t>
  </si>
  <si>
    <t xml:space="preserve">Finance costs</t>
  </si>
  <si>
    <t xml:space="preserve">Depreciation and amortisation expense</t>
  </si>
  <si>
    <t xml:space="preserve">Other expenses</t>
  </si>
  <si>
    <t xml:space="preserve">Total Expenses (IV)</t>
  </si>
  <si>
    <t xml:space="preserve">V. Profit / (Loss) before exceptional items and tax (III - IV)</t>
  </si>
  <si>
    <t xml:space="preserve">VI. Exceptional items</t>
  </si>
  <si>
    <t xml:space="preserve">VII. Profit / (Loss) before tax (V - VI)</t>
  </si>
  <si>
    <t xml:space="preserve">VIII. Tax expense</t>
  </si>
  <si>
    <t xml:space="preserve">IX. Profit / (Loss) for the year (VII - VIII)</t>
  </si>
  <si>
    <t xml:space="preserve">Earnings per share (Rs) - Basic / Diluted</t>
  </si>
  <si>
    <t xml:space="preserve">n.a.</t>
  </si>
  <si>
    <t xml:space="preserve">Notes forming part of the Financial Statements for the year ended 31st March 2026</t>
  </si>
  <si>
    <t xml:space="preserve">A.</t>
  </si>
  <si>
    <t xml:space="preserve">General information</t>
  </si>
  <si>
    <t xml:space="preserve">Sample Engineering Private Limited is a company incorporated under the Companies Act. CIN / LLPIN: U00000KL2015PTC000000. Registered office / place of business: Sample Industrial Estate, Kochi, Kerala. These financial statements are for the year ended 31st March 2026.</t>
  </si>
  <si>
    <t xml:space="preserve">B.</t>
  </si>
  <si>
    <t xml:space="preserve">Significant accounting policies</t>
  </si>
  <si>
    <t xml:space="preserve">Basis of preparation</t>
  </si>
  <si>
    <t xml:space="preserve">The financial statements have been prepared on the historical cost convention, on the accrual basis of accounting and on a going-concern basis, in accordance with the Accounting Standards notified under section 133 of the Companies Act, 2013 read with the Companies (Accounting Standards) Rules, and Schedule III (Division I). The figures are taken from the books of account maintained in Tally Prime.</t>
  </si>
  <si>
    <t xml:space="preserve">Use of estimates</t>
  </si>
  <si>
    <t xml:space="preserve">The preparation of financial statements requires management to make estimates and assumptions that affect the reported amounts of assets, liabilities, income and expenses. Differences between actual results and estimates are recognised in the period in which the results are known.</t>
  </si>
  <si>
    <t xml:space="preserve">Property, plant and equipment and depreciation</t>
  </si>
  <si>
    <t xml:space="preserve">Property, plant and equipment are stated at cost less accumulated depreciation and impairment, if any. Depreciation: calculated under Schedule II of the Companies Act 2013 (SLM, residual 5.0%); see the Depreciation Schedule sheet.</t>
  </si>
  <si>
    <t xml:space="preserve">Inventories</t>
  </si>
  <si>
    <t xml:space="preserve">Inventories are valued at the lower of cost and net realisable value. Cost is determined on the basis followed consistently by the Company (first-in-first-out or weighted average).</t>
  </si>
  <si>
    <t xml:space="preserve">Revenue recognition</t>
  </si>
  <si>
    <t xml:space="preserve">Revenue from sale of goods is recognised when the significant risks and rewards of ownership pass to the buyer; revenue from services is recognised as the services are rendered. Revenue is stated net of GST and returns.</t>
  </si>
  <si>
    <t xml:space="preserve">Employee benefits</t>
  </si>
  <si>
    <t xml:space="preserve">Short-term employee benefits are recognised as an expense at the undiscounted amount in the period in which the related service is rendered. Post-employment benefits, where applicable, are provided as per the applicable standard.</t>
  </si>
  <si>
    <t xml:space="preserve">Taxes on income</t>
  </si>
  <si>
    <t xml:space="preserve">Current tax is the amount of income tax payable determined in accordance with the Income-tax Act, 1961. Deferred tax is recognised on timing differences between book and taxable income, subject to the prudence considerations of the applicable standard.</t>
  </si>
  <si>
    <t xml:space="preserve">Provisions and contingent liabilities</t>
  </si>
  <si>
    <t xml:space="preserve">A provision is recognised when there is a present obligation as a result of a past event, an outflow of resources is probable and a reliable estimate can be made. Contingent liabilities are disclosed and not provided for.</t>
  </si>
  <si>
    <t xml:space="preserve">Cash and cash equivalents</t>
  </si>
  <si>
    <t xml:space="preserve">Cash and cash equivalents comprise cash on hand and balances with banks in current and deposit accounts with an original maturity of three months or less.</t>
  </si>
  <si>
    <t xml:space="preserve">Earnings per share</t>
  </si>
  <si>
    <t xml:space="preserve">Basic earnings per share is computed by dividing the profit for the year attributable to equity shareholders by the number of equity shares outstanding.</t>
  </si>
  <si>
    <t xml:space="preserve">1.</t>
  </si>
  <si>
    <t xml:space="preserve">Share capital</t>
  </si>
  <si>
    <t xml:space="preserve">As at
31-Mar-2026</t>
  </si>
  <si>
    <t xml:space="preserve">As at
31-Mar-2025</t>
  </si>
  <si>
    <t xml:space="preserve">Check (not printed)</t>
  </si>
  <si>
    <t xml:space="preserve">Equity Share Capital</t>
  </si>
  <si>
    <t xml:space="preserve">Total</t>
  </si>
  <si>
    <t xml:space="preserve">2.</t>
  </si>
  <si>
    <t xml:space="preserve">Reserves and surplus</t>
  </si>
  <si>
    <t xml:space="preserve">Surplus in Statement of Profit and Loss: opening balance</t>
  </si>
  <si>
    <t xml:space="preserve">Profit for the year</t>
  </si>
  <si>
    <t xml:space="preserve">3.</t>
  </si>
  <si>
    <t xml:space="preserve">Long-term borrowings</t>
  </si>
  <si>
    <t xml:space="preserve">Secured Loans</t>
  </si>
  <si>
    <t xml:space="preserve">Term Loan - Sample Bank</t>
  </si>
  <si>
    <t xml:space="preserve">Unsecured Loans</t>
  </si>
  <si>
    <t xml:space="preserve">Loan from Director</t>
  </si>
  <si>
    <t xml:space="preserve">4.</t>
  </si>
  <si>
    <t xml:space="preserve">Other long-term liabilities and provisions</t>
  </si>
  <si>
    <t xml:space="preserve">No balances</t>
  </si>
  <si>
    <t xml:space="preserve">5.</t>
  </si>
  <si>
    <t xml:space="preserve">Short-term borrowings</t>
  </si>
  <si>
    <t xml:space="preserve">Cash Credit - Sample Bank</t>
  </si>
  <si>
    <t xml:space="preserve">6.</t>
  </si>
  <si>
    <t xml:space="preserve">Trade payables</t>
  </si>
  <si>
    <t xml:space="preserve">Alpha Components Pvt Ltd</t>
  </si>
  <si>
    <t xml:space="preserve">Beta Metals Traders</t>
  </si>
  <si>
    <t xml:space="preserve">Gamma Logistics</t>
  </si>
  <si>
    <t xml:space="preserve">7.</t>
  </si>
  <si>
    <t xml:space="preserve">Other current liabilities</t>
  </si>
  <si>
    <t xml:space="preserve">GST Output Payable</t>
  </si>
  <si>
    <t xml:space="preserve">TDS Payable</t>
  </si>
  <si>
    <t xml:space="preserve">PF Payable</t>
  </si>
  <si>
    <t xml:space="preserve">Current Liabilities</t>
  </si>
  <si>
    <t xml:space="preserve">Advance from Customers</t>
  </si>
  <si>
    <t xml:space="preserve">Salary Payable</t>
  </si>
  <si>
    <t xml:space="preserve">Audit Fee Payable</t>
  </si>
  <si>
    <t xml:space="preserve">Reclassified from Sundry Debtors</t>
  </si>
  <si>
    <t xml:space="preserve">Eta Customer (advance received)</t>
  </si>
  <si>
    <t xml:space="preserve">8.</t>
  </si>
  <si>
    <t xml:space="preserve">Short-term provisions</t>
  </si>
  <si>
    <t xml:space="preserve">Provision for Gratuity</t>
  </si>
  <si>
    <t xml:space="preserve">Provision for income tax</t>
  </si>
  <si>
    <t xml:space="preserve">9.</t>
  </si>
  <si>
    <t xml:space="preserve">Property, plant and equipment</t>
  </si>
  <si>
    <t xml:space="preserve">Depreciation calculator</t>
  </si>
  <si>
    <t xml:space="preserve">Depreciation per calculator - difference to books (fixed assets)</t>
  </si>
  <si>
    <t xml:space="preserve">Fixed Assets</t>
  </si>
  <si>
    <t xml:space="preserve">Plant and Machinery</t>
  </si>
  <si>
    <t xml:space="preserve">Vehicles</t>
  </si>
  <si>
    <t xml:space="preserve">Furniture and Fixtures</t>
  </si>
  <si>
    <t xml:space="preserve">Computers and Printers</t>
  </si>
  <si>
    <t xml:space="preserve">Refer the Fixed Assets Schedule for gross block, depreciation and net block.</t>
  </si>
  <si>
    <t xml:space="preserve">10.</t>
  </si>
  <si>
    <t xml:space="preserve">Investments</t>
  </si>
  <si>
    <t xml:space="preserve">11.</t>
  </si>
  <si>
    <t xml:space="preserve">Other non-current assets</t>
  </si>
  <si>
    <t xml:space="preserve">12.</t>
  </si>
  <si>
    <t xml:space="preserve">Closing stock</t>
  </si>
  <si>
    <t xml:space="preserve">13.</t>
  </si>
  <si>
    <t xml:space="preserve">Trade receivables</t>
  </si>
  <si>
    <t xml:space="preserve">Delta Industries Ltd</t>
  </si>
  <si>
    <t xml:space="preserve">Epsilon Engineering</t>
  </si>
  <si>
    <t xml:space="preserve">Zeta Retail Co</t>
  </si>
  <si>
    <t xml:space="preserve">14.</t>
  </si>
  <si>
    <t xml:space="preserve">Bank Accounts</t>
  </si>
  <si>
    <t xml:space="preserve">Sample Bank Current Account</t>
  </si>
  <si>
    <t xml:space="preserve">Cash-in-Hand</t>
  </si>
  <si>
    <t xml:space="preserve">Cash in Hand</t>
  </si>
  <si>
    <t xml:space="preserve">15.</t>
  </si>
  <si>
    <t xml:space="preserve">Short-term loans and advances</t>
  </si>
  <si>
    <t xml:space="preserve">Deposits (Asset)</t>
  </si>
  <si>
    <t xml:space="preserve">Rent Deposit</t>
  </si>
  <si>
    <t xml:space="preserve">Loans &amp; Advances (Asset)</t>
  </si>
  <si>
    <t xml:space="preserve">Advance to Suppliers</t>
  </si>
  <si>
    <t xml:space="preserve">Staff Advances</t>
  </si>
  <si>
    <t xml:space="preserve">16.</t>
  </si>
  <si>
    <t xml:space="preserve">Other current assets</t>
  </si>
  <si>
    <t xml:space="preserve">GST Input Credit</t>
  </si>
  <si>
    <t xml:space="preserve">Prepaid Insurance</t>
  </si>
  <si>
    <t xml:space="preserve">Property, Plant and Equipment: schedule as at 31st March 2026</t>
  </si>
  <si>
    <t xml:space="preserve">Property, Plant and Equipment</t>
  </si>
  <si>
    <t xml:space="preserve">Asset class</t>
  </si>
  <si>
    <t xml:space="preserve">Gross block
as at 31-Mar-2025</t>
  </si>
  <si>
    <t xml:space="preserve">Additions</t>
  </si>
  <si>
    <t xml:space="preserve">Deductions</t>
  </si>
  <si>
    <t xml:space="preserve">Gross block
as at 31-Mar-2026</t>
  </si>
  <si>
    <t xml:space="preserve">Depreciation
as at 31-Mar-2025</t>
  </si>
  <si>
    <t xml:space="preserve">For the year</t>
  </si>
  <si>
    <t xml:space="preserve">On deductions</t>
  </si>
  <si>
    <t xml:space="preserve">Depreciation
as at 31-Mar-2026</t>
  </si>
  <si>
    <t xml:space="preserve">Net block
as at 31-Mar-2026</t>
  </si>
  <si>
    <t xml:space="preserve">Net block
as at 31-Mar-2025</t>
  </si>
  <si>
    <t xml:space="preserve">Plant and machinery - general</t>
  </si>
  <si>
    <t xml:space="preserve">Furniture and fittings</t>
  </si>
  <si>
    <t xml:space="preserve">Computers - end-user devices (desktops, laptops)</t>
  </si>
  <si>
    <t xml:space="preserve">Motor vehicles - cars</t>
  </si>
  <si>
    <t xml:space="preserve">Net block less Balance Sheet note</t>
  </si>
  <si>
    <t xml:space="preserve">Depreciation for the year includes depreciation on assets sold up to the date of sale; it is removed with the accumulated depreciation of those assets under 'On deductions'.</t>
  </si>
  <si>
    <t xml:space="preserve">Schedule II, SLM method, residual value 5.0% of cost, 365 days. Additions and disposals are depreciated pro rata by days; depreciation on assets sold runs to the date of sale.</t>
  </si>
  <si>
    <t xml:space="preserve">17.</t>
  </si>
  <si>
    <t xml:space="preserve">Revenue from operations</t>
  </si>
  <si>
    <t xml:space="preserve">Year ended
31-Mar-2026</t>
  </si>
  <si>
    <t xml:space="preserve">Year ended
31-Mar-2025</t>
  </si>
  <si>
    <t xml:space="preserve">Sales - Products</t>
  </si>
  <si>
    <t xml:space="preserve">Sales - Services</t>
  </si>
  <si>
    <t xml:space="preserve">18.</t>
  </si>
  <si>
    <t xml:space="preserve">Other income</t>
  </si>
  <si>
    <t xml:space="preserve">Interest Received</t>
  </si>
  <si>
    <t xml:space="preserve">Discount Received</t>
  </si>
  <si>
    <t xml:space="preserve">19.</t>
  </si>
  <si>
    <t xml:space="preserve">Purchase of Raw Materials</t>
  </si>
  <si>
    <t xml:space="preserve">20.</t>
  </si>
  <si>
    <t xml:space="preserve">Opening Stock</t>
  </si>
  <si>
    <t xml:space="preserve">Less: Closing stock</t>
  </si>
  <si>
    <t xml:space="preserve">21.</t>
  </si>
  <si>
    <t xml:space="preserve">Salaries and Wages</t>
  </si>
  <si>
    <t xml:space="preserve">PF Employer Contribution</t>
  </si>
  <si>
    <t xml:space="preserve">Staff Welfare</t>
  </si>
  <si>
    <t xml:space="preserve">22.</t>
  </si>
  <si>
    <t xml:space="preserve">Interest on Term Loan</t>
  </si>
  <si>
    <t xml:space="preserve">Interest on Cash Credit</t>
  </si>
  <si>
    <t xml:space="preserve">23.</t>
  </si>
  <si>
    <t xml:space="preserve">Depreciation per calculator - difference to books (expense)</t>
  </si>
  <si>
    <t xml:space="preserve">Indirect Expenses</t>
  </si>
  <si>
    <t xml:space="preserve">Depreciation</t>
  </si>
  <si>
    <t xml:space="preserve">24.</t>
  </si>
  <si>
    <t xml:space="preserve">Direct Expenses</t>
  </si>
  <si>
    <t xml:space="preserve">Freight Inward</t>
  </si>
  <si>
    <t xml:space="preserve">Rent</t>
  </si>
  <si>
    <t xml:space="preserve">Electricity</t>
  </si>
  <si>
    <t xml:space="preserve">Repairs and Maintenance</t>
  </si>
  <si>
    <t xml:space="preserve">Travelling Expenses</t>
  </si>
  <si>
    <t xml:space="preserve">Professional Fees</t>
  </si>
  <si>
    <t xml:space="preserve">Advertisement</t>
  </si>
  <si>
    <t xml:space="preserve">Office Expenses</t>
  </si>
  <si>
    <t xml:space="preserve">Insurance</t>
  </si>
  <si>
    <t xml:space="preserve">Telephone and Internet</t>
  </si>
  <si>
    <t xml:space="preserve">Audit Fees</t>
  </si>
  <si>
    <t xml:space="preserve">Bank Charges</t>
  </si>
  <si>
    <t xml:space="preserve">25.</t>
  </si>
  <si>
    <t xml:space="preserve">Tax expense</t>
  </si>
  <si>
    <t xml:space="preserve">26.</t>
  </si>
  <si>
    <t xml:space="preserve">Less: Preference dividend</t>
  </si>
  <si>
    <t xml:space="preserve">Earnings attributable to equity shareholders</t>
  </si>
  <si>
    <t xml:space="preserve">Number of equity shares outstanding</t>
  </si>
  <si>
    <t xml:space="preserve">Face value per equity share (Rs)</t>
  </si>
  <si>
    <t xml:space="preserve">Basic and diluted earnings per share (Rs)</t>
  </si>
  <si>
    <t xml:space="preserve">27.</t>
  </si>
  <si>
    <t xml:space="preserve">Analytical ratios</t>
  </si>
  <si>
    <t xml:space="preserve">Ratio</t>
  </si>
  <si>
    <t xml:space="preserve">Numerator</t>
  </si>
  <si>
    <t xml:space="preserve">Denominator</t>
  </si>
  <si>
    <t xml:space="preserve">Current year</t>
  </si>
  <si>
    <t xml:space="preserve">Previous year</t>
  </si>
  <si>
    <t xml:space="preserve">% variance</t>
  </si>
  <si>
    <t xml:space="preserve">Current ratio (times)</t>
  </si>
  <si>
    <t xml:space="preserve">Current assets</t>
  </si>
  <si>
    <t xml:space="preserve">Current liabilities</t>
  </si>
  <si>
    <t xml:space="preserve">Debt-equity ratio (times)</t>
  </si>
  <si>
    <t xml:space="preserve">Total borrowings</t>
  </si>
  <si>
    <t xml:space="preserve">Shareholders' funds</t>
  </si>
  <si>
    <t xml:space="preserve">Return on equity (%)</t>
  </si>
  <si>
    <t xml:space="preserve">Average shareholders' funds</t>
  </si>
  <si>
    <t xml:space="preserve">Inventory turnover (times)</t>
  </si>
  <si>
    <t xml:space="preserve">Cost of goods sold</t>
  </si>
  <si>
    <t xml:space="preserve">Average inventories</t>
  </si>
  <si>
    <t xml:space="preserve">Trade receivables turnover (times)</t>
  </si>
  <si>
    <t xml:space="preserve">Average trade receivables</t>
  </si>
  <si>
    <t xml:space="preserve">Trade payables turnover (times)</t>
  </si>
  <si>
    <t xml:space="preserve">Purchases</t>
  </si>
  <si>
    <t xml:space="preserve">Average trade payables</t>
  </si>
  <si>
    <t xml:space="preserve">Net capital turnover (times)</t>
  </si>
  <si>
    <t xml:space="preserve">Average working capital</t>
  </si>
  <si>
    <t xml:space="preserve">Net profit ratio (%)</t>
  </si>
  <si>
    <t xml:space="preserve">Return on capital employed (%)</t>
  </si>
  <si>
    <t xml:space="preserve">Profit before tax + finance costs</t>
  </si>
  <si>
    <t xml:space="preserve">Capital employed</t>
  </si>
  <si>
    <t xml:space="preserve">Ledger-to-statement mapping (01-Apr-2025 to 31-Mar-2026) | Source: Tally Prime / uploaded trial balance</t>
  </si>
  <si>
    <t xml:space="preserve">Sign: -1 for Dr-natured heads (assets, expenses), +1 for Cr-natured heads (capital, liabilities, income).</t>
  </si>
  <si>
    <t xml:space="preserve">Ledger</t>
  </si>
  <si>
    <t xml:space="preserve">Tally Group</t>
  </si>
  <si>
    <t xml:space="preserve">Statement Head</t>
  </si>
  <si>
    <t xml:space="preserve">Sign</t>
  </si>
  <si>
    <t xml:space="preserve">Closing Balance</t>
  </si>
  <si>
    <t xml:space="preserve">Presented Amount</t>
  </si>
  <si>
    <t xml:space="preserve">Dr / Cr</t>
  </si>
  <si>
    <t xml:space="preserve">Capital Account</t>
  </si>
  <si>
    <t xml:space="preserve">Share Capital</t>
  </si>
  <si>
    <t xml:space="preserve">Long-term Borrowings</t>
  </si>
  <si>
    <t xml:space="preserve">Bank OD A/c</t>
  </si>
  <si>
    <t xml:space="preserve">Short-term Borrowings</t>
  </si>
  <si>
    <t xml:space="preserve">Sundry Creditors</t>
  </si>
  <si>
    <t xml:space="preserve">Trade Payables</t>
  </si>
  <si>
    <t xml:space="preserve">Duties &amp; Taxes</t>
  </si>
  <si>
    <t xml:space="preserve">Other Current Liabilities (Statutory Dues)</t>
  </si>
  <si>
    <t xml:space="preserve">Other Current Liabilities</t>
  </si>
  <si>
    <t xml:space="preserve">Sundry Debtors [reclassified]</t>
  </si>
  <si>
    <t xml:space="preserve">Provisions</t>
  </si>
  <si>
    <t xml:space="preserve">Short-term Provisions</t>
  </si>
  <si>
    <t xml:space="preserve">Property, Plant &amp; Equipment</t>
  </si>
  <si>
    <t xml:space="preserve">Stock-in-Hand</t>
  </si>
  <si>
    <t xml:space="preserve">Sundry Debtors</t>
  </si>
  <si>
    <t xml:space="preserve">Trade Receivables</t>
  </si>
  <si>
    <t xml:space="preserve">Cash &amp; Cash Equivalents</t>
  </si>
  <si>
    <t xml:space="preserve">Short-term Loans and Advances</t>
  </si>
  <si>
    <t xml:space="preserve">Current Assets</t>
  </si>
  <si>
    <t xml:space="preserve">Other Current Assets</t>
  </si>
  <si>
    <t xml:space="preserve">Sales Accounts</t>
  </si>
  <si>
    <t xml:space="preserve">Revenue from Operations</t>
  </si>
  <si>
    <t xml:space="preserve">Indirect Incomes</t>
  </si>
  <si>
    <t xml:space="preserve">Other Income</t>
  </si>
  <si>
    <t xml:space="preserve">Purchase Accounts</t>
  </si>
  <si>
    <t xml:space="preserve">Purchases of Stock-in-Trade</t>
  </si>
  <si>
    <t xml:space="preserve">Employee Benefits Expense</t>
  </si>
  <si>
    <t xml:space="preserve">Finance Costs</t>
  </si>
  <si>
    <t xml:space="preserve">Depreciation &amp; Amortisation</t>
  </si>
  <si>
    <t xml:space="preserve">Other Expenses</t>
  </si>
  <si>
    <t xml:space="preserve">Opening reserves (derived: balancing figure of the ledgers above)</t>
  </si>
  <si>
    <t xml:space="preserve">Profit &amp; Loss A/c</t>
  </si>
  <si>
    <t xml:space="preserve">Reserves and Surplus</t>
  </si>
  <si>
    <t xml:space="preserve">Closing stock (from Stock Summary / derived; not a Tally ledger)</t>
  </si>
  <si>
    <t xml:space="preserve">Stock-in-trade</t>
  </si>
  <si>
    <t xml:space="preserve">Income-tax provision for the year (entered in the application; not computed)</t>
  </si>
  <si>
    <t xml:space="preserve">Check: sum of ledger closing balances above (excl. P&amp;L A/c). Its negative is the opening reserves.</t>
  </si>
  <si>
    <t xml:space="preserve">Memo: Profit &amp; Loss A/c ledger closing balance (credit; not in totals)</t>
  </si>
  <si>
    <t xml:space="preserve">Check: P&amp;L A/c ledger = opening reserves + profit before tax (+ calculator adjustment)</t>
  </si>
  <si>
    <t xml:space="preserve">Ledger-to-statement mapping (01-Apr-2024 to 31-Mar-2025) | Source: Tally Prime / uploaded trial balance</t>
  </si>
  <si>
    <t xml:space="preserve">Depreciation schedule - Schedule II, Companies Act 2013</t>
  </si>
  <si>
    <t xml:space="preserve">Inputs (blue) are editable; the depreciation columns are formulas.</t>
  </si>
  <si>
    <t xml:space="preserve">Method</t>
  </si>
  <si>
    <t xml:space="preserve">SLM</t>
  </si>
  <si>
    <t xml:space="preserve">Residual value (% of cost)</t>
  </si>
  <si>
    <t xml:space="preserve">Days in the year</t>
  </si>
  <si>
    <t xml:space="preserve">Period start</t>
  </si>
  <si>
    <t xml:space="preserve">Period end</t>
  </si>
  <si>
    <t xml:space="preserve">Tally ledger</t>
  </si>
  <si>
    <t xml:space="preserve">Useful life (years)</t>
  </si>
  <si>
    <t xml:space="preserve">Remaining life override (years)</t>
  </si>
  <si>
    <t xml:space="preserve">Opening gross block</t>
  </si>
  <si>
    <t xml:space="preserve">Opening accumulated depreciation</t>
  </si>
  <si>
    <t xml:space="preserve">Additions (cost)</t>
  </si>
  <si>
    <t xml:space="preserve">Date put to use (additions)</t>
  </si>
  <si>
    <t xml:space="preserve">Disposals (original cost)</t>
  </si>
  <si>
    <t xml:space="preserve">Accumulated depreciation on disposals</t>
  </si>
  <si>
    <t xml:space="preserve">Sale proceeds</t>
  </si>
  <si>
    <t xml:space="preserve">Date of sale</t>
  </si>
  <si>
    <t xml:space="preserve">Days in use (additions)</t>
  </si>
  <si>
    <t xml:space="preserve">Days in use (disposals)</t>
  </si>
  <si>
    <t xml:space="preserve">Depreciation on assets sold</t>
  </si>
  <si>
    <t xml:space="preserve">Depreciation for the year</t>
  </si>
  <si>
    <t xml:space="preserve">Closing gross block</t>
  </si>
  <si>
    <t xml:space="preserve">Closing accumulated depreciation</t>
  </si>
  <si>
    <t xml:space="preserve">Closing net block</t>
  </si>
  <si>
    <t xml:space="preserve">Profit / (loss) on disposal</t>
  </si>
  <si>
    <t xml:space="preserve">Depreciation per calculator</t>
  </si>
  <si>
    <t xml:space="preserve">Booked in Tally (ledgers under Depreciation &amp; Amortisation)</t>
  </si>
  <si>
    <t xml:space="preserve">Difference (calculator less books)</t>
  </si>
  <si>
    <t xml:space="preserve">Adjustment carried in the statements (mapping sheet)</t>
  </si>
  <si>
    <t xml:space="preserve">Status</t>
  </si>
  <si>
    <t xml:space="preserve">Fixed assets per inputs, before this year's depreciation (opening + additions - disposals, net)</t>
  </si>
  <si>
    <t xml:space="preserve">Fixed assets per Tally before this calculator + depreciation booked in Tally</t>
  </si>
  <si>
    <t xml:space="preserve">Unexplained difference (should be nil when the inputs are complete)</t>
  </si>
  <si>
    <t xml:space="preserve">Basis: Schedule II, SLM method, residual value 5.0% of cost, 365 days. Additions and disposals are depreciated pro rata by days; depreciation on assets sold runs to the date of sale.</t>
  </si>
</sst>
</file>

<file path=xl/styles.xml><?xml version="1.0" encoding="utf-8"?>
<styleSheet xmlns="http://schemas.openxmlformats.org/spreadsheetml/2006/main">
  <numFmts count="10">
    <numFmt numFmtId="164" formatCode="General"/>
    <numFmt numFmtId="165" formatCode="#,##0;\(#,##0\);\-"/>
    <numFmt numFmtId="166" formatCode="#,##0"/>
    <numFmt numFmtId="167" formatCode="#,##0.00"/>
    <numFmt numFmtId="168" formatCode="0.00"/>
    <numFmt numFmtId="169" formatCode="0.0"/>
    <numFmt numFmtId="170" formatCode="#,##0.00;\(#,##0.00\);\-"/>
    <numFmt numFmtId="171" formatCode="dd\-mmm\-yyyy"/>
    <numFmt numFmtId="172" formatCode="0"/>
    <numFmt numFmtId="173" formatCode="General"/>
  </numFmts>
  <fonts count="17">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i val="true"/>
      <sz val="9"/>
      <name val="Cambria"/>
      <family val="0"/>
      <charset val="1"/>
    </font>
    <font>
      <b val="true"/>
      <sz val="11"/>
      <color rgb="FFFFFFFF"/>
      <name val="Cambria"/>
      <family val="0"/>
      <charset val="1"/>
    </font>
    <font>
      <b val="true"/>
      <sz val="11"/>
      <color rgb="FF1F3864"/>
      <name val="Cambria"/>
      <family val="0"/>
      <charset val="1"/>
    </font>
    <font>
      <b val="true"/>
      <i val="true"/>
      <sz val="11"/>
      <name val="Cambria"/>
      <family val="0"/>
      <charset val="1"/>
    </font>
    <font>
      <i val="true"/>
      <sz val="8"/>
      <color rgb="FF888888"/>
      <name val="Cambria"/>
      <family val="0"/>
      <charset val="1"/>
    </font>
    <font>
      <b val="true"/>
      <sz val="8"/>
      <color rgb="FF007A33"/>
      <name val="Cambria"/>
      <family val="0"/>
      <charset val="1"/>
    </font>
    <font>
      <sz val="11"/>
      <name val="Cambria"/>
      <family val="0"/>
      <charset val="1"/>
    </font>
    <font>
      <sz val="8"/>
      <color rgb="FF007A33"/>
      <name val="Cambria"/>
      <family val="0"/>
      <charset val="1"/>
    </font>
    <font>
      <sz val="8"/>
      <color rgb="FF888888"/>
      <name val="Cambria"/>
      <family val="0"/>
      <charset val="1"/>
    </font>
    <font>
      <sz val="9"/>
      <name val="Cambria"/>
      <family val="0"/>
      <charset val="1"/>
    </font>
    <font>
      <sz val="11"/>
      <color rgb="FF0000FF"/>
      <name val="Cambria"/>
      <family val="0"/>
      <charset val="1"/>
    </font>
  </fonts>
  <fills count="4">
    <fill>
      <patternFill patternType="none"/>
    </fill>
    <fill>
      <patternFill patternType="gray125"/>
    </fill>
    <fill>
      <patternFill patternType="solid">
        <fgColor rgb="FF1F3864"/>
        <bgColor rgb="FF333333"/>
      </patternFill>
    </fill>
    <fill>
      <patternFill patternType="solid">
        <fgColor rgb="FFF2F2F2"/>
        <bgColor rgb="FFFFFFFF"/>
      </patternFill>
    </fill>
  </fills>
  <borders count="3">
    <border diagonalUp="false" diagonalDown="false">
      <left/>
      <right/>
      <top/>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4"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5" fontId="5" fillId="3" borderId="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2"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1"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2"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right"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right"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right" vertical="bottom" textRotation="0" wrapText="false" indent="0" shrinkToFit="false"/>
      <protection locked="true" hidden="false"/>
    </xf>
    <xf numFmtId="167" fontId="5" fillId="0" borderId="2" xfId="0" applyFont="true" applyBorder="true" applyAlignment="true" applyProtection="false">
      <alignment horizontal="right"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right" vertical="bottom" textRotation="0" wrapText="false" indent="0" shrinkToFit="false"/>
      <protection locked="true" hidden="false"/>
    </xf>
    <xf numFmtId="169" fontId="0" fillId="0" borderId="0" xfId="0" applyFont="false" applyBorder="false" applyAlignment="true" applyProtection="false">
      <alignment horizontal="right"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2" fontId="16" fillId="0" borderId="0" xfId="0" applyFont="true" applyBorder="false" applyAlignment="false" applyProtection="false">
      <alignment horizontal="general" vertical="bottom" textRotation="0" wrapText="false" indent="0" shrinkToFit="false"/>
      <protection locked="true" hidden="false"/>
    </xf>
    <xf numFmtId="170" fontId="16" fillId="0" borderId="0" xfId="0" applyFont="true" applyBorder="false" applyAlignment="false" applyProtection="false">
      <alignment horizontal="general" vertical="bottom" textRotation="0" wrapText="false" indent="0" shrinkToFit="false"/>
      <protection locked="true" hidden="false"/>
    </xf>
    <xf numFmtId="171" fontId="16" fillId="0" borderId="0" xfId="0" applyFont="tru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7A33"/>
      <rgbColor rgb="FF000080"/>
      <rgbColor rgb="FF808000"/>
      <rgbColor rgb="FF800080"/>
      <rgbColor rgb="FF008080"/>
      <rgbColor rgb="FFC0C0C0"/>
      <rgbColor rgb="FF888888"/>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2" min="2" style="0" width="8"/>
    <col collapsed="false" customWidth="true" hidden="false" outlineLevel="0" max="4" min="3" style="0" width="22"/>
  </cols>
  <sheetData>
    <row r="1" customFormat="false" ht="17.35" hidden="false" customHeight="false" outlineLevel="0" collapsed="false">
      <c r="A1" s="1" t="s">
        <v>0</v>
      </c>
      <c r="B1" s="1"/>
      <c r="C1" s="1"/>
      <c r="D1" s="1"/>
    </row>
    <row r="2" customFormat="false" ht="15" hidden="false" customHeight="false" outlineLevel="0" collapsed="false">
      <c r="A2" s="2" t="s">
        <v>1</v>
      </c>
    </row>
    <row r="3" customFormat="false" ht="15" hidden="false" customHeight="false" outlineLevel="0" collapsed="false">
      <c r="A3" s="0" t="s">
        <v>2</v>
      </c>
    </row>
    <row r="4" customFormat="false" ht="15" hidden="false" customHeight="false" outlineLevel="0" collapsed="false">
      <c r="A4" s="3" t="s">
        <v>3</v>
      </c>
    </row>
    <row r="5" customFormat="false" ht="31.5" hidden="false" customHeight="true" outlineLevel="0" collapsed="false">
      <c r="A5" s="4" t="s">
        <v>4</v>
      </c>
      <c r="B5" s="4" t="s">
        <v>5</v>
      </c>
      <c r="C5" s="4" t="s">
        <v>6</v>
      </c>
      <c r="D5" s="4" t="s">
        <v>7</v>
      </c>
    </row>
    <row r="6" customFormat="false" ht="15" hidden="false" customHeight="false" outlineLevel="0" collapsed="false">
      <c r="A6" s="5" t="s">
        <v>8</v>
      </c>
      <c r="B6" s="6"/>
      <c r="C6" s="7"/>
      <c r="D6" s="7"/>
    </row>
    <row r="7" customFormat="false" ht="15" hidden="false" customHeight="false" outlineLevel="0" collapsed="false">
      <c r="A7" s="8" t="s">
        <v>9</v>
      </c>
      <c r="B7" s="6"/>
      <c r="C7" s="7"/>
      <c r="D7" s="7"/>
    </row>
    <row r="8" customFormat="false" ht="15" hidden="false" customHeight="false" outlineLevel="0" collapsed="false">
      <c r="A8" s="9" t="s">
        <v>10</v>
      </c>
      <c r="B8" s="6" t="n">
        <v>1</v>
      </c>
      <c r="C8" s="7" t="n">
        <f aca="false">SUMIFS('Trial Balance Mapping'!$F$6:$F$62,'Trial Balance Mapping'!$C$6:$C$62,"Share Capital")</f>
        <v>2500000</v>
      </c>
      <c r="D8" s="7" t="n">
        <f aca="false">SUMIFS('Trial Balance Mapping PY'!$F$6:$F$59,'Trial Balance Mapping PY'!$C$6:$C$59,"Share Capital")</f>
        <v>2500000</v>
      </c>
    </row>
    <row r="9" customFormat="false" ht="15" hidden="false" customHeight="false" outlineLevel="0" collapsed="false">
      <c r="A9" s="9" t="s">
        <v>11</v>
      </c>
      <c r="B9" s="6" t="n">
        <v>2</v>
      </c>
      <c r="C9" s="7" t="n">
        <f aca="false">SUMIFS('Trial Balance Mapping'!$F$6:$F$62,'Trial Balance Mapping'!$C$6:$C$62,"Reserves and Surplus")+'Profit &amp; Loss'!C23</f>
        <v>7801401.57</v>
      </c>
      <c r="D9" s="7" t="n">
        <f aca="false">SUMIFS('Trial Balance Mapping PY'!$F$6:$F$59,'Trial Balance Mapping PY'!$C$6:$C$59,"Reserves and Surplus")+'Profit &amp; Loss'!D23</f>
        <v>4317000</v>
      </c>
    </row>
    <row r="10" customFormat="false" ht="15" hidden="false" customHeight="false" outlineLevel="0" collapsed="false">
      <c r="A10" s="2" t="s">
        <v>12</v>
      </c>
      <c r="B10" s="6"/>
      <c r="C10" s="10" t="n">
        <f aca="false">C8+C9</f>
        <v>10301401.57</v>
      </c>
      <c r="D10" s="10" t="n">
        <f aca="false">D8+D9</f>
        <v>6817000</v>
      </c>
    </row>
    <row r="11" customFormat="false" ht="15" hidden="false" customHeight="false" outlineLevel="0" collapsed="false">
      <c r="A11" s="8" t="s">
        <v>13</v>
      </c>
      <c r="B11" s="6"/>
      <c r="C11" s="7"/>
      <c r="D11" s="7"/>
    </row>
    <row r="12" customFormat="false" ht="15" hidden="false" customHeight="false" outlineLevel="0" collapsed="false">
      <c r="A12" s="9" t="s">
        <v>14</v>
      </c>
      <c r="B12" s="6" t="n">
        <v>3</v>
      </c>
      <c r="C12" s="7" t="n">
        <f aca="false">SUMIFS('Trial Balance Mapping'!$F$6:$F$62,'Trial Balance Mapping'!$C$6:$C$62,"Long-term Borrowings")</f>
        <v>3800000</v>
      </c>
      <c r="D12" s="7" t="n">
        <f aca="false">SUMIFS('Trial Balance Mapping PY'!$F$6:$F$59,'Trial Balance Mapping PY'!$C$6:$C$59,"Long-term Borrowings")</f>
        <v>4350000</v>
      </c>
    </row>
    <row r="13" customFormat="false" ht="15" hidden="false" customHeight="false" outlineLevel="0" collapsed="false">
      <c r="A13" s="9" t="s">
        <v>15</v>
      </c>
      <c r="B13" s="6" t="n">
        <v>4</v>
      </c>
      <c r="C13" s="7" t="n">
        <f aca="false">SUMIFS('Trial Balance Mapping'!$F$6:$F$62,'Trial Balance Mapping'!$C$6:$C$62,"Other Non-current Liabilities")</f>
        <v>0</v>
      </c>
      <c r="D13" s="7" t="n">
        <f aca="false">SUMIFS('Trial Balance Mapping PY'!$F$6:$F$59,'Trial Balance Mapping PY'!$C$6:$C$59,"Other Non-current Liabilities")</f>
        <v>0</v>
      </c>
    </row>
    <row r="14" customFormat="false" ht="15" hidden="false" customHeight="false" outlineLevel="0" collapsed="false">
      <c r="A14" s="2" t="s">
        <v>16</v>
      </c>
      <c r="B14" s="6"/>
      <c r="C14" s="10" t="n">
        <f aca="false">C12+C13</f>
        <v>3800000</v>
      </c>
      <c r="D14" s="10" t="n">
        <f aca="false">D12+D13</f>
        <v>4350000</v>
      </c>
    </row>
    <row r="15" customFormat="false" ht="15" hidden="false" customHeight="false" outlineLevel="0" collapsed="false">
      <c r="A15" s="8" t="s">
        <v>17</v>
      </c>
      <c r="B15" s="6"/>
      <c r="C15" s="7"/>
      <c r="D15" s="7"/>
    </row>
    <row r="16" customFormat="false" ht="15" hidden="false" customHeight="false" outlineLevel="0" collapsed="false">
      <c r="A16" s="9" t="s">
        <v>18</v>
      </c>
      <c r="B16" s="6" t="n">
        <v>5</v>
      </c>
      <c r="C16" s="7" t="n">
        <f aca="false">SUMIFS('Trial Balance Mapping'!$F$6:$F$62,'Trial Balance Mapping'!$C$6:$C$62,"Short-term Borrowings")</f>
        <v>1450000</v>
      </c>
      <c r="D16" s="7" t="n">
        <f aca="false">SUMIFS('Trial Balance Mapping PY'!$F$6:$F$59,'Trial Balance Mapping PY'!$C$6:$C$59,"Short-term Borrowings")</f>
        <v>1100000</v>
      </c>
    </row>
    <row r="17" customFormat="false" ht="15" hidden="false" customHeight="false" outlineLevel="0" collapsed="false">
      <c r="A17" s="9" t="s">
        <v>19</v>
      </c>
      <c r="B17" s="6" t="n">
        <v>6</v>
      </c>
      <c r="C17" s="7" t="n">
        <f aca="false">SUMIFS('Trial Balance Mapping'!$F$6:$F$62,'Trial Balance Mapping'!$C$6:$C$62,"Trade Payables")</f>
        <v>2640000</v>
      </c>
      <c r="D17" s="7" t="n">
        <f aca="false">SUMIFS('Trial Balance Mapping PY'!$F$6:$F$59,'Trial Balance Mapping PY'!$C$6:$C$59,"Trade Payables")</f>
        <v>2230000</v>
      </c>
    </row>
    <row r="18" customFormat="false" ht="15" hidden="false" customHeight="false" outlineLevel="0" collapsed="false">
      <c r="A18" s="9" t="s">
        <v>20</v>
      </c>
      <c r="B18" s="6" t="n">
        <v>7</v>
      </c>
      <c r="C18" s="7" t="n">
        <f aca="false">SUMIFS('Trial Balance Mapping'!$F$6:$F$62,'Trial Balance Mapping'!$C$6:$C$62,"Other Current Liabilities (Statutory Dues)")+SUMIFS('Trial Balance Mapping'!$F$6:$F$62,'Trial Balance Mapping'!$C$6:$C$62,"Other Current Liabilities")</f>
        <v>1205000</v>
      </c>
      <c r="D18" s="7" t="n">
        <f aca="false">SUMIFS('Trial Balance Mapping PY'!$F$6:$F$59,'Trial Balance Mapping PY'!$C$6:$C$59,"Other Current Liabilities (Statutory Dues)")+SUMIFS('Trial Balance Mapping PY'!$F$6:$F$59,'Trial Balance Mapping PY'!$C$6:$C$59,"Other Current Liabilities")</f>
        <v>843000</v>
      </c>
    </row>
    <row r="19" customFormat="false" ht="15" hidden="false" customHeight="false" outlineLevel="0" collapsed="false">
      <c r="A19" s="9" t="s">
        <v>21</v>
      </c>
      <c r="B19" s="6" t="n">
        <v>8</v>
      </c>
      <c r="C19" s="7" t="n">
        <f aca="false">SUMIFS('Trial Balance Mapping'!$F$6:$F$62,'Trial Balance Mapping'!$C$6:$C$62,"Short-term Provisions")+'Trial Balance Mapping'!$F$64</f>
        <v>180000</v>
      </c>
      <c r="D19" s="7" t="n">
        <f aca="false">SUMIFS('Trial Balance Mapping PY'!$F$6:$F$59,'Trial Balance Mapping PY'!$C$6:$C$59,"Short-term Provisions")+'Trial Balance Mapping PY'!$F$61</f>
        <v>140000</v>
      </c>
    </row>
    <row r="20" customFormat="false" ht="15" hidden="false" customHeight="false" outlineLevel="0" collapsed="false">
      <c r="A20" s="2" t="s">
        <v>22</v>
      </c>
      <c r="B20" s="6"/>
      <c r="C20" s="10" t="n">
        <f aca="false">C16+C17+C18+C19</f>
        <v>5475000</v>
      </c>
      <c r="D20" s="10" t="n">
        <f aca="false">D16+D17+D18+D19</f>
        <v>4313000</v>
      </c>
    </row>
    <row r="21" customFormat="false" ht="15" hidden="false" customHeight="false" outlineLevel="0" collapsed="false">
      <c r="A21" s="11" t="s">
        <v>23</v>
      </c>
      <c r="B21" s="12"/>
      <c r="C21" s="13" t="n">
        <f aca="false">C10+C14+C20</f>
        <v>19576401.57</v>
      </c>
      <c r="D21" s="13" t="n">
        <f aca="false">D10+D14+D20</f>
        <v>15480000</v>
      </c>
    </row>
    <row r="23" customFormat="false" ht="15" hidden="false" customHeight="false" outlineLevel="0" collapsed="false">
      <c r="A23" s="5" t="s">
        <v>24</v>
      </c>
      <c r="B23" s="6"/>
      <c r="C23" s="7"/>
      <c r="D23" s="7"/>
    </row>
    <row r="24" customFormat="false" ht="15" hidden="false" customHeight="false" outlineLevel="0" collapsed="false">
      <c r="A24" s="8" t="s">
        <v>25</v>
      </c>
      <c r="B24" s="6"/>
      <c r="C24" s="7"/>
      <c r="D24" s="7"/>
    </row>
    <row r="25" customFormat="false" ht="15" hidden="false" customHeight="false" outlineLevel="0" collapsed="false">
      <c r="A25" s="9" t="s">
        <v>26</v>
      </c>
      <c r="B25" s="6" t="n">
        <v>9</v>
      </c>
      <c r="C25" s="7" t="n">
        <f aca="false">SUMIFS('Trial Balance Mapping'!$F$6:$F$62,'Trial Balance Mapping'!$C$6:$C$62,"Property, Plant &amp; Equipment")</f>
        <v>6929401.57</v>
      </c>
      <c r="D25" s="7" t="n">
        <f aca="false">SUMIFS('Trial Balance Mapping PY'!$F$6:$F$59,'Trial Balance Mapping PY'!$C$6:$C$59,"Property, Plant &amp; Equipment")</f>
        <v>6713000</v>
      </c>
    </row>
    <row r="26" customFormat="false" ht="15" hidden="false" customHeight="false" outlineLevel="0" collapsed="false">
      <c r="A26" s="9" t="s">
        <v>27</v>
      </c>
      <c r="B26" s="6" t="n">
        <v>10</v>
      </c>
      <c r="C26" s="7" t="n">
        <f aca="false">SUMIFS('Trial Balance Mapping'!$F$6:$F$62,'Trial Balance Mapping'!$C$6:$C$62,"Investments")</f>
        <v>0</v>
      </c>
      <c r="D26" s="7" t="n">
        <f aca="false">SUMIFS('Trial Balance Mapping PY'!$F$6:$F$59,'Trial Balance Mapping PY'!$C$6:$C$59,"Investments")</f>
        <v>0</v>
      </c>
    </row>
    <row r="27" customFormat="false" ht="15" hidden="false" customHeight="false" outlineLevel="0" collapsed="false">
      <c r="A27" s="9" t="s">
        <v>28</v>
      </c>
      <c r="B27" s="6" t="n">
        <v>11</v>
      </c>
      <c r="C27" s="7" t="n">
        <f aca="false">SUMIFS('Trial Balance Mapping'!$F$6:$F$62,'Trial Balance Mapping'!$C$6:$C$62,"Other Non-Current Assets")</f>
        <v>0</v>
      </c>
      <c r="D27" s="7" t="n">
        <f aca="false">SUMIFS('Trial Balance Mapping PY'!$F$6:$F$59,'Trial Balance Mapping PY'!$C$6:$C$59,"Other Non-Current Assets")</f>
        <v>0</v>
      </c>
    </row>
    <row r="28" customFormat="false" ht="15" hidden="false" customHeight="false" outlineLevel="0" collapsed="false">
      <c r="A28" s="2" t="s">
        <v>29</v>
      </c>
      <c r="B28" s="6"/>
      <c r="C28" s="10" t="n">
        <f aca="false">C25+C26+C27</f>
        <v>6929401.57</v>
      </c>
      <c r="D28" s="10" t="n">
        <f aca="false">D25+D26+D27</f>
        <v>6713000</v>
      </c>
    </row>
    <row r="29" customFormat="false" ht="15" hidden="false" customHeight="false" outlineLevel="0" collapsed="false">
      <c r="A29" s="8" t="s">
        <v>30</v>
      </c>
      <c r="B29" s="6"/>
      <c r="C29" s="7"/>
      <c r="D29" s="7"/>
    </row>
    <row r="30" customFormat="false" ht="15" hidden="false" customHeight="false" outlineLevel="0" collapsed="false">
      <c r="A30" s="9" t="s">
        <v>31</v>
      </c>
      <c r="B30" s="6" t="n">
        <v>12</v>
      </c>
      <c r="C30" s="7" t="n">
        <f aca="false">SUMIFS('Trial Balance Mapping'!$F$6:$F$62,'Trial Balance Mapping'!$C$6:$C$62,"Inventories")</f>
        <v>2250000</v>
      </c>
      <c r="D30" s="7" t="n">
        <f aca="false">SUMIFS('Trial Balance Mapping PY'!$F$6:$F$59,'Trial Balance Mapping PY'!$C$6:$C$59,"Inventories")</f>
        <v>1900000</v>
      </c>
    </row>
    <row r="31" customFormat="false" ht="15" hidden="false" customHeight="false" outlineLevel="0" collapsed="false">
      <c r="A31" s="9" t="s">
        <v>32</v>
      </c>
      <c r="B31" s="6" t="n">
        <v>13</v>
      </c>
      <c r="C31" s="7" t="n">
        <f aca="false">SUMIFS('Trial Balance Mapping'!$F$6:$F$62,'Trial Balance Mapping'!$C$6:$C$62,"Trade Receivables")</f>
        <v>4670000</v>
      </c>
      <c r="D31" s="7" t="n">
        <f aca="false">SUMIFS('Trial Balance Mapping PY'!$F$6:$F$59,'Trial Balance Mapping PY'!$C$6:$C$59,"Trade Receivables")</f>
        <v>3890000</v>
      </c>
    </row>
    <row r="32" customFormat="false" ht="15" hidden="false" customHeight="false" outlineLevel="0" collapsed="false">
      <c r="A32" s="9" t="s">
        <v>33</v>
      </c>
      <c r="B32" s="6" t="n">
        <v>14</v>
      </c>
      <c r="C32" s="7" t="n">
        <f aca="false">SUMIFS('Trial Balance Mapping'!$F$6:$F$62,'Trial Balance Mapping'!$C$6:$C$62,"Cash &amp; Cash Equivalents")</f>
        <v>4654000</v>
      </c>
      <c r="D32" s="7" t="n">
        <f aca="false">SUMIFS('Trial Balance Mapping PY'!$F$6:$F$59,'Trial Balance Mapping PY'!$C$6:$C$59,"Cash &amp; Cash Equivalents")</f>
        <v>2076000</v>
      </c>
    </row>
    <row r="33" customFormat="false" ht="15" hidden="false" customHeight="false" outlineLevel="0" collapsed="false">
      <c r="A33" s="9" t="s">
        <v>34</v>
      </c>
      <c r="B33" s="6" t="n">
        <v>15</v>
      </c>
      <c r="C33" s="7" t="n">
        <f aca="false">SUMIFS('Trial Balance Mapping'!$F$6:$F$62,'Trial Balance Mapping'!$C$6:$C$62,"Short-term Loans and Advances")</f>
        <v>635000</v>
      </c>
      <c r="D33" s="7" t="n">
        <f aca="false">SUMIFS('Trial Balance Mapping PY'!$F$6:$F$59,'Trial Balance Mapping PY'!$C$6:$C$59,"Short-term Loans and Advances")</f>
        <v>550000</v>
      </c>
    </row>
    <row r="34" customFormat="false" ht="15" hidden="false" customHeight="false" outlineLevel="0" collapsed="false">
      <c r="A34" s="9" t="s">
        <v>35</v>
      </c>
      <c r="B34" s="6" t="n">
        <v>16</v>
      </c>
      <c r="C34" s="7" t="n">
        <f aca="false">SUMIFS('Trial Balance Mapping'!$F$6:$F$62,'Trial Balance Mapping'!$C$6:$C$62,"Other Current Assets")</f>
        <v>438000</v>
      </c>
      <c r="D34" s="7" t="n">
        <f aca="false">SUMIFS('Trial Balance Mapping PY'!$F$6:$F$59,'Trial Balance Mapping PY'!$C$6:$C$59,"Other Current Assets")</f>
        <v>351000</v>
      </c>
    </row>
    <row r="35" customFormat="false" ht="15" hidden="false" customHeight="false" outlineLevel="0" collapsed="false">
      <c r="A35" s="2" t="s">
        <v>36</v>
      </c>
      <c r="B35" s="6"/>
      <c r="C35" s="10" t="n">
        <f aca="false">C30+C31+C32+C33+C34</f>
        <v>12647000</v>
      </c>
      <c r="D35" s="10" t="n">
        <f aca="false">D30+D31+D32+D33+D34</f>
        <v>8767000</v>
      </c>
    </row>
    <row r="36" customFormat="false" ht="15" hidden="false" customHeight="false" outlineLevel="0" collapsed="false">
      <c r="A36" s="11" t="s">
        <v>37</v>
      </c>
      <c r="B36" s="12"/>
      <c r="C36" s="13" t="n">
        <f aca="false">C28+C35</f>
        <v>19576401.57</v>
      </c>
      <c r="D36" s="13" t="n">
        <f aca="false">D28+D35</f>
        <v>15480000</v>
      </c>
      <c r="F36" s="14" t="s">
        <v>38</v>
      </c>
      <c r="G36" s="15" t="n">
        <f aca="false">ROUND(C36-C21,2)</f>
        <v>0</v>
      </c>
      <c r="H36" s="15" t="n">
        <f aca="false">ROUND(D36-D21,2)</f>
        <v>0</v>
      </c>
    </row>
    <row r="43" customFormat="false" ht="15" hidden="false" customHeight="false" outlineLevel="0" collapsed="false">
      <c r="A43" s="2" t="s">
        <v>39</v>
      </c>
      <c r="C43" s="2" t="s">
        <v>40</v>
      </c>
    </row>
    <row r="44" customFormat="false" ht="15" hidden="false" customHeight="false" outlineLevel="0" collapsed="false">
      <c r="A44" s="2" t="s">
        <v>41</v>
      </c>
      <c r="C44" s="16"/>
    </row>
    <row r="45" customFormat="false" ht="15" hidden="false" customHeight="false" outlineLevel="0" collapsed="false">
      <c r="A45" s="16" t="s">
        <v>42</v>
      </c>
      <c r="C45" s="16"/>
    </row>
    <row r="46" customFormat="false" ht="15" hidden="false" customHeight="false" outlineLevel="0" collapsed="false">
      <c r="A46" s="16" t="s">
        <v>43</v>
      </c>
      <c r="C46" s="16" t="s">
        <v>44</v>
      </c>
    </row>
    <row r="47" customFormat="false" ht="15" hidden="false" customHeight="false" outlineLevel="0" collapsed="false">
      <c r="A47" s="16"/>
      <c r="C47" s="16" t="s">
        <v>45</v>
      </c>
    </row>
    <row r="48" customFormat="false" ht="15" hidden="false" customHeight="false" outlineLevel="0" collapsed="false">
      <c r="A48" s="16"/>
      <c r="C48" s="16"/>
    </row>
    <row r="49" customFormat="false" ht="15" hidden="false" customHeight="false" outlineLevel="0" collapsed="false">
      <c r="A49" s="16" t="s">
        <v>46</v>
      </c>
      <c r="C49" s="16"/>
    </row>
    <row r="50" customFormat="false" ht="15" hidden="false" customHeight="false" outlineLevel="0" collapsed="false">
      <c r="A50" s="16" t="s">
        <v>47</v>
      </c>
      <c r="C50" s="16" t="s">
        <v>48</v>
      </c>
    </row>
    <row r="51" customFormat="false" ht="15" hidden="false" customHeight="false" outlineLevel="0" collapsed="false">
      <c r="A51" s="16" t="s">
        <v>49</v>
      </c>
      <c r="C51" s="16" t="s">
        <v>50</v>
      </c>
    </row>
    <row r="52" customFormat="false" ht="15" hidden="false" customHeight="false" outlineLevel="0" collapsed="false">
      <c r="A52" s="16" t="s">
        <v>51</v>
      </c>
      <c r="C52" s="16"/>
    </row>
    <row r="53" customFormat="false" ht="15" hidden="false" customHeight="false" outlineLevel="0" collapsed="false">
      <c r="A53" s="16" t="s">
        <v>52</v>
      </c>
      <c r="C53" s="16" t="s">
        <v>53</v>
      </c>
    </row>
    <row r="54" customFormat="false" ht="15" hidden="false" customHeight="false" outlineLevel="0" collapsed="false">
      <c r="A54" s="16" t="s">
        <v>54</v>
      </c>
    </row>
  </sheetData>
  <mergeCells count="1">
    <mergeCell ref="A1:D1"/>
  </mergeCells>
  <printOptions headings="false" gridLines="false" gridLinesSet="true" horizontalCentered="true" verticalCentered="false"/>
  <pageMargins left="0.6" right="0.6" top="0.7" bottom="0.8"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Sample Engineering Private Limited | Balance Sheet&amp;R&amp;8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2" min="2" style="0" width="8"/>
    <col collapsed="false" customWidth="true" hidden="false" outlineLevel="0" max="4" min="3" style="0" width="22"/>
  </cols>
  <sheetData>
    <row r="1" customFormat="false" ht="17.35" hidden="false" customHeight="false" outlineLevel="0" collapsed="false">
      <c r="A1" s="1" t="s">
        <v>0</v>
      </c>
      <c r="B1" s="1"/>
      <c r="C1" s="1"/>
      <c r="D1" s="1"/>
    </row>
    <row r="2" customFormat="false" ht="15" hidden="false" customHeight="false" outlineLevel="0" collapsed="false">
      <c r="A2" s="2" t="s">
        <v>55</v>
      </c>
    </row>
    <row r="3" customFormat="false" ht="15" hidden="false" customHeight="false" outlineLevel="0" collapsed="false">
      <c r="A3" s="0" t="s">
        <v>2</v>
      </c>
    </row>
    <row r="4" customFormat="false" ht="15" hidden="false" customHeight="false" outlineLevel="0" collapsed="false">
      <c r="A4" s="3" t="s">
        <v>3</v>
      </c>
    </row>
    <row r="5" customFormat="false" ht="31.5" hidden="false" customHeight="true" outlineLevel="0" collapsed="false">
      <c r="A5" s="4" t="s">
        <v>4</v>
      </c>
      <c r="B5" s="4" t="s">
        <v>5</v>
      </c>
      <c r="C5" s="4" t="s">
        <v>56</v>
      </c>
      <c r="D5" s="4" t="s">
        <v>57</v>
      </c>
    </row>
    <row r="6" customFormat="false" ht="15" hidden="false" customHeight="false" outlineLevel="0" collapsed="false">
      <c r="A6" s="17" t="s">
        <v>58</v>
      </c>
      <c r="B6" s="6" t="n">
        <v>17</v>
      </c>
      <c r="C6" s="7" t="n">
        <f aca="false">SUMIFS('Trial Balance Mapping'!$F$6:$F$62,'Trial Balance Mapping'!$C$6:$C$62,"Revenue from Operations")</f>
        <v>20400000</v>
      </c>
      <c r="D6" s="7" t="n">
        <f aca="false">SUMIFS('Trial Balance Mapping PY'!$F$6:$F$59,'Trial Balance Mapping PY'!$C$6:$C$59,"Revenue from Operations")</f>
        <v>17300000</v>
      </c>
    </row>
    <row r="7" customFormat="false" ht="15" hidden="false" customHeight="false" outlineLevel="0" collapsed="false">
      <c r="A7" s="17" t="s">
        <v>59</v>
      </c>
      <c r="B7" s="6" t="n">
        <v>18</v>
      </c>
      <c r="C7" s="7" t="n">
        <f aca="false">SUMIFS('Trial Balance Mapping'!$F$6:$F$62,'Trial Balance Mapping'!$C$6:$C$62,"Other Income")</f>
        <v>86000</v>
      </c>
      <c r="D7" s="7" t="n">
        <f aca="false">SUMIFS('Trial Balance Mapping PY'!$F$6:$F$59,'Trial Balance Mapping PY'!$C$6:$C$59,"Other Income")</f>
        <v>70000</v>
      </c>
    </row>
    <row r="8" customFormat="false" ht="15" hidden="false" customHeight="false" outlineLevel="0" collapsed="false">
      <c r="A8" s="2" t="s">
        <v>60</v>
      </c>
      <c r="B8" s="6"/>
      <c r="C8" s="10" t="n">
        <f aca="false">C6+C7</f>
        <v>20486000</v>
      </c>
      <c r="D8" s="10" t="n">
        <f aca="false">D6+D7</f>
        <v>17370000</v>
      </c>
    </row>
    <row r="10" customFormat="false" ht="15" hidden="false" customHeight="false" outlineLevel="0" collapsed="false">
      <c r="A10" s="2" t="s">
        <v>61</v>
      </c>
      <c r="B10" s="6"/>
      <c r="C10" s="7"/>
      <c r="D10" s="7"/>
    </row>
    <row r="11" customFormat="false" ht="15" hidden="false" customHeight="false" outlineLevel="0" collapsed="false">
      <c r="A11" s="17" t="s">
        <v>62</v>
      </c>
      <c r="B11" s="6" t="n">
        <v>19</v>
      </c>
      <c r="C11" s="7" t="n">
        <f aca="false">SUMIFS('Trial Balance Mapping'!$F$6:$F$62,'Trial Balance Mapping'!$C$6:$C$62,"Purchases of Stock-in-Trade")</f>
        <v>9600000</v>
      </c>
      <c r="D11" s="7" t="n">
        <f aca="false">SUMIFS('Trial Balance Mapping PY'!$F$6:$F$59,'Trial Balance Mapping PY'!$C$6:$C$59,"Purchases of Stock-in-Trade")</f>
        <v>8300000</v>
      </c>
    </row>
    <row r="12" customFormat="false" ht="15" hidden="false" customHeight="false" outlineLevel="0" collapsed="false">
      <c r="A12" s="17" t="s">
        <v>63</v>
      </c>
      <c r="B12" s="6" t="n">
        <v>20</v>
      </c>
      <c r="C12" s="7" t="n">
        <f aca="false">SUMIFS('Trial Balance Mapping'!$F$6:$F$62,'Trial Balance Mapping'!$C$6:$C$62,"Opening Stock")-'Trial Balance Mapping'!$F$62+SUMIFS('Trial Balance Mapping'!$F$6:$F$62,'Trial Balance Mapping'!$C$6:$C$62,"Changes in Inventories")</f>
        <v>-350000</v>
      </c>
      <c r="D12" s="7" t="n">
        <f aca="false">SUMIFS('Trial Balance Mapping PY'!$F$6:$F$59,'Trial Balance Mapping PY'!$C$6:$C$59,"Opening Stock")-'Trial Balance Mapping PY'!$F$59+SUMIFS('Trial Balance Mapping PY'!$F$6:$F$59,'Trial Balance Mapping PY'!$C$6:$C$59,"Changes in Inventories")</f>
        <v>-400000</v>
      </c>
    </row>
    <row r="13" customFormat="false" ht="15" hidden="false" customHeight="false" outlineLevel="0" collapsed="false">
      <c r="A13" s="17" t="s">
        <v>64</v>
      </c>
      <c r="B13" s="6" t="n">
        <v>21</v>
      </c>
      <c r="C13" s="7" t="n">
        <f aca="false">SUMIFS('Trial Balance Mapping'!$F$6:$F$62,'Trial Balance Mapping'!$C$6:$C$62,"Employee Benefits Expense")</f>
        <v>3680000</v>
      </c>
      <c r="D13" s="7" t="n">
        <f aca="false">SUMIFS('Trial Balance Mapping PY'!$F$6:$F$59,'Trial Balance Mapping PY'!$C$6:$C$59,"Employee Benefits Expense")</f>
        <v>3168000</v>
      </c>
    </row>
    <row r="14" customFormat="false" ht="15" hidden="false" customHeight="false" outlineLevel="0" collapsed="false">
      <c r="A14" s="17" t="s">
        <v>65</v>
      </c>
      <c r="B14" s="6" t="n">
        <v>22</v>
      </c>
      <c r="C14" s="7" t="n">
        <f aca="false">SUMIFS('Trial Balance Mapping'!$F$6:$F$62,'Trial Balance Mapping'!$C$6:$C$62,"Finance Costs")</f>
        <v>545000</v>
      </c>
      <c r="D14" s="7" t="n">
        <f aca="false">SUMIFS('Trial Balance Mapping PY'!$F$6:$F$59,'Trial Balance Mapping PY'!$C$6:$C$59,"Finance Costs")</f>
        <v>580000</v>
      </c>
    </row>
    <row r="15" customFormat="false" ht="15" hidden="false" customHeight="false" outlineLevel="0" collapsed="false">
      <c r="A15" s="17" t="s">
        <v>66</v>
      </c>
      <c r="B15" s="6" t="n">
        <v>23</v>
      </c>
      <c r="C15" s="7" t="n">
        <f aca="false">SUMIFS('Trial Balance Mapping'!$F$6:$F$62,'Trial Balance Mapping'!$C$6:$C$62,"Depreciation &amp; Amortisation")</f>
        <v>738598.43</v>
      </c>
      <c r="D15" s="7" t="n">
        <f aca="false">SUMIFS('Trial Balance Mapping PY'!$F$6:$F$59,'Trial Balance Mapping PY'!$C$6:$C$59,"Depreciation &amp; Amortisation")</f>
        <v>820000</v>
      </c>
    </row>
    <row r="16" customFormat="false" ht="15" hidden="false" customHeight="false" outlineLevel="0" collapsed="false">
      <c r="A16" s="17" t="s">
        <v>67</v>
      </c>
      <c r="B16" s="6" t="n">
        <v>24</v>
      </c>
      <c r="C16" s="7" t="n">
        <f aca="false">SUMIFS('Trial Balance Mapping'!$F$6:$F$62,'Trial Balance Mapping'!$C$6:$C$62,"Other Expenses")</f>
        <v>2788000</v>
      </c>
      <c r="D16" s="7" t="n">
        <f aca="false">SUMIFS('Trial Balance Mapping PY'!$F$6:$F$59,'Trial Balance Mapping PY'!$C$6:$C$59,"Other Expenses")</f>
        <v>2435000</v>
      </c>
    </row>
    <row r="17" customFormat="false" ht="15" hidden="false" customHeight="false" outlineLevel="0" collapsed="false">
      <c r="A17" s="2" t="s">
        <v>68</v>
      </c>
      <c r="B17" s="6"/>
      <c r="C17" s="10" t="n">
        <f aca="false">C11+C12+C13+C14+C15+C16</f>
        <v>17001598.43</v>
      </c>
      <c r="D17" s="10" t="n">
        <f aca="false">D11+D12+D13+D14+D15+D16</f>
        <v>14903000</v>
      </c>
    </row>
    <row r="19" customFormat="false" ht="15" hidden="false" customHeight="false" outlineLevel="0" collapsed="false">
      <c r="A19" s="2" t="s">
        <v>69</v>
      </c>
      <c r="B19" s="6"/>
      <c r="C19" s="18" t="n">
        <f aca="false">C8-C17</f>
        <v>3484401.57</v>
      </c>
      <c r="D19" s="18" t="n">
        <f aca="false">D8-D17</f>
        <v>2467000</v>
      </c>
    </row>
    <row r="20" customFormat="false" ht="15" hidden="false" customHeight="false" outlineLevel="0" collapsed="false">
      <c r="A20" s="17" t="s">
        <v>70</v>
      </c>
      <c r="B20" s="6"/>
      <c r="C20" s="7" t="n">
        <f aca="false">0</f>
        <v>0</v>
      </c>
      <c r="D20" s="7" t="n">
        <f aca="false">0</f>
        <v>0</v>
      </c>
    </row>
    <row r="21" customFormat="false" ht="15" hidden="false" customHeight="false" outlineLevel="0" collapsed="false">
      <c r="A21" s="2" t="s">
        <v>71</v>
      </c>
      <c r="B21" s="6"/>
      <c r="C21" s="18" t="n">
        <f aca="false">C19-C20</f>
        <v>3484401.57</v>
      </c>
      <c r="D21" s="18" t="n">
        <f aca="false">D19-D20</f>
        <v>2467000</v>
      </c>
    </row>
    <row r="22" customFormat="false" ht="15" hidden="false" customHeight="false" outlineLevel="0" collapsed="false">
      <c r="A22" s="17" t="s">
        <v>72</v>
      </c>
      <c r="B22" s="6" t="n">
        <v>25</v>
      </c>
      <c r="C22" s="7" t="n">
        <f aca="false">SUMIFS('Trial Balance Mapping'!$F$6:$F$62,'Trial Balance Mapping'!$C$6:$C$62,"Tax Expense")+'Trial Balance Mapping'!$F$64</f>
        <v>0</v>
      </c>
      <c r="D22" s="7" t="n">
        <f aca="false">SUMIFS('Trial Balance Mapping PY'!$F$6:$F$59,'Trial Balance Mapping PY'!$C$6:$C$59,"Tax Expense")+'Trial Balance Mapping PY'!$F$61</f>
        <v>0</v>
      </c>
    </row>
    <row r="23" customFormat="false" ht="15" hidden="false" customHeight="false" outlineLevel="0" collapsed="false">
      <c r="A23" s="11" t="s">
        <v>73</v>
      </c>
      <c r="B23" s="12"/>
      <c r="C23" s="13" t="n">
        <f aca="false">C21-C22</f>
        <v>3484401.57</v>
      </c>
      <c r="D23" s="13" t="n">
        <f aca="false">D21-D22</f>
        <v>2467000</v>
      </c>
    </row>
    <row r="25" customFormat="false" ht="15" hidden="false" customHeight="false" outlineLevel="0" collapsed="false">
      <c r="A25" s="0" t="s">
        <v>74</v>
      </c>
      <c r="B25" s="6" t="n">
        <v>26</v>
      </c>
      <c r="C25" s="19" t="s">
        <v>75</v>
      </c>
      <c r="D25" s="19" t="s">
        <v>75</v>
      </c>
    </row>
    <row r="30" customFormat="false" ht="15" hidden="false" customHeight="false" outlineLevel="0" collapsed="false">
      <c r="A30" s="2" t="s">
        <v>39</v>
      </c>
      <c r="C30" s="2" t="s">
        <v>40</v>
      </c>
    </row>
    <row r="31" customFormat="false" ht="15" hidden="false" customHeight="false" outlineLevel="0" collapsed="false">
      <c r="A31" s="2" t="s">
        <v>41</v>
      </c>
      <c r="C31" s="16"/>
    </row>
    <row r="32" customFormat="false" ht="15" hidden="false" customHeight="false" outlineLevel="0" collapsed="false">
      <c r="A32" s="16" t="s">
        <v>42</v>
      </c>
      <c r="C32" s="16"/>
    </row>
    <row r="33" customFormat="false" ht="15" hidden="false" customHeight="false" outlineLevel="0" collapsed="false">
      <c r="A33" s="16" t="s">
        <v>43</v>
      </c>
      <c r="C33" s="16" t="s">
        <v>44</v>
      </c>
    </row>
    <row r="34" customFormat="false" ht="15" hidden="false" customHeight="false" outlineLevel="0" collapsed="false">
      <c r="A34" s="16"/>
      <c r="C34" s="16" t="s">
        <v>45</v>
      </c>
    </row>
    <row r="35" customFormat="false" ht="15" hidden="false" customHeight="false" outlineLevel="0" collapsed="false">
      <c r="A35" s="16"/>
      <c r="C35" s="16"/>
    </row>
    <row r="36" customFormat="false" ht="15" hidden="false" customHeight="false" outlineLevel="0" collapsed="false">
      <c r="A36" s="16" t="s">
        <v>46</v>
      </c>
      <c r="C36" s="16"/>
    </row>
    <row r="37" customFormat="false" ht="15" hidden="false" customHeight="false" outlineLevel="0" collapsed="false">
      <c r="A37" s="16" t="s">
        <v>47</v>
      </c>
      <c r="C37" s="16" t="s">
        <v>48</v>
      </c>
    </row>
    <row r="38" customFormat="false" ht="15" hidden="false" customHeight="false" outlineLevel="0" collapsed="false">
      <c r="A38" s="16" t="s">
        <v>49</v>
      </c>
      <c r="C38" s="16" t="s">
        <v>50</v>
      </c>
    </row>
    <row r="39" customFormat="false" ht="15" hidden="false" customHeight="false" outlineLevel="0" collapsed="false">
      <c r="A39" s="16" t="s">
        <v>51</v>
      </c>
      <c r="C39" s="16"/>
    </row>
    <row r="40" customFormat="false" ht="15" hidden="false" customHeight="false" outlineLevel="0" collapsed="false">
      <c r="A40" s="16" t="s">
        <v>52</v>
      </c>
      <c r="C40" s="16" t="s">
        <v>53</v>
      </c>
    </row>
    <row r="41" customFormat="false" ht="15" hidden="false" customHeight="false" outlineLevel="0" collapsed="false">
      <c r="A41" s="16" t="s">
        <v>54</v>
      </c>
    </row>
  </sheetData>
  <mergeCells count="1">
    <mergeCell ref="A1:D1"/>
  </mergeCells>
  <printOptions headings="false" gridLines="false" gridLinesSet="true" horizontalCentered="true" verticalCentered="false"/>
  <pageMargins left="0.6" right="0.6" top="0.7" bottom="0.8"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Sample Engineering Private Limited | Profit Loss&amp;R&amp;8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0"/>
  </cols>
  <sheetData>
    <row r="1" customFormat="false" ht="17.35" hidden="false" customHeight="false" outlineLevel="0" collapsed="false">
      <c r="A1" s="1" t="s">
        <v>0</v>
      </c>
      <c r="B1" s="1"/>
    </row>
    <row r="2" customFormat="false" ht="15" hidden="false" customHeight="false" outlineLevel="0" collapsed="false">
      <c r="A2" s="2" t="s">
        <v>76</v>
      </c>
    </row>
    <row r="3" customFormat="false" ht="15" hidden="false" customHeight="false" outlineLevel="0" collapsed="false">
      <c r="A3" s="0" t="s">
        <v>2</v>
      </c>
    </row>
    <row r="6" customFormat="false" ht="15" hidden="false" customHeight="false" outlineLevel="0" collapsed="false">
      <c r="A6" s="20" t="s">
        <v>77</v>
      </c>
      <c r="B6" s="21" t="s">
        <v>78</v>
      </c>
    </row>
    <row r="7" customFormat="false" ht="45" hidden="false" customHeight="true" outlineLevel="0" collapsed="false">
      <c r="B7" s="22" t="s">
        <v>79</v>
      </c>
    </row>
    <row r="9" customFormat="false" ht="15" hidden="false" customHeight="false" outlineLevel="0" collapsed="false">
      <c r="A9" s="20" t="s">
        <v>80</v>
      </c>
      <c r="B9" s="21" t="s">
        <v>81</v>
      </c>
    </row>
    <row r="10" customFormat="false" ht="15" hidden="false" customHeight="false" outlineLevel="0" collapsed="false">
      <c r="B10" s="2" t="s">
        <v>82</v>
      </c>
    </row>
    <row r="11" customFormat="false" ht="60" hidden="false" customHeight="true" outlineLevel="0" collapsed="false">
      <c r="B11" s="22" t="s">
        <v>83</v>
      </c>
    </row>
    <row r="12" customFormat="false" ht="15" hidden="false" customHeight="false" outlineLevel="0" collapsed="false">
      <c r="B12" s="2" t="s">
        <v>84</v>
      </c>
    </row>
    <row r="13" customFormat="false" ht="45" hidden="false" customHeight="true" outlineLevel="0" collapsed="false">
      <c r="B13" s="22" t="s">
        <v>85</v>
      </c>
    </row>
    <row r="14" customFormat="false" ht="15" hidden="false" customHeight="false" outlineLevel="0" collapsed="false">
      <c r="B14" s="2" t="s">
        <v>86</v>
      </c>
    </row>
    <row r="15" customFormat="false" ht="45" hidden="false" customHeight="true" outlineLevel="0" collapsed="false">
      <c r="B15" s="22" t="s">
        <v>87</v>
      </c>
    </row>
    <row r="16" customFormat="false" ht="15" hidden="false" customHeight="false" outlineLevel="0" collapsed="false">
      <c r="B16" s="2" t="s">
        <v>88</v>
      </c>
    </row>
    <row r="17" customFormat="false" ht="30" hidden="false" customHeight="true" outlineLevel="0" collapsed="false">
      <c r="B17" s="22" t="s">
        <v>89</v>
      </c>
    </row>
    <row r="18" customFormat="false" ht="15" hidden="false" customHeight="false" outlineLevel="0" collapsed="false">
      <c r="B18" s="2" t="s">
        <v>90</v>
      </c>
    </row>
    <row r="19" customFormat="false" ht="45" hidden="false" customHeight="true" outlineLevel="0" collapsed="false">
      <c r="B19" s="22" t="s">
        <v>91</v>
      </c>
    </row>
    <row r="20" customFormat="false" ht="15" hidden="false" customHeight="false" outlineLevel="0" collapsed="false">
      <c r="B20" s="2" t="s">
        <v>92</v>
      </c>
    </row>
    <row r="21" customFormat="false" ht="45" hidden="false" customHeight="true" outlineLevel="0" collapsed="false">
      <c r="B21" s="22" t="s">
        <v>93</v>
      </c>
    </row>
    <row r="22" customFormat="false" ht="15" hidden="false" customHeight="false" outlineLevel="0" collapsed="false">
      <c r="B22" s="2" t="s">
        <v>94</v>
      </c>
    </row>
    <row r="23" customFormat="false" ht="45" hidden="false" customHeight="true" outlineLevel="0" collapsed="false">
      <c r="B23" s="22" t="s">
        <v>95</v>
      </c>
    </row>
    <row r="24" customFormat="false" ht="15" hidden="false" customHeight="false" outlineLevel="0" collapsed="false">
      <c r="B24" s="2" t="s">
        <v>96</v>
      </c>
    </row>
    <row r="25" customFormat="false" ht="45" hidden="false" customHeight="true" outlineLevel="0" collapsed="false">
      <c r="B25" s="22" t="s">
        <v>97</v>
      </c>
    </row>
    <row r="26" customFormat="false" ht="15" hidden="false" customHeight="false" outlineLevel="0" collapsed="false">
      <c r="B26" s="2" t="s">
        <v>98</v>
      </c>
    </row>
    <row r="27" customFormat="false" ht="30" hidden="false" customHeight="true" outlineLevel="0" collapsed="false">
      <c r="B27" s="22" t="s">
        <v>99</v>
      </c>
    </row>
    <row r="28" customFormat="false" ht="15" hidden="false" customHeight="false" outlineLevel="0" collapsed="false">
      <c r="B28" s="2" t="s">
        <v>100</v>
      </c>
    </row>
    <row r="29" customFormat="false" ht="30" hidden="false" customHeight="true" outlineLevel="0" collapsed="false">
      <c r="B29" s="22" t="s">
        <v>101</v>
      </c>
    </row>
  </sheetData>
  <mergeCells count="1">
    <mergeCell ref="A1:B1"/>
  </mergeCells>
  <printOptions headings="false" gridLines="false" gridLinesSet="true" horizontalCentered="true" verticalCentered="false"/>
  <pageMargins left="0.6" right="0.6" top="0.7" bottom="0.8"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Sample Engineering Private Limited | Accounting Policies&amp;R&amp;8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8"/>
    <col collapsed="false" customWidth="true" hidden="false" outlineLevel="0" max="4" min="3" style="0" width="18"/>
    <col collapsed="false" customWidth="true" hidden="false" outlineLevel="0" max="7" min="5" style="0" width="2.5"/>
    <col collapsed="false" customWidth="true" hidden="false" outlineLevel="0" max="8" min="8" style="0" width="20"/>
    <col collapsed="false" customWidth="true" hidden="false" outlineLevel="0" max="12" min="9" style="0" width="18"/>
  </cols>
  <sheetData>
    <row r="1" customFormat="false" ht="17.35" hidden="false" customHeight="false" outlineLevel="0" collapsed="false">
      <c r="A1" s="1" t="s">
        <v>0</v>
      </c>
      <c r="B1" s="1"/>
      <c r="C1" s="1"/>
      <c r="D1" s="1"/>
      <c r="E1" s="1"/>
      <c r="F1" s="1"/>
      <c r="G1" s="1"/>
    </row>
    <row r="2" customFormat="false" ht="15" hidden="false" customHeight="false" outlineLevel="0" collapsed="false">
      <c r="A2" s="2" t="s">
        <v>76</v>
      </c>
    </row>
    <row r="3" customFormat="false" ht="15" hidden="false" customHeight="false" outlineLevel="0" collapsed="false">
      <c r="A3" s="0" t="s">
        <v>2</v>
      </c>
    </row>
    <row r="6" customFormat="false" ht="15" hidden="false" customHeight="false" outlineLevel="0" collapsed="false">
      <c r="A6" s="20" t="s">
        <v>102</v>
      </c>
      <c r="B6" s="21" t="s">
        <v>103</v>
      </c>
      <c r="C6" s="23"/>
      <c r="D6" s="23"/>
    </row>
    <row r="7" customFormat="false" ht="30" hidden="false" customHeight="true" outlineLevel="0" collapsed="false">
      <c r="B7" s="24" t="s">
        <v>4</v>
      </c>
      <c r="C7" s="25" t="s">
        <v>104</v>
      </c>
      <c r="D7" s="25" t="s">
        <v>105</v>
      </c>
      <c r="H7" s="26" t="s">
        <v>106</v>
      </c>
    </row>
    <row r="8" customFormat="false" ht="15" hidden="false" customHeight="false" outlineLevel="0" collapsed="false">
      <c r="B8" s="27" t="s">
        <v>107</v>
      </c>
      <c r="C8" s="7" t="n">
        <f aca="false">'Trial Balance Mapping'!F6</f>
        <v>2500000</v>
      </c>
      <c r="D8" s="7" t="n">
        <f aca="false">'Trial Balance Mapping PY'!F6</f>
        <v>2500000</v>
      </c>
    </row>
    <row r="9" customFormat="false" ht="15" hidden="false" customHeight="false" outlineLevel="0" collapsed="false">
      <c r="B9" s="28" t="s">
        <v>108</v>
      </c>
      <c r="C9" s="29" t="n">
        <f aca="false">SUM(C8:C8)</f>
        <v>2500000</v>
      </c>
      <c r="D9" s="29" t="n">
        <f aca="false">SUM(D8:D8)</f>
        <v>2500000</v>
      </c>
      <c r="H9" s="30" t="str">
        <f aca="false">IF(AND(ABS(C9-'Balance Sheet'!C8)&lt;1,ABS(D9-'Balance Sheet'!D8)&lt;1),"Agrees","CHECK")</f>
        <v>Agrees</v>
      </c>
    </row>
    <row r="12" customFormat="false" ht="15" hidden="false" customHeight="false" outlineLevel="0" collapsed="false">
      <c r="A12" s="20" t="s">
        <v>109</v>
      </c>
      <c r="B12" s="21" t="s">
        <v>110</v>
      </c>
      <c r="C12" s="23"/>
      <c r="D12" s="23"/>
    </row>
    <row r="13" customFormat="false" ht="30" hidden="false" customHeight="true" outlineLevel="0" collapsed="false">
      <c r="B13" s="24" t="s">
        <v>4</v>
      </c>
      <c r="C13" s="25" t="s">
        <v>104</v>
      </c>
      <c r="D13" s="25" t="s">
        <v>105</v>
      </c>
      <c r="H13" s="26" t="s">
        <v>106</v>
      </c>
    </row>
    <row r="14" customFormat="false" ht="15" hidden="false" customHeight="false" outlineLevel="0" collapsed="false">
      <c r="B14" s="27" t="s">
        <v>111</v>
      </c>
      <c r="C14" s="7" t="n">
        <f aca="false">'Trial Balance Mapping'!F61</f>
        <v>4317000</v>
      </c>
      <c r="D14" s="7" t="n">
        <f aca="false">'Trial Balance Mapping PY'!F58</f>
        <v>1850000</v>
      </c>
    </row>
    <row r="15" customFormat="false" ht="15" hidden="false" customHeight="false" outlineLevel="0" collapsed="false">
      <c r="B15" s="27" t="s">
        <v>112</v>
      </c>
      <c r="C15" s="7" t="n">
        <f aca="false">'Profit &amp; Loss'!C23</f>
        <v>3484401.57</v>
      </c>
      <c r="D15" s="7" t="n">
        <f aca="false">'Profit &amp; Loss'!D23</f>
        <v>2467000</v>
      </c>
    </row>
    <row r="16" customFormat="false" ht="15" hidden="false" customHeight="false" outlineLevel="0" collapsed="false">
      <c r="B16" s="28" t="s">
        <v>108</v>
      </c>
      <c r="C16" s="29" t="n">
        <f aca="false">SUM(C14:C15)</f>
        <v>7801401.57</v>
      </c>
      <c r="D16" s="29" t="n">
        <f aca="false">SUM(D14:D15)</f>
        <v>4317000</v>
      </c>
      <c r="H16" s="30" t="str">
        <f aca="false">IF(AND(ABS(C16-'Balance Sheet'!C9)&lt;1,ABS(D16-'Balance Sheet'!D9)&lt;1),"Agrees","CHECK")</f>
        <v>Agrees</v>
      </c>
    </row>
    <row r="19" customFormat="false" ht="15" hidden="false" customHeight="false" outlineLevel="0" collapsed="false">
      <c r="A19" s="20" t="s">
        <v>113</v>
      </c>
      <c r="B19" s="21" t="s">
        <v>114</v>
      </c>
      <c r="C19" s="23"/>
      <c r="D19" s="23"/>
    </row>
    <row r="20" customFormat="false" ht="30" hidden="false" customHeight="true" outlineLevel="0" collapsed="false">
      <c r="B20" s="24" t="s">
        <v>4</v>
      </c>
      <c r="C20" s="25" t="s">
        <v>104</v>
      </c>
      <c r="D20" s="25" t="s">
        <v>105</v>
      </c>
      <c r="H20" s="26" t="s">
        <v>106</v>
      </c>
    </row>
    <row r="21" customFormat="false" ht="15" hidden="false" customHeight="false" outlineLevel="0" collapsed="false">
      <c r="B21" s="8" t="s">
        <v>115</v>
      </c>
    </row>
    <row r="22" customFormat="false" ht="15" hidden="false" customHeight="false" outlineLevel="0" collapsed="false">
      <c r="B22" s="27" t="s">
        <v>116</v>
      </c>
      <c r="C22" s="7" t="n">
        <f aca="false">'Trial Balance Mapping'!F8</f>
        <v>3200000</v>
      </c>
      <c r="D22" s="7" t="n">
        <f aca="false">'Trial Balance Mapping PY'!F8</f>
        <v>3900000</v>
      </c>
    </row>
    <row r="23" customFormat="false" ht="15" hidden="false" customHeight="false" outlineLevel="0" collapsed="false">
      <c r="B23" s="8" t="s">
        <v>117</v>
      </c>
    </row>
    <row r="24" customFormat="false" ht="15" hidden="false" customHeight="false" outlineLevel="0" collapsed="false">
      <c r="B24" s="27" t="s">
        <v>118</v>
      </c>
      <c r="C24" s="7" t="n">
        <f aca="false">'Trial Balance Mapping'!F7</f>
        <v>600000</v>
      </c>
      <c r="D24" s="7" t="n">
        <f aca="false">'Trial Balance Mapping PY'!F7</f>
        <v>450000</v>
      </c>
    </row>
    <row r="25" customFormat="false" ht="15" hidden="false" customHeight="false" outlineLevel="0" collapsed="false">
      <c r="B25" s="28" t="s">
        <v>108</v>
      </c>
      <c r="C25" s="29" t="n">
        <f aca="false">SUM(C21:C24)</f>
        <v>3800000</v>
      </c>
      <c r="D25" s="29" t="n">
        <f aca="false">SUM(D21:D24)</f>
        <v>4350000</v>
      </c>
      <c r="H25" s="30" t="str">
        <f aca="false">IF(AND(ABS(C25-'Balance Sheet'!C12)&lt;1,ABS(D25-'Balance Sheet'!D12)&lt;1),"Agrees","CHECK")</f>
        <v>Agrees</v>
      </c>
    </row>
    <row r="28" customFormat="false" ht="15" hidden="false" customHeight="false" outlineLevel="0" collapsed="false">
      <c r="A28" s="20" t="s">
        <v>119</v>
      </c>
      <c r="B28" s="21" t="s">
        <v>120</v>
      </c>
      <c r="C28" s="23"/>
      <c r="D28" s="23"/>
    </row>
    <row r="29" customFormat="false" ht="30" hidden="false" customHeight="true" outlineLevel="0" collapsed="false">
      <c r="B29" s="24" t="s">
        <v>4</v>
      </c>
      <c r="C29" s="25" t="s">
        <v>104</v>
      </c>
      <c r="D29" s="25" t="s">
        <v>105</v>
      </c>
      <c r="H29" s="26" t="s">
        <v>106</v>
      </c>
    </row>
    <row r="30" customFormat="false" ht="15" hidden="false" customHeight="false" outlineLevel="0" collapsed="false">
      <c r="B30" s="0" t="s">
        <v>121</v>
      </c>
      <c r="C30" s="7" t="n">
        <v>0</v>
      </c>
      <c r="D30" s="19" t="n">
        <v>0</v>
      </c>
    </row>
    <row r="31" customFormat="false" ht="15" hidden="false" customHeight="false" outlineLevel="0" collapsed="false">
      <c r="B31" s="28" t="s">
        <v>108</v>
      </c>
      <c r="C31" s="29" t="n">
        <f aca="false">SUM(C30:C30)</f>
        <v>0</v>
      </c>
      <c r="D31" s="29" t="n">
        <f aca="false">SUM(D30:D30)</f>
        <v>0</v>
      </c>
      <c r="H31" s="30" t="str">
        <f aca="false">IF(AND(ABS(C31-'Balance Sheet'!C13)&lt;1,ABS(D31-'Balance Sheet'!D13)&lt;1),"Agrees","CHECK")</f>
        <v>Agrees</v>
      </c>
    </row>
    <row r="34" customFormat="false" ht="15" hidden="false" customHeight="false" outlineLevel="0" collapsed="false">
      <c r="A34" s="20" t="s">
        <v>122</v>
      </c>
      <c r="B34" s="21" t="s">
        <v>123</v>
      </c>
      <c r="C34" s="23"/>
      <c r="D34" s="23"/>
    </row>
    <row r="35" customFormat="false" ht="30" hidden="false" customHeight="true" outlineLevel="0" collapsed="false">
      <c r="B35" s="24" t="s">
        <v>4</v>
      </c>
      <c r="C35" s="25" t="s">
        <v>104</v>
      </c>
      <c r="D35" s="25" t="s">
        <v>105</v>
      </c>
      <c r="H35" s="26" t="s">
        <v>106</v>
      </c>
    </row>
    <row r="36" customFormat="false" ht="15" hidden="false" customHeight="false" outlineLevel="0" collapsed="false">
      <c r="B36" s="27" t="s">
        <v>124</v>
      </c>
      <c r="C36" s="7" t="n">
        <f aca="false">'Trial Balance Mapping'!F9</f>
        <v>1450000</v>
      </c>
      <c r="D36" s="7" t="n">
        <f aca="false">'Trial Balance Mapping PY'!F9</f>
        <v>1100000</v>
      </c>
    </row>
    <row r="37" customFormat="false" ht="15" hidden="false" customHeight="false" outlineLevel="0" collapsed="false">
      <c r="B37" s="28" t="s">
        <v>108</v>
      </c>
      <c r="C37" s="29" t="n">
        <f aca="false">SUM(C36:C36)</f>
        <v>1450000</v>
      </c>
      <c r="D37" s="29" t="n">
        <f aca="false">SUM(D36:D36)</f>
        <v>1100000</v>
      </c>
      <c r="H37" s="30" t="str">
        <f aca="false">IF(AND(ABS(C37-'Balance Sheet'!C16)&lt;1,ABS(D37-'Balance Sheet'!D16)&lt;1),"Agrees","CHECK")</f>
        <v>Agrees</v>
      </c>
    </row>
    <row r="40" customFormat="false" ht="15" hidden="false" customHeight="false" outlineLevel="0" collapsed="false">
      <c r="A40" s="20" t="s">
        <v>125</v>
      </c>
      <c r="B40" s="21" t="s">
        <v>126</v>
      </c>
      <c r="C40" s="23"/>
      <c r="D40" s="23"/>
    </row>
    <row r="41" customFormat="false" ht="30" hidden="false" customHeight="true" outlineLevel="0" collapsed="false">
      <c r="B41" s="24" t="s">
        <v>4</v>
      </c>
      <c r="C41" s="25" t="s">
        <v>104</v>
      </c>
      <c r="D41" s="25" t="s">
        <v>105</v>
      </c>
      <c r="H41" s="26" t="s">
        <v>106</v>
      </c>
    </row>
    <row r="42" customFormat="false" ht="15" hidden="false" customHeight="false" outlineLevel="0" collapsed="false">
      <c r="B42" s="27" t="s">
        <v>127</v>
      </c>
      <c r="C42" s="7" t="n">
        <f aca="false">'Trial Balance Mapping'!F10</f>
        <v>1380000</v>
      </c>
      <c r="D42" s="7" t="n">
        <f aca="false">'Trial Balance Mapping PY'!F10</f>
        <v>1190000</v>
      </c>
    </row>
    <row r="43" customFormat="false" ht="15" hidden="false" customHeight="false" outlineLevel="0" collapsed="false">
      <c r="B43" s="27" t="s">
        <v>128</v>
      </c>
      <c r="C43" s="7" t="n">
        <f aca="false">'Trial Balance Mapping'!F11</f>
        <v>920000</v>
      </c>
      <c r="D43" s="7" t="n">
        <f aca="false">'Trial Balance Mapping PY'!F11</f>
        <v>760000</v>
      </c>
    </row>
    <row r="44" customFormat="false" ht="15" hidden="false" customHeight="false" outlineLevel="0" collapsed="false">
      <c r="B44" s="27" t="s">
        <v>129</v>
      </c>
      <c r="C44" s="7" t="n">
        <f aca="false">'Trial Balance Mapping'!F12</f>
        <v>340000</v>
      </c>
      <c r="D44" s="7" t="n">
        <f aca="false">'Trial Balance Mapping PY'!F12</f>
        <v>280000</v>
      </c>
    </row>
    <row r="45" customFormat="false" ht="15" hidden="false" customHeight="false" outlineLevel="0" collapsed="false">
      <c r="B45" s="28" t="s">
        <v>108</v>
      </c>
      <c r="C45" s="29" t="n">
        <f aca="false">SUM(C42:C44)</f>
        <v>2640000</v>
      </c>
      <c r="D45" s="29" t="n">
        <f aca="false">SUM(D42:D44)</f>
        <v>2230000</v>
      </c>
      <c r="H45" s="30" t="str">
        <f aca="false">IF(AND(ABS(C45-'Balance Sheet'!C17)&lt;1,ABS(D45-'Balance Sheet'!D17)&lt;1),"Agrees","CHECK")</f>
        <v>Agrees</v>
      </c>
    </row>
    <row r="48" customFormat="false" ht="15" hidden="false" customHeight="false" outlineLevel="0" collapsed="false">
      <c r="A48" s="20" t="s">
        <v>130</v>
      </c>
      <c r="B48" s="21" t="s">
        <v>131</v>
      </c>
      <c r="C48" s="23"/>
      <c r="D48" s="23"/>
    </row>
    <row r="49" customFormat="false" ht="30" hidden="false" customHeight="true" outlineLevel="0" collapsed="false">
      <c r="B49" s="24" t="s">
        <v>4</v>
      </c>
      <c r="C49" s="25" t="s">
        <v>104</v>
      </c>
      <c r="D49" s="25" t="s">
        <v>105</v>
      </c>
      <c r="H49" s="26" t="s">
        <v>106</v>
      </c>
    </row>
    <row r="50" customFormat="false" ht="15" hidden="false" customHeight="false" outlineLevel="0" collapsed="false">
      <c r="B50" s="27" t="s">
        <v>132</v>
      </c>
      <c r="C50" s="7" t="n">
        <f aca="false">'Trial Balance Mapping'!F13</f>
        <v>410000</v>
      </c>
      <c r="D50" s="7" t="n">
        <f aca="false">'Trial Balance Mapping PY'!F13</f>
        <v>350000</v>
      </c>
    </row>
    <row r="51" customFormat="false" ht="15" hidden="false" customHeight="false" outlineLevel="0" collapsed="false">
      <c r="B51" s="27" t="s">
        <v>133</v>
      </c>
      <c r="C51" s="7" t="n">
        <f aca="false">'Trial Balance Mapping'!F15</f>
        <v>86000</v>
      </c>
      <c r="D51" s="7" t="n">
        <f aca="false">'Trial Balance Mapping PY'!F15</f>
        <v>71000</v>
      </c>
    </row>
    <row r="52" customFormat="false" ht="15" hidden="false" customHeight="false" outlineLevel="0" collapsed="false">
      <c r="B52" s="27" t="s">
        <v>134</v>
      </c>
      <c r="C52" s="7" t="n">
        <f aca="false">'Trial Balance Mapping'!F14</f>
        <v>54000</v>
      </c>
      <c r="D52" s="7" t="n">
        <f aca="false">'Trial Balance Mapping PY'!F14</f>
        <v>47000</v>
      </c>
    </row>
    <row r="53" customFormat="false" ht="15" hidden="false" customHeight="false" outlineLevel="0" collapsed="false">
      <c r="B53" s="8" t="s">
        <v>135</v>
      </c>
    </row>
    <row r="54" customFormat="false" ht="15" hidden="false" customHeight="false" outlineLevel="0" collapsed="false">
      <c r="B54" s="27" t="s">
        <v>136</v>
      </c>
      <c r="C54" s="7" t="n">
        <f aca="false">'Trial Balance Mapping'!F16</f>
        <v>275000</v>
      </c>
      <c r="D54" s="7" t="n">
        <f aca="false">'Trial Balance Mapping PY'!F16</f>
        <v>120000</v>
      </c>
    </row>
    <row r="55" customFormat="false" ht="15" hidden="false" customHeight="false" outlineLevel="0" collapsed="false">
      <c r="B55" s="27" t="s">
        <v>137</v>
      </c>
      <c r="C55" s="7" t="n">
        <f aca="false">'Trial Balance Mapping'!F19</f>
        <v>230000</v>
      </c>
      <c r="D55" s="7" t="n">
        <f aca="false">'Trial Balance Mapping PY'!F18</f>
        <v>205000</v>
      </c>
    </row>
    <row r="56" customFormat="false" ht="15" hidden="false" customHeight="false" outlineLevel="0" collapsed="false">
      <c r="B56" s="27" t="s">
        <v>138</v>
      </c>
      <c r="C56" s="7" t="n">
        <f aca="false">'Trial Balance Mapping'!F17</f>
        <v>60000</v>
      </c>
      <c r="D56" s="7" t="n">
        <f aca="false">'Trial Balance Mapping PY'!F17</f>
        <v>50000</v>
      </c>
    </row>
    <row r="57" customFormat="false" ht="15" hidden="false" customHeight="false" outlineLevel="0" collapsed="false">
      <c r="B57" s="8" t="s">
        <v>139</v>
      </c>
    </row>
    <row r="58" customFormat="false" ht="15" hidden="false" customHeight="false" outlineLevel="0" collapsed="false">
      <c r="B58" s="27" t="s">
        <v>140</v>
      </c>
      <c r="C58" s="7" t="n">
        <f aca="false">'Trial Balance Mapping'!F18</f>
        <v>90000</v>
      </c>
      <c r="D58" s="7" t="n">
        <v>0</v>
      </c>
    </row>
    <row r="59" customFormat="false" ht="15" hidden="false" customHeight="false" outlineLevel="0" collapsed="false">
      <c r="B59" s="28" t="s">
        <v>108</v>
      </c>
      <c r="C59" s="29" t="n">
        <f aca="false">SUM(C50:C58)</f>
        <v>1205000</v>
      </c>
      <c r="D59" s="29" t="n">
        <f aca="false">SUM(D50:D58)</f>
        <v>843000</v>
      </c>
      <c r="H59" s="30" t="str">
        <f aca="false">IF(AND(ABS(C59-'Balance Sheet'!C18)&lt;1,ABS(D59-'Balance Sheet'!D18)&lt;1),"Agrees","CHECK")</f>
        <v>Agrees</v>
      </c>
    </row>
    <row r="62" customFormat="false" ht="15" hidden="false" customHeight="false" outlineLevel="0" collapsed="false">
      <c r="A62" s="20" t="s">
        <v>141</v>
      </c>
      <c r="B62" s="21" t="s">
        <v>142</v>
      </c>
      <c r="C62" s="23"/>
      <c r="D62" s="23"/>
    </row>
    <row r="63" customFormat="false" ht="30" hidden="false" customHeight="true" outlineLevel="0" collapsed="false">
      <c r="B63" s="24" t="s">
        <v>4</v>
      </c>
      <c r="C63" s="25" t="s">
        <v>104</v>
      </c>
      <c r="D63" s="25" t="s">
        <v>105</v>
      </c>
      <c r="H63" s="26" t="s">
        <v>106</v>
      </c>
    </row>
    <row r="64" customFormat="false" ht="15" hidden="false" customHeight="false" outlineLevel="0" collapsed="false">
      <c r="B64" s="27" t="s">
        <v>143</v>
      </c>
      <c r="C64" s="7" t="n">
        <f aca="false">'Trial Balance Mapping'!F20</f>
        <v>180000</v>
      </c>
      <c r="D64" s="7" t="n">
        <f aca="false">'Trial Balance Mapping PY'!F19</f>
        <v>140000</v>
      </c>
    </row>
    <row r="65" customFormat="false" ht="15" hidden="false" customHeight="false" outlineLevel="0" collapsed="false">
      <c r="B65" s="27" t="s">
        <v>144</v>
      </c>
      <c r="C65" s="7" t="n">
        <f aca="false">'Trial Balance Mapping'!$F$64</f>
        <v>0</v>
      </c>
      <c r="D65" s="7" t="n">
        <f aca="false">'Trial Balance Mapping PY'!$F$61</f>
        <v>0</v>
      </c>
    </row>
    <row r="66" customFormat="false" ht="15" hidden="false" customHeight="false" outlineLevel="0" collapsed="false">
      <c r="B66" s="28" t="s">
        <v>108</v>
      </c>
      <c r="C66" s="29" t="n">
        <f aca="false">SUM(C64:C65)</f>
        <v>180000</v>
      </c>
      <c r="D66" s="29" t="n">
        <f aca="false">SUM(D64:D65)</f>
        <v>140000</v>
      </c>
      <c r="H66" s="30" t="str">
        <f aca="false">IF(AND(ABS(C66-'Balance Sheet'!C19)&lt;1,ABS(D66-'Balance Sheet'!D19)&lt;1),"Agrees","CHECK")</f>
        <v>Agrees</v>
      </c>
    </row>
    <row r="69" customFormat="false" ht="15" hidden="false" customHeight="false" outlineLevel="0" collapsed="false">
      <c r="A69" s="20" t="s">
        <v>145</v>
      </c>
      <c r="B69" s="21" t="s">
        <v>146</v>
      </c>
      <c r="C69" s="23"/>
      <c r="D69" s="23"/>
    </row>
    <row r="70" customFormat="false" ht="30" hidden="false" customHeight="true" outlineLevel="0" collapsed="false">
      <c r="B70" s="24" t="s">
        <v>4</v>
      </c>
      <c r="C70" s="25" t="s">
        <v>104</v>
      </c>
      <c r="D70" s="25" t="s">
        <v>105</v>
      </c>
      <c r="H70" s="26" t="s">
        <v>106</v>
      </c>
    </row>
    <row r="71" customFormat="false" ht="15" hidden="false" customHeight="false" outlineLevel="0" collapsed="false">
      <c r="B71" s="8" t="s">
        <v>147</v>
      </c>
    </row>
    <row r="72" customFormat="false" ht="15" hidden="false" customHeight="false" outlineLevel="0" collapsed="false">
      <c r="B72" s="27" t="s">
        <v>148</v>
      </c>
      <c r="C72" s="7" t="n">
        <f aca="false">'Trial Balance Mapping'!F22</f>
        <v>-38598.43</v>
      </c>
      <c r="D72" s="7" t="n">
        <v>0</v>
      </c>
    </row>
    <row r="73" customFormat="false" ht="15" hidden="false" customHeight="false" outlineLevel="0" collapsed="false">
      <c r="B73" s="8" t="s">
        <v>149</v>
      </c>
    </row>
    <row r="74" customFormat="false" ht="15" hidden="false" customHeight="false" outlineLevel="0" collapsed="false">
      <c r="B74" s="27" t="s">
        <v>150</v>
      </c>
      <c r="C74" s="7" t="n">
        <f aca="false">'Trial Balance Mapping'!F24</f>
        <v>5625000</v>
      </c>
      <c r="D74" s="7" t="n">
        <f aca="false">'Trial Balance Mapping PY'!F22</f>
        <v>5300000</v>
      </c>
    </row>
    <row r="75" customFormat="false" ht="15" hidden="false" customHeight="false" outlineLevel="0" collapsed="false">
      <c r="B75" s="27" t="s">
        <v>151</v>
      </c>
      <c r="C75" s="7" t="n">
        <f aca="false">'Trial Balance Mapping'!F25</f>
        <v>790000</v>
      </c>
      <c r="D75" s="7" t="n">
        <f aca="false">'Trial Balance Mapping PY'!F23</f>
        <v>900000</v>
      </c>
    </row>
    <row r="76" customFormat="false" ht="15" hidden="false" customHeight="false" outlineLevel="0" collapsed="false">
      <c r="B76" s="27" t="s">
        <v>152</v>
      </c>
      <c r="C76" s="7" t="n">
        <f aca="false">'Trial Balance Mapping'!F23</f>
        <v>338000</v>
      </c>
      <c r="D76" s="7" t="n">
        <f aca="false">'Trial Balance Mapping PY'!F21</f>
        <v>365000</v>
      </c>
    </row>
    <row r="77" customFormat="false" ht="15" hidden="false" customHeight="false" outlineLevel="0" collapsed="false">
      <c r="B77" s="27" t="s">
        <v>153</v>
      </c>
      <c r="C77" s="7" t="n">
        <f aca="false">'Trial Balance Mapping'!F21</f>
        <v>215000</v>
      </c>
      <c r="D77" s="7" t="n">
        <f aca="false">'Trial Balance Mapping PY'!F20</f>
        <v>148000</v>
      </c>
    </row>
    <row r="78" customFormat="false" ht="15" hidden="false" customHeight="false" outlineLevel="0" collapsed="false">
      <c r="B78" s="28" t="s">
        <v>108</v>
      </c>
      <c r="C78" s="29" t="n">
        <f aca="false">SUM(C71:C77)</f>
        <v>6929401.57</v>
      </c>
      <c r="D78" s="29" t="n">
        <f aca="false">SUM(D71:D77)</f>
        <v>6713000</v>
      </c>
      <c r="H78" s="30" t="str">
        <f aca="false">IF(AND(ABS(C78-'Balance Sheet'!C25)&lt;1,ABS(D78-'Balance Sheet'!D25)&lt;1),"Agrees","CHECK")</f>
        <v>Agrees</v>
      </c>
    </row>
    <row r="79" customFormat="false" ht="15" hidden="false" customHeight="false" outlineLevel="0" collapsed="false">
      <c r="B79" s="3" t="s">
        <v>154</v>
      </c>
    </row>
    <row r="82" customFormat="false" ht="15" hidden="false" customHeight="false" outlineLevel="0" collapsed="false">
      <c r="A82" s="20" t="s">
        <v>155</v>
      </c>
      <c r="B82" s="21" t="s">
        <v>156</v>
      </c>
      <c r="C82" s="23"/>
      <c r="D82" s="23"/>
    </row>
    <row r="83" customFormat="false" ht="30" hidden="false" customHeight="true" outlineLevel="0" collapsed="false">
      <c r="B83" s="24" t="s">
        <v>4</v>
      </c>
      <c r="C83" s="25" t="s">
        <v>104</v>
      </c>
      <c r="D83" s="25" t="s">
        <v>105</v>
      </c>
      <c r="H83" s="26" t="s">
        <v>106</v>
      </c>
    </row>
    <row r="84" customFormat="false" ht="15" hidden="false" customHeight="false" outlineLevel="0" collapsed="false">
      <c r="B84" s="0" t="s">
        <v>121</v>
      </c>
      <c r="C84" s="7" t="n">
        <v>0</v>
      </c>
      <c r="D84" s="19" t="n">
        <v>0</v>
      </c>
    </row>
    <row r="85" customFormat="false" ht="15" hidden="false" customHeight="false" outlineLevel="0" collapsed="false">
      <c r="B85" s="28" t="s">
        <v>108</v>
      </c>
      <c r="C85" s="29" t="n">
        <f aca="false">SUM(C84:C84)</f>
        <v>0</v>
      </c>
      <c r="D85" s="29" t="n">
        <f aca="false">SUM(D84:D84)</f>
        <v>0</v>
      </c>
      <c r="H85" s="30" t="str">
        <f aca="false">IF(AND(ABS(C85-'Balance Sheet'!C26)&lt;1,ABS(D85-'Balance Sheet'!D26)&lt;1),"Agrees","CHECK")</f>
        <v>Agrees</v>
      </c>
    </row>
    <row r="88" customFormat="false" ht="15" hidden="false" customHeight="false" outlineLevel="0" collapsed="false">
      <c r="A88" s="20" t="s">
        <v>157</v>
      </c>
      <c r="B88" s="21" t="s">
        <v>158</v>
      </c>
      <c r="C88" s="23"/>
      <c r="D88" s="23"/>
    </row>
    <row r="89" customFormat="false" ht="30" hidden="false" customHeight="true" outlineLevel="0" collapsed="false">
      <c r="B89" s="24" t="s">
        <v>4</v>
      </c>
      <c r="C89" s="25" t="s">
        <v>104</v>
      </c>
      <c r="D89" s="25" t="s">
        <v>105</v>
      </c>
      <c r="H89" s="26" t="s">
        <v>106</v>
      </c>
    </row>
    <row r="90" customFormat="false" ht="15" hidden="false" customHeight="false" outlineLevel="0" collapsed="false">
      <c r="B90" s="0" t="s">
        <v>121</v>
      </c>
      <c r="C90" s="7" t="n">
        <v>0</v>
      </c>
      <c r="D90" s="19" t="n">
        <v>0</v>
      </c>
    </row>
    <row r="91" customFormat="false" ht="15" hidden="false" customHeight="false" outlineLevel="0" collapsed="false">
      <c r="B91" s="28" t="s">
        <v>108</v>
      </c>
      <c r="C91" s="29" t="n">
        <f aca="false">SUM(C90:C90)</f>
        <v>0</v>
      </c>
      <c r="D91" s="29" t="n">
        <f aca="false">SUM(D90:D90)</f>
        <v>0</v>
      </c>
      <c r="H91" s="30" t="str">
        <f aca="false">IF(AND(ABS(C91-'Balance Sheet'!C27)&lt;1,ABS(D91-'Balance Sheet'!D27)&lt;1),"Agrees","CHECK")</f>
        <v>Agrees</v>
      </c>
    </row>
    <row r="94" customFormat="false" ht="15" hidden="false" customHeight="false" outlineLevel="0" collapsed="false">
      <c r="A94" s="20" t="s">
        <v>159</v>
      </c>
      <c r="B94" s="21" t="s">
        <v>88</v>
      </c>
      <c r="C94" s="23"/>
      <c r="D94" s="23"/>
    </row>
    <row r="95" customFormat="false" ht="30" hidden="false" customHeight="true" outlineLevel="0" collapsed="false">
      <c r="B95" s="24" t="s">
        <v>4</v>
      </c>
      <c r="C95" s="25" t="s">
        <v>104</v>
      </c>
      <c r="D95" s="25" t="s">
        <v>105</v>
      </c>
      <c r="H95" s="26" t="s">
        <v>106</v>
      </c>
    </row>
    <row r="96" customFormat="false" ht="15" hidden="false" customHeight="false" outlineLevel="0" collapsed="false">
      <c r="B96" s="27" t="s">
        <v>160</v>
      </c>
      <c r="C96" s="7" t="n">
        <f aca="false">'Trial Balance Mapping'!F62</f>
        <v>2250000</v>
      </c>
      <c r="D96" s="7" t="n">
        <f aca="false">'Trial Balance Mapping PY'!F59</f>
        <v>1900000</v>
      </c>
    </row>
    <row r="97" customFormat="false" ht="15" hidden="false" customHeight="false" outlineLevel="0" collapsed="false">
      <c r="B97" s="28" t="s">
        <v>108</v>
      </c>
      <c r="C97" s="29" t="n">
        <f aca="false">SUM(C96:C96)</f>
        <v>2250000</v>
      </c>
      <c r="D97" s="29" t="n">
        <f aca="false">SUM(D96:D96)</f>
        <v>1900000</v>
      </c>
      <c r="H97" s="30" t="str">
        <f aca="false">IF(AND(ABS(C97-'Balance Sheet'!C30)&lt;1,ABS(D97-'Balance Sheet'!D30)&lt;1),"Agrees","CHECK")</f>
        <v>Agrees</v>
      </c>
    </row>
    <row r="100" customFormat="false" ht="15" hidden="false" customHeight="false" outlineLevel="0" collapsed="false">
      <c r="A100" s="20" t="s">
        <v>161</v>
      </c>
      <c r="B100" s="21" t="s">
        <v>162</v>
      </c>
      <c r="C100" s="23"/>
      <c r="D100" s="23"/>
    </row>
    <row r="101" customFormat="false" ht="30" hidden="false" customHeight="true" outlineLevel="0" collapsed="false">
      <c r="B101" s="24" t="s">
        <v>4</v>
      </c>
      <c r="C101" s="25" t="s">
        <v>104</v>
      </c>
      <c r="D101" s="25" t="s">
        <v>105</v>
      </c>
      <c r="H101" s="26" t="s">
        <v>106</v>
      </c>
    </row>
    <row r="102" customFormat="false" ht="15" hidden="false" customHeight="false" outlineLevel="0" collapsed="false">
      <c r="B102" s="27" t="s">
        <v>163</v>
      </c>
      <c r="C102" s="7" t="n">
        <f aca="false">'Trial Balance Mapping'!F27</f>
        <v>2150000</v>
      </c>
      <c r="D102" s="7" t="n">
        <f aca="false">'Trial Balance Mapping PY'!F25</f>
        <v>1820000</v>
      </c>
    </row>
    <row r="103" customFormat="false" ht="15" hidden="false" customHeight="false" outlineLevel="0" collapsed="false">
      <c r="B103" s="27" t="s">
        <v>164</v>
      </c>
      <c r="C103" s="7" t="n">
        <f aca="false">'Trial Balance Mapping'!F28</f>
        <v>1640000</v>
      </c>
      <c r="D103" s="7" t="n">
        <f aca="false">'Trial Balance Mapping PY'!F26</f>
        <v>1330000</v>
      </c>
    </row>
    <row r="104" customFormat="false" ht="15" hidden="false" customHeight="false" outlineLevel="0" collapsed="false">
      <c r="B104" s="27" t="s">
        <v>165</v>
      </c>
      <c r="C104" s="7" t="n">
        <f aca="false">'Trial Balance Mapping'!F29</f>
        <v>880000</v>
      </c>
      <c r="D104" s="7" t="n">
        <f aca="false">'Trial Balance Mapping PY'!F27</f>
        <v>740000</v>
      </c>
    </row>
    <row r="105" customFormat="false" ht="15" hidden="false" customHeight="false" outlineLevel="0" collapsed="false">
      <c r="B105" s="28" t="s">
        <v>108</v>
      </c>
      <c r="C105" s="29" t="n">
        <f aca="false">SUM(C102:C104)</f>
        <v>4670000</v>
      </c>
      <c r="D105" s="29" t="n">
        <f aca="false">SUM(D102:D104)</f>
        <v>3890000</v>
      </c>
      <c r="H105" s="30" t="str">
        <f aca="false">IF(AND(ABS(C105-'Balance Sheet'!C31)&lt;1,ABS(D105-'Balance Sheet'!D31)&lt;1),"Agrees","CHECK")</f>
        <v>Agrees</v>
      </c>
    </row>
    <row r="108" customFormat="false" ht="15" hidden="false" customHeight="false" outlineLevel="0" collapsed="false">
      <c r="A108" s="20" t="s">
        <v>166</v>
      </c>
      <c r="B108" s="21" t="s">
        <v>98</v>
      </c>
      <c r="C108" s="23"/>
      <c r="D108" s="23"/>
    </row>
    <row r="109" customFormat="false" ht="30" hidden="false" customHeight="true" outlineLevel="0" collapsed="false">
      <c r="B109" s="24" t="s">
        <v>4</v>
      </c>
      <c r="C109" s="25" t="s">
        <v>104</v>
      </c>
      <c r="D109" s="25" t="s">
        <v>105</v>
      </c>
      <c r="H109" s="26" t="s">
        <v>106</v>
      </c>
    </row>
    <row r="110" customFormat="false" ht="15" hidden="false" customHeight="false" outlineLevel="0" collapsed="false">
      <c r="B110" s="8" t="s">
        <v>167</v>
      </c>
    </row>
    <row r="111" customFormat="false" ht="15" hidden="false" customHeight="false" outlineLevel="0" collapsed="false">
      <c r="B111" s="27" t="s">
        <v>168</v>
      </c>
      <c r="C111" s="7" t="n">
        <f aca="false">'Trial Balance Mapping'!F31</f>
        <v>4609000</v>
      </c>
      <c r="D111" s="7" t="n">
        <f aca="false">'Trial Balance Mapping PY'!F29</f>
        <v>2038000</v>
      </c>
    </row>
    <row r="112" customFormat="false" ht="15" hidden="false" customHeight="false" outlineLevel="0" collapsed="false">
      <c r="B112" s="8" t="s">
        <v>169</v>
      </c>
    </row>
    <row r="113" customFormat="false" ht="15" hidden="false" customHeight="false" outlineLevel="0" collapsed="false">
      <c r="B113" s="27" t="s">
        <v>170</v>
      </c>
      <c r="C113" s="7" t="n">
        <f aca="false">'Trial Balance Mapping'!F30</f>
        <v>45000</v>
      </c>
      <c r="D113" s="7" t="n">
        <f aca="false">'Trial Balance Mapping PY'!F28</f>
        <v>38000</v>
      </c>
    </row>
    <row r="114" customFormat="false" ht="15" hidden="false" customHeight="false" outlineLevel="0" collapsed="false">
      <c r="B114" s="28" t="s">
        <v>108</v>
      </c>
      <c r="C114" s="29" t="n">
        <f aca="false">SUM(C110:C113)</f>
        <v>4654000</v>
      </c>
      <c r="D114" s="29" t="n">
        <f aca="false">SUM(D110:D113)</f>
        <v>2076000</v>
      </c>
      <c r="H114" s="30" t="str">
        <f aca="false">IF(AND(ABS(C114-'Balance Sheet'!C32)&lt;1,ABS(D114-'Balance Sheet'!D32)&lt;1),"Agrees","CHECK")</f>
        <v>Agrees</v>
      </c>
    </row>
    <row r="117" customFormat="false" ht="15" hidden="false" customHeight="false" outlineLevel="0" collapsed="false">
      <c r="A117" s="20" t="s">
        <v>171</v>
      </c>
      <c r="B117" s="21" t="s">
        <v>172</v>
      </c>
      <c r="C117" s="23"/>
      <c r="D117" s="23"/>
    </row>
    <row r="118" customFormat="false" ht="30" hidden="false" customHeight="true" outlineLevel="0" collapsed="false">
      <c r="B118" s="24" t="s">
        <v>4</v>
      </c>
      <c r="C118" s="25" t="s">
        <v>104</v>
      </c>
      <c r="D118" s="25" t="s">
        <v>105</v>
      </c>
      <c r="H118" s="26" t="s">
        <v>106</v>
      </c>
    </row>
    <row r="119" customFormat="false" ht="15" hidden="false" customHeight="false" outlineLevel="0" collapsed="false">
      <c r="B119" s="8" t="s">
        <v>173</v>
      </c>
    </row>
    <row r="120" customFormat="false" ht="15" hidden="false" customHeight="false" outlineLevel="0" collapsed="false">
      <c r="B120" s="27" t="s">
        <v>174</v>
      </c>
      <c r="C120" s="7" t="n">
        <f aca="false">'Trial Balance Mapping'!F33</f>
        <v>300000</v>
      </c>
      <c r="D120" s="7" t="n">
        <f aca="false">'Trial Balance Mapping PY'!F31</f>
        <v>300000</v>
      </c>
    </row>
    <row r="121" customFormat="false" ht="15" hidden="false" customHeight="false" outlineLevel="0" collapsed="false">
      <c r="B121" s="8" t="s">
        <v>175</v>
      </c>
    </row>
    <row r="122" customFormat="false" ht="15" hidden="false" customHeight="false" outlineLevel="0" collapsed="false">
      <c r="B122" s="27" t="s">
        <v>176</v>
      </c>
      <c r="C122" s="7" t="n">
        <f aca="false">'Trial Balance Mapping'!F32</f>
        <v>260000</v>
      </c>
      <c r="D122" s="7" t="n">
        <f aca="false">'Trial Balance Mapping PY'!F30</f>
        <v>190000</v>
      </c>
    </row>
    <row r="123" customFormat="false" ht="15" hidden="false" customHeight="false" outlineLevel="0" collapsed="false">
      <c r="B123" s="27" t="s">
        <v>177</v>
      </c>
      <c r="C123" s="7" t="n">
        <f aca="false">'Trial Balance Mapping'!F34</f>
        <v>75000</v>
      </c>
      <c r="D123" s="7" t="n">
        <f aca="false">'Trial Balance Mapping PY'!F32</f>
        <v>60000</v>
      </c>
    </row>
    <row r="124" customFormat="false" ht="15" hidden="false" customHeight="false" outlineLevel="0" collapsed="false">
      <c r="B124" s="28" t="s">
        <v>108</v>
      </c>
      <c r="C124" s="29" t="n">
        <f aca="false">SUM(C119:C123)</f>
        <v>635000</v>
      </c>
      <c r="D124" s="29" t="n">
        <f aca="false">SUM(D119:D123)</f>
        <v>550000</v>
      </c>
      <c r="H124" s="30" t="str">
        <f aca="false">IF(AND(ABS(C124-'Balance Sheet'!C33)&lt;1,ABS(D124-'Balance Sheet'!D33)&lt;1),"Agrees","CHECK")</f>
        <v>Agrees</v>
      </c>
    </row>
    <row r="127" customFormat="false" ht="15" hidden="false" customHeight="false" outlineLevel="0" collapsed="false">
      <c r="A127" s="20" t="s">
        <v>178</v>
      </c>
      <c r="B127" s="21" t="s">
        <v>179</v>
      </c>
      <c r="C127" s="23"/>
      <c r="D127" s="23"/>
    </row>
    <row r="128" customFormat="false" ht="30" hidden="false" customHeight="true" outlineLevel="0" collapsed="false">
      <c r="B128" s="24" t="s">
        <v>4</v>
      </c>
      <c r="C128" s="25" t="s">
        <v>104</v>
      </c>
      <c r="D128" s="25" t="s">
        <v>105</v>
      </c>
      <c r="H128" s="26" t="s">
        <v>106</v>
      </c>
    </row>
    <row r="129" customFormat="false" ht="15" hidden="false" customHeight="false" outlineLevel="0" collapsed="false">
      <c r="B129" s="27" t="s">
        <v>180</v>
      </c>
      <c r="C129" s="7" t="n">
        <f aca="false">'Trial Balance Mapping'!F35</f>
        <v>390000</v>
      </c>
      <c r="D129" s="7" t="n">
        <f aca="false">'Trial Balance Mapping PY'!F33</f>
        <v>310000</v>
      </c>
    </row>
    <row r="130" customFormat="false" ht="15" hidden="false" customHeight="false" outlineLevel="0" collapsed="false">
      <c r="B130" s="27" t="s">
        <v>181</v>
      </c>
      <c r="C130" s="7" t="n">
        <f aca="false">'Trial Balance Mapping'!F36</f>
        <v>48000</v>
      </c>
      <c r="D130" s="7" t="n">
        <f aca="false">'Trial Balance Mapping PY'!F34</f>
        <v>41000</v>
      </c>
    </row>
    <row r="131" customFormat="false" ht="15" hidden="false" customHeight="false" outlineLevel="0" collapsed="false">
      <c r="B131" s="28" t="s">
        <v>108</v>
      </c>
      <c r="C131" s="29" t="n">
        <f aca="false">SUM(C129:C130)</f>
        <v>438000</v>
      </c>
      <c r="D131" s="29" t="n">
        <f aca="false">SUM(D129:D130)</f>
        <v>351000</v>
      </c>
      <c r="H131" s="30" t="str">
        <f aca="false">IF(AND(ABS(C131-'Balance Sheet'!C34)&lt;1,ABS(D131-'Balance Sheet'!D34)&lt;1),"Agrees","CHECK")</f>
        <v>Agrees</v>
      </c>
    </row>
  </sheetData>
  <mergeCells count="1">
    <mergeCell ref="A1:G1"/>
  </mergeCells>
  <printOptions headings="false" gridLines="false" gridLinesSet="true" horizontalCentered="true" verticalCentered="false"/>
  <pageMargins left="0.6" right="0.6" top="0.7" bottom="0.8"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Sample Engineering Private Limited | Notes - Balance Sheet&amp;R&amp;8 Page &amp;P of &amp;N</oddFooter>
  </headerFooter>
  <rowBreaks count="3" manualBreakCount="3">
    <brk id="39" man="true" max="16383" min="0"/>
    <brk id="81" man="true" max="16383" min="0"/>
    <brk id="116" man="true" max="16383" min="0"/>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12" min="3" style="0" width="16"/>
  </cols>
  <sheetData>
    <row r="1" customFormat="false" ht="17.35" hidden="false" customHeight="false" outlineLevel="0" collapsed="false">
      <c r="A1" s="1" t="s">
        <v>0</v>
      </c>
      <c r="B1" s="1"/>
      <c r="C1" s="1"/>
      <c r="D1" s="1"/>
      <c r="E1" s="1"/>
      <c r="F1" s="1"/>
      <c r="G1" s="1"/>
      <c r="H1" s="1"/>
      <c r="I1" s="1"/>
      <c r="J1" s="1"/>
      <c r="K1" s="1"/>
      <c r="L1" s="1"/>
    </row>
    <row r="2" customFormat="false" ht="15" hidden="false" customHeight="false" outlineLevel="0" collapsed="false">
      <c r="A2" s="2" t="s">
        <v>182</v>
      </c>
    </row>
    <row r="3" customFormat="false" ht="15" hidden="false" customHeight="false" outlineLevel="0" collapsed="false">
      <c r="A3" s="0" t="s">
        <v>2</v>
      </c>
    </row>
    <row r="6" customFormat="false" ht="15" hidden="false" customHeight="false" outlineLevel="0" collapsed="false">
      <c r="A6" s="20" t="s">
        <v>145</v>
      </c>
      <c r="B6" s="21" t="s">
        <v>183</v>
      </c>
      <c r="C6" s="23"/>
      <c r="D6" s="23"/>
      <c r="E6" s="23"/>
      <c r="F6" s="23"/>
      <c r="G6" s="23"/>
      <c r="H6" s="23"/>
      <c r="I6" s="23"/>
      <c r="J6" s="23"/>
      <c r="K6" s="23"/>
      <c r="L6" s="23"/>
    </row>
    <row r="7" customFormat="false" ht="45.75" hidden="false" customHeight="true" outlineLevel="0" collapsed="false">
      <c r="B7" s="31" t="s">
        <v>184</v>
      </c>
      <c r="C7" s="4" t="s">
        <v>185</v>
      </c>
      <c r="D7" s="4" t="s">
        <v>186</v>
      </c>
      <c r="E7" s="4" t="s">
        <v>187</v>
      </c>
      <c r="F7" s="4" t="s">
        <v>188</v>
      </c>
      <c r="G7" s="4" t="s">
        <v>189</v>
      </c>
      <c r="H7" s="4" t="s">
        <v>190</v>
      </c>
      <c r="I7" s="4" t="s">
        <v>191</v>
      </c>
      <c r="J7" s="4" t="s">
        <v>192</v>
      </c>
      <c r="K7" s="4" t="s">
        <v>193</v>
      </c>
      <c r="L7" s="4" t="s">
        <v>194</v>
      </c>
    </row>
    <row r="8" customFormat="false" ht="15" hidden="false" customHeight="false" outlineLevel="0" collapsed="false">
      <c r="B8" s="0" t="s">
        <v>195</v>
      </c>
      <c r="C8" s="7" t="n">
        <f aca="false">SUMIFS('Depreciation Schedule'!$E$11:$E$14,'Depreciation Schedule'!$B$11:$B$14,$B8)</f>
        <v>6890000</v>
      </c>
      <c r="D8" s="7" t="n">
        <f aca="false">SUMIFS('Depreciation Schedule'!$G$11:$G$14,'Depreciation Schedule'!$B$11:$B$14,$B8)</f>
        <v>700000</v>
      </c>
      <c r="E8" s="7" t="n">
        <f aca="false">SUMIFS('Depreciation Schedule'!$I$11:$I$14,'Depreciation Schedule'!$B$11:$B$14,$B8)</f>
        <v>0</v>
      </c>
      <c r="F8" s="7" t="n">
        <f aca="false">C8+D8-E8</f>
        <v>7590000</v>
      </c>
      <c r="G8" s="7" t="n">
        <f aca="false">SUMIFS('Depreciation Schedule'!$F$11:$F$14,'Depreciation Schedule'!$B$11:$B$14,$B8)</f>
        <v>1590000</v>
      </c>
      <c r="H8" s="7" t="n">
        <f aca="false">SUMIFS('Depreciation Schedule'!$P$11:$P$14,'Depreciation Schedule'!$B$11:$B$14,$B8)</f>
        <v>471590.41</v>
      </c>
      <c r="I8" s="7" t="n">
        <f aca="false">SUMIFS('Depreciation Schedule'!$J$11:$J$14,'Depreciation Schedule'!$B$11:$B$14,$B8)+SUMIFS('Depreciation Schedule'!$O$11:$O$14,'Depreciation Schedule'!$B$11:$B$14,$B8)</f>
        <v>0</v>
      </c>
      <c r="J8" s="7" t="n">
        <f aca="false">G8+H8-I8</f>
        <v>2061590.41</v>
      </c>
      <c r="K8" s="7" t="n">
        <f aca="false">F8-J8</f>
        <v>5528409.59</v>
      </c>
      <c r="L8" s="7" t="n">
        <f aca="false">C8-G8</f>
        <v>5300000</v>
      </c>
    </row>
    <row r="9" customFormat="false" ht="15" hidden="false" customHeight="false" outlineLevel="0" collapsed="false">
      <c r="B9" s="0" t="s">
        <v>196</v>
      </c>
      <c r="C9" s="7" t="n">
        <f aca="false">SUMIFS('Depreciation Schedule'!$E$11:$E$14,'Depreciation Schedule'!$B$11:$B$14,$B9)</f>
        <v>474500</v>
      </c>
      <c r="D9" s="7" t="n">
        <f aca="false">SUMIFS('Depreciation Schedule'!$G$11:$G$14,'Depreciation Schedule'!$B$11:$B$14,$B9)</f>
        <v>0</v>
      </c>
      <c r="E9" s="7" t="n">
        <f aca="false">SUMIFS('Depreciation Schedule'!$I$11:$I$14,'Depreciation Schedule'!$B$11:$B$14,$B9)</f>
        <v>0</v>
      </c>
      <c r="F9" s="7" t="n">
        <f aca="false">C9+D9-E9</f>
        <v>474500</v>
      </c>
      <c r="G9" s="7" t="n">
        <f aca="false">SUMIFS('Depreciation Schedule'!$F$11:$F$14,'Depreciation Schedule'!$B$11:$B$14,$B9)</f>
        <v>109500</v>
      </c>
      <c r="H9" s="7" t="n">
        <f aca="false">SUMIFS('Depreciation Schedule'!$P$11:$P$14,'Depreciation Schedule'!$B$11:$B$14,$B9)</f>
        <v>45077.5</v>
      </c>
      <c r="I9" s="7" t="n">
        <f aca="false">SUMIFS('Depreciation Schedule'!$J$11:$J$14,'Depreciation Schedule'!$B$11:$B$14,$B9)+SUMIFS('Depreciation Schedule'!$O$11:$O$14,'Depreciation Schedule'!$B$11:$B$14,$B9)</f>
        <v>0</v>
      </c>
      <c r="J9" s="7" t="n">
        <f aca="false">G9+H9-I9</f>
        <v>154577.5</v>
      </c>
      <c r="K9" s="7" t="n">
        <f aca="false">F9-J9</f>
        <v>319922.5</v>
      </c>
      <c r="L9" s="7" t="n">
        <f aca="false">C9-G9</f>
        <v>365000</v>
      </c>
    </row>
    <row r="10" customFormat="false" ht="15" hidden="false" customHeight="false" outlineLevel="0" collapsed="false">
      <c r="B10" s="0" t="s">
        <v>197</v>
      </c>
      <c r="C10" s="7" t="n">
        <f aca="false">SUMIFS('Depreciation Schedule'!$E$11:$E$14,'Depreciation Schedule'!$B$11:$B$14,$B10)</f>
        <v>192400</v>
      </c>
      <c r="D10" s="7" t="n">
        <f aca="false">SUMIFS('Depreciation Schedule'!$G$11:$G$14,'Depreciation Schedule'!$B$11:$B$14,$B10)</f>
        <v>120000</v>
      </c>
      <c r="E10" s="7" t="n">
        <f aca="false">SUMIFS('Depreciation Schedule'!$I$11:$I$14,'Depreciation Schedule'!$B$11:$B$14,$B10)</f>
        <v>0</v>
      </c>
      <c r="F10" s="7" t="n">
        <f aca="false">C10+D10-E10</f>
        <v>312400</v>
      </c>
      <c r="G10" s="7" t="n">
        <f aca="false">SUMIFS('Depreciation Schedule'!$F$11:$F$14,'Depreciation Schedule'!$B$11:$B$14,$B10)</f>
        <v>44400</v>
      </c>
      <c r="H10" s="7" t="n">
        <f aca="false">SUMIFS('Depreciation Schedule'!$P$11:$P$14,'Depreciation Schedule'!$B$11:$B$14,$B10)</f>
        <v>79874.61</v>
      </c>
      <c r="I10" s="7" t="n">
        <f aca="false">SUMIFS('Depreciation Schedule'!$J$11:$J$14,'Depreciation Schedule'!$B$11:$B$14,$B10)+SUMIFS('Depreciation Schedule'!$O$11:$O$14,'Depreciation Schedule'!$B$11:$B$14,$B10)</f>
        <v>0</v>
      </c>
      <c r="J10" s="7" t="n">
        <f aca="false">G10+H10-I10</f>
        <v>124274.61</v>
      </c>
      <c r="K10" s="7" t="n">
        <f aca="false">F10-J10</f>
        <v>188125.39</v>
      </c>
      <c r="L10" s="7" t="n">
        <f aca="false">C10-G10</f>
        <v>148000</v>
      </c>
    </row>
    <row r="11" customFormat="false" ht="15" hidden="false" customHeight="false" outlineLevel="0" collapsed="false">
      <c r="B11" s="0" t="s">
        <v>198</v>
      </c>
      <c r="C11" s="7" t="n">
        <f aca="false">SUMIFS('Depreciation Schedule'!$E$11:$E$14,'Depreciation Schedule'!$B$11:$B$14,$B11)</f>
        <v>1170000</v>
      </c>
      <c r="D11" s="7" t="n">
        <f aca="false">SUMIFS('Depreciation Schedule'!$G$11:$G$14,'Depreciation Schedule'!$B$11:$B$14,$B11)</f>
        <v>135000</v>
      </c>
      <c r="E11" s="7" t="n">
        <f aca="false">SUMIFS('Depreciation Schedule'!$I$11:$I$14,'Depreciation Schedule'!$B$11:$B$14,$B11)</f>
        <v>0</v>
      </c>
      <c r="F11" s="7" t="n">
        <f aca="false">C11+D11-E11</f>
        <v>1305000</v>
      </c>
      <c r="G11" s="7" t="n">
        <f aca="false">SUMIFS('Depreciation Schedule'!$F$11:$F$14,'Depreciation Schedule'!$B$11:$B$14,$B11)</f>
        <v>270000</v>
      </c>
      <c r="H11" s="7" t="n">
        <f aca="false">SUMIFS('Depreciation Schedule'!$P$11:$P$14,'Depreciation Schedule'!$B$11:$B$14,$B11)</f>
        <v>142055.91</v>
      </c>
      <c r="I11" s="7" t="n">
        <f aca="false">SUMIFS('Depreciation Schedule'!$J$11:$J$14,'Depreciation Schedule'!$B$11:$B$14,$B11)+SUMIFS('Depreciation Schedule'!$O$11:$O$14,'Depreciation Schedule'!$B$11:$B$14,$B11)</f>
        <v>0</v>
      </c>
      <c r="J11" s="7" t="n">
        <f aca="false">G11+H11-I11</f>
        <v>412055.91</v>
      </c>
      <c r="K11" s="7" t="n">
        <f aca="false">F11-J11</f>
        <v>892944.09</v>
      </c>
      <c r="L11" s="7" t="n">
        <f aca="false">C11-G11</f>
        <v>900000</v>
      </c>
    </row>
    <row r="12" customFormat="false" ht="15" hidden="false" customHeight="false" outlineLevel="0" collapsed="false">
      <c r="B12" s="2" t="s">
        <v>108</v>
      </c>
      <c r="C12" s="29" t="n">
        <f aca="false">SUM(C8:C11)</f>
        <v>8726900</v>
      </c>
      <c r="D12" s="29" t="n">
        <f aca="false">SUM(D8:D11)</f>
        <v>955000</v>
      </c>
      <c r="E12" s="29" t="n">
        <f aca="false">SUM(E8:E11)</f>
        <v>0</v>
      </c>
      <c r="F12" s="29" t="n">
        <f aca="false">SUM(F8:F11)</f>
        <v>9681900</v>
      </c>
      <c r="G12" s="29" t="n">
        <f aca="false">SUM(G8:G11)</f>
        <v>2013900</v>
      </c>
      <c r="H12" s="29" t="n">
        <f aca="false">SUM(H8:H11)</f>
        <v>738598.43</v>
      </c>
      <c r="I12" s="29" t="n">
        <f aca="false">SUM(I8:I11)</f>
        <v>0</v>
      </c>
      <c r="J12" s="29" t="n">
        <f aca="false">SUM(J8:J11)</f>
        <v>2752498.43</v>
      </c>
      <c r="K12" s="29" t="n">
        <f aca="false">SUM(K8:K11)</f>
        <v>6929401.57</v>
      </c>
      <c r="L12" s="29" t="n">
        <f aca="false">SUM(L8:L11)</f>
        <v>6713000</v>
      </c>
      <c r="N12" s="14" t="s">
        <v>199</v>
      </c>
      <c r="O12" s="32" t="n">
        <f aca="false">K12-'Notes - Balance Sheet'!C78</f>
        <v>0</v>
      </c>
    </row>
    <row r="14" customFormat="false" ht="15" hidden="false" customHeight="false" outlineLevel="0" collapsed="false">
      <c r="B14" s="3" t="s">
        <v>200</v>
      </c>
    </row>
    <row r="15" customFormat="false" ht="15" hidden="false" customHeight="false" outlineLevel="0" collapsed="false">
      <c r="B15" s="3" t="s">
        <v>201</v>
      </c>
    </row>
  </sheetData>
  <mergeCells count="1">
    <mergeCell ref="A1:L1"/>
  </mergeCells>
  <printOptions headings="false" gridLines="false" gridLinesSet="true" horizontalCentered="true" verticalCentered="false"/>
  <pageMargins left="0.6" right="0.6" top="0.7" bottom="0.8"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Sample Engineering Private Limited | Fixed Assets Schedule&amp;R&amp;8 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8"/>
    <col collapsed="false" customWidth="true" hidden="false" outlineLevel="0" max="4" min="3" style="0" width="18"/>
    <col collapsed="false" customWidth="true" hidden="false" outlineLevel="0" max="7" min="5" style="0" width="2.5"/>
    <col collapsed="false" customWidth="true" hidden="false" outlineLevel="0" max="8" min="8" style="0" width="20"/>
    <col collapsed="false" customWidth="true" hidden="false" outlineLevel="0" max="12" min="9" style="0" width="18"/>
  </cols>
  <sheetData>
    <row r="1" customFormat="false" ht="17.35" hidden="false" customHeight="false" outlineLevel="0" collapsed="false">
      <c r="A1" s="1" t="s">
        <v>0</v>
      </c>
      <c r="B1" s="1"/>
      <c r="C1" s="1"/>
      <c r="D1" s="1"/>
      <c r="E1" s="1"/>
      <c r="F1" s="1"/>
      <c r="G1" s="1"/>
    </row>
    <row r="2" customFormat="false" ht="15" hidden="false" customHeight="false" outlineLevel="0" collapsed="false">
      <c r="A2" s="2" t="s">
        <v>76</v>
      </c>
    </row>
    <row r="3" customFormat="false" ht="15" hidden="false" customHeight="false" outlineLevel="0" collapsed="false">
      <c r="A3" s="0" t="s">
        <v>2</v>
      </c>
    </row>
    <row r="6" customFormat="false" ht="15" hidden="false" customHeight="false" outlineLevel="0" collapsed="false">
      <c r="A6" s="20" t="s">
        <v>202</v>
      </c>
      <c r="B6" s="21" t="s">
        <v>203</v>
      </c>
      <c r="C6" s="23"/>
      <c r="D6" s="23"/>
    </row>
    <row r="7" customFormat="false" ht="30" hidden="false" customHeight="true" outlineLevel="0" collapsed="false">
      <c r="B7" s="24" t="s">
        <v>4</v>
      </c>
      <c r="C7" s="25" t="s">
        <v>204</v>
      </c>
      <c r="D7" s="25" t="s">
        <v>205</v>
      </c>
      <c r="H7" s="26" t="s">
        <v>106</v>
      </c>
    </row>
    <row r="8" customFormat="false" ht="15" hidden="false" customHeight="false" outlineLevel="0" collapsed="false">
      <c r="B8" s="27" t="s">
        <v>206</v>
      </c>
      <c r="C8" s="7" t="n">
        <f aca="false">'Trial Balance Mapping'!F37</f>
        <v>17800000</v>
      </c>
      <c r="D8" s="7" t="n">
        <f aca="false">'Trial Balance Mapping PY'!F35</f>
        <v>15200000</v>
      </c>
    </row>
    <row r="9" customFormat="false" ht="15" hidden="false" customHeight="false" outlineLevel="0" collapsed="false">
      <c r="B9" s="27" t="s">
        <v>207</v>
      </c>
      <c r="C9" s="7" t="n">
        <f aca="false">'Trial Balance Mapping'!F38</f>
        <v>2600000</v>
      </c>
      <c r="D9" s="7" t="n">
        <f aca="false">'Trial Balance Mapping PY'!F36</f>
        <v>2100000</v>
      </c>
    </row>
    <row r="10" customFormat="false" ht="15" hidden="false" customHeight="false" outlineLevel="0" collapsed="false">
      <c r="B10" s="28" t="s">
        <v>108</v>
      </c>
      <c r="C10" s="29" t="n">
        <f aca="false">SUM(C8:C9)</f>
        <v>20400000</v>
      </c>
      <c r="D10" s="29" t="n">
        <f aca="false">SUM(D8:D9)</f>
        <v>17300000</v>
      </c>
      <c r="H10" s="30" t="str">
        <f aca="false">IF(AND(ABS(C10-'Profit &amp; Loss'!C6)&lt;1,ABS(D10-'Profit &amp; Loss'!D6)&lt;1),"Agrees","CHECK")</f>
        <v>Agrees</v>
      </c>
    </row>
    <row r="13" customFormat="false" ht="15" hidden="false" customHeight="false" outlineLevel="0" collapsed="false">
      <c r="A13" s="20" t="s">
        <v>208</v>
      </c>
      <c r="B13" s="21" t="s">
        <v>209</v>
      </c>
      <c r="C13" s="23"/>
      <c r="D13" s="23"/>
    </row>
    <row r="14" customFormat="false" ht="30" hidden="false" customHeight="true" outlineLevel="0" collapsed="false">
      <c r="B14" s="24" t="s">
        <v>4</v>
      </c>
      <c r="C14" s="25" t="s">
        <v>204</v>
      </c>
      <c r="D14" s="25" t="s">
        <v>205</v>
      </c>
      <c r="H14" s="26" t="s">
        <v>106</v>
      </c>
    </row>
    <row r="15" customFormat="false" ht="15" hidden="false" customHeight="false" outlineLevel="0" collapsed="false">
      <c r="B15" s="27" t="s">
        <v>210</v>
      </c>
      <c r="C15" s="7" t="n">
        <f aca="false">'Trial Balance Mapping'!F40</f>
        <v>64000</v>
      </c>
      <c r="D15" s="7" t="n">
        <f aca="false">'Trial Balance Mapping PY'!F38</f>
        <v>52000</v>
      </c>
    </row>
    <row r="16" customFormat="false" ht="15" hidden="false" customHeight="false" outlineLevel="0" collapsed="false">
      <c r="B16" s="27" t="s">
        <v>211</v>
      </c>
      <c r="C16" s="7" t="n">
        <f aca="false">'Trial Balance Mapping'!F39</f>
        <v>22000</v>
      </c>
      <c r="D16" s="7" t="n">
        <f aca="false">'Trial Balance Mapping PY'!F37</f>
        <v>18000</v>
      </c>
    </row>
    <row r="17" customFormat="false" ht="15" hidden="false" customHeight="false" outlineLevel="0" collapsed="false">
      <c r="B17" s="28" t="s">
        <v>108</v>
      </c>
      <c r="C17" s="29" t="n">
        <f aca="false">SUM(C15:C16)</f>
        <v>86000</v>
      </c>
      <c r="D17" s="29" t="n">
        <f aca="false">SUM(D15:D16)</f>
        <v>70000</v>
      </c>
      <c r="H17" s="30" t="str">
        <f aca="false">IF(AND(ABS(C17-'Profit &amp; Loss'!C7)&lt;1,ABS(D17-'Profit &amp; Loss'!D7)&lt;1),"Agrees","CHECK")</f>
        <v>Agrees</v>
      </c>
    </row>
    <row r="20" customFormat="false" ht="15" hidden="false" customHeight="false" outlineLevel="0" collapsed="false">
      <c r="A20" s="20" t="s">
        <v>212</v>
      </c>
      <c r="B20" s="21" t="s">
        <v>62</v>
      </c>
      <c r="C20" s="23"/>
      <c r="D20" s="23"/>
    </row>
    <row r="21" customFormat="false" ht="30" hidden="false" customHeight="true" outlineLevel="0" collapsed="false">
      <c r="B21" s="24" t="s">
        <v>4</v>
      </c>
      <c r="C21" s="25" t="s">
        <v>204</v>
      </c>
      <c r="D21" s="25" t="s">
        <v>205</v>
      </c>
      <c r="H21" s="26" t="s">
        <v>106</v>
      </c>
    </row>
    <row r="22" customFormat="false" ht="15" hidden="false" customHeight="false" outlineLevel="0" collapsed="false">
      <c r="B22" s="27" t="s">
        <v>213</v>
      </c>
      <c r="C22" s="7" t="n">
        <f aca="false">'Trial Balance Mapping'!F41</f>
        <v>9600000</v>
      </c>
      <c r="D22" s="7" t="n">
        <f aca="false">'Trial Balance Mapping PY'!F39</f>
        <v>8300000</v>
      </c>
    </row>
    <row r="23" customFormat="false" ht="15" hidden="false" customHeight="false" outlineLevel="0" collapsed="false">
      <c r="B23" s="28" t="s">
        <v>108</v>
      </c>
      <c r="C23" s="29" t="n">
        <f aca="false">SUM(C22:C22)</f>
        <v>9600000</v>
      </c>
      <c r="D23" s="29" t="n">
        <f aca="false">SUM(D22:D22)</f>
        <v>8300000</v>
      </c>
      <c r="H23" s="30" t="str">
        <f aca="false">IF(AND(ABS(C23-'Profit &amp; Loss'!C11)&lt;1,ABS(D23-'Profit &amp; Loss'!D11)&lt;1),"Agrees","CHECK")</f>
        <v>Agrees</v>
      </c>
    </row>
    <row r="26" customFormat="false" ht="15" hidden="false" customHeight="false" outlineLevel="0" collapsed="false">
      <c r="A26" s="20" t="s">
        <v>214</v>
      </c>
      <c r="B26" s="21" t="s">
        <v>63</v>
      </c>
      <c r="C26" s="23"/>
      <c r="D26" s="23"/>
    </row>
    <row r="27" customFormat="false" ht="30" hidden="false" customHeight="true" outlineLevel="0" collapsed="false">
      <c r="B27" s="24" t="s">
        <v>4</v>
      </c>
      <c r="C27" s="25" t="s">
        <v>204</v>
      </c>
      <c r="D27" s="25" t="s">
        <v>205</v>
      </c>
      <c r="H27" s="26" t="s">
        <v>106</v>
      </c>
    </row>
    <row r="28" customFormat="false" ht="15" hidden="false" customHeight="false" outlineLevel="0" collapsed="false">
      <c r="B28" s="27" t="s">
        <v>215</v>
      </c>
      <c r="C28" s="7" t="n">
        <f aca="false">'Trial Balance Mapping'!F26</f>
        <v>1900000</v>
      </c>
      <c r="D28" s="7" t="n">
        <f aca="false">'Trial Balance Mapping PY'!F24</f>
        <v>1500000</v>
      </c>
    </row>
    <row r="29" customFormat="false" ht="15" hidden="false" customHeight="false" outlineLevel="0" collapsed="false">
      <c r="B29" s="27" t="s">
        <v>216</v>
      </c>
      <c r="C29" s="7" t="n">
        <f aca="false">-'Trial Balance Mapping'!$F$62</f>
        <v>-2250000</v>
      </c>
      <c r="D29" s="7" t="n">
        <f aca="false">-'Trial Balance Mapping PY'!$F$59</f>
        <v>-1900000</v>
      </c>
    </row>
    <row r="30" customFormat="false" ht="15" hidden="false" customHeight="false" outlineLevel="0" collapsed="false">
      <c r="B30" s="28" t="s">
        <v>108</v>
      </c>
      <c r="C30" s="29" t="n">
        <f aca="false">SUM(C28:C29)</f>
        <v>-350000</v>
      </c>
      <c r="D30" s="29" t="n">
        <f aca="false">SUM(D28:D29)</f>
        <v>-400000</v>
      </c>
      <c r="H30" s="30" t="str">
        <f aca="false">IF(AND(ABS(C30-'Profit &amp; Loss'!C12)&lt;1,ABS(D30-'Profit &amp; Loss'!D12)&lt;1),"Agrees","CHECK")</f>
        <v>Agrees</v>
      </c>
    </row>
    <row r="33" customFormat="false" ht="15" hidden="false" customHeight="false" outlineLevel="0" collapsed="false">
      <c r="A33" s="20" t="s">
        <v>217</v>
      </c>
      <c r="B33" s="21" t="s">
        <v>64</v>
      </c>
      <c r="C33" s="23"/>
      <c r="D33" s="23"/>
    </row>
    <row r="34" customFormat="false" ht="30" hidden="false" customHeight="true" outlineLevel="0" collapsed="false">
      <c r="B34" s="24" t="s">
        <v>4</v>
      </c>
      <c r="C34" s="25" t="s">
        <v>204</v>
      </c>
      <c r="D34" s="25" t="s">
        <v>205</v>
      </c>
      <c r="H34" s="26" t="s">
        <v>106</v>
      </c>
    </row>
    <row r="35" customFormat="false" ht="15" hidden="false" customHeight="false" outlineLevel="0" collapsed="false">
      <c r="B35" s="27" t="s">
        <v>218</v>
      </c>
      <c r="C35" s="7" t="n">
        <f aca="false">'Trial Balance Mapping'!F43</f>
        <v>3250000</v>
      </c>
      <c r="D35" s="7" t="n">
        <f aca="false">'Trial Balance Mapping PY'!F41</f>
        <v>2800000</v>
      </c>
    </row>
    <row r="36" customFormat="false" ht="15" hidden="false" customHeight="false" outlineLevel="0" collapsed="false">
      <c r="B36" s="27" t="s">
        <v>219</v>
      </c>
      <c r="C36" s="7" t="n">
        <f aca="false">'Trial Balance Mapping'!F42</f>
        <v>310000</v>
      </c>
      <c r="D36" s="7" t="n">
        <f aca="false">'Trial Balance Mapping PY'!F40</f>
        <v>270000</v>
      </c>
    </row>
    <row r="37" customFormat="false" ht="15" hidden="false" customHeight="false" outlineLevel="0" collapsed="false">
      <c r="B37" s="27" t="s">
        <v>220</v>
      </c>
      <c r="C37" s="7" t="n">
        <f aca="false">'Trial Balance Mapping'!F44</f>
        <v>120000</v>
      </c>
      <c r="D37" s="7" t="n">
        <f aca="false">'Trial Balance Mapping PY'!F42</f>
        <v>98000</v>
      </c>
    </row>
    <row r="38" customFormat="false" ht="15" hidden="false" customHeight="false" outlineLevel="0" collapsed="false">
      <c r="B38" s="28" t="s">
        <v>108</v>
      </c>
      <c r="C38" s="29" t="n">
        <f aca="false">SUM(C35:C37)</f>
        <v>3680000</v>
      </c>
      <c r="D38" s="29" t="n">
        <f aca="false">SUM(D35:D37)</f>
        <v>3168000</v>
      </c>
      <c r="H38" s="30" t="str">
        <f aca="false">IF(AND(ABS(C38-'Profit &amp; Loss'!C13)&lt;1,ABS(D38-'Profit &amp; Loss'!D13)&lt;1),"Agrees","CHECK")</f>
        <v>Agrees</v>
      </c>
    </row>
    <row r="41" customFormat="false" ht="15" hidden="false" customHeight="false" outlineLevel="0" collapsed="false">
      <c r="A41" s="20" t="s">
        <v>221</v>
      </c>
      <c r="B41" s="21" t="s">
        <v>65</v>
      </c>
      <c r="C41" s="23"/>
      <c r="D41" s="23"/>
    </row>
    <row r="42" customFormat="false" ht="30" hidden="false" customHeight="true" outlineLevel="0" collapsed="false">
      <c r="B42" s="24" t="s">
        <v>4</v>
      </c>
      <c r="C42" s="25" t="s">
        <v>204</v>
      </c>
      <c r="D42" s="25" t="s">
        <v>205</v>
      </c>
      <c r="H42" s="26" t="s">
        <v>106</v>
      </c>
    </row>
    <row r="43" customFormat="false" ht="15" hidden="false" customHeight="false" outlineLevel="0" collapsed="false">
      <c r="B43" s="27" t="s">
        <v>222</v>
      </c>
      <c r="C43" s="7" t="n">
        <f aca="false">'Trial Balance Mapping'!F46</f>
        <v>380000</v>
      </c>
      <c r="D43" s="7" t="n">
        <f aca="false">'Trial Balance Mapping PY'!F44</f>
        <v>450000</v>
      </c>
    </row>
    <row r="44" customFormat="false" ht="15" hidden="false" customHeight="false" outlineLevel="0" collapsed="false">
      <c r="B44" s="27" t="s">
        <v>223</v>
      </c>
      <c r="C44" s="7" t="n">
        <f aca="false">'Trial Balance Mapping'!F45</f>
        <v>165000</v>
      </c>
      <c r="D44" s="7" t="n">
        <f aca="false">'Trial Balance Mapping PY'!F43</f>
        <v>130000</v>
      </c>
    </row>
    <row r="45" customFormat="false" ht="15" hidden="false" customHeight="false" outlineLevel="0" collapsed="false">
      <c r="B45" s="28" t="s">
        <v>108</v>
      </c>
      <c r="C45" s="29" t="n">
        <f aca="false">SUM(C43:C44)</f>
        <v>545000</v>
      </c>
      <c r="D45" s="29" t="n">
        <f aca="false">SUM(D43:D44)</f>
        <v>580000</v>
      </c>
      <c r="H45" s="30" t="str">
        <f aca="false">IF(AND(ABS(C45-'Profit &amp; Loss'!C14)&lt;1,ABS(D45-'Profit &amp; Loss'!D14)&lt;1),"Agrees","CHECK")</f>
        <v>Agrees</v>
      </c>
    </row>
    <row r="48" customFormat="false" ht="15" hidden="false" customHeight="false" outlineLevel="0" collapsed="false">
      <c r="A48" s="20" t="s">
        <v>224</v>
      </c>
      <c r="B48" s="21" t="s">
        <v>66</v>
      </c>
      <c r="C48" s="23"/>
      <c r="D48" s="23"/>
    </row>
    <row r="49" customFormat="false" ht="30" hidden="false" customHeight="true" outlineLevel="0" collapsed="false">
      <c r="B49" s="24" t="s">
        <v>4</v>
      </c>
      <c r="C49" s="25" t="s">
        <v>204</v>
      </c>
      <c r="D49" s="25" t="s">
        <v>205</v>
      </c>
      <c r="H49" s="26" t="s">
        <v>106</v>
      </c>
    </row>
    <row r="50" customFormat="false" ht="15" hidden="false" customHeight="false" outlineLevel="0" collapsed="false">
      <c r="B50" s="8" t="s">
        <v>147</v>
      </c>
    </row>
    <row r="51" customFormat="false" ht="15" hidden="false" customHeight="false" outlineLevel="0" collapsed="false">
      <c r="B51" s="27" t="s">
        <v>225</v>
      </c>
      <c r="C51" s="7" t="n">
        <f aca="false">'Trial Balance Mapping'!F48</f>
        <v>38598.43</v>
      </c>
      <c r="D51" s="7" t="n">
        <v>0</v>
      </c>
    </row>
    <row r="52" customFormat="false" ht="15" hidden="false" customHeight="false" outlineLevel="0" collapsed="false">
      <c r="B52" s="8" t="s">
        <v>226</v>
      </c>
    </row>
    <row r="53" customFormat="false" ht="15" hidden="false" customHeight="false" outlineLevel="0" collapsed="false">
      <c r="B53" s="27" t="s">
        <v>227</v>
      </c>
      <c r="C53" s="7" t="n">
        <f aca="false">'Trial Balance Mapping'!F47</f>
        <v>700000</v>
      </c>
      <c r="D53" s="7" t="n">
        <f aca="false">'Trial Balance Mapping PY'!F45</f>
        <v>820000</v>
      </c>
    </row>
    <row r="54" customFormat="false" ht="15" hidden="false" customHeight="false" outlineLevel="0" collapsed="false">
      <c r="B54" s="28" t="s">
        <v>108</v>
      </c>
      <c r="C54" s="29" t="n">
        <f aca="false">SUM(C50:C53)</f>
        <v>738598.43</v>
      </c>
      <c r="D54" s="29" t="n">
        <f aca="false">SUM(D50:D53)</f>
        <v>820000</v>
      </c>
      <c r="H54" s="30" t="str">
        <f aca="false">IF(AND(ABS(C54-'Profit &amp; Loss'!C15)&lt;1,ABS(D54-'Profit &amp; Loss'!D15)&lt;1),"Agrees","CHECK")</f>
        <v>Agrees</v>
      </c>
    </row>
    <row r="57" customFormat="false" ht="15" hidden="false" customHeight="false" outlineLevel="0" collapsed="false">
      <c r="A57" s="20" t="s">
        <v>228</v>
      </c>
      <c r="B57" s="21" t="s">
        <v>67</v>
      </c>
      <c r="C57" s="23"/>
      <c r="D57" s="23"/>
    </row>
    <row r="58" customFormat="false" ht="30" hidden="false" customHeight="true" outlineLevel="0" collapsed="false">
      <c r="B58" s="24" t="s">
        <v>4</v>
      </c>
      <c r="C58" s="25" t="s">
        <v>204</v>
      </c>
      <c r="D58" s="25" t="s">
        <v>205</v>
      </c>
      <c r="H58" s="26" t="s">
        <v>106</v>
      </c>
    </row>
    <row r="59" customFormat="false" ht="15" hidden="false" customHeight="false" outlineLevel="0" collapsed="false">
      <c r="B59" s="8" t="s">
        <v>229</v>
      </c>
    </row>
    <row r="60" customFormat="false" ht="15" hidden="false" customHeight="false" outlineLevel="0" collapsed="false">
      <c r="B60" s="27" t="s">
        <v>230</v>
      </c>
      <c r="C60" s="7" t="n">
        <f aca="false">'Trial Balance Mapping'!F53</f>
        <v>420000</v>
      </c>
      <c r="D60" s="7" t="n">
        <f aca="false">'Trial Balance Mapping PY'!F50</f>
        <v>370000</v>
      </c>
    </row>
    <row r="61" customFormat="false" ht="15" hidden="false" customHeight="false" outlineLevel="0" collapsed="false">
      <c r="B61" s="8" t="s">
        <v>226</v>
      </c>
    </row>
    <row r="62" customFormat="false" ht="15" hidden="false" customHeight="false" outlineLevel="0" collapsed="false">
      <c r="B62" s="27" t="s">
        <v>231</v>
      </c>
      <c r="C62" s="7" t="n">
        <f aca="false">'Trial Balance Mapping'!F57</f>
        <v>720000</v>
      </c>
      <c r="D62" s="7" t="n">
        <f aca="false">'Trial Balance Mapping PY'!F54</f>
        <v>660000</v>
      </c>
    </row>
    <row r="63" customFormat="false" ht="15" hidden="false" customHeight="false" outlineLevel="0" collapsed="false">
      <c r="B63" s="27" t="s">
        <v>232</v>
      </c>
      <c r="C63" s="7" t="n">
        <f aca="false">'Trial Balance Mapping'!F52</f>
        <v>410000</v>
      </c>
      <c r="D63" s="7" t="n">
        <f aca="false">'Trial Balance Mapping PY'!F49</f>
        <v>370000</v>
      </c>
    </row>
    <row r="64" customFormat="false" ht="15" hidden="false" customHeight="false" outlineLevel="0" collapsed="false">
      <c r="B64" s="27" t="s">
        <v>233</v>
      </c>
      <c r="C64" s="7" t="n">
        <f aca="false">'Trial Balance Mapping'!F58</f>
        <v>265000</v>
      </c>
      <c r="D64" s="7" t="n">
        <f aca="false">'Trial Balance Mapping PY'!F55</f>
        <v>215000</v>
      </c>
    </row>
    <row r="65" customFormat="false" ht="15" hidden="false" customHeight="false" outlineLevel="0" collapsed="false">
      <c r="B65" s="27" t="s">
        <v>234</v>
      </c>
      <c r="C65" s="7" t="n">
        <f aca="false">'Trial Balance Mapping'!F60</f>
        <v>238000</v>
      </c>
      <c r="D65" s="7" t="n">
        <f aca="false">'Trial Balance Mapping PY'!F57</f>
        <v>196000</v>
      </c>
    </row>
    <row r="66" customFormat="false" ht="15" hidden="false" customHeight="false" outlineLevel="0" collapsed="false">
      <c r="B66" s="27" t="s">
        <v>235</v>
      </c>
      <c r="C66" s="7" t="n">
        <f aca="false">'Trial Balance Mapping'!F56</f>
        <v>185000</v>
      </c>
      <c r="D66" s="7" t="n">
        <f aca="false">'Trial Balance Mapping PY'!F53</f>
        <v>160000</v>
      </c>
    </row>
    <row r="67" customFormat="false" ht="15" hidden="false" customHeight="false" outlineLevel="0" collapsed="false">
      <c r="B67" s="27" t="s">
        <v>236</v>
      </c>
      <c r="C67" s="7" t="n">
        <f aca="false">'Trial Balance Mapping'!F49</f>
        <v>150000</v>
      </c>
      <c r="D67" s="7" t="n">
        <f aca="false">'Trial Balance Mapping PY'!F46</f>
        <v>110000</v>
      </c>
    </row>
    <row r="68" customFormat="false" ht="15" hidden="false" customHeight="false" outlineLevel="0" collapsed="false">
      <c r="B68" s="27" t="s">
        <v>237</v>
      </c>
      <c r="C68" s="7" t="n">
        <f aca="false">'Trial Balance Mapping'!F55</f>
        <v>134000</v>
      </c>
      <c r="D68" s="7" t="n">
        <f aca="false">'Trial Balance Mapping PY'!F52</f>
        <v>119000</v>
      </c>
    </row>
    <row r="69" customFormat="false" ht="15" hidden="false" customHeight="false" outlineLevel="0" collapsed="false">
      <c r="B69" s="27" t="s">
        <v>238</v>
      </c>
      <c r="C69" s="7" t="n">
        <f aca="false">'Trial Balance Mapping'!F54</f>
        <v>96000</v>
      </c>
      <c r="D69" s="7" t="n">
        <f aca="false">'Trial Balance Mapping PY'!F51</f>
        <v>88000</v>
      </c>
    </row>
    <row r="70" customFormat="false" ht="15" hidden="false" customHeight="false" outlineLevel="0" collapsed="false">
      <c r="B70" s="27" t="s">
        <v>239</v>
      </c>
      <c r="C70" s="7" t="n">
        <f aca="false">'Trial Balance Mapping'!F59</f>
        <v>72000</v>
      </c>
      <c r="D70" s="7" t="n">
        <f aca="false">'Trial Balance Mapping PY'!F56</f>
        <v>66000</v>
      </c>
    </row>
    <row r="71" customFormat="false" ht="15" hidden="false" customHeight="false" outlineLevel="0" collapsed="false">
      <c r="B71" s="27" t="s">
        <v>240</v>
      </c>
      <c r="C71" s="7" t="n">
        <f aca="false">'Trial Balance Mapping'!F50</f>
        <v>60000</v>
      </c>
      <c r="D71" s="7" t="n">
        <f aca="false">'Trial Balance Mapping PY'!F47</f>
        <v>50000</v>
      </c>
    </row>
    <row r="72" customFormat="false" ht="15" hidden="false" customHeight="false" outlineLevel="0" collapsed="false">
      <c r="B72" s="27" t="s">
        <v>241</v>
      </c>
      <c r="C72" s="7" t="n">
        <f aca="false">'Trial Balance Mapping'!F51</f>
        <v>38000</v>
      </c>
      <c r="D72" s="7" t="n">
        <f aca="false">'Trial Balance Mapping PY'!F48</f>
        <v>31000</v>
      </c>
    </row>
    <row r="73" customFormat="false" ht="15" hidden="false" customHeight="false" outlineLevel="0" collapsed="false">
      <c r="B73" s="28" t="s">
        <v>108</v>
      </c>
      <c r="C73" s="29" t="n">
        <f aca="false">SUM(C59:C72)</f>
        <v>2788000</v>
      </c>
      <c r="D73" s="29" t="n">
        <f aca="false">SUM(D59:D72)</f>
        <v>2435000</v>
      </c>
      <c r="H73" s="30" t="str">
        <f aca="false">IF(AND(ABS(C73-'Profit &amp; Loss'!C16)&lt;1,ABS(D73-'Profit &amp; Loss'!D16)&lt;1),"Agrees","CHECK")</f>
        <v>Agrees</v>
      </c>
    </row>
    <row r="76" customFormat="false" ht="15" hidden="false" customHeight="false" outlineLevel="0" collapsed="false">
      <c r="A76" s="20" t="s">
        <v>242</v>
      </c>
      <c r="B76" s="21" t="s">
        <v>243</v>
      </c>
      <c r="C76" s="23"/>
      <c r="D76" s="23"/>
    </row>
    <row r="77" customFormat="false" ht="30" hidden="false" customHeight="true" outlineLevel="0" collapsed="false">
      <c r="B77" s="24" t="s">
        <v>4</v>
      </c>
      <c r="C77" s="25" t="s">
        <v>204</v>
      </c>
      <c r="D77" s="25" t="s">
        <v>205</v>
      </c>
      <c r="H77" s="26" t="s">
        <v>106</v>
      </c>
    </row>
    <row r="78" customFormat="false" ht="15" hidden="false" customHeight="false" outlineLevel="0" collapsed="false">
      <c r="B78" s="27" t="s">
        <v>144</v>
      </c>
      <c r="C78" s="7" t="n">
        <f aca="false">'Trial Balance Mapping'!$F$64</f>
        <v>0</v>
      </c>
      <c r="D78" s="7" t="n">
        <f aca="false">'Trial Balance Mapping PY'!$F$61</f>
        <v>0</v>
      </c>
    </row>
    <row r="79" customFormat="false" ht="15" hidden="false" customHeight="false" outlineLevel="0" collapsed="false">
      <c r="B79" s="28" t="s">
        <v>108</v>
      </c>
      <c r="C79" s="29" t="n">
        <f aca="false">SUM(C78:C78)</f>
        <v>0</v>
      </c>
      <c r="D79" s="29" t="n">
        <f aca="false">SUM(D78:D78)</f>
        <v>0</v>
      </c>
      <c r="H79" s="30" t="str">
        <f aca="false">IF(AND(ABS(C79-'Profit &amp; Loss'!C22)&lt;1,ABS(D79-'Profit &amp; Loss'!D22)&lt;1),"Agrees","CHECK")</f>
        <v>Agrees</v>
      </c>
    </row>
    <row r="82" customFormat="false" ht="15" hidden="false" customHeight="false" outlineLevel="0" collapsed="false">
      <c r="A82" s="20" t="s">
        <v>244</v>
      </c>
      <c r="B82" s="21" t="s">
        <v>74</v>
      </c>
      <c r="C82" s="23"/>
      <c r="D82" s="23"/>
    </row>
    <row r="83" customFormat="false" ht="30" hidden="false" customHeight="true" outlineLevel="0" collapsed="false">
      <c r="B83" s="24" t="s">
        <v>4</v>
      </c>
      <c r="C83" s="25" t="s">
        <v>204</v>
      </c>
      <c r="D83" s="25" t="s">
        <v>205</v>
      </c>
      <c r="H83" s="26" t="s">
        <v>106</v>
      </c>
    </row>
    <row r="84" customFormat="false" ht="15" hidden="false" customHeight="false" outlineLevel="0" collapsed="false">
      <c r="B84" s="0" t="s">
        <v>112</v>
      </c>
      <c r="C84" s="7" t="n">
        <f aca="false">'Profit &amp; Loss'!C23</f>
        <v>3484401.57</v>
      </c>
      <c r="D84" s="19" t="n">
        <f aca="false">'Profit &amp; Loss'!D23</f>
        <v>2467000</v>
      </c>
    </row>
    <row r="85" customFormat="false" ht="15" hidden="false" customHeight="false" outlineLevel="0" collapsed="false">
      <c r="B85" s="0" t="s">
        <v>245</v>
      </c>
      <c r="C85" s="7" t="n">
        <v>0</v>
      </c>
      <c r="D85" s="19" t="n">
        <v>0</v>
      </c>
    </row>
    <row r="86" customFormat="false" ht="15" hidden="false" customHeight="false" outlineLevel="0" collapsed="false">
      <c r="B86" s="2" t="s">
        <v>246</v>
      </c>
      <c r="C86" s="10" t="n">
        <f aca="false">C84-C85</f>
        <v>3484401.57</v>
      </c>
      <c r="D86" s="33" t="n">
        <f aca="false">D84-D85</f>
        <v>2467000</v>
      </c>
    </row>
    <row r="87" customFormat="false" ht="15" hidden="false" customHeight="false" outlineLevel="0" collapsed="false">
      <c r="B87" s="0" t="s">
        <v>247</v>
      </c>
      <c r="C87" s="34" t="n">
        <v>250000</v>
      </c>
      <c r="D87" s="35" t="n">
        <v>250000</v>
      </c>
    </row>
    <row r="88" customFormat="false" ht="15" hidden="false" customHeight="false" outlineLevel="0" collapsed="false">
      <c r="B88" s="0" t="s">
        <v>248</v>
      </c>
      <c r="C88" s="36" t="n">
        <v>10</v>
      </c>
      <c r="D88" s="37" t="n">
        <v>10</v>
      </c>
    </row>
    <row r="89" customFormat="false" ht="15" hidden="false" customHeight="false" outlineLevel="0" collapsed="false">
      <c r="B89" s="2" t="s">
        <v>249</v>
      </c>
      <c r="C89" s="38" t="n">
        <f aca="false">IF(C87&gt;0,C86/C87,"n.a.")</f>
        <v>13.93760628</v>
      </c>
      <c r="D89" s="38" t="n">
        <f aca="false">IF(D87&gt;0,D86/D87,"n.a.")</f>
        <v>9.868</v>
      </c>
    </row>
  </sheetData>
  <mergeCells count="1">
    <mergeCell ref="A1:G1"/>
  </mergeCells>
  <printOptions headings="false" gridLines="false" gridLinesSet="true" horizontalCentered="true" verticalCentered="false"/>
  <pageMargins left="0.6" right="0.6" top="0.7" bottom="0.8"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Sample Engineering Private Limited | Notes - Profit and Loss&amp;R&amp;8 Page &amp;P of &amp;N</oddFooter>
  </headerFooter>
  <rowBreaks count="2" manualBreakCount="2">
    <brk id="40" man="true" max="16383" min="0"/>
    <brk id="81" man="true" max="16383" min="0"/>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6"/>
    <col collapsed="false" customWidth="true" hidden="false" outlineLevel="0" max="4" min="3" style="0" width="28"/>
    <col collapsed="false" customWidth="true" hidden="false" outlineLevel="0" max="6" min="5" style="0" width="14"/>
    <col collapsed="false" customWidth="true" hidden="false" outlineLevel="0" max="7" min="7" style="0" width="12"/>
  </cols>
  <sheetData>
    <row r="1" customFormat="false" ht="17.35" hidden="false" customHeight="false" outlineLevel="0" collapsed="false">
      <c r="A1" s="1" t="s">
        <v>0</v>
      </c>
      <c r="B1" s="1"/>
      <c r="C1" s="1"/>
      <c r="D1" s="1"/>
      <c r="E1" s="1"/>
      <c r="F1" s="1"/>
      <c r="G1" s="1"/>
    </row>
    <row r="2" customFormat="false" ht="15" hidden="false" customHeight="false" outlineLevel="0" collapsed="false">
      <c r="A2" s="2" t="s">
        <v>76</v>
      </c>
    </row>
    <row r="3" customFormat="false" ht="15" hidden="false" customHeight="false" outlineLevel="0" collapsed="false">
      <c r="A3" s="0" t="s">
        <v>2</v>
      </c>
    </row>
    <row r="6" customFormat="false" ht="15" hidden="false" customHeight="false" outlineLevel="0" collapsed="false">
      <c r="A6" s="20" t="s">
        <v>250</v>
      </c>
      <c r="B6" s="21" t="s">
        <v>251</v>
      </c>
      <c r="C6" s="23"/>
      <c r="D6" s="23"/>
      <c r="E6" s="23"/>
      <c r="F6" s="23"/>
      <c r="G6" s="23"/>
    </row>
    <row r="7" customFormat="false" ht="15" hidden="false" customHeight="false" outlineLevel="0" collapsed="false">
      <c r="B7" s="25" t="s">
        <v>252</v>
      </c>
      <c r="C7" s="25" t="s">
        <v>253</v>
      </c>
      <c r="D7" s="25" t="s">
        <v>254</v>
      </c>
      <c r="E7" s="25" t="s">
        <v>255</v>
      </c>
      <c r="F7" s="25" t="s">
        <v>256</v>
      </c>
      <c r="G7" s="25" t="s">
        <v>257</v>
      </c>
    </row>
    <row r="8" customFormat="false" ht="15" hidden="false" customHeight="false" outlineLevel="0" collapsed="false">
      <c r="B8" s="0" t="s">
        <v>258</v>
      </c>
      <c r="C8" s="39" t="s">
        <v>259</v>
      </c>
      <c r="D8" s="39" t="s">
        <v>260</v>
      </c>
      <c r="E8" s="40" t="n">
        <f aca="false">IFERROR('Balance Sheet'!C35/'Balance Sheet'!C20,"n.a.")</f>
        <v>2.30995433789954</v>
      </c>
      <c r="F8" s="40" t="n">
        <f aca="false">IFERROR('Balance Sheet'!D35/'Balance Sheet'!D20,"n.a.")</f>
        <v>2.03269186181312</v>
      </c>
      <c r="G8" s="41" t="n">
        <f aca="false">IFERROR((E8-F8)/ABS(F8)*100,"n.a.")</f>
        <v>13.6401626481206</v>
      </c>
    </row>
    <row r="9" customFormat="false" ht="15" hidden="false" customHeight="false" outlineLevel="0" collapsed="false">
      <c r="B9" s="0" t="s">
        <v>261</v>
      </c>
      <c r="C9" s="39" t="s">
        <v>262</v>
      </c>
      <c r="D9" s="39" t="s">
        <v>263</v>
      </c>
      <c r="E9" s="40" t="n">
        <f aca="false">IFERROR(('Balance Sheet'!C12+'Balance Sheet'!C16)/'Balance Sheet'!C10,"n.a.")</f>
        <v>0.509639388807945</v>
      </c>
      <c r="F9" s="40" t="n">
        <f aca="false">IFERROR(('Balance Sheet'!D12+'Balance Sheet'!D16)/'Balance Sheet'!D10,"n.a.")</f>
        <v>0.799471908464134</v>
      </c>
      <c r="G9" s="41" t="n">
        <f aca="false">IFERROR((E9-F9)/ABS(F9)*100,"n.a.")</f>
        <v>-36.2529960824999</v>
      </c>
    </row>
    <row r="10" customFormat="false" ht="15" hidden="false" customHeight="false" outlineLevel="0" collapsed="false">
      <c r="B10" s="0" t="s">
        <v>264</v>
      </c>
      <c r="C10" s="39" t="s">
        <v>112</v>
      </c>
      <c r="D10" s="39" t="s">
        <v>265</v>
      </c>
      <c r="E10" s="40" t="n">
        <f aca="false">IFERROR('Profit &amp; Loss'!C23/AVERAGE('Balance Sheet'!C10,'Balance Sheet'!D10)*100,"n.a.")</f>
        <v>40.7094267037924</v>
      </c>
      <c r="F10" s="40" t="n">
        <f aca="false">IFERROR('Profit &amp; Loss'!D23/'Balance Sheet'!D10*100,"n.a.")</f>
        <v>36.1889394161655</v>
      </c>
      <c r="G10" s="41" t="n">
        <f aca="false">IFERROR((E10-F10)/ABS(F10)*100,"n.a.")</f>
        <v>12.4913505633372</v>
      </c>
    </row>
    <row r="11" customFormat="false" ht="15" hidden="false" customHeight="false" outlineLevel="0" collapsed="false">
      <c r="B11" s="0" t="s">
        <v>266</v>
      </c>
      <c r="C11" s="39" t="s">
        <v>267</v>
      </c>
      <c r="D11" s="39" t="s">
        <v>268</v>
      </c>
      <c r="E11" s="40" t="n">
        <f aca="false">IFERROR(('Profit &amp; Loss'!C11+'Profit &amp; Loss'!C12)/AVERAGE('Balance Sheet'!C30,'Balance Sheet'!D30),"n.a.")</f>
        <v>4.45783132530121</v>
      </c>
      <c r="F11" s="40" t="n">
        <f aca="false">IFERROR(('Profit &amp; Loss'!D11+'Profit &amp; Loss'!D12)/'Balance Sheet'!D30,"n.a.")</f>
        <v>4.15789473684211</v>
      </c>
      <c r="G11" s="41" t="n">
        <f aca="false">IFERROR((E11-F11)/ABS(F11)*100,"n.a.")</f>
        <v>7.21366478572519</v>
      </c>
    </row>
    <row r="12" customFormat="false" ht="15" hidden="false" customHeight="false" outlineLevel="0" collapsed="false">
      <c r="B12" s="0" t="s">
        <v>269</v>
      </c>
      <c r="C12" s="39" t="s">
        <v>203</v>
      </c>
      <c r="D12" s="39" t="s">
        <v>270</v>
      </c>
      <c r="E12" s="40" t="n">
        <f aca="false">IFERROR('Profit &amp; Loss'!C6/AVERAGE('Balance Sheet'!C31,'Balance Sheet'!D31),"n.a.")</f>
        <v>4.76635514018692</v>
      </c>
      <c r="F12" s="40" t="n">
        <f aca="false">IFERROR('Profit &amp; Loss'!D6/'Balance Sheet'!D31,"n.a.")</f>
        <v>4.44730077120823</v>
      </c>
      <c r="G12" s="41" t="n">
        <f aca="false">IFERROR((E12-F12)/ABS(F12)*100,"n.a.")</f>
        <v>7.17411268975204</v>
      </c>
    </row>
    <row r="13" customFormat="false" ht="15" hidden="false" customHeight="false" outlineLevel="0" collapsed="false">
      <c r="B13" s="0" t="s">
        <v>271</v>
      </c>
      <c r="C13" s="39" t="s">
        <v>272</v>
      </c>
      <c r="D13" s="39" t="s">
        <v>273</v>
      </c>
      <c r="E13" s="40" t="n">
        <f aca="false">IFERROR('Profit &amp; Loss'!C11/AVERAGE('Balance Sheet'!C17,'Balance Sheet'!D17),"n.a.")</f>
        <v>3.94250513347023</v>
      </c>
      <c r="F13" s="40" t="n">
        <f aca="false">IFERROR('Profit &amp; Loss'!D11/'Balance Sheet'!D17,"n.a.")</f>
        <v>3.7219730941704</v>
      </c>
      <c r="G13" s="41" t="n">
        <f aca="false">IFERROR((E13-F13)/ABS(F13)*100,"n.a.")</f>
        <v>5.92513792335666</v>
      </c>
    </row>
    <row r="14" customFormat="false" ht="15" hidden="false" customHeight="false" outlineLevel="0" collapsed="false">
      <c r="B14" s="0" t="s">
        <v>274</v>
      </c>
      <c r="C14" s="39" t="s">
        <v>203</v>
      </c>
      <c r="D14" s="39" t="s">
        <v>275</v>
      </c>
      <c r="E14" s="40" t="n">
        <f aca="false">IFERROR('Profit &amp; Loss'!C6/AVERAGE('Balance Sheet'!C35-'Balance Sheet'!C20,'Balance Sheet'!D35-'Balance Sheet'!D20),"n.a.")</f>
        <v>3.50937553758816</v>
      </c>
      <c r="F14" s="40" t="n">
        <f aca="false">IFERROR('Profit &amp; Loss'!D6/('Balance Sheet'!D35-'Balance Sheet'!D20),"n.a.")</f>
        <v>3.88414907947912</v>
      </c>
      <c r="G14" s="41" t="n">
        <f aca="false">IFERROR((E14-F14)/ABS(F14)*100,"n.a.")</f>
        <v>-9.64879396290356</v>
      </c>
    </row>
    <row r="15" customFormat="false" ht="15" hidden="false" customHeight="false" outlineLevel="0" collapsed="false">
      <c r="B15" s="0" t="s">
        <v>276</v>
      </c>
      <c r="C15" s="39" t="s">
        <v>112</v>
      </c>
      <c r="D15" s="39" t="s">
        <v>203</v>
      </c>
      <c r="E15" s="40" t="n">
        <f aca="false">IFERROR('Profit &amp; Loss'!C23/'Profit &amp; Loss'!C6*100,"n.a.")</f>
        <v>17.0803998529412</v>
      </c>
      <c r="F15" s="40" t="n">
        <f aca="false">IFERROR('Profit &amp; Loss'!D23/'Profit &amp; Loss'!D6*100,"n.a.")</f>
        <v>14.2601156069364</v>
      </c>
      <c r="G15" s="41" t="n">
        <f aca="false">IFERROR((E15-F15)/ABS(F15)*100,"n.a.")</f>
        <v>19.7774290457569</v>
      </c>
    </row>
    <row r="16" customFormat="false" ht="15" hidden="false" customHeight="false" outlineLevel="0" collapsed="false">
      <c r="B16" s="0" t="s">
        <v>277</v>
      </c>
      <c r="C16" s="39" t="s">
        <v>278</v>
      </c>
      <c r="D16" s="39" t="s">
        <v>279</v>
      </c>
      <c r="E16" s="40" t="n">
        <f aca="false">IFERROR(('Profit &amp; Loss'!C21+'Profit &amp; Loss'!C14)/('Balance Sheet'!C10+'Balance Sheet'!C12+'Balance Sheet'!C16)*100,"n.a.")</f>
        <v>25.910214920905</v>
      </c>
      <c r="F16" s="40" t="n">
        <f aca="false">IFERROR(('Profit &amp; Loss'!D21+'Profit &amp; Loss'!D14)/('Balance Sheet'!D10+'Balance Sheet'!D12+'Balance Sheet'!D16)*100,"n.a.")</f>
        <v>24.8389989402462</v>
      </c>
      <c r="G16" s="41" t="n">
        <f aca="false">IFERROR((E16-F16)/ABS(F16)*100,"n.a.")</f>
        <v>4.3126374908901</v>
      </c>
    </row>
  </sheetData>
  <mergeCells count="1">
    <mergeCell ref="A1:G1"/>
  </mergeCells>
  <printOptions headings="false" gridLines="false" gridLinesSet="true" horizontalCentered="true" verticalCentered="false"/>
  <pageMargins left="0.6" right="0.6" top="0.7" bottom="0.8"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Sample Engineering Private Limited | Notes - Ratios&amp;R&amp;8 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true"/>
  </sheetPr>
  <dimension ref="A1:G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3" min="3" style="0" width="42"/>
    <col collapsed="false" customWidth="true" hidden="false" outlineLevel="0" max="4" min="4" style="0" width="7"/>
    <col collapsed="false" customWidth="true" hidden="false" outlineLevel="0" max="6" min="5" style="0" width="22"/>
    <col collapsed="false" customWidth="true" hidden="false" outlineLevel="0" max="7" min="7" style="0" width="9"/>
  </cols>
  <sheetData>
    <row r="1" customFormat="false" ht="17.35" hidden="false" customHeight="false" outlineLevel="0" collapsed="false">
      <c r="A1" s="1" t="s">
        <v>0</v>
      </c>
      <c r="B1" s="1"/>
      <c r="C1" s="1"/>
      <c r="D1" s="1"/>
    </row>
    <row r="2" customFormat="false" ht="15" hidden="false" customHeight="false" outlineLevel="0" collapsed="false">
      <c r="A2" s="2" t="s">
        <v>280</v>
      </c>
    </row>
    <row r="3" customFormat="false" ht="15" hidden="false" customHeight="false" outlineLevel="0" collapsed="false">
      <c r="A3" s="3" t="s">
        <v>281</v>
      </c>
    </row>
    <row r="5" customFormat="false" ht="31.5" hidden="false" customHeight="true" outlineLevel="0" collapsed="false">
      <c r="A5" s="4" t="s">
        <v>282</v>
      </c>
      <c r="B5" s="4" t="s">
        <v>283</v>
      </c>
      <c r="C5" s="4" t="s">
        <v>284</v>
      </c>
      <c r="D5" s="4" t="s">
        <v>285</v>
      </c>
      <c r="E5" s="4" t="s">
        <v>286</v>
      </c>
      <c r="F5" s="4" t="s">
        <v>287</v>
      </c>
      <c r="G5" s="4" t="s">
        <v>288</v>
      </c>
    </row>
    <row r="6" customFormat="false" ht="15" hidden="false" customHeight="false" outlineLevel="0" collapsed="false">
      <c r="A6" s="0" t="s">
        <v>107</v>
      </c>
      <c r="B6" s="0" t="s">
        <v>289</v>
      </c>
      <c r="C6" s="0" t="s">
        <v>290</v>
      </c>
      <c r="D6" s="0" t="n">
        <v>1</v>
      </c>
      <c r="E6" s="42" t="n">
        <v>2500000</v>
      </c>
      <c r="F6" s="42" t="n">
        <f aca="false">E6*D6</f>
        <v>2500000</v>
      </c>
      <c r="G6" s="0" t="str">
        <f aca="false">IF(E6&lt;0,"Dr","Cr")</f>
        <v>Cr</v>
      </c>
    </row>
    <row r="7" customFormat="false" ht="15" hidden="false" customHeight="false" outlineLevel="0" collapsed="false">
      <c r="A7" s="0" t="s">
        <v>118</v>
      </c>
      <c r="B7" s="0" t="s">
        <v>117</v>
      </c>
      <c r="C7" s="0" t="s">
        <v>291</v>
      </c>
      <c r="D7" s="0" t="n">
        <v>1</v>
      </c>
      <c r="E7" s="42" t="n">
        <v>600000</v>
      </c>
      <c r="F7" s="42" t="n">
        <f aca="false">E7*D7</f>
        <v>600000</v>
      </c>
      <c r="G7" s="0" t="str">
        <f aca="false">IF(E7&lt;0,"Dr","Cr")</f>
        <v>Cr</v>
      </c>
    </row>
    <row r="8" customFormat="false" ht="15" hidden="false" customHeight="false" outlineLevel="0" collapsed="false">
      <c r="A8" s="0" t="s">
        <v>116</v>
      </c>
      <c r="B8" s="0" t="s">
        <v>115</v>
      </c>
      <c r="C8" s="0" t="s">
        <v>291</v>
      </c>
      <c r="D8" s="0" t="n">
        <v>1</v>
      </c>
      <c r="E8" s="42" t="n">
        <v>3200000</v>
      </c>
      <c r="F8" s="42" t="n">
        <f aca="false">E8*D8</f>
        <v>3200000</v>
      </c>
      <c r="G8" s="0" t="str">
        <f aca="false">IF(E8&lt;0,"Dr","Cr")</f>
        <v>Cr</v>
      </c>
    </row>
    <row r="9" customFormat="false" ht="15" hidden="false" customHeight="false" outlineLevel="0" collapsed="false">
      <c r="A9" s="0" t="s">
        <v>124</v>
      </c>
      <c r="B9" s="0" t="s">
        <v>292</v>
      </c>
      <c r="C9" s="0" t="s">
        <v>293</v>
      </c>
      <c r="D9" s="0" t="n">
        <v>1</v>
      </c>
      <c r="E9" s="42" t="n">
        <v>1450000</v>
      </c>
      <c r="F9" s="42" t="n">
        <f aca="false">E9*D9</f>
        <v>1450000</v>
      </c>
      <c r="G9" s="0" t="str">
        <f aca="false">IF(E9&lt;0,"Dr","Cr")</f>
        <v>Cr</v>
      </c>
    </row>
    <row r="10" customFormat="false" ht="15" hidden="false" customHeight="false" outlineLevel="0" collapsed="false">
      <c r="A10" s="0" t="s">
        <v>127</v>
      </c>
      <c r="B10" s="0" t="s">
        <v>294</v>
      </c>
      <c r="C10" s="0" t="s">
        <v>295</v>
      </c>
      <c r="D10" s="0" t="n">
        <v>1</v>
      </c>
      <c r="E10" s="42" t="n">
        <v>1380000</v>
      </c>
      <c r="F10" s="42" t="n">
        <f aca="false">E10*D10</f>
        <v>1380000</v>
      </c>
      <c r="G10" s="0" t="str">
        <f aca="false">IF(E10&lt;0,"Dr","Cr")</f>
        <v>Cr</v>
      </c>
    </row>
    <row r="11" customFormat="false" ht="15" hidden="false" customHeight="false" outlineLevel="0" collapsed="false">
      <c r="A11" s="0" t="s">
        <v>128</v>
      </c>
      <c r="B11" s="0" t="s">
        <v>294</v>
      </c>
      <c r="C11" s="0" t="s">
        <v>295</v>
      </c>
      <c r="D11" s="0" t="n">
        <v>1</v>
      </c>
      <c r="E11" s="42" t="n">
        <v>920000</v>
      </c>
      <c r="F11" s="42" t="n">
        <f aca="false">E11*D11</f>
        <v>920000</v>
      </c>
      <c r="G11" s="0" t="str">
        <f aca="false">IF(E11&lt;0,"Dr","Cr")</f>
        <v>Cr</v>
      </c>
    </row>
    <row r="12" customFormat="false" ht="15" hidden="false" customHeight="false" outlineLevel="0" collapsed="false">
      <c r="A12" s="0" t="s">
        <v>129</v>
      </c>
      <c r="B12" s="0" t="s">
        <v>294</v>
      </c>
      <c r="C12" s="0" t="s">
        <v>295</v>
      </c>
      <c r="D12" s="0" t="n">
        <v>1</v>
      </c>
      <c r="E12" s="42" t="n">
        <v>340000</v>
      </c>
      <c r="F12" s="42" t="n">
        <f aca="false">E12*D12</f>
        <v>340000</v>
      </c>
      <c r="G12" s="0" t="str">
        <f aca="false">IF(E12&lt;0,"Dr","Cr")</f>
        <v>Cr</v>
      </c>
    </row>
    <row r="13" customFormat="false" ht="15" hidden="false" customHeight="false" outlineLevel="0" collapsed="false">
      <c r="A13" s="0" t="s">
        <v>132</v>
      </c>
      <c r="B13" s="0" t="s">
        <v>296</v>
      </c>
      <c r="C13" s="0" t="s">
        <v>297</v>
      </c>
      <c r="D13" s="0" t="n">
        <v>1</v>
      </c>
      <c r="E13" s="42" t="n">
        <v>410000</v>
      </c>
      <c r="F13" s="42" t="n">
        <f aca="false">E13*D13</f>
        <v>410000</v>
      </c>
      <c r="G13" s="0" t="str">
        <f aca="false">IF(E13&lt;0,"Dr","Cr")</f>
        <v>Cr</v>
      </c>
    </row>
    <row r="14" customFormat="false" ht="15" hidden="false" customHeight="false" outlineLevel="0" collapsed="false">
      <c r="A14" s="0" t="s">
        <v>134</v>
      </c>
      <c r="B14" s="0" t="s">
        <v>296</v>
      </c>
      <c r="C14" s="0" t="s">
        <v>297</v>
      </c>
      <c r="D14" s="0" t="n">
        <v>1</v>
      </c>
      <c r="E14" s="42" t="n">
        <v>54000</v>
      </c>
      <c r="F14" s="42" t="n">
        <f aca="false">E14*D14</f>
        <v>54000</v>
      </c>
      <c r="G14" s="0" t="str">
        <f aca="false">IF(E14&lt;0,"Dr","Cr")</f>
        <v>Cr</v>
      </c>
    </row>
    <row r="15" customFormat="false" ht="15" hidden="false" customHeight="false" outlineLevel="0" collapsed="false">
      <c r="A15" s="0" t="s">
        <v>133</v>
      </c>
      <c r="B15" s="0" t="s">
        <v>296</v>
      </c>
      <c r="C15" s="0" t="s">
        <v>297</v>
      </c>
      <c r="D15" s="0" t="n">
        <v>1</v>
      </c>
      <c r="E15" s="42" t="n">
        <v>86000</v>
      </c>
      <c r="F15" s="42" t="n">
        <f aca="false">E15*D15</f>
        <v>86000</v>
      </c>
      <c r="G15" s="0" t="str">
        <f aca="false">IF(E15&lt;0,"Dr","Cr")</f>
        <v>Cr</v>
      </c>
    </row>
    <row r="16" customFormat="false" ht="15" hidden="false" customHeight="false" outlineLevel="0" collapsed="false">
      <c r="A16" s="0" t="s">
        <v>136</v>
      </c>
      <c r="B16" s="0" t="s">
        <v>135</v>
      </c>
      <c r="C16" s="0" t="s">
        <v>298</v>
      </c>
      <c r="D16" s="0" t="n">
        <v>1</v>
      </c>
      <c r="E16" s="42" t="n">
        <v>275000</v>
      </c>
      <c r="F16" s="42" t="n">
        <f aca="false">E16*D16</f>
        <v>275000</v>
      </c>
      <c r="G16" s="0" t="str">
        <f aca="false">IF(E16&lt;0,"Dr","Cr")</f>
        <v>Cr</v>
      </c>
    </row>
    <row r="17" customFormat="false" ht="15" hidden="false" customHeight="false" outlineLevel="0" collapsed="false">
      <c r="A17" s="0" t="s">
        <v>138</v>
      </c>
      <c r="B17" s="0" t="s">
        <v>135</v>
      </c>
      <c r="C17" s="0" t="s">
        <v>298</v>
      </c>
      <c r="D17" s="0" t="n">
        <v>1</v>
      </c>
      <c r="E17" s="42" t="n">
        <v>60000</v>
      </c>
      <c r="F17" s="42" t="n">
        <f aca="false">E17*D17</f>
        <v>60000</v>
      </c>
      <c r="G17" s="0" t="str">
        <f aca="false">IF(E17&lt;0,"Dr","Cr")</f>
        <v>Cr</v>
      </c>
    </row>
    <row r="18" customFormat="false" ht="15" hidden="false" customHeight="false" outlineLevel="0" collapsed="false">
      <c r="A18" s="0" t="s">
        <v>140</v>
      </c>
      <c r="B18" s="0" t="s">
        <v>299</v>
      </c>
      <c r="C18" s="0" t="s">
        <v>298</v>
      </c>
      <c r="D18" s="0" t="n">
        <v>1</v>
      </c>
      <c r="E18" s="42" t="n">
        <v>90000</v>
      </c>
      <c r="F18" s="42" t="n">
        <f aca="false">E18*D18</f>
        <v>90000</v>
      </c>
      <c r="G18" s="0" t="str">
        <f aca="false">IF(E18&lt;0,"Dr","Cr")</f>
        <v>Cr</v>
      </c>
    </row>
    <row r="19" customFormat="false" ht="15" hidden="false" customHeight="false" outlineLevel="0" collapsed="false">
      <c r="A19" s="0" t="s">
        <v>137</v>
      </c>
      <c r="B19" s="0" t="s">
        <v>135</v>
      </c>
      <c r="C19" s="0" t="s">
        <v>298</v>
      </c>
      <c r="D19" s="0" t="n">
        <v>1</v>
      </c>
      <c r="E19" s="42" t="n">
        <v>230000</v>
      </c>
      <c r="F19" s="42" t="n">
        <f aca="false">E19*D19</f>
        <v>230000</v>
      </c>
      <c r="G19" s="0" t="str">
        <f aca="false">IF(E19&lt;0,"Dr","Cr")</f>
        <v>Cr</v>
      </c>
    </row>
    <row r="20" customFormat="false" ht="15" hidden="false" customHeight="false" outlineLevel="0" collapsed="false">
      <c r="A20" s="0" t="s">
        <v>143</v>
      </c>
      <c r="B20" s="0" t="s">
        <v>300</v>
      </c>
      <c r="C20" s="0" t="s">
        <v>301</v>
      </c>
      <c r="D20" s="0" t="n">
        <v>1</v>
      </c>
      <c r="E20" s="42" t="n">
        <v>180000</v>
      </c>
      <c r="F20" s="42" t="n">
        <f aca="false">E20*D20</f>
        <v>180000</v>
      </c>
      <c r="G20" s="0" t="str">
        <f aca="false">IF(E20&lt;0,"Dr","Cr")</f>
        <v>Cr</v>
      </c>
    </row>
    <row r="21" customFormat="false" ht="15" hidden="false" customHeight="false" outlineLevel="0" collapsed="false">
      <c r="A21" s="0" t="s">
        <v>153</v>
      </c>
      <c r="B21" s="0" t="s">
        <v>149</v>
      </c>
      <c r="C21" s="0" t="s">
        <v>302</v>
      </c>
      <c r="D21" s="0" t="n">
        <v>-1</v>
      </c>
      <c r="E21" s="42" t="n">
        <v>-215000</v>
      </c>
      <c r="F21" s="42" t="n">
        <f aca="false">E21*D21</f>
        <v>215000</v>
      </c>
      <c r="G21" s="0" t="str">
        <f aca="false">IF(E21&lt;0,"Dr","Cr")</f>
        <v>Dr</v>
      </c>
    </row>
    <row r="22" customFormat="false" ht="15" hidden="false" customHeight="false" outlineLevel="0" collapsed="false">
      <c r="A22" s="0" t="s">
        <v>148</v>
      </c>
      <c r="B22" s="0" t="s">
        <v>147</v>
      </c>
      <c r="C22" s="0" t="s">
        <v>302</v>
      </c>
      <c r="D22" s="0" t="n">
        <v>-1</v>
      </c>
      <c r="E22" s="42" t="n">
        <v>38598.43</v>
      </c>
      <c r="F22" s="42" t="n">
        <f aca="false">E22*D22</f>
        <v>-38598.43</v>
      </c>
      <c r="G22" s="0" t="str">
        <f aca="false">IF(E22&lt;0,"Dr","Cr")</f>
        <v>Cr</v>
      </c>
    </row>
    <row r="23" customFormat="false" ht="15" hidden="false" customHeight="false" outlineLevel="0" collapsed="false">
      <c r="A23" s="0" t="s">
        <v>152</v>
      </c>
      <c r="B23" s="0" t="s">
        <v>149</v>
      </c>
      <c r="C23" s="0" t="s">
        <v>302</v>
      </c>
      <c r="D23" s="0" t="n">
        <v>-1</v>
      </c>
      <c r="E23" s="42" t="n">
        <v>-338000</v>
      </c>
      <c r="F23" s="42" t="n">
        <f aca="false">E23*D23</f>
        <v>338000</v>
      </c>
      <c r="G23" s="0" t="str">
        <f aca="false">IF(E23&lt;0,"Dr","Cr")</f>
        <v>Dr</v>
      </c>
    </row>
    <row r="24" customFormat="false" ht="15" hidden="false" customHeight="false" outlineLevel="0" collapsed="false">
      <c r="A24" s="0" t="s">
        <v>150</v>
      </c>
      <c r="B24" s="0" t="s">
        <v>149</v>
      </c>
      <c r="C24" s="0" t="s">
        <v>302</v>
      </c>
      <c r="D24" s="0" t="n">
        <v>-1</v>
      </c>
      <c r="E24" s="42" t="n">
        <v>-5625000</v>
      </c>
      <c r="F24" s="42" t="n">
        <f aca="false">E24*D24</f>
        <v>5625000</v>
      </c>
      <c r="G24" s="0" t="str">
        <f aca="false">IF(E24&lt;0,"Dr","Cr")</f>
        <v>Dr</v>
      </c>
    </row>
    <row r="25" customFormat="false" ht="15" hidden="false" customHeight="false" outlineLevel="0" collapsed="false">
      <c r="A25" s="0" t="s">
        <v>151</v>
      </c>
      <c r="B25" s="0" t="s">
        <v>149</v>
      </c>
      <c r="C25" s="0" t="s">
        <v>302</v>
      </c>
      <c r="D25" s="0" t="n">
        <v>-1</v>
      </c>
      <c r="E25" s="42" t="n">
        <v>-790000</v>
      </c>
      <c r="F25" s="42" t="n">
        <f aca="false">E25*D25</f>
        <v>790000</v>
      </c>
      <c r="G25" s="0" t="str">
        <f aca="false">IF(E25&lt;0,"Dr","Cr")</f>
        <v>Dr</v>
      </c>
    </row>
    <row r="26" customFormat="false" ht="15" hidden="false" customHeight="false" outlineLevel="0" collapsed="false">
      <c r="A26" s="0" t="s">
        <v>215</v>
      </c>
      <c r="B26" s="0" t="s">
        <v>303</v>
      </c>
      <c r="C26" s="0" t="s">
        <v>215</v>
      </c>
      <c r="D26" s="0" t="n">
        <v>-1</v>
      </c>
      <c r="E26" s="42" t="n">
        <v>-1900000</v>
      </c>
      <c r="F26" s="42" t="n">
        <f aca="false">E26*D26</f>
        <v>1900000</v>
      </c>
      <c r="G26" s="0" t="str">
        <f aca="false">IF(E26&lt;0,"Dr","Cr")</f>
        <v>Dr</v>
      </c>
    </row>
    <row r="27" customFormat="false" ht="15" hidden="false" customHeight="false" outlineLevel="0" collapsed="false">
      <c r="A27" s="0" t="s">
        <v>163</v>
      </c>
      <c r="B27" s="0" t="s">
        <v>304</v>
      </c>
      <c r="C27" s="0" t="s">
        <v>305</v>
      </c>
      <c r="D27" s="0" t="n">
        <v>-1</v>
      </c>
      <c r="E27" s="42" t="n">
        <v>-2150000</v>
      </c>
      <c r="F27" s="42" t="n">
        <f aca="false">E27*D27</f>
        <v>2150000</v>
      </c>
      <c r="G27" s="0" t="str">
        <f aca="false">IF(E27&lt;0,"Dr","Cr")</f>
        <v>Dr</v>
      </c>
    </row>
    <row r="28" customFormat="false" ht="15" hidden="false" customHeight="false" outlineLevel="0" collapsed="false">
      <c r="A28" s="0" t="s">
        <v>164</v>
      </c>
      <c r="B28" s="0" t="s">
        <v>304</v>
      </c>
      <c r="C28" s="0" t="s">
        <v>305</v>
      </c>
      <c r="D28" s="0" t="n">
        <v>-1</v>
      </c>
      <c r="E28" s="42" t="n">
        <v>-1640000</v>
      </c>
      <c r="F28" s="42" t="n">
        <f aca="false">E28*D28</f>
        <v>1640000</v>
      </c>
      <c r="G28" s="0" t="str">
        <f aca="false">IF(E28&lt;0,"Dr","Cr")</f>
        <v>Dr</v>
      </c>
    </row>
    <row r="29" customFormat="false" ht="15" hidden="false" customHeight="false" outlineLevel="0" collapsed="false">
      <c r="A29" s="0" t="s">
        <v>165</v>
      </c>
      <c r="B29" s="0" t="s">
        <v>304</v>
      </c>
      <c r="C29" s="0" t="s">
        <v>305</v>
      </c>
      <c r="D29" s="0" t="n">
        <v>-1</v>
      </c>
      <c r="E29" s="42" t="n">
        <v>-880000</v>
      </c>
      <c r="F29" s="42" t="n">
        <f aca="false">E29*D29</f>
        <v>880000</v>
      </c>
      <c r="G29" s="0" t="str">
        <f aca="false">IF(E29&lt;0,"Dr","Cr")</f>
        <v>Dr</v>
      </c>
    </row>
    <row r="30" customFormat="false" ht="15" hidden="false" customHeight="false" outlineLevel="0" collapsed="false">
      <c r="A30" s="0" t="s">
        <v>170</v>
      </c>
      <c r="B30" s="0" t="s">
        <v>169</v>
      </c>
      <c r="C30" s="0" t="s">
        <v>306</v>
      </c>
      <c r="D30" s="0" t="n">
        <v>-1</v>
      </c>
      <c r="E30" s="42" t="n">
        <v>-45000</v>
      </c>
      <c r="F30" s="42" t="n">
        <f aca="false">E30*D30</f>
        <v>45000</v>
      </c>
      <c r="G30" s="0" t="str">
        <f aca="false">IF(E30&lt;0,"Dr","Cr")</f>
        <v>Dr</v>
      </c>
    </row>
    <row r="31" customFormat="false" ht="15" hidden="false" customHeight="false" outlineLevel="0" collapsed="false">
      <c r="A31" s="0" t="s">
        <v>168</v>
      </c>
      <c r="B31" s="0" t="s">
        <v>167</v>
      </c>
      <c r="C31" s="0" t="s">
        <v>306</v>
      </c>
      <c r="D31" s="0" t="n">
        <v>-1</v>
      </c>
      <c r="E31" s="42" t="n">
        <v>-4609000</v>
      </c>
      <c r="F31" s="42" t="n">
        <f aca="false">E31*D31</f>
        <v>4609000</v>
      </c>
      <c r="G31" s="0" t="str">
        <f aca="false">IF(E31&lt;0,"Dr","Cr")</f>
        <v>Dr</v>
      </c>
    </row>
    <row r="32" customFormat="false" ht="15" hidden="false" customHeight="false" outlineLevel="0" collapsed="false">
      <c r="A32" s="0" t="s">
        <v>176</v>
      </c>
      <c r="B32" s="0" t="s">
        <v>175</v>
      </c>
      <c r="C32" s="0" t="s">
        <v>307</v>
      </c>
      <c r="D32" s="0" t="n">
        <v>-1</v>
      </c>
      <c r="E32" s="42" t="n">
        <v>-260000</v>
      </c>
      <c r="F32" s="42" t="n">
        <f aca="false">E32*D32</f>
        <v>260000</v>
      </c>
      <c r="G32" s="0" t="str">
        <f aca="false">IF(E32&lt;0,"Dr","Cr")</f>
        <v>Dr</v>
      </c>
    </row>
    <row r="33" customFormat="false" ht="15" hidden="false" customHeight="false" outlineLevel="0" collapsed="false">
      <c r="A33" s="0" t="s">
        <v>174</v>
      </c>
      <c r="B33" s="0" t="s">
        <v>173</v>
      </c>
      <c r="C33" s="0" t="s">
        <v>307</v>
      </c>
      <c r="D33" s="0" t="n">
        <v>-1</v>
      </c>
      <c r="E33" s="42" t="n">
        <v>-300000</v>
      </c>
      <c r="F33" s="42" t="n">
        <f aca="false">E33*D33</f>
        <v>300000</v>
      </c>
      <c r="G33" s="0" t="str">
        <f aca="false">IF(E33&lt;0,"Dr","Cr")</f>
        <v>Dr</v>
      </c>
    </row>
    <row r="34" customFormat="false" ht="15" hidden="false" customHeight="false" outlineLevel="0" collapsed="false">
      <c r="A34" s="0" t="s">
        <v>177</v>
      </c>
      <c r="B34" s="0" t="s">
        <v>175</v>
      </c>
      <c r="C34" s="0" t="s">
        <v>307</v>
      </c>
      <c r="D34" s="0" t="n">
        <v>-1</v>
      </c>
      <c r="E34" s="42" t="n">
        <v>-75000</v>
      </c>
      <c r="F34" s="42" t="n">
        <f aca="false">E34*D34</f>
        <v>75000</v>
      </c>
      <c r="G34" s="0" t="str">
        <f aca="false">IF(E34&lt;0,"Dr","Cr")</f>
        <v>Dr</v>
      </c>
    </row>
    <row r="35" customFormat="false" ht="15" hidden="false" customHeight="false" outlineLevel="0" collapsed="false">
      <c r="A35" s="0" t="s">
        <v>180</v>
      </c>
      <c r="B35" s="0" t="s">
        <v>308</v>
      </c>
      <c r="C35" s="0" t="s">
        <v>309</v>
      </c>
      <c r="D35" s="0" t="n">
        <v>-1</v>
      </c>
      <c r="E35" s="42" t="n">
        <v>-390000</v>
      </c>
      <c r="F35" s="42" t="n">
        <f aca="false">E35*D35</f>
        <v>390000</v>
      </c>
      <c r="G35" s="0" t="str">
        <f aca="false">IF(E35&lt;0,"Dr","Cr")</f>
        <v>Dr</v>
      </c>
    </row>
    <row r="36" customFormat="false" ht="15" hidden="false" customHeight="false" outlineLevel="0" collapsed="false">
      <c r="A36" s="0" t="s">
        <v>181</v>
      </c>
      <c r="B36" s="0" t="s">
        <v>308</v>
      </c>
      <c r="C36" s="0" t="s">
        <v>309</v>
      </c>
      <c r="D36" s="0" t="n">
        <v>-1</v>
      </c>
      <c r="E36" s="42" t="n">
        <v>-48000</v>
      </c>
      <c r="F36" s="42" t="n">
        <f aca="false">E36*D36</f>
        <v>48000</v>
      </c>
      <c r="G36" s="0" t="str">
        <f aca="false">IF(E36&lt;0,"Dr","Cr")</f>
        <v>Dr</v>
      </c>
    </row>
    <row r="37" customFormat="false" ht="15" hidden="false" customHeight="false" outlineLevel="0" collapsed="false">
      <c r="A37" s="0" t="s">
        <v>206</v>
      </c>
      <c r="B37" s="0" t="s">
        <v>310</v>
      </c>
      <c r="C37" s="0" t="s">
        <v>311</v>
      </c>
      <c r="D37" s="0" t="n">
        <v>1</v>
      </c>
      <c r="E37" s="42" t="n">
        <v>17800000</v>
      </c>
      <c r="F37" s="42" t="n">
        <f aca="false">E37*D37</f>
        <v>17800000</v>
      </c>
      <c r="G37" s="0" t="str">
        <f aca="false">IF(E37&lt;0,"Dr","Cr")</f>
        <v>Cr</v>
      </c>
    </row>
    <row r="38" customFormat="false" ht="15" hidden="false" customHeight="false" outlineLevel="0" collapsed="false">
      <c r="A38" s="0" t="s">
        <v>207</v>
      </c>
      <c r="B38" s="0" t="s">
        <v>310</v>
      </c>
      <c r="C38" s="0" t="s">
        <v>311</v>
      </c>
      <c r="D38" s="0" t="n">
        <v>1</v>
      </c>
      <c r="E38" s="42" t="n">
        <v>2600000</v>
      </c>
      <c r="F38" s="42" t="n">
        <f aca="false">E38*D38</f>
        <v>2600000</v>
      </c>
      <c r="G38" s="0" t="str">
        <f aca="false">IF(E38&lt;0,"Dr","Cr")</f>
        <v>Cr</v>
      </c>
    </row>
    <row r="39" customFormat="false" ht="15" hidden="false" customHeight="false" outlineLevel="0" collapsed="false">
      <c r="A39" s="0" t="s">
        <v>211</v>
      </c>
      <c r="B39" s="0" t="s">
        <v>312</v>
      </c>
      <c r="C39" s="0" t="s">
        <v>313</v>
      </c>
      <c r="D39" s="0" t="n">
        <v>1</v>
      </c>
      <c r="E39" s="42" t="n">
        <v>22000</v>
      </c>
      <c r="F39" s="42" t="n">
        <f aca="false">E39*D39</f>
        <v>22000</v>
      </c>
      <c r="G39" s="0" t="str">
        <f aca="false">IF(E39&lt;0,"Dr","Cr")</f>
        <v>Cr</v>
      </c>
    </row>
    <row r="40" customFormat="false" ht="15" hidden="false" customHeight="false" outlineLevel="0" collapsed="false">
      <c r="A40" s="0" t="s">
        <v>210</v>
      </c>
      <c r="B40" s="0" t="s">
        <v>312</v>
      </c>
      <c r="C40" s="0" t="s">
        <v>313</v>
      </c>
      <c r="D40" s="0" t="n">
        <v>1</v>
      </c>
      <c r="E40" s="42" t="n">
        <v>64000</v>
      </c>
      <c r="F40" s="42" t="n">
        <f aca="false">E40*D40</f>
        <v>64000</v>
      </c>
      <c r="G40" s="0" t="str">
        <f aca="false">IF(E40&lt;0,"Dr","Cr")</f>
        <v>Cr</v>
      </c>
    </row>
    <row r="41" customFormat="false" ht="15" hidden="false" customHeight="false" outlineLevel="0" collapsed="false">
      <c r="A41" s="0" t="s">
        <v>213</v>
      </c>
      <c r="B41" s="0" t="s">
        <v>314</v>
      </c>
      <c r="C41" s="0" t="s">
        <v>315</v>
      </c>
      <c r="D41" s="0" t="n">
        <v>-1</v>
      </c>
      <c r="E41" s="42" t="n">
        <v>-9600000</v>
      </c>
      <c r="F41" s="42" t="n">
        <f aca="false">E41*D41</f>
        <v>9600000</v>
      </c>
      <c r="G41" s="0" t="str">
        <f aca="false">IF(E41&lt;0,"Dr","Cr")</f>
        <v>Dr</v>
      </c>
    </row>
    <row r="42" customFormat="false" ht="15" hidden="false" customHeight="false" outlineLevel="0" collapsed="false">
      <c r="A42" s="0" t="s">
        <v>219</v>
      </c>
      <c r="B42" s="0" t="s">
        <v>226</v>
      </c>
      <c r="C42" s="0" t="s">
        <v>316</v>
      </c>
      <c r="D42" s="0" t="n">
        <v>-1</v>
      </c>
      <c r="E42" s="42" t="n">
        <v>-310000</v>
      </c>
      <c r="F42" s="42" t="n">
        <f aca="false">E42*D42</f>
        <v>310000</v>
      </c>
      <c r="G42" s="0" t="str">
        <f aca="false">IF(E42&lt;0,"Dr","Cr")</f>
        <v>Dr</v>
      </c>
    </row>
    <row r="43" customFormat="false" ht="15" hidden="false" customHeight="false" outlineLevel="0" collapsed="false">
      <c r="A43" s="0" t="s">
        <v>218</v>
      </c>
      <c r="B43" s="0" t="s">
        <v>226</v>
      </c>
      <c r="C43" s="0" t="s">
        <v>316</v>
      </c>
      <c r="D43" s="0" t="n">
        <v>-1</v>
      </c>
      <c r="E43" s="42" t="n">
        <v>-3250000</v>
      </c>
      <c r="F43" s="42" t="n">
        <f aca="false">E43*D43</f>
        <v>3250000</v>
      </c>
      <c r="G43" s="0" t="str">
        <f aca="false">IF(E43&lt;0,"Dr","Cr")</f>
        <v>Dr</v>
      </c>
    </row>
    <row r="44" customFormat="false" ht="15" hidden="false" customHeight="false" outlineLevel="0" collapsed="false">
      <c r="A44" s="0" t="s">
        <v>220</v>
      </c>
      <c r="B44" s="0" t="s">
        <v>226</v>
      </c>
      <c r="C44" s="0" t="s">
        <v>316</v>
      </c>
      <c r="D44" s="0" t="n">
        <v>-1</v>
      </c>
      <c r="E44" s="42" t="n">
        <v>-120000</v>
      </c>
      <c r="F44" s="42" t="n">
        <f aca="false">E44*D44</f>
        <v>120000</v>
      </c>
      <c r="G44" s="0" t="str">
        <f aca="false">IF(E44&lt;0,"Dr","Cr")</f>
        <v>Dr</v>
      </c>
    </row>
    <row r="45" customFormat="false" ht="15" hidden="false" customHeight="false" outlineLevel="0" collapsed="false">
      <c r="A45" s="0" t="s">
        <v>223</v>
      </c>
      <c r="B45" s="0" t="s">
        <v>226</v>
      </c>
      <c r="C45" s="0" t="s">
        <v>317</v>
      </c>
      <c r="D45" s="0" t="n">
        <v>-1</v>
      </c>
      <c r="E45" s="42" t="n">
        <v>-165000</v>
      </c>
      <c r="F45" s="42" t="n">
        <f aca="false">E45*D45</f>
        <v>165000</v>
      </c>
      <c r="G45" s="0" t="str">
        <f aca="false">IF(E45&lt;0,"Dr","Cr")</f>
        <v>Dr</v>
      </c>
    </row>
    <row r="46" customFormat="false" ht="15" hidden="false" customHeight="false" outlineLevel="0" collapsed="false">
      <c r="A46" s="0" t="s">
        <v>222</v>
      </c>
      <c r="B46" s="0" t="s">
        <v>226</v>
      </c>
      <c r="C46" s="0" t="s">
        <v>317</v>
      </c>
      <c r="D46" s="0" t="n">
        <v>-1</v>
      </c>
      <c r="E46" s="42" t="n">
        <v>-380000</v>
      </c>
      <c r="F46" s="42" t="n">
        <f aca="false">E46*D46</f>
        <v>380000</v>
      </c>
      <c r="G46" s="0" t="str">
        <f aca="false">IF(E46&lt;0,"Dr","Cr")</f>
        <v>Dr</v>
      </c>
    </row>
    <row r="47" customFormat="false" ht="15" hidden="false" customHeight="false" outlineLevel="0" collapsed="false">
      <c r="A47" s="0" t="s">
        <v>227</v>
      </c>
      <c r="B47" s="0" t="s">
        <v>226</v>
      </c>
      <c r="C47" s="0" t="s">
        <v>318</v>
      </c>
      <c r="D47" s="0" t="n">
        <v>-1</v>
      </c>
      <c r="E47" s="42" t="n">
        <v>-700000</v>
      </c>
      <c r="F47" s="42" t="n">
        <f aca="false">E47*D47</f>
        <v>700000</v>
      </c>
      <c r="G47" s="0" t="str">
        <f aca="false">IF(E47&lt;0,"Dr","Cr")</f>
        <v>Dr</v>
      </c>
    </row>
    <row r="48" customFormat="false" ht="15" hidden="false" customHeight="false" outlineLevel="0" collapsed="false">
      <c r="A48" s="0" t="s">
        <v>225</v>
      </c>
      <c r="B48" s="0" t="s">
        <v>147</v>
      </c>
      <c r="C48" s="0" t="s">
        <v>318</v>
      </c>
      <c r="D48" s="0" t="n">
        <v>-1</v>
      </c>
      <c r="E48" s="42" t="n">
        <v>-38598.43</v>
      </c>
      <c r="F48" s="42" t="n">
        <f aca="false">E48*D48</f>
        <v>38598.43</v>
      </c>
      <c r="G48" s="0" t="str">
        <f aca="false">IF(E48&lt;0,"Dr","Cr")</f>
        <v>Dr</v>
      </c>
    </row>
    <row r="49" customFormat="false" ht="15" hidden="false" customHeight="false" outlineLevel="0" collapsed="false">
      <c r="A49" s="0" t="s">
        <v>236</v>
      </c>
      <c r="B49" s="0" t="s">
        <v>226</v>
      </c>
      <c r="C49" s="0" t="s">
        <v>319</v>
      </c>
      <c r="D49" s="0" t="n">
        <v>-1</v>
      </c>
      <c r="E49" s="42" t="n">
        <v>-150000</v>
      </c>
      <c r="F49" s="42" t="n">
        <f aca="false">E49*D49</f>
        <v>150000</v>
      </c>
      <c r="G49" s="0" t="str">
        <f aca="false">IF(E49&lt;0,"Dr","Cr")</f>
        <v>Dr</v>
      </c>
    </row>
    <row r="50" customFormat="false" ht="15" hidden="false" customHeight="false" outlineLevel="0" collapsed="false">
      <c r="A50" s="0" t="s">
        <v>240</v>
      </c>
      <c r="B50" s="0" t="s">
        <v>226</v>
      </c>
      <c r="C50" s="0" t="s">
        <v>319</v>
      </c>
      <c r="D50" s="0" t="n">
        <v>-1</v>
      </c>
      <c r="E50" s="42" t="n">
        <v>-60000</v>
      </c>
      <c r="F50" s="42" t="n">
        <f aca="false">E50*D50</f>
        <v>60000</v>
      </c>
      <c r="G50" s="0" t="str">
        <f aca="false">IF(E50&lt;0,"Dr","Cr")</f>
        <v>Dr</v>
      </c>
    </row>
    <row r="51" customFormat="false" ht="15" hidden="false" customHeight="false" outlineLevel="0" collapsed="false">
      <c r="A51" s="0" t="s">
        <v>241</v>
      </c>
      <c r="B51" s="0" t="s">
        <v>226</v>
      </c>
      <c r="C51" s="0" t="s">
        <v>319</v>
      </c>
      <c r="D51" s="0" t="n">
        <v>-1</v>
      </c>
      <c r="E51" s="42" t="n">
        <v>-38000</v>
      </c>
      <c r="F51" s="42" t="n">
        <f aca="false">E51*D51</f>
        <v>38000</v>
      </c>
      <c r="G51" s="0" t="str">
        <f aca="false">IF(E51&lt;0,"Dr","Cr")</f>
        <v>Dr</v>
      </c>
    </row>
    <row r="52" customFormat="false" ht="15" hidden="false" customHeight="false" outlineLevel="0" collapsed="false">
      <c r="A52" s="0" t="s">
        <v>232</v>
      </c>
      <c r="B52" s="0" t="s">
        <v>226</v>
      </c>
      <c r="C52" s="0" t="s">
        <v>319</v>
      </c>
      <c r="D52" s="0" t="n">
        <v>-1</v>
      </c>
      <c r="E52" s="42" t="n">
        <v>-410000</v>
      </c>
      <c r="F52" s="42" t="n">
        <f aca="false">E52*D52</f>
        <v>410000</v>
      </c>
      <c r="G52" s="0" t="str">
        <f aca="false">IF(E52&lt;0,"Dr","Cr")</f>
        <v>Dr</v>
      </c>
    </row>
    <row r="53" customFormat="false" ht="15" hidden="false" customHeight="false" outlineLevel="0" collapsed="false">
      <c r="A53" s="0" t="s">
        <v>230</v>
      </c>
      <c r="B53" s="0" t="s">
        <v>229</v>
      </c>
      <c r="C53" s="0" t="s">
        <v>319</v>
      </c>
      <c r="D53" s="0" t="n">
        <v>-1</v>
      </c>
      <c r="E53" s="42" t="n">
        <v>-420000</v>
      </c>
      <c r="F53" s="42" t="n">
        <f aca="false">E53*D53</f>
        <v>420000</v>
      </c>
      <c r="G53" s="0" t="str">
        <f aca="false">IF(E53&lt;0,"Dr","Cr")</f>
        <v>Dr</v>
      </c>
    </row>
    <row r="54" customFormat="false" ht="15" hidden="false" customHeight="false" outlineLevel="0" collapsed="false">
      <c r="A54" s="0" t="s">
        <v>238</v>
      </c>
      <c r="B54" s="0" t="s">
        <v>226</v>
      </c>
      <c r="C54" s="0" t="s">
        <v>319</v>
      </c>
      <c r="D54" s="0" t="n">
        <v>-1</v>
      </c>
      <c r="E54" s="42" t="n">
        <v>-96000</v>
      </c>
      <c r="F54" s="42" t="n">
        <f aca="false">E54*D54</f>
        <v>96000</v>
      </c>
      <c r="G54" s="0" t="str">
        <f aca="false">IF(E54&lt;0,"Dr","Cr")</f>
        <v>Dr</v>
      </c>
    </row>
    <row r="55" customFormat="false" ht="15" hidden="false" customHeight="false" outlineLevel="0" collapsed="false">
      <c r="A55" s="0" t="s">
        <v>237</v>
      </c>
      <c r="B55" s="0" t="s">
        <v>226</v>
      </c>
      <c r="C55" s="0" t="s">
        <v>319</v>
      </c>
      <c r="D55" s="0" t="n">
        <v>-1</v>
      </c>
      <c r="E55" s="42" t="n">
        <v>-134000</v>
      </c>
      <c r="F55" s="42" t="n">
        <f aca="false">E55*D55</f>
        <v>134000</v>
      </c>
      <c r="G55" s="0" t="str">
        <f aca="false">IF(E55&lt;0,"Dr","Cr")</f>
        <v>Dr</v>
      </c>
    </row>
    <row r="56" customFormat="false" ht="15" hidden="false" customHeight="false" outlineLevel="0" collapsed="false">
      <c r="A56" s="0" t="s">
        <v>235</v>
      </c>
      <c r="B56" s="0" t="s">
        <v>226</v>
      </c>
      <c r="C56" s="0" t="s">
        <v>319</v>
      </c>
      <c r="D56" s="0" t="n">
        <v>-1</v>
      </c>
      <c r="E56" s="42" t="n">
        <v>-185000</v>
      </c>
      <c r="F56" s="42" t="n">
        <f aca="false">E56*D56</f>
        <v>185000</v>
      </c>
      <c r="G56" s="0" t="str">
        <f aca="false">IF(E56&lt;0,"Dr","Cr")</f>
        <v>Dr</v>
      </c>
    </row>
    <row r="57" customFormat="false" ht="15" hidden="false" customHeight="false" outlineLevel="0" collapsed="false">
      <c r="A57" s="0" t="s">
        <v>231</v>
      </c>
      <c r="B57" s="0" t="s">
        <v>226</v>
      </c>
      <c r="C57" s="0" t="s">
        <v>319</v>
      </c>
      <c r="D57" s="0" t="n">
        <v>-1</v>
      </c>
      <c r="E57" s="42" t="n">
        <v>-720000</v>
      </c>
      <c r="F57" s="42" t="n">
        <f aca="false">E57*D57</f>
        <v>720000</v>
      </c>
      <c r="G57" s="0" t="str">
        <f aca="false">IF(E57&lt;0,"Dr","Cr")</f>
        <v>Dr</v>
      </c>
    </row>
    <row r="58" customFormat="false" ht="15" hidden="false" customHeight="false" outlineLevel="0" collapsed="false">
      <c r="A58" s="0" t="s">
        <v>233</v>
      </c>
      <c r="B58" s="0" t="s">
        <v>226</v>
      </c>
      <c r="C58" s="0" t="s">
        <v>319</v>
      </c>
      <c r="D58" s="0" t="n">
        <v>-1</v>
      </c>
      <c r="E58" s="42" t="n">
        <v>-265000</v>
      </c>
      <c r="F58" s="42" t="n">
        <f aca="false">E58*D58</f>
        <v>265000</v>
      </c>
      <c r="G58" s="0" t="str">
        <f aca="false">IF(E58&lt;0,"Dr","Cr")</f>
        <v>Dr</v>
      </c>
    </row>
    <row r="59" customFormat="false" ht="15" hidden="false" customHeight="false" outlineLevel="0" collapsed="false">
      <c r="A59" s="0" t="s">
        <v>239</v>
      </c>
      <c r="B59" s="0" t="s">
        <v>226</v>
      </c>
      <c r="C59" s="0" t="s">
        <v>319</v>
      </c>
      <c r="D59" s="0" t="n">
        <v>-1</v>
      </c>
      <c r="E59" s="42" t="n">
        <v>-72000</v>
      </c>
      <c r="F59" s="42" t="n">
        <f aca="false">E59*D59</f>
        <v>72000</v>
      </c>
      <c r="G59" s="0" t="str">
        <f aca="false">IF(E59&lt;0,"Dr","Cr")</f>
        <v>Dr</v>
      </c>
    </row>
    <row r="60" customFormat="false" ht="15" hidden="false" customHeight="false" outlineLevel="0" collapsed="false">
      <c r="A60" s="0" t="s">
        <v>234</v>
      </c>
      <c r="B60" s="0" t="s">
        <v>226</v>
      </c>
      <c r="C60" s="0" t="s">
        <v>319</v>
      </c>
      <c r="D60" s="0" t="n">
        <v>-1</v>
      </c>
      <c r="E60" s="42" t="n">
        <v>-238000</v>
      </c>
      <c r="F60" s="42" t="n">
        <f aca="false">E60*D60</f>
        <v>238000</v>
      </c>
      <c r="G60" s="0" t="str">
        <f aca="false">IF(E60&lt;0,"Dr","Cr")</f>
        <v>Dr</v>
      </c>
    </row>
    <row r="61" customFormat="false" ht="15" hidden="false" customHeight="false" outlineLevel="0" collapsed="false">
      <c r="A61" s="0" t="s">
        <v>320</v>
      </c>
      <c r="B61" s="0" t="s">
        <v>321</v>
      </c>
      <c r="C61" s="0" t="s">
        <v>322</v>
      </c>
      <c r="D61" s="0" t="n">
        <v>1</v>
      </c>
      <c r="E61" s="42" t="n">
        <f aca="false">-SUM(E6:E60)</f>
        <v>4317000</v>
      </c>
      <c r="F61" s="42" t="n">
        <f aca="false">E61*D61</f>
        <v>4317000</v>
      </c>
      <c r="G61" s="0" t="str">
        <f aca="false">IF(E61&lt;0,"Dr","Cr")</f>
        <v>Cr</v>
      </c>
    </row>
    <row r="62" customFormat="false" ht="15" hidden="false" customHeight="false" outlineLevel="0" collapsed="false">
      <c r="A62" s="0" t="s">
        <v>323</v>
      </c>
      <c r="B62" s="0" t="s">
        <v>324</v>
      </c>
      <c r="C62" s="0" t="s">
        <v>88</v>
      </c>
      <c r="D62" s="0" t="n">
        <v>-1</v>
      </c>
      <c r="E62" s="42" t="n">
        <v>-2250000</v>
      </c>
      <c r="F62" s="42" t="n">
        <f aca="false">E62*D62</f>
        <v>2250000</v>
      </c>
      <c r="G62" s="0" t="str">
        <f aca="false">IF(E62&lt;0,"Dr","Cr")</f>
        <v>Dr</v>
      </c>
    </row>
    <row r="64" customFormat="false" ht="15" hidden="false" customHeight="false" outlineLevel="0" collapsed="false">
      <c r="A64" s="0" t="s">
        <v>325</v>
      </c>
      <c r="F64" s="42" t="n">
        <v>0</v>
      </c>
    </row>
    <row r="66" customFormat="false" ht="15" hidden="false" customHeight="false" outlineLevel="0" collapsed="false">
      <c r="A66" s="0" t="s">
        <v>326</v>
      </c>
      <c r="E66" s="43" t="n">
        <f aca="false">SUM(E6:E60)</f>
        <v>-4317000</v>
      </c>
    </row>
    <row r="67" customFormat="false" ht="15" hidden="false" customHeight="false" outlineLevel="0" collapsed="false">
      <c r="A67" s="0" t="s">
        <v>327</v>
      </c>
      <c r="E67" s="42" t="n">
        <v>7840000</v>
      </c>
    </row>
    <row r="68" customFormat="false" ht="15" hidden="false" customHeight="false" outlineLevel="0" collapsed="false">
      <c r="A68" s="0" t="s">
        <v>328</v>
      </c>
      <c r="F68" s="0" t="str">
        <f aca="false">IF(ABS(E67-(F61+'Profit &amp; Loss'!C21-SUMIFS('Trial Balance Mapping'!$F$6:$F$62,'Trial Balance Mapping'!$C$6:$C$62,"Tax Expense")+SUMIFS('Trial Balance Mapping'!$F$6:$F$62,'Trial Balance Mapping'!$C$6:$C$62,"Depreciation &amp; Amortisation",'Trial Balance Mapping'!$B$6:$B$62,"Depreciation calculator")))&lt;1,"OK",IF(ABS(E67-F61)&lt;1,"OK (opening only)","CHECK"))</f>
        <v>OK</v>
      </c>
    </row>
  </sheetData>
  <mergeCells count="1">
    <mergeCell ref="A1:D1"/>
  </mergeCells>
  <printOptions headings="false" gridLines="false" gridLinesSet="true" horizontalCentered="true" verticalCentered="false"/>
  <pageMargins left="0.6" right="0.6" top="0.7" bottom="0.8"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Sample Engineering Private Limited | Trial Balance Mapping&amp;R&amp;8 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true"/>
  </sheetPr>
  <dimension ref="A1:G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3" min="3" style="0" width="42"/>
    <col collapsed="false" customWidth="true" hidden="false" outlineLevel="0" max="4" min="4" style="0" width="7"/>
    <col collapsed="false" customWidth="true" hidden="false" outlineLevel="0" max="6" min="5" style="0" width="22"/>
    <col collapsed="false" customWidth="true" hidden="false" outlineLevel="0" max="7" min="7" style="0" width="9"/>
  </cols>
  <sheetData>
    <row r="1" customFormat="false" ht="17.35" hidden="false" customHeight="false" outlineLevel="0" collapsed="false">
      <c r="A1" s="1" t="s">
        <v>0</v>
      </c>
      <c r="B1" s="1"/>
      <c r="C1" s="1"/>
      <c r="D1" s="1"/>
    </row>
    <row r="2" customFormat="false" ht="15" hidden="false" customHeight="false" outlineLevel="0" collapsed="false">
      <c r="A2" s="2" t="s">
        <v>329</v>
      </c>
    </row>
    <row r="3" customFormat="false" ht="15" hidden="false" customHeight="false" outlineLevel="0" collapsed="false">
      <c r="A3" s="3" t="s">
        <v>281</v>
      </c>
    </row>
    <row r="5" customFormat="false" ht="31.5" hidden="false" customHeight="true" outlineLevel="0" collapsed="false">
      <c r="A5" s="4" t="s">
        <v>282</v>
      </c>
      <c r="B5" s="4" t="s">
        <v>283</v>
      </c>
      <c r="C5" s="4" t="s">
        <v>284</v>
      </c>
      <c r="D5" s="4" t="s">
        <v>285</v>
      </c>
      <c r="E5" s="4" t="s">
        <v>286</v>
      </c>
      <c r="F5" s="4" t="s">
        <v>287</v>
      </c>
      <c r="G5" s="4" t="s">
        <v>288</v>
      </c>
    </row>
    <row r="6" customFormat="false" ht="15" hidden="false" customHeight="false" outlineLevel="0" collapsed="false">
      <c r="A6" s="0" t="s">
        <v>107</v>
      </c>
      <c r="B6" s="0" t="s">
        <v>289</v>
      </c>
      <c r="C6" s="0" t="s">
        <v>290</v>
      </c>
      <c r="D6" s="0" t="n">
        <v>1</v>
      </c>
      <c r="E6" s="42" t="n">
        <v>2500000</v>
      </c>
      <c r="F6" s="42" t="n">
        <f aca="false">E6*D6</f>
        <v>2500000</v>
      </c>
      <c r="G6" s="0" t="str">
        <f aca="false">IF(E6&lt;0,"Dr","Cr")</f>
        <v>Cr</v>
      </c>
    </row>
    <row r="7" customFormat="false" ht="15" hidden="false" customHeight="false" outlineLevel="0" collapsed="false">
      <c r="A7" s="0" t="s">
        <v>118</v>
      </c>
      <c r="B7" s="0" t="s">
        <v>117</v>
      </c>
      <c r="C7" s="0" t="s">
        <v>291</v>
      </c>
      <c r="D7" s="0" t="n">
        <v>1</v>
      </c>
      <c r="E7" s="42" t="n">
        <v>450000</v>
      </c>
      <c r="F7" s="42" t="n">
        <f aca="false">E7*D7</f>
        <v>450000</v>
      </c>
      <c r="G7" s="0" t="str">
        <f aca="false">IF(E7&lt;0,"Dr","Cr")</f>
        <v>Cr</v>
      </c>
    </row>
    <row r="8" customFormat="false" ht="15" hidden="false" customHeight="false" outlineLevel="0" collapsed="false">
      <c r="A8" s="0" t="s">
        <v>116</v>
      </c>
      <c r="B8" s="0" t="s">
        <v>115</v>
      </c>
      <c r="C8" s="0" t="s">
        <v>291</v>
      </c>
      <c r="D8" s="0" t="n">
        <v>1</v>
      </c>
      <c r="E8" s="42" t="n">
        <v>3900000</v>
      </c>
      <c r="F8" s="42" t="n">
        <f aca="false">E8*D8</f>
        <v>3900000</v>
      </c>
      <c r="G8" s="0" t="str">
        <f aca="false">IF(E8&lt;0,"Dr","Cr")</f>
        <v>Cr</v>
      </c>
    </row>
    <row r="9" customFormat="false" ht="15" hidden="false" customHeight="false" outlineLevel="0" collapsed="false">
      <c r="A9" s="0" t="s">
        <v>124</v>
      </c>
      <c r="B9" s="0" t="s">
        <v>292</v>
      </c>
      <c r="C9" s="0" t="s">
        <v>293</v>
      </c>
      <c r="D9" s="0" t="n">
        <v>1</v>
      </c>
      <c r="E9" s="42" t="n">
        <v>1100000</v>
      </c>
      <c r="F9" s="42" t="n">
        <f aca="false">E9*D9</f>
        <v>1100000</v>
      </c>
      <c r="G9" s="0" t="str">
        <f aca="false">IF(E9&lt;0,"Dr","Cr")</f>
        <v>Cr</v>
      </c>
    </row>
    <row r="10" customFormat="false" ht="15" hidden="false" customHeight="false" outlineLevel="0" collapsed="false">
      <c r="A10" s="0" t="s">
        <v>127</v>
      </c>
      <c r="B10" s="0" t="s">
        <v>294</v>
      </c>
      <c r="C10" s="0" t="s">
        <v>295</v>
      </c>
      <c r="D10" s="0" t="n">
        <v>1</v>
      </c>
      <c r="E10" s="42" t="n">
        <v>1190000</v>
      </c>
      <c r="F10" s="42" t="n">
        <f aca="false">E10*D10</f>
        <v>1190000</v>
      </c>
      <c r="G10" s="0" t="str">
        <f aca="false">IF(E10&lt;0,"Dr","Cr")</f>
        <v>Cr</v>
      </c>
    </row>
    <row r="11" customFormat="false" ht="15" hidden="false" customHeight="false" outlineLevel="0" collapsed="false">
      <c r="A11" s="0" t="s">
        <v>128</v>
      </c>
      <c r="B11" s="0" t="s">
        <v>294</v>
      </c>
      <c r="C11" s="0" t="s">
        <v>295</v>
      </c>
      <c r="D11" s="0" t="n">
        <v>1</v>
      </c>
      <c r="E11" s="42" t="n">
        <v>760000</v>
      </c>
      <c r="F11" s="42" t="n">
        <f aca="false">E11*D11</f>
        <v>760000</v>
      </c>
      <c r="G11" s="0" t="str">
        <f aca="false">IF(E11&lt;0,"Dr","Cr")</f>
        <v>Cr</v>
      </c>
    </row>
    <row r="12" customFormat="false" ht="15" hidden="false" customHeight="false" outlineLevel="0" collapsed="false">
      <c r="A12" s="0" t="s">
        <v>129</v>
      </c>
      <c r="B12" s="0" t="s">
        <v>294</v>
      </c>
      <c r="C12" s="0" t="s">
        <v>295</v>
      </c>
      <c r="D12" s="0" t="n">
        <v>1</v>
      </c>
      <c r="E12" s="42" t="n">
        <v>280000</v>
      </c>
      <c r="F12" s="42" t="n">
        <f aca="false">E12*D12</f>
        <v>280000</v>
      </c>
      <c r="G12" s="0" t="str">
        <f aca="false">IF(E12&lt;0,"Dr","Cr")</f>
        <v>Cr</v>
      </c>
    </row>
    <row r="13" customFormat="false" ht="15" hidden="false" customHeight="false" outlineLevel="0" collapsed="false">
      <c r="A13" s="0" t="s">
        <v>132</v>
      </c>
      <c r="B13" s="0" t="s">
        <v>296</v>
      </c>
      <c r="C13" s="0" t="s">
        <v>297</v>
      </c>
      <c r="D13" s="0" t="n">
        <v>1</v>
      </c>
      <c r="E13" s="42" t="n">
        <v>350000</v>
      </c>
      <c r="F13" s="42" t="n">
        <f aca="false">E13*D13</f>
        <v>350000</v>
      </c>
      <c r="G13" s="0" t="str">
        <f aca="false">IF(E13&lt;0,"Dr","Cr")</f>
        <v>Cr</v>
      </c>
    </row>
    <row r="14" customFormat="false" ht="15" hidden="false" customHeight="false" outlineLevel="0" collapsed="false">
      <c r="A14" s="0" t="s">
        <v>134</v>
      </c>
      <c r="B14" s="0" t="s">
        <v>296</v>
      </c>
      <c r="C14" s="0" t="s">
        <v>297</v>
      </c>
      <c r="D14" s="0" t="n">
        <v>1</v>
      </c>
      <c r="E14" s="42" t="n">
        <v>47000</v>
      </c>
      <c r="F14" s="42" t="n">
        <f aca="false">E14*D14</f>
        <v>47000</v>
      </c>
      <c r="G14" s="0" t="str">
        <f aca="false">IF(E14&lt;0,"Dr","Cr")</f>
        <v>Cr</v>
      </c>
    </row>
    <row r="15" customFormat="false" ht="15" hidden="false" customHeight="false" outlineLevel="0" collapsed="false">
      <c r="A15" s="0" t="s">
        <v>133</v>
      </c>
      <c r="B15" s="0" t="s">
        <v>296</v>
      </c>
      <c r="C15" s="0" t="s">
        <v>297</v>
      </c>
      <c r="D15" s="0" t="n">
        <v>1</v>
      </c>
      <c r="E15" s="42" t="n">
        <v>71000</v>
      </c>
      <c r="F15" s="42" t="n">
        <f aca="false">E15*D15</f>
        <v>71000</v>
      </c>
      <c r="G15" s="0" t="str">
        <f aca="false">IF(E15&lt;0,"Dr","Cr")</f>
        <v>Cr</v>
      </c>
    </row>
    <row r="16" customFormat="false" ht="15" hidden="false" customHeight="false" outlineLevel="0" collapsed="false">
      <c r="A16" s="0" t="s">
        <v>136</v>
      </c>
      <c r="B16" s="0" t="s">
        <v>135</v>
      </c>
      <c r="C16" s="0" t="s">
        <v>298</v>
      </c>
      <c r="D16" s="0" t="n">
        <v>1</v>
      </c>
      <c r="E16" s="42" t="n">
        <v>120000</v>
      </c>
      <c r="F16" s="42" t="n">
        <f aca="false">E16*D16</f>
        <v>120000</v>
      </c>
      <c r="G16" s="0" t="str">
        <f aca="false">IF(E16&lt;0,"Dr","Cr")</f>
        <v>Cr</v>
      </c>
    </row>
    <row r="17" customFormat="false" ht="15" hidden="false" customHeight="false" outlineLevel="0" collapsed="false">
      <c r="A17" s="0" t="s">
        <v>138</v>
      </c>
      <c r="B17" s="0" t="s">
        <v>135</v>
      </c>
      <c r="C17" s="0" t="s">
        <v>298</v>
      </c>
      <c r="D17" s="0" t="n">
        <v>1</v>
      </c>
      <c r="E17" s="42" t="n">
        <v>50000</v>
      </c>
      <c r="F17" s="42" t="n">
        <f aca="false">E17*D17</f>
        <v>50000</v>
      </c>
      <c r="G17" s="0" t="str">
        <f aca="false">IF(E17&lt;0,"Dr","Cr")</f>
        <v>Cr</v>
      </c>
    </row>
    <row r="18" customFormat="false" ht="15" hidden="false" customHeight="false" outlineLevel="0" collapsed="false">
      <c r="A18" s="0" t="s">
        <v>137</v>
      </c>
      <c r="B18" s="0" t="s">
        <v>135</v>
      </c>
      <c r="C18" s="0" t="s">
        <v>298</v>
      </c>
      <c r="D18" s="0" t="n">
        <v>1</v>
      </c>
      <c r="E18" s="42" t="n">
        <v>205000</v>
      </c>
      <c r="F18" s="42" t="n">
        <f aca="false">E18*D18</f>
        <v>205000</v>
      </c>
      <c r="G18" s="0" t="str">
        <f aca="false">IF(E18&lt;0,"Dr","Cr")</f>
        <v>Cr</v>
      </c>
    </row>
    <row r="19" customFormat="false" ht="15" hidden="false" customHeight="false" outlineLevel="0" collapsed="false">
      <c r="A19" s="0" t="s">
        <v>143</v>
      </c>
      <c r="B19" s="0" t="s">
        <v>300</v>
      </c>
      <c r="C19" s="0" t="s">
        <v>301</v>
      </c>
      <c r="D19" s="0" t="n">
        <v>1</v>
      </c>
      <c r="E19" s="42" t="n">
        <v>140000</v>
      </c>
      <c r="F19" s="42" t="n">
        <f aca="false">E19*D19</f>
        <v>140000</v>
      </c>
      <c r="G19" s="0" t="str">
        <f aca="false">IF(E19&lt;0,"Dr","Cr")</f>
        <v>Cr</v>
      </c>
    </row>
    <row r="20" customFormat="false" ht="15" hidden="false" customHeight="false" outlineLevel="0" collapsed="false">
      <c r="A20" s="0" t="s">
        <v>153</v>
      </c>
      <c r="B20" s="0" t="s">
        <v>149</v>
      </c>
      <c r="C20" s="0" t="s">
        <v>302</v>
      </c>
      <c r="D20" s="0" t="n">
        <v>-1</v>
      </c>
      <c r="E20" s="42" t="n">
        <v>-148000</v>
      </c>
      <c r="F20" s="42" t="n">
        <f aca="false">E20*D20</f>
        <v>148000</v>
      </c>
      <c r="G20" s="0" t="str">
        <f aca="false">IF(E20&lt;0,"Dr","Cr")</f>
        <v>Dr</v>
      </c>
    </row>
    <row r="21" customFormat="false" ht="15" hidden="false" customHeight="false" outlineLevel="0" collapsed="false">
      <c r="A21" s="0" t="s">
        <v>152</v>
      </c>
      <c r="B21" s="0" t="s">
        <v>149</v>
      </c>
      <c r="C21" s="0" t="s">
        <v>302</v>
      </c>
      <c r="D21" s="0" t="n">
        <v>-1</v>
      </c>
      <c r="E21" s="42" t="n">
        <v>-365000</v>
      </c>
      <c r="F21" s="42" t="n">
        <f aca="false">E21*D21</f>
        <v>365000</v>
      </c>
      <c r="G21" s="0" t="str">
        <f aca="false">IF(E21&lt;0,"Dr","Cr")</f>
        <v>Dr</v>
      </c>
    </row>
    <row r="22" customFormat="false" ht="15" hidden="false" customHeight="false" outlineLevel="0" collapsed="false">
      <c r="A22" s="0" t="s">
        <v>150</v>
      </c>
      <c r="B22" s="0" t="s">
        <v>149</v>
      </c>
      <c r="C22" s="0" t="s">
        <v>302</v>
      </c>
      <c r="D22" s="0" t="n">
        <v>-1</v>
      </c>
      <c r="E22" s="42" t="n">
        <v>-5300000</v>
      </c>
      <c r="F22" s="42" t="n">
        <f aca="false">E22*D22</f>
        <v>5300000</v>
      </c>
      <c r="G22" s="0" t="str">
        <f aca="false">IF(E22&lt;0,"Dr","Cr")</f>
        <v>Dr</v>
      </c>
    </row>
    <row r="23" customFormat="false" ht="15" hidden="false" customHeight="false" outlineLevel="0" collapsed="false">
      <c r="A23" s="0" t="s">
        <v>151</v>
      </c>
      <c r="B23" s="0" t="s">
        <v>149</v>
      </c>
      <c r="C23" s="0" t="s">
        <v>302</v>
      </c>
      <c r="D23" s="0" t="n">
        <v>-1</v>
      </c>
      <c r="E23" s="42" t="n">
        <v>-900000</v>
      </c>
      <c r="F23" s="42" t="n">
        <f aca="false">E23*D23</f>
        <v>900000</v>
      </c>
      <c r="G23" s="0" t="str">
        <f aca="false">IF(E23&lt;0,"Dr","Cr")</f>
        <v>Dr</v>
      </c>
    </row>
    <row r="24" customFormat="false" ht="15" hidden="false" customHeight="false" outlineLevel="0" collapsed="false">
      <c r="A24" s="0" t="s">
        <v>215</v>
      </c>
      <c r="B24" s="0" t="s">
        <v>303</v>
      </c>
      <c r="C24" s="0" t="s">
        <v>215</v>
      </c>
      <c r="D24" s="0" t="n">
        <v>-1</v>
      </c>
      <c r="E24" s="42" t="n">
        <v>-1500000</v>
      </c>
      <c r="F24" s="42" t="n">
        <f aca="false">E24*D24</f>
        <v>1500000</v>
      </c>
      <c r="G24" s="0" t="str">
        <f aca="false">IF(E24&lt;0,"Dr","Cr")</f>
        <v>Dr</v>
      </c>
    </row>
    <row r="25" customFormat="false" ht="15" hidden="false" customHeight="false" outlineLevel="0" collapsed="false">
      <c r="A25" s="0" t="s">
        <v>163</v>
      </c>
      <c r="B25" s="0" t="s">
        <v>304</v>
      </c>
      <c r="C25" s="0" t="s">
        <v>305</v>
      </c>
      <c r="D25" s="0" t="n">
        <v>-1</v>
      </c>
      <c r="E25" s="42" t="n">
        <v>-1820000</v>
      </c>
      <c r="F25" s="42" t="n">
        <f aca="false">E25*D25</f>
        <v>1820000</v>
      </c>
      <c r="G25" s="0" t="str">
        <f aca="false">IF(E25&lt;0,"Dr","Cr")</f>
        <v>Dr</v>
      </c>
    </row>
    <row r="26" customFormat="false" ht="15" hidden="false" customHeight="false" outlineLevel="0" collapsed="false">
      <c r="A26" s="0" t="s">
        <v>164</v>
      </c>
      <c r="B26" s="0" t="s">
        <v>304</v>
      </c>
      <c r="C26" s="0" t="s">
        <v>305</v>
      </c>
      <c r="D26" s="0" t="n">
        <v>-1</v>
      </c>
      <c r="E26" s="42" t="n">
        <v>-1330000</v>
      </c>
      <c r="F26" s="42" t="n">
        <f aca="false">E26*D26</f>
        <v>1330000</v>
      </c>
      <c r="G26" s="0" t="str">
        <f aca="false">IF(E26&lt;0,"Dr","Cr")</f>
        <v>Dr</v>
      </c>
    </row>
    <row r="27" customFormat="false" ht="15" hidden="false" customHeight="false" outlineLevel="0" collapsed="false">
      <c r="A27" s="0" t="s">
        <v>165</v>
      </c>
      <c r="B27" s="0" t="s">
        <v>304</v>
      </c>
      <c r="C27" s="0" t="s">
        <v>305</v>
      </c>
      <c r="D27" s="0" t="n">
        <v>-1</v>
      </c>
      <c r="E27" s="42" t="n">
        <v>-740000</v>
      </c>
      <c r="F27" s="42" t="n">
        <f aca="false">E27*D27</f>
        <v>740000</v>
      </c>
      <c r="G27" s="0" t="str">
        <f aca="false">IF(E27&lt;0,"Dr","Cr")</f>
        <v>Dr</v>
      </c>
    </row>
    <row r="28" customFormat="false" ht="15" hidden="false" customHeight="false" outlineLevel="0" collapsed="false">
      <c r="A28" s="0" t="s">
        <v>170</v>
      </c>
      <c r="B28" s="0" t="s">
        <v>169</v>
      </c>
      <c r="C28" s="0" t="s">
        <v>306</v>
      </c>
      <c r="D28" s="0" t="n">
        <v>-1</v>
      </c>
      <c r="E28" s="42" t="n">
        <v>-38000</v>
      </c>
      <c r="F28" s="42" t="n">
        <f aca="false">E28*D28</f>
        <v>38000</v>
      </c>
      <c r="G28" s="0" t="str">
        <f aca="false">IF(E28&lt;0,"Dr","Cr")</f>
        <v>Dr</v>
      </c>
    </row>
    <row r="29" customFormat="false" ht="15" hidden="false" customHeight="false" outlineLevel="0" collapsed="false">
      <c r="A29" s="0" t="s">
        <v>168</v>
      </c>
      <c r="B29" s="0" t="s">
        <v>167</v>
      </c>
      <c r="C29" s="0" t="s">
        <v>306</v>
      </c>
      <c r="D29" s="0" t="n">
        <v>-1</v>
      </c>
      <c r="E29" s="42" t="n">
        <v>-2038000</v>
      </c>
      <c r="F29" s="42" t="n">
        <f aca="false">E29*D29</f>
        <v>2038000</v>
      </c>
      <c r="G29" s="0" t="str">
        <f aca="false">IF(E29&lt;0,"Dr","Cr")</f>
        <v>Dr</v>
      </c>
    </row>
    <row r="30" customFormat="false" ht="15" hidden="false" customHeight="false" outlineLevel="0" collapsed="false">
      <c r="A30" s="0" t="s">
        <v>176</v>
      </c>
      <c r="B30" s="0" t="s">
        <v>175</v>
      </c>
      <c r="C30" s="0" t="s">
        <v>307</v>
      </c>
      <c r="D30" s="0" t="n">
        <v>-1</v>
      </c>
      <c r="E30" s="42" t="n">
        <v>-190000</v>
      </c>
      <c r="F30" s="42" t="n">
        <f aca="false">E30*D30</f>
        <v>190000</v>
      </c>
      <c r="G30" s="0" t="str">
        <f aca="false">IF(E30&lt;0,"Dr","Cr")</f>
        <v>Dr</v>
      </c>
    </row>
    <row r="31" customFormat="false" ht="15" hidden="false" customHeight="false" outlineLevel="0" collapsed="false">
      <c r="A31" s="0" t="s">
        <v>174</v>
      </c>
      <c r="B31" s="0" t="s">
        <v>173</v>
      </c>
      <c r="C31" s="0" t="s">
        <v>307</v>
      </c>
      <c r="D31" s="0" t="n">
        <v>-1</v>
      </c>
      <c r="E31" s="42" t="n">
        <v>-300000</v>
      </c>
      <c r="F31" s="42" t="n">
        <f aca="false">E31*D31</f>
        <v>300000</v>
      </c>
      <c r="G31" s="0" t="str">
        <f aca="false">IF(E31&lt;0,"Dr","Cr")</f>
        <v>Dr</v>
      </c>
    </row>
    <row r="32" customFormat="false" ht="15" hidden="false" customHeight="false" outlineLevel="0" collapsed="false">
      <c r="A32" s="0" t="s">
        <v>177</v>
      </c>
      <c r="B32" s="0" t="s">
        <v>175</v>
      </c>
      <c r="C32" s="0" t="s">
        <v>307</v>
      </c>
      <c r="D32" s="0" t="n">
        <v>-1</v>
      </c>
      <c r="E32" s="42" t="n">
        <v>-60000</v>
      </c>
      <c r="F32" s="42" t="n">
        <f aca="false">E32*D32</f>
        <v>60000</v>
      </c>
      <c r="G32" s="0" t="str">
        <f aca="false">IF(E32&lt;0,"Dr","Cr")</f>
        <v>Dr</v>
      </c>
    </row>
    <row r="33" customFormat="false" ht="15" hidden="false" customHeight="false" outlineLevel="0" collapsed="false">
      <c r="A33" s="0" t="s">
        <v>180</v>
      </c>
      <c r="B33" s="0" t="s">
        <v>308</v>
      </c>
      <c r="C33" s="0" t="s">
        <v>309</v>
      </c>
      <c r="D33" s="0" t="n">
        <v>-1</v>
      </c>
      <c r="E33" s="42" t="n">
        <v>-310000</v>
      </c>
      <c r="F33" s="42" t="n">
        <f aca="false">E33*D33</f>
        <v>310000</v>
      </c>
      <c r="G33" s="0" t="str">
        <f aca="false">IF(E33&lt;0,"Dr","Cr")</f>
        <v>Dr</v>
      </c>
    </row>
    <row r="34" customFormat="false" ht="15" hidden="false" customHeight="false" outlineLevel="0" collapsed="false">
      <c r="A34" s="0" t="s">
        <v>181</v>
      </c>
      <c r="B34" s="0" t="s">
        <v>308</v>
      </c>
      <c r="C34" s="0" t="s">
        <v>309</v>
      </c>
      <c r="D34" s="0" t="n">
        <v>-1</v>
      </c>
      <c r="E34" s="42" t="n">
        <v>-41000</v>
      </c>
      <c r="F34" s="42" t="n">
        <f aca="false">E34*D34</f>
        <v>41000</v>
      </c>
      <c r="G34" s="0" t="str">
        <f aca="false">IF(E34&lt;0,"Dr","Cr")</f>
        <v>Dr</v>
      </c>
    </row>
    <row r="35" customFormat="false" ht="15" hidden="false" customHeight="false" outlineLevel="0" collapsed="false">
      <c r="A35" s="0" t="s">
        <v>206</v>
      </c>
      <c r="B35" s="0" t="s">
        <v>310</v>
      </c>
      <c r="C35" s="0" t="s">
        <v>311</v>
      </c>
      <c r="D35" s="0" t="n">
        <v>1</v>
      </c>
      <c r="E35" s="42" t="n">
        <v>15200000</v>
      </c>
      <c r="F35" s="42" t="n">
        <f aca="false">E35*D35</f>
        <v>15200000</v>
      </c>
      <c r="G35" s="0" t="str">
        <f aca="false">IF(E35&lt;0,"Dr","Cr")</f>
        <v>Cr</v>
      </c>
    </row>
    <row r="36" customFormat="false" ht="15" hidden="false" customHeight="false" outlineLevel="0" collapsed="false">
      <c r="A36" s="0" t="s">
        <v>207</v>
      </c>
      <c r="B36" s="0" t="s">
        <v>310</v>
      </c>
      <c r="C36" s="0" t="s">
        <v>311</v>
      </c>
      <c r="D36" s="0" t="n">
        <v>1</v>
      </c>
      <c r="E36" s="42" t="n">
        <v>2100000</v>
      </c>
      <c r="F36" s="42" t="n">
        <f aca="false">E36*D36</f>
        <v>2100000</v>
      </c>
      <c r="G36" s="0" t="str">
        <f aca="false">IF(E36&lt;0,"Dr","Cr")</f>
        <v>Cr</v>
      </c>
    </row>
    <row r="37" customFormat="false" ht="15" hidden="false" customHeight="false" outlineLevel="0" collapsed="false">
      <c r="A37" s="0" t="s">
        <v>211</v>
      </c>
      <c r="B37" s="0" t="s">
        <v>312</v>
      </c>
      <c r="C37" s="0" t="s">
        <v>313</v>
      </c>
      <c r="D37" s="0" t="n">
        <v>1</v>
      </c>
      <c r="E37" s="42" t="n">
        <v>18000</v>
      </c>
      <c r="F37" s="42" t="n">
        <f aca="false">E37*D37</f>
        <v>18000</v>
      </c>
      <c r="G37" s="0" t="str">
        <f aca="false">IF(E37&lt;0,"Dr","Cr")</f>
        <v>Cr</v>
      </c>
    </row>
    <row r="38" customFormat="false" ht="15" hidden="false" customHeight="false" outlineLevel="0" collapsed="false">
      <c r="A38" s="0" t="s">
        <v>210</v>
      </c>
      <c r="B38" s="0" t="s">
        <v>312</v>
      </c>
      <c r="C38" s="0" t="s">
        <v>313</v>
      </c>
      <c r="D38" s="0" t="n">
        <v>1</v>
      </c>
      <c r="E38" s="42" t="n">
        <v>52000</v>
      </c>
      <c r="F38" s="42" t="n">
        <f aca="false">E38*D38</f>
        <v>52000</v>
      </c>
      <c r="G38" s="0" t="str">
        <f aca="false">IF(E38&lt;0,"Dr","Cr")</f>
        <v>Cr</v>
      </c>
    </row>
    <row r="39" customFormat="false" ht="15" hidden="false" customHeight="false" outlineLevel="0" collapsed="false">
      <c r="A39" s="0" t="s">
        <v>213</v>
      </c>
      <c r="B39" s="0" t="s">
        <v>314</v>
      </c>
      <c r="C39" s="0" t="s">
        <v>315</v>
      </c>
      <c r="D39" s="0" t="n">
        <v>-1</v>
      </c>
      <c r="E39" s="42" t="n">
        <v>-8300000</v>
      </c>
      <c r="F39" s="42" t="n">
        <f aca="false">E39*D39</f>
        <v>8300000</v>
      </c>
      <c r="G39" s="0" t="str">
        <f aca="false">IF(E39&lt;0,"Dr","Cr")</f>
        <v>Dr</v>
      </c>
    </row>
    <row r="40" customFormat="false" ht="15" hidden="false" customHeight="false" outlineLevel="0" collapsed="false">
      <c r="A40" s="0" t="s">
        <v>219</v>
      </c>
      <c r="B40" s="0" t="s">
        <v>226</v>
      </c>
      <c r="C40" s="0" t="s">
        <v>316</v>
      </c>
      <c r="D40" s="0" t="n">
        <v>-1</v>
      </c>
      <c r="E40" s="42" t="n">
        <v>-270000</v>
      </c>
      <c r="F40" s="42" t="n">
        <f aca="false">E40*D40</f>
        <v>270000</v>
      </c>
      <c r="G40" s="0" t="str">
        <f aca="false">IF(E40&lt;0,"Dr","Cr")</f>
        <v>Dr</v>
      </c>
    </row>
    <row r="41" customFormat="false" ht="15" hidden="false" customHeight="false" outlineLevel="0" collapsed="false">
      <c r="A41" s="0" t="s">
        <v>218</v>
      </c>
      <c r="B41" s="0" t="s">
        <v>226</v>
      </c>
      <c r="C41" s="0" t="s">
        <v>316</v>
      </c>
      <c r="D41" s="0" t="n">
        <v>-1</v>
      </c>
      <c r="E41" s="42" t="n">
        <v>-2800000</v>
      </c>
      <c r="F41" s="42" t="n">
        <f aca="false">E41*D41</f>
        <v>2800000</v>
      </c>
      <c r="G41" s="0" t="str">
        <f aca="false">IF(E41&lt;0,"Dr","Cr")</f>
        <v>Dr</v>
      </c>
    </row>
    <row r="42" customFormat="false" ht="15" hidden="false" customHeight="false" outlineLevel="0" collapsed="false">
      <c r="A42" s="0" t="s">
        <v>220</v>
      </c>
      <c r="B42" s="0" t="s">
        <v>226</v>
      </c>
      <c r="C42" s="0" t="s">
        <v>316</v>
      </c>
      <c r="D42" s="0" t="n">
        <v>-1</v>
      </c>
      <c r="E42" s="42" t="n">
        <v>-98000</v>
      </c>
      <c r="F42" s="42" t="n">
        <f aca="false">E42*D42</f>
        <v>98000</v>
      </c>
      <c r="G42" s="0" t="str">
        <f aca="false">IF(E42&lt;0,"Dr","Cr")</f>
        <v>Dr</v>
      </c>
    </row>
    <row r="43" customFormat="false" ht="15" hidden="false" customHeight="false" outlineLevel="0" collapsed="false">
      <c r="A43" s="0" t="s">
        <v>223</v>
      </c>
      <c r="B43" s="0" t="s">
        <v>226</v>
      </c>
      <c r="C43" s="0" t="s">
        <v>317</v>
      </c>
      <c r="D43" s="0" t="n">
        <v>-1</v>
      </c>
      <c r="E43" s="42" t="n">
        <v>-130000</v>
      </c>
      <c r="F43" s="42" t="n">
        <f aca="false">E43*D43</f>
        <v>130000</v>
      </c>
      <c r="G43" s="0" t="str">
        <f aca="false">IF(E43&lt;0,"Dr","Cr")</f>
        <v>Dr</v>
      </c>
    </row>
    <row r="44" customFormat="false" ht="15" hidden="false" customHeight="false" outlineLevel="0" collapsed="false">
      <c r="A44" s="0" t="s">
        <v>222</v>
      </c>
      <c r="B44" s="0" t="s">
        <v>226</v>
      </c>
      <c r="C44" s="0" t="s">
        <v>317</v>
      </c>
      <c r="D44" s="0" t="n">
        <v>-1</v>
      </c>
      <c r="E44" s="42" t="n">
        <v>-450000</v>
      </c>
      <c r="F44" s="42" t="n">
        <f aca="false">E44*D44</f>
        <v>450000</v>
      </c>
      <c r="G44" s="0" t="str">
        <f aca="false">IF(E44&lt;0,"Dr","Cr")</f>
        <v>Dr</v>
      </c>
    </row>
    <row r="45" customFormat="false" ht="15" hidden="false" customHeight="false" outlineLevel="0" collapsed="false">
      <c r="A45" s="0" t="s">
        <v>227</v>
      </c>
      <c r="B45" s="0" t="s">
        <v>226</v>
      </c>
      <c r="C45" s="0" t="s">
        <v>318</v>
      </c>
      <c r="D45" s="0" t="n">
        <v>-1</v>
      </c>
      <c r="E45" s="42" t="n">
        <v>-820000</v>
      </c>
      <c r="F45" s="42" t="n">
        <f aca="false">E45*D45</f>
        <v>820000</v>
      </c>
      <c r="G45" s="0" t="str">
        <f aca="false">IF(E45&lt;0,"Dr","Cr")</f>
        <v>Dr</v>
      </c>
    </row>
    <row r="46" customFormat="false" ht="15" hidden="false" customHeight="false" outlineLevel="0" collapsed="false">
      <c r="A46" s="0" t="s">
        <v>236</v>
      </c>
      <c r="B46" s="0" t="s">
        <v>226</v>
      </c>
      <c r="C46" s="0" t="s">
        <v>319</v>
      </c>
      <c r="D46" s="0" t="n">
        <v>-1</v>
      </c>
      <c r="E46" s="42" t="n">
        <v>-110000</v>
      </c>
      <c r="F46" s="42" t="n">
        <f aca="false">E46*D46</f>
        <v>110000</v>
      </c>
      <c r="G46" s="0" t="str">
        <f aca="false">IF(E46&lt;0,"Dr","Cr")</f>
        <v>Dr</v>
      </c>
    </row>
    <row r="47" customFormat="false" ht="15" hidden="false" customHeight="false" outlineLevel="0" collapsed="false">
      <c r="A47" s="0" t="s">
        <v>240</v>
      </c>
      <c r="B47" s="0" t="s">
        <v>226</v>
      </c>
      <c r="C47" s="0" t="s">
        <v>319</v>
      </c>
      <c r="D47" s="0" t="n">
        <v>-1</v>
      </c>
      <c r="E47" s="42" t="n">
        <v>-50000</v>
      </c>
      <c r="F47" s="42" t="n">
        <f aca="false">E47*D47</f>
        <v>50000</v>
      </c>
      <c r="G47" s="0" t="str">
        <f aca="false">IF(E47&lt;0,"Dr","Cr")</f>
        <v>Dr</v>
      </c>
    </row>
    <row r="48" customFormat="false" ht="15" hidden="false" customHeight="false" outlineLevel="0" collapsed="false">
      <c r="A48" s="0" t="s">
        <v>241</v>
      </c>
      <c r="B48" s="0" t="s">
        <v>226</v>
      </c>
      <c r="C48" s="0" t="s">
        <v>319</v>
      </c>
      <c r="D48" s="0" t="n">
        <v>-1</v>
      </c>
      <c r="E48" s="42" t="n">
        <v>-31000</v>
      </c>
      <c r="F48" s="42" t="n">
        <f aca="false">E48*D48</f>
        <v>31000</v>
      </c>
      <c r="G48" s="0" t="str">
        <f aca="false">IF(E48&lt;0,"Dr","Cr")</f>
        <v>Dr</v>
      </c>
    </row>
    <row r="49" customFormat="false" ht="15" hidden="false" customHeight="false" outlineLevel="0" collapsed="false">
      <c r="A49" s="0" t="s">
        <v>232</v>
      </c>
      <c r="B49" s="0" t="s">
        <v>226</v>
      </c>
      <c r="C49" s="0" t="s">
        <v>319</v>
      </c>
      <c r="D49" s="0" t="n">
        <v>-1</v>
      </c>
      <c r="E49" s="42" t="n">
        <v>-370000</v>
      </c>
      <c r="F49" s="42" t="n">
        <f aca="false">E49*D49</f>
        <v>370000</v>
      </c>
      <c r="G49" s="0" t="str">
        <f aca="false">IF(E49&lt;0,"Dr","Cr")</f>
        <v>Dr</v>
      </c>
    </row>
    <row r="50" customFormat="false" ht="15" hidden="false" customHeight="false" outlineLevel="0" collapsed="false">
      <c r="A50" s="0" t="s">
        <v>230</v>
      </c>
      <c r="B50" s="0" t="s">
        <v>229</v>
      </c>
      <c r="C50" s="0" t="s">
        <v>319</v>
      </c>
      <c r="D50" s="0" t="n">
        <v>-1</v>
      </c>
      <c r="E50" s="42" t="n">
        <v>-370000</v>
      </c>
      <c r="F50" s="42" t="n">
        <f aca="false">E50*D50</f>
        <v>370000</v>
      </c>
      <c r="G50" s="0" t="str">
        <f aca="false">IF(E50&lt;0,"Dr","Cr")</f>
        <v>Dr</v>
      </c>
    </row>
    <row r="51" customFormat="false" ht="15" hidden="false" customHeight="false" outlineLevel="0" collapsed="false">
      <c r="A51" s="0" t="s">
        <v>238</v>
      </c>
      <c r="B51" s="0" t="s">
        <v>226</v>
      </c>
      <c r="C51" s="0" t="s">
        <v>319</v>
      </c>
      <c r="D51" s="0" t="n">
        <v>-1</v>
      </c>
      <c r="E51" s="42" t="n">
        <v>-88000</v>
      </c>
      <c r="F51" s="42" t="n">
        <f aca="false">E51*D51</f>
        <v>88000</v>
      </c>
      <c r="G51" s="0" t="str">
        <f aca="false">IF(E51&lt;0,"Dr","Cr")</f>
        <v>Dr</v>
      </c>
    </row>
    <row r="52" customFormat="false" ht="15" hidden="false" customHeight="false" outlineLevel="0" collapsed="false">
      <c r="A52" s="0" t="s">
        <v>237</v>
      </c>
      <c r="B52" s="0" t="s">
        <v>226</v>
      </c>
      <c r="C52" s="0" t="s">
        <v>319</v>
      </c>
      <c r="D52" s="0" t="n">
        <v>-1</v>
      </c>
      <c r="E52" s="42" t="n">
        <v>-119000</v>
      </c>
      <c r="F52" s="42" t="n">
        <f aca="false">E52*D52</f>
        <v>119000</v>
      </c>
      <c r="G52" s="0" t="str">
        <f aca="false">IF(E52&lt;0,"Dr","Cr")</f>
        <v>Dr</v>
      </c>
    </row>
    <row r="53" customFormat="false" ht="15" hidden="false" customHeight="false" outlineLevel="0" collapsed="false">
      <c r="A53" s="0" t="s">
        <v>235</v>
      </c>
      <c r="B53" s="0" t="s">
        <v>226</v>
      </c>
      <c r="C53" s="0" t="s">
        <v>319</v>
      </c>
      <c r="D53" s="0" t="n">
        <v>-1</v>
      </c>
      <c r="E53" s="42" t="n">
        <v>-160000</v>
      </c>
      <c r="F53" s="42" t="n">
        <f aca="false">E53*D53</f>
        <v>160000</v>
      </c>
      <c r="G53" s="0" t="str">
        <f aca="false">IF(E53&lt;0,"Dr","Cr")</f>
        <v>Dr</v>
      </c>
    </row>
    <row r="54" customFormat="false" ht="15" hidden="false" customHeight="false" outlineLevel="0" collapsed="false">
      <c r="A54" s="0" t="s">
        <v>231</v>
      </c>
      <c r="B54" s="0" t="s">
        <v>226</v>
      </c>
      <c r="C54" s="0" t="s">
        <v>319</v>
      </c>
      <c r="D54" s="0" t="n">
        <v>-1</v>
      </c>
      <c r="E54" s="42" t="n">
        <v>-660000</v>
      </c>
      <c r="F54" s="42" t="n">
        <f aca="false">E54*D54</f>
        <v>660000</v>
      </c>
      <c r="G54" s="0" t="str">
        <f aca="false">IF(E54&lt;0,"Dr","Cr")</f>
        <v>Dr</v>
      </c>
    </row>
    <row r="55" customFormat="false" ht="15" hidden="false" customHeight="false" outlineLevel="0" collapsed="false">
      <c r="A55" s="0" t="s">
        <v>233</v>
      </c>
      <c r="B55" s="0" t="s">
        <v>226</v>
      </c>
      <c r="C55" s="0" t="s">
        <v>319</v>
      </c>
      <c r="D55" s="0" t="n">
        <v>-1</v>
      </c>
      <c r="E55" s="42" t="n">
        <v>-215000</v>
      </c>
      <c r="F55" s="42" t="n">
        <f aca="false">E55*D55</f>
        <v>215000</v>
      </c>
      <c r="G55" s="0" t="str">
        <f aca="false">IF(E55&lt;0,"Dr","Cr")</f>
        <v>Dr</v>
      </c>
    </row>
    <row r="56" customFormat="false" ht="15" hidden="false" customHeight="false" outlineLevel="0" collapsed="false">
      <c r="A56" s="0" t="s">
        <v>239</v>
      </c>
      <c r="B56" s="0" t="s">
        <v>226</v>
      </c>
      <c r="C56" s="0" t="s">
        <v>319</v>
      </c>
      <c r="D56" s="0" t="n">
        <v>-1</v>
      </c>
      <c r="E56" s="42" t="n">
        <v>-66000</v>
      </c>
      <c r="F56" s="42" t="n">
        <f aca="false">E56*D56</f>
        <v>66000</v>
      </c>
      <c r="G56" s="0" t="str">
        <f aca="false">IF(E56&lt;0,"Dr","Cr")</f>
        <v>Dr</v>
      </c>
    </row>
    <row r="57" customFormat="false" ht="15" hidden="false" customHeight="false" outlineLevel="0" collapsed="false">
      <c r="A57" s="0" t="s">
        <v>234</v>
      </c>
      <c r="B57" s="0" t="s">
        <v>226</v>
      </c>
      <c r="C57" s="0" t="s">
        <v>319</v>
      </c>
      <c r="D57" s="0" t="n">
        <v>-1</v>
      </c>
      <c r="E57" s="42" t="n">
        <v>-196000</v>
      </c>
      <c r="F57" s="42" t="n">
        <f aca="false">E57*D57</f>
        <v>196000</v>
      </c>
      <c r="G57" s="0" t="str">
        <f aca="false">IF(E57&lt;0,"Dr","Cr")</f>
        <v>Dr</v>
      </c>
    </row>
    <row r="58" customFormat="false" ht="15" hidden="false" customHeight="false" outlineLevel="0" collapsed="false">
      <c r="A58" s="0" t="s">
        <v>320</v>
      </c>
      <c r="B58" s="0" t="s">
        <v>321</v>
      </c>
      <c r="C58" s="0" t="s">
        <v>322</v>
      </c>
      <c r="D58" s="0" t="n">
        <v>1</v>
      </c>
      <c r="E58" s="42" t="n">
        <f aca="false">-SUM(E6:E57)</f>
        <v>1850000</v>
      </c>
      <c r="F58" s="42" t="n">
        <f aca="false">E58*D58</f>
        <v>1850000</v>
      </c>
      <c r="G58" s="0" t="str">
        <f aca="false">IF(E58&lt;0,"Dr","Cr")</f>
        <v>Cr</v>
      </c>
    </row>
    <row r="59" customFormat="false" ht="15" hidden="false" customHeight="false" outlineLevel="0" collapsed="false">
      <c r="A59" s="0" t="s">
        <v>323</v>
      </c>
      <c r="B59" s="0" t="s">
        <v>324</v>
      </c>
      <c r="C59" s="0" t="s">
        <v>88</v>
      </c>
      <c r="D59" s="0" t="n">
        <v>-1</v>
      </c>
      <c r="E59" s="42" t="n">
        <v>-1900000</v>
      </c>
      <c r="F59" s="42" t="n">
        <f aca="false">E59*D59</f>
        <v>1900000</v>
      </c>
      <c r="G59" s="0" t="str">
        <f aca="false">IF(E59&lt;0,"Dr","Cr")</f>
        <v>Dr</v>
      </c>
    </row>
    <row r="61" customFormat="false" ht="15" hidden="false" customHeight="false" outlineLevel="0" collapsed="false">
      <c r="A61" s="0" t="s">
        <v>325</v>
      </c>
      <c r="F61" s="42" t="n">
        <v>0</v>
      </c>
    </row>
    <row r="63" customFormat="false" ht="15" hidden="false" customHeight="false" outlineLevel="0" collapsed="false">
      <c r="A63" s="0" t="s">
        <v>326</v>
      </c>
      <c r="E63" s="43" t="n">
        <f aca="false">SUM(E6:E57)</f>
        <v>-1850000</v>
      </c>
    </row>
    <row r="64" customFormat="false" ht="15" hidden="false" customHeight="false" outlineLevel="0" collapsed="false">
      <c r="A64" s="0" t="s">
        <v>327</v>
      </c>
      <c r="E64" s="42" t="n">
        <v>4317000</v>
      </c>
    </row>
    <row r="65" customFormat="false" ht="15" hidden="false" customHeight="false" outlineLevel="0" collapsed="false">
      <c r="A65" s="0" t="s">
        <v>328</v>
      </c>
      <c r="F65" s="0" t="str">
        <f aca="false">IF(ABS(E64-(F58+'Profit &amp; Loss'!D21-SUMIFS('Trial Balance Mapping PY'!$F$6:$F$59,'Trial Balance Mapping PY'!$C$6:$C$59,"Tax Expense")+SUMIFS('Trial Balance Mapping PY'!$F$6:$F$59,'Trial Balance Mapping PY'!$C$6:$C$59,"Depreciation &amp; Amortisation",'Trial Balance Mapping PY'!$B$6:$B$59,"Depreciation calculator")))&lt;1,"OK",IF(ABS(E64-F58)&lt;1,"OK (opening only)","CHECK"))</f>
        <v>OK</v>
      </c>
    </row>
  </sheetData>
  <mergeCells count="1">
    <mergeCell ref="A1:D1"/>
  </mergeCells>
  <printOptions headings="false" gridLines="false" gridLinesSet="true" horizontalCentered="true" verticalCentered="false"/>
  <pageMargins left="0.6" right="0.6" top="0.7" bottom="0.8"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Sample Engineering Private Limited | Trial Balance Mapping PY&amp;R&amp;8 Page &amp;P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true"/>
  </sheetPr>
  <dimension ref="A1:T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8"/>
    <col collapsed="false" customWidth="true" hidden="false" outlineLevel="0" max="20" min="3" style="0" width="16"/>
  </cols>
  <sheetData>
    <row r="1" customFormat="false" ht="17.35" hidden="false" customHeight="false" outlineLevel="0" collapsed="false">
      <c r="A1" s="1" t="s">
        <v>0</v>
      </c>
      <c r="B1" s="1"/>
      <c r="C1" s="1"/>
      <c r="D1" s="1"/>
    </row>
    <row r="2" customFormat="false" ht="15" hidden="false" customHeight="false" outlineLevel="0" collapsed="false">
      <c r="A2" s="2" t="s">
        <v>330</v>
      </c>
    </row>
    <row r="3" customFormat="false" ht="15" hidden="false" customHeight="false" outlineLevel="0" collapsed="false">
      <c r="A3" s="3" t="s">
        <v>331</v>
      </c>
    </row>
    <row r="4" customFormat="false" ht="15" hidden="false" customHeight="false" outlineLevel="0" collapsed="false">
      <c r="A4" s="0" t="s">
        <v>332</v>
      </c>
      <c r="C4" s="0" t="s">
        <v>333</v>
      </c>
    </row>
    <row r="5" customFormat="false" ht="15" hidden="false" customHeight="false" outlineLevel="0" collapsed="false">
      <c r="A5" s="0" t="s">
        <v>334</v>
      </c>
      <c r="C5" s="0" t="n">
        <v>5</v>
      </c>
    </row>
    <row r="6" customFormat="false" ht="15" hidden="false" customHeight="false" outlineLevel="0" collapsed="false">
      <c r="A6" s="0" t="s">
        <v>335</v>
      </c>
      <c r="C6" s="0" t="n">
        <f aca="false">C8-C7+1</f>
        <v>365</v>
      </c>
    </row>
    <row r="7" customFormat="false" ht="15" hidden="false" customHeight="false" outlineLevel="0" collapsed="false">
      <c r="A7" s="0" t="s">
        <v>336</v>
      </c>
      <c r="C7" s="44" t="n">
        <v>45748</v>
      </c>
    </row>
    <row r="8" customFormat="false" ht="15" hidden="false" customHeight="false" outlineLevel="0" collapsed="false">
      <c r="A8" s="0" t="s">
        <v>337</v>
      </c>
      <c r="C8" s="44" t="n">
        <v>46112</v>
      </c>
    </row>
    <row r="10" customFormat="false" ht="48" hidden="false" customHeight="true" outlineLevel="0" collapsed="false">
      <c r="A10" s="4" t="s">
        <v>338</v>
      </c>
      <c r="B10" s="4" t="s">
        <v>184</v>
      </c>
      <c r="C10" s="4" t="s">
        <v>339</v>
      </c>
      <c r="D10" s="4" t="s">
        <v>340</v>
      </c>
      <c r="E10" s="4" t="s">
        <v>341</v>
      </c>
      <c r="F10" s="4" t="s">
        <v>342</v>
      </c>
      <c r="G10" s="4" t="s">
        <v>343</v>
      </c>
      <c r="H10" s="4" t="s">
        <v>344</v>
      </c>
      <c r="I10" s="4" t="s">
        <v>345</v>
      </c>
      <c r="J10" s="4" t="s">
        <v>346</v>
      </c>
      <c r="K10" s="4" t="s">
        <v>347</v>
      </c>
      <c r="L10" s="4" t="s">
        <v>348</v>
      </c>
      <c r="M10" s="4" t="s">
        <v>349</v>
      </c>
      <c r="N10" s="4" t="s">
        <v>350</v>
      </c>
      <c r="O10" s="4" t="s">
        <v>351</v>
      </c>
      <c r="P10" s="4" t="s">
        <v>352</v>
      </c>
      <c r="Q10" s="4" t="s">
        <v>353</v>
      </c>
      <c r="R10" s="4" t="s">
        <v>354</v>
      </c>
      <c r="S10" s="4" t="s">
        <v>355</v>
      </c>
      <c r="T10" s="4" t="s">
        <v>356</v>
      </c>
    </row>
    <row r="11" customFormat="false" ht="15" hidden="false" customHeight="false" outlineLevel="0" collapsed="false">
      <c r="A11" s="0" t="s">
        <v>150</v>
      </c>
      <c r="B11" s="0" t="s">
        <v>195</v>
      </c>
      <c r="C11" s="45" t="n">
        <v>15</v>
      </c>
      <c r="D11" s="45" t="n">
        <v>0</v>
      </c>
      <c r="E11" s="46" t="n">
        <v>6890000</v>
      </c>
      <c r="F11" s="46" t="n">
        <v>1590000</v>
      </c>
      <c r="G11" s="46" t="n">
        <v>700000</v>
      </c>
      <c r="H11" s="47" t="n">
        <v>45823</v>
      </c>
      <c r="I11" s="46" t="n">
        <v>0</v>
      </c>
      <c r="J11" s="46" t="n">
        <v>0</v>
      </c>
      <c r="K11" s="46" t="n">
        <v>0</v>
      </c>
      <c r="L11" s="47"/>
      <c r="M11" s="48" t="n">
        <f aca="false">IF(OR(G11=0,H11=""),0,MAX(0,MIN($C$6,$C$8-H11+1)))</f>
        <v>290</v>
      </c>
      <c r="N11" s="48" t="n">
        <f aca="false">IF(OR(I11=0,L11=""),0,MAX(0,MIN($C$6,L11-$C$7+1)))</f>
        <v>0</v>
      </c>
      <c r="O11" s="42" t="n">
        <f aca="false">IF(C11&lt;=0,0,MIN(I11*((1-($C$5/100))/C11)*N11/$C$6,MAX(0,I11*(1-($C$5/100))-J11)))</f>
        <v>0</v>
      </c>
      <c r="P11" s="42" t="n">
        <f aca="false">IF(C11&lt;=0,0,ROUND(MAX(0,IF(D11&gt;0,MIN(MAX(0,(E11-I11)-(F11-J11)-(E11-I11)*($C$5/100))/D11,MAX(0,(E11-I11)-(F11-J11)-(E11-I11)*($C$5/100))),MIN((E11-I11)*((1-($C$5/100))/C11),MAX(0,(E11-I11)*(1-($C$5/100))-(F11-J11))))+O11+G11*((1-($C$5/100))/C11)*M11/$C$6),2))</f>
        <v>471590.41</v>
      </c>
      <c r="Q11" s="42" t="n">
        <f aca="false">E11+G11-I11</f>
        <v>7590000</v>
      </c>
      <c r="R11" s="42" t="n">
        <f aca="false">F11-J11+P11-O11</f>
        <v>2061590.41</v>
      </c>
      <c r="S11" s="42" t="n">
        <f aca="false">Q11-R11</f>
        <v>5528409.59</v>
      </c>
      <c r="T11" s="42" t="n">
        <f aca="false">IF(I11&gt;0,K11-((I11-J11)-O11),0)</f>
        <v>0</v>
      </c>
    </row>
    <row r="12" customFormat="false" ht="15" hidden="false" customHeight="false" outlineLevel="0" collapsed="false">
      <c r="A12" s="0" t="s">
        <v>152</v>
      </c>
      <c r="B12" s="0" t="s">
        <v>196</v>
      </c>
      <c r="C12" s="45" t="n">
        <v>10</v>
      </c>
      <c r="D12" s="45" t="n">
        <v>0</v>
      </c>
      <c r="E12" s="46" t="n">
        <v>474500</v>
      </c>
      <c r="F12" s="46" t="n">
        <v>109500</v>
      </c>
      <c r="G12" s="46" t="n">
        <v>0</v>
      </c>
      <c r="H12" s="47"/>
      <c r="I12" s="46" t="n">
        <v>0</v>
      </c>
      <c r="J12" s="46" t="n">
        <v>0</v>
      </c>
      <c r="K12" s="46" t="n">
        <v>0</v>
      </c>
      <c r="L12" s="47"/>
      <c r="M12" s="48" t="n">
        <f aca="false">IF(OR(G12=0,H12=""),0,MAX(0,MIN($C$6,$C$8-H12+1)))</f>
        <v>0</v>
      </c>
      <c r="N12" s="48" t="n">
        <f aca="false">IF(OR(I12=0,L12=""),0,MAX(0,MIN($C$6,L12-$C$7+1)))</f>
        <v>0</v>
      </c>
      <c r="O12" s="42" t="n">
        <f aca="false">IF(C12&lt;=0,0,MIN(I12*((1-($C$5/100))/C12)*N12/$C$6,MAX(0,I12*(1-($C$5/100))-J12)))</f>
        <v>0</v>
      </c>
      <c r="P12" s="42" t="n">
        <f aca="false">IF(C12&lt;=0,0,ROUND(MAX(0,IF(D12&gt;0,MIN(MAX(0,(E12-I12)-(F12-J12)-(E12-I12)*($C$5/100))/D12,MAX(0,(E12-I12)-(F12-J12)-(E12-I12)*($C$5/100))),MIN((E12-I12)*((1-($C$5/100))/C12),MAX(0,(E12-I12)*(1-($C$5/100))-(F12-J12))))+O12+G12*((1-($C$5/100))/C12)*M12/$C$6),2))</f>
        <v>45077.5</v>
      </c>
      <c r="Q12" s="42" t="n">
        <f aca="false">E12+G12-I12</f>
        <v>474500</v>
      </c>
      <c r="R12" s="42" t="n">
        <f aca="false">F12-J12+P12-O12</f>
        <v>154577.5</v>
      </c>
      <c r="S12" s="42" t="n">
        <f aca="false">Q12-R12</f>
        <v>319922.5</v>
      </c>
      <c r="T12" s="42" t="n">
        <f aca="false">IF(I12&gt;0,K12-((I12-J12)-O12),0)</f>
        <v>0</v>
      </c>
    </row>
    <row r="13" customFormat="false" ht="15" hidden="false" customHeight="false" outlineLevel="0" collapsed="false">
      <c r="A13" s="0" t="s">
        <v>153</v>
      </c>
      <c r="B13" s="0" t="s">
        <v>197</v>
      </c>
      <c r="C13" s="45" t="n">
        <v>3</v>
      </c>
      <c r="D13" s="45" t="n">
        <v>0</v>
      </c>
      <c r="E13" s="46" t="n">
        <v>192400</v>
      </c>
      <c r="F13" s="46" t="n">
        <v>44400</v>
      </c>
      <c r="G13" s="46" t="n">
        <v>120000</v>
      </c>
      <c r="H13" s="47" t="n">
        <v>45931</v>
      </c>
      <c r="I13" s="46" t="n">
        <v>0</v>
      </c>
      <c r="J13" s="46" t="n">
        <v>0</v>
      </c>
      <c r="K13" s="46" t="n">
        <v>0</v>
      </c>
      <c r="L13" s="47"/>
      <c r="M13" s="48" t="n">
        <f aca="false">IF(OR(G13=0,H13=""),0,MAX(0,MIN($C$6,$C$8-H13+1)))</f>
        <v>182</v>
      </c>
      <c r="N13" s="48" t="n">
        <f aca="false">IF(OR(I13=0,L13=""),0,MAX(0,MIN($C$6,L13-$C$7+1)))</f>
        <v>0</v>
      </c>
      <c r="O13" s="42" t="n">
        <f aca="false">IF(C13&lt;=0,0,MIN(I13*((1-($C$5/100))/C13)*N13/$C$6,MAX(0,I13*(1-($C$5/100))-J13)))</f>
        <v>0</v>
      </c>
      <c r="P13" s="42" t="n">
        <f aca="false">IF(C13&lt;=0,0,ROUND(MAX(0,IF(D13&gt;0,MIN(MAX(0,(E13-I13)-(F13-J13)-(E13-I13)*($C$5/100))/D13,MAX(0,(E13-I13)-(F13-J13)-(E13-I13)*($C$5/100))),MIN((E13-I13)*((1-($C$5/100))/C13),MAX(0,(E13-I13)*(1-($C$5/100))-(F13-J13))))+O13+G13*((1-($C$5/100))/C13)*M13/$C$6),2))</f>
        <v>79874.61</v>
      </c>
      <c r="Q13" s="42" t="n">
        <f aca="false">E13+G13-I13</f>
        <v>312400</v>
      </c>
      <c r="R13" s="42" t="n">
        <f aca="false">F13-J13+P13-O13</f>
        <v>124274.61</v>
      </c>
      <c r="S13" s="42" t="n">
        <f aca="false">Q13-R13</f>
        <v>188125.39</v>
      </c>
      <c r="T13" s="42" t="n">
        <f aca="false">IF(I13&gt;0,K13-((I13-J13)-O13),0)</f>
        <v>0</v>
      </c>
    </row>
    <row r="14" customFormat="false" ht="15" hidden="false" customHeight="false" outlineLevel="0" collapsed="false">
      <c r="A14" s="0" t="s">
        <v>151</v>
      </c>
      <c r="B14" s="0" t="s">
        <v>198</v>
      </c>
      <c r="C14" s="45" t="n">
        <v>8</v>
      </c>
      <c r="D14" s="45" t="n">
        <v>0</v>
      </c>
      <c r="E14" s="46" t="n">
        <v>1170000</v>
      </c>
      <c r="F14" s="46" t="n">
        <v>270000</v>
      </c>
      <c r="G14" s="46" t="n">
        <v>135000</v>
      </c>
      <c r="H14" s="47" t="n">
        <v>46042</v>
      </c>
      <c r="I14" s="46" t="n">
        <v>0</v>
      </c>
      <c r="J14" s="46" t="n">
        <v>0</v>
      </c>
      <c r="K14" s="46" t="n">
        <v>0</v>
      </c>
      <c r="L14" s="47"/>
      <c r="M14" s="48" t="n">
        <f aca="false">IF(OR(G14=0,H14=""),0,MAX(0,MIN($C$6,$C$8-H14+1)))</f>
        <v>71</v>
      </c>
      <c r="N14" s="48" t="n">
        <f aca="false">IF(OR(I14=0,L14=""),0,MAX(0,MIN($C$6,L14-$C$7+1)))</f>
        <v>0</v>
      </c>
      <c r="O14" s="42" t="n">
        <f aca="false">IF(C14&lt;=0,0,MIN(I14*((1-($C$5/100))/C14)*N14/$C$6,MAX(0,I14*(1-($C$5/100))-J14)))</f>
        <v>0</v>
      </c>
      <c r="P14" s="42" t="n">
        <f aca="false">IF(C14&lt;=0,0,ROUND(MAX(0,IF(D14&gt;0,MIN(MAX(0,(E14-I14)-(F14-J14)-(E14-I14)*($C$5/100))/D14,MAX(0,(E14-I14)-(F14-J14)-(E14-I14)*($C$5/100))),MIN((E14-I14)*((1-($C$5/100))/C14),MAX(0,(E14-I14)*(1-($C$5/100))-(F14-J14))))+O14+G14*((1-($C$5/100))/C14)*M14/$C$6),2))</f>
        <v>142055.91</v>
      </c>
      <c r="Q14" s="42" t="n">
        <f aca="false">E14+G14-I14</f>
        <v>1305000</v>
      </c>
      <c r="R14" s="42" t="n">
        <f aca="false">F14-J14+P14-O14</f>
        <v>412055.91</v>
      </c>
      <c r="S14" s="42" t="n">
        <f aca="false">Q14-R14</f>
        <v>892944.09</v>
      </c>
      <c r="T14" s="42" t="n">
        <f aca="false">IF(I14&gt;0,K14-((I14-J14)-O14),0)</f>
        <v>0</v>
      </c>
    </row>
    <row r="15" customFormat="false" ht="15" hidden="false" customHeight="false" outlineLevel="0" collapsed="false">
      <c r="A15" s="2" t="s">
        <v>108</v>
      </c>
      <c r="E15" s="43" t="n">
        <f aca="false">SUM(E11:E14)</f>
        <v>8726900</v>
      </c>
      <c r="F15" s="43" t="n">
        <f aca="false">SUM(F11:F14)</f>
        <v>2013900</v>
      </c>
      <c r="G15" s="43" t="n">
        <f aca="false">SUM(G11:G14)</f>
        <v>955000</v>
      </c>
      <c r="I15" s="43" t="n">
        <f aca="false">SUM(I11:I14)</f>
        <v>0</v>
      </c>
      <c r="J15" s="43" t="n">
        <f aca="false">SUM(J11:J14)</f>
        <v>0</v>
      </c>
      <c r="K15" s="43" t="n">
        <f aca="false">SUM(K11:K14)</f>
        <v>0</v>
      </c>
      <c r="O15" s="43" t="n">
        <f aca="false">SUM(O11:O14)</f>
        <v>0</v>
      </c>
      <c r="P15" s="43" t="n">
        <f aca="false">SUM(P11:P14)</f>
        <v>738598.43</v>
      </c>
      <c r="Q15" s="43" t="n">
        <f aca="false">SUM(Q11:Q14)</f>
        <v>9681900</v>
      </c>
      <c r="R15" s="43" t="n">
        <f aca="false">SUM(R11:R14)</f>
        <v>2752498.43</v>
      </c>
      <c r="S15" s="43" t="n">
        <f aca="false">SUM(S11:S14)</f>
        <v>6929401.57</v>
      </c>
      <c r="T15" s="43" t="n">
        <f aca="false">SUM(T11:T14)</f>
        <v>0</v>
      </c>
    </row>
    <row r="17" customFormat="false" ht="15" hidden="false" customHeight="false" outlineLevel="0" collapsed="false">
      <c r="A17" s="2" t="s">
        <v>357</v>
      </c>
      <c r="C17" s="42" t="n">
        <f aca="false">P15</f>
        <v>738598.43</v>
      </c>
    </row>
    <row r="18" customFormat="false" ht="15" hidden="false" customHeight="false" outlineLevel="0" collapsed="false">
      <c r="A18" s="0" t="s">
        <v>358</v>
      </c>
      <c r="C18" s="42" t="n">
        <f aca="false">SUMIFS('Trial Balance Mapping'!$F$6:$F$62,'Trial Balance Mapping'!$C$6:$C$62,"Depreciation &amp; Amortisation",'Trial Balance Mapping'!$B$6:$B$62,"&lt;&gt;Depreciation calculator")</f>
        <v>700000</v>
      </c>
    </row>
    <row r="19" customFormat="false" ht="15" hidden="false" customHeight="false" outlineLevel="0" collapsed="false">
      <c r="A19" s="2" t="s">
        <v>359</v>
      </c>
      <c r="C19" s="42" t="n">
        <f aca="false">C17-C18</f>
        <v>38598.4300000001</v>
      </c>
    </row>
    <row r="20" customFormat="false" ht="15" hidden="false" customHeight="false" outlineLevel="0" collapsed="false">
      <c r="A20" s="0" t="s">
        <v>360</v>
      </c>
      <c r="C20" s="42" t="n">
        <f aca="false">SUMIFS('Trial Balance Mapping'!$F$6:$F$62,'Trial Balance Mapping'!$C$6:$C$62,"Depreciation &amp; Amortisation",'Trial Balance Mapping'!$B$6:$B$62,"Depreciation calculator")</f>
        <v>38598.43</v>
      </c>
    </row>
    <row r="21" customFormat="false" ht="15" hidden="false" customHeight="false" outlineLevel="0" collapsed="false">
      <c r="A21" s="0" t="s">
        <v>361</v>
      </c>
      <c r="C21" s="2" t="str">
        <f aca="false">IF(ABS(C19)&lt;0.5,"Books agree to calculator",IF(ABS(C19-C20)&lt;0.5,"Applied to statements","NOT applied to statements"))</f>
        <v>Applied to statements</v>
      </c>
    </row>
    <row r="23" customFormat="false" ht="15" hidden="false" customHeight="false" outlineLevel="0" collapsed="false">
      <c r="A23" s="0" t="s">
        <v>362</v>
      </c>
      <c r="C23" s="42" t="n">
        <f aca="false">E15-F15+G15-(I15-J15)</f>
        <v>7668000</v>
      </c>
    </row>
    <row r="24" customFormat="false" ht="15" hidden="false" customHeight="false" outlineLevel="0" collapsed="false">
      <c r="A24" s="0" t="s">
        <v>363</v>
      </c>
      <c r="C24" s="42" t="n">
        <f aca="false">SUMIFS('Trial Balance Mapping'!$F$6:$F$62,'Trial Balance Mapping'!$C$6:$C$62,"Property, Plant &amp; Equipment",'Trial Balance Mapping'!$B$6:$B$62,"&lt;&gt;Depreciation calculator")+C18</f>
        <v>7668000</v>
      </c>
    </row>
    <row r="25" customFormat="false" ht="15" hidden="false" customHeight="false" outlineLevel="0" collapsed="false">
      <c r="A25" s="2" t="s">
        <v>364</v>
      </c>
      <c r="C25" s="42" t="n">
        <f aca="false">C23-C24</f>
        <v>0</v>
      </c>
    </row>
    <row r="27" customFormat="false" ht="15" hidden="false" customHeight="false" outlineLevel="0" collapsed="false">
      <c r="A27" s="3" t="s">
        <v>365</v>
      </c>
    </row>
  </sheetData>
  <mergeCells count="1">
    <mergeCell ref="A1:D1"/>
  </mergeCells>
  <printOptions headings="false" gridLines="false" gridLinesSet="true" horizontalCentered="true" verticalCentered="false"/>
  <pageMargins left="0.6" right="0.6" top="0.7" bottom="0.8"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Sample Engineering Private Limited | Depreciation Schedule&amp;R&amp;8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2026-10-26T10:30:05Z</dcterms:created>
  <dc:creator>openpyxl</dc:creator>
  <dc:description/>
  <dc:language>en-US</dc:language>
  <cp:lastModifiedBy/>
  <dcterms:modified xsi:type="dcterms:W3CDTF">2026-10-26T10:30:05Z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