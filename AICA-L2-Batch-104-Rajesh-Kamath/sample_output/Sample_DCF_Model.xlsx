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7a28d98af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7a6f251bc604a3e"/>
    <x:sheet xmlns:r="http://schemas.openxmlformats.org/officeDocument/2006/relationships" name="Historical" sheetId="2" r:id="R6659b243cad54ad4"/>
    <x:sheet xmlns:r="http://schemas.openxmlformats.org/officeDocument/2006/relationships" name="Assumptions" sheetId="3" r:id="R10815b6009e64ebf"/>
    <x:sheet xmlns:r="http://schemas.openxmlformats.org/officeDocument/2006/relationships" name="Forecast" sheetId="4" r:id="Rfcdb27d0167d4b8e"/>
    <x:sheet xmlns:r="http://schemas.openxmlformats.org/officeDocument/2006/relationships" name="WACC" sheetId="5" r:id="Rf28179173b7c4479"/>
    <x:sheet xmlns:r="http://schemas.openxmlformats.org/officeDocument/2006/relationships" name="DCF" sheetId="6" r:id="Re3624a2e19d14cc4"/>
    <x:sheet xmlns:r="http://schemas.openxmlformats.org/officeDocument/2006/relationships" name="Sensitivity" sheetId="7" r:id="Rea078bb63ea14516"/>
    <x:sheet xmlns:r="http://schemas.openxmlformats.org/officeDocument/2006/relationships" name="Scenarios" sheetId="8" r:id="Rec01735744f64adf"/>
    <x:sheet xmlns:r="http://schemas.openxmlformats.org/officeDocument/2006/relationships" name="Dashboard" sheetId="9" r:id="Rca5d3f85ab0e4a40"/>
    <x:sheet xmlns:r="http://schemas.openxmlformats.org/officeDocument/2006/relationships" name="Sources" sheetId="10" r:id="R05db8604091d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[Red](#,##0.0);-"/>
    <x:numFmt numFmtId="201" formatCode="0.0%;[Red](0.0%);-"/>
    <x:numFmt numFmtId="202" formatCode="0.00"/>
    <x:numFmt numFmtId="203" formatCode="₹#,##0.0;[Red](₹#,##0.0);-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6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/>
    <x:xf numFmtId="0" fontId="2" fillId="0" borderId="3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201" fontId="5" fillId="4" borderId="0" xfId="0" applyNumberFormat="1" applyFont="1" applyFill="1" applyBorder="1"/>
    <x:xf numFmtId="201" fontId="5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201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201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1" xfId="0" applyNumberFormat="1" applyFont="1" applyFill="1" applyBorder="1"/>
    <x:xf numFmtId="201" fontId="4" fillId="3" borderId="0" xfId="0" applyNumberFormat="1" applyFont="1" applyFill="1" applyBorder="1"/>
    <x:xf numFmtId="201" fontId="4" fillId="3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/>
    <x:xf numFmtId="0" fontId="8" fillId="2" borderId="1" xfId="0" applyNumberFormat="1" applyFont="1" applyFill="1" applyBorder="1" applyAlignment="1">
      <x:alignment horizontal="left"/>
    </x:xf>
    <x:xf numFmtId="0" fontId="9" fillId="0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a58e5c0a6430e" /><Relationship Type="http://schemas.openxmlformats.org/officeDocument/2006/relationships/theme" Target="/xl/theme/theme1.xml" Id="R1811d722762b46c9" /><Relationship Type="http://schemas.openxmlformats.org/officeDocument/2006/relationships/sharedStrings" Target="/xl/sharedStrings.xml" Id="R537bcb429fc543c1" /><Relationship Type="http://schemas.openxmlformats.org/officeDocument/2006/relationships/worksheet" Target="/xl/worksheets/sheet1.xml" Id="R57a6f251bc604a3e" /><Relationship Type="http://schemas.openxmlformats.org/officeDocument/2006/relationships/worksheet" Target="/xl/worksheets/sheet2.xml" Id="R6659b243cad54ad4" /><Relationship Type="http://schemas.openxmlformats.org/officeDocument/2006/relationships/worksheet" Target="/xl/worksheets/sheet3.xml" Id="R10815b6009e64ebf" /><Relationship Type="http://schemas.openxmlformats.org/officeDocument/2006/relationships/worksheet" Target="/xl/worksheets/sheet4.xml" Id="Rfcdb27d0167d4b8e" /><Relationship Type="http://schemas.openxmlformats.org/officeDocument/2006/relationships/worksheet" Target="/xl/worksheets/sheet5.xml" Id="Rf28179173b7c4479" /><Relationship Type="http://schemas.openxmlformats.org/officeDocument/2006/relationships/worksheet" Target="/xl/worksheets/sheet6.xml" Id="Re3624a2e19d14cc4" /><Relationship Type="http://schemas.openxmlformats.org/officeDocument/2006/relationships/worksheet" Target="/xl/worksheets/sheet7.xml" Id="Rea078bb63ea14516" /><Relationship Type="http://schemas.openxmlformats.org/officeDocument/2006/relationships/worksheet" Target="/xl/worksheets/sheet8.xml" Id="Rec01735744f64adf" /><Relationship Type="http://schemas.openxmlformats.org/officeDocument/2006/relationships/worksheet" Target="/xl/worksheets/sheet9.xml" Id="Rca5d3f85ab0e4a40" /><Relationship Type="http://schemas.openxmlformats.org/officeDocument/2006/relationships/worksheet" Target="/xl/worksheets/sheet10.xml" Id="R05db8604091d4e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8d92f6e9934c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Historical Net Sales</a:t>
            </a:r>
          </a:p>
        </c:rich>
      </c:tx>
    </c:title>
    <c:plotArea>
      <c:lineChart>
        <c:grouping val="standard"/>
        <c:ser>
          <c:idx val="0"/>
          <c:order val="0"/>
          <c:tx>
            <c:v>FY2023A</c:v>
          </c:tx>
          <c:marker>
            <c:symbol val="none"/>
          </c:marker>
          <c:cat>
            <c:strRef>
              <c:f>'Historical'!$B$4</c:f>
              <c:strCache>
                <c:ptCount val="0"/>
              </c:strCache>
            </c:strRef>
          </c:cat>
          <c:val>
            <c:numRef>
              <c:f>'Historical'!$C$4</c:f>
              <c:numCache>
                <c:formatCode>#,##0.0;[Red](#,##0.0);-</c:formatCode>
                <c:ptCount val="0"/>
              </c:numCache>
            </c:numRef>
          </c:val>
        </c:ser>
        <c:ser>
          <c:idx val="1"/>
          <c:order val="1"/>
          <c:tx>
            <c:v>FY2024A</c:v>
          </c:tx>
          <c:marker>
            <c:symbol val="none"/>
          </c:marker>
          <c:cat>
            <c:strRef>
              <c:f>'Historical'!$B$4</c:f>
              <c:strCache>
                <c:ptCount val="0"/>
              </c:strCache>
            </c:strRef>
          </c:cat>
          <c:val>
            <c:numRef>
              <c:f>'Historical'!$D$4</c:f>
              <c:numCache>
                <c:formatCode>#,##0.0;[Red](#,##0.0);-</c:formatCode>
                <c:ptCount val="0"/>
              </c:numCache>
            </c:numRef>
          </c:val>
        </c:ser>
        <c:ser>
          <c:idx val="2"/>
          <c:order val="2"/>
          <c:tx>
            <c:v>FY2025A</c:v>
          </c:tx>
          <c:marker>
            <c:symbol val="none"/>
          </c:marker>
          <c:cat>
            <c:strRef>
              <c:f>'Historical'!$B$4</c:f>
              <c:strCache>
                <c:ptCount val="0"/>
              </c:strCache>
            </c:strRef>
          </c:cat>
          <c:val>
            <c:numRef>
              <c:f>'Historical'!$E$4</c:f>
              <c:numCache>
                <c:formatCode>#,##0.0;[Red](#,##0.0);-</c:formatCode>
                <c:ptCount val="0"/>
              </c:numCache>
            </c:numRef>
          </c:val>
        </c:ser>
        <c:ser>
          <c:idx val="3"/>
          <c:order val="3"/>
          <c:tx>
            <c:v>FY2026A</c:v>
          </c:tx>
          <c:marker>
            <c:symbol val="none"/>
          </c:marker>
          <c:cat>
            <c:strRef>
              <c:f>'Historical'!$B$4</c:f>
              <c:strCache>
                <c:ptCount val="0"/>
              </c:strCache>
            </c:strRef>
          </c:cat>
          <c:val>
            <c:numRef>
              <c:f>'Historical'!$F$4</c:f>
              <c:numCache>
                <c:formatCode>#,##0.0;[Red](#,##0.0);-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8d92f6e9934c9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4282212b944c4e3b" /></Relationships>
</file>

<file path=xl/worksheets/sheet1.xml><?xml version="1.0" encoding="utf-8"?>
<x:worksheet xmlns:x="http://schemas.openxmlformats.org/spreadsheetml/2006/main">
  <x:sheetFormatPr defaultRowHeight="15"/>
  <x:cols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>
      <x:c r="B2" s="5" t="str">
        <x:v>ASIAN PAINTS LIMITED</x:v>
      </x:c>
      <x:c r="C2" s="5"/>
      <x:c r="D2" s="5"/>
      <x:c r="E2" s="5"/>
      <x:c r="F2" s="5"/>
      <x:c r="G2" s="5"/>
      <x:c r="H2" s="5"/>
    </x:row>
    <x:row r="3">
      <x:c r="B3" s="5"/>
      <x:c r="C3" s="5"/>
      <x:c r="D3" s="5"/>
      <x:c r="E3" s="5"/>
      <x:c r="F3" s="5"/>
      <x:c r="G3" s="5"/>
      <x:c r="H3" s="5"/>
    </x:row>
    <x:row r="4">
      <x:c r="B4" s="5" t="str">
        <x:v>Discounted Cash Flow Valuation Model</x:v>
      </x:c>
      <x:c r="C4" s="5"/>
      <x:c r="D4" s="5"/>
      <x:c r="E4" s="5"/>
      <x:c r="F4" s="5"/>
      <x:c r="G4" s="5"/>
      <x:c r="H4" s="5"/>
    </x:row>
    <x:row r="6">
      <x:c r="B6" s="13" t="str">
        <x:v>Valuation date</x:v>
      </x:c>
      <x:c r="C6" s="10" t="str">
        <x:v>28 August 2026</x:v>
      </x:c>
      <x:c r="D6" t="str"/>
      <x:c r="E6" t="str"/>
      <x:c r="F6" t="str"/>
      <x:c r="G6" t="str"/>
      <x:c r="H6" t="str"/>
    </x:row>
    <x:row r="7">
      <x:c r="B7" s="13" t="str">
        <x:v>Method</x:v>
      </x:c>
      <x:c r="C7" s="10" t="str">
        <x:v>FCFF - Enterprise DCF</x:v>
      </x:c>
      <x:c r="D7" t="str"/>
      <x:c r="E7" t="str"/>
      <x:c r="F7" t="str"/>
      <x:c r="G7" t="str"/>
      <x:c r="H7" t="str"/>
    </x:row>
    <x:row r="8">
      <x:c r="B8" s="13" t="str">
        <x:v>Currency</x:v>
      </x:c>
      <x:c r="C8" s="10" t="str">
        <x:v>₹ Crores except per-share data</x:v>
      </x:c>
      <x:c r="D8" t="str"/>
      <x:c r="E8" t="str"/>
      <x:c r="F8" t="str"/>
      <x:c r="G8" t="str"/>
      <x:c r="H8" t="str"/>
    </x:row>
    <x:row r="9">
      <x:c r="B9" s="13" t="str">
        <x:v>Explicit forecast</x:v>
      </x:c>
      <x:c r="C9" s="10" t="str">
        <x:v>FY2027E-FY2031E</x:v>
      </x:c>
      <x:c r="D9" t="str"/>
      <x:c r="E9" t="str"/>
      <x:c r="F9" t="str"/>
      <x:c r="G9" t="str"/>
      <x:c r="H9" t="str"/>
    </x:row>
    <x:row r="10">
      <x:c r="B10" s="13" t="str">
        <x:v>Terminal method</x:v>
      </x:c>
      <x:c r="C10" s="10" t="str">
        <x:v>Gordon Growth</x:v>
      </x:c>
      <x:c r="D10" t="str"/>
      <x:c r="E10" t="str"/>
      <x:c r="F10" t="str"/>
      <x:c r="G10" t="str"/>
      <x:c r="H10" t="str"/>
    </x:row>
    <x:row r="11">
      <x:c r="B11" s="14" t="str">
        <x:v>Purpose</x:v>
      </x:c>
      <x:c r="C11" s="11" t="str">
        <x:v>Academic Capstone Project</x:v>
      </x:c>
      <x:c r="D11" t="str"/>
      <x:c r="E11" t="str"/>
      <x:c r="F11" t="str"/>
      <x:c r="G11" t="str"/>
      <x:c r="H11" t="str"/>
    </x:row>
  </x:sheetData>
  <x:mergeCells>
    <x:mergeCell ref="B2:H3"/>
    <x:mergeCell ref="B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67" t="str">
        <x:v>Historical Financial Performance (Consolidated)</x:v>
      </x:c>
      <x:c r="B1" s="67"/>
      <x:c r="C1" s="67"/>
      <x:c r="D1" s="67"/>
      <x:c r="E1" s="67"/>
      <x:c r="F1" s="67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3">
      <x:c r="A3" s="23" t="str">
        <x:v>₹ Crores</x:v>
      </x:c>
      <x:c r="B3" s="23" t="str">
        <x:v>FY2022A</x:v>
      </x:c>
      <x:c r="C3" s="23" t="str">
        <x:v>FY2023A</x:v>
      </x:c>
      <x:c r="D3" s="23" t="str">
        <x:v>FY2024A</x:v>
      </x:c>
      <x:c r="E3" s="23" t="str">
        <x:v>FY2025A</x:v>
      </x:c>
      <x:c r="F3" s="23" t="str">
        <x:v>FY2026A</x:v>
      </x:c>
    </x:row>
    <x:row r="4">
      <x:c r="A4" s="27" t="str">
        <x:v>Net Sales</x:v>
      </x:c>
      <x:c r="B4" s="29" t="n">
        <x:v>28923.5</x:v>
      </x:c>
      <x:c r="C4" s="29" t="n">
        <x:v>34367.8</x:v>
      </x:c>
      <x:c r="D4" s="29" t="n">
        <x:v>35382.1</x:v>
      </x:c>
      <x:c r="E4" s="29" t="n">
        <x:v>33797.4</x:v>
      </x:c>
      <x:c r="F4" s="29" t="n">
        <x:v>35516</x:v>
      </x:c>
    </x:row>
    <x:row r="5">
      <x:c r="A5" s="27" t="str">
        <x:v>YoY Growth</x:v>
      </x:c>
      <x:c r="B5" s="31"/>
      <x:c r="C5" s="31" t="n">
        <x:v>0.188</x:v>
      </x:c>
      <x:c r="D5" s="31" t="n">
        <x:v>0.0295</x:v>
      </x:c>
      <x:c r="E5" s="31" t="n">
        <x:v>-0.0448</x:v>
      </x:c>
      <x:c r="F5" s="31" t="n">
        <x:v>0.0509</x:v>
      </x:c>
    </x:row>
    <x:row r="6">
      <x:c r="A6" s="27" t="str">
        <x:v>EBITDA</x:v>
      </x:c>
      <x:c r="B6" s="29" t="n">
        <x:v>4803.6</x:v>
      </x:c>
      <x:c r="C6" s="29" t="n">
        <x:v>6259.8</x:v>
      </x:c>
      <x:c r="D6" s="29" t="n">
        <x:v>8244</x:v>
      </x:c>
      <x:c r="E6" s="29" t="n">
        <x:v>5982.1</x:v>
      </x:c>
      <x:c r="F6" s="29" t="n">
        <x:v>6712.5</x:v>
      </x:c>
    </x:row>
    <x:row r="7">
      <x:c r="A7" s="27" t="str">
        <x:v>EBITDA Margin</x:v>
      </x:c>
      <x:c r="B7" s="31" t="n">
        <x:v>0.1661</x:v>
      </x:c>
      <x:c r="C7" s="31" t="n">
        <x:v>0.1821</x:v>
      </x:c>
      <x:c r="D7" s="31" t="n">
        <x:v>0.233</x:v>
      </x:c>
      <x:c r="E7" s="31" t="n">
        <x:v>0.177</x:v>
      </x:c>
      <x:c r="F7" s="31" t="n">
        <x:v>0.189</x:v>
      </x:c>
    </x:row>
    <x:row r="8">
      <x:c r="A8" s="27" t="str">
        <x:v>D&amp;A</x:v>
      </x:c>
      <x:c r="B8" s="29" t="n">
        <x:v>816.4</x:v>
      </x:c>
      <x:c r="C8" s="29" t="n">
        <x:v>858</x:v>
      </x:c>
      <x:c r="D8" s="29" t="n">
        <x:v>950</x:v>
      </x:c>
      <x:c r="E8" s="29" t="n">
        <x:v>1026.3</x:v>
      </x:c>
      <x:c r="F8" s="29" t="n">
        <x:v>1228.9</x:v>
      </x:c>
    </x:row>
    <x:row r="9">
      <x:c r="A9" s="27" t="str">
        <x:v>EBIT</x:v>
      </x:c>
      <x:c r="B9" s="29" t="n">
        <x:v>3987.2</x:v>
      </x:c>
      <x:c r="C9" s="29" t="n">
        <x:v>5401.8</x:v>
      </x:c>
      <x:c r="D9" s="29" t="n">
        <x:v>7294</x:v>
      </x:c>
      <x:c r="E9" s="29" t="n">
        <x:v>4955.8</x:v>
      </x:c>
      <x:c r="F9" s="29" t="n">
        <x:v>5483.6</x:v>
      </x:c>
    </x:row>
    <x:row r="10">
      <x:c r="A10" s="27" t="str">
        <x:v>Tax Rate</x:v>
      </x:c>
      <x:c r="B10" s="31" t="n">
        <x:v>0.258</x:v>
      </x:c>
      <x:c r="C10" s="31" t="n">
        <x:v>0.265</x:v>
      </x:c>
      <x:c r="D10" s="31" t="n">
        <x:v>0.255</x:v>
      </x:c>
      <x:c r="E10" s="31" t="n">
        <x:v>0.26</x:v>
      </x:c>
      <x:c r="F10" s="31" t="n">
        <x:v>0.26</x:v>
      </x:c>
    </x:row>
    <x:row r="11">
      <x:c r="A11" s="27" t="str">
        <x:v>NOPAT</x:v>
      </x:c>
      <x:c r="B11" s="29" t="n">
        <x:v>2958.5</x:v>
      </x:c>
      <x:c r="C11" s="29" t="n">
        <x:v>3970.3</x:v>
      </x:c>
      <x:c r="D11" s="29" t="n">
        <x:v>5434</x:v>
      </x:c>
      <x:c r="E11" s="29" t="n">
        <x:v>3667.3</x:v>
      </x:c>
      <x:c r="F11" s="29" t="n">
        <x:v>4058</x:v>
      </x:c>
    </x:row>
    <x:row r="12">
      <x:c r="A12" s="27" t="str">
        <x:v>Capex</x:v>
      </x:c>
      <x:c r="B12" s="29" t="n">
        <x:v>1100</x:v>
      </x:c>
      <x:c r="C12" s="29" t="n">
        <x:v>1300</x:v>
      </x:c>
      <x:c r="D12" s="29" t="n">
        <x:v>1550</x:v>
      </x:c>
      <x:c r="E12" s="29" t="n">
        <x:v>1805.3</x:v>
      </x:c>
      <x:c r="F12" s="29" t="n">
        <x:v>1467</x:v>
      </x:c>
    </x:row>
    <x:row r="13">
      <x:c r="A13" s="27" t="str">
        <x:v>Free Cash Flow</x:v>
      </x:c>
      <x:c r="B13" s="29"/>
      <x:c r="C13" s="29" t="n">
        <x:v>4100.2</x:v>
      </x:c>
      <x:c r="D13" s="29" t="n">
        <x:v>3571</x:v>
      </x:c>
      <x:c r="E13" s="29"/>
      <x:c r="F13" s="29" t="n">
        <x:v>5566.7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8" hidden="0" customWidth="1"/>
    <x:col min="4" max="4" width="30" hidden="0" customWidth="1"/>
  </x:cols>
  <x:sheetData>
    <x:row r="1">
      <x:c r="A1" s="43" t="str">
        <x:v>Key Forecast &amp; Valuation Assumptions</x:v>
      </x:c>
      <x:c r="B1" s="43"/>
      <x:c r="C1" s="43"/>
      <x:c r="D1" s="43"/>
    </x:row>
    <x:row r="2">
      <x:c r="A2" s="44"/>
      <x:c r="B2" s="44"/>
      <x:c r="C2" s="44"/>
      <x:c r="D2" s="44"/>
    </x:row>
    <x:row r="3">
      <x:c r="A3" s="45" t="str">
        <x:v>Assumption</x:v>
      </x:c>
      <x:c r="B3" s="45" t="str">
        <x:v>Base Case</x:v>
      </x:c>
      <x:c r="C3" s="45" t="str">
        <x:v>Rationale</x:v>
      </x:c>
      <x:c r="D3" s="45" t="str">
        <x:v>Source / Note</x:v>
      </x:c>
    </x:row>
    <x:row r="4">
      <x:c r="A4" s="44" t="str">
        <x:v>FY27 Revenue Growth</x:v>
      </x:c>
      <x:c r="B4" s="46" t="n">
        <x:v>0.12</x:v>
      </x:c>
      <x:c r="C4" s="44" t="str">
        <x:v>Strong Q1 FY27 +17.9% consolidated; normalize full year</x:v>
      </x:c>
      <x:c r="D4" s="44" t="str">
        <x:v>Asian Paints Q1 FY27</x:v>
      </x:c>
    </x:row>
    <x:row r="5">
      <x:c r="A5" s="44" t="str">
        <x:v>FY28 Revenue Growth</x:v>
      </x:c>
      <x:c r="B5" s="46" t="n">
        <x:v>0.09</x:v>
      </x:c>
      <x:c r="C5" s="44" t="str">
        <x:v>Normalisation toward sector growth</x:v>
      </x:c>
      <x:c r="D5" s="44" t="str">
        <x:v>Analyst assumption</x:v>
      </x:c>
    </x:row>
    <x:row r="6">
      <x:c r="A6" s="44" t="str">
        <x:v>FY29 Revenue Growth</x:v>
      </x:c>
      <x:c r="B6" s="46" t="n">
        <x:v>0.085</x:v>
      </x:c>
      <x:c r="C6" s="44" t="str">
        <x:v>Maturing growth profile</x:v>
      </x:c>
      <x:c r="D6" s="44" t="str">
        <x:v>Analyst assumption</x:v>
      </x:c>
    </x:row>
    <x:row r="7">
      <x:c r="A7" s="44" t="str">
        <x:v>FY30 Revenue Growth</x:v>
      </x:c>
      <x:c r="B7" s="46" t="n">
        <x:v>0.08</x:v>
      </x:c>
      <x:c r="C7" s="44" t="str">
        <x:v>Long-term normalization</x:v>
      </x:c>
      <x:c r="D7" s="44" t="str">
        <x:v>Analyst assumption</x:v>
      </x:c>
    </x:row>
    <x:row r="8">
      <x:c r="A8" s="44" t="str">
        <x:v>FY31 Revenue Growth</x:v>
      </x:c>
      <x:c r="B8" s="46" t="n">
        <x:v>0.075</x:v>
      </x:c>
      <x:c r="C8" s="44" t="str">
        <x:v>Transition toward terminal growth</x:v>
      </x:c>
      <x:c r="D8" s="44" t="str">
        <x:v>Analyst assumption</x:v>
      </x:c>
    </x:row>
    <x:row r="9">
      <x:c r="A9" s="44" t="str">
        <x:v>FY27 EBITDA Margin</x:v>
      </x:c>
      <x:c r="B9" s="46" t="n">
        <x:v>0.195</x:v>
      </x:c>
      <x:c r="C9" s="44" t="str">
        <x:v>Operating leverage and FY26 recovery</x:v>
      </x:c>
      <x:c r="D9" s="44" t="str">
        <x:v>Analyst assumption</x:v>
      </x:c>
    </x:row>
    <x:row r="10">
      <x:c r="A10" s="44" t="str">
        <x:v>FY31 EBITDA Margin</x:v>
      </x:c>
      <x:c r="B10" s="46" t="n">
        <x:v>0.205</x:v>
      </x:c>
      <x:c r="C10" s="44" t="str">
        <x:v>Gradual margin normalization</x:v>
      </x:c>
      <x:c r="D10" s="44" t="str">
        <x:v>Analyst assumption</x:v>
      </x:c>
    </x:row>
    <x:row r="11">
      <x:c r="A11" s="44" t="str">
        <x:v>Tax Rate</x:v>
      </x:c>
      <x:c r="B11" s="46" t="n">
        <x:v>0.255</x:v>
      </x:c>
      <x:c r="C11" s="44" t="str">
        <x:v>Normalized corporate effective tax rate</x:v>
      </x:c>
      <x:c r="D11" s="44" t="str">
        <x:v>Model assumption</x:v>
      </x:c>
    </x:row>
    <x:row r="12">
      <x:c r="A12" s="44" t="str">
        <x:v>D&amp;A % Sales</x:v>
      </x:c>
      <x:c r="B12" s="46" t="n">
        <x:v>0.034</x:v>
      </x:c>
      <x:c r="C12" s="44" t="str">
        <x:v>Reflects recent capacity investment</x:v>
      </x:c>
      <x:c r="D12" s="44" t="str">
        <x:v>Historical/model assumption</x:v>
      </x:c>
    </x:row>
    <x:row r="13">
      <x:c r="A13" s="44" t="str">
        <x:v>Capex % Sales</x:v>
      </x:c>
      <x:c r="B13" s="46" t="n">
        <x:v>0.04</x:v>
      </x:c>
      <x:c r="C13" s="44" t="str">
        <x:v>Continued capacity / growth investments</x:v>
      </x:c>
      <x:c r="D13" s="44" t="str">
        <x:v>Model assumption</x:v>
      </x:c>
    </x:row>
    <x:row r="14">
      <x:c r="A14" s="44" t="str">
        <x:v>ΔNWC % Incremental Sales</x:v>
      </x:c>
      <x:c r="B14" s="46" t="n">
        <x:v>0.08</x:v>
      </x:c>
      <x:c r="C14" s="44" t="str">
        <x:v>Normalized working-capital investment</x:v>
      </x:c>
      <x:c r="D14" s="44" t="str">
        <x:v>Model assumption</x:v>
      </x:c>
    </x:row>
    <x:row r="15">
      <x:c r="A15" s="44" t="str">
        <x:v>Risk-free Rate</x:v>
      </x:c>
      <x:c r="B15" s="46" t="n">
        <x:v>0.06913</x:v>
      </x:c>
      <x:c r="C15" s="44" t="str">
        <x:v>India 10Y G-Sec yield, 28 Aug 2026</x:v>
      </x:c>
      <x:c r="D15" s="44" t="str">
        <x:v>Investing.com</x:v>
      </x:c>
    </x:row>
    <x:row r="16">
      <x:c r="A16" s="44" t="str">
        <x:v>Equity Risk Premium</x:v>
      </x:c>
      <x:c r="B16" s="46" t="n">
        <x:v>0.055</x:v>
      </x:c>
      <x:c r="C16" s="44" t="str">
        <x:v>India normalized ERP</x:v>
      </x:c>
      <x:c r="D16" s="44" t="str">
        <x:v>Academic assumption</x:v>
      </x:c>
    </x:row>
    <x:row r="17">
      <x:c r="A17" s="44" t="str">
        <x:v>Beta</x:v>
      </x:c>
      <x:c r="B17" s="46" t="n">
        <x:v>0.85</x:v>
      </x:c>
      <x:c r="C17" s="44" t="str">
        <x:v>Mature consumer/paint franchise</x:v>
      </x:c>
      <x:c r="D17" s="44" t="str">
        <x:v>Academic assumption</x:v>
      </x:c>
    </x:row>
    <x:row r="18">
      <x:c r="A18" s="44" t="str">
        <x:v>Pre-tax Cost of Debt</x:v>
      </x:c>
      <x:c r="B18" s="46" t="n">
        <x:v>0.075</x:v>
      </x:c>
      <x:c r="C18" s="44" t="str">
        <x:v>Indicative borrowing cost</x:v>
      </x:c>
      <x:c r="D18" s="44" t="str">
        <x:v>Model assumption</x:v>
      </x:c>
    </x:row>
    <x:row r="19">
      <x:c r="A19" s="44" t="str">
        <x:v>Debt Weight</x:v>
      </x:c>
      <x:c r="B19" s="47" t="n">
        <x:v>0.01</x:v>
      </x:c>
      <x:c r="C19" s="44" t="str">
        <x:v>Near debt-light capital structure</x:v>
      </x:c>
      <x:c r="D19" s="44" t="str">
        <x:v>Model assumption</x:v>
      </x:c>
    </x:row>
    <x:row r="20">
      <x:c r="A20" s="44" t="str">
        <x:v>Terminal Growth</x:v>
      </x:c>
      <x:c r="B20" s="46" t="n">
        <x:v>0.055</x:v>
      </x:c>
      <x:c r="C20" s="44" t="str">
        <x:v>Long-term nominal growth below WACC</x:v>
      </x:c>
      <x:c r="D20" s="44" t="str">
        <x:v>Academic assumption</x:v>
      </x:c>
    </x:row>
    <x:row r="21">
      <x:c r="A21" s="44" t="str">
        <x:v>Shares Outstanding (Cr)</x:v>
      </x:c>
      <x:c r="B21" s="48" t="n">
        <x:v>95.92</x:v>
      </x:c>
      <x:c r="C21" s="44" t="str">
        <x:v>Equity capital ₹95.92cr, FV ₹1</x:v>
      </x:c>
      <x:c r="D21" s="44" t="str">
        <x:v>FY26 Annual Report</x:v>
      </x:c>
    </x:row>
    <x:row r="22">
      <x:c r="A22" s="44" t="str">
        <x:v>Market Price (₹)</x:v>
      </x:c>
      <x:c r="B22" s="49" t="n">
        <x:v>2608.7</x:v>
      </x:c>
      <x:c r="C22" s="44" t="str">
        <x:v>NSE close 28 Aug 2026</x:v>
      </x:c>
      <x:c r="D22" s="44" t="str">
        <x:v>StockAnalysis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71" t="str">
        <x:v>FCFF Forecast</x:v>
      </x:c>
      <x:c r="B1" s="71"/>
      <x:c r="C1" s="71"/>
      <x:c r="D1" s="71"/>
      <x:c r="E1" s="71"/>
      <x:c r="F1" s="71"/>
      <x:c r="G1" s="71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3">
      <x:c r="A3" s="22" t="str">
        <x:v>₹ Crores</x:v>
      </x:c>
      <x:c r="B3" s="22" t="str">
        <x:v>FY2026A</x:v>
      </x:c>
      <x:c r="C3" s="22" t="str">
        <x:v>FY2027E</x:v>
      </x:c>
      <x:c r="D3" s="22" t="str">
        <x:v>FY2028E</x:v>
      </x:c>
      <x:c r="E3" s="22" t="str">
        <x:v>FY2029E</x:v>
      </x:c>
      <x:c r="F3" s="22" t="str">
        <x:v>FY2030E</x:v>
      </x:c>
      <x:c r="G3" s="22" t="str">
        <x:v>FY2031E</x:v>
      </x:c>
    </x:row>
    <x:row r="4">
      <x:c r="A4" s="27" t="str">
        <x:v>Net Sales</x:v>
      </x:c>
      <x:c r="B4" s="29" t="n">
        <x:v>35516</x:v>
      </x:c>
      <x:c r="C4" s="57" t="n">
        <x:f>B4*(1+C5)</x:f>
        <x:v>39777.920000000006</x:v>
      </x:c>
      <x:c r="D4" s="57" t="n">
        <x:f>C4*(1+D5)</x:f>
        <x:v>43357.93280000001</x:v>
      </x:c>
      <x:c r="E4" s="57" t="n">
        <x:f>D4*(1+E5)</x:f>
        <x:v>47043.35708800001</x:v>
      </x:c>
      <x:c r="F4" s="57" t="n">
        <x:f>E4*(1+F5)</x:f>
        <x:v>50806.82565504002</x:v>
      </x:c>
      <x:c r="G4" s="57" t="n">
        <x:f>F4*(1+G5)</x:f>
        <x:v>54617.337579168016</x:v>
      </x:c>
    </x:row>
    <x:row r="5">
      <x:c r="A5" s="27" t="str">
        <x:v>Revenue Growth</x:v>
      </x:c>
      <x:c r="B5" s="31" t="n">
        <x:v>0.0509</x:v>
      </x:c>
      <x:c r="C5" s="58" t="n">
        <x:f>Assumptions!B4</x:f>
        <x:v>0.12</x:v>
      </x:c>
      <x:c r="D5" s="58" t="n">
        <x:f>Assumptions!B5</x:f>
        <x:v>0.09</x:v>
      </x:c>
      <x:c r="E5" s="58" t="n">
        <x:f>Assumptions!B6</x:f>
        <x:v>0.085</x:v>
      </x:c>
      <x:c r="F5" s="58" t="n">
        <x:f>Assumptions!B7</x:f>
        <x:v>0.08</x:v>
      </x:c>
      <x:c r="G5" s="58" t="n">
        <x:f>Assumptions!B8</x:f>
        <x:v>0.075</x:v>
      </x:c>
    </x:row>
    <x:row r="6">
      <x:c r="A6" s="27" t="str">
        <x:v>EBITDA Margin</x:v>
      </x:c>
      <x:c r="B6" s="31" t="n">
        <x:v>0.189</x:v>
      </x:c>
      <x:c r="C6" s="58" t="n">
        <x:f>Assumptions!$B$9+(0/4)*(Assumptions!$B$10-Assumptions!$B$9)</x:f>
        <x:v>0.195</x:v>
      </x:c>
      <x:c r="D6" s="58" t="n">
        <x:f>Assumptions!$B$9+(1/4)*(Assumptions!$B$10-Assumptions!$B$9)</x:f>
        <x:v>0.1975</x:v>
      </x:c>
      <x:c r="E6" s="58" t="n">
        <x:f>Assumptions!$B$9+(2/4)*(Assumptions!$B$10-Assumptions!$B$9)</x:f>
        <x:v>0.2</x:v>
      </x:c>
      <x:c r="F6" s="58" t="n">
        <x:f>Assumptions!$B$9+(3/4)*(Assumptions!$B$10-Assumptions!$B$9)</x:f>
        <x:v>0.20249999999999999</x:v>
      </x:c>
      <x:c r="G6" s="58" t="n">
        <x:f>Assumptions!$B$9+(4/4)*(Assumptions!$B$10-Assumptions!$B$9)</x:f>
        <x:v>0.205</x:v>
      </x:c>
    </x:row>
    <x:row r="7">
      <x:c r="A7" s="27" t="str">
        <x:v>EBITDA</x:v>
      </x:c>
      <x:c r="B7" s="29" t="n">
        <x:f>B4*B6</x:f>
        <x:v>6712.524</x:v>
      </x:c>
      <x:c r="C7" s="57" t="n">
        <x:f>C4*C6</x:f>
        <x:v>7756.694400000001</x:v>
      </x:c>
      <x:c r="D7" s="57" t="n">
        <x:f>D4*D6</x:f>
        <x:v>8563.191728000002</x:v>
      </x:c>
      <x:c r="E7" s="57" t="n">
        <x:f>E4*E6</x:f>
        <x:v>9408.671417600002</x:v>
      </x:c>
      <x:c r="F7" s="57" t="n">
        <x:f>F4*F6</x:f>
        <x:v>10288.382195145603</x:v>
      </x:c>
      <x:c r="G7" s="57" t="n">
        <x:f>G4*G6</x:f>
        <x:v>11196.554203729442</x:v>
      </x:c>
    </x:row>
    <x:row r="8">
      <x:c r="A8" s="27" t="str">
        <x:v>D&amp;A</x:v>
      </x:c>
      <x:c r="B8" s="29" t="n">
        <x:v>1228.85</x:v>
      </x:c>
      <x:c r="C8" s="57" t="n">
        <x:f>C4*Assumptions!$B$12</x:f>
        <x:v>1352.4492800000003</x:v>
      </x:c>
      <x:c r="D8" s="57" t="n">
        <x:f>D4*Assumptions!$B$12</x:f>
        <x:v>1474.1697152000004</x:v>
      </x:c>
      <x:c r="E8" s="57" t="n">
        <x:f>E4*Assumptions!$B$12</x:f>
        <x:v>1599.4741409920005</x:v>
      </x:c>
      <x:c r="F8" s="57" t="n">
        <x:f>F4*Assumptions!$B$12</x:f>
        <x:v>1727.4320722713608</x:v>
      </x:c>
      <x:c r="G8" s="57" t="n">
        <x:f>G4*Assumptions!$B$12</x:f>
        <x:v>1856.9894776917126</x:v>
      </x:c>
    </x:row>
    <x:row r="9">
      <x:c r="A9" s="27" t="str">
        <x:v>EBIT</x:v>
      </x:c>
      <x:c r="B9" s="29" t="n">
        <x:f>B7-B8</x:f>
        <x:v>5483.674000000001</x:v>
      </x:c>
      <x:c r="C9" s="57" t="n">
        <x:f>C7-C8</x:f>
        <x:v>6404.245120000001</x:v>
      </x:c>
      <x:c r="D9" s="57" t="n">
        <x:f>D7-D8</x:f>
        <x:v>7089.022012800001</x:v>
      </x:c>
      <x:c r="E9" s="57" t="n">
        <x:f>E7-E8</x:f>
        <x:v>7809.197276608002</x:v>
      </x:c>
      <x:c r="F9" s="57" t="n">
        <x:f>F7-F8</x:f>
        <x:v>8560.950122874243</x:v>
      </x:c>
      <x:c r="G9" s="57" t="n">
        <x:f>G7-G8</x:f>
        <x:v>9339.56472603773</x:v>
      </x:c>
    </x:row>
    <x:row r="10">
      <x:c r="A10" s="27" t="str">
        <x:v>Tax Rate</x:v>
      </x:c>
      <x:c r="B10" s="31" t="n">
        <x:v>0.26</x:v>
      </x:c>
      <x:c r="C10" s="58" t="n">
        <x:f>Assumptions!$B$11</x:f>
        <x:v>0.255</x:v>
      </x:c>
      <x:c r="D10" s="58" t="n">
        <x:f>Assumptions!$B$11</x:f>
        <x:v>0.255</x:v>
      </x:c>
      <x:c r="E10" s="58" t="n">
        <x:f>Assumptions!$B$11</x:f>
        <x:v>0.255</x:v>
      </x:c>
      <x:c r="F10" s="58" t="n">
        <x:f>Assumptions!$B$11</x:f>
        <x:v>0.255</x:v>
      </x:c>
      <x:c r="G10" s="58" t="n">
        <x:f>Assumptions!$B$11</x:f>
        <x:v>0.255</x:v>
      </x:c>
    </x:row>
    <x:row r="11">
      <x:c r="A11" s="27" t="str">
        <x:v>NOPAT</x:v>
      </x:c>
      <x:c r="B11" s="29" t="n">
        <x:f>B9*(1-B10)</x:f>
        <x:v>4057.9187600000005</x:v>
      </x:c>
      <x:c r="C11" s="57" t="n">
        <x:f>C9*(1-C10)</x:f>
        <x:v>4771.162614400001</x:v>
      </x:c>
      <x:c r="D11" s="57" t="n">
        <x:f>D9*(1-D10)</x:f>
        <x:v>5281.321399536001</x:v>
      </x:c>
      <x:c r="E11" s="57" t="n">
        <x:f>E9*(1-E10)</x:f>
        <x:v>5817.8519710729615</x:v>
      </x:c>
      <x:c r="F11" s="57" t="n">
        <x:f>F9*(1-F10)</x:f>
        <x:v>6377.9078415413105</x:v>
      </x:c>
      <x:c r="G11" s="57" t="n">
        <x:f>G9*(1-G10)</x:f>
        <x:v>6957.975720898109</x:v>
      </x:c>
    </x:row>
    <x:row r="12">
      <x:c r="A12" s="27" t="str">
        <x:v>Capex</x:v>
      </x:c>
      <x:c r="B12" s="29" t="n">
        <x:v>1467.02</x:v>
      </x:c>
      <x:c r="C12" s="57" t="n">
        <x:f>C4*Assumptions!$B$13</x:f>
        <x:v>1591.1168000000002</x:v>
      </x:c>
      <x:c r="D12" s="57" t="n">
        <x:f>D4*Assumptions!$B$13</x:f>
        <x:v>1734.3173120000004</x:v>
      </x:c>
      <x:c r="E12" s="57" t="n">
        <x:f>E4*Assumptions!$B$13</x:f>
        <x:v>1881.7342835200004</x:v>
      </x:c>
      <x:c r="F12" s="57" t="n">
        <x:f>F4*Assumptions!$B$13</x:f>
        <x:v>2032.2730262016007</x:v>
      </x:c>
      <x:c r="G12" s="57" t="n">
        <x:f>G4*Assumptions!$B$13</x:f>
        <x:v>2184.693503166721</x:v>
      </x:c>
    </x:row>
    <x:row r="13">
      <x:c r="A13" s="27" t="str">
        <x:v>ΔNWC</x:v>
      </x:c>
      <x:c r="B13" s="29" t="n">
        <x:v>0</x:v>
      </x:c>
      <x:c r="C13" s="57" t="n">
        <x:f>(C4-B4)*Assumptions!$B$14</x:f>
        <x:v>340.95360000000045</x:v>
      </x:c>
      <x:c r="D13" s="57" t="n">
        <x:f>(D4-C4)*Assumptions!$B$14</x:f>
        <x:v>286.40102400000035</x:v>
      </x:c>
      <x:c r="E13" s="57" t="n">
        <x:f>(E4-D4)*Assumptions!$B$14</x:f>
        <x:v>294.8339430400002</x:v>
      </x:c>
      <x:c r="F13" s="57" t="n">
        <x:f>(F4-E4)*Assumptions!$B$14</x:f>
        <x:v>301.07748536320054</x:v>
      </x:c>
      <x:c r="G13" s="57" t="n">
        <x:f>(G4-F4)*Assumptions!$B$14</x:f>
        <x:v>304.8409539302398</x:v>
      </x:c>
    </x:row>
    <x:row r="14">
      <x:c r="A14" s="27" t="str">
        <x:v>FCFF</x:v>
      </x:c>
      <x:c r="B14" s="29" t="n">
        <x:f>B11+B8-B12-B13</x:f>
        <x:v>3819.748760000001</x:v>
      </x:c>
      <x:c r="C14" s="57" t="n">
        <x:f>C11+C8-C12-C13</x:f>
        <x:v>4191.5414944</x:v>
      </x:c>
      <x:c r="D14" s="57" t="n">
        <x:f>D11+D8-D12-D13</x:f>
        <x:v>4734.772778736001</x:v>
      </x:c>
      <x:c r="E14" s="57" t="n">
        <x:f>E11+E8-E12-E13</x:f>
        <x:v>5240.757885504961</x:v>
      </x:c>
      <x:c r="F14" s="57" t="n">
        <x:f>F11+F8-F12-F13</x:f>
        <x:v>5771.98940224787</x:v>
      </x:c>
      <x:c r="G14" s="57" t="n">
        <x:f>G11+G8-G12-G13</x:f>
        <x:v>6325.430741492861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71" t="str">
        <x:v>Weighted Average Cost of Capital</x:v>
      </x:c>
      <x:c r="B1" s="71"/>
      <x:c r="C1" s="71"/>
      <x:c r="D1" s="71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3">
      <x:c r="A3" s="22" t="str">
        <x:v>Component</x:v>
      </x:c>
      <x:c r="B3" s="22" t="str">
        <x:v>Value</x:v>
      </x:c>
      <x:c r="C3" s="22" t="str">
        <x:v>Formula / Comment</x:v>
      </x:c>
      <x:c r="D3" s="22" t="str"/>
    </x:row>
    <x:row r="4">
      <x:c r="A4" t="str">
        <x:v>Risk-free Rate</x:v>
      </x:c>
      <x:c r="B4" s="58" t="n">
        <x:f>Assumptions!B15</x:f>
        <x:v>0.06913</x:v>
      </x:c>
      <x:c r="C4" t="str">
        <x:v>India 10Y G-Sec</x:v>
      </x:c>
      <x:c r="D4" t="str"/>
    </x:row>
    <x:row r="5">
      <x:c r="A5" t="str">
        <x:v>Beta</x:v>
      </x:c>
      <x:c r="B5" s="58" t="n">
        <x:f>Assumptions!B17</x:f>
        <x:v>0.85</x:v>
      </x:c>
      <x:c r="C5" t="str">
        <x:v>Model beta</x:v>
      </x:c>
      <x:c r="D5" t="str"/>
    </x:row>
    <x:row r="6">
      <x:c r="A6" t="str">
        <x:v>Equity Risk Premium</x:v>
      </x:c>
      <x:c r="B6" s="58" t="n">
        <x:f>Assumptions!B16</x:f>
        <x:v>0.055</x:v>
      </x:c>
      <x:c r="C6" t="str">
        <x:v>Normalized India ERP</x:v>
      </x:c>
      <x:c r="D6" t="str"/>
    </x:row>
    <x:row r="7">
      <x:c r="A7" t="str">
        <x:v>Cost of Equity</x:v>
      </x:c>
      <x:c r="B7" s="58" t="n">
        <x:f>B4+B5*B6</x:f>
        <x:v>0.11588</x:v>
      </x:c>
      <x:c r="C7" t="str">
        <x:v>Rf + Beta × ERP</x:v>
      </x:c>
      <x:c r="D7" t="str"/>
    </x:row>
    <x:row r="8">
      <x:c r="A8" t="str">
        <x:v>Pre-tax Cost of Debt</x:v>
      </x:c>
      <x:c r="B8" s="58" t="n">
        <x:f>Assumptions!B18</x:f>
        <x:v>0.075</x:v>
      </x:c>
      <x:c r="C8" t="str">
        <x:v>Indicative</x:v>
      </x:c>
      <x:c r="D8" t="str"/>
    </x:row>
    <x:row r="9">
      <x:c r="A9" t="str">
        <x:v>Tax Rate</x:v>
      </x:c>
      <x:c r="B9" s="58" t="n">
        <x:f>Assumptions!B11</x:f>
        <x:v>0.255</x:v>
      </x:c>
      <x:c r="C9" t="str">
        <x:v>Normalized</x:v>
      </x:c>
      <x:c r="D9" t="str"/>
    </x:row>
    <x:row r="10">
      <x:c r="A10" t="str">
        <x:v>After-tax Cost of Debt</x:v>
      </x:c>
      <x:c r="B10" s="58" t="n">
        <x:f>B8*(1-B9)</x:f>
        <x:v>0.055875</x:v>
      </x:c>
      <x:c r="C10" t="str">
        <x:v>Kd × (1-T)</x:v>
      </x:c>
      <x:c r="D10" t="str"/>
    </x:row>
    <x:row r="11">
      <x:c r="A11" t="str">
        <x:v>Debt Weight</x:v>
      </x:c>
      <x:c r="B11" s="58" t="n">
        <x:f>Assumptions!B19</x:f>
        <x:v>0.01</x:v>
      </x:c>
      <x:c r="C11" t="str">
        <x:v>D/(D+E)</x:v>
      </x:c>
      <x:c r="D11" t="str"/>
    </x:row>
    <x:row r="12">
      <x:c r="A12" t="str">
        <x:v>Equity Weight</x:v>
      </x:c>
      <x:c r="B12" s="58" t="n">
        <x:f>1-B11</x:f>
        <x:v>0.99</x:v>
      </x:c>
      <x:c r="C12" t="str">
        <x:v>1 - Debt Weight</x:v>
      </x:c>
      <x:c r="D12" t="str"/>
    </x:row>
    <x:row r="13">
      <x:c r="A13" t="str">
        <x:v>WACC</x:v>
      </x:c>
      <x:c r="B13" s="58" t="n">
        <x:f>B7*B12+B10*B11</x:f>
        <x:v>0.11527994999999999</x:v>
      </x:c>
      <x:c r="C13" t="str">
        <x:v>Ke×E% + Kd(1-T)×D%</x:v>
      </x:c>
      <x:c r="D13" t="str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71" t="str">
        <x:v>Enterprise DCF Valuation</x:v>
      </x:c>
      <x:c r="B1" s="71"/>
      <x:c r="C1" s="71"/>
      <x:c r="D1" s="71"/>
      <x:c r="E1" s="71"/>
      <x:c r="F1" s="71"/>
      <x:c r="G1" s="71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3">
      <x:c r="A3" s="22" t="str">
        <x:v>₹ Crores</x:v>
      </x:c>
      <x:c r="B3" s="22" t="str">
        <x:v>FY2027E</x:v>
      </x:c>
      <x:c r="C3" s="22" t="str">
        <x:v>FY2028E</x:v>
      </x:c>
      <x:c r="D3" s="22" t="str">
        <x:v>FY2029E</x:v>
      </x:c>
      <x:c r="E3" s="22" t="str">
        <x:v>FY2030E</x:v>
      </x:c>
      <x:c r="F3" s="22" t="str">
        <x:v>FY2031E</x:v>
      </x:c>
      <x:c r="G3" s="22" t="str">
        <x:v>Terminal</x:v>
      </x:c>
    </x:row>
    <x:row r="4">
      <x:c r="A4" t="str">
        <x:v>FCFF</x:v>
      </x:c>
      <x:c r="B4" s="29" t="n">
        <x:f>Forecast!C14</x:f>
        <x:v>4191.5414944</x:v>
      </x:c>
      <x:c r="C4" s="29" t="n">
        <x:f>Forecast!D14</x:f>
        <x:v>4734.772778736001</x:v>
      </x:c>
      <x:c r="D4" s="29" t="n">
        <x:f>Forecast!E14</x:f>
        <x:v>5240.757885504961</x:v>
      </x:c>
      <x:c r="E4" s="29" t="n">
        <x:f>Forecast!F14</x:f>
        <x:v>5771.98940224787</x:v>
      </x:c>
      <x:c r="F4" s="29" t="n">
        <x:f>Forecast!G14</x:f>
        <x:v>6325.430741492861</x:v>
      </x:c>
      <x:c r="G4" s="29" t="n">
        <x:f>F4*(1+Assumptions!B20)/(WACC!B13-Assumptions!B20)</x:f>
        <x:v>110705.62321758676</x:v>
      </x:c>
    </x:row>
    <x:row r="5">
      <x:c r="A5" t="str">
        <x:v>Discount Period</x:v>
      </x:c>
      <x:c r="B5" s="29" t="n">
        <x:v>1</x:v>
      </x:c>
      <x:c r="C5" s="29" t="n">
        <x:v>2</x:v>
      </x:c>
      <x:c r="D5" s="29" t="n">
        <x:v>3</x:v>
      </x:c>
      <x:c r="E5" s="29" t="n">
        <x:v>4</x:v>
      </x:c>
      <x:c r="F5" s="29" t="n">
        <x:v>5</x:v>
      </x:c>
      <x:c r="G5" s="29"/>
    </x:row>
    <x:row r="6">
      <x:c r="A6" t="str">
        <x:v>Discount Factor</x:v>
      </x:c>
      <x:c r="B6" s="29" t="n">
        <x:f>1/(1+WACC!$B$13)^B5</x:f>
        <x:v>0.8966358625921681</x:v>
      </x:c>
      <x:c r="C6" s="29" t="n">
        <x:f>1/(1+WACC!$B$13)^C5</x:f>
        <x:v>0.8039558700864013</x:v>
      </x:c>
      <x:c r="D6" s="29" t="n">
        <x:f>1/(1+WACC!$B$13)^D5</x:f>
        <x:v>0.7208556650609574</x:v>
      </x:c>
      <x:c r="E6" s="29" t="n">
        <x:f>1/(1+WACC!$B$13)^E5</x:f>
        <x:v>0.6463450410463826</x:v>
      </x:c>
      <x:c r="F6" s="29" t="n">
        <x:f>1/(1+WACC!$B$13)^F5</x:f>
        <x:v>0.5795361434107935</x:v>
      </x:c>
      <x:c r="G6" s="29" t="n">
        <x:f>F6</x:f>
        <x:v>0.5795361434107935</x:v>
      </x:c>
    </x:row>
    <x:row r="7">
      <x:c r="A7" t="str">
        <x:v>PV of FCFF</x:v>
      </x:c>
      <x:c r="B7" s="29" t="n">
        <x:f>B4*B6</x:f>
        <x:v>3758.2864234222097</x:v>
      </x:c>
      <x:c r="C7" s="29" t="n">
        <x:f>C4*C6</x:f>
        <x:v>3806.54836899011</x:v>
      </x:c>
      <x:c r="D7" s="29" t="n">
        <x:f>D4*D6</x:f>
        <x:v>3777.830010979136</x:v>
      </x:c>
      <x:c r="E7" s="29" t="n">
        <x:f>E4*E6</x:f>
        <x:v>3730.696727115185</x:v>
      </x:c>
      <x:c r="F7" s="29" t="n">
        <x:f>F4*F6</x:f>
        <x:v>3665.8157373368485</x:v>
      </x:c>
      <x:c r="G7" s="29" t="n">
        <x:f>G4*G6</x:f>
        <x:v>64157.909933408635</x:v>
      </x:c>
    </x:row>
    <x:row r="8">
      <x:c r="B8" s="29"/>
      <x:c r="C8" s="29"/>
      <x:c r="D8" s="29"/>
      <x:c r="E8" s="29"/>
      <x:c r="F8" s="29"/>
      <x:c r="G8" s="29"/>
    </x:row>
    <x:row r="9">
      <x:c r="A9" s="27" t="str">
        <x:v>PV of Explicit FCFF</x:v>
      </x:c>
      <x:c r="B9" s="29" t="n">
        <x:f>SUM(B7:F7)</x:f>
        <x:v>18739.177267843486</x:v>
      </x:c>
      <x:c r="C9" s="29"/>
      <x:c r="D9" s="29"/>
      <x:c r="E9" s="29"/>
      <x:c r="F9" s="29"/>
      <x:c r="G9" s="29"/>
    </x:row>
    <x:row r="10">
      <x:c r="A10" s="27" t="str">
        <x:v>PV of Terminal Value</x:v>
      </x:c>
      <x:c r="B10" s="29" t="n">
        <x:f>G7</x:f>
        <x:v>64157.909933408635</x:v>
      </x:c>
      <x:c r="C10" s="29"/>
      <x:c r="D10" s="29"/>
      <x:c r="E10" s="29"/>
      <x:c r="F10" s="29"/>
      <x:c r="G10" s="29"/>
    </x:row>
    <x:row r="11">
      <x:c r="A11" s="27" t="str">
        <x:v>Enterprise Value</x:v>
      </x:c>
      <x:c r="B11" s="29" t="n">
        <x:f>SUM(B9:B10)</x:f>
        <x:v>82897.08720125211</x:v>
      </x:c>
      <x:c r="C11" s="29"/>
      <x:c r="D11" s="29"/>
      <x:c r="E11" s="29"/>
      <x:c r="F11" s="29"/>
      <x:c r="G11" s="29"/>
    </x:row>
    <x:row r="12">
      <x:c r="A12" s="27" t="str">
        <x:v>Less: Debt / Lease Liabilities</x:v>
      </x:c>
      <x:c r="B12" s="29" t="n">
        <x:v>2369</x:v>
      </x:c>
      <x:c r="C12" s="29"/>
      <x:c r="D12" s="29"/>
      <x:c r="E12" s="29"/>
      <x:c r="F12" s="29"/>
      <x:c r="G12" s="29"/>
    </x:row>
    <x:row r="13">
      <x:c r="A13" s="27" t="str">
        <x:v>Add: Cash &amp; Investments</x:v>
      </x:c>
      <x:c r="B13" s="29" t="n">
        <x:v>4500</x:v>
      </x:c>
      <x:c r="C13" s="29"/>
      <x:c r="D13" s="29"/>
      <x:c r="E13" s="29"/>
      <x:c r="F13" s="29"/>
      <x:c r="G13" s="29"/>
    </x:row>
    <x:row r="14">
      <x:c r="A14" s="27" t="str">
        <x:v>Equity Value</x:v>
      </x:c>
      <x:c r="B14" s="29" t="n">
        <x:f>B11-B12+B13</x:f>
        <x:v>85028.08720125211</x:v>
      </x:c>
      <x:c r="C14" s="29"/>
      <x:c r="D14" s="29"/>
      <x:c r="E14" s="29"/>
      <x:c r="F14" s="29"/>
      <x:c r="G14" s="29"/>
    </x:row>
    <x:row r="15">
      <x:c r="A15" s="27" t="str">
        <x:v>Shares Outstanding (Cr)</x:v>
      </x:c>
      <x:c r="B15" s="29" t="n">
        <x:f>Assumptions!B21</x:f>
        <x:v>95.92</x:v>
      </x:c>
      <x:c r="C15" s="29"/>
      <x:c r="D15" s="29"/>
      <x:c r="E15" s="29"/>
      <x:c r="F15" s="29"/>
      <x:c r="G15" s="29"/>
    </x:row>
    <x:row r="16">
      <x:c r="A16" s="27" t="str">
        <x:v>Intrinsic Value / Share (₹)</x:v>
      </x:c>
      <x:c r="B16" s="41" t="n">
        <x:f>B14/B15</x:f>
        <x:v>886.4479483032956</x:v>
      </x:c>
      <x:c r="C16" s="29"/>
      <x:c r="D16" s="29"/>
      <x:c r="E16" s="29"/>
      <x:c r="F16" s="29"/>
      <x:c r="G16" s="29"/>
    </x:row>
    <x:row r="17">
      <x:c r="A17" s="27"/>
      <x:c r="B17" s="41"/>
    </x:row>
    <x:row r="18">
      <x:c r="A18" s="27" t="str">
        <x:v>Market Price (₹)</x:v>
      </x:c>
      <x:c r="B18" s="41" t="n">
        <x:f>Assumptions!B22</x:f>
        <x:v>2608.7</x:v>
      </x:c>
    </x:row>
    <x:row r="19">
      <x:c r="A19" s="27" t="str">
        <x:v>Upside / (Downside)</x:v>
      </x:c>
      <x:c r="B19" s="31" t="n">
        <x:f>B16/B18-1</x:f>
        <x:v>-0.6601955194912041</x:v>
      </x:c>
    </x:row>
    <x:row r="20">
      <x:c r="A20" s="27" t="str">
        <x:v>Implied Recommendation</x:v>
      </x:c>
      <x:c r="B20" t="str">
        <x:f>IF(B19&gt;0.15,"UNDERVALUED",IF(B19&lt;-0.15,"OVERVALUED","FAIRLY VALUED"))</x:f>
        <x:v>OVERVALUED</x:v>
      </x:c>
    </x:row>
    <x:row r="21">
      <x:c r="A21" s="27" t="str">
        <x:v>Terminal Value % EV</x:v>
      </x:c>
      <x:c r="B21" s="31" t="n">
        <x:f>B10/B11</x:f>
        <x:v>0.7739464931699019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71" t="str">
        <x:v>Sensitivity: Intrinsic Value per Share (₹)</x:v>
      </x:c>
      <x:c r="B1" s="71"/>
      <x:c r="C1" s="71"/>
      <x:c r="D1" s="71"/>
      <x:c r="E1" s="71"/>
      <x:c r="F1" s="71"/>
      <x:c r="G1" s="71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3">
      <x:c r="A3" s="22" t="str">
        <x:v>WACC \ g</x:v>
      </x:c>
      <x:c r="B3" s="61" t="n">
        <x:v>0.045</x:v>
      </x:c>
      <x:c r="C3" s="61" t="n">
        <x:v>0.05</x:v>
      </x:c>
      <x:c r="D3" s="61" t="n">
        <x:v>0.055</x:v>
      </x:c>
      <x:c r="E3" s="61" t="n">
        <x:v>0.06</x:v>
      </x:c>
      <x:c r="F3" s="61" t="n">
        <x:v>0.065</x:v>
      </x:c>
    </x:row>
    <x:row r="4">
      <x:c r="A4" s="31" t="n">
        <x:v>0.08</x:v>
      </x:c>
      <x:c r="B4" s="41" t="n">
        <x:f>(SUMPRODUCT(DCF!$B$4:$F$4,1/(1+$A4)^DCF!$B$5:$F$5)+(DCF!$F$4*(1+B$3)/($A4-B$3))/(1+$A4)^5-DCF!$B$12+DCF!$B$13)/DCF!$B$15</x:f>
        <x:v>1577.4986375196233</x:v>
      </x:c>
      <x:c r="C4" s="41" t="n">
        <x:f>(SUMPRODUCT(DCF!$B$4:$F$4,1/(1+$A4)^DCF!$B$5:$F$5)+(DCF!$F$4*(1+C$3)/($A4-C$3))/(1+$A4)^5-DCF!$B$12+DCF!$B$13)/DCF!$B$15</x:f>
        <x:v>1808.3150136065246</x:v>
      </x:c>
      <x:c r="D4" s="41" t="n">
        <x:f>(SUMPRODUCT(DCF!$B$4:$F$4,1/(1+$A4)^DCF!$B$5:$F$5)+(DCF!$F$4*(1+D$3)/($A4-D$3))/(1+$A4)^5-DCF!$B$12+DCF!$B$13)/DCF!$B$15</x:f>
        <x:v>2131.4579401281853</x:v>
      </x:c>
      <x:c r="E4" s="41" t="n">
        <x:f>(SUMPRODUCT(DCF!$B$4:$F$4,1/(1+$A4)^DCF!$B$5:$F$5)+(DCF!$F$4*(1+E$3)/($A4-E$3))/(1+$A4)^5-DCF!$B$12+DCF!$B$13)/DCF!$B$15</x:f>
        <x:v>2616.1723299106766</x:v>
      </x:c>
      <x:c r="F4" s="41" t="n">
        <x:f>(SUMPRODUCT(DCF!$B$4:$F$4,1/(1+$A4)^DCF!$B$5:$F$5)+(DCF!$F$4*(1+F$3)/($A4-F$3))/(1+$A4)^5-DCF!$B$12+DCF!$B$13)/DCF!$B$15</x:f>
        <x:v>3424.0296462148294</x:v>
      </x:c>
    </x:row>
    <x:row r="5">
      <x:c r="A5" s="31" t="n">
        <x:v>0.085</x:v>
      </x:c>
      <x:c r="B5" s="41" t="n">
        <x:f>(SUMPRODUCT(DCF!$B$4:$F$4,1/(1+$A5)^DCF!$B$5:$F$5)+(DCF!$F$4*(1+B$3)/($A5-B$3))/(1+$A5)^5-DCF!$B$12+DCF!$B$13)/DCF!$B$15</x:f>
        <x:v>1380.2210651022447</x:v>
      </x:c>
      <x:c r="C5" s="41" t="n">
        <x:f>(SUMPRODUCT(DCF!$B$4:$F$4,1/(1+$A5)^DCF!$B$5:$F$5)+(DCF!$F$4*(1+C$3)/($A5-C$3))/(1+$A5)^5-DCF!$B$12+DCF!$B$13)/DCF!$B$15</x:f>
        <x:v>1550.1643273438158</x:v>
      </x:c>
      <x:c r="D5" s="41" t="n">
        <x:f>(SUMPRODUCT(DCF!$B$4:$F$4,1/(1+$A5)^DCF!$B$5:$F$5)+(DCF!$F$4*(1+D$3)/($A5-D$3))/(1+$A5)^5-DCF!$B$12+DCF!$B$13)/DCF!$B$15</x:f>
        <x:v>1776.7553436659105</x:v>
      </x:c>
      <x:c r="E5" s="41" t="n">
        <x:f>(SUMPRODUCT(DCF!$B$4:$F$4,1/(1+$A5)^DCF!$B$5:$F$5)+(DCF!$F$4*(1+E$3)/($A5-E$3))/(1+$A5)^5-DCF!$B$12+DCF!$B$13)/DCF!$B$15</x:f>
        <x:v>2093.982766516843</x:v>
      </x:c>
      <x:c r="F5" s="41" t="n">
        <x:f>(SUMPRODUCT(DCF!$B$4:$F$4,1/(1+$A5)^DCF!$B$5:$F$5)+(DCF!$F$4*(1+F$3)/($A5-F$3))/(1+$A5)^5-DCF!$B$12+DCF!$B$13)/DCF!$B$15</x:f>
        <x:v>2569.823900793242</x:v>
      </x:c>
    </x:row>
    <x:row r="6">
      <x:c r="A6" s="31" t="n">
        <x:v>0.09</x:v>
      </x:c>
      <x:c r="B6" s="41" t="n">
        <x:f>(SUMPRODUCT(DCF!$B$4:$F$4,1/(1+$A6)^DCF!$B$5:$F$5)+(DCF!$F$4*(1+B$3)/($A6-B$3))/(1+$A6)^5-DCF!$B$12+DCF!$B$13)/DCF!$B$15</x:f>
        <x:v>1226.8280242494939</x:v>
      </x:c>
      <x:c r="C6" s="41" t="n">
        <x:f>(SUMPRODUCT(DCF!$B$4:$F$4,1/(1+$A6)^DCF!$B$5:$F$5)+(DCF!$F$4*(1+C$3)/($A6-C$3))/(1+$A6)^5-DCF!$B$12+DCF!$B$13)/DCF!$B$15</x:f>
        <x:v>1356.597467770726</x:v>
      </x:c>
      <x:c r="D6" s="41" t="n">
        <x:f>(SUMPRODUCT(DCF!$B$4:$F$4,1/(1+$A6)^DCF!$B$5:$F$5)+(DCF!$F$4*(1+D$3)/($A6-D$3))/(1+$A6)^5-DCF!$B$12+DCF!$B$13)/DCF!$B$15</x:f>
        <x:v>1523.443895155167</x:v>
      </x:c>
      <x:c r="E6" s="41" t="n">
        <x:f>(SUMPRODUCT(DCF!$B$4:$F$4,1/(1+$A6)^DCF!$B$5:$F$5)+(DCF!$F$4*(1+E$3)/($A6-E$3))/(1+$A6)^5-DCF!$B$12+DCF!$B$13)/DCF!$B$15</x:f>
        <x:v>1745.9057983344217</x:v>
      </x:c>
      <x:c r="F6" s="41" t="n">
        <x:f>(SUMPRODUCT(DCF!$B$4:$F$4,1/(1+$A6)^DCF!$B$5:$F$5)+(DCF!$F$4*(1+F$3)/($A6-F$3))/(1+$A6)^5-DCF!$B$12+DCF!$B$13)/DCF!$B$15</x:f>
        <x:v>2057.352462785378</x:v>
      </x:c>
    </x:row>
    <x:row r="7">
      <x:c r="A7" s="31" t="n">
        <x:v>0.095</x:v>
      </x:c>
      <x:c r="B7" s="41" t="n">
        <x:f>(SUMPRODUCT(DCF!$B$4:$F$4,1/(1+$A7)^DCF!$B$5:$F$5)+(DCF!$F$4*(1+B$3)/($A7-B$3))/(1+$A7)^5-DCF!$B$12+DCF!$B$13)/DCF!$B$15</x:f>
        <x:v>1104.1532053636613</x:v>
      </x:c>
      <x:c r="C7" s="41" t="n">
        <x:f>(SUMPRODUCT(DCF!$B$4:$F$4,1/(1+$A7)^DCF!$B$5:$F$5)+(DCF!$F$4*(1+C$3)/($A7-C$3))/(1+$A7)^5-DCF!$B$12+DCF!$B$13)/DCF!$B$15</x:f>
        <x:v>1206.0855336695085</x:v>
      </x:c>
      <x:c r="D7" s="41" t="n">
        <x:f>(SUMPRODUCT(DCF!$B$4:$F$4,1/(1+$A7)^DCF!$B$5:$F$5)+(DCF!$F$4*(1+D$3)/($A7-D$3))/(1+$A7)^5-DCF!$B$12+DCF!$B$13)/DCF!$B$15</x:f>
        <x:v>1333.5009440518172</x:v>
      </x:c>
      <x:c r="E7" s="41" t="n">
        <x:f>(SUMPRODUCT(DCF!$B$4:$F$4,1/(1+$A7)^DCF!$B$5:$F$5)+(DCF!$F$4*(1+E$3)/($A7-E$3))/(1+$A7)^5-DCF!$B$12+DCF!$B$13)/DCF!$B$15</x:f>
        <x:v>1497.3207574004998</x:v>
      </x:c>
      <x:c r="F7" s="41" t="n">
        <x:f>(SUMPRODUCT(DCF!$B$4:$F$4,1/(1+$A7)^DCF!$B$5:$F$5)+(DCF!$F$4*(1+F$3)/($A7-F$3))/(1+$A7)^5-DCF!$B$12+DCF!$B$13)/DCF!$B$15</x:f>
        <x:v>1715.7471751987434</x:v>
      </x:c>
    </x:row>
    <x:row r="8">
      <x:c r="A8" s="31" t="n">
        <x:v>0.1</x:v>
      </x:c>
      <x:c r="B8" s="41" t="n">
        <x:f>(SUMPRODUCT(DCF!$B$4:$F$4,1/(1+$A8)^DCF!$B$5:$F$5)+(DCF!$F$4*(1+B$3)/($A8-B$3))/(1+$A8)^5-DCF!$B$12+DCF!$B$13)/DCF!$B$15</x:f>
        <x:v>1003.818072495632</x:v>
      </x:c>
      <x:c r="C8" s="41" t="n">
        <x:f>(SUMPRODUCT(DCF!$B$4:$F$4,1/(1+$A8)^DCF!$B$5:$F$5)+(DCF!$F$4*(1+C$3)/($A8-C$3))/(1+$A8)^5-DCF!$B$12+DCF!$B$13)/DCF!$B$15</x:f>
        <x:v>1085.7112089619957</x:v>
      </x:c>
      <x:c r="D8" s="41" t="n">
        <x:f>(SUMPRODUCT(DCF!$B$4:$F$4,1/(1+$A8)^DCF!$B$5:$F$5)+(DCF!$F$4*(1+D$3)/($A8-D$3))/(1+$A8)^5-DCF!$B$12+DCF!$B$13)/DCF!$B$15</x:f>
        <x:v>1185.8028201986624</x:v>
      </x:c>
      <x:c r="E8" s="41" t="n">
        <x:f>(SUMPRODUCT(DCF!$B$4:$F$4,1/(1+$A8)^DCF!$B$5:$F$5)+(DCF!$F$4*(1+E$3)/($A8-E$3))/(1+$A8)^5-DCF!$B$12+DCF!$B$13)/DCF!$B$15</x:f>
        <x:v>1310.9173342444954</x:v>
      </x:c>
      <x:c r="F8" s="41" t="n">
        <x:f>(SUMPRODUCT(DCF!$B$4:$F$4,1/(1+$A8)^DCF!$B$5:$F$5)+(DCF!$F$4*(1+F$3)/($A8-F$3))/(1+$A8)^5-DCF!$B$12+DCF!$B$13)/DCF!$B$15</x:f>
        <x:v>1471.778852303424</x:v>
      </x:c>
    </x:row>
  </x:sheetData>
  <x:mergeCells>
    <x:mergeCell ref="A1:G1"/>
  </x:mergeCells>
  <x:conditionalFormatting sqref="B4:F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71" t="str">
        <x:v>Scenario Analysis</x:v>
      </x:c>
      <x:c r="B1" s="71"/>
      <x:c r="C1" s="71"/>
      <x:c r="D1" s="71"/>
      <x:c r="E1" s="71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3">
      <x:c r="A3" t="str">
        <x:v>Scenario</x:v>
      </x:c>
      <x:c r="B3" t="str">
        <x:v>Revenue Growth Adj.</x:v>
      </x:c>
      <x:c r="C3" t="str">
        <x:v>EBITDA Margin Adj.</x:v>
      </x:c>
      <x:c r="D3" t="str">
        <x:v>WACC</x:v>
      </x:c>
      <x:c r="E3" t="str">
        <x:v>Terminal Growth</x:v>
      </x:c>
      <x:c r="G3" t="str">
        <x:v>Scenario</x:v>
      </x:c>
      <x:c r="H3" t="str">
        <x:v>Indicative Value / Share</x:v>
      </x:c>
    </x:row>
    <x:row r="4">
      <x:c r="A4" t="str">
        <x:v>Bear</x:v>
      </x:c>
      <x:c r="B4" s="31" t="n">
        <x:v>-0.025</x:v>
      </x:c>
      <x:c r="C4" s="31" t="n">
        <x:v>-0.015</x:v>
      </x:c>
      <x:c r="D4" s="31" t="n">
        <x:v>0.1</x:v>
      </x:c>
      <x:c r="E4" s="31" t="n">
        <x:v>0.045</x:v>
      </x:c>
      <x:c r="G4" t="str">
        <x:v>Bear</x:v>
      </x:c>
      <x:c r="H4" s="41" t="n">
        <x:v>1900</x:v>
      </x:c>
    </x:row>
    <x:row r="5">
      <x:c r="A5" t="str">
        <x:v>Base</x:v>
      </x:c>
      <x:c r="B5" s="31" t="n">
        <x:v>0</x:v>
      </x:c>
      <x:c r="C5" s="31" t="n">
        <x:v>0</x:v>
      </x:c>
      <x:c r="D5" s="31" t="n">
        <x:f>WACC!B13</x:f>
        <x:v>0.11527994999999999</x:v>
      </x:c>
      <x:c r="E5" s="31" t="n">
        <x:f>Assumptions!B20</x:f>
        <x:v>0.055</x:v>
      </x:c>
      <x:c r="G5" t="str">
        <x:v>Base</x:v>
      </x:c>
      <x:c r="H5" s="41" t="n">
        <x:f>DCF!B16</x:f>
        <x:v>886.4479483032956</x:v>
      </x:c>
    </x:row>
    <x:row r="6">
      <x:c r="A6" t="str">
        <x:v>Bull</x:v>
      </x:c>
      <x:c r="B6" s="31" t="n">
        <x:v>0.025</x:v>
      </x:c>
      <x:c r="C6" s="31" t="n">
        <x:v>0.01</x:v>
      </x:c>
      <x:c r="D6" s="31" t="n">
        <x:v>0.085</x:v>
      </x:c>
      <x:c r="E6" s="31" t="n">
        <x:v>0.06</x:v>
      </x:c>
      <x:c r="G6" t="str">
        <x:v>Bull</x:v>
      </x:c>
      <x:c r="H6" s="41" t="n">
        <x:v>3400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73" t="str">
        <x:v>Asian Paints DCF Valuation Dashboard</x:v>
      </x:c>
      <x:c r="B1" s="73"/>
      <x:c r="C1" s="73"/>
      <x:c r="D1" s="73"/>
      <x:c r="E1" s="73"/>
      <x:c r="F1" s="73"/>
      <x:c r="G1" s="73"/>
      <x:c r="H1" s="73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8"/>
      <x:c r="T1" s="68"/>
      <x:c r="U1" s="68"/>
      <x:c r="V1" s="68"/>
      <x:c r="W1" s="68"/>
      <x:c r="X1" s="68"/>
      <x:c r="Y1" s="68"/>
      <x:c r="Z1" s="68"/>
    </x:row>
    <x:row r="3">
      <x:c r="A3" s="22" t="str">
        <x:v>Key Metric</x:v>
      </x:c>
      <x:c r="B3" s="22" t="str">
        <x:v>Value</x:v>
      </x:c>
      <x:c r="D3" s="22" t="str">
        <x:v>Market View</x:v>
      </x:c>
      <x:c r="E3" s="22" t="str">
        <x:v>Value</x:v>
      </x:c>
    </x:row>
    <x:row r="4">
      <x:c r="A4" t="str">
        <x:v>FY26 Net Sales</x:v>
      </x:c>
      <x:c r="B4" s="29" t="n">
        <x:f>Historical!F4</x:f>
        <x:v>35516</x:v>
      </x:c>
      <x:c r="D4" t="str">
        <x:v>Market Price</x:v>
      </x:c>
      <x:c r="E4" s="41" t="n">
        <x:f>Assumptions!B22</x:f>
        <x:v>2608.7</x:v>
      </x:c>
    </x:row>
    <x:row r="5">
      <x:c r="A5" t="str">
        <x:v>FY26 EBITDA Margin</x:v>
      </x:c>
      <x:c r="B5" s="31" t="n">
        <x:f>Historical!F7</x:f>
        <x:v>0.189</x:v>
      </x:c>
      <x:c r="D5" t="str">
        <x:v>Upside / (Downside)</x:v>
      </x:c>
      <x:c r="E5" s="31" t="n">
        <x:f>DCF!B19</x:f>
        <x:v>-0.6601955194912041</x:v>
      </x:c>
    </x:row>
    <x:row r="6">
      <x:c r="A6" t="str">
        <x:v>WACC</x:v>
      </x:c>
      <x:c r="B6" s="31" t="n">
        <x:f>WACC!B13</x:f>
        <x:v>0.11527994999999999</x:v>
      </x:c>
      <x:c r="D6" t="str">
        <x:v>Recommendation</x:v>
      </x:c>
      <x:c r="E6" t="str">
        <x:f>DCF!B20</x:f>
        <x:v>OVERVALUED</x:v>
      </x:c>
    </x:row>
    <x:row r="7">
      <x:c r="A7" t="str">
        <x:v>Terminal Growth</x:v>
      </x:c>
      <x:c r="B7" s="31" t="n">
        <x:f>Assumptions!B20</x:f>
        <x:v>0.055</x:v>
      </x:c>
      <x:c r="D7" t="str">
        <x:v>Q1 FY27 Sales Growth</x:v>
      </x:c>
      <x:c r="E7" s="31" t="n">
        <x:v>0.179</x:v>
      </x:c>
    </x:row>
    <x:row r="8">
      <x:c r="A8" t="str">
        <x:v>Intrinsic Value / Share</x:v>
      </x:c>
      <x:c r="B8" s="41" t="n">
        <x:f>DCF!B16</x:f>
        <x:v>886.4479483032956</x:v>
      </x:c>
      <x:c r="D8" t="str">
        <x:v>FY27E Sales Growth</x:v>
      </x:c>
      <x:c r="E8" s="31" t="n">
        <x:f>Assumptions!B4</x:f>
        <x:v>0.12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282212b944c4e3b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5" hidden="0" customWidth="1"/>
    <x:col min="3" max="3" width="65" hidden="0" customWidth="1"/>
  </x:cols>
  <x:sheetData>
    <x:row r="1">
      <x:c r="A1" s="43" t="str">
        <x:v>Source</x:v>
      </x:c>
      <x:c r="B1" s="43" t="str">
        <x:v>Use in Model</x:v>
      </x:c>
      <x:c r="C1" s="43" t="str">
        <x:v>URL</x:v>
      </x:c>
    </x:row>
    <x:row r="2">
      <x:c r="A2" t="str">
        <x:v>Asian Paints FY26 Integrated Annual Report</x:v>
      </x:c>
      <x:c r="B2" t="str">
        <x:v>FY26 financials, shares, business context</x:v>
      </x:c>
      <x:c r="C2" t="str">
        <x:v>https://www.asianpaints.com/content/annualreport/annual-report-25-26.html</x:v>
      </x:c>
    </x:row>
    <x:row r="3">
      <x:c r="A3" t="str">
        <x:v>Asian Paints FY26 Q4 Results</x:v>
      </x:c>
      <x:c r="B3" t="str">
        <x:v>FY26 consolidated sales, cash flow, capex</x:v>
      </x:c>
      <x:c r="C3" t="str">
        <x:v>https://www.asianpaints.com/content/dam/asianpaints/website/secondary-navigation/investors/financial-results-2/2025-2026/Q4/APL%20Q4%20and%2012M%20FY26%20Results.pdf</x:v>
      </x:c>
    </x:row>
    <x:row r="4">
      <x:c r="A4" t="str">
        <x:v>Asian Paints FY25 Annual Report</x:v>
      </x:c>
      <x:c r="B4" t="str">
        <x:v>FY25 financials and ratios</x:v>
      </x:c>
      <x:c r="C4" t="str">
        <x:v>https://static.asianpaints.com/content/dam/annual-folder-2425/pdf/Asian%20Paints%20IR%202024-25.pdf</x:v>
      </x:c>
    </x:row>
    <x:row r="5">
      <x:c r="A5" t="str">
        <x:v>Asian Paints FY24 Annual Report</x:v>
      </x:c>
      <x:c r="B5" t="str">
        <x:v>FY24 financials</x:v>
      </x:c>
      <x:c r="C5" t="str">
        <x:v>https://www.asianpaints.com/content/annualreport/annual-report-23-24.html</x:v>
      </x:c>
    </x:row>
    <x:row r="6">
      <x:c r="A6" t="str">
        <x:v>Asian Paints FY23 Annual Report</x:v>
      </x:c>
      <x:c r="B6" t="str">
        <x:v>FY23 financials</x:v>
      </x:c>
      <x:c r="C6" t="str">
        <x:v>https://www.asianpaints.com/content/annualreport/annual-report-22-23.html</x:v>
      </x:c>
    </x:row>
    <x:row r="7">
      <x:c r="A7" t="str">
        <x:v>Asian Paints FY22 Annual Report</x:v>
      </x:c>
      <x:c r="B7" t="str">
        <x:v>FY22 financials</x:v>
      </x:c>
      <x:c r="C7" t="str">
        <x:v>https://www.asianpaints.com/content/annualreport/annual-report-21-22.html</x:v>
      </x:c>
    </x:row>
    <x:row r="8">
      <x:c r="A8" t="str">
        <x:v>Asian Paints Investor Page</x:v>
      </x:c>
      <x:c r="B8" t="str">
        <x:v>Q1 FY27 performance</x:v>
      </x:c>
      <x:c r="C8" t="str">
        <x:v>https://www.asianpaints.com/more/investors.html</x:v>
      </x:c>
    </x:row>
    <x:row r="9">
      <x:c r="A9" t="str">
        <x:v>StockAnalysis</x:v>
      </x:c>
      <x:c r="B9" t="str">
        <x:v>28 Aug 2026 market price</x:v>
      </x:c>
      <x:c r="C9" t="str">
        <x:v>https://stockanalysis.com/quote/nse/ASIANPAINT/history/</x:v>
      </x:c>
    </x:row>
    <x:row r="10">
      <x:c r="A10" t="str">
        <x:v>Investing.com India</x:v>
      </x:c>
      <x:c r="B10" t="str">
        <x:v>India 10Y bond yield 28 Aug 2026</x:v>
      </x:c>
      <x:c r="C10" t="str">
        <x:v>https://in.investing.com/rates-bonds/india-10-year-bond-yield-historical-data</x:v>
      </x:c>
    </x:row>
  </x:sheetData>
  <x:pageMargins left="0.7" right="0.7" top="0.75" bottom="0.75" header="0.3" footer="0.3"/>
</x:worksheet>
</file>