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89DC" lockStructure="1"/>
  <bookViews>
    <workbookView visibility="visible" minimized="0" showHorizontalScroll="1" showVerticalScroll="1" showSheetTabs="1" xWindow="0" yWindow="0" windowWidth="19200" windowHeight="6810" tabRatio="500" firstSheet="2" activeTab="4" autoFilterDateGrouping="1"/>
  </bookViews>
  <sheets>
    <sheet xmlns:r="http://schemas.openxmlformats.org/officeDocument/2006/relationships" name="01_CLIENT_INFO" sheetId="1" state="visible" r:id="rId1"/>
    <sheet xmlns:r="http://schemas.openxmlformats.org/officeDocument/2006/relationships" name="02_ELECTIONS" sheetId="2" state="visible" r:id="rId2"/>
    <sheet xmlns:r="http://schemas.openxmlformats.org/officeDocument/2006/relationships" name="22_BUSINESS_RESTRUCTURING" sheetId="3" state="visible" r:id="rId3"/>
    <sheet xmlns:r="http://schemas.openxmlformats.org/officeDocument/2006/relationships" name="03_INCOME_SCHEDULE" sheetId="4" state="visible" r:id="rId4"/>
    <sheet xmlns:r="http://schemas.openxmlformats.org/officeDocument/2006/relationships" name="04_ADJUSTMENTS" sheetId="5" state="visible" r:id="rId5"/>
    <sheet xmlns:r="http://schemas.openxmlformats.org/officeDocument/2006/relationships" name="05_CT_COMPUTATION" sheetId="6" state="visible" r:id="rId6"/>
    <sheet xmlns:r="http://schemas.openxmlformats.org/officeDocument/2006/relationships" name="06_INTEREST_CAP" sheetId="7" state="visible" r:id="rId7"/>
    <sheet xmlns:r="http://schemas.openxmlformats.org/officeDocument/2006/relationships" name="07_TP_SCHEDULE" sheetId="8" state="visible" r:id="rId8"/>
    <sheet xmlns:r="http://schemas.openxmlformats.org/officeDocument/2006/relationships" name="08_TAX_LOSSES" sheetId="9" state="visible" r:id="rId9"/>
    <sheet xmlns:r="http://schemas.openxmlformats.org/officeDocument/2006/relationships" name="09_TAX_LIABILITY" sheetId="10" state="visible" r:id="rId10"/>
    <sheet xmlns:r="http://schemas.openxmlformats.org/officeDocument/2006/relationships" name="10_FREE_ZONE" sheetId="11" state="visible" r:id="rId11"/>
    <sheet xmlns:r="http://schemas.openxmlformats.org/officeDocument/2006/relationships" name="14_QFZP_ELIGIBILITY" sheetId="12" state="visible" r:id="rId12"/>
  </sheets>
  <definedNames/>
  <calcPr calcId="191029" fullCalcOnLoad="1"/>
</workbook>
</file>

<file path=xl/styles.xml><?xml version="1.0" encoding="utf-8"?>
<styleSheet xmlns="http://schemas.openxmlformats.org/spreadsheetml/2006/main">
  <numFmts count="2">
    <numFmt numFmtId="164" formatCode="#,##0;\(#,##0\);\-"/>
    <numFmt numFmtId="165" formatCode="dd\-mmm\-yyyy"/>
  </numFmts>
  <fonts count="57">
    <font>
      <name val="Calibri"/>
      <charset val="1"/>
      <family val="2"/>
      <color theme="1"/>
      <sz val="11"/>
    </font>
    <font>
      <name val="Calibri"/>
      <family val="2"/>
      <b val="1"/>
      <color rgb="FFFFFFFF"/>
      <sz val="20"/>
    </font>
    <font>
      <name val="Calibri"/>
      <family val="2"/>
      <b val="1"/>
      <color rgb="FFC8D400"/>
      <sz val="12"/>
    </font>
    <font>
      <name val="Calibri"/>
      <family val="2"/>
      <color rgb="FFC8D400"/>
      <sz val="9"/>
    </font>
    <font>
      <name val="Calibri"/>
      <family val="2"/>
      <b val="1"/>
      <color rgb="FFFFFFFF"/>
      <sz val="8"/>
    </font>
    <font>
      <name val="Calibri"/>
      <family val="2"/>
      <b val="1"/>
      <color rgb="FF0C7E80"/>
      <sz val="12"/>
    </font>
    <font>
      <name val="Calibri"/>
      <family val="2"/>
      <b val="1"/>
      <color rgb="FFD4840A"/>
      <sz val="12"/>
    </font>
    <font>
      <name val="Calibri"/>
      <family val="2"/>
      <b val="1"/>
      <color rgb="FFC0392B"/>
      <sz val="12"/>
    </font>
    <font>
      <name val="Calibri"/>
      <family val="2"/>
      <b val="1"/>
      <color rgb="FF0A5F61"/>
      <sz val="12"/>
    </font>
    <font>
      <name val="Calibri"/>
      <family val="2"/>
      <b val="1"/>
      <color rgb="FFFFFFFF"/>
      <sz val="10"/>
    </font>
    <font>
      <name val="Calibri"/>
      <family val="2"/>
      <color rgb="FF0A5F61"/>
      <sz val="10"/>
    </font>
    <font>
      <name val="Calibri"/>
      <family val="2"/>
      <color rgb="FF000000"/>
      <sz val="10"/>
    </font>
    <font>
      <name val="Calibri"/>
      <family val="2"/>
      <b val="1"/>
      <color rgb="FFC8D400"/>
      <sz val="11"/>
    </font>
    <font>
      <name val="Calibri"/>
      <family val="2"/>
      <b val="1"/>
      <color rgb="FF0A5F61"/>
      <sz val="10"/>
    </font>
    <font>
      <name val="Calibri"/>
      <family val="2"/>
      <b val="1"/>
      <color rgb="FF000000"/>
      <sz val="11"/>
    </font>
    <font>
      <name val="Calibri"/>
      <family val="2"/>
      <b val="1"/>
      <color rgb="FFFFFFFF"/>
      <sz val="12"/>
    </font>
    <font>
      <name val="Calibri"/>
      <family val="2"/>
      <b val="1"/>
      <color rgb="FFFFFFFF"/>
      <sz val="11"/>
    </font>
    <font>
      <name val="Calibri"/>
      <family val="2"/>
      <color rgb="FFA0D0D0"/>
      <sz val="10"/>
    </font>
    <font>
      <name val="Calibri"/>
      <family val="2"/>
      <b val="1"/>
      <color rgb="FFC8D400"/>
      <sz val="9"/>
    </font>
    <font>
      <name val="Calibri"/>
      <family val="2"/>
      <b val="1"/>
      <color rgb="FFFFFFFF"/>
      <sz val="9"/>
    </font>
    <font>
      <name val="Calibri"/>
      <family val="2"/>
      <b val="1"/>
      <color rgb="FF000000"/>
      <sz val="10"/>
    </font>
    <font>
      <name val="Calibri"/>
      <family val="2"/>
      <b val="1"/>
      <color rgb="FF0A5F61"/>
      <sz val="9"/>
    </font>
    <font>
      <name val="Calibri"/>
      <family val="2"/>
      <color rgb="FF0B3D91"/>
      <sz val="10"/>
    </font>
    <font>
      <name val="Calibri"/>
      <family val="2"/>
      <b val="1"/>
      <color rgb="FF000000"/>
      <sz val="9"/>
    </font>
    <font>
      <name val="Calibri"/>
      <family val="2"/>
      <color rgb="FF1A3A3A"/>
      <sz val="9"/>
    </font>
    <font>
      <name val="Calibri"/>
      <family val="2"/>
      <i val="1"/>
      <color rgb="FF5A7A7A"/>
      <sz val="8"/>
    </font>
    <font>
      <name val="Calibri"/>
      <family val="2"/>
      <i val="1"/>
      <color rgb="FFC8D400"/>
      <sz val="9"/>
    </font>
    <font>
      <name val="Calibri"/>
      <family val="2"/>
      <b val="1"/>
      <color rgb="FFFFFFFF"/>
      <sz val="14"/>
    </font>
    <font>
      <name val="Calibri"/>
      <family val="2"/>
      <b val="1"/>
      <color rgb="FFC8D400"/>
      <sz val="10"/>
    </font>
    <font>
      <name val="Calibri"/>
      <family val="2"/>
      <color rgb="FFA0D0D0"/>
      <sz val="9"/>
    </font>
    <font>
      <name val="Calibri"/>
      <family val="2"/>
      <i val="1"/>
      <color rgb="FF5A7A7A"/>
      <sz val="9"/>
    </font>
    <font>
      <name val="Calibri"/>
      <family val="2"/>
      <color rgb="FF1A3A3A"/>
      <sz val="10"/>
    </font>
    <font>
      <name val="Calibri"/>
      <family val="2"/>
      <b val="1"/>
      <color rgb="FF1A3A3A"/>
      <sz val="10"/>
    </font>
    <font>
      <name val="Calibri"/>
      <family val="2"/>
      <i val="1"/>
      <color rgb="FFFFFFFF"/>
      <sz val="9"/>
    </font>
    <font>
      <name val="Calibri"/>
      <family val="2"/>
      <b val="1"/>
      <color rgb="FF0A5F61"/>
      <sz val="11"/>
    </font>
    <font>
      <name val="Calibri"/>
      <family val="2"/>
      <b val="1"/>
      <color rgb="FFFFFFFF"/>
      <sz val="13"/>
    </font>
    <font>
      <name val="Calibri"/>
      <family val="2"/>
      <b val="1"/>
      <color rgb="FFC0392B"/>
      <sz val="11"/>
    </font>
    <font>
      <name val="Calibri"/>
      <family val="2"/>
      <b val="1"/>
      <color rgb="FFC8D400"/>
      <sz val="14"/>
    </font>
    <font>
      <name val="Calibri"/>
      <family val="2"/>
      <b val="1"/>
      <color rgb="FFFFFFFF"/>
      <sz val="18"/>
    </font>
    <font>
      <name val="Calibri"/>
      <family val="2"/>
      <i val="1"/>
      <color rgb="FFA0D0D0"/>
      <sz val="9"/>
    </font>
    <font>
      <name val="Calibri"/>
      <family val="2"/>
      <color rgb="FF5A7A7A"/>
      <sz val="9"/>
    </font>
    <font>
      <name val="Calibri"/>
      <family val="2"/>
      <color rgb="FF000000"/>
      <sz val="9"/>
    </font>
    <font>
      <name val="Calibri"/>
      <family val="2"/>
      <color rgb="FFFFFFFF"/>
      <sz val="9"/>
    </font>
    <font>
      <name val="Calibri"/>
      <family val="2"/>
      <i val="1"/>
      <color rgb="FFD4840A"/>
      <sz val="9"/>
    </font>
    <font>
      <name val="Calibri"/>
      <family val="2"/>
      <i val="1"/>
      <color rgb="FF0A5F61"/>
      <sz val="9"/>
    </font>
    <font>
      <name val="Calibri"/>
      <family val="2"/>
      <color rgb="FF5A7A7A"/>
      <sz val="10"/>
    </font>
    <font>
      <name val="Calibri"/>
      <family val="2"/>
      <i val="1"/>
      <color rgb="FFFFFFFF"/>
      <sz val="8"/>
    </font>
    <font>
      <name val="Calibri"/>
      <family val="2"/>
      <i val="1"/>
      <color rgb="FF0B3D91"/>
      <sz val="10"/>
    </font>
    <font>
      <name val="Calibri"/>
      <family val="2"/>
      <b val="1"/>
      <color rgb="FF2A8A55"/>
      <sz val="9"/>
    </font>
    <font>
      <name val="Calibri"/>
      <family val="2"/>
      <b val="1"/>
      <color rgb="FFD4840A"/>
      <sz val="9"/>
    </font>
    <font>
      <name val="Calibri"/>
      <family val="2"/>
      <b val="1"/>
      <color rgb="FFD4840A"/>
      <sz val="10"/>
    </font>
    <font>
      <name val="Calibri"/>
      <family val="2"/>
      <color rgb="FF0B3D91"/>
      <sz val="9"/>
    </font>
    <font>
      <name val="Calibri"/>
      <family val="2"/>
      <b val="1"/>
      <color rgb="FF2A8A55"/>
      <sz val="10"/>
    </font>
    <font>
      <name val="Calibri"/>
      <family val="2"/>
      <b val="1"/>
      <color rgb="FFC0392B"/>
      <sz val="10"/>
    </font>
    <font>
      <name val="Calibri"/>
      <family val="2"/>
      <b val="1"/>
      <color rgb="FF2A8A55"/>
      <sz val="11"/>
    </font>
    <font>
      <name val="Calibri"/>
      <family val="2"/>
      <b val="1"/>
      <color rgb="FFC8D400"/>
      <sz val="13"/>
    </font>
    <font>
      <b val="1"/>
      <color rgb="00FFFFFF"/>
    </font>
  </fonts>
  <fills count="17">
    <fill>
      <patternFill/>
    </fill>
    <fill>
      <patternFill patternType="gray125"/>
    </fill>
    <fill>
      <patternFill patternType="solid">
        <fgColor rgb="FF0A5F61"/>
        <bgColor rgb="FF0C7E80"/>
      </patternFill>
    </fill>
    <fill>
      <patternFill patternType="solid">
        <fgColor rgb="FF0C7E80"/>
        <bgColor rgb="FF2A8A55"/>
      </patternFill>
    </fill>
    <fill>
      <patternFill patternType="solid">
        <fgColor rgb="FFC8D400"/>
        <bgColor rgb="FFFFCC00"/>
      </patternFill>
    </fill>
    <fill>
      <patternFill patternType="solid">
        <fgColor rgb="FFD4840A"/>
        <bgColor rgb="FFFF6600"/>
      </patternFill>
    </fill>
    <fill>
      <patternFill patternType="solid">
        <fgColor rgb="FFC0392B"/>
        <bgColor rgb="FF993366"/>
      </patternFill>
    </fill>
    <fill>
      <patternFill patternType="solid">
        <fgColor rgb="FFF4F8F8"/>
        <bgColor rgb="FFE8F8EE"/>
      </patternFill>
    </fill>
    <fill>
      <patternFill patternType="solid">
        <fgColor rgb="FFE0F5F5"/>
        <bgColor rgb="FFE8F8EE"/>
      </patternFill>
    </fill>
    <fill>
      <patternFill patternType="solid">
        <fgColor rgb="FFE8F8EE"/>
        <bgColor rgb="FFE0F5F5"/>
      </patternFill>
    </fill>
    <fill>
      <patternFill patternType="solid">
        <fgColor rgb="FFFDECEA"/>
        <bgColor rgb="FFFEF3E2"/>
      </patternFill>
    </fill>
    <fill>
      <patternFill patternType="solid">
        <fgColor rgb="FFFEF3E2"/>
        <bgColor rgb="FFFDECEA"/>
      </patternFill>
    </fill>
    <fill>
      <patternFill patternType="solid">
        <fgColor rgb="FFFFFFFF"/>
        <bgColor rgb="FFF4F8F8"/>
      </patternFill>
    </fill>
    <fill>
      <patternFill patternType="solid">
        <fgColor rgb="FFF5F9D0"/>
        <bgColor rgb="FFFEF3E2"/>
      </patternFill>
    </fill>
    <fill>
      <patternFill patternType="solid">
        <fgColor rgb="FF2A8A55"/>
        <bgColor rgb="FF0C7E80"/>
      </patternFill>
    </fill>
    <fill>
      <patternFill patternType="solid">
        <fgColor rgb="FF1A3A3A"/>
        <bgColor rgb="FF333300"/>
      </patternFill>
    </fill>
    <fill>
      <patternFill patternType="solid">
        <fgColor rgb="001F3864"/>
      </patternFill>
    </fill>
  </fills>
  <borders count="16">
    <border>
      <left/>
      <right/>
      <top/>
      <bottom/>
      <diagonal/>
    </border>
    <border>
      <left style="thin">
        <color rgb="FFC0D8D8"/>
      </left>
      <right style="thin">
        <color rgb="FFC0D8D8"/>
      </right>
      <top style="thin">
        <color rgb="FFC0D8D8"/>
      </top>
      <bottom style="thin">
        <color rgb="FFC0D8D8"/>
      </bottom>
      <diagonal/>
    </border>
    <border>
      <left style="thin">
        <color rgb="FFC0D8D8"/>
      </left>
      <right/>
      <top style="thin">
        <color rgb="FFC0D8D8"/>
      </top>
      <bottom style="thin">
        <color rgb="FFC0D8D8"/>
      </bottom>
      <diagonal/>
    </border>
    <border>
      <left style="medium">
        <color rgb="FF0A5F61"/>
      </left>
      <right style="medium">
        <color rgb="FF0A5F61"/>
      </right>
      <top style="medium">
        <color rgb="FF0A5F61"/>
      </top>
      <bottom style="medium">
        <color rgb="FF0A5F61"/>
      </bottom>
      <diagonal/>
    </border>
    <border>
      <left/>
      <right/>
      <top style="thin">
        <color rgb="FFC0D8D8"/>
      </top>
      <bottom style="thin">
        <color rgb="FFC0D8D8"/>
      </bottom>
      <diagonal/>
    </border>
    <border>
      <left/>
      <right style="thin">
        <color rgb="FFC0D8D8"/>
      </right>
      <top style="thin">
        <color rgb="FFC0D8D8"/>
      </top>
      <bottom style="thin">
        <color rgb="FFC0D8D8"/>
      </bottom>
      <diagonal/>
    </border>
    <border>
      <left style="thin">
        <color rgb="FFC0D8D8"/>
      </left>
      <right/>
      <top/>
      <bottom/>
      <diagonal/>
    </border>
    <border>
      <left/>
      <right/>
      <top/>
      <bottom style="thin">
        <color rgb="FFC0D8D8"/>
      </bottom>
      <diagonal/>
    </border>
    <border>
      <left style="medium">
        <color rgb="FF0A5F61"/>
      </left>
      <right/>
      <top style="medium">
        <color rgb="FF0A5F61"/>
      </top>
      <bottom style="medium">
        <color rgb="FF0A5F61"/>
      </bottom>
      <diagonal/>
    </border>
    <border>
      <left/>
      <right/>
      <top style="medium">
        <color rgb="FF0A5F61"/>
      </top>
      <bottom style="medium">
        <color rgb="FF0A5F61"/>
      </bottom>
      <diagonal/>
    </border>
    <border>
      <left/>
      <right style="medium">
        <color rgb="FF0A5F61"/>
      </right>
      <top style="medium">
        <color rgb="FF0A5F61"/>
      </top>
      <bottom style="medium">
        <color rgb="FF0A5F61"/>
      </bottom>
      <diagonal/>
    </border>
    <border>
      <left/>
      <right/>
      <top style="medium">
        <color rgb="FF0A5F61"/>
      </top>
      <bottom style="thin">
        <color rgb="FFC0D8D8"/>
      </bottom>
      <diagonal/>
    </border>
    <border>
      <left/>
      <right/>
      <top style="medium">
        <color rgb="FF0A5F61"/>
      </top>
      <bottom/>
      <diagonal/>
    </border>
    <border>
      <left/>
      <right style="medium">
        <color rgb="FF0A5F61"/>
      </right>
      <top style="medium">
        <color rgb="FF0A5F61"/>
      </top>
      <bottom/>
      <diagonal/>
    </border>
    <border>
      <left/>
      <right/>
      <top style="thin">
        <color rgb="FFC0D8D8"/>
      </top>
      <bottom/>
      <diagonal/>
    </border>
    <border>
      <left/>
      <right style="thin">
        <color rgb="FFC0D8D8"/>
      </right>
      <top style="thin">
        <color rgb="FFC0D8D8"/>
      </top>
      <bottom/>
      <diagonal/>
    </border>
  </borders>
  <cellStyleXfs count="1">
    <xf numFmtId="0" fontId="0" fillId="0" borderId="0"/>
  </cellStyleXfs>
  <cellXfs count="306">
    <xf numFmtId="0" fontId="0" fillId="0" borderId="0" pivotButton="0" quotePrefix="0" xfId="0"/>
    <xf numFmtId="0" fontId="0" fillId="0" borderId="0" pivotButton="0" quotePrefix="0" xfId="0"/>
    <xf numFmtId="0" fontId="0" fillId="2"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164" fontId="5" fillId="7" borderId="1" applyAlignment="1" pivotButton="0" quotePrefix="0" xfId="0">
      <alignment horizontal="center" vertical="center"/>
    </xf>
    <xf numFmtId="164" fontId="2" fillId="7" borderId="1" applyAlignment="1" pivotButton="0" quotePrefix="0" xfId="0">
      <alignment horizontal="center" vertical="center"/>
    </xf>
    <xf numFmtId="164" fontId="6" fillId="7" borderId="1" applyAlignment="1" pivotButton="0" quotePrefix="0" xfId="0">
      <alignment horizontal="center" vertical="center"/>
    </xf>
    <xf numFmtId="164" fontId="7" fillId="7" borderId="1" applyAlignment="1" pivotButton="0" quotePrefix="0" xfId="0">
      <alignment horizontal="center" vertical="center"/>
    </xf>
    <xf numFmtId="0" fontId="9" fillId="2" borderId="0" applyAlignment="1" pivotButton="0" quotePrefix="0" xfId="0">
      <alignment horizontal="left" vertical="center"/>
    </xf>
    <xf numFmtId="164" fontId="11" fillId="8" borderId="1" applyAlignment="1" pivotButton="0" quotePrefix="0" xfId="0">
      <alignment horizontal="right" vertical="center"/>
    </xf>
    <xf numFmtId="164" fontId="11" fillId="9" borderId="1" applyAlignment="1" pivotButton="0" quotePrefix="0" xfId="0">
      <alignment horizontal="right" vertical="center"/>
    </xf>
    <xf numFmtId="164" fontId="11" fillId="10" borderId="1" applyAlignment="1" pivotButton="0" quotePrefix="0" xfId="0">
      <alignment horizontal="right" vertical="center"/>
    </xf>
    <xf numFmtId="164" fontId="11" fillId="11" borderId="1" applyAlignment="1" pivotButton="0" quotePrefix="0" xfId="0">
      <alignment horizontal="right" vertical="center"/>
    </xf>
    <xf numFmtId="164" fontId="12" fillId="2" borderId="1" applyAlignment="1" pivotButton="0" quotePrefix="0" xfId="0">
      <alignment horizontal="right" vertical="center"/>
    </xf>
    <xf numFmtId="164" fontId="11" fillId="12" borderId="1" applyAlignment="1" pivotButton="0" quotePrefix="0" xfId="0">
      <alignment horizontal="right" vertical="center"/>
    </xf>
    <xf numFmtId="164" fontId="14" fillId="13" borderId="1" applyAlignment="1" pivotButton="0" quotePrefix="0" xfId="0">
      <alignment horizontal="right" vertical="center"/>
    </xf>
    <xf numFmtId="49" fontId="11" fillId="7" borderId="1" applyAlignment="1" pivotButton="0" quotePrefix="0" xfId="0">
      <alignment horizontal="center" vertical="center"/>
    </xf>
    <xf numFmtId="165" fontId="11" fillId="7" borderId="1" applyAlignment="1" pivotButton="0" quotePrefix="0" xfId="0">
      <alignment horizontal="center" vertical="center"/>
    </xf>
    <xf numFmtId="0" fontId="19" fillId="3" borderId="1" applyAlignment="1" pivotButton="0" quotePrefix="0" xfId="0">
      <alignment horizontal="left" vertical="center"/>
    </xf>
    <xf numFmtId="0" fontId="20" fillId="7" borderId="1" applyAlignment="1" pivotButton="0" quotePrefix="0" xfId="0">
      <alignment horizontal="left" vertical="center"/>
    </xf>
    <xf numFmtId="164" fontId="20" fillId="7" borderId="1" applyAlignment="1" pivotButton="0" quotePrefix="0" xfId="0">
      <alignment horizontal="left" vertical="center"/>
    </xf>
    <xf numFmtId="165" fontId="20" fillId="7" borderId="1" applyAlignment="1" pivotButton="0" quotePrefix="0" xfId="0">
      <alignment horizontal="left" vertical="center"/>
    </xf>
    <xf numFmtId="0" fontId="19" fillId="15" borderId="1" applyAlignment="1" pivotButton="0" quotePrefix="0" xfId="0">
      <alignment horizontal="center" vertical="center"/>
    </xf>
    <xf numFmtId="0" fontId="21" fillId="8" borderId="1" applyAlignment="1" pivotButton="0" quotePrefix="0" xfId="0">
      <alignment horizontal="left" vertical="center"/>
    </xf>
    <xf numFmtId="0" fontId="22" fillId="12" borderId="1" applyAlignment="1" pivotButton="0" quotePrefix="0" xfId="0">
      <alignment horizontal="left" vertical="center"/>
    </xf>
    <xf numFmtId="165" fontId="22" fillId="12" borderId="1" applyAlignment="1" pivotButton="0" quotePrefix="0" xfId="0">
      <alignment horizontal="left" vertical="center"/>
    </xf>
    <xf numFmtId="49" fontId="23" fillId="7" borderId="1" applyAlignment="1" pivotButton="0" quotePrefix="0" xfId="0">
      <alignment horizontal="center" vertical="center"/>
    </xf>
    <xf numFmtId="0" fontId="21" fillId="7" borderId="1" applyAlignment="1" pivotButton="0" quotePrefix="0" xfId="0">
      <alignment horizontal="left" vertical="center"/>
    </xf>
    <xf numFmtId="0" fontId="25" fillId="7" borderId="1" applyAlignment="1" pivotButton="0" quotePrefix="0" xfId="0">
      <alignment horizontal="left" vertical="center"/>
    </xf>
    <xf numFmtId="0" fontId="21" fillId="12" borderId="1" applyAlignment="1" pivotButton="0" quotePrefix="0" xfId="0">
      <alignment horizontal="left" vertical="center"/>
    </xf>
    <xf numFmtId="0" fontId="25" fillId="12" borderId="1" applyAlignment="1" pivotButton="0" quotePrefix="0" xfId="0">
      <alignment horizontal="left" vertical="center"/>
    </xf>
    <xf numFmtId="0" fontId="25" fillId="8" borderId="1" applyAlignment="1" pivotButton="0" quotePrefix="0" xfId="0">
      <alignment horizontal="left" vertical="center" wrapText="1"/>
    </xf>
    <xf numFmtId="0" fontId="0" fillId="3" borderId="0" pivotButton="0" quotePrefix="0" xfId="0"/>
    <xf numFmtId="0" fontId="9" fillId="3" borderId="0" applyAlignment="1" pivotButton="0" quotePrefix="0" xfId="0">
      <alignment horizontal="left" vertical="center"/>
    </xf>
    <xf numFmtId="0" fontId="25" fillId="7" borderId="1" applyAlignment="1" pivotButton="0" quotePrefix="0" xfId="0">
      <alignment horizontal="left" vertical="center" wrapText="1"/>
    </xf>
    <xf numFmtId="0" fontId="19" fillId="2" borderId="1" applyAlignment="1" pivotButton="0" quotePrefix="0" xfId="0">
      <alignment horizontal="left" vertical="center"/>
    </xf>
    <xf numFmtId="0" fontId="28" fillId="2" borderId="1" applyAlignment="1" pivotButton="0" quotePrefix="0" xfId="0">
      <alignment horizontal="left" vertical="center"/>
    </xf>
    <xf numFmtId="0" fontId="29" fillId="2" borderId="0" applyAlignment="1" pivotButton="0" quotePrefix="0" xfId="0">
      <alignment horizontal="left" vertical="center"/>
    </xf>
    <xf numFmtId="0" fontId="21" fillId="7" borderId="1" applyAlignment="1" pivotButton="0" quotePrefix="0" xfId="0">
      <alignment horizontal="center" vertical="center"/>
    </xf>
    <xf numFmtId="0" fontId="24" fillId="7" borderId="1" applyAlignment="1" pivotButton="0" quotePrefix="0" xfId="0">
      <alignment horizontal="left" vertical="center" wrapText="1"/>
    </xf>
    <xf numFmtId="0" fontId="16" fillId="6" borderId="1" applyAlignment="1" pivotButton="0" quotePrefix="0" xfId="0">
      <alignment horizontal="center" vertical="center"/>
    </xf>
    <xf numFmtId="0" fontId="13" fillId="13" borderId="1" applyAlignment="1" pivotButton="0" quotePrefix="0" xfId="0">
      <alignment horizontal="center" vertical="center"/>
    </xf>
    <xf numFmtId="0" fontId="21" fillId="12" borderId="1" applyAlignment="1" pivotButton="0" quotePrefix="0" xfId="0">
      <alignment horizontal="center" vertical="center"/>
    </xf>
    <xf numFmtId="0" fontId="24" fillId="12" borderId="1" applyAlignment="1" pivotButton="0" quotePrefix="0" xfId="0">
      <alignment horizontal="left" vertical="center" wrapText="1"/>
    </xf>
    <xf numFmtId="0" fontId="16" fillId="5" borderId="1" applyAlignment="1" pivotButton="0" quotePrefix="0" xfId="0">
      <alignment horizontal="center" vertical="center"/>
    </xf>
    <xf numFmtId="0" fontId="25" fillId="12" borderId="1" applyAlignment="1" pivotButton="0" quotePrefix="0" xfId="0">
      <alignment horizontal="left" vertical="center" wrapText="1"/>
    </xf>
    <xf numFmtId="0" fontId="30" fillId="12" borderId="1" applyAlignment="1" pivotButton="0" quotePrefix="0" xfId="0">
      <alignment horizontal="center" vertical="center"/>
    </xf>
    <xf numFmtId="0" fontId="31" fillId="12" borderId="1" applyAlignment="1" pivotButton="0" quotePrefix="0" xfId="0">
      <alignment horizontal="left" vertical="center"/>
    </xf>
    <xf numFmtId="0" fontId="22" fillId="12" borderId="1" applyAlignment="1" pivotButton="0" quotePrefix="0" xfId="0">
      <alignment horizontal="right" vertical="center"/>
    </xf>
    <xf numFmtId="164" fontId="22" fillId="12" borderId="1" applyAlignment="1" pivotButton="0" quotePrefix="0" xfId="0">
      <alignment horizontal="right" vertical="center"/>
    </xf>
    <xf numFmtId="0" fontId="30" fillId="7" borderId="1" applyAlignment="1" pivotButton="0" quotePrefix="0" xfId="0">
      <alignment horizontal="center" vertical="center"/>
    </xf>
    <xf numFmtId="0" fontId="31" fillId="7" borderId="1" applyAlignment="1" pivotButton="0" quotePrefix="0" xfId="0">
      <alignment horizontal="left" vertical="center"/>
    </xf>
    <xf numFmtId="0" fontId="22" fillId="7" borderId="1" applyAlignment="1" pivotButton="0" quotePrefix="0" xfId="0">
      <alignment horizontal="right" vertical="center"/>
    </xf>
    <xf numFmtId="164" fontId="22" fillId="7" borderId="1" applyAlignment="1" pivotButton="0" quotePrefix="0" xfId="0">
      <alignment horizontal="right" vertical="center"/>
    </xf>
    <xf numFmtId="0" fontId="30" fillId="8" borderId="1" applyAlignment="1" pivotButton="0" quotePrefix="0" xfId="0">
      <alignment horizontal="center" vertical="center"/>
    </xf>
    <xf numFmtId="0" fontId="13" fillId="8" borderId="1" applyAlignment="1" pivotButton="0" quotePrefix="0" xfId="0">
      <alignment horizontal="left" vertical="center"/>
    </xf>
    <xf numFmtId="164" fontId="20" fillId="8" borderId="1" applyAlignment="1" pivotButton="0" quotePrefix="0" xfId="0">
      <alignment horizontal="right" vertical="center"/>
    </xf>
    <xf numFmtId="164" fontId="32" fillId="8" borderId="1" applyAlignment="1" pivotButton="0" quotePrefix="0" xfId="0">
      <alignment horizontal="right" vertical="center"/>
    </xf>
    <xf numFmtId="164" fontId="22" fillId="8" borderId="1" applyAlignment="1" pivotButton="0" quotePrefix="0" xfId="0">
      <alignment horizontal="right" vertical="center"/>
    </xf>
    <xf numFmtId="0" fontId="33" fillId="3" borderId="1" applyAlignment="1" pivotButton="0" quotePrefix="0" xfId="0">
      <alignment horizontal="center" vertical="center"/>
    </xf>
    <xf numFmtId="0" fontId="9" fillId="3" borderId="1" applyAlignment="1" pivotButton="0" quotePrefix="0" xfId="0">
      <alignment horizontal="left" vertical="center"/>
    </xf>
    <xf numFmtId="0" fontId="21" fillId="8" borderId="1" applyAlignment="1" pivotButton="0" quotePrefix="0" xfId="0">
      <alignment horizontal="center" vertical="center"/>
    </xf>
    <xf numFmtId="0" fontId="31" fillId="7" borderId="1" applyAlignment="1" pivotButton="0" quotePrefix="0" xfId="0">
      <alignment horizontal="left" vertical="center" wrapText="1"/>
    </xf>
    <xf numFmtId="164" fontId="11" fillId="7" borderId="1" applyAlignment="1" pivotButton="0" quotePrefix="0" xfId="0">
      <alignment horizontal="right" vertical="center"/>
    </xf>
    <xf numFmtId="0" fontId="0" fillId="0" borderId="4" pivotButton="0" quotePrefix="0" xfId="0"/>
    <xf numFmtId="0" fontId="0" fillId="0" borderId="5" pivotButton="0" quotePrefix="0" xfId="0"/>
    <xf numFmtId="164" fontId="14" fillId="7" borderId="1" applyAlignment="1" pivotButton="0" quotePrefix="0" xfId="0">
      <alignment horizontal="right" vertical="center"/>
    </xf>
    <xf numFmtId="0" fontId="10" fillId="12" borderId="1" applyAlignment="1" pivotButton="0" quotePrefix="0" xfId="0">
      <alignment horizontal="right" vertical="center"/>
    </xf>
    <xf numFmtId="0" fontId="10" fillId="7" borderId="1" applyAlignment="1" pivotButton="0" quotePrefix="0" xfId="0">
      <alignment horizontal="right" vertical="center"/>
    </xf>
    <xf numFmtId="0" fontId="10" fillId="8" borderId="1" applyAlignment="1" pivotButton="0" quotePrefix="0" xfId="0">
      <alignment horizontal="right" vertical="center"/>
    </xf>
    <xf numFmtId="0" fontId="9" fillId="3" borderId="0" applyAlignment="1" pivotButton="0" quotePrefix="0" xfId="0">
      <alignment horizontal="left" vertical="center"/>
    </xf>
    <xf numFmtId="0" fontId="0" fillId="2" borderId="1" pivotButton="0" quotePrefix="0" xfId="0"/>
    <xf numFmtId="0" fontId="35" fillId="2" borderId="1" applyAlignment="1" pivotButton="0" quotePrefix="0" xfId="0">
      <alignment horizontal="left" vertical="center"/>
    </xf>
    <xf numFmtId="0" fontId="9" fillId="2" borderId="0" applyAlignment="1" pivotButton="0" quotePrefix="0" xfId="0">
      <alignment horizontal="left" vertical="center"/>
    </xf>
    <xf numFmtId="164" fontId="20" fillId="7" borderId="1" applyAlignment="1" pivotButton="0" quotePrefix="0" xfId="0">
      <alignment horizontal="right" vertical="center"/>
    </xf>
    <xf numFmtId="164" fontId="36" fillId="12" borderId="1" applyAlignment="1" pivotButton="0" quotePrefix="0" xfId="0">
      <alignment horizontal="right" vertical="center"/>
    </xf>
    <xf numFmtId="164" fontId="37" fillId="2" borderId="1" applyAlignment="1" pivotButton="0" quotePrefix="0" xfId="0">
      <alignment horizontal="right" vertical="center"/>
    </xf>
    <xf numFmtId="0" fontId="38" fillId="2" borderId="0" applyAlignment="1" pivotButton="0" quotePrefix="0" xfId="0">
      <alignment horizontal="left" vertical="center"/>
    </xf>
    <xf numFmtId="0" fontId="28" fillId="2" borderId="0" applyAlignment="1" pivotButton="0" quotePrefix="0" xfId="0">
      <alignment horizontal="left" vertical="center" wrapText="1"/>
    </xf>
    <xf numFmtId="0" fontId="39" fillId="2" borderId="0" applyAlignment="1" pivotButton="0" quotePrefix="0" xfId="0">
      <alignment horizontal="left" vertical="center" wrapText="1"/>
    </xf>
    <xf numFmtId="0" fontId="18" fillId="2" borderId="0" applyAlignment="1" pivotButton="0" quotePrefix="0" xfId="0">
      <alignment horizontal="left" vertical="center" wrapText="1"/>
    </xf>
    <xf numFmtId="0" fontId="19" fillId="15" borderId="1" applyAlignment="1" pivotButton="0" quotePrefix="0" xfId="0">
      <alignment horizontal="center" vertical="center" wrapText="1"/>
    </xf>
    <xf numFmtId="0" fontId="22" fillId="7" borderId="1" applyAlignment="1" pivotButton="0" quotePrefix="0" xfId="0">
      <alignment horizontal="left" vertical="center"/>
    </xf>
    <xf numFmtId="164" fontId="40" fillId="7" borderId="1" applyAlignment="1" pivotButton="0" quotePrefix="0" xfId="0">
      <alignment horizontal="right" vertical="center"/>
    </xf>
    <xf numFmtId="49" fontId="41" fillId="7" borderId="1" applyAlignment="1" pivotButton="0" quotePrefix="0" xfId="0">
      <alignment horizontal="center" vertical="center"/>
    </xf>
    <xf numFmtId="0" fontId="22" fillId="12" borderId="1" applyAlignment="1" pivotButton="0" quotePrefix="0" xfId="0">
      <alignment horizontal="center" vertical="center"/>
    </xf>
    <xf numFmtId="164" fontId="40" fillId="12" borderId="1" applyAlignment="1" pivotButton="0" quotePrefix="0" xfId="0">
      <alignment horizontal="right" vertical="center"/>
    </xf>
    <xf numFmtId="49" fontId="41" fillId="12" borderId="1" applyAlignment="1" pivotButton="0" quotePrefix="0" xfId="0">
      <alignment horizontal="center" vertical="center"/>
    </xf>
    <xf numFmtId="164" fontId="9" fillId="2" borderId="1" applyAlignment="1" pivotButton="0" quotePrefix="0" xfId="0">
      <alignment horizontal="right" vertical="center"/>
    </xf>
    <xf numFmtId="49" fontId="42" fillId="3" borderId="1" applyAlignment="1" pivotButton="0" quotePrefix="0" xfId="0">
      <alignment horizontal="center" vertical="center"/>
    </xf>
    <xf numFmtId="0" fontId="21" fillId="8" borderId="1" applyAlignment="1" pivotButton="0" quotePrefix="0" xfId="0">
      <alignment horizontal="left" vertical="center" wrapText="1"/>
    </xf>
    <xf numFmtId="10" fontId="22" fillId="7" borderId="1" applyAlignment="1" pivotButton="0" quotePrefix="0" xfId="0">
      <alignment horizontal="right" vertical="center"/>
    </xf>
    <xf numFmtId="0" fontId="22" fillId="7" borderId="1" applyAlignment="1" pivotButton="0" quotePrefix="0" xfId="0">
      <alignment horizontal="center" vertical="center"/>
    </xf>
    <xf numFmtId="10" fontId="22" fillId="12" borderId="1" applyAlignment="1" pivotButton="0" quotePrefix="0" xfId="0">
      <alignment horizontal="right" vertical="center"/>
    </xf>
    <xf numFmtId="0" fontId="30" fillId="7" borderId="1" applyAlignment="1" pivotButton="0" quotePrefix="0" xfId="0">
      <alignment horizontal="left" vertical="center"/>
    </xf>
    <xf numFmtId="0" fontId="22" fillId="7" borderId="1" applyAlignment="1" pivotButton="0" quotePrefix="0" xfId="0">
      <alignment horizontal="left" vertical="center" wrapText="1"/>
    </xf>
    <xf numFmtId="0" fontId="30" fillId="12" borderId="1" applyAlignment="1" pivotButton="0" quotePrefix="0" xfId="0">
      <alignment horizontal="left" vertical="center"/>
    </xf>
    <xf numFmtId="0" fontId="22" fillId="12" borderId="1" applyAlignment="1" pivotButton="0" quotePrefix="0" xfId="0">
      <alignment horizontal="left" vertical="center" wrapText="1"/>
    </xf>
    <xf numFmtId="164" fontId="45" fillId="7" borderId="1" applyAlignment="1" pivotButton="0" quotePrefix="0" xfId="0">
      <alignment horizontal="right" vertical="center"/>
    </xf>
    <xf numFmtId="164" fontId="45" fillId="12" borderId="1" applyAlignment="1" pivotButton="0" quotePrefix="0" xfId="0">
      <alignment horizontal="right" vertical="center"/>
    </xf>
    <xf numFmtId="0" fontId="0" fillId="8" borderId="0" pivotButton="0" quotePrefix="0" xfId="0"/>
    <xf numFmtId="164" fontId="8" fillId="8" borderId="1" applyAlignment="1" pivotButton="0" quotePrefix="0" xfId="0">
      <alignment horizontal="right" vertical="center"/>
    </xf>
    <xf numFmtId="0" fontId="33" fillId="2" borderId="1" applyAlignment="1" pivotButton="0" quotePrefix="0" xfId="0">
      <alignment horizontal="center" vertical="center"/>
    </xf>
    <xf numFmtId="0" fontId="15" fillId="2" borderId="1" applyAlignment="1" pivotButton="0" quotePrefix="0" xfId="0">
      <alignment horizontal="left" vertical="center"/>
    </xf>
    <xf numFmtId="164" fontId="2" fillId="2" borderId="1" applyAlignment="1" pivotButton="0" quotePrefix="0" xfId="0">
      <alignment horizontal="right" vertical="center"/>
    </xf>
    <xf numFmtId="0" fontId="46" fillId="2" borderId="1" applyAlignment="1" pivotButton="0" quotePrefix="0" xfId="0">
      <alignment horizontal="left" vertical="center" wrapText="1"/>
    </xf>
    <xf numFmtId="0" fontId="47" fillId="12" borderId="1" applyAlignment="1" pivotButton="0" quotePrefix="0" xfId="0">
      <alignment horizontal="left" vertical="center" wrapText="1"/>
    </xf>
    <xf numFmtId="0" fontId="31" fillId="12" borderId="1" applyAlignment="1" pivotButton="0" quotePrefix="0" xfId="0">
      <alignment horizontal="left" vertical="center" wrapText="1"/>
    </xf>
    <xf numFmtId="49" fontId="11" fillId="12" borderId="1" applyAlignment="1" pivotButton="0" quotePrefix="0" xfId="0">
      <alignment horizontal="center" vertical="center"/>
    </xf>
    <xf numFmtId="0" fontId="44" fillId="8" borderId="1" applyAlignment="1" pivotButton="0" quotePrefix="0" xfId="0">
      <alignment horizontal="left" vertical="center" wrapText="1"/>
    </xf>
    <xf numFmtId="0" fontId="13" fillId="8" borderId="1" applyAlignment="1" pivotButton="0" quotePrefix="0" xfId="0">
      <alignment horizontal="center" vertical="center"/>
    </xf>
    <xf numFmtId="0" fontId="45" fillId="7" borderId="1" applyAlignment="1" pivotButton="0" quotePrefix="0" xfId="0">
      <alignment horizontal="left" vertical="center" wrapText="1"/>
    </xf>
    <xf numFmtId="165" fontId="22" fillId="7" borderId="1" applyAlignment="1" pivotButton="0" quotePrefix="0" xfId="0">
      <alignment horizontal="center" vertical="center"/>
    </xf>
    <xf numFmtId="0" fontId="48" fillId="7" borderId="1" applyAlignment="1" pivotButton="0" quotePrefix="0" xfId="0">
      <alignment horizontal="center" vertical="center"/>
    </xf>
    <xf numFmtId="0" fontId="45" fillId="12" borderId="1" applyAlignment="1" pivotButton="0" quotePrefix="0" xfId="0">
      <alignment horizontal="left" vertical="center" wrapText="1"/>
    </xf>
    <xf numFmtId="165" fontId="22" fillId="12" borderId="1" applyAlignment="1" pivotButton="0" quotePrefix="0" xfId="0">
      <alignment horizontal="center" vertical="center"/>
    </xf>
    <xf numFmtId="0" fontId="48" fillId="12" borderId="1" applyAlignment="1" pivotButton="0" quotePrefix="0" xfId="0">
      <alignment horizontal="center" vertical="center"/>
    </xf>
    <xf numFmtId="0" fontId="49" fillId="12" borderId="1" applyAlignment="1" pivotButton="0" quotePrefix="0" xfId="0">
      <alignment horizontal="center" vertical="center"/>
    </xf>
    <xf numFmtId="0" fontId="49" fillId="7" borderId="1" applyAlignment="1" pivotButton="0" quotePrefix="0" xfId="0">
      <alignment horizontal="center" vertical="center"/>
    </xf>
    <xf numFmtId="0" fontId="13" fillId="8" borderId="1" applyAlignment="1" pivotButton="0" quotePrefix="0" xfId="0">
      <alignment horizontal="left" vertical="center" wrapText="1"/>
    </xf>
    <xf numFmtId="0" fontId="50" fillId="7" borderId="1" applyAlignment="1" pivotButton="0" quotePrefix="0" xfId="0">
      <alignment horizontal="center" vertical="center"/>
    </xf>
    <xf numFmtId="0" fontId="50" fillId="12" borderId="1" applyAlignment="1" pivotButton="0" quotePrefix="0" xfId="0">
      <alignment horizontal="center" vertical="center"/>
    </xf>
    <xf numFmtId="0" fontId="51" fillId="7" borderId="1" applyAlignment="1" pivotButton="0" quotePrefix="0" xfId="0">
      <alignment horizontal="left" vertical="center" wrapText="1"/>
    </xf>
    <xf numFmtId="0" fontId="51" fillId="12" borderId="1" applyAlignment="1" pivotButton="0" quotePrefix="0" xfId="0">
      <alignment horizontal="left" vertical="center" wrapText="1"/>
    </xf>
    <xf numFmtId="164" fontId="28" fillId="2" borderId="1" applyAlignment="1" pivotButton="0" quotePrefix="0" xfId="0">
      <alignment horizontal="right" vertical="center"/>
    </xf>
    <xf numFmtId="0" fontId="52" fillId="7" borderId="1" applyAlignment="1" pivotButton="0" quotePrefix="0" xfId="0">
      <alignment horizontal="center" vertical="center"/>
    </xf>
    <xf numFmtId="0" fontId="52" fillId="12" borderId="1" applyAlignment="1" pivotButton="0" quotePrefix="0" xfId="0">
      <alignment horizontal="center" vertical="center"/>
    </xf>
    <xf numFmtId="0" fontId="53" fillId="12" borderId="1" applyAlignment="1" pivotButton="0" quotePrefix="0" xfId="0">
      <alignment horizontal="center" vertical="center"/>
    </xf>
    <xf numFmtId="0" fontId="53" fillId="7" borderId="1" applyAlignment="1" pivotButton="0" quotePrefix="0" xfId="0">
      <alignment horizontal="center" vertical="center"/>
    </xf>
    <xf numFmtId="10" fontId="11" fillId="8" borderId="1" applyAlignment="1" pivotButton="0" quotePrefix="0" xfId="0">
      <alignment horizontal="right" vertical="center"/>
    </xf>
    <xf numFmtId="10" fontId="53" fillId="7" borderId="1" applyAlignment="1" pivotButton="0" quotePrefix="0" xfId="0">
      <alignment horizontal="right" vertical="center"/>
    </xf>
    <xf numFmtId="49" fontId="11" fillId="8" borderId="1" applyAlignment="1" pivotButton="0" quotePrefix="0" xfId="0">
      <alignment horizontal="center" vertical="center"/>
    </xf>
    <xf numFmtId="0" fontId="25" fillId="8" borderId="1" applyAlignment="1" pivotButton="0" quotePrefix="0" xfId="0">
      <alignment horizontal="left" vertical="center"/>
    </xf>
    <xf numFmtId="1" fontId="11" fillId="7" borderId="1" applyAlignment="1" pivotButton="0" quotePrefix="0" xfId="0">
      <alignment horizontal="right" vertical="center"/>
    </xf>
    <xf numFmtId="1" fontId="22" fillId="12" borderId="1" applyAlignment="1" pivotButton="0" quotePrefix="0" xfId="0">
      <alignment horizontal="right" vertical="center"/>
    </xf>
    <xf numFmtId="0" fontId="54" fillId="7" borderId="1" applyAlignment="1" pivotButton="0" quotePrefix="0" xfId="0">
      <alignment horizontal="center" vertical="center"/>
    </xf>
    <xf numFmtId="0" fontId="54" fillId="12" borderId="1" applyAlignment="1" pivotButton="0" quotePrefix="0" xfId="0">
      <alignment horizontal="center" vertical="center"/>
    </xf>
    <xf numFmtId="164" fontId="55" fillId="2" borderId="1" applyAlignment="1" pivotButton="0" quotePrefix="0" xfId="0">
      <alignment horizontal="right" vertical="center"/>
    </xf>
    <xf numFmtId="0" fontId="19" fillId="15" borderId="1" applyAlignment="1" pivotButton="0" quotePrefix="0" xfId="0">
      <alignment horizontal="left" vertical="center"/>
    </xf>
    <xf numFmtId="0" fontId="19" fillId="2" borderId="1" applyAlignment="1" pivotButton="0" quotePrefix="0" xfId="0">
      <alignment horizontal="center" vertical="center" wrapText="1"/>
    </xf>
    <xf numFmtId="164" fontId="13" fillId="8" borderId="1" applyAlignment="1" pivotButton="0" quotePrefix="0" xfId="0">
      <alignment horizontal="right" vertical="center"/>
    </xf>
    <xf numFmtId="10" fontId="13" fillId="8" borderId="1" applyAlignment="1" pivotButton="0" quotePrefix="0" xfId="0">
      <alignment horizontal="right" vertical="center"/>
    </xf>
    <xf numFmtId="0" fontId="9" fillId="3" borderId="0" applyAlignment="1" pivotButton="0" quotePrefix="0" xfId="0">
      <alignment horizontal="left" vertical="center"/>
    </xf>
    <xf numFmtId="0" fontId="10" fillId="8" borderId="1"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17" fillId="0" borderId="0" applyAlignment="1" pivotButton="0" quotePrefix="0" xfId="0">
      <alignment horizontal="left" vertical="center"/>
    </xf>
    <xf numFmtId="0" fontId="3" fillId="0" borderId="0" applyAlignment="1" pivotButton="0" quotePrefix="0" xfId="0">
      <alignment horizontal="left" vertical="center"/>
    </xf>
    <xf numFmtId="0" fontId="1" fillId="2" borderId="0" applyAlignment="1" pivotButton="0" quotePrefix="0" xfId="0">
      <alignment horizontal="left" vertical="center" indent="14"/>
    </xf>
    <xf numFmtId="0" fontId="2" fillId="2" borderId="0" applyAlignment="1" pivotButton="0" quotePrefix="0" xfId="0">
      <alignment horizontal="left" vertical="center" indent="14"/>
    </xf>
    <xf numFmtId="0" fontId="29" fillId="2" borderId="0" applyAlignment="1" pivotButton="0" quotePrefix="0" xfId="0">
      <alignment horizontal="left" vertical="center" indent="14"/>
    </xf>
    <xf numFmtId="0" fontId="3" fillId="2" borderId="0" applyAlignment="1" pivotButton="0" quotePrefix="0" xfId="0">
      <alignment horizontal="left" vertical="center" indent="14"/>
    </xf>
    <xf numFmtId="0" fontId="28" fillId="2" borderId="0" applyAlignment="1" pivotButton="0" quotePrefix="0" xfId="0">
      <alignment horizontal="left" vertical="center" wrapText="1" indent="14"/>
    </xf>
    <xf numFmtId="0" fontId="39" fillId="2" borderId="0" applyAlignment="1" pivotButton="0" quotePrefix="0" xfId="0">
      <alignment horizontal="left" vertical="center" wrapText="1" indent="14"/>
    </xf>
    <xf numFmtId="0" fontId="38" fillId="2" borderId="0" applyAlignment="1" pivotButton="0" quotePrefix="0" xfId="0">
      <alignment horizontal="left" vertical="center" indent="14"/>
    </xf>
    <xf numFmtId="0" fontId="18" fillId="2" borderId="0" applyAlignment="1" pivotButton="0" quotePrefix="0" xfId="0">
      <alignment horizontal="left" vertical="center" wrapText="1" indent="14"/>
    </xf>
    <xf numFmtId="0" fontId="0" fillId="2" borderId="0" applyAlignment="1" pivotButton="0" quotePrefix="0" xfId="0">
      <alignment horizontal="left" indent="14"/>
    </xf>
    <xf numFmtId="0" fontId="1" fillId="0" borderId="0" applyAlignment="1" pivotButton="0" quotePrefix="0" xfId="0">
      <alignment horizontal="left" vertical="center" indent="14"/>
    </xf>
    <xf numFmtId="0" fontId="2" fillId="0" borderId="0" applyAlignment="1" pivotButton="0" quotePrefix="0" xfId="0">
      <alignment horizontal="left" vertical="center" indent="14"/>
    </xf>
    <xf numFmtId="0" fontId="17" fillId="2" borderId="0" applyAlignment="1" pivotButton="0" quotePrefix="0" xfId="0">
      <alignment horizontal="left" vertical="center" indent="14"/>
    </xf>
    <xf numFmtId="0" fontId="17" fillId="0" borderId="0" applyAlignment="1" pivotButton="0" quotePrefix="0" xfId="0">
      <alignment horizontal="left" vertical="center" indent="14"/>
    </xf>
    <xf numFmtId="0" fontId="3" fillId="0" borderId="0" applyAlignment="1" pivotButton="0" quotePrefix="0" xfId="0">
      <alignment horizontal="left" vertical="center" indent="14"/>
    </xf>
    <xf numFmtId="164" fontId="35" fillId="2" borderId="1" applyAlignment="1" pivotButton="0" quotePrefix="0" xfId="0">
      <alignment horizontal="left" vertical="center"/>
    </xf>
    <xf numFmtId="0" fontId="4" fillId="2" borderId="6" applyAlignment="1" pivotButton="0" quotePrefix="0" xfId="0">
      <alignment horizontal="center" vertical="center"/>
    </xf>
    <xf numFmtId="10" fontId="8" fillId="7" borderId="6" applyAlignment="1" pivotButton="0" quotePrefix="0" xfId="0">
      <alignment horizontal="center" vertical="center"/>
    </xf>
    <xf numFmtId="0" fontId="0" fillId="0" borderId="0" pivotButton="0" quotePrefix="0" xfId="0"/>
    <xf numFmtId="0" fontId="0" fillId="0" borderId="0" pivotButton="0" quotePrefix="0" xfId="0"/>
    <xf numFmtId="0" fontId="31" fillId="7" borderId="1" applyAlignment="1" pivotButton="0" quotePrefix="0" xfId="0">
      <alignment horizontal="justify" vertical="justify" wrapText="1"/>
    </xf>
    <xf numFmtId="0" fontId="29" fillId="0" borderId="0" applyAlignment="1" pivotButton="0" quotePrefix="0" xfId="0">
      <alignment horizontal="left" vertical="center" indent="14"/>
    </xf>
    <xf numFmtId="0" fontId="29" fillId="0" borderId="0" applyAlignment="1" pivotButton="0" quotePrefix="0" xfId="0">
      <alignment horizontal="left" vertical="center"/>
    </xf>
    <xf numFmtId="0" fontId="9" fillId="0" borderId="0" applyAlignment="1" pivotButton="0" quotePrefix="0" xfId="0">
      <alignment horizontal="left" vertical="center"/>
    </xf>
    <xf numFmtId="0" fontId="0" fillId="0" borderId="0" applyAlignment="1" pivotButton="0" quotePrefix="0" xfId="0">
      <alignment horizontal="left" indent="14"/>
    </xf>
    <xf numFmtId="0" fontId="9" fillId="2" borderId="7" applyAlignment="1" pivotButton="0" quotePrefix="0" xfId="0">
      <alignment horizontal="left" vertical="center"/>
    </xf>
    <xf numFmtId="0" fontId="10" fillId="8" borderId="2" applyAlignment="1" pivotButton="0" quotePrefix="0" xfId="0">
      <alignment horizontal="left" vertical="center"/>
    </xf>
    <xf numFmtId="0" fontId="10" fillId="8" borderId="4" applyAlignment="1" pivotButton="0" quotePrefix="0" xfId="0">
      <alignment horizontal="left" vertical="center"/>
    </xf>
    <xf numFmtId="0" fontId="10" fillId="9" borderId="2" applyAlignment="1" pivotButton="0" quotePrefix="0" xfId="0">
      <alignment horizontal="left" vertical="center"/>
    </xf>
    <xf numFmtId="0" fontId="10" fillId="9" borderId="4" applyAlignment="1" pivotButton="0" quotePrefix="0" xfId="0">
      <alignment horizontal="left" vertical="center"/>
    </xf>
    <xf numFmtId="0" fontId="10" fillId="10" borderId="2" applyAlignment="1" pivotButton="0" quotePrefix="0" xfId="0">
      <alignment horizontal="left" vertical="center"/>
    </xf>
    <xf numFmtId="0" fontId="10" fillId="10" borderId="4" applyAlignment="1" pivotButton="0" quotePrefix="0" xfId="0">
      <alignment horizontal="left" vertical="center"/>
    </xf>
    <xf numFmtId="0" fontId="10" fillId="11" borderId="2" applyAlignment="1" pivotButton="0" quotePrefix="0" xfId="0">
      <alignment horizontal="left" vertical="center"/>
    </xf>
    <xf numFmtId="0" fontId="10" fillId="11" borderId="4" applyAlignment="1" pivotButton="0" quotePrefix="0" xfId="0">
      <alignment horizontal="left" vertical="center"/>
    </xf>
    <xf numFmtId="0" fontId="9" fillId="2" borderId="2" applyAlignment="1" pivotButton="0" quotePrefix="0" xfId="0">
      <alignment horizontal="left" vertical="center"/>
    </xf>
    <xf numFmtId="0" fontId="9" fillId="2" borderId="4" applyAlignment="1" pivotButton="0" quotePrefix="0" xfId="0">
      <alignment horizontal="left" vertical="center"/>
    </xf>
    <xf numFmtId="0" fontId="10" fillId="12" borderId="2" applyAlignment="1" pivotButton="0" quotePrefix="0" xfId="0">
      <alignment horizontal="left" vertical="center"/>
    </xf>
    <xf numFmtId="0" fontId="10" fillId="12" borderId="4" applyAlignment="1" pivotButton="0" quotePrefix="0" xfId="0">
      <alignment horizontal="left" vertical="center"/>
    </xf>
    <xf numFmtId="0" fontId="13" fillId="13" borderId="2" applyAlignment="1" pivotButton="0" quotePrefix="0" xfId="0">
      <alignment horizontal="left" vertical="center"/>
    </xf>
    <xf numFmtId="0" fontId="13" fillId="13" borderId="4" applyAlignment="1" pivotButton="0" quotePrefix="0" xfId="0">
      <alignment horizontal="left" vertical="center"/>
    </xf>
    <xf numFmtId="0" fontId="15" fillId="0" borderId="0" applyAlignment="1" pivotButton="0" quotePrefix="0" xfId="0">
      <alignment horizontal="center" vertical="center"/>
    </xf>
    <xf numFmtId="0" fontId="0" fillId="0" borderId="0" pivotButton="0" quotePrefix="0" xfId="0"/>
    <xf numFmtId="0" fontId="16" fillId="0" borderId="0" applyAlignment="1" pivotButton="0" quotePrefix="0" xfId="0">
      <alignment horizontal="center" vertical="center"/>
    </xf>
    <xf numFmtId="49" fontId="41" fillId="7" borderId="1" applyAlignment="1" pivotButton="0" quotePrefix="0" xfId="0">
      <alignment horizontal="center" vertical="center" wrapText="1"/>
    </xf>
    <xf numFmtId="49" fontId="41" fillId="12" borderId="1" applyAlignment="1" pivotButton="0" quotePrefix="0" xfId="0">
      <alignment horizontal="center" vertical="center" wrapText="1"/>
    </xf>
    <xf numFmtId="0" fontId="25" fillId="8" borderId="1" applyAlignment="1" pivotButton="0" quotePrefix="0" xfId="0">
      <alignment horizontal="left" vertical="center" wrapText="1"/>
    </xf>
    <xf numFmtId="0" fontId="24" fillId="12" borderId="1" applyAlignment="1" pivotButton="0" quotePrefix="0" xfId="0">
      <alignment horizontal="left" vertical="center" wrapText="1"/>
    </xf>
    <xf numFmtId="0" fontId="24" fillId="7" borderId="1" applyAlignment="1" pivotButton="0" quotePrefix="0" xfId="0">
      <alignment horizontal="left" vertical="center" wrapText="1"/>
    </xf>
    <xf numFmtId="0" fontId="22" fillId="12" borderId="1" applyAlignment="1" pivotButton="0" quotePrefix="0" xfId="0">
      <alignment horizontal="left" vertical="center"/>
    </xf>
    <xf numFmtId="165" fontId="11" fillId="12" borderId="1" applyAlignment="1" pivotButton="0" quotePrefix="0" xfId="0">
      <alignment horizontal="center" vertical="center"/>
    </xf>
    <xf numFmtId="0" fontId="18" fillId="2" borderId="0" applyAlignment="1" pivotButton="0" quotePrefix="0" xfId="0">
      <alignment horizontal="left" vertical="center"/>
    </xf>
    <xf numFmtId="0" fontId="16" fillId="2" borderId="0" applyAlignment="1" pivotButton="0" quotePrefix="0" xfId="0">
      <alignment horizontal="left" vertical="center"/>
    </xf>
    <xf numFmtId="0" fontId="25" fillId="8" borderId="1" applyAlignment="1" pivotButton="0" quotePrefix="0" xfId="0">
      <alignment horizontal="left" vertical="center" wrapText="1"/>
    </xf>
    <xf numFmtId="0" fontId="26" fillId="3" borderId="0" applyAlignment="1" pivotButton="0" quotePrefix="0" xfId="0">
      <alignment horizontal="left" vertical="center"/>
    </xf>
    <xf numFmtId="0" fontId="27" fillId="2" borderId="1" applyAlignment="1" pivotButton="0" quotePrefix="0" xfId="0">
      <alignment horizontal="center" vertical="center"/>
    </xf>
    <xf numFmtId="0" fontId="26" fillId="3" borderId="0" applyAlignment="1" pivotButton="0" quotePrefix="0" xfId="0">
      <alignment horizontal="center" vertical="center"/>
    </xf>
    <xf numFmtId="0" fontId="15" fillId="3" borderId="1" applyAlignment="1" pivotButton="0" quotePrefix="0" xfId="0">
      <alignment horizontal="center" vertical="center"/>
    </xf>
    <xf numFmtId="0" fontId="15" fillId="14" borderId="1" applyAlignment="1" pivotButton="0" quotePrefix="0" xfId="0">
      <alignment horizontal="center" vertical="center"/>
    </xf>
    <xf numFmtId="0" fontId="24" fillId="7" borderId="2" applyAlignment="1" pivotButton="0" quotePrefix="0" xfId="0">
      <alignment horizontal="left" vertical="center"/>
    </xf>
    <xf numFmtId="0" fontId="24" fillId="12" borderId="2" applyAlignment="1" pivotButton="0" quotePrefix="0" xfId="0">
      <alignment horizontal="left" vertical="center"/>
    </xf>
    <xf numFmtId="0" fontId="9" fillId="2" borderId="0" applyAlignment="1" pivotButton="0" quotePrefix="0" xfId="0">
      <alignment horizontal="left" vertical="center"/>
    </xf>
    <xf numFmtId="0" fontId="15" fillId="14" borderId="3" applyAlignment="1" pivotButton="0" quotePrefix="0" xfId="0">
      <alignment horizontal="center" vertical="center"/>
    </xf>
    <xf numFmtId="0" fontId="9" fillId="3" borderId="2" applyAlignment="1" pivotButton="0" quotePrefix="0" xfId="0">
      <alignment horizontal="left" vertical="center"/>
    </xf>
    <xf numFmtId="0" fontId="16" fillId="3" borderId="2" applyAlignment="1" pivotButton="0" quotePrefix="0" xfId="0">
      <alignment horizontal="center" vertical="center"/>
    </xf>
    <xf numFmtId="0" fontId="16" fillId="3" borderId="4" applyAlignment="1" pivotButton="0" quotePrefix="0" xfId="0">
      <alignment horizontal="center" vertical="center"/>
    </xf>
    <xf numFmtId="0" fontId="15" fillId="14" borderId="8" applyAlignment="1" pivotButton="0" quotePrefix="0" xfId="0">
      <alignment horizontal="center" vertical="center"/>
    </xf>
    <xf numFmtId="0" fontId="15" fillId="14" borderId="9" applyAlignment="1" pivotButton="0" quotePrefix="0" xfId="0">
      <alignment horizontal="center" vertical="center"/>
    </xf>
    <xf numFmtId="0" fontId="0" fillId="0" borderId="11" pivotButton="0" quotePrefix="0" xfId="0"/>
    <xf numFmtId="0" fontId="9" fillId="3" borderId="0" applyAlignment="1" pivotButton="0" quotePrefix="0" xfId="0">
      <alignment horizontal="left" vertical="center"/>
    </xf>
    <xf numFmtId="0" fontId="44" fillId="8" borderId="1" applyAlignment="1" pivotButton="0" quotePrefix="0" xfId="0">
      <alignment horizontal="left" vertical="center" wrapText="1"/>
    </xf>
    <xf numFmtId="0" fontId="22" fillId="12" borderId="1" applyAlignment="1" pivotButton="0" quotePrefix="0" xfId="0">
      <alignment horizontal="left" vertical="center"/>
    </xf>
    <xf numFmtId="0" fontId="43" fillId="11" borderId="3" applyAlignment="1" pivotButton="0" quotePrefix="0" xfId="0">
      <alignment horizontal="left" vertical="center" wrapText="1"/>
    </xf>
    <xf numFmtId="49" fontId="22" fillId="12" borderId="1" applyAlignment="1" pivotButton="0" quotePrefix="0" xfId="0">
      <alignment horizontal="left" vertical="center"/>
    </xf>
    <xf numFmtId="49" fontId="9" fillId="14" borderId="3" applyAlignment="1" pivotButton="0" quotePrefix="0" xfId="0">
      <alignment horizontal="center" vertical="center" wrapText="1"/>
    </xf>
    <xf numFmtId="165" fontId="22" fillId="12" borderId="1" applyAlignment="1" pivotButton="0" quotePrefix="0" xfId="0">
      <alignment horizontal="left" vertical="center"/>
    </xf>
    <xf numFmtId="0" fontId="1" fillId="2" borderId="0" applyAlignment="1" pivotButton="0" quotePrefix="0" xfId="0">
      <alignment horizontal="left" vertical="center" wrapText="1" indent="9"/>
    </xf>
    <xf numFmtId="0" fontId="2" fillId="2" borderId="0" applyAlignment="1" pivotButton="0" quotePrefix="0" xfId="0">
      <alignment horizontal="left" vertical="center" wrapText="1" indent="9"/>
    </xf>
    <xf numFmtId="0" fontId="29" fillId="2" borderId="0" applyAlignment="1" pivotButton="0" quotePrefix="0" xfId="0">
      <alignment horizontal="left" vertical="center" wrapText="1" indent="9"/>
    </xf>
    <xf numFmtId="0" fontId="3" fillId="2" borderId="0" applyAlignment="1" pivotButton="0" quotePrefix="0" xfId="0">
      <alignment horizontal="left" vertical="center" wrapText="1" indent="9"/>
    </xf>
    <xf numFmtId="49" fontId="16" fillId="14" borderId="3" applyAlignment="1" pivotButton="0" quotePrefix="0" xfId="0">
      <alignment horizontal="center" vertical="center" wrapText="1"/>
    </xf>
    <xf numFmtId="0" fontId="44" fillId="8" borderId="3" applyAlignment="1" pivotButton="0" quotePrefix="0" xfId="0">
      <alignment horizontal="left" vertical="top" wrapText="1"/>
    </xf>
    <xf numFmtId="0" fontId="9" fillId="3" borderId="1" applyAlignment="1" pivotButton="0" quotePrefix="0" xfId="0">
      <alignment horizontal="left" vertical="center"/>
    </xf>
    <xf numFmtId="0" fontId="35" fillId="2" borderId="2" applyAlignment="1" pivotButton="0" quotePrefix="0" xfId="0">
      <alignment horizontal="left" vertical="center"/>
    </xf>
    <xf numFmtId="0" fontId="35" fillId="2" borderId="4" applyAlignment="1" pivotButton="0" quotePrefix="0" xfId="0">
      <alignment horizontal="left" vertical="center"/>
    </xf>
    <xf numFmtId="0" fontId="35" fillId="2" borderId="5" applyAlignment="1" pivotButton="0" quotePrefix="0" xfId="0">
      <alignment horizontal="left" vertical="center"/>
    </xf>
    <xf numFmtId="0" fontId="0" fillId="0" borderId="0" pivotButton="0" quotePrefix="0" xfId="0"/>
    <xf numFmtId="0" fontId="31" fillId="7" borderId="1" applyAlignment="1" pivotButton="0" quotePrefix="0" xfId="0">
      <alignment horizontal="left" vertical="center"/>
    </xf>
    <xf numFmtId="0" fontId="31" fillId="12" borderId="1" applyAlignment="1" pivotButton="0" quotePrefix="0" xfId="0">
      <alignment horizontal="left" vertical="center"/>
    </xf>
    <xf numFmtId="0" fontId="13" fillId="8" borderId="2" applyAlignment="1" pivotButton="0" quotePrefix="0" xfId="0">
      <alignment horizontal="left" vertical="center"/>
    </xf>
    <xf numFmtId="0" fontId="13" fillId="8" borderId="4" applyAlignment="1" pivotButton="0" quotePrefix="0" xfId="0">
      <alignment horizontal="left" vertical="center"/>
    </xf>
    <xf numFmtId="0" fontId="13" fillId="8" borderId="5" applyAlignment="1" pivotButton="0" quotePrefix="0" xfId="0">
      <alignment horizontal="left" vertical="center"/>
    </xf>
    <xf numFmtId="0" fontId="13" fillId="7" borderId="1" applyAlignment="1" pivotButton="0" quotePrefix="0" xfId="0">
      <alignment horizontal="left" vertical="center"/>
    </xf>
    <xf numFmtId="0" fontId="36" fillId="12" borderId="1" applyAlignment="1" pivotButton="0" quotePrefix="0" xfId="0">
      <alignment horizontal="left" vertical="center"/>
    </xf>
    <xf numFmtId="0" fontId="10" fillId="8" borderId="2" applyAlignment="1" pivotButton="0" quotePrefix="0" xfId="0">
      <alignment horizontal="center" vertical="center"/>
    </xf>
    <xf numFmtId="0" fontId="10" fillId="8" borderId="4" applyAlignment="1" pivotButton="0" quotePrefix="0" xfId="0">
      <alignment horizontal="center" vertical="center"/>
    </xf>
    <xf numFmtId="0" fontId="10" fillId="8" borderId="5" applyAlignment="1" pivotButton="0" quotePrefix="0" xfId="0">
      <alignment horizontal="center" vertical="center"/>
    </xf>
    <xf numFmtId="0" fontId="31" fillId="12" borderId="2" applyAlignment="1" pivotButton="0" quotePrefix="0" xfId="0">
      <alignment horizontal="left" vertical="center"/>
    </xf>
    <xf numFmtId="0" fontId="13" fillId="8" borderId="1" applyAlignment="1" pivotButton="0" quotePrefix="0" xfId="0">
      <alignment horizontal="left" vertical="center"/>
    </xf>
    <xf numFmtId="0" fontId="34" fillId="7" borderId="1" applyAlignment="1" pivotButton="0" quotePrefix="0" xfId="0">
      <alignment horizontal="left" vertical="center"/>
    </xf>
    <xf numFmtId="0" fontId="21" fillId="8" borderId="1" applyAlignment="1" pivotButton="0" quotePrefix="0" xfId="0">
      <alignment horizontal="left" vertical="center" wrapText="1"/>
    </xf>
    <xf numFmtId="0" fontId="9" fillId="2" borderId="1" applyAlignment="1" pivotButton="0" quotePrefix="0" xfId="0">
      <alignment horizontal="left" vertical="center"/>
    </xf>
    <xf numFmtId="0" fontId="24" fillId="12" borderId="1" applyAlignment="1" pivotButton="0" quotePrefix="0" xfId="0">
      <alignment horizontal="left" vertical="center" wrapText="1"/>
    </xf>
    <xf numFmtId="0" fontId="24" fillId="7" borderId="1" applyAlignment="1" pivotButton="0" quotePrefix="0" xfId="0">
      <alignment horizontal="left" vertical="center" wrapText="1"/>
    </xf>
    <xf numFmtId="0" fontId="44" fillId="8" borderId="8" applyAlignment="1" pivotButton="0" quotePrefix="0" xfId="0">
      <alignment horizontal="left" vertical="top" wrapText="1"/>
    </xf>
    <xf numFmtId="0" fontId="44" fillId="8" borderId="9" applyAlignment="1" pivotButton="0" quotePrefix="0" xfId="0">
      <alignment horizontal="left" vertical="top" wrapText="1"/>
    </xf>
    <xf numFmtId="0" fontId="44" fillId="8" borderId="10" applyAlignment="1" pivotButton="0" quotePrefix="0" xfId="0">
      <alignment horizontal="left" vertical="top" wrapText="1"/>
    </xf>
    <xf numFmtId="0" fontId="16" fillId="14" borderId="3" applyAlignment="1" pivotButton="0" quotePrefix="0" xfId="0">
      <alignment horizontal="center" vertical="center"/>
    </xf>
    <xf numFmtId="0" fontId="16" fillId="5" borderId="3" applyAlignment="1" pivotButton="0" quotePrefix="0" xfId="0">
      <alignment horizontal="center" vertical="center"/>
    </xf>
    <xf numFmtId="0" fontId="16" fillId="2" borderId="1" applyAlignment="1" pivotButton="0" quotePrefix="0" xfId="0">
      <alignment horizontal="left" vertical="center"/>
    </xf>
    <xf numFmtId="0" fontId="19" fillId="3" borderId="1" applyAlignment="1" pivotButton="0" quotePrefix="0" xfId="0">
      <alignment horizontal="left" vertical="center"/>
    </xf>
    <xf numFmtId="0" fontId="0" fillId="0" borderId="9" pivotButton="0" quotePrefix="0" xfId="0"/>
    <xf numFmtId="0" fontId="0" fillId="0" borderId="10" pivotButton="0" quotePrefix="0" xfId="0"/>
    <xf numFmtId="0" fontId="21" fillId="8" borderId="1" applyAlignment="1" pivotButton="0" quotePrefix="0" xfId="0">
      <alignment vertical="top" wrapText="1"/>
    </xf>
    <xf numFmtId="0" fontId="24" fillId="12" borderId="1" applyAlignment="1" pivotButton="0" quotePrefix="0" xfId="0">
      <alignment vertical="top" wrapText="1"/>
    </xf>
    <xf numFmtId="0" fontId="56" fillId="16" borderId="0" pivotButton="0" quotePrefix="0" xfId="0"/>
    <xf numFmtId="0" fontId="0" fillId="0" borderId="0" applyAlignment="1" pivotButton="0" quotePrefix="0" xfId="0">
      <alignment vertical="top" wrapText="1"/>
    </xf>
    <xf numFmtId="0" fontId="22" fillId="12" borderId="1" applyAlignment="1" applyProtection="1" pivotButton="0" quotePrefix="0" xfId="0">
      <alignment horizontal="left" vertical="center"/>
      <protection locked="0" hidden="0"/>
    </xf>
    <xf numFmtId="49" fontId="16" fillId="14" borderId="3" applyAlignment="1" applyProtection="1" pivotButton="0" quotePrefix="0" xfId="0">
      <alignment horizontal="center" vertical="center" wrapText="1"/>
      <protection locked="1" hidden="1"/>
    </xf>
    <xf numFmtId="0" fontId="22" fillId="12" borderId="1" applyAlignment="1" applyProtection="1" pivotButton="0" quotePrefix="0" xfId="0">
      <alignment horizontal="center" vertical="center"/>
      <protection locked="0" hidden="0"/>
    </xf>
    <xf numFmtId="49" fontId="9" fillId="14" borderId="3" applyAlignment="1" applyProtection="1" pivotButton="0" quotePrefix="0" xfId="0">
      <alignment horizontal="center" vertical="center" wrapText="1"/>
      <protection locked="1" hidden="1"/>
    </xf>
    <xf numFmtId="165" fontId="22" fillId="12" borderId="1" applyAlignment="1" applyProtection="1" pivotButton="0" quotePrefix="0" xfId="0">
      <alignment horizontal="left" vertical="center"/>
      <protection locked="0" hidden="0"/>
    </xf>
    <xf numFmtId="49" fontId="22" fillId="12" borderId="1" applyAlignment="1" applyProtection="1" pivotButton="0" quotePrefix="0" xfId="0">
      <alignment horizontal="left" vertical="center"/>
      <protection locked="0" hidden="0"/>
    </xf>
    <xf numFmtId="164" fontId="22" fillId="12" borderId="1" applyAlignment="1" applyProtection="1" pivotButton="0" quotePrefix="0" xfId="0">
      <alignment horizontal="right" vertical="center"/>
      <protection locked="0" hidden="0"/>
    </xf>
    <xf numFmtId="164" fontId="11" fillId="7" borderId="1" applyAlignment="1" applyProtection="1" pivotButton="0" quotePrefix="0" xfId="0">
      <alignment horizontal="right" vertical="center"/>
      <protection locked="1" hidden="1"/>
    </xf>
    <xf numFmtId="164" fontId="11" fillId="8" borderId="1" applyAlignment="1" applyProtection="1" pivotButton="0" quotePrefix="0" xfId="0">
      <alignment horizontal="right" vertical="center"/>
      <protection locked="1" hidden="1"/>
    </xf>
    <xf numFmtId="164" fontId="20" fillId="8" borderId="1" applyAlignment="1" applyProtection="1" pivotButton="0" quotePrefix="0" xfId="0">
      <alignment horizontal="right" vertical="center"/>
      <protection locked="1" hidden="1"/>
    </xf>
    <xf numFmtId="164" fontId="20" fillId="7" borderId="1" applyAlignment="1" applyProtection="1" pivotButton="0" quotePrefix="0" xfId="0">
      <alignment horizontal="right" vertical="center"/>
      <protection locked="1" hidden="1"/>
    </xf>
    <xf numFmtId="165" fontId="22" fillId="12" borderId="1" applyAlignment="1" applyProtection="1" pivotButton="0" quotePrefix="0" xfId="0">
      <alignment horizontal="center" vertical="center"/>
      <protection locked="0" hidden="0"/>
    </xf>
    <xf numFmtId="165" fontId="11" fillId="7" borderId="1" applyAlignment="1" applyProtection="1" pivotButton="0" quotePrefix="0" xfId="0">
      <alignment horizontal="center" vertical="center"/>
      <protection locked="1" hidden="1"/>
    </xf>
    <xf numFmtId="165" fontId="11" fillId="12" borderId="1" applyAlignment="1" applyProtection="1" pivotButton="0" quotePrefix="0" xfId="0">
      <alignment horizontal="center" vertical="center"/>
      <protection locked="1" hidden="1"/>
    </xf>
    <xf numFmtId="49" fontId="41" fillId="7" borderId="1" applyAlignment="1" applyProtection="1" pivotButton="0" quotePrefix="0" xfId="0">
      <alignment horizontal="center" vertical="center"/>
      <protection locked="1" hidden="1"/>
    </xf>
    <xf numFmtId="0" fontId="22" fillId="12" borderId="1" applyAlignment="1" applyProtection="1" pivotButton="0" quotePrefix="0" xfId="0">
      <alignment horizontal="right" vertical="center"/>
      <protection locked="0" hidden="0"/>
    </xf>
    <xf numFmtId="0" fontId="22" fillId="7" borderId="1" applyAlignment="1" applyProtection="1" pivotButton="0" quotePrefix="0" xfId="0">
      <alignment horizontal="right" vertical="center"/>
      <protection locked="0" hidden="0"/>
    </xf>
    <xf numFmtId="164" fontId="22" fillId="7" borderId="1" applyAlignment="1" applyProtection="1" pivotButton="0" quotePrefix="0" xfId="0">
      <alignment horizontal="right" vertical="center"/>
      <protection locked="0" hidden="0"/>
    </xf>
    <xf numFmtId="164" fontId="32" fillId="8" borderId="1" applyAlignment="1" applyProtection="1" pivotButton="0" quotePrefix="0" xfId="0">
      <alignment horizontal="right" vertical="center"/>
      <protection locked="1" hidden="1"/>
    </xf>
    <xf numFmtId="164" fontId="14" fillId="7" borderId="1" applyAlignment="1" applyProtection="1" pivotButton="0" quotePrefix="0" xfId="0">
      <alignment horizontal="right" vertical="center"/>
      <protection locked="1" hidden="1"/>
    </xf>
    <xf numFmtId="164" fontId="11" fillId="12" borderId="1" applyAlignment="1" applyProtection="1" pivotButton="0" quotePrefix="0" xfId="0">
      <alignment horizontal="right" vertical="center"/>
      <protection locked="1" hidden="1"/>
    </xf>
    <xf numFmtId="0" fontId="22" fillId="7" borderId="1" applyAlignment="1" applyProtection="1" pivotButton="0" quotePrefix="0" xfId="0">
      <alignment horizontal="right" vertical="center"/>
      <protection locked="1" hidden="1"/>
    </xf>
    <xf numFmtId="164" fontId="35" fillId="2" borderId="1" applyAlignment="1" applyProtection="1" pivotButton="0" quotePrefix="0" xfId="0">
      <alignment horizontal="left" vertical="center"/>
      <protection locked="1" hidden="1"/>
    </xf>
    <xf numFmtId="164" fontId="36" fillId="12" borderId="1" applyAlignment="1" applyProtection="1" pivotButton="0" quotePrefix="0" xfId="0">
      <alignment horizontal="right" vertical="center"/>
      <protection locked="1" hidden="1"/>
    </xf>
    <xf numFmtId="0" fontId="10" fillId="8" borderId="1" applyAlignment="1" applyProtection="1" pivotButton="0" quotePrefix="0" xfId="0">
      <alignment horizontal="center" vertical="center"/>
      <protection locked="1" hidden="1"/>
    </xf>
    <xf numFmtId="164" fontId="37" fillId="2" borderId="1" applyAlignment="1" applyProtection="1" pivotButton="0" quotePrefix="0" xfId="0">
      <alignment horizontal="right" vertical="center"/>
      <protection locked="1" hidden="1"/>
    </xf>
    <xf numFmtId="0" fontId="22" fillId="7" borderId="1" applyAlignment="1" applyProtection="1" pivotButton="0" quotePrefix="0" xfId="0">
      <alignment horizontal="left" vertical="center"/>
      <protection locked="0" hidden="0"/>
    </xf>
    <xf numFmtId="49" fontId="41" fillId="12" borderId="1" applyAlignment="1" applyProtection="1" pivotButton="0" quotePrefix="0" xfId="0">
      <alignment horizontal="center" vertical="center"/>
      <protection locked="1" hidden="1"/>
    </xf>
    <xf numFmtId="164" fontId="9" fillId="2" borderId="1" applyAlignment="1" applyProtection="1" pivotButton="0" quotePrefix="0" xfId="0">
      <alignment horizontal="right" vertical="center"/>
      <protection locked="1" hidden="1"/>
    </xf>
    <xf numFmtId="49" fontId="42" fillId="3" borderId="1" applyAlignment="1" applyProtection="1" pivotButton="0" quotePrefix="0" xfId="0">
      <alignment horizontal="center" vertical="center"/>
      <protection locked="1" hidden="1"/>
    </xf>
    <xf numFmtId="164" fontId="22" fillId="12" borderId="1" applyAlignment="1" applyProtection="1" pivotButton="0" quotePrefix="0" xfId="0">
      <alignment horizontal="right" vertical="center"/>
      <protection locked="1" hidden="1"/>
    </xf>
    <xf numFmtId="164" fontId="2" fillId="2" borderId="1" applyAlignment="1" applyProtection="1" pivotButton="0" quotePrefix="0" xfId="0">
      <alignment horizontal="right" vertical="center"/>
      <protection locked="1" hidden="1"/>
    </xf>
    <xf numFmtId="0" fontId="47" fillId="12" borderId="1" applyAlignment="1" applyProtection="1" pivotButton="0" quotePrefix="0" xfId="0">
      <alignment horizontal="left" vertical="center" wrapText="1"/>
      <protection locked="0" hidden="0"/>
    </xf>
    <xf numFmtId="0" fontId="22" fillId="12" borderId="1" applyAlignment="1" applyProtection="1" pivotButton="0" quotePrefix="0" xfId="0">
      <alignment horizontal="left" vertical="center" wrapText="1"/>
      <protection locked="0" hidden="0"/>
    </xf>
    <xf numFmtId="0" fontId="25" fillId="12" borderId="1" applyAlignment="1" applyProtection="1" pivotButton="0" quotePrefix="0" xfId="0">
      <alignment horizontal="left" vertical="center" wrapText="1"/>
      <protection locked="1" hidden="1"/>
    </xf>
    <xf numFmtId="0" fontId="25" fillId="7" borderId="1" applyAlignment="1" applyProtection="1" pivotButton="0" quotePrefix="0" xfId="0">
      <alignment horizontal="left" vertical="center" wrapText="1"/>
      <protection locked="1" hidden="1"/>
    </xf>
    <xf numFmtId="0" fontId="15" fillId="14" borderId="3" applyAlignment="1" applyProtection="1" pivotButton="0" quotePrefix="0" xfId="0">
      <alignment horizontal="center" vertical="center"/>
      <protection locked="1" hidden="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C7E80"/>
      <rgbColor rgb="FFC0C0C0"/>
      <rgbColor rgb="FF808080"/>
      <rgbColor rgb="FF9999FF"/>
      <rgbColor rgb="FF993366"/>
      <rgbColor rgb="FFF5F9D0"/>
      <rgbColor rgb="FFE0F5F5"/>
      <rgbColor rgb="FF660066"/>
      <rgbColor rgb="FFFF8080"/>
      <rgbColor rgb="FF0066CC"/>
      <rgbColor rgb="FFC0D8D8"/>
      <rgbColor rgb="FF000080"/>
      <rgbColor rgb="FFFF00FF"/>
      <rgbColor rgb="FFFFFF00"/>
      <rgbColor rgb="FF00FFFF"/>
      <rgbColor rgb="FF800080"/>
      <rgbColor rgb="FF800000"/>
      <rgbColor rgb="FF0A5F61"/>
      <rgbColor rgb="FF0000FF"/>
      <rgbColor rgb="FF00CCFF"/>
      <rgbColor rgb="FFE8F8EE"/>
      <rgbColor rgb="FFF4F8F8"/>
      <rgbColor rgb="FFFEF3E2"/>
      <rgbColor rgb="FFA0D0D0"/>
      <rgbColor rgb="FFFF99CC"/>
      <rgbColor rgb="FFCC99FF"/>
      <rgbColor rgb="FFFDECEA"/>
      <rgbColor rgb="FF3366FF"/>
      <rgbColor rgb="FF33CCCC"/>
      <rgbColor rgb="FFC8D400"/>
      <rgbColor rgb="FFFFCC00"/>
      <rgbColor rgb="FFD4840A"/>
      <rgbColor rgb="FFFF6600"/>
      <rgbColor rgb="FF5A7A7A"/>
      <rgbColor rgb="FF969696"/>
      <rgbColor rgb="FF0B3D91"/>
      <rgbColor rgb="FF2A8A55"/>
      <rgbColor rgb="FF003300"/>
      <rgbColor rgb="FF333300"/>
      <rgbColor rgb="FFC0392B"/>
      <rgbColor rgb="FF993366"/>
      <rgbColor rgb="FF333399"/>
      <rgbColor rgb="FF1A3A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36"/>
  <sheetViews>
    <sheetView showGridLines="0" topLeftCell="A3" zoomScaleNormal="100" workbookViewId="0">
      <selection activeCell="B8" sqref="B8"/>
    </sheetView>
  </sheetViews>
  <sheetFormatPr baseColWidth="8" defaultColWidth="8.6328125" defaultRowHeight="14.5"/>
  <cols>
    <col width="2" customWidth="1" style="238" min="1" max="1"/>
    <col width="36" customWidth="1" style="238" min="2" max="2"/>
    <col width="32" customWidth="1" style="238" min="3" max="3"/>
    <col width="2" customWidth="1" style="238" min="4" max="4"/>
    <col width="28" customWidth="1" style="238" min="5" max="5"/>
    <col width="2" customWidth="1" style="238" min="6" max="6"/>
  </cols>
  <sheetData>
    <row r="1" ht="4.5" customHeight="1" s="238">
      <c r="A1" s="2" t="n"/>
      <c r="B1" s="2" t="n"/>
      <c r="C1" s="2" t="n"/>
      <c r="D1" s="2" t="n"/>
      <c r="E1" s="2" t="n"/>
    </row>
    <row r="2" ht="39.75" customHeight="1" s="238">
      <c r="A2" s="154" t="inlineStr">
        <is>
          <t>TAXPAYER &amp; ENGAGEMENT DETAILS</t>
        </is>
      </c>
      <c r="B2" s="154" t="n"/>
      <c r="C2" s="154" t="n"/>
      <c r="D2" s="154" t="n"/>
      <c r="E2" s="154" t="n"/>
      <c r="F2" s="163" t="n"/>
      <c r="G2" s="163" t="n"/>
      <c r="H2" s="163" t="n"/>
      <c r="I2" s="150" t="n"/>
    </row>
    <row r="3" ht="25.5" customHeight="1" s="238">
      <c r="A3" s="155" t="inlineStr">
        <is>
          <t>01 — Client Information  |  Start here for every new engagement</t>
        </is>
      </c>
      <c r="B3" s="155" t="n"/>
      <c r="C3" s="155" t="n"/>
      <c r="D3" s="155" t="n"/>
      <c r="E3" s="155" t="n"/>
      <c r="F3" s="164" t="n"/>
      <c r="G3" s="164" t="n"/>
      <c r="H3" s="164" t="n"/>
      <c r="I3" s="151" t="n"/>
    </row>
    <row r="4" ht="19.5" customHeight="1" s="238">
      <c r="A4" s="162" t="n"/>
      <c r="B4" s="162" t="n"/>
      <c r="C4" s="162" t="n"/>
      <c r="D4" s="162" t="n"/>
      <c r="E4" s="162" t="n"/>
      <c r="F4" s="177" t="n"/>
      <c r="G4" s="177" t="n"/>
      <c r="H4" s="177" t="n"/>
    </row>
    <row r="5" ht="19.5" customHeight="1" s="238">
      <c r="A5" s="157" t="inlineStr">
        <is>
          <t>Prepared by: Demo Preparer, Chartered Accountant  |  Sample Audit Firm  |  Blank layout</t>
        </is>
      </c>
      <c r="B5" s="157" t="n"/>
      <c r="C5" s="157" t="n"/>
      <c r="D5" s="157" t="n"/>
      <c r="E5" s="157" t="n"/>
      <c r="F5" s="167" t="n"/>
      <c r="G5" s="167" t="n"/>
      <c r="H5" s="167" t="n"/>
      <c r="I5" s="153" t="n"/>
    </row>
    <row r="6" ht="4.5" customHeight="1" s="238">
      <c r="A6" s="2" t="n"/>
      <c r="B6" s="2" t="n"/>
      <c r="C6" s="2" t="n"/>
      <c r="D6" s="2" t="n"/>
      <c r="E6" s="2" t="n"/>
    </row>
    <row r="7" ht="21.75" customHeight="1" s="238">
      <c r="A7" s="38" t="n"/>
      <c r="B7" s="221" t="inlineStr">
        <is>
          <t xml:space="preserve">  FILING PERIOD</t>
        </is>
      </c>
      <c r="C7" s="221" t="n"/>
      <c r="D7" s="221" t="n"/>
      <c r="E7" s="221" t="n"/>
    </row>
    <row r="8" ht="21.75" customHeight="1" s="238">
      <c r="B8" s="29" t="inlineStr">
        <is>
          <t>Tax Period — From</t>
        </is>
      </c>
      <c r="C8" s="269" t="n"/>
      <c r="E8" s="40" t="inlineStr">
        <is>
          <t>ℹ  DD-MMM-YYYY format</t>
        </is>
      </c>
    </row>
    <row r="9" ht="21.75" customHeight="1" s="238">
      <c r="B9" s="29" t="inlineStr">
        <is>
          <t>Tax Period — To</t>
        </is>
      </c>
      <c r="C9" s="269" t="n"/>
      <c r="E9" s="40" t="inlineStr">
        <is>
          <t>ℹ  DD-MMM-YYYY format</t>
        </is>
      </c>
    </row>
    <row r="10" ht="21.75" customHeight="1" s="238">
      <c r="B10" s="29" t="inlineStr">
        <is>
          <t>Return Due Date</t>
        </is>
      </c>
      <c r="C10" s="269" t="n"/>
      <c r="E10" s="40" t="inlineStr">
        <is>
          <t>ℹ  9 months from period end (Art. 53)</t>
        </is>
      </c>
    </row>
    <row r="11" ht="21.75" customHeight="1" s="238">
      <c r="B11" s="29" t="inlineStr">
        <is>
          <t>Financial Year End</t>
        </is>
      </c>
      <c r="C11" s="269" t="n"/>
    </row>
    <row r="12" ht="21.75" customHeight="1" s="238">
      <c r="B12" s="29" t="inlineStr">
        <is>
          <t>Working Paper Reference</t>
        </is>
      </c>
      <c r="C12" s="269" t="n"/>
      <c r="E12" s="40" t="inlineStr">
        <is>
          <t>ℹ  e.g. WP/2026/CT/001</t>
        </is>
      </c>
    </row>
    <row r="13" ht="21.75" customHeight="1" s="238">
      <c r="B13" s="29" t="inlineStr">
        <is>
          <t>Date of Preparation</t>
        </is>
      </c>
      <c r="C13" s="269" t="n"/>
    </row>
    <row r="14" ht="21.75" customHeight="1" s="238">
      <c r="B14" s="29" t="inlineStr">
        <is>
          <t>Date of Partner Approval</t>
        </is>
      </c>
      <c r="C14" s="269" t="n"/>
    </row>
    <row r="15" ht="21.75" customHeight="1" s="238">
      <c r="A15" s="38" t="n"/>
      <c r="B15" s="221" t="inlineStr">
        <is>
          <t xml:space="preserve">  ENTITY IDENTIFICATION</t>
        </is>
      </c>
    </row>
    <row r="16" ht="21.75" customHeight="1" s="238">
      <c r="B16" s="29" t="inlineStr">
        <is>
          <t>Taxable Person Name (English)</t>
        </is>
      </c>
      <c r="C16" s="269" t="n"/>
      <c r="E16" s="40" t="inlineStr">
        <is>
          <t>ℹ  As per EmaraTax / TRN Certificate</t>
        </is>
      </c>
    </row>
    <row r="17" ht="21.75" customHeight="1" s="238">
      <c r="B17" s="29" t="inlineStr">
        <is>
          <t>Tax Registration Number (TRN)</t>
        </is>
      </c>
      <c r="C17" s="269" t="n"/>
      <c r="E17" s="40" t="inlineStr">
        <is>
          <t>ℹ  15-digit FTA-assigned TRN</t>
        </is>
      </c>
    </row>
    <row r="18" ht="21.75" customHeight="1" s="238">
      <c r="B18" s="29" t="inlineStr">
        <is>
          <t>Entity Type</t>
        </is>
      </c>
      <c r="C18" s="269" t="n"/>
      <c r="E18" s="40" t="inlineStr">
        <is>
          <t>ℹ  LLC / Branch / Partnership / Natural Person</t>
        </is>
      </c>
    </row>
    <row r="19" ht="21.75" customHeight="1" s="238">
      <c r="B19" s="29" t="inlineStr">
        <is>
          <t>Entity Sub-Type</t>
        </is>
      </c>
      <c r="C19" s="269" t="n"/>
      <c r="E19" s="40" t="inlineStr">
        <is>
          <t>ℹ  Mainland / Free Zone / Offshore</t>
        </is>
      </c>
    </row>
    <row r="20" ht="21.75" customHeight="1" s="238">
      <c r="B20" s="29" t="inlineStr">
        <is>
          <t>Emirate</t>
        </is>
      </c>
      <c r="C20" s="269" t="n"/>
      <c r="E20" s="40" t="inlineStr">
        <is>
          <t>ℹ  Abu Dhabi / Dubai / Sharjah etc.</t>
        </is>
      </c>
    </row>
    <row r="21" ht="21.75" customHeight="1" s="238">
      <c r="B21" s="29" t="inlineStr">
        <is>
          <t>Free Zone / Area</t>
        </is>
      </c>
      <c r="C21" s="269" t="n"/>
      <c r="E21" s="40" t="inlineStr">
        <is>
          <t>ℹ  If applicable</t>
        </is>
      </c>
    </row>
    <row r="22" ht="21.75" customHeight="1" s="238">
      <c r="B22" s="29" t="inlineStr">
        <is>
          <t>Primary Business Activity</t>
        </is>
      </c>
      <c r="C22" s="269" t="n"/>
      <c r="E22" s="40" t="inlineStr">
        <is>
          <t>ℹ  As per trade licence</t>
        </is>
      </c>
    </row>
    <row r="23" ht="21.75" customHeight="1" s="238">
      <c r="B23" s="29" t="inlineStr">
        <is>
          <t>Country of Incorporation</t>
        </is>
      </c>
      <c r="C23" s="269" t="n"/>
    </row>
    <row r="24" ht="21.75" customHeight="1" s="238">
      <c r="B24" s="29" t="inlineStr">
        <is>
          <t>Accounting Basis</t>
        </is>
      </c>
      <c r="C24" s="269" t="n"/>
      <c r="E24" s="40" t="inlineStr">
        <is>
          <t>ℹ  Accrual (mandatory if Revenue &gt; AED 50M)</t>
        </is>
      </c>
    </row>
    <row r="25" ht="21.75" customHeight="1" s="238">
      <c r="B25" s="29" t="inlineStr">
        <is>
          <t>Financial Statements Standard</t>
        </is>
      </c>
      <c r="C25" s="269" t="n"/>
      <c r="E25" s="40" t="inlineStr">
        <is>
          <t>ℹ  IFRS / IFRS for SMEs</t>
        </is>
      </c>
    </row>
    <row r="26" ht="21.75" customHeight="1" s="238">
      <c r="B26" s="29" t="inlineStr">
        <is>
          <t>Audited Financial Statements?</t>
        </is>
      </c>
      <c r="C26" s="269" t="n"/>
      <c r="E26" s="40" t="inlineStr">
        <is>
          <t>ℹ  Mandatory for ALL QFZPs; required if Revenue &gt; AED 50M</t>
        </is>
      </c>
    </row>
    <row r="27" ht="21.75" customHeight="1" s="238">
      <c r="B27" s="29" t="inlineStr">
        <is>
          <t>Revenue (AED)</t>
        </is>
      </c>
      <c r="C27" s="269" t="n"/>
    </row>
    <row r="28" ht="21.75" customHeight="1" s="238">
      <c r="B28" s="29" t="inlineStr">
        <is>
          <t>Average Number of Employees</t>
        </is>
      </c>
      <c r="C28" s="269" t="n"/>
    </row>
    <row r="29" ht="21.75" customHeight="1" s="238">
      <c r="B29" s="29" t="inlineStr">
        <is>
          <t>Member of MNE Group?</t>
        </is>
      </c>
      <c r="C29" s="269" t="n"/>
      <c r="E29" s="40" t="inlineStr">
        <is>
          <t>ℹ  Relevant for Pillar Two / CbCR</t>
        </is>
      </c>
    </row>
    <row r="30" ht="21.75" customHeight="1" s="238">
      <c r="B30" s="29" t="inlineStr">
        <is>
          <t>Free Zone Entity?</t>
        </is>
      </c>
      <c r="C30" s="269" t="n"/>
      <c r="E30" s="40" t="inlineStr">
        <is>
          <t>ℹ  Yes / No</t>
        </is>
      </c>
    </row>
    <row r="31" ht="21.75" customHeight="1" s="238">
      <c r="B31" s="29" t="inlineStr">
        <is>
          <t>Qualifies as QFZP?</t>
        </is>
      </c>
      <c r="C31" s="269" t="n"/>
      <c r="E31" s="40" t="inlineStr">
        <is>
          <t>ℹ  Per Art. 18 &amp; CD 100/2023</t>
        </is>
      </c>
    </row>
    <row r="32" ht="21.75" customHeight="1" s="238">
      <c r="A32" s="2" t="n"/>
      <c r="B32" s="213" t="inlineStr">
        <is>
          <t xml:space="preserve">  ADVISOR DETAILS (NON-EDITABLE)</t>
        </is>
      </c>
    </row>
    <row r="33" ht="21.75" customHeight="1" s="238">
      <c r="B33" s="41" t="inlineStr">
        <is>
          <t>Prepared by</t>
        </is>
      </c>
      <c r="C33" s="42" t="inlineStr">
        <is>
          <t>Demo Preparer, Chartered Accountant</t>
        </is>
      </c>
    </row>
    <row r="34" ht="21.75" customHeight="1" s="238">
      <c r="B34" s="41" t="inlineStr">
        <is>
          <t>Firm Name</t>
        </is>
      </c>
      <c r="C34" s="42" t="inlineStr">
        <is>
          <t>Sample Audit Firm</t>
        </is>
      </c>
    </row>
    <row r="35" ht="21.75" customHeight="1" s="238">
      <c r="B35" s="41" t="inlineStr">
        <is>
          <t>Email</t>
        </is>
      </c>
      <c r="C35" s="42" t="inlineStr">
        <is>
          <t>info@example.com</t>
        </is>
      </c>
    </row>
    <row r="36" ht="21.75" customHeight="1" s="238">
      <c r="B36" s="41" t="inlineStr">
        <is>
          <t>Phone</t>
        </is>
      </c>
      <c r="C36" s="42" t="inlineStr">
        <is>
          <t>+971 4 000 0000</t>
        </is>
      </c>
    </row>
    <row r="37" ht="21.75" customHeight="1" s="238"/>
    <row r="38" ht="21.75" customHeight="1" s="238"/>
    <row r="39" ht="21.75" customHeight="1" s="238"/>
    <row r="40" ht="21.75" customHeight="1" s="238"/>
    <row r="41" ht="21.75" customHeight="1" s="238"/>
    <row r="42" ht="21.75" customHeight="1" s="238"/>
    <row r="43" ht="21.75" customHeight="1" s="238"/>
    <row r="44" ht="21.75" customHeight="1" s="238"/>
  </sheetData>
  <sheetProtection selectLockedCells="0" selectUnlockedCells="0" sheet="1" objects="0" insertRows="1" insertHyperlinks="1" autoFilter="1" scenarios="0" formatColumns="0" deleteColumns="1" insertColumns="1" pivotTables="1" deleteRows="1" formatCells="1" formatRows="1" sort="1" password="89DC"/>
  <mergeCells count="2">
    <mergeCell ref="B15:E15"/>
    <mergeCell ref="B32:E32"/>
  </mergeCells>
  <pageMargins left="0.4" right="0.4" top="0.65" bottom="0.5" header="0.25" footer="0.25"/>
  <pageSetup orientation="portrait"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16"/>
  <sheetViews>
    <sheetView showGridLines="0" topLeftCell="A7" zoomScaleNormal="100" workbookViewId="0">
      <selection activeCell="A9" sqref="A9"/>
    </sheetView>
  </sheetViews>
  <sheetFormatPr baseColWidth="8" defaultColWidth="8.6328125" defaultRowHeight="14.5"/>
  <cols>
    <col width="2" customWidth="1" style="238" min="1" max="1"/>
    <col width="6" customWidth="1" style="238" min="2" max="2"/>
    <col width="46" customWidth="1" style="238" min="3" max="3"/>
    <col width="14" customWidth="1" style="238" min="4" max="5"/>
    <col width="34" customWidth="1" style="238" min="6" max="6"/>
    <col width="2" customWidth="1" style="238" min="7" max="7"/>
  </cols>
  <sheetData>
    <row r="1" ht="4.5" customHeight="1" s="238">
      <c r="A1" s="2" t="n"/>
      <c r="B1" s="2" t="n"/>
      <c r="C1" s="2" t="n"/>
      <c r="D1" s="2" t="n"/>
      <c r="E1" s="2" t="n"/>
      <c r="F1" s="2" t="n"/>
    </row>
    <row r="2" ht="39.75" customHeight="1" s="238">
      <c r="A2" s="154" t="inlineStr">
        <is>
          <t>ELECTIONS &amp; RELIEFS (FDL 47/2022)</t>
        </is>
      </c>
      <c r="B2" s="154" t="n"/>
      <c r="C2" s="154" t="n"/>
      <c r="D2" s="154" t="n"/>
      <c r="E2" s="154" t="n"/>
      <c r="F2" s="154" t="n"/>
      <c r="G2" s="163" t="n"/>
      <c r="H2" s="163" t="n"/>
      <c r="I2" s="150" t="n"/>
    </row>
    <row r="3" ht="25.5" customHeight="1" s="238">
      <c r="A3" s="155" t="inlineStr">
        <is>
          <t>02 — Review each carefully — some are IRREVOCABLE once filed</t>
        </is>
      </c>
      <c r="B3" s="155" t="n"/>
      <c r="C3" s="155" t="n"/>
      <c r="D3" s="155" t="n"/>
      <c r="E3" s="155" t="n"/>
      <c r="F3" s="155" t="n"/>
      <c r="G3" s="164" t="n"/>
      <c r="H3" s="164" t="n"/>
      <c r="I3" s="151" t="n"/>
    </row>
    <row r="4" ht="19.5" customHeight="1" s="238">
      <c r="A4" s="156" t="inlineStr">
        <is>
          <t>A single wrong election can affect the entire period — verify with partner before submission</t>
        </is>
      </c>
      <c r="B4" s="156" t="n"/>
      <c r="C4" s="156" t="n"/>
      <c r="D4" s="156" t="n"/>
      <c r="E4" s="156" t="n"/>
      <c r="F4" s="156" t="n"/>
      <c r="G4" s="174" t="n"/>
      <c r="H4" s="174" t="n"/>
      <c r="I4" s="175" t="n"/>
    </row>
    <row r="5" ht="19.5" customHeight="1" s="238">
      <c r="A5" s="157" t="inlineStr">
        <is>
          <t>Prepared by: Demo Preparer, Chartered Accountant  |  Sample Audit Firm  |  Blank layout</t>
        </is>
      </c>
      <c r="B5" s="157" t="n"/>
      <c r="C5" s="157" t="n"/>
      <c r="D5" s="157" t="n"/>
      <c r="E5" s="157" t="n"/>
      <c r="F5" s="157" t="n"/>
      <c r="G5" s="167" t="n"/>
      <c r="H5" s="167" t="n"/>
      <c r="I5" s="153" t="n"/>
    </row>
    <row r="6" ht="4.5" customHeight="1" s="238">
      <c r="A6" s="2" t="n"/>
      <c r="B6" s="2" t="n"/>
      <c r="C6" s="2" t="n"/>
      <c r="D6" s="2" t="n"/>
      <c r="E6" s="2" t="n"/>
      <c r="F6" s="2" t="n"/>
    </row>
    <row r="7" ht="21.75" customHeight="1" s="238">
      <c r="B7" s="28" t="inlineStr">
        <is>
          <t>#</t>
        </is>
      </c>
      <c r="C7" s="28" t="inlineStr">
        <is>
          <t>Election / Relief</t>
        </is>
      </c>
      <c r="D7" s="28" t="inlineStr">
        <is>
          <t>Answer</t>
        </is>
      </c>
      <c r="E7" s="28" t="inlineStr">
        <is>
          <t>Annex</t>
        </is>
      </c>
      <c r="F7" s="28" t="inlineStr">
        <is>
          <t>Law Reference &amp; Key Condition</t>
        </is>
      </c>
    </row>
    <row r="8" ht="37.5" customHeight="1" s="238">
      <c r="B8" s="44" t="inlineStr">
        <is>
          <t>01</t>
        </is>
      </c>
      <c r="C8" s="255" t="inlineStr">
        <is>
          <t>Small Business Relief (SBR)</t>
        </is>
      </c>
      <c r="D8" s="46" t="inlineStr">
        <is>
          <t>NO</t>
        </is>
      </c>
      <c r="E8" s="47" t="inlineStr">
        <is>
          <t>A</t>
        </is>
      </c>
      <c r="F8" s="40" t="inlineStr">
        <is>
          <t>Art. 21 / MD 73/2023 as amended by MD 131/2026 | Revenue ≤ AED 3M in current &amp; ALL prior periods (from 1 Jun 2023). Available for tax periods ending on or before 31 Dec 2029 (was 31 Dec 2026). Not available to QFZPs or MNE-group members ≥ EUR 750M. Nil taxable income. TP arm's length still required.</t>
        </is>
      </c>
    </row>
    <row r="9" ht="37.5" customHeight="1" s="238">
      <c r="B9" s="48" t="inlineStr">
        <is>
          <t>02</t>
        </is>
      </c>
      <c r="C9" s="254" t="inlineStr">
        <is>
          <t>Realisation Basis — All Assets &amp; Liabilities</t>
        </is>
      </c>
      <c r="D9" s="50" t="inlineStr">
        <is>
          <t>NA</t>
        </is>
      </c>
      <c r="E9" s="47" t="inlineStr">
        <is>
          <t>B</t>
        </is>
      </c>
      <c r="F9" s="51" t="inlineStr">
        <is>
          <t>Art. 20(3) / MD 134/2023 | IRREVOCABLE after first CT return. Defers unrealised gains/losses until realisation.</t>
        </is>
      </c>
    </row>
    <row r="10" ht="37.5" customHeight="1" s="238">
      <c r="B10" s="44" t="inlineStr">
        <is>
          <t>03</t>
        </is>
      </c>
      <c r="C10" s="255" t="inlineStr">
        <is>
          <t>Realisation Basis — Capital Account Only</t>
        </is>
      </c>
      <c r="D10" s="50" t="inlineStr">
        <is>
          <t>NA</t>
        </is>
      </c>
      <c r="E10" s="47" t="inlineStr">
        <is>
          <t>B</t>
        </is>
      </c>
      <c r="F10" s="40" t="inlineStr">
        <is>
          <t>Art. 20(3) / MD 134/2023 | Revenue-account unrealised G/L remain taxable. Capital account deferred.</t>
        </is>
      </c>
    </row>
    <row r="11" ht="37.5" customHeight="1" s="238">
      <c r="B11" s="48" t="inlineStr">
        <is>
          <t>04</t>
        </is>
      </c>
      <c r="C11" s="254" t="inlineStr">
        <is>
          <t>Foreign PE Exemption</t>
        </is>
      </c>
      <c r="D11" s="46" t="inlineStr">
        <is>
          <t>NO</t>
        </is>
      </c>
      <c r="E11" s="47" t="inlineStr">
        <is>
          <t>C</t>
        </is>
      </c>
      <c r="F11" s="51" t="inlineStr">
        <is>
          <t>Art. 24 | Foreign PE taxed ≥9% in host jurisdiction. If elected: no FTC offset for that PE.</t>
        </is>
      </c>
    </row>
    <row r="12" ht="37.5" customHeight="1" s="238">
      <c r="B12" s="44" t="inlineStr">
        <is>
          <t>05</t>
        </is>
      </c>
      <c r="C12" s="255" t="inlineStr">
        <is>
          <t>Pre-period Qualifying Immovable Property</t>
        </is>
      </c>
      <c r="D12" s="46" t="inlineStr">
        <is>
          <t>NO</t>
        </is>
      </c>
      <c r="E12" s="47" t="inlineStr">
        <is>
          <t>D</t>
        </is>
      </c>
      <c r="F12" s="40" t="inlineStr">
        <is>
          <t>MD 120/2023 (transitional rules) | Time-apportionment or valuation method. Irrevocable.</t>
        </is>
      </c>
    </row>
    <row r="13" ht="37.5" customHeight="1" s="238">
      <c r="B13" s="48" t="inlineStr">
        <is>
          <t>06</t>
        </is>
      </c>
      <c r="C13" s="254" t="inlineStr">
        <is>
          <t>Pre-period Qualifying Intangible Asset</t>
        </is>
      </c>
      <c r="D13" s="46" t="inlineStr">
        <is>
          <t>NO</t>
        </is>
      </c>
      <c r="E13" s="47" t="inlineStr">
        <is>
          <t>E</t>
        </is>
      </c>
      <c r="F13" s="51" t="inlineStr">
        <is>
          <t>MD 120/2023 (transitional rules) | Time-apportionment method only. Irrevocable.</t>
        </is>
      </c>
    </row>
    <row r="14" ht="37.5" customHeight="1" s="238">
      <c r="B14" s="44" t="inlineStr">
        <is>
          <t>07</t>
        </is>
      </c>
      <c r="C14" s="255" t="inlineStr">
        <is>
          <t>Pre-period Financial Asset / Liability</t>
        </is>
      </c>
      <c r="D14" s="46" t="inlineStr">
        <is>
          <t>NO</t>
        </is>
      </c>
      <c r="E14" s="47" t="inlineStr">
        <is>
          <t>F</t>
        </is>
      </c>
      <c r="F14" s="40" t="inlineStr">
        <is>
          <t>MD 120/2023 (transitional rules) | Valuation method only. Irrevocable.</t>
        </is>
      </c>
    </row>
    <row r="15" ht="37.5" customHeight="1" s="238">
      <c r="B15" s="48" t="inlineStr">
        <is>
          <t>08</t>
        </is>
      </c>
      <c r="C15" s="254" t="inlineStr">
        <is>
          <t>Qualifying Group Relief (Intra-group Transfer)</t>
        </is>
      </c>
      <c r="D15" s="46" t="inlineStr">
        <is>
          <t>NO</t>
        </is>
      </c>
      <c r="E15" s="47" t="inlineStr">
        <is>
          <t>G</t>
        </is>
      </c>
      <c r="F15" s="51" t="inlineStr">
        <is>
          <t>Art. 26 / MD 132/2023 | ≥75% ownership, same FY-end, same GAAP, no QFZP/exempt persons involved.</t>
        </is>
      </c>
    </row>
    <row r="16" ht="37.5" customHeight="1" s="238">
      <c r="B16" s="44" t="inlineStr">
        <is>
          <t>09</t>
        </is>
      </c>
      <c r="C16" s="255" t="inlineStr">
        <is>
          <t>Business Restructuring Relief</t>
        </is>
      </c>
      <c r="D16" s="46" t="inlineStr">
        <is>
          <t>NO</t>
        </is>
      </c>
      <c r="E16" s="47" t="inlineStr">
        <is>
          <t>H</t>
        </is>
      </c>
      <c r="F16" s="40" t="inlineStr">
        <is>
          <t>Art. 27 / MD 133/2023 | Whole/distinct business transferred for shares. Valid commercial reason required.</t>
        </is>
      </c>
    </row>
  </sheetData>
  <sheetProtection selectLockedCells="0" selectUnlockedCells="0" sheet="1" objects="0" insertRows="1" insertHyperlinks="1" autoFilter="1" scenarios="0" formatColumns="0" deleteColumns="1" insertColumns="1" pivotTables="1" deleteRows="1" formatCells="1" formatRows="1" sort="1" password="89DC"/>
  <pageMargins left="0.4" right="0.4" top="0.65" bottom="0.5" header="0.25" footer="0.25"/>
  <pageSetup orientation="landscape"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76"/>
  <sheetViews>
    <sheetView showGridLines="0" tabSelected="1" topLeftCell="A55" zoomScaleNormal="100" workbookViewId="0">
      <selection activeCell="D58" sqref="D58"/>
    </sheetView>
  </sheetViews>
  <sheetFormatPr baseColWidth="8" defaultColWidth="8.6328125" defaultRowHeight="14.5"/>
  <cols>
    <col width="2" customWidth="1" style="238" min="1" max="1"/>
    <col width="6" customWidth="1" style="238" min="2" max="2"/>
    <col width="38" customWidth="1" style="238" min="3" max="3"/>
    <col width="28" customWidth="1" style="238" min="4" max="5"/>
    <col width="20" customWidth="1" style="238" min="6" max="6"/>
    <col width="3" customWidth="1" style="238" min="7" max="7"/>
  </cols>
  <sheetData>
    <row r="1" ht="4.5" customHeight="1" s="238">
      <c r="A1" s="2" t="n"/>
      <c r="B1" s="2" t="n"/>
      <c r="C1" s="2" t="n"/>
      <c r="D1" s="2" t="n"/>
      <c r="E1" s="2" t="n"/>
      <c r="F1" s="2" t="n"/>
      <c r="G1" s="2" t="n"/>
    </row>
    <row r="2" ht="39.75" customHeight="1" s="238">
      <c r="A2" s="2" t="n"/>
      <c r="B2" s="2" t="n"/>
      <c r="C2" s="228" t="inlineStr">
        <is>
          <t>BUSINESS RESTRUCTURING RELIEF SCHEDULE (ART. 27)</t>
        </is>
      </c>
      <c r="G2" s="2" t="n"/>
    </row>
    <row r="3" ht="25.5" customHeight="1" s="238">
      <c r="A3" s="2" t="n"/>
      <c r="B3" s="2" t="n"/>
      <c r="C3" s="229" t="inlineStr">
        <is>
          <t>22 — Art. 27 FDL No. 47 of 2022  |  MD 133/2023  |  Activate when Election 09 in 02_ELECTIONS = YES</t>
        </is>
      </c>
      <c r="G3" s="2" t="n"/>
    </row>
    <row r="4" ht="25.5" customHeight="1" s="238">
      <c r="A4" s="2" t="n"/>
      <c r="B4" s="2" t="n"/>
      <c r="C4" s="230" t="inlineStr">
        <is>
          <t>IF ELECTION 09 = NO: This schedule is not applicable. If = YES: complete ALL sections below. Gain/loss deferred amount auto-feeds CT Computation Step 3 Row R2.</t>
        </is>
      </c>
      <c r="G4" s="2" t="n"/>
    </row>
    <row r="5" ht="19.5" customHeight="1" s="238">
      <c r="A5" s="2" t="n"/>
      <c r="B5" s="2" t="n"/>
      <c r="C5" s="231" t="inlineStr">
        <is>
          <t>Prepared by: Demo Preparer, Chartered Accountant  |  Sample Audit Firm  |  Blank layout</t>
        </is>
      </c>
      <c r="G5" s="2" t="n"/>
    </row>
    <row r="6" ht="4.5" customHeight="1" s="238" thickBot="1">
      <c r="A6" s="2" t="n"/>
      <c r="B6" s="2" t="n"/>
      <c r="C6" s="2" t="n"/>
      <c r="D6" s="2" t="n"/>
      <c r="E6" s="2" t="n"/>
      <c r="F6" s="2" t="n"/>
      <c r="G6" s="2" t="n"/>
    </row>
    <row r="7" ht="30" customHeight="1" s="238" thickBot="1">
      <c r="B7" s="270">
        <f>IF(UPPER(TRIM('02_ELECTIONS'!D16))="YES","✅  ELECTION 09 = YES — This schedule is ACTIVE. Complete all sections below.","⚠  ELECTION 09 = NO / NOT SET — This schedule is inactive. If restructuring occurred, set Election 09 to YES in sheet 02_ELECTIONS first.")</f>
        <v/>
      </c>
      <c r="C7" s="263" t="n"/>
      <c r="D7" s="263" t="n"/>
      <c r="E7" s="263" t="n"/>
      <c r="F7" s="264" t="n"/>
    </row>
    <row r="8" ht="67.5" customHeight="1" s="238" thickBot="1">
      <c r="B8" s="233" t="inlineStr">
        <is>
          <t>LEGAL BASIS — Art. 27 FDL No. 47 of 2022  |  Ministerial Decision No. 133 of 2023
Business Restructuring Relief: Where a taxpayer transfers a business or part of a business to another person in exchange for
shares or other ownership interests — the resulting gain or loss may be EXCLUDED from taxable income (deferred, not exempt).
CONDITIONS: (1) Transfer must be for valid commercial reasons, not tax avoidance (2) Both parties consent in writing
(3) Consideration is ONLY shares/ownership interests — no cash component (4) No related party manipulation
(5) Gain/loss recognised when shares subsequently disposed of (Art. 27(3)) | CLAWBACK: Relief withdrawn if
shares disposed within 2 years of transfer unless exceptional circumstances exist (MD 133/2023 Art. 4)</t>
        </is>
      </c>
      <c r="C8" s="263" t="n"/>
      <c r="D8" s="263" t="n"/>
      <c r="E8" s="263" t="n"/>
      <c r="F8" s="264" t="n"/>
    </row>
    <row r="9" ht="21.75" customHeight="1" s="238">
      <c r="A9" s="2" t="n"/>
      <c r="B9" s="213" t="inlineStr">
        <is>
          <t xml:space="preserve">  PART A — ELIGIBILITY CONDITIONS (Art. 27 / MD 133/2023 — ALL must be YES)</t>
        </is>
      </c>
      <c r="G9" s="2" t="n"/>
    </row>
    <row r="10" ht="21.75" customHeight="1" s="238">
      <c r="B10" s="28" t="inlineStr">
        <is>
          <t>#</t>
        </is>
      </c>
      <c r="C10" s="28" t="inlineStr">
        <is>
          <t>Condition</t>
        </is>
      </c>
      <c r="D10" s="28" t="inlineStr">
        <is>
          <t>Met? (YES/NO/NA)</t>
        </is>
      </c>
      <c r="E10" s="28" t="inlineStr">
        <is>
          <t>Law Reference</t>
        </is>
      </c>
    </row>
    <row r="11" ht="25.5" customHeight="1" s="238">
      <c r="B11" s="67" t="inlineStr">
        <is>
          <t>E1</t>
        </is>
      </c>
      <c r="C11" s="255" t="inlineStr">
        <is>
          <t>Transfer is of a whole or distinct part of a going-concern business</t>
        </is>
      </c>
      <c r="D11" s="271" t="n"/>
      <c r="E11" s="40" t="inlineStr">
        <is>
          <t>Art. 27(1)(a) FDL 47/2022</t>
        </is>
      </c>
    </row>
    <row r="12" ht="25.5" customHeight="1" s="238">
      <c r="B12" s="67" t="inlineStr">
        <is>
          <t>E2</t>
        </is>
      </c>
      <c r="C12" s="254" t="inlineStr">
        <is>
          <t>Consideration received consists SOLELY of shares or ownership interest (no cash payment)</t>
        </is>
      </c>
      <c r="D12" s="271" t="n"/>
      <c r="E12" s="51" t="inlineStr">
        <is>
          <t>Art. 27(1)(b) — MD 133/2023 Art. 2</t>
        </is>
      </c>
    </row>
    <row r="13" ht="25.5" customHeight="1" s="238">
      <c r="B13" s="67" t="inlineStr">
        <is>
          <t>E3</t>
        </is>
      </c>
      <c r="C13" s="255" t="inlineStr">
        <is>
          <t>The restructuring is undertaken for valid commercial reasons (not tax avoidance)</t>
        </is>
      </c>
      <c r="D13" s="271" t="n"/>
      <c r="E13" s="40" t="inlineStr">
        <is>
          <t>Art. 27(1)(c) — GAAR Art. 50</t>
        </is>
      </c>
    </row>
    <row r="14" ht="25.5" customHeight="1" s="238">
      <c r="B14" s="67" t="inlineStr">
        <is>
          <t>E4</t>
        </is>
      </c>
      <c r="C14" s="254" t="inlineStr">
        <is>
          <t>Both transferor and transferee are taxable persons (or entities that would be if UAE resident)</t>
        </is>
      </c>
      <c r="D14" s="271" t="n"/>
      <c r="E14" s="51" t="inlineStr">
        <is>
          <t>Art. 27(1) / MD 133/2023 Art. 1</t>
        </is>
      </c>
    </row>
    <row r="15" ht="25.5" customHeight="1" s="238">
      <c r="B15" s="67" t="inlineStr">
        <is>
          <t>E5</t>
        </is>
      </c>
      <c r="C15" s="255" t="inlineStr">
        <is>
          <t>Neither party is an Exempt Person (Art. 4) or a Qualifying Free Zone Person</t>
        </is>
      </c>
      <c r="D15" s="271" t="n"/>
      <c r="E15" s="40" t="inlineStr">
        <is>
          <t>MD 133/2023 Art. 3(2)</t>
        </is>
      </c>
    </row>
    <row r="16" ht="25.5" customHeight="1" s="238">
      <c r="B16" s="67" t="inlineStr">
        <is>
          <t>E6</t>
        </is>
      </c>
      <c r="C16" s="254" t="inlineStr">
        <is>
          <t>Written consent/agreement exists between both parties confirming the relief election</t>
        </is>
      </c>
      <c r="D16" s="271" t="n"/>
      <c r="E16" s="51" t="inlineStr">
        <is>
          <t>MD 133/2023 Art. 5</t>
        </is>
      </c>
    </row>
    <row r="17" ht="25.5" customHeight="1" s="238" thickBot="1">
      <c r="B17" s="67" t="inlineStr">
        <is>
          <t>E7</t>
        </is>
      </c>
      <c r="C17" s="255" t="inlineStr">
        <is>
          <t>The shares/interests received are retained (not disposed) — or if disposed, 2-year rule noted</t>
        </is>
      </c>
      <c r="D17" s="271" t="n"/>
      <c r="E17" s="40" t="inlineStr">
        <is>
          <t>Art. 27(3) — Clawback risk</t>
        </is>
      </c>
    </row>
    <row r="18" ht="25.5" customHeight="1" s="238" thickBot="1">
      <c r="B18" s="272">
        <f>IF(COUNTIF(D11:D17,"NO")&gt;0,"❌  RELIEF NOT AVAILABLE — One or more conditions not met. Correct before claiming relief.","✅  All conditions met — Relief may be claimed. Complete Parts B-E below.")</f>
        <v/>
      </c>
      <c r="C18" s="263" t="n"/>
      <c r="D18" s="263" t="n"/>
      <c r="E18" s="263" t="n"/>
      <c r="F18" s="264" t="n"/>
    </row>
    <row r="19"/>
    <row r="20" ht="21.75" customHeight="1" s="238">
      <c r="A20" s="2" t="n"/>
      <c r="B20" s="213" t="inlineStr">
        <is>
          <t xml:space="preserve">  PART B — RESTRUCTURING TRANSACTION DETAILS</t>
        </is>
      </c>
      <c r="G20" s="2" t="n"/>
    </row>
    <row r="21" ht="21.75" customHeight="1" s="238">
      <c r="B21" s="67" t="inlineStr">
        <is>
          <t>T1</t>
        </is>
      </c>
      <c r="C21" s="255" t="inlineStr">
        <is>
          <t>Date of Restructuring / Transfer</t>
        </is>
      </c>
      <c r="D21" s="273" t="n"/>
      <c r="E21" s="71" t="n"/>
    </row>
    <row r="22" ht="21.75" customHeight="1" s="238">
      <c r="B22" s="67" t="inlineStr">
        <is>
          <t>T2</t>
        </is>
      </c>
      <c r="C22" s="254" t="inlineStr">
        <is>
          <t>Name of Transferor (entity transferring the business)</t>
        </is>
      </c>
      <c r="D22" s="274" t="n"/>
      <c r="E22" s="71" t="n"/>
    </row>
    <row r="23" ht="21.75" customHeight="1" s="238">
      <c r="B23" s="67" t="inlineStr">
        <is>
          <t>T3</t>
        </is>
      </c>
      <c r="C23" s="255" t="inlineStr">
        <is>
          <t>TRN of Transferor</t>
        </is>
      </c>
      <c r="D23" s="274" t="n"/>
      <c r="E23" s="71" t="n"/>
    </row>
    <row r="24" ht="21.75" customHeight="1" s="238">
      <c r="B24" s="67" t="inlineStr">
        <is>
          <t>T4</t>
        </is>
      </c>
      <c r="C24" s="254" t="inlineStr">
        <is>
          <t>Name of Transferee (entity receiving the business)</t>
        </is>
      </c>
      <c r="D24" s="274" t="n"/>
      <c r="E24" s="71" t="n"/>
    </row>
    <row r="25" ht="21.75" customHeight="1" s="238">
      <c r="B25" s="67" t="inlineStr">
        <is>
          <t>T5</t>
        </is>
      </c>
      <c r="C25" s="255" t="inlineStr">
        <is>
          <t>TRN of Transferee (if UAE registered)</t>
        </is>
      </c>
      <c r="D25" s="274" t="n"/>
      <c r="E25" s="71" t="n"/>
    </row>
    <row r="26" ht="21.75" customHeight="1" s="238">
      <c r="B26" s="67" t="inlineStr">
        <is>
          <t>T6</t>
        </is>
      </c>
      <c r="C26" s="254" t="inlineStr">
        <is>
          <t>Nature of Restructuring (merger / demerger / acquisition / conversion)</t>
        </is>
      </c>
      <c r="D26" s="274" t="n"/>
      <c r="E26" s="71" t="n"/>
    </row>
    <row r="27" ht="21.75" customHeight="1" s="238">
      <c r="B27" s="67" t="inlineStr">
        <is>
          <t>T7</t>
        </is>
      </c>
      <c r="C27" s="255" t="inlineStr">
        <is>
          <t>Brief description of the business transferred</t>
        </is>
      </c>
      <c r="D27" s="274" t="n"/>
      <c r="E27" s="71" t="n"/>
    </row>
    <row r="28" ht="21.75" customHeight="1" s="238">
      <c r="B28" s="67" t="inlineStr">
        <is>
          <t>T8</t>
        </is>
      </c>
      <c r="C28" s="254" t="inlineStr">
        <is>
          <t>Regulatory / Commercial Approval reference (Ministry, DED, FZ Authority)</t>
        </is>
      </c>
      <c r="D28" s="274" t="n"/>
      <c r="E28" s="71" t="n"/>
    </row>
    <row r="29"/>
    <row r="30" ht="21.75" customHeight="1" s="238">
      <c r="A30" s="2" t="n"/>
      <c r="B30" s="213" t="inlineStr">
        <is>
          <t xml:space="preserve">  PART C — ASSETS &amp; LIABILITIES TRANSFERRED (Art. 27 / MD 133/2023)</t>
        </is>
      </c>
      <c r="G30" s="2" t="n"/>
    </row>
    <row r="31" ht="21.75" customHeight="1" s="238">
      <c r="B31" s="28" t="inlineStr">
        <is>
          <t>Ref</t>
        </is>
      </c>
      <c r="C31" s="28" t="inlineStr">
        <is>
          <t>Asset / Liability Category</t>
        </is>
      </c>
      <c r="D31" s="28" t="inlineStr">
        <is>
          <t>Book Value (AED)</t>
        </is>
      </c>
      <c r="E31" s="28" t="inlineStr">
        <is>
          <t>Tax Written-Down Value (AED)</t>
        </is>
      </c>
      <c r="F31" s="28" t="inlineStr">
        <is>
          <t>Gain / (Loss) (AED)</t>
        </is>
      </c>
    </row>
    <row r="32" ht="21.75" customHeight="1" s="238">
      <c r="B32" s="67" t="inlineStr">
        <is>
          <t>A1</t>
        </is>
      </c>
      <c r="C32" s="68" t="inlineStr">
        <is>
          <t>Property, Plant &amp; Equipment</t>
        </is>
      </c>
      <c r="D32" s="275" t="n"/>
      <c r="E32" s="275" t="n"/>
      <c r="F32" s="276">
        <f>D32-E32</f>
        <v/>
      </c>
    </row>
    <row r="33" ht="21.75" customHeight="1" s="238">
      <c r="B33" s="67" t="inlineStr">
        <is>
          <t>A2</t>
        </is>
      </c>
      <c r="C33" s="113" t="inlineStr">
        <is>
          <t>Intangible Assets (incl. Goodwill)</t>
        </is>
      </c>
      <c r="D33" s="275" t="n"/>
      <c r="E33" s="275" t="n"/>
      <c r="F33" s="276">
        <f>D33-E33</f>
        <v/>
      </c>
    </row>
    <row r="34" ht="21.75" customHeight="1" s="238">
      <c r="B34" s="67" t="inlineStr">
        <is>
          <t>A3</t>
        </is>
      </c>
      <c r="C34" s="68" t="inlineStr">
        <is>
          <t>Financial Assets / Investments</t>
        </is>
      </c>
      <c r="D34" s="275" t="n"/>
      <c r="E34" s="275" t="n"/>
      <c r="F34" s="276">
        <f>D34-E34</f>
        <v/>
      </c>
    </row>
    <row r="35" ht="21.75" customHeight="1" s="238">
      <c r="B35" s="67" t="inlineStr">
        <is>
          <t>A4</t>
        </is>
      </c>
      <c r="C35" s="113" t="inlineStr">
        <is>
          <t>Receivables &amp; Debtors</t>
        </is>
      </c>
      <c r="D35" s="275" t="n"/>
      <c r="E35" s="275" t="n"/>
      <c r="F35" s="276">
        <f>D35-E35</f>
        <v/>
      </c>
    </row>
    <row r="36" ht="21.75" customHeight="1" s="238">
      <c r="B36" s="67" t="inlineStr">
        <is>
          <t>A5</t>
        </is>
      </c>
      <c r="C36" s="68" t="inlineStr">
        <is>
          <t>Inventories / Stock</t>
        </is>
      </c>
      <c r="D36" s="275" t="n"/>
      <c r="E36" s="275" t="n"/>
      <c r="F36" s="276">
        <f>D36-E36</f>
        <v/>
      </c>
    </row>
    <row r="37" ht="21.75" customHeight="1" s="238">
      <c r="B37" s="67" t="inlineStr">
        <is>
          <t>A6</t>
        </is>
      </c>
      <c r="C37" s="113" t="inlineStr">
        <is>
          <t>Other Current Assets</t>
        </is>
      </c>
      <c r="D37" s="275" t="n"/>
      <c r="E37" s="275" t="n"/>
      <c r="F37" s="276">
        <f>D37-E37</f>
        <v/>
      </c>
    </row>
    <row r="38" ht="21.75" customHeight="1" s="238">
      <c r="B38" s="67" t="inlineStr">
        <is>
          <t>A7</t>
        </is>
      </c>
      <c r="C38" s="125" t="inlineStr">
        <is>
          <t>Total Assets Transferred</t>
        </is>
      </c>
      <c r="D38" s="277">
        <f>SUM(D32:D37)</f>
        <v/>
      </c>
      <c r="E38" s="277">
        <f>SUM(E32:E37)</f>
        <v/>
      </c>
      <c r="F38" s="277">
        <f>SUM(F32:F37)</f>
        <v/>
      </c>
    </row>
    <row r="39" ht="21.75" customHeight="1" s="238">
      <c r="B39" s="67" t="inlineStr">
        <is>
          <t>L1</t>
        </is>
      </c>
      <c r="C39" s="113" t="inlineStr">
        <is>
          <t>Liabilities Assumed by Transferee</t>
        </is>
      </c>
      <c r="D39" s="275" t="n"/>
      <c r="E39" s="275" t="n"/>
      <c r="F39" s="276">
        <f>D39-E39</f>
        <v/>
      </c>
    </row>
    <row r="40" ht="21.75" customHeight="1" s="238">
      <c r="B40" s="67" t="inlineStr">
        <is>
          <t>L2</t>
        </is>
      </c>
      <c r="C40" s="68" t="inlineStr">
        <is>
          <t>Other Liabilities Transferred</t>
        </is>
      </c>
      <c r="D40" s="275" t="n"/>
      <c r="E40" s="275" t="n"/>
      <c r="F40" s="276">
        <f>D40-E40</f>
        <v/>
      </c>
    </row>
    <row r="41" ht="21.75" customHeight="1" s="238">
      <c r="B41" s="67" t="inlineStr">
        <is>
          <t>L3</t>
        </is>
      </c>
      <c r="C41" s="125" t="inlineStr">
        <is>
          <t>Total Liabilities Transferred</t>
        </is>
      </c>
      <c r="D41" s="277">
        <f>SUM(D39:D40)</f>
        <v/>
      </c>
      <c r="E41" s="277">
        <f>SUM(E39:E40)</f>
        <v/>
      </c>
      <c r="F41" s="277">
        <f>SUM(F39:F40)</f>
        <v/>
      </c>
    </row>
    <row r="42" ht="21.75" customHeight="1" s="238">
      <c r="B42" s="67" t="inlineStr">
        <is>
          <t>N1</t>
        </is>
      </c>
      <c r="C42" s="125" t="inlineStr">
        <is>
          <t>NET ASSETS / (NET LIABILITIES) TRANSFERRED</t>
        </is>
      </c>
      <c r="D42" s="278">
        <f>D38-D41</f>
        <v/>
      </c>
      <c r="E42" s="278">
        <f>E38-E41</f>
        <v/>
      </c>
      <c r="F42" s="278">
        <f>F38-F41</f>
        <v/>
      </c>
    </row>
    <row r="43"/>
    <row r="44" ht="21.75" customHeight="1" s="238">
      <c r="A44" s="2" t="n"/>
      <c r="B44" s="213" t="inlineStr">
        <is>
          <t xml:space="preserve">  PART D — CONSIDERATION RECEIVED (Must be ONLY shares/ownership interests — no cash)</t>
        </is>
      </c>
      <c r="G44" s="2" t="n"/>
    </row>
    <row r="45" ht="21.75" customHeight="1" s="238">
      <c r="B45" s="67" t="inlineStr">
        <is>
          <t>S1</t>
        </is>
      </c>
      <c r="C45" s="255" t="inlineStr">
        <is>
          <t>Number of shares / units received</t>
        </is>
      </c>
      <c r="D45" s="269" t="n"/>
      <c r="E45" s="71" t="n"/>
    </row>
    <row r="46" ht="21.75" customHeight="1" s="238">
      <c r="B46" s="67" t="inlineStr">
        <is>
          <t>S2</t>
        </is>
      </c>
      <c r="C46" s="254" t="inlineStr">
        <is>
          <t>Class / type of shares received</t>
        </is>
      </c>
      <c r="D46" s="269" t="n"/>
      <c r="E46" s="71" t="n"/>
    </row>
    <row r="47" ht="21.75" customHeight="1" s="238">
      <c r="B47" s="67" t="inlineStr">
        <is>
          <t>S3</t>
        </is>
      </c>
      <c r="C47" s="255" t="inlineStr">
        <is>
          <t>Fair value of shares received at transfer date (AED)</t>
        </is>
      </c>
      <c r="D47" s="269" t="n"/>
      <c r="E47" s="71" t="n"/>
    </row>
    <row r="48" ht="21.75" customHeight="1" s="238">
      <c r="B48" s="67" t="inlineStr">
        <is>
          <t>S4</t>
        </is>
      </c>
      <c r="C48" s="254" t="inlineStr">
        <is>
          <t>Book value of shares received (for continuing purposes) (AED)</t>
        </is>
      </c>
      <c r="D48" s="269" t="n"/>
      <c r="E48" s="71" t="n"/>
    </row>
    <row r="49" ht="21.75" customHeight="1" s="238">
      <c r="B49" s="67" t="inlineStr">
        <is>
          <t>S5</t>
        </is>
      </c>
      <c r="C49" s="255" t="inlineStr">
        <is>
          <t>Any cash or other non-share consideration received? (YES / NO)</t>
        </is>
      </c>
      <c r="D49" s="269" t="n"/>
      <c r="E49" s="71" t="n"/>
    </row>
    <row r="50" ht="21.75" customHeight="1" s="238">
      <c r="B50" s="67" t="inlineStr">
        <is>
          <t>S6</t>
        </is>
      </c>
      <c r="C50" s="254" t="inlineStr">
        <is>
          <t>If YES to S5 — amount of cash consideration (AED) [disqualifies relief]</t>
        </is>
      </c>
      <c r="D50" s="269" t="n"/>
      <c r="E50" s="71" t="n"/>
    </row>
    <row r="51" ht="21.75" customHeight="1" s="238">
      <c r="B51" s="67" t="inlineStr">
        <is>
          <t>S7</t>
        </is>
      </c>
      <c r="C51" s="255" t="inlineStr">
        <is>
          <t>% ownership in transferee entity after restructuring</t>
        </is>
      </c>
      <c r="D51" s="269" t="n"/>
      <c r="E51" s="71" t="n"/>
    </row>
    <row r="52"/>
    <row r="53" ht="21.75" customHeight="1" s="238">
      <c r="A53" s="2" t="n"/>
      <c r="B53" s="213" t="inlineStr">
        <is>
          <t xml:space="preserve">  PART E — TAX IMPACT &amp; RELIEF CALCULATION  →  Auto-feeds CT Computation Sheet 05 Step 3 R2</t>
        </is>
      </c>
      <c r="G53" s="2" t="n"/>
    </row>
    <row r="54" ht="21.75" customHeight="1" s="238">
      <c r="B54" s="28" t="inlineStr">
        <is>
          <t>Ref</t>
        </is>
      </c>
      <c r="C54" s="28" t="inlineStr">
        <is>
          <t>Item</t>
        </is>
      </c>
      <c r="D54" s="28" t="inlineStr">
        <is>
          <t>AED Amount</t>
        </is>
      </c>
      <c r="E54" s="28" t="inlineStr">
        <is>
          <t>Notes</t>
        </is>
      </c>
    </row>
    <row r="55" ht="21.75" customHeight="1" s="238">
      <c r="B55" s="67" t="inlineStr">
        <is>
          <t>X1</t>
        </is>
      </c>
      <c r="C55" s="68" t="inlineStr">
        <is>
          <t>Net gain / (loss) on transfer (from Part C — N1 col F)</t>
        </is>
      </c>
      <c r="D55" s="279">
        <f>F42</f>
        <v/>
      </c>
      <c r="E55" s="40" t="inlineStr">
        <is>
          <t>Auto from Part C Net Assets</t>
        </is>
      </c>
    </row>
    <row r="56" ht="21.75" customHeight="1" s="238">
      <c r="B56" s="67" t="inlineStr">
        <is>
          <t>X2</t>
        </is>
      </c>
      <c r="C56" s="113" t="inlineStr">
        <is>
          <t>Less: Tax cost base of assets transferred</t>
        </is>
      </c>
      <c r="D56" s="275" t="n"/>
      <c r="E56" s="51" t="inlineStr">
        <is>
          <t>Per tax written-down values in Part C</t>
        </is>
      </c>
    </row>
    <row r="57" ht="21.75" customHeight="1" s="238">
      <c r="B57" s="67" t="inlineStr">
        <is>
          <t>X3</t>
        </is>
      </c>
      <c r="C57" s="125" t="inlineStr">
        <is>
          <t>Gain / (Loss) for Tax Purposes (X1 minus X2)</t>
        </is>
      </c>
      <c r="D57" s="278">
        <f>D55-D56</f>
        <v/>
      </c>
      <c r="E57" s="205" t="inlineStr">
        <is>
          <t>Pre-relief taxable gain/loss</t>
        </is>
      </c>
    </row>
    <row r="58" ht="21.75" customHeight="1" s="238">
      <c r="B58" s="67" t="inlineStr">
        <is>
          <t>X4</t>
        </is>
      </c>
      <c r="C58" s="125" t="inlineStr">
        <is>
          <t>Business Restructuring Relief Claimed (= X3 if all conditions met)</t>
        </is>
      </c>
      <c r="D58" s="278">
        <f>IF(D57&gt;0,D57,0)</f>
        <v/>
      </c>
      <c r="E58" s="205" t="inlineStr">
        <is>
          <t>→ This feeds CT Comp G18 | Art. 27 relief</t>
        </is>
      </c>
    </row>
    <row r="59" ht="21.75" customHeight="1" s="238">
      <c r="B59" s="67" t="inlineStr">
        <is>
          <t>X5</t>
        </is>
      </c>
      <c r="C59" s="125" t="inlineStr">
        <is>
          <t>Remaining taxable gain / (loss) after relief (X3 minus X4)</t>
        </is>
      </c>
      <c r="D59" s="278">
        <f>D57-D58</f>
        <v/>
      </c>
      <c r="E59" s="205" t="inlineStr">
        <is>
          <t>Must be zero if full relief claimed</t>
        </is>
      </c>
    </row>
    <row r="60" ht="21.75" customHeight="1" s="238">
      <c r="B60" s="67" t="inlineStr">
        <is>
          <t>X6</t>
        </is>
      </c>
      <c r="C60" s="113" t="inlineStr">
        <is>
          <t>Future clawback amount at risk (if shares disposed within 2 years)</t>
        </is>
      </c>
      <c r="D60" s="275" t="n"/>
      <c r="E60" s="51" t="inlineStr">
        <is>
          <t>Clawback risk — track carefully</t>
        </is>
      </c>
    </row>
    <row r="61" ht="21.75" customHeight="1" s="238">
      <c r="B61" s="67" t="inlineStr">
        <is>
          <t>X7</t>
        </is>
      </c>
      <c r="C61" s="68" t="inlineStr">
        <is>
          <t>Expected disposal date of shares (for clawback tracking)</t>
        </is>
      </c>
      <c r="D61" s="280" t="n"/>
      <c r="E61" s="40" t="inlineStr">
        <is>
          <t>Enter expected/planned disposal date</t>
        </is>
      </c>
    </row>
    <row r="62"/>
    <row r="63" ht="21.75" customHeight="1" s="238" thickBot="1">
      <c r="A63" s="2" t="n"/>
      <c r="B63" s="213" t="inlineStr">
        <is>
          <t xml:space="preserve">  PART F — 2-YEAR CLAWBACK TRACKER &amp; CT RETURN DISCLOSURE (MD 133/2023 Art. 4)</t>
        </is>
      </c>
      <c r="G63" s="2" t="n"/>
    </row>
    <row r="64" ht="25.5" customHeight="1" s="238" thickBot="1">
      <c r="B64" s="224" t="inlineStr">
        <is>
          <t>⚠  CLAWBACK RISK: If shares/interests received are disposed of within 2 years of the transfer date, the deferred gain becomes taxable in the year of disposal. The FTA must be notified. Track disposal date carefully and prepare amended CT return if clawback triggered (Art. 27(3)).</t>
        </is>
      </c>
      <c r="C64" s="263" t="n"/>
      <c r="D64" s="263" t="n"/>
      <c r="E64" s="263" t="n"/>
      <c r="F64" s="264" t="n"/>
    </row>
    <row r="65" ht="21.75" customHeight="1" s="238">
      <c r="B65" s="67" t="inlineStr">
        <is>
          <t>CL1</t>
        </is>
      </c>
      <c r="C65" s="255" t="inlineStr">
        <is>
          <t>Transfer date (from Part B T1)</t>
        </is>
      </c>
      <c r="D65" s="281">
        <f>'22_BUSINESS_RESTRUCTURING'!D48</f>
        <v/>
      </c>
    </row>
    <row r="66" ht="21.75" customHeight="1" s="238">
      <c r="B66" s="67" t="inlineStr">
        <is>
          <t>CL2</t>
        </is>
      </c>
      <c r="C66" s="254" t="inlineStr">
        <is>
          <t>2-year clawback deadline (Transfer date + 2 years)</t>
        </is>
      </c>
      <c r="D66" s="282">
        <f>IFERROR(DATE(YEAR(D65)+2,MONTH(D65),DAY(D65)),"")</f>
        <v/>
      </c>
    </row>
    <row r="67" ht="21.75" customHeight="1" s="238">
      <c r="B67" s="67" t="inlineStr">
        <is>
          <t>CL3</t>
        </is>
      </c>
      <c r="C67" s="255" t="inlineStr">
        <is>
          <t>Shares / interests actually disposed? (YES / NO)</t>
        </is>
      </c>
      <c r="D67" s="271" t="n"/>
    </row>
    <row r="68" ht="21.75" customHeight="1" s="238">
      <c r="B68" s="67" t="inlineStr">
        <is>
          <t>CL4</t>
        </is>
      </c>
      <c r="C68" s="254" t="inlineStr">
        <is>
          <t>If YES — date of disposal</t>
        </is>
      </c>
      <c r="D68" s="271" t="n"/>
    </row>
    <row r="69" ht="21.75" customHeight="1" s="238">
      <c r="B69" s="67" t="inlineStr">
        <is>
          <t>CL5</t>
        </is>
      </c>
      <c r="C69" s="255" t="inlineStr">
        <is>
          <t>Relief clawback required? (YES if CL3=YES and CL4 &lt; CL2)</t>
        </is>
      </c>
      <c r="D69" s="283">
        <f>IF(AND(UPPER(D67)="YES",D68&lt;D66),"⚠ YES — CLAWBACK REQUIRED","✅ No clawback — within 2 years or not disposed")</f>
        <v/>
      </c>
    </row>
    <row r="70" ht="21.75" customHeight="1" s="238">
      <c r="B70" s="67" t="inlineStr">
        <is>
          <t>CL6</t>
        </is>
      </c>
      <c r="C70" s="254" t="inlineStr">
        <is>
          <t>Amount to be reinstated in taxable income if clawback triggered (AED)</t>
        </is>
      </c>
      <c r="D70" s="275" t="n"/>
    </row>
    <row r="71" ht="21.75" customHeight="1" s="238">
      <c r="B71" s="67" t="inlineStr">
        <is>
          <t>CL7</t>
        </is>
      </c>
      <c r="C71" s="255" t="inlineStr">
        <is>
          <t>CT Return period in which clawback applies</t>
        </is>
      </c>
      <c r="D71" s="269" t="n"/>
    </row>
    <row r="72"/>
    <row r="73" ht="21.75" customHeight="1" s="238">
      <c r="A73" s="2" t="n"/>
      <c r="B73" s="213" t="inlineStr">
        <is>
          <t xml:space="preserve">  PART G — ADVISOR SIGN-OFF &amp; DECLARATION</t>
        </is>
      </c>
      <c r="G73" s="2" t="n"/>
    </row>
    <row r="74" ht="43.5" customHeight="1" s="238">
      <c r="B74" s="222" t="inlineStr">
        <is>
          <t>I confirm that the information in this Business Restructuring Relief schedule is accurate and complete to the best of my knowledge. The relief claimed under Art. 27 FDL No. 47 of 2022 is supported by adequate documentation and the eligibility conditions in Part A are satisfied. The relief amount in Part E (X4) has been incorporated into the CT Computation Sheet 05.</t>
        </is>
      </c>
      <c r="C74" s="70" t="n"/>
      <c r="D74" s="70" t="n"/>
      <c r="E74" s="70" t="n"/>
      <c r="F74" s="71" t="n"/>
    </row>
    <row r="75" ht="21.75" customHeight="1" s="238">
      <c r="B75" s="28" t="inlineStr">
        <is>
          <t>Prepared by</t>
        </is>
      </c>
      <c r="C75" s="28" t="inlineStr">
        <is>
          <t>Designation</t>
        </is>
      </c>
      <c r="D75" s="28" t="inlineStr">
        <is>
          <t>Date</t>
        </is>
      </c>
      <c r="E75" s="28" t="inlineStr">
        <is>
          <t>Partner Approval</t>
        </is>
      </c>
    </row>
    <row r="76" ht="27.75" customHeight="1" s="238">
      <c r="B76" s="271" t="n"/>
      <c r="C76" s="271" t="inlineStr">
        <is>
          <t>Demo Preparer, Chartered Accountant</t>
        </is>
      </c>
      <c r="D76" s="271" t="inlineStr">
        <is>
          <t>Partner</t>
        </is>
      </c>
      <c r="E76" s="271" t="n"/>
      <c r="F76" s="271" t="n"/>
    </row>
  </sheetData>
  <sheetProtection selectLockedCells="0" selectUnlockedCells="0" sheet="1" objects="0" insertRows="1" insertHyperlinks="1" autoFilter="1" scenarios="0" formatColumns="0" deleteColumns="1" insertColumns="1" pivotTables="1" deleteRows="1" formatCells="1" formatRows="1" sort="1" password="89DC"/>
  <mergeCells count="31">
    <mergeCell ref="B7:F7"/>
    <mergeCell ref="D46:E46"/>
    <mergeCell ref="D22:E22"/>
    <mergeCell ref="D45:E45"/>
    <mergeCell ref="B18:F18"/>
    <mergeCell ref="D21:E21"/>
    <mergeCell ref="C3:F3"/>
    <mergeCell ref="D49:E49"/>
    <mergeCell ref="D27:E27"/>
    <mergeCell ref="B8:F8"/>
    <mergeCell ref="D48:E48"/>
    <mergeCell ref="C5:F5"/>
    <mergeCell ref="B44:F44"/>
    <mergeCell ref="B53:F53"/>
    <mergeCell ref="D47:E47"/>
    <mergeCell ref="B73:F73"/>
    <mergeCell ref="C4:F4"/>
    <mergeCell ref="D28:E28"/>
    <mergeCell ref="B9:F9"/>
    <mergeCell ref="B74:F74"/>
    <mergeCell ref="D25:E25"/>
    <mergeCell ref="B30:F30"/>
    <mergeCell ref="D24:E24"/>
    <mergeCell ref="B20:F20"/>
    <mergeCell ref="B64:F64"/>
    <mergeCell ref="D51:E51"/>
    <mergeCell ref="D23:E23"/>
    <mergeCell ref="B63:F63"/>
    <mergeCell ref="D50:E50"/>
    <mergeCell ref="C2:F2"/>
    <mergeCell ref="D26:E26"/>
  </mergeCells>
  <pageMargins left="0.4" right="0.4" top="0.65" bottom="0.5" header="0.25" footer="0.25"/>
  <pageSetup orientation="landscape"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38"/>
  <sheetViews>
    <sheetView showGridLines="0" topLeftCell="A26" zoomScaleNormal="100" workbookViewId="0">
      <selection activeCell="A1" sqref="A1"/>
    </sheetView>
  </sheetViews>
  <sheetFormatPr baseColWidth="8" defaultColWidth="8.6328125" defaultRowHeight="14.5"/>
  <cols>
    <col width="2" customWidth="1" style="238" min="1" max="1"/>
    <col width="8" customWidth="1" style="238" min="2" max="2"/>
    <col width="40" customWidth="1" style="238" min="3" max="3"/>
    <col width="20" customWidth="1" style="238" min="4" max="6"/>
    <col width="2" customWidth="1" style="238" min="7" max="7"/>
  </cols>
  <sheetData>
    <row r="1" ht="4.5" customHeight="1" s="238">
      <c r="A1" s="2" t="n"/>
      <c r="B1" s="2" t="n"/>
      <c r="C1" s="2" t="n"/>
      <c r="D1" s="2" t="n"/>
      <c r="E1" s="2" t="n"/>
      <c r="F1" s="2" t="n"/>
    </row>
    <row r="2" ht="39.75" customHeight="1" s="238">
      <c r="A2" s="154" t="inlineStr">
        <is>
          <t>ACCOUNTING SCHEDULES (IFRS / IAS 1)</t>
        </is>
      </c>
      <c r="B2" s="154" t="n"/>
      <c r="C2" s="154" t="n"/>
      <c r="D2" s="154" t="n"/>
      <c r="E2" s="154" t="n"/>
      <c r="F2" s="154" t="n"/>
      <c r="G2" s="163" t="n"/>
      <c r="H2" s="163" t="n"/>
      <c r="I2" s="150" t="n"/>
    </row>
    <row r="3" ht="25.5" customHeight="1" s="238">
      <c r="A3" s="155" t="inlineStr">
        <is>
          <t>03 — Enter from audited or management financial statements</t>
        </is>
      </c>
      <c r="B3" s="155" t="n"/>
      <c r="C3" s="155" t="n"/>
      <c r="D3" s="155" t="n"/>
      <c r="E3" s="155" t="n"/>
      <c r="F3" s="155" t="n"/>
      <c r="G3" s="164" t="n"/>
      <c r="H3" s="164" t="n"/>
      <c r="I3" s="151" t="n"/>
    </row>
    <row r="4" ht="19.5" customHeight="1" s="238">
      <c r="A4" s="156" t="inlineStr">
        <is>
          <t>Revenue &gt; AED 50M: audited IFRS financial statements mandatory (Art. 54)</t>
        </is>
      </c>
      <c r="B4" s="156" t="n"/>
      <c r="C4" s="156" t="n"/>
      <c r="D4" s="156" t="n"/>
      <c r="E4" s="156" t="n"/>
      <c r="F4" s="156" t="n"/>
      <c r="G4" s="174" t="n"/>
      <c r="H4" s="174" t="n"/>
      <c r="I4" s="175" t="n"/>
    </row>
    <row r="5" ht="19.5" customHeight="1" s="238">
      <c r="A5" s="157" t="inlineStr">
        <is>
          <t>Prepared by: Demo Preparer, Chartered Accountant  |  Sample Audit Firm  |  Blank layout</t>
        </is>
      </c>
      <c r="B5" s="157" t="n"/>
      <c r="C5" s="157" t="n"/>
      <c r="D5" s="157" t="n"/>
      <c r="E5" s="157" t="n"/>
      <c r="F5" s="157" t="n"/>
      <c r="G5" s="167" t="n"/>
      <c r="H5" s="167" t="n"/>
      <c r="I5" s="153" t="n"/>
    </row>
    <row r="6" ht="4.5" customHeight="1" s="238">
      <c r="A6" s="2" t="n"/>
      <c r="B6" s="2" t="n"/>
      <c r="C6" s="2" t="n"/>
      <c r="D6" s="2" t="n"/>
      <c r="E6" s="2" t="n"/>
      <c r="F6" s="2" t="n"/>
    </row>
    <row r="7" ht="21.75" customHeight="1" s="238">
      <c r="B7" s="28" t="inlineStr">
        <is>
          <t>Ref</t>
        </is>
      </c>
      <c r="C7" s="28" t="inlineStr">
        <is>
          <t>Description</t>
        </is>
      </c>
      <c r="D7" s="28" t="inlineStr">
        <is>
          <t>AED (Current)</t>
        </is>
      </c>
      <c r="E7" s="28" t="inlineStr">
        <is>
          <t>AED (Prior)</t>
        </is>
      </c>
      <c r="F7" s="28" t="inlineStr">
        <is>
          <t>Notes</t>
        </is>
      </c>
    </row>
    <row r="8" ht="21.75" customHeight="1" s="238">
      <c r="A8" s="38" t="n"/>
      <c r="B8" s="221" t="inlineStr">
        <is>
          <t xml:space="preserve">  STATEMENT OF PROFIT OR LOSS</t>
        </is>
      </c>
      <c r="C8" s="221" t="n"/>
      <c r="D8" s="221" t="n"/>
      <c r="E8" s="221" t="n"/>
      <c r="F8" s="221" t="n"/>
      <c r="G8" s="176" t="n"/>
      <c r="H8" s="176" t="n"/>
    </row>
    <row r="9" ht="21.75" customHeight="1" s="238">
      <c r="B9" s="52" t="inlineStr">
        <is>
          <t>S1.1</t>
        </is>
      </c>
      <c r="C9" s="240" t="inlineStr">
        <is>
          <t>Operating Revenue / Turnover</t>
        </is>
      </c>
      <c r="D9" s="284" t="n"/>
      <c r="E9" s="275" t="n"/>
      <c r="F9" s="51" t="inlineStr">
        <is>
          <t>IFRS 15</t>
        </is>
      </c>
    </row>
    <row r="10" ht="21.75" customHeight="1" s="238">
      <c r="B10" s="56" t="inlineStr">
        <is>
          <t>S1.2</t>
        </is>
      </c>
      <c r="C10" s="239" t="inlineStr">
        <is>
          <t>Less: Cost of Revenue / COGS</t>
        </is>
      </c>
      <c r="D10" s="285" t="n"/>
      <c r="E10" s="286" t="n"/>
      <c r="F10" s="51" t="n"/>
    </row>
    <row r="11" ht="24" customHeight="1" s="238">
      <c r="B11" s="60" t="n"/>
      <c r="C11" s="250" t="inlineStr">
        <is>
          <t>GROSS PROFIT / (LOSS)</t>
        </is>
      </c>
      <c r="D11" s="278">
        <f>D9-D10</f>
        <v/>
      </c>
      <c r="E11" s="287">
        <f>E9-E10</f>
        <v/>
      </c>
      <c r="F11" s="51" t="n"/>
    </row>
    <row r="12" ht="21.75" customHeight="1" s="238">
      <c r="B12" s="56" t="inlineStr">
        <is>
          <t>S1.3</t>
        </is>
      </c>
      <c r="C12" s="239" t="inlineStr">
        <is>
          <t>Salaries, Wages &amp; Related Charges</t>
        </is>
      </c>
      <c r="D12" s="285" t="n"/>
      <c r="E12" s="286" t="n"/>
      <c r="F12" s="40" t="inlineStr">
        <is>
          <t>GOSI / DEWS / EoSB</t>
        </is>
      </c>
    </row>
    <row r="13" ht="21.75" customHeight="1" s="238">
      <c r="B13" s="52" t="inlineStr">
        <is>
          <t>S1.4</t>
        </is>
      </c>
      <c r="C13" s="240" t="inlineStr">
        <is>
          <t>Depreciation &amp; Amortisation</t>
        </is>
      </c>
      <c r="D13" s="284" t="n"/>
      <c r="E13" s="275" t="n"/>
      <c r="F13" s="51" t="inlineStr">
        <is>
          <t>Incl. IFRS 16 ROU assets</t>
        </is>
      </c>
    </row>
    <row r="14" ht="21.75" customHeight="1" s="238">
      <c r="B14" s="56" t="inlineStr">
        <is>
          <t>S1.5</t>
        </is>
      </c>
      <c r="C14" s="239" t="inlineStr">
        <is>
          <t>Interest Income (enter as negative / credit)</t>
        </is>
      </c>
      <c r="D14" s="285" t="n"/>
      <c r="E14" s="286" t="n"/>
      <c r="F14" s="40" t="inlineStr">
        <is>
          <t>Taxable unless specifically exempt</t>
        </is>
      </c>
    </row>
    <row r="15" ht="21.75" customHeight="1" s="238">
      <c r="B15" s="52" t="inlineStr">
        <is>
          <t>S1.6</t>
        </is>
      </c>
      <c r="C15" s="240" t="inlineStr">
        <is>
          <t>Interest Expenditure</t>
        </is>
      </c>
      <c r="D15" s="284" t="n"/>
      <c r="E15" s="275" t="n"/>
      <c r="F15" s="51" t="inlineStr">
        <is>
          <t>Subject to Art. 30 cap</t>
        </is>
      </c>
    </row>
    <row r="16" ht="21.75" customHeight="1" s="238">
      <c r="B16" s="56" t="inlineStr">
        <is>
          <t>S1.7</t>
        </is>
      </c>
      <c r="C16" s="239" t="inlineStr">
        <is>
          <t>FX (Gains) / Losses</t>
        </is>
      </c>
      <c r="D16" s="285" t="n"/>
      <c r="E16" s="286" t="n"/>
      <c r="F16" s="51" t="n"/>
    </row>
    <row r="17" ht="21.75" customHeight="1" s="238">
      <c r="B17" s="52" t="inlineStr">
        <is>
          <t>S1.8</t>
        </is>
      </c>
      <c r="C17" s="240" t="inlineStr">
        <is>
          <t>(Gains) / Losses on Disposal</t>
        </is>
      </c>
      <c r="D17" s="284" t="n"/>
      <c r="E17" s="275" t="n"/>
      <c r="F17" s="51" t="inlineStr">
        <is>
          <t>Art. 20 — cost basis</t>
        </is>
      </c>
    </row>
    <row r="18" ht="21.75" customHeight="1" s="238">
      <c r="B18" s="56" t="inlineStr">
        <is>
          <t>S1.9</t>
        </is>
      </c>
      <c r="C18" s="239" t="inlineStr">
        <is>
          <t>Entertainment Expenses</t>
        </is>
      </c>
      <c r="D18" s="285" t="n"/>
      <c r="E18" s="286" t="n"/>
      <c r="F18" s="40" t="inlineStr">
        <is>
          <t>50% deductible — Art. 32</t>
        </is>
      </c>
    </row>
    <row r="19" ht="21.75" customHeight="1" s="238">
      <c r="B19" s="52" t="inlineStr">
        <is>
          <t>S1.10</t>
        </is>
      </c>
      <c r="C19" s="240" t="inlineStr">
        <is>
          <t>Fines &amp; Penalties</t>
        </is>
      </c>
      <c r="D19" s="284" t="n"/>
      <c r="E19" s="275" t="n"/>
      <c r="F19" s="51" t="inlineStr">
        <is>
          <t>Non-deductible — Art. 33(1)(b)</t>
        </is>
      </c>
    </row>
    <row r="20" ht="21.75" customHeight="1" s="238">
      <c r="B20" s="56" t="inlineStr">
        <is>
          <t>S1.11</t>
        </is>
      </c>
      <c r="C20" s="239" t="inlineStr">
        <is>
          <t>Donations &amp; Grants</t>
        </is>
      </c>
      <c r="D20" s="285" t="n"/>
      <c r="E20" s="286" t="n"/>
      <c r="F20" s="40" t="inlineStr">
        <is>
          <t>QPBE only — CD 37/2023</t>
        </is>
      </c>
    </row>
    <row r="21" ht="21.75" customHeight="1" s="238">
      <c r="B21" s="52" t="inlineStr">
        <is>
          <t>S1.12</t>
        </is>
      </c>
      <c r="C21" s="240" t="inlineStr">
        <is>
          <t>Other Operating Expenses</t>
        </is>
      </c>
      <c r="D21" s="284" t="n"/>
      <c r="E21" s="275" t="n"/>
      <c r="F21" s="40" t="n"/>
    </row>
    <row r="22" ht="21.75" customHeight="1" s="238">
      <c r="B22" s="56" t="inlineStr">
        <is>
          <t>S1.13</t>
        </is>
      </c>
      <c r="C22" s="239" t="inlineStr">
        <is>
          <t>Non-Operating Income (Dividend Received, Other)</t>
        </is>
      </c>
      <c r="D22" s="285" t="n"/>
      <c r="E22" s="286" t="n"/>
      <c r="F22" s="40" t="n"/>
    </row>
    <row r="23" ht="24" customHeight="1" s="238">
      <c r="B23" s="60" t="n"/>
      <c r="C23" s="250" t="inlineStr">
        <is>
          <t>NET PROFIT / (LOSS) BEFORE TAX</t>
        </is>
      </c>
      <c r="D23" s="278">
        <f>D11-SUM(D12:D21)+D22</f>
        <v/>
      </c>
      <c r="E23" s="287">
        <f>E11-SUM(E12:E21)+E22</f>
        <v/>
      </c>
      <c r="F23" s="40" t="n"/>
    </row>
    <row r="24" ht="21.75" customHeight="1" s="238">
      <c r="B24" s="56" t="n"/>
      <c r="C24" s="239" t="inlineStr">
        <is>
          <t>OCI: Items that will NOT be reclassified to profit or loss</t>
        </is>
      </c>
      <c r="D24" s="285" t="n"/>
      <c r="E24" s="286" t="n"/>
      <c r="F24" s="40" t="n"/>
    </row>
    <row r="25" ht="21.75" customHeight="1" s="238">
      <c r="B25" s="52" t="n"/>
      <c r="C25" s="240" t="inlineStr">
        <is>
          <t>OCI: Items that MAY be reclassified to profit or loss</t>
        </is>
      </c>
      <c r="D25" s="284" t="n"/>
      <c r="E25" s="275" t="n"/>
      <c r="F25" s="40" t="n"/>
    </row>
    <row r="26" ht="24" customHeight="1" s="238">
      <c r="B26" s="60" t="n"/>
      <c r="C26" s="250" t="inlineStr">
        <is>
          <t>TOTAL COMPREHENSIVE INCOME FOR THE YEAR</t>
        </is>
      </c>
      <c r="D26" s="278">
        <f>D23+D24+D25</f>
        <v/>
      </c>
      <c r="E26" s="287">
        <f>E23+E24+E25</f>
        <v/>
      </c>
      <c r="F26" s="40" t="n"/>
    </row>
    <row r="27" ht="21.75" customHeight="1" s="238">
      <c r="A27" s="38" t="n"/>
      <c r="B27" s="221" t="inlineStr">
        <is>
          <t xml:space="preserve">  STATEMENT OF FINANCIAL POSITION</t>
        </is>
      </c>
      <c r="C27" s="221" t="n"/>
      <c r="D27" s="221" t="n"/>
      <c r="E27" s="221" t="n"/>
      <c r="F27" s="221" t="n"/>
      <c r="G27" s="176" t="n"/>
      <c r="H27" s="176" t="n"/>
    </row>
    <row r="28" ht="21.75" customHeight="1" s="238">
      <c r="B28" s="56" t="inlineStr">
        <is>
          <t>S3.1</t>
        </is>
      </c>
      <c r="C28" s="239" t="inlineStr">
        <is>
          <t>Total Current Assets</t>
        </is>
      </c>
      <c r="D28" s="285" t="n"/>
      <c r="E28" s="286" t="n"/>
      <c r="F28" s="40" t="n"/>
    </row>
    <row r="29" ht="21.75" customHeight="1" s="238">
      <c r="B29" s="52" t="inlineStr">
        <is>
          <t>S3.2</t>
        </is>
      </c>
      <c r="C29" s="240" t="inlineStr">
        <is>
          <t>Total Non-Current Assets (PPE + Intangibles + Financial Assets + Other)</t>
        </is>
      </c>
      <c r="D29" s="284" t="n"/>
      <c r="E29" s="275" t="n"/>
      <c r="F29" s="40" t="n"/>
    </row>
    <row r="30" ht="24" customHeight="1" s="238">
      <c r="B30" s="60" t="n"/>
      <c r="C30" s="250" t="inlineStr">
        <is>
          <t>TOTAL ASSETS</t>
        </is>
      </c>
      <c r="D30" s="278">
        <f>D28+D29</f>
        <v/>
      </c>
      <c r="E30" s="287">
        <f>E28+E29</f>
        <v/>
      </c>
      <c r="F30" s="40" t="n"/>
    </row>
    <row r="31" ht="21.75" customHeight="1" s="238">
      <c r="B31" s="52" t="inlineStr">
        <is>
          <t>S3.3</t>
        </is>
      </c>
      <c r="C31" s="240" t="inlineStr">
        <is>
          <t>Total Current Liabilities</t>
        </is>
      </c>
      <c r="D31" s="284" t="n"/>
      <c r="E31" s="275" t="n"/>
      <c r="F31" s="40" t="n"/>
    </row>
    <row r="32" ht="21.75" customHeight="1" s="238">
      <c r="B32" s="56" t="inlineStr">
        <is>
          <t>S3.4</t>
        </is>
      </c>
      <c r="C32" s="239" t="inlineStr">
        <is>
          <t>Total Non-Current Liabilities</t>
        </is>
      </c>
      <c r="D32" s="285" t="n"/>
      <c r="E32" s="286" t="n"/>
      <c r="F32" s="40" t="n"/>
    </row>
    <row r="33" ht="24" customHeight="1" s="238">
      <c r="B33" s="60" t="n"/>
      <c r="C33" s="250" t="inlineStr">
        <is>
          <t>TOTAL LIABILITIES</t>
        </is>
      </c>
      <c r="D33" s="278">
        <f>D31+D32</f>
        <v/>
      </c>
      <c r="E33" s="287">
        <f>E31+E32</f>
        <v/>
      </c>
      <c r="F33" s="40" t="n"/>
    </row>
    <row r="34" ht="21.75" customHeight="1" s="238">
      <c r="B34" s="56" t="inlineStr">
        <is>
          <t>S3.5</t>
        </is>
      </c>
      <c r="C34" s="239" t="inlineStr">
        <is>
          <t>Share Capital</t>
        </is>
      </c>
      <c r="D34" s="285" t="n"/>
      <c r="E34" s="286" t="n"/>
      <c r="F34" s="40" t="n"/>
    </row>
    <row r="35" ht="21.75" customHeight="1" s="238">
      <c r="B35" s="52" t="inlineStr">
        <is>
          <t>S3.6</t>
        </is>
      </c>
      <c r="C35" s="240" t="inlineStr">
        <is>
          <t>Retained Earnings / (Deficit)</t>
        </is>
      </c>
      <c r="D35" s="284" t="n"/>
      <c r="E35" s="275" t="n"/>
      <c r="F35" s="40" t="n"/>
    </row>
    <row r="36" ht="21.75" customHeight="1" s="238">
      <c r="B36" s="56" t="inlineStr">
        <is>
          <t>S3.7</t>
        </is>
      </c>
      <c r="C36" s="239" t="inlineStr">
        <is>
          <t>Other Equity</t>
        </is>
      </c>
      <c r="D36" s="285" t="n"/>
      <c r="E36" s="286" t="n"/>
      <c r="F36" s="40" t="n"/>
    </row>
    <row r="37" ht="24" customHeight="1" s="238">
      <c r="B37" s="60" t="n"/>
      <c r="C37" s="250" t="inlineStr">
        <is>
          <t>TOTAL EQUITY</t>
        </is>
      </c>
      <c r="D37" s="278">
        <f>D34+D35+D36</f>
        <v/>
      </c>
      <c r="E37" s="287">
        <f>E34+E35+E36</f>
        <v/>
      </c>
      <c r="F37" s="40" t="n"/>
    </row>
    <row r="38" ht="24" customHeight="1" s="238">
      <c r="B38" s="60" t="n"/>
      <c r="C38" s="250" t="inlineStr">
        <is>
          <t>BS CHECK: Assets = Liabilities + Equity</t>
        </is>
      </c>
      <c r="D38" s="278">
        <f>IF(ABS(D30-D33-D37)&lt;1,"✅ BALANCED","❌ MISMATCH")</f>
        <v/>
      </c>
      <c r="E38" s="278">
        <f>IF(ABS(E30-E33-E37)&lt;1,"✅ BALANCED","❌ MISMATCH")</f>
        <v/>
      </c>
      <c r="F38" s="40" t="n"/>
    </row>
  </sheetData>
  <sheetProtection selectLockedCells="0" selectUnlockedCells="0" sheet="1" objects="0" insertRows="1" insertHyperlinks="1" autoFilter="1" scenarios="0" formatColumns="0" deleteColumns="1" insertColumns="1" pivotTables="1" deleteRows="1" formatCells="1" formatRows="1" sort="1" password="89DC"/>
  <pageMargins left="0.4" right="0.4" top="0.65" bottom="0.5" header="0.25" footer="0.25"/>
  <pageSetup orientation="portrait"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I35"/>
  <sheetViews>
    <sheetView showGridLines="0" topLeftCell="A18" zoomScaleNormal="100" workbookViewId="0">
      <selection activeCell="D30" sqref="D30"/>
    </sheetView>
  </sheetViews>
  <sheetFormatPr baseColWidth="8" defaultColWidth="8.6328125" defaultRowHeight="14.5"/>
  <cols>
    <col width="2" customWidth="1" style="238" min="1" max="1"/>
    <col width="8" customWidth="1" style="238" min="2" max="2"/>
    <col width="48" customWidth="1" style="238" min="3" max="3"/>
    <col width="22" customWidth="1" style="238" min="4" max="5"/>
    <col width="2" customWidth="1" style="238" min="6" max="6"/>
  </cols>
  <sheetData>
    <row r="1" ht="4.5" customHeight="1" s="238">
      <c r="A1" s="2" t="n"/>
      <c r="B1" s="2" t="n"/>
      <c r="C1" s="2" t="n"/>
      <c r="D1" s="2" t="n"/>
      <c r="E1" s="2" t="n"/>
      <c r="F1" s="2" t="n"/>
    </row>
    <row r="2" ht="39.75" customHeight="1" s="238">
      <c r="A2" s="154" t="inlineStr">
        <is>
          <t>ADJUSTMENTS &amp; EXEMPT INCOME</t>
        </is>
      </c>
      <c r="B2" s="154" t="n"/>
      <c r="C2" s="154" t="n"/>
      <c r="D2" s="154" t="n"/>
      <c r="E2" s="154" t="n"/>
      <c r="F2" s="154" t="n"/>
      <c r="G2" s="154" t="n"/>
      <c r="H2" s="154" t="n"/>
      <c r="I2" s="3" t="n"/>
    </row>
    <row r="3" ht="25.5" customHeight="1" s="238">
      <c r="A3" s="155" t="inlineStr">
        <is>
          <t>04 — Positive = ADD to taxable income  |  Negative = DEDUCT</t>
        </is>
      </c>
      <c r="B3" s="155" t="n"/>
      <c r="C3" s="155" t="n"/>
      <c r="D3" s="155" t="n"/>
      <c r="E3" s="155" t="n"/>
      <c r="F3" s="155" t="n"/>
      <c r="G3" s="155" t="n"/>
      <c r="H3" s="155" t="n"/>
      <c r="I3" s="4" t="n"/>
    </row>
    <row r="4" ht="19.5" customHeight="1" s="238">
      <c r="A4" s="156" t="inlineStr">
        <is>
          <t>Art. 22-33 FDL 47/2022</t>
        </is>
      </c>
      <c r="B4" s="156" t="n"/>
      <c r="C4" s="156" t="n"/>
      <c r="D4" s="156" t="n"/>
      <c r="E4" s="156" t="n"/>
      <c r="F4" s="156" t="n"/>
      <c r="G4" s="156" t="n"/>
      <c r="H4" s="156" t="n"/>
      <c r="I4" s="43" t="n"/>
    </row>
    <row r="5" ht="19.5" customHeight="1" s="238">
      <c r="A5" s="157" t="inlineStr">
        <is>
          <t>Prepared by: Demo Preparer, Chartered Accountant  |  Sample Audit Firm  |  Blank layout</t>
        </is>
      </c>
      <c r="B5" s="157" t="n"/>
      <c r="C5" s="157" t="n"/>
      <c r="D5" s="157" t="n"/>
      <c r="E5" s="157" t="n"/>
      <c r="F5" s="157" t="n"/>
      <c r="G5" s="157" t="n"/>
      <c r="H5" s="157" t="n"/>
      <c r="I5" s="5" t="n"/>
    </row>
    <row r="6" ht="4.5" customHeight="1" s="238">
      <c r="A6" s="2" t="n"/>
      <c r="B6" s="2" t="n"/>
      <c r="C6" s="2" t="n"/>
      <c r="D6" s="2" t="n"/>
      <c r="E6" s="2" t="n"/>
      <c r="F6" s="2" t="n"/>
    </row>
    <row r="7" ht="21.75" customHeight="1" s="238">
      <c r="B7" s="28" t="inlineStr">
        <is>
          <t>Ref</t>
        </is>
      </c>
      <c r="C7" s="28" t="inlineStr">
        <is>
          <t>Description / Statutory Basis</t>
        </is>
      </c>
      <c r="D7" s="28" t="inlineStr">
        <is>
          <t>AED Amount</t>
        </is>
      </c>
      <c r="E7" s="28" t="inlineStr">
        <is>
          <t>Law Reference</t>
        </is>
      </c>
    </row>
    <row r="8" ht="24" customHeight="1" s="238">
      <c r="B8" s="65" t="n"/>
      <c r="C8" s="234" t="inlineStr">
        <is>
          <t>A — EXEMPT INCOME  (Enter as NEGATIVE)</t>
        </is>
      </c>
      <c r="D8" s="234" t="n"/>
      <c r="E8" s="234" t="n"/>
    </row>
    <row r="9" ht="21.75" customHeight="1" s="238">
      <c r="B9" s="52" t="inlineStr">
        <is>
          <t>A1</t>
        </is>
      </c>
      <c r="C9" s="240" t="inlineStr">
        <is>
          <t>Domestic Dividends (UAE resident entity)</t>
        </is>
      </c>
      <c r="D9" s="284" t="n"/>
      <c r="E9" s="51" t="inlineStr">
        <is>
          <t>Art. 22 — 100% exempt, no conditions</t>
        </is>
      </c>
    </row>
    <row r="10" ht="21.75" customHeight="1" s="238">
      <c r="B10" s="56" t="inlineStr">
        <is>
          <t>A2</t>
        </is>
      </c>
      <c r="C10" s="239" t="inlineStr">
        <is>
          <t>Participation Exemption — Foreign Dividends</t>
        </is>
      </c>
      <c r="D10" s="285" t="n"/>
      <c r="E10" s="40" t="inlineStr">
        <is>
          <t>Art. 23 — ≥5% hold, ≥12m, ≥9% CT, &lt;50% passive</t>
        </is>
      </c>
    </row>
    <row r="11" ht="21.75" customHeight="1" s="238">
      <c r="B11" s="52" t="inlineStr">
        <is>
          <t>A3</t>
        </is>
      </c>
      <c r="C11" s="240" t="inlineStr">
        <is>
          <t>Participation Exemption — Disposal Gain</t>
        </is>
      </c>
      <c r="D11" s="284" t="n"/>
      <c r="E11" s="51" t="inlineStr">
        <is>
          <t>Art. 23 — same conditions as A2</t>
        </is>
      </c>
    </row>
    <row r="12" ht="21.75" customHeight="1" s="238">
      <c r="B12" s="56" t="inlineStr">
        <is>
          <t>A4</t>
        </is>
      </c>
      <c r="C12" s="239" t="inlineStr">
        <is>
          <t>Foreign PE Exemption (if election made)</t>
        </is>
      </c>
      <c r="D12" s="285" t="n"/>
      <c r="E12" s="40" t="inlineStr">
        <is>
          <t>Art. 24 — PE taxed ≥9% in host jurisdiction</t>
        </is>
      </c>
    </row>
    <row r="13" ht="21.75" customHeight="1" s="238">
      <c r="B13" s="52" t="inlineStr">
        <is>
          <t>A5</t>
        </is>
      </c>
      <c r="C13" s="240" t="inlineStr">
        <is>
          <t>Non-Resident Ships / Aircraft Income</t>
        </is>
      </c>
      <c r="D13" s="284" t="n"/>
      <c r="E13" s="51" t="inlineStr">
        <is>
          <t>Art. 25 — reciprocal exemption</t>
        </is>
      </c>
    </row>
    <row r="14" ht="21.75" customHeight="1" s="238">
      <c r="B14" s="60" t="n"/>
      <c r="C14" s="250" t="inlineStr">
        <is>
          <t>TOTAL EXEMPT INCOME</t>
        </is>
      </c>
      <c r="D14" s="278">
        <f>SUM(D9:D13)</f>
        <v/>
      </c>
      <c r="E14" s="205" t="n"/>
    </row>
    <row r="15" ht="24" customHeight="1" s="238">
      <c r="B15" s="65" t="n"/>
      <c r="C15" s="234" t="inlineStr">
        <is>
          <t>B — NON-DEDUCTIBLE EXPENSES  (Enter as POSITIVE)</t>
        </is>
      </c>
      <c r="D15" s="70" t="n"/>
      <c r="E15" s="71" t="n"/>
    </row>
    <row r="16" ht="26" customHeight="1" s="238">
      <c r="B16" s="56" t="inlineStr">
        <is>
          <t>B1</t>
        </is>
      </c>
      <c r="C16" s="173" t="inlineStr">
        <is>
          <t>Entertainment — 50% disallowed (client/customer entertainment only; staff 100% deductible)</t>
        </is>
      </c>
      <c r="D16" s="285" t="n"/>
      <c r="E16" s="40" t="inlineStr">
        <is>
          <t>Art. 32</t>
        </is>
      </c>
    </row>
    <row r="17" ht="21.75" customHeight="1" s="238">
      <c r="B17" s="52" t="inlineStr">
        <is>
          <t>B2</t>
        </is>
      </c>
      <c r="C17" s="240" t="inlineStr">
        <is>
          <t>Net Interest &gt; 30% EBITDA — see Sheet 06_INTEREST_CAP</t>
        </is>
      </c>
      <c r="D17" s="284" t="n"/>
      <c r="E17" s="51" t="inlineStr">
        <is>
          <t>Art. 30</t>
        </is>
      </c>
    </row>
    <row r="18" ht="21.75" customHeight="1" s="238">
      <c r="B18" s="56" t="inlineStr">
        <is>
          <t>B3</t>
        </is>
      </c>
      <c r="C18" s="239" t="inlineStr">
        <is>
          <t>Related Party Interest Disallowance</t>
        </is>
      </c>
      <c r="D18" s="285" t="n"/>
      <c r="E18" s="40" t="inlineStr">
        <is>
          <t>Art. 31</t>
        </is>
      </c>
    </row>
    <row r="19" ht="21.75" customHeight="1" s="238">
      <c r="B19" s="52" t="inlineStr">
        <is>
          <t>B4</t>
        </is>
      </c>
      <c r="C19" s="240" t="inlineStr">
        <is>
          <t>Fines &amp; Penalties (regulatory / government)</t>
        </is>
      </c>
      <c r="D19" s="284" t="n"/>
      <c r="E19" s="51" t="inlineStr">
        <is>
          <t>Art. 33(1)(b)</t>
        </is>
      </c>
    </row>
    <row r="20" ht="21.75" customHeight="1" s="238">
      <c r="B20" s="56" t="inlineStr">
        <is>
          <t>B5</t>
        </is>
      </c>
      <c r="C20" s="239" t="inlineStr">
        <is>
          <t>Bribes &amp; Illicit Payments</t>
        </is>
      </c>
      <c r="D20" s="285" t="n"/>
      <c r="E20" s="40" t="inlineStr">
        <is>
          <t>Art. 33(1)(c)</t>
        </is>
      </c>
    </row>
    <row r="21" ht="21.75" customHeight="1" s="238">
      <c r="B21" s="52" t="inlineStr">
        <is>
          <t>B6</t>
        </is>
      </c>
      <c r="C21" s="240" t="inlineStr">
        <is>
          <t>Dividends / Profit Distributions to Owners</t>
        </is>
      </c>
      <c r="D21" s="284" t="n"/>
      <c r="E21" s="51" t="inlineStr">
        <is>
          <t>Art. 33(1)(d)</t>
        </is>
      </c>
    </row>
    <row r="22" ht="21.75" customHeight="1" s="238">
      <c r="B22" s="56" t="inlineStr">
        <is>
          <t>B7</t>
        </is>
      </c>
      <c r="C22" s="239" t="inlineStr">
        <is>
          <t>UAE Corporate Tax itself</t>
        </is>
      </c>
      <c r="D22" s="285" t="n"/>
      <c r="E22" s="40" t="inlineStr">
        <is>
          <t>Art. 33(1)(e)</t>
        </is>
      </c>
    </row>
    <row r="23" ht="21.75" customHeight="1" s="238">
      <c r="B23" s="52" t="inlineStr">
        <is>
          <t>B8</t>
        </is>
      </c>
      <c r="C23" s="240" t="inlineStr">
        <is>
          <t>Recoverable Input VAT</t>
        </is>
      </c>
      <c r="D23" s="284" t="n"/>
      <c r="E23" s="51" t="inlineStr">
        <is>
          <t>Art. 33(1)(f)</t>
        </is>
      </c>
    </row>
    <row r="24" ht="21.75" customHeight="1" s="238">
      <c r="B24" s="56" t="inlineStr">
        <is>
          <t>B9</t>
        </is>
      </c>
      <c r="C24" s="239" t="inlineStr">
        <is>
          <t>Foreign Taxes Paid</t>
        </is>
      </c>
      <c r="D24" s="285" t="n"/>
      <c r="E24" s="40" t="inlineStr">
        <is>
          <t>Art. 33(1)(g)</t>
        </is>
      </c>
    </row>
    <row r="25" ht="21.75" customHeight="1" s="238">
      <c r="B25" s="52" t="inlineStr">
        <is>
          <t>B10</t>
        </is>
      </c>
      <c r="C25" s="240" t="inlineStr">
        <is>
          <t>Non-QPBE Donations</t>
        </is>
      </c>
      <c r="D25" s="284" t="n"/>
      <c r="E25" s="51" t="inlineStr">
        <is>
          <t>Art. 33(1)(a) — CD 37/2023</t>
        </is>
      </c>
    </row>
    <row r="26" ht="21.75" customHeight="1" s="238">
      <c r="B26" s="56" t="inlineStr">
        <is>
          <t>B11</t>
        </is>
      </c>
      <c r="C26" s="239" t="inlineStr">
        <is>
          <t>Depreciation on Exempt-Income Assets</t>
        </is>
      </c>
      <c r="D26" s="285" t="n"/>
      <c r="E26" s="40" t="inlineStr">
        <is>
          <t>Art. 28</t>
        </is>
      </c>
    </row>
    <row r="27" ht="21.75" customHeight="1" s="238">
      <c r="B27" s="52" t="inlineStr">
        <is>
          <t>B12</t>
        </is>
      </c>
      <c r="C27" s="240" t="inlineStr">
        <is>
          <t>Excess Pension Contributions (&gt; 15% of salary)</t>
        </is>
      </c>
      <c r="D27" s="284" t="n"/>
      <c r="E27" s="51" t="inlineStr">
        <is>
          <t>Art. 29</t>
        </is>
      </c>
    </row>
    <row r="28" ht="21.75" customHeight="1" s="238">
      <c r="B28" s="56" t="inlineStr">
        <is>
          <t>B13</t>
        </is>
      </c>
      <c r="C28" s="239" t="inlineStr">
        <is>
          <t>TP Arm's Length Adjustment — see Sheet 07_TP_SCHEDULE</t>
        </is>
      </c>
      <c r="D28" s="285" t="n"/>
      <c r="E28" s="40" t="inlineStr">
        <is>
          <t>Art. 34-35</t>
        </is>
      </c>
    </row>
    <row r="29" ht="21.75" customHeight="1" s="238">
      <c r="B29" s="52" t="inlineStr">
        <is>
          <t>B14</t>
        </is>
      </c>
      <c r="C29" s="240" t="inlineStr">
        <is>
          <t>Other Non-Deductible</t>
        </is>
      </c>
      <c r="D29" s="284" t="n"/>
      <c r="E29" s="51" t="inlineStr">
        <is>
          <t>Art. 33(2)</t>
        </is>
      </c>
    </row>
    <row r="30" ht="21.75" customHeight="1" s="238">
      <c r="B30" s="67" t="inlineStr">
        <is>
          <t>B15</t>
        </is>
      </c>
      <c r="C30" s="68" t="inlineStr">
        <is>
          <t>Connected Persons — Non-Arm's Length Excess (Art. 36)  →  Sheet 21</t>
        </is>
      </c>
      <c r="D30" s="276" t="n">
        <v>0</v>
      </c>
      <c r="E30" s="40" t="inlineStr">
        <is>
          <t>Art. 36 FDL 47/2022  |  MD 97/2023  |  AED 500K threshold per person</t>
        </is>
      </c>
    </row>
    <row r="31" ht="24" customHeight="1" s="238">
      <c r="B31" s="60" t="n"/>
      <c r="C31" s="250" t="inlineStr">
        <is>
          <t>TOTAL NON-DEDUCTIBLE</t>
        </is>
      </c>
      <c r="D31" s="276">
        <f>SUM(D16:D30)</f>
        <v/>
      </c>
      <c r="E31" s="40" t="n"/>
    </row>
    <row r="32" ht="21.75" customHeight="1" s="238">
      <c r="B32" s="65" t="n"/>
      <c r="C32" s="234" t="inlineStr">
        <is>
          <t>C — OTHER ADJUSTMENTS</t>
        </is>
      </c>
      <c r="D32" s="70" t="n"/>
      <c r="E32" s="71" t="n"/>
    </row>
    <row r="33" ht="21.75" customHeight="1" s="238">
      <c r="B33" s="56" t="inlineStr">
        <is>
          <t>C1</t>
        </is>
      </c>
      <c r="C33" s="239" t="inlineStr">
        <is>
          <t>Unrealised Gains/(Losses) — Realisation Basis NOT elected</t>
        </is>
      </c>
      <c r="D33" s="285" t="n"/>
      <c r="E33" s="40" t="inlineStr">
        <is>
          <t>Art. 20(3) / MD 134/2023</t>
        </is>
      </c>
    </row>
    <row r="34" ht="21.75" customHeight="1" s="238">
      <c r="B34" s="52" t="inlineStr">
        <is>
          <t>C2</t>
        </is>
      </c>
      <c r="C34" s="240" t="inlineStr">
        <is>
          <t>Other Adjustments</t>
        </is>
      </c>
      <c r="D34" s="284" t="n"/>
      <c r="E34" s="51" t="inlineStr">
        <is>
          <t>Art. 33(2) — MD specified. Includes MD 173/2025: depreciation adjustment (lower of 4% of original cost p.a. and tax WDV) on fair-valued investment property IF the irrevocable election is made; add back on realisation.</t>
        </is>
      </c>
    </row>
    <row r="35" ht="15" customHeight="1" s="238">
      <c r="B35" s="60" t="n"/>
      <c r="C35" s="250" t="inlineStr">
        <is>
          <t>TOTAL OTHER ADJUSTMENTS</t>
        </is>
      </c>
      <c r="D35" s="278">
        <f>SUM(D33:D34)</f>
        <v/>
      </c>
      <c r="E35" s="205" t="n"/>
    </row>
  </sheetData>
  <sheetProtection selectLockedCells="0" selectUnlockedCells="0" sheet="1" objects="0" insertRows="1" insertHyperlinks="1" autoFilter="1" scenarios="0" formatColumns="0" deleteColumns="1" insertColumns="1" pivotTables="1" deleteRows="1" formatCells="1" formatRows="1" sort="1" password="89DC"/>
  <mergeCells count="1">
    <mergeCell ref="C15:E15"/>
  </mergeCells>
  <pageMargins left="0.4" right="0.4" top="0.65" bottom="0.5" header="0.25" footer="0.25"/>
  <pageSetup orientation="portrait"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64"/>
  <sheetViews>
    <sheetView showGridLines="0" topLeftCell="A6" zoomScaleNormal="100" workbookViewId="0">
      <selection activeCell="B20" sqref="B20:H20"/>
    </sheetView>
  </sheetViews>
  <sheetFormatPr baseColWidth="8" defaultColWidth="8.6328125" defaultRowHeight="14.5"/>
  <cols>
    <col width="2" customWidth="1" style="238" min="1" max="1"/>
    <col width="8" customWidth="1" style="238" min="2" max="2"/>
    <col width="44" customWidth="1" style="238" min="3" max="3"/>
    <col width="4" customWidth="1" style="238" min="4" max="5"/>
    <col width="18" customWidth="1" style="238" min="6" max="8"/>
  </cols>
  <sheetData>
    <row r="1" ht="4.5" customHeight="1" s="238">
      <c r="A1" s="2" t="n"/>
      <c r="B1" s="2" t="n"/>
      <c r="C1" s="2" t="n"/>
      <c r="D1" s="2" t="n"/>
      <c r="E1" s="2" t="n"/>
      <c r="F1" s="2" t="n"/>
      <c r="G1" s="2" t="n"/>
      <c r="H1" s="2" t="n"/>
    </row>
    <row r="2" ht="39.75" customHeight="1" s="238">
      <c r="A2" s="154" t="inlineStr">
        <is>
          <t>CORPORATE TAX COMPUTATION (INDIRECT METHOD)</t>
        </is>
      </c>
      <c r="B2" s="154" t="n"/>
      <c r="C2" s="154" t="n"/>
      <c r="D2" s="154" t="n"/>
      <c r="E2" s="154" t="n"/>
      <c r="F2" s="154" t="n"/>
      <c r="G2" s="154" t="n"/>
      <c r="H2" s="154" t="n"/>
    </row>
    <row r="3" ht="25.5" customHeight="1" s="238">
      <c r="A3" s="155" t="inlineStr">
        <is>
          <t>05 — FDL No. 47 of 2022  |  Auto-populated — do NOT override formulas</t>
        </is>
      </c>
      <c r="B3" s="155" t="n"/>
      <c r="C3" s="155" t="n"/>
      <c r="D3" s="155" t="n"/>
      <c r="E3" s="155" t="n"/>
      <c r="F3" s="155" t="n"/>
      <c r="G3" s="155" t="n"/>
      <c r="H3" s="155" t="n"/>
    </row>
    <row r="4" ht="19.5" customHeight="1" s="238">
      <c r="A4" s="156" t="inlineStr">
        <is>
          <t>Links: Sheets 03  04  06  07  08  09</t>
        </is>
      </c>
      <c r="B4" s="156" t="n"/>
      <c r="C4" s="156" t="n"/>
      <c r="D4" s="156" t="n"/>
      <c r="E4" s="156" t="n"/>
      <c r="F4" s="156" t="n"/>
      <c r="G4" s="156" t="n"/>
      <c r="H4" s="156" t="n"/>
    </row>
    <row r="5" ht="19.5" customHeight="1" s="238">
      <c r="A5" s="157" t="inlineStr">
        <is>
          <t>Prepared by: Demo Preparer, Chartered Accountant  |  Sample Audit Firm  |  Blank layout</t>
        </is>
      </c>
      <c r="B5" s="157" t="n"/>
      <c r="C5" s="157" t="n"/>
      <c r="D5" s="157" t="n"/>
      <c r="E5" s="157" t="n"/>
      <c r="F5" s="157" t="n"/>
      <c r="G5" s="157" t="n"/>
      <c r="H5" s="157" t="n"/>
    </row>
    <row r="6" ht="4.5" customHeight="1" s="238">
      <c r="A6" s="2" t="n"/>
      <c r="B6" s="2" t="n"/>
      <c r="C6" s="2" t="n"/>
      <c r="D6" s="2" t="n"/>
      <c r="E6" s="2" t="n"/>
      <c r="F6" s="2" t="n"/>
      <c r="G6" s="2" t="n"/>
      <c r="H6" s="2" t="n"/>
    </row>
    <row r="7" ht="21.75" customHeight="1" s="238">
      <c r="B7" s="28" t="inlineStr">
        <is>
          <t>Ref</t>
        </is>
      </c>
      <c r="C7" s="28" t="inlineStr">
        <is>
          <t>Description</t>
        </is>
      </c>
      <c r="D7" s="28" t="n"/>
      <c r="E7" s="28" t="n"/>
      <c r="F7" s="28" t="inlineStr">
        <is>
          <t>AED Add+</t>
        </is>
      </c>
      <c r="G7" s="28" t="inlineStr">
        <is>
          <t>AED Less-</t>
        </is>
      </c>
      <c r="H7" s="28" t="inlineStr">
        <is>
          <t>AED Balance</t>
        </is>
      </c>
    </row>
    <row r="8" ht="21.75" customHeight="1" s="238">
      <c r="A8" s="2" t="n"/>
      <c r="B8" s="213" t="inlineStr">
        <is>
          <t xml:space="preserve">  STEP 1 — STARTING POINT (Art. 20)</t>
        </is>
      </c>
      <c r="C8" s="213" t="n"/>
      <c r="D8" s="213" t="n"/>
      <c r="E8" s="213" t="n"/>
      <c r="F8" s="213" t="n"/>
      <c r="G8" s="213" t="n"/>
      <c r="H8" s="213" t="n"/>
    </row>
    <row r="9" ht="21.75" customHeight="1" s="238">
      <c r="B9" s="56" t="inlineStr">
        <is>
          <t>N1</t>
        </is>
      </c>
      <c r="C9" s="251" t="inlineStr">
        <is>
          <t xml:space="preserve">  Accounting Profit / (Loss) per Financial Statements</t>
        </is>
      </c>
      <c r="D9" s="70" t="n"/>
      <c r="E9" s="70" t="n"/>
      <c r="F9" s="70" t="n"/>
      <c r="G9" s="71" t="n"/>
      <c r="H9" s="288">
        <f>'03_INCOME_SCHEDULE'!D23</f>
        <v/>
      </c>
    </row>
    <row r="10" ht="21.75" customHeight="1" s="238">
      <c r="A10" s="38" t="n"/>
      <c r="B10" s="221" t="inlineStr">
        <is>
          <t xml:space="preserve">  STEP 2 — EXEMPT INCOME (Art. 22-25)  |  DEDUCT</t>
        </is>
      </c>
    </row>
    <row r="11" ht="19.5" customHeight="1" s="238">
      <c r="B11" s="52" t="inlineStr">
        <is>
          <t>A1</t>
        </is>
      </c>
      <c r="C11" s="240" t="inlineStr">
        <is>
          <t>Domestic Dividends</t>
        </is>
      </c>
      <c r="D11" s="70" t="n"/>
      <c r="E11" s="71" t="n"/>
      <c r="F11" s="284" t="n"/>
      <c r="G11" s="289">
        <f>'04_ADJUSTMENTS'!D9</f>
        <v/>
      </c>
      <c r="H11" s="73" t="n"/>
    </row>
    <row r="12" ht="19.5" customHeight="1" s="238">
      <c r="B12" s="56" t="inlineStr">
        <is>
          <t>A2</t>
        </is>
      </c>
      <c r="C12" s="239" t="inlineStr">
        <is>
          <t>Participation Exemption — Foreign Dividends</t>
        </is>
      </c>
      <c r="D12" s="70" t="n"/>
      <c r="E12" s="71" t="n"/>
      <c r="F12" s="285" t="n"/>
      <c r="G12" s="276">
        <f>'04_ADJUSTMENTS'!D10</f>
        <v/>
      </c>
      <c r="H12" s="74" t="n"/>
    </row>
    <row r="13" ht="19.5" customHeight="1" s="238">
      <c r="B13" s="52" t="inlineStr">
        <is>
          <t>A3</t>
        </is>
      </c>
      <c r="C13" s="240" t="inlineStr">
        <is>
          <t>Participation Exemption — Disposal Gain</t>
        </is>
      </c>
      <c r="D13" s="70" t="n"/>
      <c r="E13" s="71" t="n"/>
      <c r="F13" s="284" t="n"/>
      <c r="G13" s="289">
        <f>'04_ADJUSTMENTS'!D11</f>
        <v/>
      </c>
      <c r="H13" s="73" t="n"/>
    </row>
    <row r="14" ht="19.5" customHeight="1" s="238">
      <c r="B14" s="56" t="inlineStr">
        <is>
          <t>A4</t>
        </is>
      </c>
      <c r="C14" s="239" t="inlineStr">
        <is>
          <t>Foreign PE Exemption</t>
        </is>
      </c>
      <c r="D14" s="70" t="n"/>
      <c r="E14" s="71" t="n"/>
      <c r="F14" s="285" t="n"/>
      <c r="G14" s="276">
        <f>'04_ADJUSTMENTS'!D12</f>
        <v/>
      </c>
      <c r="H14" s="74" t="n"/>
    </row>
    <row r="15" ht="24" customHeight="1" s="238">
      <c r="B15" s="60" t="n"/>
      <c r="C15" s="250" t="inlineStr">
        <is>
          <t>TOTAL EXEMPT INCOME</t>
        </is>
      </c>
      <c r="D15" s="70" t="n"/>
      <c r="E15" s="71" t="n"/>
      <c r="F15" s="75" t="n"/>
      <c r="G15" s="278">
        <f>SUM(G11:G14)</f>
        <v/>
      </c>
      <c r="H15" s="75" t="n"/>
    </row>
    <row r="16" ht="21.75" customHeight="1" s="238">
      <c r="A16" s="38" t="n"/>
      <c r="B16" s="221" t="inlineStr">
        <is>
          <t xml:space="preserve">  STEP 3 — RELIEFS (Art. 26-27)</t>
        </is>
      </c>
    </row>
    <row r="17" ht="19.5" customHeight="1" s="238">
      <c r="B17" s="52" t="inlineStr">
        <is>
          <t>R1</t>
        </is>
      </c>
      <c r="C17" s="240" t="inlineStr">
        <is>
          <t>Qualifying Group Transfer Relief</t>
        </is>
      </c>
      <c r="D17" s="70" t="n"/>
      <c r="E17" s="71" t="n"/>
      <c r="F17" s="284" t="n"/>
      <c r="G17" s="284" t="n"/>
      <c r="H17" s="73" t="n"/>
    </row>
    <row r="18" ht="19.5" customHeight="1" s="238">
      <c r="B18" s="56" t="inlineStr">
        <is>
          <t>R2</t>
        </is>
      </c>
      <c r="C18" s="239" t="inlineStr">
        <is>
          <t>Business Restructuring Relief</t>
        </is>
      </c>
      <c r="D18" s="70" t="n"/>
      <c r="E18" s="71" t="n"/>
      <c r="F18" s="285" t="n"/>
      <c r="G18" s="290">
        <f>'22_BUSINESS_RESTRUCTURING'!D58</f>
        <v/>
      </c>
      <c r="H18" s="74" t="n"/>
    </row>
    <row r="19" ht="24" customHeight="1" s="238">
      <c r="B19" s="60" t="n"/>
      <c r="C19" s="250" t="inlineStr">
        <is>
          <t>TOTAL RELIEFS</t>
        </is>
      </c>
      <c r="D19" s="70" t="n"/>
      <c r="E19" s="71" t="n"/>
      <c r="F19" s="75" t="n"/>
      <c r="G19" s="278">
        <f>SUM(G17:G18)</f>
        <v/>
      </c>
      <c r="H19" s="75" t="n"/>
    </row>
    <row r="20" ht="21.75" customHeight="1" s="238">
      <c r="A20" s="38" t="n"/>
      <c r="B20" s="221" t="inlineStr">
        <is>
          <t xml:space="preserve">  STEP 4 — NON-DEDUCTIBLE EXPENSES (Art. 28-33)  |  ADD BACK</t>
        </is>
      </c>
    </row>
    <row r="21" ht="19.5" customHeight="1" s="238">
      <c r="B21" s="52" t="inlineStr">
        <is>
          <t>B1</t>
        </is>
      </c>
      <c r="C21" s="240" t="inlineStr">
        <is>
          <t>Entertainment 50% Disallowed</t>
        </is>
      </c>
      <c r="D21" s="70" t="n"/>
      <c r="E21" s="71" t="n"/>
      <c r="F21" s="289">
        <f>'04_ADJUSTMENTS'!D16</f>
        <v/>
      </c>
      <c r="G21" s="284" t="n"/>
      <c r="H21" s="73" t="n"/>
    </row>
    <row r="22" ht="19.5" customHeight="1" s="238">
      <c r="B22" s="56" t="inlineStr">
        <is>
          <t>B2</t>
        </is>
      </c>
      <c r="C22" s="239" t="inlineStr">
        <is>
          <t>Net Interest &gt; 30% EBITDA (Art. 30)</t>
        </is>
      </c>
      <c r="D22" s="70" t="n"/>
      <c r="E22" s="71" t="n"/>
      <c r="F22" s="276">
        <f>'06_INTEREST_CAP'!D19</f>
        <v/>
      </c>
      <c r="G22" s="285" t="n"/>
      <c r="H22" s="74" t="n"/>
    </row>
    <row r="23" ht="19.5" customHeight="1" s="238">
      <c r="B23" s="52" t="inlineStr">
        <is>
          <t>B3</t>
        </is>
      </c>
      <c r="C23" s="240" t="inlineStr">
        <is>
          <t>Related Party Interest (Art. 31)</t>
        </is>
      </c>
      <c r="D23" s="70" t="n"/>
      <c r="E23" s="71" t="n"/>
      <c r="F23" s="289">
        <f>'04_ADJUSTMENTS'!D18</f>
        <v/>
      </c>
      <c r="G23" s="284" t="n"/>
      <c r="H23" s="73" t="n"/>
    </row>
    <row r="24" ht="19.5" customHeight="1" s="238">
      <c r="B24" s="56" t="inlineStr">
        <is>
          <t>B4</t>
        </is>
      </c>
      <c r="C24" s="239" t="inlineStr">
        <is>
          <t>Fines &amp; Penalties</t>
        </is>
      </c>
      <c r="D24" s="70" t="n"/>
      <c r="E24" s="71" t="n"/>
      <c r="F24" s="276">
        <f>'04_ADJUSTMENTS'!D19</f>
        <v/>
      </c>
      <c r="G24" s="285" t="n"/>
      <c r="H24" s="74" t="n"/>
    </row>
    <row r="25" ht="19.5" customHeight="1" s="238">
      <c r="B25" s="52" t="inlineStr">
        <is>
          <t>B5</t>
        </is>
      </c>
      <c r="C25" s="240" t="inlineStr">
        <is>
          <t>Bribes &amp; Illicit Payments</t>
        </is>
      </c>
      <c r="D25" s="70" t="n"/>
      <c r="E25" s="71" t="n"/>
      <c r="F25" s="289">
        <f>'04_ADJUSTMENTS'!D20</f>
        <v/>
      </c>
      <c r="G25" s="284" t="n"/>
      <c r="H25" s="73" t="n"/>
    </row>
    <row r="26" ht="19.5" customHeight="1" s="238">
      <c r="B26" s="56" t="inlineStr">
        <is>
          <t>B6</t>
        </is>
      </c>
      <c r="C26" s="239" t="inlineStr">
        <is>
          <t>Dividends to Owners</t>
        </is>
      </c>
      <c r="D26" s="70" t="n"/>
      <c r="E26" s="71" t="n"/>
      <c r="F26" s="276">
        <f>'04_ADJUSTMENTS'!D21</f>
        <v/>
      </c>
      <c r="G26" s="285" t="n"/>
      <c r="H26" s="74" t="n"/>
    </row>
    <row r="27" ht="19.5" customHeight="1" s="238">
      <c r="B27" s="52" t="inlineStr">
        <is>
          <t>B7</t>
        </is>
      </c>
      <c r="C27" s="240" t="inlineStr">
        <is>
          <t>UAE Corporate Tax</t>
        </is>
      </c>
      <c r="D27" s="70" t="n"/>
      <c r="E27" s="71" t="n"/>
      <c r="F27" s="289">
        <f>'04_ADJUSTMENTS'!D22</f>
        <v/>
      </c>
      <c r="G27" s="284" t="n"/>
      <c r="H27" s="73" t="n"/>
    </row>
    <row r="28" ht="19.5" customHeight="1" s="238">
      <c r="B28" s="56" t="inlineStr">
        <is>
          <t>B8</t>
        </is>
      </c>
      <c r="C28" s="239" t="inlineStr">
        <is>
          <t>Recoverable Input VAT</t>
        </is>
      </c>
      <c r="D28" s="70" t="n"/>
      <c r="E28" s="71" t="n"/>
      <c r="F28" s="276">
        <f>'04_ADJUSTMENTS'!D23</f>
        <v/>
      </c>
      <c r="G28" s="285" t="n"/>
      <c r="H28" s="74" t="n"/>
    </row>
    <row r="29" ht="19.5" customHeight="1" s="238">
      <c r="B29" s="52" t="inlineStr">
        <is>
          <t>B9</t>
        </is>
      </c>
      <c r="C29" s="240" t="inlineStr">
        <is>
          <t>Foreign Taxes Paid</t>
        </is>
      </c>
      <c r="D29" s="70" t="n"/>
      <c r="E29" s="71" t="n"/>
      <c r="F29" s="289">
        <f>'04_ADJUSTMENTS'!D24</f>
        <v/>
      </c>
      <c r="G29" s="284" t="n"/>
      <c r="H29" s="73" t="n"/>
    </row>
    <row r="30" ht="19.5" customHeight="1" s="238">
      <c r="B30" s="56" t="inlineStr">
        <is>
          <t>B10</t>
        </is>
      </c>
      <c r="C30" s="239" t="inlineStr">
        <is>
          <t>Non-QPBE Donations</t>
        </is>
      </c>
      <c r="D30" s="70" t="n"/>
      <c r="E30" s="71" t="n"/>
      <c r="F30" s="276">
        <f>'04_ADJUSTMENTS'!D25</f>
        <v/>
      </c>
      <c r="G30" s="285" t="n"/>
      <c r="H30" s="74" t="n"/>
    </row>
    <row r="31" ht="19.5" customHeight="1" s="238">
      <c r="B31" s="52" t="inlineStr">
        <is>
          <t>B11</t>
        </is>
      </c>
      <c r="C31" s="240" t="inlineStr">
        <is>
          <t>Depreciation on Exempt Assets</t>
        </is>
      </c>
      <c r="D31" s="70" t="n"/>
      <c r="E31" s="71" t="n"/>
      <c r="F31" s="289">
        <f>'04_ADJUSTMENTS'!D26</f>
        <v/>
      </c>
      <c r="G31" s="284" t="n"/>
      <c r="H31" s="73" t="n"/>
    </row>
    <row r="32" ht="19.5" customHeight="1" s="238">
      <c r="B32" s="56" t="inlineStr">
        <is>
          <t>B12</t>
        </is>
      </c>
      <c r="C32" s="239" t="inlineStr">
        <is>
          <t>Excess Pension &gt; 15%</t>
        </is>
      </c>
      <c r="D32" s="70" t="n"/>
      <c r="E32" s="71" t="n"/>
      <c r="F32" s="276">
        <f>'04_ADJUSTMENTS'!D27</f>
        <v/>
      </c>
      <c r="G32" s="285" t="n"/>
      <c r="H32" s="74" t="n"/>
    </row>
    <row r="33" ht="19.5" customHeight="1" s="238">
      <c r="B33" s="52" t="inlineStr">
        <is>
          <t>B13</t>
        </is>
      </c>
      <c r="C33" s="240" t="inlineStr">
        <is>
          <t>TP Arm's Length Adjustment</t>
        </is>
      </c>
      <c r="D33" s="70" t="n"/>
      <c r="E33" s="71" t="n"/>
      <c r="F33" s="289">
        <f>'07_TP_SCHEDULE'!D18</f>
        <v/>
      </c>
      <c r="G33" s="284" t="n"/>
      <c r="H33" s="73" t="n"/>
    </row>
    <row r="34" ht="19.5" customHeight="1" s="238">
      <c r="B34" s="56" t="inlineStr">
        <is>
          <t>B14</t>
        </is>
      </c>
      <c r="C34" s="239" t="inlineStr">
        <is>
          <t>Other Non-Deductible</t>
        </is>
      </c>
      <c r="D34" s="70" t="n"/>
      <c r="E34" s="71" t="n"/>
      <c r="F34" s="276">
        <f>'04_ADJUSTMENTS'!D29</f>
        <v/>
      </c>
      <c r="G34" s="285" t="n"/>
      <c r="H34" s="74" t="n"/>
    </row>
    <row r="35" ht="21.75" customHeight="1" s="238">
      <c r="B35" s="67" t="inlineStr">
        <is>
          <t>B15</t>
        </is>
      </c>
      <c r="C35" s="249" t="inlineStr">
        <is>
          <t>Connected Persons — Non-Arm's Length Excess  →  Sheet 21</t>
        </is>
      </c>
      <c r="D35" s="70" t="n"/>
      <c r="E35" s="70" t="n"/>
      <c r="F35" s="289">
        <f>'04_ADJUSTMENTS'!D30</f>
        <v/>
      </c>
      <c r="G35" s="284" t="n"/>
      <c r="H35" s="73" t="n"/>
    </row>
    <row r="36" ht="21.75" customHeight="1" s="238">
      <c r="B36" s="67" t="n"/>
      <c r="C36" s="249" t="inlineStr">
        <is>
          <t>TOTAL NON-DEDUCTIBLE EXPENSES</t>
        </is>
      </c>
      <c r="D36" s="70" t="n"/>
      <c r="E36" s="70" t="n"/>
      <c r="F36" s="289">
        <f>SUM(F21:F35)</f>
        <v/>
      </c>
      <c r="G36" s="284" t="n"/>
      <c r="H36" s="73" t="n"/>
    </row>
    <row r="37" ht="19.5" customHeight="1" s="238">
      <c r="A37" s="38" t="n"/>
      <c r="B37" s="221" t="inlineStr">
        <is>
          <t xml:space="preserve">  STEP 5 — OTHER ADJUSTMENTS</t>
        </is>
      </c>
    </row>
    <row r="38" ht="19.5" customHeight="1" s="238">
      <c r="B38" s="52" t="inlineStr">
        <is>
          <t>C1</t>
        </is>
      </c>
      <c r="C38" s="240" t="inlineStr">
        <is>
          <t>Unrealised Gains/(Losses)</t>
        </is>
      </c>
      <c r="D38" s="70" t="n"/>
      <c r="E38" s="71" t="n"/>
      <c r="F38" s="289">
        <f>'04_ADJUSTMENTS'!D33</f>
        <v/>
      </c>
      <c r="G38" s="284" t="n"/>
      <c r="H38" s="73" t="n"/>
    </row>
    <row r="39" ht="24" customHeight="1" s="238">
      <c r="B39" s="56" t="inlineStr">
        <is>
          <t>C2</t>
        </is>
      </c>
      <c r="C39" s="239" t="inlineStr">
        <is>
          <t>Other Adjustments</t>
        </is>
      </c>
      <c r="D39" s="70" t="n"/>
      <c r="E39" s="71" t="n"/>
      <c r="F39" s="289">
        <f>'04_ADJUSTMENTS'!D34</f>
        <v/>
      </c>
      <c r="G39" s="285" t="n"/>
      <c r="H39" s="74" t="n"/>
    </row>
    <row r="40" ht="15" customHeight="1" s="238">
      <c r="B40" s="60" t="n"/>
      <c r="C40" s="250" t="inlineStr">
        <is>
          <t>TOTAL OTHER ADJUSTMENTS</t>
        </is>
      </c>
      <c r="D40" s="70" t="n"/>
      <c r="E40" s="71" t="n"/>
      <c r="F40" s="278">
        <f>SUM(F38:F39)</f>
        <v/>
      </c>
      <c r="G40" s="75" t="n"/>
      <c r="H40" s="75" t="n"/>
    </row>
    <row r="41" ht="31.5" customHeight="1" s="238"/>
    <row r="42" ht="21.75" customHeight="1" s="238">
      <c r="A42" s="77" t="n"/>
      <c r="B42" s="78" t="inlineStr">
        <is>
          <t xml:space="preserve">  TAXABLE INCOME BEFORE TAX LOSSES</t>
        </is>
      </c>
      <c r="C42" s="70" t="n"/>
      <c r="D42" s="70" t="n"/>
      <c r="E42" s="71" t="n"/>
      <c r="F42" s="78" t="n"/>
      <c r="G42" s="78" t="n"/>
      <c r="H42" s="291">
        <f>H9-G15-G19+F36+F40</f>
        <v/>
      </c>
    </row>
    <row r="43" ht="19.5" customHeight="1" s="238">
      <c r="A43" s="38" t="n"/>
      <c r="B43" s="221" t="inlineStr">
        <is>
          <t xml:space="preserve">  STEP 6 — TAX LOSS UTILISATION (Art. 37-39)</t>
        </is>
      </c>
    </row>
    <row r="44" ht="19.5" customHeight="1" s="238">
      <c r="B44" s="52" t="inlineStr">
        <is>
          <t>L1</t>
        </is>
      </c>
      <c r="C44" s="240" t="inlineStr">
        <is>
          <t>Tax Losses B/F from Prior Periods</t>
        </is>
      </c>
      <c r="D44" s="70" t="n"/>
      <c r="E44" s="71" t="n"/>
      <c r="F44" s="284" t="n"/>
      <c r="G44" s="289">
        <f>'08_TAX_LOSSES'!D8</f>
        <v/>
      </c>
      <c r="H44" s="73" t="n"/>
    </row>
    <row r="45" ht="19.5" customHeight="1" s="238">
      <c r="B45" s="56" t="inlineStr">
        <is>
          <t>L2</t>
        </is>
      </c>
      <c r="C45" s="239" t="inlineStr">
        <is>
          <t>Losses Transferred Out</t>
        </is>
      </c>
      <c r="D45" s="70" t="n"/>
      <c r="E45" s="71" t="n"/>
      <c r="F45" s="285" t="n"/>
      <c r="G45" s="276">
        <f>'08_TAX_LOSSES'!D12</f>
        <v/>
      </c>
      <c r="H45" s="74" t="n"/>
    </row>
    <row r="46" ht="24" customHeight="1" s="238">
      <c r="B46" s="52" t="inlineStr">
        <is>
          <t>L3</t>
        </is>
      </c>
      <c r="C46" s="240" t="inlineStr">
        <is>
          <t>Losses Received from Group (Art. 42)</t>
        </is>
      </c>
      <c r="D46" s="70" t="n"/>
      <c r="E46" s="71" t="n"/>
      <c r="F46" s="289">
        <f>'08_TAX_LOSSES'!D10</f>
        <v/>
      </c>
      <c r="G46" s="284" t="n"/>
      <c r="H46" s="73" t="n"/>
    </row>
    <row r="47" ht="15" customHeight="1" s="238">
      <c r="B47" s="60" t="n"/>
      <c r="C47" s="250" t="inlineStr">
        <is>
          <t>NET TAX LOSSES UTILISED (75% cap)</t>
        </is>
      </c>
      <c r="D47" s="70" t="n"/>
      <c r="E47" s="71" t="n"/>
      <c r="F47" s="75" t="n"/>
      <c r="G47" s="278">
        <f>'08_TAX_LOSSES'!D16</f>
        <v/>
      </c>
      <c r="H47" s="75" t="n"/>
    </row>
    <row r="48" ht="31.5" customHeight="1" s="238"/>
    <row r="49" ht="21.75" customHeight="1" s="238">
      <c r="A49" s="77" t="n"/>
      <c r="B49" s="78" t="inlineStr">
        <is>
          <t xml:space="preserve">  TAXABLE INCOME</t>
        </is>
      </c>
      <c r="C49" s="70" t="n"/>
      <c r="D49" s="70" t="n"/>
      <c r="E49" s="71" t="n"/>
      <c r="F49" s="78" t="n"/>
      <c r="G49" s="78" t="n"/>
      <c r="H49" s="291">
        <f>H42-G47</f>
        <v/>
      </c>
    </row>
    <row r="50" ht="21.75" customHeight="1" s="238">
      <c r="A50" s="2" t="n"/>
      <c r="B50" s="213" t="inlineStr">
        <is>
          <t xml:space="preserve">  STEP 7 — CT CALCULATION  |  0% ≤ AED 375,000  |  9% above AED 375,000</t>
        </is>
      </c>
    </row>
    <row r="51" ht="15" customHeight="1" s="238">
      <c r="B51" s="56" t="inlineStr">
        <is>
          <t>T1</t>
        </is>
      </c>
      <c r="C51" s="239" t="inlineStr">
        <is>
          <t xml:space="preserve">  Amount at 0% Band (≤ AED 375,000)</t>
        </is>
      </c>
      <c r="D51" s="70" t="n"/>
      <c r="E51" s="70" t="n"/>
      <c r="F51" s="70" t="n"/>
      <c r="G51" s="71" t="n"/>
      <c r="H51" s="276">
        <f>MIN(H49,375000)</f>
        <v/>
      </c>
    </row>
    <row r="52" ht="15" customHeight="1" s="238">
      <c r="B52" s="52" t="inlineStr">
        <is>
          <t>T2</t>
        </is>
      </c>
      <c r="C52" s="240" t="inlineStr">
        <is>
          <t xml:space="preserve">  Tax @ 0% — nil tax on first AED 375,000</t>
        </is>
      </c>
      <c r="D52" s="70" t="n"/>
      <c r="E52" s="70" t="n"/>
      <c r="F52" s="70" t="n"/>
      <c r="G52" s="71" t="n"/>
      <c r="H52" s="289">
        <f>H51*0</f>
        <v/>
      </c>
    </row>
    <row r="53" ht="15" customHeight="1" s="238">
      <c r="B53" s="56" t="inlineStr">
        <is>
          <t>T3</t>
        </is>
      </c>
      <c r="C53" s="244" t="inlineStr">
        <is>
          <t xml:space="preserve">  Amount at 9% Band (above AED 375,000)</t>
        </is>
      </c>
      <c r="D53" s="70" t="n"/>
      <c r="E53" s="70" t="n"/>
      <c r="F53" s="70" t="n"/>
      <c r="G53" s="71" t="n"/>
      <c r="H53" s="279">
        <f>MAX(H49-375000,0)</f>
        <v/>
      </c>
    </row>
    <row r="54" ht="24" customHeight="1" s="238">
      <c r="B54" s="52" t="inlineStr">
        <is>
          <t>T4</t>
        </is>
      </c>
      <c r="C54" s="245" t="inlineStr">
        <is>
          <t xml:space="preserve">  Tax @ 9%</t>
        </is>
      </c>
      <c r="D54" s="70" t="n"/>
      <c r="E54" s="70" t="n"/>
      <c r="F54" s="70" t="n"/>
      <c r="G54" s="71" t="n"/>
      <c r="H54" s="292">
        <f>H53*9%</f>
        <v/>
      </c>
    </row>
    <row r="55" ht="21.75" customHeight="1" s="238">
      <c r="B55" s="149" t="n"/>
      <c r="C55" s="149" t="n"/>
      <c r="D55" s="70" t="n"/>
      <c r="E55" s="70" t="n"/>
      <c r="F55" s="70" t="n"/>
      <c r="G55" s="71" t="n"/>
      <c r="H55" s="293">
        <f>H52+H54</f>
        <v/>
      </c>
    </row>
    <row r="56" ht="19.5" customHeight="1" s="238">
      <c r="A56" s="38" t="n"/>
      <c r="B56" s="221" t="inlineStr">
        <is>
          <t xml:space="preserve">  STEP 8 — TAX CREDITS (Art. 46-47)</t>
        </is>
      </c>
    </row>
    <row r="57" ht="19.5" customHeight="1" s="238">
      <c r="B57" s="56" t="inlineStr">
        <is>
          <t>CR1</t>
        </is>
      </c>
      <c r="C57" s="239" t="inlineStr">
        <is>
          <t>Withholding Tax Credit (Art. 46)</t>
        </is>
      </c>
      <c r="D57" s="70" t="n"/>
      <c r="E57" s="71" t="n"/>
      <c r="F57" s="285" t="n"/>
      <c r="G57" s="276">
        <f>'09_TAX_LIABILITY'!D9</f>
        <v/>
      </c>
      <c r="H57" s="74" t="n"/>
    </row>
    <row r="58" ht="19.5" customHeight="1" s="238">
      <c r="B58" s="52" t="inlineStr">
        <is>
          <t>CR2</t>
        </is>
      </c>
      <c r="C58" s="240" t="inlineStr">
        <is>
          <t>Foreign Tax Credit (Art. 47)</t>
        </is>
      </c>
      <c r="D58" s="70" t="n"/>
      <c r="E58" s="71" t="n"/>
      <c r="F58" s="284" t="n"/>
      <c r="G58" s="289">
        <f>'09_TAX_LIABILITY'!D10</f>
        <v/>
      </c>
      <c r="H58" s="73" t="n"/>
    </row>
    <row r="59" ht="24" customHeight="1" s="238">
      <c r="B59" s="56" t="inlineStr">
        <is>
          <t>CR3</t>
        </is>
      </c>
      <c r="C59" s="239" t="inlineStr">
        <is>
          <t>CT Paid (advance / provisional)</t>
        </is>
      </c>
      <c r="D59" s="70" t="n"/>
      <c r="E59" s="71" t="n"/>
      <c r="F59" s="285" t="n"/>
      <c r="G59" s="276">
        <f>'09_TAX_LIABILITY'!D11</f>
        <v/>
      </c>
      <c r="H59" s="74" t="n"/>
    </row>
    <row r="60" ht="15" customHeight="1" s="238">
      <c r="B60" s="60" t="n"/>
      <c r="C60" s="250" t="inlineStr">
        <is>
          <t>TOTAL CREDITS</t>
        </is>
      </c>
      <c r="D60" s="70" t="n"/>
      <c r="E60" s="71" t="n"/>
      <c r="F60" s="75" t="n"/>
      <c r="G60" s="278">
        <f>SUM(G57:G59)</f>
        <v/>
      </c>
      <c r="H60" s="75" t="n"/>
    </row>
    <row r="61" ht="31.5" customHeight="1" s="238"/>
    <row r="62" ht="17.25" customHeight="1" s="238">
      <c r="A62" s="77" t="n"/>
      <c r="B62" s="78" t="inlineStr">
        <is>
          <t xml:space="preserve">  CORPORATE TAX PAYABLE / (REFUND)</t>
        </is>
      </c>
      <c r="C62" s="70" t="n"/>
      <c r="D62" s="70" t="n"/>
      <c r="E62" s="70" t="n"/>
      <c r="F62" s="70" t="n"/>
      <c r="G62" s="71" t="n"/>
      <c r="H62" s="294">
        <f>MAX(H55-G60,0)</f>
        <v/>
      </c>
    </row>
    <row r="63" ht="19.5" customHeight="1" s="238"/>
    <row r="64" ht="15" customHeight="1" s="238">
      <c r="B64" s="52" t="inlineStr">
        <is>
          <t>L4</t>
        </is>
      </c>
      <c r="C64" s="240" t="inlineStr">
        <is>
          <t>Tax Losses C/F to Next Period</t>
        </is>
      </c>
      <c r="D64" s="70" t="n"/>
      <c r="E64" s="71" t="n"/>
      <c r="F64" s="289">
        <f>'08_TAX_LOSSES'!D17</f>
        <v/>
      </c>
      <c r="G64" s="284" t="n"/>
      <c r="H64" s="73" t="n"/>
    </row>
  </sheetData>
  <sheetProtection selectLockedCells="0" selectUnlockedCells="0" sheet="1" objects="0" insertRows="1" insertHyperlinks="1" autoFilter="1" scenarios="0" formatColumns="0" deleteColumns="1" insertColumns="1" pivotTables="1" deleteRows="1" formatCells="1" formatRows="1" sort="1" password="89DC"/>
  <mergeCells count="55">
    <mergeCell ref="C44:E44"/>
    <mergeCell ref="B49:E49"/>
    <mergeCell ref="C31:E31"/>
    <mergeCell ref="B61:G61"/>
    <mergeCell ref="C22:E22"/>
    <mergeCell ref="C40:E40"/>
    <mergeCell ref="C56:E56"/>
    <mergeCell ref="C25:E25"/>
    <mergeCell ref="C59:E59"/>
    <mergeCell ref="C21:E21"/>
    <mergeCell ref="C43:E43"/>
    <mergeCell ref="B20:H20"/>
    <mergeCell ref="C12:E12"/>
    <mergeCell ref="C46:E46"/>
    <mergeCell ref="C60:E60"/>
    <mergeCell ref="C36:E36"/>
    <mergeCell ref="C11:E11"/>
    <mergeCell ref="C27:E27"/>
    <mergeCell ref="C54:G54"/>
    <mergeCell ref="C23:E23"/>
    <mergeCell ref="C50:G50"/>
    <mergeCell ref="C39:E39"/>
    <mergeCell ref="B16:H16"/>
    <mergeCell ref="C17:E17"/>
    <mergeCell ref="C55:G55"/>
    <mergeCell ref="C9:G9"/>
    <mergeCell ref="C32:E32"/>
    <mergeCell ref="C38:E38"/>
    <mergeCell ref="C28:E28"/>
    <mergeCell ref="C13:E13"/>
    <mergeCell ref="C19:E19"/>
    <mergeCell ref="C37:E37"/>
    <mergeCell ref="C57:E57"/>
    <mergeCell ref="B41:G41"/>
    <mergeCell ref="C51:G51"/>
    <mergeCell ref="C18:E18"/>
    <mergeCell ref="C30:E30"/>
    <mergeCell ref="C34:E34"/>
    <mergeCell ref="C15:E15"/>
    <mergeCell ref="B42:E42"/>
    <mergeCell ref="C52:G52"/>
    <mergeCell ref="B62:G62"/>
    <mergeCell ref="C24:E24"/>
    <mergeCell ref="C58:E58"/>
    <mergeCell ref="C33:E33"/>
    <mergeCell ref="C14:E14"/>
    <mergeCell ref="C45:E45"/>
    <mergeCell ref="C26:E26"/>
    <mergeCell ref="C53:G53"/>
    <mergeCell ref="B10:H10"/>
    <mergeCell ref="C29:E29"/>
    <mergeCell ref="B48:G48"/>
    <mergeCell ref="C35:E35"/>
    <mergeCell ref="C63:E63"/>
    <mergeCell ref="C47:E47"/>
  </mergeCells>
  <pageMargins left="0.4" right="0.4" top="0.65" bottom="0.5" header="0.25" footer="0.25"/>
  <pageSetup orientation="landscape"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23"/>
  <sheetViews>
    <sheetView showGridLines="0" zoomScaleNormal="100" workbookViewId="0">
      <selection activeCell="A1" sqref="A1"/>
    </sheetView>
  </sheetViews>
  <sheetFormatPr baseColWidth="8" defaultColWidth="8.6328125" defaultRowHeight="14.5"/>
  <cols>
    <col width="2" customWidth="1" style="238" min="1" max="1"/>
    <col width="8" customWidth="1" style="238" min="2" max="2"/>
    <col width="48" customWidth="1" style="238" min="3" max="3"/>
    <col width="22" customWidth="1" style="238" min="4" max="5"/>
    <col width="2" customWidth="1" style="238" min="6" max="6"/>
  </cols>
  <sheetData>
    <row r="1" ht="4.5" customHeight="1" s="238">
      <c r="A1" s="2" t="n"/>
      <c r="B1" s="2" t="n"/>
      <c r="C1" s="2" t="n"/>
      <c r="D1" s="2" t="n"/>
      <c r="E1" s="2" t="n"/>
      <c r="F1" s="2" t="n"/>
    </row>
    <row r="2" ht="39.75" customHeight="1" s="238">
      <c r="A2" s="154" t="inlineStr">
        <is>
          <t>NET INTEREST EXPENDITURE CAP (ART. 30)</t>
        </is>
      </c>
      <c r="B2" s="154" t="n"/>
      <c r="C2" s="154" t="n"/>
      <c r="D2" s="154" t="n"/>
      <c r="E2" s="154" t="n"/>
      <c r="F2" s="154" t="n"/>
      <c r="G2" s="154" t="n"/>
      <c r="H2" s="154" t="n"/>
      <c r="I2" s="3" t="n"/>
    </row>
    <row r="3" ht="25.5" customHeight="1" s="238">
      <c r="A3" s="155" t="inlineStr">
        <is>
          <t>06 — 30% EBITDA annual cap  |  AED 12M safe harbour  |  Excess c/f 10 years</t>
        </is>
      </c>
      <c r="B3" s="155" t="n"/>
      <c r="C3" s="155" t="n"/>
      <c r="D3" s="155" t="n"/>
      <c r="E3" s="155" t="n"/>
      <c r="F3" s="155" t="n"/>
      <c r="G3" s="155" t="n"/>
      <c r="H3" s="155" t="n"/>
      <c r="I3" s="4" t="n"/>
    </row>
    <row r="4" ht="19.5" customHeight="1" s="238">
      <c r="A4" s="156" t="inlineStr">
        <is>
          <t>Art. 30-31 FDL 47/2022</t>
        </is>
      </c>
      <c r="B4" s="156" t="n"/>
      <c r="C4" s="156" t="n"/>
      <c r="D4" s="156" t="n"/>
      <c r="E4" s="156" t="n"/>
      <c r="F4" s="156" t="n"/>
      <c r="G4" s="156" t="n"/>
      <c r="H4" s="156" t="n"/>
      <c r="I4" s="43" t="n"/>
    </row>
    <row r="5" ht="19.5" customHeight="1" s="238">
      <c r="A5" s="157" t="inlineStr">
        <is>
          <t>Prepared by: Demo Preparer, Chartered Accountant  |  Sample Audit Firm  |  Blank layout</t>
        </is>
      </c>
      <c r="B5" s="157" t="n"/>
      <c r="C5" s="157" t="n"/>
      <c r="D5" s="157" t="n"/>
      <c r="E5" s="157" t="n"/>
      <c r="F5" s="157" t="n"/>
      <c r="G5" s="157" t="n"/>
      <c r="H5" s="157" t="n"/>
      <c r="I5" s="5" t="n"/>
    </row>
    <row r="6" ht="4.5" customHeight="1" s="238">
      <c r="A6" s="2" t="n"/>
      <c r="B6" s="2" t="n"/>
      <c r="C6" s="2" t="n"/>
      <c r="D6" s="2" t="n"/>
      <c r="E6" s="2" t="n"/>
      <c r="F6" s="2" t="n"/>
    </row>
    <row r="7" ht="21.75" customHeight="1" s="238">
      <c r="B7" s="28" t="inlineStr">
        <is>
          <t>Ref</t>
        </is>
      </c>
      <c r="C7" s="28" t="inlineStr">
        <is>
          <t>Description</t>
        </is>
      </c>
      <c r="D7" s="28" t="inlineStr">
        <is>
          <t>AED Amount</t>
        </is>
      </c>
      <c r="E7" s="28" t="inlineStr">
        <is>
          <t>Notes</t>
        </is>
      </c>
    </row>
    <row r="8" ht="21.75" customHeight="1" s="238">
      <c r="B8" s="56" t="inlineStr">
        <is>
          <t>I1</t>
        </is>
      </c>
      <c r="C8" s="239" t="inlineStr">
        <is>
          <t>Interest Income (all sources)</t>
        </is>
      </c>
      <c r="D8" s="285" t="n"/>
      <c r="E8" s="40" t="inlineStr">
        <is>
          <t>Per P&amp;L Sheet 03</t>
        </is>
      </c>
    </row>
    <row r="9" ht="21.75" customHeight="1" s="238">
      <c r="B9" s="52" t="inlineStr">
        <is>
          <t>I2</t>
        </is>
      </c>
      <c r="C9" s="240" t="inlineStr">
        <is>
          <t>Interest Expenditure (all sources)</t>
        </is>
      </c>
      <c r="D9" s="284" t="n"/>
      <c r="E9" s="51" t="inlineStr">
        <is>
          <t>Per P&amp;L Sheet 03</t>
        </is>
      </c>
    </row>
    <row r="10" ht="24" customHeight="1" s="238">
      <c r="B10" s="60" t="n"/>
      <c r="C10" s="250" t="inlineStr">
        <is>
          <t>NET INTEREST EXPENDITURE (NIE)</t>
        </is>
      </c>
      <c r="D10" s="278">
        <f>IFERROR(D9-D8,0)</f>
        <v/>
      </c>
      <c r="E10" s="205" t="inlineStr">
        <is>
          <t>If NIE ≤ 0: no disallowance needed</t>
        </is>
      </c>
    </row>
    <row r="11" ht="21.75" customHeight="1" s="238">
      <c r="B11" s="52" t="inlineStr">
        <is>
          <t>E1</t>
        </is>
      </c>
      <c r="C11" s="240" t="inlineStr">
        <is>
          <t>Accounting Profit (Net Profit before Tax)</t>
        </is>
      </c>
      <c r="D11" s="289">
        <f>'03_INCOME_SCHEDULE'!D23</f>
        <v/>
      </c>
      <c r="E11" s="51" t="inlineStr">
        <is>
          <t>Auto from Sheet 03</t>
        </is>
      </c>
    </row>
    <row r="12" ht="21.75" customHeight="1" s="238">
      <c r="B12" s="56" t="inlineStr">
        <is>
          <t>E2</t>
        </is>
      </c>
      <c r="C12" s="239" t="inlineStr">
        <is>
          <t>Add: Net Interest Expenditure (NIE) — auto from I1</t>
        </is>
      </c>
      <c r="D12" s="276">
        <f>D10</f>
        <v/>
      </c>
      <c r="E12" s="40" t="inlineStr">
        <is>
          <t>Auto from I2</t>
        </is>
      </c>
    </row>
    <row r="13" ht="21.75" customHeight="1" s="238">
      <c r="B13" s="52" t="inlineStr">
        <is>
          <t>E3</t>
        </is>
      </c>
      <c r="C13" s="240" t="inlineStr">
        <is>
          <t>Add: Depreciation &amp; Amortisation</t>
        </is>
      </c>
      <c r="D13" s="289">
        <f>'03_INCOME_SCHEDULE'!D13</f>
        <v/>
      </c>
      <c r="E13" s="51" t="inlineStr">
        <is>
          <t>Auto from Sheet 03</t>
        </is>
      </c>
    </row>
    <row r="14" ht="21.75" customHeight="1" s="238">
      <c r="B14" s="56" t="inlineStr">
        <is>
          <t>E4</t>
        </is>
      </c>
      <c r="C14" s="239" t="inlineStr">
        <is>
          <t>Add: Corporate Tax in P&amp;L (if included)</t>
        </is>
      </c>
      <c r="D14" s="285" t="n"/>
      <c r="E14" s="40" t="inlineStr">
        <is>
          <t>Enter from FS notes</t>
        </is>
      </c>
    </row>
    <row r="15" ht="24" customHeight="1" s="238">
      <c r="B15" s="60" t="n"/>
      <c r="C15" s="250" t="inlineStr">
        <is>
          <t>EBITDA (for 30% cap calculation)</t>
        </is>
      </c>
      <c r="D15" s="278">
        <f>D11+D12+D13+D14</f>
        <v/>
      </c>
      <c r="E15" s="205" t="n"/>
    </row>
    <row r="16" ht="21.75" customHeight="1" s="238">
      <c r="B16" s="56" t="inlineStr">
        <is>
          <t>C1</t>
        </is>
      </c>
      <c r="C16" s="239" t="inlineStr">
        <is>
          <t>30% of EBITDA (Art. 30 annual cap)</t>
        </is>
      </c>
      <c r="D16" s="276">
        <f>'06_INTEREST_CAP'!D15*30%</f>
        <v/>
      </c>
      <c r="E16" s="40" t="inlineStr">
        <is>
          <t>Maximum NIE deductible — Art. 30(1)</t>
        </is>
      </c>
    </row>
    <row r="17" ht="21.75" customHeight="1" s="238">
      <c r="B17" s="52" t="inlineStr">
        <is>
          <t>C2</t>
        </is>
      </c>
      <c r="C17" s="240" t="inlineStr">
        <is>
          <t>AED 12M Safe Harbour (MD 126/2023)</t>
        </is>
      </c>
      <c r="D17" s="289">
        <f>12000000</f>
        <v/>
      </c>
      <c r="E17" s="51" t="n"/>
    </row>
    <row r="18" ht="24" customHeight="1" s="238">
      <c r="B18" s="60" t="n"/>
      <c r="C18" s="250" t="inlineStr">
        <is>
          <t>Applicable Cap (higher of above)</t>
        </is>
      </c>
      <c r="D18" s="278">
        <f>MAX(D16,D17)</f>
        <v/>
      </c>
      <c r="E18" s="205" t="n"/>
    </row>
    <row r="19" ht="24" customHeight="1" s="238">
      <c r="B19" s="60" t="n"/>
      <c r="C19" s="250" t="inlineStr">
        <is>
          <t>Excess NIE Disallowed  →  Sheet 05 B2</t>
        </is>
      </c>
      <c r="D19" s="278">
        <f>MAX('06_INTEREST_CAP'!D10-'06_INTEREST_CAP'!D18,0)</f>
        <v/>
      </c>
      <c r="E19" s="205" t="inlineStr">
        <is>
          <t>Transferred to CT Computation Sheet 05</t>
        </is>
      </c>
    </row>
    <row r="20" ht="21.75" customHeight="1" s="238">
      <c r="B20" s="56" t="inlineStr">
        <is>
          <t>CF1</t>
        </is>
      </c>
      <c r="C20" s="239" t="inlineStr">
        <is>
          <t>NIE Disallowed B/F from Prior Period</t>
        </is>
      </c>
      <c r="D20" s="285" t="n"/>
      <c r="E20" s="40" t="inlineStr">
        <is>
          <t>Prior year working papers</t>
        </is>
      </c>
    </row>
    <row r="21" ht="24" customHeight="1" s="238">
      <c r="B21" s="60" t="n"/>
      <c r="C21" s="250" t="inlineStr">
        <is>
          <t>Total NIE Available</t>
        </is>
      </c>
      <c r="D21" s="278">
        <f>'06_INTEREST_CAP'!D19+D20</f>
        <v/>
      </c>
      <c r="E21" s="205" t="n"/>
    </row>
    <row r="22" ht="24" customHeight="1" s="238">
      <c r="B22" s="60" t="n"/>
      <c r="C22" s="250" t="inlineStr">
        <is>
          <t>NIE Allowed This Period</t>
        </is>
      </c>
      <c r="D22" s="278">
        <f>MIN(D21,'06_INTEREST_CAP'!D18)</f>
        <v/>
      </c>
      <c r="E22" s="205" t="n"/>
    </row>
    <row r="23" ht="24" customHeight="1" s="238">
      <c r="B23" s="60" t="n"/>
      <c r="C23" s="250" t="inlineStr">
        <is>
          <t>NIE C/F to Next Period (10-year limit)</t>
        </is>
      </c>
      <c r="D23" s="278">
        <f>D21-D22</f>
        <v/>
      </c>
      <c r="E23" s="205" t="n"/>
    </row>
  </sheetData>
  <sheetProtection selectLockedCells="0" selectUnlockedCells="0" sheet="1" objects="0" insertRows="1" insertHyperlinks="1" autoFilter="1" scenarios="0" formatColumns="0" deleteColumns="1" insertColumns="1" pivotTables="1" deleteRows="1" formatCells="1" formatRows="1" sort="1" password="89DC"/>
  <pageMargins left="0.4" right="0.4" top="0.65" bottom="0.5" header="0.25" footer="0.25"/>
  <pageSetup orientation="portrait"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K18"/>
  <sheetViews>
    <sheetView showGridLines="0" topLeftCell="A4" zoomScale="80" zoomScaleNormal="100" workbookViewId="0">
      <selection activeCell="D8" sqref="D8"/>
    </sheetView>
  </sheetViews>
  <sheetFormatPr baseColWidth="8" defaultColWidth="8.6328125" defaultRowHeight="14.5"/>
  <cols>
    <col width="2" customWidth="1" style="238" min="1" max="1"/>
    <col width="22" customWidth="1" style="238" min="2" max="2"/>
    <col width="20" customWidth="1" style="238" min="3" max="3"/>
    <col width="18" customWidth="1" style="238" min="4" max="5"/>
    <col width="20" customWidth="1" style="238" min="6" max="7"/>
    <col width="16" customWidth="1" style="238" min="8" max="8"/>
    <col width="18" customWidth="1" style="238" min="9" max="10"/>
  </cols>
  <sheetData>
    <row r="1" ht="4.5" customHeight="1" s="238">
      <c r="A1" s="2" t="n"/>
      <c r="B1" s="2" t="n"/>
      <c r="C1" s="2" t="n"/>
      <c r="D1" s="2" t="n"/>
      <c r="E1" s="2" t="n"/>
      <c r="F1" s="2" t="n"/>
      <c r="G1" s="2" t="n"/>
      <c r="H1" s="2" t="n"/>
      <c r="I1" s="2" t="n"/>
      <c r="J1" s="2" t="n"/>
      <c r="K1" s="2" t="n"/>
    </row>
    <row r="2" ht="39.75" customHeight="1" s="238">
      <c r="A2" s="160" t="inlineStr">
        <is>
          <t>RELATED PARTY TRANSFER PRICING SCHEDULE (ART. 34)</t>
        </is>
      </c>
      <c r="B2" s="160" t="n"/>
      <c r="C2" s="160" t="n"/>
      <c r="D2" s="160" t="n"/>
      <c r="E2" s="160" t="n"/>
      <c r="F2" s="160" t="n"/>
      <c r="G2" s="160" t="n"/>
      <c r="H2" s="160" t="n"/>
      <c r="I2" s="83" t="n"/>
      <c r="J2" s="2" t="n"/>
      <c r="K2" s="2" t="n"/>
    </row>
    <row r="3" ht="31.5" customHeight="1" s="238">
      <c r="A3" s="158" t="inlineStr">
        <is>
          <t>07 — RELATED PARTIES only (Art. 34-35)  |  Disclosure: aggregate &gt; AED 40M  OR  single category &gt; AED 4M  |  NOTE: Connected Persons (Art. 36) → see Sheet 21_CONNECTED_PERSONS (AED 500K threshold)</t>
        </is>
      </c>
      <c r="B3" s="158" t="n"/>
      <c r="C3" s="158" t="n"/>
      <c r="D3" s="158" t="n"/>
      <c r="E3" s="158" t="n"/>
      <c r="F3" s="158" t="n"/>
      <c r="G3" s="158" t="n"/>
      <c r="H3" s="158" t="n"/>
      <c r="I3" s="84" t="n"/>
      <c r="J3" s="2" t="n"/>
      <c r="K3" s="2" t="n"/>
    </row>
    <row r="4" ht="19.5" customHeight="1" s="238">
      <c r="A4" s="159" t="inlineStr">
        <is>
          <t>RELATED PARTY = any person with ≥50% ownership/control, or member of same qualifying group  |  Art. 34-35 FDL 47/2022  |  MD 97/2023  |  OECD TP Guidelines (2022)</t>
        </is>
      </c>
      <c r="B4" s="159" t="n"/>
      <c r="C4" s="159" t="n"/>
      <c r="D4" s="159" t="n"/>
      <c r="E4" s="159" t="n"/>
      <c r="F4" s="159" t="n"/>
      <c r="G4" s="159" t="n"/>
      <c r="H4" s="159" t="n"/>
      <c r="I4" s="85" t="n"/>
      <c r="J4" s="2" t="n"/>
      <c r="K4" s="2" t="n"/>
    </row>
    <row r="5" ht="21.75" customHeight="1" s="238">
      <c r="A5" s="161" t="inlineStr">
        <is>
          <t>⚠  Managerial Remuneration / Salaries / Director Fees are CONNECTED PERSON items (Art. 36) — enter in Sheet 21_CONNECTED_PERSONS (AED 500K threshold per person), NOT here.</t>
        </is>
      </c>
      <c r="B5" s="161" t="n"/>
      <c r="C5" s="161" t="n"/>
      <c r="D5" s="161" t="n"/>
      <c r="E5" s="161" t="n"/>
      <c r="F5" s="161" t="n"/>
      <c r="G5" s="161" t="n"/>
      <c r="H5" s="161" t="n"/>
      <c r="I5" s="86" t="n"/>
      <c r="J5" s="2" t="n"/>
      <c r="K5" s="2" t="n"/>
    </row>
    <row r="6" ht="4.5" customHeight="1" s="238">
      <c r="A6" s="2" t="n"/>
      <c r="B6" s="2" t="n"/>
      <c r="C6" s="2" t="n"/>
      <c r="D6" s="2" t="n"/>
      <c r="E6" s="2" t="n"/>
      <c r="F6" s="2" t="n"/>
      <c r="G6" s="2" t="n"/>
      <c r="H6" s="2" t="n"/>
      <c r="I6" s="2" t="n"/>
      <c r="J6" s="2" t="n"/>
      <c r="K6" s="2" t="n"/>
    </row>
    <row r="7" ht="30" customHeight="1" s="238">
      <c r="B7" s="28" t="inlineStr">
        <is>
          <t>Transaction Category</t>
        </is>
      </c>
      <c r="C7" s="28" t="inlineStr">
        <is>
          <t>Related Party Name</t>
        </is>
      </c>
      <c r="D7" s="28" t="inlineStr">
        <is>
          <t>Value (AED)</t>
        </is>
      </c>
      <c r="E7" s="28" t="inlineStr">
        <is>
          <t>AED 4M Threshold</t>
        </is>
      </c>
      <c r="F7" s="28" t="inlineStr">
        <is>
          <t>Disclosure?</t>
        </is>
      </c>
      <c r="G7" s="28" t="inlineStr">
        <is>
          <t>TP Method</t>
        </is>
      </c>
      <c r="H7" s="87" t="inlineStr">
        <is>
          <t>Tax Residency</t>
        </is>
      </c>
      <c r="I7" s="87" t="inlineStr">
        <is>
          <t>Arm's Length Value (AED)</t>
        </is>
      </c>
      <c r="J7" s="87" t="inlineStr">
        <is>
          <t>Tax Adjustment (AED)</t>
        </is>
      </c>
    </row>
    <row r="8" ht="21.75" customHeight="1" s="238">
      <c r="B8" s="33" t="inlineStr">
        <is>
          <t>Related Party Sales (Goods)</t>
        </is>
      </c>
      <c r="C8" s="295" t="n"/>
      <c r="D8" s="286" t="n"/>
      <c r="E8" s="89" t="n">
        <v>4000000</v>
      </c>
      <c r="F8" s="283">
        <f>IF(D8&gt;E8,"⚠ Disclose","✅ Below Threshold")</f>
        <v/>
      </c>
      <c r="G8" s="295" t="n"/>
      <c r="H8" s="271" t="n"/>
      <c r="I8" s="275" t="n"/>
      <c r="J8" s="276">
        <f>IFERROR(D8-I8,0)</f>
        <v/>
      </c>
    </row>
    <row r="9" ht="21.75" customHeight="1" s="238">
      <c r="B9" s="35" t="inlineStr">
        <is>
          <t>Related Party Purchases (Goods)</t>
        </is>
      </c>
      <c r="C9" s="269" t="n"/>
      <c r="D9" s="275" t="n"/>
      <c r="E9" s="92" t="n">
        <v>4000000</v>
      </c>
      <c r="F9" s="296">
        <f>IF(D9&gt;E9,"⚠ Disclose","✅ Below Threshold")</f>
        <v/>
      </c>
      <c r="G9" s="269" t="n"/>
      <c r="H9" s="271" t="n"/>
      <c r="I9" s="275" t="n"/>
      <c r="J9" s="289">
        <f>IFERROR(D9-I9,0)</f>
        <v/>
      </c>
    </row>
    <row r="10" ht="21.75" customHeight="1" s="238">
      <c r="B10" s="33" t="inlineStr">
        <is>
          <t>Intercompany Services (Received)</t>
        </is>
      </c>
      <c r="C10" s="295" t="n"/>
      <c r="D10" s="286" t="n"/>
      <c r="E10" s="89" t="n">
        <v>4000000</v>
      </c>
      <c r="F10" s="283">
        <f>IF(D10&gt;E10,"⚠ Disclose","✅ Below Threshold")</f>
        <v/>
      </c>
      <c r="G10" s="295" t="n"/>
      <c r="H10" s="271" t="n"/>
      <c r="I10" s="275" t="n"/>
      <c r="J10" s="276">
        <f>IFERROR(D10-I10,0)</f>
        <v/>
      </c>
    </row>
    <row r="11" ht="21.75" customHeight="1" s="238">
      <c r="B11" s="35" t="inlineStr">
        <is>
          <t>Intercompany Services (Provided)</t>
        </is>
      </c>
      <c r="C11" s="269" t="n"/>
      <c r="D11" s="275" t="n"/>
      <c r="E11" s="92" t="n">
        <v>4000000</v>
      </c>
      <c r="F11" s="296">
        <f>IF(D11&gt;E11,"⚠ Disclose","✅ Below Threshold")</f>
        <v/>
      </c>
      <c r="G11" s="269" t="n"/>
      <c r="H11" s="271" t="n"/>
      <c r="I11" s="275" t="n"/>
      <c r="J11" s="289">
        <f>IFERROR(D11-I11,0)</f>
        <v/>
      </c>
    </row>
    <row r="12" ht="21.75" customHeight="1" s="238">
      <c r="B12" s="33" t="inlineStr">
        <is>
          <t>Intercompany Loans (Received)</t>
        </is>
      </c>
      <c r="C12" s="295" t="n"/>
      <c r="D12" s="286" t="n"/>
      <c r="E12" s="89" t="n">
        <v>4000000</v>
      </c>
      <c r="F12" s="283">
        <f>IF(D12&gt;E12,"⚠ Disclose","✅ Below Threshold")</f>
        <v/>
      </c>
      <c r="G12" s="295" t="n"/>
      <c r="H12" s="271" t="n"/>
      <c r="I12" s="275" t="n"/>
      <c r="J12" s="276">
        <f>IFERROR(D12-I12,0)</f>
        <v/>
      </c>
    </row>
    <row r="13" ht="21.75" customHeight="1" s="238">
      <c r="B13" s="35" t="inlineStr">
        <is>
          <t>Intercompany Loans (Given)</t>
        </is>
      </c>
      <c r="C13" s="269" t="n"/>
      <c r="D13" s="275" t="n"/>
      <c r="E13" s="92" t="n">
        <v>4000000</v>
      </c>
      <c r="F13" s="296">
        <f>IF(D13&gt;E13,"⚠ Disclose","✅ Below Threshold")</f>
        <v/>
      </c>
      <c r="G13" s="269" t="n"/>
      <c r="H13" s="271" t="n"/>
      <c r="I13" s="275" t="n"/>
      <c r="J13" s="289">
        <f>IFERROR(D13-I13,0)</f>
        <v/>
      </c>
    </row>
    <row r="14" ht="21.75" customHeight="1" s="238">
      <c r="B14" s="33" t="inlineStr">
        <is>
          <t>Royalties / IP Licensing</t>
        </is>
      </c>
      <c r="C14" s="295" t="n"/>
      <c r="D14" s="286" t="n"/>
      <c r="E14" s="89" t="n">
        <v>4000000</v>
      </c>
      <c r="F14" s="283">
        <f>IF(D14&gt;E14,"⚠ Disclose","✅ Below Threshold")</f>
        <v/>
      </c>
      <c r="G14" s="295" t="n"/>
      <c r="H14" s="271" t="n"/>
      <c r="I14" s="275" t="n"/>
      <c r="J14" s="276">
        <f>IFERROR(D14-I14,0)</f>
        <v/>
      </c>
    </row>
    <row r="15" ht="21.75" customHeight="1" s="238">
      <c r="B15" s="35" t="inlineStr">
        <is>
          <t>Dividend / Profit Distribution</t>
        </is>
      </c>
      <c r="C15" s="269" t="n"/>
      <c r="D15" s="275" t="n"/>
      <c r="E15" s="92" t="n">
        <v>4000000</v>
      </c>
      <c r="F15" s="296">
        <f>IF(D15&gt;E15,"⚠ Disclose","✅ Below Threshold")</f>
        <v/>
      </c>
      <c r="G15" s="269" t="n"/>
      <c r="H15" s="271" t="n"/>
      <c r="I15" s="275" t="n"/>
      <c r="J15" s="289">
        <f>IFERROR(D15-I15,0)</f>
        <v/>
      </c>
    </row>
    <row r="16" ht="21.75" customHeight="1" s="238">
      <c r="B16" s="253" t="inlineStr">
        <is>
          <t>AGGREGATE TOTAL</t>
        </is>
      </c>
      <c r="C16" s="71" t="n"/>
      <c r="D16" s="297">
        <f>SUM(D8:D15)</f>
        <v/>
      </c>
      <c r="F16" s="298">
        <f>IF(D16&gt;40000000,"⚠ AED 40M EXCEEDED — FULL TP DOCS REQUIRED","✅ Below AED 40M Aggregate")</f>
        <v/>
      </c>
    </row>
    <row r="17" ht="31.5" customHeight="1" s="238">
      <c r="B17" s="224" t="inlineStr">
        <is>
          <t>ℹ  IMPORTANT: The above categories are for RELATED PARTY transactions only (Art. 34-35 FDL 47/2022). Do NOT include Connected Person payments (Managerial Remuneration, Director Fees, Salaries, Management Fees, etc.) here. Those are disclosed separately in Sheet 21_CONNECTED_PERSONS under Art. 35 with a separate AED 500,000 threshold per person.</t>
        </is>
      </c>
      <c r="C17" s="263" t="n"/>
      <c r="D17" s="263" t="n"/>
      <c r="E17" s="263" t="n"/>
      <c r="F17" s="263" t="n"/>
      <c r="G17" s="264" t="n"/>
    </row>
    <row r="18" ht="24" customHeight="1" s="238">
      <c r="B18" s="252" t="inlineStr">
        <is>
          <t>TOTAL ARM'S LENGTH ADJUSTMENT (+ = add-back required)</t>
        </is>
      </c>
      <c r="C18" s="71" t="n"/>
      <c r="D18" s="299">
        <f>SUM(J8:J15)</f>
        <v/>
      </c>
    </row>
  </sheetData>
  <sheetProtection selectLockedCells="0" selectUnlockedCells="0" sheet="1" objects="0" insertRows="1" insertHyperlinks="1" autoFilter="1" scenarios="0" formatColumns="0" deleteColumns="1" insertColumns="1" pivotTables="1" deleteRows="1" formatCells="1" formatRows="1" sort="1" password="89DC"/>
  <mergeCells count="3">
    <mergeCell ref="B18:C18"/>
    <mergeCell ref="B16:C16"/>
    <mergeCell ref="B17:G17"/>
  </mergeCells>
  <pageMargins left="0.4" right="0.4" top="0.65" bottom="0.5" header="0.25" footer="0.25"/>
  <pageSetup orientation="landscape"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17"/>
  <sheetViews>
    <sheetView showGridLines="0" topLeftCell="A4" zoomScaleNormal="100" workbookViewId="0">
      <selection activeCell="D16" sqref="D16"/>
    </sheetView>
  </sheetViews>
  <sheetFormatPr baseColWidth="8" defaultColWidth="8.6328125" defaultRowHeight="14.5"/>
  <cols>
    <col width="2" customWidth="1" style="238" min="1" max="1"/>
    <col width="8" customWidth="1" style="238" min="2" max="2"/>
    <col width="48" customWidth="1" style="238" min="3" max="3"/>
    <col width="22" customWidth="1" style="238" min="4" max="5"/>
    <col width="2" customWidth="1" style="238" min="6" max="6"/>
  </cols>
  <sheetData>
    <row r="1" ht="4.5" customHeight="1" s="238">
      <c r="A1" s="2" t="n"/>
      <c r="B1" s="2" t="n"/>
      <c r="C1" s="2" t="n"/>
      <c r="D1" s="2" t="n"/>
      <c r="E1" s="2" t="n"/>
      <c r="F1" s="2" t="n"/>
    </row>
    <row r="2" ht="39.75" customHeight="1" s="238">
      <c r="A2" s="154" t="inlineStr">
        <is>
          <t>TAX LOSS UTILISATION (ART. 37-39)</t>
        </is>
      </c>
      <c r="B2" s="154" t="n"/>
      <c r="C2" s="154" t="n"/>
      <c r="D2" s="154" t="n"/>
      <c r="E2" s="154" t="n"/>
      <c r="F2" s="154" t="n"/>
      <c r="G2" s="154" t="n"/>
      <c r="H2" s="154" t="n"/>
    </row>
    <row r="3" ht="25.5" customHeight="1" s="238">
      <c r="A3" s="155" t="inlineStr">
        <is>
          <t>08 — Carry forward indefinitely  |  75% of taxable income cap per year</t>
        </is>
      </c>
      <c r="B3" s="155" t="n"/>
      <c r="C3" s="155" t="n"/>
      <c r="D3" s="155" t="n"/>
      <c r="E3" s="155" t="n"/>
      <c r="F3" s="155" t="n"/>
      <c r="G3" s="155" t="n"/>
      <c r="H3" s="155" t="n"/>
    </row>
    <row r="4" ht="19.5" customHeight="1" s="238">
      <c r="A4" s="156" t="inlineStr">
        <is>
          <t>No time limit on carry-forward  |  Group transfer permitted (Art. 42)</t>
        </is>
      </c>
      <c r="B4" s="156" t="n"/>
      <c r="C4" s="156" t="n"/>
      <c r="D4" s="156" t="n"/>
      <c r="E4" s="156" t="n"/>
      <c r="F4" s="156" t="n"/>
      <c r="G4" s="156" t="n"/>
      <c r="H4" s="156" t="n"/>
    </row>
    <row r="5" ht="19.5" customHeight="1" s="238">
      <c r="A5" s="157" t="inlineStr">
        <is>
          <t>Prepared by: Demo Preparer, Chartered Accountant  |  Sample Audit Firm  |  Blank layout</t>
        </is>
      </c>
      <c r="B5" s="157" t="n"/>
      <c r="C5" s="157" t="n"/>
      <c r="D5" s="157" t="n"/>
      <c r="E5" s="157" t="n"/>
      <c r="F5" s="157" t="n"/>
      <c r="G5" s="157" t="n"/>
      <c r="H5" s="157" t="n"/>
    </row>
    <row r="6" ht="4.5" customHeight="1" s="238">
      <c r="A6" s="2" t="n"/>
      <c r="B6" s="2" t="n"/>
      <c r="C6" s="2" t="n"/>
      <c r="D6" s="2" t="n"/>
      <c r="E6" s="2" t="n"/>
      <c r="F6" s="2" t="n"/>
    </row>
    <row r="7" ht="21.75" customHeight="1" s="238">
      <c r="B7" s="28" t="inlineStr">
        <is>
          <t>Ref</t>
        </is>
      </c>
      <c r="C7" s="28" t="inlineStr">
        <is>
          <t>Description</t>
        </is>
      </c>
      <c r="D7" s="28" t="inlineStr">
        <is>
          <t>AED Amount</t>
        </is>
      </c>
      <c r="E7" s="28" t="inlineStr">
        <is>
          <t>Notes</t>
        </is>
      </c>
    </row>
    <row r="8" ht="21.75" customHeight="1" s="238">
      <c r="B8" s="56" t="inlineStr">
        <is>
          <t>L1</t>
        </is>
      </c>
      <c r="C8" s="239" t="inlineStr">
        <is>
          <t>Tax Losses B/F — Opening Balance</t>
        </is>
      </c>
      <c r="D8" s="285" t="n"/>
      <c r="E8" s="40" t="inlineStr">
        <is>
          <t>Per prior year CT return</t>
        </is>
      </c>
    </row>
    <row r="9" ht="21.75" customHeight="1" s="238">
      <c r="B9" s="52" t="inlineStr">
        <is>
          <t>L2</t>
        </is>
      </c>
      <c r="C9" s="240" t="inlineStr">
        <is>
          <t>Losses Generated This Period (if TI &lt; 0)</t>
        </is>
      </c>
      <c r="D9" s="284" t="n"/>
      <c r="E9" s="51" t="inlineStr">
        <is>
          <t>Only if taxable income is negative</t>
        </is>
      </c>
    </row>
    <row r="10" ht="21.75" customHeight="1" s="238">
      <c r="B10" s="56" t="inlineStr">
        <is>
          <t>L3</t>
        </is>
      </c>
      <c r="C10" s="239" t="inlineStr">
        <is>
          <t>Losses Received from Group (Art. 42)</t>
        </is>
      </c>
      <c r="D10" s="285" t="n"/>
      <c r="E10" s="40" t="inlineStr">
        <is>
          <t>Qualifying / Tax Group only</t>
        </is>
      </c>
    </row>
    <row r="11" ht="24" customHeight="1" s="238">
      <c r="B11" s="60" t="n"/>
      <c r="C11" s="250" t="inlineStr">
        <is>
          <t>TOTAL TAX LOSSES AVAILABLE</t>
        </is>
      </c>
      <c r="D11" s="278">
        <f>D8+D9+D10</f>
        <v/>
      </c>
      <c r="E11" s="205" t="n"/>
    </row>
    <row r="12" ht="21.75" customHeight="1" s="238">
      <c r="B12" s="56" t="inlineStr">
        <is>
          <t>L4</t>
        </is>
      </c>
      <c r="C12" s="239" t="inlineStr">
        <is>
          <t>Less: Losses Transferred Out</t>
        </is>
      </c>
      <c r="D12" s="285" t="n"/>
      <c r="E12" s="40" t="inlineStr">
        <is>
          <t>Art. 26/42</t>
        </is>
      </c>
    </row>
    <row r="13" ht="24" customHeight="1" s="238">
      <c r="B13" s="60" t="n"/>
      <c r="C13" s="250" t="inlineStr">
        <is>
          <t>Losses Available for Use</t>
        </is>
      </c>
      <c r="D13" s="278">
        <f>D11-D12</f>
        <v/>
      </c>
      <c r="E13" s="205" t="n"/>
    </row>
    <row r="14" ht="21.75" customHeight="1" s="238">
      <c r="B14" s="56" t="inlineStr">
        <is>
          <t>C1</t>
        </is>
      </c>
      <c r="C14" s="239" t="inlineStr">
        <is>
          <t>Taxable Income Before Losses (Sheet 05)</t>
        </is>
      </c>
      <c r="D14" s="276">
        <f>'05_CT_COMPUTATION'!H42</f>
        <v/>
      </c>
      <c r="E14" s="40" t="inlineStr">
        <is>
          <t>Auto-linked from CT Computation</t>
        </is>
      </c>
    </row>
    <row r="15" ht="24" customHeight="1" s="238">
      <c r="B15" s="60" t="inlineStr">
        <is>
          <t>C2</t>
        </is>
      </c>
      <c r="C15" s="250" t="inlineStr">
        <is>
          <t>75% Utilisation Cap (Art. 37(3))</t>
        </is>
      </c>
      <c r="D15" s="278">
        <f>MAX('05_CT_COMPUTATION'!H42*75%,0)</f>
        <v/>
      </c>
      <c r="E15" s="205" t="n"/>
    </row>
    <row r="16" ht="24" customHeight="1" s="238">
      <c r="B16" s="60" t="n"/>
      <c r="C16" s="250" t="inlineStr">
        <is>
          <t>TAX LOSSES UTILISED (75% cap)</t>
        </is>
      </c>
      <c r="D16" s="278">
        <f>MIN(D15,D13)</f>
        <v/>
      </c>
      <c r="E16" s="205" t="n"/>
    </row>
    <row r="17" ht="24" customHeight="1" s="238">
      <c r="B17" s="60" t="n"/>
      <c r="C17" s="250" t="inlineStr">
        <is>
          <t>TAX LOSSES CARRIED FORWARD</t>
        </is>
      </c>
      <c r="D17" s="278">
        <f>D13-D16</f>
        <v/>
      </c>
      <c r="E17" s="205" t="n"/>
    </row>
  </sheetData>
  <sheetProtection selectLockedCells="0" selectUnlockedCells="0" sheet="1" objects="0" insertRows="1" insertHyperlinks="1" autoFilter="1" scenarios="0" formatColumns="0" deleteColumns="1" insertColumns="1" pivotTables="1" deleteRows="1" formatCells="1" formatRows="1" sort="1" password="89DC"/>
  <pageMargins left="0.4" right="0.4" top="0.65" bottom="0.5" header="0.25" footer="0.25"/>
  <pageSetup orientation="portrait"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17"/>
  <sheetViews>
    <sheetView showGridLines="0" topLeftCell="A8" zoomScaleNormal="100" workbookViewId="0">
      <selection activeCell="D18" sqref="D18"/>
    </sheetView>
  </sheetViews>
  <sheetFormatPr baseColWidth="8" defaultColWidth="8.6328125" defaultRowHeight="14.5"/>
  <cols>
    <col width="2" customWidth="1" style="238" min="1" max="1"/>
    <col width="8" customWidth="1" style="238" min="2" max="2"/>
    <col width="48" customWidth="1" style="238" min="3" max="3"/>
    <col width="22" customWidth="1" style="238" min="4" max="5"/>
    <col width="2" customWidth="1" style="238" min="6" max="6"/>
  </cols>
  <sheetData>
    <row r="1" ht="4.5" customHeight="1" s="238">
      <c r="A1" s="2" t="n"/>
      <c r="B1" s="2" t="n"/>
      <c r="C1" s="2" t="n"/>
      <c r="D1" s="2" t="n"/>
      <c r="E1" s="2" t="n"/>
      <c r="F1" s="2" t="n"/>
    </row>
    <row r="2" ht="39.75" customHeight="1" s="238">
      <c r="A2" s="154" t="inlineStr">
        <is>
          <t>FINAL TAX LIABILITY, CREDITS &amp; PAYMENT</t>
        </is>
      </c>
      <c r="B2" s="154" t="n"/>
      <c r="C2" s="154" t="n"/>
      <c r="D2" s="154" t="n"/>
      <c r="E2" s="154" t="n"/>
      <c r="F2" s="154" t="n"/>
      <c r="G2" s="154" t="n"/>
      <c r="H2" s="154" t="n"/>
    </row>
    <row r="3" ht="25.5" customHeight="1" s="238">
      <c r="A3" s="155" t="inlineStr">
        <is>
          <t>09 — Art. 46-47 FDL 47/2022  |  FTC: lesser-of test applies</t>
        </is>
      </c>
      <c r="B3" s="155" t="n"/>
      <c r="C3" s="155" t="n"/>
      <c r="D3" s="155" t="n"/>
      <c r="E3" s="155" t="n"/>
      <c r="F3" s="155" t="n"/>
      <c r="G3" s="155" t="n"/>
      <c r="H3" s="155" t="n"/>
    </row>
    <row r="4" ht="19.5" customHeight="1" s="238">
      <c r="A4" s="156" t="inlineStr">
        <is>
          <t>Return due 9 months from period end  |  CT payable by return due date</t>
        </is>
      </c>
      <c r="B4" s="156" t="n"/>
      <c r="C4" s="156" t="n"/>
      <c r="D4" s="156" t="n"/>
      <c r="E4" s="156" t="n"/>
      <c r="F4" s="156" t="n"/>
      <c r="G4" s="156" t="n"/>
      <c r="H4" s="156" t="n"/>
    </row>
    <row r="5" ht="19.5" customHeight="1" s="238">
      <c r="A5" s="157" t="inlineStr">
        <is>
          <t>Prepared by: Demo Preparer, Chartered Accountant  |  Sample Audit Firm  |  Blank layout</t>
        </is>
      </c>
      <c r="B5" s="157" t="n"/>
      <c r="C5" s="157" t="n"/>
      <c r="D5" s="157" t="n"/>
      <c r="E5" s="157" t="n"/>
      <c r="F5" s="157" t="n"/>
      <c r="G5" s="157" t="n"/>
      <c r="H5" s="157" t="n"/>
    </row>
    <row r="6" ht="4.5" customHeight="1" s="238">
      <c r="A6" s="2" t="n"/>
      <c r="B6" s="2" t="n"/>
      <c r="C6" s="2" t="n"/>
      <c r="D6" s="2" t="n"/>
      <c r="E6" s="2" t="n"/>
      <c r="F6" s="2" t="n"/>
    </row>
    <row r="7" ht="21.75" customHeight="1" s="238">
      <c r="B7" s="28" t="inlineStr">
        <is>
          <t>Ref</t>
        </is>
      </c>
      <c r="C7" s="28" t="inlineStr">
        <is>
          <t>Description</t>
        </is>
      </c>
      <c r="D7" s="28" t="inlineStr">
        <is>
          <t>AED Amount</t>
        </is>
      </c>
      <c r="E7" s="28" t="inlineStr">
        <is>
          <t>Notes</t>
        </is>
      </c>
    </row>
    <row r="8" ht="21.75" customHeight="1" s="238">
      <c r="B8" s="56" t="inlineStr">
        <is>
          <t>T1</t>
        </is>
      </c>
      <c r="C8" s="239" t="inlineStr">
        <is>
          <t>Gross CT Liability</t>
        </is>
      </c>
      <c r="D8" s="276">
        <f>'05_CT_COMPUTATION'!H54</f>
        <v/>
      </c>
      <c r="E8" s="40" t="inlineStr">
        <is>
          <t>Auto from CT Computation Sheet 05</t>
        </is>
      </c>
    </row>
    <row r="9" ht="21.75" customHeight="1" s="238">
      <c r="B9" s="52" t="inlineStr">
        <is>
          <t>CR1</t>
        </is>
      </c>
      <c r="C9" s="240" t="inlineStr">
        <is>
          <t>Withholding Tax Credit (Art. 46)</t>
        </is>
      </c>
      <c r="D9" s="284" t="n"/>
      <c r="E9" s="51" t="inlineStr">
        <is>
          <t>WHT suffered on UAE-source income</t>
        </is>
      </c>
    </row>
    <row r="10" ht="21.75" customHeight="1" s="238">
      <c r="B10" s="56" t="inlineStr">
        <is>
          <t>CR2</t>
        </is>
      </c>
      <c r="C10" s="239" t="inlineStr">
        <is>
          <t>Foreign Tax Credit (Art. 47)</t>
        </is>
      </c>
      <c r="D10" s="285" t="n"/>
      <c r="E10" s="40" t="inlineStr">
        <is>
          <t>Lesser of: FTC suffered OR UAE CT attributable to same income</t>
        </is>
      </c>
    </row>
    <row r="11" ht="21.75" customHeight="1" s="238">
      <c r="B11" s="52" t="inlineStr">
        <is>
          <t>CR3</t>
        </is>
      </c>
      <c r="C11" s="240" t="inlineStr">
        <is>
          <t>CT Paid (advance / provisional)</t>
        </is>
      </c>
      <c r="D11" s="284" t="n"/>
      <c r="E11" s="51" t="inlineStr">
        <is>
          <t>Per EmaraTax payment records</t>
        </is>
      </c>
    </row>
    <row r="12" ht="24" customHeight="1" s="238">
      <c r="B12" s="60" t="n"/>
      <c r="C12" s="250" t="inlineStr">
        <is>
          <t>TOTAL CREDITS</t>
        </is>
      </c>
      <c r="D12" s="278">
        <f>SUM(D9:D11)</f>
        <v/>
      </c>
      <c r="E12" s="205" t="n"/>
    </row>
    <row r="13" ht="27.75" customHeight="1" s="238">
      <c r="B13" s="108" t="n"/>
      <c r="C13" s="109" t="inlineStr">
        <is>
          <t>NET CT PAYABLE / (REFUND)</t>
        </is>
      </c>
      <c r="D13" s="300">
        <f>MAX('09_TAX_LIABILITY'!D8-'09_TAX_LIABILITY'!D12,0)</f>
        <v/>
      </c>
      <c r="E13" s="111" t="n"/>
    </row>
    <row r="14" ht="21.75" customHeight="1" s="238">
      <c r="B14" s="56" t="n"/>
      <c r="C14" s="239" t="inlineStr">
        <is>
          <t>REFUND DUE</t>
        </is>
      </c>
      <c r="D14" s="276">
        <f>MAX('09_TAX_LIABILITY'!D12-'09_TAX_LIABILITY'!D8,0)</f>
        <v/>
      </c>
      <c r="E14" s="40" t="inlineStr">
        <is>
          <t>Art. 46(4)</t>
        </is>
      </c>
    </row>
    <row r="15" ht="21.75" customHeight="1" s="238">
      <c r="B15" s="52" t="inlineStr">
        <is>
          <t>P1</t>
        </is>
      </c>
      <c r="C15" s="240" t="inlineStr">
        <is>
          <t>Return Due Date</t>
        </is>
      </c>
      <c r="D15" s="289">
        <f>'01_CLIENT_INFO'!C10</f>
        <v/>
      </c>
      <c r="E15" s="51" t="inlineStr">
        <is>
          <t>9 months from period end (Art. 53)</t>
        </is>
      </c>
    </row>
    <row r="16" ht="21.75" customHeight="1" s="238">
      <c r="B16" s="56" t="inlineStr">
        <is>
          <t>P2</t>
        </is>
      </c>
      <c r="C16" s="239" t="inlineStr">
        <is>
          <t>Actual Filing Date</t>
        </is>
      </c>
      <c r="D16" s="285" t="n"/>
      <c r="E16" s="40" t="inlineStr">
        <is>
          <t>Enter actual date filed</t>
        </is>
      </c>
    </row>
    <row r="17" ht="21.75" customHeight="1" s="238">
      <c r="B17" s="52" t="n"/>
      <c r="C17" s="240" t="inlineStr">
        <is>
          <t>Late Filing Risk</t>
        </is>
      </c>
      <c r="D17" s="289">
        <f>IF(D16&gt;D15,"⚠ LATE — PENALTY RISK","✅ ON TIME")</f>
        <v/>
      </c>
      <c r="E17" s="51" t="inlineStr">
        <is>
          <t>CD 75/2023 as amended — AED 500 per month (or part) for first 12 months; AED 1,000 per month from month 13</t>
        </is>
      </c>
    </row>
  </sheetData>
  <sheetProtection selectLockedCells="0" selectUnlockedCells="0" sheet="1" objects="0" insertRows="1" insertHyperlinks="1" autoFilter="1" scenarios="0" formatColumns="0" deleteColumns="1" insertColumns="1" pivotTables="1" deleteRows="1" formatCells="1" formatRows="1" sort="1" password="89DC"/>
  <pageMargins left="0.4" right="0.4" top="0.65" bottom="0.5" header="0.25" footer="0.25"/>
  <pageSetup orientation="portrait"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H41"/>
  <sheetViews>
    <sheetView showGridLines="0" zoomScaleNormal="100" workbookViewId="0">
      <selection activeCell="C2" sqref="C2"/>
    </sheetView>
  </sheetViews>
  <sheetFormatPr baseColWidth="8" defaultColWidth="8.6328125" defaultRowHeight="14.5"/>
  <cols>
    <col width="2" customWidth="1" style="238" min="1" max="1"/>
    <col width="6" customWidth="1" style="238" min="2" max="2"/>
    <col width="58" customWidth="1" style="238" min="3" max="3"/>
    <col width="22" customWidth="1" style="238" min="4" max="5"/>
    <col width="2" customWidth="1" style="238" min="6" max="6"/>
  </cols>
  <sheetData>
    <row r="1" ht="4.5" customHeight="1" s="238">
      <c r="A1" s="2" t="n"/>
      <c r="B1" s="2" t="n"/>
      <c r="C1" s="2" t="n"/>
      <c r="D1" s="2" t="n"/>
      <c r="E1" s="2" t="n"/>
      <c r="F1" s="2" t="n"/>
    </row>
    <row r="2" ht="39.75" customHeight="1" s="238">
      <c r="A2" s="154" t="inlineStr">
        <is>
          <t>FREE ZONE / QFZP QUALIFYING INCOME</t>
        </is>
      </c>
      <c r="B2" s="154" t="n"/>
      <c r="C2" s="154" t="n"/>
      <c r="D2" s="154" t="n"/>
      <c r="E2" s="154" t="n"/>
      <c r="F2" s="154" t="n"/>
      <c r="G2" s="154" t="n"/>
      <c r="H2" s="154" t="n"/>
    </row>
    <row r="3" ht="25.5" customHeight="1" s="238">
      <c r="A3" s="155" t="inlineStr">
        <is>
          <t>10 — Art. 18 &amp; CD 100/2023 (qualifying income) &amp; MD 229/2025 (activities)  |  0% Qualifying Income  |  9% Non-Qualifying</t>
        </is>
      </c>
      <c r="B3" s="155" t="n"/>
      <c r="C3" s="155" t="n"/>
      <c r="D3" s="155" t="n"/>
      <c r="E3" s="155" t="n"/>
      <c r="F3" s="155" t="n"/>
      <c r="G3" s="155" t="n"/>
      <c r="H3" s="155" t="n"/>
    </row>
    <row r="4" ht="19.5" customHeight="1" s="238">
      <c r="A4" s="156" t="inlineStr">
        <is>
          <t>De Minimis: Non-qualifying revenue ≤ LOWER of AED 5M OR 5% of total revenue</t>
        </is>
      </c>
      <c r="B4" s="156" t="n"/>
      <c r="C4" s="156" t="n"/>
      <c r="D4" s="156" t="n"/>
      <c r="E4" s="156" t="n"/>
      <c r="F4" s="156" t="n"/>
      <c r="G4" s="156" t="n"/>
      <c r="H4" s="156" t="n"/>
    </row>
    <row r="5" ht="19.5" customHeight="1" s="238">
      <c r="A5" s="157" t="inlineStr">
        <is>
          <t>Prepared by: Demo Preparer, Chartered Accountant  |  Sample Audit Firm  |  Blank layout</t>
        </is>
      </c>
      <c r="B5" s="157" t="n"/>
      <c r="C5" s="157" t="n"/>
      <c r="D5" s="157" t="n"/>
      <c r="E5" s="157" t="n"/>
      <c r="F5" s="157" t="n"/>
      <c r="G5" s="157" t="n"/>
      <c r="H5" s="157" t="n"/>
    </row>
    <row r="6" ht="4.5" customHeight="1" s="238">
      <c r="A6" s="2" t="n"/>
      <c r="B6" s="2" t="n"/>
      <c r="C6" s="2" t="n"/>
      <c r="D6" s="2" t="n"/>
      <c r="E6" s="2" t="n"/>
      <c r="F6" s="2" t="n"/>
    </row>
    <row r="7" ht="21.75" customHeight="1" s="238">
      <c r="B7" s="28" t="inlineStr">
        <is>
          <t>Ref</t>
        </is>
      </c>
      <c r="C7" s="28" t="inlineStr">
        <is>
          <t>Description</t>
        </is>
      </c>
      <c r="D7" s="28" t="inlineStr">
        <is>
          <t>AED Amount</t>
        </is>
      </c>
      <c r="E7" s="28" t="inlineStr">
        <is>
          <t>Notes</t>
        </is>
      </c>
    </row>
    <row r="8" ht="21.75" customHeight="1" s="238">
      <c r="B8" s="56" t="inlineStr">
        <is>
          <t>Q1</t>
        </is>
      </c>
      <c r="C8" s="239" t="inlineStr">
        <is>
          <t>Total Revenue</t>
        </is>
      </c>
      <c r="D8" s="285" t="n"/>
      <c r="E8" s="40" t="inlineStr">
        <is>
          <t>Per P&amp;L Sheet 03</t>
        </is>
      </c>
    </row>
    <row r="9" ht="21.75" customHeight="1" s="238">
      <c r="B9" s="52" t="inlineStr">
        <is>
          <t>Q2</t>
        </is>
      </c>
      <c r="C9" s="240" t="inlineStr">
        <is>
          <t>Qualifying Income (0% rate)</t>
        </is>
      </c>
      <c r="D9" s="284" t="n"/>
      <c r="E9" s="51" t="inlineStr">
        <is>
          <t>MD 229/2025 qualifying activities (replaces MD 265/2023)</t>
        </is>
      </c>
    </row>
    <row r="10" ht="24" customHeight="1" s="238">
      <c r="B10" s="60" t="n"/>
      <c r="C10" s="250" t="inlineStr">
        <is>
          <t>Non-Qualifying Revenue</t>
        </is>
      </c>
      <c r="D10" s="278">
        <f>IFERROR(D8-D9,0)</f>
        <v/>
      </c>
      <c r="E10" s="205" t="n"/>
    </row>
    <row r="11" ht="21.75" customHeight="1" s="238">
      <c r="B11" s="52" t="inlineStr">
        <is>
          <t>DM1</t>
        </is>
      </c>
      <c r="C11" s="240" t="inlineStr">
        <is>
          <t>De Minimis Threshold 1: AED 5,000,000</t>
        </is>
      </c>
      <c r="D11" s="289">
        <f>5000000</f>
        <v/>
      </c>
      <c r="E11" s="51" t="inlineStr">
        <is>
          <t>Art. 18(3)</t>
        </is>
      </c>
    </row>
    <row r="12" ht="21.75" customHeight="1" s="238">
      <c r="B12" s="56" t="inlineStr">
        <is>
          <t>DM2</t>
        </is>
      </c>
      <c r="C12" s="239" t="inlineStr">
        <is>
          <t>De Minimis Threshold 2: 5% of Revenue</t>
        </is>
      </c>
      <c r="D12" s="276">
        <f>IFERROR(D8*5%,0)</f>
        <v/>
      </c>
      <c r="E12" s="40" t="inlineStr">
        <is>
          <t>Art. 18(3)</t>
        </is>
      </c>
    </row>
    <row r="13" ht="24" customHeight="1" s="238">
      <c r="B13" s="60" t="n"/>
      <c r="C13" s="250" t="inlineStr">
        <is>
          <t>Applicable De Minimis (lower)</t>
        </is>
      </c>
      <c r="D13" s="278">
        <f>MIN(D11,D12)</f>
        <v/>
      </c>
      <c r="E13" s="205" t="n"/>
    </row>
    <row r="14" ht="24" customHeight="1" s="238">
      <c r="B14" s="60" t="n"/>
      <c r="C14" s="250" t="inlineStr">
        <is>
          <t>De Minimis Test</t>
        </is>
      </c>
      <c r="D14" s="278">
        <f>IF(D10&lt;=D13,"✅ PASS — QFZP maintained","❌ FAIL — QFZP status lost for this and the next 4 tax periods; ALL income taxed at 9%")</f>
        <v/>
      </c>
      <c r="E14" s="205" t="n"/>
    </row>
    <row r="15" ht="21.75" customHeight="1" s="238">
      <c r="B15" s="52" t="inlineStr">
        <is>
          <t>T1</t>
        </is>
      </c>
      <c r="C15" s="240" t="inlineStr">
        <is>
          <t>CT on Qualifying Income (0%)</t>
        </is>
      </c>
      <c r="D15" s="289">
        <f>D9*0%</f>
        <v/>
      </c>
      <c r="E15" s="51" t="n"/>
    </row>
    <row r="16" ht="21.75" customHeight="1" s="238">
      <c r="B16" s="56" t="inlineStr">
        <is>
          <t>T2</t>
        </is>
      </c>
      <c r="C16" s="239" t="inlineStr">
        <is>
          <t>CT on Non-Qualifying Income (9%)</t>
        </is>
      </c>
      <c r="D16" s="276">
        <f>IFERROR(D10*9%,0)</f>
        <v/>
      </c>
      <c r="E16" s="40" t="n"/>
    </row>
    <row r="17" ht="24" customHeight="1" s="238">
      <c r="B17" s="60" t="n"/>
      <c r="C17" s="250" t="inlineStr">
        <is>
          <t>TOTAL CT — QFZP Entity</t>
        </is>
      </c>
      <c r="D17" s="278">
        <f>D15+D16</f>
        <v/>
      </c>
      <c r="E17" s="205" t="n"/>
    </row>
    <row r="18"/>
    <row r="19" ht="21.75" customHeight="1" s="238">
      <c r="A19" s="2" t="n"/>
      <c r="B19" s="213" t="inlineStr">
        <is>
          <t xml:space="preserve">  FTA CT RETURN SCHEDULE — FREE ZONE ADDITIONAL DISCLOSURES</t>
        </is>
      </c>
    </row>
    <row r="20" ht="21.75" customHeight="1" s="238">
      <c r="B20" s="28" t="inlineStr">
        <is>
          <t>#</t>
        </is>
      </c>
      <c r="C20" s="28" t="inlineStr">
        <is>
          <t>Question / Disclosure Item</t>
        </is>
      </c>
      <c r="D20" s="28" t="inlineStr">
        <is>
          <t>Answer / Amount</t>
        </is>
      </c>
      <c r="E20" s="28" t="inlineStr">
        <is>
          <t>Notes</t>
        </is>
      </c>
    </row>
    <row r="21" ht="25.5" customHeight="1" s="238">
      <c r="B21" s="67" t="inlineStr">
        <is>
          <t>FZ1</t>
        </is>
      </c>
      <c r="C21" s="255" t="inlineStr">
        <is>
          <t>Are all employees located in a free zone?</t>
        </is>
      </c>
      <c r="D21" s="301" t="inlineStr">
        <is>
          <t>Yes / No</t>
        </is>
      </c>
      <c r="E21" s="40" t="inlineStr">
        <is>
          <t>CD 100/2023</t>
        </is>
      </c>
    </row>
    <row r="22" ht="25.5" customHeight="1" s="238">
      <c r="B22" s="67" t="inlineStr">
        <is>
          <t>FZ2</t>
        </is>
      </c>
      <c r="C22" s="254" t="inlineStr">
        <is>
          <t>Total average number of full-time employees in the free zone</t>
        </is>
      </c>
      <c r="D22" s="302" t="n"/>
      <c r="E22" s="51" t="inlineStr">
        <is>
          <t>CD 100/2023 — Adequate substance</t>
        </is>
      </c>
    </row>
    <row r="23" ht="25.5" customHeight="1" s="238">
      <c r="B23" s="67" t="inlineStr">
        <is>
          <t>FZ3</t>
        </is>
      </c>
      <c r="C23" s="255" t="inlineStr">
        <is>
          <t>Total operating expenditure incurred in deriving qualifying income (AED)</t>
        </is>
      </c>
      <c r="D23" s="302" t="n"/>
      <c r="E23" s="40" t="inlineStr">
        <is>
          <t>CD 100/2023 — Substance test</t>
        </is>
      </c>
    </row>
    <row r="24" ht="25.5" customHeight="1" s="238">
      <c r="B24" s="67" t="inlineStr">
        <is>
          <t>FZ4</t>
        </is>
      </c>
      <c r="C24" s="254" t="inlineStr">
        <is>
          <t>Total capital expenditure incurred in deriving qualifying income (AED)</t>
        </is>
      </c>
      <c r="D24" s="302" t="n"/>
      <c r="E24" s="51" t="inlineStr">
        <is>
          <t>CD 100/2023 — Substance test</t>
        </is>
      </c>
    </row>
    <row r="25" ht="25.5" customHeight="1" s="238">
      <c r="B25" s="67" t="inlineStr">
        <is>
          <t>FZ5</t>
        </is>
      </c>
      <c r="C25" s="255" t="inlineStr">
        <is>
          <t>Have any core income-generating activities been outsourced to an outsourcing provider?</t>
        </is>
      </c>
      <c r="D25" s="301" t="inlineStr">
        <is>
          <t>Yes / No</t>
        </is>
      </c>
      <c r="E25" s="40" t="inlineStr">
        <is>
          <t>CD 100/2023 — outsourcing / core income-generating activities</t>
        </is>
      </c>
    </row>
    <row r="26" ht="25.5" customHeight="1" s="238">
      <c r="B26" s="67" t="inlineStr">
        <is>
          <t>FZ6</t>
        </is>
      </c>
      <c r="C26" s="254" t="inlineStr">
        <is>
          <t>Total revenue per financial statement (AED)</t>
        </is>
      </c>
      <c r="D26" s="302" t="n"/>
      <c r="E26" s="303">
        <f>'03_INCOME_SCHEDULE'!D9</f>
        <v/>
      </c>
    </row>
    <row r="27" ht="25.5" customHeight="1" s="238">
      <c r="B27" s="67" t="inlineStr">
        <is>
          <t>FZ7</t>
        </is>
      </c>
      <c r="C27" s="255" t="inlineStr">
        <is>
          <t>Does the free zone person have a domestic or foreign permanent establishment?</t>
        </is>
      </c>
      <c r="D27" s="301" t="inlineStr">
        <is>
          <t>Yes / No</t>
        </is>
      </c>
      <c r="E27" s="40" t="inlineStr">
        <is>
          <t>Art. 14 FDL 47/2022</t>
        </is>
      </c>
    </row>
    <row r="28" ht="25.5" customHeight="1" s="238">
      <c r="B28" s="67" t="inlineStr">
        <is>
          <t>FZ8</t>
        </is>
      </c>
      <c r="C28" s="254" t="inlineStr">
        <is>
          <t>Does the FZP derive revenue from transactions with non-free zone persons in respect of commercial property in a free zone?</t>
        </is>
      </c>
      <c r="D28" s="301" t="inlineStr">
        <is>
          <t>Yes / No</t>
        </is>
      </c>
      <c r="E28" s="51" t="inlineStr">
        <is>
          <t>MD 229/2025 excluded activities</t>
        </is>
      </c>
    </row>
    <row r="29" ht="25.5" customHeight="1" s="238">
      <c r="B29" s="67" t="inlineStr">
        <is>
          <t>FZ9</t>
        </is>
      </c>
      <c r="C29" s="255" t="inlineStr">
        <is>
          <t>Does the FZP derive revenue from immovable property in a free zone that is NOT commercial property?</t>
        </is>
      </c>
      <c r="D29" s="301" t="inlineStr">
        <is>
          <t>Yes / No</t>
        </is>
      </c>
      <c r="E29" s="40" t="inlineStr">
        <is>
          <t>MD 229/2025 excluded activities</t>
        </is>
      </c>
    </row>
    <row r="30" ht="25.5" customHeight="1" s="238">
      <c r="B30" s="67" t="inlineStr">
        <is>
          <t>FZ10</t>
        </is>
      </c>
      <c r="C30" s="254" t="inlineStr">
        <is>
          <t>Does the FZP derive revenue from ownership or exploitation of intellectual property?</t>
        </is>
      </c>
      <c r="D30" s="301" t="inlineStr">
        <is>
          <t>Yes / No</t>
        </is>
      </c>
      <c r="E30" s="51" t="inlineStr">
        <is>
          <t>CD 100/2023 — Qualifying IP</t>
        </is>
      </c>
    </row>
    <row r="31" ht="25.5" customHeight="1" s="238">
      <c r="B31" s="67" t="inlineStr">
        <is>
          <t>FZ11</t>
        </is>
      </c>
      <c r="C31" s="255" t="inlineStr">
        <is>
          <t>Total revenue for the de minimis requirement (AED)</t>
        </is>
      </c>
      <c r="D31" s="302" t="n"/>
      <c r="E31" s="40" t="inlineStr">
        <is>
          <t>Art. 18(3) FDL 47/2022</t>
        </is>
      </c>
    </row>
    <row r="32" ht="25.5" customHeight="1" s="238">
      <c r="B32" s="67" t="inlineStr">
        <is>
          <t>FZ12</t>
        </is>
      </c>
      <c r="C32" s="254" t="inlineStr">
        <is>
          <t>Revenue derived from excluded activities (AED)</t>
        </is>
      </c>
      <c r="D32" s="302" t="n"/>
      <c r="E32" s="51" t="inlineStr">
        <is>
          <t>MD 229/2025 excluded activities</t>
        </is>
      </c>
    </row>
    <row r="33" ht="25.5" customHeight="1" s="238">
      <c r="B33" s="67" t="inlineStr">
        <is>
          <t>FZ13</t>
        </is>
      </c>
      <c r="C33" s="255" t="inlineStr">
        <is>
          <t>Revenue derived from activities that are NOT qualifying activities (where counterparty is a non-free zone person) (AED)</t>
        </is>
      </c>
      <c r="D33" s="302" t="n"/>
      <c r="E33" s="40" t="inlineStr">
        <is>
          <t>CD 100/2023 / MD 229/2025</t>
        </is>
      </c>
    </row>
    <row r="34" ht="25.5" customHeight="1" s="238">
      <c r="B34" s="67" t="inlineStr">
        <is>
          <t>FZ14</t>
        </is>
      </c>
      <c r="C34" s="254" t="inlineStr">
        <is>
          <t>Revenue derived from transactions with free zone persons that are NOT the beneficial recipient of relevant services or goods (AED)</t>
        </is>
      </c>
      <c r="D34" s="302" t="n"/>
      <c r="E34" s="51" t="inlineStr">
        <is>
          <t>CD 100/2023 / MD 229/2025</t>
        </is>
      </c>
    </row>
    <row r="35" ht="25.5" customHeight="1" s="238">
      <c r="B35" s="67" t="inlineStr">
        <is>
          <t>FZ15</t>
        </is>
      </c>
      <c r="C35" s="255" t="inlineStr">
        <is>
          <t>Total non-qualifying revenue (AED)</t>
        </is>
      </c>
      <c r="D35" s="302" t="n"/>
      <c r="E35" s="304">
        <f>FZ12+FZ13+FZ14</f>
        <v/>
      </c>
    </row>
    <row r="36" ht="25.5" customHeight="1" s="238">
      <c r="B36" s="67" t="inlineStr">
        <is>
          <t>FZ16</t>
        </is>
      </c>
      <c r="C36" s="254" t="inlineStr">
        <is>
          <t>Is the de minimis requirement met?</t>
        </is>
      </c>
      <c r="D36" s="301" t="inlineStr">
        <is>
          <t>Yes / No</t>
        </is>
      </c>
      <c r="E36" s="51" t="inlineStr">
        <is>
          <t>Art. 18(3) — ≤AED 5M AND ≤5% total rev</t>
        </is>
      </c>
    </row>
    <row r="37" ht="25.5" customHeight="1" s="238">
      <c r="B37" s="67" t="inlineStr">
        <is>
          <t>FZ17</t>
        </is>
      </c>
      <c r="C37" s="255" t="inlineStr">
        <is>
          <t>Revenue derived from free zone persons (excl. income from excluded activities) (AED)</t>
        </is>
      </c>
      <c r="D37" s="302" t="n"/>
      <c r="E37" s="40" t="inlineStr">
        <is>
          <t>CD 100/2023</t>
        </is>
      </c>
    </row>
    <row r="38" ht="25.5" customHeight="1" s="238">
      <c r="B38" s="67" t="inlineStr">
        <is>
          <t>FZ18</t>
        </is>
      </c>
      <c r="C38" s="254" t="inlineStr">
        <is>
          <t>Revenue derived from non-free zone persons in respect of qualifying activities (AED)</t>
        </is>
      </c>
      <c r="D38" s="302" t="n"/>
      <c r="E38" s="51" t="inlineStr">
        <is>
          <t>MD 229/2025 qualifying activities</t>
        </is>
      </c>
    </row>
    <row r="39" ht="25.5" customHeight="1" s="238">
      <c r="B39" s="67" t="inlineStr">
        <is>
          <t>FZ19</t>
        </is>
      </c>
      <c r="C39" s="255" t="inlineStr">
        <is>
          <t>Revenue attributable to qualifying income in respect of qualifying intellectual property (AED)</t>
        </is>
      </c>
      <c r="D39" s="302" t="n"/>
      <c r="E39" s="40" t="inlineStr">
        <is>
          <t>CD 100/2023 — Qualifying IP</t>
        </is>
      </c>
    </row>
    <row r="40" ht="25.5" customHeight="1" s="238">
      <c r="B40" s="67" t="inlineStr">
        <is>
          <t>FZ20</t>
        </is>
      </c>
      <c r="C40" s="255" t="inlineStr">
        <is>
          <t>Does the QFZP distribute goods/materials in or from a Designated Zone? (If YES, an agreed-upon-procedures (ISRS 4400) report is required)</t>
        </is>
      </c>
      <c r="D40" s="302" t="inlineStr">
        <is>
          <t>Yes / No</t>
        </is>
      </c>
      <c r="E40" s="40" t="inlineStr">
        <is>
          <t>FTA Decision 6/2026 — periods starting on/after 1 Jan 2026</t>
        </is>
      </c>
    </row>
    <row r="41" ht="25.5" customHeight="1" s="238">
      <c r="B41" s="67" t="inlineStr">
        <is>
          <t>FZ21</t>
        </is>
      </c>
      <c r="C41" s="255" t="inlineStr">
        <is>
          <t>AUP report obtained and filed with FTA within 30 days after the CT return due date? (Yes / No / NA)</t>
        </is>
      </c>
      <c r="D41" s="302" t="inlineStr">
        <is>
          <t>Yes / No</t>
        </is>
      </c>
      <c r="E41" s="40" t="inlineStr">
        <is>
          <t>FTA Decision 6/2026 — if not filed, qualifying conditions treated as unmet: QFZP status lost for the period and following 4 periods</t>
        </is>
      </c>
    </row>
  </sheetData>
  <sheetProtection selectLockedCells="0" selectUnlockedCells="0" sheet="1" objects="0" insertRows="1" insertHyperlinks="1" autoFilter="1" scenarios="0" formatColumns="0" deleteColumns="1" insertColumns="1" pivotTables="1" deleteRows="1" formatCells="1" formatRows="1" sort="1" password="89DC"/>
  <mergeCells count="1">
    <mergeCell ref="B19:G19"/>
  </mergeCells>
  <pageMargins left="0.4" right="0.4" top="0.65" bottom="0.5" header="0.25" footer="0.25"/>
  <pageSetup orientation="portrait"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H19"/>
  <sheetViews>
    <sheetView showGridLines="0" zoomScaleNormal="100" workbookViewId="0">
      <selection activeCell="C1" sqref="C1"/>
    </sheetView>
  </sheetViews>
  <sheetFormatPr baseColWidth="8" defaultColWidth="8.6328125" defaultRowHeight="14.5"/>
  <cols>
    <col width="2" customWidth="1" style="238" min="1" max="1"/>
    <col width="8" customWidth="1" style="238" min="2" max="2"/>
    <col width="52" customWidth="1" style="238" min="3" max="3"/>
    <col width="14" customWidth="1" style="238" min="4" max="4"/>
    <col width="30" customWidth="1" style="238" min="5" max="5"/>
    <col width="2" customWidth="1" style="238" min="6" max="6"/>
  </cols>
  <sheetData>
    <row r="1" ht="4.5" customHeight="1" s="238">
      <c r="A1" s="2" t="n"/>
      <c r="B1" s="2" t="n"/>
      <c r="C1" s="2" t="n"/>
      <c r="D1" s="2" t="n"/>
      <c r="E1" s="2" t="n"/>
      <c r="F1" s="2" t="n"/>
    </row>
    <row r="2" ht="39.75" customHeight="1" s="238">
      <c r="A2" s="154" t="inlineStr">
        <is>
          <t>QFZP ELIGIBILITY CHECKER</t>
        </is>
      </c>
      <c r="B2" s="154" t="n"/>
      <c r="C2" s="154" t="n"/>
      <c r="D2" s="154" t="n"/>
      <c r="E2" s="154" t="n"/>
      <c r="F2" s="154" t="n"/>
      <c r="G2" s="154" t="n"/>
      <c r="H2" s="154" t="n"/>
    </row>
    <row r="3" ht="25.5" customHeight="1" s="238">
      <c r="A3" s="155" t="inlineStr">
        <is>
          <t>14 — Art. 18 FDL 47/2022 &amp; Cabinet Decision No. 100/2023 (as replacing CD 55/2023) &amp; MD 229/2025</t>
        </is>
      </c>
      <c r="B3" s="155" t="n"/>
      <c r="C3" s="155" t="n"/>
      <c r="D3" s="155" t="n"/>
      <c r="E3" s="155" t="n"/>
      <c r="F3" s="155" t="n"/>
      <c r="G3" s="155" t="n"/>
      <c r="H3" s="155" t="n"/>
    </row>
    <row r="4" ht="19.5" customHeight="1" s="238">
      <c r="A4" s="156" t="inlineStr">
        <is>
          <t>A single NO = QFZP status LOST for the entire tax period — all conditions mandatory</t>
        </is>
      </c>
      <c r="B4" s="156" t="n"/>
      <c r="C4" s="156" t="n"/>
      <c r="D4" s="156" t="n"/>
      <c r="E4" s="156" t="n"/>
      <c r="F4" s="156" t="n"/>
      <c r="G4" s="156" t="n"/>
      <c r="H4" s="156" t="n"/>
    </row>
    <row r="5" ht="19.5" customHeight="1" s="238">
      <c r="A5" s="157" t="inlineStr">
        <is>
          <t>Prepared by: Demo Preparer, Chartered Accountant  |  Sample Audit Firm  |  Blank layout</t>
        </is>
      </c>
      <c r="B5" s="157" t="n"/>
      <c r="C5" s="157" t="n"/>
      <c r="D5" s="157" t="n"/>
      <c r="E5" s="157" t="n"/>
      <c r="F5" s="157" t="n"/>
      <c r="G5" s="157" t="n"/>
      <c r="H5" s="157" t="n"/>
    </row>
    <row r="6" ht="4.5" customHeight="1" s="238">
      <c r="A6" s="2" t="n"/>
      <c r="B6" s="2" t="n"/>
      <c r="C6" s="2" t="n"/>
      <c r="D6" s="2" t="n"/>
      <c r="E6" s="2" t="n"/>
      <c r="F6" s="2" t="n"/>
    </row>
    <row r="7" ht="21.75" customHeight="1" s="238">
      <c r="B7" s="28" t="inlineStr">
        <is>
          <t>#</t>
        </is>
      </c>
      <c r="C7" s="28" t="inlineStr">
        <is>
          <t>Condition (All Mandatory)</t>
        </is>
      </c>
      <c r="D7" s="28" t="inlineStr">
        <is>
          <t>Met? YES/NO/NA</t>
        </is>
      </c>
      <c r="E7" s="28" t="inlineStr">
        <is>
          <t>Law Reference</t>
        </is>
      </c>
    </row>
    <row r="8" ht="31.5" customHeight="1" s="238">
      <c r="B8" s="44" t="inlineStr">
        <is>
          <t>C1</t>
        </is>
      </c>
      <c r="C8" s="255" t="inlineStr">
        <is>
          <t>Entity incorporated/registered in a recognised UAE Free Zone</t>
        </is>
      </c>
      <c r="D8" s="46" t="inlineStr">
        <is>
          <t>NO</t>
        </is>
      </c>
      <c r="E8" s="40" t="inlineStr">
        <is>
          <t>Art. 18(1) FDL 47/2022</t>
        </is>
      </c>
    </row>
    <row r="9" ht="31.5" customHeight="1" s="238">
      <c r="B9" s="48" t="inlineStr">
        <is>
          <t>C2</t>
        </is>
      </c>
      <c r="C9" s="254" t="inlineStr">
        <is>
          <t>Entity has NOT elected to be subject to standard 9% CT regime</t>
        </is>
      </c>
      <c r="D9" s="46" t="inlineStr">
        <is>
          <t>NO</t>
        </is>
      </c>
      <c r="E9" s="51" t="inlineStr">
        <is>
          <t>Art. 18(6) FDL 47/2022</t>
        </is>
      </c>
    </row>
    <row r="10" ht="31.5" customHeight="1" s="238">
      <c r="B10" s="44" t="inlineStr">
        <is>
          <t>C3</t>
        </is>
      </c>
      <c r="C10" s="255" t="inlineStr">
        <is>
          <t>Entity maintains adequate substance in the Free Zone</t>
        </is>
      </c>
      <c r="D10" s="46" t="inlineStr">
        <is>
          <t>NO</t>
        </is>
      </c>
      <c r="E10" s="40" t="inlineStr">
        <is>
          <t>Art. 18(1)(a) / CD 100/2023</t>
        </is>
      </c>
    </row>
    <row r="11" ht="31.5" customHeight="1" s="238">
      <c r="B11" s="48" t="inlineStr">
        <is>
          <t>C4</t>
        </is>
      </c>
      <c r="C11" s="254" t="inlineStr">
        <is>
          <t>Entity derives Qualifying Income (subject to de minimis test)</t>
        </is>
      </c>
      <c r="D11" s="46" t="inlineStr">
        <is>
          <t>NO</t>
        </is>
      </c>
      <c r="E11" s="51" t="inlineStr">
        <is>
          <t>Art. 18(1)(b) / CD 100/2023</t>
        </is>
      </c>
    </row>
    <row r="12" ht="31.5" customHeight="1" s="238">
      <c r="B12" s="44" t="inlineStr">
        <is>
          <t>C5</t>
        </is>
      </c>
      <c r="C12" s="255" t="inlineStr">
        <is>
          <t>Entity has NOT derived income from Excluded Activities</t>
        </is>
      </c>
      <c r="D12" s="46" t="inlineStr">
        <is>
          <t>NO</t>
        </is>
      </c>
      <c r="E12" s="40" t="inlineStr">
        <is>
          <t>MD 229/2025 excluded activities</t>
        </is>
      </c>
    </row>
    <row r="13" ht="31.5" customHeight="1" s="238">
      <c r="B13" s="48" t="inlineStr">
        <is>
          <t>C6</t>
        </is>
      </c>
      <c r="C13" s="254" t="inlineStr">
        <is>
          <t>Entity complies with UAE Transfer Pricing rules (Art. 34-35)</t>
        </is>
      </c>
      <c r="D13" s="46" t="inlineStr">
        <is>
          <t>NO</t>
        </is>
      </c>
      <c r="E13" s="51" t="inlineStr">
        <is>
          <t>Art. 18(1)(c) FDL 47/2022</t>
        </is>
      </c>
    </row>
    <row r="14" ht="31.5" customHeight="1" s="238">
      <c r="B14" s="44" t="inlineStr">
        <is>
          <t>C7</t>
        </is>
      </c>
      <c r="C14" s="255" t="inlineStr">
        <is>
          <t>Entity prepares AUDITED financial statements</t>
        </is>
      </c>
      <c r="D14" s="46" t="inlineStr">
        <is>
          <t>NO</t>
        </is>
      </c>
      <c r="E14" s="40" t="inlineStr">
        <is>
          <t>Art. 18(1)(d) — MANDATORY for ALL QFZPs</t>
        </is>
      </c>
    </row>
    <row r="15" ht="31.5" customHeight="1" s="238">
      <c r="B15" s="48" t="inlineStr">
        <is>
          <t>C8</t>
        </is>
      </c>
      <c r="C15" s="254" t="inlineStr">
        <is>
          <t>No tainted mainland RP transactions outside Qualifying Activities</t>
        </is>
      </c>
      <c r="D15" s="46" t="inlineStr">
        <is>
          <t>NO</t>
        </is>
      </c>
      <c r="E15" s="51" t="inlineStr">
        <is>
          <t>Art. 18(2) / CD 100/2023 / MD 229/2025</t>
        </is>
      </c>
    </row>
    <row r="16" ht="31.5" customHeight="1" s="238">
      <c r="B16" s="44" t="inlineStr">
        <is>
          <t>C9</t>
        </is>
      </c>
      <c r="C16" s="255" t="inlineStr">
        <is>
          <t>Income maps to MD 229/2025 Qualifying Activities list</t>
        </is>
      </c>
      <c r="D16" s="46" t="inlineStr">
        <is>
          <t>NO</t>
        </is>
      </c>
      <c r="E16" s="40" t="inlineStr">
        <is>
          <t>MD 229/2025 qualifying activities</t>
        </is>
      </c>
    </row>
    <row r="17" ht="31.5" customHeight="1" s="238">
      <c r="B17" s="48" t="inlineStr">
        <is>
          <t>C10</t>
        </is>
      </c>
      <c r="C17" s="254" t="inlineStr">
        <is>
          <t>De Minimis Test: PASS (see Sheet 10_FREE_ZONE)</t>
        </is>
      </c>
      <c r="D17" s="46" t="inlineStr">
        <is>
          <t>NO</t>
        </is>
      </c>
      <c r="E17" s="51" t="inlineStr">
        <is>
          <t>Art. 18(3) — auto-check Sheet 10</t>
        </is>
      </c>
    </row>
    <row r="18" ht="31.5" customHeight="1" s="238">
      <c r="B18" s="48" t="inlineStr">
        <is>
          <t>C11</t>
        </is>
      </c>
      <c r="C18" s="254" t="inlineStr">
        <is>
          <t>Designated-Zone distributor: AUP report (ISRS 4400) obtained &amp; filed within 30 days after return due date (NA if not a distributor)</t>
        </is>
      </c>
      <c r="D18" s="46" t="inlineStr">
        <is>
          <t>NA</t>
        </is>
      </c>
      <c r="E18" s="51" t="inlineStr">
        <is>
          <t>FTA Decision 6/2026</t>
        </is>
      </c>
    </row>
    <row r="19" ht="25.5" customHeight="1" s="238">
      <c r="B19" s="305">
        <f>IF(COUNTIF(D8:D18,"NO")=0,"✅  QFZP ELIGIBLE — All conditions met","❌  QFZP STATUS NOT MET — Review failed conditions")</f>
        <v/>
      </c>
      <c r="C19" s="263" t="n"/>
      <c r="D19" s="263" t="n"/>
      <c r="E19" s="264" t="n"/>
    </row>
  </sheetData>
  <sheetProtection selectLockedCells="0" selectUnlockedCells="0" sheet="1" objects="0" insertRows="1" insertHyperlinks="1" autoFilter="1" scenarios="0" formatColumns="0" deleteColumns="1" insertColumns="1" pivotTables="1" deleteRows="1" formatCells="1" formatRows="1" sort="1" password="89DC"/>
  <mergeCells count="1">
    <mergeCell ref="B19:E19"/>
  </mergeCells>
  <pageMargins left="0.4" right="0.4" top="0.65" bottom="0.5" header="0.25" footer="0.25"/>
  <pageSetup orientation="portrait" paperSize="9" fitToHeight="0" horizontalDpi="300" verticalDpi="300"/>
  <headerFooter>
    <oddHeader>&amp;L&amp;"Calibri,Bold"&amp;8 &amp;C&amp;R&amp;8 </oddHeader>
    <oddFooter>&amp;L&amp;8 &amp;C&amp;8 Demo extract - evaluation use only&amp;R&amp;8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Capstone Project</dc:creator>
  <dc:title xmlns:dc="http://purl.org/dc/elements/1.1/">CT working sheet - demo extract (evaluation use only)</dc:title>
  <dc:description xmlns:dc="http://purl.org/dc/elements/1.1/">Demo extract for the AuditSignOff Suite UAE capstone. All rights reserved. Not for reuse or redistribution.</dc:description>
  <dc:language xmlns:dc="http://purl.org/dc/elements/1.1/">en-US</dc:language>
  <dcterms:created xmlns:dcterms="http://purl.org/dc/terms/" xmlns:xsi="http://www.w3.org/2001/XMLSchema-instance" xsi:type="dcterms:W3CDTF">2026-03-23T07:11:59Z</dcterms:created>
  <dcterms:modified xmlns:dcterms="http://purl.org/dc/terms/" xmlns:xsi="http://www.w3.org/2001/XMLSchema-instance" xsi:type="dcterms:W3CDTF">2026-10-17T07:14:53Z</dcterms:modified>
  <cp:lastModifiedBy>Capstone Project</cp:lastModifiedBy>
  <cp:revision>0</cp:revision>
  <cp:lastPrinted>2026-03-27T06:02:02Z</cp:lastPrinted>
</cp:coreProperties>
</file>