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Final_Set" sheetId="2" state="visible" r:id="rId4"/>
    <sheet name="Annexure 7 Search Results" sheetId="3" state="visible" r:id="rId5"/>
    <sheet name="Annexure 8 Accept-Reject" sheetId="4" state="visible" r:id="rId6"/>
    <sheet name="Search_Strategy" sheetId="5" state="visible" r:id="rId7"/>
    <sheet name="Working_Hidden" sheetId="6" state="hidden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<sst xmlns="http://schemas.openxmlformats.org/spreadsheetml/2006/main" count="430" uniqueCount="174">
  <si>
    <t xml:space="preserve">ABC COMPANY - Managerial remuneration benchmark (External CUP)  -  SYNTHETIC SAMPLE, FY 2024</t>
  </si>
  <si>
    <t xml:space="preserve">Arm's length range (AED)</t>
  </si>
  <si>
    <t xml:space="preserve">Value</t>
  </si>
  <si>
    <t xml:space="preserve">Lowest value</t>
  </si>
  <si>
    <t xml:space="preserve">Lower quartile (25%)</t>
  </si>
  <si>
    <t xml:space="preserve">Median</t>
  </si>
  <si>
    <t xml:space="preserve">Upper quartile (75%)</t>
  </si>
  <si>
    <t xml:space="preserve">Highest value</t>
  </si>
  <si>
    <t xml:space="preserve">Number of comparables</t>
  </si>
  <si>
    <t xml:space="preserve">Tested party - remuneration paid in FY 2024</t>
  </si>
  <si>
    <t xml:space="preserve">AED</t>
  </si>
  <si>
    <t xml:space="preserve">Mr. PQR - managerial remuneration</t>
  </si>
  <si>
    <t xml:space="preserve">Mr. XYZ - managerial remuneration</t>
  </si>
  <si>
    <t xml:space="preserve">Total managerial remuneration</t>
  </si>
  <si>
    <t xml:space="preserve">Mr. PQR within interquartile range?</t>
  </si>
  <si>
    <t xml:space="preserve">Mr. XYZ within interquartile range?</t>
  </si>
  <si>
    <t xml:space="preserve">Person Name</t>
  </si>
  <si>
    <t xml:space="preserve">Company Name</t>
  </si>
  <si>
    <t xml:space="preserve">Professional Job Functions</t>
  </si>
  <si>
    <t xml:space="preserve">Total Revenue [FY 2024] (AED mm)</t>
  </si>
  <si>
    <t xml:space="preserve">Total Compensation Received/Earned [FY 2024] (AED, Historical rate)</t>
  </si>
  <si>
    <t xml:space="preserve">Executive 08</t>
  </si>
  <si>
    <t xml:space="preserve">Pemberton Merchants plc</t>
  </si>
  <si>
    <t xml:space="preserve">Managing Director</t>
  </si>
  <si>
    <t xml:space="preserve">Executive 03</t>
  </si>
  <si>
    <t xml:space="preserve">Harrowgate Timber &amp; Stone Ltd</t>
  </si>
  <si>
    <t xml:space="preserve">CEO &amp; Director</t>
  </si>
  <si>
    <t xml:space="preserve">Executive 22</t>
  </si>
  <si>
    <t xml:space="preserve">Saltmarsh Timber plc</t>
  </si>
  <si>
    <t xml:space="preserve">MD &amp; Executive Director</t>
  </si>
  <si>
    <t xml:space="preserve">Executive 02</t>
  </si>
  <si>
    <t xml:space="preserve">Castellan Materials plc</t>
  </si>
  <si>
    <t xml:space="preserve">Executive 20</t>
  </si>
  <si>
    <t xml:space="preserve">Oakridge Building Products Ltd</t>
  </si>
  <si>
    <t xml:space="preserve">President &amp; CEO</t>
  </si>
  <si>
    <t xml:space="preserve">Executive 01</t>
  </si>
  <si>
    <t xml:space="preserve">Norvik Building Supplies AB</t>
  </si>
  <si>
    <t xml:space="preserve">Executive 09</t>
  </si>
  <si>
    <t xml:space="preserve">Corvalis Cement Trading SpA</t>
  </si>
  <si>
    <t xml:space="preserve">CEO &amp; President</t>
  </si>
  <si>
    <t xml:space="preserve">Executive 16</t>
  </si>
  <si>
    <t xml:space="preserve">Kestrel Plumbing &amp; Tile plc</t>
  </si>
  <si>
    <t xml:space="preserve">Group Managing Director</t>
  </si>
  <si>
    <t xml:space="preserve">Executive 25</t>
  </si>
  <si>
    <t xml:space="preserve">Eskilstuna Järn &amp; Bygg AB</t>
  </si>
  <si>
    <t xml:space="preserve">Executive 23</t>
  </si>
  <si>
    <t xml:space="preserve">Grunwald Handel GmbH</t>
  </si>
  <si>
    <t xml:space="preserve">Executive 10</t>
  </si>
  <si>
    <t xml:space="preserve">Hallström Bygg AB</t>
  </si>
  <si>
    <t xml:space="preserve">Executive 06</t>
  </si>
  <si>
    <t xml:space="preserve">Ostrander Construction Goods Oy</t>
  </si>
  <si>
    <t xml:space="preserve">Executive 24</t>
  </si>
  <si>
    <t xml:space="preserve">Ferrant Distribution SA</t>
  </si>
  <si>
    <t xml:space="preserve">Managing Director &amp; CEO</t>
  </si>
  <si>
    <t xml:space="preserve">Executive 17</t>
  </si>
  <si>
    <t xml:space="preserve">Almqvist Byggvaror AB</t>
  </si>
  <si>
    <t xml:space="preserve">CEO</t>
  </si>
  <si>
    <t xml:space="preserve">Executive 19</t>
  </si>
  <si>
    <t xml:space="preserve">Bellaire Matériaux SA</t>
  </si>
  <si>
    <t xml:space="preserve">Executive 07</t>
  </si>
  <si>
    <t xml:space="preserve">Lindqvist Hardware AB</t>
  </si>
  <si>
    <t xml:space="preserve">Executive 27</t>
  </si>
  <si>
    <t xml:space="preserve">Kallio Rakennustarvike Oy</t>
  </si>
  <si>
    <t xml:space="preserve">Executive 26</t>
  </si>
  <si>
    <t xml:space="preserve">Montrose Tiles &amp; Surfaces plc</t>
  </si>
  <si>
    <t xml:space="preserve">Executive 13</t>
  </si>
  <si>
    <t xml:space="preserve">Dunmore Builders Merchants Ltd</t>
  </si>
  <si>
    <t xml:space="preserve">Executive 11</t>
  </si>
  <si>
    <t xml:space="preserve">Whitcombe Roofing Supplies plc</t>
  </si>
  <si>
    <t xml:space="preserve">Executive 05</t>
  </si>
  <si>
    <t xml:space="preserve">Valmont Trade SA</t>
  </si>
  <si>
    <t xml:space="preserve">Executive 04</t>
  </si>
  <si>
    <t xml:space="preserve">Brenner Baustoffe AG</t>
  </si>
  <si>
    <t xml:space="preserve">Executive 15</t>
  </si>
  <si>
    <t xml:space="preserve">Rovena Steel Distribution Srl</t>
  </si>
  <si>
    <t xml:space="preserve">Executive 14</t>
  </si>
  <si>
    <t xml:space="preserve">Tessaly Aggregates SA</t>
  </si>
  <si>
    <t xml:space="preserve">Executive 21</t>
  </si>
  <si>
    <t xml:space="preserve">Verhoeven Bouwgroep NV</t>
  </si>
  <si>
    <t xml:space="preserve">Executive 12</t>
  </si>
  <si>
    <t xml:space="preserve">Marnet Materiaux SAS</t>
  </si>
  <si>
    <t xml:space="preserve">Total Compensation Received/Earned [FY 2024] (AED)</t>
  </si>
  <si>
    <t xml:space="preserve">Executive 18</t>
  </si>
  <si>
    <t xml:space="preserve">Sandford Joinery Group plc</t>
  </si>
  <si>
    <t xml:space="preserve">Rejected Executive 01</t>
  </si>
  <si>
    <t xml:space="preserve">Rejected Candidate 01 Ltd</t>
  </si>
  <si>
    <t xml:space="preserve">Rejected Executive 02</t>
  </si>
  <si>
    <t xml:space="preserve">Rejected Candidate 02 Ltd</t>
  </si>
  <si>
    <t xml:space="preserve">Rejected Executive 03</t>
  </si>
  <si>
    <t xml:space="preserve">Rejected Candidate 03 Ltd</t>
  </si>
  <si>
    <t xml:space="preserve">Rejected Executive 04</t>
  </si>
  <si>
    <t xml:space="preserve">Rejected Candidate 04 Ltd</t>
  </si>
  <si>
    <t xml:space="preserve">Rejected Executive 05</t>
  </si>
  <si>
    <t xml:space="preserve">Rejected Candidate 05 Ltd</t>
  </si>
  <si>
    <t xml:space="preserve">Rejected Executive 06</t>
  </si>
  <si>
    <t xml:space="preserve">Rejected Candidate 06 Ltd</t>
  </si>
  <si>
    <t xml:space="preserve">Rejected Executive 07</t>
  </si>
  <si>
    <t xml:space="preserve">Rejected Candidate 07 Ltd</t>
  </si>
  <si>
    <t xml:space="preserve">Rejected Executive 08</t>
  </si>
  <si>
    <t xml:space="preserve">Rejected Candidate 08 Ltd</t>
  </si>
  <si>
    <t xml:space="preserve">Rejected Executive 09</t>
  </si>
  <si>
    <t xml:space="preserve">Rejected Candidate 09 Ltd</t>
  </si>
  <si>
    <t xml:space="preserve">Rejected Executive 10</t>
  </si>
  <si>
    <t xml:space="preserve">Rejected Candidate 10 Ltd</t>
  </si>
  <si>
    <t xml:space="preserve">Rejected Executive 11</t>
  </si>
  <si>
    <t xml:space="preserve">Rejected Candidate 11 Ltd</t>
  </si>
  <si>
    <t xml:space="preserve">Rejected Executive 12</t>
  </si>
  <si>
    <t xml:space="preserve">Rejected Candidate 12 Ltd</t>
  </si>
  <si>
    <t xml:space="preserve">Rejected Executive 13</t>
  </si>
  <si>
    <t xml:space="preserve">Rejected Candidate 13 Ltd</t>
  </si>
  <si>
    <t xml:space="preserve">Rejected Executive 14</t>
  </si>
  <si>
    <t xml:space="preserve">Rejected Candidate 14 Ltd</t>
  </si>
  <si>
    <t xml:space="preserve">Rejected Executive 15</t>
  </si>
  <si>
    <t xml:space="preserve">Rejected Candidate 15 Ltd</t>
  </si>
  <si>
    <t xml:space="preserve">Rejected Executive 16</t>
  </si>
  <si>
    <t xml:space="preserve">Rejected Candidate 16 Ltd</t>
  </si>
  <si>
    <t xml:space="preserve">Rejected Executive 17</t>
  </si>
  <si>
    <t xml:space="preserve">Rejected Candidate 17 Ltd</t>
  </si>
  <si>
    <t xml:space="preserve">Rejected Executive 18</t>
  </si>
  <si>
    <t xml:space="preserve">Rejected Candidate 18 Ltd</t>
  </si>
  <si>
    <t xml:space="preserve">Rejected Executive 19</t>
  </si>
  <si>
    <t xml:space="preserve">Rejected Candidate 19 Ltd</t>
  </si>
  <si>
    <t xml:space="preserve">Rejected Executive 20</t>
  </si>
  <si>
    <t xml:space="preserve">Rejected Candidate 20 Ltd</t>
  </si>
  <si>
    <t xml:space="preserve">Rejected Executive 21</t>
  </si>
  <si>
    <t xml:space="preserve">Rejected Candidate 21 Ltd</t>
  </si>
  <si>
    <t xml:space="preserve">Rejected Executive 22</t>
  </si>
  <si>
    <t xml:space="preserve">Rejected Candidate 22 Ltd</t>
  </si>
  <si>
    <t xml:space="preserve">Rejected Executive 23</t>
  </si>
  <si>
    <t xml:space="preserve">Rejected Candidate 23 Ltd</t>
  </si>
  <si>
    <t xml:space="preserve">Rejected Executive 24</t>
  </si>
  <si>
    <t xml:space="preserve">Rejected Candidate 24 Ltd</t>
  </si>
  <si>
    <t xml:space="preserve">Rejected Executive 25</t>
  </si>
  <si>
    <t xml:space="preserve">Rejected Candidate 25 Ltd</t>
  </si>
  <si>
    <t xml:space="preserve">Rejected Executive 26</t>
  </si>
  <si>
    <t xml:space="preserve">Rejected Candidate 26 Ltd</t>
  </si>
  <si>
    <t xml:space="preserve">Rejected Executive 27</t>
  </si>
  <si>
    <t xml:space="preserve">Rejected Candidate 27 Ltd</t>
  </si>
  <si>
    <t xml:space="preserve">Rejected Executive 28</t>
  </si>
  <si>
    <t xml:space="preserve">Rejected Candidate 28 Ltd</t>
  </si>
  <si>
    <t xml:space="preserve">Rejected Executive 29</t>
  </si>
  <si>
    <t xml:space="preserve">Rejected Candidate 29 Ltd</t>
  </si>
  <si>
    <t xml:space="preserve">Rejected Executive 30</t>
  </si>
  <si>
    <t xml:space="preserve">Rejected Candidate 30 Ltd</t>
  </si>
  <si>
    <t xml:space="preserve">Rejected Executive 31</t>
  </si>
  <si>
    <t xml:space="preserve">Rejected Candidate 31 Ltd</t>
  </si>
  <si>
    <t xml:space="preserve">Rejected Executive 32</t>
  </si>
  <si>
    <t xml:space="preserve">Rejected Candidate 32 Ltd</t>
  </si>
  <si>
    <t xml:space="preserve">Rejected Executive 33</t>
  </si>
  <si>
    <t xml:space="preserve">Rejected Candidate 33 Ltd</t>
  </si>
  <si>
    <t xml:space="preserve">Rejected Executive 34</t>
  </si>
  <si>
    <t xml:space="preserve">Rejected Candidate 34 Ltd</t>
  </si>
  <si>
    <t xml:space="preserve">Rejected Executive 35</t>
  </si>
  <si>
    <t xml:space="preserve">Rejected Candidate 35 Ltd</t>
  </si>
  <si>
    <t xml:space="preserve">Rejected Executive 36</t>
  </si>
  <si>
    <t xml:space="preserve">Rejected Candidate 36 Ltd</t>
  </si>
  <si>
    <t xml:space="preserve">#</t>
  </si>
  <si>
    <t xml:space="preserve">Decision</t>
  </si>
  <si>
    <t xml:space="preserve">Reason</t>
  </si>
  <si>
    <t xml:space="preserve">Accepted</t>
  </si>
  <si>
    <t xml:space="preserve">Trading of construction and building materials; MD / CEO level role; independent; data available</t>
  </si>
  <si>
    <t xml:space="preserve">Rejected</t>
  </si>
  <si>
    <t xml:space="preserve">Role not comparable to a managing director</t>
  </si>
  <si>
    <t xml:space="preserve">Executive is a finance / secretarial officer</t>
  </si>
  <si>
    <t xml:space="preserve">Subsidiary of a listed group - dependent</t>
  </si>
  <si>
    <t xml:space="preserve">Insufficient compensation data</t>
  </si>
  <si>
    <t xml:space="preserve">Main activity is manufacturing, not trading</t>
  </si>
  <si>
    <t xml:space="preserve">Not an executive of the company</t>
  </si>
  <si>
    <t xml:space="preserve">Database search (synthetic sample - no database extract is included)</t>
  </si>
  <si>
    <t xml:space="preserve">Step 1: SIC Division F Wholesale Trade; Geography UAE; Total compensation FY 2024 &gt; 0; Keyword: building OR construction -&gt; no results</t>
  </si>
  <si>
    <t xml:space="preserve">Step 2: geography extended to the Middle East -&gt; no suitable results</t>
  </si>
  <si>
    <t xml:space="preserve">Step 3: geography extended to Europe OR Middle East</t>
  </si>
  <si>
    <t xml:space="preserve">Search results (search dump): 63 persons. Accepted: 27. Rejected: 36 (reasons in sheet Annexure 8 Accept-Reject).</t>
  </si>
  <si>
    <t xml:space="preserve">scratch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</si>
</sst>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0" t="s">
        <v>3</v>
      </c>
      <c r="B4" s="3" t="n">
        <f aca="false">MIN(Final_Set!$E$2:$E$28)</f>
        <v>207793</v>
      </c>
    </row>
    <row r="5" customFormat="false" ht="15" hidden="false" customHeight="false" outlineLevel="0" collapsed="false">
      <c r="A5" s="0" t="s">
        <v>4</v>
      </c>
      <c r="B5" s="3" t="e">
        <f aca="false">#REF!</f>
        <v>#REF!</v>
      </c>
    </row>
    <row r="6" customFormat="false" ht="15" hidden="false" customHeight="false" outlineLevel="0" collapsed="false">
      <c r="A6" s="0" t="s">
        <v>5</v>
      </c>
      <c r="B6" s="3" t="n">
        <f aca="false">MEDIAN(Final_Set!$E$2:$E$28)</f>
        <v>1525809</v>
      </c>
    </row>
    <row r="7" customFormat="false" ht="15" hidden="false" customHeight="false" outlineLevel="0" collapsed="false">
      <c r="A7" s="0" t="s">
        <v>6</v>
      </c>
      <c r="B7" s="3" t="n">
        <v>2700000</v>
      </c>
    </row>
    <row r="8" customFormat="false" ht="15" hidden="false" customHeight="false" outlineLevel="0" collapsed="false">
      <c r="A8" s="0" t="s">
        <v>7</v>
      </c>
      <c r="B8" s="3" t="n">
        <f aca="false">MAX(Final_Set!$E$2:$E$28)</f>
        <v>11887150</v>
      </c>
    </row>
    <row r="9" customFormat="false" ht="15" hidden="false" customHeight="false" outlineLevel="0" collapsed="false">
      <c r="A9" s="0" t="s">
        <v>8</v>
      </c>
      <c r="B9" s="3" t="n">
        <f aca="false">COUNT(Final_Set!$E$2:$E$28)</f>
        <v>27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A11" s="2" t="s">
        <v>9</v>
      </c>
      <c r="B11" s="4" t="s">
        <v>10</v>
      </c>
    </row>
    <row r="12" customFormat="false" ht="15" hidden="false" customHeight="false" outlineLevel="0" collapsed="false">
      <c r="A12" s="0" t="s">
        <v>11</v>
      </c>
      <c r="B12" s="3" t="n">
        <v>1200000</v>
      </c>
    </row>
    <row r="13" customFormat="false" ht="15" hidden="false" customHeight="false" outlineLevel="0" collapsed="false">
      <c r="A13" s="0" t="s">
        <v>12</v>
      </c>
      <c r="B13" s="3" t="n">
        <v>1500000</v>
      </c>
    </row>
    <row r="14" customFormat="false" ht="15" hidden="false" customHeight="false" outlineLevel="0" collapsed="false">
      <c r="A14" s="0" t="s">
        <v>13</v>
      </c>
      <c r="B14" s="3" t="n">
        <v>2750000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A16" s="0" t="s">
        <v>14</v>
      </c>
      <c r="B16" s="3" t="e">
        <f aca="false">IF(AND(B12&gt;=B5,B12&lt;=B7),"Within range","Outside range")</f>
        <v>#REF!</v>
      </c>
    </row>
    <row r="17" customFormat="false" ht="15" hidden="false" customHeight="false" outlineLevel="0" collapsed="false">
      <c r="A17" s="0" t="s">
        <v>15</v>
      </c>
      <c r="B17" s="3" t="e">
        <f aca="false">IF(AND(B13&gt;=B5,B13&lt;=B7),"Within range","Outside range")</f>
        <v>#REF!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customFormat="false" ht="15" hidden="false" customHeight="false" outlineLevel="0" collapsed="false">
      <c r="A2" s="0" t="s">
        <v>21</v>
      </c>
      <c r="B2" s="0" t="s">
        <v>22</v>
      </c>
      <c r="C2" s="0" t="s">
        <v>23</v>
      </c>
      <c r="D2" s="0" t="n">
        <v>667.6</v>
      </c>
      <c r="E2" s="3" t="n">
        <v>1103666</v>
      </c>
    </row>
    <row r="3" customFormat="false" ht="15" hidden="false" customHeight="false" outlineLevel="0" collapsed="false">
      <c r="A3" s="0" t="s">
        <v>24</v>
      </c>
      <c r="B3" s="0" t="s">
        <v>25</v>
      </c>
      <c r="C3" s="0" t="s">
        <v>26</v>
      </c>
      <c r="D3" s="0" t="n">
        <v>817.6</v>
      </c>
      <c r="E3" s="3" t="n">
        <v>506339</v>
      </c>
    </row>
    <row r="4" customFormat="false" ht="15" hidden="false" customHeight="false" outlineLevel="0" collapsed="false">
      <c r="A4" s="0" t="s">
        <v>27</v>
      </c>
      <c r="B4" s="0" t="s">
        <v>28</v>
      </c>
      <c r="C4" s="0" t="s">
        <v>29</v>
      </c>
      <c r="D4" s="0" t="n">
        <v>1855.1</v>
      </c>
      <c r="E4" s="3" t="n">
        <v>4295113</v>
      </c>
    </row>
    <row r="5" customFormat="false" ht="15" hidden="false" customHeight="false" outlineLevel="0" collapsed="false">
      <c r="A5" s="0" t="s">
        <v>27</v>
      </c>
      <c r="B5" s="0" t="s">
        <v>28</v>
      </c>
      <c r="C5" s="0" t="s">
        <v>29</v>
      </c>
      <c r="D5" s="0" t="n">
        <v>1855.1</v>
      </c>
      <c r="E5" s="3" t="n">
        <v>4295113</v>
      </c>
    </row>
    <row r="6" customFormat="false" ht="15" hidden="false" customHeight="false" outlineLevel="0" collapsed="false">
      <c r="A6" s="0" t="s">
        <v>30</v>
      </c>
      <c r="B6" s="0" t="s">
        <v>31</v>
      </c>
      <c r="C6" s="0" t="s">
        <v>29</v>
      </c>
      <c r="D6" s="0" t="n">
        <v>1904.4</v>
      </c>
      <c r="E6" s="3" t="n">
        <v>357226</v>
      </c>
    </row>
    <row r="7" customFormat="false" ht="15" hidden="false" customHeight="false" outlineLevel="0" collapsed="false">
      <c r="A7" s="0" t="s">
        <v>32</v>
      </c>
      <c r="B7" s="0" t="s">
        <v>33</v>
      </c>
      <c r="C7" s="0" t="s">
        <v>34</v>
      </c>
      <c r="D7" s="0" t="n">
        <v>1966.6</v>
      </c>
      <c r="E7" s="3" t="n">
        <v>2775000</v>
      </c>
    </row>
    <row r="8" customFormat="false" ht="15" hidden="false" customHeight="false" outlineLevel="0" collapsed="false">
      <c r="A8" s="0" t="s">
        <v>35</v>
      </c>
      <c r="B8" s="0" t="s">
        <v>36</v>
      </c>
      <c r="C8" s="0" t="s">
        <v>23</v>
      </c>
      <c r="D8" s="0" t="n">
        <v>1243.4</v>
      </c>
      <c r="E8" s="3" t="n">
        <v>207793</v>
      </c>
    </row>
    <row r="9" customFormat="false" ht="15" hidden="false" customHeight="false" outlineLevel="0" collapsed="false">
      <c r="A9" s="0" t="s">
        <v>37</v>
      </c>
      <c r="B9" s="0" t="s">
        <v>38</v>
      </c>
      <c r="C9" s="0" t="s">
        <v>39</v>
      </c>
      <c r="D9" s="0" t="n">
        <v>2120.2</v>
      </c>
      <c r="E9" s="3" t="n">
        <v>1174226</v>
      </c>
    </row>
    <row r="10" customFormat="false" ht="15" hidden="false" customHeight="false" outlineLevel="0" collapsed="false">
      <c r="A10" s="0" t="s">
        <v>40</v>
      </c>
      <c r="B10" s="0" t="s">
        <v>41</v>
      </c>
      <c r="C10" s="0" t="s">
        <v>42</v>
      </c>
      <c r="D10" s="0" t="n">
        <v>1369.5</v>
      </c>
      <c r="E10" s="3" t="n">
        <v>1942226</v>
      </c>
    </row>
    <row r="11" customFormat="false" ht="15" hidden="false" customHeight="false" outlineLevel="0" collapsed="false">
      <c r="A11" s="0" t="s">
        <v>43</v>
      </c>
      <c r="B11" s="0" t="s">
        <v>44</v>
      </c>
      <c r="C11" s="0" t="s">
        <v>34</v>
      </c>
      <c r="D11" s="0" t="n">
        <v>584.3</v>
      </c>
      <c r="E11" s="3" t="n">
        <v>8850452</v>
      </c>
    </row>
    <row r="12" customFormat="false" ht="15" hidden="false" customHeight="false" outlineLevel="0" collapsed="false">
      <c r="A12" s="0" t="s">
        <v>45</v>
      </c>
      <c r="B12" s="0" t="s">
        <v>46</v>
      </c>
      <c r="C12" s="0" t="s">
        <v>26</v>
      </c>
      <c r="D12" s="0" t="n">
        <v>2272.1</v>
      </c>
      <c r="E12" s="3" t="n">
        <v>5813226</v>
      </c>
    </row>
    <row r="13" customFormat="false" ht="15" hidden="false" customHeight="false" outlineLevel="0" collapsed="false">
      <c r="A13" s="0" t="s">
        <v>47</v>
      </c>
      <c r="B13" s="0" t="s">
        <v>48</v>
      </c>
      <c r="C13" s="0" t="s">
        <v>34</v>
      </c>
      <c r="D13" s="0" t="n">
        <v>1315.7</v>
      </c>
      <c r="E13" s="3" t="n">
        <v>1244339</v>
      </c>
    </row>
    <row r="14" customFormat="false" ht="15" hidden="false" customHeight="false" outlineLevel="0" collapsed="false">
      <c r="A14" s="0" t="s">
        <v>49</v>
      </c>
      <c r="B14" s="0" t="s">
        <v>50</v>
      </c>
      <c r="C14" s="0" t="s">
        <v>42</v>
      </c>
      <c r="D14" s="0" t="n">
        <v>1874.5</v>
      </c>
      <c r="E14" s="3" t="n">
        <v>954678</v>
      </c>
    </row>
    <row r="15" customFormat="false" ht="15" hidden="false" customHeight="false" outlineLevel="0" collapsed="false">
      <c r="A15" s="0" t="s">
        <v>51</v>
      </c>
      <c r="B15" s="0" t="s">
        <v>52</v>
      </c>
      <c r="C15" s="0" t="s">
        <v>53</v>
      </c>
      <c r="D15" s="0" t="n">
        <v>419.8</v>
      </c>
      <c r="E15" s="3" t="n">
        <v>7332339</v>
      </c>
    </row>
    <row r="16" customFormat="false" ht="15" hidden="false" customHeight="false" outlineLevel="0" collapsed="false">
      <c r="A16" s="0" t="s">
        <v>54</v>
      </c>
      <c r="B16" s="0" t="s">
        <v>55</v>
      </c>
      <c r="C16" s="0" t="s">
        <v>56</v>
      </c>
      <c r="D16" s="0" t="n">
        <v>1912.3</v>
      </c>
      <c r="E16" s="3" t="n">
        <v>2150339</v>
      </c>
    </row>
    <row r="17" customFormat="false" ht="15" hidden="false" customHeight="false" outlineLevel="0" collapsed="false">
      <c r="A17" s="0" t="s">
        <v>57</v>
      </c>
      <c r="B17" s="0" t="s">
        <v>58</v>
      </c>
      <c r="C17" s="0" t="s">
        <v>39</v>
      </c>
      <c r="D17" s="0" t="n">
        <v>568.3</v>
      </c>
      <c r="E17" s="3" t="n">
        <v>2567565</v>
      </c>
    </row>
    <row r="18" customFormat="false" ht="15" hidden="false" customHeight="false" outlineLevel="0" collapsed="false">
      <c r="A18" s="0" t="s">
        <v>59</v>
      </c>
      <c r="B18" s="0" t="s">
        <v>60</v>
      </c>
      <c r="C18" s="0" t="s">
        <v>56</v>
      </c>
      <c r="D18" s="0" t="n">
        <v>719</v>
      </c>
      <c r="E18" s="3" t="n">
        <v>1103000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0" t="s">
        <v>56</v>
      </c>
      <c r="D19" s="0" t="n">
        <v>189.7</v>
      </c>
      <c r="E19" s="3" t="n">
        <v>11887150</v>
      </c>
    </row>
    <row r="20" customFormat="false" ht="15" hidden="false" customHeight="false" outlineLevel="0" collapsed="false">
      <c r="A20" s="0" t="s">
        <v>63</v>
      </c>
      <c r="B20" s="0" t="s">
        <v>64</v>
      </c>
      <c r="C20" s="0" t="s">
        <v>42</v>
      </c>
      <c r="D20" s="0" t="n">
        <v>1094.5</v>
      </c>
      <c r="E20" s="3" t="n">
        <v>10369565</v>
      </c>
    </row>
    <row r="21" customFormat="false" ht="15" hidden="false" customHeight="false" outlineLevel="0" collapsed="false">
      <c r="A21" s="0" t="s">
        <v>65</v>
      </c>
      <c r="B21" s="0" t="s">
        <v>66</v>
      </c>
      <c r="C21" s="0" t="s">
        <v>26</v>
      </c>
      <c r="D21" s="0" t="n">
        <v>2505.9</v>
      </c>
      <c r="E21" s="3" t="n">
        <v>1455678</v>
      </c>
    </row>
    <row r="22" customFormat="false" ht="15" hidden="false" customHeight="false" outlineLevel="0" collapsed="false">
      <c r="A22" s="0" t="s">
        <v>67</v>
      </c>
      <c r="B22" s="0" t="s">
        <v>68</v>
      </c>
      <c r="C22" s="0" t="s">
        <v>23</v>
      </c>
      <c r="D22" s="0" t="n">
        <v>1104.6</v>
      </c>
      <c r="E22" s="3" t="n">
        <v>1315452</v>
      </c>
    </row>
    <row r="23" customFormat="false" ht="15" hidden="false" customHeight="false" outlineLevel="0" collapsed="false">
      <c r="A23" s="0" t="s">
        <v>69</v>
      </c>
      <c r="B23" s="0" t="s">
        <v>70</v>
      </c>
      <c r="C23" s="0" t="s">
        <v>34</v>
      </c>
      <c r="D23" s="0" t="n">
        <v>1089.8</v>
      </c>
      <c r="E23" s="3" t="n">
        <v>805565</v>
      </c>
    </row>
    <row r="24" customFormat="false" ht="15" hidden="false" customHeight="false" outlineLevel="0" collapsed="false">
      <c r="A24" s="0" t="s">
        <v>71</v>
      </c>
      <c r="B24" s="0" t="s">
        <v>72</v>
      </c>
      <c r="C24" s="0" t="s">
        <v>53</v>
      </c>
      <c r="D24" s="0" t="n">
        <v>2311.5</v>
      </c>
      <c r="E24" s="3" t="n">
        <v>655452</v>
      </c>
    </row>
    <row r="25" customFormat="false" ht="15" hidden="false" customHeight="false" outlineLevel="0" collapsed="false">
      <c r="A25" s="0" t="s">
        <v>73</v>
      </c>
      <c r="B25" s="0" t="s">
        <v>74</v>
      </c>
      <c r="C25" s="0" t="s">
        <v>34</v>
      </c>
      <c r="D25" s="0" t="n">
        <v>1842.4</v>
      </c>
      <c r="E25" s="3" t="n">
        <v>1734113</v>
      </c>
    </row>
    <row r="26" customFormat="false" ht="15" hidden="false" customHeight="false" outlineLevel="0" collapsed="false">
      <c r="A26" s="0" t="s">
        <v>75</v>
      </c>
      <c r="B26" s="0" t="s">
        <v>76</v>
      </c>
      <c r="C26" s="0" t="s">
        <v>53</v>
      </c>
      <c r="D26" s="0" t="n">
        <v>832.4</v>
      </c>
      <c r="E26" s="3" t="n">
        <v>1525809</v>
      </c>
    </row>
    <row r="27" customFormat="false" ht="15" hidden="false" customHeight="false" outlineLevel="0" collapsed="false">
      <c r="A27" s="0" t="s">
        <v>77</v>
      </c>
      <c r="B27" s="0" t="s">
        <v>78</v>
      </c>
      <c r="C27" s="0" t="s">
        <v>23</v>
      </c>
      <c r="D27" s="0" t="n">
        <v>1239.4</v>
      </c>
      <c r="E27" s="3" t="n">
        <v>2776338</v>
      </c>
    </row>
    <row r="28" customFormat="false" ht="15" hidden="false" customHeight="false" outlineLevel="0" collapsed="false">
      <c r="A28" s="0" t="s">
        <v>79</v>
      </c>
      <c r="B28" s="0" t="s">
        <v>80</v>
      </c>
      <c r="C28" s="0" t="s">
        <v>29</v>
      </c>
      <c r="D28" s="0" t="n">
        <v>1903.1</v>
      </c>
      <c r="E28" s="3" t="n">
        <v>1385565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6"/>
  </cols>
  <sheetData>
    <row r="1" customFormat="false" ht="15" hidden="false" customHeight="false" outlineLevel="0" collapsed="false">
      <c r="A1" s="2" t="s">
        <v>16</v>
      </c>
      <c r="B1" s="2" t="s">
        <v>17</v>
      </c>
      <c r="C1" s="2" t="s">
        <v>81</v>
      </c>
    </row>
    <row r="2" customFormat="false" ht="15" hidden="false" customHeight="false" outlineLevel="0" collapsed="false">
      <c r="A2" s="0" t="s">
        <v>21</v>
      </c>
      <c r="B2" s="0" t="s">
        <v>22</v>
      </c>
      <c r="C2" s="0" t="n">
        <v>1103666</v>
      </c>
    </row>
    <row r="3" customFormat="false" ht="15" hidden="false" customHeight="false" outlineLevel="0" collapsed="false">
      <c r="A3" s="0" t="s">
        <v>24</v>
      </c>
      <c r="B3" s="0" t="s">
        <v>25</v>
      </c>
      <c r="C3" s="0" t="n">
        <v>506339</v>
      </c>
    </row>
    <row r="4" customFormat="false" ht="15" hidden="false" customHeight="false" outlineLevel="0" collapsed="false">
      <c r="A4" s="0" t="s">
        <v>27</v>
      </c>
      <c r="B4" s="0" t="s">
        <v>28</v>
      </c>
      <c r="C4" s="0" t="n">
        <v>4295113</v>
      </c>
    </row>
    <row r="5" customFormat="false" ht="15" hidden="false" customHeight="false" outlineLevel="0" collapsed="false">
      <c r="A5" s="0" t="s">
        <v>82</v>
      </c>
      <c r="B5" s="0" t="s">
        <v>83</v>
      </c>
      <c r="C5" s="0" t="n">
        <v>2359452</v>
      </c>
    </row>
    <row r="6" customFormat="false" ht="15" hidden="false" customHeight="false" outlineLevel="0" collapsed="false">
      <c r="A6" s="0" t="s">
        <v>30</v>
      </c>
      <c r="B6" s="0" t="s">
        <v>31</v>
      </c>
      <c r="C6" s="0" t="n">
        <v>357226</v>
      </c>
    </row>
    <row r="7" customFormat="false" ht="15" hidden="false" customHeight="false" outlineLevel="0" collapsed="false">
      <c r="A7" s="0" t="s">
        <v>32</v>
      </c>
      <c r="B7" s="0" t="s">
        <v>33</v>
      </c>
      <c r="C7" s="0" t="n">
        <v>2775000</v>
      </c>
    </row>
    <row r="8" customFormat="false" ht="15" hidden="false" customHeight="false" outlineLevel="0" collapsed="false">
      <c r="A8" s="0" t="s">
        <v>35</v>
      </c>
      <c r="B8" s="0" t="s">
        <v>36</v>
      </c>
      <c r="C8" s="0" t="n">
        <v>207793</v>
      </c>
    </row>
    <row r="9" customFormat="false" ht="15" hidden="false" customHeight="false" outlineLevel="0" collapsed="false">
      <c r="A9" s="0" t="s">
        <v>37</v>
      </c>
      <c r="B9" s="0" t="s">
        <v>38</v>
      </c>
      <c r="C9" s="0" t="n">
        <v>1174226</v>
      </c>
    </row>
    <row r="10" customFormat="false" ht="15" hidden="false" customHeight="false" outlineLevel="0" collapsed="false">
      <c r="A10" s="0" t="s">
        <v>40</v>
      </c>
      <c r="B10" s="0" t="s">
        <v>41</v>
      </c>
      <c r="C10" s="0" t="n">
        <v>1942226</v>
      </c>
    </row>
    <row r="11" customFormat="false" ht="15" hidden="false" customHeight="false" outlineLevel="0" collapsed="false">
      <c r="A11" s="0" t="s">
        <v>43</v>
      </c>
      <c r="B11" s="0" t="s">
        <v>44</v>
      </c>
      <c r="C11" s="0" t="n">
        <v>8850452</v>
      </c>
    </row>
    <row r="12" customFormat="false" ht="15" hidden="false" customHeight="false" outlineLevel="0" collapsed="false">
      <c r="A12" s="0" t="s">
        <v>45</v>
      </c>
      <c r="B12" s="0" t="s">
        <v>46</v>
      </c>
      <c r="C12" s="0" t="n">
        <v>5813226</v>
      </c>
    </row>
    <row r="13" customFormat="false" ht="15" hidden="false" customHeight="false" outlineLevel="0" collapsed="false">
      <c r="A13" s="0" t="s">
        <v>47</v>
      </c>
      <c r="B13" s="0" t="s">
        <v>48</v>
      </c>
      <c r="C13" s="0" t="n">
        <v>1244339</v>
      </c>
    </row>
    <row r="14" customFormat="false" ht="15" hidden="false" customHeight="false" outlineLevel="0" collapsed="false">
      <c r="A14" s="0" t="s">
        <v>49</v>
      </c>
      <c r="B14" s="0" t="s">
        <v>50</v>
      </c>
      <c r="C14" s="0" t="n">
        <v>954678</v>
      </c>
    </row>
    <row r="15" customFormat="false" ht="15" hidden="false" customHeight="false" outlineLevel="0" collapsed="false">
      <c r="A15" s="0" t="s">
        <v>51</v>
      </c>
      <c r="B15" s="0" t="s">
        <v>52</v>
      </c>
      <c r="C15" s="0" t="n">
        <v>7332339</v>
      </c>
    </row>
    <row r="16" customFormat="false" ht="15" hidden="false" customHeight="false" outlineLevel="0" collapsed="false">
      <c r="A16" s="0" t="s">
        <v>54</v>
      </c>
      <c r="B16" s="0" t="s">
        <v>55</v>
      </c>
      <c r="C16" s="0" t="n">
        <v>2150339</v>
      </c>
    </row>
    <row r="17" customFormat="false" ht="15" hidden="false" customHeight="false" outlineLevel="0" collapsed="false">
      <c r="A17" s="0" t="s">
        <v>57</v>
      </c>
      <c r="B17" s="0" t="s">
        <v>58</v>
      </c>
      <c r="C17" s="0" t="n">
        <v>2567565</v>
      </c>
    </row>
    <row r="18" customFormat="false" ht="15" hidden="false" customHeight="false" outlineLevel="0" collapsed="false">
      <c r="A18" s="0" t="s">
        <v>59</v>
      </c>
      <c r="B18" s="0" t="s">
        <v>60</v>
      </c>
      <c r="C18" s="0" t="n">
        <v>1103000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0" t="n">
        <v>11887150</v>
      </c>
    </row>
    <row r="20" customFormat="false" ht="15" hidden="false" customHeight="false" outlineLevel="0" collapsed="false">
      <c r="A20" s="0" t="s">
        <v>63</v>
      </c>
      <c r="B20" s="0" t="s">
        <v>64</v>
      </c>
      <c r="C20" s="0" t="n">
        <v>10369565</v>
      </c>
    </row>
    <row r="21" customFormat="false" ht="15" hidden="false" customHeight="false" outlineLevel="0" collapsed="false">
      <c r="A21" s="0" t="s">
        <v>65</v>
      </c>
      <c r="B21" s="0" t="s">
        <v>66</v>
      </c>
      <c r="C21" s="0" t="n">
        <v>1455678</v>
      </c>
    </row>
    <row r="22" customFormat="false" ht="15" hidden="false" customHeight="false" outlineLevel="0" collapsed="false">
      <c r="A22" s="0" t="s">
        <v>67</v>
      </c>
      <c r="B22" s="0" t="s">
        <v>68</v>
      </c>
      <c r="C22" s="0" t="n">
        <v>1315452</v>
      </c>
    </row>
    <row r="23" customFormat="false" ht="15" hidden="false" customHeight="false" outlineLevel="0" collapsed="false">
      <c r="A23" s="0" t="s">
        <v>69</v>
      </c>
      <c r="B23" s="0" t="s">
        <v>70</v>
      </c>
      <c r="C23" s="0" t="n">
        <v>805565</v>
      </c>
    </row>
    <row r="24" customFormat="false" ht="15" hidden="false" customHeight="false" outlineLevel="0" collapsed="false">
      <c r="A24" s="0" t="s">
        <v>71</v>
      </c>
      <c r="B24" s="0" t="s">
        <v>72</v>
      </c>
      <c r="C24" s="0" t="n">
        <v>655452</v>
      </c>
    </row>
    <row r="25" customFormat="false" ht="15" hidden="false" customHeight="false" outlineLevel="0" collapsed="false">
      <c r="A25" s="0" t="s">
        <v>73</v>
      </c>
      <c r="B25" s="0" t="s">
        <v>74</v>
      </c>
      <c r="C25" s="0" t="n">
        <v>1734113</v>
      </c>
    </row>
    <row r="26" customFormat="false" ht="15" hidden="false" customHeight="false" outlineLevel="0" collapsed="false">
      <c r="A26" s="0" t="s">
        <v>75</v>
      </c>
      <c r="B26" s="0" t="s">
        <v>76</v>
      </c>
      <c r="C26" s="0" t="n">
        <v>1525809</v>
      </c>
    </row>
    <row r="27" customFormat="false" ht="15" hidden="false" customHeight="false" outlineLevel="0" collapsed="false">
      <c r="A27" s="0" t="s">
        <v>77</v>
      </c>
      <c r="B27" s="0" t="s">
        <v>78</v>
      </c>
      <c r="C27" s="0" t="n">
        <v>2776338</v>
      </c>
    </row>
    <row r="28" customFormat="false" ht="15" hidden="false" customHeight="false" outlineLevel="0" collapsed="false">
      <c r="A28" s="0" t="s">
        <v>79</v>
      </c>
      <c r="B28" s="0" t="s">
        <v>80</v>
      </c>
      <c r="C28" s="0" t="n">
        <v>1385565</v>
      </c>
    </row>
    <row r="29" customFormat="false" ht="15" hidden="false" customHeight="false" outlineLevel="0" collapsed="false">
      <c r="A29" s="0" t="s">
        <v>84</v>
      </c>
      <c r="B29" s="0" t="s">
        <v>85</v>
      </c>
      <c r="C29" s="0" t="n">
        <v>90000</v>
      </c>
    </row>
    <row r="30" customFormat="false" ht="15" hidden="false" customHeight="false" outlineLevel="0" collapsed="false">
      <c r="A30" s="0" t="s">
        <v>86</v>
      </c>
      <c r="B30" s="0" t="s">
        <v>87</v>
      </c>
      <c r="C30" s="0" t="n">
        <v>131000</v>
      </c>
    </row>
    <row r="31" customFormat="false" ht="15" hidden="false" customHeight="false" outlineLevel="0" collapsed="false">
      <c r="A31" s="0" t="s">
        <v>88</v>
      </c>
      <c r="B31" s="0" t="s">
        <v>89</v>
      </c>
      <c r="C31" s="0" t="n">
        <v>172000</v>
      </c>
    </row>
    <row r="32" customFormat="false" ht="15" hidden="false" customHeight="false" outlineLevel="0" collapsed="false">
      <c r="A32" s="0" t="s">
        <v>90</v>
      </c>
      <c r="B32" s="0" t="s">
        <v>91</v>
      </c>
      <c r="C32" s="0" t="n">
        <v>213000</v>
      </c>
    </row>
    <row r="33" customFormat="false" ht="15" hidden="false" customHeight="false" outlineLevel="0" collapsed="false">
      <c r="A33" s="0" t="s">
        <v>92</v>
      </c>
      <c r="B33" s="0" t="s">
        <v>93</v>
      </c>
      <c r="C33" s="0" t="n">
        <v>254000</v>
      </c>
    </row>
    <row r="34" customFormat="false" ht="15" hidden="false" customHeight="false" outlineLevel="0" collapsed="false">
      <c r="A34" s="0" t="s">
        <v>94</v>
      </c>
      <c r="B34" s="0" t="s">
        <v>95</v>
      </c>
      <c r="C34" s="0" t="n">
        <v>295000</v>
      </c>
    </row>
    <row r="35" customFormat="false" ht="15" hidden="false" customHeight="false" outlineLevel="0" collapsed="false">
      <c r="A35" s="0" t="s">
        <v>96</v>
      </c>
      <c r="B35" s="0" t="s">
        <v>97</v>
      </c>
      <c r="C35" s="0" t="n">
        <v>336000</v>
      </c>
    </row>
    <row r="36" customFormat="false" ht="15" hidden="false" customHeight="false" outlineLevel="0" collapsed="false">
      <c r="A36" s="0" t="s">
        <v>98</v>
      </c>
      <c r="B36" s="0" t="s">
        <v>99</v>
      </c>
      <c r="C36" s="0" t="n">
        <v>377000</v>
      </c>
    </row>
    <row r="37" customFormat="false" ht="15" hidden="false" customHeight="false" outlineLevel="0" collapsed="false">
      <c r="A37" s="0" t="s">
        <v>100</v>
      </c>
      <c r="B37" s="0" t="s">
        <v>101</v>
      </c>
      <c r="C37" s="0" t="n">
        <v>418000</v>
      </c>
    </row>
    <row r="38" customFormat="false" ht="15" hidden="false" customHeight="false" outlineLevel="0" collapsed="false">
      <c r="A38" s="0" t="s">
        <v>102</v>
      </c>
      <c r="B38" s="0" t="s">
        <v>103</v>
      </c>
      <c r="C38" s="0" t="n">
        <v>459000</v>
      </c>
    </row>
    <row r="39" customFormat="false" ht="15" hidden="false" customHeight="false" outlineLevel="0" collapsed="false">
      <c r="A39" s="0" t="s">
        <v>104</v>
      </c>
      <c r="B39" s="0" t="s">
        <v>105</v>
      </c>
      <c r="C39" s="0" t="n">
        <v>500000</v>
      </c>
    </row>
    <row r="40" customFormat="false" ht="15" hidden="false" customHeight="false" outlineLevel="0" collapsed="false">
      <c r="A40" s="0" t="s">
        <v>106</v>
      </c>
      <c r="B40" s="0" t="s">
        <v>107</v>
      </c>
      <c r="C40" s="0" t="n">
        <v>541000</v>
      </c>
    </row>
    <row r="41" customFormat="false" ht="15" hidden="false" customHeight="false" outlineLevel="0" collapsed="false">
      <c r="A41" s="0" t="s">
        <v>108</v>
      </c>
      <c r="B41" s="0" t="s">
        <v>109</v>
      </c>
      <c r="C41" s="0" t="n">
        <v>582000</v>
      </c>
    </row>
    <row r="42" customFormat="false" ht="15" hidden="false" customHeight="false" outlineLevel="0" collapsed="false">
      <c r="A42" s="0" t="s">
        <v>110</v>
      </c>
      <c r="B42" s="0" t="s">
        <v>111</v>
      </c>
      <c r="C42" s="0" t="n">
        <v>623000</v>
      </c>
    </row>
    <row r="43" customFormat="false" ht="15" hidden="false" customHeight="false" outlineLevel="0" collapsed="false">
      <c r="A43" s="0" t="s">
        <v>112</v>
      </c>
      <c r="B43" s="0" t="s">
        <v>113</v>
      </c>
      <c r="C43" s="0" t="n">
        <v>664000</v>
      </c>
    </row>
    <row r="44" customFormat="false" ht="15" hidden="false" customHeight="false" outlineLevel="0" collapsed="false">
      <c r="A44" s="0" t="s">
        <v>114</v>
      </c>
      <c r="B44" s="0" t="s">
        <v>115</v>
      </c>
      <c r="C44" s="0" t="n">
        <v>705000</v>
      </c>
    </row>
    <row r="45" customFormat="false" ht="15" hidden="false" customHeight="false" outlineLevel="0" collapsed="false">
      <c r="A45" s="0" t="s">
        <v>116</v>
      </c>
      <c r="B45" s="0" t="s">
        <v>117</v>
      </c>
      <c r="C45" s="0" t="n">
        <v>746000</v>
      </c>
    </row>
    <row r="46" customFormat="false" ht="15" hidden="false" customHeight="false" outlineLevel="0" collapsed="false">
      <c r="A46" s="0" t="s">
        <v>118</v>
      </c>
      <c r="B46" s="0" t="s">
        <v>119</v>
      </c>
      <c r="C46" s="0" t="n">
        <v>787000</v>
      </c>
    </row>
    <row r="47" customFormat="false" ht="15" hidden="false" customHeight="false" outlineLevel="0" collapsed="false">
      <c r="A47" s="0" t="s">
        <v>120</v>
      </c>
      <c r="B47" s="0" t="s">
        <v>121</v>
      </c>
      <c r="C47" s="0" t="n">
        <v>828000</v>
      </c>
    </row>
    <row r="48" customFormat="false" ht="15" hidden="false" customHeight="false" outlineLevel="0" collapsed="false">
      <c r="A48" s="0" t="s">
        <v>122</v>
      </c>
      <c r="B48" s="0" t="s">
        <v>123</v>
      </c>
      <c r="C48" s="0" t="n">
        <v>869000</v>
      </c>
    </row>
    <row r="49" customFormat="false" ht="15" hidden="false" customHeight="false" outlineLevel="0" collapsed="false">
      <c r="A49" s="0" t="s">
        <v>124</v>
      </c>
      <c r="B49" s="0" t="s">
        <v>125</v>
      </c>
      <c r="C49" s="0" t="n">
        <v>910000</v>
      </c>
    </row>
    <row r="50" customFormat="false" ht="15" hidden="false" customHeight="false" outlineLevel="0" collapsed="false">
      <c r="A50" s="0" t="s">
        <v>126</v>
      </c>
      <c r="B50" s="0" t="s">
        <v>127</v>
      </c>
      <c r="C50" s="0" t="n">
        <v>951000</v>
      </c>
    </row>
    <row r="51" customFormat="false" ht="15" hidden="false" customHeight="false" outlineLevel="0" collapsed="false">
      <c r="A51" s="0" t="s">
        <v>128</v>
      </c>
      <c r="B51" s="0" t="s">
        <v>129</v>
      </c>
      <c r="C51" s="0" t="n">
        <v>992000</v>
      </c>
    </row>
    <row r="52" customFormat="false" ht="15" hidden="false" customHeight="false" outlineLevel="0" collapsed="false">
      <c r="A52" s="0" t="s">
        <v>130</v>
      </c>
      <c r="B52" s="0" t="s">
        <v>131</v>
      </c>
      <c r="C52" s="0" t="n">
        <v>1033000</v>
      </c>
    </row>
    <row r="53" customFormat="false" ht="15" hidden="false" customHeight="false" outlineLevel="0" collapsed="false">
      <c r="A53" s="0" t="s">
        <v>132</v>
      </c>
      <c r="B53" s="0" t="s">
        <v>133</v>
      </c>
      <c r="C53" s="0" t="n">
        <v>1074000</v>
      </c>
    </row>
    <row r="54" customFormat="false" ht="15" hidden="false" customHeight="false" outlineLevel="0" collapsed="false">
      <c r="A54" s="0" t="s">
        <v>134</v>
      </c>
      <c r="B54" s="0" t="s">
        <v>135</v>
      </c>
      <c r="C54" s="0" t="n">
        <v>1115000</v>
      </c>
    </row>
    <row r="55" customFormat="false" ht="15" hidden="false" customHeight="false" outlineLevel="0" collapsed="false">
      <c r="A55" s="0" t="s">
        <v>136</v>
      </c>
      <c r="B55" s="0" t="s">
        <v>137</v>
      </c>
      <c r="C55" s="0" t="n">
        <v>1156000</v>
      </c>
    </row>
    <row r="56" customFormat="false" ht="15" hidden="false" customHeight="false" outlineLevel="0" collapsed="false">
      <c r="A56" s="0" t="s">
        <v>138</v>
      </c>
      <c r="B56" s="0" t="s">
        <v>139</v>
      </c>
      <c r="C56" s="0" t="n">
        <v>1197000</v>
      </c>
    </row>
    <row r="57" customFormat="false" ht="15" hidden="false" customHeight="false" outlineLevel="0" collapsed="false">
      <c r="A57" s="0" t="s">
        <v>140</v>
      </c>
      <c r="B57" s="0" t="s">
        <v>141</v>
      </c>
      <c r="C57" s="0" t="n">
        <v>1238000</v>
      </c>
    </row>
    <row r="58" customFormat="false" ht="15" hidden="false" customHeight="false" outlineLevel="0" collapsed="false">
      <c r="A58" s="0" t="s">
        <v>142</v>
      </c>
      <c r="B58" s="0" t="s">
        <v>143</v>
      </c>
      <c r="C58" s="0" t="n">
        <v>1279000</v>
      </c>
    </row>
    <row r="59" customFormat="false" ht="15" hidden="false" customHeight="false" outlineLevel="0" collapsed="false">
      <c r="A59" s="0" t="s">
        <v>144</v>
      </c>
      <c r="B59" s="0" t="s">
        <v>145</v>
      </c>
      <c r="C59" s="0" t="n">
        <v>1320000</v>
      </c>
    </row>
    <row r="60" customFormat="false" ht="15" hidden="false" customHeight="false" outlineLevel="0" collapsed="false">
      <c r="A60" s="0" t="s">
        <v>146</v>
      </c>
      <c r="B60" s="0" t="s">
        <v>147</v>
      </c>
      <c r="C60" s="0" t="n">
        <v>1361000</v>
      </c>
    </row>
    <row r="61" customFormat="false" ht="15" hidden="false" customHeight="false" outlineLevel="0" collapsed="false">
      <c r="A61" s="0" t="s">
        <v>148</v>
      </c>
      <c r="B61" s="0" t="s">
        <v>149</v>
      </c>
      <c r="C61" s="0" t="n">
        <v>1402000</v>
      </c>
    </row>
    <row r="62" customFormat="false" ht="15" hidden="false" customHeight="false" outlineLevel="0" collapsed="false">
      <c r="A62" s="0" t="s">
        <v>150</v>
      </c>
      <c r="B62" s="0" t="s">
        <v>151</v>
      </c>
      <c r="C62" s="0" t="n">
        <v>1443000</v>
      </c>
    </row>
    <row r="63" customFormat="false" ht="15" hidden="false" customHeight="false" outlineLevel="0" collapsed="false">
      <c r="A63" s="0" t="s">
        <v>152</v>
      </c>
      <c r="B63" s="0" t="s">
        <v>153</v>
      </c>
      <c r="C63" s="0" t="n">
        <v>1484000</v>
      </c>
    </row>
    <row r="64" customFormat="false" ht="15" hidden="false" customHeight="false" outlineLevel="0" collapsed="false">
      <c r="A64" s="0" t="s">
        <v>154</v>
      </c>
      <c r="B64" s="0" t="s">
        <v>155</v>
      </c>
      <c r="C64" s="0" t="n">
        <v>1525000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6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2" t="s">
        <v>156</v>
      </c>
      <c r="B1" s="2" t="s">
        <v>17</v>
      </c>
      <c r="C1" s="2" t="s">
        <v>157</v>
      </c>
      <c r="D1" s="2" t="s">
        <v>158</v>
      </c>
    </row>
    <row r="2" customFormat="false" ht="15" hidden="false" customHeight="false" outlineLevel="0" collapsed="false">
      <c r="A2" s="0" t="n">
        <v>1</v>
      </c>
      <c r="B2" s="0" t="s">
        <v>22</v>
      </c>
      <c r="C2" s="0" t="s">
        <v>159</v>
      </c>
      <c r="D2" s="0" t="s">
        <v>160</v>
      </c>
    </row>
    <row r="3" customFormat="false" ht="15" hidden="false" customHeight="false" outlineLevel="0" collapsed="false">
      <c r="A3" s="0" t="n">
        <v>2</v>
      </c>
      <c r="B3" s="0" t="s">
        <v>25</v>
      </c>
      <c r="C3" s="0" t="s">
        <v>159</v>
      </c>
      <c r="D3" s="0" t="s">
        <v>160</v>
      </c>
    </row>
    <row r="4" customFormat="false" ht="15" hidden="false" customHeight="false" outlineLevel="0" collapsed="false">
      <c r="A4" s="0" t="n">
        <v>3</v>
      </c>
      <c r="B4" s="0" t="s">
        <v>28</v>
      </c>
      <c r="C4" s="0" t="s">
        <v>159</v>
      </c>
      <c r="D4" s="0" t="s">
        <v>160</v>
      </c>
    </row>
    <row r="5" customFormat="false" ht="15" hidden="false" customHeight="false" outlineLevel="0" collapsed="false">
      <c r="A5" s="0" t="n">
        <v>4</v>
      </c>
      <c r="B5" s="0" t="s">
        <v>83</v>
      </c>
      <c r="C5" s="0" t="s">
        <v>159</v>
      </c>
      <c r="D5" s="0" t="s">
        <v>160</v>
      </c>
    </row>
    <row r="6" customFormat="false" ht="15" hidden="false" customHeight="false" outlineLevel="0" collapsed="false">
      <c r="A6" s="0" t="n">
        <v>5</v>
      </c>
      <c r="B6" s="0" t="s">
        <v>31</v>
      </c>
      <c r="C6" s="0" t="s">
        <v>159</v>
      </c>
      <c r="D6" s="0" t="s">
        <v>160</v>
      </c>
    </row>
    <row r="7" customFormat="false" ht="15" hidden="false" customHeight="false" outlineLevel="0" collapsed="false">
      <c r="A7" s="0" t="n">
        <v>6</v>
      </c>
      <c r="B7" s="0" t="s">
        <v>33</v>
      </c>
      <c r="C7" s="0" t="s">
        <v>159</v>
      </c>
      <c r="D7" s="0" t="s">
        <v>160</v>
      </c>
    </row>
    <row r="8" customFormat="false" ht="15" hidden="false" customHeight="false" outlineLevel="0" collapsed="false">
      <c r="A8" s="0" t="n">
        <v>7</v>
      </c>
      <c r="B8" s="0" t="s">
        <v>36</v>
      </c>
      <c r="C8" s="0" t="s">
        <v>159</v>
      </c>
      <c r="D8" s="0" t="s">
        <v>160</v>
      </c>
    </row>
    <row r="9" customFormat="false" ht="15" hidden="false" customHeight="false" outlineLevel="0" collapsed="false">
      <c r="A9" s="0" t="n">
        <v>8</v>
      </c>
      <c r="B9" s="0" t="s">
        <v>38</v>
      </c>
      <c r="C9" s="0" t="s">
        <v>159</v>
      </c>
      <c r="D9" s="0" t="s">
        <v>160</v>
      </c>
    </row>
    <row r="10" customFormat="false" ht="15" hidden="false" customHeight="false" outlineLevel="0" collapsed="false">
      <c r="A10" s="0" t="n">
        <v>9</v>
      </c>
      <c r="B10" s="0" t="s">
        <v>41</v>
      </c>
      <c r="C10" s="0" t="s">
        <v>159</v>
      </c>
      <c r="D10" s="0" t="s">
        <v>160</v>
      </c>
    </row>
    <row r="11" customFormat="false" ht="15" hidden="false" customHeight="false" outlineLevel="0" collapsed="false">
      <c r="A11" s="0" t="n">
        <v>10</v>
      </c>
      <c r="B11" s="0" t="s">
        <v>44</v>
      </c>
      <c r="C11" s="0" t="s">
        <v>159</v>
      </c>
      <c r="D11" s="0" t="s">
        <v>160</v>
      </c>
    </row>
    <row r="12" customFormat="false" ht="15" hidden="false" customHeight="false" outlineLevel="0" collapsed="false">
      <c r="A12" s="0" t="n">
        <v>11</v>
      </c>
      <c r="B12" s="0" t="s">
        <v>46</v>
      </c>
      <c r="C12" s="0" t="s">
        <v>159</v>
      </c>
      <c r="D12" s="0" t="s">
        <v>160</v>
      </c>
    </row>
    <row r="13" customFormat="false" ht="15" hidden="false" customHeight="false" outlineLevel="0" collapsed="false">
      <c r="A13" s="0" t="n">
        <v>12</v>
      </c>
      <c r="B13" s="0" t="s">
        <v>48</v>
      </c>
      <c r="C13" s="0" t="s">
        <v>159</v>
      </c>
      <c r="D13" s="0" t="s">
        <v>160</v>
      </c>
    </row>
    <row r="14" customFormat="false" ht="15" hidden="false" customHeight="false" outlineLevel="0" collapsed="false">
      <c r="A14" s="0" t="n">
        <v>13</v>
      </c>
      <c r="B14" s="0" t="s">
        <v>50</v>
      </c>
      <c r="C14" s="0" t="s">
        <v>159</v>
      </c>
      <c r="D14" s="0" t="s">
        <v>160</v>
      </c>
    </row>
    <row r="15" customFormat="false" ht="15" hidden="false" customHeight="false" outlineLevel="0" collapsed="false">
      <c r="A15" s="0" t="n">
        <v>14</v>
      </c>
      <c r="B15" s="0" t="s">
        <v>52</v>
      </c>
      <c r="C15" s="0" t="s">
        <v>159</v>
      </c>
      <c r="D15" s="0" t="s">
        <v>160</v>
      </c>
    </row>
    <row r="16" customFormat="false" ht="15" hidden="false" customHeight="false" outlineLevel="0" collapsed="false">
      <c r="A16" s="0" t="n">
        <v>15</v>
      </c>
      <c r="B16" s="0" t="s">
        <v>55</v>
      </c>
      <c r="C16" s="0" t="s">
        <v>159</v>
      </c>
      <c r="D16" s="0" t="s">
        <v>160</v>
      </c>
    </row>
    <row r="17" customFormat="false" ht="15" hidden="false" customHeight="false" outlineLevel="0" collapsed="false">
      <c r="A17" s="0" t="n">
        <v>16</v>
      </c>
      <c r="B17" s="0" t="s">
        <v>58</v>
      </c>
      <c r="C17" s="0" t="s">
        <v>159</v>
      </c>
      <c r="D17" s="0" t="s">
        <v>160</v>
      </c>
    </row>
    <row r="18" customFormat="false" ht="15" hidden="false" customHeight="false" outlineLevel="0" collapsed="false">
      <c r="A18" s="0" t="n">
        <v>17</v>
      </c>
      <c r="B18" s="0" t="s">
        <v>60</v>
      </c>
      <c r="C18" s="0" t="s">
        <v>159</v>
      </c>
      <c r="D18" s="0" t="s">
        <v>160</v>
      </c>
    </row>
    <row r="19" customFormat="false" ht="15" hidden="false" customHeight="false" outlineLevel="0" collapsed="false">
      <c r="A19" s="0" t="n">
        <v>18</v>
      </c>
      <c r="B19" s="0" t="s">
        <v>62</v>
      </c>
      <c r="C19" s="0" t="s">
        <v>159</v>
      </c>
      <c r="D19" s="0" t="s">
        <v>160</v>
      </c>
    </row>
    <row r="20" customFormat="false" ht="15" hidden="false" customHeight="false" outlineLevel="0" collapsed="false">
      <c r="A20" s="0" t="n">
        <v>19</v>
      </c>
      <c r="B20" s="0" t="s">
        <v>64</v>
      </c>
      <c r="C20" s="0" t="s">
        <v>159</v>
      </c>
      <c r="D20" s="0" t="s">
        <v>160</v>
      </c>
    </row>
    <row r="21" customFormat="false" ht="15" hidden="false" customHeight="false" outlineLevel="0" collapsed="false">
      <c r="A21" s="0" t="n">
        <v>20</v>
      </c>
      <c r="B21" s="0" t="s">
        <v>66</v>
      </c>
      <c r="C21" s="0" t="s">
        <v>159</v>
      </c>
      <c r="D21" s="0" t="s">
        <v>160</v>
      </c>
    </row>
    <row r="22" customFormat="false" ht="15" hidden="false" customHeight="false" outlineLevel="0" collapsed="false">
      <c r="A22" s="0" t="n">
        <v>21</v>
      </c>
      <c r="B22" s="0" t="s">
        <v>68</v>
      </c>
      <c r="C22" s="0" t="s">
        <v>159</v>
      </c>
      <c r="D22" s="0" t="s">
        <v>160</v>
      </c>
    </row>
    <row r="23" customFormat="false" ht="15" hidden="false" customHeight="false" outlineLevel="0" collapsed="false">
      <c r="A23" s="0" t="n">
        <v>22</v>
      </c>
      <c r="B23" s="0" t="s">
        <v>70</v>
      </c>
      <c r="C23" s="0" t="s">
        <v>159</v>
      </c>
      <c r="D23" s="0" t="s">
        <v>160</v>
      </c>
    </row>
    <row r="24" customFormat="false" ht="15" hidden="false" customHeight="false" outlineLevel="0" collapsed="false">
      <c r="A24" s="0" t="n">
        <v>23</v>
      </c>
      <c r="B24" s="0" t="s">
        <v>72</v>
      </c>
      <c r="C24" s="0" t="s">
        <v>159</v>
      </c>
      <c r="D24" s="0" t="s">
        <v>160</v>
      </c>
    </row>
    <row r="25" customFormat="false" ht="15" hidden="false" customHeight="false" outlineLevel="0" collapsed="false">
      <c r="A25" s="0" t="n">
        <v>24</v>
      </c>
      <c r="B25" s="0" t="s">
        <v>74</v>
      </c>
      <c r="C25" s="0" t="s">
        <v>159</v>
      </c>
      <c r="D25" s="0" t="s">
        <v>160</v>
      </c>
    </row>
    <row r="26" customFormat="false" ht="15" hidden="false" customHeight="false" outlineLevel="0" collapsed="false">
      <c r="A26" s="0" t="n">
        <v>25</v>
      </c>
      <c r="B26" s="0" t="s">
        <v>76</v>
      </c>
      <c r="C26" s="0" t="s">
        <v>159</v>
      </c>
      <c r="D26" s="0" t="s">
        <v>160</v>
      </c>
    </row>
    <row r="27" customFormat="false" ht="15" hidden="false" customHeight="false" outlineLevel="0" collapsed="false">
      <c r="A27" s="0" t="n">
        <v>26</v>
      </c>
      <c r="B27" s="0" t="s">
        <v>78</v>
      </c>
      <c r="C27" s="0" t="s">
        <v>159</v>
      </c>
      <c r="D27" s="0" t="s">
        <v>160</v>
      </c>
    </row>
    <row r="28" customFormat="false" ht="15" hidden="false" customHeight="false" outlineLevel="0" collapsed="false">
      <c r="A28" s="0" t="n">
        <v>27</v>
      </c>
      <c r="B28" s="0" t="s">
        <v>80</v>
      </c>
      <c r="C28" s="0" t="s">
        <v>159</v>
      </c>
      <c r="D28" s="0" t="s">
        <v>160</v>
      </c>
    </row>
    <row r="29" customFormat="false" ht="15" hidden="false" customHeight="false" outlineLevel="0" collapsed="false">
      <c r="A29" s="0" t="n">
        <v>28</v>
      </c>
      <c r="B29" s="0" t="s">
        <v>85</v>
      </c>
      <c r="C29" s="0" t="s">
        <v>161</v>
      </c>
      <c r="D29" s="0" t="s">
        <v>162</v>
      </c>
    </row>
    <row r="30" customFormat="false" ht="15" hidden="false" customHeight="false" outlineLevel="0" collapsed="false">
      <c r="A30" s="0" t="n">
        <v>29</v>
      </c>
      <c r="B30" s="0" t="s">
        <v>87</v>
      </c>
      <c r="C30" s="0" t="s">
        <v>161</v>
      </c>
      <c r="D30" s="0" t="s">
        <v>163</v>
      </c>
    </row>
    <row r="31" customFormat="false" ht="15" hidden="false" customHeight="false" outlineLevel="0" collapsed="false">
      <c r="A31" s="0" t="n">
        <v>30</v>
      </c>
      <c r="B31" s="0" t="s">
        <v>89</v>
      </c>
      <c r="C31" s="0" t="s">
        <v>161</v>
      </c>
      <c r="D31" s="0" t="s">
        <v>164</v>
      </c>
    </row>
    <row r="32" customFormat="false" ht="15" hidden="false" customHeight="false" outlineLevel="0" collapsed="false">
      <c r="A32" s="0" t="n">
        <v>31</v>
      </c>
      <c r="B32" s="0" t="s">
        <v>91</v>
      </c>
      <c r="C32" s="0" t="s">
        <v>161</v>
      </c>
      <c r="D32" s="0" t="s">
        <v>165</v>
      </c>
    </row>
    <row r="33" customFormat="false" ht="15" hidden="false" customHeight="false" outlineLevel="0" collapsed="false">
      <c r="A33" s="0" t="n">
        <v>32</v>
      </c>
      <c r="B33" s="0" t="s">
        <v>93</v>
      </c>
      <c r="C33" s="0" t="s">
        <v>161</v>
      </c>
      <c r="D33" s="0" t="s">
        <v>166</v>
      </c>
    </row>
    <row r="34" customFormat="false" ht="15" hidden="false" customHeight="false" outlineLevel="0" collapsed="false">
      <c r="A34" s="0" t="n">
        <v>33</v>
      </c>
      <c r="B34" s="0" t="s">
        <v>95</v>
      </c>
      <c r="C34" s="0" t="s">
        <v>161</v>
      </c>
      <c r="D34" s="0" t="s">
        <v>167</v>
      </c>
    </row>
    <row r="35" customFormat="false" ht="15" hidden="false" customHeight="false" outlineLevel="0" collapsed="false">
      <c r="A35" s="0" t="n">
        <v>34</v>
      </c>
      <c r="B35" s="0" t="s">
        <v>97</v>
      </c>
      <c r="C35" s="0" t="s">
        <v>161</v>
      </c>
      <c r="D35" s="0" t="s">
        <v>162</v>
      </c>
    </row>
    <row r="36" customFormat="false" ht="15" hidden="false" customHeight="false" outlineLevel="0" collapsed="false">
      <c r="A36" s="0" t="n">
        <v>35</v>
      </c>
      <c r="B36" s="0" t="s">
        <v>99</v>
      </c>
      <c r="C36" s="0" t="s">
        <v>161</v>
      </c>
      <c r="D36" s="0" t="s">
        <v>163</v>
      </c>
    </row>
    <row r="37" customFormat="false" ht="15" hidden="false" customHeight="false" outlineLevel="0" collapsed="false">
      <c r="A37" s="0" t="n">
        <v>36</v>
      </c>
      <c r="B37" s="0" t="s">
        <v>101</v>
      </c>
      <c r="C37" s="0" t="s">
        <v>161</v>
      </c>
      <c r="D37" s="0" t="s">
        <v>164</v>
      </c>
    </row>
    <row r="38" customFormat="false" ht="15" hidden="false" customHeight="false" outlineLevel="0" collapsed="false">
      <c r="A38" s="0" t="n">
        <v>37</v>
      </c>
      <c r="B38" s="0" t="s">
        <v>103</v>
      </c>
      <c r="C38" s="0" t="s">
        <v>161</v>
      </c>
      <c r="D38" s="0" t="s">
        <v>165</v>
      </c>
    </row>
    <row r="39" customFormat="false" ht="15" hidden="false" customHeight="false" outlineLevel="0" collapsed="false">
      <c r="A39" s="0" t="n">
        <v>38</v>
      </c>
      <c r="B39" s="0" t="s">
        <v>105</v>
      </c>
      <c r="C39" s="0" t="s">
        <v>161</v>
      </c>
      <c r="D39" s="0" t="s">
        <v>166</v>
      </c>
    </row>
    <row r="40" customFormat="false" ht="15" hidden="false" customHeight="false" outlineLevel="0" collapsed="false">
      <c r="A40" s="0" t="n">
        <v>39</v>
      </c>
      <c r="B40" s="0" t="s">
        <v>107</v>
      </c>
      <c r="C40" s="0" t="s">
        <v>161</v>
      </c>
      <c r="D40" s="0" t="s">
        <v>167</v>
      </c>
    </row>
    <row r="41" customFormat="false" ht="15" hidden="false" customHeight="false" outlineLevel="0" collapsed="false">
      <c r="A41" s="0" t="n">
        <v>40</v>
      </c>
      <c r="B41" s="0" t="s">
        <v>109</v>
      </c>
      <c r="C41" s="0" t="s">
        <v>161</v>
      </c>
      <c r="D41" s="0" t="s">
        <v>162</v>
      </c>
    </row>
    <row r="42" customFormat="false" ht="15" hidden="false" customHeight="false" outlineLevel="0" collapsed="false">
      <c r="A42" s="0" t="n">
        <v>41</v>
      </c>
      <c r="B42" s="0" t="s">
        <v>111</v>
      </c>
      <c r="C42" s="0" t="s">
        <v>161</v>
      </c>
      <c r="D42" s="0" t="s">
        <v>163</v>
      </c>
    </row>
    <row r="43" customFormat="false" ht="15" hidden="false" customHeight="false" outlineLevel="0" collapsed="false">
      <c r="A43" s="0" t="n">
        <v>42</v>
      </c>
      <c r="B43" s="0" t="s">
        <v>113</v>
      </c>
      <c r="C43" s="0" t="s">
        <v>161</v>
      </c>
      <c r="D43" s="0" t="s">
        <v>164</v>
      </c>
    </row>
    <row r="44" customFormat="false" ht="15" hidden="false" customHeight="false" outlineLevel="0" collapsed="false">
      <c r="A44" s="0" t="n">
        <v>43</v>
      </c>
      <c r="B44" s="0" t="s">
        <v>115</v>
      </c>
      <c r="C44" s="0" t="s">
        <v>161</v>
      </c>
      <c r="D44" s="0" t="s">
        <v>165</v>
      </c>
    </row>
    <row r="45" customFormat="false" ht="15" hidden="false" customHeight="false" outlineLevel="0" collapsed="false">
      <c r="A45" s="0" t="n">
        <v>44</v>
      </c>
      <c r="B45" s="0" t="s">
        <v>117</v>
      </c>
      <c r="C45" s="0" t="s">
        <v>161</v>
      </c>
      <c r="D45" s="0" t="s">
        <v>166</v>
      </c>
    </row>
    <row r="46" customFormat="false" ht="15" hidden="false" customHeight="false" outlineLevel="0" collapsed="false">
      <c r="A46" s="0" t="n">
        <v>45</v>
      </c>
      <c r="B46" s="0" t="s">
        <v>119</v>
      </c>
      <c r="C46" s="0" t="s">
        <v>161</v>
      </c>
      <c r="D46" s="0" t="s">
        <v>167</v>
      </c>
    </row>
    <row r="47" customFormat="false" ht="15" hidden="false" customHeight="false" outlineLevel="0" collapsed="false">
      <c r="A47" s="0" t="n">
        <v>46</v>
      </c>
      <c r="B47" s="0" t="s">
        <v>121</v>
      </c>
      <c r="C47" s="0" t="s">
        <v>161</v>
      </c>
      <c r="D47" s="0" t="s">
        <v>162</v>
      </c>
    </row>
    <row r="48" customFormat="false" ht="15" hidden="false" customHeight="false" outlineLevel="0" collapsed="false">
      <c r="A48" s="0" t="n">
        <v>47</v>
      </c>
      <c r="B48" s="0" t="s">
        <v>123</v>
      </c>
      <c r="C48" s="0" t="s">
        <v>161</v>
      </c>
      <c r="D48" s="0" t="s">
        <v>163</v>
      </c>
    </row>
    <row r="49" customFormat="false" ht="15" hidden="false" customHeight="false" outlineLevel="0" collapsed="false">
      <c r="A49" s="0" t="n">
        <v>48</v>
      </c>
      <c r="B49" s="0" t="s">
        <v>125</v>
      </c>
      <c r="C49" s="0" t="s">
        <v>161</v>
      </c>
      <c r="D49" s="0" t="s">
        <v>164</v>
      </c>
    </row>
    <row r="50" customFormat="false" ht="15" hidden="false" customHeight="false" outlineLevel="0" collapsed="false">
      <c r="A50" s="0" t="n">
        <v>49</v>
      </c>
      <c r="B50" s="0" t="s">
        <v>127</v>
      </c>
      <c r="C50" s="0" t="s">
        <v>161</v>
      </c>
      <c r="D50" s="0" t="s">
        <v>165</v>
      </c>
    </row>
    <row r="51" customFormat="false" ht="15" hidden="false" customHeight="false" outlineLevel="0" collapsed="false">
      <c r="A51" s="0" t="n">
        <v>50</v>
      </c>
      <c r="B51" s="0" t="s">
        <v>129</v>
      </c>
      <c r="C51" s="0" t="s">
        <v>161</v>
      </c>
      <c r="D51" s="0" t="s">
        <v>166</v>
      </c>
    </row>
    <row r="52" customFormat="false" ht="15" hidden="false" customHeight="false" outlineLevel="0" collapsed="false">
      <c r="A52" s="0" t="n">
        <v>51</v>
      </c>
      <c r="B52" s="0" t="s">
        <v>131</v>
      </c>
      <c r="C52" s="0" t="s">
        <v>161</v>
      </c>
      <c r="D52" s="0" t="s">
        <v>167</v>
      </c>
    </row>
    <row r="53" customFormat="false" ht="15" hidden="false" customHeight="false" outlineLevel="0" collapsed="false">
      <c r="A53" s="0" t="n">
        <v>52</v>
      </c>
      <c r="B53" s="0" t="s">
        <v>133</v>
      </c>
      <c r="C53" s="0" t="s">
        <v>161</v>
      </c>
      <c r="D53" s="0" t="s">
        <v>162</v>
      </c>
    </row>
    <row r="54" customFormat="false" ht="15" hidden="false" customHeight="false" outlineLevel="0" collapsed="false">
      <c r="A54" s="0" t="n">
        <v>53</v>
      </c>
      <c r="B54" s="0" t="s">
        <v>135</v>
      </c>
      <c r="C54" s="0" t="s">
        <v>161</v>
      </c>
      <c r="D54" s="0" t="s">
        <v>163</v>
      </c>
    </row>
    <row r="55" customFormat="false" ht="15" hidden="false" customHeight="false" outlineLevel="0" collapsed="false">
      <c r="A55" s="0" t="n">
        <v>54</v>
      </c>
      <c r="B55" s="0" t="s">
        <v>137</v>
      </c>
      <c r="C55" s="0" t="s">
        <v>161</v>
      </c>
      <c r="D55" s="0" t="s">
        <v>164</v>
      </c>
    </row>
    <row r="56" customFormat="false" ht="15" hidden="false" customHeight="false" outlineLevel="0" collapsed="false">
      <c r="A56" s="0" t="n">
        <v>55</v>
      </c>
      <c r="B56" s="0" t="s">
        <v>139</v>
      </c>
      <c r="C56" s="0" t="s">
        <v>161</v>
      </c>
      <c r="D56" s="0" t="s">
        <v>165</v>
      </c>
    </row>
    <row r="57" customFormat="false" ht="15" hidden="false" customHeight="false" outlineLevel="0" collapsed="false">
      <c r="A57" s="0" t="n">
        <v>56</v>
      </c>
      <c r="B57" s="0" t="s">
        <v>141</v>
      </c>
      <c r="C57" s="0" t="s">
        <v>161</v>
      </c>
      <c r="D57" s="0" t="s">
        <v>166</v>
      </c>
    </row>
    <row r="58" customFormat="false" ht="15" hidden="false" customHeight="false" outlineLevel="0" collapsed="false">
      <c r="A58" s="0" t="n">
        <v>57</v>
      </c>
      <c r="B58" s="0" t="s">
        <v>143</v>
      </c>
      <c r="C58" s="0" t="s">
        <v>161</v>
      </c>
      <c r="D58" s="0" t="s">
        <v>167</v>
      </c>
    </row>
    <row r="59" customFormat="false" ht="15" hidden="false" customHeight="false" outlineLevel="0" collapsed="false">
      <c r="A59" s="0" t="n">
        <v>58</v>
      </c>
      <c r="B59" s="0" t="s">
        <v>145</v>
      </c>
      <c r="C59" s="0" t="s">
        <v>161</v>
      </c>
      <c r="D59" s="0" t="s">
        <v>162</v>
      </c>
    </row>
    <row r="60" customFormat="false" ht="15" hidden="false" customHeight="false" outlineLevel="0" collapsed="false">
      <c r="A60" s="0" t="n">
        <v>59</v>
      </c>
      <c r="B60" s="0" t="s">
        <v>147</v>
      </c>
      <c r="C60" s="0" t="s">
        <v>161</v>
      </c>
      <c r="D60" s="0" t="s">
        <v>163</v>
      </c>
    </row>
    <row r="61" customFormat="false" ht="15" hidden="false" customHeight="false" outlineLevel="0" collapsed="false">
      <c r="A61" s="0" t="n">
        <v>60</v>
      </c>
      <c r="B61" s="0" t="s">
        <v>149</v>
      </c>
      <c r="C61" s="0" t="s">
        <v>161</v>
      </c>
      <c r="D61" s="0" t="s">
        <v>164</v>
      </c>
    </row>
    <row r="62" customFormat="false" ht="15" hidden="false" customHeight="false" outlineLevel="0" collapsed="false">
      <c r="A62" s="0" t="n">
        <v>61</v>
      </c>
      <c r="B62" s="0" t="s">
        <v>151</v>
      </c>
      <c r="C62" s="0" t="s">
        <v>161</v>
      </c>
      <c r="D62" s="0" t="s">
        <v>165</v>
      </c>
    </row>
    <row r="63" customFormat="false" ht="15" hidden="false" customHeight="false" outlineLevel="0" collapsed="false">
      <c r="A63" s="0" t="n">
        <v>62</v>
      </c>
      <c r="B63" s="0" t="s">
        <v>153</v>
      </c>
      <c r="C63" s="0" t="s">
        <v>161</v>
      </c>
      <c r="D63" s="0" t="s">
        <v>166</v>
      </c>
    </row>
    <row r="64" customFormat="false" ht="15" hidden="false" customHeight="false" outlineLevel="0" collapsed="false">
      <c r="A64" s="0" t="n">
        <v>63</v>
      </c>
      <c r="B64" s="0" t="s">
        <v>155</v>
      </c>
      <c r="C64" s="0" t="s">
        <v>161</v>
      </c>
      <c r="D64" s="0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0" t="s">
        <v>168</v>
      </c>
    </row>
    <row r="2" customFormat="false" ht="15" hidden="false" customHeight="false" outlineLevel="0" collapsed="false">
      <c r="A2" s="0" t="s">
        <v>169</v>
      </c>
    </row>
    <row r="3" customFormat="false" ht="15" hidden="false" customHeight="false" outlineLevel="0" collapsed="false">
      <c r="A3" s="0" t="s">
        <v>170</v>
      </c>
    </row>
    <row r="4" customFormat="false" ht="15" hidden="false" customHeight="false" outlineLevel="0" collapsed="false">
      <c r="A4" s="0" t="s">
        <v>171</v>
      </c>
    </row>
    <row r="5" customFormat="false" ht="15" hidden="false" customHeight="false" outlineLevel="0" collapsed="false">
      <c r="A5" s="0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173</v>
      </c>
      <c r="B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2026-10-17T07:08:23Z</dcterms:created>
  <dc:creator>Capstone Project</dc:creator>
  <dc:description/>
  <dc:language>en-US</dc:language>
  <cp:lastModifiedBy>Capstone Project</cp:lastModifiedBy>
  <dcterms:modified xsi:type="dcterms:W3CDTF">2026-10-17T07:08:23Z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