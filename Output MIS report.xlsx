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omments1.xml" ContentType="application/vnd.openxmlformats-officedocument.spreadsheetml.comments+xml"/>
  <Override PartName="/xl/drawings/drawing6.xml" ContentType="application/vnd.openxmlformats-officedocument.drawing+xml"/>
  <Override PartName="/xl/drawings/drawing7.xml" ContentType="application/vnd.openxmlformats-officedocument.drawing+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2a78852f39726c59/Work/AI/ICAI AI Course/Level 2/Capstone Project/AICA-L2-Batch-093-Prasanna-Sudke/"/>
    </mc:Choice>
  </mc:AlternateContent>
  <xr:revisionPtr revIDLastSave="1" documentId="11_CEE718A6508C558938DE270F8C0277951E591804" xr6:coauthVersionLast="47" xr6:coauthVersionMax="47" xr10:uidLastSave="{6F9A3F5B-919F-4559-9464-873C693742A8}"/>
  <bookViews>
    <workbookView xWindow="-110" yWindow="-110" windowWidth="19420" windowHeight="10300" tabRatio="500" xr2:uid="{00000000-000D-0000-FFFF-FFFF00000000}"/>
  </bookViews>
  <sheets>
    <sheet name="Master" sheetId="1" r:id="rId1"/>
    <sheet name="Cheque issued" sheetId="2" r:id="rId2"/>
    <sheet name="Petty Cash" sheetId="3" r:id="rId3"/>
    <sheet name="DE-XT" sheetId="4" r:id="rId4"/>
    <sheet name="DE-ICE" sheetId="5" r:id="rId5"/>
    <sheet name="Bank book-AXIS " sheetId="6" r:id="rId6"/>
    <sheet name="Bank Book- DBS" sheetId="7" r:id="rId7"/>
    <sheet name="Inter Company Transfer" sheetId="8" r:id="rId8"/>
    <sheet name="General" sheetId="9" r:id="rId9"/>
    <sheet name="CR" sheetId="10" r:id="rId10"/>
    <sheet name="Consolidated CR" sheetId="11" r:id="rId11"/>
    <sheet name="Employees Loan Repayment" sheetId="12" r:id="rId12"/>
    <sheet name="Forex" sheetId="13" r:id="rId13"/>
  </sheets>
  <definedNames>
    <definedName name="_xlnm._FilterDatabase" localSheetId="10" hidden="1">'Consolidated CR'!$A$8:$N$74</definedName>
    <definedName name="_xlnm._FilterDatabase" localSheetId="9" hidden="1">CR!$A$1:$B$47</definedName>
    <definedName name="_xlnm._FilterDatabase" localSheetId="4" hidden="1">'DE-ICE'!$A$12:$P$80</definedName>
    <definedName name="_xlnm._FilterDatabase" localSheetId="3" hidden="1">'DE-XT'!$A$12:$U$152</definedName>
    <definedName name="_xlnm.Print_Area" localSheetId="3">'DE-XT'!$A$1:$Q$156</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62" i="10" l="1"/>
  <c r="B64" i="10" s="1"/>
  <c r="B63" i="10"/>
  <c r="R28" i="13"/>
  <c r="D7" i="13"/>
  <c r="D6" i="13"/>
  <c r="D14" i="12"/>
  <c r="M13" i="12"/>
  <c r="N13" i="12" s="1"/>
  <c r="M12" i="12"/>
  <c r="N12" i="12" s="1"/>
  <c r="M11" i="12"/>
  <c r="N11" i="12" s="1"/>
  <c r="M10" i="12"/>
  <c r="N10" i="12" s="1"/>
  <c r="M9" i="12"/>
  <c r="N9" i="12" s="1"/>
  <c r="M8" i="12"/>
  <c r="N8" i="12" s="1"/>
  <c r="M7" i="12"/>
  <c r="I7" i="12"/>
  <c r="M6" i="12"/>
  <c r="N6" i="12" s="1"/>
  <c r="M5" i="12"/>
  <c r="N5" i="12" s="1"/>
  <c r="M4" i="12"/>
  <c r="N91" i="11"/>
  <c r="M87" i="11"/>
  <c r="L87" i="11"/>
  <c r="K87" i="11"/>
  <c r="J87" i="11"/>
  <c r="I87" i="11"/>
  <c r="H87" i="11"/>
  <c r="G87" i="11"/>
  <c r="F87" i="11"/>
  <c r="E87" i="11"/>
  <c r="D87" i="11"/>
  <c r="C87" i="11"/>
  <c r="B87" i="11"/>
  <c r="N86" i="11"/>
  <c r="N85" i="11"/>
  <c r="N87" i="11" s="1"/>
  <c r="M81" i="11"/>
  <c r="M89" i="11" s="1"/>
  <c r="M93" i="11" s="1"/>
  <c r="L81" i="11"/>
  <c r="L89" i="11" s="1"/>
  <c r="L93" i="11" s="1"/>
  <c r="K81" i="11"/>
  <c r="K89" i="11" s="1"/>
  <c r="K93" i="11" s="1"/>
  <c r="J81" i="11"/>
  <c r="J89" i="11" s="1"/>
  <c r="J93" i="11" s="1"/>
  <c r="I81" i="11"/>
  <c r="I89" i="11" s="1"/>
  <c r="I93" i="11" s="1"/>
  <c r="G81" i="11"/>
  <c r="G89" i="11" s="1"/>
  <c r="G93" i="11" s="1"/>
  <c r="F81" i="11"/>
  <c r="F89" i="11" s="1"/>
  <c r="F93" i="11" s="1"/>
  <c r="E81" i="11"/>
  <c r="E89" i="11" s="1"/>
  <c r="E93" i="11" s="1"/>
  <c r="D81" i="11"/>
  <c r="D89" i="11" s="1"/>
  <c r="D93" i="11" s="1"/>
  <c r="C81" i="11"/>
  <c r="C89" i="11" s="1"/>
  <c r="C93" i="11" s="1"/>
  <c r="B81" i="11"/>
  <c r="M80" i="11"/>
  <c r="M82" i="11" s="1"/>
  <c r="L80" i="11"/>
  <c r="L82" i="11" s="1"/>
  <c r="K80" i="11"/>
  <c r="K82" i="11" s="1"/>
  <c r="J80" i="11"/>
  <c r="J82" i="11" s="1"/>
  <c r="I80" i="11"/>
  <c r="I82" i="11" s="1"/>
  <c r="H80" i="11"/>
  <c r="G80" i="11"/>
  <c r="G82" i="11" s="1"/>
  <c r="F80" i="11"/>
  <c r="F82" i="11" s="1"/>
  <c r="E80" i="11"/>
  <c r="E82" i="11" s="1"/>
  <c r="D80" i="11"/>
  <c r="D82" i="11" s="1"/>
  <c r="C80" i="11"/>
  <c r="C82" i="11" s="1"/>
  <c r="B80" i="11"/>
  <c r="N79" i="11"/>
  <c r="N78" i="11"/>
  <c r="M74" i="11"/>
  <c r="L74" i="11"/>
  <c r="K74" i="11"/>
  <c r="J74" i="11"/>
  <c r="I74" i="11"/>
  <c r="G74" i="11"/>
  <c r="F74" i="11"/>
  <c r="E74" i="11"/>
  <c r="D74" i="11"/>
  <c r="C74" i="11"/>
  <c r="B74" i="11"/>
  <c r="N73" i="11"/>
  <c r="N71" i="11"/>
  <c r="N70" i="11"/>
  <c r="N69" i="11"/>
  <c r="N68" i="11"/>
  <c r="N67" i="11"/>
  <c r="N66" i="11"/>
  <c r="N65" i="11"/>
  <c r="N64" i="11"/>
  <c r="N63" i="11"/>
  <c r="N62" i="11"/>
  <c r="N61" i="11"/>
  <c r="N60" i="11"/>
  <c r="M55" i="11"/>
  <c r="L55" i="11"/>
  <c r="K55" i="11"/>
  <c r="J55" i="11"/>
  <c r="I55" i="11"/>
  <c r="G55" i="11"/>
  <c r="F55" i="11"/>
  <c r="E55" i="11"/>
  <c r="D55" i="11"/>
  <c r="C55" i="11"/>
  <c r="B55" i="11"/>
  <c r="N54" i="11"/>
  <c r="N53" i="11"/>
  <c r="N52" i="11"/>
  <c r="N51" i="11"/>
  <c r="N50" i="11"/>
  <c r="N49" i="11"/>
  <c r="N48" i="11"/>
  <c r="N47" i="11"/>
  <c r="N46" i="11"/>
  <c r="N45" i="11"/>
  <c r="N43" i="11"/>
  <c r="N41" i="11"/>
  <c r="N40" i="11"/>
  <c r="N39" i="11"/>
  <c r="N38" i="11"/>
  <c r="N37" i="11"/>
  <c r="N36" i="11"/>
  <c r="N35" i="11"/>
  <c r="N34" i="11"/>
  <c r="N33" i="11"/>
  <c r="N32" i="11"/>
  <c r="N31" i="11"/>
  <c r="N30" i="11"/>
  <c r="N29" i="11"/>
  <c r="N28" i="11"/>
  <c r="N27" i="11"/>
  <c r="N26" i="11"/>
  <c r="N25" i="11"/>
  <c r="N24" i="11"/>
  <c r="N23" i="11"/>
  <c r="N22" i="11"/>
  <c r="N21" i="11"/>
  <c r="H20" i="11"/>
  <c r="N19" i="11"/>
  <c r="N18" i="11"/>
  <c r="N17" i="11"/>
  <c r="N16" i="11"/>
  <c r="N15" i="11"/>
  <c r="N14" i="11"/>
  <c r="N13" i="11"/>
  <c r="N12" i="11"/>
  <c r="N11" i="11"/>
  <c r="N10" i="11"/>
  <c r="N9" i="11"/>
  <c r="B68" i="10"/>
  <c r="B51" i="10"/>
  <c r="B36" i="10"/>
  <c r="B35" i="10"/>
  <c r="B34" i="10"/>
  <c r="B33" i="10"/>
  <c r="B32" i="10"/>
  <c r="B31" i="10"/>
  <c r="B30" i="10"/>
  <c r="B29" i="10"/>
  <c r="B28" i="10"/>
  <c r="B27" i="10"/>
  <c r="B26" i="10"/>
  <c r="B25" i="10"/>
  <c r="B24" i="10"/>
  <c r="B23" i="10"/>
  <c r="B22" i="10"/>
  <c r="B21" i="10"/>
  <c r="B20" i="10"/>
  <c r="B19" i="10"/>
  <c r="B18" i="10"/>
  <c r="B17" i="10"/>
  <c r="B16" i="10"/>
  <c r="B15" i="10"/>
  <c r="B14" i="10"/>
  <c r="B13" i="10"/>
  <c r="B12" i="10"/>
  <c r="B11" i="10"/>
  <c r="B10" i="10"/>
  <c r="B9" i="10"/>
  <c r="B8" i="10"/>
  <c r="B7" i="10"/>
  <c r="B42" i="10" s="1"/>
  <c r="B58" i="10" s="1"/>
  <c r="C226" i="9"/>
  <c r="B46" i="10" s="1"/>
  <c r="C225" i="9"/>
  <c r="C227" i="9" s="1"/>
  <c r="C220" i="9"/>
  <c r="C219" i="9"/>
  <c r="C218" i="9"/>
  <c r="C217" i="9"/>
  <c r="C216" i="9"/>
  <c r="C215" i="9"/>
  <c r="C214" i="9"/>
  <c r="C213" i="9"/>
  <c r="C212" i="9"/>
  <c r="C211" i="9"/>
  <c r="C210" i="9"/>
  <c r="C209" i="9"/>
  <c r="C208" i="9"/>
  <c r="C207" i="9"/>
  <c r="C206" i="9"/>
  <c r="C205" i="9"/>
  <c r="C204" i="9"/>
  <c r="C203" i="9"/>
  <c r="C202" i="9"/>
  <c r="C201" i="9"/>
  <c r="C200" i="9"/>
  <c r="C199" i="9"/>
  <c r="C198" i="9"/>
  <c r="C197" i="9"/>
  <c r="C196" i="9"/>
  <c r="C195" i="9"/>
  <c r="C194" i="9"/>
  <c r="C193" i="9"/>
  <c r="C192" i="9"/>
  <c r="C191" i="9"/>
  <c r="C221" i="9" s="1"/>
  <c r="D221" i="9" s="1"/>
  <c r="K187" i="9"/>
  <c r="J187" i="9"/>
  <c r="I187" i="9"/>
  <c r="H187" i="9"/>
  <c r="D185" i="9"/>
  <c r="D184" i="9"/>
  <c r="D183" i="9"/>
  <c r="D182" i="9"/>
  <c r="D181" i="9"/>
  <c r="D187" i="9" s="1"/>
  <c r="K174" i="9"/>
  <c r="K175" i="9" s="1"/>
  <c r="J174" i="9"/>
  <c r="I174" i="9"/>
  <c r="H174" i="9"/>
  <c r="D174" i="9"/>
  <c r="L174" i="9" s="1"/>
  <c r="D170" i="9"/>
  <c r="D169" i="9"/>
  <c r="D171" i="9" s="1"/>
  <c r="D166" i="9"/>
  <c r="D165" i="9"/>
  <c r="D164" i="9"/>
  <c r="D163" i="9"/>
  <c r="D162" i="9"/>
  <c r="D161" i="9"/>
  <c r="D167" i="9" s="1"/>
  <c r="D158" i="9"/>
  <c r="D157" i="9"/>
  <c r="D156" i="9"/>
  <c r="D155" i="9"/>
  <c r="D154" i="9"/>
  <c r="D153" i="9"/>
  <c r="D152" i="9"/>
  <c r="D151" i="9"/>
  <c r="D150" i="9"/>
  <c r="D149" i="9"/>
  <c r="D148" i="9"/>
  <c r="D147" i="9"/>
  <c r="D146" i="9"/>
  <c r="D145" i="9"/>
  <c r="D144" i="9"/>
  <c r="D159" i="9" s="1"/>
  <c r="D142" i="9"/>
  <c r="D139" i="9"/>
  <c r="D138" i="9"/>
  <c r="D137" i="9"/>
  <c r="D136" i="9"/>
  <c r="D135" i="9"/>
  <c r="D134" i="9"/>
  <c r="D133" i="9"/>
  <c r="D132" i="9"/>
  <c r="D131" i="9"/>
  <c r="D130" i="9"/>
  <c r="D129" i="9"/>
  <c r="D128" i="9"/>
  <c r="D127" i="9"/>
  <c r="D126" i="9"/>
  <c r="D125" i="9"/>
  <c r="D124" i="9"/>
  <c r="D123" i="9"/>
  <c r="D122" i="9"/>
  <c r="D121" i="9"/>
  <c r="D120" i="9"/>
  <c r="D119" i="9"/>
  <c r="D118" i="9"/>
  <c r="D117" i="9"/>
  <c r="D116" i="9"/>
  <c r="D115" i="9"/>
  <c r="D114" i="9"/>
  <c r="D113" i="9"/>
  <c r="D112" i="9"/>
  <c r="D111" i="9"/>
  <c r="D110" i="9"/>
  <c r="D109" i="9"/>
  <c r="D108" i="9"/>
  <c r="D107" i="9"/>
  <c r="D106" i="9"/>
  <c r="D105" i="9"/>
  <c r="D140" i="9" s="1"/>
  <c r="D103" i="9"/>
  <c r="D101" i="9"/>
  <c r="D99" i="9"/>
  <c r="D96" i="9"/>
  <c r="D95" i="9"/>
  <c r="D97" i="9" s="1"/>
  <c r="D93" i="9"/>
  <c r="D91" i="9"/>
  <c r="D89" i="9"/>
  <c r="D88" i="9"/>
  <c r="D87" i="9"/>
  <c r="D86" i="9"/>
  <c r="D85" i="9"/>
  <c r="D82" i="9"/>
  <c r="D81" i="9"/>
  <c r="D83" i="9" s="1"/>
  <c r="D79" i="9"/>
  <c r="D77" i="9"/>
  <c r="D74" i="9"/>
  <c r="D73" i="9"/>
  <c r="D72" i="9"/>
  <c r="D71" i="9"/>
  <c r="D70" i="9"/>
  <c r="D69" i="9"/>
  <c r="D68" i="9"/>
  <c r="D67" i="9"/>
  <c r="D66" i="9"/>
  <c r="D65" i="9"/>
  <c r="D64" i="9"/>
  <c r="D63" i="9"/>
  <c r="D62" i="9"/>
  <c r="D75" i="9" s="1"/>
  <c r="D59" i="9"/>
  <c r="D58" i="9"/>
  <c r="D57" i="9"/>
  <c r="D56" i="9"/>
  <c r="D55" i="9"/>
  <c r="D54" i="9"/>
  <c r="D53" i="9"/>
  <c r="D52" i="9"/>
  <c r="D51" i="9"/>
  <c r="D50" i="9"/>
  <c r="D49" i="9"/>
  <c r="D48" i="9"/>
  <c r="D47" i="9"/>
  <c r="D46" i="9"/>
  <c r="D60" i="9" s="1"/>
  <c r="D43" i="9"/>
  <c r="D42" i="9"/>
  <c r="D44" i="9" s="1"/>
  <c r="D40" i="9"/>
  <c r="D37" i="9"/>
  <c r="D36" i="9"/>
  <c r="D38" i="9" s="1"/>
  <c r="D33" i="9"/>
  <c r="D32" i="9"/>
  <c r="D34" i="9" s="1"/>
  <c r="D29" i="9"/>
  <c r="D28" i="9"/>
  <c r="D27" i="9"/>
  <c r="D26" i="9"/>
  <c r="D30" i="9" s="1"/>
  <c r="D24" i="9"/>
  <c r="D22" i="9"/>
  <c r="D20" i="9"/>
  <c r="D18" i="9"/>
  <c r="D16" i="9"/>
  <c r="D14" i="9"/>
  <c r="D12" i="9"/>
  <c r="D9" i="9"/>
  <c r="D8" i="9"/>
  <c r="D7" i="9"/>
  <c r="D6" i="9"/>
  <c r="D5" i="9"/>
  <c r="D4" i="9"/>
  <c r="D10" i="9" s="1"/>
  <c r="D16" i="8"/>
  <c r="M80" i="5"/>
  <c r="J80" i="5"/>
  <c r="N62" i="5"/>
  <c r="K62" i="5"/>
  <c r="L62" i="5" s="1"/>
  <c r="P61" i="5"/>
  <c r="N61" i="5"/>
  <c r="K61" i="5"/>
  <c r="L61" i="5" s="1"/>
  <c r="P60" i="5"/>
  <c r="N60" i="5"/>
  <c r="K60" i="5"/>
  <c r="L60" i="5" s="1"/>
  <c r="P59" i="5"/>
  <c r="N59" i="5"/>
  <c r="K59" i="5"/>
  <c r="L59" i="5" s="1"/>
  <c r="P58" i="5"/>
  <c r="N58" i="5"/>
  <c r="K58" i="5"/>
  <c r="L58" i="5" s="1"/>
  <c r="P57" i="5"/>
  <c r="N57" i="5"/>
  <c r="K57" i="5"/>
  <c r="L57" i="5" s="1"/>
  <c r="P56" i="5"/>
  <c r="N56" i="5"/>
  <c r="K56" i="5"/>
  <c r="L56" i="5" s="1"/>
  <c r="P55" i="5"/>
  <c r="N55" i="5"/>
  <c r="K55" i="5"/>
  <c r="L55" i="5" s="1"/>
  <c r="P54" i="5"/>
  <c r="N54" i="5"/>
  <c r="K54" i="5"/>
  <c r="L54" i="5" s="1"/>
  <c r="P53" i="5"/>
  <c r="N53" i="5"/>
  <c r="K53" i="5"/>
  <c r="L53" i="5" s="1"/>
  <c r="P52" i="5"/>
  <c r="N52" i="5"/>
  <c r="K52" i="5"/>
  <c r="L52" i="5" s="1"/>
  <c r="P51" i="5"/>
  <c r="N51" i="5"/>
  <c r="K51" i="5"/>
  <c r="L51" i="5" s="1"/>
  <c r="P50" i="5"/>
  <c r="N50" i="5"/>
  <c r="K50" i="5"/>
  <c r="L50" i="5" s="1"/>
  <c r="P49" i="5"/>
  <c r="N49" i="5"/>
  <c r="K49" i="5"/>
  <c r="L49" i="5" s="1"/>
  <c r="P48" i="5"/>
  <c r="N48" i="5"/>
  <c r="K48" i="5"/>
  <c r="L48" i="5" s="1"/>
  <c r="P47" i="5"/>
  <c r="N47" i="5"/>
  <c r="K47" i="5"/>
  <c r="L47" i="5" s="1"/>
  <c r="P46" i="5"/>
  <c r="N46" i="5"/>
  <c r="K46" i="5"/>
  <c r="L46" i="5" s="1"/>
  <c r="P45" i="5"/>
  <c r="N45" i="5"/>
  <c r="K45" i="5"/>
  <c r="L45" i="5" s="1"/>
  <c r="P44" i="5"/>
  <c r="N44" i="5"/>
  <c r="K44" i="5"/>
  <c r="L44" i="5" s="1"/>
  <c r="P43" i="5"/>
  <c r="N43" i="5"/>
  <c r="K43" i="5"/>
  <c r="L43" i="5" s="1"/>
  <c r="P42" i="5"/>
  <c r="N42" i="5"/>
  <c r="K42" i="5"/>
  <c r="L42" i="5" s="1"/>
  <c r="P41" i="5"/>
  <c r="N41" i="5"/>
  <c r="K41" i="5"/>
  <c r="L41" i="5" s="1"/>
  <c r="P40" i="5"/>
  <c r="N40" i="5"/>
  <c r="K40" i="5"/>
  <c r="L40" i="5" s="1"/>
  <c r="P39" i="5"/>
  <c r="N39" i="5"/>
  <c r="K39" i="5"/>
  <c r="L39" i="5" s="1"/>
  <c r="P38" i="5"/>
  <c r="N38" i="5"/>
  <c r="K38" i="5"/>
  <c r="L38" i="5" s="1"/>
  <c r="P37" i="5"/>
  <c r="N37" i="5"/>
  <c r="K37" i="5"/>
  <c r="L37" i="5" s="1"/>
  <c r="P36" i="5"/>
  <c r="N36" i="5"/>
  <c r="K36" i="5"/>
  <c r="L36" i="5" s="1"/>
  <c r="P35" i="5"/>
  <c r="N35" i="5"/>
  <c r="K35" i="5"/>
  <c r="L35" i="5" s="1"/>
  <c r="P34" i="5"/>
  <c r="N34" i="5"/>
  <c r="K34" i="5"/>
  <c r="L34" i="5" s="1"/>
  <c r="P33" i="5"/>
  <c r="N33" i="5"/>
  <c r="K33" i="5"/>
  <c r="L33" i="5" s="1"/>
  <c r="P32" i="5"/>
  <c r="N32" i="5"/>
  <c r="K32" i="5"/>
  <c r="L32" i="5" s="1"/>
  <c r="P31" i="5"/>
  <c r="N31" i="5"/>
  <c r="K31" i="5"/>
  <c r="L31" i="5" s="1"/>
  <c r="P30" i="5"/>
  <c r="N30" i="5"/>
  <c r="K30" i="5"/>
  <c r="L30" i="5" s="1"/>
  <c r="P29" i="5"/>
  <c r="N29" i="5"/>
  <c r="K29" i="5"/>
  <c r="L29" i="5" s="1"/>
  <c r="P28" i="5"/>
  <c r="N28" i="5"/>
  <c r="K28" i="5"/>
  <c r="L28" i="5" s="1"/>
  <c r="P27" i="5"/>
  <c r="N27" i="5"/>
  <c r="K27" i="5"/>
  <c r="L27" i="5" s="1"/>
  <c r="P26" i="5"/>
  <c r="N26" i="5"/>
  <c r="K26" i="5"/>
  <c r="L26" i="5" s="1"/>
  <c r="P25" i="5"/>
  <c r="N25" i="5"/>
  <c r="K25" i="5"/>
  <c r="L25" i="5" s="1"/>
  <c r="P24" i="5"/>
  <c r="N24" i="5"/>
  <c r="K24" i="5"/>
  <c r="L24" i="5" s="1"/>
  <c r="P23" i="5"/>
  <c r="N23" i="5"/>
  <c r="K23" i="5"/>
  <c r="L23" i="5" s="1"/>
  <c r="P22" i="5"/>
  <c r="N22" i="5"/>
  <c r="K22" i="5"/>
  <c r="L22" i="5" s="1"/>
  <c r="P21" i="5"/>
  <c r="N21" i="5"/>
  <c r="K21" i="5"/>
  <c r="L21" i="5" s="1"/>
  <c r="P20" i="5"/>
  <c r="N20" i="5"/>
  <c r="K20" i="5"/>
  <c r="L20" i="5" s="1"/>
  <c r="P19" i="5"/>
  <c r="N19" i="5"/>
  <c r="K19" i="5"/>
  <c r="L19" i="5" s="1"/>
  <c r="P18" i="5"/>
  <c r="N18" i="5"/>
  <c r="K18" i="5"/>
  <c r="L18" i="5" s="1"/>
  <c r="P17" i="5"/>
  <c r="N17" i="5"/>
  <c r="K17" i="5"/>
  <c r="L17" i="5" s="1"/>
  <c r="P16" i="5"/>
  <c r="N16" i="5"/>
  <c r="K16" i="5"/>
  <c r="L16" i="5" s="1"/>
  <c r="P15" i="5"/>
  <c r="N15" i="5"/>
  <c r="K15" i="5"/>
  <c r="L15" i="5" s="1"/>
  <c r="P14" i="5"/>
  <c r="N14" i="5"/>
  <c r="K14" i="5"/>
  <c r="L14" i="5" s="1"/>
  <c r="P13" i="5"/>
  <c r="N13" i="5"/>
  <c r="N80" i="5" s="1"/>
  <c r="K13" i="5"/>
  <c r="L13" i="5" s="1"/>
  <c r="C9" i="5"/>
  <c r="A1" i="5"/>
  <c r="M156" i="4"/>
  <c r="J156" i="4"/>
  <c r="C8" i="4" s="1"/>
  <c r="N138" i="4"/>
  <c r="K138" i="4"/>
  <c r="L138" i="4" s="1"/>
  <c r="N137" i="4"/>
  <c r="K137" i="4"/>
  <c r="L137" i="4" s="1"/>
  <c r="N136" i="4"/>
  <c r="K136" i="4"/>
  <c r="L136" i="4" s="1"/>
  <c r="N135" i="4"/>
  <c r="K135" i="4"/>
  <c r="L135" i="4" s="1"/>
  <c r="N134" i="4"/>
  <c r="K134" i="4"/>
  <c r="L134" i="4" s="1"/>
  <c r="N133" i="4"/>
  <c r="K133" i="4"/>
  <c r="L133" i="4" s="1"/>
  <c r="N132" i="4"/>
  <c r="K132" i="4"/>
  <c r="L132" i="4" s="1"/>
  <c r="N131" i="4"/>
  <c r="K131" i="4"/>
  <c r="L131" i="4" s="1"/>
  <c r="N130" i="4"/>
  <c r="K130" i="4"/>
  <c r="L130" i="4" s="1"/>
  <c r="N129" i="4"/>
  <c r="K129" i="4"/>
  <c r="L129" i="4" s="1"/>
  <c r="N128" i="4"/>
  <c r="K128" i="4"/>
  <c r="L128" i="4" s="1"/>
  <c r="N127" i="4"/>
  <c r="K127" i="4"/>
  <c r="L127" i="4" s="1"/>
  <c r="N126" i="4"/>
  <c r="K126" i="4"/>
  <c r="L126" i="4" s="1"/>
  <c r="N125" i="4"/>
  <c r="K125" i="4"/>
  <c r="L125" i="4" s="1"/>
  <c r="N124" i="4"/>
  <c r="K124" i="4"/>
  <c r="L124" i="4" s="1"/>
  <c r="N123" i="4"/>
  <c r="K123" i="4"/>
  <c r="L123" i="4" s="1"/>
  <c r="N122" i="4"/>
  <c r="K122" i="4"/>
  <c r="L122" i="4" s="1"/>
  <c r="N121" i="4"/>
  <c r="K121" i="4"/>
  <c r="L121" i="4" s="1"/>
  <c r="N120" i="4"/>
  <c r="K120" i="4"/>
  <c r="L120" i="4" s="1"/>
  <c r="N119" i="4"/>
  <c r="K119" i="4"/>
  <c r="L119" i="4" s="1"/>
  <c r="N118" i="4"/>
  <c r="K118" i="4"/>
  <c r="L118" i="4" s="1"/>
  <c r="N117" i="4"/>
  <c r="K117" i="4"/>
  <c r="L117" i="4" s="1"/>
  <c r="N116" i="4"/>
  <c r="K116" i="4"/>
  <c r="L116" i="4" s="1"/>
  <c r="N115" i="4"/>
  <c r="K115" i="4"/>
  <c r="L115" i="4" s="1"/>
  <c r="N114" i="4"/>
  <c r="K114" i="4"/>
  <c r="L114" i="4" s="1"/>
  <c r="N113" i="4"/>
  <c r="K113" i="4"/>
  <c r="L113" i="4" s="1"/>
  <c r="N112" i="4"/>
  <c r="K112" i="4"/>
  <c r="L112" i="4" s="1"/>
  <c r="N111" i="4"/>
  <c r="K111" i="4"/>
  <c r="L111" i="4" s="1"/>
  <c r="N110" i="4"/>
  <c r="K110" i="4"/>
  <c r="L110" i="4" s="1"/>
  <c r="N109" i="4"/>
  <c r="K109" i="4"/>
  <c r="L109" i="4" s="1"/>
  <c r="N108" i="4"/>
  <c r="K108" i="4"/>
  <c r="L108" i="4" s="1"/>
  <c r="N107" i="4"/>
  <c r="K107" i="4"/>
  <c r="L107" i="4" s="1"/>
  <c r="N106" i="4"/>
  <c r="K106" i="4"/>
  <c r="L106" i="4" s="1"/>
  <c r="N105" i="4"/>
  <c r="K105" i="4"/>
  <c r="L105" i="4" s="1"/>
  <c r="N104" i="4"/>
  <c r="K104" i="4"/>
  <c r="L104" i="4" s="1"/>
  <c r="N103" i="4"/>
  <c r="K103" i="4"/>
  <c r="L103" i="4" s="1"/>
  <c r="N102" i="4"/>
  <c r="K102" i="4"/>
  <c r="L102" i="4" s="1"/>
  <c r="N101" i="4"/>
  <c r="K101" i="4"/>
  <c r="L101" i="4" s="1"/>
  <c r="N100" i="4"/>
  <c r="K100" i="4"/>
  <c r="L100" i="4" s="1"/>
  <c r="N99" i="4"/>
  <c r="K99" i="4"/>
  <c r="L99" i="4" s="1"/>
  <c r="N98" i="4"/>
  <c r="K98" i="4"/>
  <c r="L98" i="4" s="1"/>
  <c r="N97" i="4"/>
  <c r="K97" i="4"/>
  <c r="L97" i="4" s="1"/>
  <c r="N96" i="4"/>
  <c r="K96" i="4"/>
  <c r="L96" i="4" s="1"/>
  <c r="N95" i="4"/>
  <c r="K95" i="4"/>
  <c r="L95" i="4" s="1"/>
  <c r="N94" i="4"/>
  <c r="K94" i="4"/>
  <c r="L94" i="4" s="1"/>
  <c r="N93" i="4"/>
  <c r="K93" i="4"/>
  <c r="L93" i="4" s="1"/>
  <c r="N92" i="4"/>
  <c r="K92" i="4"/>
  <c r="L92" i="4" s="1"/>
  <c r="N91" i="4"/>
  <c r="K91" i="4"/>
  <c r="L91" i="4" s="1"/>
  <c r="N90" i="4"/>
  <c r="K90" i="4"/>
  <c r="L90" i="4" s="1"/>
  <c r="N89" i="4"/>
  <c r="K89" i="4"/>
  <c r="L89" i="4" s="1"/>
  <c r="N88" i="4"/>
  <c r="K88" i="4"/>
  <c r="L88" i="4" s="1"/>
  <c r="N87" i="4"/>
  <c r="K87" i="4"/>
  <c r="L87" i="4" s="1"/>
  <c r="N86" i="4"/>
  <c r="K86" i="4"/>
  <c r="L86" i="4" s="1"/>
  <c r="N85" i="4"/>
  <c r="K85" i="4"/>
  <c r="L85" i="4" s="1"/>
  <c r="N84" i="4"/>
  <c r="K84" i="4"/>
  <c r="L84" i="4" s="1"/>
  <c r="N83" i="4"/>
  <c r="K83" i="4"/>
  <c r="L83" i="4" s="1"/>
  <c r="N82" i="4"/>
  <c r="K82" i="4"/>
  <c r="L82" i="4" s="1"/>
  <c r="N81" i="4"/>
  <c r="N156" i="4" s="1"/>
  <c r="K81" i="4"/>
  <c r="L81" i="4" s="1"/>
  <c r="N80" i="4"/>
  <c r="K80" i="4"/>
  <c r="L80" i="4" s="1"/>
  <c r="N79" i="4"/>
  <c r="K79" i="4"/>
  <c r="L79" i="4" s="1"/>
  <c r="N78" i="4"/>
  <c r="K78" i="4"/>
  <c r="L78" i="4" s="1"/>
  <c r="N77" i="4"/>
  <c r="K77" i="4"/>
  <c r="L77" i="4" s="1"/>
  <c r="N76" i="4"/>
  <c r="K76" i="4"/>
  <c r="L76" i="4" s="1"/>
  <c r="N75" i="4"/>
  <c r="K75" i="4"/>
  <c r="L75" i="4" s="1"/>
  <c r="N74" i="4"/>
  <c r="K74" i="4"/>
  <c r="L74" i="4" s="1"/>
  <c r="N73" i="4"/>
  <c r="K73" i="4"/>
  <c r="L73" i="4" s="1"/>
  <c r="N72" i="4"/>
  <c r="K72" i="4"/>
  <c r="L72" i="4" s="1"/>
  <c r="N71" i="4"/>
  <c r="K71" i="4"/>
  <c r="L71" i="4" s="1"/>
  <c r="N70" i="4"/>
  <c r="K70" i="4"/>
  <c r="L70" i="4" s="1"/>
  <c r="N69" i="4"/>
  <c r="K69" i="4"/>
  <c r="L69" i="4" s="1"/>
  <c r="N68" i="4"/>
  <c r="K68" i="4"/>
  <c r="L68" i="4" s="1"/>
  <c r="N67" i="4"/>
  <c r="K67" i="4"/>
  <c r="L67" i="4" s="1"/>
  <c r="N66" i="4"/>
  <c r="K66" i="4"/>
  <c r="L66" i="4" s="1"/>
  <c r="N65" i="4"/>
  <c r="K65" i="4"/>
  <c r="L65" i="4" s="1"/>
  <c r="N64" i="4"/>
  <c r="K64" i="4"/>
  <c r="L64" i="4" s="1"/>
  <c r="N63" i="4"/>
  <c r="K63" i="4"/>
  <c r="L63" i="4" s="1"/>
  <c r="N62" i="4"/>
  <c r="K62" i="4"/>
  <c r="L62" i="4" s="1"/>
  <c r="N61" i="4"/>
  <c r="K61" i="4"/>
  <c r="L61" i="4" s="1"/>
  <c r="N60" i="4"/>
  <c r="K60" i="4"/>
  <c r="L60" i="4" s="1"/>
  <c r="N59" i="4"/>
  <c r="K59" i="4"/>
  <c r="L59" i="4" s="1"/>
  <c r="N58" i="4"/>
  <c r="K58" i="4"/>
  <c r="L58" i="4" s="1"/>
  <c r="N57" i="4"/>
  <c r="K57" i="4"/>
  <c r="L57" i="4" s="1"/>
  <c r="N56" i="4"/>
  <c r="K56" i="4"/>
  <c r="L56" i="4" s="1"/>
  <c r="N55" i="4"/>
  <c r="K55" i="4"/>
  <c r="L55" i="4" s="1"/>
  <c r="N54" i="4"/>
  <c r="K54" i="4"/>
  <c r="L54" i="4" s="1"/>
  <c r="N53" i="4"/>
  <c r="K53" i="4"/>
  <c r="L53" i="4" s="1"/>
  <c r="N52" i="4"/>
  <c r="K52" i="4"/>
  <c r="L52" i="4" s="1"/>
  <c r="N51" i="4"/>
  <c r="K51" i="4"/>
  <c r="L51" i="4" s="1"/>
  <c r="N50" i="4"/>
  <c r="K50" i="4"/>
  <c r="L50" i="4" s="1"/>
  <c r="N49" i="4"/>
  <c r="K49" i="4"/>
  <c r="L49" i="4" s="1"/>
  <c r="N48" i="4"/>
  <c r="K48" i="4"/>
  <c r="L48" i="4" s="1"/>
  <c r="N47" i="4"/>
  <c r="K47" i="4"/>
  <c r="L47" i="4" s="1"/>
  <c r="N46" i="4"/>
  <c r="K46" i="4"/>
  <c r="L46" i="4" s="1"/>
  <c r="N45" i="4"/>
  <c r="K45" i="4"/>
  <c r="L45" i="4" s="1"/>
  <c r="N44" i="4"/>
  <c r="K44" i="4"/>
  <c r="L44" i="4" s="1"/>
  <c r="N43" i="4"/>
  <c r="K43" i="4"/>
  <c r="L43" i="4" s="1"/>
  <c r="N42" i="4"/>
  <c r="K42" i="4"/>
  <c r="L42" i="4" s="1"/>
  <c r="N41" i="4"/>
  <c r="K41" i="4"/>
  <c r="L41" i="4" s="1"/>
  <c r="N40" i="4"/>
  <c r="K40" i="4"/>
  <c r="L40" i="4" s="1"/>
  <c r="N39" i="4"/>
  <c r="K39" i="4"/>
  <c r="L39" i="4" s="1"/>
  <c r="N38" i="4"/>
  <c r="K38" i="4"/>
  <c r="L38" i="4" s="1"/>
  <c r="N37" i="4"/>
  <c r="K37" i="4"/>
  <c r="L37" i="4" s="1"/>
  <c r="N36" i="4"/>
  <c r="K36" i="4"/>
  <c r="L36" i="4" s="1"/>
  <c r="N35" i="4"/>
  <c r="K35" i="4"/>
  <c r="L35" i="4" s="1"/>
  <c r="N34" i="4"/>
  <c r="K34" i="4"/>
  <c r="L34" i="4" s="1"/>
  <c r="N33" i="4"/>
  <c r="K33" i="4"/>
  <c r="L33" i="4" s="1"/>
  <c r="N32" i="4"/>
  <c r="K32" i="4"/>
  <c r="L32" i="4" s="1"/>
  <c r="N31" i="4"/>
  <c r="K31" i="4"/>
  <c r="L31" i="4" s="1"/>
  <c r="N30" i="4"/>
  <c r="K30" i="4"/>
  <c r="L30" i="4" s="1"/>
  <c r="N29" i="4"/>
  <c r="K29" i="4"/>
  <c r="L29" i="4" s="1"/>
  <c r="N28" i="4"/>
  <c r="K28" i="4"/>
  <c r="L28" i="4" s="1"/>
  <c r="N27" i="4"/>
  <c r="K27" i="4"/>
  <c r="L27" i="4" s="1"/>
  <c r="N26" i="4"/>
  <c r="K26" i="4"/>
  <c r="L26" i="4" s="1"/>
  <c r="N25" i="4"/>
  <c r="K25" i="4"/>
  <c r="L25" i="4" s="1"/>
  <c r="N24" i="4"/>
  <c r="K24" i="4"/>
  <c r="L24" i="4" s="1"/>
  <c r="N23" i="4"/>
  <c r="K23" i="4"/>
  <c r="L23" i="4" s="1"/>
  <c r="N22" i="4"/>
  <c r="K22" i="4"/>
  <c r="L22" i="4" s="1"/>
  <c r="N21" i="4"/>
  <c r="K21" i="4"/>
  <c r="L21" i="4" s="1"/>
  <c r="N20" i="4"/>
  <c r="K20" i="4"/>
  <c r="L20" i="4" s="1"/>
  <c r="N19" i="4"/>
  <c r="K19" i="4"/>
  <c r="L19" i="4" s="1"/>
  <c r="N18" i="4"/>
  <c r="K18" i="4"/>
  <c r="L18" i="4" s="1"/>
  <c r="N17" i="4"/>
  <c r="K17" i="4"/>
  <c r="L17" i="4" s="1"/>
  <c r="N16" i="4"/>
  <c r="K16" i="4"/>
  <c r="L16" i="4" s="1"/>
  <c r="N15" i="4"/>
  <c r="K15" i="4"/>
  <c r="L15" i="4" s="1"/>
  <c r="N14" i="4"/>
  <c r="K14" i="4"/>
  <c r="L14" i="4" s="1"/>
  <c r="N13" i="4"/>
  <c r="K13" i="4"/>
  <c r="L13" i="4" s="1"/>
  <c r="G28" i="3"/>
  <c r="E28" i="3"/>
  <c r="H11" i="3"/>
  <c r="H12" i="3" s="1"/>
  <c r="H13" i="3" s="1"/>
  <c r="H14" i="3" s="1"/>
  <c r="H15" i="3" s="1"/>
  <c r="H16" i="3" s="1"/>
  <c r="H17" i="3" s="1"/>
  <c r="H18" i="3" s="1"/>
  <c r="H19" i="3" s="1"/>
  <c r="H20" i="3" s="1"/>
  <c r="H21" i="3" s="1"/>
  <c r="H22" i="3" s="1"/>
  <c r="H23" i="3" s="1"/>
  <c r="E15" i="2"/>
  <c r="E7" i="2"/>
  <c r="C6" i="1"/>
  <c r="B66" i="10" l="1"/>
  <c r="B70" i="10" s="1"/>
  <c r="N7" i="12"/>
  <c r="I14" i="12"/>
  <c r="N4" i="12"/>
  <c r="N14" i="12" s="1"/>
  <c r="M14" i="12"/>
  <c r="B89" i="11"/>
  <c r="B93" i="11" s="1"/>
  <c r="N80" i="11"/>
  <c r="B82" i="11"/>
  <c r="H55" i="11"/>
  <c r="N20" i="11"/>
  <c r="B55" i="10"/>
  <c r="C9" i="4"/>
  <c r="C10" i="4"/>
  <c r="C8" i="5"/>
  <c r="C10" i="5" s="1"/>
  <c r="B56" i="10"/>
  <c r="A5" i="5"/>
  <c r="B6" i="10"/>
  <c r="B53" i="10"/>
  <c r="A1" i="8"/>
  <c r="A5" i="4"/>
  <c r="L80" i="5"/>
  <c r="D9" i="5" s="1"/>
  <c r="D9" i="4" s="1"/>
  <c r="L156" i="4"/>
  <c r="D8" i="4" s="1"/>
  <c r="N55" i="11" l="1"/>
  <c r="N74" i="11" s="1"/>
  <c r="H74" i="11"/>
  <c r="H81" i="11"/>
  <c r="D8" i="5"/>
  <c r="D10" i="5" s="1"/>
  <c r="D10" i="4"/>
  <c r="B57" i="10"/>
  <c r="B59" i="10" s="1"/>
  <c r="N81" i="11" l="1"/>
  <c r="N89" i="11" s="1"/>
  <c r="N93" i="11" s="1"/>
  <c r="H82" i="11"/>
  <c r="N82" i="11" s="1"/>
  <c r="H89" i="11"/>
  <c r="H93" i="11" s="1"/>
  <c r="O95" i="11" l="1"/>
  <c r="O94" i="1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L174" authorId="0" shapeId="0" xr:uid="{00000000-0006-0000-0800-000001000000}">
      <text>
        <r>
          <rPr>
            <sz val="10"/>
            <rFont val="Arial"/>
            <family val="2"/>
          </rPr>
          <t>Check cell: should be 0</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C2" authorId="0" shapeId="0" xr:uid="{00000000-0006-0000-0C00-000001000000}">
      <text>
        <r>
          <rPr>
            <sz val="10"/>
            <rFont val="Arial"/>
            <family val="2"/>
          </rPr>
          <t>RBI Reference Rate Archive, USD, 04.05.2026 (no rate published 01.05.26 - Maharashtra Day, or 02.05.26 - Saturday). https://www.rbi.org.in/scripts/referenceratearchive.aspx</t>
        </r>
      </text>
    </comment>
  </commentList>
</comments>
</file>

<file path=xl/sharedStrings.xml><?xml version="1.0" encoding="utf-8"?>
<sst xmlns="http://schemas.openxmlformats.org/spreadsheetml/2006/main" count="3172" uniqueCount="1257">
  <si>
    <t xml:space="preserve"> </t>
  </si>
  <si>
    <t>Report Of</t>
  </si>
  <si>
    <t>XT INDIA</t>
  </si>
  <si>
    <t>From Date</t>
  </si>
  <si>
    <t>To Date</t>
  </si>
  <si>
    <t>Sr No</t>
  </si>
  <si>
    <t>Name of the Report</t>
  </si>
  <si>
    <t>Link</t>
  </si>
  <si>
    <t>Petty Cash</t>
  </si>
  <si>
    <t>Cheque Issued</t>
  </si>
  <si>
    <t>Cheque issued</t>
  </si>
  <si>
    <t>Bank Book</t>
  </si>
  <si>
    <t>Bank book</t>
  </si>
  <si>
    <t>Bank Statement</t>
  </si>
  <si>
    <t>Direct Expenses - ICE</t>
  </si>
  <si>
    <t>DE-ICE</t>
  </si>
  <si>
    <t>Direct Expenses - XT</t>
  </si>
  <si>
    <t xml:space="preserve">DE-XT </t>
  </si>
  <si>
    <t>General Expenses</t>
  </si>
  <si>
    <t>General</t>
  </si>
  <si>
    <t>Employees Loan Repayment</t>
  </si>
  <si>
    <t>Inter Company Transfer</t>
  </si>
  <si>
    <t>Crew on Board</t>
  </si>
  <si>
    <t>CB</t>
  </si>
  <si>
    <t>Cost Report</t>
  </si>
  <si>
    <t>CR</t>
  </si>
  <si>
    <t>Consolidated Cost Report</t>
  </si>
  <si>
    <t>Consolidated CR</t>
  </si>
  <si>
    <t>DBS</t>
  </si>
  <si>
    <t xml:space="preserve"> Cheque issued for the month of APR 2026</t>
  </si>
  <si>
    <t>DATE</t>
  </si>
  <si>
    <t>CHEQUE NO</t>
  </si>
  <si>
    <t>PARTICULARS</t>
  </si>
  <si>
    <t>AMOUNT</t>
  </si>
  <si>
    <t>Type of Exp</t>
  </si>
  <si>
    <t>Nature of Expenses</t>
  </si>
  <si>
    <t>000016</t>
  </si>
  <si>
    <t>Universal Currency Exchange (I) Pvt Ltd - 16 BY IWCLG/000016/UNIVERSAL CURRENCY EXCHAN/HDFC BANK LTD.</t>
  </si>
  <si>
    <t>Travelling Expenses</t>
  </si>
  <si>
    <t>Bill no. 6200155 dt. 20.04.26 USD 1200 for rate 93.90 to vessel visit - Cape med</t>
  </si>
  <si>
    <t>TOTAL</t>
  </si>
  <si>
    <t xml:space="preserve">AXIS </t>
  </si>
  <si>
    <t>No cheque issued during the month</t>
  </si>
  <si>
    <t xml:space="preserve">XT SHIPS MANAGEMENT INDIA PVT LTD </t>
  </si>
  <si>
    <t xml:space="preserve">                                                                                                             XT Ships Management India Pvt.Ltd.            </t>
  </si>
  <si>
    <t>Petty Cash for the month of APR 2026</t>
  </si>
  <si>
    <t>NAME</t>
  </si>
  <si>
    <t xml:space="preserve">AMT Recevd in USD </t>
  </si>
  <si>
    <t>Amt Rece</t>
  </si>
  <si>
    <t>Amt paid</t>
  </si>
  <si>
    <t>Balance</t>
  </si>
  <si>
    <t>Bal Cd fwd of 31.03.26</t>
  </si>
  <si>
    <t>01.04.26</t>
  </si>
  <si>
    <t>Santhana Clyobas Prosper Rajiv</t>
  </si>
  <si>
    <t>Being paid for transport services for spare carried to Vessel Blue Sky. Remaining excess amount handed over to India office &amp; same has been  credited to ICE  DA.</t>
  </si>
  <si>
    <t>07.04.26</t>
  </si>
  <si>
    <t>Cash Paid</t>
  </si>
  <si>
    <t>Airtel sim service fee, lunch expenses paid towards chair old &amp; new pick up on Saturday, sanjay towards MIDC for Knife pick up</t>
  </si>
  <si>
    <t>12.04.26</t>
  </si>
  <si>
    <t>Bajrang Auto Service</t>
  </si>
  <si>
    <t>Petrol expenses</t>
  </si>
  <si>
    <t>14.04.26</t>
  </si>
  <si>
    <t>Siddhivinayak Medical</t>
  </si>
  <si>
    <t>sanitary pad Siddhivinayak medical</t>
  </si>
  <si>
    <t>Sanjay</t>
  </si>
  <si>
    <t>ambedkar jayanti closed tso sanjay brought fruits</t>
  </si>
  <si>
    <t>dishwash salt &amp; Liquid set</t>
  </si>
  <si>
    <t>16.04.26</t>
  </si>
  <si>
    <t>Lunch for officer</t>
  </si>
  <si>
    <t>20.04.26</t>
  </si>
  <si>
    <t>Sai Palace Hotel</t>
  </si>
  <si>
    <t>Lunch for cadet &amp; officer</t>
  </si>
  <si>
    <t>21.04.26</t>
  </si>
  <si>
    <t>28.04.26</t>
  </si>
  <si>
    <t>We Fast</t>
  </si>
  <si>
    <t>Conversion letter to Axis bank</t>
  </si>
  <si>
    <t>Rohit Suthar &amp; officer</t>
  </si>
  <si>
    <t>30.04.26</t>
  </si>
  <si>
    <t>Axis Bank 6132</t>
  </si>
  <si>
    <t>(No narration in Tally - Contra 4: cash withdrawn from Axis Bank 455010200006132)</t>
  </si>
  <si>
    <t xml:space="preserve">  XT Ships Management India Pvt.Ltd.</t>
  </si>
  <si>
    <t>26 APR</t>
  </si>
  <si>
    <t>XT</t>
  </si>
  <si>
    <t>Company Name</t>
  </si>
  <si>
    <t>Total Amount (INR)</t>
  </si>
  <si>
    <t>Total Amount (USD)</t>
  </si>
  <si>
    <t>ICE</t>
  </si>
  <si>
    <t>Grand Total</t>
  </si>
  <si>
    <t xml:space="preserve"> SR</t>
  </si>
  <si>
    <t>RANK</t>
  </si>
  <si>
    <t>VESSEL 
To /From</t>
  </si>
  <si>
    <t>TYPE OF EXPENSE</t>
  </si>
  <si>
    <t>BOOKED
 BY</t>
  </si>
  <si>
    <t>BILL RECEIVED DATE</t>
  </si>
  <si>
    <t>NAME OF COMPANY</t>
  </si>
  <si>
    <t>Inv
no.</t>
  </si>
  <si>
    <t>Taxable Amount</t>
  </si>
  <si>
    <t>Exch rate as on 04.05.2026</t>
  </si>
  <si>
    <t>Amount in USD</t>
  </si>
  <si>
    <t xml:space="preserve">GST </t>
  </si>
  <si>
    <t>Invoice Amount</t>
  </si>
  <si>
    <t>Eligibility</t>
  </si>
  <si>
    <t>DOC REF NO</t>
  </si>
  <si>
    <t>Amount transferred from DBS AC 0001 towards Cash advance as per instructions from principals (USD 1100)</t>
  </si>
  <si>
    <t>Vincent Alexander</t>
  </si>
  <si>
    <t>1</t>
  </si>
  <si>
    <t>Non-GST</t>
  </si>
  <si>
    <t>26 APR /XT/1186</t>
  </si>
  <si>
    <t>JAN TO MAR 26 - PAID on  15.04.26</t>
  </si>
  <si>
    <t>Seafarers Welfare Fund Society</t>
  </si>
  <si>
    <t>3</t>
  </si>
  <si>
    <t>26 APR /XT/2</t>
  </si>
  <si>
    <t>Cook training &amp; orientation program with room stay from 10.04.26 to 14.04.26</t>
  </si>
  <si>
    <t>SIR Mohamed Yusuf Seamen Welfare Foundation</t>
  </si>
  <si>
    <t>CAT-26-27/6</t>
  </si>
  <si>
    <t>Eligible</t>
  </si>
  <si>
    <t>26 APR /XT/3</t>
  </si>
  <si>
    <t>20908 dt. 08.04.26 IKEA 365 + Knife S3 for Cook training pragramme  Reimb</t>
  </si>
  <si>
    <t>IKEA</t>
  </si>
  <si>
    <t>20908</t>
  </si>
  <si>
    <t>26 APR /XT/4</t>
  </si>
  <si>
    <t>Cook Cap &amp; Apron for Trainee Cooks - 20 Nos</t>
  </si>
  <si>
    <t>Best Marine Pvt Ltd</t>
  </si>
  <si>
    <t>2627-AD364</t>
  </si>
  <si>
    <t>26 APR /XT/5</t>
  </si>
  <si>
    <t>Courier charges for receiving Mannuals from Synergy office Chennai to Mumbai - India office - 25 Boxes for vessel - MH Arpeggio 13 &amp; MH Adagio 12  against AWB no. D3504359612</t>
  </si>
  <si>
    <t>Emmar Associates</t>
  </si>
  <si>
    <t>EA0042/26-27</t>
  </si>
  <si>
    <t>26 APR /XT/6</t>
  </si>
  <si>
    <t>Medical signed off on 13.12.25 due to backache &amp; severe pain in RT leg &amp; hip joint - Sea bird consultation dt/ 18.02.26 , physiotherapy sessions &amp; medications from 18.02.26 to 04.04.26</t>
  </si>
  <si>
    <t>DIVYA KUMARI PASANTKUMAR TANDEL</t>
  </si>
  <si>
    <t>4</t>
  </si>
  <si>
    <t>26 APR /XT/7</t>
  </si>
  <si>
    <t>Amount transferred from DBS AC 0001 towards Cash advance as per instructions from principals (USD 1057.50)</t>
  </si>
  <si>
    <t>Sujesh Aravindan</t>
  </si>
  <si>
    <t>5</t>
  </si>
  <si>
    <t>26 APR /XT/8</t>
  </si>
  <si>
    <t>Medical sigend for Ottis media, done left tympanoplasty. Dr. consultation charges &amp; lab test dt. 03.01.26 to 31.03.26</t>
  </si>
  <si>
    <t>Sea Bird Medicare Pvt. Ltd.</t>
  </si>
  <si>
    <t>SB/PNI/2627/021</t>
  </si>
  <si>
    <t>26 APR /XT/9</t>
  </si>
  <si>
    <t>Professional fees for board training at Green Forest at Lisas from 21.02.26 to 24.02.26 traveling cost from 19.02.26 to 20.02.26</t>
  </si>
  <si>
    <t>Shanker Das</t>
  </si>
  <si>
    <t>8</t>
  </si>
  <si>
    <t>26 APR /XT/10</t>
  </si>
  <si>
    <t>Bill no P00417 dt. 24.04.26 Go pro purchase for parwinder singh , same has been handed over to CC ajinkya badekar at sea bird medicare Centre while PJM on 25.04.26</t>
  </si>
  <si>
    <t>Swiggy</t>
  </si>
  <si>
    <t>P00417</t>
  </si>
  <si>
    <t>26 APR /XT/11</t>
  </si>
  <si>
    <t>Reimbursment expenses for seafarers signed on/off</t>
  </si>
  <si>
    <t>Creditors for Travelling</t>
  </si>
  <si>
    <t>6</t>
  </si>
  <si>
    <t>626 APR /XT/12</t>
  </si>
  <si>
    <t>Rejection due to incorrect &amp; NRE accounts</t>
  </si>
  <si>
    <t>6A</t>
  </si>
  <si>
    <t>26 APR /XT/13</t>
  </si>
  <si>
    <t>Delight Hamper to his family towards nextgen promotion</t>
  </si>
  <si>
    <t>Creative Gifting Solutions Pvt Ltd</t>
  </si>
  <si>
    <t>14</t>
  </si>
  <si>
    <t>26 APR /XT/14</t>
  </si>
  <si>
    <t>Span Visa charges 17350/- Service fee 750/- +GST 135/-</t>
  </si>
  <si>
    <t>ATPI India Private Ltd</t>
  </si>
  <si>
    <t>16616513</t>
  </si>
  <si>
    <t>26 APR /XT/15</t>
  </si>
  <si>
    <t>Insurance cancellation charges</t>
  </si>
  <si>
    <t>16616515</t>
  </si>
  <si>
    <t>26 APR /XT/16</t>
  </si>
  <si>
    <t>Belgium Visa charges 12872/- service fee 750/- +GST 135/-</t>
  </si>
  <si>
    <t>16615429</t>
  </si>
  <si>
    <t>26 APR /XT/17</t>
  </si>
  <si>
    <t>16615431</t>
  </si>
  <si>
    <t>26 APR /XT/18</t>
  </si>
  <si>
    <t>Travel expenses from TCR-MAA dt. 01.05.26</t>
  </si>
  <si>
    <t>Riya Travels and Tours India Pvt Ltd</t>
  </si>
  <si>
    <t>ADH0426T0010275</t>
  </si>
  <si>
    <t>26 APR /XT/19</t>
  </si>
  <si>
    <t>Travel expenses from TCR-MAA dt. 02.05.26 tkt cancelled</t>
  </si>
  <si>
    <t>ADH0426T00102126</t>
  </si>
  <si>
    <t>26 APR /XT/20</t>
  </si>
  <si>
    <t>Travel expenses from TCR-MAA dt. 02.05.26</t>
  </si>
  <si>
    <t>ADH0426CM002656</t>
  </si>
  <si>
    <t>26 APR /XT/21</t>
  </si>
  <si>
    <t>Travel expenses from DEL-VTZ dt. 03.05.26</t>
  </si>
  <si>
    <t>ADH0426T0010277</t>
  </si>
  <si>
    <t>26 APR /XT/22</t>
  </si>
  <si>
    <t>Travel expenses from CNN-DEL dt. 18.04.26</t>
  </si>
  <si>
    <t>ADH0426T0003542</t>
  </si>
  <si>
    <t>26 APR /XT/23</t>
  </si>
  <si>
    <t>Travel expenses from BHJ-BOM dt. 19.04.26</t>
  </si>
  <si>
    <t>ADH0426T0008513</t>
  </si>
  <si>
    <t>26 APR /XT/24</t>
  </si>
  <si>
    <t>Travel expenses from BOM-IXY dt. 17.04.26</t>
  </si>
  <si>
    <t>ADH0426T0006313</t>
  </si>
  <si>
    <t>26 APR /XT/25</t>
  </si>
  <si>
    <t>ADH0426T0008512</t>
  </si>
  <si>
    <t>26 APR /XT/26</t>
  </si>
  <si>
    <t>ADH0426T0006314</t>
  </si>
  <si>
    <t>26 APR /XT/27</t>
  </si>
  <si>
    <t>Travel expenses from DEL-BOM dt. 17.04.26</t>
  </si>
  <si>
    <t>ADH0426T0006309</t>
  </si>
  <si>
    <t>26 APR /XT/28</t>
  </si>
  <si>
    <t>Travel expenses from TCR-BOM dt. 20.04.26</t>
  </si>
  <si>
    <t>ADH0426T0006343</t>
  </si>
  <si>
    <t>26 APR /XT/29</t>
  </si>
  <si>
    <t>Travel expenses from TCR-BOM dt. 16.04.26 Tkt cancelled</t>
  </si>
  <si>
    <t>ADH0426T0004218</t>
  </si>
  <si>
    <t>26 APR /XT/30</t>
  </si>
  <si>
    <t>Travel expenses from TCR-BOM dt. 16.04.26</t>
  </si>
  <si>
    <t>ADH0426CM000428</t>
  </si>
  <si>
    <t>26 APR /XT/31</t>
  </si>
  <si>
    <t>Travel expenses from BOM-COK dt. 22.04.26</t>
  </si>
  <si>
    <t>ADH0426T008518</t>
  </si>
  <si>
    <t>26 APR /XT/32</t>
  </si>
  <si>
    <t>Travel expenses from IXC-MAA dt. 26.04.26</t>
  </si>
  <si>
    <t>ADH0426T008520</t>
  </si>
  <si>
    <t>26 APR /XT/33</t>
  </si>
  <si>
    <t>Travel expenses from MAA-IXC dt. 27.04.26</t>
  </si>
  <si>
    <t>ADH0426T008519</t>
  </si>
  <si>
    <t>26 APR /XT/34</t>
  </si>
  <si>
    <t>Travel expenses from BOM-TRV dt. 23.04.26</t>
  </si>
  <si>
    <t>ADH0426T008521</t>
  </si>
  <si>
    <t>26 APR /XT/35</t>
  </si>
  <si>
    <t>Travel expenses from VTZ-DEL dt. 28.04.26</t>
  </si>
  <si>
    <t>ADH0426T0010130</t>
  </si>
  <si>
    <t>26 APR /XT/36</t>
  </si>
  <si>
    <t>Travel expenses from DEL-IXJ dt. 03.05.26</t>
  </si>
  <si>
    <t>ADH0426T0010274</t>
  </si>
  <si>
    <t>26 APR /XT/37</t>
  </si>
  <si>
    <t>Travel expenses from GOI-BOM dt. 20.04.26</t>
  </si>
  <si>
    <t>ADH0426T0006341</t>
  </si>
  <si>
    <t>26 APR /XT/38</t>
  </si>
  <si>
    <t>Travel expenses from GOI-BOM dt. 16.04.26 tkt cancelled</t>
  </si>
  <si>
    <t>ADH0426T0003545</t>
  </si>
  <si>
    <t>26 APR /XT/39</t>
  </si>
  <si>
    <t>Travel expenses from GOI-BOM dt. 16.04.26</t>
  </si>
  <si>
    <t>ADH0426CM000957</t>
  </si>
  <si>
    <t>26 APR /XT/40</t>
  </si>
  <si>
    <t>Travel expenses from PGH-DEL dt. 06.04.26</t>
  </si>
  <si>
    <t>ADH0426T0001285</t>
  </si>
  <si>
    <t>26 APR /XT/41</t>
  </si>
  <si>
    <t>Travel expenses from ATQ-DEL dt. 06.04.26</t>
  </si>
  <si>
    <t>ADH0426T0001389</t>
  </si>
  <si>
    <t>26 APR /XT/42</t>
  </si>
  <si>
    <t>Travel expenses from MAA-BOM dt. 05.04.26</t>
  </si>
  <si>
    <t>ADH0426T0001405</t>
  </si>
  <si>
    <t>26 APR /XT/43</t>
  </si>
  <si>
    <t>ADH0426T0001406</t>
  </si>
  <si>
    <t>26 APR /XT/44</t>
  </si>
  <si>
    <t>Travel expenses from DEL-BOM dt. 05.04.26</t>
  </si>
  <si>
    <t>ADH0426T0002271</t>
  </si>
  <si>
    <t>26 APR /XT/45</t>
  </si>
  <si>
    <t>Travel expenses from IXE-DEL dt. 13.04.26</t>
  </si>
  <si>
    <t>ADH0426T0002892</t>
  </si>
  <si>
    <t>26 APR /XT/46</t>
  </si>
  <si>
    <t>Travel expenses from GOI-BOM dt. 17.04.26</t>
  </si>
  <si>
    <t>ADH0426T0004560</t>
  </si>
  <si>
    <t>26 APR /XT/47</t>
  </si>
  <si>
    <t>Travel expenses from BOM-VTZ dt. 04.04.26</t>
  </si>
  <si>
    <t>ADH0426T0002250</t>
  </si>
  <si>
    <t>26 APR /XT/48</t>
  </si>
  <si>
    <t>Travel expenses from BOM-COK dt. 04.04.26</t>
  </si>
  <si>
    <t>ADH0426T0002251</t>
  </si>
  <si>
    <t>26 APR /XT/49</t>
  </si>
  <si>
    <t>Travel expenses from BOM-LKO dt. 04.04.26</t>
  </si>
  <si>
    <t>ADH0426T0002252</t>
  </si>
  <si>
    <t>26 APR /XT/50</t>
  </si>
  <si>
    <t>Travel expenses from BOM-CCJ dt. 04.04.26</t>
  </si>
  <si>
    <t>ADH0426T0001167</t>
  </si>
  <si>
    <t>26 APR /XT/51</t>
  </si>
  <si>
    <t>Travel expenses from GOI-BOM dt. 07.04.26</t>
  </si>
  <si>
    <t>ADH0426T0001175</t>
  </si>
  <si>
    <t>26 APR /XT/52</t>
  </si>
  <si>
    <t>ADH0426T0001425</t>
  </si>
  <si>
    <t>26 APR /XT/53</t>
  </si>
  <si>
    <t>Travel expenses from BOM-TCR dt. 07.04.26</t>
  </si>
  <si>
    <t>ADH0426T0001542</t>
  </si>
  <si>
    <t>26 APR /XT/54</t>
  </si>
  <si>
    <t>Travel expenses from BOM-IXE dt. 07.04.26</t>
  </si>
  <si>
    <t>ADH0426T0001543</t>
  </si>
  <si>
    <t>26 APR /XT/55</t>
  </si>
  <si>
    <t>Travel expenses from BOM-GOI dt. 12.04.26</t>
  </si>
  <si>
    <t>ADH0426T0002847</t>
  </si>
  <si>
    <t>26 APR /XT/56</t>
  </si>
  <si>
    <t>Travel expenses from BOM-CCU dt. 12.04.26</t>
  </si>
  <si>
    <t>ADH0426T0002858</t>
  </si>
  <si>
    <t>26 APR /XT/57</t>
  </si>
  <si>
    <t>Travel expenses from BOM-IXM dt. 12.04.26</t>
  </si>
  <si>
    <t>ADH0426T0002859</t>
  </si>
  <si>
    <t>26 APR /XT/58</t>
  </si>
  <si>
    <t>Travel expenses from VNS-BOM dt. 19.04.26 tkt cancelled</t>
  </si>
  <si>
    <t>ADH0426T0003543</t>
  </si>
  <si>
    <t>26 APR /XT/59</t>
  </si>
  <si>
    <t>Travel expenses from VNS-BOM dt. 19.04.26</t>
  </si>
  <si>
    <t>ADH0426CM002181</t>
  </si>
  <si>
    <t>26 APR /XT/60</t>
  </si>
  <si>
    <t>Travel expenses from VTZ-BOM dt. 07.04.26 tkt cancelled</t>
  </si>
  <si>
    <t>ADH0426T0001176</t>
  </si>
  <si>
    <t>26 APR /XT/61</t>
  </si>
  <si>
    <t>Travel expenses from VTZ-BOM dt. 07.04.26</t>
  </si>
  <si>
    <t>ADH0426CM000162</t>
  </si>
  <si>
    <t>26 APR /XT/62</t>
  </si>
  <si>
    <t>Travel expenses from COK-DEL dt. 18.04.26</t>
  </si>
  <si>
    <t>ADH0426T0003546</t>
  </si>
  <si>
    <t>26 APR /XT/63</t>
  </si>
  <si>
    <t>Travel expenses from DEL-TRV dt. 11.04.26</t>
  </si>
  <si>
    <t>ADH0426T0002866</t>
  </si>
  <si>
    <t>26 APR /XT/64</t>
  </si>
  <si>
    <t>Travel expenses from JAI-BOM dt. 17.04.26</t>
  </si>
  <si>
    <t>ADH0426T0006281</t>
  </si>
  <si>
    <t>26 APR /XT/65</t>
  </si>
  <si>
    <t>Travel expenses from VNS-BOM dt. 17.04.26</t>
  </si>
  <si>
    <t>ADH0426T0006282</t>
  </si>
  <si>
    <t>26 APR /XT/66</t>
  </si>
  <si>
    <t>Travel expenses from DEL-VTZ dt. 24.04.26</t>
  </si>
  <si>
    <t>ADH0426T0008514</t>
  </si>
  <si>
    <t>26 APR /XT/67</t>
  </si>
  <si>
    <t>ADH0426T0008515</t>
  </si>
  <si>
    <t>26 APR /XT/68</t>
  </si>
  <si>
    <t>Travel expenses from BOM-GOI dt. 26.04.26</t>
  </si>
  <si>
    <t>ADH0426T0008516</t>
  </si>
  <si>
    <t>26 APR /XT/69</t>
  </si>
  <si>
    <t>Travel expenses from GOI-BOM dt. 29.04.26</t>
  </si>
  <si>
    <t>ADH0426T0008517</t>
  </si>
  <si>
    <t>26 APR /XT/70</t>
  </si>
  <si>
    <t>Travel expenses from PAT-DEL dt. 27.04.26</t>
  </si>
  <si>
    <t>ADH0426T0009797</t>
  </si>
  <si>
    <t>26 APR /XT/71</t>
  </si>
  <si>
    <t>Travel expenses from GOI-BOM dt. 27.04.26</t>
  </si>
  <si>
    <t>ADH0426T0011498</t>
  </si>
  <si>
    <t>26 APR /XT/72</t>
  </si>
  <si>
    <t>Travel expenses from JAI-DEL dt. 26.04.26</t>
  </si>
  <si>
    <t>ADH0426T0006490</t>
  </si>
  <si>
    <t>26 APR /XT/73</t>
  </si>
  <si>
    <t>Travel expenses from PAT-DEL dt. 26.04.26</t>
  </si>
  <si>
    <t>ADH0426T0006491</t>
  </si>
  <si>
    <t>26 APR /XT/74</t>
  </si>
  <si>
    <t>Travel expenses from MAA-BOM dt. 26.04.26</t>
  </si>
  <si>
    <t>ADH0426T0008511</t>
  </si>
  <si>
    <t>26 APR /XT/75</t>
  </si>
  <si>
    <t>Travel expenses from DHM-DEL dt. 26.04.26</t>
  </si>
  <si>
    <t>ADH0426T0009789</t>
  </si>
  <si>
    <t>26 APR /XT/76</t>
  </si>
  <si>
    <t>Travel expenses from DEL-IXE dt. 01.05.26</t>
  </si>
  <si>
    <t>ADH0426T0010207</t>
  </si>
  <si>
    <t>26 APR /XT/77</t>
  </si>
  <si>
    <t>Travel expenses from DEL-GOP dt. 01.05.26</t>
  </si>
  <si>
    <t>ADH0426T0010208</t>
  </si>
  <si>
    <t>26 APR /XT/78</t>
  </si>
  <si>
    <t>Travel expenses from DEL-VTZ dt. 02.05.26</t>
  </si>
  <si>
    <t>ADH0426T0010282</t>
  </si>
  <si>
    <t>26 APR /XT/79</t>
  </si>
  <si>
    <t>Travel expenses from IXC-DEL dt. 06.05.26</t>
  </si>
  <si>
    <t>ADH0426T0011509</t>
  </si>
  <si>
    <t>26 APR /XT/80</t>
  </si>
  <si>
    <t>Travel expenses from TCR-BOM dt. 06.05.26</t>
  </si>
  <si>
    <t>ADH0426T0011503</t>
  </si>
  <si>
    <t>26 APR /XT/81</t>
  </si>
  <si>
    <t>Travel expenses from DEL-MAA dt. 04.04.26 tkt cancelled</t>
  </si>
  <si>
    <t>ADH0426T0002245</t>
  </si>
  <si>
    <t>26 APR /XT/82</t>
  </si>
  <si>
    <t>Travel expenses from DEL-MAA dt. 04.04.26</t>
  </si>
  <si>
    <t>ADH0426CM000062</t>
  </si>
  <si>
    <t>26 APR /XT/83</t>
  </si>
  <si>
    <t>Travel expenses from ATQ-DEL dt. 03.04.26</t>
  </si>
  <si>
    <t>ADH0426T0001140</t>
  </si>
  <si>
    <t>26 APR /XT/84</t>
  </si>
  <si>
    <t>Travel expenses from STV-DEL dt. 05.04.26</t>
  </si>
  <si>
    <t>ADH0426T0001179</t>
  </si>
  <si>
    <t>26 APR /XT/85</t>
  </si>
  <si>
    <t>Travel expenses from HYD-VTZ dt. 02.04.26</t>
  </si>
  <si>
    <t>ADH0426T0001191</t>
  </si>
  <si>
    <t>26 APR /XT/86</t>
  </si>
  <si>
    <t>Travel expenses from BOM-DEL dt. 03.04.26</t>
  </si>
  <si>
    <t>ADH0426T0002256</t>
  </si>
  <si>
    <t>26 APR /XT/87</t>
  </si>
  <si>
    <t>Travel expenses from BOM-GOI dt. 02.04.26</t>
  </si>
  <si>
    <t>ADH0426T0002257</t>
  </si>
  <si>
    <t>26 APR /XT/88</t>
  </si>
  <si>
    <t>Travel expenses from COK-IXE dt. 08.04.26</t>
  </si>
  <si>
    <t>ADH0426T0001727</t>
  </si>
  <si>
    <t>26 APR /XT/89</t>
  </si>
  <si>
    <t>Travel expenses from DEL-DIB dt. 12.04.26</t>
  </si>
  <si>
    <t>ADH0426T0002885</t>
  </si>
  <si>
    <t>26 APR /XT/90</t>
  </si>
  <si>
    <t>Travel expenses from DEL-PNY dt. 12.04.26</t>
  </si>
  <si>
    <t>ADH0426T0002891</t>
  </si>
  <si>
    <t>26 APR /XT/91</t>
  </si>
  <si>
    <t>Travel expenses from DEL-IXC dt. 12.04.26</t>
  </si>
  <si>
    <t>ADH0426T0002911</t>
  </si>
  <si>
    <t>26 APR /XT/92</t>
  </si>
  <si>
    <t>Travel expenses from DEL-BBI dt. 16.04.26</t>
  </si>
  <si>
    <t>ADH0426T0003544</t>
  </si>
  <si>
    <t>26 APR /XT/93</t>
  </si>
  <si>
    <t>Hotel stay expenses from 12.04.26 to 13.04.26 with meal exp</t>
  </si>
  <si>
    <t>Novel Hospitality &amp; Marine Service (LLP)</t>
  </si>
  <si>
    <t>2604057</t>
  </si>
  <si>
    <t>26 APR /XT/94</t>
  </si>
  <si>
    <t>Hotel stay expenses from 21.04.26 to 22.04.26 with meal exp</t>
  </si>
  <si>
    <t>2604080</t>
  </si>
  <si>
    <t>26 APR /XT/95</t>
  </si>
  <si>
    <t>Hotel stay expenses from 30.04.26 to 01.05.26 with meal exp Suvarna Vijay Damodar</t>
  </si>
  <si>
    <t>DMC Marine Services Pvt Ltd</t>
  </si>
  <si>
    <t>HM036990</t>
  </si>
  <si>
    <t>26 APR /XT/96</t>
  </si>
  <si>
    <t>Hotel stay expenses from 30.04.26 to 01.05.26 with meal exp  Yadav Mantosh Kumar</t>
  </si>
  <si>
    <t>26 APR /XT/97</t>
  </si>
  <si>
    <t>Hotel stay expenses from 30.04.26 to 01.05.26 with meal exp Pankaj Parti</t>
  </si>
  <si>
    <t>26 APR /XT/98</t>
  </si>
  <si>
    <t>Hotel stay expenses from 26.04.26 to 27.04.26 with meal exp Akshay Thakur</t>
  </si>
  <si>
    <t>HM036989</t>
  </si>
  <si>
    <t>26 APR /XT/99</t>
  </si>
  <si>
    <t>Prejoining medical expenses dt. 17.04.26 P1</t>
  </si>
  <si>
    <t>Bay Harbour Health</t>
  </si>
  <si>
    <t>JP-5736</t>
  </si>
  <si>
    <t>26 APR /XT/100</t>
  </si>
  <si>
    <t>Prejoining medical expenses dt. 20.04.26 P1</t>
  </si>
  <si>
    <t>JP-5745</t>
  </si>
  <si>
    <t>26 APR /XT/101</t>
  </si>
  <si>
    <t>Prejoining medical expenses dt. 16.04.26 P1</t>
  </si>
  <si>
    <t>JP-5729</t>
  </si>
  <si>
    <t>26 APR /XT/102</t>
  </si>
  <si>
    <t>Prejoining medical expenses dt. 08.04.26</t>
  </si>
  <si>
    <t>Heilen Cross Diganostics Pvt Ltd</t>
  </si>
  <si>
    <t>HCDPL/01/XT 2026-2</t>
  </si>
  <si>
    <t>26 APR /XT/103</t>
  </si>
  <si>
    <t>Medical signed off for left hand middle finger - injury - Dr. consultation dt. 09.03.26</t>
  </si>
  <si>
    <t>Balaji Medical Centre Pvt Ltd MSME</t>
  </si>
  <si>
    <t>BMC/PNI/7163A/2026-2027</t>
  </si>
  <si>
    <t>26 APR /XT/104</t>
  </si>
  <si>
    <t>Plastic surgeon Consultation, Anaesthesiologist, xray dt. 09.03.26</t>
  </si>
  <si>
    <t>BMC/PNI/7163B/2026-2027</t>
  </si>
  <si>
    <t>26 APR /XT/105</t>
  </si>
  <si>
    <t>Prejoning medical expenses dt. 26.03.26 P2+ Liberian flag</t>
  </si>
  <si>
    <t>Dr BS Bhatia</t>
  </si>
  <si>
    <t>04/2026</t>
  </si>
  <si>
    <t>26 APR /XT/106</t>
  </si>
  <si>
    <t>Prejoning medical expenses dt. 08.04.26 P3</t>
  </si>
  <si>
    <t>26 APR /XT/107</t>
  </si>
  <si>
    <t>Prejoning medical expenses dt. 10.04.26 P3</t>
  </si>
  <si>
    <t>26 APR /XT/108</t>
  </si>
  <si>
    <t>Prejoning medical expenses dt. 10.04.26 P1 + Liberian Flag</t>
  </si>
  <si>
    <t>Dr.KRS Kanwar MSME</t>
  </si>
  <si>
    <t>SMC/2026/004</t>
  </si>
  <si>
    <t>26 APR /XT/109</t>
  </si>
  <si>
    <t>Prejoning medical expenses dt. 16.04.26 P1 + Liberian Flag</t>
  </si>
  <si>
    <t>26 APR /XT/110</t>
  </si>
  <si>
    <t>Prejoning medical expenses dt. 04.04.26 P1 + Liberian Flag</t>
  </si>
  <si>
    <t>SB/PEME2627/0055</t>
  </si>
  <si>
    <t>26 APR /XT/111</t>
  </si>
  <si>
    <t>Prejoning medical expenses dt. 14.04.26 P2+ Liberian Flag</t>
  </si>
  <si>
    <t>26 APR /XT/112</t>
  </si>
  <si>
    <t>Prejoning medical expenses dt. 11.04.26 P1 + Liberian Flag</t>
  </si>
  <si>
    <t>26 APR /XT/113</t>
  </si>
  <si>
    <t>Prejoning medical expenses dt. 26.03.26 P1 + Liberian Flag</t>
  </si>
  <si>
    <t>SB/PEME2627/0054</t>
  </si>
  <si>
    <t>26 APR /XT/114</t>
  </si>
  <si>
    <t>Prejoning medical expenses dt. 31.03.26 P1 + Liberian Flag + stool routine</t>
  </si>
  <si>
    <t>26 APR /XT/115</t>
  </si>
  <si>
    <t>Prejoning medical expenses dt. 07.04.26 P1 + Liberian Flag</t>
  </si>
  <si>
    <t>26 APR /XT/116</t>
  </si>
  <si>
    <t>26 APR /XT/117</t>
  </si>
  <si>
    <t>Prejoning medical expenses dt. 09.04.26 P1 + Liberian Flag + Stool routine</t>
  </si>
  <si>
    <t>26 APR /XT/118</t>
  </si>
  <si>
    <t>Prejoning medical expenses dt. 13.04.26 P1 + Liberian Flag</t>
  </si>
  <si>
    <t>26 APR /XT/119</t>
  </si>
  <si>
    <t>26 APR /XT/120</t>
  </si>
  <si>
    <t>26 APR /XT/121</t>
  </si>
  <si>
    <t>26 APR /XT/122</t>
  </si>
  <si>
    <t>Prejoning medical expenses dt. 17.04.26 P1 + Liberian Flag</t>
  </si>
  <si>
    <t>26 APR /XT/123</t>
  </si>
  <si>
    <t>Prejoning medical expenses dt. 24.04.26 P1 + Liberian Flag + Stool Routine</t>
  </si>
  <si>
    <t>26 APR /XT/124</t>
  </si>
  <si>
    <t>Prejoning medical expenses dt. 25.04.26 P1 + Liberian Flag + Stool Routine</t>
  </si>
  <si>
    <t>26 APR /XT/125</t>
  </si>
  <si>
    <t>REMITTANCE CHARGES - GST ON Fx 0853IT0517861 C317368OCP040126 XT SHIPS MANA  XT SHIPS MANAGEMENT INDIA           USD 689062.76 at INR93.2100000000   UETR Ref:7953f2b8-08c7-4e89-be58-cb51bcc0691c</t>
  </si>
  <si>
    <t>DBS Bank Ltd</t>
  </si>
  <si>
    <t>NA</t>
  </si>
  <si>
    <t>Payment 2 dt. 02.04.26</t>
  </si>
  <si>
    <t>Total</t>
  </si>
  <si>
    <t xml:space="preserve"> SR.NO</t>
  </si>
  <si>
    <t>Doc No</t>
  </si>
  <si>
    <t>Fruit basket to the crew residence as a Get Well Soon gesture for speedy recovery &amp; well wishes Tarkeshwar Singh</t>
  </si>
  <si>
    <t>CGS/2026-27/14</t>
  </si>
  <si>
    <t>Fruit basket to the crew residence as a Get Well Soon gesture for speedy recovery &amp; well wishes Kiran Kumar</t>
  </si>
  <si>
    <t>Being paid for transport services for spare carried to Vessel Blue Sky. Remaining excess amount handed over to India office &amp; same has been  credited to ICE  DA. Santhana Clyobas Prosper Rajiv</t>
  </si>
  <si>
    <t>2</t>
  </si>
  <si>
    <t>Course fees towards LCHS dt. 29.04.26</t>
  </si>
  <si>
    <t>Prakriti Marine Service</t>
  </si>
  <si>
    <t>PMS/IND/2026-020</t>
  </si>
  <si>
    <t>Netherland visa charges 9360/- VFS 2662/-appointment 1770/- Print 150/- Ticket 500/- Service fee 750/- GST 135-/</t>
  </si>
  <si>
    <t>16616007</t>
  </si>
  <si>
    <t>16616009</t>
  </si>
  <si>
    <t>Netherland visa charges 9360/- VFS 1325/-appointment 1770/- Service fee 750/- GST 135-/</t>
  </si>
  <si>
    <t>16615661</t>
  </si>
  <si>
    <t>16615664</t>
  </si>
  <si>
    <t>Belgium Visa 9270/- VFS appointment 2575/- VFS service 1445/-  Print 20/-  service fee 750/- GST 135/-</t>
  </si>
  <si>
    <t>16615489</t>
  </si>
  <si>
    <t>16593579</t>
  </si>
  <si>
    <t>16615547</t>
  </si>
  <si>
    <t>16615554</t>
  </si>
  <si>
    <t>Belgium Visa 9270/- VFS appointment 2575/- VFS service 1445/-   service fee 750/- GST 135/-</t>
  </si>
  <si>
    <t>16615458</t>
  </si>
  <si>
    <t>16615462</t>
  </si>
  <si>
    <t>Belgium Visa 9270/- VFS appointment 2575/- VFS service 1027/-  Print 20/-  service fee 750/- GST 135/-</t>
  </si>
  <si>
    <t>16615520</t>
  </si>
  <si>
    <t>16615527</t>
  </si>
  <si>
    <t>VFS appointment 2575/-  service fee 750/- GST 135/-</t>
  </si>
  <si>
    <t>16615512</t>
  </si>
  <si>
    <t>Belgium Visa 9270/- VFS appointment 2575/- VFS service 3316/-  Ticket 500/-  service fee 750/- GST 135/-</t>
  </si>
  <si>
    <t>16623694</t>
  </si>
  <si>
    <t>16623695</t>
  </si>
  <si>
    <t>Hotel stay from 01.04.26 to 02.04.26 with meal exp Gaurav</t>
  </si>
  <si>
    <t>2604022</t>
  </si>
  <si>
    <t>Hotel stay from 01.04.26 to 02.04.26 with meal exp Antonysamy Prabhakar</t>
  </si>
  <si>
    <t>Medical signed off for TB Submandibular Lymph node - dr. Consultation, Lab test, Dr. Followup from 29.12.25 to 18.03.26, Pharmacy bills</t>
  </si>
  <si>
    <t>SB/PNI/2627/003</t>
  </si>
  <si>
    <t>Medical signed off for Injury overhead &amp; left shoulders Dr. Consultation &amp; Lab test &amp; dr. follwoup from 14.02.26 to 29.03.26</t>
  </si>
  <si>
    <t>SB/PNI/2627/022</t>
  </si>
  <si>
    <t>Medical signed off for Injury overhead &amp; left shoulders - Surgery AC Joint stablization with slide rope AC joint reconstruction system - left done under Gen anesthesia - admitted on 25.03.26 to discharged 28.03.26 (have attached bills)</t>
  </si>
  <si>
    <t>Pinnacle Hospitals India Pvt Ltd</t>
  </si>
  <si>
    <t>SBMPL:01/26/02</t>
  </si>
  <si>
    <t>Prejoning medical expenses dt. 02.04.26 P1 + Liberian flag</t>
  </si>
  <si>
    <t>BMC/206147/2026-2027</t>
  </si>
  <si>
    <t>Prejoning medical expenses dt. 07.04.26 P1 + Liberian flag</t>
  </si>
  <si>
    <t>Prejoning medical expenses dt. 14.03.26 P1 + Liberian flag</t>
  </si>
  <si>
    <t>Globus Medicare</t>
  </si>
  <si>
    <t>GM/2026/03/XT/2495</t>
  </si>
  <si>
    <t>Prejoning medical expenses dt. 21.03.26 P2 + Liberian flag</t>
  </si>
  <si>
    <t>Prejoning medical expenses dt. 28.03.26 P1 + Liberian flag</t>
  </si>
  <si>
    <t>Prejoning medical expenses dt. 09.04.26 P1 + Liberian flag</t>
  </si>
  <si>
    <t>Prejoning medical expenses dt. 18.04.26 P1 + Liberian flag</t>
  </si>
  <si>
    <t>Prejoning medical expenses dt. 16.04.26 P1 + Liberia Flag</t>
  </si>
  <si>
    <t>Prejoning medical expenses dt. 31.03.26 P1 + Liberia Flag</t>
  </si>
  <si>
    <t>Prejoning medical expenses dt. 30.03.26 P1 + Liberia Flag</t>
  </si>
  <si>
    <t>Prejoning medical expenses dt. 06.04.26 P1 + Liberia Flag</t>
  </si>
  <si>
    <t>Prejoning medical expenses dt. 07.04.26 P1 + Liberia Flag</t>
  </si>
  <si>
    <t>Prejoning medical expenses dt. 07.04.26  Liberia Flag</t>
  </si>
  <si>
    <t>Prejoning medical expenses dt. 09.04.26 P1 Liberia Flag</t>
  </si>
  <si>
    <t>Prejoning medical expenses dt. 11.04.26 P1 Liberia Flag</t>
  </si>
  <si>
    <t>Prejoning medical expenses dt. 17.04.26  P1 Liberia Flag</t>
  </si>
  <si>
    <t>Prejoning medical expenses dt. 17.04.26  P2 Liberian Flag</t>
  </si>
  <si>
    <t>Prejoning medical expenses dt. 22.04.26  P1 Liberian Flag</t>
  </si>
  <si>
    <t>Prejoning medical expenses dt. 23.04.26  P1 Liberian Flag</t>
  </si>
  <si>
    <t>Prejoning medical expenses dt. 23.04.26  P1</t>
  </si>
  <si>
    <t>Prejoning medical expenses dt. 24.04.26  P1 Liberian Flag</t>
  </si>
  <si>
    <t>Prejoning medical expenses dt. 05.03.26  Liberia Flag</t>
  </si>
  <si>
    <t>REMITTANCE CHARGES - GST ON Fx 0853IT0517991 IH0304003743479 XT SHIPS MANAG  XT SHIPS MANAGEMENT INDIA PRIVATE L USD 661177.49 at INR92.2212000000   UETR Ref:18ff3daa-e309-4f86-8567-516a07923557</t>
  </si>
  <si>
    <t>Payment 211 dt. 08.04.26</t>
  </si>
  <si>
    <t>AXIS BANK STATEMENT - A/c 455010200006132 (01.04.2026 to 12.05.2026; balance as on 30.04.2026 Rs 4,36,445.38)</t>
  </si>
  <si>
    <t>Account Details for :</t>
  </si>
  <si>
    <t>XT SHIPS MANAGEMENT INDIA PRIVATE LIMITED 8853210000030001 INR</t>
  </si>
  <si>
    <t>Statement as at :</t>
  </si>
  <si>
    <t>01-Apr-2026</t>
  </si>
  <si>
    <t>To :</t>
  </si>
  <si>
    <t>30-Apr-2026</t>
  </si>
  <si>
    <t>Opening Balance :</t>
  </si>
  <si>
    <t>Ledger Balance :</t>
  </si>
  <si>
    <t>Available Balance :</t>
  </si>
  <si>
    <t>Date</t>
  </si>
  <si>
    <t>Value Date</t>
  </si>
  <si>
    <t>Transaction Description 1</t>
  </si>
  <si>
    <t>Transaction Description 2</t>
  </si>
  <si>
    <t>Debit</t>
  </si>
  <si>
    <t>Credit</t>
  </si>
  <si>
    <t>Running Balance</t>
  </si>
  <si>
    <t>TRANSFER</t>
  </si>
  <si>
    <t>NEFT 0811OP6171943970 Global Traders AXIS BANK UTIB0001062 REF Bill 780 dt. 30.03.26 Chair 52pcs Global Traders INR 141128</t>
  </si>
  <si>
    <t>02-Apr-2026</t>
  </si>
  <si>
    <t>NEFT 0811OP6172030374 XT Ships Management India Pv AXIS BANK UTIB0000004 REF TDS PF MAR 26 XT Ships Management India Pvt Ltd INR 2650000</t>
  </si>
  <si>
    <t>06-Apr-2026</t>
  </si>
  <si>
    <t>NEFT 0811OP6172226661 MOHAMMED SHAHID NAUSHAD BORK IDBI BANK IBKL0000574 REF MOHAMMED SHAHID NAUSHAD BORKAR INR 17020</t>
  </si>
  <si>
    <t>NEFT 0811OP6172226665 EDWIN VINOTH M STATE BANK OF INDIA SBIN000931 REF EDWIN VINOTH M INR 3324</t>
  </si>
  <si>
    <t>NEFT 0811OP6172226660 Pranshu Gupta ICICI BANK LIMITED ICIC0007237 REF Pranshu Gupta INR 3983</t>
  </si>
  <si>
    <t>NEFT 0811OP6172226684 Hitesh Kumar Ninganiya STATE BANK OF INDIA SBIN000239 REF Hitesh Kumar Ninganiya INR 3240</t>
  </si>
  <si>
    <t>NEFT 0811OP6172226693 ARUN DINAKAR ICICI BANK LIMITED ICIC0000807 REF ARUN DINAKAR INR 5404</t>
  </si>
  <si>
    <t>NEFT 0811OP6172226690 Jorawar singh PUNJAB NATIONAL BANK PUNB00745 REF Jorawar singh INR 4650</t>
  </si>
  <si>
    <t>NEFT 0811OP6172226678 Gopinath A STATE BANK OF INDIA SBIN000966 REF Gopinath A INR 3500</t>
  </si>
  <si>
    <t>NEFT 0811OP6172226694 Manju bisht AXIS BANK UTIB0000093 REF Manju bisht INR 6865</t>
  </si>
  <si>
    <t>NEFT 0811OP6172226675 Dinny Abraham ICICI BANK LIMITED ICIC0001952 REF Dinny Abraham INR 11778</t>
  </si>
  <si>
    <t>NEFT 0811OP6172226668 Sandeep Rajan STATE BANK OF INDIA SBIN000860 REF Sandeep Rajan INR 2500</t>
  </si>
  <si>
    <t>NEFT 0811OP6172226669 Harkuldeep Singh AXIS BANK UTIB0000494 REF Harkuldeep Singh INR 5500</t>
  </si>
  <si>
    <t>NEFT 0811OP6172226676 TAMILARASAN S STATE BANK OF INDIA SBIN000099 REF TAMILARASAN S INR 15540</t>
  </si>
  <si>
    <t>NEFT 0811OP6172226680 Hitesh Kumar Ninganiya STATE BANK OF INDIA SBIN000239 REF Hitesh Kumar Ninganiya INR 4600</t>
  </si>
  <si>
    <t>NEFT 0811OP6172226762 minakshi manhas PUNJAB NATIONAL BANK PUNB01293 REF minakshi manhas INR 3662</t>
  </si>
  <si>
    <t>NEFT 0811OP6172226741 CHODIPALLI BABURAO HDFC BANK HDFC0006728 REF CHODIPALLI BABURAO INR 6895</t>
  </si>
  <si>
    <t>NEFT 0811OP6172226706 NAGARAJAN RAMAR INDIAN BANK IDIB000V020 REF NAGARAJAN RAMAR INR 420</t>
  </si>
  <si>
    <t>NEFT 0811OP6172226711 Mehul Kumar BARB0BALODA BANK OF BARODA BARB0BALODA REF Mehul Kumar BARB0BALODA INR 4411</t>
  </si>
  <si>
    <t>NEFT 0811OP6172226753 Mothi Nagasundaram ICICI BANK LIMITED ICIC0004636 REF Mothi Nagasundaram INR 5436</t>
  </si>
  <si>
    <t>NEFT 0811OP6172226745 Francisco Leitao ICICI BANK LIMITED ICIC0001365 REF Francisco Leitao INR 1270</t>
  </si>
  <si>
    <t>NEFT 0811OP6172226730 CHODIPALLI KUMAR STATE BANK OF INDIA SBIN000276 REF CHODIPALLI KUMAR INR 17020</t>
  </si>
  <si>
    <t>NEFT 0811OP6172226691 GADEY VENKATA ADITYA KUMAR EQUITAS SMALL FINANCE BANK LIM REF GADEY VENKATA ADITYA KUMAR INR 3560</t>
  </si>
  <si>
    <t>NEFT 0811OP6172226813 APPALARAJU GORGANGI STATE BANK OF INDIA SBIN000075 REF APPALARAJU GORGANGI INR 903</t>
  </si>
  <si>
    <t>NEFT 0811OP6172226715 JOANITA LAWRENCE STATE BANK OF INDIA SBIN000146 REF JOANITA LAWRENCE INR 243</t>
  </si>
  <si>
    <t>NEFT 0811OP6172226832 Hanipriya STATE BANK OF INDIA SBIN000489 REF Hanipriya INR 4000</t>
  </si>
  <si>
    <t>NEFT 0811OP6172226731 Daniel INDIAN OVERSEAS BANK IOBA00032 REF Daniel INR 17020</t>
  </si>
  <si>
    <t>NEFT 0811OP6172226798 Ajay HDFC BANK HDFC0003811 REF Ajay INR 17649</t>
  </si>
  <si>
    <t>NEFT 0811OP6172226766 Navdeep singh PUNJAB NATIONAL BANK PUNB01343 REF Navdeep singh INR 6400</t>
  </si>
  <si>
    <t>NEFT 0811OP6172226717 SUJE J STATE BANK OF INDIA SBIN000846 REF SUJE J INR 3200</t>
  </si>
  <si>
    <t>NEFT 0811OP6172226723 KULDEEP PAL STATE BANK OF INDIA SBIN001761 REF KULDEEP PAL INR 3500</t>
  </si>
  <si>
    <t>NEFT 0811OP6172226752 sunil kumar UNION BANK OF INDIA UBIN054796 REF sunil kumar INR 2000</t>
  </si>
  <si>
    <t>NEFT 0811OP6172226718 SUJE J STATE BANK OF INDIA SBIN000846 REF SUJE J INR 4200</t>
  </si>
  <si>
    <t>NEFT 0811OP6172226810 ADITYA RAJESH BARKE BANK OF INDIA BKID0009617 REF ADITYA RAJESH BARKE INR 925</t>
  </si>
  <si>
    <t>NEFT 0811OP6172226756 Mukesh Kumar STATE BANK OF INDIA SBIN000830 REF Mukesh Kumar INR 1350</t>
  </si>
  <si>
    <t>NEFT 0811OP6172226775 Saurabh Bisht PUNJAB NATIONAL BANK PUNB00196 REF Saurabh Bisht INR 4800</t>
  </si>
  <si>
    <t>NEFT 0811OP6172226858 CHETAN DESAI ICICI BANK LIMITED ICIC0002787 REF CHETAN DESAI INR 1030</t>
  </si>
  <si>
    <t>NEFT 0811OP6172226781 ALAYBHAI MAHESHBHAI PATEL STATE BANK OF INDIA SBIN001103 REF ALAYBHAI MAHESHBHAI PATEL INR 4500</t>
  </si>
  <si>
    <t>NEFT 0811OP6172226821 Sourabh mani KERALA GRAMIN BANK KLGB0040530 REF Sourabh mani INR 1000</t>
  </si>
  <si>
    <t>NEFT 0811OP6172226785 JOANITA LAWRENCE STATE BANK OF INDIA SBIN000146 REF JOANITA LAWRENCE INR 7100</t>
  </si>
  <si>
    <t>NEFT 0811OP6172226779 Judas k AXIS BANK UTIB0001080 REF Judas k INR 4598</t>
  </si>
  <si>
    <t>NEFT 0811OP6172226771 Abhishek dattaram chavan ICICI BANK LIMITED ICIC0000340 REF Abhishek dattaram chavan INR 800</t>
  </si>
  <si>
    <t>NEFT 0811OP6172226758 Andruwes Skaria Marugodil INDIAN OVERSEAS BANK IOBA00010 REF Andruwes Skaria Marugodil INR 800</t>
  </si>
  <si>
    <t>NEFT 0811OP6172226805 LAXMAN KESHAV GAWADE STATE BANK OF INDIA SBIN000047 REF LAXMAN KESHAV GAWADE INR 1344</t>
  </si>
  <si>
    <t>NEFT 0811OP6172226748 Atmanjan T REGHU SOUTH INDIAN BANK SIBL0000610 REF Atmanjan T REGHU INR 4703</t>
  </si>
  <si>
    <t>NEFT 0811OP6172226739 Vijay Parthiban HDFC BANK HDFC0001004 REF Vijay Parthiban INR 2895</t>
  </si>
  <si>
    <t>NEFT 0811OP6172226848 Aaditya Naik ICICI BANK LIMITED ICIC0000581 REF Aaditya Naik INR 2139</t>
  </si>
  <si>
    <t>NEFT 0811OP6172226811 ADITYA RAJESH BARKE BANK OF INDIA BKID0009617 REF ADITYA RAJESH BARKE INR 283</t>
  </si>
  <si>
    <t>NEFT 0811OP6172226855 Francisco leitao ICICI BANK LIMITED ICIC0001365 REF Francisco leitao INR 6602</t>
  </si>
  <si>
    <t>NEFT 0811OP6172226842 SABINIANUS ROSARY AXIS BANK UTIB0003433 REF SABINIANUS ROSARY INR 213</t>
  </si>
  <si>
    <t>NEFT 0811OP6172226829 Dron Sharma IDFC FIRST BANK LTD IDFB004212 REF Dron Sharma INR 27755</t>
  </si>
  <si>
    <t>NEFT 0811OP6172226865 SUKALA TEJESHWAR RAO UNION BANK OF INDIA UBIN080186 REF SUKALA TEJESHWAR RAO INR 3500</t>
  </si>
  <si>
    <t>NEFT 0811OP6172226863 Aditya Atri HDFC BANK HDFC0002349 REF Aditya Atri INR 3480</t>
  </si>
  <si>
    <t>NEFT 0811OP6172226764 Harindra chauhan PUNJAB NATIONAL BANK PUNB02090 REF Harindra chauhan INR 588</t>
  </si>
  <si>
    <t>NEFT 0811OP6172226822 Ahsan avvab CANARA BANK CNRB0005755 REF Ahsan avvab INR 4244</t>
  </si>
  <si>
    <t>NEFT 0811OP6172226867 Arun Nadumane AXIS BANK UTIB0002687 REF Arun Nadumane INR 2500</t>
  </si>
  <si>
    <t>NEFT 0811OP6172226840 SABINIANUS ROSARY AXIS BANK UTIB0003433 REF SABINIANUS ROSARY INR 1500</t>
  </si>
  <si>
    <t>NEFT 0811OP6172226770 Abhishek dattaram chavan ICICI BANK LIMITED ICIC0000340 REF Abhishek dattaram chavan INR 2160</t>
  </si>
  <si>
    <t>NEFT 0811OP6172226772 Yuvaraj Murugan KARUR VYSYA BANK KVBL0001287 REF Yuvaraj Murugan INR 4429</t>
  </si>
  <si>
    <t>NEFT 0811OP6172226778 CHIRAG RAKESH GANDHI HDFC BANK HDFC0001077 REF CHIRAG RAKESH GANDHI INR 17020</t>
  </si>
  <si>
    <t>NEFT 0811OP6172226816 Supreet Singh ICICI BANK LIMITED ICIC0000718 REF Supreet Singh INR 616</t>
  </si>
  <si>
    <t>NEFT 0811OP6172226818 Rajeev Ramachandran KERALA GRAMIN BANK KLGB0040559 REF Rajeev Ramachandran INR 21459</t>
  </si>
  <si>
    <t>NEFT 0811OP6172226794 Kiran Yadav STATE BANK OF INDIA SBIN001673 REF Kiran Yadav INR 2130</t>
  </si>
  <si>
    <t>NEFT 0811OP6172226835 ILANGOVAN T UCO BANK UCBA0000679 REF ILANGOVAN T INR 1163</t>
  </si>
  <si>
    <t>NEFT 0811OP6172226831 Yash Zendekar HSBC BANK HSBC0400007 REF Yash Zendekar INR 9000</t>
  </si>
  <si>
    <t>NEFT 0811OP6172226834 MOTHI NAGASUNDARAM ICICI BANK LIMITED ICIC0004636 REF MOTHI NAGASUNDARAM INR 19091</t>
  </si>
  <si>
    <t>NEFT 0811OP6172226853 Mohammad shameer STATE BANK OF INDIA SBIN000547 REF Mohammad shameer INR 1183</t>
  </si>
  <si>
    <t>NEFT 0811OP6172226851 Muhammad shameer STATE BANK OF INDIA SBIN000547 REF Muhammad shameer INR 600</t>
  </si>
  <si>
    <t>NEFT 0811OP6172226824 DHARMVIR CHAUDHARI HDFC BANK HDFC0002431 REF DHARMVIR CHAUDHARI INR 6800</t>
  </si>
  <si>
    <t>NEFT 0811OP6172226843 SABINIANUS ROSARY AXIS BANK UTIB0003433 REF SABINIANUS ROSARY INR 168</t>
  </si>
  <si>
    <t>NEFT 0811OP6172226837 ILANGOVAN T UCO BANK UCBA0000679 REF ILANGOVAN T INR 3600</t>
  </si>
  <si>
    <t>NEFT 0811OP6172226862 Bagade Yashowardhan Satyendr BANK OF MAHARASHTRA MAHB000120 REF Bagade Yashowardhan Satyendra INR 1104</t>
  </si>
  <si>
    <t>NEFT 0811OP6172226841 SABINIANUS ROSARY AXIS BANK UTIB0003433 REF SABINIANUS ROSARY INR 1800</t>
  </si>
  <si>
    <t>NEFT 0811OP6172226833 Anil Sharma  Upasna Sharma ICICI BANK LIMITED ICIC0000650 REF Anil Sharma  Upasna Sharma INR 4546</t>
  </si>
  <si>
    <t>NEFT 0811OP6172226825 R JELASTINA TAMILNAD MERCANTILE BANK LIMIT REF R JELASTINA INR 3045</t>
  </si>
  <si>
    <t>NEFT 0811OP6172226864 SUKALA TEJESHWAR RAO UNION BANK OF INDIA UBIN080186 REF SUKALA TEJESHWAR RAO INR 500</t>
  </si>
  <si>
    <t>NEFT 0811OP6172226839 SABINIANUS ROSARY AXIS BANK UTIB0003433 REF SABINIANUS ROSARY INR 1365</t>
  </si>
  <si>
    <t>NEFT 0811OP6172226844 SABINIANUS ROSARY AXIS BANK UTIB0003433 REF SABINIANUS ROSARY INR 450</t>
  </si>
  <si>
    <t>NEFT 0811OP6172226852 Muhammad sameer STATE BANK OF INDIA SBIN000547 REF Muhammad sameer INR 2539</t>
  </si>
  <si>
    <t>NEFT 0811OP6172226860 CHETAN DESAI ICICI BANK LIMITED ICIC0002787 REF CHETAN DESAI INR 1428</t>
  </si>
  <si>
    <t>NEFT 0811OP6172226859 CHETAN DESAI ICICI BANK LIMITED ICIC0002787 REF CHETAN DESAI INR 1216</t>
  </si>
  <si>
    <t>NEFT 0811OP6172226857 sourav halder STATE BANK OF INDIA SBIN001403 REF sourav halder INR 1940</t>
  </si>
  <si>
    <t>NEFT 0811OP6172226869 Anil Sharma ICICI BANK LIMITED ICIC0000650 REF Anil Sharma INR 6500</t>
  </si>
  <si>
    <t>NEFT 0811OP6172226959 VINCENT A STATE BANK OF INDIA SBIN007033 REF PMS work   22 days VINCENT A INR 102531</t>
  </si>
  <si>
    <t>NEFT 0811OP6172226662 VENKATA ADITYA KUMAR GADEY EQUITAS SMALL FINANCE BANK LIM REF VENKATA ADITYA KUMAR GADEY INR 2528</t>
  </si>
  <si>
    <t>NEFT 0811OP6172226657 GANTA MOHAN STATE BANK OF INDIA SBIN000271 REF GANTA MOHAN INR 4530</t>
  </si>
  <si>
    <t>NEFT 0811OP6172226658 Divyanshu arora PUNJAB NATIONAL BANK PUNB01829 REF Divyanshu arora INR 11500</t>
  </si>
  <si>
    <t>NEFT 0811OP6172226663 Siddharth Tak STATE BANK OF INDIA SBIN000060 REF Siddharth Tak INR 17020</t>
  </si>
  <si>
    <t>NEFT 0811OP6172226664 Siddharth Tak STATE BANK OF INDIA SBIN000060 REF Siddharth Tak INR 2924</t>
  </si>
  <si>
    <t>NEFT 0811OP6172226659 Ajay BANK OF BARODA BARB0KAITHA REF Ajay INR 4530</t>
  </si>
  <si>
    <t>NEFT 0811OP6172226671 ABAJI SHANTARAM GAWADE STATE BANK OF INDIA SBIN000049 REF ABAJI SHANTARAM GAWADE INR 1885</t>
  </si>
  <si>
    <t>NEFT 0811OP6172226672 Mukul kumar FEDERAL BANK FDRL0005555 REF Mukul kumar INR 1289</t>
  </si>
  <si>
    <t>NEFT 0811OP6172226666 Neeraj Singh STATE BANK OF INDIA SBIN001817 REF Neeraj Singh INR 1083</t>
  </si>
  <si>
    <t>NEFT 0811OP6172226667 BHAVIK HASMUKHLAL VAISHYA STATE BANK OF INDIA SBIN006011 REF BHAVIK HASMUKHLAL VAISHYA INR 4500</t>
  </si>
  <si>
    <t>NEFT 0811OP6172226673 Bhaven Sunil Nagvekar AXIS BANK UTIB0000023 REF Bhaven Sunil Nagvekar INR 1290</t>
  </si>
  <si>
    <t>NEFT 0811OP6172226670 Joyston agnelo barretto STATE BANK OF INDIA SBIN001145 REF Joyston agnelo barretto INR 6160</t>
  </si>
  <si>
    <t>NEFT 0811OP6172226681 Edwin Santhis HSBC BANK HSBC0400007 REF Edwin Santhis INR 15540</t>
  </si>
  <si>
    <t>NEFT 0811OP6172226674 Tulsiram Shishram Rajoria STATE BANK OF INDIA SBIN001536 REF Tulsiram Shishram Rajoria INR 4500</t>
  </si>
  <si>
    <t>NEFT 0811OP6172226682 Mohammed Usman HDFC BANK HDFC0001881 REF Mohammed Usman INR 2561</t>
  </si>
  <si>
    <t>NEFT 0811OP6172226677 Vasupalli Ramanamurthy STATE BANK OF INDIA SBIN000271 REF Vasupalli Ramanamurthy INR 4600</t>
  </si>
  <si>
    <t>NEFT 0811OP6172226679 Hitesh Kumar Ninganiya STATE BANK OF INDIA SBIN000239 REF Hitesh Kumar Ninganiya INR 700</t>
  </si>
  <si>
    <t>NEFT 0811OP6172226683 Tandel vishal dahyabhai AXIS BANK UTIB0002237 REF Tandel vishal dahyabhai INR 4600</t>
  </si>
  <si>
    <t>NEFT 0811OP6172226688 Shabana Sultaan BANDHAN BANK LIMITED BDBL00018 REF Shabana Sultaan INR 17020</t>
  </si>
  <si>
    <t>NEFT 0811OP6172226685 Puneet Kalia STATE BANK OF INDIA SBIN000062 REF Puneet Kalia INR 307</t>
  </si>
  <si>
    <t>NEFT 0811OP6172226689 Abhi Rana AXIS BANK UTIB0003053 REF Abhi Rana INR 7373</t>
  </si>
  <si>
    <t>NEFT 0811OP6172226686 Arun Dinakar ICICI BANK LIMITED ICIC0000807 REF Arun Dinakar INR 8263</t>
  </si>
  <si>
    <t>NEFT 0811OP6172226692 B ashok STATE BANK OF INDIA SBIN000575 REF B ashok INR 4600</t>
  </si>
  <si>
    <t>NEFT 0811OP6172226687 arunesh das STATE BANK OF MAURITIUS LIMITE REF arunesh das INR 4564</t>
  </si>
  <si>
    <t>NEFT 0811OP6172226698 Chidipalli Hemavathi STATE BANK OF INDIA SBIN000274 REF Chidipalli Hemavathi INR 27000</t>
  </si>
  <si>
    <t>NEFT 0811OP6172226695 Jorawar singh PUNJAB NATIONAL BANK PUNB00745 REF Jorawar singh INR 7669</t>
  </si>
  <si>
    <t>NEFT 0811OP6172226699 Harkuldeep Singh AXIS BANK UTIB0000494 REF Harkuldeep Singh INR 8000</t>
  </si>
  <si>
    <t>NEFT 0811OP6172226696 AMARDEEP KANAUJIYA BANK OF BARODA BARB0ALKADA REF AMARDEEP KANAUJIYA INR 4539</t>
  </si>
  <si>
    <t>NEFT 0811OP6172226702 Melvo Clandiro Fernandes UNION BANK OF INDIA UBIN090285 REF Melvo Clandiro Fernandes INR 17020</t>
  </si>
  <si>
    <t>NEFT 0811OP6172226697 Abhijeet Gupta INDIAN BANK IDIB000M709 REF Abhijeet Gupta INR 7787</t>
  </si>
  <si>
    <t>NEFT 0811OP6172226707 parminder pal singh AXIS BANK UTIB0000179 REF parminder pal singh INR 2346</t>
  </si>
  <si>
    <t>NEFT 0811OP6172226703 Chidipalli veeraswamy STATE BANK OF INDIA SBIN000274 REF Chidipalli veeraswamy INR 4495</t>
  </si>
  <si>
    <t>NEFT 0811OP6172226708 Yash raj Singh STATE BANK OF INDIA SBIN000009 REF Yash raj Singh INR 2050</t>
  </si>
  <si>
    <t>NEFT 0811OP6172226704 Atmanjan T Reghu SOUTH INDIAN BANK SIBL0000610 REF Atmanjan T Reghu INR 17020</t>
  </si>
  <si>
    <t>NEFT 0811OP6172226709 Mehul Kumar BANK OF BARODA BARB0BALODA REF Mehul Kumar INR 1800</t>
  </si>
  <si>
    <t>NEFT 0811OP6172226705 ILANGOVAN T UCO BANK UCBA0000679 REF ILANGOVAN T INR 3800</t>
  </si>
  <si>
    <t>NEFT 0811OP6172226714 GOVINDA DHARMARAO ICICI BANK LIMITED ICIC0000700 REF GOVINDA DHARMARAO INR 2300</t>
  </si>
  <si>
    <t>NEFT 0811OP6172226710 Mehul Kumar BANK OF BARODA BARB0BALODA REF Mehul Kumar INR 4596</t>
  </si>
  <si>
    <t>NEFT 0811OP6172226716 Sanush Sharma STATE BANK OF INDIA SBIN005076 REF Sanush Sharma INR 4533</t>
  </si>
  <si>
    <t>NEFT 0811OP6172226712 sanil kumar ks STATE BANK OF INDIA SBIN007014 REF sanil kumar ks INR 1531</t>
  </si>
  <si>
    <t>NEFT 0811OP6172226719 SUJE J STATE BANK OF INDIA SBIN000846 REF SUJE J INR 1350</t>
  </si>
  <si>
    <t>NEFT 0811OP6172226713 Dhanush Naik HSBC BANK HSBC0400006 REF Dhanush Naik INR 1992</t>
  </si>
  <si>
    <t>NEFT 0811OP6172226724 Shubham Sanjay Chavan STANDARD CHARTERED BANK SCBL00 REF Shubham Sanjay Chavan INR 700</t>
  </si>
  <si>
    <t>NEFT 0811OP6172226720 kuldeep pal STATE BANK OF INDIA SBIN001761 REF kuldeep pal INR 793</t>
  </si>
  <si>
    <t>NEFT 0811OP6172226725 Shubham Sanjay Chavan STANDARD CHARTERED BANK SCBL00 REF Shubham Sanjay Chavan INR 15540</t>
  </si>
  <si>
    <t>NEFT 0811OP6172226721 KULDEEP PAL STATE BANK OF INDIA SBIN001761 REF KULDEEP PAL INR 2525</t>
  </si>
  <si>
    <t>NEFT 0811OP6172226726 Kamal singh bora STATE BANK OF INDIA SBIN000070 REF Kamal singh bora INR 4200</t>
  </si>
  <si>
    <t>NEFT 0811OP6172226722 KULDEEP PAL STATE BANK OF INDIA SBIN001761 REF KULDEEP PAL INR 710</t>
  </si>
  <si>
    <t>NEFT 0811OP6172226732 Daniel INDIAN OVERSEAS BANK IOBA00032 REF Daniel INR 2970</t>
  </si>
  <si>
    <t>NEFT 0811OP6172226727 Mohammed Rayyan Javed Ahmad BANK OF BARODA BARB0BHITHA REF Mohammed Rayyan Javed Ahmad Ansari INR 2200</t>
  </si>
  <si>
    <t>NEFT 0811OP6172226733 Balraj singh Bindra ICICI BANK LIMITED ICIC0000171 REF Balraj singh Bindra INR 881</t>
  </si>
  <si>
    <t>NEFT 0811OP6172226728 Ankush kumar CANARA BANK CNRB0002063 REF Ankush kumar INR 2647</t>
  </si>
  <si>
    <t>NEFT 0811OP6172226734 Mukesh Kumar STATE BANK OF INDIA SBIN000830 REF Mukesh Kumar INR 5850</t>
  </si>
  <si>
    <t>NEFT 0811OP6172226729 Ankush kumar CANARA BANK CNRB0002063 REF Ankush kumar INR 2051</t>
  </si>
  <si>
    <t>NEFT 0811OP6172226738 Joanita Lawrence STATE BANK OF INDIA SBIN000146 REF Joanita Lawrence INR 6717</t>
  </si>
  <si>
    <t>NEFT 0811OP6172226735 SUJE J STATE BANK OF INDIA SBIN000846 REF SUJE J INR 2600</t>
  </si>
  <si>
    <t>NEFT 0811OP6172226740 Ritik Sharma UNION BANK OF INDIA UBIN055881 REF Ritik Sharma INR 4330</t>
  </si>
  <si>
    <t>NEFT 0811OP6172226736 SUJE J STATE BANK OF INDIA SBIN000846 REF SUJE J INR 1800</t>
  </si>
  <si>
    <t>NEFT 0811OP6172226742 Daniel INDIAN OVERSEAS BANK IOBA00032 REF Daniel INR 5834</t>
  </si>
  <si>
    <t>NEFT 0811OP6172226737 Joanita Lawrence STATE BANK OF INDIA SBIN000146 REF Joanita Lawrence INR 1357</t>
  </si>
  <si>
    <t>NEFT 0811OP6172226747 ATMANJAN T REGHU SOUTH INDIAN BANK SIBL0000610 REF ATMANJAN T REGHU INR 1267</t>
  </si>
  <si>
    <t>NEFT 0811OP6172226743 SANUSH SHARMA STATE BANK OF INDIA SBIN005076 REF SANUSH SHARMA INR 17020</t>
  </si>
  <si>
    <t>NEFT 0811OP6172226749 NMENEXSON INDIAN OVERSEAS BANK IOBA00028 REF NMENEXSON INR 1950</t>
  </si>
  <si>
    <t>NEFT 0811OP6172226744 SANTHANA LIBERTON STATE BANK OF INDIA SBIN000094 REF SANTHANA LIBERTON INR 4548</t>
  </si>
  <si>
    <t>NEFT 0811OP6172226750 ANKUSH KUMAR CANARA BANK CNRB0002063 REF ANKUSH KUMAR INR 3600</t>
  </si>
  <si>
    <t>NEFT 0811OP6172226746 SUGIRTHA J CANARA BANK CNRB0001124 REF SUGIRTHA J INR 4410</t>
  </si>
  <si>
    <t>NEFT 0811OP6172226757 Perla durgarao STATE BANK OF INDIA SBIN001791 REF Perla durgarao INR 4598</t>
  </si>
  <si>
    <t>NEFT 0811OP6172226751 Hariram R STATE BANK OF INDIA SBIN000161 REF Hariram R INR 4529</t>
  </si>
  <si>
    <t>NEFT 0811OP6172226759 Andruwes Skaria Marugodil INDIAN OVERSEAS BANK IOBA00010 REF Andruwes Skaria Marugodil INR 1262</t>
  </si>
  <si>
    <t>NEFT 0811OP6172226754 HARINDRA CHAUHAN PUNJAB NATIONAL BANK PUNB02090 REF HARINDRA CHAUHAN INR 3338</t>
  </si>
  <si>
    <t>NEFT 0811OP6172226760 Sanjana vasudev STATE BANK OF INDIA SBIN001766 REF Sanjana vasudev INR 2072</t>
  </si>
  <si>
    <t>NEFT 0811OP6172226755 Perladurgarao STATE BANK OF INDIA SBIN000271 REF Perladurgarao INR 17020</t>
  </si>
  <si>
    <t>NEFT 0811OP6172226773 Yuvaraj Murugan KARUR VYSYA BANK KVBL0001287 REF Yuvaraj Murugan INR 1965</t>
  </si>
  <si>
    <t>NEFT 0811OP6172226761 Yash raj Singh STATE BANK OF INDIA SBIN000009 REF Yash raj Singh INR 1750</t>
  </si>
  <si>
    <t>NEFT 0811OP6172226774 PRISTON MELWINTON FERNANDES AXIS BANK UTIB0000121 REF PRISTON MELWINTON FERNANDES INR 3000</t>
  </si>
  <si>
    <t>NEFT 0811OP6172226763 Harindra chauhan PUNJAB NATIONAL BANK PUNB02090 REF Harindra chauhan INR 2200</t>
  </si>
  <si>
    <t>NEFT 0811OP6172226780 Sivakoti suresh STATE BANK OF INDIA SBIN000274 REF Sivakoti suresh INR 4500</t>
  </si>
  <si>
    <t>NEFT 0811OP6172226767 Ankush kumar CANARA BANK CNRB0002063 REF Ankush kumar INR 35112</t>
  </si>
  <si>
    <t>NEFT 0811OP6172226795 Sahil Sangwan AXIS BANK UTIB0000204 REF Sahil Sangwan INR 3200</t>
  </si>
  <si>
    <t>NEFT 0811OP6172226784 Pranav Duggal IDFC FIRST Bank IDFB0021421 REF Pranav Duggal INR 1262</t>
  </si>
  <si>
    <t>NEFT 0811OP6172226799 Ritesh Juswal ICICI BANK LIMITED ICIC0000506 REF Ritesh Juswal INR 4400</t>
  </si>
  <si>
    <t>NEFT 0811OP6172226788 Rohit saini AXIS BANK UTIB0005955 REF Rohit saini INR 15824</t>
  </si>
  <si>
    <t>NEFT 0811OP6172226800 sahukari Syam babu UNION BANK OF INDIA UBIN080185 REF sahukari Syam babu INR 5670</t>
  </si>
  <si>
    <t>NEFT 0811OP6172226790 VINAY VEER SINGH KOTAK MAHINDRA BANK LIMITED KK REF VINAY VEER SINGH INR 2700</t>
  </si>
  <si>
    <t>NEFT 0811OP6172226804 LAXMAN KESHAV GAWADE STATE BANK OF INDIA SBIN000047 REF LAXMAN KESHAV GAWADE INR 16095</t>
  </si>
  <si>
    <t>NEFT 0811OP6172226801 A GOPINATH STATE BANK OF INDIA SBIN000966 REF A GOPINATH INR 5926</t>
  </si>
  <si>
    <t>NEFT 0811OP6172226806 LAXMAN KESHAV GAWADE STATE BANK OF INDIA SBIN000047 REF LAXMAN KESHAV GAWADE INR 995</t>
  </si>
  <si>
    <t>NEFT 0811OP6172226802 A THAMIZHINIYAN INDIAN BANK IDIB000A027 REF A THAMIZHINIYAN INR 4998</t>
  </si>
  <si>
    <t>NEFT 0811OP6172226807 Laxman keshav Gawade STATE BANK OF INDIA SBIN000047 REF Laxman keshav Gawade INR 496</t>
  </si>
  <si>
    <t>NEFT 0811OP6172226814 APPALARAJU GORGANGI STATE BANK OF INDIA SBIN000075 REF APPALARAJU GORGANGI INR 4597</t>
  </si>
  <si>
    <t>NEFT 0811OP6172226803 Jayasankar S STATE BANK OF INDIA SBIN007044 REF Jayasankar S INR 4599</t>
  </si>
  <si>
    <t>NEFT 0811OP6172226808 ADITYA RAJESH BARKE BANK OF INDIA BKID0009617 REF ADITYA RAJESH BARKE INR 2000</t>
  </si>
  <si>
    <t>NEFT 0811OP6172226815 APPALARAJU GORGANGI STATE BANK OF INDIA SBIN000075 REF APPALARAJU GORGANGI INR 2700</t>
  </si>
  <si>
    <t>NEFT 0811OP6172226809 ADITYA RAJESH BARKE BANK OF INDIA BKID0009617 REF ADITYA RAJESH BARKE INR 300</t>
  </si>
  <si>
    <t>NEFT 0811OP6172226817 Atharv Haware UNION BANK OF INDIA UBIN057128 REF Atharv Haware INR 4597</t>
  </si>
  <si>
    <t>NEFT 0811OP6172226812 Pankaj Parti ICICI BANK LIMITED ICIC0001509 REF Pankaj Parti INR 2000</t>
  </si>
  <si>
    <t>NEFT 0811OP6172226827 Sobhana STATE BANK OF INDIA SBIN007027 REF Sobhana INR 3000</t>
  </si>
  <si>
    <t>NEFT 0811OP6172226819 R JELASTINA TAMILNAD MERCANTILE BANK LIMIT REF R JELASTINA INR 1750</t>
  </si>
  <si>
    <t>NEFT 0811OP6172226828 TAMILARASAN STATE BANK OF INDIA SBIN000099 REF TAMILARASAN INR 1350</t>
  </si>
  <si>
    <t>NEFT 0811OP6172226823 Parthkumar Kamleshbhai Darji HDFC BANK HDFC0005681 REF Parthkumar Kamleshbhai Darji INR 4350</t>
  </si>
  <si>
    <t>NEFT 0811OP6172226830 Philip zaccheau thanaseelan HDFC BANK HDFC0000010 REF Philip zaccheau thanaseelan I INR 4546</t>
  </si>
  <si>
    <t>NEFT 0811OP6172226826 R JELASTINA TAMILNAD MERCANTILE BANK LIMIT REF R JELASTINA INR 2730</t>
  </si>
  <si>
    <t>NEFT 0811OP6172226846 Arunraj p STATE BANK OF INDIA SBIN000082 REF Arunraj p INR 2800</t>
  </si>
  <si>
    <t>NEFT 0811OP6172226836 ILANGOVAN T UCO BANK UCBA0000679 REF ILANGOVAN T INR 1297</t>
  </si>
  <si>
    <t>NEFT 0811OP6172226847 Arunraj p STATE BANK OF INDIA SBIN000082 REF Arunraj p INR 2500</t>
  </si>
  <si>
    <t>NEFT 0811OP6172226838 SABINIANUS ROSARY AXIS BANK UTIB0003433 REF SABINIANUS ROSARY INR 750</t>
  </si>
  <si>
    <t>NEFT 0811OP6172226849 Muhammad shameer STATE BANK OF INDIA SBIN000547 REF Muhammad shameer INR 2768</t>
  </si>
  <si>
    <t>NEFT 0811OP6172226845 Yashowardhan satyendra bagad BANK OF MAHARASHTRA MAHB000120 REF Yashowardhan satyendra bagade INR 3323</t>
  </si>
  <si>
    <t>NEFT 0811OP6172226861 CHETAN DESAI ICICI BANK LIMITED ICIC0002787 REF CHETAN DESAI INR 1392</t>
  </si>
  <si>
    <t>NEFT 0811OP6172226850 Muhammad shameer STATE BANK OF INDIA SBIN000547 REF Muhammad shameer INR 650</t>
  </si>
  <si>
    <t>NEFT 0811OP6172226866 BINAYA KUMAR RATHA ICICI BANK LIMITED ICIC0002026 REF BINAYA KUMAR RATHA INR 4000</t>
  </si>
  <si>
    <t>NEFT 0811OP6172226854 Mohammad shameer STATE BANK OF INDIA SBIN000547 REF Mohammad shameer INR 1210</t>
  </si>
  <si>
    <t>NEFT 0811OP6172226856 MERUGU MANOJKUMAR STATE BANK OF INDIA SBIN000075 REF MERUGU MANOJKUMAR INR 3800</t>
  </si>
  <si>
    <t>NEFT 0811OP6172226868 Tanmay Anil More BANK OF BARODA BARB0TISGAO REF Tanmay Anil More INR 1300</t>
  </si>
  <si>
    <t>NEFT RETURN 0811OP6172226867 XT SHIPS MANAGEMENT I 0811OP6172226867 AXIS BANK NOT COMPLIANT Org Txn dated 2026 04 06 17:08:46.9 Arun Nadumane INR 2500</t>
  </si>
  <si>
    <t>NEFT RETURN 0811OP6172226711 XT SHIPS MANAGEMENT I 0811OP6172226711 BANK OF BAROD INCORRECT ACCOUNT NUMBER Org Txn dated 2026 04 06 Mehul Kumar BARB0BALODA INR 4411</t>
  </si>
  <si>
    <t>NEFT RETURN 0811OP6172226746 XT SHIPS MANAGEMENT I 0811OP6172226746 CANARA BANK INCORRECT ACCOUNT NUMBER Org Txn dated 2026 04 06 SUGIRTHA J INR 4410</t>
  </si>
  <si>
    <t>NEFT RETURN 0811OP6172226725 XT SHIPS MANAGEMENT I 0811OP6172226725 STANDARD CHAR NOT COMPLIANT Org Txn dated 2026 04 06 17:37:26.3 Shubham Sanjay Chavan INR 15540</t>
  </si>
  <si>
    <t>NEFT RETURN 0811OP6172226724 XT SHIPS MANAGEMENT I 0811OP6172226724 STANDARD CHAR NOT COMPLIANT Org Txn dated 2026 04 06 17:39:09.5 Shubham Sanjay Chavan INR 700</t>
  </si>
  <si>
    <t>NEFT RETURN 0811OP6172226681 XT SHIPS MANAGEMENT I 0811OP6172226681 HSBC BANK NOT COMPLIANT Org Txn dated 2026 04 06 17:42:51.4 Edwin Santhis INR 15540</t>
  </si>
  <si>
    <t>NEFT RETURN 0811OP6172226823 XT SHIPS MANAGEMENT I 0811OP6172226823 HDFC BANK NOT COMPLIANT Org Txn dated 2026 04 06 18:24:03.2 Parthkumar Kamleshbhai Darji INR 4350</t>
  </si>
  <si>
    <t>NEFT 0811OP6172226768 Ankush kumar CANARA BANK CNRB0002063 REF Ankush kumar INR 3600</t>
  </si>
  <si>
    <t>NEFT 0811OP6172226769 Ankush kumar CANARA BANK CNRB0002063 REF Ankush kumar INR 3600</t>
  </si>
  <si>
    <t>NEFT 0811OP6172226701 Hitesh Kumar Ninganiya STATE BANK OF INDIA SBIN000239 REF Hitesh Kumar Ninganiya INR 4600</t>
  </si>
  <si>
    <t>NEFT 0811OP6172226700 Hitesh Kumar Ninganiya STATE BANK OF INDIA SBIN000239 REF Hitesh Kumar Ninganiya INR 4600</t>
  </si>
  <si>
    <t>07-Apr-2026</t>
  </si>
  <si>
    <t>NEFT 0811OP6172334374 Dilip Thore BANK OF INDIA BKID0000176 REF office shifting work  And  Sat Sunday attend f Dilip Thore INR 5000</t>
  </si>
  <si>
    <t>NEFT 0811OP6172334377 Aaradhya Enterprises MAHANAGAR COOPERATIVE BANK MCB REF 070426 6MM acrylic box cover for XT  Maritime Aaradhya Enterprises INR 10000</t>
  </si>
  <si>
    <t>NEFT 0811OP6172334373 Sanjay Joshi BANK OF INDIA BKID0001202 REF office shifting work  And  Sat Sunday attend f Sanjay Joshi INR 5000</t>
  </si>
  <si>
    <t>NEFT 0811OP6172334372 SCENIUZ INFORMATION TECHNOLO AXIS BANK UTIB0000328 REF SCENIUZ2627001 dt 010426 Data AnalystDesign  A SCENIUZ INFORMATION TECHNOLOGY PRIV INR 139200</t>
  </si>
  <si>
    <t>NEFT 0811OP6172334375 Tata Teleservices M Ltd STANDARD CHARTERED BANK SCBL00 REF Account number 991640709 is nearing 9446 of th Tata Teleservices M Ltd INR 26544</t>
  </si>
  <si>
    <t>NEFT 0811OP6172334376 Anil Kumar Sood AXIS BANK UTIB0000455 REF Bharatkosh for renewing licence RPSL receipt n Anil Kumar Sood INR 40477.64</t>
  </si>
  <si>
    <t>NEFT 0811OP6172334371 Max Computers SARASWAT COOPERATIVE BANK LIMI REF MAX20264503 dt 020326 monitor armsportsaccess Max Computers INR 524628</t>
  </si>
  <si>
    <t>08-Apr-2026</t>
  </si>
  <si>
    <t>09-Apr-2026</t>
  </si>
  <si>
    <t>Purchase-609911828831-090426 17:05:57-CARE HEALTH INSURANCE      GURUGRAM   IN 4575000000251915-574400 20260409-609911828831</t>
  </si>
  <si>
    <t>10-Apr-2026</t>
  </si>
  <si>
    <t>NEFT 0811OP6172524585 Prakriti Marine Service HDFC BANK HDFC0000116 REF 71214136 for Feb month Prakriti Marine Service INR 143100</t>
  </si>
  <si>
    <t>NEFT 0811OP6172524581 Anil Kumar Sood AXIS BANK UTIB0000455 REF Bharatkosh for change of address for RPSL paid Anil Kumar Sood INR 40477.64</t>
  </si>
  <si>
    <t>NEFT 0811OP6172524583 Sumit Mandavkar HDFC BANK HDFC0000239 REF 20908 dt 080426 IKEA 365  Knife S3 for Cook tr Sumit Mandavkar INR 21049</t>
  </si>
  <si>
    <t>NEFT 0811OP6172524582 Shanker Das HDFC BANK HDFC0000022 REF Bill 8 dt 260226 Professional fees for board t Shanker Das INR 184620</t>
  </si>
  <si>
    <t>NEFT 0811OP6172524587 215 Atrium Co op Premises So ICICI BANK LIMITED ICIC0001086 REF 185 dt 010426 society Maintenance from 010426 215 Atrium Co op Premises Society L INR 135218.98</t>
  </si>
  <si>
    <t>NEFT 0811OP6172524586 Bharti Airtel Limited CITI BANK CITI0000004 REF Bill no MF2627I022037619  dt 240326 for the pe Bharti Airtel Limited INR 20965.06</t>
  </si>
  <si>
    <t>NEFT 0811OP6172524584 Indian Register of Shipping BANK OF BARODA BARB0POWBOM REF RPSL Annual audit 2025 advance  Invoice pendin Indian Register of Shipping INR 24190</t>
  </si>
  <si>
    <t>TRANSFER 0853RF0606406 XT SHIPS MANAGEMENT INDIA PRIV  XT SHIPS MANAGEMENT INDIA PRIVATE L INR 3281127.35 at USD92.3195000000</t>
  </si>
  <si>
    <t>REMITTANCE CHARGES - GST ON Fx 0853RF0606406 Conversion 35541 XT SHIPS MANA  XT SHIPS MANAGEMENT INDIA PRIVATE L INR 3281127.35 at USD92.3195000000</t>
  </si>
  <si>
    <t>13-Apr-2026</t>
  </si>
  <si>
    <t>NEFT 0811OP6172644297 Rahul Pawar STATE BANK OF INDIA SBIN000188 REF 1355 dt. 10.04.26 Food reimb towards purchase Rahul Pawar INR 4116</t>
  </si>
  <si>
    <t>14-Apr-2026</t>
  </si>
  <si>
    <t>NEFT 0811OP6172720789 Space Creation KOTAK MAHINDRA BANK LIMITED KK REF Space creation Space Creation INR 2000000</t>
  </si>
  <si>
    <t>15-Apr-2026</t>
  </si>
  <si>
    <t>RTGS 0853OI6008350972 SEAFARERS WELFARE FUND SOCIE CANARA BANK CNRB0000239 REF- SWFS JAN-MAR 26 /SWFS JAN 26 TO MAR 26 SEAFARERS WELFARE FUND SOCIETY      INR 745050</t>
  </si>
  <si>
    <t>17-Apr-2026</t>
  </si>
  <si>
    <t>NEFT 0811OP6172889481 Adani Electricity Mumbai Ltd HDFC BANK HDFC0004989 REF Bill no. 100581704220 dt. 13.04.26 for Mar 26 Adani Electricity Mumbai Ltd INR 60050</t>
  </si>
  <si>
    <t>20-Apr-2026</t>
  </si>
  <si>
    <t>Term Deposit-8853260420049595-XT SHIPS MANAGEMENT INDIA PRIVATE LIMITED</t>
  </si>
  <si>
    <t>21-Apr-2026</t>
  </si>
  <si>
    <t>NEFT 0811OP6173042979 TIMES EDUTECH AND EVENTS LIM HDFC BANK HDFC0000060 REF Sujeet Course   IIMI CPPM (project Management) TIMES EDUTECH AND EVENTS LIMITED INR 51840</t>
  </si>
  <si>
    <t>NEFT 0811OP6173043000 Tata Teleservices M Ltd STANDARD CHARTERED BANK SCBL00 REF 2172260641 dt. 03.04.26 for march 26 Tata Teleservices M Ltd INR 24190</t>
  </si>
  <si>
    <t>NEFT 0811OP6173043065 DIVYA KUMARI PASANTKUMAR TAN INDIAN BANK IDIB000V059 REF Sea bird consultation dt  18.02.26 physiothera DIVYA KUMARI PASANTKUMAR TANDEL INR 17307.76</t>
  </si>
  <si>
    <t>22-Apr-2026</t>
  </si>
  <si>
    <t>16 BY IWCLG/000016/UNIVERSAL CURRENCY EXCHAN/HDFC BANK LTD.</t>
  </si>
  <si>
    <t>REMITTANCE CHARGES - GST ON Fx 0853RF0606788 Convert 48259 XT SHIPS MANAGEM  XT SHIPS MANAGEMENT INDIA PRIVATE L INR 4512602.57 at USD93.5080000000</t>
  </si>
  <si>
    <t>TRANSFER 0853RF0606788 XT SHIPS MANAGEMENT INDIA PRIV  XT SHIPS MANAGEMENT INDIA PRIVATE L INR 4512602.57 at USD93.5080000000</t>
  </si>
  <si>
    <t>23-Apr-2026</t>
  </si>
  <si>
    <t>NEFT 0811OP6173108225 Bosscoder Software Services ICICI BANK LIMITED ICIC0000031 REF Course   Data engineer for Yash sukati for the Bosscoder Software Services P Ltd INR 5000</t>
  </si>
  <si>
    <t>NEFT 0811OP6173108284 Sir Mohamed Yusuf Seamen Wel INDUSIND BANK INDB0000599 REF CAT 26 27/6 dt. 21.04.26 cook training and ori Sir Mohamed Yusuf Seamen Welfare INR 397386</t>
  </si>
  <si>
    <t>24-Apr-2026</t>
  </si>
  <si>
    <t>NEFT 0811OP6173174991 Shaikh Yaseen Ali SARASWAT COOPERATIVE BANK LIMI REF Friday Lunch 24.04.26 Shaikh Yaseen Ali INR 7400</t>
  </si>
  <si>
    <t>28-Apr-2026</t>
  </si>
  <si>
    <t>NEFT 0811OP6173327460 Kanakia Hotels and Resorts P AXIS BANK UTIB0000328 REF Rohit Suthar booking 29.04.26 to 30.04.26 Kanakia Hotels and Resorts Pvt Ltd INR 13570</t>
  </si>
  <si>
    <t>NEFT 0811OP6173423945 XT Ships Management India Pv AXIS BANK UTIB0000004 REF TDS additional payment FY 25 26 XT Ships Management India Pvt Ltd INR 90000</t>
  </si>
  <si>
    <t>REMITTANCE CHARGES - GST ON Fx 0853RF0607076 Convert 113489 XT SHIPS MANAGE  XT SHIPS MANAGEMENT INDIA PRIVATE L INR 10773000.07 at USD94.9255000000</t>
  </si>
  <si>
    <t>TRANSFER 0853RF0607076 EBICT60430713396 XT SHIPS MANA  XT SHIPS MANAGEMENT INDIA PRIVATE L INR 10773000.07 at USD94.9255000000</t>
  </si>
  <si>
    <t>NEFT 0811OP6173440706 Chandni Jaadwa ICICI BANK LIMITED ICIC0001000 REF Chandni Jaadwa INR 138553</t>
  </si>
  <si>
    <t>NEFT 0811OP6173440716 Rahul Pawar ICICI BANK LIMITED ICIC0001212 REF Rahul Pawar INR 197454</t>
  </si>
  <si>
    <t>NEFT 0811OP6173440727 Shilpa Rajpurkar IDBI BANK IBKL0000059 REF Shilpa Rajpurkar INR 88750</t>
  </si>
  <si>
    <t>NEFT 0811OP6173440710 Nivedhana Sabesan HDFC BANK HDFC0001803 REF Nivedhana Sabesan INR 159729</t>
  </si>
  <si>
    <t>NEFT 0811OP6173440721 Rutuja Raut AXIS BANK UTIB0000246 REF Rutuja Raut INR 72000</t>
  </si>
  <si>
    <t>NEFT 0811OP6173440732 Udayaditya Bharat AXIS BANK UTIB0000125 REF Udayaditya Bharat INR 430666.44</t>
  </si>
  <si>
    <t>NEFT 0811OP6173440715 Priti Agrawal HDFC BANK HDFC0000355 REF Priti Agrawal INR 106435</t>
  </si>
  <si>
    <t>NEFT 0811OP6173440734 Vishwanath Balasubramanian STATE BANK OF INDIA SBIN005137 REF Vishwanath Balasubramanian INR 115760</t>
  </si>
  <si>
    <t>NEFT 0811OP6173440725 Shabana Shaikh AXIS BANK UTIB0001346 REF Shabana Shaikh INR 78000</t>
  </si>
  <si>
    <t>NEFT 0811OP6173440703 Anil Sood AXIS BANK UTIB0000455 REF Anil Sood INR 321341</t>
  </si>
  <si>
    <t>NEFT 0811OP6173440722 Sagar Sonawane ICICI BANK LIMITED ICIC0001212 REF Sagar Sonawane INR 104017.65</t>
  </si>
  <si>
    <t>NEFT 0811OP6173440707 Girish D Poojary ICICI BANK LIMITED ICIC0006414 REF Girish D Poojary INR 18600</t>
  </si>
  <si>
    <t>NEFT 0811OP6173440729 Sujeet Singh ICICI BANK LIMITED ICIC0000020 REF Sujeet Singh INR 119095</t>
  </si>
  <si>
    <t>NEFT 0811OP6173440705 Samarth Seth BANK OF INDIA BKID0007102 REF Samarth Seth INR 370611</t>
  </si>
  <si>
    <t>NEFT 0811OP6173440733 Vinod Mandale KOTAK MAHINDRA BANK LIMITED KK REF Vinod Mandale INR 88000</t>
  </si>
  <si>
    <t>NEFT 0811OP6173440714 Pratik Shiposkar KOTAK MAHINDRA BANK LIMITED KK REF Pratik Shiposkar INR 72000</t>
  </si>
  <si>
    <t>NEFT 0811OP6173440718 Ransom Dlima BANK OF BARODA BARB0MIRARO REF Ransom Dlima INR 82520</t>
  </si>
  <si>
    <t>NEFT 0811OP6173440731 Sunny Palav ICICI BANK LIMITED ICIC0006438 REF Sunny Palav INR 119095</t>
  </si>
  <si>
    <t>NEFT 0811OP6173440701 Ashwini Yadav HDFC BANK HDFC0000240 REF Ashwini Yadav INR 83166</t>
  </si>
  <si>
    <t>NEFT 0811OP6173440724 Sandesh Patil ICICI BANK LIMITED ICIC0001212 REF Sandesh Patil INR 73000</t>
  </si>
  <si>
    <t>NEFT 0811OP6173440720 Rohan Gawde ICICI BANK LIMITED ICIC0001022 REF Rohan Gawde INR 132455.5</t>
  </si>
  <si>
    <t>NEFT 0811OP6173440717 Rajendra Pawar ICICI BANK LIMITED ICIC0000020 REF Rajendra Pawar INR 105843</t>
  </si>
  <si>
    <t>NEFT 0811OP6173440719 Renuka Shetty AXIS BANK UTIB0000455 REF Renuka Shetty INR 81600</t>
  </si>
  <si>
    <t>NEFT 0811OP6173440702 Bipin Jani ICICI BANK LIMITED ICIC0000203 REF Bipin Jani INR 393794.52</t>
  </si>
  <si>
    <t>NEFT 0811OP6173440708 Gopal Mishra BANK OF INDIA BKID0000124 REF Gopal Mishra INR 300661</t>
  </si>
  <si>
    <t>NEFT 0811OP6173440723 Sampada Shimge HDFC BANK HDFC0000411 REF Sampada Shimge INR 49620</t>
  </si>
  <si>
    <t>NEFT 0811OP6173440713 Pratik Kondvilkar HDFC BANK HDFC0000411 REF Pratik Kondvilkar INR 59297</t>
  </si>
  <si>
    <t>NEFT 0811OP6173440726 Shahina Mohite KOTAK MAHINDRA BANK LIMITED KK REF Shahina Mohite INR 59211</t>
  </si>
  <si>
    <t>NEFT 0811OP6173440728 Shivram Singh HDFC BANK HDFC0001204 REF Shivram Singh INR 83000</t>
  </si>
  <si>
    <t>NEFT 0811OP6173440709 Michelle Rodrigues HDFC BANK HDFC0000060 REF Michelle Rodrigues INR 83020</t>
  </si>
  <si>
    <t>NEFT 0811OP6173440700 Amit Shinde BANK OF INDIA BKID0000138 REF Amit Shinde INR 92198</t>
  </si>
  <si>
    <t>NEFT 0811OP6173440735 Yash Sukati STATE BANK OF INDIA SBIN000389 REF Yash Sukati INR 69877</t>
  </si>
  <si>
    <t>NEFT 0811OP6173440711 Prachi Pagare ICICI BANK LIMITED ICIC0001249 REF Prachi Pagare INR 117058.5</t>
  </si>
  <si>
    <t>NEFT 0811OP6173440704 Ravindra Vatts HDFC BANK HDFC0002679 REF Ravindra Vatts INR 423138.24</t>
  </si>
  <si>
    <t>NEFT 0811OP6173440730 Sumit Mandavkar HDFC BANK HDFC0000239 REF Sumit Mandavkar INR 74350</t>
  </si>
  <si>
    <t>NEFT 0811OP6173442613 Apex Diagnostics KOTAK MAHINDRA BANK LIMITED KK REF 010326 XTdt 010326 Apex Diagnostics INR 4050</t>
  </si>
  <si>
    <t>NEFT 0811OP6173442642 Rashmi Foods Pvt Ltd SARASWAT COOPERATIVE BANK LIMI REF 1774177717801792 for Feb month Rashmi Foods Pvt Ltd INR 26107</t>
  </si>
  <si>
    <t>NEFT 0811OP6173442632 KBC Enterprises HDFC BANK HDFC0000543 REF 1306  And  1334 for March month 1305 XT semina KBC Enterprises INR 176044</t>
  </si>
  <si>
    <t>NEFT 0811OP6173442650 Sitamadhi Agencies AXIS BANK UTIB0000328 REF Bisleri water charges from Apr 25 Jul 25 to Ja Sitamadhi Agencies INR 24500</t>
  </si>
  <si>
    <t>NEFT 0811OP6173442612 Anil Mehndiratta HDFC BANK HDFC0000072 REF KC202620 dt 250326 Anil Mehndiratta INR 16740</t>
  </si>
  <si>
    <t>NEFT 0811OP6173442634 Marex Media Pvt Ltd HDFC BANK HDFC0000159 REF 0210 dt 010326 Marex Media Pvt Ltd INR 7978</t>
  </si>
  <si>
    <t>NEFT 0811OP6173442624 GSC CO and LLP ICICI BANK LIMITED ICIC0000018 REF Mar006202526 GSC CO and LLP INR 89100</t>
  </si>
  <si>
    <t>NEFT 0811OP6173442625 Heilen Cross Diagnostics Pvt HDFC BANK HDFC0000022 REF HCDPL08XT 202526  And  09  2526 Feb  And  Mar Heilen Cross Diagnostics Pvt Ltd INR 57600</t>
  </si>
  <si>
    <t>NEFT 0811OP6173442641 Prakriti Marine Service HDFC BANK HDFC0000116 REF PMSIND2026016 Prakriti Marine Service INR 15660</t>
  </si>
  <si>
    <t>NEFT 0811OP6173442621 DMC Marine Services Pvt Ltd ICICI BANK LIMITED ICIC0001639 REF HM036708 to 36703 feb  And  march month DMC Marine Services Pvt Ltd INR 15450</t>
  </si>
  <si>
    <t>NEFT 0811OP6173442648 Shine Edge Facility Manageme BANK OF BARODA BARB0BHAEAS REF SEHK1252526 Shine Edge Facility Management INR 47578</t>
  </si>
  <si>
    <t>NEFT 0811OP6173442611 Anil Mehndiratta HDFC BANK HDFC0000072 REF 14 dt 250226 Anil Mehndiratta INR 23760</t>
  </si>
  <si>
    <t>NEFT 0811OP6173442622 Globus Medicare HDFC BANK HDFC0000086 REF 2103 dt 130226 Globus Medicare INR 33930</t>
  </si>
  <si>
    <t>NEFT 0811OP6173442652 Torque Technics Traning Inst HDFC BANK HDFC0000376 REF INV1480MAR2526 Torque Technics Traning Institute L INR 11988</t>
  </si>
  <si>
    <t>NEFT 0811OP6173442630 Kaushal Tours  And  Travels CANARA BANK CNRB0000130 REF KT2526000331235 for March month Kaushal Tours  And  Travels INR 9108</t>
  </si>
  <si>
    <t>NEFT 0811OP6173442626 Highx Express IDBI BANK IBKL0000552 REF 670  And  65620252026 Highx Express INR 30063.8</t>
  </si>
  <si>
    <t>NEFT 0811OP6173442628 Hill Crew Mediclinic HDFC BANK HDFC0000857 REF HCM2026005 004 Hill Crew Mediclinic INR 9135</t>
  </si>
  <si>
    <t>NEFT 0811OP6173442619 Creative Gifting Solutions P KOTAK MAHINDRA BANK LIMITED KK REF Bill no352 dt 310326 flowers  And  cake for cr Creative Gifting Solutions Pvt Ltd INR 8918</t>
  </si>
  <si>
    <t>NEFT 0811OP6173442610 GSC edge Consultancy pvt ltd ICICI BANK LIMITED ICIC0000088 REF FEB2601202526 Feb month GSC edge Consultancy pvt ltd INR 89100</t>
  </si>
  <si>
    <t>NEFT 0811OP6173442638 Novel Hospitality and Marine ICICI BANK LIMITED ICIC0000366 REF 26030923073306530443009 for march month Novel Hospitality and Marine Servic INR 36980</t>
  </si>
  <si>
    <t>NEFT 0811OP6173442639 Om Enterprises BANK OF INDIA BKID0000006 REF Bill no 2005 dt 310326 Cartrige for Ricoh Prin Om Enterprises INR 27850.36</t>
  </si>
  <si>
    <t>NEFT 0811OP6173442629 Kanwal Raj Singh Kanwar YES BANK YESB0000061 REF SMC2026002 dt 280226 Kanwal Raj Singh Kanwar INR 34650</t>
  </si>
  <si>
    <t>NEFT 0811OP6173442647 Shraddha Bhushan Bagwe STATE BANK OF INDIA SBIN007110 REF fruit from 100426 to 28426 Shraddha Bhushan Bagwe INR 7320</t>
  </si>
  <si>
    <t>NEFT 0811OP6173442618 Best Marine Pvt Ltd ICICI BANK LIMITED ICIC0000320 REF 1020 dt 310126 for Pranshu  And  torcato  And Best Marine Pvt Ltd INR 7151</t>
  </si>
  <si>
    <t>NEFT 0811OP6173442636 Nirogyam HDFC BANK HDFC0000186 REF XTMED202601  And  02 Nirogyam INR 32400</t>
  </si>
  <si>
    <t>NEFT 0811OP6173442623 Globus Medicare HDFC BANK HDFC0000086 REF GM202602XT2276 Globus Medicare INR 32625</t>
  </si>
  <si>
    <t>NEFT 0811OP6173442643 Rashmi Foods Pvt Ltd SARASWAT COOPERATIVE BANK LIMI REF 1809181517601824 for March month Rashmi Foods Pvt Ltd INR 31125</t>
  </si>
  <si>
    <t>NEFT 0811OP6173442645 Sea Bird Medicare Pvt Ltd HDFC BANK HDFC0000086 REF SBMPL252630073008  And  3009 dt 260226 Sea Bird Medicare Pvt Ltd INR 179302</t>
  </si>
  <si>
    <t>NEFT 0811OP6173442646 Sea Bird Medicare Pvt Ltd HDFC BANK HDFC0000086 REF SBMPL2526328539732833284 for March month Sea Bird Medicare Pvt Ltd INR 184702</t>
  </si>
  <si>
    <t>NEFT 0811OP6173442653 Vibrant Management Solutions IDBI BANK IBKL0000306 REF VMS2526166 dt 290226 Vibrant Management Solutions INR 25358</t>
  </si>
  <si>
    <t>NEFT 0811OP6173442615 ATPI India Pvt Ltd HSBC BANK HSBC0400002 REF JAN MONTH   2575 deducted of Arun manhas 0412 ATPI India Pvt Ltd INR 461472</t>
  </si>
  <si>
    <t>NEFT 0811OP6173442614 Apex Diagnostics KOTAK MAHINDRA BANK LIMITED KK REF 010226 dt 010226 Apex Diagnostics INR 40680</t>
  </si>
  <si>
    <t>NEFT 0811OP6173442616 B S Bhatia STATE BANK OF INDIA SBIN000062 REF 022026 for Feb month B S Bhatia INR 8910</t>
  </si>
  <si>
    <t>NEFT 0811OP6173442617 B S Bhatia STATE BANK OF INDIA SBIN000062 REF 032026 250326 B S Bhatia INR 22365</t>
  </si>
  <si>
    <t>NEFT 0811OP6173442620 Creative Gifting Solutions P KOTAK MAHINDRA BANK LIMITED KK REF Bill no 310 dt 070326 flowers  And  cake for c Creative Gifting Solutions Pvt Ltd INR 40784</t>
  </si>
  <si>
    <t>NEFT 0811OP6173442627 Hill Crew Mediclinic HDFC BANK HDFC0000857 REF 003 dt 250226 Hill Crew Mediclinic INR 7380</t>
  </si>
  <si>
    <t>NEFT 0811OP6173442631 Kaushal Tours and Travels CANARA BANK CNRB0000130 REF KT2526000305316317 for Feb 26 Kaushal Tours and Travels INR 9728</t>
  </si>
  <si>
    <t>NEFT 0811OP6173442635 Max Computers SARASWAT COOPERATIVE BANK LIMI REF Bill no 4603 dt 100326 Brother Printer  And  t Max Computers INR 308364</t>
  </si>
  <si>
    <t>NEFT 0811OP6173442637 Novel Hospitality and Marine ICICI BANK LIMITED ICIC0000366 REF 2602095 dt 230226 feb month Novel Hospitality and Marine Servic INR 4018</t>
  </si>
  <si>
    <t>NEFT 0811OP6173442640 Pankaj Tours HDFC BANK HDFC0000835 REF 1916 to 2076 for feb month 50595  jan 21996 De Pankaj Tours INR 92507</t>
  </si>
  <si>
    <t>NEFT 0811OP6173442644 Riya Travel and Tours FEDERAL BANK FDRL0001393 REF Feb26 Riya Travel and Tours INR 518323</t>
  </si>
  <si>
    <t>NEFT 0811OP6173471419 Sujesh Aravindan FEDERAL BANK FDRL0001021 REF Cash advance Sujesh Aravindan INR 98569.58</t>
  </si>
  <si>
    <t>NEFT 0811OP6173486079 Airtel CITI BANK CITI0000004 REF 15313 dt.09.04.26 for 09.03.26 to 31.03.26 Airtel INR 19011.11</t>
  </si>
  <si>
    <t>NEFT 0811OP6173486186 Airtel CITI BANK CITI0000004 REF 15314 dt.09.04.26 for april to June 26 Airtel INR 47200</t>
  </si>
  <si>
    <t>NEFT 0811OP6173442633 Marex Media Pvt Ltd HDFC BANK HDFC0000159 REF 192 dt 010226 Marex Media Pvt Ltd INR 7978</t>
  </si>
  <si>
    <t>NEFT 0811OP6173442649 Shine Edge Facility Manageme BANK OF BARODA BARB0BHAEAS REF SEHK1322526 Shine Edge Facility Management INR 47578</t>
  </si>
  <si>
    <t>NEFT 0811OP6173442651 Torque Technics Traning Inst HDFC BANK HDFC0000376 REF 1426 dt 180226 Torque Technics Traning Institute L INR 11988</t>
  </si>
  <si>
    <t>NEFT 0811OP6173442654 Vibrant Management Solutions IDBI BANK IBKL0000306 REF VMS2526184 dt 290326 Vibrant Management Solutions INR 25358</t>
  </si>
  <si>
    <t>Printed By</t>
  </si>
  <si>
    <t>RENUKA@INXTSH01</t>
  </si>
  <si>
    <t>Printed On</t>
  </si>
  <si>
    <t>08-May-2026 17:41:59</t>
  </si>
  <si>
    <t xml:space="preserve">Account Head </t>
  </si>
  <si>
    <t>Receipt/Payment in the books of XT</t>
  </si>
  <si>
    <t>Amount (INR)</t>
  </si>
  <si>
    <t>Remarks</t>
  </si>
  <si>
    <t>Transaction Date</t>
  </si>
  <si>
    <t>ASManagement Operations India Pvt Ltd</t>
  </si>
  <si>
    <t>Opening balance</t>
  </si>
  <si>
    <t>Outstanding as on 31 Mar 26 (Dr - receivable from ASM)</t>
  </si>
  <si>
    <t>Petrol expenses - Ciaz car (Journal 9)</t>
  </si>
  <si>
    <t>Petrol expenses dt. 19.04.26 for Ciaz Car Bajrang Auto Service</t>
  </si>
  <si>
    <t>Swiggy - Go Pro purchase (Journal 2)</t>
  </si>
  <si>
    <t>Airtel group bill - ASM users (Journal 7)</t>
  </si>
  <si>
    <t>Airtel group bill MF2727I001683891 dt. 24.04.26 from 23.03.26 to 22.04.26User - Rohit Suthar User - Nair User - Priya</t>
  </si>
  <si>
    <t>Airtel mobile bills - XT users (Journal 8)</t>
  </si>
  <si>
    <t>Bill no. MF2727I000557247 dt. 09.04.26 for the period 08.03.26 to 07.04.26 Bill no. MF2727I000557544 dt. 09.04.26 for the period 08.03.26 to 07.04.26 Bill no. MF2727I001620777 dt. 24.04.26 for the period 23.03.26 to 22.04.26Bill no. MF2727I001506786 dt. 21.04.26 for the period 20.03.26 to 19.04.26 Bill no. MF2727I001271617 dt. 18.04.26 for the period 17.03.26 to 16.04.26 Bill no. MF2727I001506785 dt. 21.04.26 for the period 20.03.26 to 19.04.26 Bill no. MF2727I001190211 dt. 18.04.26 for the period 17.03.26 to 16.04.26</t>
  </si>
  <si>
    <t>Amazon balance - Go Pro (Journal 10)</t>
  </si>
  <si>
    <t>Go pro purchase for parwinder singh , same has been amount credited to amazon balance money towards product not available as per order id 408-4163378-1768332 ( total 14990 - Rs 980 ordered as below entry &amp; balance 14010 in XT Ships Amazon account ) 14010-980 order 170607 dt.28.04.26 Toy Metal avenger water bottle for Bipin's Son towards Get well soon dt. 28.04.26</t>
  </si>
  <si>
    <t>Closing balance</t>
  </si>
  <si>
    <t xml:space="preserve">                                                                                                     Expenses done for the month of JAN 2026</t>
  </si>
  <si>
    <t xml:space="preserve">ACCOUNT HEAD </t>
  </si>
  <si>
    <t>Gross Amt.(Including GST)</t>
  </si>
  <si>
    <t>REMARKS</t>
  </si>
  <si>
    <t>TYPE OF EXPENSES INCLUDED</t>
  </si>
  <si>
    <t xml:space="preserve"> CGST </t>
  </si>
  <si>
    <t xml:space="preserve"> SGST </t>
  </si>
  <si>
    <t xml:space="preserve"> IGST </t>
  </si>
  <si>
    <t xml:space="preserve"> Net Amt. (Exluding GST)</t>
  </si>
  <si>
    <t>PROFESSIONAL FEES</t>
  </si>
  <si>
    <t>GSC Edge Consultancy Pvt Ltd</t>
  </si>
  <si>
    <t>Bill no. APR2601/26-27 dt. 01.04.26 Professional fees for the month APR 26</t>
  </si>
  <si>
    <t>Professional Fees - 9982</t>
  </si>
  <si>
    <t>Bill no.MAR2603/2025-26 dt. 31.03.26 Professional fees for filling &amp; certification PAS6 for half year end 30.09.24, 31.03.25 &amp; 30.09.25, DSC charges for capt anil Sood</t>
  </si>
  <si>
    <t>Bill no. APR2603/2026-27 dt. 03.04.2026 Profeesional fees for change in address of new office under shop &amp; establishment act</t>
  </si>
  <si>
    <t>Sceniuz Information Technology Pvt Ltd</t>
  </si>
  <si>
    <t>SCENIUZ/2627/001 dt. 01.04.26 Data Analyst-Design &amp; Development services  for 4month basic 120000x2% = 2400</t>
  </si>
  <si>
    <t>Professional Fees - 998311</t>
  </si>
  <si>
    <t>Bigshare Services Pvt Ltd</t>
  </si>
  <si>
    <t>Bill no. RT/AP/3195/26-27 dt. 17.04.25 NSDL services - 12month</t>
  </si>
  <si>
    <t>Professional Fees - 9971</t>
  </si>
  <si>
    <t>Bill no. RT/AP/4467/25-26 dt. 21.04.25 NSDL services - 2month</t>
  </si>
  <si>
    <t>SUB TOTAL</t>
  </si>
  <si>
    <t>COURIER CHARGES</t>
  </si>
  <si>
    <t>Paid in cash towards ASM conversion letter</t>
  </si>
  <si>
    <t>Postage &amp; Courier Exp - 996812</t>
  </si>
  <si>
    <t>HOUSEKEEPING CHARGES</t>
  </si>
  <si>
    <t>Shine Edge Facility Management</t>
  </si>
  <si>
    <t>Bill no SE/HK/008/26-27 dt. 30.04.26 Housekeeping charges for the month Apr 26 for housekeeping - 2 boys</t>
  </si>
  <si>
    <t>House Keeping Expenses - 9985</t>
  </si>
  <si>
    <t>SECURITY CHARGES</t>
  </si>
  <si>
    <t>Vibrant Management Solutions</t>
  </si>
  <si>
    <t>Bill no VMS/26-27/002 dt. 30.04.26 Security charges for the mongh Apr 26</t>
  </si>
  <si>
    <t>Security Charges</t>
  </si>
  <si>
    <t>ADVERTISMENT</t>
  </si>
  <si>
    <t>Marex Media Pvt. Ltd.</t>
  </si>
  <si>
    <t>Bill no 21 dt. 28.04.26 advertisement for Apr 26</t>
  </si>
  <si>
    <t>Advertisement - 998361</t>
  </si>
  <si>
    <t>PANTRY EXPENSES</t>
  </si>
  <si>
    <t>K.B.C Enterprises</t>
  </si>
  <si>
    <t>Bill no. 25-26/S00091 dt. 30.04.26 pantry expenses for the month Apr 26</t>
  </si>
  <si>
    <t>Pantry Expenses</t>
  </si>
  <si>
    <t>PRINTING &amp; STATIONERY</t>
  </si>
  <si>
    <t>Bill no. 26-27/S00090 dt. 30.04.26 Stationery , Standee for cook program, visiiting cards, capt anil, ravindra, bipin, gopal, kapil, Uday</t>
  </si>
  <si>
    <t>Printing and Stationery -18%</t>
  </si>
  <si>
    <t>ELECTRICITY CHARGES</t>
  </si>
  <si>
    <t>Adani Electricity</t>
  </si>
  <si>
    <t>Bill no. 100581704220 dt. 13.04.26 for Mar 26 Atrium office</t>
  </si>
  <si>
    <t>Electricity Expenses</t>
  </si>
  <si>
    <t>TRAVEL EXPENSES</t>
  </si>
  <si>
    <t>Kaushal Tours &amp; Travels</t>
  </si>
  <si>
    <t>Bill no. KT2526-000016 dt. 17.04.26 Capt Anil - Cook program &amp; local</t>
  </si>
  <si>
    <t>Local Travelling Expenses - 9985</t>
  </si>
  <si>
    <t>Bill no. ADH0426T0010195 dt. 27.04.26 travel from BOM-AMD dt. 30.04.26 for Rohit Suthar office visit</t>
  </si>
  <si>
    <t>Local Travelling Expenses</t>
  </si>
  <si>
    <t>Bill no. ADH0426T0011120 dt. 27.04.26 travel from AMD-BOM dt. 290.04.26 for Rohit Suthar office visit</t>
  </si>
  <si>
    <t>Universal Currency Exchange (I) Pvt Ltd</t>
  </si>
  <si>
    <t>Health Insurance</t>
  </si>
  <si>
    <t>Care Health Insurance</t>
  </si>
  <si>
    <t>Shahina Mother - Sajida / 30940 USD 340 company share &amp; 12658 / 3 month emi</t>
  </si>
  <si>
    <t>Health Insurance for Employees</t>
  </si>
  <si>
    <t>Shahina Mohite (recovery)</t>
  </si>
  <si>
    <t>Society Maintainance</t>
  </si>
  <si>
    <t>215 Atrium Co op Premises Society Ltd</t>
  </si>
  <si>
    <t>185 dt. 01.04.26 society Maintenance from 01.04.26 to 30.06.26</t>
  </si>
  <si>
    <t>Society Maintenance Exp</t>
  </si>
  <si>
    <t>Water Charges</t>
  </si>
  <si>
    <t>PROPERTY TAX</t>
  </si>
  <si>
    <t>Property Tax</t>
  </si>
  <si>
    <t>PETROL EXPENSES</t>
  </si>
  <si>
    <t>Petrol expenses dt. 12.04.26 Paid in cash</t>
  </si>
  <si>
    <t>Petrol Expenses</t>
  </si>
  <si>
    <t>Bajrang Auto Service (via ASM)</t>
  </si>
  <si>
    <t>OFFICE GENERAL EXPENSES</t>
  </si>
  <si>
    <t>Sanjay Joshi</t>
  </si>
  <si>
    <t>office shifting work Sat Sunday</t>
  </si>
  <si>
    <t>Office Expenses - URD</t>
  </si>
  <si>
    <t>Dilip</t>
  </si>
  <si>
    <t>Rahul Pawar (reimb)</t>
  </si>
  <si>
    <t>Bill no. 1355 dt. 10.04.26 Lunch with purchase team towards Sagar sonawane Farewell</t>
  </si>
  <si>
    <t>Lunch for cadet &amp; officer paid in cash</t>
  </si>
  <si>
    <t>Bill no. 1712 dt. 29.04.26 lunch for officers  - rohit</t>
  </si>
  <si>
    <t>Bill no. 1779 dt. 30.04.26 lunch for officers - rohit</t>
  </si>
  <si>
    <t>Bill no. 14 dt. 30.04.26 flowers &amp; cake for crew ( 29253 - 4000 for Tarkeshwar &amp; Kiran get well soon ICE -4095 Venkata gadey - XT )</t>
  </si>
  <si>
    <t>Sharadhha Fruits</t>
  </si>
  <si>
    <t>fruit from 10.04.26 to 28.4.26</t>
  </si>
  <si>
    <t>OFFICE STAFF WELFARE</t>
  </si>
  <si>
    <t>Rashmi Foods Pvt Ltd</t>
  </si>
  <si>
    <t>Bill no. 1806 dt. 02.03.26 breakfast for employees</t>
  </si>
  <si>
    <t>Staff Welfare</t>
  </si>
  <si>
    <t>Bill no. 1843 dt. 04.03.26 breakfast for employees</t>
  </si>
  <si>
    <t>Bill no. 1847  dt. 13.04.26 breakfast for employees</t>
  </si>
  <si>
    <t>Bill no. 1854  dt. 20.04.26 breakfast for employees</t>
  </si>
  <si>
    <t>Bill no. 1861  dt. 27.04.26 breakfast for employees</t>
  </si>
  <si>
    <t>Kanakia Hotels &amp; Resorts Pvt Ltd</t>
  </si>
  <si>
    <t>Bill no. 1600989 &amp; 983 dt. 29.04.26 Dinner with Rohit, Kapil &amp; Ravindra Paid from Axis Bank</t>
  </si>
  <si>
    <t>Diplomat Wine Shop</t>
  </si>
  <si>
    <t>Paid towards ordered Beer &amp; Juices for office staff for Happy Hours dt 29.04.26</t>
  </si>
  <si>
    <t>Hatemi Caterers</t>
  </si>
  <si>
    <t>Bill 843 dt. 29.04.26 Lunch for Friday - office staff</t>
  </si>
  <si>
    <t>Paid towards ordered Beer &amp; Juices for office staff for Happy Hours dt 27.03.26</t>
  </si>
  <si>
    <t>Domex Technical Info Pvt Ltd</t>
  </si>
  <si>
    <t>Bill no. DTI/Pschyo/26-27/7078 dt. 29.04.26 Workshop for POSH Session on 27th Apr 2026 in office area</t>
  </si>
  <si>
    <t>Sea Bird Medicare Pvt Ltd</t>
  </si>
  <si>
    <t>Bill no.0062 dt. 26.04.26 First Aid kit for office area</t>
  </si>
  <si>
    <t>ASM (inter-co) / Amazon</t>
  </si>
  <si>
    <t>Amazon (Payroll 58)</t>
  </si>
  <si>
    <t>BDAY GIFT CARD</t>
  </si>
  <si>
    <t>Gift Card for Employees</t>
  </si>
  <si>
    <t>OFFICE EQUIPMENT EXPENSE</t>
  </si>
  <si>
    <t>Aaradhya Enterprises</t>
  </si>
  <si>
    <t>07.04.26 6MM acrylic box cover for XT - Maritime Sextant demo</t>
  </si>
  <si>
    <t>Office Equipment Expense</t>
  </si>
  <si>
    <t>REPAIR &amp; MAINTANANCE</t>
  </si>
  <si>
    <t>Shubham Engineering Mep Solutions Pvt Ltd</t>
  </si>
  <si>
    <t>electrical works</t>
  </si>
  <si>
    <t>Office Internal Repairs/ Maintenance</t>
  </si>
  <si>
    <t>OFFICE INTERNET CHARGES</t>
  </si>
  <si>
    <t>Bharti Airtel</t>
  </si>
  <si>
    <t>15314 dt.09.04.26 for 01.04.26 to 30.04.26</t>
  </si>
  <si>
    <t>Office Internet Expenses</t>
  </si>
  <si>
    <t>MOBILE &amp; TELEPHONE CHARGES</t>
  </si>
  <si>
    <t>Tata Teleservices Ltd</t>
  </si>
  <si>
    <t>2172260641 dt. 03.04.26 for Mar 26 landline ac no. 991640709</t>
  </si>
  <si>
    <t>Telephone &amp; Mobile Charges - Other</t>
  </si>
  <si>
    <t>Airtel group bill MF2727I001683891 dt. 24.04.26 from 23.03.26 to 22.04.26</t>
  </si>
  <si>
    <t>Telephone &amp; Mobile Charges - 998413</t>
  </si>
  <si>
    <t>ASM (inter-co)</t>
  </si>
  <si>
    <t>HOTEL EXPENSES</t>
  </si>
  <si>
    <t>94348287 dt. 28.04.26 Rohit Suthar Booking from 29.04.26 to 30.04.26 Hotel stay</t>
  </si>
  <si>
    <t>Hotel Stay - General Expenses</t>
  </si>
  <si>
    <t>COURSE FEES</t>
  </si>
  <si>
    <t>Times Edutech and Events Ltd</t>
  </si>
  <si>
    <t>Prof no. PROF/012 dt. 13.04.26 3rd installment 48000 GST 8640=56640 tds deducted 10 % 4800/-on 48000 basic Sujeet Course - IIMI CPPM (project Managementt)INDORE</t>
  </si>
  <si>
    <t>Online-Course Fees</t>
  </si>
  <si>
    <t>LICENSES &amp; RENEWALS</t>
  </si>
  <si>
    <t>Bharatkosh</t>
  </si>
  <si>
    <t>Bharatkosh for change of address for RPSL paid on portal Pao shipping mumbai, dt. 08.04.26  Reimb to Capt Anil sood</t>
  </si>
  <si>
    <t>Licenses &amp; Renewals</t>
  </si>
  <si>
    <t>Bharatkosh for renewing licence RPSL receipt no. 0704260018109 paid on portal Pao shipping mumbai, dt. 07.04.26 Reimb to capt anil sood</t>
  </si>
  <si>
    <t>ROC FEES</t>
  </si>
  <si>
    <t>ROC Fees</t>
  </si>
  <si>
    <t>NETWORKING WORKS</t>
  </si>
  <si>
    <t>server room works</t>
  </si>
  <si>
    <t>Networking Works</t>
  </si>
  <si>
    <t>PENALTY &amp; CHARGES</t>
  </si>
  <si>
    <t>EPFO</t>
  </si>
  <si>
    <t>INB/948000395/EPFO PAYMENT AXIS BANK/NA- PF RELATED</t>
  </si>
  <si>
    <t>Penalty &amp; Charges</t>
  </si>
  <si>
    <t>STAFF SALARY</t>
  </si>
  <si>
    <t>Bipin Jani</t>
  </si>
  <si>
    <t>APR 26</t>
  </si>
  <si>
    <t>Payroll 56 - gross earnings</t>
  </si>
  <si>
    <t>Amit Shinde</t>
  </si>
  <si>
    <t>Gopal Mishra</t>
  </si>
  <si>
    <t>Rahul Pawar</t>
  </si>
  <si>
    <t>Captain Anil Sood</t>
  </si>
  <si>
    <t>Rajendra Pawar</t>
  </si>
  <si>
    <t>Sampada Shimge</t>
  </si>
  <si>
    <t>Sunny Palav</t>
  </si>
  <si>
    <t>Rohan Gawde</t>
  </si>
  <si>
    <t>Sujeet Singh</t>
  </si>
  <si>
    <t>Pratik Shiposkar</t>
  </si>
  <si>
    <t>Capt Samarth Seth</t>
  </si>
  <si>
    <t>Yash Sukati</t>
  </si>
  <si>
    <t>Ashwini Yadav</t>
  </si>
  <si>
    <t>Pratik Kondvilkar</t>
  </si>
  <si>
    <t>Renuka Shetty</t>
  </si>
  <si>
    <t>Shilpa Rajpurkar</t>
  </si>
  <si>
    <t>Michelle Rodrigues</t>
  </si>
  <si>
    <t>Nivedhana Sabesan</t>
  </si>
  <si>
    <t>Chandni Jaadwa</t>
  </si>
  <si>
    <t>Vishwanath Balasubramanian</t>
  </si>
  <si>
    <t>Shahina Mohite</t>
  </si>
  <si>
    <t>Girish Poojari</t>
  </si>
  <si>
    <t>Vinod Mandale</t>
  </si>
  <si>
    <t>Sagar Sonawane</t>
  </si>
  <si>
    <t>Priti Agrawal</t>
  </si>
  <si>
    <t>Capt Ravindra Vatts</t>
  </si>
  <si>
    <t>Prachi Pagare</t>
  </si>
  <si>
    <t>Udayaditya Bharat</t>
  </si>
  <si>
    <t>Ransom D'lima</t>
  </si>
  <si>
    <t>Rutuja Raut</t>
  </si>
  <si>
    <t>Sandesh Patil</t>
  </si>
  <si>
    <t>Shabana Shaikh</t>
  </si>
  <si>
    <t>Shivram R. Singh</t>
  </si>
  <si>
    <t>Sumit Mandavkar</t>
  </si>
  <si>
    <t>LEAVE ENCASHMENT</t>
  </si>
  <si>
    <t>Sagar Sonawane left the organization, his last working day was 14 April, to be paid till 14 April, leave encashment to be done for total 11 days. Rs 8389/- to be deducted from him for buying old iPhone. Full and Final pay voucher to be prepared.</t>
  </si>
  <si>
    <t>Leave Salary</t>
  </si>
  <si>
    <t>REIMBURSMENT</t>
  </si>
  <si>
    <t>Reimbursements to Employees (Payroll 56)</t>
  </si>
  <si>
    <t>BANK CHARGES</t>
  </si>
  <si>
    <t>Axis Bank -4851</t>
  </si>
  <si>
    <t>Monthly Service Chrgs GST @18% on Monthly Service Chrgs</t>
  </si>
  <si>
    <t>Bank Charges - 9971</t>
  </si>
  <si>
    <t>DBS Bank</t>
  </si>
  <si>
    <t>Bank Charges - Other</t>
  </si>
  <si>
    <t>AXIS Bank -6132</t>
  </si>
  <si>
    <t>Monthly Service Chrgs</t>
  </si>
  <si>
    <t>Dr Card Charges GST ISSUE 4632XXXXXXXX5202</t>
  </si>
  <si>
    <t>EMPLOYER CONTRIBUTION TO PF</t>
  </si>
  <si>
    <t>All Employees</t>
  </si>
  <si>
    <t>Employer PF / Pension / (1800)</t>
  </si>
  <si>
    <t>INB/947999824/EPFO PAYMENT AXIS BANK/NA 257696</t>
  </si>
  <si>
    <t>PF Admin Charges</t>
  </si>
  <si>
    <t>GRAND TOTAL</t>
  </si>
  <si>
    <t>Tally check: Indirect expenses Apr-26 excl. depreciation &amp; round-off = 85,14,846.22</t>
  </si>
  <si>
    <t>Expenses not to be used for calculation of Manday Expenses</t>
  </si>
  <si>
    <t>Depreciation</t>
  </si>
  <si>
    <t>Depreciation entry for APR 26</t>
  </si>
  <si>
    <t>Dep</t>
  </si>
  <si>
    <t>ASSET</t>
  </si>
  <si>
    <t>Max Computers -MSME</t>
  </si>
  <si>
    <t>Bill no. MC/26-27/66 dt. 06.04.26 3M Screen - User Renuka</t>
  </si>
  <si>
    <t>Computer Equipment - 8528 @9%- Monitor</t>
  </si>
  <si>
    <t>Bill no. MC/26-27/67 dt. 06.04.26 Monitor 22"for Reception - Girish</t>
  </si>
  <si>
    <t>Bill no. MC/26-27/60 dt. 06.04.26 Cable, tie, accessory, wir e cutter, poser codes, converter, adaptor- office use</t>
  </si>
  <si>
    <t>Office Equipment - Other</t>
  </si>
  <si>
    <t>Bill no. MC/26-27/329 dt. 22.04.26 Monitor 24"for Gopal</t>
  </si>
  <si>
    <t>Row Labels</t>
  </si>
  <si>
    <t>Sum of  Net Amt. (Exluding GST)</t>
  </si>
  <si>
    <t>Summary for other than Manday Expenses &amp; Assets</t>
  </si>
  <si>
    <t xml:space="preserve">       XT Ships Management India Private Limited</t>
  </si>
  <si>
    <t>General Expenses - Profit and Loss Account</t>
  </si>
  <si>
    <t>Head of expenses</t>
  </si>
  <si>
    <t xml:space="preserve"> Pivot for Man Day Exepnses (Excluding Assets Purchased)</t>
  </si>
  <si>
    <t>Pivot for other than Manday Expenses &amp; Assets</t>
  </si>
  <si>
    <t>Source: live SUMIF links to General sheet (pivot tables replaced)</t>
  </si>
  <si>
    <t>UTLIZED FOR TAX PAYMENT (TDS) OF XT/ASM</t>
  </si>
  <si>
    <t>PF XT/ASM</t>
  </si>
  <si>
    <t>INCOME TAX OF XT</t>
  </si>
  <si>
    <t xml:space="preserve">Total </t>
  </si>
  <si>
    <t>ASSETS</t>
  </si>
  <si>
    <t>Purchase of Asset (Other than Office)</t>
  </si>
  <si>
    <t>Purchase of Asset (Office Interior)</t>
  </si>
  <si>
    <t>Sale of Asset (Office)</t>
  </si>
  <si>
    <t>Depreciation (on all Assets)</t>
  </si>
  <si>
    <t>Direct Expenses</t>
  </si>
  <si>
    <t>Company name</t>
  </si>
  <si>
    <t>General Expenses - Cost(without Depreciation)</t>
  </si>
  <si>
    <t>Mandays</t>
  </si>
  <si>
    <t>No of crew days</t>
  </si>
  <si>
    <t>Cost / Mandays INR</t>
  </si>
  <si>
    <t xml:space="preserve">Foreign Exchenge Rate1$ = INR </t>
  </si>
  <si>
    <t>Total Cost / Mandays USD</t>
  </si>
  <si>
    <t>Head of expenses/Month</t>
  </si>
  <si>
    <t xml:space="preserve">ADVERTISMENT </t>
  </si>
  <si>
    <t xml:space="preserve">AMC </t>
  </si>
  <si>
    <t xml:space="preserve">BANK CHARGES </t>
  </si>
  <si>
    <t>COMPUTER EXPENSE</t>
  </si>
  <si>
    <t xml:space="preserve">COURIER CHARGES </t>
  </si>
  <si>
    <t xml:space="preserve">ELECTRICITY CHARGES </t>
  </si>
  <si>
    <t xml:space="preserve">HOUSEKEEPING CHARGES </t>
  </si>
  <si>
    <t xml:space="preserve">LEAVE ENCASHMENT </t>
  </si>
  <si>
    <t xml:space="preserve">MOBILE &amp; TELEPHONE CHARGES </t>
  </si>
  <si>
    <t xml:space="preserve">OFFICE INTERNET CHARGES </t>
  </si>
  <si>
    <t xml:space="preserve">OFFICE STAFF WELFARE </t>
  </si>
  <si>
    <t xml:space="preserve">PANTRY EXPENSES </t>
  </si>
  <si>
    <t xml:space="preserve">PRINTING &amp; STATIONERY </t>
  </si>
  <si>
    <t xml:space="preserve">REIMBURSMENT </t>
  </si>
  <si>
    <t>NOC CHARGES</t>
  </si>
  <si>
    <t xml:space="preserve">SECURITY CHARGES </t>
  </si>
  <si>
    <t xml:space="preserve">STAFF SALARY </t>
  </si>
  <si>
    <t>COMPUTER Consumables</t>
  </si>
  <si>
    <t xml:space="preserve">BUSINESS PROMOTION </t>
  </si>
  <si>
    <t xml:space="preserve">OFFICE RENT </t>
  </si>
  <si>
    <t>OFFICE INSURANCE</t>
  </si>
  <si>
    <t xml:space="preserve">STAFF MEDICAL INSURANCE </t>
  </si>
  <si>
    <t>STAFF BONUS</t>
  </si>
  <si>
    <t xml:space="preserve">PEST CONTROL </t>
  </si>
  <si>
    <t>PARKING</t>
  </si>
  <si>
    <t xml:space="preserve">SOCIETY MAINTAINANCE </t>
  </si>
  <si>
    <t xml:space="preserve">CAR INSURANCE </t>
  </si>
  <si>
    <t>Rent Income</t>
  </si>
  <si>
    <t xml:space="preserve">CURRENCY EXCHANGE </t>
  </si>
  <si>
    <t>Foreign Exchange Difference</t>
  </si>
  <si>
    <t>Misc Expenses</t>
  </si>
  <si>
    <t xml:space="preserve">DONATION </t>
  </si>
  <si>
    <t>Office Car Insurance</t>
  </si>
  <si>
    <t>NSDL Charges</t>
  </si>
  <si>
    <t>Interest On TDS</t>
  </si>
  <si>
    <t>Grand Total for Manday expenses</t>
  </si>
  <si>
    <t>Other Disclosures : (Capital assets)</t>
  </si>
  <si>
    <t>Purchase on New office (215 Atrium) Capitalised</t>
  </si>
  <si>
    <t>Office Agreement value</t>
  </si>
  <si>
    <t>NOC Charges</t>
  </si>
  <si>
    <t>Professional Fees</t>
  </si>
  <si>
    <t>ROC charges and Stamp Duty</t>
  </si>
  <si>
    <t>Brokerage</t>
  </si>
  <si>
    <t>Other Expenses</t>
  </si>
  <si>
    <t>Office Interior</t>
  </si>
  <si>
    <t>Atrium office deposit</t>
  </si>
  <si>
    <t>Sale of Pinnacle Office</t>
  </si>
  <si>
    <t>Sale Price</t>
  </si>
  <si>
    <t>Add: Provision for Depreciation</t>
  </si>
  <si>
    <t>Final Total of expenses (Including Depreciation)</t>
  </si>
  <si>
    <t>General Expenses - Cost</t>
  </si>
  <si>
    <t xml:space="preserve">Foreign Exchange Rate1$ = INR </t>
  </si>
  <si>
    <t xml:space="preserve">       Employee Loan Repayment for the month of APR 2026</t>
  </si>
  <si>
    <t>Employee Name</t>
  </si>
  <si>
    <t>AMOUNT (INR)</t>
  </si>
  <si>
    <t>TYPE OF PAYMENT</t>
  </si>
  <si>
    <t>Original Loan amount</t>
  </si>
  <si>
    <t>Date of Loan</t>
  </si>
  <si>
    <t>Dedcution Month</t>
  </si>
  <si>
    <t>Number of installements</t>
  </si>
  <si>
    <t>Total amount dedcuted</t>
  </si>
  <si>
    <t>Outstanding amount</t>
  </si>
  <si>
    <t xml:space="preserve">LOAN INSTALLMENT </t>
  </si>
  <si>
    <t>Deducted from Salary</t>
  </si>
  <si>
    <t>Monthly Loan Repayment</t>
  </si>
  <si>
    <t>Nil</t>
  </si>
  <si>
    <t>36 monthly deductions of 23400/- Rs starting from December 2024 payroll.</t>
  </si>
  <si>
    <t>Sandesh Patil was given a loan of 2 Lakh Rs, deductions in 20 instalments of 10,000/- Rs each. First instalment of 10,000/- Rs to be deducted in September 2025.</t>
  </si>
  <si>
    <t>Rahul Pawar was given a loan of 7 Lakh Rs, loan to be paid back in 20 monthly instalments of 35000/- Rs each starting from December 2025</t>
  </si>
  <si>
    <t>Pratik Kondvilkar was given a loan of 3 Lakhs in November, monthly deductions of 10000/- Rs to start from December 2025.</t>
  </si>
  <si>
    <t>Loan of 4,00,000; 20 monthly instalments of 20,000 from Feb-26 (Tally Payroll 48 narration)</t>
  </si>
  <si>
    <t>Loan of 4,00,000: first deduction 18,200 in Feb-26, balance in 23 instalments of 16,600 from Mar-26 (Tally Payroll 48 narration)</t>
  </si>
  <si>
    <t>Sampada was given a loan of 150,000/- Rs. To be paid back in 10 instalments of 15,000/- Rs each, first deduction of 15,000/- Rs to start from March 2026. (Tally Payroll 45 narration; disbursed from DBS on 27.02.26)</t>
  </si>
  <si>
    <t>Source: Tally Payroll voucher 54 dt. 30.04.26 (narration: APR 26) - Loan to Employees Cr 1,65,700. No loan disbursed in Apr-26. Sunny Palav loan fully recovered in Mar-26.</t>
  </si>
  <si>
    <t>INR/$</t>
  </si>
  <si>
    <t>USD amounts for Apr-26 service-charge invoices not yet raised in Tally - to be entered</t>
  </si>
  <si>
    <t>$</t>
  </si>
  <si>
    <t>Rs</t>
  </si>
  <si>
    <t>RBI screenshot (USD, 04.05.2026 = 94.9432) saved at: C:\Users\Prasanna\AppData\Local\Temp\claude-chrome-screenshots-6P8S4V\screenshot-1790594104620-2.jpg - paste here (shows USD 04/05/2026 = 94.9432)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</si>
</sst>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164" formatCode="_(* #,##0.00_);_(* \(#,##0.00\);_(* \-??_);_(@_)"/>
    <numFmt numFmtId="165" formatCode="_(\$* #,##0.00_);_(\$* \(#,##0.00\);_(\$* \-??_);_(@_)"/>
    <numFmt numFmtId="167" formatCode="[$-409]d\-mmm\-yyyy;@"/>
    <numFmt numFmtId="168" formatCode="m/d/yyyy"/>
    <numFmt numFmtId="169" formatCode="_ * #,##0_ ;_ * \-#,##0_ ;_ * \-??_ ;_ @_ "/>
    <numFmt numFmtId="170" formatCode="d\-mmm"/>
    <numFmt numFmtId="171" formatCode="_ * #,##0.00_ ;_ * \-#,##0.00_ ;_ * \-??_ ;_ @_ "/>
    <numFmt numFmtId="172" formatCode="0.0000"/>
    <numFmt numFmtId="173" formatCode="_ * #,##0.0000_ ;_ * \-#,##0.0000_ ;_ * \-??_ ;_ @_ "/>
    <numFmt numFmtId="174" formatCode="_(* #,##0_);_(* \(#,##0\);_(* \-??_);_(@_)"/>
    <numFmt numFmtId="175" formatCode="[$-409]mmm\-yy;@"/>
    <numFmt numFmtId="176" formatCode="[$-409]mmm/yy;@"/>
  </numFmts>
  <fonts count="50" x14ac:knownFonts="1">
    <font>
      <sz val="11"/>
      <color theme="1"/>
      <name val="Calibri"/>
      <family val="2"/>
      <charset val="1"/>
    </font>
    <font>
      <sz val="11"/>
      <color rgb="FF000000"/>
      <name val="Calibri"/>
      <family val="2"/>
      <charset val="1"/>
    </font>
    <font>
      <sz val="11"/>
      <color rgb="FFFFFFFF"/>
      <name val="Calibri"/>
      <family val="2"/>
      <charset val="1"/>
    </font>
    <font>
      <sz val="10"/>
      <color rgb="FFFFFFFF"/>
      <name val="Calibri"/>
      <family val="2"/>
      <charset val="1"/>
    </font>
    <font>
      <b/>
      <sz val="10"/>
      <color rgb="FF000000"/>
      <name val="Calibri"/>
      <family val="2"/>
      <charset val="1"/>
    </font>
    <font>
      <sz val="10"/>
      <color rgb="FF800000"/>
      <name val="Calibri"/>
      <family val="2"/>
      <charset val="1"/>
    </font>
    <font>
      <sz val="11"/>
      <color rgb="FF800080"/>
      <name val="Calibri"/>
      <family val="2"/>
      <charset val="1"/>
    </font>
    <font>
      <sz val="11"/>
      <color rgb="FF9C0006"/>
      <name val="Calibri"/>
      <family val="2"/>
      <charset val="1"/>
    </font>
    <font>
      <b/>
      <sz val="11"/>
      <color rgb="FFFF9900"/>
      <name val="Calibri"/>
      <family val="2"/>
      <charset val="1"/>
    </font>
    <font>
      <sz val="10"/>
      <name val="Arial"/>
      <family val="2"/>
      <charset val="1"/>
    </font>
    <font>
      <u/>
      <sz val="11"/>
      <color theme="10"/>
      <name val="Calibri"/>
      <family val="2"/>
      <charset val="1"/>
    </font>
    <font>
      <b/>
      <sz val="11"/>
      <color rgb="FF000000"/>
      <name val="Calibri"/>
      <family val="2"/>
      <charset val="1"/>
    </font>
    <font>
      <sz val="11"/>
      <color theme="1"/>
      <name val="Cambria"/>
      <family val="1"/>
      <charset val="1"/>
    </font>
    <font>
      <b/>
      <sz val="11"/>
      <name val="Cambria"/>
      <family val="1"/>
      <charset val="1"/>
    </font>
    <font>
      <sz val="11"/>
      <color theme="0"/>
      <name val="Cambria"/>
      <family val="1"/>
      <charset val="1"/>
    </font>
    <font>
      <sz val="11"/>
      <name val="Cambria"/>
      <family val="1"/>
      <charset val="1"/>
    </font>
    <font>
      <u/>
      <sz val="11"/>
      <color rgb="FF0000FF"/>
      <name val="Cambria"/>
      <family val="1"/>
      <charset val="1"/>
    </font>
    <font>
      <u/>
      <sz val="11"/>
      <color theme="10"/>
      <name val="Cambria"/>
      <family val="1"/>
      <charset val="1"/>
    </font>
    <font>
      <sz val="11"/>
      <name val="Calibri"/>
      <family val="2"/>
      <charset val="1"/>
    </font>
    <font>
      <b/>
      <sz val="11"/>
      <name val="Calibri"/>
      <family val="2"/>
      <charset val="1"/>
    </font>
    <font>
      <sz val="22"/>
      <name val="Cambria"/>
      <family val="1"/>
      <charset val="1"/>
    </font>
    <font>
      <b/>
      <sz val="16"/>
      <name val="Cambria"/>
      <family val="1"/>
      <charset val="1"/>
    </font>
    <font>
      <b/>
      <sz val="12"/>
      <name val="Cambria"/>
      <family val="1"/>
      <charset val="1"/>
    </font>
    <font>
      <b/>
      <u/>
      <sz val="14"/>
      <name val="Calibri"/>
      <family val="2"/>
      <charset val="1"/>
    </font>
    <font>
      <b/>
      <sz val="12"/>
      <name val="Calibri"/>
      <family val="2"/>
      <charset val="1"/>
    </font>
    <font>
      <b/>
      <sz val="10"/>
      <name val="Calibri"/>
      <family val="2"/>
      <charset val="1"/>
    </font>
    <font>
      <sz val="11"/>
      <color rgb="FFFF0000"/>
      <name val="Cambria"/>
      <family val="1"/>
      <charset val="1"/>
    </font>
    <font>
      <sz val="14"/>
      <color theme="1"/>
      <name val="Cambria"/>
      <family val="1"/>
      <charset val="1"/>
    </font>
    <font>
      <b/>
      <sz val="14"/>
      <color rgb="FF000000"/>
      <name val="Cambria"/>
      <family val="1"/>
      <charset val="1"/>
    </font>
    <font>
      <sz val="14"/>
      <color rgb="FF000000"/>
      <name val="Cambria"/>
      <family val="1"/>
      <charset val="1"/>
    </font>
    <font>
      <b/>
      <sz val="12"/>
      <color rgb="FF000000"/>
      <name val="Cambria"/>
      <family val="1"/>
      <charset val="1"/>
    </font>
    <font>
      <sz val="14"/>
      <color rgb="FFFF0000"/>
      <name val="Cambria"/>
      <family val="1"/>
      <charset val="1"/>
    </font>
    <font>
      <b/>
      <sz val="14"/>
      <color theme="1"/>
      <name val="Cambria"/>
      <family val="1"/>
      <charset val="1"/>
    </font>
    <font>
      <sz val="12"/>
      <color rgb="FF000000"/>
      <name val="Cambria"/>
      <family val="1"/>
      <charset val="1"/>
    </font>
    <font>
      <sz val="12"/>
      <color theme="1"/>
      <name val="Cambria"/>
      <family val="1"/>
      <charset val="1"/>
    </font>
    <font>
      <b/>
      <sz val="12"/>
      <color theme="1"/>
      <name val="Cambria"/>
      <family val="1"/>
      <charset val="1"/>
    </font>
    <font>
      <sz val="11"/>
      <color rgb="FF000000"/>
      <name val="Trebuchet MS"/>
      <family val="2"/>
      <charset val="1"/>
    </font>
    <font>
      <b/>
      <sz val="11"/>
      <color theme="1"/>
      <name val="Calibri"/>
      <family val="2"/>
      <charset val="1"/>
    </font>
    <font>
      <b/>
      <i/>
      <sz val="12"/>
      <name val="Cambria"/>
      <family val="1"/>
      <charset val="1"/>
    </font>
    <font>
      <b/>
      <i/>
      <sz val="11"/>
      <name val="Cambria"/>
      <family val="1"/>
      <charset val="1"/>
    </font>
    <font>
      <sz val="12"/>
      <name val="Calibri"/>
      <family val="2"/>
      <charset val="1"/>
    </font>
    <font>
      <sz val="10"/>
      <color theme="1"/>
      <name val="Calibri"/>
      <family val="2"/>
      <charset val="1"/>
    </font>
    <font>
      <b/>
      <sz val="11"/>
      <color theme="1"/>
      <name val="Cambria"/>
      <family val="1"/>
      <charset val="1"/>
    </font>
    <font>
      <b/>
      <i/>
      <sz val="11"/>
      <color theme="1"/>
      <name val="Cambria"/>
      <family val="1"/>
      <charset val="1"/>
    </font>
    <font>
      <b/>
      <i/>
      <sz val="11"/>
      <name val="Calibri"/>
      <family val="2"/>
      <charset val="1"/>
    </font>
    <font>
      <sz val="10"/>
      <name val="Arial"/>
      <family val="2"/>
    </font>
    <font>
      <b/>
      <i/>
      <sz val="14"/>
      <name val="Cambria"/>
      <family val="1"/>
      <charset val="1"/>
    </font>
    <font>
      <b/>
      <sz val="10"/>
      <name val="Cambria"/>
      <family val="1"/>
      <charset val="1"/>
    </font>
    <font>
      <b/>
      <sz val="10"/>
      <color theme="1"/>
      <name val="Cambria"/>
      <family val="1"/>
      <charset val="1"/>
    </font>
    <font>
      <sz val="11"/>
      <color theme="1"/>
      <name val="Calibri"/>
      <family val="2"/>
      <charset val="1"/>
    </font>
  </fonts>
  <fills count="33">
    <fill>
      <patternFill patternType="none"/>
    </fill>
    <fill>
      <patternFill patternType="gray125"/>
    </fill>
    <fill>
      <patternFill patternType="solid">
        <fgColor rgb="FFCCCCFF"/>
        <bgColor rgb="FFD0CECE"/>
      </patternFill>
    </fill>
    <fill>
      <patternFill patternType="solid">
        <fgColor rgb="FFFF99CC"/>
        <bgColor rgb="FFFF8080"/>
      </patternFill>
    </fill>
    <fill>
      <patternFill patternType="solid">
        <fgColor rgb="FFCCFFCC"/>
        <bgColor rgb="FFCCFFFF"/>
      </patternFill>
    </fill>
    <fill>
      <patternFill patternType="solid">
        <fgColor rgb="FFCC99FF"/>
        <bgColor rgb="FFFF99CC"/>
      </patternFill>
    </fill>
    <fill>
      <patternFill patternType="solid">
        <fgColor rgb="FFC0C0C0"/>
        <bgColor rgb="FFD0CECE"/>
      </patternFill>
    </fill>
    <fill>
      <patternFill patternType="solid">
        <fgColor rgb="FF99CCFF"/>
        <bgColor rgb="FFCCCCFF"/>
      </patternFill>
    </fill>
    <fill>
      <patternFill patternType="solid">
        <fgColor rgb="FF00FF00"/>
        <bgColor rgb="FF33CCCC"/>
      </patternFill>
    </fill>
    <fill>
      <patternFill patternType="solid">
        <fgColor rgb="FFFFCC00"/>
        <bgColor rgb="FFFFFF00"/>
      </patternFill>
    </fill>
    <fill>
      <patternFill patternType="solid">
        <fgColor rgb="FF0066CC"/>
        <bgColor rgb="FF0563C1"/>
      </patternFill>
    </fill>
    <fill>
      <patternFill patternType="solid">
        <fgColor rgb="FFFF8080"/>
        <bgColor rgb="FFED7D31"/>
      </patternFill>
    </fill>
    <fill>
      <patternFill patternType="solid">
        <fgColor rgb="FF800080"/>
        <bgColor rgb="FF800080"/>
      </patternFill>
    </fill>
    <fill>
      <patternFill patternType="solid">
        <fgColor rgb="FF33CCCC"/>
        <bgColor rgb="FF00FFFF"/>
      </patternFill>
    </fill>
    <fill>
      <patternFill patternType="solid">
        <fgColor rgb="FFFF9900"/>
        <bgColor rgb="FFED7D31"/>
      </patternFill>
    </fill>
    <fill>
      <patternFill patternType="solid">
        <fgColor rgb="FF000000"/>
        <bgColor rgb="FF003300"/>
      </patternFill>
    </fill>
    <fill>
      <patternFill patternType="solid">
        <fgColor rgb="FF808080"/>
        <bgColor rgb="FFA6A6A6"/>
      </patternFill>
    </fill>
    <fill>
      <patternFill patternType="solid">
        <fgColor rgb="FFCCFFFF"/>
        <bgColor rgb="FFCCFFCC"/>
      </patternFill>
    </fill>
    <fill>
      <patternFill patternType="solid">
        <fgColor rgb="FF333399"/>
        <bgColor rgb="FF44546A"/>
      </patternFill>
    </fill>
    <fill>
      <patternFill patternType="solid">
        <fgColor rgb="FFFF0000"/>
        <bgColor rgb="FF9C0006"/>
      </patternFill>
    </fill>
    <fill>
      <patternFill patternType="solid">
        <fgColor rgb="FF339966"/>
        <bgColor rgb="FF008080"/>
      </patternFill>
    </fill>
    <fill>
      <patternFill patternType="solid">
        <fgColor rgb="FFFF6600"/>
        <bgColor rgb="FFED7D31"/>
      </patternFill>
    </fill>
    <fill>
      <patternFill patternType="solid">
        <fgColor rgb="FFFFCC99"/>
        <bgColor rgb="FFF8CBAD"/>
      </patternFill>
    </fill>
    <fill>
      <patternFill patternType="solid">
        <fgColor rgb="FFFFC7CE"/>
        <bgColor rgb="FFF8CBAD"/>
      </patternFill>
    </fill>
    <fill>
      <patternFill patternType="solid">
        <fgColor theme="0"/>
        <bgColor rgb="FFFFFFCC"/>
      </patternFill>
    </fill>
    <fill>
      <patternFill patternType="solid">
        <fgColor theme="5" tint="0.59987182226020086"/>
        <bgColor rgb="FFFFCC99"/>
      </patternFill>
    </fill>
    <fill>
      <patternFill patternType="solid">
        <fgColor rgb="FFFFFF00"/>
        <bgColor rgb="FFFFCC00"/>
      </patternFill>
    </fill>
    <fill>
      <patternFill patternType="solid">
        <fgColor theme="2" tint="-9.9978637043366805E-2"/>
        <bgColor rgb="FFC0C0C0"/>
      </patternFill>
    </fill>
    <fill>
      <patternFill patternType="solid">
        <fgColor theme="2" tint="-0.249977111117893"/>
        <bgColor rgb="FFA6A6A6"/>
      </patternFill>
    </fill>
    <fill>
      <patternFill patternType="solid">
        <fgColor theme="9" tint="0.79989013336588644"/>
        <bgColor rgb="FFDAE3F3"/>
      </patternFill>
    </fill>
    <fill>
      <patternFill patternType="solid">
        <fgColor theme="0" tint="-0.34998626667073579"/>
        <bgColor rgb="FFAFABAB"/>
      </patternFill>
    </fill>
    <fill>
      <patternFill patternType="solid">
        <fgColor theme="4" tint="0.79989013336588644"/>
        <bgColor rgb="FFE2F0D9"/>
      </patternFill>
    </fill>
    <fill>
      <patternFill patternType="solid">
        <fgColor theme="5"/>
        <bgColor rgb="FFFF6600"/>
      </patternFill>
    </fill>
  </fills>
  <borders count="28">
    <border>
      <left/>
      <right/>
      <top/>
      <bottom/>
      <diagonal/>
    </border>
    <border>
      <left style="thin">
        <color rgb="FF808080"/>
      </left>
      <right style="thin">
        <color rgb="FF808080"/>
      </right>
      <top style="thin">
        <color rgb="FF808080"/>
      </top>
      <bottom style="thin">
        <color rgb="FF808080"/>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medium">
        <color auto="1"/>
      </left>
      <right style="medium">
        <color auto="1"/>
      </right>
      <top style="medium">
        <color auto="1"/>
      </top>
      <bottom style="medium">
        <color auto="1"/>
      </bottom>
      <diagonal/>
    </border>
    <border>
      <left style="medium">
        <color auto="1"/>
      </left>
      <right style="medium">
        <color auto="1"/>
      </right>
      <top/>
      <bottom/>
      <diagonal/>
    </border>
    <border>
      <left/>
      <right style="medium">
        <color auto="1"/>
      </right>
      <top/>
      <bottom style="medium">
        <color auto="1"/>
      </bottom>
      <diagonal/>
    </border>
    <border>
      <left/>
      <right style="medium">
        <color auto="1"/>
      </right>
      <top/>
      <bottom/>
      <diagonal/>
    </border>
    <border>
      <left style="medium">
        <color auto="1"/>
      </left>
      <right/>
      <top style="medium">
        <color auto="1"/>
      </top>
      <bottom/>
      <diagonal/>
    </border>
    <border>
      <left style="medium">
        <color auto="1"/>
      </left>
      <right style="thin">
        <color auto="1"/>
      </right>
      <top style="medium">
        <color auto="1"/>
      </top>
      <bottom/>
      <diagonal/>
    </border>
    <border>
      <left style="thin">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style="medium">
        <color auto="1"/>
      </right>
      <top style="medium">
        <color auto="1"/>
      </top>
      <bottom/>
      <diagonal/>
    </border>
    <border>
      <left style="medium">
        <color auto="1"/>
      </left>
      <right style="medium">
        <color auto="1"/>
      </right>
      <top style="thin">
        <color auto="1"/>
      </top>
      <bottom/>
      <diagonal/>
    </border>
    <border>
      <left/>
      <right style="medium">
        <color auto="1"/>
      </right>
      <top style="thin">
        <color auto="1"/>
      </top>
      <bottom/>
      <diagonal/>
    </border>
    <border>
      <left/>
      <right style="thin">
        <color auto="1"/>
      </right>
      <top style="thin">
        <color auto="1"/>
      </top>
      <bottom style="thin">
        <color auto="1"/>
      </bottom>
      <diagonal/>
    </border>
    <border>
      <left/>
      <right/>
      <top style="thin">
        <color auto="1"/>
      </top>
      <bottom/>
      <diagonal/>
    </border>
    <border>
      <left style="thin">
        <color auto="1"/>
      </left>
      <right style="thin">
        <color auto="1"/>
      </right>
      <top/>
      <bottom style="thin">
        <color auto="1"/>
      </bottom>
      <diagonal/>
    </border>
    <border>
      <left/>
      <right style="thin">
        <color auto="1"/>
      </right>
      <top/>
      <bottom/>
      <diagonal/>
    </border>
    <border>
      <left style="thin">
        <color auto="1"/>
      </left>
      <right/>
      <top style="thin">
        <color auto="1"/>
      </top>
      <bottom style="thin">
        <color auto="1"/>
      </bottom>
      <diagonal/>
    </border>
    <border>
      <left style="thin">
        <color auto="1"/>
      </left>
      <right/>
      <top/>
      <bottom style="thin">
        <color auto="1"/>
      </bottom>
      <diagonal/>
    </border>
    <border>
      <left/>
      <right/>
      <top style="thin">
        <color auto="1"/>
      </top>
      <bottom style="thin">
        <color auto="1"/>
      </bottom>
      <diagonal/>
    </border>
    <border>
      <left style="thin">
        <color auto="1"/>
      </left>
      <right/>
      <top style="thin">
        <color auto="1"/>
      </top>
      <bottom/>
      <diagonal/>
    </border>
    <border>
      <left style="thin">
        <color auto="1"/>
      </left>
      <right/>
      <top/>
      <bottom/>
      <diagonal/>
    </border>
    <border>
      <left style="medium">
        <color auto="1"/>
      </left>
      <right/>
      <top/>
      <bottom/>
      <diagonal/>
    </border>
    <border>
      <left/>
      <right/>
      <top style="thin">
        <color auto="1"/>
      </top>
      <bottom style="double">
        <color auto="1"/>
      </bottom>
      <diagonal/>
    </border>
  </borders>
  <cellStyleXfs count="14302">
    <xf numFmtId="0" fontId="0" fillId="0" borderId="0"/>
    <xf numFmtId="164" fontId="49" fillId="0" borderId="0"/>
    <xf numFmtId="0" fontId="10" fillId="0" borderId="0"/>
    <xf numFmtId="0" fontId="1" fillId="2" borderId="0"/>
    <xf numFmtId="0" fontId="1" fillId="2" borderId="0"/>
    <xf numFmtId="0" fontId="1" fillId="3" borderId="0"/>
    <xf numFmtId="0" fontId="1" fillId="4" borderId="0"/>
    <xf numFmtId="0" fontId="1" fillId="4" borderId="0"/>
    <xf numFmtId="0" fontId="1" fillId="5" borderId="0"/>
    <xf numFmtId="0" fontId="1" fillId="6" borderId="0"/>
    <xf numFmtId="0" fontId="1" fillId="7" borderId="0"/>
    <xf numFmtId="0" fontId="1" fillId="8" borderId="0"/>
    <xf numFmtId="0" fontId="1" fillId="5" borderId="0"/>
    <xf numFmtId="0" fontId="1" fillId="7" borderId="0"/>
    <xf numFmtId="0" fontId="1" fillId="9" borderId="0"/>
    <xf numFmtId="0" fontId="2" fillId="10" borderId="0"/>
    <xf numFmtId="0" fontId="2" fillId="11" borderId="0"/>
    <xf numFmtId="0" fontId="2" fillId="8" borderId="0"/>
    <xf numFmtId="0" fontId="2" fillId="12" borderId="0"/>
    <xf numFmtId="0" fontId="2" fillId="13" borderId="0"/>
    <xf numFmtId="0" fontId="2" fillId="14" borderId="0"/>
    <xf numFmtId="0" fontId="3" fillId="15" borderId="0"/>
    <xf numFmtId="0" fontId="3" fillId="16" borderId="0"/>
    <xf numFmtId="0" fontId="4" fillId="17" borderId="0"/>
    <xf numFmtId="0" fontId="4" fillId="0" borderId="0"/>
    <xf numFmtId="0" fontId="2" fillId="18" borderId="0"/>
    <xf numFmtId="0" fontId="2" fillId="19" borderId="0"/>
    <xf numFmtId="0" fontId="2" fillId="19" borderId="0"/>
    <xf numFmtId="0" fontId="2" fillId="20" borderId="0"/>
    <xf numFmtId="0" fontId="2" fillId="12" borderId="0"/>
    <xf numFmtId="0" fontId="2" fillId="21" borderId="0"/>
    <xf numFmtId="0" fontId="5" fillId="22" borderId="0"/>
    <xf numFmtId="0" fontId="6" fillId="3" borderId="0"/>
    <xf numFmtId="0" fontId="7" fillId="23" borderId="0"/>
    <xf numFmtId="0" fontId="8" fillId="6" borderId="1"/>
    <xf numFmtId="0" fontId="8" fillId="6" borderId="1"/>
    <xf numFmtId="0" fontId="8" fillId="6" borderId="1"/>
    <xf numFmtId="164" fontId="49" fillId="0" borderId="0"/>
    <xf numFmtId="164" fontId="49" fillId="0" borderId="0"/>
    <xf numFmtId="164" fontId="4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1"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49" fillId="0" borderId="0"/>
    <xf numFmtId="164" fontId="49" fillId="0" borderId="0"/>
    <xf numFmtId="164" fontId="49" fillId="0" borderId="0"/>
    <xf numFmtId="164" fontId="49" fillId="0" borderId="0"/>
    <xf numFmtId="164" fontId="49" fillId="0" borderId="0"/>
    <xf numFmtId="164" fontId="49" fillId="0" borderId="0"/>
    <xf numFmtId="164" fontId="9" fillId="0" borderId="0"/>
    <xf numFmtId="164" fontId="9" fillId="0" borderId="0"/>
    <xf numFmtId="164" fontId="9" fillId="0" borderId="0"/>
    <xf numFmtId="164" fontId="9" fillId="0" borderId="0"/>
    <xf numFmtId="164" fontId="9" fillId="0" borderId="0"/>
    <xf numFmtId="164" fontId="49" fillId="0" borderId="0"/>
    <xf numFmtId="164" fontId="4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49" fillId="0" borderId="0"/>
    <xf numFmtId="164" fontId="49" fillId="0" borderId="0"/>
    <xf numFmtId="164" fontId="49" fillId="0" borderId="0"/>
    <xf numFmtId="164" fontId="49" fillId="0" borderId="0"/>
    <xf numFmtId="164" fontId="49" fillId="0" borderId="0"/>
    <xf numFmtId="164" fontId="49" fillId="0" borderId="0"/>
    <xf numFmtId="164" fontId="49" fillId="0" borderId="0"/>
    <xf numFmtId="164" fontId="49" fillId="0" borderId="0"/>
    <xf numFmtId="164" fontId="49" fillId="0" borderId="0"/>
    <xf numFmtId="164" fontId="4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1"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164" fontId="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cellStyleXfs>
  <cellXfs count="353">
    <xf numFmtId="0" fontId="0" fillId="0" borderId="0" xfId="0"/>
    <xf numFmtId="171" fontId="42" fillId="0" borderId="2" xfId="1" applyNumberFormat="1" applyFont="1" applyBorder="1" applyAlignment="1">
      <alignment horizontal="center"/>
    </xf>
    <xf numFmtId="171" fontId="13" fillId="24" borderId="2" xfId="1" applyNumberFormat="1" applyFont="1" applyFill="1" applyBorder="1" applyAlignment="1">
      <alignment horizontal="center" vertical="center"/>
    </xf>
    <xf numFmtId="0" fontId="43" fillId="0" borderId="21" xfId="1539" applyFont="1" applyBorder="1" applyAlignment="1">
      <alignment horizontal="center" vertical="center"/>
    </xf>
    <xf numFmtId="0" fontId="13" fillId="0" borderId="4" xfId="1539" applyFont="1" applyBorder="1" applyAlignment="1">
      <alignment horizontal="center" vertical="center" wrapText="1"/>
    </xf>
    <xf numFmtId="0" fontId="38" fillId="0" borderId="2" xfId="1539" applyFont="1" applyBorder="1" applyAlignment="1">
      <alignment horizontal="center" vertical="center"/>
    </xf>
    <xf numFmtId="0" fontId="30" fillId="0" borderId="19" xfId="1539" applyFont="1" applyBorder="1" applyAlignment="1">
      <alignment horizontal="center" vertical="center" wrapText="1"/>
    </xf>
    <xf numFmtId="0" fontId="29" fillId="0" borderId="0" xfId="1539" applyFont="1" applyAlignment="1">
      <alignment horizontal="center" vertical="center"/>
    </xf>
    <xf numFmtId="0" fontId="30" fillId="0" borderId="2" xfId="1539" applyFont="1" applyBorder="1" applyAlignment="1">
      <alignment horizontal="center" vertical="center"/>
    </xf>
    <xf numFmtId="0" fontId="28" fillId="0" borderId="2" xfId="1539" applyFont="1" applyBorder="1" applyAlignment="1">
      <alignment horizontal="center" vertical="center" wrapText="1"/>
    </xf>
    <xf numFmtId="0" fontId="23" fillId="0" borderId="7" xfId="1539" applyFont="1" applyBorder="1" applyAlignment="1">
      <alignment horizontal="center"/>
    </xf>
    <xf numFmtId="0" fontId="20" fillId="0" borderId="5" xfId="1539" applyFont="1" applyBorder="1" applyAlignment="1">
      <alignment horizontal="center"/>
    </xf>
    <xf numFmtId="17" fontId="19" fillId="5" borderId="5" xfId="1539" applyNumberFormat="1" applyFont="1" applyFill="1" applyBorder="1" applyAlignment="1">
      <alignment horizontal="center"/>
    </xf>
    <xf numFmtId="0" fontId="13" fillId="0" borderId="0" xfId="1539" applyFont="1" applyAlignment="1">
      <alignment horizontal="center" vertical="center"/>
    </xf>
    <xf numFmtId="0" fontId="12" fillId="0" borderId="0" xfId="1539" applyFont="1"/>
    <xf numFmtId="0" fontId="13" fillId="0" borderId="0" xfId="1539" applyFont="1" applyAlignment="1">
      <alignment vertical="center"/>
    </xf>
    <xf numFmtId="167" fontId="13" fillId="0" borderId="0" xfId="1539" applyNumberFormat="1" applyFont="1" applyAlignment="1">
      <alignment horizontal="right" vertical="center"/>
    </xf>
    <xf numFmtId="0" fontId="14" fillId="0" borderId="0" xfId="1539" applyFont="1"/>
    <xf numFmtId="0" fontId="15" fillId="0" borderId="0" xfId="1539" applyFont="1"/>
    <xf numFmtId="0" fontId="13" fillId="0" borderId="2" xfId="1539" applyFont="1" applyBorder="1" applyAlignment="1">
      <alignment horizontal="center"/>
    </xf>
    <xf numFmtId="0" fontId="13" fillId="0" borderId="2" xfId="1539" applyFont="1" applyBorder="1"/>
    <xf numFmtId="0" fontId="15" fillId="0" borderId="3" xfId="1539" applyFont="1" applyBorder="1" applyAlignment="1">
      <alignment horizontal="center"/>
    </xf>
    <xf numFmtId="0" fontId="15" fillId="0" borderId="3" xfId="1539" applyFont="1" applyBorder="1"/>
    <xf numFmtId="0" fontId="16" fillId="0" borderId="4" xfId="1539" applyFont="1" applyBorder="1" applyAlignment="1">
      <alignment horizontal="center"/>
    </xf>
    <xf numFmtId="0" fontId="15" fillId="0" borderId="4" xfId="1539" applyFont="1" applyBorder="1" applyAlignment="1">
      <alignment horizontal="center"/>
    </xf>
    <xf numFmtId="0" fontId="15" fillId="0" borderId="4" xfId="1539" applyFont="1" applyBorder="1"/>
    <xf numFmtId="0" fontId="17" fillId="0" borderId="4" xfId="2" applyFont="1" applyBorder="1" applyAlignment="1">
      <alignment horizontal="center"/>
    </xf>
    <xf numFmtId="0" fontId="0" fillId="0" borderId="0" xfId="1539" applyFont="1" applyAlignment="1">
      <alignment horizontal="center"/>
    </xf>
    <xf numFmtId="2" fontId="0" fillId="0" borderId="0" xfId="1539" applyNumberFormat="1" applyFont="1" applyAlignment="1">
      <alignment horizontal="right"/>
    </xf>
    <xf numFmtId="0" fontId="18" fillId="0" borderId="0" xfId="1539" applyFont="1"/>
    <xf numFmtId="0" fontId="0" fillId="24" borderId="0" xfId="1539" applyFont="1" applyFill="1" applyAlignment="1">
      <alignment horizontal="center"/>
    </xf>
    <xf numFmtId="0" fontId="0" fillId="24" borderId="0" xfId="1539" applyFont="1" applyFill="1" applyAlignment="1">
      <alignment horizontal="left"/>
    </xf>
    <xf numFmtId="2" fontId="0" fillId="24" borderId="0" xfId="1539" applyNumberFormat="1" applyFont="1" applyFill="1" applyAlignment="1">
      <alignment horizontal="right"/>
    </xf>
    <xf numFmtId="0" fontId="19" fillId="0" borderId="0" xfId="1539" applyFont="1"/>
    <xf numFmtId="0" fontId="19" fillId="5" borderId="5" xfId="1539" applyFont="1" applyFill="1" applyBorder="1" applyAlignment="1">
      <alignment horizontal="center"/>
    </xf>
    <xf numFmtId="0" fontId="19" fillId="0" borderId="2" xfId="1539" applyFont="1" applyBorder="1" applyAlignment="1">
      <alignment horizontal="center"/>
    </xf>
    <xf numFmtId="2" fontId="19" fillId="0" borderId="2" xfId="1539" applyNumberFormat="1" applyFont="1" applyBorder="1" applyAlignment="1">
      <alignment horizontal="right"/>
    </xf>
    <xf numFmtId="168" fontId="0" fillId="0" borderId="2" xfId="1539" applyNumberFormat="1" applyFont="1" applyBorder="1" applyAlignment="1">
      <alignment horizontal="center"/>
    </xf>
    <xf numFmtId="0" fontId="18" fillId="0" borderId="3" xfId="1539" applyFont="1" applyBorder="1" applyAlignment="1">
      <alignment horizontal="center"/>
    </xf>
    <xf numFmtId="0" fontId="18" fillId="0" borderId="2" xfId="1539" applyFont="1" applyBorder="1" applyAlignment="1">
      <alignment horizontal="center"/>
    </xf>
    <xf numFmtId="168" fontId="18" fillId="0" borderId="2" xfId="1539" applyNumberFormat="1" applyFont="1" applyBorder="1" applyAlignment="1">
      <alignment horizontal="left"/>
    </xf>
    <xf numFmtId="0" fontId="1" fillId="0" borderId="0" xfId="1539" applyFont="1"/>
    <xf numFmtId="0" fontId="0" fillId="0" borderId="2" xfId="1539" applyFont="1" applyBorder="1" applyAlignment="1">
      <alignment horizontal="center"/>
    </xf>
    <xf numFmtId="0" fontId="0" fillId="0" borderId="2" xfId="1539" applyFont="1" applyBorder="1"/>
    <xf numFmtId="2" fontId="0" fillId="0" borderId="2" xfId="1539" applyNumberFormat="1" applyFont="1" applyBorder="1" applyAlignment="1">
      <alignment horizontal="right"/>
    </xf>
    <xf numFmtId="0" fontId="0" fillId="0" borderId="3" xfId="1539" applyFont="1" applyBorder="1" applyAlignment="1">
      <alignment horizontal="center"/>
    </xf>
    <xf numFmtId="0" fontId="19" fillId="25" borderId="6" xfId="1539" applyFont="1" applyFill="1" applyBorder="1" applyAlignment="1">
      <alignment horizontal="center"/>
    </xf>
    <xf numFmtId="2" fontId="19" fillId="25" borderId="7" xfId="1539" applyNumberFormat="1" applyFont="1" applyFill="1" applyBorder="1" applyAlignment="1">
      <alignment horizontal="right"/>
    </xf>
    <xf numFmtId="0" fontId="18" fillId="24" borderId="2" xfId="1539" applyFont="1" applyFill="1" applyBorder="1" applyAlignment="1">
      <alignment horizontal="left" vertical="top" wrapText="1"/>
    </xf>
    <xf numFmtId="169" fontId="12" fillId="0" borderId="0" xfId="1" applyNumberFormat="1" applyFont="1"/>
    <xf numFmtId="0" fontId="12" fillId="0" borderId="8" xfId="1539" applyFont="1" applyBorder="1"/>
    <xf numFmtId="0" fontId="13" fillId="0" borderId="9" xfId="1539" applyFont="1" applyBorder="1"/>
    <xf numFmtId="0" fontId="13" fillId="0" borderId="10" xfId="1539" applyFont="1" applyBorder="1"/>
    <xf numFmtId="0" fontId="21" fillId="0" borderId="11" xfId="1539" applyFont="1" applyBorder="1" applyAlignment="1">
      <alignment horizontal="left" wrapText="1"/>
    </xf>
    <xf numFmtId="0" fontId="21" fillId="0" borderId="12" xfId="1539" applyFont="1" applyBorder="1" applyAlignment="1">
      <alignment wrapText="1"/>
    </xf>
    <xf numFmtId="169" fontId="22" fillId="0" borderId="12" xfId="1" applyNumberFormat="1" applyFont="1" applyBorder="1" applyAlignment="1">
      <alignment horizontal="center"/>
    </xf>
    <xf numFmtId="169" fontId="22" fillId="0" borderId="13" xfId="1" applyNumberFormat="1" applyFont="1" applyBorder="1" applyAlignment="1">
      <alignment horizontal="center"/>
    </xf>
    <xf numFmtId="0" fontId="12" fillId="0" borderId="0" xfId="1539" applyFont="1" applyAlignment="1">
      <alignment horizontal="center" vertical="center"/>
    </xf>
    <xf numFmtId="0" fontId="24" fillId="0" borderId="13" xfId="1539" applyFont="1" applyBorder="1" applyAlignment="1">
      <alignment horizontal="left"/>
    </xf>
    <xf numFmtId="0" fontId="24" fillId="0" borderId="14" xfId="1539" applyFont="1" applyBorder="1" applyAlignment="1">
      <alignment horizontal="left" wrapText="1"/>
    </xf>
    <xf numFmtId="0" fontId="24" fillId="0" borderId="13" xfId="1539" applyFont="1" applyBorder="1" applyAlignment="1">
      <alignment horizontal="left" wrapText="1"/>
    </xf>
    <xf numFmtId="1" fontId="24" fillId="0" borderId="14" xfId="1539" applyNumberFormat="1" applyFont="1" applyBorder="1" applyAlignment="1">
      <alignment horizontal="center" wrapText="1"/>
    </xf>
    <xf numFmtId="1" fontId="24" fillId="0" borderId="14" xfId="1539" applyNumberFormat="1" applyFont="1" applyBorder="1" applyAlignment="1">
      <alignment horizontal="center"/>
    </xf>
    <xf numFmtId="168" fontId="19" fillId="0" borderId="15" xfId="1539" applyNumberFormat="1" applyFont="1" applyBorder="1" applyAlignment="1">
      <alignment horizontal="left"/>
    </xf>
    <xf numFmtId="0" fontId="19" fillId="0" borderId="15" xfId="1539" applyFont="1" applyBorder="1" applyAlignment="1">
      <alignment horizontal="left"/>
    </xf>
    <xf numFmtId="0" fontId="25" fillId="0" borderId="15" xfId="1539" applyFont="1" applyBorder="1" applyAlignment="1">
      <alignment horizontal="left" wrapText="1"/>
    </xf>
    <xf numFmtId="0" fontId="25" fillId="0" borderId="16" xfId="1539" applyFont="1" applyBorder="1" applyAlignment="1">
      <alignment horizontal="left" wrapText="1"/>
    </xf>
    <xf numFmtId="1" fontId="25" fillId="0" borderId="15" xfId="1539" applyNumberFormat="1" applyFont="1" applyBorder="1" applyAlignment="1">
      <alignment horizontal="center"/>
    </xf>
    <xf numFmtId="0" fontId="26" fillId="0" borderId="0" xfId="1539" applyFont="1"/>
    <xf numFmtId="170" fontId="0" fillId="0" borderId="2" xfId="1539" applyNumberFormat="1" applyFont="1" applyBorder="1"/>
    <xf numFmtId="0" fontId="9" fillId="0" borderId="17" xfId="1539" applyFont="1" applyBorder="1" applyAlignment="1">
      <alignment wrapText="1"/>
    </xf>
    <xf numFmtId="0" fontId="18" fillId="0" borderId="2" xfId="1539" applyFont="1" applyBorder="1" applyAlignment="1">
      <alignment wrapText="1"/>
    </xf>
    <xf numFmtId="0" fontId="18" fillId="0" borderId="2" xfId="1539" applyFont="1" applyBorder="1"/>
    <xf numFmtId="0" fontId="19" fillId="0" borderId="2" xfId="1539" applyFont="1" applyBorder="1" applyAlignment="1">
      <alignment wrapText="1"/>
    </xf>
    <xf numFmtId="2" fontId="18" fillId="0" borderId="2" xfId="1539" applyNumberFormat="1" applyFont="1" applyBorder="1"/>
    <xf numFmtId="0" fontId="0" fillId="0" borderId="18" xfId="1539" applyFont="1" applyBorder="1" applyAlignment="1">
      <alignment wrapText="1"/>
    </xf>
    <xf numFmtId="0" fontId="19" fillId="0" borderId="18" xfId="1539" applyFont="1" applyBorder="1" applyAlignment="1">
      <alignment wrapText="1"/>
    </xf>
    <xf numFmtId="0" fontId="18" fillId="0" borderId="19" xfId="1539" applyFont="1" applyBorder="1" applyAlignment="1">
      <alignment wrapText="1"/>
    </xf>
    <xf numFmtId="1" fontId="12" fillId="0" borderId="0" xfId="1539" applyNumberFormat="1" applyFont="1"/>
    <xf numFmtId="0" fontId="18" fillId="0" borderId="18" xfId="1539" applyFont="1" applyBorder="1" applyAlignment="1">
      <alignment wrapText="1"/>
    </xf>
    <xf numFmtId="0" fontId="27" fillId="0" borderId="0" xfId="1539" applyFont="1" applyAlignment="1">
      <alignment horizontal="center" vertical="center" wrapText="1"/>
    </xf>
    <xf numFmtId="169" fontId="27" fillId="0" borderId="0" xfId="1" applyNumberFormat="1" applyFont="1" applyAlignment="1">
      <alignment horizontal="center" vertical="center" wrapText="1"/>
    </xf>
    <xf numFmtId="0" fontId="28" fillId="0" borderId="2" xfId="1539" applyFont="1" applyBorder="1" applyAlignment="1">
      <alignment horizontal="center" vertical="center" wrapText="1"/>
    </xf>
    <xf numFmtId="170" fontId="11" fillId="26" borderId="2" xfId="1539" applyNumberFormat="1" applyFont="1" applyFill="1" applyBorder="1" applyAlignment="1">
      <alignment horizontal="center" vertical="center"/>
    </xf>
    <xf numFmtId="0" fontId="1" fillId="24" borderId="2" xfId="1539" applyFont="1" applyFill="1" applyBorder="1" applyAlignment="1">
      <alignment horizontal="center"/>
    </xf>
    <xf numFmtId="0" fontId="29" fillId="0" borderId="2" xfId="1539" applyFont="1" applyBorder="1" applyAlignment="1">
      <alignment horizontal="center" vertical="center" wrapText="1"/>
    </xf>
    <xf numFmtId="0" fontId="28" fillId="0" borderId="0" xfId="1539" applyFont="1" applyAlignment="1">
      <alignment horizontal="center" vertical="center" wrapText="1"/>
    </xf>
    <xf numFmtId="169" fontId="28" fillId="0" borderId="0" xfId="1" applyNumberFormat="1" applyFont="1" applyAlignment="1">
      <alignment horizontal="center" vertical="center" wrapText="1"/>
    </xf>
    <xf numFmtId="0" fontId="31" fillId="0" borderId="0" xfId="1539" applyFont="1" applyAlignment="1">
      <alignment horizontal="center" vertical="center" wrapText="1"/>
    </xf>
    <xf numFmtId="169" fontId="29" fillId="0" borderId="2" xfId="1" applyNumberFormat="1" applyFont="1" applyBorder="1" applyAlignment="1">
      <alignment horizontal="center" vertical="center" wrapText="1"/>
    </xf>
    <xf numFmtId="169" fontId="31" fillId="0" borderId="0" xfId="1" applyNumberFormat="1" applyFont="1" applyAlignment="1">
      <alignment horizontal="center" vertical="center" wrapText="1"/>
    </xf>
    <xf numFmtId="171" fontId="31" fillId="0" borderId="0" xfId="1" applyNumberFormat="1" applyFont="1" applyAlignment="1">
      <alignment horizontal="center" vertical="center" wrapText="1"/>
    </xf>
    <xf numFmtId="171" fontId="27" fillId="0" borderId="0" xfId="1" applyNumberFormat="1" applyFont="1" applyAlignment="1">
      <alignment horizontal="center" vertical="center" wrapText="1"/>
    </xf>
    <xf numFmtId="171" fontId="28" fillId="0" borderId="0" xfId="1539" applyNumberFormat="1" applyFont="1" applyAlignment="1">
      <alignment horizontal="center" vertical="center" wrapText="1"/>
    </xf>
    <xf numFmtId="171" fontId="31" fillId="0" borderId="0" xfId="1539" applyNumberFormat="1" applyFont="1" applyAlignment="1">
      <alignment horizontal="center" vertical="center" wrapText="1"/>
    </xf>
    <xf numFmtId="171" fontId="27" fillId="0" borderId="0" xfId="1539" applyNumberFormat="1" applyFont="1" applyAlignment="1">
      <alignment horizontal="center" vertical="center" wrapText="1"/>
    </xf>
    <xf numFmtId="171" fontId="28" fillId="0" borderId="0" xfId="1" applyNumberFormat="1" applyFont="1" applyAlignment="1">
      <alignment horizontal="center" vertical="center" wrapText="1"/>
    </xf>
    <xf numFmtId="169" fontId="28" fillId="0" borderId="2" xfId="1" applyNumberFormat="1" applyFont="1" applyBorder="1" applyAlignment="1">
      <alignment horizontal="center" vertical="center" wrapText="1"/>
    </xf>
    <xf numFmtId="169" fontId="27" fillId="0" borderId="0" xfId="1539" applyNumberFormat="1" applyFont="1" applyAlignment="1">
      <alignment horizontal="center" vertical="center" wrapText="1"/>
    </xf>
    <xf numFmtId="169" fontId="28" fillId="0" borderId="0" xfId="1539" applyNumberFormat="1" applyFont="1" applyAlignment="1">
      <alignment horizontal="center" vertical="center" wrapText="1"/>
    </xf>
    <xf numFmtId="0" fontId="30" fillId="0" borderId="2" xfId="1539" applyFont="1" applyBorder="1" applyAlignment="1">
      <alignment horizontal="center" vertical="center" wrapText="1"/>
    </xf>
    <xf numFmtId="169" fontId="30" fillId="0" borderId="2" xfId="1" applyNumberFormat="1" applyFont="1" applyBorder="1" applyAlignment="1">
      <alignment horizontal="center" vertical="center" wrapText="1"/>
    </xf>
    <xf numFmtId="0" fontId="32" fillId="0" borderId="0" xfId="1539" applyFont="1" applyAlignment="1">
      <alignment horizontal="center" vertical="center" wrapText="1"/>
    </xf>
    <xf numFmtId="0" fontId="33" fillId="0" borderId="2" xfId="1539" applyFont="1" applyBorder="1" applyAlignment="1">
      <alignment horizontal="center" vertical="center"/>
    </xf>
    <xf numFmtId="0" fontId="33" fillId="0" borderId="2" xfId="1539" applyFont="1" applyBorder="1" applyAlignment="1">
      <alignment horizontal="left" vertical="center"/>
    </xf>
    <xf numFmtId="0" fontId="33" fillId="0" borderId="2" xfId="1539" applyFont="1" applyBorder="1" applyAlignment="1">
      <alignment vertical="center" wrapText="1"/>
    </xf>
    <xf numFmtId="170" fontId="33" fillId="0" borderId="2" xfId="1539" applyNumberFormat="1" applyFont="1" applyBorder="1" applyAlignment="1">
      <alignment horizontal="center" vertical="center"/>
    </xf>
    <xf numFmtId="0" fontId="33" fillId="0" borderId="2" xfId="1539" applyFont="1" applyBorder="1" applyAlignment="1">
      <alignment horizontal="left" vertical="center" wrapText="1"/>
    </xf>
    <xf numFmtId="169" fontId="34" fillId="0" borderId="2" xfId="1" applyNumberFormat="1" applyFont="1" applyBorder="1" applyAlignment="1">
      <alignment vertical="center"/>
    </xf>
    <xf numFmtId="172" fontId="33" fillId="0" borderId="2" xfId="1539" applyNumberFormat="1" applyFont="1" applyBorder="1" applyAlignment="1">
      <alignment horizontal="right" vertical="center"/>
    </xf>
    <xf numFmtId="171" fontId="33" fillId="0" borderId="2" xfId="1" applyNumberFormat="1" applyFont="1" applyBorder="1" applyAlignment="1">
      <alignment vertical="center"/>
    </xf>
    <xf numFmtId="169" fontId="34" fillId="0" borderId="2" xfId="1" applyNumberFormat="1" applyFont="1" applyBorder="1" applyAlignment="1">
      <alignment horizontal="center" vertical="center"/>
    </xf>
    <xf numFmtId="2" fontId="33" fillId="0" borderId="2" xfId="1539" applyNumberFormat="1" applyFont="1" applyBorder="1" applyAlignment="1">
      <alignment horizontal="center" vertical="center"/>
    </xf>
    <xf numFmtId="0" fontId="33" fillId="0" borderId="2" xfId="1539" applyFont="1" applyBorder="1" applyAlignment="1">
      <alignment wrapText="1"/>
    </xf>
    <xf numFmtId="0" fontId="32" fillId="0" borderId="0" xfId="1539" applyFont="1" applyAlignment="1">
      <alignment horizontal="center" vertical="center"/>
    </xf>
    <xf numFmtId="171" fontId="32" fillId="0" borderId="0" xfId="1539" applyNumberFormat="1" applyFont="1" applyAlignment="1">
      <alignment horizontal="center" vertical="center"/>
    </xf>
    <xf numFmtId="169" fontId="32" fillId="0" borderId="0" xfId="1539" applyNumberFormat="1" applyFont="1" applyAlignment="1">
      <alignment horizontal="center" vertical="center"/>
    </xf>
    <xf numFmtId="0" fontId="0" fillId="0" borderId="2" xfId="1539" applyFont="1" applyBorder="1" applyAlignment="1">
      <alignment horizontal="left" wrapText="1"/>
    </xf>
    <xf numFmtId="0" fontId="0" fillId="0" borderId="2" xfId="1539" applyFont="1" applyBorder="1" applyAlignment="1">
      <alignment horizontal="center" wrapText="1"/>
    </xf>
    <xf numFmtId="0" fontId="0" fillId="0" borderId="2" xfId="1539" applyFont="1" applyBorder="1" applyAlignment="1">
      <alignment wrapText="1"/>
    </xf>
    <xf numFmtId="170" fontId="0" fillId="0" borderId="2" xfId="1539" applyNumberFormat="1" applyFont="1" applyBorder="1" applyAlignment="1">
      <alignment horizontal="center" wrapText="1"/>
    </xf>
    <xf numFmtId="169" fontId="27" fillId="0" borderId="2" xfId="1539" applyNumberFormat="1" applyFont="1" applyBorder="1" applyAlignment="1">
      <alignment horizontal="center" vertical="center"/>
    </xf>
    <xf numFmtId="2" fontId="0" fillId="0" borderId="2" xfId="1539" applyNumberFormat="1" applyFont="1" applyBorder="1" applyAlignment="1">
      <alignment horizontal="right" wrapText="1"/>
    </xf>
    <xf numFmtId="0" fontId="1" fillId="0" borderId="2" xfId="1539" applyFont="1" applyBorder="1" applyAlignment="1">
      <alignment wrapText="1"/>
    </xf>
    <xf numFmtId="0" fontId="35" fillId="0" borderId="2" xfId="1539" applyFont="1" applyBorder="1" applyAlignment="1">
      <alignment horizontal="center" vertical="center" wrapText="1"/>
    </xf>
    <xf numFmtId="169" fontId="35" fillId="0" borderId="2" xfId="1" applyNumberFormat="1" applyFont="1" applyBorder="1" applyAlignment="1">
      <alignment horizontal="center" vertical="center" wrapText="1"/>
    </xf>
    <xf numFmtId="173" fontId="27" fillId="0" borderId="0" xfId="1" applyNumberFormat="1" applyFont="1" applyAlignment="1">
      <alignment horizontal="center" vertical="center" wrapText="1"/>
    </xf>
    <xf numFmtId="0" fontId="34" fillId="0" borderId="0" xfId="1539" applyFont="1" applyAlignment="1">
      <alignment vertical="center"/>
    </xf>
    <xf numFmtId="0" fontId="34" fillId="0" borderId="0" xfId="1539" applyFont="1" applyAlignment="1">
      <alignment vertical="center" wrapText="1"/>
    </xf>
    <xf numFmtId="169" fontId="34" fillId="0" borderId="0" xfId="1" applyNumberFormat="1" applyFont="1" applyAlignment="1">
      <alignment vertical="center"/>
    </xf>
    <xf numFmtId="0" fontId="29" fillId="0" borderId="0" xfId="1539" applyFont="1" applyAlignment="1">
      <alignment horizontal="center" vertical="center"/>
    </xf>
    <xf numFmtId="170" fontId="11" fillId="0" borderId="2" xfId="1539" applyNumberFormat="1" applyFont="1" applyBorder="1" applyAlignment="1">
      <alignment horizontal="center" vertical="center"/>
    </xf>
    <xf numFmtId="170" fontId="28" fillId="0" borderId="20" xfId="1539" applyNumberFormat="1" applyFont="1" applyBorder="1" applyAlignment="1">
      <alignment vertical="center"/>
    </xf>
    <xf numFmtId="0" fontId="36" fillId="0" borderId="2" xfId="1539" applyFont="1" applyBorder="1" applyAlignment="1">
      <alignment horizontal="center"/>
    </xf>
    <xf numFmtId="0" fontId="29" fillId="0" borderId="20" xfId="1539" applyFont="1" applyBorder="1" applyAlignment="1">
      <alignment vertical="center"/>
    </xf>
    <xf numFmtId="0" fontId="30" fillId="0" borderId="0" xfId="1539" applyFont="1" applyAlignment="1">
      <alignment vertical="center"/>
    </xf>
    <xf numFmtId="0" fontId="30" fillId="0" borderId="0" xfId="1539" applyFont="1" applyAlignment="1">
      <alignment vertical="center" wrapText="1"/>
    </xf>
    <xf numFmtId="169" fontId="30" fillId="0" borderId="0" xfId="1" applyNumberFormat="1" applyFont="1" applyAlignment="1">
      <alignment vertical="center"/>
    </xf>
    <xf numFmtId="0" fontId="28" fillId="0" borderId="2" xfId="1539" applyFont="1" applyBorder="1" applyAlignment="1">
      <alignment vertical="center"/>
    </xf>
    <xf numFmtId="171" fontId="34" fillId="0" borderId="0" xfId="1539" applyNumberFormat="1" applyFont="1" applyAlignment="1">
      <alignment vertical="center" wrapText="1"/>
    </xf>
    <xf numFmtId="169" fontId="30" fillId="0" borderId="0" xfId="1" applyNumberFormat="1" applyFont="1" applyAlignment="1">
      <alignment vertical="center" wrapText="1"/>
    </xf>
    <xf numFmtId="169" fontId="34" fillId="0" borderId="0" xfId="1" applyNumberFormat="1" applyFont="1" applyAlignment="1">
      <alignment vertical="center" wrapText="1"/>
    </xf>
    <xf numFmtId="169" fontId="29" fillId="0" borderId="2" xfId="1" applyNumberFormat="1" applyFont="1" applyBorder="1" applyAlignment="1">
      <alignment vertical="center" wrapText="1"/>
    </xf>
    <xf numFmtId="171" fontId="34" fillId="0" borderId="0" xfId="1539" applyNumberFormat="1" applyFont="1" applyAlignment="1">
      <alignment vertical="center"/>
    </xf>
    <xf numFmtId="171" fontId="34" fillId="0" borderId="0" xfId="1" applyNumberFormat="1" applyFont="1" applyAlignment="1">
      <alignment vertical="center" wrapText="1"/>
    </xf>
    <xf numFmtId="169" fontId="30" fillId="0" borderId="0" xfId="1" applyNumberFormat="1" applyFont="1" applyAlignment="1">
      <alignment horizontal="center" vertical="center" wrapText="1"/>
    </xf>
    <xf numFmtId="169" fontId="30" fillId="0" borderId="0" xfId="1539" applyNumberFormat="1" applyFont="1" applyAlignment="1">
      <alignment vertical="center"/>
    </xf>
    <xf numFmtId="169" fontId="28" fillId="0" borderId="2" xfId="1" applyNumberFormat="1" applyFont="1" applyBorder="1" applyAlignment="1">
      <alignment vertical="center" wrapText="1"/>
    </xf>
    <xf numFmtId="169" fontId="34" fillId="0" borderId="0" xfId="1539" applyNumberFormat="1" applyFont="1" applyAlignment="1">
      <alignment vertical="center" wrapText="1"/>
    </xf>
    <xf numFmtId="0" fontId="30" fillId="0" borderId="21" xfId="1539" applyFont="1" applyBorder="1" applyAlignment="1">
      <alignment horizontal="center" vertical="center" wrapText="1"/>
    </xf>
    <xf numFmtId="0" fontId="35" fillId="0" borderId="0" xfId="1539" applyFont="1" applyAlignment="1">
      <alignment vertical="center" wrapText="1"/>
    </xf>
    <xf numFmtId="0" fontId="33" fillId="0" borderId="2" xfId="1539" applyFont="1" applyBorder="1" applyAlignment="1">
      <alignment horizontal="center" vertical="center" wrapText="1"/>
    </xf>
    <xf numFmtId="0" fontId="34" fillId="0" borderId="2" xfId="1539" applyFont="1" applyBorder="1" applyAlignment="1">
      <alignment horizontal="left" vertical="center" wrapText="1"/>
    </xf>
    <xf numFmtId="0" fontId="34" fillId="0" borderId="2" xfId="1539" applyFont="1" applyBorder="1" applyAlignment="1">
      <alignment horizontal="center" vertical="center" wrapText="1"/>
    </xf>
    <xf numFmtId="0" fontId="34" fillId="0" borderId="2" xfId="1539" applyFont="1" applyBorder="1" applyAlignment="1">
      <alignment vertical="center" wrapText="1"/>
    </xf>
    <xf numFmtId="170" fontId="33" fillId="0" borderId="2" xfId="1539" applyNumberFormat="1" applyFont="1" applyBorder="1" applyAlignment="1">
      <alignment horizontal="center" vertical="center" wrapText="1"/>
    </xf>
    <xf numFmtId="169" fontId="34" fillId="0" borderId="2" xfId="1" applyNumberFormat="1" applyFont="1" applyBorder="1" applyAlignment="1">
      <alignment vertical="center" wrapText="1"/>
    </xf>
    <xf numFmtId="171" fontId="33" fillId="0" borderId="2" xfId="1" applyNumberFormat="1" applyFont="1" applyBorder="1" applyAlignment="1">
      <alignment vertical="center" wrapText="1"/>
    </xf>
    <xf numFmtId="169" fontId="34" fillId="0" borderId="2" xfId="1" applyNumberFormat="1" applyFont="1" applyBorder="1" applyAlignment="1">
      <alignment horizontal="center" vertical="center" wrapText="1"/>
    </xf>
    <xf numFmtId="169" fontId="33" fillId="0" borderId="22" xfId="1" applyNumberFormat="1" applyFont="1" applyBorder="1" applyAlignment="1">
      <alignment horizontal="right" vertical="center" wrapText="1"/>
    </xf>
    <xf numFmtId="169" fontId="34" fillId="0" borderId="21" xfId="1" applyNumberFormat="1" applyFont="1" applyBorder="1" applyAlignment="1">
      <alignment horizontal="center" vertical="center" wrapText="1"/>
    </xf>
    <xf numFmtId="171" fontId="33" fillId="0" borderId="0" xfId="1539" applyNumberFormat="1" applyFont="1" applyAlignment="1">
      <alignment vertical="center" wrapText="1"/>
    </xf>
    <xf numFmtId="0" fontId="34" fillId="0" borderId="0" xfId="1539" applyFont="1" applyAlignment="1">
      <alignment horizontal="left" vertical="center" wrapText="1"/>
    </xf>
    <xf numFmtId="0" fontId="35" fillId="0" borderId="2" xfId="1539" applyFont="1" applyBorder="1" applyAlignment="1">
      <alignment horizontal="left" vertical="center" wrapText="1"/>
    </xf>
    <xf numFmtId="169" fontId="35" fillId="0" borderId="2" xfId="1" applyNumberFormat="1" applyFont="1" applyBorder="1" applyAlignment="1">
      <alignment horizontal="left" vertical="center" wrapText="1"/>
    </xf>
    <xf numFmtId="0" fontId="35" fillId="0" borderId="2" xfId="1539" applyFont="1" applyBorder="1" applyAlignment="1">
      <alignment vertical="center"/>
    </xf>
    <xf numFmtId="169" fontId="34" fillId="0" borderId="0" xfId="1" applyNumberFormat="1" applyFont="1" applyAlignment="1">
      <alignment horizontal="left" vertical="center" wrapText="1"/>
    </xf>
    <xf numFmtId="0" fontId="37" fillId="0" borderId="0" xfId="1539" applyFont="1"/>
    <xf numFmtId="0" fontId="9" fillId="0" borderId="2" xfId="1539" applyFont="1" applyBorder="1" applyAlignment="1">
      <alignment horizontal="left"/>
    </xf>
    <xf numFmtId="4" fontId="9" fillId="0" borderId="2" xfId="1539" applyNumberFormat="1" applyFont="1" applyBorder="1" applyAlignment="1">
      <alignment horizontal="left"/>
    </xf>
    <xf numFmtId="0" fontId="12" fillId="0" borderId="0" xfId="1539" applyFont="1" applyAlignment="1">
      <alignment vertical="top"/>
    </xf>
    <xf numFmtId="169" fontId="12" fillId="0" borderId="0" xfId="1" applyNumberFormat="1" applyFont="1" applyAlignment="1">
      <alignment vertical="center"/>
    </xf>
    <xf numFmtId="0" fontId="12" fillId="0" borderId="0" xfId="1539" applyFont="1" applyAlignment="1">
      <alignment horizontal="left" vertical="top" wrapText="1"/>
    </xf>
    <xf numFmtId="168" fontId="12" fillId="0" borderId="0" xfId="1539" applyNumberFormat="1" applyFont="1" applyAlignment="1">
      <alignment vertical="top"/>
    </xf>
    <xf numFmtId="0" fontId="34" fillId="0" borderId="0" xfId="1539" applyFont="1" applyAlignment="1">
      <alignment vertical="top"/>
    </xf>
    <xf numFmtId="0" fontId="39" fillId="0" borderId="2" xfId="1539" applyFont="1" applyBorder="1" applyAlignment="1">
      <alignment horizontal="center" vertical="center"/>
    </xf>
    <xf numFmtId="0" fontId="39" fillId="0" borderId="2" xfId="1539" applyFont="1" applyBorder="1" applyAlignment="1">
      <alignment horizontal="center" vertical="center" wrapText="1"/>
    </xf>
    <xf numFmtId="169" fontId="39" fillId="0" borderId="2" xfId="1" applyNumberFormat="1" applyFont="1" applyBorder="1" applyAlignment="1">
      <alignment horizontal="center" vertical="center"/>
    </xf>
    <xf numFmtId="168" fontId="39" fillId="0" borderId="2" xfId="1539" applyNumberFormat="1" applyFont="1" applyBorder="1" applyAlignment="1">
      <alignment horizontal="center" vertical="center" wrapText="1"/>
    </xf>
    <xf numFmtId="0" fontId="13" fillId="0" borderId="4" xfId="1539" applyFont="1" applyBorder="1" applyAlignment="1">
      <alignment horizontal="center" vertical="center" wrapText="1"/>
    </xf>
    <xf numFmtId="0" fontId="18" fillId="0" borderId="2" xfId="1539" applyFont="1" applyBorder="1" applyAlignment="1">
      <alignment horizontal="center" wrapText="1"/>
    </xf>
    <xf numFmtId="0" fontId="40" fillId="0" borderId="2" xfId="1539" applyFont="1" applyBorder="1" applyAlignment="1">
      <alignment horizontal="center" vertical="center" wrapText="1"/>
    </xf>
    <xf numFmtId="169" fontId="49" fillId="0" borderId="21" xfId="1" applyNumberFormat="1" applyBorder="1" applyAlignment="1">
      <alignment horizontal="right" vertical="center"/>
    </xf>
    <xf numFmtId="0" fontId="0" fillId="0" borderId="3" xfId="1539" applyFont="1" applyBorder="1" applyAlignment="1">
      <alignment horizontal="left" wrapText="1"/>
    </xf>
    <xf numFmtId="170" fontId="18" fillId="0" borderId="2" xfId="1539" applyNumberFormat="1" applyFont="1" applyBorder="1" applyAlignment="1">
      <alignment horizontal="center" vertical="center"/>
    </xf>
    <xf numFmtId="171" fontId="12" fillId="0" borderId="0" xfId="1539" applyNumberFormat="1" applyFont="1" applyAlignment="1">
      <alignment vertical="top"/>
    </xf>
    <xf numFmtId="0" fontId="24" fillId="0" borderId="2" xfId="1539" applyFont="1" applyBorder="1" applyAlignment="1">
      <alignment horizontal="center" vertical="center" wrapText="1"/>
    </xf>
    <xf numFmtId="169" fontId="37" fillId="0" borderId="21" xfId="1" applyNumberFormat="1" applyFont="1" applyBorder="1" applyAlignment="1">
      <alignment horizontal="right" vertical="center"/>
    </xf>
    <xf numFmtId="0" fontId="37" fillId="0" borderId="3" xfId="1539" applyFont="1" applyBorder="1" applyAlignment="1">
      <alignment horizontal="left" wrapText="1"/>
    </xf>
    <xf numFmtId="170" fontId="19" fillId="0" borderId="2" xfId="1539" applyNumberFormat="1" applyFont="1" applyBorder="1" applyAlignment="1">
      <alignment horizontal="center" vertical="center"/>
    </xf>
    <xf numFmtId="49" fontId="15" fillId="0" borderId="2" xfId="1539" applyNumberFormat="1" applyFont="1" applyBorder="1" applyAlignment="1">
      <alignment horizontal="center" vertical="center"/>
    </xf>
    <xf numFmtId="169" fontId="49" fillId="0" borderId="2" xfId="1" applyNumberFormat="1" applyBorder="1" applyAlignment="1">
      <alignment horizontal="center" vertical="center"/>
    </xf>
    <xf numFmtId="3" fontId="18" fillId="0" borderId="2" xfId="1539" applyNumberFormat="1" applyFont="1" applyBorder="1" applyAlignment="1">
      <alignment horizontal="left" vertical="center" wrapText="1"/>
    </xf>
    <xf numFmtId="0" fontId="18" fillId="0" borderId="2" xfId="1539" applyFont="1" applyBorder="1" applyAlignment="1">
      <alignment horizontal="center" vertical="top"/>
    </xf>
    <xf numFmtId="169" fontId="18" fillId="0" borderId="2" xfId="1" applyNumberFormat="1" applyFont="1" applyBorder="1" applyAlignment="1">
      <alignment horizontal="center" vertical="center"/>
    </xf>
    <xf numFmtId="0" fontId="41" fillId="0" borderId="2" xfId="1539" applyFont="1" applyBorder="1" applyAlignment="1">
      <alignment vertical="top" wrapText="1"/>
    </xf>
    <xf numFmtId="170" fontId="18" fillId="0" borderId="19" xfId="1539" applyNumberFormat="1" applyFont="1" applyBorder="1" applyAlignment="1">
      <alignment horizontal="center" vertical="center"/>
    </xf>
    <xf numFmtId="0" fontId="15" fillId="0" borderId="2" xfId="1539" applyFont="1" applyBorder="1" applyAlignment="1">
      <alignment horizontal="center" vertical="center"/>
    </xf>
    <xf numFmtId="169" fontId="18" fillId="0" borderId="2" xfId="1" applyNumberFormat="1" applyFont="1" applyBorder="1" applyAlignment="1">
      <alignment horizontal="center" vertical="center" wrapText="1"/>
    </xf>
    <xf numFmtId="170" fontId="18" fillId="0" borderId="2" xfId="1539" applyNumberFormat="1" applyFont="1" applyBorder="1" applyAlignment="1">
      <alignment horizontal="center" vertical="center" wrapText="1"/>
    </xf>
    <xf numFmtId="0" fontId="12" fillId="0" borderId="2" xfId="1539" applyFont="1" applyBorder="1" applyAlignment="1">
      <alignment vertical="top"/>
    </xf>
    <xf numFmtId="0" fontId="15" fillId="0" borderId="2" xfId="1539" applyFont="1" applyBorder="1" applyAlignment="1">
      <alignment horizontal="center" vertical="top" wrapText="1"/>
    </xf>
    <xf numFmtId="169" fontId="13" fillId="0" borderId="2" xfId="1" applyNumberFormat="1" applyFont="1" applyBorder="1" applyAlignment="1">
      <alignment horizontal="center" vertical="center"/>
    </xf>
    <xf numFmtId="0" fontId="12" fillId="0" borderId="2" xfId="1539" applyFont="1" applyBorder="1" applyAlignment="1">
      <alignment wrapText="1"/>
    </xf>
    <xf numFmtId="170" fontId="15" fillId="0" borderId="2" xfId="1539" applyNumberFormat="1" applyFont="1" applyBorder="1" applyAlignment="1">
      <alignment horizontal="center" vertical="center"/>
    </xf>
    <xf numFmtId="169" fontId="42" fillId="0" borderId="2" xfId="1" applyNumberFormat="1" applyFont="1" applyBorder="1" applyAlignment="1">
      <alignment horizontal="left" vertical="center"/>
    </xf>
    <xf numFmtId="0" fontId="15" fillId="0" borderId="2" xfId="1539" applyFont="1" applyBorder="1" applyAlignment="1">
      <alignment horizontal="center" vertical="center" wrapText="1"/>
    </xf>
    <xf numFmtId="49" fontId="15" fillId="0" borderId="0" xfId="1539" applyNumberFormat="1" applyFont="1" applyAlignment="1">
      <alignment horizontal="center" vertical="center"/>
    </xf>
    <xf numFmtId="0" fontId="39" fillId="0" borderId="0" xfId="1539" applyFont="1" applyAlignment="1">
      <alignment horizontal="center" vertical="center" wrapText="1"/>
    </xf>
    <xf numFmtId="169" fontId="42" fillId="0" borderId="0" xfId="1" applyNumberFormat="1" applyFont="1" applyAlignment="1">
      <alignment horizontal="left" vertical="center"/>
    </xf>
    <xf numFmtId="0" fontId="15" fillId="0" borderId="0" xfId="1539" applyFont="1" applyAlignment="1">
      <alignment horizontal="center" vertical="center" wrapText="1"/>
    </xf>
    <xf numFmtId="0" fontId="19" fillId="0" borderId="0" xfId="1539" applyFont="1" applyAlignment="1">
      <alignment horizontal="center" wrapText="1"/>
    </xf>
    <xf numFmtId="4" fontId="37" fillId="0" borderId="0" xfId="1539" applyNumberFormat="1" applyFont="1" applyAlignment="1">
      <alignment horizontal="center"/>
    </xf>
    <xf numFmtId="0" fontId="37" fillId="0" borderId="0" xfId="1539" applyFont="1" applyAlignment="1">
      <alignment horizontal="left"/>
    </xf>
    <xf numFmtId="0" fontId="12" fillId="0" borderId="0" xfId="1539" applyFont="1" applyAlignment="1">
      <alignment vertical="center"/>
    </xf>
    <xf numFmtId="0" fontId="42" fillId="0" borderId="0" xfId="1539" applyFont="1" applyAlignment="1">
      <alignment horizontal="left" vertical="center" wrapText="1"/>
    </xf>
    <xf numFmtId="0" fontId="12" fillId="0" borderId="0" xfId="1539" applyFont="1" applyAlignment="1">
      <alignment horizontal="center" vertical="center" wrapText="1"/>
    </xf>
    <xf numFmtId="169" fontId="12" fillId="0" borderId="0" xfId="1" applyNumberFormat="1" applyFont="1" applyAlignment="1">
      <alignment horizontal="center" vertical="center"/>
    </xf>
    <xf numFmtId="165" fontId="12" fillId="0" borderId="0" xfId="1539" applyNumberFormat="1" applyFont="1" applyAlignment="1">
      <alignment horizontal="center" vertical="center"/>
    </xf>
    <xf numFmtId="0" fontId="12" fillId="0" borderId="0" xfId="1539" applyFont="1" applyAlignment="1">
      <alignment horizontal="left" vertical="center" wrapText="1"/>
    </xf>
    <xf numFmtId="169" fontId="42" fillId="0" borderId="0" xfId="1" applyNumberFormat="1" applyFont="1" applyAlignment="1">
      <alignment horizontal="center" vertical="center"/>
    </xf>
    <xf numFmtId="0" fontId="43" fillId="0" borderId="0" xfId="1539" applyFont="1" applyAlignment="1">
      <alignment horizontal="center" vertical="center"/>
    </xf>
    <xf numFmtId="0" fontId="43" fillId="0" borderId="23" xfId="1539" applyFont="1" applyBorder="1" applyAlignment="1">
      <alignment vertical="center" wrapText="1"/>
    </xf>
    <xf numFmtId="0" fontId="42" fillId="0" borderId="0" xfId="1539" applyFont="1" applyAlignment="1">
      <alignment vertical="center" wrapText="1"/>
    </xf>
    <xf numFmtId="0" fontId="43" fillId="0" borderId="2" xfId="1539" applyFont="1" applyBorder="1" applyAlignment="1">
      <alignment horizontal="center" vertical="center" wrapText="1"/>
    </xf>
    <xf numFmtId="169" fontId="43" fillId="0" borderId="2" xfId="1" applyNumberFormat="1" applyFont="1" applyBorder="1" applyAlignment="1">
      <alignment horizontal="center" vertical="center" wrapText="1"/>
    </xf>
    <xf numFmtId="165" fontId="43" fillId="0" borderId="2" xfId="1539" applyNumberFormat="1" applyFont="1" applyBorder="1" applyAlignment="1">
      <alignment horizontal="center" vertical="center" wrapText="1"/>
    </xf>
    <xf numFmtId="169" fontId="42" fillId="0" borderId="2" xfId="1" applyNumberFormat="1" applyFont="1" applyBorder="1" applyAlignment="1">
      <alignment horizontal="center" vertical="center" wrapText="1"/>
    </xf>
    <xf numFmtId="0" fontId="44" fillId="0" borderId="2" xfId="1539" applyFont="1" applyBorder="1" applyAlignment="1">
      <alignment horizontal="left"/>
    </xf>
    <xf numFmtId="0" fontId="44" fillId="0" borderId="2" xfId="1539" applyFont="1" applyBorder="1" applyAlignment="1">
      <alignment horizontal="center"/>
    </xf>
    <xf numFmtId="4" fontId="44" fillId="0" borderId="2" xfId="1539" applyNumberFormat="1" applyFont="1" applyBorder="1" applyAlignment="1">
      <alignment horizontal="center"/>
    </xf>
    <xf numFmtId="165" fontId="44" fillId="0" borderId="2" xfId="1539" applyNumberFormat="1" applyFont="1" applyBorder="1" applyAlignment="1">
      <alignment horizontal="center"/>
    </xf>
    <xf numFmtId="0" fontId="44" fillId="0" borderId="2" xfId="1539" applyFont="1" applyBorder="1" applyAlignment="1">
      <alignment horizontal="left" wrapText="1"/>
    </xf>
    <xf numFmtId="169" fontId="49" fillId="0" borderId="2" xfId="1" applyNumberFormat="1" applyBorder="1"/>
    <xf numFmtId="4" fontId="0" fillId="0" borderId="2" xfId="1539" applyNumberFormat="1" applyFont="1" applyBorder="1"/>
    <xf numFmtId="171" fontId="12" fillId="0" borderId="0" xfId="1539" applyNumberFormat="1" applyFont="1" applyAlignment="1">
      <alignment vertical="center"/>
    </xf>
    <xf numFmtId="0" fontId="19" fillId="0" borderId="2" xfId="1539" applyFont="1" applyBorder="1" applyAlignment="1">
      <alignment horizontal="left" wrapText="1"/>
    </xf>
    <xf numFmtId="4" fontId="18" fillId="0" borderId="2" xfId="1539" applyNumberFormat="1" applyFont="1" applyBorder="1" applyAlignment="1">
      <alignment horizontal="center"/>
    </xf>
    <xf numFmtId="3" fontId="18" fillId="0" borderId="2" xfId="1539" applyNumberFormat="1" applyFont="1" applyBorder="1" applyAlignment="1">
      <alignment horizontal="center" wrapText="1"/>
    </xf>
    <xf numFmtId="170" fontId="18" fillId="0" borderId="2" xfId="1539" applyNumberFormat="1" applyFont="1" applyBorder="1" applyAlignment="1">
      <alignment horizontal="center"/>
    </xf>
    <xf numFmtId="0" fontId="18" fillId="0" borderId="2" xfId="1539" applyFont="1" applyBorder="1" applyAlignment="1">
      <alignment horizontal="left"/>
    </xf>
    <xf numFmtId="0" fontId="19" fillId="0" borderId="2" xfId="1539" applyFont="1" applyBorder="1" applyAlignment="1">
      <alignment horizontal="center" wrapText="1"/>
    </xf>
    <xf numFmtId="4" fontId="19" fillId="0" borderId="2" xfId="1539" applyNumberFormat="1" applyFont="1" applyBorder="1" applyAlignment="1">
      <alignment horizontal="center"/>
    </xf>
    <xf numFmtId="4" fontId="12" fillId="0" borderId="0" xfId="1539" applyNumberFormat="1" applyFont="1" applyAlignment="1">
      <alignment vertical="center"/>
    </xf>
    <xf numFmtId="2" fontId="12" fillId="0" borderId="0" xfId="1539" applyNumberFormat="1" applyFont="1" applyAlignment="1">
      <alignment vertical="center"/>
    </xf>
    <xf numFmtId="174" fontId="49" fillId="0" borderId="0" xfId="356" applyNumberFormat="1"/>
    <xf numFmtId="4" fontId="37" fillId="0" borderId="2" xfId="1539" applyNumberFormat="1" applyFont="1" applyBorder="1" applyAlignment="1">
      <alignment horizontal="center"/>
    </xf>
    <xf numFmtId="165" fontId="0" fillId="0" borderId="2" xfId="1539" applyNumberFormat="1" applyFont="1" applyBorder="1" applyAlignment="1">
      <alignment horizontal="center"/>
    </xf>
    <xf numFmtId="0" fontId="0" fillId="0" borderId="2" xfId="1539" applyFont="1" applyBorder="1" applyAlignment="1">
      <alignment horizontal="left"/>
    </xf>
    <xf numFmtId="169" fontId="12" fillId="0" borderId="2" xfId="1" applyNumberFormat="1" applyFont="1" applyBorder="1" applyAlignment="1">
      <alignment horizontal="center" vertical="center"/>
    </xf>
    <xf numFmtId="169" fontId="42" fillId="0" borderId="2" xfId="1" applyNumberFormat="1" applyFont="1" applyBorder="1" applyAlignment="1">
      <alignment horizontal="center" vertical="center"/>
    </xf>
    <xf numFmtId="4" fontId="42" fillId="0" borderId="0" xfId="1539" applyNumberFormat="1" applyFont="1" applyAlignment="1">
      <alignment vertical="center"/>
    </xf>
    <xf numFmtId="0" fontId="0" fillId="0" borderId="23" xfId="1539" applyFont="1" applyBorder="1"/>
    <xf numFmtId="0" fontId="0" fillId="0" borderId="17" xfId="1539" applyFont="1" applyBorder="1"/>
    <xf numFmtId="0" fontId="43" fillId="0" borderId="2" xfId="1539" applyFont="1" applyBorder="1" applyAlignment="1">
      <alignment horizontal="left" vertical="center" wrapText="1"/>
    </xf>
    <xf numFmtId="0" fontId="43" fillId="0" borderId="0" xfId="1539" applyFont="1" applyAlignment="1">
      <alignment horizontal="center" vertical="center" wrapText="1"/>
    </xf>
    <xf numFmtId="165" fontId="43" fillId="0" borderId="0" xfId="1539" applyNumberFormat="1" applyFont="1" applyAlignment="1">
      <alignment horizontal="center" vertical="center" wrapText="1"/>
    </xf>
    <xf numFmtId="0" fontId="43" fillId="0" borderId="0" xfId="1539" applyFont="1" applyAlignment="1">
      <alignment horizontal="left" vertical="center" wrapText="1"/>
    </xf>
    <xf numFmtId="169" fontId="42" fillId="0" borderId="0" xfId="1" applyNumberFormat="1" applyFont="1" applyAlignment="1">
      <alignment horizontal="center" vertical="center" wrapText="1"/>
    </xf>
    <xf numFmtId="0" fontId="12" fillId="0" borderId="0" xfId="1539" applyFont="1" applyAlignment="1">
      <alignment horizontal="left" vertical="center"/>
    </xf>
    <xf numFmtId="169" fontId="12" fillId="0" borderId="0" xfId="1539" applyNumberFormat="1" applyFont="1" applyAlignment="1">
      <alignment vertical="center"/>
    </xf>
    <xf numFmtId="0" fontId="12" fillId="0" borderId="0" xfId="1539" applyFont="1" applyAlignment="1">
      <alignment vertical="center" wrapText="1"/>
    </xf>
    <xf numFmtId="170" fontId="12" fillId="0" borderId="0" xfId="1539" applyNumberFormat="1" applyFont="1" applyAlignment="1">
      <alignment horizontal="center" vertical="center"/>
    </xf>
    <xf numFmtId="171" fontId="42" fillId="27" borderId="2" xfId="1" applyNumberFormat="1" applyFont="1" applyFill="1" applyBorder="1" applyAlignment="1">
      <alignment horizontal="center"/>
    </xf>
    <xf numFmtId="175" fontId="42" fillId="0" borderId="2" xfId="1" applyNumberFormat="1" applyFont="1" applyBorder="1" applyAlignment="1">
      <alignment horizontal="center"/>
    </xf>
    <xf numFmtId="169" fontId="0" fillId="0" borderId="2" xfId="1539" applyNumberFormat="1" applyFont="1" applyBorder="1" applyAlignment="1">
      <alignment horizontal="left"/>
    </xf>
    <xf numFmtId="169" fontId="12" fillId="0" borderId="0" xfId="1539" applyNumberFormat="1" applyFont="1"/>
    <xf numFmtId="0" fontId="0" fillId="0" borderId="0" xfId="1539" applyFont="1" applyAlignment="1">
      <alignment horizontal="left"/>
    </xf>
    <xf numFmtId="0" fontId="0" fillId="24" borderId="0" xfId="1539" applyFont="1" applyFill="1" applyAlignment="1">
      <alignment vertical="center"/>
    </xf>
    <xf numFmtId="171" fontId="12" fillId="0" borderId="0" xfId="1539" applyNumberFormat="1" applyFont="1"/>
    <xf numFmtId="171" fontId="12" fillId="0" borderId="2" xfId="1" applyNumberFormat="1" applyFont="1" applyBorder="1"/>
    <xf numFmtId="169" fontId="12" fillId="0" borderId="2" xfId="1" applyNumberFormat="1" applyFont="1" applyBorder="1"/>
    <xf numFmtId="0" fontId="12" fillId="0" borderId="2" xfId="1539" applyFont="1" applyBorder="1"/>
    <xf numFmtId="171" fontId="42" fillId="0" borderId="2" xfId="1" applyNumberFormat="1" applyFont="1" applyBorder="1"/>
    <xf numFmtId="169" fontId="42" fillId="0" borderId="2" xfId="1" applyNumberFormat="1" applyFont="1" applyBorder="1"/>
    <xf numFmtId="171" fontId="42" fillId="24" borderId="2" xfId="1" applyNumberFormat="1" applyFont="1" applyFill="1" applyBorder="1"/>
    <xf numFmtId="169" fontId="42" fillId="24" borderId="2" xfId="1" applyNumberFormat="1" applyFont="1" applyFill="1" applyBorder="1"/>
    <xf numFmtId="171" fontId="42" fillId="28" borderId="2" xfId="1" applyNumberFormat="1" applyFont="1" applyFill="1" applyBorder="1"/>
    <xf numFmtId="169" fontId="42" fillId="28" borderId="2" xfId="1" applyNumberFormat="1" applyFont="1" applyFill="1" applyBorder="1"/>
    <xf numFmtId="171" fontId="12" fillId="0" borderId="2" xfId="1" applyNumberFormat="1" applyFont="1" applyBorder="1" applyAlignment="1">
      <alignment horizontal="left" indent="1"/>
    </xf>
    <xf numFmtId="171" fontId="12" fillId="0" borderId="0" xfId="1" applyNumberFormat="1" applyFont="1"/>
    <xf numFmtId="169" fontId="12" fillId="29" borderId="2" xfId="1" applyNumberFormat="1" applyFont="1" applyFill="1" applyBorder="1"/>
    <xf numFmtId="171" fontId="12" fillId="28" borderId="0" xfId="1" applyNumberFormat="1" applyFont="1" applyFill="1"/>
    <xf numFmtId="169" fontId="12" fillId="28" borderId="0" xfId="1" applyNumberFormat="1" applyFont="1" applyFill="1"/>
    <xf numFmtId="171" fontId="42" fillId="24" borderId="24" xfId="1" applyNumberFormat="1" applyFont="1" applyFill="1" applyBorder="1"/>
    <xf numFmtId="171" fontId="42" fillId="28" borderId="24" xfId="1" applyNumberFormat="1" applyFont="1" applyFill="1" applyBorder="1" applyAlignment="1">
      <alignment horizontal="left" vertical="top" wrapText="1"/>
    </xf>
    <xf numFmtId="169" fontId="42" fillId="0" borderId="2" xfId="1" applyNumberFormat="1" applyFont="1" applyBorder="1" applyAlignment="1">
      <alignment horizontal="center"/>
    </xf>
    <xf numFmtId="171" fontId="12" fillId="0" borderId="24" xfId="1" applyNumberFormat="1" applyFont="1" applyBorder="1"/>
    <xf numFmtId="169" fontId="12" fillId="0" borderId="4" xfId="1" applyNumberFormat="1" applyFont="1" applyBorder="1"/>
    <xf numFmtId="171" fontId="12" fillId="24" borderId="25" xfId="1" applyNumberFormat="1" applyFont="1" applyFill="1" applyBorder="1"/>
    <xf numFmtId="169" fontId="15" fillId="0" borderId="19" xfId="1" applyNumberFormat="1" applyFont="1" applyBorder="1"/>
    <xf numFmtId="171" fontId="42" fillId="30" borderId="21" xfId="1" applyNumberFormat="1" applyFont="1" applyFill="1" applyBorder="1"/>
    <xf numFmtId="169" fontId="42" fillId="0" borderId="19" xfId="1" applyNumberFormat="1" applyFont="1" applyBorder="1"/>
    <xf numFmtId="171" fontId="12" fillId="0" borderId="25" xfId="1" applyNumberFormat="1" applyFont="1" applyBorder="1"/>
    <xf numFmtId="169" fontId="12" fillId="0" borderId="19" xfId="1" applyNumberFormat="1" applyFont="1" applyBorder="1"/>
    <xf numFmtId="169" fontId="12" fillId="31" borderId="4" xfId="1" applyNumberFormat="1" applyFont="1" applyFill="1" applyBorder="1"/>
    <xf numFmtId="173" fontId="42" fillId="0" borderId="2" xfId="1" applyNumberFormat="1" applyFont="1" applyBorder="1"/>
    <xf numFmtId="171" fontId="42" fillId="0" borderId="2" xfId="1" applyNumberFormat="1" applyFont="1" applyBorder="1" applyAlignment="1">
      <alignment horizontal="left" vertical="center" wrapText="1"/>
    </xf>
    <xf numFmtId="17" fontId="42" fillId="0" borderId="2" xfId="1" applyNumberFormat="1" applyFont="1" applyBorder="1" applyAlignment="1">
      <alignment horizontal="center" vertical="center"/>
    </xf>
    <xf numFmtId="171" fontId="42" fillId="0" borderId="2" xfId="1" applyNumberFormat="1" applyFont="1" applyBorder="1" applyAlignment="1">
      <alignment horizontal="center" vertical="center"/>
    </xf>
    <xf numFmtId="171" fontId="12" fillId="0" borderId="2" xfId="1" applyNumberFormat="1" applyFont="1" applyBorder="1" applyAlignment="1">
      <alignment vertical="center"/>
    </xf>
    <xf numFmtId="169" fontId="12" fillId="0" borderId="2" xfId="1" applyNumberFormat="1" applyFont="1" applyBorder="1" applyAlignment="1">
      <alignment vertical="center"/>
    </xf>
    <xf numFmtId="169" fontId="42" fillId="0" borderId="2" xfId="1" applyNumberFormat="1" applyFont="1" applyBorder="1" applyAlignment="1">
      <alignment vertical="center"/>
    </xf>
    <xf numFmtId="3" fontId="12" fillId="0" borderId="0" xfId="1539" applyNumberFormat="1" applyFont="1" applyAlignment="1">
      <alignment vertical="center"/>
    </xf>
    <xf numFmtId="169" fontId="42" fillId="0" borderId="0" xfId="1" applyNumberFormat="1" applyFont="1"/>
    <xf numFmtId="169" fontId="0" fillId="0" borderId="0" xfId="1539" applyNumberFormat="1" applyFont="1"/>
    <xf numFmtId="0" fontId="0" fillId="0" borderId="0" xfId="1539" applyFont="1" applyAlignment="1">
      <alignment vertical="center"/>
    </xf>
    <xf numFmtId="169" fontId="12" fillId="0" borderId="2" xfId="1539" applyNumberFormat="1" applyFont="1" applyBorder="1" applyAlignment="1">
      <alignment vertical="center"/>
    </xf>
    <xf numFmtId="169" fontId="12" fillId="0" borderId="19" xfId="1" applyNumberFormat="1" applyFont="1" applyBorder="1" applyAlignment="1">
      <alignment vertical="center"/>
    </xf>
    <xf numFmtId="0" fontId="0" fillId="0" borderId="2" xfId="1539" applyFont="1" applyBorder="1" applyAlignment="1">
      <alignment vertical="center"/>
    </xf>
    <xf numFmtId="171" fontId="42" fillId="0" borderId="3" xfId="1" applyNumberFormat="1" applyFont="1" applyBorder="1" applyAlignment="1">
      <alignment vertical="center"/>
    </xf>
    <xf numFmtId="169" fontId="42" fillId="0" borderId="3" xfId="1" applyNumberFormat="1" applyFont="1" applyBorder="1" applyAlignment="1">
      <alignment vertical="center"/>
    </xf>
    <xf numFmtId="171" fontId="42" fillId="0" borderId="23" xfId="1" applyNumberFormat="1" applyFont="1" applyBorder="1" applyAlignment="1">
      <alignment vertical="center"/>
    </xf>
    <xf numFmtId="169" fontId="42" fillId="0" borderId="23" xfId="1" applyNumberFormat="1" applyFont="1" applyBorder="1" applyAlignment="1">
      <alignment vertical="center"/>
    </xf>
    <xf numFmtId="171" fontId="42" fillId="0" borderId="19" xfId="1" applyNumberFormat="1" applyFont="1" applyBorder="1" applyAlignment="1">
      <alignment vertical="center"/>
    </xf>
    <xf numFmtId="169" fontId="42" fillId="0" borderId="19" xfId="1" applyNumberFormat="1" applyFont="1" applyBorder="1" applyAlignment="1">
      <alignment vertical="center"/>
    </xf>
    <xf numFmtId="171" fontId="42" fillId="0" borderId="2" xfId="1" applyNumberFormat="1" applyFont="1" applyBorder="1" applyAlignment="1">
      <alignment vertical="center"/>
    </xf>
    <xf numFmtId="171" fontId="12" fillId="0" borderId="2" xfId="1" applyNumberFormat="1" applyFont="1" applyBorder="1" applyAlignment="1">
      <alignment horizontal="left" vertical="center"/>
    </xf>
    <xf numFmtId="171" fontId="42" fillId="0" borderId="2" xfId="1" applyNumberFormat="1" applyFont="1" applyBorder="1" applyAlignment="1">
      <alignment horizontal="left" vertical="center"/>
    </xf>
    <xf numFmtId="171" fontId="12" fillId="0" borderId="3" xfId="1" applyNumberFormat="1" applyFont="1" applyBorder="1" applyAlignment="1">
      <alignment horizontal="left" vertical="center"/>
    </xf>
    <xf numFmtId="169" fontId="12" fillId="0" borderId="3" xfId="1" applyNumberFormat="1" applyFont="1" applyBorder="1" applyAlignment="1">
      <alignment vertical="center"/>
    </xf>
    <xf numFmtId="169" fontId="0" fillId="0" borderId="2" xfId="1539" applyNumberFormat="1" applyFont="1" applyBorder="1" applyAlignment="1">
      <alignment vertical="center"/>
    </xf>
    <xf numFmtId="171" fontId="12" fillId="0" borderId="19" xfId="1" applyNumberFormat="1" applyFont="1" applyBorder="1" applyAlignment="1">
      <alignment vertical="center"/>
    </xf>
    <xf numFmtId="171" fontId="12" fillId="0" borderId="0" xfId="1" applyNumberFormat="1" applyFont="1" applyAlignment="1">
      <alignment vertical="center"/>
    </xf>
    <xf numFmtId="171" fontId="42" fillId="0" borderId="2" xfId="1" applyNumberFormat="1" applyFont="1" applyBorder="1" applyAlignment="1">
      <alignment vertical="center" wrapText="1"/>
    </xf>
    <xf numFmtId="171" fontId="12" fillId="0" borderId="2" xfId="1539" applyNumberFormat="1" applyFont="1" applyBorder="1" applyAlignment="1">
      <alignment vertical="center"/>
    </xf>
    <xf numFmtId="176" fontId="42" fillId="0" borderId="2" xfId="1" applyNumberFormat="1" applyFont="1" applyBorder="1" applyAlignment="1">
      <alignment horizontal="center" vertical="center"/>
    </xf>
    <xf numFmtId="0" fontId="12" fillId="0" borderId="2" xfId="1539" applyFont="1" applyBorder="1" applyAlignment="1">
      <alignment vertical="center"/>
    </xf>
    <xf numFmtId="169" fontId="42" fillId="0" borderId="0" xfId="1" applyNumberFormat="1" applyFont="1" applyAlignment="1">
      <alignment vertical="center"/>
    </xf>
    <xf numFmtId="173" fontId="12" fillId="0" borderId="2" xfId="396" applyNumberFormat="1" applyFont="1" applyBorder="1" applyAlignment="1">
      <alignment vertical="center"/>
    </xf>
    <xf numFmtId="171" fontId="12" fillId="0" borderId="27" xfId="1539" applyNumberFormat="1" applyFont="1" applyBorder="1" applyAlignment="1">
      <alignment vertical="center"/>
    </xf>
    <xf numFmtId="0" fontId="12" fillId="0" borderId="0" xfId="1539" applyFont="1" applyAlignment="1">
      <alignment wrapText="1"/>
    </xf>
    <xf numFmtId="0" fontId="12" fillId="0" borderId="0" xfId="1539" applyFont="1" applyAlignment="1">
      <alignment horizontal="center" wrapText="1"/>
    </xf>
    <xf numFmtId="0" fontId="39" fillId="0" borderId="2" xfId="1539" applyFont="1" applyBorder="1" applyAlignment="1">
      <alignment horizontal="left" vertical="center"/>
    </xf>
    <xf numFmtId="0" fontId="39" fillId="0" borderId="2" xfId="1539" applyFont="1" applyBorder="1" applyAlignment="1">
      <alignment horizontal="left" vertical="center" wrapText="1"/>
    </xf>
    <xf numFmtId="0" fontId="47" fillId="0" borderId="2" xfId="1539" applyFont="1" applyBorder="1" applyAlignment="1">
      <alignment horizontal="left" vertical="center"/>
    </xf>
    <xf numFmtId="49" fontId="48" fillId="0" borderId="2" xfId="1539" applyNumberFormat="1" applyFont="1" applyBorder="1" applyAlignment="1">
      <alignment vertical="top"/>
    </xf>
    <xf numFmtId="169" fontId="12" fillId="0" borderId="2" xfId="1" applyNumberFormat="1" applyFont="1" applyBorder="1" applyAlignment="1">
      <alignment horizontal="right" vertical="top"/>
    </xf>
    <xf numFmtId="168" fontId="15" fillId="0" borderId="2" xfId="1539" applyNumberFormat="1" applyFont="1" applyBorder="1" applyAlignment="1">
      <alignment horizontal="center" vertical="center"/>
    </xf>
    <xf numFmtId="0" fontId="15" fillId="0" borderId="2" xfId="1539" applyFont="1" applyBorder="1" applyAlignment="1">
      <alignment horizontal="left" vertical="center"/>
    </xf>
    <xf numFmtId="169" fontId="15" fillId="0" borderId="2" xfId="1" applyNumberFormat="1" applyFont="1" applyBorder="1" applyAlignment="1">
      <alignment horizontal="center" vertical="center"/>
    </xf>
    <xf numFmtId="17" fontId="12" fillId="0" borderId="2" xfId="1" applyNumberFormat="1" applyFont="1" applyBorder="1"/>
    <xf numFmtId="169" fontId="12" fillId="0" borderId="2" xfId="1539" applyNumberFormat="1" applyFont="1" applyBorder="1"/>
    <xf numFmtId="169" fontId="12" fillId="0" borderId="2" xfId="1539" applyNumberFormat="1" applyFont="1" applyBorder="1" applyAlignment="1">
      <alignment wrapText="1"/>
    </xf>
    <xf numFmtId="169" fontId="13" fillId="0" borderId="2" xfId="1" applyNumberFormat="1" applyFont="1" applyBorder="1" applyAlignment="1">
      <alignment horizontal="center"/>
    </xf>
    <xf numFmtId="169" fontId="13" fillId="0" borderId="2" xfId="1" applyNumberFormat="1" applyFont="1" applyBorder="1" applyAlignment="1">
      <alignment horizontal="center" wrapText="1"/>
    </xf>
    <xf numFmtId="0" fontId="37" fillId="0" borderId="2" xfId="1539" applyFont="1" applyBorder="1"/>
    <xf numFmtId="172" fontId="37" fillId="32" borderId="2" xfId="1539" applyNumberFormat="1" applyFont="1" applyFill="1" applyBorder="1"/>
    <xf numFmtId="0" fontId="37" fillId="0" borderId="2" xfId="1539" applyFont="1" applyBorder="1" applyAlignment="1">
      <alignment horizontal="center"/>
    </xf>
    <xf numFmtId="172" fontId="37" fillId="0" borderId="0" xfId="1539" applyNumberFormat="1" applyFont="1"/>
    <xf numFmtId="171" fontId="13" fillId="0" borderId="26" xfId="1" applyNumberFormat="1" applyFont="1" applyBorder="1" applyAlignment="1">
      <alignment horizontal="center" vertical="center"/>
    </xf>
    <xf numFmtId="171" fontId="42" fillId="0" borderId="25" xfId="1" applyNumberFormat="1" applyFont="1" applyBorder="1" applyAlignment="1">
      <alignment horizontal="center" vertical="center"/>
    </xf>
    <xf numFmtId="0" fontId="46" fillId="0" borderId="2" xfId="1539" applyFont="1" applyBorder="1" applyAlignment="1">
      <alignment horizontal="center" vertical="center"/>
    </xf>
  </cellXfs>
  <cellStyles count="14302">
    <cellStyle name="20% - Accent1 2" xfId="3" xr:uid="{00000000-0005-0000-0000-000006000000}"/>
    <cellStyle name="20% - Accent1 2 2" xfId="4" xr:uid="{00000000-0005-0000-0000-000007000000}"/>
    <cellStyle name="20% - Accent2 2" xfId="5" xr:uid="{00000000-0005-0000-0000-000008000000}"/>
    <cellStyle name="20% - Accent3 2" xfId="6" xr:uid="{00000000-0005-0000-0000-000009000000}"/>
    <cellStyle name="20% - Accent3 2 2" xfId="7" xr:uid="{00000000-0005-0000-0000-00000A000000}"/>
    <cellStyle name="20% - Accent4 2" xfId="8" xr:uid="{00000000-0005-0000-0000-00000B000000}"/>
    <cellStyle name="20% - Accent6 2" xfId="9" xr:uid="{00000000-0005-0000-0000-00000C000000}"/>
    <cellStyle name="40% - Accent1 2" xfId="10" xr:uid="{00000000-0005-0000-0000-00000D000000}"/>
    <cellStyle name="40% - Accent3 2" xfId="11" xr:uid="{00000000-0005-0000-0000-00000E000000}"/>
    <cellStyle name="40% - Accent4 2" xfId="12" xr:uid="{00000000-0005-0000-0000-00000F000000}"/>
    <cellStyle name="40% - Accent5 2" xfId="13" xr:uid="{00000000-0005-0000-0000-000010000000}"/>
    <cellStyle name="40% - Accent6 2" xfId="14" xr:uid="{00000000-0005-0000-0000-000011000000}"/>
    <cellStyle name="60% - Accent1 2" xfId="15" xr:uid="{00000000-0005-0000-0000-000012000000}"/>
    <cellStyle name="60% - Accent2 2" xfId="16" xr:uid="{00000000-0005-0000-0000-000013000000}"/>
    <cellStyle name="60% - Accent3 2" xfId="17" xr:uid="{00000000-0005-0000-0000-000014000000}"/>
    <cellStyle name="60% - Accent4 2" xfId="18" xr:uid="{00000000-0005-0000-0000-000015000000}"/>
    <cellStyle name="60% - Accent5 2" xfId="19" xr:uid="{00000000-0005-0000-0000-000016000000}"/>
    <cellStyle name="60% - Accent6 2" xfId="20" xr:uid="{00000000-0005-0000-0000-000017000000}"/>
    <cellStyle name="Accent 1 1" xfId="21" xr:uid="{00000000-0005-0000-0000-000018000000}"/>
    <cellStyle name="Accent 2 1" xfId="22" xr:uid="{00000000-0005-0000-0000-000019000000}"/>
    <cellStyle name="Accent 3 1" xfId="23" xr:uid="{00000000-0005-0000-0000-00001A000000}"/>
    <cellStyle name="Accent 4" xfId="24" xr:uid="{00000000-0005-0000-0000-00001B000000}"/>
    <cellStyle name="Accent1 2" xfId="25" xr:uid="{00000000-0005-0000-0000-00001C000000}"/>
    <cellStyle name="Accent2 2" xfId="26" xr:uid="{00000000-0005-0000-0000-00001D000000}"/>
    <cellStyle name="Accent2 2 2" xfId="27" xr:uid="{00000000-0005-0000-0000-00001E000000}"/>
    <cellStyle name="Accent3 2" xfId="28" xr:uid="{00000000-0005-0000-0000-00001F000000}"/>
    <cellStyle name="Accent4 2" xfId="29" xr:uid="{00000000-0005-0000-0000-000020000000}"/>
    <cellStyle name="Accent6 2" xfId="30" xr:uid="{00000000-0005-0000-0000-000021000000}"/>
    <cellStyle name="Bad 1" xfId="31" xr:uid="{00000000-0005-0000-0000-000022000000}"/>
    <cellStyle name="Bad 2" xfId="32" xr:uid="{00000000-0005-0000-0000-000023000000}"/>
    <cellStyle name="Bad 2 2" xfId="33" xr:uid="{00000000-0005-0000-0000-000024000000}"/>
    <cellStyle name="Calculation 2" xfId="34" xr:uid="{00000000-0005-0000-0000-000025000000}"/>
    <cellStyle name="Calculation 2 2" xfId="35" xr:uid="{00000000-0005-0000-0000-000026000000}"/>
    <cellStyle name="Calculation 2 2 2" xfId="36" xr:uid="{00000000-0005-0000-0000-000027000000}"/>
    <cellStyle name="Comma" xfId="1" builtinId="3"/>
    <cellStyle name="Comma 10" xfId="37" xr:uid="{00000000-0005-0000-0000-000028000000}"/>
    <cellStyle name="Comma 11" xfId="38" xr:uid="{00000000-0005-0000-0000-000029000000}"/>
    <cellStyle name="Comma 2" xfId="39" xr:uid="{00000000-0005-0000-0000-00002A000000}"/>
    <cellStyle name="Comma 2 10" xfId="40" xr:uid="{00000000-0005-0000-0000-00002B000000}"/>
    <cellStyle name="Comma 2 10 2" xfId="41" xr:uid="{00000000-0005-0000-0000-00002C000000}"/>
    <cellStyle name="Comma 2 10 2 2" xfId="42" xr:uid="{00000000-0005-0000-0000-00002D000000}"/>
    <cellStyle name="Comma 2 10 2 2 2" xfId="43" xr:uid="{00000000-0005-0000-0000-00002E000000}"/>
    <cellStyle name="Comma 2 10 2 2 2 2" xfId="44" xr:uid="{00000000-0005-0000-0000-00002F000000}"/>
    <cellStyle name="Comma 2 10 2 2 2 2 2" xfId="45" xr:uid="{00000000-0005-0000-0000-000030000000}"/>
    <cellStyle name="Comma 2 10 2 2 2 2 2 2" xfId="46" xr:uid="{00000000-0005-0000-0000-000031000000}"/>
    <cellStyle name="Comma 2 10 2 2 2 2 3" xfId="47" xr:uid="{00000000-0005-0000-0000-000032000000}"/>
    <cellStyle name="Comma 2 10 2 2 2 3" xfId="48" xr:uid="{00000000-0005-0000-0000-000033000000}"/>
    <cellStyle name="Comma 2 10 2 2 2 3 2" xfId="49" xr:uid="{00000000-0005-0000-0000-000034000000}"/>
    <cellStyle name="Comma 2 10 2 2 2 4" xfId="50" xr:uid="{00000000-0005-0000-0000-000035000000}"/>
    <cellStyle name="Comma 2 10 2 2 2 4 2" xfId="51" xr:uid="{00000000-0005-0000-0000-000036000000}"/>
    <cellStyle name="Comma 2 10 2 2 2 5" xfId="52" xr:uid="{00000000-0005-0000-0000-000037000000}"/>
    <cellStyle name="Comma 2 10 2 2 3" xfId="53" xr:uid="{00000000-0005-0000-0000-000038000000}"/>
    <cellStyle name="Comma 2 10 2 2 3 2" xfId="54" xr:uid="{00000000-0005-0000-0000-000039000000}"/>
    <cellStyle name="Comma 2 10 2 2 3 2 2" xfId="55" xr:uid="{00000000-0005-0000-0000-00003A000000}"/>
    <cellStyle name="Comma 2 10 2 2 3 3" xfId="56" xr:uid="{00000000-0005-0000-0000-00003B000000}"/>
    <cellStyle name="Comma 2 10 2 2 4" xfId="57" xr:uid="{00000000-0005-0000-0000-00003C000000}"/>
    <cellStyle name="Comma 2 10 2 2 4 2" xfId="58" xr:uid="{00000000-0005-0000-0000-00003D000000}"/>
    <cellStyle name="Comma 2 10 2 2 5" xfId="59" xr:uid="{00000000-0005-0000-0000-00003E000000}"/>
    <cellStyle name="Comma 2 10 2 2 5 2" xfId="60" xr:uid="{00000000-0005-0000-0000-00003F000000}"/>
    <cellStyle name="Comma 2 10 2 2 6" xfId="61" xr:uid="{00000000-0005-0000-0000-000040000000}"/>
    <cellStyle name="Comma 2 10 2 3" xfId="62" xr:uid="{00000000-0005-0000-0000-000041000000}"/>
    <cellStyle name="Comma 2 10 2 3 2" xfId="63" xr:uid="{00000000-0005-0000-0000-000042000000}"/>
    <cellStyle name="Comma 2 10 2 3 2 2" xfId="64" xr:uid="{00000000-0005-0000-0000-000043000000}"/>
    <cellStyle name="Comma 2 10 2 3 2 2 2" xfId="65" xr:uid="{00000000-0005-0000-0000-000044000000}"/>
    <cellStyle name="Comma 2 10 2 3 2 3" xfId="66" xr:uid="{00000000-0005-0000-0000-000045000000}"/>
    <cellStyle name="Comma 2 10 2 3 3" xfId="67" xr:uid="{00000000-0005-0000-0000-000046000000}"/>
    <cellStyle name="Comma 2 10 2 3 3 2" xfId="68" xr:uid="{00000000-0005-0000-0000-000047000000}"/>
    <cellStyle name="Comma 2 10 2 3 4" xfId="69" xr:uid="{00000000-0005-0000-0000-000048000000}"/>
    <cellStyle name="Comma 2 10 2 3 4 2" xfId="70" xr:uid="{00000000-0005-0000-0000-000049000000}"/>
    <cellStyle name="Comma 2 10 2 3 5" xfId="71" xr:uid="{00000000-0005-0000-0000-00004A000000}"/>
    <cellStyle name="Comma 2 10 2 4" xfId="72" xr:uid="{00000000-0005-0000-0000-00004B000000}"/>
    <cellStyle name="Comma 2 10 2 4 2" xfId="73" xr:uid="{00000000-0005-0000-0000-00004C000000}"/>
    <cellStyle name="Comma 2 10 2 4 2 2" xfId="74" xr:uid="{00000000-0005-0000-0000-00004D000000}"/>
    <cellStyle name="Comma 2 10 2 4 3" xfId="75" xr:uid="{00000000-0005-0000-0000-00004E000000}"/>
    <cellStyle name="Comma 2 10 2 5" xfId="76" xr:uid="{00000000-0005-0000-0000-00004F000000}"/>
    <cellStyle name="Comma 2 10 2 5 2" xfId="77" xr:uid="{00000000-0005-0000-0000-000050000000}"/>
    <cellStyle name="Comma 2 10 2 6" xfId="78" xr:uid="{00000000-0005-0000-0000-000051000000}"/>
    <cellStyle name="Comma 2 10 2 6 2" xfId="79" xr:uid="{00000000-0005-0000-0000-000052000000}"/>
    <cellStyle name="Comma 2 10 2 7" xfId="80" xr:uid="{00000000-0005-0000-0000-000053000000}"/>
    <cellStyle name="Comma 2 10 3" xfId="81" xr:uid="{00000000-0005-0000-0000-000054000000}"/>
    <cellStyle name="Comma 2 10 3 2" xfId="82" xr:uid="{00000000-0005-0000-0000-000055000000}"/>
    <cellStyle name="Comma 2 10 3 2 2" xfId="83" xr:uid="{00000000-0005-0000-0000-000056000000}"/>
    <cellStyle name="Comma 2 10 3 2 2 2" xfId="84" xr:uid="{00000000-0005-0000-0000-000057000000}"/>
    <cellStyle name="Comma 2 10 3 2 2 2 2" xfId="85" xr:uid="{00000000-0005-0000-0000-000058000000}"/>
    <cellStyle name="Comma 2 10 3 2 2 2 2 2" xfId="86" xr:uid="{00000000-0005-0000-0000-000059000000}"/>
    <cellStyle name="Comma 2 10 3 2 2 2 3" xfId="87" xr:uid="{00000000-0005-0000-0000-00005A000000}"/>
    <cellStyle name="Comma 2 10 3 2 2 3" xfId="88" xr:uid="{00000000-0005-0000-0000-00005B000000}"/>
    <cellStyle name="Comma 2 10 3 2 2 3 2" xfId="89" xr:uid="{00000000-0005-0000-0000-00005C000000}"/>
    <cellStyle name="Comma 2 10 3 2 2 4" xfId="90" xr:uid="{00000000-0005-0000-0000-00005D000000}"/>
    <cellStyle name="Comma 2 10 3 2 2 4 2" xfId="91" xr:uid="{00000000-0005-0000-0000-00005E000000}"/>
    <cellStyle name="Comma 2 10 3 2 2 5" xfId="92" xr:uid="{00000000-0005-0000-0000-00005F000000}"/>
    <cellStyle name="Comma 2 10 3 2 3" xfId="93" xr:uid="{00000000-0005-0000-0000-000060000000}"/>
    <cellStyle name="Comma 2 10 3 2 3 2" xfId="94" xr:uid="{00000000-0005-0000-0000-000061000000}"/>
    <cellStyle name="Comma 2 10 3 2 3 2 2" xfId="95" xr:uid="{00000000-0005-0000-0000-000062000000}"/>
    <cellStyle name="Comma 2 10 3 2 3 3" xfId="96" xr:uid="{00000000-0005-0000-0000-000063000000}"/>
    <cellStyle name="Comma 2 10 3 2 4" xfId="97" xr:uid="{00000000-0005-0000-0000-000064000000}"/>
    <cellStyle name="Comma 2 10 3 2 4 2" xfId="98" xr:uid="{00000000-0005-0000-0000-000065000000}"/>
    <cellStyle name="Comma 2 10 3 2 5" xfId="99" xr:uid="{00000000-0005-0000-0000-000066000000}"/>
    <cellStyle name="Comma 2 10 3 2 5 2" xfId="100" xr:uid="{00000000-0005-0000-0000-000067000000}"/>
    <cellStyle name="Comma 2 10 3 2 6" xfId="101" xr:uid="{00000000-0005-0000-0000-000068000000}"/>
    <cellStyle name="Comma 2 10 3 3" xfId="102" xr:uid="{00000000-0005-0000-0000-000069000000}"/>
    <cellStyle name="Comma 2 10 3 3 2" xfId="103" xr:uid="{00000000-0005-0000-0000-00006A000000}"/>
    <cellStyle name="Comma 2 10 3 3 2 2" xfId="104" xr:uid="{00000000-0005-0000-0000-00006B000000}"/>
    <cellStyle name="Comma 2 10 3 3 2 2 2" xfId="105" xr:uid="{00000000-0005-0000-0000-00006C000000}"/>
    <cellStyle name="Comma 2 10 3 3 2 3" xfId="106" xr:uid="{00000000-0005-0000-0000-00006D000000}"/>
    <cellStyle name="Comma 2 10 3 3 3" xfId="107" xr:uid="{00000000-0005-0000-0000-00006E000000}"/>
    <cellStyle name="Comma 2 10 3 3 3 2" xfId="108" xr:uid="{00000000-0005-0000-0000-00006F000000}"/>
    <cellStyle name="Comma 2 10 3 3 4" xfId="109" xr:uid="{00000000-0005-0000-0000-000070000000}"/>
    <cellStyle name="Comma 2 10 3 3 4 2" xfId="110" xr:uid="{00000000-0005-0000-0000-000071000000}"/>
    <cellStyle name="Comma 2 10 3 3 5" xfId="111" xr:uid="{00000000-0005-0000-0000-000072000000}"/>
    <cellStyle name="Comma 2 10 3 4" xfId="112" xr:uid="{00000000-0005-0000-0000-000073000000}"/>
    <cellStyle name="Comma 2 10 3 4 2" xfId="113" xr:uid="{00000000-0005-0000-0000-000074000000}"/>
    <cellStyle name="Comma 2 10 3 4 2 2" xfId="114" xr:uid="{00000000-0005-0000-0000-000075000000}"/>
    <cellStyle name="Comma 2 10 3 4 3" xfId="115" xr:uid="{00000000-0005-0000-0000-000076000000}"/>
    <cellStyle name="Comma 2 10 3 5" xfId="116" xr:uid="{00000000-0005-0000-0000-000077000000}"/>
    <cellStyle name="Comma 2 10 3 5 2" xfId="117" xr:uid="{00000000-0005-0000-0000-000078000000}"/>
    <cellStyle name="Comma 2 10 3 6" xfId="118" xr:uid="{00000000-0005-0000-0000-000079000000}"/>
    <cellStyle name="Comma 2 10 3 6 2" xfId="119" xr:uid="{00000000-0005-0000-0000-00007A000000}"/>
    <cellStyle name="Comma 2 10 3 7" xfId="120" xr:uid="{00000000-0005-0000-0000-00007B000000}"/>
    <cellStyle name="Comma 2 10 4" xfId="121" xr:uid="{00000000-0005-0000-0000-00007C000000}"/>
    <cellStyle name="Comma 2 10 4 2" xfId="122" xr:uid="{00000000-0005-0000-0000-00007D000000}"/>
    <cellStyle name="Comma 2 10 4 2 2" xfId="123" xr:uid="{00000000-0005-0000-0000-00007E000000}"/>
    <cellStyle name="Comma 2 10 4 2 2 2" xfId="124" xr:uid="{00000000-0005-0000-0000-00007F000000}"/>
    <cellStyle name="Comma 2 10 4 2 2 2 2" xfId="125" xr:uid="{00000000-0005-0000-0000-000080000000}"/>
    <cellStyle name="Comma 2 10 4 2 2 3" xfId="126" xr:uid="{00000000-0005-0000-0000-000081000000}"/>
    <cellStyle name="Comma 2 10 4 2 3" xfId="127" xr:uid="{00000000-0005-0000-0000-000082000000}"/>
    <cellStyle name="Comma 2 10 4 2 3 2" xfId="128" xr:uid="{00000000-0005-0000-0000-000083000000}"/>
    <cellStyle name="Comma 2 10 4 2 4" xfId="129" xr:uid="{00000000-0005-0000-0000-000084000000}"/>
    <cellStyle name="Comma 2 10 4 2 4 2" xfId="130" xr:uid="{00000000-0005-0000-0000-000085000000}"/>
    <cellStyle name="Comma 2 10 4 2 5" xfId="131" xr:uid="{00000000-0005-0000-0000-000086000000}"/>
    <cellStyle name="Comma 2 10 4 3" xfId="132" xr:uid="{00000000-0005-0000-0000-000087000000}"/>
    <cellStyle name="Comma 2 10 4 3 2" xfId="133" xr:uid="{00000000-0005-0000-0000-000088000000}"/>
    <cellStyle name="Comma 2 10 4 3 2 2" xfId="134" xr:uid="{00000000-0005-0000-0000-000089000000}"/>
    <cellStyle name="Comma 2 10 4 3 3" xfId="135" xr:uid="{00000000-0005-0000-0000-00008A000000}"/>
    <cellStyle name="Comma 2 10 4 4" xfId="136" xr:uid="{00000000-0005-0000-0000-00008B000000}"/>
    <cellStyle name="Comma 2 10 4 4 2" xfId="137" xr:uid="{00000000-0005-0000-0000-00008C000000}"/>
    <cellStyle name="Comma 2 10 4 5" xfId="138" xr:uid="{00000000-0005-0000-0000-00008D000000}"/>
    <cellStyle name="Comma 2 10 4 5 2" xfId="139" xr:uid="{00000000-0005-0000-0000-00008E000000}"/>
    <cellStyle name="Comma 2 10 4 6" xfId="140" xr:uid="{00000000-0005-0000-0000-00008F000000}"/>
    <cellStyle name="Comma 2 10 5" xfId="141" xr:uid="{00000000-0005-0000-0000-000090000000}"/>
    <cellStyle name="Comma 2 10 5 2" xfId="142" xr:uid="{00000000-0005-0000-0000-000091000000}"/>
    <cellStyle name="Comma 2 10 5 2 2" xfId="143" xr:uid="{00000000-0005-0000-0000-000092000000}"/>
    <cellStyle name="Comma 2 10 5 2 2 2" xfId="144" xr:uid="{00000000-0005-0000-0000-000093000000}"/>
    <cellStyle name="Comma 2 10 5 2 3" xfId="145" xr:uid="{00000000-0005-0000-0000-000094000000}"/>
    <cellStyle name="Comma 2 10 5 3" xfId="146" xr:uid="{00000000-0005-0000-0000-000095000000}"/>
    <cellStyle name="Comma 2 10 5 3 2" xfId="147" xr:uid="{00000000-0005-0000-0000-000096000000}"/>
    <cellStyle name="Comma 2 10 5 4" xfId="148" xr:uid="{00000000-0005-0000-0000-000097000000}"/>
    <cellStyle name="Comma 2 10 5 4 2" xfId="149" xr:uid="{00000000-0005-0000-0000-000098000000}"/>
    <cellStyle name="Comma 2 10 5 5" xfId="150" xr:uid="{00000000-0005-0000-0000-000099000000}"/>
    <cellStyle name="Comma 2 10 6" xfId="151" xr:uid="{00000000-0005-0000-0000-00009A000000}"/>
    <cellStyle name="Comma 2 10 6 2" xfId="152" xr:uid="{00000000-0005-0000-0000-00009B000000}"/>
    <cellStyle name="Comma 2 10 6 2 2" xfId="153" xr:uid="{00000000-0005-0000-0000-00009C000000}"/>
    <cellStyle name="Comma 2 10 6 3" xfId="154" xr:uid="{00000000-0005-0000-0000-00009D000000}"/>
    <cellStyle name="Comma 2 10 7" xfId="155" xr:uid="{00000000-0005-0000-0000-00009E000000}"/>
    <cellStyle name="Comma 2 10 7 2" xfId="156" xr:uid="{00000000-0005-0000-0000-00009F000000}"/>
    <cellStyle name="Comma 2 10 8" xfId="157" xr:uid="{00000000-0005-0000-0000-0000A0000000}"/>
    <cellStyle name="Comma 2 10 8 2" xfId="158" xr:uid="{00000000-0005-0000-0000-0000A1000000}"/>
    <cellStyle name="Comma 2 10 9" xfId="159" xr:uid="{00000000-0005-0000-0000-0000A2000000}"/>
    <cellStyle name="Comma 2 11" xfId="160" xr:uid="{00000000-0005-0000-0000-0000A3000000}"/>
    <cellStyle name="Comma 2 11 2" xfId="161" xr:uid="{00000000-0005-0000-0000-0000A4000000}"/>
    <cellStyle name="Comma 2 11 2 2" xfId="162" xr:uid="{00000000-0005-0000-0000-0000A5000000}"/>
    <cellStyle name="Comma 2 11 2 2 2" xfId="163" xr:uid="{00000000-0005-0000-0000-0000A6000000}"/>
    <cellStyle name="Comma 2 11 2 2 2 2" xfId="164" xr:uid="{00000000-0005-0000-0000-0000A7000000}"/>
    <cellStyle name="Comma 2 11 2 2 2 2 2" xfId="165" xr:uid="{00000000-0005-0000-0000-0000A8000000}"/>
    <cellStyle name="Comma 2 11 2 2 2 2 2 2" xfId="166" xr:uid="{00000000-0005-0000-0000-0000A9000000}"/>
    <cellStyle name="Comma 2 11 2 2 2 2 3" xfId="167" xr:uid="{00000000-0005-0000-0000-0000AA000000}"/>
    <cellStyle name="Comma 2 11 2 2 2 3" xfId="168" xr:uid="{00000000-0005-0000-0000-0000AB000000}"/>
    <cellStyle name="Comma 2 11 2 2 2 3 2" xfId="169" xr:uid="{00000000-0005-0000-0000-0000AC000000}"/>
    <cellStyle name="Comma 2 11 2 2 2 4" xfId="170" xr:uid="{00000000-0005-0000-0000-0000AD000000}"/>
    <cellStyle name="Comma 2 11 2 2 2 4 2" xfId="171" xr:uid="{00000000-0005-0000-0000-0000AE000000}"/>
    <cellStyle name="Comma 2 11 2 2 2 5" xfId="172" xr:uid="{00000000-0005-0000-0000-0000AF000000}"/>
    <cellStyle name="Comma 2 11 2 2 3" xfId="173" xr:uid="{00000000-0005-0000-0000-0000B0000000}"/>
    <cellStyle name="Comma 2 11 2 2 3 2" xfId="174" xr:uid="{00000000-0005-0000-0000-0000B1000000}"/>
    <cellStyle name="Comma 2 11 2 2 3 2 2" xfId="175" xr:uid="{00000000-0005-0000-0000-0000B2000000}"/>
    <cellStyle name="Comma 2 11 2 2 3 3" xfId="176" xr:uid="{00000000-0005-0000-0000-0000B3000000}"/>
    <cellStyle name="Comma 2 11 2 2 4" xfId="177" xr:uid="{00000000-0005-0000-0000-0000B4000000}"/>
    <cellStyle name="Comma 2 11 2 2 4 2" xfId="178" xr:uid="{00000000-0005-0000-0000-0000B5000000}"/>
    <cellStyle name="Comma 2 11 2 2 5" xfId="179" xr:uid="{00000000-0005-0000-0000-0000B6000000}"/>
    <cellStyle name="Comma 2 11 2 2 5 2" xfId="180" xr:uid="{00000000-0005-0000-0000-0000B7000000}"/>
    <cellStyle name="Comma 2 11 2 2 6" xfId="181" xr:uid="{00000000-0005-0000-0000-0000B8000000}"/>
    <cellStyle name="Comma 2 11 2 3" xfId="182" xr:uid="{00000000-0005-0000-0000-0000B9000000}"/>
    <cellStyle name="Comma 2 11 2 3 2" xfId="183" xr:uid="{00000000-0005-0000-0000-0000BA000000}"/>
    <cellStyle name="Comma 2 11 2 3 2 2" xfId="184" xr:uid="{00000000-0005-0000-0000-0000BB000000}"/>
    <cellStyle name="Comma 2 11 2 3 2 2 2" xfId="185" xr:uid="{00000000-0005-0000-0000-0000BC000000}"/>
    <cellStyle name="Comma 2 11 2 3 2 3" xfId="186" xr:uid="{00000000-0005-0000-0000-0000BD000000}"/>
    <cellStyle name="Comma 2 11 2 3 3" xfId="187" xr:uid="{00000000-0005-0000-0000-0000BE000000}"/>
    <cellStyle name="Comma 2 11 2 3 3 2" xfId="188" xr:uid="{00000000-0005-0000-0000-0000BF000000}"/>
    <cellStyle name="Comma 2 11 2 3 4" xfId="189" xr:uid="{00000000-0005-0000-0000-0000C0000000}"/>
    <cellStyle name="Comma 2 11 2 3 4 2" xfId="190" xr:uid="{00000000-0005-0000-0000-0000C1000000}"/>
    <cellStyle name="Comma 2 11 2 3 5" xfId="191" xr:uid="{00000000-0005-0000-0000-0000C2000000}"/>
    <cellStyle name="Comma 2 11 2 4" xfId="192" xr:uid="{00000000-0005-0000-0000-0000C3000000}"/>
    <cellStyle name="Comma 2 11 2 4 2" xfId="193" xr:uid="{00000000-0005-0000-0000-0000C4000000}"/>
    <cellStyle name="Comma 2 11 2 4 2 2" xfId="194" xr:uid="{00000000-0005-0000-0000-0000C5000000}"/>
    <cellStyle name="Comma 2 11 2 4 3" xfId="195" xr:uid="{00000000-0005-0000-0000-0000C6000000}"/>
    <cellStyle name="Comma 2 11 2 5" xfId="196" xr:uid="{00000000-0005-0000-0000-0000C7000000}"/>
    <cellStyle name="Comma 2 11 2 5 2" xfId="197" xr:uid="{00000000-0005-0000-0000-0000C8000000}"/>
    <cellStyle name="Comma 2 11 2 6" xfId="198" xr:uid="{00000000-0005-0000-0000-0000C9000000}"/>
    <cellStyle name="Comma 2 11 2 6 2" xfId="199" xr:uid="{00000000-0005-0000-0000-0000CA000000}"/>
    <cellStyle name="Comma 2 11 2 7" xfId="200" xr:uid="{00000000-0005-0000-0000-0000CB000000}"/>
    <cellStyle name="Comma 2 11 3" xfId="201" xr:uid="{00000000-0005-0000-0000-0000CC000000}"/>
    <cellStyle name="Comma 2 11 3 2" xfId="202" xr:uid="{00000000-0005-0000-0000-0000CD000000}"/>
    <cellStyle name="Comma 2 11 3 2 2" xfId="203" xr:uid="{00000000-0005-0000-0000-0000CE000000}"/>
    <cellStyle name="Comma 2 11 3 2 2 2" xfId="204" xr:uid="{00000000-0005-0000-0000-0000CF000000}"/>
    <cellStyle name="Comma 2 11 3 2 2 2 2" xfId="205" xr:uid="{00000000-0005-0000-0000-0000D0000000}"/>
    <cellStyle name="Comma 2 11 3 2 2 3" xfId="206" xr:uid="{00000000-0005-0000-0000-0000D1000000}"/>
    <cellStyle name="Comma 2 11 3 2 3" xfId="207" xr:uid="{00000000-0005-0000-0000-0000D2000000}"/>
    <cellStyle name="Comma 2 11 3 2 3 2" xfId="208" xr:uid="{00000000-0005-0000-0000-0000D3000000}"/>
    <cellStyle name="Comma 2 11 3 2 4" xfId="209" xr:uid="{00000000-0005-0000-0000-0000D4000000}"/>
    <cellStyle name="Comma 2 11 3 2 4 2" xfId="210" xr:uid="{00000000-0005-0000-0000-0000D5000000}"/>
    <cellStyle name="Comma 2 11 3 2 5" xfId="211" xr:uid="{00000000-0005-0000-0000-0000D6000000}"/>
    <cellStyle name="Comma 2 11 3 3" xfId="212" xr:uid="{00000000-0005-0000-0000-0000D7000000}"/>
    <cellStyle name="Comma 2 11 3 3 2" xfId="213" xr:uid="{00000000-0005-0000-0000-0000D8000000}"/>
    <cellStyle name="Comma 2 11 3 3 2 2" xfId="214" xr:uid="{00000000-0005-0000-0000-0000D9000000}"/>
    <cellStyle name="Comma 2 11 3 3 3" xfId="215" xr:uid="{00000000-0005-0000-0000-0000DA000000}"/>
    <cellStyle name="Comma 2 11 3 4" xfId="216" xr:uid="{00000000-0005-0000-0000-0000DB000000}"/>
    <cellStyle name="Comma 2 11 3 4 2" xfId="217" xr:uid="{00000000-0005-0000-0000-0000DC000000}"/>
    <cellStyle name="Comma 2 11 3 5" xfId="218" xr:uid="{00000000-0005-0000-0000-0000DD000000}"/>
    <cellStyle name="Comma 2 11 3 5 2" xfId="219" xr:uid="{00000000-0005-0000-0000-0000DE000000}"/>
    <cellStyle name="Comma 2 11 3 6" xfId="220" xr:uid="{00000000-0005-0000-0000-0000DF000000}"/>
    <cellStyle name="Comma 2 11 4" xfId="221" xr:uid="{00000000-0005-0000-0000-0000E0000000}"/>
    <cellStyle name="Comma 2 11 4 2" xfId="222" xr:uid="{00000000-0005-0000-0000-0000E1000000}"/>
    <cellStyle name="Comma 2 11 4 2 2" xfId="223" xr:uid="{00000000-0005-0000-0000-0000E2000000}"/>
    <cellStyle name="Comma 2 11 4 2 2 2" xfId="224" xr:uid="{00000000-0005-0000-0000-0000E3000000}"/>
    <cellStyle name="Comma 2 11 4 2 3" xfId="225" xr:uid="{00000000-0005-0000-0000-0000E4000000}"/>
    <cellStyle name="Comma 2 11 4 3" xfId="226" xr:uid="{00000000-0005-0000-0000-0000E5000000}"/>
    <cellStyle name="Comma 2 11 4 3 2" xfId="227" xr:uid="{00000000-0005-0000-0000-0000E6000000}"/>
    <cellStyle name="Comma 2 11 4 4" xfId="228" xr:uid="{00000000-0005-0000-0000-0000E7000000}"/>
    <cellStyle name="Comma 2 11 4 4 2" xfId="229" xr:uid="{00000000-0005-0000-0000-0000E8000000}"/>
    <cellStyle name="Comma 2 11 4 5" xfId="230" xr:uid="{00000000-0005-0000-0000-0000E9000000}"/>
    <cellStyle name="Comma 2 11 5" xfId="231" xr:uid="{00000000-0005-0000-0000-0000EA000000}"/>
    <cellStyle name="Comma 2 11 5 2" xfId="232" xr:uid="{00000000-0005-0000-0000-0000EB000000}"/>
    <cellStyle name="Comma 2 11 5 2 2" xfId="233" xr:uid="{00000000-0005-0000-0000-0000EC000000}"/>
    <cellStyle name="Comma 2 11 5 3" xfId="234" xr:uid="{00000000-0005-0000-0000-0000ED000000}"/>
    <cellStyle name="Comma 2 11 6" xfId="235" xr:uid="{00000000-0005-0000-0000-0000EE000000}"/>
    <cellStyle name="Comma 2 11 6 2" xfId="236" xr:uid="{00000000-0005-0000-0000-0000EF000000}"/>
    <cellStyle name="Comma 2 11 7" xfId="237" xr:uid="{00000000-0005-0000-0000-0000F0000000}"/>
    <cellStyle name="Comma 2 11 7 2" xfId="238" xr:uid="{00000000-0005-0000-0000-0000F1000000}"/>
    <cellStyle name="Comma 2 11 8" xfId="239" xr:uid="{00000000-0005-0000-0000-0000F2000000}"/>
    <cellStyle name="Comma 2 12" xfId="240" xr:uid="{00000000-0005-0000-0000-0000F3000000}"/>
    <cellStyle name="Comma 2 12 2" xfId="241" xr:uid="{00000000-0005-0000-0000-0000F4000000}"/>
    <cellStyle name="Comma 2 12 2 2" xfId="242" xr:uid="{00000000-0005-0000-0000-0000F5000000}"/>
    <cellStyle name="Comma 2 12 2 2 2" xfId="243" xr:uid="{00000000-0005-0000-0000-0000F6000000}"/>
    <cellStyle name="Comma 2 12 2 2 2 2" xfId="244" xr:uid="{00000000-0005-0000-0000-0000F7000000}"/>
    <cellStyle name="Comma 2 12 2 2 2 2 2" xfId="245" xr:uid="{00000000-0005-0000-0000-0000F8000000}"/>
    <cellStyle name="Comma 2 12 2 2 2 3" xfId="246" xr:uid="{00000000-0005-0000-0000-0000F9000000}"/>
    <cellStyle name="Comma 2 12 2 2 3" xfId="247" xr:uid="{00000000-0005-0000-0000-0000FA000000}"/>
    <cellStyle name="Comma 2 12 2 2 3 2" xfId="248" xr:uid="{00000000-0005-0000-0000-0000FB000000}"/>
    <cellStyle name="Comma 2 12 2 2 4" xfId="249" xr:uid="{00000000-0005-0000-0000-0000FC000000}"/>
    <cellStyle name="Comma 2 12 2 2 4 2" xfId="250" xr:uid="{00000000-0005-0000-0000-0000FD000000}"/>
    <cellStyle name="Comma 2 12 2 2 5" xfId="251" xr:uid="{00000000-0005-0000-0000-0000FE000000}"/>
    <cellStyle name="Comma 2 12 2 3" xfId="252" xr:uid="{00000000-0005-0000-0000-0000FF000000}"/>
    <cellStyle name="Comma 2 12 2 3 2" xfId="253" xr:uid="{00000000-0005-0000-0000-000000010000}"/>
    <cellStyle name="Comma 2 12 2 3 2 2" xfId="254" xr:uid="{00000000-0005-0000-0000-000001010000}"/>
    <cellStyle name="Comma 2 12 2 3 3" xfId="255" xr:uid="{00000000-0005-0000-0000-000002010000}"/>
    <cellStyle name="Comma 2 12 2 4" xfId="256" xr:uid="{00000000-0005-0000-0000-000003010000}"/>
    <cellStyle name="Comma 2 12 2 4 2" xfId="257" xr:uid="{00000000-0005-0000-0000-000004010000}"/>
    <cellStyle name="Comma 2 12 2 5" xfId="258" xr:uid="{00000000-0005-0000-0000-000005010000}"/>
    <cellStyle name="Comma 2 12 2 5 2" xfId="259" xr:uid="{00000000-0005-0000-0000-000006010000}"/>
    <cellStyle name="Comma 2 12 2 6" xfId="260" xr:uid="{00000000-0005-0000-0000-000007010000}"/>
    <cellStyle name="Comma 2 12 3" xfId="261" xr:uid="{00000000-0005-0000-0000-000008010000}"/>
    <cellStyle name="Comma 2 12 3 2" xfId="262" xr:uid="{00000000-0005-0000-0000-000009010000}"/>
    <cellStyle name="Comma 2 12 3 2 2" xfId="263" xr:uid="{00000000-0005-0000-0000-00000A010000}"/>
    <cellStyle name="Comma 2 12 3 2 2 2" xfId="264" xr:uid="{00000000-0005-0000-0000-00000B010000}"/>
    <cellStyle name="Comma 2 12 3 2 3" xfId="265" xr:uid="{00000000-0005-0000-0000-00000C010000}"/>
    <cellStyle name="Comma 2 12 3 3" xfId="266" xr:uid="{00000000-0005-0000-0000-00000D010000}"/>
    <cellStyle name="Comma 2 12 3 3 2" xfId="267" xr:uid="{00000000-0005-0000-0000-00000E010000}"/>
    <cellStyle name="Comma 2 12 3 4" xfId="268" xr:uid="{00000000-0005-0000-0000-00000F010000}"/>
    <cellStyle name="Comma 2 12 3 4 2" xfId="269" xr:uid="{00000000-0005-0000-0000-000010010000}"/>
    <cellStyle name="Comma 2 12 3 5" xfId="270" xr:uid="{00000000-0005-0000-0000-000011010000}"/>
    <cellStyle name="Comma 2 12 4" xfId="271" xr:uid="{00000000-0005-0000-0000-000012010000}"/>
    <cellStyle name="Comma 2 12 4 2" xfId="272" xr:uid="{00000000-0005-0000-0000-000013010000}"/>
    <cellStyle name="Comma 2 12 4 2 2" xfId="273" xr:uid="{00000000-0005-0000-0000-000014010000}"/>
    <cellStyle name="Comma 2 12 4 3" xfId="274" xr:uid="{00000000-0005-0000-0000-000015010000}"/>
    <cellStyle name="Comma 2 12 5" xfId="275" xr:uid="{00000000-0005-0000-0000-000016010000}"/>
    <cellStyle name="Comma 2 12 5 2" xfId="276" xr:uid="{00000000-0005-0000-0000-000017010000}"/>
    <cellStyle name="Comma 2 12 6" xfId="277" xr:uid="{00000000-0005-0000-0000-000018010000}"/>
    <cellStyle name="Comma 2 12 6 2" xfId="278" xr:uid="{00000000-0005-0000-0000-000019010000}"/>
    <cellStyle name="Comma 2 12 7" xfId="279" xr:uid="{00000000-0005-0000-0000-00001A010000}"/>
    <cellStyle name="Comma 2 13" xfId="280" xr:uid="{00000000-0005-0000-0000-00001B010000}"/>
    <cellStyle name="Comma 2 13 2" xfId="281" xr:uid="{00000000-0005-0000-0000-00001C010000}"/>
    <cellStyle name="Comma 2 13 2 2" xfId="282" xr:uid="{00000000-0005-0000-0000-00001D010000}"/>
    <cellStyle name="Comma 2 13 2 2 2" xfId="283" xr:uid="{00000000-0005-0000-0000-00001E010000}"/>
    <cellStyle name="Comma 2 13 2 2 2 2" xfId="284" xr:uid="{00000000-0005-0000-0000-00001F010000}"/>
    <cellStyle name="Comma 2 13 2 2 2 2 2" xfId="285" xr:uid="{00000000-0005-0000-0000-000020010000}"/>
    <cellStyle name="Comma 2 13 2 2 2 3" xfId="286" xr:uid="{00000000-0005-0000-0000-000021010000}"/>
    <cellStyle name="Comma 2 13 2 2 3" xfId="287" xr:uid="{00000000-0005-0000-0000-000022010000}"/>
    <cellStyle name="Comma 2 13 2 2 3 2" xfId="288" xr:uid="{00000000-0005-0000-0000-000023010000}"/>
    <cellStyle name="Comma 2 13 2 2 4" xfId="289" xr:uid="{00000000-0005-0000-0000-000024010000}"/>
    <cellStyle name="Comma 2 13 2 2 4 2" xfId="290" xr:uid="{00000000-0005-0000-0000-000025010000}"/>
    <cellStyle name="Comma 2 13 2 2 5" xfId="291" xr:uid="{00000000-0005-0000-0000-000026010000}"/>
    <cellStyle name="Comma 2 13 2 3" xfId="292" xr:uid="{00000000-0005-0000-0000-000027010000}"/>
    <cellStyle name="Comma 2 13 2 3 2" xfId="293" xr:uid="{00000000-0005-0000-0000-000028010000}"/>
    <cellStyle name="Comma 2 13 2 3 2 2" xfId="294" xr:uid="{00000000-0005-0000-0000-000029010000}"/>
    <cellStyle name="Comma 2 13 2 3 3" xfId="295" xr:uid="{00000000-0005-0000-0000-00002A010000}"/>
    <cellStyle name="Comma 2 13 2 4" xfId="296" xr:uid="{00000000-0005-0000-0000-00002B010000}"/>
    <cellStyle name="Comma 2 13 2 4 2" xfId="297" xr:uid="{00000000-0005-0000-0000-00002C010000}"/>
    <cellStyle name="Comma 2 13 2 5" xfId="298" xr:uid="{00000000-0005-0000-0000-00002D010000}"/>
    <cellStyle name="Comma 2 13 2 5 2" xfId="299" xr:uid="{00000000-0005-0000-0000-00002E010000}"/>
    <cellStyle name="Comma 2 13 2 6" xfId="300" xr:uid="{00000000-0005-0000-0000-00002F010000}"/>
    <cellStyle name="Comma 2 13 3" xfId="301" xr:uid="{00000000-0005-0000-0000-000030010000}"/>
    <cellStyle name="Comma 2 13 3 2" xfId="302" xr:uid="{00000000-0005-0000-0000-000031010000}"/>
    <cellStyle name="Comma 2 13 3 2 2" xfId="303" xr:uid="{00000000-0005-0000-0000-000032010000}"/>
    <cellStyle name="Comma 2 13 3 2 2 2" xfId="304" xr:uid="{00000000-0005-0000-0000-000033010000}"/>
    <cellStyle name="Comma 2 13 3 2 3" xfId="305" xr:uid="{00000000-0005-0000-0000-000034010000}"/>
    <cellStyle name="Comma 2 13 3 3" xfId="306" xr:uid="{00000000-0005-0000-0000-000035010000}"/>
    <cellStyle name="Comma 2 13 3 3 2" xfId="307" xr:uid="{00000000-0005-0000-0000-000036010000}"/>
    <cellStyle name="Comma 2 13 3 4" xfId="308" xr:uid="{00000000-0005-0000-0000-000037010000}"/>
    <cellStyle name="Comma 2 13 3 4 2" xfId="309" xr:uid="{00000000-0005-0000-0000-000038010000}"/>
    <cellStyle name="Comma 2 13 3 5" xfId="310" xr:uid="{00000000-0005-0000-0000-000039010000}"/>
    <cellStyle name="Comma 2 13 4" xfId="311" xr:uid="{00000000-0005-0000-0000-00003A010000}"/>
    <cellStyle name="Comma 2 13 4 2" xfId="312" xr:uid="{00000000-0005-0000-0000-00003B010000}"/>
    <cellStyle name="Comma 2 13 4 2 2" xfId="313" xr:uid="{00000000-0005-0000-0000-00003C010000}"/>
    <cellStyle name="Comma 2 13 4 3" xfId="314" xr:uid="{00000000-0005-0000-0000-00003D010000}"/>
    <cellStyle name="Comma 2 13 5" xfId="315" xr:uid="{00000000-0005-0000-0000-00003E010000}"/>
    <cellStyle name="Comma 2 13 5 2" xfId="316" xr:uid="{00000000-0005-0000-0000-00003F010000}"/>
    <cellStyle name="Comma 2 13 6" xfId="317" xr:uid="{00000000-0005-0000-0000-000040010000}"/>
    <cellStyle name="Comma 2 13 6 2" xfId="318" xr:uid="{00000000-0005-0000-0000-000041010000}"/>
    <cellStyle name="Comma 2 13 7" xfId="319" xr:uid="{00000000-0005-0000-0000-000042010000}"/>
    <cellStyle name="Comma 2 14" xfId="320" xr:uid="{00000000-0005-0000-0000-000043010000}"/>
    <cellStyle name="Comma 2 14 2" xfId="321" xr:uid="{00000000-0005-0000-0000-000044010000}"/>
    <cellStyle name="Comma 2 14 2 2" xfId="322" xr:uid="{00000000-0005-0000-0000-000045010000}"/>
    <cellStyle name="Comma 2 14 2 2 2" xfId="323" xr:uid="{00000000-0005-0000-0000-000046010000}"/>
    <cellStyle name="Comma 2 14 2 2 2 2" xfId="324" xr:uid="{00000000-0005-0000-0000-000047010000}"/>
    <cellStyle name="Comma 2 14 2 2 3" xfId="325" xr:uid="{00000000-0005-0000-0000-000048010000}"/>
    <cellStyle name="Comma 2 14 2 3" xfId="326" xr:uid="{00000000-0005-0000-0000-000049010000}"/>
    <cellStyle name="Comma 2 14 2 3 2" xfId="327" xr:uid="{00000000-0005-0000-0000-00004A010000}"/>
    <cellStyle name="Comma 2 14 2 4" xfId="328" xr:uid="{00000000-0005-0000-0000-00004B010000}"/>
    <cellStyle name="Comma 2 14 2 4 2" xfId="329" xr:uid="{00000000-0005-0000-0000-00004C010000}"/>
    <cellStyle name="Comma 2 14 2 5" xfId="330" xr:uid="{00000000-0005-0000-0000-00004D010000}"/>
    <cellStyle name="Comma 2 14 3" xfId="331" xr:uid="{00000000-0005-0000-0000-00004E010000}"/>
    <cellStyle name="Comma 2 14 3 2" xfId="332" xr:uid="{00000000-0005-0000-0000-00004F010000}"/>
    <cellStyle name="Comma 2 14 3 2 2" xfId="333" xr:uid="{00000000-0005-0000-0000-000050010000}"/>
    <cellStyle name="Comma 2 14 3 3" xfId="334" xr:uid="{00000000-0005-0000-0000-000051010000}"/>
    <cellStyle name="Comma 2 14 4" xfId="335" xr:uid="{00000000-0005-0000-0000-000052010000}"/>
    <cellStyle name="Comma 2 14 4 2" xfId="336" xr:uid="{00000000-0005-0000-0000-000053010000}"/>
    <cellStyle name="Comma 2 14 5" xfId="337" xr:uid="{00000000-0005-0000-0000-000054010000}"/>
    <cellStyle name="Comma 2 14 5 2" xfId="338" xr:uid="{00000000-0005-0000-0000-000055010000}"/>
    <cellStyle name="Comma 2 14 6" xfId="339" xr:uid="{00000000-0005-0000-0000-000056010000}"/>
    <cellStyle name="Comma 2 15" xfId="340" xr:uid="{00000000-0005-0000-0000-000057010000}"/>
    <cellStyle name="Comma 2 16" xfId="341" xr:uid="{00000000-0005-0000-0000-000058010000}"/>
    <cellStyle name="Comma 2 16 2" xfId="342" xr:uid="{00000000-0005-0000-0000-000059010000}"/>
    <cellStyle name="Comma 2 16 2 2" xfId="343" xr:uid="{00000000-0005-0000-0000-00005A010000}"/>
    <cellStyle name="Comma 2 16 2 2 2" xfId="344" xr:uid="{00000000-0005-0000-0000-00005B010000}"/>
    <cellStyle name="Comma 2 16 2 3" xfId="345" xr:uid="{00000000-0005-0000-0000-00005C010000}"/>
    <cellStyle name="Comma 2 16 3" xfId="346" xr:uid="{00000000-0005-0000-0000-00005D010000}"/>
    <cellStyle name="Comma 2 16 3 2" xfId="347" xr:uid="{00000000-0005-0000-0000-00005E010000}"/>
    <cellStyle name="Comma 2 16 4" xfId="348" xr:uid="{00000000-0005-0000-0000-00005F010000}"/>
    <cellStyle name="Comma 2 16 4 2" xfId="349" xr:uid="{00000000-0005-0000-0000-000060010000}"/>
    <cellStyle name="Comma 2 16 5" xfId="350" xr:uid="{00000000-0005-0000-0000-000061010000}"/>
    <cellStyle name="Comma 2 17" xfId="351" xr:uid="{00000000-0005-0000-0000-000062010000}"/>
    <cellStyle name="Comma 2 17 2" xfId="352" xr:uid="{00000000-0005-0000-0000-000063010000}"/>
    <cellStyle name="Comma 2 17 2 2" xfId="353" xr:uid="{00000000-0005-0000-0000-000064010000}"/>
    <cellStyle name="Comma 2 17 2 2 2" xfId="354" xr:uid="{00000000-0005-0000-0000-000065010000}"/>
    <cellStyle name="Comma 2 17 2 3" xfId="355" xr:uid="{00000000-0005-0000-0000-000066010000}"/>
    <cellStyle name="Comma 2 17 3" xfId="356" xr:uid="{00000000-0005-0000-0000-000067010000}"/>
    <cellStyle name="Comma 2 18" xfId="357" xr:uid="{00000000-0005-0000-0000-000068010000}"/>
    <cellStyle name="Comma 2 18 2" xfId="358" xr:uid="{00000000-0005-0000-0000-000069010000}"/>
    <cellStyle name="Comma 2 18 2 2" xfId="359" xr:uid="{00000000-0005-0000-0000-00006A010000}"/>
    <cellStyle name="Comma 2 18 3" xfId="360" xr:uid="{00000000-0005-0000-0000-00006B010000}"/>
    <cellStyle name="Comma 2 19" xfId="361" xr:uid="{00000000-0005-0000-0000-00006C010000}"/>
    <cellStyle name="Comma 2 19 2" xfId="362" xr:uid="{00000000-0005-0000-0000-00006D010000}"/>
    <cellStyle name="Comma 2 19 2 2" xfId="363" xr:uid="{00000000-0005-0000-0000-00006E010000}"/>
    <cellStyle name="Comma 2 19 3" xfId="364" xr:uid="{00000000-0005-0000-0000-00006F010000}"/>
    <cellStyle name="Comma 2 2" xfId="365" xr:uid="{00000000-0005-0000-0000-000070010000}"/>
    <cellStyle name="Comma 2 2 10" xfId="366" xr:uid="{00000000-0005-0000-0000-000071010000}"/>
    <cellStyle name="Comma 2 2 10 2" xfId="367" xr:uid="{00000000-0005-0000-0000-000072010000}"/>
    <cellStyle name="Comma 2 2 10 2 2" xfId="368" xr:uid="{00000000-0005-0000-0000-000073010000}"/>
    <cellStyle name="Comma 2 2 10 2 2 2" xfId="369" xr:uid="{00000000-0005-0000-0000-000074010000}"/>
    <cellStyle name="Comma 2 2 10 2 2 2 2" xfId="370" xr:uid="{00000000-0005-0000-0000-000075010000}"/>
    <cellStyle name="Comma 2 2 10 2 2 3" xfId="371" xr:uid="{00000000-0005-0000-0000-000076010000}"/>
    <cellStyle name="Comma 2 2 10 2 3" xfId="372" xr:uid="{00000000-0005-0000-0000-000077010000}"/>
    <cellStyle name="Comma 2 2 10 2 3 2" xfId="373" xr:uid="{00000000-0005-0000-0000-000078010000}"/>
    <cellStyle name="Comma 2 2 10 2 4" xfId="374" xr:uid="{00000000-0005-0000-0000-000079010000}"/>
    <cellStyle name="Comma 2 2 10 2 4 2" xfId="375" xr:uid="{00000000-0005-0000-0000-00007A010000}"/>
    <cellStyle name="Comma 2 2 10 2 5" xfId="376" xr:uid="{00000000-0005-0000-0000-00007B010000}"/>
    <cellStyle name="Comma 2 2 10 3" xfId="377" xr:uid="{00000000-0005-0000-0000-00007C010000}"/>
    <cellStyle name="Comma 2 2 10 3 2" xfId="378" xr:uid="{00000000-0005-0000-0000-00007D010000}"/>
    <cellStyle name="Comma 2 2 10 3 2 2" xfId="379" xr:uid="{00000000-0005-0000-0000-00007E010000}"/>
    <cellStyle name="Comma 2 2 10 3 3" xfId="380" xr:uid="{00000000-0005-0000-0000-00007F010000}"/>
    <cellStyle name="Comma 2 2 10 4" xfId="381" xr:uid="{00000000-0005-0000-0000-000080010000}"/>
    <cellStyle name="Comma 2 2 10 4 2" xfId="382" xr:uid="{00000000-0005-0000-0000-000081010000}"/>
    <cellStyle name="Comma 2 2 10 5" xfId="383" xr:uid="{00000000-0005-0000-0000-000082010000}"/>
    <cellStyle name="Comma 2 2 10 5 2" xfId="384" xr:uid="{00000000-0005-0000-0000-000083010000}"/>
    <cellStyle name="Comma 2 2 10 6" xfId="385" xr:uid="{00000000-0005-0000-0000-000084010000}"/>
    <cellStyle name="Comma 2 2 11" xfId="386" xr:uid="{00000000-0005-0000-0000-000085010000}"/>
    <cellStyle name="Comma 2 2 11 2" xfId="387" xr:uid="{00000000-0005-0000-0000-000086010000}"/>
    <cellStyle name="Comma 2 2 11 2 2" xfId="388" xr:uid="{00000000-0005-0000-0000-000087010000}"/>
    <cellStyle name="Comma 2 2 11 2 2 2" xfId="389" xr:uid="{00000000-0005-0000-0000-000088010000}"/>
    <cellStyle name="Comma 2 2 11 2 3" xfId="390" xr:uid="{00000000-0005-0000-0000-000089010000}"/>
    <cellStyle name="Comma 2 2 11 3" xfId="391" xr:uid="{00000000-0005-0000-0000-00008A010000}"/>
    <cellStyle name="Comma 2 2 11 3 2" xfId="392" xr:uid="{00000000-0005-0000-0000-00008B010000}"/>
    <cellStyle name="Comma 2 2 11 4" xfId="393" xr:uid="{00000000-0005-0000-0000-00008C010000}"/>
    <cellStyle name="Comma 2 2 11 4 2" xfId="394" xr:uid="{00000000-0005-0000-0000-00008D010000}"/>
    <cellStyle name="Comma 2 2 11 5" xfId="395" xr:uid="{00000000-0005-0000-0000-00008E010000}"/>
    <cellStyle name="Comma 2 2 12" xfId="396" xr:uid="{00000000-0005-0000-0000-00008F010000}"/>
    <cellStyle name="Comma 2 2 12 2" xfId="397" xr:uid="{00000000-0005-0000-0000-000090010000}"/>
    <cellStyle name="Comma 2 2 12 2 2" xfId="398" xr:uid="{00000000-0005-0000-0000-000091010000}"/>
    <cellStyle name="Comma 2 2 12 2 2 2" xfId="399" xr:uid="{00000000-0005-0000-0000-000092010000}"/>
    <cellStyle name="Comma 2 2 12 2 3" xfId="400" xr:uid="{00000000-0005-0000-0000-000093010000}"/>
    <cellStyle name="Comma 2 2 12 3" xfId="401" xr:uid="{00000000-0005-0000-0000-000094010000}"/>
    <cellStyle name="Comma 2 2 12 3 2" xfId="402" xr:uid="{00000000-0005-0000-0000-000095010000}"/>
    <cellStyle name="Comma 2 2 12 4" xfId="403" xr:uid="{00000000-0005-0000-0000-000096010000}"/>
    <cellStyle name="Comma 2 2 12 4 2" xfId="404" xr:uid="{00000000-0005-0000-0000-000097010000}"/>
    <cellStyle name="Comma 2 2 12 5" xfId="405" xr:uid="{00000000-0005-0000-0000-000098010000}"/>
    <cellStyle name="Comma 2 2 13" xfId="406" xr:uid="{00000000-0005-0000-0000-000099010000}"/>
    <cellStyle name="Comma 2 2 13 2" xfId="407" xr:uid="{00000000-0005-0000-0000-00009A010000}"/>
    <cellStyle name="Comma 2 2 13 2 2" xfId="408" xr:uid="{00000000-0005-0000-0000-00009B010000}"/>
    <cellStyle name="Comma 2 2 13 3" xfId="409" xr:uid="{00000000-0005-0000-0000-00009C010000}"/>
    <cellStyle name="Comma 2 2 14" xfId="410" xr:uid="{00000000-0005-0000-0000-00009D010000}"/>
    <cellStyle name="Comma 2 2 14 2" xfId="411" xr:uid="{00000000-0005-0000-0000-00009E010000}"/>
    <cellStyle name="Comma 2 2 15" xfId="412" xr:uid="{00000000-0005-0000-0000-00009F010000}"/>
    <cellStyle name="Comma 2 2 15 2" xfId="413" xr:uid="{00000000-0005-0000-0000-0000A0010000}"/>
    <cellStyle name="Comma 2 2 16" xfId="414" xr:uid="{00000000-0005-0000-0000-0000A1010000}"/>
    <cellStyle name="Comma 2 2 2" xfId="415" xr:uid="{00000000-0005-0000-0000-0000A2010000}"/>
    <cellStyle name="Comma 2 2 2 10" xfId="416" xr:uid="{00000000-0005-0000-0000-0000A3010000}"/>
    <cellStyle name="Comma 2 2 2 10 2" xfId="417" xr:uid="{00000000-0005-0000-0000-0000A4010000}"/>
    <cellStyle name="Comma 2 2 2 10 2 2" xfId="418" xr:uid="{00000000-0005-0000-0000-0000A5010000}"/>
    <cellStyle name="Comma 2 2 2 10 3" xfId="419" xr:uid="{00000000-0005-0000-0000-0000A6010000}"/>
    <cellStyle name="Comma 2 2 2 11" xfId="420" xr:uid="{00000000-0005-0000-0000-0000A7010000}"/>
    <cellStyle name="Comma 2 2 2 11 2" xfId="421" xr:uid="{00000000-0005-0000-0000-0000A8010000}"/>
    <cellStyle name="Comma 2 2 2 12" xfId="422" xr:uid="{00000000-0005-0000-0000-0000A9010000}"/>
    <cellStyle name="Comma 2 2 2 12 2" xfId="423" xr:uid="{00000000-0005-0000-0000-0000AA010000}"/>
    <cellStyle name="Comma 2 2 2 13" xfId="424" xr:uid="{00000000-0005-0000-0000-0000AB010000}"/>
    <cellStyle name="Comma 2 2 2 2" xfId="425" xr:uid="{00000000-0005-0000-0000-0000AC010000}"/>
    <cellStyle name="Comma 2 2 2 2 2" xfId="426" xr:uid="{00000000-0005-0000-0000-0000AD010000}"/>
    <cellStyle name="Comma 2 2 2 2 2 2" xfId="427" xr:uid="{00000000-0005-0000-0000-0000AE010000}"/>
    <cellStyle name="Comma 2 2 2 2 2 2 2" xfId="428" xr:uid="{00000000-0005-0000-0000-0000AF010000}"/>
    <cellStyle name="Comma 2 2 2 2 2 2 2 2" xfId="429" xr:uid="{00000000-0005-0000-0000-0000B0010000}"/>
    <cellStyle name="Comma 2 2 2 2 2 2 2 2 2" xfId="430" xr:uid="{00000000-0005-0000-0000-0000B1010000}"/>
    <cellStyle name="Comma 2 2 2 2 2 2 2 2 2 2" xfId="431" xr:uid="{00000000-0005-0000-0000-0000B2010000}"/>
    <cellStyle name="Comma 2 2 2 2 2 2 2 2 3" xfId="432" xr:uid="{00000000-0005-0000-0000-0000B3010000}"/>
    <cellStyle name="Comma 2 2 2 2 2 2 2 3" xfId="433" xr:uid="{00000000-0005-0000-0000-0000B4010000}"/>
    <cellStyle name="Comma 2 2 2 2 2 2 2 3 2" xfId="434" xr:uid="{00000000-0005-0000-0000-0000B5010000}"/>
    <cellStyle name="Comma 2 2 2 2 2 2 2 4" xfId="435" xr:uid="{00000000-0005-0000-0000-0000B6010000}"/>
    <cellStyle name="Comma 2 2 2 2 2 2 2 4 2" xfId="436" xr:uid="{00000000-0005-0000-0000-0000B7010000}"/>
    <cellStyle name="Comma 2 2 2 2 2 2 2 5" xfId="437" xr:uid="{00000000-0005-0000-0000-0000B8010000}"/>
    <cellStyle name="Comma 2 2 2 2 2 2 3" xfId="438" xr:uid="{00000000-0005-0000-0000-0000B9010000}"/>
    <cellStyle name="Comma 2 2 2 2 2 2 3 2" xfId="439" xr:uid="{00000000-0005-0000-0000-0000BA010000}"/>
    <cellStyle name="Comma 2 2 2 2 2 2 3 2 2" xfId="440" xr:uid="{00000000-0005-0000-0000-0000BB010000}"/>
    <cellStyle name="Comma 2 2 2 2 2 2 3 3" xfId="441" xr:uid="{00000000-0005-0000-0000-0000BC010000}"/>
    <cellStyle name="Comma 2 2 2 2 2 2 4" xfId="442" xr:uid="{00000000-0005-0000-0000-0000BD010000}"/>
    <cellStyle name="Comma 2 2 2 2 2 2 4 2" xfId="443" xr:uid="{00000000-0005-0000-0000-0000BE010000}"/>
    <cellStyle name="Comma 2 2 2 2 2 2 5" xfId="444" xr:uid="{00000000-0005-0000-0000-0000BF010000}"/>
    <cellStyle name="Comma 2 2 2 2 2 2 5 2" xfId="445" xr:uid="{00000000-0005-0000-0000-0000C0010000}"/>
    <cellStyle name="Comma 2 2 2 2 2 2 6" xfId="446" xr:uid="{00000000-0005-0000-0000-0000C1010000}"/>
    <cellStyle name="Comma 2 2 2 2 2 3" xfId="447" xr:uid="{00000000-0005-0000-0000-0000C2010000}"/>
    <cellStyle name="Comma 2 2 2 2 2 3 2" xfId="448" xr:uid="{00000000-0005-0000-0000-0000C3010000}"/>
    <cellStyle name="Comma 2 2 2 2 2 3 2 2" xfId="449" xr:uid="{00000000-0005-0000-0000-0000C4010000}"/>
    <cellStyle name="Comma 2 2 2 2 2 3 2 2 2" xfId="450" xr:uid="{00000000-0005-0000-0000-0000C5010000}"/>
    <cellStyle name="Comma 2 2 2 2 2 3 2 3" xfId="451" xr:uid="{00000000-0005-0000-0000-0000C6010000}"/>
    <cellStyle name="Comma 2 2 2 2 2 3 3" xfId="452" xr:uid="{00000000-0005-0000-0000-0000C7010000}"/>
    <cellStyle name="Comma 2 2 2 2 2 3 3 2" xfId="453" xr:uid="{00000000-0005-0000-0000-0000C8010000}"/>
    <cellStyle name="Comma 2 2 2 2 2 3 4" xfId="454" xr:uid="{00000000-0005-0000-0000-0000C9010000}"/>
    <cellStyle name="Comma 2 2 2 2 2 3 4 2" xfId="455" xr:uid="{00000000-0005-0000-0000-0000CA010000}"/>
    <cellStyle name="Comma 2 2 2 2 2 3 5" xfId="456" xr:uid="{00000000-0005-0000-0000-0000CB010000}"/>
    <cellStyle name="Comma 2 2 2 2 2 4" xfId="457" xr:uid="{00000000-0005-0000-0000-0000CC010000}"/>
    <cellStyle name="Comma 2 2 2 2 2 4 2" xfId="458" xr:uid="{00000000-0005-0000-0000-0000CD010000}"/>
    <cellStyle name="Comma 2 2 2 2 2 4 2 2" xfId="459" xr:uid="{00000000-0005-0000-0000-0000CE010000}"/>
    <cellStyle name="Comma 2 2 2 2 2 4 3" xfId="460" xr:uid="{00000000-0005-0000-0000-0000CF010000}"/>
    <cellStyle name="Comma 2 2 2 2 2 5" xfId="461" xr:uid="{00000000-0005-0000-0000-0000D0010000}"/>
    <cellStyle name="Comma 2 2 2 2 2 5 2" xfId="462" xr:uid="{00000000-0005-0000-0000-0000D1010000}"/>
    <cellStyle name="Comma 2 2 2 2 2 6" xfId="463" xr:uid="{00000000-0005-0000-0000-0000D2010000}"/>
    <cellStyle name="Comma 2 2 2 2 2 6 2" xfId="464" xr:uid="{00000000-0005-0000-0000-0000D3010000}"/>
    <cellStyle name="Comma 2 2 2 2 2 7" xfId="465" xr:uid="{00000000-0005-0000-0000-0000D4010000}"/>
    <cellStyle name="Comma 2 2 2 2 3" xfId="466" xr:uid="{00000000-0005-0000-0000-0000D5010000}"/>
    <cellStyle name="Comma 2 2 2 2 3 2" xfId="467" xr:uid="{00000000-0005-0000-0000-0000D6010000}"/>
    <cellStyle name="Comma 2 2 2 2 3 2 2" xfId="468" xr:uid="{00000000-0005-0000-0000-0000D7010000}"/>
    <cellStyle name="Comma 2 2 2 2 3 2 2 2" xfId="469" xr:uid="{00000000-0005-0000-0000-0000D8010000}"/>
    <cellStyle name="Comma 2 2 2 2 3 2 2 2 2" xfId="470" xr:uid="{00000000-0005-0000-0000-0000D9010000}"/>
    <cellStyle name="Comma 2 2 2 2 3 2 2 2 2 2" xfId="471" xr:uid="{00000000-0005-0000-0000-0000DA010000}"/>
    <cellStyle name="Comma 2 2 2 2 3 2 2 2 3" xfId="472" xr:uid="{00000000-0005-0000-0000-0000DB010000}"/>
    <cellStyle name="Comma 2 2 2 2 3 2 2 3" xfId="473" xr:uid="{00000000-0005-0000-0000-0000DC010000}"/>
    <cellStyle name="Comma 2 2 2 2 3 2 2 3 2" xfId="474" xr:uid="{00000000-0005-0000-0000-0000DD010000}"/>
    <cellStyle name="Comma 2 2 2 2 3 2 2 4" xfId="475" xr:uid="{00000000-0005-0000-0000-0000DE010000}"/>
    <cellStyle name="Comma 2 2 2 2 3 2 2 4 2" xfId="476" xr:uid="{00000000-0005-0000-0000-0000DF010000}"/>
    <cellStyle name="Comma 2 2 2 2 3 2 2 5" xfId="477" xr:uid="{00000000-0005-0000-0000-0000E0010000}"/>
    <cellStyle name="Comma 2 2 2 2 3 2 3" xfId="478" xr:uid="{00000000-0005-0000-0000-0000E1010000}"/>
    <cellStyle name="Comma 2 2 2 2 3 2 3 2" xfId="479" xr:uid="{00000000-0005-0000-0000-0000E2010000}"/>
    <cellStyle name="Comma 2 2 2 2 3 2 3 2 2" xfId="480" xr:uid="{00000000-0005-0000-0000-0000E3010000}"/>
    <cellStyle name="Comma 2 2 2 2 3 2 3 3" xfId="481" xr:uid="{00000000-0005-0000-0000-0000E4010000}"/>
    <cellStyle name="Comma 2 2 2 2 3 2 4" xfId="482" xr:uid="{00000000-0005-0000-0000-0000E5010000}"/>
    <cellStyle name="Comma 2 2 2 2 3 2 4 2" xfId="483" xr:uid="{00000000-0005-0000-0000-0000E6010000}"/>
    <cellStyle name="Comma 2 2 2 2 3 2 5" xfId="484" xr:uid="{00000000-0005-0000-0000-0000E7010000}"/>
    <cellStyle name="Comma 2 2 2 2 3 2 5 2" xfId="485" xr:uid="{00000000-0005-0000-0000-0000E8010000}"/>
    <cellStyle name="Comma 2 2 2 2 3 2 6" xfId="486" xr:uid="{00000000-0005-0000-0000-0000E9010000}"/>
    <cellStyle name="Comma 2 2 2 2 3 3" xfId="487" xr:uid="{00000000-0005-0000-0000-0000EA010000}"/>
    <cellStyle name="Comma 2 2 2 2 3 3 2" xfId="488" xr:uid="{00000000-0005-0000-0000-0000EB010000}"/>
    <cellStyle name="Comma 2 2 2 2 3 3 2 2" xfId="489" xr:uid="{00000000-0005-0000-0000-0000EC010000}"/>
    <cellStyle name="Comma 2 2 2 2 3 3 2 2 2" xfId="490" xr:uid="{00000000-0005-0000-0000-0000ED010000}"/>
    <cellStyle name="Comma 2 2 2 2 3 3 2 3" xfId="491" xr:uid="{00000000-0005-0000-0000-0000EE010000}"/>
    <cellStyle name="Comma 2 2 2 2 3 3 3" xfId="492" xr:uid="{00000000-0005-0000-0000-0000EF010000}"/>
    <cellStyle name="Comma 2 2 2 2 3 3 3 2" xfId="493" xr:uid="{00000000-0005-0000-0000-0000F0010000}"/>
    <cellStyle name="Comma 2 2 2 2 3 3 4" xfId="494" xr:uid="{00000000-0005-0000-0000-0000F1010000}"/>
    <cellStyle name="Comma 2 2 2 2 3 3 4 2" xfId="495" xr:uid="{00000000-0005-0000-0000-0000F2010000}"/>
    <cellStyle name="Comma 2 2 2 2 3 3 5" xfId="496" xr:uid="{00000000-0005-0000-0000-0000F3010000}"/>
    <cellStyle name="Comma 2 2 2 2 3 4" xfId="497" xr:uid="{00000000-0005-0000-0000-0000F4010000}"/>
    <cellStyle name="Comma 2 2 2 2 3 4 2" xfId="498" xr:uid="{00000000-0005-0000-0000-0000F5010000}"/>
    <cellStyle name="Comma 2 2 2 2 3 4 2 2" xfId="499" xr:uid="{00000000-0005-0000-0000-0000F6010000}"/>
    <cellStyle name="Comma 2 2 2 2 3 4 3" xfId="500" xr:uid="{00000000-0005-0000-0000-0000F7010000}"/>
    <cellStyle name="Comma 2 2 2 2 3 5" xfId="501" xr:uid="{00000000-0005-0000-0000-0000F8010000}"/>
    <cellStyle name="Comma 2 2 2 2 3 5 2" xfId="502" xr:uid="{00000000-0005-0000-0000-0000F9010000}"/>
    <cellStyle name="Comma 2 2 2 2 3 6" xfId="503" xr:uid="{00000000-0005-0000-0000-0000FA010000}"/>
    <cellStyle name="Comma 2 2 2 2 3 6 2" xfId="504" xr:uid="{00000000-0005-0000-0000-0000FB010000}"/>
    <cellStyle name="Comma 2 2 2 2 3 7" xfId="505" xr:uid="{00000000-0005-0000-0000-0000FC010000}"/>
    <cellStyle name="Comma 2 2 2 2 4" xfId="506" xr:uid="{00000000-0005-0000-0000-0000FD010000}"/>
    <cellStyle name="Comma 2 2 2 2 4 2" xfId="507" xr:uid="{00000000-0005-0000-0000-0000FE010000}"/>
    <cellStyle name="Comma 2 2 2 2 4 2 2" xfId="508" xr:uid="{00000000-0005-0000-0000-0000FF010000}"/>
    <cellStyle name="Comma 2 2 2 2 4 2 2 2" xfId="509" xr:uid="{00000000-0005-0000-0000-000000020000}"/>
    <cellStyle name="Comma 2 2 2 2 4 2 2 2 2" xfId="510" xr:uid="{00000000-0005-0000-0000-000001020000}"/>
    <cellStyle name="Comma 2 2 2 2 4 2 2 3" xfId="511" xr:uid="{00000000-0005-0000-0000-000002020000}"/>
    <cellStyle name="Comma 2 2 2 2 4 2 3" xfId="512" xr:uid="{00000000-0005-0000-0000-000003020000}"/>
    <cellStyle name="Comma 2 2 2 2 4 2 3 2" xfId="513" xr:uid="{00000000-0005-0000-0000-000004020000}"/>
    <cellStyle name="Comma 2 2 2 2 4 2 4" xfId="514" xr:uid="{00000000-0005-0000-0000-000005020000}"/>
    <cellStyle name="Comma 2 2 2 2 4 2 4 2" xfId="515" xr:uid="{00000000-0005-0000-0000-000006020000}"/>
    <cellStyle name="Comma 2 2 2 2 4 2 5" xfId="516" xr:uid="{00000000-0005-0000-0000-000007020000}"/>
    <cellStyle name="Comma 2 2 2 2 4 3" xfId="517" xr:uid="{00000000-0005-0000-0000-000008020000}"/>
    <cellStyle name="Comma 2 2 2 2 4 3 2" xfId="518" xr:uid="{00000000-0005-0000-0000-000009020000}"/>
    <cellStyle name="Comma 2 2 2 2 4 3 2 2" xfId="519" xr:uid="{00000000-0005-0000-0000-00000A020000}"/>
    <cellStyle name="Comma 2 2 2 2 4 3 3" xfId="520" xr:uid="{00000000-0005-0000-0000-00000B020000}"/>
    <cellStyle name="Comma 2 2 2 2 4 4" xfId="521" xr:uid="{00000000-0005-0000-0000-00000C020000}"/>
    <cellStyle name="Comma 2 2 2 2 4 4 2" xfId="522" xr:uid="{00000000-0005-0000-0000-00000D020000}"/>
    <cellStyle name="Comma 2 2 2 2 4 5" xfId="523" xr:uid="{00000000-0005-0000-0000-00000E020000}"/>
    <cellStyle name="Comma 2 2 2 2 4 5 2" xfId="524" xr:uid="{00000000-0005-0000-0000-00000F020000}"/>
    <cellStyle name="Comma 2 2 2 2 4 6" xfId="525" xr:uid="{00000000-0005-0000-0000-000010020000}"/>
    <cellStyle name="Comma 2 2 2 2 5" xfId="526" xr:uid="{00000000-0005-0000-0000-000011020000}"/>
    <cellStyle name="Comma 2 2 2 2 5 2" xfId="527" xr:uid="{00000000-0005-0000-0000-000012020000}"/>
    <cellStyle name="Comma 2 2 2 2 5 2 2" xfId="528" xr:uid="{00000000-0005-0000-0000-000013020000}"/>
    <cellStyle name="Comma 2 2 2 2 5 2 2 2" xfId="529" xr:uid="{00000000-0005-0000-0000-000014020000}"/>
    <cellStyle name="Comma 2 2 2 2 5 2 3" xfId="530" xr:uid="{00000000-0005-0000-0000-000015020000}"/>
    <cellStyle name="Comma 2 2 2 2 5 3" xfId="531" xr:uid="{00000000-0005-0000-0000-000016020000}"/>
    <cellStyle name="Comma 2 2 2 2 5 3 2" xfId="532" xr:uid="{00000000-0005-0000-0000-000017020000}"/>
    <cellStyle name="Comma 2 2 2 2 5 4" xfId="533" xr:uid="{00000000-0005-0000-0000-000018020000}"/>
    <cellStyle name="Comma 2 2 2 2 5 4 2" xfId="534" xr:uid="{00000000-0005-0000-0000-000019020000}"/>
    <cellStyle name="Comma 2 2 2 2 5 5" xfId="535" xr:uid="{00000000-0005-0000-0000-00001A020000}"/>
    <cellStyle name="Comma 2 2 2 2 6" xfId="536" xr:uid="{00000000-0005-0000-0000-00001B020000}"/>
    <cellStyle name="Comma 2 2 2 2 6 2" xfId="537" xr:uid="{00000000-0005-0000-0000-00001C020000}"/>
    <cellStyle name="Comma 2 2 2 2 6 2 2" xfId="538" xr:uid="{00000000-0005-0000-0000-00001D020000}"/>
    <cellStyle name="Comma 2 2 2 2 6 3" xfId="539" xr:uid="{00000000-0005-0000-0000-00001E020000}"/>
    <cellStyle name="Comma 2 2 2 2 7" xfId="540" xr:uid="{00000000-0005-0000-0000-00001F020000}"/>
    <cellStyle name="Comma 2 2 2 2 7 2" xfId="541" xr:uid="{00000000-0005-0000-0000-000020020000}"/>
    <cellStyle name="Comma 2 2 2 2 8" xfId="542" xr:uid="{00000000-0005-0000-0000-000021020000}"/>
    <cellStyle name="Comma 2 2 2 2 8 2" xfId="543" xr:uid="{00000000-0005-0000-0000-000022020000}"/>
    <cellStyle name="Comma 2 2 2 2 9" xfId="544" xr:uid="{00000000-0005-0000-0000-000023020000}"/>
    <cellStyle name="Comma 2 2 2 3" xfId="545" xr:uid="{00000000-0005-0000-0000-000024020000}"/>
    <cellStyle name="Comma 2 2 2 3 2" xfId="546" xr:uid="{00000000-0005-0000-0000-000025020000}"/>
    <cellStyle name="Comma 2 2 2 3 2 2" xfId="547" xr:uid="{00000000-0005-0000-0000-000026020000}"/>
    <cellStyle name="Comma 2 2 2 3 2 2 2" xfId="548" xr:uid="{00000000-0005-0000-0000-000027020000}"/>
    <cellStyle name="Comma 2 2 2 3 2 2 2 2" xfId="549" xr:uid="{00000000-0005-0000-0000-000028020000}"/>
    <cellStyle name="Comma 2 2 2 3 2 2 2 2 2" xfId="550" xr:uid="{00000000-0005-0000-0000-000029020000}"/>
    <cellStyle name="Comma 2 2 2 3 2 2 2 2 2 2" xfId="551" xr:uid="{00000000-0005-0000-0000-00002A020000}"/>
    <cellStyle name="Comma 2 2 2 3 2 2 2 2 3" xfId="552" xr:uid="{00000000-0005-0000-0000-00002B020000}"/>
    <cellStyle name="Comma 2 2 2 3 2 2 2 3" xfId="553" xr:uid="{00000000-0005-0000-0000-00002C020000}"/>
    <cellStyle name="Comma 2 2 2 3 2 2 2 3 2" xfId="554" xr:uid="{00000000-0005-0000-0000-00002D020000}"/>
    <cellStyle name="Comma 2 2 2 3 2 2 2 4" xfId="555" xr:uid="{00000000-0005-0000-0000-00002E020000}"/>
    <cellStyle name="Comma 2 2 2 3 2 2 2 4 2" xfId="556" xr:uid="{00000000-0005-0000-0000-00002F020000}"/>
    <cellStyle name="Comma 2 2 2 3 2 2 2 5" xfId="557" xr:uid="{00000000-0005-0000-0000-000030020000}"/>
    <cellStyle name="Comma 2 2 2 3 2 2 3" xfId="558" xr:uid="{00000000-0005-0000-0000-000031020000}"/>
    <cellStyle name="Comma 2 2 2 3 2 2 3 2" xfId="559" xr:uid="{00000000-0005-0000-0000-000032020000}"/>
    <cellStyle name="Comma 2 2 2 3 2 2 3 2 2" xfId="560" xr:uid="{00000000-0005-0000-0000-000033020000}"/>
    <cellStyle name="Comma 2 2 2 3 2 2 3 3" xfId="561" xr:uid="{00000000-0005-0000-0000-000034020000}"/>
    <cellStyle name="Comma 2 2 2 3 2 2 4" xfId="562" xr:uid="{00000000-0005-0000-0000-000035020000}"/>
    <cellStyle name="Comma 2 2 2 3 2 2 4 2" xfId="563" xr:uid="{00000000-0005-0000-0000-000036020000}"/>
    <cellStyle name="Comma 2 2 2 3 2 2 5" xfId="564" xr:uid="{00000000-0005-0000-0000-000037020000}"/>
    <cellStyle name="Comma 2 2 2 3 2 2 5 2" xfId="565" xr:uid="{00000000-0005-0000-0000-000038020000}"/>
    <cellStyle name="Comma 2 2 2 3 2 2 6" xfId="566" xr:uid="{00000000-0005-0000-0000-000039020000}"/>
    <cellStyle name="Comma 2 2 2 3 2 3" xfId="567" xr:uid="{00000000-0005-0000-0000-00003A020000}"/>
    <cellStyle name="Comma 2 2 2 3 2 3 2" xfId="568" xr:uid="{00000000-0005-0000-0000-00003B020000}"/>
    <cellStyle name="Comma 2 2 2 3 2 3 2 2" xfId="569" xr:uid="{00000000-0005-0000-0000-00003C020000}"/>
    <cellStyle name="Comma 2 2 2 3 2 3 2 2 2" xfId="570" xr:uid="{00000000-0005-0000-0000-00003D020000}"/>
    <cellStyle name="Comma 2 2 2 3 2 3 2 3" xfId="571" xr:uid="{00000000-0005-0000-0000-00003E020000}"/>
    <cellStyle name="Comma 2 2 2 3 2 3 3" xfId="572" xr:uid="{00000000-0005-0000-0000-00003F020000}"/>
    <cellStyle name="Comma 2 2 2 3 2 3 3 2" xfId="573" xr:uid="{00000000-0005-0000-0000-000040020000}"/>
    <cellStyle name="Comma 2 2 2 3 2 3 4" xfId="574" xr:uid="{00000000-0005-0000-0000-000041020000}"/>
    <cellStyle name="Comma 2 2 2 3 2 3 4 2" xfId="575" xr:uid="{00000000-0005-0000-0000-000042020000}"/>
    <cellStyle name="Comma 2 2 2 3 2 3 5" xfId="576" xr:uid="{00000000-0005-0000-0000-000043020000}"/>
    <cellStyle name="Comma 2 2 2 3 2 4" xfId="577" xr:uid="{00000000-0005-0000-0000-000044020000}"/>
    <cellStyle name="Comma 2 2 2 3 2 4 2" xfId="578" xr:uid="{00000000-0005-0000-0000-000045020000}"/>
    <cellStyle name="Comma 2 2 2 3 2 4 2 2" xfId="579" xr:uid="{00000000-0005-0000-0000-000046020000}"/>
    <cellStyle name="Comma 2 2 2 3 2 4 3" xfId="580" xr:uid="{00000000-0005-0000-0000-000047020000}"/>
    <cellStyle name="Comma 2 2 2 3 2 5" xfId="581" xr:uid="{00000000-0005-0000-0000-000048020000}"/>
    <cellStyle name="Comma 2 2 2 3 2 5 2" xfId="582" xr:uid="{00000000-0005-0000-0000-000049020000}"/>
    <cellStyle name="Comma 2 2 2 3 2 6" xfId="583" xr:uid="{00000000-0005-0000-0000-00004A020000}"/>
    <cellStyle name="Comma 2 2 2 3 2 6 2" xfId="584" xr:uid="{00000000-0005-0000-0000-00004B020000}"/>
    <cellStyle name="Comma 2 2 2 3 2 7" xfId="585" xr:uid="{00000000-0005-0000-0000-00004C020000}"/>
    <cellStyle name="Comma 2 2 2 3 3" xfId="586" xr:uid="{00000000-0005-0000-0000-00004D020000}"/>
    <cellStyle name="Comma 2 2 2 3 3 2" xfId="587" xr:uid="{00000000-0005-0000-0000-00004E020000}"/>
    <cellStyle name="Comma 2 2 2 3 3 2 2" xfId="588" xr:uid="{00000000-0005-0000-0000-00004F020000}"/>
    <cellStyle name="Comma 2 2 2 3 3 2 2 2" xfId="589" xr:uid="{00000000-0005-0000-0000-000050020000}"/>
    <cellStyle name="Comma 2 2 2 3 3 2 2 2 2" xfId="590" xr:uid="{00000000-0005-0000-0000-000051020000}"/>
    <cellStyle name="Comma 2 2 2 3 3 2 2 2 2 2" xfId="591" xr:uid="{00000000-0005-0000-0000-000052020000}"/>
    <cellStyle name="Comma 2 2 2 3 3 2 2 2 3" xfId="592" xr:uid="{00000000-0005-0000-0000-000053020000}"/>
    <cellStyle name="Comma 2 2 2 3 3 2 2 3" xfId="593" xr:uid="{00000000-0005-0000-0000-000054020000}"/>
    <cellStyle name="Comma 2 2 2 3 3 2 2 3 2" xfId="594" xr:uid="{00000000-0005-0000-0000-000055020000}"/>
    <cellStyle name="Comma 2 2 2 3 3 2 2 4" xfId="595" xr:uid="{00000000-0005-0000-0000-000056020000}"/>
    <cellStyle name="Comma 2 2 2 3 3 2 2 4 2" xfId="596" xr:uid="{00000000-0005-0000-0000-000057020000}"/>
    <cellStyle name="Comma 2 2 2 3 3 2 2 5" xfId="597" xr:uid="{00000000-0005-0000-0000-000058020000}"/>
    <cellStyle name="Comma 2 2 2 3 3 2 3" xfId="598" xr:uid="{00000000-0005-0000-0000-000059020000}"/>
    <cellStyle name="Comma 2 2 2 3 3 2 3 2" xfId="599" xr:uid="{00000000-0005-0000-0000-00005A020000}"/>
    <cellStyle name="Comma 2 2 2 3 3 2 3 2 2" xfId="600" xr:uid="{00000000-0005-0000-0000-00005B020000}"/>
    <cellStyle name="Comma 2 2 2 3 3 2 3 3" xfId="601" xr:uid="{00000000-0005-0000-0000-00005C020000}"/>
    <cellStyle name="Comma 2 2 2 3 3 2 4" xfId="602" xr:uid="{00000000-0005-0000-0000-00005D020000}"/>
    <cellStyle name="Comma 2 2 2 3 3 2 4 2" xfId="603" xr:uid="{00000000-0005-0000-0000-00005E020000}"/>
    <cellStyle name="Comma 2 2 2 3 3 2 5" xfId="604" xr:uid="{00000000-0005-0000-0000-00005F020000}"/>
    <cellStyle name="Comma 2 2 2 3 3 2 5 2" xfId="605" xr:uid="{00000000-0005-0000-0000-000060020000}"/>
    <cellStyle name="Comma 2 2 2 3 3 2 6" xfId="606" xr:uid="{00000000-0005-0000-0000-000061020000}"/>
    <cellStyle name="Comma 2 2 2 3 3 3" xfId="607" xr:uid="{00000000-0005-0000-0000-000062020000}"/>
    <cellStyle name="Comma 2 2 2 3 3 3 2" xfId="608" xr:uid="{00000000-0005-0000-0000-000063020000}"/>
    <cellStyle name="Comma 2 2 2 3 3 3 2 2" xfId="609" xr:uid="{00000000-0005-0000-0000-000064020000}"/>
    <cellStyle name="Comma 2 2 2 3 3 3 2 2 2" xfId="610" xr:uid="{00000000-0005-0000-0000-000065020000}"/>
    <cellStyle name="Comma 2 2 2 3 3 3 2 3" xfId="611" xr:uid="{00000000-0005-0000-0000-000066020000}"/>
    <cellStyle name="Comma 2 2 2 3 3 3 3" xfId="612" xr:uid="{00000000-0005-0000-0000-000067020000}"/>
    <cellStyle name="Comma 2 2 2 3 3 3 3 2" xfId="613" xr:uid="{00000000-0005-0000-0000-000068020000}"/>
    <cellStyle name="Comma 2 2 2 3 3 3 4" xfId="614" xr:uid="{00000000-0005-0000-0000-000069020000}"/>
    <cellStyle name="Comma 2 2 2 3 3 3 4 2" xfId="615" xr:uid="{00000000-0005-0000-0000-00006A020000}"/>
    <cellStyle name="Comma 2 2 2 3 3 3 5" xfId="616" xr:uid="{00000000-0005-0000-0000-00006B020000}"/>
    <cellStyle name="Comma 2 2 2 3 3 4" xfId="617" xr:uid="{00000000-0005-0000-0000-00006C020000}"/>
    <cellStyle name="Comma 2 2 2 3 3 4 2" xfId="618" xr:uid="{00000000-0005-0000-0000-00006D020000}"/>
    <cellStyle name="Comma 2 2 2 3 3 4 2 2" xfId="619" xr:uid="{00000000-0005-0000-0000-00006E020000}"/>
    <cellStyle name="Comma 2 2 2 3 3 4 3" xfId="620" xr:uid="{00000000-0005-0000-0000-00006F020000}"/>
    <cellStyle name="Comma 2 2 2 3 3 5" xfId="621" xr:uid="{00000000-0005-0000-0000-000070020000}"/>
    <cellStyle name="Comma 2 2 2 3 3 5 2" xfId="622" xr:uid="{00000000-0005-0000-0000-000071020000}"/>
    <cellStyle name="Comma 2 2 2 3 3 6" xfId="623" xr:uid="{00000000-0005-0000-0000-000072020000}"/>
    <cellStyle name="Comma 2 2 2 3 3 6 2" xfId="624" xr:uid="{00000000-0005-0000-0000-000073020000}"/>
    <cellStyle name="Comma 2 2 2 3 3 7" xfId="625" xr:uid="{00000000-0005-0000-0000-000074020000}"/>
    <cellStyle name="Comma 2 2 2 3 4" xfId="626" xr:uid="{00000000-0005-0000-0000-000075020000}"/>
    <cellStyle name="Comma 2 2 2 3 4 2" xfId="627" xr:uid="{00000000-0005-0000-0000-000076020000}"/>
    <cellStyle name="Comma 2 2 2 3 4 2 2" xfId="628" xr:uid="{00000000-0005-0000-0000-000077020000}"/>
    <cellStyle name="Comma 2 2 2 3 4 2 2 2" xfId="629" xr:uid="{00000000-0005-0000-0000-000078020000}"/>
    <cellStyle name="Comma 2 2 2 3 4 2 2 2 2" xfId="630" xr:uid="{00000000-0005-0000-0000-000079020000}"/>
    <cellStyle name="Comma 2 2 2 3 4 2 2 3" xfId="631" xr:uid="{00000000-0005-0000-0000-00007A020000}"/>
    <cellStyle name="Comma 2 2 2 3 4 2 3" xfId="632" xr:uid="{00000000-0005-0000-0000-00007B020000}"/>
    <cellStyle name="Comma 2 2 2 3 4 2 3 2" xfId="633" xr:uid="{00000000-0005-0000-0000-00007C020000}"/>
    <cellStyle name="Comma 2 2 2 3 4 2 4" xfId="634" xr:uid="{00000000-0005-0000-0000-00007D020000}"/>
    <cellStyle name="Comma 2 2 2 3 4 2 4 2" xfId="635" xr:uid="{00000000-0005-0000-0000-00007E020000}"/>
    <cellStyle name="Comma 2 2 2 3 4 2 5" xfId="636" xr:uid="{00000000-0005-0000-0000-00007F020000}"/>
    <cellStyle name="Comma 2 2 2 3 4 3" xfId="637" xr:uid="{00000000-0005-0000-0000-000080020000}"/>
    <cellStyle name="Comma 2 2 2 3 4 3 2" xfId="638" xr:uid="{00000000-0005-0000-0000-000081020000}"/>
    <cellStyle name="Comma 2 2 2 3 4 3 2 2" xfId="639" xr:uid="{00000000-0005-0000-0000-000082020000}"/>
    <cellStyle name="Comma 2 2 2 3 4 3 3" xfId="640" xr:uid="{00000000-0005-0000-0000-000083020000}"/>
    <cellStyle name="Comma 2 2 2 3 4 4" xfId="641" xr:uid="{00000000-0005-0000-0000-000084020000}"/>
    <cellStyle name="Comma 2 2 2 3 4 4 2" xfId="642" xr:uid="{00000000-0005-0000-0000-000085020000}"/>
    <cellStyle name="Comma 2 2 2 3 4 5" xfId="643" xr:uid="{00000000-0005-0000-0000-000086020000}"/>
    <cellStyle name="Comma 2 2 2 3 4 5 2" xfId="644" xr:uid="{00000000-0005-0000-0000-000087020000}"/>
    <cellStyle name="Comma 2 2 2 3 4 6" xfId="645" xr:uid="{00000000-0005-0000-0000-000088020000}"/>
    <cellStyle name="Comma 2 2 2 3 5" xfId="646" xr:uid="{00000000-0005-0000-0000-000089020000}"/>
    <cellStyle name="Comma 2 2 2 3 5 2" xfId="647" xr:uid="{00000000-0005-0000-0000-00008A020000}"/>
    <cellStyle name="Comma 2 2 2 3 5 2 2" xfId="648" xr:uid="{00000000-0005-0000-0000-00008B020000}"/>
    <cellStyle name="Comma 2 2 2 3 5 2 2 2" xfId="649" xr:uid="{00000000-0005-0000-0000-00008C020000}"/>
    <cellStyle name="Comma 2 2 2 3 5 2 3" xfId="650" xr:uid="{00000000-0005-0000-0000-00008D020000}"/>
    <cellStyle name="Comma 2 2 2 3 5 3" xfId="651" xr:uid="{00000000-0005-0000-0000-00008E020000}"/>
    <cellStyle name="Comma 2 2 2 3 5 3 2" xfId="652" xr:uid="{00000000-0005-0000-0000-00008F020000}"/>
    <cellStyle name="Comma 2 2 2 3 5 4" xfId="653" xr:uid="{00000000-0005-0000-0000-000090020000}"/>
    <cellStyle name="Comma 2 2 2 3 5 4 2" xfId="654" xr:uid="{00000000-0005-0000-0000-000091020000}"/>
    <cellStyle name="Comma 2 2 2 3 5 5" xfId="655" xr:uid="{00000000-0005-0000-0000-000092020000}"/>
    <cellStyle name="Comma 2 2 2 3 6" xfId="656" xr:uid="{00000000-0005-0000-0000-000093020000}"/>
    <cellStyle name="Comma 2 2 2 3 6 2" xfId="657" xr:uid="{00000000-0005-0000-0000-000094020000}"/>
    <cellStyle name="Comma 2 2 2 3 6 2 2" xfId="658" xr:uid="{00000000-0005-0000-0000-000095020000}"/>
    <cellStyle name="Comma 2 2 2 3 6 3" xfId="659" xr:uid="{00000000-0005-0000-0000-000096020000}"/>
    <cellStyle name="Comma 2 2 2 3 7" xfId="660" xr:uid="{00000000-0005-0000-0000-000097020000}"/>
    <cellStyle name="Comma 2 2 2 3 7 2" xfId="661" xr:uid="{00000000-0005-0000-0000-000098020000}"/>
    <cellStyle name="Comma 2 2 2 3 8" xfId="662" xr:uid="{00000000-0005-0000-0000-000099020000}"/>
    <cellStyle name="Comma 2 2 2 3 8 2" xfId="663" xr:uid="{00000000-0005-0000-0000-00009A020000}"/>
    <cellStyle name="Comma 2 2 2 3 9" xfId="664" xr:uid="{00000000-0005-0000-0000-00009B020000}"/>
    <cellStyle name="Comma 2 2 2 4" xfId="665" xr:uid="{00000000-0005-0000-0000-00009C020000}"/>
    <cellStyle name="Comma 2 2 2 4 2" xfId="666" xr:uid="{00000000-0005-0000-0000-00009D020000}"/>
    <cellStyle name="Comma 2 2 2 4 2 2" xfId="667" xr:uid="{00000000-0005-0000-0000-00009E020000}"/>
    <cellStyle name="Comma 2 2 2 4 2 2 2" xfId="668" xr:uid="{00000000-0005-0000-0000-00009F020000}"/>
    <cellStyle name="Comma 2 2 2 4 2 2 2 2" xfId="669" xr:uid="{00000000-0005-0000-0000-0000A0020000}"/>
    <cellStyle name="Comma 2 2 2 4 2 2 2 2 2" xfId="670" xr:uid="{00000000-0005-0000-0000-0000A1020000}"/>
    <cellStyle name="Comma 2 2 2 4 2 2 2 2 2 2" xfId="671" xr:uid="{00000000-0005-0000-0000-0000A2020000}"/>
    <cellStyle name="Comma 2 2 2 4 2 2 2 2 3" xfId="672" xr:uid="{00000000-0005-0000-0000-0000A3020000}"/>
    <cellStyle name="Comma 2 2 2 4 2 2 2 3" xfId="673" xr:uid="{00000000-0005-0000-0000-0000A4020000}"/>
    <cellStyle name="Comma 2 2 2 4 2 2 2 3 2" xfId="674" xr:uid="{00000000-0005-0000-0000-0000A5020000}"/>
    <cellStyle name="Comma 2 2 2 4 2 2 2 4" xfId="675" xr:uid="{00000000-0005-0000-0000-0000A6020000}"/>
    <cellStyle name="Comma 2 2 2 4 2 2 2 4 2" xfId="676" xr:uid="{00000000-0005-0000-0000-0000A7020000}"/>
    <cellStyle name="Comma 2 2 2 4 2 2 2 5" xfId="677" xr:uid="{00000000-0005-0000-0000-0000A8020000}"/>
    <cellStyle name="Comma 2 2 2 4 2 2 3" xfId="678" xr:uid="{00000000-0005-0000-0000-0000A9020000}"/>
    <cellStyle name="Comma 2 2 2 4 2 2 3 2" xfId="679" xr:uid="{00000000-0005-0000-0000-0000AA020000}"/>
    <cellStyle name="Comma 2 2 2 4 2 2 3 2 2" xfId="680" xr:uid="{00000000-0005-0000-0000-0000AB020000}"/>
    <cellStyle name="Comma 2 2 2 4 2 2 3 3" xfId="681" xr:uid="{00000000-0005-0000-0000-0000AC020000}"/>
    <cellStyle name="Comma 2 2 2 4 2 2 4" xfId="682" xr:uid="{00000000-0005-0000-0000-0000AD020000}"/>
    <cellStyle name="Comma 2 2 2 4 2 2 4 2" xfId="683" xr:uid="{00000000-0005-0000-0000-0000AE020000}"/>
    <cellStyle name="Comma 2 2 2 4 2 2 5" xfId="684" xr:uid="{00000000-0005-0000-0000-0000AF020000}"/>
    <cellStyle name="Comma 2 2 2 4 2 2 5 2" xfId="685" xr:uid="{00000000-0005-0000-0000-0000B0020000}"/>
    <cellStyle name="Comma 2 2 2 4 2 2 6" xfId="686" xr:uid="{00000000-0005-0000-0000-0000B1020000}"/>
    <cellStyle name="Comma 2 2 2 4 2 3" xfId="687" xr:uid="{00000000-0005-0000-0000-0000B2020000}"/>
    <cellStyle name="Comma 2 2 2 4 2 3 2" xfId="688" xr:uid="{00000000-0005-0000-0000-0000B3020000}"/>
    <cellStyle name="Comma 2 2 2 4 2 3 2 2" xfId="689" xr:uid="{00000000-0005-0000-0000-0000B4020000}"/>
    <cellStyle name="Comma 2 2 2 4 2 3 2 2 2" xfId="690" xr:uid="{00000000-0005-0000-0000-0000B5020000}"/>
    <cellStyle name="Comma 2 2 2 4 2 3 2 3" xfId="691" xr:uid="{00000000-0005-0000-0000-0000B6020000}"/>
    <cellStyle name="Comma 2 2 2 4 2 3 3" xfId="692" xr:uid="{00000000-0005-0000-0000-0000B7020000}"/>
    <cellStyle name="Comma 2 2 2 4 2 3 3 2" xfId="693" xr:uid="{00000000-0005-0000-0000-0000B8020000}"/>
    <cellStyle name="Comma 2 2 2 4 2 3 4" xfId="694" xr:uid="{00000000-0005-0000-0000-0000B9020000}"/>
    <cellStyle name="Comma 2 2 2 4 2 3 4 2" xfId="695" xr:uid="{00000000-0005-0000-0000-0000BA020000}"/>
    <cellStyle name="Comma 2 2 2 4 2 3 5" xfId="696" xr:uid="{00000000-0005-0000-0000-0000BB020000}"/>
    <cellStyle name="Comma 2 2 2 4 2 4" xfId="697" xr:uid="{00000000-0005-0000-0000-0000BC020000}"/>
    <cellStyle name="Comma 2 2 2 4 2 4 2" xfId="698" xr:uid="{00000000-0005-0000-0000-0000BD020000}"/>
    <cellStyle name="Comma 2 2 2 4 2 4 2 2" xfId="699" xr:uid="{00000000-0005-0000-0000-0000BE020000}"/>
    <cellStyle name="Comma 2 2 2 4 2 4 3" xfId="700" xr:uid="{00000000-0005-0000-0000-0000BF020000}"/>
    <cellStyle name="Comma 2 2 2 4 2 5" xfId="701" xr:uid="{00000000-0005-0000-0000-0000C0020000}"/>
    <cellStyle name="Comma 2 2 2 4 2 5 2" xfId="702" xr:uid="{00000000-0005-0000-0000-0000C1020000}"/>
    <cellStyle name="Comma 2 2 2 4 2 6" xfId="703" xr:uid="{00000000-0005-0000-0000-0000C2020000}"/>
    <cellStyle name="Comma 2 2 2 4 2 6 2" xfId="704" xr:uid="{00000000-0005-0000-0000-0000C3020000}"/>
    <cellStyle name="Comma 2 2 2 4 2 7" xfId="705" xr:uid="{00000000-0005-0000-0000-0000C4020000}"/>
    <cellStyle name="Comma 2 2 2 4 3" xfId="706" xr:uid="{00000000-0005-0000-0000-0000C5020000}"/>
    <cellStyle name="Comma 2 2 2 4 3 2" xfId="707" xr:uid="{00000000-0005-0000-0000-0000C6020000}"/>
    <cellStyle name="Comma 2 2 2 4 3 2 2" xfId="708" xr:uid="{00000000-0005-0000-0000-0000C7020000}"/>
    <cellStyle name="Comma 2 2 2 4 3 2 2 2" xfId="709" xr:uid="{00000000-0005-0000-0000-0000C8020000}"/>
    <cellStyle name="Comma 2 2 2 4 3 2 2 2 2" xfId="710" xr:uid="{00000000-0005-0000-0000-0000C9020000}"/>
    <cellStyle name="Comma 2 2 2 4 3 2 2 3" xfId="711" xr:uid="{00000000-0005-0000-0000-0000CA020000}"/>
    <cellStyle name="Comma 2 2 2 4 3 2 3" xfId="712" xr:uid="{00000000-0005-0000-0000-0000CB020000}"/>
    <cellStyle name="Comma 2 2 2 4 3 2 3 2" xfId="713" xr:uid="{00000000-0005-0000-0000-0000CC020000}"/>
    <cellStyle name="Comma 2 2 2 4 3 2 4" xfId="714" xr:uid="{00000000-0005-0000-0000-0000CD020000}"/>
    <cellStyle name="Comma 2 2 2 4 3 2 4 2" xfId="715" xr:uid="{00000000-0005-0000-0000-0000CE020000}"/>
    <cellStyle name="Comma 2 2 2 4 3 2 5" xfId="716" xr:uid="{00000000-0005-0000-0000-0000CF020000}"/>
    <cellStyle name="Comma 2 2 2 4 3 3" xfId="717" xr:uid="{00000000-0005-0000-0000-0000D0020000}"/>
    <cellStyle name="Comma 2 2 2 4 3 3 2" xfId="718" xr:uid="{00000000-0005-0000-0000-0000D1020000}"/>
    <cellStyle name="Comma 2 2 2 4 3 3 2 2" xfId="719" xr:uid="{00000000-0005-0000-0000-0000D2020000}"/>
    <cellStyle name="Comma 2 2 2 4 3 3 3" xfId="720" xr:uid="{00000000-0005-0000-0000-0000D3020000}"/>
    <cellStyle name="Comma 2 2 2 4 3 4" xfId="721" xr:uid="{00000000-0005-0000-0000-0000D4020000}"/>
    <cellStyle name="Comma 2 2 2 4 3 4 2" xfId="722" xr:uid="{00000000-0005-0000-0000-0000D5020000}"/>
    <cellStyle name="Comma 2 2 2 4 3 5" xfId="723" xr:uid="{00000000-0005-0000-0000-0000D6020000}"/>
    <cellStyle name="Comma 2 2 2 4 3 5 2" xfId="724" xr:uid="{00000000-0005-0000-0000-0000D7020000}"/>
    <cellStyle name="Comma 2 2 2 4 3 6" xfId="725" xr:uid="{00000000-0005-0000-0000-0000D8020000}"/>
    <cellStyle name="Comma 2 2 2 4 4" xfId="726" xr:uid="{00000000-0005-0000-0000-0000D9020000}"/>
    <cellStyle name="Comma 2 2 2 4 4 2" xfId="727" xr:uid="{00000000-0005-0000-0000-0000DA020000}"/>
    <cellStyle name="Comma 2 2 2 4 4 2 2" xfId="728" xr:uid="{00000000-0005-0000-0000-0000DB020000}"/>
    <cellStyle name="Comma 2 2 2 4 4 2 2 2" xfId="729" xr:uid="{00000000-0005-0000-0000-0000DC020000}"/>
    <cellStyle name="Comma 2 2 2 4 4 2 3" xfId="730" xr:uid="{00000000-0005-0000-0000-0000DD020000}"/>
    <cellStyle name="Comma 2 2 2 4 4 3" xfId="731" xr:uid="{00000000-0005-0000-0000-0000DE020000}"/>
    <cellStyle name="Comma 2 2 2 4 4 3 2" xfId="732" xr:uid="{00000000-0005-0000-0000-0000DF020000}"/>
    <cellStyle name="Comma 2 2 2 4 4 4" xfId="733" xr:uid="{00000000-0005-0000-0000-0000E0020000}"/>
    <cellStyle name="Comma 2 2 2 4 4 4 2" xfId="734" xr:uid="{00000000-0005-0000-0000-0000E1020000}"/>
    <cellStyle name="Comma 2 2 2 4 4 5" xfId="735" xr:uid="{00000000-0005-0000-0000-0000E2020000}"/>
    <cellStyle name="Comma 2 2 2 4 5" xfId="736" xr:uid="{00000000-0005-0000-0000-0000E3020000}"/>
    <cellStyle name="Comma 2 2 2 4 5 2" xfId="737" xr:uid="{00000000-0005-0000-0000-0000E4020000}"/>
    <cellStyle name="Comma 2 2 2 4 5 2 2" xfId="738" xr:uid="{00000000-0005-0000-0000-0000E5020000}"/>
    <cellStyle name="Comma 2 2 2 4 5 3" xfId="739" xr:uid="{00000000-0005-0000-0000-0000E6020000}"/>
    <cellStyle name="Comma 2 2 2 4 6" xfId="740" xr:uid="{00000000-0005-0000-0000-0000E7020000}"/>
    <cellStyle name="Comma 2 2 2 4 6 2" xfId="741" xr:uid="{00000000-0005-0000-0000-0000E8020000}"/>
    <cellStyle name="Comma 2 2 2 4 7" xfId="742" xr:uid="{00000000-0005-0000-0000-0000E9020000}"/>
    <cellStyle name="Comma 2 2 2 4 7 2" xfId="743" xr:uid="{00000000-0005-0000-0000-0000EA020000}"/>
    <cellStyle name="Comma 2 2 2 4 8" xfId="744" xr:uid="{00000000-0005-0000-0000-0000EB020000}"/>
    <cellStyle name="Comma 2 2 2 5" xfId="745" xr:uid="{00000000-0005-0000-0000-0000EC020000}"/>
    <cellStyle name="Comma 2 2 2 5 2" xfId="746" xr:uid="{00000000-0005-0000-0000-0000ED020000}"/>
    <cellStyle name="Comma 2 2 2 5 2 2" xfId="747" xr:uid="{00000000-0005-0000-0000-0000EE020000}"/>
    <cellStyle name="Comma 2 2 2 5 2 2 2" xfId="748" xr:uid="{00000000-0005-0000-0000-0000EF020000}"/>
    <cellStyle name="Comma 2 2 2 5 2 2 2 2" xfId="749" xr:uid="{00000000-0005-0000-0000-0000F0020000}"/>
    <cellStyle name="Comma 2 2 2 5 2 2 2 2 2" xfId="750" xr:uid="{00000000-0005-0000-0000-0000F1020000}"/>
    <cellStyle name="Comma 2 2 2 5 2 2 2 3" xfId="751" xr:uid="{00000000-0005-0000-0000-0000F2020000}"/>
    <cellStyle name="Comma 2 2 2 5 2 2 3" xfId="752" xr:uid="{00000000-0005-0000-0000-0000F3020000}"/>
    <cellStyle name="Comma 2 2 2 5 2 2 3 2" xfId="753" xr:uid="{00000000-0005-0000-0000-0000F4020000}"/>
    <cellStyle name="Comma 2 2 2 5 2 2 4" xfId="754" xr:uid="{00000000-0005-0000-0000-0000F5020000}"/>
    <cellStyle name="Comma 2 2 2 5 2 2 4 2" xfId="755" xr:uid="{00000000-0005-0000-0000-0000F6020000}"/>
    <cellStyle name="Comma 2 2 2 5 2 2 5" xfId="756" xr:uid="{00000000-0005-0000-0000-0000F7020000}"/>
    <cellStyle name="Comma 2 2 2 5 2 3" xfId="757" xr:uid="{00000000-0005-0000-0000-0000F8020000}"/>
    <cellStyle name="Comma 2 2 2 5 2 3 2" xfId="758" xr:uid="{00000000-0005-0000-0000-0000F9020000}"/>
    <cellStyle name="Comma 2 2 2 5 2 3 2 2" xfId="759" xr:uid="{00000000-0005-0000-0000-0000FA020000}"/>
    <cellStyle name="Comma 2 2 2 5 2 3 3" xfId="760" xr:uid="{00000000-0005-0000-0000-0000FB020000}"/>
    <cellStyle name="Comma 2 2 2 5 2 4" xfId="761" xr:uid="{00000000-0005-0000-0000-0000FC020000}"/>
    <cellStyle name="Comma 2 2 2 5 2 4 2" xfId="762" xr:uid="{00000000-0005-0000-0000-0000FD020000}"/>
    <cellStyle name="Comma 2 2 2 5 2 5" xfId="763" xr:uid="{00000000-0005-0000-0000-0000FE020000}"/>
    <cellStyle name="Comma 2 2 2 5 2 5 2" xfId="764" xr:uid="{00000000-0005-0000-0000-0000FF020000}"/>
    <cellStyle name="Comma 2 2 2 5 2 6" xfId="765" xr:uid="{00000000-0005-0000-0000-000000030000}"/>
    <cellStyle name="Comma 2 2 2 5 3" xfId="766" xr:uid="{00000000-0005-0000-0000-000001030000}"/>
    <cellStyle name="Comma 2 2 2 5 3 2" xfId="767" xr:uid="{00000000-0005-0000-0000-000002030000}"/>
    <cellStyle name="Comma 2 2 2 5 3 2 2" xfId="768" xr:uid="{00000000-0005-0000-0000-000003030000}"/>
    <cellStyle name="Comma 2 2 2 5 3 2 2 2" xfId="769" xr:uid="{00000000-0005-0000-0000-000004030000}"/>
    <cellStyle name="Comma 2 2 2 5 3 2 3" xfId="770" xr:uid="{00000000-0005-0000-0000-000005030000}"/>
    <cellStyle name="Comma 2 2 2 5 3 3" xfId="771" xr:uid="{00000000-0005-0000-0000-000006030000}"/>
    <cellStyle name="Comma 2 2 2 5 3 3 2" xfId="772" xr:uid="{00000000-0005-0000-0000-000007030000}"/>
    <cellStyle name="Comma 2 2 2 5 3 4" xfId="773" xr:uid="{00000000-0005-0000-0000-000008030000}"/>
    <cellStyle name="Comma 2 2 2 5 3 4 2" xfId="774" xr:uid="{00000000-0005-0000-0000-000009030000}"/>
    <cellStyle name="Comma 2 2 2 5 3 5" xfId="775" xr:uid="{00000000-0005-0000-0000-00000A030000}"/>
    <cellStyle name="Comma 2 2 2 5 4" xfId="776" xr:uid="{00000000-0005-0000-0000-00000B030000}"/>
    <cellStyle name="Comma 2 2 2 5 4 2" xfId="777" xr:uid="{00000000-0005-0000-0000-00000C030000}"/>
    <cellStyle name="Comma 2 2 2 5 4 2 2" xfId="778" xr:uid="{00000000-0005-0000-0000-00000D030000}"/>
    <cellStyle name="Comma 2 2 2 5 4 3" xfId="779" xr:uid="{00000000-0005-0000-0000-00000E030000}"/>
    <cellStyle name="Comma 2 2 2 5 5" xfId="780" xr:uid="{00000000-0005-0000-0000-00000F030000}"/>
    <cellStyle name="Comma 2 2 2 5 5 2" xfId="781" xr:uid="{00000000-0005-0000-0000-000010030000}"/>
    <cellStyle name="Comma 2 2 2 5 6" xfId="782" xr:uid="{00000000-0005-0000-0000-000011030000}"/>
    <cellStyle name="Comma 2 2 2 5 6 2" xfId="783" xr:uid="{00000000-0005-0000-0000-000012030000}"/>
    <cellStyle name="Comma 2 2 2 5 7" xfId="784" xr:uid="{00000000-0005-0000-0000-000013030000}"/>
    <cellStyle name="Comma 2 2 2 6" xfId="785" xr:uid="{00000000-0005-0000-0000-000014030000}"/>
    <cellStyle name="Comma 2 2 2 6 2" xfId="786" xr:uid="{00000000-0005-0000-0000-000015030000}"/>
    <cellStyle name="Comma 2 2 2 6 2 2" xfId="787" xr:uid="{00000000-0005-0000-0000-000016030000}"/>
    <cellStyle name="Comma 2 2 2 6 2 2 2" xfId="788" xr:uid="{00000000-0005-0000-0000-000017030000}"/>
    <cellStyle name="Comma 2 2 2 6 2 2 2 2" xfId="789" xr:uid="{00000000-0005-0000-0000-000018030000}"/>
    <cellStyle name="Comma 2 2 2 6 2 2 2 2 2" xfId="790" xr:uid="{00000000-0005-0000-0000-000019030000}"/>
    <cellStyle name="Comma 2 2 2 6 2 2 2 3" xfId="791" xr:uid="{00000000-0005-0000-0000-00001A030000}"/>
    <cellStyle name="Comma 2 2 2 6 2 2 3" xfId="792" xr:uid="{00000000-0005-0000-0000-00001B030000}"/>
    <cellStyle name="Comma 2 2 2 6 2 2 3 2" xfId="793" xr:uid="{00000000-0005-0000-0000-00001C030000}"/>
    <cellStyle name="Comma 2 2 2 6 2 2 4" xfId="794" xr:uid="{00000000-0005-0000-0000-00001D030000}"/>
    <cellStyle name="Comma 2 2 2 6 2 2 4 2" xfId="795" xr:uid="{00000000-0005-0000-0000-00001E030000}"/>
    <cellStyle name="Comma 2 2 2 6 2 2 5" xfId="796" xr:uid="{00000000-0005-0000-0000-00001F030000}"/>
    <cellStyle name="Comma 2 2 2 6 2 3" xfId="797" xr:uid="{00000000-0005-0000-0000-000020030000}"/>
    <cellStyle name="Comma 2 2 2 6 2 3 2" xfId="798" xr:uid="{00000000-0005-0000-0000-000021030000}"/>
    <cellStyle name="Comma 2 2 2 6 2 3 2 2" xfId="799" xr:uid="{00000000-0005-0000-0000-000022030000}"/>
    <cellStyle name="Comma 2 2 2 6 2 3 3" xfId="800" xr:uid="{00000000-0005-0000-0000-000023030000}"/>
    <cellStyle name="Comma 2 2 2 6 2 4" xfId="801" xr:uid="{00000000-0005-0000-0000-000024030000}"/>
    <cellStyle name="Comma 2 2 2 6 2 4 2" xfId="802" xr:uid="{00000000-0005-0000-0000-000025030000}"/>
    <cellStyle name="Comma 2 2 2 6 2 5" xfId="803" xr:uid="{00000000-0005-0000-0000-000026030000}"/>
    <cellStyle name="Comma 2 2 2 6 2 5 2" xfId="804" xr:uid="{00000000-0005-0000-0000-000027030000}"/>
    <cellStyle name="Comma 2 2 2 6 2 6" xfId="805" xr:uid="{00000000-0005-0000-0000-000028030000}"/>
    <cellStyle name="Comma 2 2 2 6 3" xfId="806" xr:uid="{00000000-0005-0000-0000-000029030000}"/>
    <cellStyle name="Comma 2 2 2 6 3 2" xfId="807" xr:uid="{00000000-0005-0000-0000-00002A030000}"/>
    <cellStyle name="Comma 2 2 2 6 3 2 2" xfId="808" xr:uid="{00000000-0005-0000-0000-00002B030000}"/>
    <cellStyle name="Comma 2 2 2 6 3 2 2 2" xfId="809" xr:uid="{00000000-0005-0000-0000-00002C030000}"/>
    <cellStyle name="Comma 2 2 2 6 3 2 3" xfId="810" xr:uid="{00000000-0005-0000-0000-00002D030000}"/>
    <cellStyle name="Comma 2 2 2 6 3 3" xfId="811" xr:uid="{00000000-0005-0000-0000-00002E030000}"/>
    <cellStyle name="Comma 2 2 2 6 3 3 2" xfId="812" xr:uid="{00000000-0005-0000-0000-00002F030000}"/>
    <cellStyle name="Comma 2 2 2 6 3 4" xfId="813" xr:uid="{00000000-0005-0000-0000-000030030000}"/>
    <cellStyle name="Comma 2 2 2 6 3 4 2" xfId="814" xr:uid="{00000000-0005-0000-0000-000031030000}"/>
    <cellStyle name="Comma 2 2 2 6 3 5" xfId="815" xr:uid="{00000000-0005-0000-0000-000032030000}"/>
    <cellStyle name="Comma 2 2 2 6 4" xfId="816" xr:uid="{00000000-0005-0000-0000-000033030000}"/>
    <cellStyle name="Comma 2 2 2 6 4 2" xfId="817" xr:uid="{00000000-0005-0000-0000-000034030000}"/>
    <cellStyle name="Comma 2 2 2 6 4 2 2" xfId="818" xr:uid="{00000000-0005-0000-0000-000035030000}"/>
    <cellStyle name="Comma 2 2 2 6 4 3" xfId="819" xr:uid="{00000000-0005-0000-0000-000036030000}"/>
    <cellStyle name="Comma 2 2 2 6 5" xfId="820" xr:uid="{00000000-0005-0000-0000-000037030000}"/>
    <cellStyle name="Comma 2 2 2 6 5 2" xfId="821" xr:uid="{00000000-0005-0000-0000-000038030000}"/>
    <cellStyle name="Comma 2 2 2 6 6" xfId="822" xr:uid="{00000000-0005-0000-0000-000039030000}"/>
    <cellStyle name="Comma 2 2 2 6 6 2" xfId="823" xr:uid="{00000000-0005-0000-0000-00003A030000}"/>
    <cellStyle name="Comma 2 2 2 6 7" xfId="824" xr:uid="{00000000-0005-0000-0000-00003B030000}"/>
    <cellStyle name="Comma 2 2 2 7" xfId="825" xr:uid="{00000000-0005-0000-0000-00003C030000}"/>
    <cellStyle name="Comma 2 2 2 7 2" xfId="826" xr:uid="{00000000-0005-0000-0000-00003D030000}"/>
    <cellStyle name="Comma 2 2 2 7 2 2" xfId="827" xr:uid="{00000000-0005-0000-0000-00003E030000}"/>
    <cellStyle name="Comma 2 2 2 7 2 2 2" xfId="828" xr:uid="{00000000-0005-0000-0000-00003F030000}"/>
    <cellStyle name="Comma 2 2 2 7 2 2 2 2" xfId="829" xr:uid="{00000000-0005-0000-0000-000040030000}"/>
    <cellStyle name="Comma 2 2 2 7 2 2 3" xfId="830" xr:uid="{00000000-0005-0000-0000-000041030000}"/>
    <cellStyle name="Comma 2 2 2 7 2 3" xfId="831" xr:uid="{00000000-0005-0000-0000-000042030000}"/>
    <cellStyle name="Comma 2 2 2 7 2 3 2" xfId="832" xr:uid="{00000000-0005-0000-0000-000043030000}"/>
    <cellStyle name="Comma 2 2 2 7 2 4" xfId="833" xr:uid="{00000000-0005-0000-0000-000044030000}"/>
    <cellStyle name="Comma 2 2 2 7 2 4 2" xfId="834" xr:uid="{00000000-0005-0000-0000-000045030000}"/>
    <cellStyle name="Comma 2 2 2 7 2 5" xfId="835" xr:uid="{00000000-0005-0000-0000-000046030000}"/>
    <cellStyle name="Comma 2 2 2 7 3" xfId="836" xr:uid="{00000000-0005-0000-0000-000047030000}"/>
    <cellStyle name="Comma 2 2 2 7 3 2" xfId="837" xr:uid="{00000000-0005-0000-0000-000048030000}"/>
    <cellStyle name="Comma 2 2 2 7 3 2 2" xfId="838" xr:uid="{00000000-0005-0000-0000-000049030000}"/>
    <cellStyle name="Comma 2 2 2 7 3 3" xfId="839" xr:uid="{00000000-0005-0000-0000-00004A030000}"/>
    <cellStyle name="Comma 2 2 2 7 4" xfId="840" xr:uid="{00000000-0005-0000-0000-00004B030000}"/>
    <cellStyle name="Comma 2 2 2 7 4 2" xfId="841" xr:uid="{00000000-0005-0000-0000-00004C030000}"/>
    <cellStyle name="Comma 2 2 2 7 5" xfId="842" xr:uid="{00000000-0005-0000-0000-00004D030000}"/>
    <cellStyle name="Comma 2 2 2 7 5 2" xfId="843" xr:uid="{00000000-0005-0000-0000-00004E030000}"/>
    <cellStyle name="Comma 2 2 2 7 6" xfId="844" xr:uid="{00000000-0005-0000-0000-00004F030000}"/>
    <cellStyle name="Comma 2 2 2 8" xfId="845" xr:uid="{00000000-0005-0000-0000-000050030000}"/>
    <cellStyle name="Comma 2 2 2 9" xfId="846" xr:uid="{00000000-0005-0000-0000-000051030000}"/>
    <cellStyle name="Comma 2 2 2 9 2" xfId="847" xr:uid="{00000000-0005-0000-0000-000052030000}"/>
    <cellStyle name="Comma 2 2 2 9 2 2" xfId="848" xr:uid="{00000000-0005-0000-0000-000053030000}"/>
    <cellStyle name="Comma 2 2 2 9 2 2 2" xfId="849" xr:uid="{00000000-0005-0000-0000-000054030000}"/>
    <cellStyle name="Comma 2 2 2 9 2 3" xfId="850" xr:uid="{00000000-0005-0000-0000-000055030000}"/>
    <cellStyle name="Comma 2 2 2 9 3" xfId="851" xr:uid="{00000000-0005-0000-0000-000056030000}"/>
    <cellStyle name="Comma 2 2 2 9 3 2" xfId="852" xr:uid="{00000000-0005-0000-0000-000057030000}"/>
    <cellStyle name="Comma 2 2 2 9 4" xfId="853" xr:uid="{00000000-0005-0000-0000-000058030000}"/>
    <cellStyle name="Comma 2 2 2 9 4 2" xfId="854" xr:uid="{00000000-0005-0000-0000-000059030000}"/>
    <cellStyle name="Comma 2 2 2 9 5" xfId="855" xr:uid="{00000000-0005-0000-0000-00005A030000}"/>
    <cellStyle name="Comma 2 2 3" xfId="856" xr:uid="{00000000-0005-0000-0000-00005B030000}"/>
    <cellStyle name="Comma 2 2 3 10" xfId="857" xr:uid="{00000000-0005-0000-0000-00005C030000}"/>
    <cellStyle name="Comma 2 2 3 10 2" xfId="858" xr:uid="{00000000-0005-0000-0000-00005D030000}"/>
    <cellStyle name="Comma 2 2 3 11" xfId="859" xr:uid="{00000000-0005-0000-0000-00005E030000}"/>
    <cellStyle name="Comma 2 2 3 11 2" xfId="860" xr:uid="{00000000-0005-0000-0000-00005F030000}"/>
    <cellStyle name="Comma 2 2 3 12" xfId="861" xr:uid="{00000000-0005-0000-0000-000060030000}"/>
    <cellStyle name="Comma 2 2 3 2" xfId="862" xr:uid="{00000000-0005-0000-0000-000061030000}"/>
    <cellStyle name="Comma 2 2 3 2 2" xfId="863" xr:uid="{00000000-0005-0000-0000-000062030000}"/>
    <cellStyle name="Comma 2 2 3 2 2 2" xfId="864" xr:uid="{00000000-0005-0000-0000-000063030000}"/>
    <cellStyle name="Comma 2 2 3 2 2 2 2" xfId="865" xr:uid="{00000000-0005-0000-0000-000064030000}"/>
    <cellStyle name="Comma 2 2 3 2 2 2 2 2" xfId="866" xr:uid="{00000000-0005-0000-0000-000065030000}"/>
    <cellStyle name="Comma 2 2 3 2 2 2 2 2 2" xfId="867" xr:uid="{00000000-0005-0000-0000-000066030000}"/>
    <cellStyle name="Comma 2 2 3 2 2 2 2 2 2 2" xfId="868" xr:uid="{00000000-0005-0000-0000-000067030000}"/>
    <cellStyle name="Comma 2 2 3 2 2 2 2 2 3" xfId="869" xr:uid="{00000000-0005-0000-0000-000068030000}"/>
    <cellStyle name="Comma 2 2 3 2 2 2 2 3" xfId="870" xr:uid="{00000000-0005-0000-0000-000069030000}"/>
    <cellStyle name="Comma 2 2 3 2 2 2 2 3 2" xfId="871" xr:uid="{00000000-0005-0000-0000-00006A030000}"/>
    <cellStyle name="Comma 2 2 3 2 2 2 2 4" xfId="872" xr:uid="{00000000-0005-0000-0000-00006B030000}"/>
    <cellStyle name="Comma 2 2 3 2 2 2 2 4 2" xfId="873" xr:uid="{00000000-0005-0000-0000-00006C030000}"/>
    <cellStyle name="Comma 2 2 3 2 2 2 2 5" xfId="874" xr:uid="{00000000-0005-0000-0000-00006D030000}"/>
    <cellStyle name="Comma 2 2 3 2 2 2 3" xfId="875" xr:uid="{00000000-0005-0000-0000-00006E030000}"/>
    <cellStyle name="Comma 2 2 3 2 2 2 3 2" xfId="876" xr:uid="{00000000-0005-0000-0000-00006F030000}"/>
    <cellStyle name="Comma 2 2 3 2 2 2 3 2 2" xfId="877" xr:uid="{00000000-0005-0000-0000-000070030000}"/>
    <cellStyle name="Comma 2 2 3 2 2 2 3 3" xfId="878" xr:uid="{00000000-0005-0000-0000-000071030000}"/>
    <cellStyle name="Comma 2 2 3 2 2 2 4" xfId="879" xr:uid="{00000000-0005-0000-0000-000072030000}"/>
    <cellStyle name="Comma 2 2 3 2 2 2 4 2" xfId="880" xr:uid="{00000000-0005-0000-0000-000073030000}"/>
    <cellStyle name="Comma 2 2 3 2 2 2 5" xfId="881" xr:uid="{00000000-0005-0000-0000-000074030000}"/>
    <cellStyle name="Comma 2 2 3 2 2 2 5 2" xfId="882" xr:uid="{00000000-0005-0000-0000-000075030000}"/>
    <cellStyle name="Comma 2 2 3 2 2 2 6" xfId="883" xr:uid="{00000000-0005-0000-0000-000076030000}"/>
    <cellStyle name="Comma 2 2 3 2 2 3" xfId="884" xr:uid="{00000000-0005-0000-0000-000077030000}"/>
    <cellStyle name="Comma 2 2 3 2 2 3 2" xfId="885" xr:uid="{00000000-0005-0000-0000-000078030000}"/>
    <cellStyle name="Comma 2 2 3 2 2 3 2 2" xfId="886" xr:uid="{00000000-0005-0000-0000-000079030000}"/>
    <cellStyle name="Comma 2 2 3 2 2 3 2 2 2" xfId="887" xr:uid="{00000000-0005-0000-0000-00007A030000}"/>
    <cellStyle name="Comma 2 2 3 2 2 3 2 3" xfId="888" xr:uid="{00000000-0005-0000-0000-00007B030000}"/>
    <cellStyle name="Comma 2 2 3 2 2 3 3" xfId="889" xr:uid="{00000000-0005-0000-0000-00007C030000}"/>
    <cellStyle name="Comma 2 2 3 2 2 3 3 2" xfId="890" xr:uid="{00000000-0005-0000-0000-00007D030000}"/>
    <cellStyle name="Comma 2 2 3 2 2 3 4" xfId="891" xr:uid="{00000000-0005-0000-0000-00007E030000}"/>
    <cellStyle name="Comma 2 2 3 2 2 3 4 2" xfId="892" xr:uid="{00000000-0005-0000-0000-00007F030000}"/>
    <cellStyle name="Comma 2 2 3 2 2 3 5" xfId="893" xr:uid="{00000000-0005-0000-0000-000080030000}"/>
    <cellStyle name="Comma 2 2 3 2 2 4" xfId="894" xr:uid="{00000000-0005-0000-0000-000081030000}"/>
    <cellStyle name="Comma 2 2 3 2 2 4 2" xfId="895" xr:uid="{00000000-0005-0000-0000-000082030000}"/>
    <cellStyle name="Comma 2 2 3 2 2 4 2 2" xfId="896" xr:uid="{00000000-0005-0000-0000-000083030000}"/>
    <cellStyle name="Comma 2 2 3 2 2 4 3" xfId="897" xr:uid="{00000000-0005-0000-0000-000084030000}"/>
    <cellStyle name="Comma 2 2 3 2 2 5" xfId="898" xr:uid="{00000000-0005-0000-0000-000085030000}"/>
    <cellStyle name="Comma 2 2 3 2 2 5 2" xfId="899" xr:uid="{00000000-0005-0000-0000-000086030000}"/>
    <cellStyle name="Comma 2 2 3 2 2 6" xfId="900" xr:uid="{00000000-0005-0000-0000-000087030000}"/>
    <cellStyle name="Comma 2 2 3 2 2 6 2" xfId="901" xr:uid="{00000000-0005-0000-0000-000088030000}"/>
    <cellStyle name="Comma 2 2 3 2 2 7" xfId="902" xr:uid="{00000000-0005-0000-0000-000089030000}"/>
    <cellStyle name="Comma 2 2 3 2 3" xfId="903" xr:uid="{00000000-0005-0000-0000-00008A030000}"/>
    <cellStyle name="Comma 2 2 3 2 3 2" xfId="904" xr:uid="{00000000-0005-0000-0000-00008B030000}"/>
    <cellStyle name="Comma 2 2 3 2 3 2 2" xfId="905" xr:uid="{00000000-0005-0000-0000-00008C030000}"/>
    <cellStyle name="Comma 2 2 3 2 3 2 2 2" xfId="906" xr:uid="{00000000-0005-0000-0000-00008D030000}"/>
    <cellStyle name="Comma 2 2 3 2 3 2 2 2 2" xfId="907" xr:uid="{00000000-0005-0000-0000-00008E030000}"/>
    <cellStyle name="Comma 2 2 3 2 3 2 2 2 2 2" xfId="908" xr:uid="{00000000-0005-0000-0000-00008F030000}"/>
    <cellStyle name="Comma 2 2 3 2 3 2 2 2 3" xfId="909" xr:uid="{00000000-0005-0000-0000-000090030000}"/>
    <cellStyle name="Comma 2 2 3 2 3 2 2 3" xfId="910" xr:uid="{00000000-0005-0000-0000-000091030000}"/>
    <cellStyle name="Comma 2 2 3 2 3 2 2 3 2" xfId="911" xr:uid="{00000000-0005-0000-0000-000092030000}"/>
    <cellStyle name="Comma 2 2 3 2 3 2 2 4" xfId="912" xr:uid="{00000000-0005-0000-0000-000093030000}"/>
    <cellStyle name="Comma 2 2 3 2 3 2 2 4 2" xfId="913" xr:uid="{00000000-0005-0000-0000-000094030000}"/>
    <cellStyle name="Comma 2 2 3 2 3 2 2 5" xfId="914" xr:uid="{00000000-0005-0000-0000-000095030000}"/>
    <cellStyle name="Comma 2 2 3 2 3 2 3" xfId="915" xr:uid="{00000000-0005-0000-0000-000096030000}"/>
    <cellStyle name="Comma 2 2 3 2 3 2 3 2" xfId="916" xr:uid="{00000000-0005-0000-0000-000097030000}"/>
    <cellStyle name="Comma 2 2 3 2 3 2 3 2 2" xfId="917" xr:uid="{00000000-0005-0000-0000-000098030000}"/>
    <cellStyle name="Comma 2 2 3 2 3 2 3 3" xfId="918" xr:uid="{00000000-0005-0000-0000-000099030000}"/>
    <cellStyle name="Comma 2 2 3 2 3 2 4" xfId="919" xr:uid="{00000000-0005-0000-0000-00009A030000}"/>
    <cellStyle name="Comma 2 2 3 2 3 2 4 2" xfId="920" xr:uid="{00000000-0005-0000-0000-00009B030000}"/>
    <cellStyle name="Comma 2 2 3 2 3 2 5" xfId="921" xr:uid="{00000000-0005-0000-0000-00009C030000}"/>
    <cellStyle name="Comma 2 2 3 2 3 2 5 2" xfId="922" xr:uid="{00000000-0005-0000-0000-00009D030000}"/>
    <cellStyle name="Comma 2 2 3 2 3 2 6" xfId="923" xr:uid="{00000000-0005-0000-0000-00009E030000}"/>
    <cellStyle name="Comma 2 2 3 2 3 3" xfId="924" xr:uid="{00000000-0005-0000-0000-00009F030000}"/>
    <cellStyle name="Comma 2 2 3 2 3 3 2" xfId="925" xr:uid="{00000000-0005-0000-0000-0000A0030000}"/>
    <cellStyle name="Comma 2 2 3 2 3 3 2 2" xfId="926" xr:uid="{00000000-0005-0000-0000-0000A1030000}"/>
    <cellStyle name="Comma 2 2 3 2 3 3 2 2 2" xfId="927" xr:uid="{00000000-0005-0000-0000-0000A2030000}"/>
    <cellStyle name="Comma 2 2 3 2 3 3 2 3" xfId="928" xr:uid="{00000000-0005-0000-0000-0000A3030000}"/>
    <cellStyle name="Comma 2 2 3 2 3 3 3" xfId="929" xr:uid="{00000000-0005-0000-0000-0000A4030000}"/>
    <cellStyle name="Comma 2 2 3 2 3 3 3 2" xfId="930" xr:uid="{00000000-0005-0000-0000-0000A5030000}"/>
    <cellStyle name="Comma 2 2 3 2 3 3 4" xfId="931" xr:uid="{00000000-0005-0000-0000-0000A6030000}"/>
    <cellStyle name="Comma 2 2 3 2 3 3 4 2" xfId="932" xr:uid="{00000000-0005-0000-0000-0000A7030000}"/>
    <cellStyle name="Comma 2 2 3 2 3 3 5" xfId="933" xr:uid="{00000000-0005-0000-0000-0000A8030000}"/>
    <cellStyle name="Comma 2 2 3 2 3 4" xfId="934" xr:uid="{00000000-0005-0000-0000-0000A9030000}"/>
    <cellStyle name="Comma 2 2 3 2 3 4 2" xfId="935" xr:uid="{00000000-0005-0000-0000-0000AA030000}"/>
    <cellStyle name="Comma 2 2 3 2 3 4 2 2" xfId="936" xr:uid="{00000000-0005-0000-0000-0000AB030000}"/>
    <cellStyle name="Comma 2 2 3 2 3 4 3" xfId="937" xr:uid="{00000000-0005-0000-0000-0000AC030000}"/>
    <cellStyle name="Comma 2 2 3 2 3 5" xfId="938" xr:uid="{00000000-0005-0000-0000-0000AD030000}"/>
    <cellStyle name="Comma 2 2 3 2 3 5 2" xfId="939" xr:uid="{00000000-0005-0000-0000-0000AE030000}"/>
    <cellStyle name="Comma 2 2 3 2 3 6" xfId="940" xr:uid="{00000000-0005-0000-0000-0000AF030000}"/>
    <cellStyle name="Comma 2 2 3 2 3 6 2" xfId="941" xr:uid="{00000000-0005-0000-0000-0000B0030000}"/>
    <cellStyle name="Comma 2 2 3 2 3 7" xfId="942" xr:uid="{00000000-0005-0000-0000-0000B1030000}"/>
    <cellStyle name="Comma 2 2 3 2 4" xfId="943" xr:uid="{00000000-0005-0000-0000-0000B2030000}"/>
    <cellStyle name="Comma 2 2 3 2 4 2" xfId="944" xr:uid="{00000000-0005-0000-0000-0000B3030000}"/>
    <cellStyle name="Comma 2 2 3 2 4 2 2" xfId="945" xr:uid="{00000000-0005-0000-0000-0000B4030000}"/>
    <cellStyle name="Comma 2 2 3 2 4 2 2 2" xfId="946" xr:uid="{00000000-0005-0000-0000-0000B5030000}"/>
    <cellStyle name="Comma 2 2 3 2 4 2 2 2 2" xfId="947" xr:uid="{00000000-0005-0000-0000-0000B6030000}"/>
    <cellStyle name="Comma 2 2 3 2 4 2 2 3" xfId="948" xr:uid="{00000000-0005-0000-0000-0000B7030000}"/>
    <cellStyle name="Comma 2 2 3 2 4 2 3" xfId="949" xr:uid="{00000000-0005-0000-0000-0000B8030000}"/>
    <cellStyle name="Comma 2 2 3 2 4 2 3 2" xfId="950" xr:uid="{00000000-0005-0000-0000-0000B9030000}"/>
    <cellStyle name="Comma 2 2 3 2 4 2 4" xfId="951" xr:uid="{00000000-0005-0000-0000-0000BA030000}"/>
    <cellStyle name="Comma 2 2 3 2 4 2 4 2" xfId="952" xr:uid="{00000000-0005-0000-0000-0000BB030000}"/>
    <cellStyle name="Comma 2 2 3 2 4 2 5" xfId="953" xr:uid="{00000000-0005-0000-0000-0000BC030000}"/>
    <cellStyle name="Comma 2 2 3 2 4 3" xfId="954" xr:uid="{00000000-0005-0000-0000-0000BD030000}"/>
    <cellStyle name="Comma 2 2 3 2 4 3 2" xfId="955" xr:uid="{00000000-0005-0000-0000-0000BE030000}"/>
    <cellStyle name="Comma 2 2 3 2 4 3 2 2" xfId="956" xr:uid="{00000000-0005-0000-0000-0000BF030000}"/>
    <cellStyle name="Comma 2 2 3 2 4 3 3" xfId="957" xr:uid="{00000000-0005-0000-0000-0000C0030000}"/>
    <cellStyle name="Comma 2 2 3 2 4 4" xfId="958" xr:uid="{00000000-0005-0000-0000-0000C1030000}"/>
    <cellStyle name="Comma 2 2 3 2 4 4 2" xfId="959" xr:uid="{00000000-0005-0000-0000-0000C2030000}"/>
    <cellStyle name="Comma 2 2 3 2 4 5" xfId="960" xr:uid="{00000000-0005-0000-0000-0000C3030000}"/>
    <cellStyle name="Comma 2 2 3 2 4 5 2" xfId="961" xr:uid="{00000000-0005-0000-0000-0000C4030000}"/>
    <cellStyle name="Comma 2 2 3 2 4 6" xfId="962" xr:uid="{00000000-0005-0000-0000-0000C5030000}"/>
    <cellStyle name="Comma 2 2 3 2 5" xfId="963" xr:uid="{00000000-0005-0000-0000-0000C6030000}"/>
    <cellStyle name="Comma 2 2 3 2 5 2" xfId="964" xr:uid="{00000000-0005-0000-0000-0000C7030000}"/>
    <cellStyle name="Comma 2 2 3 2 5 2 2" xfId="965" xr:uid="{00000000-0005-0000-0000-0000C8030000}"/>
    <cellStyle name="Comma 2 2 3 2 5 2 2 2" xfId="966" xr:uid="{00000000-0005-0000-0000-0000C9030000}"/>
    <cellStyle name="Comma 2 2 3 2 5 2 3" xfId="967" xr:uid="{00000000-0005-0000-0000-0000CA030000}"/>
    <cellStyle name="Comma 2 2 3 2 5 3" xfId="968" xr:uid="{00000000-0005-0000-0000-0000CB030000}"/>
    <cellStyle name="Comma 2 2 3 2 5 3 2" xfId="969" xr:uid="{00000000-0005-0000-0000-0000CC030000}"/>
    <cellStyle name="Comma 2 2 3 2 5 4" xfId="970" xr:uid="{00000000-0005-0000-0000-0000CD030000}"/>
    <cellStyle name="Comma 2 2 3 2 5 4 2" xfId="971" xr:uid="{00000000-0005-0000-0000-0000CE030000}"/>
    <cellStyle name="Comma 2 2 3 2 5 5" xfId="972" xr:uid="{00000000-0005-0000-0000-0000CF030000}"/>
    <cellStyle name="Comma 2 2 3 2 6" xfId="973" xr:uid="{00000000-0005-0000-0000-0000D0030000}"/>
    <cellStyle name="Comma 2 2 3 2 6 2" xfId="974" xr:uid="{00000000-0005-0000-0000-0000D1030000}"/>
    <cellStyle name="Comma 2 2 3 2 6 2 2" xfId="975" xr:uid="{00000000-0005-0000-0000-0000D2030000}"/>
    <cellStyle name="Comma 2 2 3 2 6 3" xfId="976" xr:uid="{00000000-0005-0000-0000-0000D3030000}"/>
    <cellStyle name="Comma 2 2 3 2 7" xfId="977" xr:uid="{00000000-0005-0000-0000-0000D4030000}"/>
    <cellStyle name="Comma 2 2 3 2 7 2" xfId="978" xr:uid="{00000000-0005-0000-0000-0000D5030000}"/>
    <cellStyle name="Comma 2 2 3 2 8" xfId="979" xr:uid="{00000000-0005-0000-0000-0000D6030000}"/>
    <cellStyle name="Comma 2 2 3 2 8 2" xfId="980" xr:uid="{00000000-0005-0000-0000-0000D7030000}"/>
    <cellStyle name="Comma 2 2 3 2 9" xfId="981" xr:uid="{00000000-0005-0000-0000-0000D8030000}"/>
    <cellStyle name="Comma 2 2 3 3" xfId="982" xr:uid="{00000000-0005-0000-0000-0000D9030000}"/>
    <cellStyle name="Comma 2 2 3 3 2" xfId="983" xr:uid="{00000000-0005-0000-0000-0000DA030000}"/>
    <cellStyle name="Comma 2 2 3 3 2 2" xfId="984" xr:uid="{00000000-0005-0000-0000-0000DB030000}"/>
    <cellStyle name="Comma 2 2 3 3 2 2 2" xfId="985" xr:uid="{00000000-0005-0000-0000-0000DC030000}"/>
    <cellStyle name="Comma 2 2 3 3 2 2 2 2" xfId="986" xr:uid="{00000000-0005-0000-0000-0000DD030000}"/>
    <cellStyle name="Comma 2 2 3 3 2 2 2 2 2" xfId="987" xr:uid="{00000000-0005-0000-0000-0000DE030000}"/>
    <cellStyle name="Comma 2 2 3 3 2 2 2 2 2 2" xfId="988" xr:uid="{00000000-0005-0000-0000-0000DF030000}"/>
    <cellStyle name="Comma 2 2 3 3 2 2 2 2 3" xfId="989" xr:uid="{00000000-0005-0000-0000-0000E0030000}"/>
    <cellStyle name="Comma 2 2 3 3 2 2 2 3" xfId="990" xr:uid="{00000000-0005-0000-0000-0000E1030000}"/>
    <cellStyle name="Comma 2 2 3 3 2 2 2 3 2" xfId="991" xr:uid="{00000000-0005-0000-0000-0000E2030000}"/>
    <cellStyle name="Comma 2 2 3 3 2 2 2 4" xfId="992" xr:uid="{00000000-0005-0000-0000-0000E3030000}"/>
    <cellStyle name="Comma 2 2 3 3 2 2 2 4 2" xfId="993" xr:uid="{00000000-0005-0000-0000-0000E4030000}"/>
    <cellStyle name="Comma 2 2 3 3 2 2 2 5" xfId="994" xr:uid="{00000000-0005-0000-0000-0000E5030000}"/>
    <cellStyle name="Comma 2 2 3 3 2 2 3" xfId="995" xr:uid="{00000000-0005-0000-0000-0000E6030000}"/>
    <cellStyle name="Comma 2 2 3 3 2 2 3 2" xfId="996" xr:uid="{00000000-0005-0000-0000-0000E7030000}"/>
    <cellStyle name="Comma 2 2 3 3 2 2 3 2 2" xfId="997" xr:uid="{00000000-0005-0000-0000-0000E8030000}"/>
    <cellStyle name="Comma 2 2 3 3 2 2 3 3" xfId="998" xr:uid="{00000000-0005-0000-0000-0000E9030000}"/>
    <cellStyle name="Comma 2 2 3 3 2 2 4" xfId="999" xr:uid="{00000000-0005-0000-0000-0000EA030000}"/>
    <cellStyle name="Comma 2 2 3 3 2 2 4 2" xfId="1000" xr:uid="{00000000-0005-0000-0000-0000EB030000}"/>
    <cellStyle name="Comma 2 2 3 3 2 2 5" xfId="1001" xr:uid="{00000000-0005-0000-0000-0000EC030000}"/>
    <cellStyle name="Comma 2 2 3 3 2 2 5 2" xfId="1002" xr:uid="{00000000-0005-0000-0000-0000ED030000}"/>
    <cellStyle name="Comma 2 2 3 3 2 2 6" xfId="1003" xr:uid="{00000000-0005-0000-0000-0000EE030000}"/>
    <cellStyle name="Comma 2 2 3 3 2 3" xfId="1004" xr:uid="{00000000-0005-0000-0000-0000EF030000}"/>
    <cellStyle name="Comma 2 2 3 3 2 3 2" xfId="1005" xr:uid="{00000000-0005-0000-0000-0000F0030000}"/>
    <cellStyle name="Comma 2 2 3 3 2 3 2 2" xfId="1006" xr:uid="{00000000-0005-0000-0000-0000F1030000}"/>
    <cellStyle name="Comma 2 2 3 3 2 3 2 2 2" xfId="1007" xr:uid="{00000000-0005-0000-0000-0000F2030000}"/>
    <cellStyle name="Comma 2 2 3 3 2 3 2 3" xfId="1008" xr:uid="{00000000-0005-0000-0000-0000F3030000}"/>
    <cellStyle name="Comma 2 2 3 3 2 3 3" xfId="1009" xr:uid="{00000000-0005-0000-0000-0000F4030000}"/>
    <cellStyle name="Comma 2 2 3 3 2 3 3 2" xfId="1010" xr:uid="{00000000-0005-0000-0000-0000F5030000}"/>
    <cellStyle name="Comma 2 2 3 3 2 3 4" xfId="1011" xr:uid="{00000000-0005-0000-0000-0000F6030000}"/>
    <cellStyle name="Comma 2 2 3 3 2 3 4 2" xfId="1012" xr:uid="{00000000-0005-0000-0000-0000F7030000}"/>
    <cellStyle name="Comma 2 2 3 3 2 3 5" xfId="1013" xr:uid="{00000000-0005-0000-0000-0000F8030000}"/>
    <cellStyle name="Comma 2 2 3 3 2 4" xfId="1014" xr:uid="{00000000-0005-0000-0000-0000F9030000}"/>
    <cellStyle name="Comma 2 2 3 3 2 4 2" xfId="1015" xr:uid="{00000000-0005-0000-0000-0000FA030000}"/>
    <cellStyle name="Comma 2 2 3 3 2 4 2 2" xfId="1016" xr:uid="{00000000-0005-0000-0000-0000FB030000}"/>
    <cellStyle name="Comma 2 2 3 3 2 4 3" xfId="1017" xr:uid="{00000000-0005-0000-0000-0000FC030000}"/>
    <cellStyle name="Comma 2 2 3 3 2 5" xfId="1018" xr:uid="{00000000-0005-0000-0000-0000FD030000}"/>
    <cellStyle name="Comma 2 2 3 3 2 5 2" xfId="1019" xr:uid="{00000000-0005-0000-0000-0000FE030000}"/>
    <cellStyle name="Comma 2 2 3 3 2 6" xfId="1020" xr:uid="{00000000-0005-0000-0000-0000FF030000}"/>
    <cellStyle name="Comma 2 2 3 3 2 6 2" xfId="1021" xr:uid="{00000000-0005-0000-0000-000000040000}"/>
    <cellStyle name="Comma 2 2 3 3 2 7" xfId="1022" xr:uid="{00000000-0005-0000-0000-000001040000}"/>
    <cellStyle name="Comma 2 2 3 3 3" xfId="1023" xr:uid="{00000000-0005-0000-0000-000002040000}"/>
    <cellStyle name="Comma 2 2 3 3 3 2" xfId="1024" xr:uid="{00000000-0005-0000-0000-000003040000}"/>
    <cellStyle name="Comma 2 2 3 3 3 2 2" xfId="1025" xr:uid="{00000000-0005-0000-0000-000004040000}"/>
    <cellStyle name="Comma 2 2 3 3 3 2 2 2" xfId="1026" xr:uid="{00000000-0005-0000-0000-000005040000}"/>
    <cellStyle name="Comma 2 2 3 3 3 2 2 2 2" xfId="1027" xr:uid="{00000000-0005-0000-0000-000006040000}"/>
    <cellStyle name="Comma 2 2 3 3 3 2 2 2 2 2" xfId="1028" xr:uid="{00000000-0005-0000-0000-000007040000}"/>
    <cellStyle name="Comma 2 2 3 3 3 2 2 2 3" xfId="1029" xr:uid="{00000000-0005-0000-0000-000008040000}"/>
    <cellStyle name="Comma 2 2 3 3 3 2 2 3" xfId="1030" xr:uid="{00000000-0005-0000-0000-000009040000}"/>
    <cellStyle name="Comma 2 2 3 3 3 2 2 3 2" xfId="1031" xr:uid="{00000000-0005-0000-0000-00000A040000}"/>
    <cellStyle name="Comma 2 2 3 3 3 2 2 4" xfId="1032" xr:uid="{00000000-0005-0000-0000-00000B040000}"/>
    <cellStyle name="Comma 2 2 3 3 3 2 2 4 2" xfId="1033" xr:uid="{00000000-0005-0000-0000-00000C040000}"/>
    <cellStyle name="Comma 2 2 3 3 3 2 2 5" xfId="1034" xr:uid="{00000000-0005-0000-0000-00000D040000}"/>
    <cellStyle name="Comma 2 2 3 3 3 2 3" xfId="1035" xr:uid="{00000000-0005-0000-0000-00000E040000}"/>
    <cellStyle name="Comma 2 2 3 3 3 2 3 2" xfId="1036" xr:uid="{00000000-0005-0000-0000-00000F040000}"/>
    <cellStyle name="Comma 2 2 3 3 3 2 3 2 2" xfId="1037" xr:uid="{00000000-0005-0000-0000-000010040000}"/>
    <cellStyle name="Comma 2 2 3 3 3 2 3 3" xfId="1038" xr:uid="{00000000-0005-0000-0000-000011040000}"/>
    <cellStyle name="Comma 2 2 3 3 3 2 4" xfId="1039" xr:uid="{00000000-0005-0000-0000-000012040000}"/>
    <cellStyle name="Comma 2 2 3 3 3 2 4 2" xfId="1040" xr:uid="{00000000-0005-0000-0000-000013040000}"/>
    <cellStyle name="Comma 2 2 3 3 3 2 5" xfId="1041" xr:uid="{00000000-0005-0000-0000-000014040000}"/>
    <cellStyle name="Comma 2 2 3 3 3 2 5 2" xfId="1042" xr:uid="{00000000-0005-0000-0000-000015040000}"/>
    <cellStyle name="Comma 2 2 3 3 3 2 6" xfId="1043" xr:uid="{00000000-0005-0000-0000-000016040000}"/>
    <cellStyle name="Comma 2 2 3 3 3 3" xfId="1044" xr:uid="{00000000-0005-0000-0000-000017040000}"/>
    <cellStyle name="Comma 2 2 3 3 3 3 2" xfId="1045" xr:uid="{00000000-0005-0000-0000-000018040000}"/>
    <cellStyle name="Comma 2 2 3 3 3 3 2 2" xfId="1046" xr:uid="{00000000-0005-0000-0000-000019040000}"/>
    <cellStyle name="Comma 2 2 3 3 3 3 2 2 2" xfId="1047" xr:uid="{00000000-0005-0000-0000-00001A040000}"/>
    <cellStyle name="Comma 2 2 3 3 3 3 2 3" xfId="1048" xr:uid="{00000000-0005-0000-0000-00001B040000}"/>
    <cellStyle name="Comma 2 2 3 3 3 3 3" xfId="1049" xr:uid="{00000000-0005-0000-0000-00001C040000}"/>
    <cellStyle name="Comma 2 2 3 3 3 3 3 2" xfId="1050" xr:uid="{00000000-0005-0000-0000-00001D040000}"/>
    <cellStyle name="Comma 2 2 3 3 3 3 4" xfId="1051" xr:uid="{00000000-0005-0000-0000-00001E040000}"/>
    <cellStyle name="Comma 2 2 3 3 3 3 4 2" xfId="1052" xr:uid="{00000000-0005-0000-0000-00001F040000}"/>
    <cellStyle name="Comma 2 2 3 3 3 3 5" xfId="1053" xr:uid="{00000000-0005-0000-0000-000020040000}"/>
    <cellStyle name="Comma 2 2 3 3 3 4" xfId="1054" xr:uid="{00000000-0005-0000-0000-000021040000}"/>
    <cellStyle name="Comma 2 2 3 3 3 4 2" xfId="1055" xr:uid="{00000000-0005-0000-0000-000022040000}"/>
    <cellStyle name="Comma 2 2 3 3 3 4 2 2" xfId="1056" xr:uid="{00000000-0005-0000-0000-000023040000}"/>
    <cellStyle name="Comma 2 2 3 3 3 4 3" xfId="1057" xr:uid="{00000000-0005-0000-0000-000024040000}"/>
    <cellStyle name="Comma 2 2 3 3 3 5" xfId="1058" xr:uid="{00000000-0005-0000-0000-000025040000}"/>
    <cellStyle name="Comma 2 2 3 3 3 5 2" xfId="1059" xr:uid="{00000000-0005-0000-0000-000026040000}"/>
    <cellStyle name="Comma 2 2 3 3 3 6" xfId="1060" xr:uid="{00000000-0005-0000-0000-000027040000}"/>
    <cellStyle name="Comma 2 2 3 3 3 6 2" xfId="1061" xr:uid="{00000000-0005-0000-0000-000028040000}"/>
    <cellStyle name="Comma 2 2 3 3 3 7" xfId="1062" xr:uid="{00000000-0005-0000-0000-000029040000}"/>
    <cellStyle name="Comma 2 2 3 3 4" xfId="1063" xr:uid="{00000000-0005-0000-0000-00002A040000}"/>
    <cellStyle name="Comma 2 2 3 3 4 2" xfId="1064" xr:uid="{00000000-0005-0000-0000-00002B040000}"/>
    <cellStyle name="Comma 2 2 3 3 4 2 2" xfId="1065" xr:uid="{00000000-0005-0000-0000-00002C040000}"/>
    <cellStyle name="Comma 2 2 3 3 4 2 2 2" xfId="1066" xr:uid="{00000000-0005-0000-0000-00002D040000}"/>
    <cellStyle name="Comma 2 2 3 3 4 2 2 2 2" xfId="1067" xr:uid="{00000000-0005-0000-0000-00002E040000}"/>
    <cellStyle name="Comma 2 2 3 3 4 2 2 3" xfId="1068" xr:uid="{00000000-0005-0000-0000-00002F040000}"/>
    <cellStyle name="Comma 2 2 3 3 4 2 3" xfId="1069" xr:uid="{00000000-0005-0000-0000-000030040000}"/>
    <cellStyle name="Comma 2 2 3 3 4 2 3 2" xfId="1070" xr:uid="{00000000-0005-0000-0000-000031040000}"/>
    <cellStyle name="Comma 2 2 3 3 4 2 4" xfId="1071" xr:uid="{00000000-0005-0000-0000-000032040000}"/>
    <cellStyle name="Comma 2 2 3 3 4 2 4 2" xfId="1072" xr:uid="{00000000-0005-0000-0000-000033040000}"/>
    <cellStyle name="Comma 2 2 3 3 4 2 5" xfId="1073" xr:uid="{00000000-0005-0000-0000-000034040000}"/>
    <cellStyle name="Comma 2 2 3 3 4 3" xfId="1074" xr:uid="{00000000-0005-0000-0000-000035040000}"/>
    <cellStyle name="Comma 2 2 3 3 4 3 2" xfId="1075" xr:uid="{00000000-0005-0000-0000-000036040000}"/>
    <cellStyle name="Comma 2 2 3 3 4 3 2 2" xfId="1076" xr:uid="{00000000-0005-0000-0000-000037040000}"/>
    <cellStyle name="Comma 2 2 3 3 4 3 3" xfId="1077" xr:uid="{00000000-0005-0000-0000-000038040000}"/>
    <cellStyle name="Comma 2 2 3 3 4 4" xfId="1078" xr:uid="{00000000-0005-0000-0000-000039040000}"/>
    <cellStyle name="Comma 2 2 3 3 4 4 2" xfId="1079" xr:uid="{00000000-0005-0000-0000-00003A040000}"/>
    <cellStyle name="Comma 2 2 3 3 4 5" xfId="1080" xr:uid="{00000000-0005-0000-0000-00003B040000}"/>
    <cellStyle name="Comma 2 2 3 3 4 5 2" xfId="1081" xr:uid="{00000000-0005-0000-0000-00003C040000}"/>
    <cellStyle name="Comma 2 2 3 3 4 6" xfId="1082" xr:uid="{00000000-0005-0000-0000-00003D040000}"/>
    <cellStyle name="Comma 2 2 3 3 5" xfId="1083" xr:uid="{00000000-0005-0000-0000-00003E040000}"/>
    <cellStyle name="Comma 2 2 3 3 5 2" xfId="1084" xr:uid="{00000000-0005-0000-0000-00003F040000}"/>
    <cellStyle name="Comma 2 2 3 3 5 2 2" xfId="1085" xr:uid="{00000000-0005-0000-0000-000040040000}"/>
    <cellStyle name="Comma 2 2 3 3 5 2 2 2" xfId="1086" xr:uid="{00000000-0005-0000-0000-000041040000}"/>
    <cellStyle name="Comma 2 2 3 3 5 2 3" xfId="1087" xr:uid="{00000000-0005-0000-0000-000042040000}"/>
    <cellStyle name="Comma 2 2 3 3 5 3" xfId="1088" xr:uid="{00000000-0005-0000-0000-000043040000}"/>
    <cellStyle name="Comma 2 2 3 3 5 3 2" xfId="1089" xr:uid="{00000000-0005-0000-0000-000044040000}"/>
    <cellStyle name="Comma 2 2 3 3 5 4" xfId="1090" xr:uid="{00000000-0005-0000-0000-000045040000}"/>
    <cellStyle name="Comma 2 2 3 3 5 4 2" xfId="1091" xr:uid="{00000000-0005-0000-0000-000046040000}"/>
    <cellStyle name="Comma 2 2 3 3 5 5" xfId="1092" xr:uid="{00000000-0005-0000-0000-000047040000}"/>
    <cellStyle name="Comma 2 2 3 3 6" xfId="1093" xr:uid="{00000000-0005-0000-0000-000048040000}"/>
    <cellStyle name="Comma 2 2 3 3 6 2" xfId="1094" xr:uid="{00000000-0005-0000-0000-000049040000}"/>
    <cellStyle name="Comma 2 2 3 3 6 2 2" xfId="1095" xr:uid="{00000000-0005-0000-0000-00004A040000}"/>
    <cellStyle name="Comma 2 2 3 3 6 3" xfId="1096" xr:uid="{00000000-0005-0000-0000-00004B040000}"/>
    <cellStyle name="Comma 2 2 3 3 7" xfId="1097" xr:uid="{00000000-0005-0000-0000-00004C040000}"/>
    <cellStyle name="Comma 2 2 3 3 7 2" xfId="1098" xr:uid="{00000000-0005-0000-0000-00004D040000}"/>
    <cellStyle name="Comma 2 2 3 3 8" xfId="1099" xr:uid="{00000000-0005-0000-0000-00004E040000}"/>
    <cellStyle name="Comma 2 2 3 3 8 2" xfId="1100" xr:uid="{00000000-0005-0000-0000-00004F040000}"/>
    <cellStyle name="Comma 2 2 3 3 9" xfId="1101" xr:uid="{00000000-0005-0000-0000-000050040000}"/>
    <cellStyle name="Comma 2 2 3 4" xfId="1102" xr:uid="{00000000-0005-0000-0000-000051040000}"/>
    <cellStyle name="Comma 2 2 3 4 2" xfId="1103" xr:uid="{00000000-0005-0000-0000-000052040000}"/>
    <cellStyle name="Comma 2 2 3 4 2 2" xfId="1104" xr:uid="{00000000-0005-0000-0000-000053040000}"/>
    <cellStyle name="Comma 2 2 3 4 2 2 2" xfId="1105" xr:uid="{00000000-0005-0000-0000-000054040000}"/>
    <cellStyle name="Comma 2 2 3 4 2 2 2 2" xfId="1106" xr:uid="{00000000-0005-0000-0000-000055040000}"/>
    <cellStyle name="Comma 2 2 3 4 2 2 2 2 2" xfId="1107" xr:uid="{00000000-0005-0000-0000-000056040000}"/>
    <cellStyle name="Comma 2 2 3 4 2 2 2 2 2 2" xfId="1108" xr:uid="{00000000-0005-0000-0000-000057040000}"/>
    <cellStyle name="Comma 2 2 3 4 2 2 2 2 3" xfId="1109" xr:uid="{00000000-0005-0000-0000-000058040000}"/>
    <cellStyle name="Comma 2 2 3 4 2 2 2 3" xfId="1110" xr:uid="{00000000-0005-0000-0000-000059040000}"/>
    <cellStyle name="Comma 2 2 3 4 2 2 2 3 2" xfId="1111" xr:uid="{00000000-0005-0000-0000-00005A040000}"/>
    <cellStyle name="Comma 2 2 3 4 2 2 2 4" xfId="1112" xr:uid="{00000000-0005-0000-0000-00005B040000}"/>
    <cellStyle name="Comma 2 2 3 4 2 2 2 4 2" xfId="1113" xr:uid="{00000000-0005-0000-0000-00005C040000}"/>
    <cellStyle name="Comma 2 2 3 4 2 2 2 5" xfId="1114" xr:uid="{00000000-0005-0000-0000-00005D040000}"/>
    <cellStyle name="Comma 2 2 3 4 2 2 3" xfId="1115" xr:uid="{00000000-0005-0000-0000-00005E040000}"/>
    <cellStyle name="Comma 2 2 3 4 2 2 3 2" xfId="1116" xr:uid="{00000000-0005-0000-0000-00005F040000}"/>
    <cellStyle name="Comma 2 2 3 4 2 2 3 2 2" xfId="1117" xr:uid="{00000000-0005-0000-0000-000060040000}"/>
    <cellStyle name="Comma 2 2 3 4 2 2 3 3" xfId="1118" xr:uid="{00000000-0005-0000-0000-000061040000}"/>
    <cellStyle name="Comma 2 2 3 4 2 2 4" xfId="1119" xr:uid="{00000000-0005-0000-0000-000062040000}"/>
    <cellStyle name="Comma 2 2 3 4 2 2 4 2" xfId="1120" xr:uid="{00000000-0005-0000-0000-000063040000}"/>
    <cellStyle name="Comma 2 2 3 4 2 2 5" xfId="1121" xr:uid="{00000000-0005-0000-0000-000064040000}"/>
    <cellStyle name="Comma 2 2 3 4 2 2 5 2" xfId="1122" xr:uid="{00000000-0005-0000-0000-000065040000}"/>
    <cellStyle name="Comma 2 2 3 4 2 2 6" xfId="1123" xr:uid="{00000000-0005-0000-0000-000066040000}"/>
    <cellStyle name="Comma 2 2 3 4 2 3" xfId="1124" xr:uid="{00000000-0005-0000-0000-000067040000}"/>
    <cellStyle name="Comma 2 2 3 4 2 3 2" xfId="1125" xr:uid="{00000000-0005-0000-0000-000068040000}"/>
    <cellStyle name="Comma 2 2 3 4 2 3 2 2" xfId="1126" xr:uid="{00000000-0005-0000-0000-000069040000}"/>
    <cellStyle name="Comma 2 2 3 4 2 3 2 2 2" xfId="1127" xr:uid="{00000000-0005-0000-0000-00006A040000}"/>
    <cellStyle name="Comma 2 2 3 4 2 3 2 3" xfId="1128" xr:uid="{00000000-0005-0000-0000-00006B040000}"/>
    <cellStyle name="Comma 2 2 3 4 2 3 3" xfId="1129" xr:uid="{00000000-0005-0000-0000-00006C040000}"/>
    <cellStyle name="Comma 2 2 3 4 2 3 3 2" xfId="1130" xr:uid="{00000000-0005-0000-0000-00006D040000}"/>
    <cellStyle name="Comma 2 2 3 4 2 3 4" xfId="1131" xr:uid="{00000000-0005-0000-0000-00006E040000}"/>
    <cellStyle name="Comma 2 2 3 4 2 3 4 2" xfId="1132" xr:uid="{00000000-0005-0000-0000-00006F040000}"/>
    <cellStyle name="Comma 2 2 3 4 2 3 5" xfId="1133" xr:uid="{00000000-0005-0000-0000-000070040000}"/>
    <cellStyle name="Comma 2 2 3 4 2 4" xfId="1134" xr:uid="{00000000-0005-0000-0000-000071040000}"/>
    <cellStyle name="Comma 2 2 3 4 2 4 2" xfId="1135" xr:uid="{00000000-0005-0000-0000-000072040000}"/>
    <cellStyle name="Comma 2 2 3 4 2 4 2 2" xfId="1136" xr:uid="{00000000-0005-0000-0000-000073040000}"/>
    <cellStyle name="Comma 2 2 3 4 2 4 3" xfId="1137" xr:uid="{00000000-0005-0000-0000-000074040000}"/>
    <cellStyle name="Comma 2 2 3 4 2 5" xfId="1138" xr:uid="{00000000-0005-0000-0000-000075040000}"/>
    <cellStyle name="Comma 2 2 3 4 2 5 2" xfId="1139" xr:uid="{00000000-0005-0000-0000-000076040000}"/>
    <cellStyle name="Comma 2 2 3 4 2 6" xfId="1140" xr:uid="{00000000-0005-0000-0000-000077040000}"/>
    <cellStyle name="Comma 2 2 3 4 2 6 2" xfId="1141" xr:uid="{00000000-0005-0000-0000-000078040000}"/>
    <cellStyle name="Comma 2 2 3 4 2 7" xfId="1142" xr:uid="{00000000-0005-0000-0000-000079040000}"/>
    <cellStyle name="Comma 2 2 3 4 3" xfId="1143" xr:uid="{00000000-0005-0000-0000-00007A040000}"/>
    <cellStyle name="Comma 2 2 3 4 3 2" xfId="1144" xr:uid="{00000000-0005-0000-0000-00007B040000}"/>
    <cellStyle name="Comma 2 2 3 4 3 2 2" xfId="1145" xr:uid="{00000000-0005-0000-0000-00007C040000}"/>
    <cellStyle name="Comma 2 2 3 4 3 2 2 2" xfId="1146" xr:uid="{00000000-0005-0000-0000-00007D040000}"/>
    <cellStyle name="Comma 2 2 3 4 3 2 2 2 2" xfId="1147" xr:uid="{00000000-0005-0000-0000-00007E040000}"/>
    <cellStyle name="Comma 2 2 3 4 3 2 2 3" xfId="1148" xr:uid="{00000000-0005-0000-0000-00007F040000}"/>
    <cellStyle name="Comma 2 2 3 4 3 2 3" xfId="1149" xr:uid="{00000000-0005-0000-0000-000080040000}"/>
    <cellStyle name="Comma 2 2 3 4 3 2 3 2" xfId="1150" xr:uid="{00000000-0005-0000-0000-000081040000}"/>
    <cellStyle name="Comma 2 2 3 4 3 2 4" xfId="1151" xr:uid="{00000000-0005-0000-0000-000082040000}"/>
    <cellStyle name="Comma 2 2 3 4 3 2 4 2" xfId="1152" xr:uid="{00000000-0005-0000-0000-000083040000}"/>
    <cellStyle name="Comma 2 2 3 4 3 2 5" xfId="1153" xr:uid="{00000000-0005-0000-0000-000084040000}"/>
    <cellStyle name="Comma 2 2 3 4 3 3" xfId="1154" xr:uid="{00000000-0005-0000-0000-000085040000}"/>
    <cellStyle name="Comma 2 2 3 4 3 3 2" xfId="1155" xr:uid="{00000000-0005-0000-0000-000086040000}"/>
    <cellStyle name="Comma 2 2 3 4 3 3 2 2" xfId="1156" xr:uid="{00000000-0005-0000-0000-000087040000}"/>
    <cellStyle name="Comma 2 2 3 4 3 3 3" xfId="1157" xr:uid="{00000000-0005-0000-0000-000088040000}"/>
    <cellStyle name="Comma 2 2 3 4 3 4" xfId="1158" xr:uid="{00000000-0005-0000-0000-000089040000}"/>
    <cellStyle name="Comma 2 2 3 4 3 4 2" xfId="1159" xr:uid="{00000000-0005-0000-0000-00008A040000}"/>
    <cellStyle name="Comma 2 2 3 4 3 5" xfId="1160" xr:uid="{00000000-0005-0000-0000-00008B040000}"/>
    <cellStyle name="Comma 2 2 3 4 3 5 2" xfId="1161" xr:uid="{00000000-0005-0000-0000-00008C040000}"/>
    <cellStyle name="Comma 2 2 3 4 3 6" xfId="1162" xr:uid="{00000000-0005-0000-0000-00008D040000}"/>
    <cellStyle name="Comma 2 2 3 4 4" xfId="1163" xr:uid="{00000000-0005-0000-0000-00008E040000}"/>
    <cellStyle name="Comma 2 2 3 4 4 2" xfId="1164" xr:uid="{00000000-0005-0000-0000-00008F040000}"/>
    <cellStyle name="Comma 2 2 3 4 4 2 2" xfId="1165" xr:uid="{00000000-0005-0000-0000-000090040000}"/>
    <cellStyle name="Comma 2 2 3 4 4 2 2 2" xfId="1166" xr:uid="{00000000-0005-0000-0000-000091040000}"/>
    <cellStyle name="Comma 2 2 3 4 4 2 3" xfId="1167" xr:uid="{00000000-0005-0000-0000-000092040000}"/>
    <cellStyle name="Comma 2 2 3 4 4 3" xfId="1168" xr:uid="{00000000-0005-0000-0000-000093040000}"/>
    <cellStyle name="Comma 2 2 3 4 4 3 2" xfId="1169" xr:uid="{00000000-0005-0000-0000-000094040000}"/>
    <cellStyle name="Comma 2 2 3 4 4 4" xfId="1170" xr:uid="{00000000-0005-0000-0000-000095040000}"/>
    <cellStyle name="Comma 2 2 3 4 4 4 2" xfId="1171" xr:uid="{00000000-0005-0000-0000-000096040000}"/>
    <cellStyle name="Comma 2 2 3 4 4 5" xfId="1172" xr:uid="{00000000-0005-0000-0000-000097040000}"/>
    <cellStyle name="Comma 2 2 3 4 5" xfId="1173" xr:uid="{00000000-0005-0000-0000-000098040000}"/>
    <cellStyle name="Comma 2 2 3 4 5 2" xfId="1174" xr:uid="{00000000-0005-0000-0000-000099040000}"/>
    <cellStyle name="Comma 2 2 3 4 5 2 2" xfId="1175" xr:uid="{00000000-0005-0000-0000-00009A040000}"/>
    <cellStyle name="Comma 2 2 3 4 5 3" xfId="1176" xr:uid="{00000000-0005-0000-0000-00009B040000}"/>
    <cellStyle name="Comma 2 2 3 4 6" xfId="1177" xr:uid="{00000000-0005-0000-0000-00009C040000}"/>
    <cellStyle name="Comma 2 2 3 4 6 2" xfId="1178" xr:uid="{00000000-0005-0000-0000-00009D040000}"/>
    <cellStyle name="Comma 2 2 3 4 7" xfId="1179" xr:uid="{00000000-0005-0000-0000-00009E040000}"/>
    <cellStyle name="Comma 2 2 3 4 7 2" xfId="1180" xr:uid="{00000000-0005-0000-0000-00009F040000}"/>
    <cellStyle name="Comma 2 2 3 4 8" xfId="1181" xr:uid="{00000000-0005-0000-0000-0000A0040000}"/>
    <cellStyle name="Comma 2 2 3 5" xfId="1182" xr:uid="{00000000-0005-0000-0000-0000A1040000}"/>
    <cellStyle name="Comma 2 2 3 5 2" xfId="1183" xr:uid="{00000000-0005-0000-0000-0000A2040000}"/>
    <cellStyle name="Comma 2 2 3 5 2 2" xfId="1184" xr:uid="{00000000-0005-0000-0000-0000A3040000}"/>
    <cellStyle name="Comma 2 2 3 5 2 2 2" xfId="1185" xr:uid="{00000000-0005-0000-0000-0000A4040000}"/>
    <cellStyle name="Comma 2 2 3 5 2 2 2 2" xfId="1186" xr:uid="{00000000-0005-0000-0000-0000A5040000}"/>
    <cellStyle name="Comma 2 2 3 5 2 2 2 2 2" xfId="1187" xr:uid="{00000000-0005-0000-0000-0000A6040000}"/>
    <cellStyle name="Comma 2 2 3 5 2 2 2 3" xfId="1188" xr:uid="{00000000-0005-0000-0000-0000A7040000}"/>
    <cellStyle name="Comma 2 2 3 5 2 2 3" xfId="1189" xr:uid="{00000000-0005-0000-0000-0000A8040000}"/>
    <cellStyle name="Comma 2 2 3 5 2 2 3 2" xfId="1190" xr:uid="{00000000-0005-0000-0000-0000A9040000}"/>
    <cellStyle name="Comma 2 2 3 5 2 2 4" xfId="1191" xr:uid="{00000000-0005-0000-0000-0000AA040000}"/>
    <cellStyle name="Comma 2 2 3 5 2 2 4 2" xfId="1192" xr:uid="{00000000-0005-0000-0000-0000AB040000}"/>
    <cellStyle name="Comma 2 2 3 5 2 2 5" xfId="1193" xr:uid="{00000000-0005-0000-0000-0000AC040000}"/>
    <cellStyle name="Comma 2 2 3 5 2 3" xfId="1194" xr:uid="{00000000-0005-0000-0000-0000AD040000}"/>
    <cellStyle name="Comma 2 2 3 5 2 3 2" xfId="1195" xr:uid="{00000000-0005-0000-0000-0000AE040000}"/>
    <cellStyle name="Comma 2 2 3 5 2 3 2 2" xfId="1196" xr:uid="{00000000-0005-0000-0000-0000AF040000}"/>
    <cellStyle name="Comma 2 2 3 5 2 3 3" xfId="1197" xr:uid="{00000000-0005-0000-0000-0000B0040000}"/>
    <cellStyle name="Comma 2 2 3 5 2 4" xfId="1198" xr:uid="{00000000-0005-0000-0000-0000B1040000}"/>
    <cellStyle name="Comma 2 2 3 5 2 4 2" xfId="1199" xr:uid="{00000000-0005-0000-0000-0000B2040000}"/>
    <cellStyle name="Comma 2 2 3 5 2 5" xfId="1200" xr:uid="{00000000-0005-0000-0000-0000B3040000}"/>
    <cellStyle name="Comma 2 2 3 5 2 5 2" xfId="1201" xr:uid="{00000000-0005-0000-0000-0000B4040000}"/>
    <cellStyle name="Comma 2 2 3 5 2 6" xfId="1202" xr:uid="{00000000-0005-0000-0000-0000B5040000}"/>
    <cellStyle name="Comma 2 2 3 5 3" xfId="1203" xr:uid="{00000000-0005-0000-0000-0000B6040000}"/>
    <cellStyle name="Comma 2 2 3 5 3 2" xfId="1204" xr:uid="{00000000-0005-0000-0000-0000B7040000}"/>
    <cellStyle name="Comma 2 2 3 5 3 2 2" xfId="1205" xr:uid="{00000000-0005-0000-0000-0000B8040000}"/>
    <cellStyle name="Comma 2 2 3 5 3 2 2 2" xfId="1206" xr:uid="{00000000-0005-0000-0000-0000B9040000}"/>
    <cellStyle name="Comma 2 2 3 5 3 2 3" xfId="1207" xr:uid="{00000000-0005-0000-0000-0000BA040000}"/>
    <cellStyle name="Comma 2 2 3 5 3 3" xfId="1208" xr:uid="{00000000-0005-0000-0000-0000BB040000}"/>
    <cellStyle name="Comma 2 2 3 5 3 3 2" xfId="1209" xr:uid="{00000000-0005-0000-0000-0000BC040000}"/>
    <cellStyle name="Comma 2 2 3 5 3 4" xfId="1210" xr:uid="{00000000-0005-0000-0000-0000BD040000}"/>
    <cellStyle name="Comma 2 2 3 5 3 4 2" xfId="1211" xr:uid="{00000000-0005-0000-0000-0000BE040000}"/>
    <cellStyle name="Comma 2 2 3 5 3 5" xfId="1212" xr:uid="{00000000-0005-0000-0000-0000BF040000}"/>
    <cellStyle name="Comma 2 2 3 5 4" xfId="1213" xr:uid="{00000000-0005-0000-0000-0000C0040000}"/>
    <cellStyle name="Comma 2 2 3 5 4 2" xfId="1214" xr:uid="{00000000-0005-0000-0000-0000C1040000}"/>
    <cellStyle name="Comma 2 2 3 5 4 2 2" xfId="1215" xr:uid="{00000000-0005-0000-0000-0000C2040000}"/>
    <cellStyle name="Comma 2 2 3 5 4 3" xfId="1216" xr:uid="{00000000-0005-0000-0000-0000C3040000}"/>
    <cellStyle name="Comma 2 2 3 5 5" xfId="1217" xr:uid="{00000000-0005-0000-0000-0000C4040000}"/>
    <cellStyle name="Comma 2 2 3 5 5 2" xfId="1218" xr:uid="{00000000-0005-0000-0000-0000C5040000}"/>
    <cellStyle name="Comma 2 2 3 5 6" xfId="1219" xr:uid="{00000000-0005-0000-0000-0000C6040000}"/>
    <cellStyle name="Comma 2 2 3 5 6 2" xfId="1220" xr:uid="{00000000-0005-0000-0000-0000C7040000}"/>
    <cellStyle name="Comma 2 2 3 5 7" xfId="1221" xr:uid="{00000000-0005-0000-0000-0000C8040000}"/>
    <cellStyle name="Comma 2 2 3 6" xfId="1222" xr:uid="{00000000-0005-0000-0000-0000C9040000}"/>
    <cellStyle name="Comma 2 2 3 6 2" xfId="1223" xr:uid="{00000000-0005-0000-0000-0000CA040000}"/>
    <cellStyle name="Comma 2 2 3 6 2 2" xfId="1224" xr:uid="{00000000-0005-0000-0000-0000CB040000}"/>
    <cellStyle name="Comma 2 2 3 6 2 2 2" xfId="1225" xr:uid="{00000000-0005-0000-0000-0000CC040000}"/>
    <cellStyle name="Comma 2 2 3 6 2 2 2 2" xfId="1226" xr:uid="{00000000-0005-0000-0000-0000CD040000}"/>
    <cellStyle name="Comma 2 2 3 6 2 2 2 2 2" xfId="1227" xr:uid="{00000000-0005-0000-0000-0000CE040000}"/>
    <cellStyle name="Comma 2 2 3 6 2 2 2 3" xfId="1228" xr:uid="{00000000-0005-0000-0000-0000CF040000}"/>
    <cellStyle name="Comma 2 2 3 6 2 2 3" xfId="1229" xr:uid="{00000000-0005-0000-0000-0000D0040000}"/>
    <cellStyle name="Comma 2 2 3 6 2 2 3 2" xfId="1230" xr:uid="{00000000-0005-0000-0000-0000D1040000}"/>
    <cellStyle name="Comma 2 2 3 6 2 2 4" xfId="1231" xr:uid="{00000000-0005-0000-0000-0000D2040000}"/>
    <cellStyle name="Comma 2 2 3 6 2 2 4 2" xfId="1232" xr:uid="{00000000-0005-0000-0000-0000D3040000}"/>
    <cellStyle name="Comma 2 2 3 6 2 2 5" xfId="1233" xr:uid="{00000000-0005-0000-0000-0000D4040000}"/>
    <cellStyle name="Comma 2 2 3 6 2 3" xfId="1234" xr:uid="{00000000-0005-0000-0000-0000D5040000}"/>
    <cellStyle name="Comma 2 2 3 6 2 3 2" xfId="1235" xr:uid="{00000000-0005-0000-0000-0000D6040000}"/>
    <cellStyle name="Comma 2 2 3 6 2 3 2 2" xfId="1236" xr:uid="{00000000-0005-0000-0000-0000D7040000}"/>
    <cellStyle name="Comma 2 2 3 6 2 3 3" xfId="1237" xr:uid="{00000000-0005-0000-0000-0000D8040000}"/>
    <cellStyle name="Comma 2 2 3 6 2 4" xfId="1238" xr:uid="{00000000-0005-0000-0000-0000D9040000}"/>
    <cellStyle name="Comma 2 2 3 6 2 4 2" xfId="1239" xr:uid="{00000000-0005-0000-0000-0000DA040000}"/>
    <cellStyle name="Comma 2 2 3 6 2 5" xfId="1240" xr:uid="{00000000-0005-0000-0000-0000DB040000}"/>
    <cellStyle name="Comma 2 2 3 6 2 5 2" xfId="1241" xr:uid="{00000000-0005-0000-0000-0000DC040000}"/>
    <cellStyle name="Comma 2 2 3 6 2 6" xfId="1242" xr:uid="{00000000-0005-0000-0000-0000DD040000}"/>
    <cellStyle name="Comma 2 2 3 6 3" xfId="1243" xr:uid="{00000000-0005-0000-0000-0000DE040000}"/>
    <cellStyle name="Comma 2 2 3 6 3 2" xfId="1244" xr:uid="{00000000-0005-0000-0000-0000DF040000}"/>
    <cellStyle name="Comma 2 2 3 6 3 2 2" xfId="1245" xr:uid="{00000000-0005-0000-0000-0000E0040000}"/>
    <cellStyle name="Comma 2 2 3 6 3 2 2 2" xfId="1246" xr:uid="{00000000-0005-0000-0000-0000E1040000}"/>
    <cellStyle name="Comma 2 2 3 6 3 2 3" xfId="1247" xr:uid="{00000000-0005-0000-0000-0000E2040000}"/>
    <cellStyle name="Comma 2 2 3 6 3 3" xfId="1248" xr:uid="{00000000-0005-0000-0000-0000E3040000}"/>
    <cellStyle name="Comma 2 2 3 6 3 3 2" xfId="1249" xr:uid="{00000000-0005-0000-0000-0000E4040000}"/>
    <cellStyle name="Comma 2 2 3 6 3 4" xfId="1250" xr:uid="{00000000-0005-0000-0000-0000E5040000}"/>
    <cellStyle name="Comma 2 2 3 6 3 4 2" xfId="1251" xr:uid="{00000000-0005-0000-0000-0000E6040000}"/>
    <cellStyle name="Comma 2 2 3 6 3 5" xfId="1252" xr:uid="{00000000-0005-0000-0000-0000E7040000}"/>
    <cellStyle name="Comma 2 2 3 6 4" xfId="1253" xr:uid="{00000000-0005-0000-0000-0000E8040000}"/>
    <cellStyle name="Comma 2 2 3 6 4 2" xfId="1254" xr:uid="{00000000-0005-0000-0000-0000E9040000}"/>
    <cellStyle name="Comma 2 2 3 6 4 2 2" xfId="1255" xr:uid="{00000000-0005-0000-0000-0000EA040000}"/>
    <cellStyle name="Comma 2 2 3 6 4 3" xfId="1256" xr:uid="{00000000-0005-0000-0000-0000EB040000}"/>
    <cellStyle name="Comma 2 2 3 6 5" xfId="1257" xr:uid="{00000000-0005-0000-0000-0000EC040000}"/>
    <cellStyle name="Comma 2 2 3 6 5 2" xfId="1258" xr:uid="{00000000-0005-0000-0000-0000ED040000}"/>
    <cellStyle name="Comma 2 2 3 6 6" xfId="1259" xr:uid="{00000000-0005-0000-0000-0000EE040000}"/>
    <cellStyle name="Comma 2 2 3 6 6 2" xfId="1260" xr:uid="{00000000-0005-0000-0000-0000EF040000}"/>
    <cellStyle name="Comma 2 2 3 6 7" xfId="1261" xr:uid="{00000000-0005-0000-0000-0000F0040000}"/>
    <cellStyle name="Comma 2 2 3 7" xfId="1262" xr:uid="{00000000-0005-0000-0000-0000F1040000}"/>
    <cellStyle name="Comma 2 2 3 7 2" xfId="1263" xr:uid="{00000000-0005-0000-0000-0000F2040000}"/>
    <cellStyle name="Comma 2 2 3 7 2 2" xfId="1264" xr:uid="{00000000-0005-0000-0000-0000F3040000}"/>
    <cellStyle name="Comma 2 2 3 7 2 2 2" xfId="1265" xr:uid="{00000000-0005-0000-0000-0000F4040000}"/>
    <cellStyle name="Comma 2 2 3 7 2 2 2 2" xfId="1266" xr:uid="{00000000-0005-0000-0000-0000F5040000}"/>
    <cellStyle name="Comma 2 2 3 7 2 2 3" xfId="1267" xr:uid="{00000000-0005-0000-0000-0000F6040000}"/>
    <cellStyle name="Comma 2 2 3 7 2 3" xfId="1268" xr:uid="{00000000-0005-0000-0000-0000F7040000}"/>
    <cellStyle name="Comma 2 2 3 7 2 3 2" xfId="1269" xr:uid="{00000000-0005-0000-0000-0000F8040000}"/>
    <cellStyle name="Comma 2 2 3 7 2 4" xfId="1270" xr:uid="{00000000-0005-0000-0000-0000F9040000}"/>
    <cellStyle name="Comma 2 2 3 7 2 4 2" xfId="1271" xr:uid="{00000000-0005-0000-0000-0000FA040000}"/>
    <cellStyle name="Comma 2 2 3 7 2 5" xfId="1272" xr:uid="{00000000-0005-0000-0000-0000FB040000}"/>
    <cellStyle name="Comma 2 2 3 7 3" xfId="1273" xr:uid="{00000000-0005-0000-0000-0000FC040000}"/>
    <cellStyle name="Comma 2 2 3 7 3 2" xfId="1274" xr:uid="{00000000-0005-0000-0000-0000FD040000}"/>
    <cellStyle name="Comma 2 2 3 7 3 2 2" xfId="1275" xr:uid="{00000000-0005-0000-0000-0000FE040000}"/>
    <cellStyle name="Comma 2 2 3 7 3 3" xfId="1276" xr:uid="{00000000-0005-0000-0000-0000FF040000}"/>
    <cellStyle name="Comma 2 2 3 7 4" xfId="1277" xr:uid="{00000000-0005-0000-0000-000000050000}"/>
    <cellStyle name="Comma 2 2 3 7 4 2" xfId="1278" xr:uid="{00000000-0005-0000-0000-000001050000}"/>
    <cellStyle name="Comma 2 2 3 7 5" xfId="1279" xr:uid="{00000000-0005-0000-0000-000002050000}"/>
    <cellStyle name="Comma 2 2 3 7 5 2" xfId="1280" xr:uid="{00000000-0005-0000-0000-000003050000}"/>
    <cellStyle name="Comma 2 2 3 7 6" xfId="1281" xr:uid="{00000000-0005-0000-0000-000004050000}"/>
    <cellStyle name="Comma 2 2 3 8" xfId="1282" xr:uid="{00000000-0005-0000-0000-000005050000}"/>
    <cellStyle name="Comma 2 2 3 8 2" xfId="1283" xr:uid="{00000000-0005-0000-0000-000006050000}"/>
    <cellStyle name="Comma 2 2 3 8 2 2" xfId="1284" xr:uid="{00000000-0005-0000-0000-000007050000}"/>
    <cellStyle name="Comma 2 2 3 8 2 2 2" xfId="1285" xr:uid="{00000000-0005-0000-0000-000008050000}"/>
    <cellStyle name="Comma 2 2 3 8 2 3" xfId="1286" xr:uid="{00000000-0005-0000-0000-000009050000}"/>
    <cellStyle name="Comma 2 2 3 8 3" xfId="1287" xr:uid="{00000000-0005-0000-0000-00000A050000}"/>
    <cellStyle name="Comma 2 2 3 8 3 2" xfId="1288" xr:uid="{00000000-0005-0000-0000-00000B050000}"/>
    <cellStyle name="Comma 2 2 3 8 4" xfId="1289" xr:uid="{00000000-0005-0000-0000-00000C050000}"/>
    <cellStyle name="Comma 2 2 3 8 4 2" xfId="1290" xr:uid="{00000000-0005-0000-0000-00000D050000}"/>
    <cellStyle name="Comma 2 2 3 8 5" xfId="1291" xr:uid="{00000000-0005-0000-0000-00000E050000}"/>
    <cellStyle name="Comma 2 2 3 9" xfId="1292" xr:uid="{00000000-0005-0000-0000-00000F050000}"/>
    <cellStyle name="Comma 2 2 3 9 2" xfId="1293" xr:uid="{00000000-0005-0000-0000-000010050000}"/>
    <cellStyle name="Comma 2 2 3 9 2 2" xfId="1294" xr:uid="{00000000-0005-0000-0000-000011050000}"/>
    <cellStyle name="Comma 2 2 3 9 3" xfId="1295" xr:uid="{00000000-0005-0000-0000-000012050000}"/>
    <cellStyle name="Comma 2 2 4" xfId="1296" xr:uid="{00000000-0005-0000-0000-000013050000}"/>
    <cellStyle name="Comma 2 2 4 10" xfId="1297" xr:uid="{00000000-0005-0000-0000-000014050000}"/>
    <cellStyle name="Comma 2 2 4 10 2" xfId="1298" xr:uid="{00000000-0005-0000-0000-000015050000}"/>
    <cellStyle name="Comma 2 2 4 11" xfId="1299" xr:uid="{00000000-0005-0000-0000-000016050000}"/>
    <cellStyle name="Comma 2 2 4 2" xfId="1300" xr:uid="{00000000-0005-0000-0000-000017050000}"/>
    <cellStyle name="Comma 2 2 4 2 2" xfId="1301" xr:uid="{00000000-0005-0000-0000-000018050000}"/>
    <cellStyle name="Comma 2 2 4 2 2 2" xfId="1302" xr:uid="{00000000-0005-0000-0000-000019050000}"/>
    <cellStyle name="Comma 2 2 4 2 2 2 2" xfId="1303" xr:uid="{00000000-0005-0000-0000-00001A050000}"/>
    <cellStyle name="Comma 2 2 4 2 2 2 2 2" xfId="1304" xr:uid="{00000000-0005-0000-0000-00001B050000}"/>
    <cellStyle name="Comma 2 2 4 2 2 2 2 2 2" xfId="1305" xr:uid="{00000000-0005-0000-0000-00001C050000}"/>
    <cellStyle name="Comma 2 2 4 2 2 2 2 2 2 2" xfId="1306" xr:uid="{00000000-0005-0000-0000-00001D050000}"/>
    <cellStyle name="Comma 2 2 4 2 2 2 2 2 3" xfId="1307" xr:uid="{00000000-0005-0000-0000-00001E050000}"/>
    <cellStyle name="Comma 2 2 4 2 2 2 2 3" xfId="1308" xr:uid="{00000000-0005-0000-0000-00001F050000}"/>
    <cellStyle name="Comma 2 2 4 2 2 2 2 3 2" xfId="1309" xr:uid="{00000000-0005-0000-0000-000020050000}"/>
    <cellStyle name="Comma 2 2 4 2 2 2 2 4" xfId="1310" xr:uid="{00000000-0005-0000-0000-000021050000}"/>
    <cellStyle name="Comma 2 2 4 2 2 2 2 4 2" xfId="1311" xr:uid="{00000000-0005-0000-0000-000022050000}"/>
    <cellStyle name="Comma 2 2 4 2 2 2 2 5" xfId="1312" xr:uid="{00000000-0005-0000-0000-000023050000}"/>
    <cellStyle name="Comma 2 2 4 2 2 2 3" xfId="1313" xr:uid="{00000000-0005-0000-0000-000024050000}"/>
    <cellStyle name="Comma 2 2 4 2 2 2 3 2" xfId="1314" xr:uid="{00000000-0005-0000-0000-000025050000}"/>
    <cellStyle name="Comma 2 2 4 2 2 2 3 2 2" xfId="1315" xr:uid="{00000000-0005-0000-0000-000026050000}"/>
    <cellStyle name="Comma 2 2 4 2 2 2 3 3" xfId="1316" xr:uid="{00000000-0005-0000-0000-000027050000}"/>
    <cellStyle name="Comma 2 2 4 2 2 2 4" xfId="1317" xr:uid="{00000000-0005-0000-0000-000028050000}"/>
    <cellStyle name="Comma 2 2 4 2 2 2 4 2" xfId="1318" xr:uid="{00000000-0005-0000-0000-000029050000}"/>
    <cellStyle name="Comma 2 2 4 2 2 2 5" xfId="1319" xr:uid="{00000000-0005-0000-0000-00002A050000}"/>
    <cellStyle name="Comma 2 2 4 2 2 2 5 2" xfId="1320" xr:uid="{00000000-0005-0000-0000-00002B050000}"/>
    <cellStyle name="Comma 2 2 4 2 2 2 6" xfId="1321" xr:uid="{00000000-0005-0000-0000-00002C050000}"/>
    <cellStyle name="Comma 2 2 4 2 2 3" xfId="1322" xr:uid="{00000000-0005-0000-0000-00002D050000}"/>
    <cellStyle name="Comma 2 2 4 2 2 3 2" xfId="1323" xr:uid="{00000000-0005-0000-0000-00002E050000}"/>
    <cellStyle name="Comma 2 2 4 2 2 3 2 2" xfId="1324" xr:uid="{00000000-0005-0000-0000-00002F050000}"/>
    <cellStyle name="Comma 2 2 4 2 2 3 2 2 2" xfId="1325" xr:uid="{00000000-0005-0000-0000-000030050000}"/>
    <cellStyle name="Comma 2 2 4 2 2 3 2 3" xfId="1326" xr:uid="{00000000-0005-0000-0000-000031050000}"/>
    <cellStyle name="Comma 2 2 4 2 2 3 3" xfId="1327" xr:uid="{00000000-0005-0000-0000-000032050000}"/>
    <cellStyle name="Comma 2 2 4 2 2 3 3 2" xfId="1328" xr:uid="{00000000-0005-0000-0000-000033050000}"/>
    <cellStyle name="Comma 2 2 4 2 2 3 4" xfId="1329" xr:uid="{00000000-0005-0000-0000-000034050000}"/>
    <cellStyle name="Comma 2 2 4 2 2 3 4 2" xfId="1330" xr:uid="{00000000-0005-0000-0000-000035050000}"/>
    <cellStyle name="Comma 2 2 4 2 2 3 5" xfId="1331" xr:uid="{00000000-0005-0000-0000-000036050000}"/>
    <cellStyle name="Comma 2 2 4 2 2 4" xfId="1332" xr:uid="{00000000-0005-0000-0000-000037050000}"/>
    <cellStyle name="Comma 2 2 4 2 2 4 2" xfId="1333" xr:uid="{00000000-0005-0000-0000-000038050000}"/>
    <cellStyle name="Comma 2 2 4 2 2 4 2 2" xfId="1334" xr:uid="{00000000-0005-0000-0000-000039050000}"/>
    <cellStyle name="Comma 2 2 4 2 2 4 3" xfId="1335" xr:uid="{00000000-0005-0000-0000-00003A050000}"/>
    <cellStyle name="Comma 2 2 4 2 2 5" xfId="1336" xr:uid="{00000000-0005-0000-0000-00003B050000}"/>
    <cellStyle name="Comma 2 2 4 2 2 5 2" xfId="1337" xr:uid="{00000000-0005-0000-0000-00003C050000}"/>
    <cellStyle name="Comma 2 2 4 2 2 6" xfId="1338" xr:uid="{00000000-0005-0000-0000-00003D050000}"/>
    <cellStyle name="Comma 2 2 4 2 2 6 2" xfId="1339" xr:uid="{00000000-0005-0000-0000-00003E050000}"/>
    <cellStyle name="Comma 2 2 4 2 2 7" xfId="1340" xr:uid="{00000000-0005-0000-0000-00003F050000}"/>
    <cellStyle name="Comma 2 2 4 2 3" xfId="1341" xr:uid="{00000000-0005-0000-0000-000040050000}"/>
    <cellStyle name="Comma 2 2 4 2 3 2" xfId="1342" xr:uid="{00000000-0005-0000-0000-000041050000}"/>
    <cellStyle name="Comma 2 2 4 2 3 2 2" xfId="1343" xr:uid="{00000000-0005-0000-0000-000042050000}"/>
    <cellStyle name="Comma 2 2 4 2 3 2 2 2" xfId="1344" xr:uid="{00000000-0005-0000-0000-000043050000}"/>
    <cellStyle name="Comma 2 2 4 2 3 2 2 2 2" xfId="1345" xr:uid="{00000000-0005-0000-0000-000044050000}"/>
    <cellStyle name="Comma 2 2 4 2 3 2 2 2 2 2" xfId="1346" xr:uid="{00000000-0005-0000-0000-000045050000}"/>
    <cellStyle name="Comma 2 2 4 2 3 2 2 2 3" xfId="1347" xr:uid="{00000000-0005-0000-0000-000046050000}"/>
    <cellStyle name="Comma 2 2 4 2 3 2 2 3" xfId="1348" xr:uid="{00000000-0005-0000-0000-000047050000}"/>
    <cellStyle name="Comma 2 2 4 2 3 2 2 3 2" xfId="1349" xr:uid="{00000000-0005-0000-0000-000048050000}"/>
    <cellStyle name="Comma 2 2 4 2 3 2 2 4" xfId="1350" xr:uid="{00000000-0005-0000-0000-000049050000}"/>
    <cellStyle name="Comma 2 2 4 2 3 2 2 4 2" xfId="1351" xr:uid="{00000000-0005-0000-0000-00004A050000}"/>
    <cellStyle name="Comma 2 2 4 2 3 2 2 5" xfId="1352" xr:uid="{00000000-0005-0000-0000-00004B050000}"/>
    <cellStyle name="Comma 2 2 4 2 3 2 3" xfId="1353" xr:uid="{00000000-0005-0000-0000-00004C050000}"/>
    <cellStyle name="Comma 2 2 4 2 3 2 3 2" xfId="1354" xr:uid="{00000000-0005-0000-0000-00004D050000}"/>
    <cellStyle name="Comma 2 2 4 2 3 2 3 2 2" xfId="1355" xr:uid="{00000000-0005-0000-0000-00004E050000}"/>
    <cellStyle name="Comma 2 2 4 2 3 2 3 3" xfId="1356" xr:uid="{00000000-0005-0000-0000-00004F050000}"/>
    <cellStyle name="Comma 2 2 4 2 3 2 4" xfId="1357" xr:uid="{00000000-0005-0000-0000-000050050000}"/>
    <cellStyle name="Comma 2 2 4 2 3 2 4 2" xfId="1358" xr:uid="{00000000-0005-0000-0000-000051050000}"/>
    <cellStyle name="Comma 2 2 4 2 3 2 5" xfId="1359" xr:uid="{00000000-0005-0000-0000-000052050000}"/>
    <cellStyle name="Comma 2 2 4 2 3 2 5 2" xfId="1360" xr:uid="{00000000-0005-0000-0000-000053050000}"/>
    <cellStyle name="Comma 2 2 4 2 3 2 6" xfId="1361" xr:uid="{00000000-0005-0000-0000-000054050000}"/>
    <cellStyle name="Comma 2 2 4 2 3 3" xfId="1362" xr:uid="{00000000-0005-0000-0000-000055050000}"/>
    <cellStyle name="Comma 2 2 4 2 3 3 2" xfId="1363" xr:uid="{00000000-0005-0000-0000-000056050000}"/>
    <cellStyle name="Comma 2 2 4 2 3 3 2 2" xfId="1364" xr:uid="{00000000-0005-0000-0000-000057050000}"/>
    <cellStyle name="Comma 2 2 4 2 3 3 2 2 2" xfId="1365" xr:uid="{00000000-0005-0000-0000-000058050000}"/>
    <cellStyle name="Comma 2 2 4 2 3 3 2 3" xfId="1366" xr:uid="{00000000-0005-0000-0000-000059050000}"/>
    <cellStyle name="Comma 2 2 4 2 3 3 3" xfId="1367" xr:uid="{00000000-0005-0000-0000-00005A050000}"/>
    <cellStyle name="Comma 2 2 4 2 3 3 3 2" xfId="1368" xr:uid="{00000000-0005-0000-0000-00005B050000}"/>
    <cellStyle name="Comma 2 2 4 2 3 3 4" xfId="1369" xr:uid="{00000000-0005-0000-0000-00005C050000}"/>
    <cellStyle name="Comma 2 2 4 2 3 3 4 2" xfId="1370" xr:uid="{00000000-0005-0000-0000-00005D050000}"/>
    <cellStyle name="Comma 2 2 4 2 3 3 5" xfId="1371" xr:uid="{00000000-0005-0000-0000-00005E050000}"/>
    <cellStyle name="Comma 2 2 4 2 3 4" xfId="1372" xr:uid="{00000000-0005-0000-0000-00005F050000}"/>
    <cellStyle name="Comma 2 2 4 2 3 4 2" xfId="1373" xr:uid="{00000000-0005-0000-0000-000060050000}"/>
    <cellStyle name="Comma 2 2 4 2 3 4 2 2" xfId="1374" xr:uid="{00000000-0005-0000-0000-000061050000}"/>
    <cellStyle name="Comma 2 2 4 2 3 4 3" xfId="1375" xr:uid="{00000000-0005-0000-0000-000062050000}"/>
    <cellStyle name="Comma 2 2 4 2 3 5" xfId="1376" xr:uid="{00000000-0005-0000-0000-000063050000}"/>
    <cellStyle name="Comma 2 2 4 2 3 5 2" xfId="1377" xr:uid="{00000000-0005-0000-0000-000064050000}"/>
    <cellStyle name="Comma 2 2 4 2 3 6" xfId="1378" xr:uid="{00000000-0005-0000-0000-000065050000}"/>
    <cellStyle name="Comma 2 2 4 2 3 6 2" xfId="1379" xr:uid="{00000000-0005-0000-0000-000066050000}"/>
    <cellStyle name="Comma 2 2 4 2 3 7" xfId="1380" xr:uid="{00000000-0005-0000-0000-000067050000}"/>
    <cellStyle name="Comma 2 2 4 2 4" xfId="1381" xr:uid="{00000000-0005-0000-0000-000068050000}"/>
    <cellStyle name="Comma 2 2 4 2 4 2" xfId="1382" xr:uid="{00000000-0005-0000-0000-000069050000}"/>
    <cellStyle name="Comma 2 2 4 2 4 2 2" xfId="1383" xr:uid="{00000000-0005-0000-0000-00006A050000}"/>
    <cellStyle name="Comma 2 2 4 2 4 2 2 2" xfId="1384" xr:uid="{00000000-0005-0000-0000-00006B050000}"/>
    <cellStyle name="Comma 2 2 4 2 4 2 2 2 2" xfId="1385" xr:uid="{00000000-0005-0000-0000-00006C050000}"/>
    <cellStyle name="Comma 2 2 4 2 4 2 2 3" xfId="1386" xr:uid="{00000000-0005-0000-0000-00006D050000}"/>
    <cellStyle name="Comma 2 2 4 2 4 2 3" xfId="1387" xr:uid="{00000000-0005-0000-0000-00006E050000}"/>
    <cellStyle name="Comma 2 2 4 2 4 2 3 2" xfId="1388" xr:uid="{00000000-0005-0000-0000-00006F050000}"/>
    <cellStyle name="Comma 2 2 4 2 4 2 4" xfId="1389" xr:uid="{00000000-0005-0000-0000-000070050000}"/>
    <cellStyle name="Comma 2 2 4 2 4 2 4 2" xfId="1390" xr:uid="{00000000-0005-0000-0000-000071050000}"/>
    <cellStyle name="Comma 2 2 4 2 4 2 5" xfId="1391" xr:uid="{00000000-0005-0000-0000-000072050000}"/>
    <cellStyle name="Comma 2 2 4 2 4 3" xfId="1392" xr:uid="{00000000-0005-0000-0000-000073050000}"/>
    <cellStyle name="Comma 2 2 4 2 4 3 2" xfId="1393" xr:uid="{00000000-0005-0000-0000-000074050000}"/>
    <cellStyle name="Comma 2 2 4 2 4 3 2 2" xfId="1394" xr:uid="{00000000-0005-0000-0000-000075050000}"/>
    <cellStyle name="Comma 2 2 4 2 4 3 3" xfId="1395" xr:uid="{00000000-0005-0000-0000-000076050000}"/>
    <cellStyle name="Comma 2 2 4 2 4 4" xfId="1396" xr:uid="{00000000-0005-0000-0000-000077050000}"/>
    <cellStyle name="Comma 2 2 4 2 4 4 2" xfId="1397" xr:uid="{00000000-0005-0000-0000-000078050000}"/>
    <cellStyle name="Comma 2 2 4 2 4 5" xfId="1398" xr:uid="{00000000-0005-0000-0000-000079050000}"/>
    <cellStyle name="Comma 2 2 4 2 4 5 2" xfId="1399" xr:uid="{00000000-0005-0000-0000-00007A050000}"/>
    <cellStyle name="Comma 2 2 4 2 4 6" xfId="1400" xr:uid="{00000000-0005-0000-0000-00007B050000}"/>
    <cellStyle name="Comma 2 2 4 2 5" xfId="1401" xr:uid="{00000000-0005-0000-0000-00007C050000}"/>
    <cellStyle name="Comma 2 2 4 2 5 2" xfId="1402" xr:uid="{00000000-0005-0000-0000-00007D050000}"/>
    <cellStyle name="Comma 2 2 4 2 5 2 2" xfId="1403" xr:uid="{00000000-0005-0000-0000-00007E050000}"/>
    <cellStyle name="Comma 2 2 4 2 5 2 2 2" xfId="1404" xr:uid="{00000000-0005-0000-0000-00007F050000}"/>
    <cellStyle name="Comma 2 2 4 2 5 2 3" xfId="1405" xr:uid="{00000000-0005-0000-0000-000080050000}"/>
    <cellStyle name="Comma 2 2 4 2 5 3" xfId="1406" xr:uid="{00000000-0005-0000-0000-000081050000}"/>
    <cellStyle name="Comma 2 2 4 2 5 3 2" xfId="1407" xr:uid="{00000000-0005-0000-0000-000082050000}"/>
    <cellStyle name="Comma 2 2 4 2 5 4" xfId="1408" xr:uid="{00000000-0005-0000-0000-000083050000}"/>
    <cellStyle name="Comma 2 2 4 2 5 4 2" xfId="1409" xr:uid="{00000000-0005-0000-0000-000084050000}"/>
    <cellStyle name="Comma 2 2 4 2 5 5" xfId="1410" xr:uid="{00000000-0005-0000-0000-000085050000}"/>
    <cellStyle name="Comma 2 2 4 2 6" xfId="1411" xr:uid="{00000000-0005-0000-0000-000086050000}"/>
    <cellStyle name="Comma 2 2 4 2 6 2" xfId="1412" xr:uid="{00000000-0005-0000-0000-000087050000}"/>
    <cellStyle name="Comma 2 2 4 2 6 2 2" xfId="1413" xr:uid="{00000000-0005-0000-0000-000088050000}"/>
    <cellStyle name="Comma 2 2 4 2 6 3" xfId="1414" xr:uid="{00000000-0005-0000-0000-000089050000}"/>
    <cellStyle name="Comma 2 2 4 2 7" xfId="1415" xr:uid="{00000000-0005-0000-0000-00008A050000}"/>
    <cellStyle name="Comma 2 2 4 2 7 2" xfId="1416" xr:uid="{00000000-0005-0000-0000-00008B050000}"/>
    <cellStyle name="Comma 2 2 4 2 8" xfId="1417" xr:uid="{00000000-0005-0000-0000-00008C050000}"/>
    <cellStyle name="Comma 2 2 4 2 8 2" xfId="1418" xr:uid="{00000000-0005-0000-0000-00008D050000}"/>
    <cellStyle name="Comma 2 2 4 2 9" xfId="1419" xr:uid="{00000000-0005-0000-0000-00008E050000}"/>
    <cellStyle name="Comma 2 2 4 3" xfId="1420" xr:uid="{00000000-0005-0000-0000-00008F050000}"/>
    <cellStyle name="Comma 2 2 4 3 2" xfId="1421" xr:uid="{00000000-0005-0000-0000-000090050000}"/>
    <cellStyle name="Comma 2 2 4 3 2 2" xfId="1422" xr:uid="{00000000-0005-0000-0000-000091050000}"/>
    <cellStyle name="Comma 2 2 4 3 2 2 2" xfId="1423" xr:uid="{00000000-0005-0000-0000-000092050000}"/>
    <cellStyle name="Comma 2 2 4 3 2 2 2 2" xfId="1424" xr:uid="{00000000-0005-0000-0000-000093050000}"/>
    <cellStyle name="Comma 2 2 4 3 2 2 2 2 2" xfId="1425" xr:uid="{00000000-0005-0000-0000-000094050000}"/>
    <cellStyle name="Comma 2 2 4 3 2 2 2 2 2 2" xfId="1426" xr:uid="{00000000-0005-0000-0000-000095050000}"/>
    <cellStyle name="Comma 2 2 4 3 2 2 2 2 3" xfId="1427" xr:uid="{00000000-0005-0000-0000-000096050000}"/>
    <cellStyle name="Comma 2 2 4 3 2 2 2 3" xfId="1428" xr:uid="{00000000-0005-0000-0000-000097050000}"/>
    <cellStyle name="Comma 2 2 4 3 2 2 2 3 2" xfId="1429" xr:uid="{00000000-0005-0000-0000-000098050000}"/>
    <cellStyle name="Comma 2 2 4 3 2 2 2 4" xfId="1430" xr:uid="{00000000-0005-0000-0000-000099050000}"/>
    <cellStyle name="Comma 2 2 4 3 2 2 2 4 2" xfId="1431" xr:uid="{00000000-0005-0000-0000-00009A050000}"/>
    <cellStyle name="Comma 2 2 4 3 2 2 2 5" xfId="1432" xr:uid="{00000000-0005-0000-0000-00009B050000}"/>
    <cellStyle name="Comma 2 2 4 3 2 2 3" xfId="1433" xr:uid="{00000000-0005-0000-0000-00009C050000}"/>
    <cellStyle name="Comma 2 2 4 3 2 2 3 2" xfId="1434" xr:uid="{00000000-0005-0000-0000-00009D050000}"/>
    <cellStyle name="Comma 2 2 4 3 2 2 3 2 2" xfId="1435" xr:uid="{00000000-0005-0000-0000-00009E050000}"/>
    <cellStyle name="Comma 2 2 4 3 2 2 3 3" xfId="1436" xr:uid="{00000000-0005-0000-0000-00009F050000}"/>
    <cellStyle name="Comma 2 2 4 3 2 2 4" xfId="1437" xr:uid="{00000000-0005-0000-0000-0000A0050000}"/>
    <cellStyle name="Comma 2 2 4 3 2 2 4 2" xfId="1438" xr:uid="{00000000-0005-0000-0000-0000A1050000}"/>
    <cellStyle name="Comma 2 2 4 3 2 2 5" xfId="1439" xr:uid="{00000000-0005-0000-0000-0000A2050000}"/>
    <cellStyle name="Comma 2 2 4 3 2 2 5 2" xfId="1440" xr:uid="{00000000-0005-0000-0000-0000A3050000}"/>
    <cellStyle name="Comma 2 2 4 3 2 2 6" xfId="1441" xr:uid="{00000000-0005-0000-0000-0000A4050000}"/>
    <cellStyle name="Comma 2 2 4 3 2 3" xfId="1442" xr:uid="{00000000-0005-0000-0000-0000A5050000}"/>
    <cellStyle name="Comma 2 2 4 3 2 3 2" xfId="1443" xr:uid="{00000000-0005-0000-0000-0000A6050000}"/>
    <cellStyle name="Comma 2 2 4 3 2 3 2 2" xfId="1444" xr:uid="{00000000-0005-0000-0000-0000A7050000}"/>
    <cellStyle name="Comma 2 2 4 3 2 3 2 2 2" xfId="1445" xr:uid="{00000000-0005-0000-0000-0000A8050000}"/>
    <cellStyle name="Comma 2 2 4 3 2 3 2 3" xfId="1446" xr:uid="{00000000-0005-0000-0000-0000A9050000}"/>
    <cellStyle name="Comma 2 2 4 3 2 3 3" xfId="1447" xr:uid="{00000000-0005-0000-0000-0000AA050000}"/>
    <cellStyle name="Comma 2 2 4 3 2 3 3 2" xfId="1448" xr:uid="{00000000-0005-0000-0000-0000AB050000}"/>
    <cellStyle name="Comma 2 2 4 3 2 3 4" xfId="1449" xr:uid="{00000000-0005-0000-0000-0000AC050000}"/>
    <cellStyle name="Comma 2 2 4 3 2 3 4 2" xfId="1450" xr:uid="{00000000-0005-0000-0000-0000AD050000}"/>
    <cellStyle name="Comma 2 2 4 3 2 3 5" xfId="1451" xr:uid="{00000000-0005-0000-0000-0000AE050000}"/>
    <cellStyle name="Comma 2 2 4 3 2 4" xfId="1452" xr:uid="{00000000-0005-0000-0000-0000AF050000}"/>
    <cellStyle name="Comma 2 2 4 3 2 4 2" xfId="1453" xr:uid="{00000000-0005-0000-0000-0000B0050000}"/>
    <cellStyle name="Comma 2 2 4 3 2 4 2 2" xfId="1454" xr:uid="{00000000-0005-0000-0000-0000B1050000}"/>
    <cellStyle name="Comma 2 2 4 3 2 4 3" xfId="1455" xr:uid="{00000000-0005-0000-0000-0000B2050000}"/>
    <cellStyle name="Comma 2 2 4 3 2 5" xfId="1456" xr:uid="{00000000-0005-0000-0000-0000B3050000}"/>
    <cellStyle name="Comma 2 2 4 3 2 5 2" xfId="1457" xr:uid="{00000000-0005-0000-0000-0000B4050000}"/>
    <cellStyle name="Comma 2 2 4 3 2 6" xfId="1458" xr:uid="{00000000-0005-0000-0000-0000B5050000}"/>
    <cellStyle name="Comma 2 2 4 3 2 6 2" xfId="1459" xr:uid="{00000000-0005-0000-0000-0000B6050000}"/>
    <cellStyle name="Comma 2 2 4 3 2 7" xfId="1460" xr:uid="{00000000-0005-0000-0000-0000B7050000}"/>
    <cellStyle name="Comma 2 2 4 3 3" xfId="1461" xr:uid="{00000000-0005-0000-0000-0000B8050000}"/>
    <cellStyle name="Comma 2 2 4 3 3 2" xfId="1462" xr:uid="{00000000-0005-0000-0000-0000B9050000}"/>
    <cellStyle name="Comma 2 2 4 3 3 2 2" xfId="1463" xr:uid="{00000000-0005-0000-0000-0000BA050000}"/>
    <cellStyle name="Comma 2 2 4 3 3 2 2 2" xfId="1464" xr:uid="{00000000-0005-0000-0000-0000BB050000}"/>
    <cellStyle name="Comma 2 2 4 3 3 2 2 2 2" xfId="1465" xr:uid="{00000000-0005-0000-0000-0000BC050000}"/>
    <cellStyle name="Comma 2 2 4 3 3 2 2 3" xfId="1466" xr:uid="{00000000-0005-0000-0000-0000BD050000}"/>
    <cellStyle name="Comma 2 2 4 3 3 2 3" xfId="1467" xr:uid="{00000000-0005-0000-0000-0000BE050000}"/>
    <cellStyle name="Comma 2 2 4 3 3 2 3 2" xfId="1468" xr:uid="{00000000-0005-0000-0000-0000BF050000}"/>
    <cellStyle name="Comma 2 2 4 3 3 2 4" xfId="1469" xr:uid="{00000000-0005-0000-0000-0000C0050000}"/>
    <cellStyle name="Comma 2 2 4 3 3 2 4 2" xfId="1470" xr:uid="{00000000-0005-0000-0000-0000C1050000}"/>
    <cellStyle name="Comma 2 2 4 3 3 2 5" xfId="1471" xr:uid="{00000000-0005-0000-0000-0000C2050000}"/>
    <cellStyle name="Comma 2 2 4 3 3 3" xfId="1472" xr:uid="{00000000-0005-0000-0000-0000C3050000}"/>
    <cellStyle name="Comma 2 2 4 3 3 3 2" xfId="1473" xr:uid="{00000000-0005-0000-0000-0000C4050000}"/>
    <cellStyle name="Comma 2 2 4 3 3 3 2 2" xfId="1474" xr:uid="{00000000-0005-0000-0000-0000C5050000}"/>
    <cellStyle name="Comma 2 2 4 3 3 3 3" xfId="1475" xr:uid="{00000000-0005-0000-0000-0000C6050000}"/>
    <cellStyle name="Comma 2 2 4 3 3 4" xfId="1476" xr:uid="{00000000-0005-0000-0000-0000C7050000}"/>
    <cellStyle name="Comma 2 2 4 3 3 4 2" xfId="1477" xr:uid="{00000000-0005-0000-0000-0000C8050000}"/>
    <cellStyle name="Comma 2 2 4 3 3 5" xfId="1478" xr:uid="{00000000-0005-0000-0000-0000C9050000}"/>
    <cellStyle name="Comma 2 2 4 3 3 5 2" xfId="1479" xr:uid="{00000000-0005-0000-0000-0000CA050000}"/>
    <cellStyle name="Comma 2 2 4 3 3 6" xfId="1480" xr:uid="{00000000-0005-0000-0000-0000CB050000}"/>
    <cellStyle name="Comma 2 2 4 3 4" xfId="1481" xr:uid="{00000000-0005-0000-0000-0000CC050000}"/>
    <cellStyle name="Comma 2 2 4 3 4 2" xfId="1482" xr:uid="{00000000-0005-0000-0000-0000CD050000}"/>
    <cellStyle name="Comma 2 2 4 3 4 2 2" xfId="1483" xr:uid="{00000000-0005-0000-0000-0000CE050000}"/>
    <cellStyle name="Comma 2 2 4 3 4 2 2 2" xfId="1484" xr:uid="{00000000-0005-0000-0000-0000CF050000}"/>
    <cellStyle name="Comma 2 2 4 3 4 2 3" xfId="1485" xr:uid="{00000000-0005-0000-0000-0000D0050000}"/>
    <cellStyle name="Comma 2 2 4 3 4 3" xfId="1486" xr:uid="{00000000-0005-0000-0000-0000D1050000}"/>
    <cellStyle name="Comma 2 2 4 3 4 3 2" xfId="1487" xr:uid="{00000000-0005-0000-0000-0000D2050000}"/>
    <cellStyle name="Comma 2 2 4 3 4 4" xfId="1488" xr:uid="{00000000-0005-0000-0000-0000D3050000}"/>
    <cellStyle name="Comma 2 2 4 3 4 4 2" xfId="1489" xr:uid="{00000000-0005-0000-0000-0000D4050000}"/>
    <cellStyle name="Comma 2 2 4 3 4 5" xfId="1490" xr:uid="{00000000-0005-0000-0000-0000D5050000}"/>
    <cellStyle name="Comma 2 2 4 3 5" xfId="1491" xr:uid="{00000000-0005-0000-0000-0000D6050000}"/>
    <cellStyle name="Comma 2 2 4 3 5 2" xfId="1492" xr:uid="{00000000-0005-0000-0000-0000D7050000}"/>
    <cellStyle name="Comma 2 2 4 3 5 2 2" xfId="1493" xr:uid="{00000000-0005-0000-0000-0000D8050000}"/>
    <cellStyle name="Comma 2 2 4 3 5 3" xfId="1494" xr:uid="{00000000-0005-0000-0000-0000D9050000}"/>
    <cellStyle name="Comma 2 2 4 3 6" xfId="1495" xr:uid="{00000000-0005-0000-0000-0000DA050000}"/>
    <cellStyle name="Comma 2 2 4 3 6 2" xfId="1496" xr:uid="{00000000-0005-0000-0000-0000DB050000}"/>
    <cellStyle name="Comma 2 2 4 3 7" xfId="1497" xr:uid="{00000000-0005-0000-0000-0000DC050000}"/>
    <cellStyle name="Comma 2 2 4 3 7 2" xfId="1498" xr:uid="{00000000-0005-0000-0000-0000DD050000}"/>
    <cellStyle name="Comma 2 2 4 3 8" xfId="1499" xr:uid="{00000000-0005-0000-0000-0000DE050000}"/>
    <cellStyle name="Comma 2 2 4 4" xfId="1500" xr:uid="{00000000-0005-0000-0000-0000DF050000}"/>
    <cellStyle name="Comma 2 2 4 4 2" xfId="1501" xr:uid="{00000000-0005-0000-0000-0000E0050000}"/>
    <cellStyle name="Comma 2 2 4 4 2 2" xfId="1502" xr:uid="{00000000-0005-0000-0000-0000E1050000}"/>
    <cellStyle name="Comma 2 2 4 4 2 2 2" xfId="1503" xr:uid="{00000000-0005-0000-0000-0000E2050000}"/>
    <cellStyle name="Comma 2 2 4 4 2 2 2 2" xfId="1504" xr:uid="{00000000-0005-0000-0000-0000E3050000}"/>
    <cellStyle name="Comma 2 2 4 4 2 2 2 2 2" xfId="1505" xr:uid="{00000000-0005-0000-0000-0000E4050000}"/>
    <cellStyle name="Comma 2 2 4 4 2 2 2 3" xfId="1506" xr:uid="{00000000-0005-0000-0000-0000E5050000}"/>
    <cellStyle name="Comma 2 2 4 4 2 2 3" xfId="1507" xr:uid="{00000000-0005-0000-0000-0000E6050000}"/>
    <cellStyle name="Comma 2 2 4 4 2 2 3 2" xfId="1508" xr:uid="{00000000-0005-0000-0000-0000E7050000}"/>
    <cellStyle name="Comma 2 2 4 4 2 2 4" xfId="1509" xr:uid="{00000000-0005-0000-0000-0000E8050000}"/>
    <cellStyle name="Comma 2 2 4 4 2 2 4 2" xfId="1510" xr:uid="{00000000-0005-0000-0000-0000E9050000}"/>
    <cellStyle name="Comma 2 2 4 4 2 2 5" xfId="1511" xr:uid="{00000000-0005-0000-0000-0000EA050000}"/>
    <cellStyle name="Comma 2 2 4 4 2 3" xfId="1512" xr:uid="{00000000-0005-0000-0000-0000EB050000}"/>
    <cellStyle name="Comma 2 2 4 4 2 3 2" xfId="1513" xr:uid="{00000000-0005-0000-0000-0000EC050000}"/>
    <cellStyle name="Comma 2 2 4 4 2 3 2 2" xfId="1514" xr:uid="{00000000-0005-0000-0000-0000ED050000}"/>
    <cellStyle name="Comma 2 2 4 4 2 3 3" xfId="1515" xr:uid="{00000000-0005-0000-0000-0000EE050000}"/>
    <cellStyle name="Comma 2 2 4 4 2 4" xfId="1516" xr:uid="{00000000-0005-0000-0000-0000EF050000}"/>
    <cellStyle name="Comma 2 2 4 4 2 4 2" xfId="1517" xr:uid="{00000000-0005-0000-0000-0000F0050000}"/>
    <cellStyle name="Comma 2 2 4 4 2 5" xfId="1518" xr:uid="{00000000-0005-0000-0000-0000F1050000}"/>
    <cellStyle name="Comma 2 2 4 4 2 5 2" xfId="1519" xr:uid="{00000000-0005-0000-0000-0000F2050000}"/>
    <cellStyle name="Comma 2 2 4 4 2 6" xfId="1520" xr:uid="{00000000-0005-0000-0000-0000F3050000}"/>
    <cellStyle name="Comma 2 2 4 4 3" xfId="1521" xr:uid="{00000000-0005-0000-0000-0000F4050000}"/>
    <cellStyle name="Comma 2 2 4 4 3 2" xfId="1522" xr:uid="{00000000-0005-0000-0000-0000F5050000}"/>
    <cellStyle name="Comma 2 2 4 4 3 2 2" xfId="1523" xr:uid="{00000000-0005-0000-0000-0000F6050000}"/>
    <cellStyle name="Comma 2 2 4 4 3 2 2 2" xfId="1524" xr:uid="{00000000-0005-0000-0000-0000F7050000}"/>
    <cellStyle name="Comma 2 2 4 4 3 2 3" xfId="1525" xr:uid="{00000000-0005-0000-0000-0000F8050000}"/>
    <cellStyle name="Comma 2 2 4 4 3 3" xfId="1526" xr:uid="{00000000-0005-0000-0000-0000F9050000}"/>
    <cellStyle name="Comma 2 2 4 4 3 3 2" xfId="1527" xr:uid="{00000000-0005-0000-0000-0000FA050000}"/>
    <cellStyle name="Comma 2 2 4 4 3 4" xfId="1528" xr:uid="{00000000-0005-0000-0000-0000FB050000}"/>
    <cellStyle name="Comma 2 2 4 4 3 4 2" xfId="1529" xr:uid="{00000000-0005-0000-0000-0000FC050000}"/>
    <cellStyle name="Comma 2 2 4 4 3 5" xfId="1530" xr:uid="{00000000-0005-0000-0000-0000FD050000}"/>
    <cellStyle name="Comma 2 2 4 4 4" xfId="1531" xr:uid="{00000000-0005-0000-0000-0000FE050000}"/>
    <cellStyle name="Comma 2 2 4 4 4 2" xfId="1532" xr:uid="{00000000-0005-0000-0000-0000FF050000}"/>
    <cellStyle name="Comma 2 2 4 4 4 2 2" xfId="1533" xr:uid="{00000000-0005-0000-0000-000000060000}"/>
    <cellStyle name="Comma 2 2 4 4 4 3" xfId="1534" xr:uid="{00000000-0005-0000-0000-000001060000}"/>
    <cellStyle name="Comma 2 2 4 4 5" xfId="1535" xr:uid="{00000000-0005-0000-0000-000002060000}"/>
    <cellStyle name="Comma 2 2 4 4 5 2" xfId="1536" xr:uid="{00000000-0005-0000-0000-000003060000}"/>
    <cellStyle name="Comma 2 2 4 4 6" xfId="1537" xr:uid="{00000000-0005-0000-0000-000004060000}"/>
    <cellStyle name="Comma 2 2 4 4 6 2" xfId="1538" xr:uid="{00000000-0005-0000-0000-000005060000}"/>
    <cellStyle name="Comma 2 2 4 4 7" xfId="1539" xr:uid="{00000000-0005-0000-0000-000006060000}"/>
    <cellStyle name="Comma 2 2 4 5" xfId="1540" xr:uid="{00000000-0005-0000-0000-000007060000}"/>
    <cellStyle name="Comma 2 2 4 5 2" xfId="1541" xr:uid="{00000000-0005-0000-0000-000008060000}"/>
    <cellStyle name="Comma 2 2 4 5 2 2" xfId="1542" xr:uid="{00000000-0005-0000-0000-000009060000}"/>
    <cellStyle name="Comma 2 2 4 5 2 2 2" xfId="1543" xr:uid="{00000000-0005-0000-0000-00000A060000}"/>
    <cellStyle name="Comma 2 2 4 5 2 2 2 2" xfId="1544" xr:uid="{00000000-0005-0000-0000-00000B060000}"/>
    <cellStyle name="Comma 2 2 4 5 2 2 2 2 2" xfId="1545" xr:uid="{00000000-0005-0000-0000-00000C060000}"/>
    <cellStyle name="Comma 2 2 4 5 2 2 2 3" xfId="1546" xr:uid="{00000000-0005-0000-0000-00000D060000}"/>
    <cellStyle name="Comma 2 2 4 5 2 2 3" xfId="1547" xr:uid="{00000000-0005-0000-0000-00000E060000}"/>
    <cellStyle name="Comma 2 2 4 5 2 2 3 2" xfId="1548" xr:uid="{00000000-0005-0000-0000-00000F060000}"/>
    <cellStyle name="Comma 2 2 4 5 2 2 4" xfId="1549" xr:uid="{00000000-0005-0000-0000-000010060000}"/>
    <cellStyle name="Comma 2 2 4 5 2 2 4 2" xfId="1550" xr:uid="{00000000-0005-0000-0000-000011060000}"/>
    <cellStyle name="Comma 2 2 4 5 2 2 5" xfId="1551" xr:uid="{00000000-0005-0000-0000-000012060000}"/>
    <cellStyle name="Comma 2 2 4 5 2 3" xfId="1552" xr:uid="{00000000-0005-0000-0000-000013060000}"/>
    <cellStyle name="Comma 2 2 4 5 2 3 2" xfId="1553" xr:uid="{00000000-0005-0000-0000-000014060000}"/>
    <cellStyle name="Comma 2 2 4 5 2 3 2 2" xfId="1554" xr:uid="{00000000-0005-0000-0000-000015060000}"/>
    <cellStyle name="Comma 2 2 4 5 2 3 3" xfId="1555" xr:uid="{00000000-0005-0000-0000-000016060000}"/>
    <cellStyle name="Comma 2 2 4 5 2 4" xfId="1556" xr:uid="{00000000-0005-0000-0000-000017060000}"/>
    <cellStyle name="Comma 2 2 4 5 2 4 2" xfId="1557" xr:uid="{00000000-0005-0000-0000-000018060000}"/>
    <cellStyle name="Comma 2 2 4 5 2 5" xfId="1558" xr:uid="{00000000-0005-0000-0000-000019060000}"/>
    <cellStyle name="Comma 2 2 4 5 2 5 2" xfId="1559" xr:uid="{00000000-0005-0000-0000-00001A060000}"/>
    <cellStyle name="Comma 2 2 4 5 2 6" xfId="1560" xr:uid="{00000000-0005-0000-0000-00001B060000}"/>
    <cellStyle name="Comma 2 2 4 5 3" xfId="1561" xr:uid="{00000000-0005-0000-0000-00001C060000}"/>
    <cellStyle name="Comma 2 2 4 5 3 2" xfId="1562" xr:uid="{00000000-0005-0000-0000-00001D060000}"/>
    <cellStyle name="Comma 2 2 4 5 3 2 2" xfId="1563" xr:uid="{00000000-0005-0000-0000-00001E060000}"/>
    <cellStyle name="Comma 2 2 4 5 3 2 2 2" xfId="1564" xr:uid="{00000000-0005-0000-0000-00001F060000}"/>
    <cellStyle name="Comma 2 2 4 5 3 2 3" xfId="1565" xr:uid="{00000000-0005-0000-0000-000020060000}"/>
    <cellStyle name="Comma 2 2 4 5 3 3" xfId="1566" xr:uid="{00000000-0005-0000-0000-000021060000}"/>
    <cellStyle name="Comma 2 2 4 5 3 3 2" xfId="1567" xr:uid="{00000000-0005-0000-0000-000022060000}"/>
    <cellStyle name="Comma 2 2 4 5 3 4" xfId="1568" xr:uid="{00000000-0005-0000-0000-000023060000}"/>
    <cellStyle name="Comma 2 2 4 5 3 4 2" xfId="1569" xr:uid="{00000000-0005-0000-0000-000024060000}"/>
    <cellStyle name="Comma 2 2 4 5 3 5" xfId="1570" xr:uid="{00000000-0005-0000-0000-000025060000}"/>
    <cellStyle name="Comma 2 2 4 5 4" xfId="1571" xr:uid="{00000000-0005-0000-0000-000026060000}"/>
    <cellStyle name="Comma 2 2 4 5 4 2" xfId="1572" xr:uid="{00000000-0005-0000-0000-000027060000}"/>
    <cellStyle name="Comma 2 2 4 5 4 2 2" xfId="1573" xr:uid="{00000000-0005-0000-0000-000028060000}"/>
    <cellStyle name="Comma 2 2 4 5 4 3" xfId="1574" xr:uid="{00000000-0005-0000-0000-000029060000}"/>
    <cellStyle name="Comma 2 2 4 5 5" xfId="1575" xr:uid="{00000000-0005-0000-0000-00002A060000}"/>
    <cellStyle name="Comma 2 2 4 5 5 2" xfId="1576" xr:uid="{00000000-0005-0000-0000-00002B060000}"/>
    <cellStyle name="Comma 2 2 4 5 6" xfId="1577" xr:uid="{00000000-0005-0000-0000-00002C060000}"/>
    <cellStyle name="Comma 2 2 4 5 6 2" xfId="1578" xr:uid="{00000000-0005-0000-0000-00002D060000}"/>
    <cellStyle name="Comma 2 2 4 5 7" xfId="1579" xr:uid="{00000000-0005-0000-0000-00002E060000}"/>
    <cellStyle name="Comma 2 2 4 6" xfId="1580" xr:uid="{00000000-0005-0000-0000-00002F060000}"/>
    <cellStyle name="Comma 2 2 4 6 2" xfId="1581" xr:uid="{00000000-0005-0000-0000-000030060000}"/>
    <cellStyle name="Comma 2 2 4 6 2 2" xfId="1582" xr:uid="{00000000-0005-0000-0000-000031060000}"/>
    <cellStyle name="Comma 2 2 4 6 2 2 2" xfId="1583" xr:uid="{00000000-0005-0000-0000-000032060000}"/>
    <cellStyle name="Comma 2 2 4 6 2 2 2 2" xfId="1584" xr:uid="{00000000-0005-0000-0000-000033060000}"/>
    <cellStyle name="Comma 2 2 4 6 2 2 3" xfId="1585" xr:uid="{00000000-0005-0000-0000-000034060000}"/>
    <cellStyle name="Comma 2 2 4 6 2 3" xfId="1586" xr:uid="{00000000-0005-0000-0000-000035060000}"/>
    <cellStyle name="Comma 2 2 4 6 2 3 2" xfId="1587" xr:uid="{00000000-0005-0000-0000-000036060000}"/>
    <cellStyle name="Comma 2 2 4 6 2 4" xfId="1588" xr:uid="{00000000-0005-0000-0000-000037060000}"/>
    <cellStyle name="Comma 2 2 4 6 2 4 2" xfId="1589" xr:uid="{00000000-0005-0000-0000-000038060000}"/>
    <cellStyle name="Comma 2 2 4 6 2 5" xfId="1590" xr:uid="{00000000-0005-0000-0000-000039060000}"/>
    <cellStyle name="Comma 2 2 4 6 3" xfId="1591" xr:uid="{00000000-0005-0000-0000-00003A060000}"/>
    <cellStyle name="Comma 2 2 4 6 3 2" xfId="1592" xr:uid="{00000000-0005-0000-0000-00003B060000}"/>
    <cellStyle name="Comma 2 2 4 6 3 2 2" xfId="1593" xr:uid="{00000000-0005-0000-0000-00003C060000}"/>
    <cellStyle name="Comma 2 2 4 6 3 3" xfId="1594" xr:uid="{00000000-0005-0000-0000-00003D060000}"/>
    <cellStyle name="Comma 2 2 4 6 4" xfId="1595" xr:uid="{00000000-0005-0000-0000-00003E060000}"/>
    <cellStyle name="Comma 2 2 4 6 4 2" xfId="1596" xr:uid="{00000000-0005-0000-0000-00003F060000}"/>
    <cellStyle name="Comma 2 2 4 6 5" xfId="1597" xr:uid="{00000000-0005-0000-0000-000040060000}"/>
    <cellStyle name="Comma 2 2 4 6 5 2" xfId="1598" xr:uid="{00000000-0005-0000-0000-000041060000}"/>
    <cellStyle name="Comma 2 2 4 6 6" xfId="1599" xr:uid="{00000000-0005-0000-0000-000042060000}"/>
    <cellStyle name="Comma 2 2 4 7" xfId="1600" xr:uid="{00000000-0005-0000-0000-000043060000}"/>
    <cellStyle name="Comma 2 2 4 7 2" xfId="1601" xr:uid="{00000000-0005-0000-0000-000044060000}"/>
    <cellStyle name="Comma 2 2 4 7 2 2" xfId="1602" xr:uid="{00000000-0005-0000-0000-000045060000}"/>
    <cellStyle name="Comma 2 2 4 7 2 2 2" xfId="1603" xr:uid="{00000000-0005-0000-0000-000046060000}"/>
    <cellStyle name="Comma 2 2 4 7 2 3" xfId="1604" xr:uid="{00000000-0005-0000-0000-000047060000}"/>
    <cellStyle name="Comma 2 2 4 7 3" xfId="1605" xr:uid="{00000000-0005-0000-0000-000048060000}"/>
    <cellStyle name="Comma 2 2 4 7 3 2" xfId="1606" xr:uid="{00000000-0005-0000-0000-000049060000}"/>
    <cellStyle name="Comma 2 2 4 7 4" xfId="1607" xr:uid="{00000000-0005-0000-0000-00004A060000}"/>
    <cellStyle name="Comma 2 2 4 7 4 2" xfId="1608" xr:uid="{00000000-0005-0000-0000-00004B060000}"/>
    <cellStyle name="Comma 2 2 4 7 5" xfId="1609" xr:uid="{00000000-0005-0000-0000-00004C060000}"/>
    <cellStyle name="Comma 2 2 4 8" xfId="1610" xr:uid="{00000000-0005-0000-0000-00004D060000}"/>
    <cellStyle name="Comma 2 2 4 8 2" xfId="1611" xr:uid="{00000000-0005-0000-0000-00004E060000}"/>
    <cellStyle name="Comma 2 2 4 8 2 2" xfId="1612" xr:uid="{00000000-0005-0000-0000-00004F060000}"/>
    <cellStyle name="Comma 2 2 4 8 3" xfId="1613" xr:uid="{00000000-0005-0000-0000-000050060000}"/>
    <cellStyle name="Comma 2 2 4 9" xfId="1614" xr:uid="{00000000-0005-0000-0000-000051060000}"/>
    <cellStyle name="Comma 2 2 4 9 2" xfId="1615" xr:uid="{00000000-0005-0000-0000-000052060000}"/>
    <cellStyle name="Comma 2 2 5" xfId="1616" xr:uid="{00000000-0005-0000-0000-000053060000}"/>
    <cellStyle name="Comma 2 2 5 2" xfId="1617" xr:uid="{00000000-0005-0000-0000-000054060000}"/>
    <cellStyle name="Comma 2 2 5 2 2" xfId="1618" xr:uid="{00000000-0005-0000-0000-000055060000}"/>
    <cellStyle name="Comma 2 2 5 2 2 2" xfId="1619" xr:uid="{00000000-0005-0000-0000-000056060000}"/>
    <cellStyle name="Comma 2 2 5 2 2 2 2" xfId="1620" xr:uid="{00000000-0005-0000-0000-000057060000}"/>
    <cellStyle name="Comma 2 2 5 2 2 2 2 2" xfId="1621" xr:uid="{00000000-0005-0000-0000-000058060000}"/>
    <cellStyle name="Comma 2 2 5 2 2 2 2 2 2" xfId="1622" xr:uid="{00000000-0005-0000-0000-000059060000}"/>
    <cellStyle name="Comma 2 2 5 2 2 2 2 3" xfId="1623" xr:uid="{00000000-0005-0000-0000-00005A060000}"/>
    <cellStyle name="Comma 2 2 5 2 2 2 3" xfId="1624" xr:uid="{00000000-0005-0000-0000-00005B060000}"/>
    <cellStyle name="Comma 2 2 5 2 2 2 3 2" xfId="1625" xr:uid="{00000000-0005-0000-0000-00005C060000}"/>
    <cellStyle name="Comma 2 2 5 2 2 2 4" xfId="1626" xr:uid="{00000000-0005-0000-0000-00005D060000}"/>
    <cellStyle name="Comma 2 2 5 2 2 2 4 2" xfId="1627" xr:uid="{00000000-0005-0000-0000-00005E060000}"/>
    <cellStyle name="Comma 2 2 5 2 2 2 5" xfId="1628" xr:uid="{00000000-0005-0000-0000-00005F060000}"/>
    <cellStyle name="Comma 2 2 5 2 2 3" xfId="1629" xr:uid="{00000000-0005-0000-0000-000060060000}"/>
    <cellStyle name="Comma 2 2 5 2 2 3 2" xfId="1630" xr:uid="{00000000-0005-0000-0000-000061060000}"/>
    <cellStyle name="Comma 2 2 5 2 2 3 2 2" xfId="1631" xr:uid="{00000000-0005-0000-0000-000062060000}"/>
    <cellStyle name="Comma 2 2 5 2 2 3 3" xfId="1632" xr:uid="{00000000-0005-0000-0000-000063060000}"/>
    <cellStyle name="Comma 2 2 5 2 2 4" xfId="1633" xr:uid="{00000000-0005-0000-0000-000064060000}"/>
    <cellStyle name="Comma 2 2 5 2 2 4 2" xfId="1634" xr:uid="{00000000-0005-0000-0000-000065060000}"/>
    <cellStyle name="Comma 2 2 5 2 2 5" xfId="1635" xr:uid="{00000000-0005-0000-0000-000066060000}"/>
    <cellStyle name="Comma 2 2 5 2 2 5 2" xfId="1636" xr:uid="{00000000-0005-0000-0000-000067060000}"/>
    <cellStyle name="Comma 2 2 5 2 2 6" xfId="1637" xr:uid="{00000000-0005-0000-0000-000068060000}"/>
    <cellStyle name="Comma 2 2 5 2 3" xfId="1638" xr:uid="{00000000-0005-0000-0000-000069060000}"/>
    <cellStyle name="Comma 2 2 5 2 3 2" xfId="1639" xr:uid="{00000000-0005-0000-0000-00006A060000}"/>
    <cellStyle name="Comma 2 2 5 2 3 2 2" xfId="1640" xr:uid="{00000000-0005-0000-0000-00006B060000}"/>
    <cellStyle name="Comma 2 2 5 2 3 2 2 2" xfId="1641" xr:uid="{00000000-0005-0000-0000-00006C060000}"/>
    <cellStyle name="Comma 2 2 5 2 3 2 3" xfId="1642" xr:uid="{00000000-0005-0000-0000-00006D060000}"/>
    <cellStyle name="Comma 2 2 5 2 3 3" xfId="1643" xr:uid="{00000000-0005-0000-0000-00006E060000}"/>
    <cellStyle name="Comma 2 2 5 2 3 3 2" xfId="1644" xr:uid="{00000000-0005-0000-0000-00006F060000}"/>
    <cellStyle name="Comma 2 2 5 2 3 4" xfId="1645" xr:uid="{00000000-0005-0000-0000-000070060000}"/>
    <cellStyle name="Comma 2 2 5 2 3 4 2" xfId="1646" xr:uid="{00000000-0005-0000-0000-000071060000}"/>
    <cellStyle name="Comma 2 2 5 2 3 5" xfId="1647" xr:uid="{00000000-0005-0000-0000-000072060000}"/>
    <cellStyle name="Comma 2 2 5 2 4" xfId="1648" xr:uid="{00000000-0005-0000-0000-000073060000}"/>
    <cellStyle name="Comma 2 2 5 2 4 2" xfId="1649" xr:uid="{00000000-0005-0000-0000-000074060000}"/>
    <cellStyle name="Comma 2 2 5 2 4 2 2" xfId="1650" xr:uid="{00000000-0005-0000-0000-000075060000}"/>
    <cellStyle name="Comma 2 2 5 2 4 3" xfId="1651" xr:uid="{00000000-0005-0000-0000-000076060000}"/>
    <cellStyle name="Comma 2 2 5 2 5" xfId="1652" xr:uid="{00000000-0005-0000-0000-000077060000}"/>
    <cellStyle name="Comma 2 2 5 2 5 2" xfId="1653" xr:uid="{00000000-0005-0000-0000-000078060000}"/>
    <cellStyle name="Comma 2 2 5 2 6" xfId="1654" xr:uid="{00000000-0005-0000-0000-000079060000}"/>
    <cellStyle name="Comma 2 2 5 2 6 2" xfId="1655" xr:uid="{00000000-0005-0000-0000-00007A060000}"/>
    <cellStyle name="Comma 2 2 5 2 7" xfId="1656" xr:uid="{00000000-0005-0000-0000-00007B060000}"/>
    <cellStyle name="Comma 2 2 5 3" xfId="1657" xr:uid="{00000000-0005-0000-0000-00007C060000}"/>
    <cellStyle name="Comma 2 2 5 3 2" xfId="1658" xr:uid="{00000000-0005-0000-0000-00007D060000}"/>
    <cellStyle name="Comma 2 2 5 3 2 2" xfId="1659" xr:uid="{00000000-0005-0000-0000-00007E060000}"/>
    <cellStyle name="Comma 2 2 5 3 2 2 2" xfId="1660" xr:uid="{00000000-0005-0000-0000-00007F060000}"/>
    <cellStyle name="Comma 2 2 5 3 2 2 2 2" xfId="1661" xr:uid="{00000000-0005-0000-0000-000080060000}"/>
    <cellStyle name="Comma 2 2 5 3 2 2 2 2 2" xfId="1662" xr:uid="{00000000-0005-0000-0000-000081060000}"/>
    <cellStyle name="Comma 2 2 5 3 2 2 2 3" xfId="1663" xr:uid="{00000000-0005-0000-0000-000082060000}"/>
    <cellStyle name="Comma 2 2 5 3 2 2 3" xfId="1664" xr:uid="{00000000-0005-0000-0000-000083060000}"/>
    <cellStyle name="Comma 2 2 5 3 2 2 3 2" xfId="1665" xr:uid="{00000000-0005-0000-0000-000084060000}"/>
    <cellStyle name="Comma 2 2 5 3 2 2 4" xfId="1666" xr:uid="{00000000-0005-0000-0000-000085060000}"/>
    <cellStyle name="Comma 2 2 5 3 2 2 4 2" xfId="1667" xr:uid="{00000000-0005-0000-0000-000086060000}"/>
    <cellStyle name="Comma 2 2 5 3 2 2 5" xfId="1668" xr:uid="{00000000-0005-0000-0000-000087060000}"/>
    <cellStyle name="Comma 2 2 5 3 2 3" xfId="1669" xr:uid="{00000000-0005-0000-0000-000088060000}"/>
    <cellStyle name="Comma 2 2 5 3 2 3 2" xfId="1670" xr:uid="{00000000-0005-0000-0000-000089060000}"/>
    <cellStyle name="Comma 2 2 5 3 2 3 2 2" xfId="1671" xr:uid="{00000000-0005-0000-0000-00008A060000}"/>
    <cellStyle name="Comma 2 2 5 3 2 3 3" xfId="1672" xr:uid="{00000000-0005-0000-0000-00008B060000}"/>
    <cellStyle name="Comma 2 2 5 3 2 4" xfId="1673" xr:uid="{00000000-0005-0000-0000-00008C060000}"/>
    <cellStyle name="Comma 2 2 5 3 2 4 2" xfId="1674" xr:uid="{00000000-0005-0000-0000-00008D060000}"/>
    <cellStyle name="Comma 2 2 5 3 2 5" xfId="1675" xr:uid="{00000000-0005-0000-0000-00008E060000}"/>
    <cellStyle name="Comma 2 2 5 3 2 5 2" xfId="1676" xr:uid="{00000000-0005-0000-0000-00008F060000}"/>
    <cellStyle name="Comma 2 2 5 3 2 6" xfId="1677" xr:uid="{00000000-0005-0000-0000-000090060000}"/>
    <cellStyle name="Comma 2 2 5 3 3" xfId="1678" xr:uid="{00000000-0005-0000-0000-000091060000}"/>
    <cellStyle name="Comma 2 2 5 3 3 2" xfId="1679" xr:uid="{00000000-0005-0000-0000-000092060000}"/>
    <cellStyle name="Comma 2 2 5 3 3 2 2" xfId="1680" xr:uid="{00000000-0005-0000-0000-000093060000}"/>
    <cellStyle name="Comma 2 2 5 3 3 2 2 2" xfId="1681" xr:uid="{00000000-0005-0000-0000-000094060000}"/>
    <cellStyle name="Comma 2 2 5 3 3 2 3" xfId="1682" xr:uid="{00000000-0005-0000-0000-000095060000}"/>
    <cellStyle name="Comma 2 2 5 3 3 3" xfId="1683" xr:uid="{00000000-0005-0000-0000-000096060000}"/>
    <cellStyle name="Comma 2 2 5 3 3 3 2" xfId="1684" xr:uid="{00000000-0005-0000-0000-000097060000}"/>
    <cellStyle name="Comma 2 2 5 3 3 4" xfId="1685" xr:uid="{00000000-0005-0000-0000-000098060000}"/>
    <cellStyle name="Comma 2 2 5 3 3 4 2" xfId="1686" xr:uid="{00000000-0005-0000-0000-000099060000}"/>
    <cellStyle name="Comma 2 2 5 3 3 5" xfId="1687" xr:uid="{00000000-0005-0000-0000-00009A060000}"/>
    <cellStyle name="Comma 2 2 5 3 4" xfId="1688" xr:uid="{00000000-0005-0000-0000-00009B060000}"/>
    <cellStyle name="Comma 2 2 5 3 4 2" xfId="1689" xr:uid="{00000000-0005-0000-0000-00009C060000}"/>
    <cellStyle name="Comma 2 2 5 3 4 2 2" xfId="1690" xr:uid="{00000000-0005-0000-0000-00009D060000}"/>
    <cellStyle name="Comma 2 2 5 3 4 3" xfId="1691" xr:uid="{00000000-0005-0000-0000-00009E060000}"/>
    <cellStyle name="Comma 2 2 5 3 5" xfId="1692" xr:uid="{00000000-0005-0000-0000-00009F060000}"/>
    <cellStyle name="Comma 2 2 5 3 5 2" xfId="1693" xr:uid="{00000000-0005-0000-0000-0000A0060000}"/>
    <cellStyle name="Comma 2 2 5 3 6" xfId="1694" xr:uid="{00000000-0005-0000-0000-0000A1060000}"/>
    <cellStyle name="Comma 2 2 5 3 6 2" xfId="1695" xr:uid="{00000000-0005-0000-0000-0000A2060000}"/>
    <cellStyle name="Comma 2 2 5 3 7" xfId="1696" xr:uid="{00000000-0005-0000-0000-0000A3060000}"/>
    <cellStyle name="Comma 2 2 5 4" xfId="1697" xr:uid="{00000000-0005-0000-0000-0000A4060000}"/>
    <cellStyle name="Comma 2 2 5 4 2" xfId="1698" xr:uid="{00000000-0005-0000-0000-0000A5060000}"/>
    <cellStyle name="Comma 2 2 5 4 2 2" xfId="1699" xr:uid="{00000000-0005-0000-0000-0000A6060000}"/>
    <cellStyle name="Comma 2 2 5 4 2 2 2" xfId="1700" xr:uid="{00000000-0005-0000-0000-0000A7060000}"/>
    <cellStyle name="Comma 2 2 5 4 2 2 2 2" xfId="1701" xr:uid="{00000000-0005-0000-0000-0000A8060000}"/>
    <cellStyle name="Comma 2 2 5 4 2 2 3" xfId="1702" xr:uid="{00000000-0005-0000-0000-0000A9060000}"/>
    <cellStyle name="Comma 2 2 5 4 2 3" xfId="1703" xr:uid="{00000000-0005-0000-0000-0000AA060000}"/>
    <cellStyle name="Comma 2 2 5 4 2 3 2" xfId="1704" xr:uid="{00000000-0005-0000-0000-0000AB060000}"/>
    <cellStyle name="Comma 2 2 5 4 2 4" xfId="1705" xr:uid="{00000000-0005-0000-0000-0000AC060000}"/>
    <cellStyle name="Comma 2 2 5 4 2 4 2" xfId="1706" xr:uid="{00000000-0005-0000-0000-0000AD060000}"/>
    <cellStyle name="Comma 2 2 5 4 2 5" xfId="1707" xr:uid="{00000000-0005-0000-0000-0000AE060000}"/>
    <cellStyle name="Comma 2 2 5 4 3" xfId="1708" xr:uid="{00000000-0005-0000-0000-0000AF060000}"/>
    <cellStyle name="Comma 2 2 5 4 3 2" xfId="1709" xr:uid="{00000000-0005-0000-0000-0000B0060000}"/>
    <cellStyle name="Comma 2 2 5 4 3 2 2" xfId="1710" xr:uid="{00000000-0005-0000-0000-0000B1060000}"/>
    <cellStyle name="Comma 2 2 5 4 3 3" xfId="1711" xr:uid="{00000000-0005-0000-0000-0000B2060000}"/>
    <cellStyle name="Comma 2 2 5 4 4" xfId="1712" xr:uid="{00000000-0005-0000-0000-0000B3060000}"/>
    <cellStyle name="Comma 2 2 5 4 4 2" xfId="1713" xr:uid="{00000000-0005-0000-0000-0000B4060000}"/>
    <cellStyle name="Comma 2 2 5 4 5" xfId="1714" xr:uid="{00000000-0005-0000-0000-0000B5060000}"/>
    <cellStyle name="Comma 2 2 5 4 5 2" xfId="1715" xr:uid="{00000000-0005-0000-0000-0000B6060000}"/>
    <cellStyle name="Comma 2 2 5 4 6" xfId="1716" xr:uid="{00000000-0005-0000-0000-0000B7060000}"/>
    <cellStyle name="Comma 2 2 5 5" xfId="1717" xr:uid="{00000000-0005-0000-0000-0000B8060000}"/>
    <cellStyle name="Comma 2 2 5 5 2" xfId="1718" xr:uid="{00000000-0005-0000-0000-0000B9060000}"/>
    <cellStyle name="Comma 2 2 5 5 2 2" xfId="1719" xr:uid="{00000000-0005-0000-0000-0000BA060000}"/>
    <cellStyle name="Comma 2 2 5 5 2 2 2" xfId="1720" xr:uid="{00000000-0005-0000-0000-0000BB060000}"/>
    <cellStyle name="Comma 2 2 5 5 2 3" xfId="1721" xr:uid="{00000000-0005-0000-0000-0000BC060000}"/>
    <cellStyle name="Comma 2 2 5 5 3" xfId="1722" xr:uid="{00000000-0005-0000-0000-0000BD060000}"/>
    <cellStyle name="Comma 2 2 5 5 3 2" xfId="1723" xr:uid="{00000000-0005-0000-0000-0000BE060000}"/>
    <cellStyle name="Comma 2 2 5 5 4" xfId="1724" xr:uid="{00000000-0005-0000-0000-0000BF060000}"/>
    <cellStyle name="Comma 2 2 5 5 4 2" xfId="1725" xr:uid="{00000000-0005-0000-0000-0000C0060000}"/>
    <cellStyle name="Comma 2 2 5 5 5" xfId="1726" xr:uid="{00000000-0005-0000-0000-0000C1060000}"/>
    <cellStyle name="Comma 2 2 5 6" xfId="1727" xr:uid="{00000000-0005-0000-0000-0000C2060000}"/>
    <cellStyle name="Comma 2 2 5 6 2" xfId="1728" xr:uid="{00000000-0005-0000-0000-0000C3060000}"/>
    <cellStyle name="Comma 2 2 5 6 2 2" xfId="1729" xr:uid="{00000000-0005-0000-0000-0000C4060000}"/>
    <cellStyle name="Comma 2 2 5 6 3" xfId="1730" xr:uid="{00000000-0005-0000-0000-0000C5060000}"/>
    <cellStyle name="Comma 2 2 5 7" xfId="1731" xr:uid="{00000000-0005-0000-0000-0000C6060000}"/>
    <cellStyle name="Comma 2 2 5 7 2" xfId="1732" xr:uid="{00000000-0005-0000-0000-0000C7060000}"/>
    <cellStyle name="Comma 2 2 5 8" xfId="1733" xr:uid="{00000000-0005-0000-0000-0000C8060000}"/>
    <cellStyle name="Comma 2 2 5 8 2" xfId="1734" xr:uid="{00000000-0005-0000-0000-0000C9060000}"/>
    <cellStyle name="Comma 2 2 5 9" xfId="1735" xr:uid="{00000000-0005-0000-0000-0000CA060000}"/>
    <cellStyle name="Comma 2 2 6" xfId="1736" xr:uid="{00000000-0005-0000-0000-0000CB060000}"/>
    <cellStyle name="Comma 2 2 6 2" xfId="1737" xr:uid="{00000000-0005-0000-0000-0000CC060000}"/>
    <cellStyle name="Comma 2 2 6 2 2" xfId="1738" xr:uid="{00000000-0005-0000-0000-0000CD060000}"/>
    <cellStyle name="Comma 2 2 6 2 2 2" xfId="1739" xr:uid="{00000000-0005-0000-0000-0000CE060000}"/>
    <cellStyle name="Comma 2 2 6 2 2 2 2" xfId="1740" xr:uid="{00000000-0005-0000-0000-0000CF060000}"/>
    <cellStyle name="Comma 2 2 6 2 2 2 2 2" xfId="1741" xr:uid="{00000000-0005-0000-0000-0000D0060000}"/>
    <cellStyle name="Comma 2 2 6 2 2 2 2 2 2" xfId="1742" xr:uid="{00000000-0005-0000-0000-0000D1060000}"/>
    <cellStyle name="Comma 2 2 6 2 2 2 2 3" xfId="1743" xr:uid="{00000000-0005-0000-0000-0000D2060000}"/>
    <cellStyle name="Comma 2 2 6 2 2 2 3" xfId="1744" xr:uid="{00000000-0005-0000-0000-0000D3060000}"/>
    <cellStyle name="Comma 2 2 6 2 2 2 3 2" xfId="1745" xr:uid="{00000000-0005-0000-0000-0000D4060000}"/>
    <cellStyle name="Comma 2 2 6 2 2 2 4" xfId="1746" xr:uid="{00000000-0005-0000-0000-0000D5060000}"/>
    <cellStyle name="Comma 2 2 6 2 2 2 4 2" xfId="1747" xr:uid="{00000000-0005-0000-0000-0000D6060000}"/>
    <cellStyle name="Comma 2 2 6 2 2 2 5" xfId="1748" xr:uid="{00000000-0005-0000-0000-0000D7060000}"/>
    <cellStyle name="Comma 2 2 6 2 2 3" xfId="1749" xr:uid="{00000000-0005-0000-0000-0000D8060000}"/>
    <cellStyle name="Comma 2 2 6 2 2 3 2" xfId="1750" xr:uid="{00000000-0005-0000-0000-0000D9060000}"/>
    <cellStyle name="Comma 2 2 6 2 2 3 2 2" xfId="1751" xr:uid="{00000000-0005-0000-0000-0000DA060000}"/>
    <cellStyle name="Comma 2 2 6 2 2 3 3" xfId="1752" xr:uid="{00000000-0005-0000-0000-0000DB060000}"/>
    <cellStyle name="Comma 2 2 6 2 2 4" xfId="1753" xr:uid="{00000000-0005-0000-0000-0000DC060000}"/>
    <cellStyle name="Comma 2 2 6 2 2 4 2" xfId="1754" xr:uid="{00000000-0005-0000-0000-0000DD060000}"/>
    <cellStyle name="Comma 2 2 6 2 2 5" xfId="1755" xr:uid="{00000000-0005-0000-0000-0000DE060000}"/>
    <cellStyle name="Comma 2 2 6 2 2 5 2" xfId="1756" xr:uid="{00000000-0005-0000-0000-0000DF060000}"/>
    <cellStyle name="Comma 2 2 6 2 2 6" xfId="1757" xr:uid="{00000000-0005-0000-0000-0000E0060000}"/>
    <cellStyle name="Comma 2 2 6 2 3" xfId="1758" xr:uid="{00000000-0005-0000-0000-0000E1060000}"/>
    <cellStyle name="Comma 2 2 6 2 3 2" xfId="1759" xr:uid="{00000000-0005-0000-0000-0000E2060000}"/>
    <cellStyle name="Comma 2 2 6 2 3 2 2" xfId="1760" xr:uid="{00000000-0005-0000-0000-0000E3060000}"/>
    <cellStyle name="Comma 2 2 6 2 3 2 2 2" xfId="1761" xr:uid="{00000000-0005-0000-0000-0000E4060000}"/>
    <cellStyle name="Comma 2 2 6 2 3 2 3" xfId="1762" xr:uid="{00000000-0005-0000-0000-0000E5060000}"/>
    <cellStyle name="Comma 2 2 6 2 3 3" xfId="1763" xr:uid="{00000000-0005-0000-0000-0000E6060000}"/>
    <cellStyle name="Comma 2 2 6 2 3 3 2" xfId="1764" xr:uid="{00000000-0005-0000-0000-0000E7060000}"/>
    <cellStyle name="Comma 2 2 6 2 3 4" xfId="1765" xr:uid="{00000000-0005-0000-0000-0000E8060000}"/>
    <cellStyle name="Comma 2 2 6 2 3 4 2" xfId="1766" xr:uid="{00000000-0005-0000-0000-0000E9060000}"/>
    <cellStyle name="Comma 2 2 6 2 3 5" xfId="1767" xr:uid="{00000000-0005-0000-0000-0000EA060000}"/>
    <cellStyle name="Comma 2 2 6 2 4" xfId="1768" xr:uid="{00000000-0005-0000-0000-0000EB060000}"/>
    <cellStyle name="Comma 2 2 6 2 4 2" xfId="1769" xr:uid="{00000000-0005-0000-0000-0000EC060000}"/>
    <cellStyle name="Comma 2 2 6 2 4 2 2" xfId="1770" xr:uid="{00000000-0005-0000-0000-0000ED060000}"/>
    <cellStyle name="Comma 2 2 6 2 4 3" xfId="1771" xr:uid="{00000000-0005-0000-0000-0000EE060000}"/>
    <cellStyle name="Comma 2 2 6 2 5" xfId="1772" xr:uid="{00000000-0005-0000-0000-0000EF060000}"/>
    <cellStyle name="Comma 2 2 6 2 5 2" xfId="1773" xr:uid="{00000000-0005-0000-0000-0000F0060000}"/>
    <cellStyle name="Comma 2 2 6 2 6" xfId="1774" xr:uid="{00000000-0005-0000-0000-0000F1060000}"/>
    <cellStyle name="Comma 2 2 6 2 6 2" xfId="1775" xr:uid="{00000000-0005-0000-0000-0000F2060000}"/>
    <cellStyle name="Comma 2 2 6 2 7" xfId="1776" xr:uid="{00000000-0005-0000-0000-0000F3060000}"/>
    <cellStyle name="Comma 2 2 6 3" xfId="1777" xr:uid="{00000000-0005-0000-0000-0000F4060000}"/>
    <cellStyle name="Comma 2 2 6 3 2" xfId="1778" xr:uid="{00000000-0005-0000-0000-0000F5060000}"/>
    <cellStyle name="Comma 2 2 6 3 2 2" xfId="1779" xr:uid="{00000000-0005-0000-0000-0000F6060000}"/>
    <cellStyle name="Comma 2 2 6 3 2 2 2" xfId="1780" xr:uid="{00000000-0005-0000-0000-0000F7060000}"/>
    <cellStyle name="Comma 2 2 6 3 2 2 2 2" xfId="1781" xr:uid="{00000000-0005-0000-0000-0000F8060000}"/>
    <cellStyle name="Comma 2 2 6 3 2 2 2 2 2" xfId="1782" xr:uid="{00000000-0005-0000-0000-0000F9060000}"/>
    <cellStyle name="Comma 2 2 6 3 2 2 2 3" xfId="1783" xr:uid="{00000000-0005-0000-0000-0000FA060000}"/>
    <cellStyle name="Comma 2 2 6 3 2 2 3" xfId="1784" xr:uid="{00000000-0005-0000-0000-0000FB060000}"/>
    <cellStyle name="Comma 2 2 6 3 2 2 3 2" xfId="1785" xr:uid="{00000000-0005-0000-0000-0000FC060000}"/>
    <cellStyle name="Comma 2 2 6 3 2 2 4" xfId="1786" xr:uid="{00000000-0005-0000-0000-0000FD060000}"/>
    <cellStyle name="Comma 2 2 6 3 2 2 4 2" xfId="1787" xr:uid="{00000000-0005-0000-0000-0000FE060000}"/>
    <cellStyle name="Comma 2 2 6 3 2 2 5" xfId="1788" xr:uid="{00000000-0005-0000-0000-0000FF060000}"/>
    <cellStyle name="Comma 2 2 6 3 2 3" xfId="1789" xr:uid="{00000000-0005-0000-0000-000000070000}"/>
    <cellStyle name="Comma 2 2 6 3 2 3 2" xfId="1790" xr:uid="{00000000-0005-0000-0000-000001070000}"/>
    <cellStyle name="Comma 2 2 6 3 2 3 2 2" xfId="1791" xr:uid="{00000000-0005-0000-0000-000002070000}"/>
    <cellStyle name="Comma 2 2 6 3 2 3 3" xfId="1792" xr:uid="{00000000-0005-0000-0000-000003070000}"/>
    <cellStyle name="Comma 2 2 6 3 2 4" xfId="1793" xr:uid="{00000000-0005-0000-0000-000004070000}"/>
    <cellStyle name="Comma 2 2 6 3 2 4 2" xfId="1794" xr:uid="{00000000-0005-0000-0000-000005070000}"/>
    <cellStyle name="Comma 2 2 6 3 2 5" xfId="1795" xr:uid="{00000000-0005-0000-0000-000006070000}"/>
    <cellStyle name="Comma 2 2 6 3 2 5 2" xfId="1796" xr:uid="{00000000-0005-0000-0000-000007070000}"/>
    <cellStyle name="Comma 2 2 6 3 2 6" xfId="1797" xr:uid="{00000000-0005-0000-0000-000008070000}"/>
    <cellStyle name="Comma 2 2 6 3 3" xfId="1798" xr:uid="{00000000-0005-0000-0000-000009070000}"/>
    <cellStyle name="Comma 2 2 6 3 3 2" xfId="1799" xr:uid="{00000000-0005-0000-0000-00000A070000}"/>
    <cellStyle name="Comma 2 2 6 3 3 2 2" xfId="1800" xr:uid="{00000000-0005-0000-0000-00000B070000}"/>
    <cellStyle name="Comma 2 2 6 3 3 2 2 2" xfId="1801" xr:uid="{00000000-0005-0000-0000-00000C070000}"/>
    <cellStyle name="Comma 2 2 6 3 3 2 3" xfId="1802" xr:uid="{00000000-0005-0000-0000-00000D070000}"/>
    <cellStyle name="Comma 2 2 6 3 3 3" xfId="1803" xr:uid="{00000000-0005-0000-0000-00000E070000}"/>
    <cellStyle name="Comma 2 2 6 3 3 3 2" xfId="1804" xr:uid="{00000000-0005-0000-0000-00000F070000}"/>
    <cellStyle name="Comma 2 2 6 3 3 4" xfId="1805" xr:uid="{00000000-0005-0000-0000-000010070000}"/>
    <cellStyle name="Comma 2 2 6 3 3 4 2" xfId="1806" xr:uid="{00000000-0005-0000-0000-000011070000}"/>
    <cellStyle name="Comma 2 2 6 3 3 5" xfId="1807" xr:uid="{00000000-0005-0000-0000-000012070000}"/>
    <cellStyle name="Comma 2 2 6 3 4" xfId="1808" xr:uid="{00000000-0005-0000-0000-000013070000}"/>
    <cellStyle name="Comma 2 2 6 3 4 2" xfId="1809" xr:uid="{00000000-0005-0000-0000-000014070000}"/>
    <cellStyle name="Comma 2 2 6 3 4 2 2" xfId="1810" xr:uid="{00000000-0005-0000-0000-000015070000}"/>
    <cellStyle name="Comma 2 2 6 3 4 3" xfId="1811" xr:uid="{00000000-0005-0000-0000-000016070000}"/>
    <cellStyle name="Comma 2 2 6 3 5" xfId="1812" xr:uid="{00000000-0005-0000-0000-000017070000}"/>
    <cellStyle name="Comma 2 2 6 3 5 2" xfId="1813" xr:uid="{00000000-0005-0000-0000-000018070000}"/>
    <cellStyle name="Comma 2 2 6 3 6" xfId="1814" xr:uid="{00000000-0005-0000-0000-000019070000}"/>
    <cellStyle name="Comma 2 2 6 3 6 2" xfId="1815" xr:uid="{00000000-0005-0000-0000-00001A070000}"/>
    <cellStyle name="Comma 2 2 6 3 7" xfId="1816" xr:uid="{00000000-0005-0000-0000-00001B070000}"/>
    <cellStyle name="Comma 2 2 6 4" xfId="1817" xr:uid="{00000000-0005-0000-0000-00001C070000}"/>
    <cellStyle name="Comma 2 2 6 4 2" xfId="1818" xr:uid="{00000000-0005-0000-0000-00001D070000}"/>
    <cellStyle name="Comma 2 2 6 4 2 2" xfId="1819" xr:uid="{00000000-0005-0000-0000-00001E070000}"/>
    <cellStyle name="Comma 2 2 6 4 2 2 2" xfId="1820" xr:uid="{00000000-0005-0000-0000-00001F070000}"/>
    <cellStyle name="Comma 2 2 6 4 2 2 2 2" xfId="1821" xr:uid="{00000000-0005-0000-0000-000020070000}"/>
    <cellStyle name="Comma 2 2 6 4 2 2 3" xfId="1822" xr:uid="{00000000-0005-0000-0000-000021070000}"/>
    <cellStyle name="Comma 2 2 6 4 2 3" xfId="1823" xr:uid="{00000000-0005-0000-0000-000022070000}"/>
    <cellStyle name="Comma 2 2 6 4 2 3 2" xfId="1824" xr:uid="{00000000-0005-0000-0000-000023070000}"/>
    <cellStyle name="Comma 2 2 6 4 2 4" xfId="1825" xr:uid="{00000000-0005-0000-0000-000024070000}"/>
    <cellStyle name="Comma 2 2 6 4 2 4 2" xfId="1826" xr:uid="{00000000-0005-0000-0000-000025070000}"/>
    <cellStyle name="Comma 2 2 6 4 2 5" xfId="1827" xr:uid="{00000000-0005-0000-0000-000026070000}"/>
    <cellStyle name="Comma 2 2 6 4 3" xfId="1828" xr:uid="{00000000-0005-0000-0000-000027070000}"/>
    <cellStyle name="Comma 2 2 6 4 3 2" xfId="1829" xr:uid="{00000000-0005-0000-0000-000028070000}"/>
    <cellStyle name="Comma 2 2 6 4 3 2 2" xfId="1830" xr:uid="{00000000-0005-0000-0000-000029070000}"/>
    <cellStyle name="Comma 2 2 6 4 3 3" xfId="1831" xr:uid="{00000000-0005-0000-0000-00002A070000}"/>
    <cellStyle name="Comma 2 2 6 4 4" xfId="1832" xr:uid="{00000000-0005-0000-0000-00002B070000}"/>
    <cellStyle name="Comma 2 2 6 4 4 2" xfId="1833" xr:uid="{00000000-0005-0000-0000-00002C070000}"/>
    <cellStyle name="Comma 2 2 6 4 5" xfId="1834" xr:uid="{00000000-0005-0000-0000-00002D070000}"/>
    <cellStyle name="Comma 2 2 6 4 5 2" xfId="1835" xr:uid="{00000000-0005-0000-0000-00002E070000}"/>
    <cellStyle name="Comma 2 2 6 4 6" xfId="1836" xr:uid="{00000000-0005-0000-0000-00002F070000}"/>
    <cellStyle name="Comma 2 2 6 5" xfId="1837" xr:uid="{00000000-0005-0000-0000-000030070000}"/>
    <cellStyle name="Comma 2 2 6 5 2" xfId="1838" xr:uid="{00000000-0005-0000-0000-000031070000}"/>
    <cellStyle name="Comma 2 2 6 5 2 2" xfId="1839" xr:uid="{00000000-0005-0000-0000-000032070000}"/>
    <cellStyle name="Comma 2 2 6 5 2 2 2" xfId="1840" xr:uid="{00000000-0005-0000-0000-000033070000}"/>
    <cellStyle name="Comma 2 2 6 5 2 3" xfId="1841" xr:uid="{00000000-0005-0000-0000-000034070000}"/>
    <cellStyle name="Comma 2 2 6 5 3" xfId="1842" xr:uid="{00000000-0005-0000-0000-000035070000}"/>
    <cellStyle name="Comma 2 2 6 5 3 2" xfId="1843" xr:uid="{00000000-0005-0000-0000-000036070000}"/>
    <cellStyle name="Comma 2 2 6 5 4" xfId="1844" xr:uid="{00000000-0005-0000-0000-000037070000}"/>
    <cellStyle name="Comma 2 2 6 5 4 2" xfId="1845" xr:uid="{00000000-0005-0000-0000-000038070000}"/>
    <cellStyle name="Comma 2 2 6 5 5" xfId="1846" xr:uid="{00000000-0005-0000-0000-000039070000}"/>
    <cellStyle name="Comma 2 2 6 6" xfId="1847" xr:uid="{00000000-0005-0000-0000-00003A070000}"/>
    <cellStyle name="Comma 2 2 6 6 2" xfId="1848" xr:uid="{00000000-0005-0000-0000-00003B070000}"/>
    <cellStyle name="Comma 2 2 6 6 2 2" xfId="1849" xr:uid="{00000000-0005-0000-0000-00003C070000}"/>
    <cellStyle name="Comma 2 2 6 6 3" xfId="1850" xr:uid="{00000000-0005-0000-0000-00003D070000}"/>
    <cellStyle name="Comma 2 2 6 7" xfId="1851" xr:uid="{00000000-0005-0000-0000-00003E070000}"/>
    <cellStyle name="Comma 2 2 6 7 2" xfId="1852" xr:uid="{00000000-0005-0000-0000-00003F070000}"/>
    <cellStyle name="Comma 2 2 6 8" xfId="1853" xr:uid="{00000000-0005-0000-0000-000040070000}"/>
    <cellStyle name="Comma 2 2 6 8 2" xfId="1854" xr:uid="{00000000-0005-0000-0000-000041070000}"/>
    <cellStyle name="Comma 2 2 6 9" xfId="1855" xr:uid="{00000000-0005-0000-0000-000042070000}"/>
    <cellStyle name="Comma 2 2 7" xfId="1856" xr:uid="{00000000-0005-0000-0000-000043070000}"/>
    <cellStyle name="Comma 2 2 7 2" xfId="1857" xr:uid="{00000000-0005-0000-0000-000044070000}"/>
    <cellStyle name="Comma 2 2 7 2 2" xfId="1858" xr:uid="{00000000-0005-0000-0000-000045070000}"/>
    <cellStyle name="Comma 2 2 7 2 2 2" xfId="1859" xr:uid="{00000000-0005-0000-0000-000046070000}"/>
    <cellStyle name="Comma 2 2 7 2 2 2 2" xfId="1860" xr:uid="{00000000-0005-0000-0000-000047070000}"/>
    <cellStyle name="Comma 2 2 7 2 2 2 2 2" xfId="1861" xr:uid="{00000000-0005-0000-0000-000048070000}"/>
    <cellStyle name="Comma 2 2 7 2 2 2 2 2 2" xfId="1862" xr:uid="{00000000-0005-0000-0000-000049070000}"/>
    <cellStyle name="Comma 2 2 7 2 2 2 2 3" xfId="1863" xr:uid="{00000000-0005-0000-0000-00004A070000}"/>
    <cellStyle name="Comma 2 2 7 2 2 2 3" xfId="1864" xr:uid="{00000000-0005-0000-0000-00004B070000}"/>
    <cellStyle name="Comma 2 2 7 2 2 2 3 2" xfId="1865" xr:uid="{00000000-0005-0000-0000-00004C070000}"/>
    <cellStyle name="Comma 2 2 7 2 2 2 4" xfId="1866" xr:uid="{00000000-0005-0000-0000-00004D070000}"/>
    <cellStyle name="Comma 2 2 7 2 2 2 4 2" xfId="1867" xr:uid="{00000000-0005-0000-0000-00004E070000}"/>
    <cellStyle name="Comma 2 2 7 2 2 2 5" xfId="1868" xr:uid="{00000000-0005-0000-0000-00004F070000}"/>
    <cellStyle name="Comma 2 2 7 2 2 3" xfId="1869" xr:uid="{00000000-0005-0000-0000-000050070000}"/>
    <cellStyle name="Comma 2 2 7 2 2 3 2" xfId="1870" xr:uid="{00000000-0005-0000-0000-000051070000}"/>
    <cellStyle name="Comma 2 2 7 2 2 3 2 2" xfId="1871" xr:uid="{00000000-0005-0000-0000-000052070000}"/>
    <cellStyle name="Comma 2 2 7 2 2 3 3" xfId="1872" xr:uid="{00000000-0005-0000-0000-000053070000}"/>
    <cellStyle name="Comma 2 2 7 2 2 4" xfId="1873" xr:uid="{00000000-0005-0000-0000-000054070000}"/>
    <cellStyle name="Comma 2 2 7 2 2 4 2" xfId="1874" xr:uid="{00000000-0005-0000-0000-000055070000}"/>
    <cellStyle name="Comma 2 2 7 2 2 5" xfId="1875" xr:uid="{00000000-0005-0000-0000-000056070000}"/>
    <cellStyle name="Comma 2 2 7 2 2 5 2" xfId="1876" xr:uid="{00000000-0005-0000-0000-000057070000}"/>
    <cellStyle name="Comma 2 2 7 2 2 6" xfId="1877" xr:uid="{00000000-0005-0000-0000-000058070000}"/>
    <cellStyle name="Comma 2 2 7 2 3" xfId="1878" xr:uid="{00000000-0005-0000-0000-000059070000}"/>
    <cellStyle name="Comma 2 2 7 2 3 2" xfId="1879" xr:uid="{00000000-0005-0000-0000-00005A070000}"/>
    <cellStyle name="Comma 2 2 7 2 3 2 2" xfId="1880" xr:uid="{00000000-0005-0000-0000-00005B070000}"/>
    <cellStyle name="Comma 2 2 7 2 3 2 2 2" xfId="1881" xr:uid="{00000000-0005-0000-0000-00005C070000}"/>
    <cellStyle name="Comma 2 2 7 2 3 2 3" xfId="1882" xr:uid="{00000000-0005-0000-0000-00005D070000}"/>
    <cellStyle name="Comma 2 2 7 2 3 3" xfId="1883" xr:uid="{00000000-0005-0000-0000-00005E070000}"/>
    <cellStyle name="Comma 2 2 7 2 3 3 2" xfId="1884" xr:uid="{00000000-0005-0000-0000-00005F070000}"/>
    <cellStyle name="Comma 2 2 7 2 3 4" xfId="1885" xr:uid="{00000000-0005-0000-0000-000060070000}"/>
    <cellStyle name="Comma 2 2 7 2 3 4 2" xfId="1886" xr:uid="{00000000-0005-0000-0000-000061070000}"/>
    <cellStyle name="Comma 2 2 7 2 3 5" xfId="1887" xr:uid="{00000000-0005-0000-0000-000062070000}"/>
    <cellStyle name="Comma 2 2 7 2 4" xfId="1888" xr:uid="{00000000-0005-0000-0000-000063070000}"/>
    <cellStyle name="Comma 2 2 7 2 4 2" xfId="1889" xr:uid="{00000000-0005-0000-0000-000064070000}"/>
    <cellStyle name="Comma 2 2 7 2 4 2 2" xfId="1890" xr:uid="{00000000-0005-0000-0000-000065070000}"/>
    <cellStyle name="Comma 2 2 7 2 4 3" xfId="1891" xr:uid="{00000000-0005-0000-0000-000066070000}"/>
    <cellStyle name="Comma 2 2 7 2 5" xfId="1892" xr:uid="{00000000-0005-0000-0000-000067070000}"/>
    <cellStyle name="Comma 2 2 7 2 5 2" xfId="1893" xr:uid="{00000000-0005-0000-0000-000068070000}"/>
    <cellStyle name="Comma 2 2 7 2 6" xfId="1894" xr:uid="{00000000-0005-0000-0000-000069070000}"/>
    <cellStyle name="Comma 2 2 7 2 6 2" xfId="1895" xr:uid="{00000000-0005-0000-0000-00006A070000}"/>
    <cellStyle name="Comma 2 2 7 2 7" xfId="1896" xr:uid="{00000000-0005-0000-0000-00006B070000}"/>
    <cellStyle name="Comma 2 2 7 3" xfId="1897" xr:uid="{00000000-0005-0000-0000-00006C070000}"/>
    <cellStyle name="Comma 2 2 7 3 2" xfId="1898" xr:uid="{00000000-0005-0000-0000-00006D070000}"/>
    <cellStyle name="Comma 2 2 7 3 2 2" xfId="1899" xr:uid="{00000000-0005-0000-0000-00006E070000}"/>
    <cellStyle name="Comma 2 2 7 3 2 2 2" xfId="1900" xr:uid="{00000000-0005-0000-0000-00006F070000}"/>
    <cellStyle name="Comma 2 2 7 3 2 2 2 2" xfId="1901" xr:uid="{00000000-0005-0000-0000-000070070000}"/>
    <cellStyle name="Comma 2 2 7 3 2 2 3" xfId="1902" xr:uid="{00000000-0005-0000-0000-000071070000}"/>
    <cellStyle name="Comma 2 2 7 3 2 3" xfId="1903" xr:uid="{00000000-0005-0000-0000-000072070000}"/>
    <cellStyle name="Comma 2 2 7 3 2 3 2" xfId="1904" xr:uid="{00000000-0005-0000-0000-000073070000}"/>
    <cellStyle name="Comma 2 2 7 3 2 4" xfId="1905" xr:uid="{00000000-0005-0000-0000-000074070000}"/>
    <cellStyle name="Comma 2 2 7 3 2 4 2" xfId="1906" xr:uid="{00000000-0005-0000-0000-000075070000}"/>
    <cellStyle name="Comma 2 2 7 3 2 5" xfId="1907" xr:uid="{00000000-0005-0000-0000-000076070000}"/>
    <cellStyle name="Comma 2 2 7 3 3" xfId="1908" xr:uid="{00000000-0005-0000-0000-000077070000}"/>
    <cellStyle name="Comma 2 2 7 3 3 2" xfId="1909" xr:uid="{00000000-0005-0000-0000-000078070000}"/>
    <cellStyle name="Comma 2 2 7 3 3 2 2" xfId="1910" xr:uid="{00000000-0005-0000-0000-000079070000}"/>
    <cellStyle name="Comma 2 2 7 3 3 3" xfId="1911" xr:uid="{00000000-0005-0000-0000-00007A070000}"/>
    <cellStyle name="Comma 2 2 7 3 4" xfId="1912" xr:uid="{00000000-0005-0000-0000-00007B070000}"/>
    <cellStyle name="Comma 2 2 7 3 4 2" xfId="1913" xr:uid="{00000000-0005-0000-0000-00007C070000}"/>
    <cellStyle name="Comma 2 2 7 3 5" xfId="1914" xr:uid="{00000000-0005-0000-0000-00007D070000}"/>
    <cellStyle name="Comma 2 2 7 3 5 2" xfId="1915" xr:uid="{00000000-0005-0000-0000-00007E070000}"/>
    <cellStyle name="Comma 2 2 7 3 6" xfId="1916" xr:uid="{00000000-0005-0000-0000-00007F070000}"/>
    <cellStyle name="Comma 2 2 7 4" xfId="1917" xr:uid="{00000000-0005-0000-0000-000080070000}"/>
    <cellStyle name="Comma 2 2 7 4 2" xfId="1918" xr:uid="{00000000-0005-0000-0000-000081070000}"/>
    <cellStyle name="Comma 2 2 7 4 2 2" xfId="1919" xr:uid="{00000000-0005-0000-0000-000082070000}"/>
    <cellStyle name="Comma 2 2 7 4 2 2 2" xfId="1920" xr:uid="{00000000-0005-0000-0000-000083070000}"/>
    <cellStyle name="Comma 2 2 7 4 2 3" xfId="1921" xr:uid="{00000000-0005-0000-0000-000084070000}"/>
    <cellStyle name="Comma 2 2 7 4 3" xfId="1922" xr:uid="{00000000-0005-0000-0000-000085070000}"/>
    <cellStyle name="Comma 2 2 7 4 3 2" xfId="1923" xr:uid="{00000000-0005-0000-0000-000086070000}"/>
    <cellStyle name="Comma 2 2 7 4 4" xfId="1924" xr:uid="{00000000-0005-0000-0000-000087070000}"/>
    <cellStyle name="Comma 2 2 7 4 4 2" xfId="1925" xr:uid="{00000000-0005-0000-0000-000088070000}"/>
    <cellStyle name="Comma 2 2 7 4 5" xfId="1926" xr:uid="{00000000-0005-0000-0000-000089070000}"/>
    <cellStyle name="Comma 2 2 7 5" xfId="1927" xr:uid="{00000000-0005-0000-0000-00008A070000}"/>
    <cellStyle name="Comma 2 2 7 5 2" xfId="1928" xr:uid="{00000000-0005-0000-0000-00008B070000}"/>
    <cellStyle name="Comma 2 2 7 5 2 2" xfId="1929" xr:uid="{00000000-0005-0000-0000-00008C070000}"/>
    <cellStyle name="Comma 2 2 7 5 3" xfId="1930" xr:uid="{00000000-0005-0000-0000-00008D070000}"/>
    <cellStyle name="Comma 2 2 7 6" xfId="1931" xr:uid="{00000000-0005-0000-0000-00008E070000}"/>
    <cellStyle name="Comma 2 2 7 6 2" xfId="1932" xr:uid="{00000000-0005-0000-0000-00008F070000}"/>
    <cellStyle name="Comma 2 2 7 7" xfId="1933" xr:uid="{00000000-0005-0000-0000-000090070000}"/>
    <cellStyle name="Comma 2 2 7 7 2" xfId="1934" xr:uid="{00000000-0005-0000-0000-000091070000}"/>
    <cellStyle name="Comma 2 2 7 8" xfId="1935" xr:uid="{00000000-0005-0000-0000-000092070000}"/>
    <cellStyle name="Comma 2 2 8" xfId="1936" xr:uid="{00000000-0005-0000-0000-000093070000}"/>
    <cellStyle name="Comma 2 2 8 2" xfId="1937" xr:uid="{00000000-0005-0000-0000-000094070000}"/>
    <cellStyle name="Comma 2 2 8 2 2" xfId="1938" xr:uid="{00000000-0005-0000-0000-000095070000}"/>
    <cellStyle name="Comma 2 2 8 2 2 2" xfId="1939" xr:uid="{00000000-0005-0000-0000-000096070000}"/>
    <cellStyle name="Comma 2 2 8 2 2 2 2" xfId="1940" xr:uid="{00000000-0005-0000-0000-000097070000}"/>
    <cellStyle name="Comma 2 2 8 2 2 2 2 2" xfId="1941" xr:uid="{00000000-0005-0000-0000-000098070000}"/>
    <cellStyle name="Comma 2 2 8 2 2 2 3" xfId="1942" xr:uid="{00000000-0005-0000-0000-000099070000}"/>
    <cellStyle name="Comma 2 2 8 2 2 3" xfId="1943" xr:uid="{00000000-0005-0000-0000-00009A070000}"/>
    <cellStyle name="Comma 2 2 8 2 2 3 2" xfId="1944" xr:uid="{00000000-0005-0000-0000-00009B070000}"/>
    <cellStyle name="Comma 2 2 8 2 2 4" xfId="1945" xr:uid="{00000000-0005-0000-0000-00009C070000}"/>
    <cellStyle name="Comma 2 2 8 2 2 4 2" xfId="1946" xr:uid="{00000000-0005-0000-0000-00009D070000}"/>
    <cellStyle name="Comma 2 2 8 2 2 5" xfId="1947" xr:uid="{00000000-0005-0000-0000-00009E070000}"/>
    <cellStyle name="Comma 2 2 8 2 3" xfId="1948" xr:uid="{00000000-0005-0000-0000-00009F070000}"/>
    <cellStyle name="Comma 2 2 8 2 3 2" xfId="1949" xr:uid="{00000000-0005-0000-0000-0000A0070000}"/>
    <cellStyle name="Comma 2 2 8 2 3 2 2" xfId="1950" xr:uid="{00000000-0005-0000-0000-0000A1070000}"/>
    <cellStyle name="Comma 2 2 8 2 3 3" xfId="1951" xr:uid="{00000000-0005-0000-0000-0000A2070000}"/>
    <cellStyle name="Comma 2 2 8 2 4" xfId="1952" xr:uid="{00000000-0005-0000-0000-0000A3070000}"/>
    <cellStyle name="Comma 2 2 8 2 4 2" xfId="1953" xr:uid="{00000000-0005-0000-0000-0000A4070000}"/>
    <cellStyle name="Comma 2 2 8 2 5" xfId="1954" xr:uid="{00000000-0005-0000-0000-0000A5070000}"/>
    <cellStyle name="Comma 2 2 8 2 5 2" xfId="1955" xr:uid="{00000000-0005-0000-0000-0000A6070000}"/>
    <cellStyle name="Comma 2 2 8 2 6" xfId="1956" xr:uid="{00000000-0005-0000-0000-0000A7070000}"/>
    <cellStyle name="Comma 2 2 8 3" xfId="1957" xr:uid="{00000000-0005-0000-0000-0000A8070000}"/>
    <cellStyle name="Comma 2 2 8 3 2" xfId="1958" xr:uid="{00000000-0005-0000-0000-0000A9070000}"/>
    <cellStyle name="Comma 2 2 8 3 2 2" xfId="1959" xr:uid="{00000000-0005-0000-0000-0000AA070000}"/>
    <cellStyle name="Comma 2 2 8 3 2 2 2" xfId="1960" xr:uid="{00000000-0005-0000-0000-0000AB070000}"/>
    <cellStyle name="Comma 2 2 8 3 2 3" xfId="1961" xr:uid="{00000000-0005-0000-0000-0000AC070000}"/>
    <cellStyle name="Comma 2 2 8 3 3" xfId="1962" xr:uid="{00000000-0005-0000-0000-0000AD070000}"/>
    <cellStyle name="Comma 2 2 8 3 3 2" xfId="1963" xr:uid="{00000000-0005-0000-0000-0000AE070000}"/>
    <cellStyle name="Comma 2 2 8 3 4" xfId="1964" xr:uid="{00000000-0005-0000-0000-0000AF070000}"/>
    <cellStyle name="Comma 2 2 8 3 4 2" xfId="1965" xr:uid="{00000000-0005-0000-0000-0000B0070000}"/>
    <cellStyle name="Comma 2 2 8 3 5" xfId="1966" xr:uid="{00000000-0005-0000-0000-0000B1070000}"/>
    <cellStyle name="Comma 2 2 8 4" xfId="1967" xr:uid="{00000000-0005-0000-0000-0000B2070000}"/>
    <cellStyle name="Comma 2 2 8 4 2" xfId="1968" xr:uid="{00000000-0005-0000-0000-0000B3070000}"/>
    <cellStyle name="Comma 2 2 8 4 2 2" xfId="1969" xr:uid="{00000000-0005-0000-0000-0000B4070000}"/>
    <cellStyle name="Comma 2 2 8 4 3" xfId="1970" xr:uid="{00000000-0005-0000-0000-0000B5070000}"/>
    <cellStyle name="Comma 2 2 8 5" xfId="1971" xr:uid="{00000000-0005-0000-0000-0000B6070000}"/>
    <cellStyle name="Comma 2 2 8 5 2" xfId="1972" xr:uid="{00000000-0005-0000-0000-0000B7070000}"/>
    <cellStyle name="Comma 2 2 8 6" xfId="1973" xr:uid="{00000000-0005-0000-0000-0000B8070000}"/>
    <cellStyle name="Comma 2 2 8 6 2" xfId="1974" xr:uid="{00000000-0005-0000-0000-0000B9070000}"/>
    <cellStyle name="Comma 2 2 8 7" xfId="1975" xr:uid="{00000000-0005-0000-0000-0000BA070000}"/>
    <cellStyle name="Comma 2 2 9" xfId="1976" xr:uid="{00000000-0005-0000-0000-0000BB070000}"/>
    <cellStyle name="Comma 2 2 9 2" xfId="1977" xr:uid="{00000000-0005-0000-0000-0000BC070000}"/>
    <cellStyle name="Comma 2 2 9 2 2" xfId="1978" xr:uid="{00000000-0005-0000-0000-0000BD070000}"/>
    <cellStyle name="Comma 2 2 9 2 2 2" xfId="1979" xr:uid="{00000000-0005-0000-0000-0000BE070000}"/>
    <cellStyle name="Comma 2 2 9 2 2 2 2" xfId="1980" xr:uid="{00000000-0005-0000-0000-0000BF070000}"/>
    <cellStyle name="Comma 2 2 9 2 2 2 2 2" xfId="1981" xr:uid="{00000000-0005-0000-0000-0000C0070000}"/>
    <cellStyle name="Comma 2 2 9 2 2 2 3" xfId="1982" xr:uid="{00000000-0005-0000-0000-0000C1070000}"/>
    <cellStyle name="Comma 2 2 9 2 2 3" xfId="1983" xr:uid="{00000000-0005-0000-0000-0000C2070000}"/>
    <cellStyle name="Comma 2 2 9 2 2 3 2" xfId="1984" xr:uid="{00000000-0005-0000-0000-0000C3070000}"/>
    <cellStyle name="Comma 2 2 9 2 2 4" xfId="1985" xr:uid="{00000000-0005-0000-0000-0000C4070000}"/>
    <cellStyle name="Comma 2 2 9 2 2 4 2" xfId="1986" xr:uid="{00000000-0005-0000-0000-0000C5070000}"/>
    <cellStyle name="Comma 2 2 9 2 2 5" xfId="1987" xr:uid="{00000000-0005-0000-0000-0000C6070000}"/>
    <cellStyle name="Comma 2 2 9 2 3" xfId="1988" xr:uid="{00000000-0005-0000-0000-0000C7070000}"/>
    <cellStyle name="Comma 2 2 9 2 3 2" xfId="1989" xr:uid="{00000000-0005-0000-0000-0000C8070000}"/>
    <cellStyle name="Comma 2 2 9 2 3 2 2" xfId="1990" xr:uid="{00000000-0005-0000-0000-0000C9070000}"/>
    <cellStyle name="Comma 2 2 9 2 3 3" xfId="1991" xr:uid="{00000000-0005-0000-0000-0000CA070000}"/>
    <cellStyle name="Comma 2 2 9 2 4" xfId="1992" xr:uid="{00000000-0005-0000-0000-0000CB070000}"/>
    <cellStyle name="Comma 2 2 9 2 4 2" xfId="1993" xr:uid="{00000000-0005-0000-0000-0000CC070000}"/>
    <cellStyle name="Comma 2 2 9 2 5" xfId="1994" xr:uid="{00000000-0005-0000-0000-0000CD070000}"/>
    <cellStyle name="Comma 2 2 9 2 5 2" xfId="1995" xr:uid="{00000000-0005-0000-0000-0000CE070000}"/>
    <cellStyle name="Comma 2 2 9 2 6" xfId="1996" xr:uid="{00000000-0005-0000-0000-0000CF070000}"/>
    <cellStyle name="Comma 2 2 9 3" xfId="1997" xr:uid="{00000000-0005-0000-0000-0000D0070000}"/>
    <cellStyle name="Comma 2 2 9 3 2" xfId="1998" xr:uid="{00000000-0005-0000-0000-0000D1070000}"/>
    <cellStyle name="Comma 2 2 9 3 2 2" xfId="1999" xr:uid="{00000000-0005-0000-0000-0000D2070000}"/>
    <cellStyle name="Comma 2 2 9 3 2 2 2" xfId="2000" xr:uid="{00000000-0005-0000-0000-0000D3070000}"/>
    <cellStyle name="Comma 2 2 9 3 2 3" xfId="2001" xr:uid="{00000000-0005-0000-0000-0000D4070000}"/>
    <cellStyle name="Comma 2 2 9 3 3" xfId="2002" xr:uid="{00000000-0005-0000-0000-0000D5070000}"/>
    <cellStyle name="Comma 2 2 9 3 3 2" xfId="2003" xr:uid="{00000000-0005-0000-0000-0000D6070000}"/>
    <cellStyle name="Comma 2 2 9 3 4" xfId="2004" xr:uid="{00000000-0005-0000-0000-0000D7070000}"/>
    <cellStyle name="Comma 2 2 9 3 4 2" xfId="2005" xr:uid="{00000000-0005-0000-0000-0000D8070000}"/>
    <cellStyle name="Comma 2 2 9 3 5" xfId="2006" xr:uid="{00000000-0005-0000-0000-0000D9070000}"/>
    <cellStyle name="Comma 2 2 9 4" xfId="2007" xr:uid="{00000000-0005-0000-0000-0000DA070000}"/>
    <cellStyle name="Comma 2 2 9 4 2" xfId="2008" xr:uid="{00000000-0005-0000-0000-0000DB070000}"/>
    <cellStyle name="Comma 2 2 9 4 2 2" xfId="2009" xr:uid="{00000000-0005-0000-0000-0000DC070000}"/>
    <cellStyle name="Comma 2 2 9 4 3" xfId="2010" xr:uid="{00000000-0005-0000-0000-0000DD070000}"/>
    <cellStyle name="Comma 2 2 9 5" xfId="2011" xr:uid="{00000000-0005-0000-0000-0000DE070000}"/>
    <cellStyle name="Comma 2 2 9 5 2" xfId="2012" xr:uid="{00000000-0005-0000-0000-0000DF070000}"/>
    <cellStyle name="Comma 2 2 9 6" xfId="2013" xr:uid="{00000000-0005-0000-0000-0000E0070000}"/>
    <cellStyle name="Comma 2 2 9 6 2" xfId="2014" xr:uid="{00000000-0005-0000-0000-0000E1070000}"/>
    <cellStyle name="Comma 2 2 9 7" xfId="2015" xr:uid="{00000000-0005-0000-0000-0000E2070000}"/>
    <cellStyle name="Comma 2 20" xfId="2016" xr:uid="{00000000-0005-0000-0000-0000E3070000}"/>
    <cellStyle name="Comma 2 20 2" xfId="2017" xr:uid="{00000000-0005-0000-0000-0000E4070000}"/>
    <cellStyle name="Comma 2 21" xfId="2018" xr:uid="{00000000-0005-0000-0000-0000E5070000}"/>
    <cellStyle name="Comma 2 22" xfId="2019" xr:uid="{00000000-0005-0000-0000-0000E6070000}"/>
    <cellStyle name="Comma 2 3" xfId="2020" xr:uid="{00000000-0005-0000-0000-0000E7070000}"/>
    <cellStyle name="Comma 2 3 10" xfId="2021" xr:uid="{00000000-0005-0000-0000-0000E8070000}"/>
    <cellStyle name="Comma 2 3 10 2" xfId="2022" xr:uid="{00000000-0005-0000-0000-0000E9070000}"/>
    <cellStyle name="Comma 2 3 10 2 2" xfId="2023" xr:uid="{00000000-0005-0000-0000-0000EA070000}"/>
    <cellStyle name="Comma 2 3 10 2 2 2" xfId="2024" xr:uid="{00000000-0005-0000-0000-0000EB070000}"/>
    <cellStyle name="Comma 2 3 10 2 2 2 2" xfId="2025" xr:uid="{00000000-0005-0000-0000-0000EC070000}"/>
    <cellStyle name="Comma 2 3 10 2 2 3" xfId="2026" xr:uid="{00000000-0005-0000-0000-0000ED070000}"/>
    <cellStyle name="Comma 2 3 10 2 3" xfId="2027" xr:uid="{00000000-0005-0000-0000-0000EE070000}"/>
    <cellStyle name="Comma 2 3 10 2 3 2" xfId="2028" xr:uid="{00000000-0005-0000-0000-0000EF070000}"/>
    <cellStyle name="Comma 2 3 10 2 4" xfId="2029" xr:uid="{00000000-0005-0000-0000-0000F0070000}"/>
    <cellStyle name="Comma 2 3 10 2 4 2" xfId="2030" xr:uid="{00000000-0005-0000-0000-0000F1070000}"/>
    <cellStyle name="Comma 2 3 10 2 5" xfId="2031" xr:uid="{00000000-0005-0000-0000-0000F2070000}"/>
    <cellStyle name="Comma 2 3 10 3" xfId="2032" xr:uid="{00000000-0005-0000-0000-0000F3070000}"/>
    <cellStyle name="Comma 2 3 10 3 2" xfId="2033" xr:uid="{00000000-0005-0000-0000-0000F4070000}"/>
    <cellStyle name="Comma 2 3 10 3 2 2" xfId="2034" xr:uid="{00000000-0005-0000-0000-0000F5070000}"/>
    <cellStyle name="Comma 2 3 10 3 3" xfId="2035" xr:uid="{00000000-0005-0000-0000-0000F6070000}"/>
    <cellStyle name="Comma 2 3 10 4" xfId="2036" xr:uid="{00000000-0005-0000-0000-0000F7070000}"/>
    <cellStyle name="Comma 2 3 10 4 2" xfId="2037" xr:uid="{00000000-0005-0000-0000-0000F8070000}"/>
    <cellStyle name="Comma 2 3 10 5" xfId="2038" xr:uid="{00000000-0005-0000-0000-0000F9070000}"/>
    <cellStyle name="Comma 2 3 10 5 2" xfId="2039" xr:uid="{00000000-0005-0000-0000-0000FA070000}"/>
    <cellStyle name="Comma 2 3 10 6" xfId="2040" xr:uid="{00000000-0005-0000-0000-0000FB070000}"/>
    <cellStyle name="Comma 2 3 11" xfId="2041" xr:uid="{00000000-0005-0000-0000-0000FC070000}"/>
    <cellStyle name="Comma 2 3 11 2" xfId="2042" xr:uid="{00000000-0005-0000-0000-0000FD070000}"/>
    <cellStyle name="Comma 2 3 11 2 2" xfId="2043" xr:uid="{00000000-0005-0000-0000-0000FE070000}"/>
    <cellStyle name="Comma 2 3 11 2 2 2" xfId="2044" xr:uid="{00000000-0005-0000-0000-0000FF070000}"/>
    <cellStyle name="Comma 2 3 11 2 3" xfId="2045" xr:uid="{00000000-0005-0000-0000-000000080000}"/>
    <cellStyle name="Comma 2 3 11 3" xfId="2046" xr:uid="{00000000-0005-0000-0000-000001080000}"/>
    <cellStyle name="Comma 2 3 11 3 2" xfId="2047" xr:uid="{00000000-0005-0000-0000-000002080000}"/>
    <cellStyle name="Comma 2 3 11 4" xfId="2048" xr:uid="{00000000-0005-0000-0000-000003080000}"/>
    <cellStyle name="Comma 2 3 11 4 2" xfId="2049" xr:uid="{00000000-0005-0000-0000-000004080000}"/>
    <cellStyle name="Comma 2 3 11 5" xfId="2050" xr:uid="{00000000-0005-0000-0000-000005080000}"/>
    <cellStyle name="Comma 2 3 12" xfId="2051" xr:uid="{00000000-0005-0000-0000-000006080000}"/>
    <cellStyle name="Comma 2 3 12 2" xfId="2052" xr:uid="{00000000-0005-0000-0000-000007080000}"/>
    <cellStyle name="Comma 2 3 12 2 2" xfId="2053" xr:uid="{00000000-0005-0000-0000-000008080000}"/>
    <cellStyle name="Comma 2 3 12 3" xfId="2054" xr:uid="{00000000-0005-0000-0000-000009080000}"/>
    <cellStyle name="Comma 2 3 13" xfId="2055" xr:uid="{00000000-0005-0000-0000-00000A080000}"/>
    <cellStyle name="Comma 2 3 13 2" xfId="2056" xr:uid="{00000000-0005-0000-0000-00000B080000}"/>
    <cellStyle name="Comma 2 3 14" xfId="2057" xr:uid="{00000000-0005-0000-0000-00000C080000}"/>
    <cellStyle name="Comma 2 3 14 2" xfId="2058" xr:uid="{00000000-0005-0000-0000-00000D080000}"/>
    <cellStyle name="Comma 2 3 15" xfId="2059" xr:uid="{00000000-0005-0000-0000-00000E080000}"/>
    <cellStyle name="Comma 2 3 2" xfId="2060" xr:uid="{00000000-0005-0000-0000-00000F080000}"/>
    <cellStyle name="Comma 2 3 2 10" xfId="2061" xr:uid="{00000000-0005-0000-0000-000010080000}"/>
    <cellStyle name="Comma 2 3 2 10 2" xfId="2062" xr:uid="{00000000-0005-0000-0000-000011080000}"/>
    <cellStyle name="Comma 2 3 2 11" xfId="2063" xr:uid="{00000000-0005-0000-0000-000012080000}"/>
    <cellStyle name="Comma 2 3 2 11 2" xfId="2064" xr:uid="{00000000-0005-0000-0000-000013080000}"/>
    <cellStyle name="Comma 2 3 2 12" xfId="2065" xr:uid="{00000000-0005-0000-0000-000014080000}"/>
    <cellStyle name="Comma 2 3 2 2" xfId="2066" xr:uid="{00000000-0005-0000-0000-000015080000}"/>
    <cellStyle name="Comma 2 3 2 2 2" xfId="2067" xr:uid="{00000000-0005-0000-0000-000016080000}"/>
    <cellStyle name="Comma 2 3 2 2 2 2" xfId="2068" xr:uid="{00000000-0005-0000-0000-000017080000}"/>
    <cellStyle name="Comma 2 3 2 2 2 2 2" xfId="2069" xr:uid="{00000000-0005-0000-0000-000018080000}"/>
    <cellStyle name="Comma 2 3 2 2 2 2 2 2" xfId="2070" xr:uid="{00000000-0005-0000-0000-000019080000}"/>
    <cellStyle name="Comma 2 3 2 2 2 2 2 2 2" xfId="2071" xr:uid="{00000000-0005-0000-0000-00001A080000}"/>
    <cellStyle name="Comma 2 3 2 2 2 2 2 2 2 2" xfId="2072" xr:uid="{00000000-0005-0000-0000-00001B080000}"/>
    <cellStyle name="Comma 2 3 2 2 2 2 2 2 3" xfId="2073" xr:uid="{00000000-0005-0000-0000-00001C080000}"/>
    <cellStyle name="Comma 2 3 2 2 2 2 2 3" xfId="2074" xr:uid="{00000000-0005-0000-0000-00001D080000}"/>
    <cellStyle name="Comma 2 3 2 2 2 2 2 3 2" xfId="2075" xr:uid="{00000000-0005-0000-0000-00001E080000}"/>
    <cellStyle name="Comma 2 3 2 2 2 2 2 4" xfId="2076" xr:uid="{00000000-0005-0000-0000-00001F080000}"/>
    <cellStyle name="Comma 2 3 2 2 2 2 2 4 2" xfId="2077" xr:uid="{00000000-0005-0000-0000-000020080000}"/>
    <cellStyle name="Comma 2 3 2 2 2 2 2 5" xfId="2078" xr:uid="{00000000-0005-0000-0000-000021080000}"/>
    <cellStyle name="Comma 2 3 2 2 2 2 3" xfId="2079" xr:uid="{00000000-0005-0000-0000-000022080000}"/>
    <cellStyle name="Comma 2 3 2 2 2 2 3 2" xfId="2080" xr:uid="{00000000-0005-0000-0000-000023080000}"/>
    <cellStyle name="Comma 2 3 2 2 2 2 3 2 2" xfId="2081" xr:uid="{00000000-0005-0000-0000-000024080000}"/>
    <cellStyle name="Comma 2 3 2 2 2 2 3 3" xfId="2082" xr:uid="{00000000-0005-0000-0000-000025080000}"/>
    <cellStyle name="Comma 2 3 2 2 2 2 4" xfId="2083" xr:uid="{00000000-0005-0000-0000-000026080000}"/>
    <cellStyle name="Comma 2 3 2 2 2 2 4 2" xfId="2084" xr:uid="{00000000-0005-0000-0000-000027080000}"/>
    <cellStyle name="Comma 2 3 2 2 2 2 5" xfId="2085" xr:uid="{00000000-0005-0000-0000-000028080000}"/>
    <cellStyle name="Comma 2 3 2 2 2 2 5 2" xfId="2086" xr:uid="{00000000-0005-0000-0000-000029080000}"/>
    <cellStyle name="Comma 2 3 2 2 2 2 6" xfId="2087" xr:uid="{00000000-0005-0000-0000-00002A080000}"/>
    <cellStyle name="Comma 2 3 2 2 2 3" xfId="2088" xr:uid="{00000000-0005-0000-0000-00002B080000}"/>
    <cellStyle name="Comma 2 3 2 2 2 3 2" xfId="2089" xr:uid="{00000000-0005-0000-0000-00002C080000}"/>
    <cellStyle name="Comma 2 3 2 2 2 3 2 2" xfId="2090" xr:uid="{00000000-0005-0000-0000-00002D080000}"/>
    <cellStyle name="Comma 2 3 2 2 2 3 2 2 2" xfId="2091" xr:uid="{00000000-0005-0000-0000-00002E080000}"/>
    <cellStyle name="Comma 2 3 2 2 2 3 2 3" xfId="2092" xr:uid="{00000000-0005-0000-0000-00002F080000}"/>
    <cellStyle name="Comma 2 3 2 2 2 3 3" xfId="2093" xr:uid="{00000000-0005-0000-0000-000030080000}"/>
    <cellStyle name="Comma 2 3 2 2 2 3 3 2" xfId="2094" xr:uid="{00000000-0005-0000-0000-000031080000}"/>
    <cellStyle name="Comma 2 3 2 2 2 3 4" xfId="2095" xr:uid="{00000000-0005-0000-0000-000032080000}"/>
    <cellStyle name="Comma 2 3 2 2 2 3 4 2" xfId="2096" xr:uid="{00000000-0005-0000-0000-000033080000}"/>
    <cellStyle name="Comma 2 3 2 2 2 3 5" xfId="2097" xr:uid="{00000000-0005-0000-0000-000034080000}"/>
    <cellStyle name="Comma 2 3 2 2 2 4" xfId="2098" xr:uid="{00000000-0005-0000-0000-000035080000}"/>
    <cellStyle name="Comma 2 3 2 2 2 4 2" xfId="2099" xr:uid="{00000000-0005-0000-0000-000036080000}"/>
    <cellStyle name="Comma 2 3 2 2 2 4 2 2" xfId="2100" xr:uid="{00000000-0005-0000-0000-000037080000}"/>
    <cellStyle name="Comma 2 3 2 2 2 4 3" xfId="2101" xr:uid="{00000000-0005-0000-0000-000038080000}"/>
    <cellStyle name="Comma 2 3 2 2 2 5" xfId="2102" xr:uid="{00000000-0005-0000-0000-000039080000}"/>
    <cellStyle name="Comma 2 3 2 2 2 5 2" xfId="2103" xr:uid="{00000000-0005-0000-0000-00003A080000}"/>
    <cellStyle name="Comma 2 3 2 2 2 6" xfId="2104" xr:uid="{00000000-0005-0000-0000-00003B080000}"/>
    <cellStyle name="Comma 2 3 2 2 2 6 2" xfId="2105" xr:uid="{00000000-0005-0000-0000-00003C080000}"/>
    <cellStyle name="Comma 2 3 2 2 2 7" xfId="2106" xr:uid="{00000000-0005-0000-0000-00003D080000}"/>
    <cellStyle name="Comma 2 3 2 2 3" xfId="2107" xr:uid="{00000000-0005-0000-0000-00003E080000}"/>
    <cellStyle name="Comma 2 3 2 2 3 2" xfId="2108" xr:uid="{00000000-0005-0000-0000-00003F080000}"/>
    <cellStyle name="Comma 2 3 2 2 3 2 2" xfId="2109" xr:uid="{00000000-0005-0000-0000-000040080000}"/>
    <cellStyle name="Comma 2 3 2 2 3 2 2 2" xfId="2110" xr:uid="{00000000-0005-0000-0000-000041080000}"/>
    <cellStyle name="Comma 2 3 2 2 3 2 2 2 2" xfId="2111" xr:uid="{00000000-0005-0000-0000-000042080000}"/>
    <cellStyle name="Comma 2 3 2 2 3 2 2 2 2 2" xfId="2112" xr:uid="{00000000-0005-0000-0000-000043080000}"/>
    <cellStyle name="Comma 2 3 2 2 3 2 2 2 3" xfId="2113" xr:uid="{00000000-0005-0000-0000-000044080000}"/>
    <cellStyle name="Comma 2 3 2 2 3 2 2 3" xfId="2114" xr:uid="{00000000-0005-0000-0000-000045080000}"/>
    <cellStyle name="Comma 2 3 2 2 3 2 2 3 2" xfId="2115" xr:uid="{00000000-0005-0000-0000-000046080000}"/>
    <cellStyle name="Comma 2 3 2 2 3 2 2 4" xfId="2116" xr:uid="{00000000-0005-0000-0000-000047080000}"/>
    <cellStyle name="Comma 2 3 2 2 3 2 2 4 2" xfId="2117" xr:uid="{00000000-0005-0000-0000-000048080000}"/>
    <cellStyle name="Comma 2 3 2 2 3 2 2 5" xfId="2118" xr:uid="{00000000-0005-0000-0000-000049080000}"/>
    <cellStyle name="Comma 2 3 2 2 3 2 3" xfId="2119" xr:uid="{00000000-0005-0000-0000-00004A080000}"/>
    <cellStyle name="Comma 2 3 2 2 3 2 3 2" xfId="2120" xr:uid="{00000000-0005-0000-0000-00004B080000}"/>
    <cellStyle name="Comma 2 3 2 2 3 2 3 2 2" xfId="2121" xr:uid="{00000000-0005-0000-0000-00004C080000}"/>
    <cellStyle name="Comma 2 3 2 2 3 2 3 3" xfId="2122" xr:uid="{00000000-0005-0000-0000-00004D080000}"/>
    <cellStyle name="Comma 2 3 2 2 3 2 4" xfId="2123" xr:uid="{00000000-0005-0000-0000-00004E080000}"/>
    <cellStyle name="Comma 2 3 2 2 3 2 4 2" xfId="2124" xr:uid="{00000000-0005-0000-0000-00004F080000}"/>
    <cellStyle name="Comma 2 3 2 2 3 2 5" xfId="2125" xr:uid="{00000000-0005-0000-0000-000050080000}"/>
    <cellStyle name="Comma 2 3 2 2 3 2 5 2" xfId="2126" xr:uid="{00000000-0005-0000-0000-000051080000}"/>
    <cellStyle name="Comma 2 3 2 2 3 2 6" xfId="2127" xr:uid="{00000000-0005-0000-0000-000052080000}"/>
    <cellStyle name="Comma 2 3 2 2 3 3" xfId="2128" xr:uid="{00000000-0005-0000-0000-000053080000}"/>
    <cellStyle name="Comma 2 3 2 2 3 3 2" xfId="2129" xr:uid="{00000000-0005-0000-0000-000054080000}"/>
    <cellStyle name="Comma 2 3 2 2 3 3 2 2" xfId="2130" xr:uid="{00000000-0005-0000-0000-000055080000}"/>
    <cellStyle name="Comma 2 3 2 2 3 3 2 2 2" xfId="2131" xr:uid="{00000000-0005-0000-0000-000056080000}"/>
    <cellStyle name="Comma 2 3 2 2 3 3 2 3" xfId="2132" xr:uid="{00000000-0005-0000-0000-000057080000}"/>
    <cellStyle name="Comma 2 3 2 2 3 3 3" xfId="2133" xr:uid="{00000000-0005-0000-0000-000058080000}"/>
    <cellStyle name="Comma 2 3 2 2 3 3 3 2" xfId="2134" xr:uid="{00000000-0005-0000-0000-000059080000}"/>
    <cellStyle name="Comma 2 3 2 2 3 3 4" xfId="2135" xr:uid="{00000000-0005-0000-0000-00005A080000}"/>
    <cellStyle name="Comma 2 3 2 2 3 3 4 2" xfId="2136" xr:uid="{00000000-0005-0000-0000-00005B080000}"/>
    <cellStyle name="Comma 2 3 2 2 3 3 5" xfId="2137" xr:uid="{00000000-0005-0000-0000-00005C080000}"/>
    <cellStyle name="Comma 2 3 2 2 3 4" xfId="2138" xr:uid="{00000000-0005-0000-0000-00005D080000}"/>
    <cellStyle name="Comma 2 3 2 2 3 4 2" xfId="2139" xr:uid="{00000000-0005-0000-0000-00005E080000}"/>
    <cellStyle name="Comma 2 3 2 2 3 4 2 2" xfId="2140" xr:uid="{00000000-0005-0000-0000-00005F080000}"/>
    <cellStyle name="Comma 2 3 2 2 3 4 3" xfId="2141" xr:uid="{00000000-0005-0000-0000-000060080000}"/>
    <cellStyle name="Comma 2 3 2 2 3 5" xfId="2142" xr:uid="{00000000-0005-0000-0000-000061080000}"/>
    <cellStyle name="Comma 2 3 2 2 3 5 2" xfId="2143" xr:uid="{00000000-0005-0000-0000-000062080000}"/>
    <cellStyle name="Comma 2 3 2 2 3 6" xfId="2144" xr:uid="{00000000-0005-0000-0000-000063080000}"/>
    <cellStyle name="Comma 2 3 2 2 3 6 2" xfId="2145" xr:uid="{00000000-0005-0000-0000-000064080000}"/>
    <cellStyle name="Comma 2 3 2 2 3 7" xfId="2146" xr:uid="{00000000-0005-0000-0000-000065080000}"/>
    <cellStyle name="Comma 2 3 2 2 4" xfId="2147" xr:uid="{00000000-0005-0000-0000-000066080000}"/>
    <cellStyle name="Comma 2 3 2 2 4 2" xfId="2148" xr:uid="{00000000-0005-0000-0000-000067080000}"/>
    <cellStyle name="Comma 2 3 2 2 4 2 2" xfId="2149" xr:uid="{00000000-0005-0000-0000-000068080000}"/>
    <cellStyle name="Comma 2 3 2 2 4 2 2 2" xfId="2150" xr:uid="{00000000-0005-0000-0000-000069080000}"/>
    <cellStyle name="Comma 2 3 2 2 4 2 2 2 2" xfId="2151" xr:uid="{00000000-0005-0000-0000-00006A080000}"/>
    <cellStyle name="Comma 2 3 2 2 4 2 2 3" xfId="2152" xr:uid="{00000000-0005-0000-0000-00006B080000}"/>
    <cellStyle name="Comma 2 3 2 2 4 2 3" xfId="2153" xr:uid="{00000000-0005-0000-0000-00006C080000}"/>
    <cellStyle name="Comma 2 3 2 2 4 2 3 2" xfId="2154" xr:uid="{00000000-0005-0000-0000-00006D080000}"/>
    <cellStyle name="Comma 2 3 2 2 4 2 4" xfId="2155" xr:uid="{00000000-0005-0000-0000-00006E080000}"/>
    <cellStyle name="Comma 2 3 2 2 4 2 4 2" xfId="2156" xr:uid="{00000000-0005-0000-0000-00006F080000}"/>
    <cellStyle name="Comma 2 3 2 2 4 2 5" xfId="2157" xr:uid="{00000000-0005-0000-0000-000070080000}"/>
    <cellStyle name="Comma 2 3 2 2 4 3" xfId="2158" xr:uid="{00000000-0005-0000-0000-000071080000}"/>
    <cellStyle name="Comma 2 3 2 2 4 3 2" xfId="2159" xr:uid="{00000000-0005-0000-0000-000072080000}"/>
    <cellStyle name="Comma 2 3 2 2 4 3 2 2" xfId="2160" xr:uid="{00000000-0005-0000-0000-000073080000}"/>
    <cellStyle name="Comma 2 3 2 2 4 3 3" xfId="2161" xr:uid="{00000000-0005-0000-0000-000074080000}"/>
    <cellStyle name="Comma 2 3 2 2 4 4" xfId="2162" xr:uid="{00000000-0005-0000-0000-000075080000}"/>
    <cellStyle name="Comma 2 3 2 2 4 4 2" xfId="2163" xr:uid="{00000000-0005-0000-0000-000076080000}"/>
    <cellStyle name="Comma 2 3 2 2 4 5" xfId="2164" xr:uid="{00000000-0005-0000-0000-000077080000}"/>
    <cellStyle name="Comma 2 3 2 2 4 5 2" xfId="2165" xr:uid="{00000000-0005-0000-0000-000078080000}"/>
    <cellStyle name="Comma 2 3 2 2 4 6" xfId="2166" xr:uid="{00000000-0005-0000-0000-000079080000}"/>
    <cellStyle name="Comma 2 3 2 2 5" xfId="2167" xr:uid="{00000000-0005-0000-0000-00007A080000}"/>
    <cellStyle name="Comma 2 3 2 2 5 2" xfId="2168" xr:uid="{00000000-0005-0000-0000-00007B080000}"/>
    <cellStyle name="Comma 2 3 2 2 5 2 2" xfId="2169" xr:uid="{00000000-0005-0000-0000-00007C080000}"/>
    <cellStyle name="Comma 2 3 2 2 5 2 2 2" xfId="2170" xr:uid="{00000000-0005-0000-0000-00007D080000}"/>
    <cellStyle name="Comma 2 3 2 2 5 2 3" xfId="2171" xr:uid="{00000000-0005-0000-0000-00007E080000}"/>
    <cellStyle name="Comma 2 3 2 2 5 3" xfId="2172" xr:uid="{00000000-0005-0000-0000-00007F080000}"/>
    <cellStyle name="Comma 2 3 2 2 5 3 2" xfId="2173" xr:uid="{00000000-0005-0000-0000-000080080000}"/>
    <cellStyle name="Comma 2 3 2 2 5 4" xfId="2174" xr:uid="{00000000-0005-0000-0000-000081080000}"/>
    <cellStyle name="Comma 2 3 2 2 5 4 2" xfId="2175" xr:uid="{00000000-0005-0000-0000-000082080000}"/>
    <cellStyle name="Comma 2 3 2 2 5 5" xfId="2176" xr:uid="{00000000-0005-0000-0000-000083080000}"/>
    <cellStyle name="Comma 2 3 2 2 6" xfId="2177" xr:uid="{00000000-0005-0000-0000-000084080000}"/>
    <cellStyle name="Comma 2 3 2 2 6 2" xfId="2178" xr:uid="{00000000-0005-0000-0000-000085080000}"/>
    <cellStyle name="Comma 2 3 2 2 6 2 2" xfId="2179" xr:uid="{00000000-0005-0000-0000-000086080000}"/>
    <cellStyle name="Comma 2 3 2 2 6 3" xfId="2180" xr:uid="{00000000-0005-0000-0000-000087080000}"/>
    <cellStyle name="Comma 2 3 2 2 7" xfId="2181" xr:uid="{00000000-0005-0000-0000-000088080000}"/>
    <cellStyle name="Comma 2 3 2 2 7 2" xfId="2182" xr:uid="{00000000-0005-0000-0000-000089080000}"/>
    <cellStyle name="Comma 2 3 2 2 8" xfId="2183" xr:uid="{00000000-0005-0000-0000-00008A080000}"/>
    <cellStyle name="Comma 2 3 2 2 8 2" xfId="2184" xr:uid="{00000000-0005-0000-0000-00008B080000}"/>
    <cellStyle name="Comma 2 3 2 2 9" xfId="2185" xr:uid="{00000000-0005-0000-0000-00008C080000}"/>
    <cellStyle name="Comma 2 3 2 3" xfId="2186" xr:uid="{00000000-0005-0000-0000-00008D080000}"/>
    <cellStyle name="Comma 2 3 2 3 2" xfId="2187" xr:uid="{00000000-0005-0000-0000-00008E080000}"/>
    <cellStyle name="Comma 2 3 2 3 2 2" xfId="2188" xr:uid="{00000000-0005-0000-0000-00008F080000}"/>
    <cellStyle name="Comma 2 3 2 3 2 2 2" xfId="2189" xr:uid="{00000000-0005-0000-0000-000090080000}"/>
    <cellStyle name="Comma 2 3 2 3 2 2 2 2" xfId="2190" xr:uid="{00000000-0005-0000-0000-000091080000}"/>
    <cellStyle name="Comma 2 3 2 3 2 2 2 2 2" xfId="2191" xr:uid="{00000000-0005-0000-0000-000092080000}"/>
    <cellStyle name="Comma 2 3 2 3 2 2 2 2 2 2" xfId="2192" xr:uid="{00000000-0005-0000-0000-000093080000}"/>
    <cellStyle name="Comma 2 3 2 3 2 2 2 2 3" xfId="2193" xr:uid="{00000000-0005-0000-0000-000094080000}"/>
    <cellStyle name="Comma 2 3 2 3 2 2 2 3" xfId="2194" xr:uid="{00000000-0005-0000-0000-000095080000}"/>
    <cellStyle name="Comma 2 3 2 3 2 2 2 3 2" xfId="2195" xr:uid="{00000000-0005-0000-0000-000096080000}"/>
    <cellStyle name="Comma 2 3 2 3 2 2 2 4" xfId="2196" xr:uid="{00000000-0005-0000-0000-000097080000}"/>
    <cellStyle name="Comma 2 3 2 3 2 2 2 4 2" xfId="2197" xr:uid="{00000000-0005-0000-0000-000098080000}"/>
    <cellStyle name="Comma 2 3 2 3 2 2 2 5" xfId="2198" xr:uid="{00000000-0005-0000-0000-000099080000}"/>
    <cellStyle name="Comma 2 3 2 3 2 2 3" xfId="2199" xr:uid="{00000000-0005-0000-0000-00009A080000}"/>
    <cellStyle name="Comma 2 3 2 3 2 2 3 2" xfId="2200" xr:uid="{00000000-0005-0000-0000-00009B080000}"/>
    <cellStyle name="Comma 2 3 2 3 2 2 3 2 2" xfId="2201" xr:uid="{00000000-0005-0000-0000-00009C080000}"/>
    <cellStyle name="Comma 2 3 2 3 2 2 3 3" xfId="2202" xr:uid="{00000000-0005-0000-0000-00009D080000}"/>
    <cellStyle name="Comma 2 3 2 3 2 2 4" xfId="2203" xr:uid="{00000000-0005-0000-0000-00009E080000}"/>
    <cellStyle name="Comma 2 3 2 3 2 2 4 2" xfId="2204" xr:uid="{00000000-0005-0000-0000-00009F080000}"/>
    <cellStyle name="Comma 2 3 2 3 2 2 5" xfId="2205" xr:uid="{00000000-0005-0000-0000-0000A0080000}"/>
    <cellStyle name="Comma 2 3 2 3 2 2 5 2" xfId="2206" xr:uid="{00000000-0005-0000-0000-0000A1080000}"/>
    <cellStyle name="Comma 2 3 2 3 2 2 6" xfId="2207" xr:uid="{00000000-0005-0000-0000-0000A2080000}"/>
    <cellStyle name="Comma 2 3 2 3 2 3" xfId="2208" xr:uid="{00000000-0005-0000-0000-0000A3080000}"/>
    <cellStyle name="Comma 2 3 2 3 2 3 2" xfId="2209" xr:uid="{00000000-0005-0000-0000-0000A4080000}"/>
    <cellStyle name="Comma 2 3 2 3 2 3 2 2" xfId="2210" xr:uid="{00000000-0005-0000-0000-0000A5080000}"/>
    <cellStyle name="Comma 2 3 2 3 2 3 2 2 2" xfId="2211" xr:uid="{00000000-0005-0000-0000-0000A6080000}"/>
    <cellStyle name="Comma 2 3 2 3 2 3 2 3" xfId="2212" xr:uid="{00000000-0005-0000-0000-0000A7080000}"/>
    <cellStyle name="Comma 2 3 2 3 2 3 3" xfId="2213" xr:uid="{00000000-0005-0000-0000-0000A8080000}"/>
    <cellStyle name="Comma 2 3 2 3 2 3 3 2" xfId="2214" xr:uid="{00000000-0005-0000-0000-0000A9080000}"/>
    <cellStyle name="Comma 2 3 2 3 2 3 4" xfId="2215" xr:uid="{00000000-0005-0000-0000-0000AA080000}"/>
    <cellStyle name="Comma 2 3 2 3 2 3 4 2" xfId="2216" xr:uid="{00000000-0005-0000-0000-0000AB080000}"/>
    <cellStyle name="Comma 2 3 2 3 2 3 5" xfId="2217" xr:uid="{00000000-0005-0000-0000-0000AC080000}"/>
    <cellStyle name="Comma 2 3 2 3 2 4" xfId="2218" xr:uid="{00000000-0005-0000-0000-0000AD080000}"/>
    <cellStyle name="Comma 2 3 2 3 2 4 2" xfId="2219" xr:uid="{00000000-0005-0000-0000-0000AE080000}"/>
    <cellStyle name="Comma 2 3 2 3 2 4 2 2" xfId="2220" xr:uid="{00000000-0005-0000-0000-0000AF080000}"/>
    <cellStyle name="Comma 2 3 2 3 2 4 3" xfId="2221" xr:uid="{00000000-0005-0000-0000-0000B0080000}"/>
    <cellStyle name="Comma 2 3 2 3 2 5" xfId="2222" xr:uid="{00000000-0005-0000-0000-0000B1080000}"/>
    <cellStyle name="Comma 2 3 2 3 2 5 2" xfId="2223" xr:uid="{00000000-0005-0000-0000-0000B2080000}"/>
    <cellStyle name="Comma 2 3 2 3 2 6" xfId="2224" xr:uid="{00000000-0005-0000-0000-0000B3080000}"/>
    <cellStyle name="Comma 2 3 2 3 2 6 2" xfId="2225" xr:uid="{00000000-0005-0000-0000-0000B4080000}"/>
    <cellStyle name="Comma 2 3 2 3 2 7" xfId="2226" xr:uid="{00000000-0005-0000-0000-0000B5080000}"/>
    <cellStyle name="Comma 2 3 2 3 3" xfId="2227" xr:uid="{00000000-0005-0000-0000-0000B6080000}"/>
    <cellStyle name="Comma 2 3 2 3 3 2" xfId="2228" xr:uid="{00000000-0005-0000-0000-0000B7080000}"/>
    <cellStyle name="Comma 2 3 2 3 3 2 2" xfId="2229" xr:uid="{00000000-0005-0000-0000-0000B8080000}"/>
    <cellStyle name="Comma 2 3 2 3 3 2 2 2" xfId="2230" xr:uid="{00000000-0005-0000-0000-0000B9080000}"/>
    <cellStyle name="Comma 2 3 2 3 3 2 2 2 2" xfId="2231" xr:uid="{00000000-0005-0000-0000-0000BA080000}"/>
    <cellStyle name="Comma 2 3 2 3 3 2 2 2 2 2" xfId="2232" xr:uid="{00000000-0005-0000-0000-0000BB080000}"/>
    <cellStyle name="Comma 2 3 2 3 3 2 2 2 3" xfId="2233" xr:uid="{00000000-0005-0000-0000-0000BC080000}"/>
    <cellStyle name="Comma 2 3 2 3 3 2 2 3" xfId="2234" xr:uid="{00000000-0005-0000-0000-0000BD080000}"/>
    <cellStyle name="Comma 2 3 2 3 3 2 2 3 2" xfId="2235" xr:uid="{00000000-0005-0000-0000-0000BE080000}"/>
    <cellStyle name="Comma 2 3 2 3 3 2 2 4" xfId="2236" xr:uid="{00000000-0005-0000-0000-0000BF080000}"/>
    <cellStyle name="Comma 2 3 2 3 3 2 2 4 2" xfId="2237" xr:uid="{00000000-0005-0000-0000-0000C0080000}"/>
    <cellStyle name="Comma 2 3 2 3 3 2 2 5" xfId="2238" xr:uid="{00000000-0005-0000-0000-0000C1080000}"/>
    <cellStyle name="Comma 2 3 2 3 3 2 3" xfId="2239" xr:uid="{00000000-0005-0000-0000-0000C2080000}"/>
    <cellStyle name="Comma 2 3 2 3 3 2 3 2" xfId="2240" xr:uid="{00000000-0005-0000-0000-0000C3080000}"/>
    <cellStyle name="Comma 2 3 2 3 3 2 3 2 2" xfId="2241" xr:uid="{00000000-0005-0000-0000-0000C4080000}"/>
    <cellStyle name="Comma 2 3 2 3 3 2 3 3" xfId="2242" xr:uid="{00000000-0005-0000-0000-0000C5080000}"/>
    <cellStyle name="Comma 2 3 2 3 3 2 4" xfId="2243" xr:uid="{00000000-0005-0000-0000-0000C6080000}"/>
    <cellStyle name="Comma 2 3 2 3 3 2 4 2" xfId="2244" xr:uid="{00000000-0005-0000-0000-0000C7080000}"/>
    <cellStyle name="Comma 2 3 2 3 3 2 5" xfId="2245" xr:uid="{00000000-0005-0000-0000-0000C8080000}"/>
    <cellStyle name="Comma 2 3 2 3 3 2 5 2" xfId="2246" xr:uid="{00000000-0005-0000-0000-0000C9080000}"/>
    <cellStyle name="Comma 2 3 2 3 3 2 6" xfId="2247" xr:uid="{00000000-0005-0000-0000-0000CA080000}"/>
    <cellStyle name="Comma 2 3 2 3 3 3" xfId="2248" xr:uid="{00000000-0005-0000-0000-0000CB080000}"/>
    <cellStyle name="Comma 2 3 2 3 3 3 2" xfId="2249" xr:uid="{00000000-0005-0000-0000-0000CC080000}"/>
    <cellStyle name="Comma 2 3 2 3 3 3 2 2" xfId="2250" xr:uid="{00000000-0005-0000-0000-0000CD080000}"/>
    <cellStyle name="Comma 2 3 2 3 3 3 2 2 2" xfId="2251" xr:uid="{00000000-0005-0000-0000-0000CE080000}"/>
    <cellStyle name="Comma 2 3 2 3 3 3 2 3" xfId="2252" xr:uid="{00000000-0005-0000-0000-0000CF080000}"/>
    <cellStyle name="Comma 2 3 2 3 3 3 3" xfId="2253" xr:uid="{00000000-0005-0000-0000-0000D0080000}"/>
    <cellStyle name="Comma 2 3 2 3 3 3 3 2" xfId="2254" xr:uid="{00000000-0005-0000-0000-0000D1080000}"/>
    <cellStyle name="Comma 2 3 2 3 3 3 4" xfId="2255" xr:uid="{00000000-0005-0000-0000-0000D2080000}"/>
    <cellStyle name="Comma 2 3 2 3 3 3 4 2" xfId="2256" xr:uid="{00000000-0005-0000-0000-0000D3080000}"/>
    <cellStyle name="Comma 2 3 2 3 3 3 5" xfId="2257" xr:uid="{00000000-0005-0000-0000-0000D4080000}"/>
    <cellStyle name="Comma 2 3 2 3 3 4" xfId="2258" xr:uid="{00000000-0005-0000-0000-0000D5080000}"/>
    <cellStyle name="Comma 2 3 2 3 3 4 2" xfId="2259" xr:uid="{00000000-0005-0000-0000-0000D6080000}"/>
    <cellStyle name="Comma 2 3 2 3 3 4 2 2" xfId="2260" xr:uid="{00000000-0005-0000-0000-0000D7080000}"/>
    <cellStyle name="Comma 2 3 2 3 3 4 3" xfId="2261" xr:uid="{00000000-0005-0000-0000-0000D8080000}"/>
    <cellStyle name="Comma 2 3 2 3 3 5" xfId="2262" xr:uid="{00000000-0005-0000-0000-0000D9080000}"/>
    <cellStyle name="Comma 2 3 2 3 3 5 2" xfId="2263" xr:uid="{00000000-0005-0000-0000-0000DA080000}"/>
    <cellStyle name="Comma 2 3 2 3 3 6" xfId="2264" xr:uid="{00000000-0005-0000-0000-0000DB080000}"/>
    <cellStyle name="Comma 2 3 2 3 3 6 2" xfId="2265" xr:uid="{00000000-0005-0000-0000-0000DC080000}"/>
    <cellStyle name="Comma 2 3 2 3 3 7" xfId="2266" xr:uid="{00000000-0005-0000-0000-0000DD080000}"/>
    <cellStyle name="Comma 2 3 2 3 4" xfId="2267" xr:uid="{00000000-0005-0000-0000-0000DE080000}"/>
    <cellStyle name="Comma 2 3 2 3 4 2" xfId="2268" xr:uid="{00000000-0005-0000-0000-0000DF080000}"/>
    <cellStyle name="Comma 2 3 2 3 4 2 2" xfId="2269" xr:uid="{00000000-0005-0000-0000-0000E0080000}"/>
    <cellStyle name="Comma 2 3 2 3 4 2 2 2" xfId="2270" xr:uid="{00000000-0005-0000-0000-0000E1080000}"/>
    <cellStyle name="Comma 2 3 2 3 4 2 2 2 2" xfId="2271" xr:uid="{00000000-0005-0000-0000-0000E2080000}"/>
    <cellStyle name="Comma 2 3 2 3 4 2 2 3" xfId="2272" xr:uid="{00000000-0005-0000-0000-0000E3080000}"/>
    <cellStyle name="Comma 2 3 2 3 4 2 3" xfId="2273" xr:uid="{00000000-0005-0000-0000-0000E4080000}"/>
    <cellStyle name="Comma 2 3 2 3 4 2 3 2" xfId="2274" xr:uid="{00000000-0005-0000-0000-0000E5080000}"/>
    <cellStyle name="Comma 2 3 2 3 4 2 4" xfId="2275" xr:uid="{00000000-0005-0000-0000-0000E6080000}"/>
    <cellStyle name="Comma 2 3 2 3 4 2 4 2" xfId="2276" xr:uid="{00000000-0005-0000-0000-0000E7080000}"/>
    <cellStyle name="Comma 2 3 2 3 4 2 5" xfId="2277" xr:uid="{00000000-0005-0000-0000-0000E8080000}"/>
    <cellStyle name="Comma 2 3 2 3 4 3" xfId="2278" xr:uid="{00000000-0005-0000-0000-0000E9080000}"/>
    <cellStyle name="Comma 2 3 2 3 4 3 2" xfId="2279" xr:uid="{00000000-0005-0000-0000-0000EA080000}"/>
    <cellStyle name="Comma 2 3 2 3 4 3 2 2" xfId="2280" xr:uid="{00000000-0005-0000-0000-0000EB080000}"/>
    <cellStyle name="Comma 2 3 2 3 4 3 3" xfId="2281" xr:uid="{00000000-0005-0000-0000-0000EC080000}"/>
    <cellStyle name="Comma 2 3 2 3 4 4" xfId="2282" xr:uid="{00000000-0005-0000-0000-0000ED080000}"/>
    <cellStyle name="Comma 2 3 2 3 4 4 2" xfId="2283" xr:uid="{00000000-0005-0000-0000-0000EE080000}"/>
    <cellStyle name="Comma 2 3 2 3 4 5" xfId="2284" xr:uid="{00000000-0005-0000-0000-0000EF080000}"/>
    <cellStyle name="Comma 2 3 2 3 4 5 2" xfId="2285" xr:uid="{00000000-0005-0000-0000-0000F0080000}"/>
    <cellStyle name="Comma 2 3 2 3 4 6" xfId="2286" xr:uid="{00000000-0005-0000-0000-0000F1080000}"/>
    <cellStyle name="Comma 2 3 2 3 5" xfId="2287" xr:uid="{00000000-0005-0000-0000-0000F2080000}"/>
    <cellStyle name="Comma 2 3 2 3 5 2" xfId="2288" xr:uid="{00000000-0005-0000-0000-0000F3080000}"/>
    <cellStyle name="Comma 2 3 2 3 5 2 2" xfId="2289" xr:uid="{00000000-0005-0000-0000-0000F4080000}"/>
    <cellStyle name="Comma 2 3 2 3 5 2 2 2" xfId="2290" xr:uid="{00000000-0005-0000-0000-0000F5080000}"/>
    <cellStyle name="Comma 2 3 2 3 5 2 3" xfId="2291" xr:uid="{00000000-0005-0000-0000-0000F6080000}"/>
    <cellStyle name="Comma 2 3 2 3 5 3" xfId="2292" xr:uid="{00000000-0005-0000-0000-0000F7080000}"/>
    <cellStyle name="Comma 2 3 2 3 5 3 2" xfId="2293" xr:uid="{00000000-0005-0000-0000-0000F8080000}"/>
    <cellStyle name="Comma 2 3 2 3 5 4" xfId="2294" xr:uid="{00000000-0005-0000-0000-0000F9080000}"/>
    <cellStyle name="Comma 2 3 2 3 5 4 2" xfId="2295" xr:uid="{00000000-0005-0000-0000-0000FA080000}"/>
    <cellStyle name="Comma 2 3 2 3 5 5" xfId="2296" xr:uid="{00000000-0005-0000-0000-0000FB080000}"/>
    <cellStyle name="Comma 2 3 2 3 6" xfId="2297" xr:uid="{00000000-0005-0000-0000-0000FC080000}"/>
    <cellStyle name="Comma 2 3 2 3 6 2" xfId="2298" xr:uid="{00000000-0005-0000-0000-0000FD080000}"/>
    <cellStyle name="Comma 2 3 2 3 6 2 2" xfId="2299" xr:uid="{00000000-0005-0000-0000-0000FE080000}"/>
    <cellStyle name="Comma 2 3 2 3 6 3" xfId="2300" xr:uid="{00000000-0005-0000-0000-0000FF080000}"/>
    <cellStyle name="Comma 2 3 2 3 7" xfId="2301" xr:uid="{00000000-0005-0000-0000-000000090000}"/>
    <cellStyle name="Comma 2 3 2 3 7 2" xfId="2302" xr:uid="{00000000-0005-0000-0000-000001090000}"/>
    <cellStyle name="Comma 2 3 2 3 8" xfId="2303" xr:uid="{00000000-0005-0000-0000-000002090000}"/>
    <cellStyle name="Comma 2 3 2 3 8 2" xfId="2304" xr:uid="{00000000-0005-0000-0000-000003090000}"/>
    <cellStyle name="Comma 2 3 2 3 9" xfId="2305" xr:uid="{00000000-0005-0000-0000-000004090000}"/>
    <cellStyle name="Comma 2 3 2 4" xfId="2306" xr:uid="{00000000-0005-0000-0000-000005090000}"/>
    <cellStyle name="Comma 2 3 2 4 2" xfId="2307" xr:uid="{00000000-0005-0000-0000-000006090000}"/>
    <cellStyle name="Comma 2 3 2 4 2 2" xfId="2308" xr:uid="{00000000-0005-0000-0000-000007090000}"/>
    <cellStyle name="Comma 2 3 2 4 2 2 2" xfId="2309" xr:uid="{00000000-0005-0000-0000-000008090000}"/>
    <cellStyle name="Comma 2 3 2 4 2 2 2 2" xfId="2310" xr:uid="{00000000-0005-0000-0000-000009090000}"/>
    <cellStyle name="Comma 2 3 2 4 2 2 2 2 2" xfId="2311" xr:uid="{00000000-0005-0000-0000-00000A090000}"/>
    <cellStyle name="Comma 2 3 2 4 2 2 2 2 2 2" xfId="2312" xr:uid="{00000000-0005-0000-0000-00000B090000}"/>
    <cellStyle name="Comma 2 3 2 4 2 2 2 2 3" xfId="2313" xr:uid="{00000000-0005-0000-0000-00000C090000}"/>
    <cellStyle name="Comma 2 3 2 4 2 2 2 3" xfId="2314" xr:uid="{00000000-0005-0000-0000-00000D090000}"/>
    <cellStyle name="Comma 2 3 2 4 2 2 2 3 2" xfId="2315" xr:uid="{00000000-0005-0000-0000-00000E090000}"/>
    <cellStyle name="Comma 2 3 2 4 2 2 2 4" xfId="2316" xr:uid="{00000000-0005-0000-0000-00000F090000}"/>
    <cellStyle name="Comma 2 3 2 4 2 2 2 4 2" xfId="2317" xr:uid="{00000000-0005-0000-0000-000010090000}"/>
    <cellStyle name="Comma 2 3 2 4 2 2 2 5" xfId="2318" xr:uid="{00000000-0005-0000-0000-000011090000}"/>
    <cellStyle name="Comma 2 3 2 4 2 2 3" xfId="2319" xr:uid="{00000000-0005-0000-0000-000012090000}"/>
    <cellStyle name="Comma 2 3 2 4 2 2 3 2" xfId="2320" xr:uid="{00000000-0005-0000-0000-000013090000}"/>
    <cellStyle name="Comma 2 3 2 4 2 2 3 2 2" xfId="2321" xr:uid="{00000000-0005-0000-0000-000014090000}"/>
    <cellStyle name="Comma 2 3 2 4 2 2 3 3" xfId="2322" xr:uid="{00000000-0005-0000-0000-000015090000}"/>
    <cellStyle name="Comma 2 3 2 4 2 2 4" xfId="2323" xr:uid="{00000000-0005-0000-0000-000016090000}"/>
    <cellStyle name="Comma 2 3 2 4 2 2 4 2" xfId="2324" xr:uid="{00000000-0005-0000-0000-000017090000}"/>
    <cellStyle name="Comma 2 3 2 4 2 2 5" xfId="2325" xr:uid="{00000000-0005-0000-0000-000018090000}"/>
    <cellStyle name="Comma 2 3 2 4 2 2 5 2" xfId="2326" xr:uid="{00000000-0005-0000-0000-000019090000}"/>
    <cellStyle name="Comma 2 3 2 4 2 2 6" xfId="2327" xr:uid="{00000000-0005-0000-0000-00001A090000}"/>
    <cellStyle name="Comma 2 3 2 4 2 3" xfId="2328" xr:uid="{00000000-0005-0000-0000-00001B090000}"/>
    <cellStyle name="Comma 2 3 2 4 2 3 2" xfId="2329" xr:uid="{00000000-0005-0000-0000-00001C090000}"/>
    <cellStyle name="Comma 2 3 2 4 2 3 2 2" xfId="2330" xr:uid="{00000000-0005-0000-0000-00001D090000}"/>
    <cellStyle name="Comma 2 3 2 4 2 3 2 2 2" xfId="2331" xr:uid="{00000000-0005-0000-0000-00001E090000}"/>
    <cellStyle name="Comma 2 3 2 4 2 3 2 3" xfId="2332" xr:uid="{00000000-0005-0000-0000-00001F090000}"/>
    <cellStyle name="Comma 2 3 2 4 2 3 3" xfId="2333" xr:uid="{00000000-0005-0000-0000-000020090000}"/>
    <cellStyle name="Comma 2 3 2 4 2 3 3 2" xfId="2334" xr:uid="{00000000-0005-0000-0000-000021090000}"/>
    <cellStyle name="Comma 2 3 2 4 2 3 4" xfId="2335" xr:uid="{00000000-0005-0000-0000-000022090000}"/>
    <cellStyle name="Comma 2 3 2 4 2 3 4 2" xfId="2336" xr:uid="{00000000-0005-0000-0000-000023090000}"/>
    <cellStyle name="Comma 2 3 2 4 2 3 5" xfId="2337" xr:uid="{00000000-0005-0000-0000-000024090000}"/>
    <cellStyle name="Comma 2 3 2 4 2 4" xfId="2338" xr:uid="{00000000-0005-0000-0000-000025090000}"/>
    <cellStyle name="Comma 2 3 2 4 2 4 2" xfId="2339" xr:uid="{00000000-0005-0000-0000-000026090000}"/>
    <cellStyle name="Comma 2 3 2 4 2 4 2 2" xfId="2340" xr:uid="{00000000-0005-0000-0000-000027090000}"/>
    <cellStyle name="Comma 2 3 2 4 2 4 3" xfId="2341" xr:uid="{00000000-0005-0000-0000-000028090000}"/>
    <cellStyle name="Comma 2 3 2 4 2 5" xfId="2342" xr:uid="{00000000-0005-0000-0000-000029090000}"/>
    <cellStyle name="Comma 2 3 2 4 2 5 2" xfId="2343" xr:uid="{00000000-0005-0000-0000-00002A090000}"/>
    <cellStyle name="Comma 2 3 2 4 2 6" xfId="2344" xr:uid="{00000000-0005-0000-0000-00002B090000}"/>
    <cellStyle name="Comma 2 3 2 4 2 6 2" xfId="2345" xr:uid="{00000000-0005-0000-0000-00002C090000}"/>
    <cellStyle name="Comma 2 3 2 4 2 7" xfId="2346" xr:uid="{00000000-0005-0000-0000-00002D090000}"/>
    <cellStyle name="Comma 2 3 2 4 3" xfId="2347" xr:uid="{00000000-0005-0000-0000-00002E090000}"/>
    <cellStyle name="Comma 2 3 2 4 3 2" xfId="2348" xr:uid="{00000000-0005-0000-0000-00002F090000}"/>
    <cellStyle name="Comma 2 3 2 4 3 2 2" xfId="2349" xr:uid="{00000000-0005-0000-0000-000030090000}"/>
    <cellStyle name="Comma 2 3 2 4 3 2 2 2" xfId="2350" xr:uid="{00000000-0005-0000-0000-000031090000}"/>
    <cellStyle name="Comma 2 3 2 4 3 2 2 2 2" xfId="2351" xr:uid="{00000000-0005-0000-0000-000032090000}"/>
    <cellStyle name="Comma 2 3 2 4 3 2 2 3" xfId="2352" xr:uid="{00000000-0005-0000-0000-000033090000}"/>
    <cellStyle name="Comma 2 3 2 4 3 2 3" xfId="2353" xr:uid="{00000000-0005-0000-0000-000034090000}"/>
    <cellStyle name="Comma 2 3 2 4 3 2 3 2" xfId="2354" xr:uid="{00000000-0005-0000-0000-000035090000}"/>
    <cellStyle name="Comma 2 3 2 4 3 2 4" xfId="2355" xr:uid="{00000000-0005-0000-0000-000036090000}"/>
    <cellStyle name="Comma 2 3 2 4 3 2 4 2" xfId="2356" xr:uid="{00000000-0005-0000-0000-000037090000}"/>
    <cellStyle name="Comma 2 3 2 4 3 2 5" xfId="2357" xr:uid="{00000000-0005-0000-0000-000038090000}"/>
    <cellStyle name="Comma 2 3 2 4 3 3" xfId="2358" xr:uid="{00000000-0005-0000-0000-000039090000}"/>
    <cellStyle name="Comma 2 3 2 4 3 3 2" xfId="2359" xr:uid="{00000000-0005-0000-0000-00003A090000}"/>
    <cellStyle name="Comma 2 3 2 4 3 3 2 2" xfId="2360" xr:uid="{00000000-0005-0000-0000-00003B090000}"/>
    <cellStyle name="Comma 2 3 2 4 3 3 3" xfId="2361" xr:uid="{00000000-0005-0000-0000-00003C090000}"/>
    <cellStyle name="Comma 2 3 2 4 3 4" xfId="2362" xr:uid="{00000000-0005-0000-0000-00003D090000}"/>
    <cellStyle name="Comma 2 3 2 4 3 4 2" xfId="2363" xr:uid="{00000000-0005-0000-0000-00003E090000}"/>
    <cellStyle name="Comma 2 3 2 4 3 5" xfId="2364" xr:uid="{00000000-0005-0000-0000-00003F090000}"/>
    <cellStyle name="Comma 2 3 2 4 3 5 2" xfId="2365" xr:uid="{00000000-0005-0000-0000-000040090000}"/>
    <cellStyle name="Comma 2 3 2 4 3 6" xfId="2366" xr:uid="{00000000-0005-0000-0000-000041090000}"/>
    <cellStyle name="Comma 2 3 2 4 4" xfId="2367" xr:uid="{00000000-0005-0000-0000-000042090000}"/>
    <cellStyle name="Comma 2 3 2 4 4 2" xfId="2368" xr:uid="{00000000-0005-0000-0000-000043090000}"/>
    <cellStyle name="Comma 2 3 2 4 4 2 2" xfId="2369" xr:uid="{00000000-0005-0000-0000-000044090000}"/>
    <cellStyle name="Comma 2 3 2 4 4 2 2 2" xfId="2370" xr:uid="{00000000-0005-0000-0000-000045090000}"/>
    <cellStyle name="Comma 2 3 2 4 4 2 3" xfId="2371" xr:uid="{00000000-0005-0000-0000-000046090000}"/>
    <cellStyle name="Comma 2 3 2 4 4 3" xfId="2372" xr:uid="{00000000-0005-0000-0000-000047090000}"/>
    <cellStyle name="Comma 2 3 2 4 4 3 2" xfId="2373" xr:uid="{00000000-0005-0000-0000-000048090000}"/>
    <cellStyle name="Comma 2 3 2 4 4 4" xfId="2374" xr:uid="{00000000-0005-0000-0000-000049090000}"/>
    <cellStyle name="Comma 2 3 2 4 4 4 2" xfId="2375" xr:uid="{00000000-0005-0000-0000-00004A090000}"/>
    <cellStyle name="Comma 2 3 2 4 4 5" xfId="2376" xr:uid="{00000000-0005-0000-0000-00004B090000}"/>
    <cellStyle name="Comma 2 3 2 4 5" xfId="2377" xr:uid="{00000000-0005-0000-0000-00004C090000}"/>
    <cellStyle name="Comma 2 3 2 4 5 2" xfId="2378" xr:uid="{00000000-0005-0000-0000-00004D090000}"/>
    <cellStyle name="Comma 2 3 2 4 5 2 2" xfId="2379" xr:uid="{00000000-0005-0000-0000-00004E090000}"/>
    <cellStyle name="Comma 2 3 2 4 5 3" xfId="2380" xr:uid="{00000000-0005-0000-0000-00004F090000}"/>
    <cellStyle name="Comma 2 3 2 4 6" xfId="2381" xr:uid="{00000000-0005-0000-0000-000050090000}"/>
    <cellStyle name="Comma 2 3 2 4 6 2" xfId="2382" xr:uid="{00000000-0005-0000-0000-000051090000}"/>
    <cellStyle name="Comma 2 3 2 4 7" xfId="2383" xr:uid="{00000000-0005-0000-0000-000052090000}"/>
    <cellStyle name="Comma 2 3 2 4 7 2" xfId="2384" xr:uid="{00000000-0005-0000-0000-000053090000}"/>
    <cellStyle name="Comma 2 3 2 4 8" xfId="2385" xr:uid="{00000000-0005-0000-0000-000054090000}"/>
    <cellStyle name="Comma 2 3 2 5" xfId="2386" xr:uid="{00000000-0005-0000-0000-000055090000}"/>
    <cellStyle name="Comma 2 3 2 5 2" xfId="2387" xr:uid="{00000000-0005-0000-0000-000056090000}"/>
    <cellStyle name="Comma 2 3 2 5 2 2" xfId="2388" xr:uid="{00000000-0005-0000-0000-000057090000}"/>
    <cellStyle name="Comma 2 3 2 5 2 2 2" xfId="2389" xr:uid="{00000000-0005-0000-0000-000058090000}"/>
    <cellStyle name="Comma 2 3 2 5 2 2 2 2" xfId="2390" xr:uid="{00000000-0005-0000-0000-000059090000}"/>
    <cellStyle name="Comma 2 3 2 5 2 2 2 2 2" xfId="2391" xr:uid="{00000000-0005-0000-0000-00005A090000}"/>
    <cellStyle name="Comma 2 3 2 5 2 2 2 3" xfId="2392" xr:uid="{00000000-0005-0000-0000-00005B090000}"/>
    <cellStyle name="Comma 2 3 2 5 2 2 3" xfId="2393" xr:uid="{00000000-0005-0000-0000-00005C090000}"/>
    <cellStyle name="Comma 2 3 2 5 2 2 3 2" xfId="2394" xr:uid="{00000000-0005-0000-0000-00005D090000}"/>
    <cellStyle name="Comma 2 3 2 5 2 2 4" xfId="2395" xr:uid="{00000000-0005-0000-0000-00005E090000}"/>
    <cellStyle name="Comma 2 3 2 5 2 2 4 2" xfId="2396" xr:uid="{00000000-0005-0000-0000-00005F090000}"/>
    <cellStyle name="Comma 2 3 2 5 2 2 5" xfId="2397" xr:uid="{00000000-0005-0000-0000-000060090000}"/>
    <cellStyle name="Comma 2 3 2 5 2 3" xfId="2398" xr:uid="{00000000-0005-0000-0000-000061090000}"/>
    <cellStyle name="Comma 2 3 2 5 2 3 2" xfId="2399" xr:uid="{00000000-0005-0000-0000-000062090000}"/>
    <cellStyle name="Comma 2 3 2 5 2 3 2 2" xfId="2400" xr:uid="{00000000-0005-0000-0000-000063090000}"/>
    <cellStyle name="Comma 2 3 2 5 2 3 3" xfId="2401" xr:uid="{00000000-0005-0000-0000-000064090000}"/>
    <cellStyle name="Comma 2 3 2 5 2 4" xfId="2402" xr:uid="{00000000-0005-0000-0000-000065090000}"/>
    <cellStyle name="Comma 2 3 2 5 2 4 2" xfId="2403" xr:uid="{00000000-0005-0000-0000-000066090000}"/>
    <cellStyle name="Comma 2 3 2 5 2 5" xfId="2404" xr:uid="{00000000-0005-0000-0000-000067090000}"/>
    <cellStyle name="Comma 2 3 2 5 2 5 2" xfId="2405" xr:uid="{00000000-0005-0000-0000-000068090000}"/>
    <cellStyle name="Comma 2 3 2 5 2 6" xfId="2406" xr:uid="{00000000-0005-0000-0000-000069090000}"/>
    <cellStyle name="Comma 2 3 2 5 3" xfId="2407" xr:uid="{00000000-0005-0000-0000-00006A090000}"/>
    <cellStyle name="Comma 2 3 2 5 3 2" xfId="2408" xr:uid="{00000000-0005-0000-0000-00006B090000}"/>
    <cellStyle name="Comma 2 3 2 5 3 2 2" xfId="2409" xr:uid="{00000000-0005-0000-0000-00006C090000}"/>
    <cellStyle name="Comma 2 3 2 5 3 2 2 2" xfId="2410" xr:uid="{00000000-0005-0000-0000-00006D090000}"/>
    <cellStyle name="Comma 2 3 2 5 3 2 3" xfId="2411" xr:uid="{00000000-0005-0000-0000-00006E090000}"/>
    <cellStyle name="Comma 2 3 2 5 3 3" xfId="2412" xr:uid="{00000000-0005-0000-0000-00006F090000}"/>
    <cellStyle name="Comma 2 3 2 5 3 3 2" xfId="2413" xr:uid="{00000000-0005-0000-0000-000070090000}"/>
    <cellStyle name="Comma 2 3 2 5 3 4" xfId="2414" xr:uid="{00000000-0005-0000-0000-000071090000}"/>
    <cellStyle name="Comma 2 3 2 5 3 4 2" xfId="2415" xr:uid="{00000000-0005-0000-0000-000072090000}"/>
    <cellStyle name="Comma 2 3 2 5 3 5" xfId="2416" xr:uid="{00000000-0005-0000-0000-000073090000}"/>
    <cellStyle name="Comma 2 3 2 5 4" xfId="2417" xr:uid="{00000000-0005-0000-0000-000074090000}"/>
    <cellStyle name="Comma 2 3 2 5 4 2" xfId="2418" xr:uid="{00000000-0005-0000-0000-000075090000}"/>
    <cellStyle name="Comma 2 3 2 5 4 2 2" xfId="2419" xr:uid="{00000000-0005-0000-0000-000076090000}"/>
    <cellStyle name="Comma 2 3 2 5 4 3" xfId="2420" xr:uid="{00000000-0005-0000-0000-000077090000}"/>
    <cellStyle name="Comma 2 3 2 5 5" xfId="2421" xr:uid="{00000000-0005-0000-0000-000078090000}"/>
    <cellStyle name="Comma 2 3 2 5 5 2" xfId="2422" xr:uid="{00000000-0005-0000-0000-000079090000}"/>
    <cellStyle name="Comma 2 3 2 5 6" xfId="2423" xr:uid="{00000000-0005-0000-0000-00007A090000}"/>
    <cellStyle name="Comma 2 3 2 5 6 2" xfId="2424" xr:uid="{00000000-0005-0000-0000-00007B090000}"/>
    <cellStyle name="Comma 2 3 2 5 7" xfId="2425" xr:uid="{00000000-0005-0000-0000-00007C090000}"/>
    <cellStyle name="Comma 2 3 2 6" xfId="2426" xr:uid="{00000000-0005-0000-0000-00007D090000}"/>
    <cellStyle name="Comma 2 3 2 6 2" xfId="2427" xr:uid="{00000000-0005-0000-0000-00007E090000}"/>
    <cellStyle name="Comma 2 3 2 6 2 2" xfId="2428" xr:uid="{00000000-0005-0000-0000-00007F090000}"/>
    <cellStyle name="Comma 2 3 2 6 2 2 2" xfId="2429" xr:uid="{00000000-0005-0000-0000-000080090000}"/>
    <cellStyle name="Comma 2 3 2 6 2 2 2 2" xfId="2430" xr:uid="{00000000-0005-0000-0000-000081090000}"/>
    <cellStyle name="Comma 2 3 2 6 2 2 2 2 2" xfId="2431" xr:uid="{00000000-0005-0000-0000-000082090000}"/>
    <cellStyle name="Comma 2 3 2 6 2 2 2 3" xfId="2432" xr:uid="{00000000-0005-0000-0000-000083090000}"/>
    <cellStyle name="Comma 2 3 2 6 2 2 3" xfId="2433" xr:uid="{00000000-0005-0000-0000-000084090000}"/>
    <cellStyle name="Comma 2 3 2 6 2 2 3 2" xfId="2434" xr:uid="{00000000-0005-0000-0000-000085090000}"/>
    <cellStyle name="Comma 2 3 2 6 2 2 4" xfId="2435" xr:uid="{00000000-0005-0000-0000-000086090000}"/>
    <cellStyle name="Comma 2 3 2 6 2 2 4 2" xfId="2436" xr:uid="{00000000-0005-0000-0000-000087090000}"/>
    <cellStyle name="Comma 2 3 2 6 2 2 5" xfId="2437" xr:uid="{00000000-0005-0000-0000-000088090000}"/>
    <cellStyle name="Comma 2 3 2 6 2 3" xfId="2438" xr:uid="{00000000-0005-0000-0000-000089090000}"/>
    <cellStyle name="Comma 2 3 2 6 2 3 2" xfId="2439" xr:uid="{00000000-0005-0000-0000-00008A090000}"/>
    <cellStyle name="Comma 2 3 2 6 2 3 2 2" xfId="2440" xr:uid="{00000000-0005-0000-0000-00008B090000}"/>
    <cellStyle name="Comma 2 3 2 6 2 3 3" xfId="2441" xr:uid="{00000000-0005-0000-0000-00008C090000}"/>
    <cellStyle name="Comma 2 3 2 6 2 4" xfId="2442" xr:uid="{00000000-0005-0000-0000-00008D090000}"/>
    <cellStyle name="Comma 2 3 2 6 2 4 2" xfId="2443" xr:uid="{00000000-0005-0000-0000-00008E090000}"/>
    <cellStyle name="Comma 2 3 2 6 2 5" xfId="2444" xr:uid="{00000000-0005-0000-0000-00008F090000}"/>
    <cellStyle name="Comma 2 3 2 6 2 5 2" xfId="2445" xr:uid="{00000000-0005-0000-0000-000090090000}"/>
    <cellStyle name="Comma 2 3 2 6 2 6" xfId="2446" xr:uid="{00000000-0005-0000-0000-000091090000}"/>
    <cellStyle name="Comma 2 3 2 6 3" xfId="2447" xr:uid="{00000000-0005-0000-0000-000092090000}"/>
    <cellStyle name="Comma 2 3 2 6 3 2" xfId="2448" xr:uid="{00000000-0005-0000-0000-000093090000}"/>
    <cellStyle name="Comma 2 3 2 6 3 2 2" xfId="2449" xr:uid="{00000000-0005-0000-0000-000094090000}"/>
    <cellStyle name="Comma 2 3 2 6 3 2 2 2" xfId="2450" xr:uid="{00000000-0005-0000-0000-000095090000}"/>
    <cellStyle name="Comma 2 3 2 6 3 2 3" xfId="2451" xr:uid="{00000000-0005-0000-0000-000096090000}"/>
    <cellStyle name="Comma 2 3 2 6 3 3" xfId="2452" xr:uid="{00000000-0005-0000-0000-000097090000}"/>
    <cellStyle name="Comma 2 3 2 6 3 3 2" xfId="2453" xr:uid="{00000000-0005-0000-0000-000098090000}"/>
    <cellStyle name="Comma 2 3 2 6 3 4" xfId="2454" xr:uid="{00000000-0005-0000-0000-000099090000}"/>
    <cellStyle name="Comma 2 3 2 6 3 4 2" xfId="2455" xr:uid="{00000000-0005-0000-0000-00009A090000}"/>
    <cellStyle name="Comma 2 3 2 6 3 5" xfId="2456" xr:uid="{00000000-0005-0000-0000-00009B090000}"/>
    <cellStyle name="Comma 2 3 2 6 4" xfId="2457" xr:uid="{00000000-0005-0000-0000-00009C090000}"/>
    <cellStyle name="Comma 2 3 2 6 4 2" xfId="2458" xr:uid="{00000000-0005-0000-0000-00009D090000}"/>
    <cellStyle name="Comma 2 3 2 6 4 2 2" xfId="2459" xr:uid="{00000000-0005-0000-0000-00009E090000}"/>
    <cellStyle name="Comma 2 3 2 6 4 3" xfId="2460" xr:uid="{00000000-0005-0000-0000-00009F090000}"/>
    <cellStyle name="Comma 2 3 2 6 5" xfId="2461" xr:uid="{00000000-0005-0000-0000-0000A0090000}"/>
    <cellStyle name="Comma 2 3 2 6 5 2" xfId="2462" xr:uid="{00000000-0005-0000-0000-0000A1090000}"/>
    <cellStyle name="Comma 2 3 2 6 6" xfId="2463" xr:uid="{00000000-0005-0000-0000-0000A2090000}"/>
    <cellStyle name="Comma 2 3 2 6 6 2" xfId="2464" xr:uid="{00000000-0005-0000-0000-0000A3090000}"/>
    <cellStyle name="Comma 2 3 2 6 7" xfId="2465" xr:uid="{00000000-0005-0000-0000-0000A4090000}"/>
    <cellStyle name="Comma 2 3 2 7" xfId="2466" xr:uid="{00000000-0005-0000-0000-0000A5090000}"/>
    <cellStyle name="Comma 2 3 2 7 2" xfId="2467" xr:uid="{00000000-0005-0000-0000-0000A6090000}"/>
    <cellStyle name="Comma 2 3 2 7 2 2" xfId="2468" xr:uid="{00000000-0005-0000-0000-0000A7090000}"/>
    <cellStyle name="Comma 2 3 2 7 2 2 2" xfId="2469" xr:uid="{00000000-0005-0000-0000-0000A8090000}"/>
    <cellStyle name="Comma 2 3 2 7 2 2 2 2" xfId="2470" xr:uid="{00000000-0005-0000-0000-0000A9090000}"/>
    <cellStyle name="Comma 2 3 2 7 2 2 3" xfId="2471" xr:uid="{00000000-0005-0000-0000-0000AA090000}"/>
    <cellStyle name="Comma 2 3 2 7 2 3" xfId="2472" xr:uid="{00000000-0005-0000-0000-0000AB090000}"/>
    <cellStyle name="Comma 2 3 2 7 2 3 2" xfId="2473" xr:uid="{00000000-0005-0000-0000-0000AC090000}"/>
    <cellStyle name="Comma 2 3 2 7 2 4" xfId="2474" xr:uid="{00000000-0005-0000-0000-0000AD090000}"/>
    <cellStyle name="Comma 2 3 2 7 2 4 2" xfId="2475" xr:uid="{00000000-0005-0000-0000-0000AE090000}"/>
    <cellStyle name="Comma 2 3 2 7 2 5" xfId="2476" xr:uid="{00000000-0005-0000-0000-0000AF090000}"/>
    <cellStyle name="Comma 2 3 2 7 3" xfId="2477" xr:uid="{00000000-0005-0000-0000-0000B0090000}"/>
    <cellStyle name="Comma 2 3 2 7 3 2" xfId="2478" xr:uid="{00000000-0005-0000-0000-0000B1090000}"/>
    <cellStyle name="Comma 2 3 2 7 3 2 2" xfId="2479" xr:uid="{00000000-0005-0000-0000-0000B2090000}"/>
    <cellStyle name="Comma 2 3 2 7 3 3" xfId="2480" xr:uid="{00000000-0005-0000-0000-0000B3090000}"/>
    <cellStyle name="Comma 2 3 2 7 4" xfId="2481" xr:uid="{00000000-0005-0000-0000-0000B4090000}"/>
    <cellStyle name="Comma 2 3 2 7 4 2" xfId="2482" xr:uid="{00000000-0005-0000-0000-0000B5090000}"/>
    <cellStyle name="Comma 2 3 2 7 5" xfId="2483" xr:uid="{00000000-0005-0000-0000-0000B6090000}"/>
    <cellStyle name="Comma 2 3 2 7 5 2" xfId="2484" xr:uid="{00000000-0005-0000-0000-0000B7090000}"/>
    <cellStyle name="Comma 2 3 2 7 6" xfId="2485" xr:uid="{00000000-0005-0000-0000-0000B8090000}"/>
    <cellStyle name="Comma 2 3 2 8" xfId="2486" xr:uid="{00000000-0005-0000-0000-0000B9090000}"/>
    <cellStyle name="Comma 2 3 2 8 2" xfId="2487" xr:uid="{00000000-0005-0000-0000-0000BA090000}"/>
    <cellStyle name="Comma 2 3 2 8 2 2" xfId="2488" xr:uid="{00000000-0005-0000-0000-0000BB090000}"/>
    <cellStyle name="Comma 2 3 2 8 2 2 2" xfId="2489" xr:uid="{00000000-0005-0000-0000-0000BC090000}"/>
    <cellStyle name="Comma 2 3 2 8 2 3" xfId="2490" xr:uid="{00000000-0005-0000-0000-0000BD090000}"/>
    <cellStyle name="Comma 2 3 2 8 3" xfId="2491" xr:uid="{00000000-0005-0000-0000-0000BE090000}"/>
    <cellStyle name="Comma 2 3 2 8 3 2" xfId="2492" xr:uid="{00000000-0005-0000-0000-0000BF090000}"/>
    <cellStyle name="Comma 2 3 2 8 4" xfId="2493" xr:uid="{00000000-0005-0000-0000-0000C0090000}"/>
    <cellStyle name="Comma 2 3 2 8 4 2" xfId="2494" xr:uid="{00000000-0005-0000-0000-0000C1090000}"/>
    <cellStyle name="Comma 2 3 2 8 5" xfId="2495" xr:uid="{00000000-0005-0000-0000-0000C2090000}"/>
    <cellStyle name="Comma 2 3 2 9" xfId="2496" xr:uid="{00000000-0005-0000-0000-0000C3090000}"/>
    <cellStyle name="Comma 2 3 2 9 2" xfId="2497" xr:uid="{00000000-0005-0000-0000-0000C4090000}"/>
    <cellStyle name="Comma 2 3 2 9 2 2" xfId="2498" xr:uid="{00000000-0005-0000-0000-0000C5090000}"/>
    <cellStyle name="Comma 2 3 2 9 3" xfId="2499" xr:uid="{00000000-0005-0000-0000-0000C6090000}"/>
    <cellStyle name="Comma 2 3 3" xfId="2500" xr:uid="{00000000-0005-0000-0000-0000C7090000}"/>
    <cellStyle name="Comma 2 3 3 10" xfId="2501" xr:uid="{00000000-0005-0000-0000-0000C8090000}"/>
    <cellStyle name="Comma 2 3 3 10 2" xfId="2502" xr:uid="{00000000-0005-0000-0000-0000C9090000}"/>
    <cellStyle name="Comma 2 3 3 11" xfId="2503" xr:uid="{00000000-0005-0000-0000-0000CA090000}"/>
    <cellStyle name="Comma 2 3 3 11 2" xfId="2504" xr:uid="{00000000-0005-0000-0000-0000CB090000}"/>
    <cellStyle name="Comma 2 3 3 12" xfId="2505" xr:uid="{00000000-0005-0000-0000-0000CC090000}"/>
    <cellStyle name="Comma 2 3 3 2" xfId="2506" xr:uid="{00000000-0005-0000-0000-0000CD090000}"/>
    <cellStyle name="Comma 2 3 3 2 2" xfId="2507" xr:uid="{00000000-0005-0000-0000-0000CE090000}"/>
    <cellStyle name="Comma 2 3 3 2 2 2" xfId="2508" xr:uid="{00000000-0005-0000-0000-0000CF090000}"/>
    <cellStyle name="Comma 2 3 3 2 2 2 2" xfId="2509" xr:uid="{00000000-0005-0000-0000-0000D0090000}"/>
    <cellStyle name="Comma 2 3 3 2 2 2 2 2" xfId="2510" xr:uid="{00000000-0005-0000-0000-0000D1090000}"/>
    <cellStyle name="Comma 2 3 3 2 2 2 2 2 2" xfId="2511" xr:uid="{00000000-0005-0000-0000-0000D2090000}"/>
    <cellStyle name="Comma 2 3 3 2 2 2 2 2 2 2" xfId="2512" xr:uid="{00000000-0005-0000-0000-0000D3090000}"/>
    <cellStyle name="Comma 2 3 3 2 2 2 2 2 3" xfId="2513" xr:uid="{00000000-0005-0000-0000-0000D4090000}"/>
    <cellStyle name="Comma 2 3 3 2 2 2 2 3" xfId="2514" xr:uid="{00000000-0005-0000-0000-0000D5090000}"/>
    <cellStyle name="Comma 2 3 3 2 2 2 2 3 2" xfId="2515" xr:uid="{00000000-0005-0000-0000-0000D6090000}"/>
    <cellStyle name="Comma 2 3 3 2 2 2 2 4" xfId="2516" xr:uid="{00000000-0005-0000-0000-0000D7090000}"/>
    <cellStyle name="Comma 2 3 3 2 2 2 2 4 2" xfId="2517" xr:uid="{00000000-0005-0000-0000-0000D8090000}"/>
    <cellStyle name="Comma 2 3 3 2 2 2 2 5" xfId="2518" xr:uid="{00000000-0005-0000-0000-0000D9090000}"/>
    <cellStyle name="Comma 2 3 3 2 2 2 3" xfId="2519" xr:uid="{00000000-0005-0000-0000-0000DA090000}"/>
    <cellStyle name="Comma 2 3 3 2 2 2 3 2" xfId="2520" xr:uid="{00000000-0005-0000-0000-0000DB090000}"/>
    <cellStyle name="Comma 2 3 3 2 2 2 3 2 2" xfId="2521" xr:uid="{00000000-0005-0000-0000-0000DC090000}"/>
    <cellStyle name="Comma 2 3 3 2 2 2 3 3" xfId="2522" xr:uid="{00000000-0005-0000-0000-0000DD090000}"/>
    <cellStyle name="Comma 2 3 3 2 2 2 4" xfId="2523" xr:uid="{00000000-0005-0000-0000-0000DE090000}"/>
    <cellStyle name="Comma 2 3 3 2 2 2 4 2" xfId="2524" xr:uid="{00000000-0005-0000-0000-0000DF090000}"/>
    <cellStyle name="Comma 2 3 3 2 2 2 5" xfId="2525" xr:uid="{00000000-0005-0000-0000-0000E0090000}"/>
    <cellStyle name="Comma 2 3 3 2 2 2 5 2" xfId="2526" xr:uid="{00000000-0005-0000-0000-0000E1090000}"/>
    <cellStyle name="Comma 2 3 3 2 2 2 6" xfId="2527" xr:uid="{00000000-0005-0000-0000-0000E2090000}"/>
    <cellStyle name="Comma 2 3 3 2 2 3" xfId="2528" xr:uid="{00000000-0005-0000-0000-0000E3090000}"/>
    <cellStyle name="Comma 2 3 3 2 2 3 2" xfId="2529" xr:uid="{00000000-0005-0000-0000-0000E4090000}"/>
    <cellStyle name="Comma 2 3 3 2 2 3 2 2" xfId="2530" xr:uid="{00000000-0005-0000-0000-0000E5090000}"/>
    <cellStyle name="Comma 2 3 3 2 2 3 2 2 2" xfId="2531" xr:uid="{00000000-0005-0000-0000-0000E6090000}"/>
    <cellStyle name="Comma 2 3 3 2 2 3 2 3" xfId="2532" xr:uid="{00000000-0005-0000-0000-0000E7090000}"/>
    <cellStyle name="Comma 2 3 3 2 2 3 3" xfId="2533" xr:uid="{00000000-0005-0000-0000-0000E8090000}"/>
    <cellStyle name="Comma 2 3 3 2 2 3 3 2" xfId="2534" xr:uid="{00000000-0005-0000-0000-0000E9090000}"/>
    <cellStyle name="Comma 2 3 3 2 2 3 4" xfId="2535" xr:uid="{00000000-0005-0000-0000-0000EA090000}"/>
    <cellStyle name="Comma 2 3 3 2 2 3 4 2" xfId="2536" xr:uid="{00000000-0005-0000-0000-0000EB090000}"/>
    <cellStyle name="Comma 2 3 3 2 2 3 5" xfId="2537" xr:uid="{00000000-0005-0000-0000-0000EC090000}"/>
    <cellStyle name="Comma 2 3 3 2 2 4" xfId="2538" xr:uid="{00000000-0005-0000-0000-0000ED090000}"/>
    <cellStyle name="Comma 2 3 3 2 2 4 2" xfId="2539" xr:uid="{00000000-0005-0000-0000-0000EE090000}"/>
    <cellStyle name="Comma 2 3 3 2 2 4 2 2" xfId="2540" xr:uid="{00000000-0005-0000-0000-0000EF090000}"/>
    <cellStyle name="Comma 2 3 3 2 2 4 3" xfId="2541" xr:uid="{00000000-0005-0000-0000-0000F0090000}"/>
    <cellStyle name="Comma 2 3 3 2 2 5" xfId="2542" xr:uid="{00000000-0005-0000-0000-0000F1090000}"/>
    <cellStyle name="Comma 2 3 3 2 2 5 2" xfId="2543" xr:uid="{00000000-0005-0000-0000-0000F2090000}"/>
    <cellStyle name="Comma 2 3 3 2 2 6" xfId="2544" xr:uid="{00000000-0005-0000-0000-0000F3090000}"/>
    <cellStyle name="Comma 2 3 3 2 2 6 2" xfId="2545" xr:uid="{00000000-0005-0000-0000-0000F4090000}"/>
    <cellStyle name="Comma 2 3 3 2 2 7" xfId="2546" xr:uid="{00000000-0005-0000-0000-0000F5090000}"/>
    <cellStyle name="Comma 2 3 3 2 3" xfId="2547" xr:uid="{00000000-0005-0000-0000-0000F6090000}"/>
    <cellStyle name="Comma 2 3 3 2 3 2" xfId="2548" xr:uid="{00000000-0005-0000-0000-0000F7090000}"/>
    <cellStyle name="Comma 2 3 3 2 3 2 2" xfId="2549" xr:uid="{00000000-0005-0000-0000-0000F8090000}"/>
    <cellStyle name="Comma 2 3 3 2 3 2 2 2" xfId="2550" xr:uid="{00000000-0005-0000-0000-0000F9090000}"/>
    <cellStyle name="Comma 2 3 3 2 3 2 2 2 2" xfId="2551" xr:uid="{00000000-0005-0000-0000-0000FA090000}"/>
    <cellStyle name="Comma 2 3 3 2 3 2 2 2 2 2" xfId="2552" xr:uid="{00000000-0005-0000-0000-0000FB090000}"/>
    <cellStyle name="Comma 2 3 3 2 3 2 2 2 3" xfId="2553" xr:uid="{00000000-0005-0000-0000-0000FC090000}"/>
    <cellStyle name="Comma 2 3 3 2 3 2 2 3" xfId="2554" xr:uid="{00000000-0005-0000-0000-0000FD090000}"/>
    <cellStyle name="Comma 2 3 3 2 3 2 2 3 2" xfId="2555" xr:uid="{00000000-0005-0000-0000-0000FE090000}"/>
    <cellStyle name="Comma 2 3 3 2 3 2 2 4" xfId="2556" xr:uid="{00000000-0005-0000-0000-0000FF090000}"/>
    <cellStyle name="Comma 2 3 3 2 3 2 2 4 2" xfId="2557" xr:uid="{00000000-0005-0000-0000-0000000A0000}"/>
    <cellStyle name="Comma 2 3 3 2 3 2 2 5" xfId="2558" xr:uid="{00000000-0005-0000-0000-0000010A0000}"/>
    <cellStyle name="Comma 2 3 3 2 3 2 3" xfId="2559" xr:uid="{00000000-0005-0000-0000-0000020A0000}"/>
    <cellStyle name="Comma 2 3 3 2 3 2 3 2" xfId="2560" xr:uid="{00000000-0005-0000-0000-0000030A0000}"/>
    <cellStyle name="Comma 2 3 3 2 3 2 3 2 2" xfId="2561" xr:uid="{00000000-0005-0000-0000-0000040A0000}"/>
    <cellStyle name="Comma 2 3 3 2 3 2 3 3" xfId="2562" xr:uid="{00000000-0005-0000-0000-0000050A0000}"/>
    <cellStyle name="Comma 2 3 3 2 3 2 4" xfId="2563" xr:uid="{00000000-0005-0000-0000-0000060A0000}"/>
    <cellStyle name="Comma 2 3 3 2 3 2 4 2" xfId="2564" xr:uid="{00000000-0005-0000-0000-0000070A0000}"/>
    <cellStyle name="Comma 2 3 3 2 3 2 5" xfId="2565" xr:uid="{00000000-0005-0000-0000-0000080A0000}"/>
    <cellStyle name="Comma 2 3 3 2 3 2 5 2" xfId="2566" xr:uid="{00000000-0005-0000-0000-0000090A0000}"/>
    <cellStyle name="Comma 2 3 3 2 3 2 6" xfId="2567" xr:uid="{00000000-0005-0000-0000-00000A0A0000}"/>
    <cellStyle name="Comma 2 3 3 2 3 3" xfId="2568" xr:uid="{00000000-0005-0000-0000-00000B0A0000}"/>
    <cellStyle name="Comma 2 3 3 2 3 3 2" xfId="2569" xr:uid="{00000000-0005-0000-0000-00000C0A0000}"/>
    <cellStyle name="Comma 2 3 3 2 3 3 2 2" xfId="2570" xr:uid="{00000000-0005-0000-0000-00000D0A0000}"/>
    <cellStyle name="Comma 2 3 3 2 3 3 2 2 2" xfId="2571" xr:uid="{00000000-0005-0000-0000-00000E0A0000}"/>
    <cellStyle name="Comma 2 3 3 2 3 3 2 3" xfId="2572" xr:uid="{00000000-0005-0000-0000-00000F0A0000}"/>
    <cellStyle name="Comma 2 3 3 2 3 3 3" xfId="2573" xr:uid="{00000000-0005-0000-0000-0000100A0000}"/>
    <cellStyle name="Comma 2 3 3 2 3 3 3 2" xfId="2574" xr:uid="{00000000-0005-0000-0000-0000110A0000}"/>
    <cellStyle name="Comma 2 3 3 2 3 3 4" xfId="2575" xr:uid="{00000000-0005-0000-0000-0000120A0000}"/>
    <cellStyle name="Comma 2 3 3 2 3 3 4 2" xfId="2576" xr:uid="{00000000-0005-0000-0000-0000130A0000}"/>
    <cellStyle name="Comma 2 3 3 2 3 3 5" xfId="2577" xr:uid="{00000000-0005-0000-0000-0000140A0000}"/>
    <cellStyle name="Comma 2 3 3 2 3 4" xfId="2578" xr:uid="{00000000-0005-0000-0000-0000150A0000}"/>
    <cellStyle name="Comma 2 3 3 2 3 4 2" xfId="2579" xr:uid="{00000000-0005-0000-0000-0000160A0000}"/>
    <cellStyle name="Comma 2 3 3 2 3 4 2 2" xfId="2580" xr:uid="{00000000-0005-0000-0000-0000170A0000}"/>
    <cellStyle name="Comma 2 3 3 2 3 4 3" xfId="2581" xr:uid="{00000000-0005-0000-0000-0000180A0000}"/>
    <cellStyle name="Comma 2 3 3 2 3 5" xfId="2582" xr:uid="{00000000-0005-0000-0000-0000190A0000}"/>
    <cellStyle name="Comma 2 3 3 2 3 5 2" xfId="2583" xr:uid="{00000000-0005-0000-0000-00001A0A0000}"/>
    <cellStyle name="Comma 2 3 3 2 3 6" xfId="2584" xr:uid="{00000000-0005-0000-0000-00001B0A0000}"/>
    <cellStyle name="Comma 2 3 3 2 3 6 2" xfId="2585" xr:uid="{00000000-0005-0000-0000-00001C0A0000}"/>
    <cellStyle name="Comma 2 3 3 2 3 7" xfId="2586" xr:uid="{00000000-0005-0000-0000-00001D0A0000}"/>
    <cellStyle name="Comma 2 3 3 2 4" xfId="2587" xr:uid="{00000000-0005-0000-0000-00001E0A0000}"/>
    <cellStyle name="Comma 2 3 3 2 4 2" xfId="2588" xr:uid="{00000000-0005-0000-0000-00001F0A0000}"/>
    <cellStyle name="Comma 2 3 3 2 4 2 2" xfId="2589" xr:uid="{00000000-0005-0000-0000-0000200A0000}"/>
    <cellStyle name="Comma 2 3 3 2 4 2 2 2" xfId="2590" xr:uid="{00000000-0005-0000-0000-0000210A0000}"/>
    <cellStyle name="Comma 2 3 3 2 4 2 2 2 2" xfId="2591" xr:uid="{00000000-0005-0000-0000-0000220A0000}"/>
    <cellStyle name="Comma 2 3 3 2 4 2 2 3" xfId="2592" xr:uid="{00000000-0005-0000-0000-0000230A0000}"/>
    <cellStyle name="Comma 2 3 3 2 4 2 3" xfId="2593" xr:uid="{00000000-0005-0000-0000-0000240A0000}"/>
    <cellStyle name="Comma 2 3 3 2 4 2 3 2" xfId="2594" xr:uid="{00000000-0005-0000-0000-0000250A0000}"/>
    <cellStyle name="Comma 2 3 3 2 4 2 4" xfId="2595" xr:uid="{00000000-0005-0000-0000-0000260A0000}"/>
    <cellStyle name="Comma 2 3 3 2 4 2 4 2" xfId="2596" xr:uid="{00000000-0005-0000-0000-0000270A0000}"/>
    <cellStyle name="Comma 2 3 3 2 4 2 5" xfId="2597" xr:uid="{00000000-0005-0000-0000-0000280A0000}"/>
    <cellStyle name="Comma 2 3 3 2 4 3" xfId="2598" xr:uid="{00000000-0005-0000-0000-0000290A0000}"/>
    <cellStyle name="Comma 2 3 3 2 4 3 2" xfId="2599" xr:uid="{00000000-0005-0000-0000-00002A0A0000}"/>
    <cellStyle name="Comma 2 3 3 2 4 3 2 2" xfId="2600" xr:uid="{00000000-0005-0000-0000-00002B0A0000}"/>
    <cellStyle name="Comma 2 3 3 2 4 3 3" xfId="2601" xr:uid="{00000000-0005-0000-0000-00002C0A0000}"/>
    <cellStyle name="Comma 2 3 3 2 4 4" xfId="2602" xr:uid="{00000000-0005-0000-0000-00002D0A0000}"/>
    <cellStyle name="Comma 2 3 3 2 4 4 2" xfId="2603" xr:uid="{00000000-0005-0000-0000-00002E0A0000}"/>
    <cellStyle name="Comma 2 3 3 2 4 5" xfId="2604" xr:uid="{00000000-0005-0000-0000-00002F0A0000}"/>
    <cellStyle name="Comma 2 3 3 2 4 5 2" xfId="2605" xr:uid="{00000000-0005-0000-0000-0000300A0000}"/>
    <cellStyle name="Comma 2 3 3 2 4 6" xfId="2606" xr:uid="{00000000-0005-0000-0000-0000310A0000}"/>
    <cellStyle name="Comma 2 3 3 2 5" xfId="2607" xr:uid="{00000000-0005-0000-0000-0000320A0000}"/>
    <cellStyle name="Comma 2 3 3 2 5 2" xfId="2608" xr:uid="{00000000-0005-0000-0000-0000330A0000}"/>
    <cellStyle name="Comma 2 3 3 2 5 2 2" xfId="2609" xr:uid="{00000000-0005-0000-0000-0000340A0000}"/>
    <cellStyle name="Comma 2 3 3 2 5 2 2 2" xfId="2610" xr:uid="{00000000-0005-0000-0000-0000350A0000}"/>
    <cellStyle name="Comma 2 3 3 2 5 2 3" xfId="2611" xr:uid="{00000000-0005-0000-0000-0000360A0000}"/>
    <cellStyle name="Comma 2 3 3 2 5 3" xfId="2612" xr:uid="{00000000-0005-0000-0000-0000370A0000}"/>
    <cellStyle name="Comma 2 3 3 2 5 3 2" xfId="2613" xr:uid="{00000000-0005-0000-0000-0000380A0000}"/>
    <cellStyle name="Comma 2 3 3 2 5 4" xfId="2614" xr:uid="{00000000-0005-0000-0000-0000390A0000}"/>
    <cellStyle name="Comma 2 3 3 2 5 4 2" xfId="2615" xr:uid="{00000000-0005-0000-0000-00003A0A0000}"/>
    <cellStyle name="Comma 2 3 3 2 5 5" xfId="2616" xr:uid="{00000000-0005-0000-0000-00003B0A0000}"/>
    <cellStyle name="Comma 2 3 3 2 6" xfId="2617" xr:uid="{00000000-0005-0000-0000-00003C0A0000}"/>
    <cellStyle name="Comma 2 3 3 2 6 2" xfId="2618" xr:uid="{00000000-0005-0000-0000-00003D0A0000}"/>
    <cellStyle name="Comma 2 3 3 2 6 2 2" xfId="2619" xr:uid="{00000000-0005-0000-0000-00003E0A0000}"/>
    <cellStyle name="Comma 2 3 3 2 6 3" xfId="2620" xr:uid="{00000000-0005-0000-0000-00003F0A0000}"/>
    <cellStyle name="Comma 2 3 3 2 7" xfId="2621" xr:uid="{00000000-0005-0000-0000-0000400A0000}"/>
    <cellStyle name="Comma 2 3 3 2 7 2" xfId="2622" xr:uid="{00000000-0005-0000-0000-0000410A0000}"/>
    <cellStyle name="Comma 2 3 3 2 8" xfId="2623" xr:uid="{00000000-0005-0000-0000-0000420A0000}"/>
    <cellStyle name="Comma 2 3 3 2 8 2" xfId="2624" xr:uid="{00000000-0005-0000-0000-0000430A0000}"/>
    <cellStyle name="Comma 2 3 3 2 9" xfId="2625" xr:uid="{00000000-0005-0000-0000-0000440A0000}"/>
    <cellStyle name="Comma 2 3 3 3" xfId="2626" xr:uid="{00000000-0005-0000-0000-0000450A0000}"/>
    <cellStyle name="Comma 2 3 3 3 2" xfId="2627" xr:uid="{00000000-0005-0000-0000-0000460A0000}"/>
    <cellStyle name="Comma 2 3 3 3 2 2" xfId="2628" xr:uid="{00000000-0005-0000-0000-0000470A0000}"/>
    <cellStyle name="Comma 2 3 3 3 2 2 2" xfId="2629" xr:uid="{00000000-0005-0000-0000-0000480A0000}"/>
    <cellStyle name="Comma 2 3 3 3 2 2 2 2" xfId="2630" xr:uid="{00000000-0005-0000-0000-0000490A0000}"/>
    <cellStyle name="Comma 2 3 3 3 2 2 2 2 2" xfId="2631" xr:uid="{00000000-0005-0000-0000-00004A0A0000}"/>
    <cellStyle name="Comma 2 3 3 3 2 2 2 2 2 2" xfId="2632" xr:uid="{00000000-0005-0000-0000-00004B0A0000}"/>
    <cellStyle name="Comma 2 3 3 3 2 2 2 2 3" xfId="2633" xr:uid="{00000000-0005-0000-0000-00004C0A0000}"/>
    <cellStyle name="Comma 2 3 3 3 2 2 2 3" xfId="2634" xr:uid="{00000000-0005-0000-0000-00004D0A0000}"/>
    <cellStyle name="Comma 2 3 3 3 2 2 2 3 2" xfId="2635" xr:uid="{00000000-0005-0000-0000-00004E0A0000}"/>
    <cellStyle name="Comma 2 3 3 3 2 2 2 4" xfId="2636" xr:uid="{00000000-0005-0000-0000-00004F0A0000}"/>
    <cellStyle name="Comma 2 3 3 3 2 2 2 4 2" xfId="2637" xr:uid="{00000000-0005-0000-0000-0000500A0000}"/>
    <cellStyle name="Comma 2 3 3 3 2 2 2 5" xfId="2638" xr:uid="{00000000-0005-0000-0000-0000510A0000}"/>
    <cellStyle name="Comma 2 3 3 3 2 2 3" xfId="2639" xr:uid="{00000000-0005-0000-0000-0000520A0000}"/>
    <cellStyle name="Comma 2 3 3 3 2 2 3 2" xfId="2640" xr:uid="{00000000-0005-0000-0000-0000530A0000}"/>
    <cellStyle name="Comma 2 3 3 3 2 2 3 2 2" xfId="2641" xr:uid="{00000000-0005-0000-0000-0000540A0000}"/>
    <cellStyle name="Comma 2 3 3 3 2 2 3 3" xfId="2642" xr:uid="{00000000-0005-0000-0000-0000550A0000}"/>
    <cellStyle name="Comma 2 3 3 3 2 2 4" xfId="2643" xr:uid="{00000000-0005-0000-0000-0000560A0000}"/>
    <cellStyle name="Comma 2 3 3 3 2 2 4 2" xfId="2644" xr:uid="{00000000-0005-0000-0000-0000570A0000}"/>
    <cellStyle name="Comma 2 3 3 3 2 2 5" xfId="2645" xr:uid="{00000000-0005-0000-0000-0000580A0000}"/>
    <cellStyle name="Comma 2 3 3 3 2 2 5 2" xfId="2646" xr:uid="{00000000-0005-0000-0000-0000590A0000}"/>
    <cellStyle name="Comma 2 3 3 3 2 2 6" xfId="2647" xr:uid="{00000000-0005-0000-0000-00005A0A0000}"/>
    <cellStyle name="Comma 2 3 3 3 2 3" xfId="2648" xr:uid="{00000000-0005-0000-0000-00005B0A0000}"/>
    <cellStyle name="Comma 2 3 3 3 2 3 2" xfId="2649" xr:uid="{00000000-0005-0000-0000-00005C0A0000}"/>
    <cellStyle name="Comma 2 3 3 3 2 3 2 2" xfId="2650" xr:uid="{00000000-0005-0000-0000-00005D0A0000}"/>
    <cellStyle name="Comma 2 3 3 3 2 3 2 2 2" xfId="2651" xr:uid="{00000000-0005-0000-0000-00005E0A0000}"/>
    <cellStyle name="Comma 2 3 3 3 2 3 2 3" xfId="2652" xr:uid="{00000000-0005-0000-0000-00005F0A0000}"/>
    <cellStyle name="Comma 2 3 3 3 2 3 3" xfId="2653" xr:uid="{00000000-0005-0000-0000-0000600A0000}"/>
    <cellStyle name="Comma 2 3 3 3 2 3 3 2" xfId="2654" xr:uid="{00000000-0005-0000-0000-0000610A0000}"/>
    <cellStyle name="Comma 2 3 3 3 2 3 4" xfId="2655" xr:uid="{00000000-0005-0000-0000-0000620A0000}"/>
    <cellStyle name="Comma 2 3 3 3 2 3 4 2" xfId="2656" xr:uid="{00000000-0005-0000-0000-0000630A0000}"/>
    <cellStyle name="Comma 2 3 3 3 2 3 5" xfId="2657" xr:uid="{00000000-0005-0000-0000-0000640A0000}"/>
    <cellStyle name="Comma 2 3 3 3 2 4" xfId="2658" xr:uid="{00000000-0005-0000-0000-0000650A0000}"/>
    <cellStyle name="Comma 2 3 3 3 2 4 2" xfId="2659" xr:uid="{00000000-0005-0000-0000-0000660A0000}"/>
    <cellStyle name="Comma 2 3 3 3 2 4 2 2" xfId="2660" xr:uid="{00000000-0005-0000-0000-0000670A0000}"/>
    <cellStyle name="Comma 2 3 3 3 2 4 3" xfId="2661" xr:uid="{00000000-0005-0000-0000-0000680A0000}"/>
    <cellStyle name="Comma 2 3 3 3 2 5" xfId="2662" xr:uid="{00000000-0005-0000-0000-0000690A0000}"/>
    <cellStyle name="Comma 2 3 3 3 2 5 2" xfId="2663" xr:uid="{00000000-0005-0000-0000-00006A0A0000}"/>
    <cellStyle name="Comma 2 3 3 3 2 6" xfId="2664" xr:uid="{00000000-0005-0000-0000-00006B0A0000}"/>
    <cellStyle name="Comma 2 3 3 3 2 6 2" xfId="2665" xr:uid="{00000000-0005-0000-0000-00006C0A0000}"/>
    <cellStyle name="Comma 2 3 3 3 2 7" xfId="2666" xr:uid="{00000000-0005-0000-0000-00006D0A0000}"/>
    <cellStyle name="Comma 2 3 3 3 3" xfId="2667" xr:uid="{00000000-0005-0000-0000-00006E0A0000}"/>
    <cellStyle name="Comma 2 3 3 3 3 2" xfId="2668" xr:uid="{00000000-0005-0000-0000-00006F0A0000}"/>
    <cellStyle name="Comma 2 3 3 3 3 2 2" xfId="2669" xr:uid="{00000000-0005-0000-0000-0000700A0000}"/>
    <cellStyle name="Comma 2 3 3 3 3 2 2 2" xfId="2670" xr:uid="{00000000-0005-0000-0000-0000710A0000}"/>
    <cellStyle name="Comma 2 3 3 3 3 2 2 2 2" xfId="2671" xr:uid="{00000000-0005-0000-0000-0000720A0000}"/>
    <cellStyle name="Comma 2 3 3 3 3 2 2 2 2 2" xfId="2672" xr:uid="{00000000-0005-0000-0000-0000730A0000}"/>
    <cellStyle name="Comma 2 3 3 3 3 2 2 2 3" xfId="2673" xr:uid="{00000000-0005-0000-0000-0000740A0000}"/>
    <cellStyle name="Comma 2 3 3 3 3 2 2 3" xfId="2674" xr:uid="{00000000-0005-0000-0000-0000750A0000}"/>
    <cellStyle name="Comma 2 3 3 3 3 2 2 3 2" xfId="2675" xr:uid="{00000000-0005-0000-0000-0000760A0000}"/>
    <cellStyle name="Comma 2 3 3 3 3 2 2 4" xfId="2676" xr:uid="{00000000-0005-0000-0000-0000770A0000}"/>
    <cellStyle name="Comma 2 3 3 3 3 2 2 4 2" xfId="2677" xr:uid="{00000000-0005-0000-0000-0000780A0000}"/>
    <cellStyle name="Comma 2 3 3 3 3 2 2 5" xfId="2678" xr:uid="{00000000-0005-0000-0000-0000790A0000}"/>
    <cellStyle name="Comma 2 3 3 3 3 2 3" xfId="2679" xr:uid="{00000000-0005-0000-0000-00007A0A0000}"/>
    <cellStyle name="Comma 2 3 3 3 3 2 3 2" xfId="2680" xr:uid="{00000000-0005-0000-0000-00007B0A0000}"/>
    <cellStyle name="Comma 2 3 3 3 3 2 3 2 2" xfId="2681" xr:uid="{00000000-0005-0000-0000-00007C0A0000}"/>
    <cellStyle name="Comma 2 3 3 3 3 2 3 3" xfId="2682" xr:uid="{00000000-0005-0000-0000-00007D0A0000}"/>
    <cellStyle name="Comma 2 3 3 3 3 2 4" xfId="2683" xr:uid="{00000000-0005-0000-0000-00007E0A0000}"/>
    <cellStyle name="Comma 2 3 3 3 3 2 4 2" xfId="2684" xr:uid="{00000000-0005-0000-0000-00007F0A0000}"/>
    <cellStyle name="Comma 2 3 3 3 3 2 5" xfId="2685" xr:uid="{00000000-0005-0000-0000-0000800A0000}"/>
    <cellStyle name="Comma 2 3 3 3 3 2 5 2" xfId="2686" xr:uid="{00000000-0005-0000-0000-0000810A0000}"/>
    <cellStyle name="Comma 2 3 3 3 3 2 6" xfId="2687" xr:uid="{00000000-0005-0000-0000-0000820A0000}"/>
    <cellStyle name="Comma 2 3 3 3 3 3" xfId="2688" xr:uid="{00000000-0005-0000-0000-0000830A0000}"/>
    <cellStyle name="Comma 2 3 3 3 3 3 2" xfId="2689" xr:uid="{00000000-0005-0000-0000-0000840A0000}"/>
    <cellStyle name="Comma 2 3 3 3 3 3 2 2" xfId="2690" xr:uid="{00000000-0005-0000-0000-0000850A0000}"/>
    <cellStyle name="Comma 2 3 3 3 3 3 2 2 2" xfId="2691" xr:uid="{00000000-0005-0000-0000-0000860A0000}"/>
    <cellStyle name="Comma 2 3 3 3 3 3 2 3" xfId="2692" xr:uid="{00000000-0005-0000-0000-0000870A0000}"/>
    <cellStyle name="Comma 2 3 3 3 3 3 3" xfId="2693" xr:uid="{00000000-0005-0000-0000-0000880A0000}"/>
    <cellStyle name="Comma 2 3 3 3 3 3 3 2" xfId="2694" xr:uid="{00000000-0005-0000-0000-0000890A0000}"/>
    <cellStyle name="Comma 2 3 3 3 3 3 4" xfId="2695" xr:uid="{00000000-0005-0000-0000-00008A0A0000}"/>
    <cellStyle name="Comma 2 3 3 3 3 3 4 2" xfId="2696" xr:uid="{00000000-0005-0000-0000-00008B0A0000}"/>
    <cellStyle name="Comma 2 3 3 3 3 3 5" xfId="2697" xr:uid="{00000000-0005-0000-0000-00008C0A0000}"/>
    <cellStyle name="Comma 2 3 3 3 3 4" xfId="2698" xr:uid="{00000000-0005-0000-0000-00008D0A0000}"/>
    <cellStyle name="Comma 2 3 3 3 3 4 2" xfId="2699" xr:uid="{00000000-0005-0000-0000-00008E0A0000}"/>
    <cellStyle name="Comma 2 3 3 3 3 4 2 2" xfId="2700" xr:uid="{00000000-0005-0000-0000-00008F0A0000}"/>
    <cellStyle name="Comma 2 3 3 3 3 4 3" xfId="2701" xr:uid="{00000000-0005-0000-0000-0000900A0000}"/>
    <cellStyle name="Comma 2 3 3 3 3 5" xfId="2702" xr:uid="{00000000-0005-0000-0000-0000910A0000}"/>
    <cellStyle name="Comma 2 3 3 3 3 5 2" xfId="2703" xr:uid="{00000000-0005-0000-0000-0000920A0000}"/>
    <cellStyle name="Comma 2 3 3 3 3 6" xfId="2704" xr:uid="{00000000-0005-0000-0000-0000930A0000}"/>
    <cellStyle name="Comma 2 3 3 3 3 6 2" xfId="2705" xr:uid="{00000000-0005-0000-0000-0000940A0000}"/>
    <cellStyle name="Comma 2 3 3 3 3 7" xfId="2706" xr:uid="{00000000-0005-0000-0000-0000950A0000}"/>
    <cellStyle name="Comma 2 3 3 3 4" xfId="2707" xr:uid="{00000000-0005-0000-0000-0000960A0000}"/>
    <cellStyle name="Comma 2 3 3 3 4 2" xfId="2708" xr:uid="{00000000-0005-0000-0000-0000970A0000}"/>
    <cellStyle name="Comma 2 3 3 3 4 2 2" xfId="2709" xr:uid="{00000000-0005-0000-0000-0000980A0000}"/>
    <cellStyle name="Comma 2 3 3 3 4 2 2 2" xfId="2710" xr:uid="{00000000-0005-0000-0000-0000990A0000}"/>
    <cellStyle name="Comma 2 3 3 3 4 2 2 2 2" xfId="2711" xr:uid="{00000000-0005-0000-0000-00009A0A0000}"/>
    <cellStyle name="Comma 2 3 3 3 4 2 2 3" xfId="2712" xr:uid="{00000000-0005-0000-0000-00009B0A0000}"/>
    <cellStyle name="Comma 2 3 3 3 4 2 3" xfId="2713" xr:uid="{00000000-0005-0000-0000-00009C0A0000}"/>
    <cellStyle name="Comma 2 3 3 3 4 2 3 2" xfId="2714" xr:uid="{00000000-0005-0000-0000-00009D0A0000}"/>
    <cellStyle name="Comma 2 3 3 3 4 2 4" xfId="2715" xr:uid="{00000000-0005-0000-0000-00009E0A0000}"/>
    <cellStyle name="Comma 2 3 3 3 4 2 4 2" xfId="2716" xr:uid="{00000000-0005-0000-0000-00009F0A0000}"/>
    <cellStyle name="Comma 2 3 3 3 4 2 5" xfId="2717" xr:uid="{00000000-0005-0000-0000-0000A00A0000}"/>
    <cellStyle name="Comma 2 3 3 3 4 3" xfId="2718" xr:uid="{00000000-0005-0000-0000-0000A10A0000}"/>
    <cellStyle name="Comma 2 3 3 3 4 3 2" xfId="2719" xr:uid="{00000000-0005-0000-0000-0000A20A0000}"/>
    <cellStyle name="Comma 2 3 3 3 4 3 2 2" xfId="2720" xr:uid="{00000000-0005-0000-0000-0000A30A0000}"/>
    <cellStyle name="Comma 2 3 3 3 4 3 3" xfId="2721" xr:uid="{00000000-0005-0000-0000-0000A40A0000}"/>
    <cellStyle name="Comma 2 3 3 3 4 4" xfId="2722" xr:uid="{00000000-0005-0000-0000-0000A50A0000}"/>
    <cellStyle name="Comma 2 3 3 3 4 4 2" xfId="2723" xr:uid="{00000000-0005-0000-0000-0000A60A0000}"/>
    <cellStyle name="Comma 2 3 3 3 4 5" xfId="2724" xr:uid="{00000000-0005-0000-0000-0000A70A0000}"/>
    <cellStyle name="Comma 2 3 3 3 4 5 2" xfId="2725" xr:uid="{00000000-0005-0000-0000-0000A80A0000}"/>
    <cellStyle name="Comma 2 3 3 3 4 6" xfId="2726" xr:uid="{00000000-0005-0000-0000-0000A90A0000}"/>
    <cellStyle name="Comma 2 3 3 3 5" xfId="2727" xr:uid="{00000000-0005-0000-0000-0000AA0A0000}"/>
    <cellStyle name="Comma 2 3 3 3 5 2" xfId="2728" xr:uid="{00000000-0005-0000-0000-0000AB0A0000}"/>
    <cellStyle name="Comma 2 3 3 3 5 2 2" xfId="2729" xr:uid="{00000000-0005-0000-0000-0000AC0A0000}"/>
    <cellStyle name="Comma 2 3 3 3 5 2 2 2" xfId="2730" xr:uid="{00000000-0005-0000-0000-0000AD0A0000}"/>
    <cellStyle name="Comma 2 3 3 3 5 2 3" xfId="2731" xr:uid="{00000000-0005-0000-0000-0000AE0A0000}"/>
    <cellStyle name="Comma 2 3 3 3 5 3" xfId="2732" xr:uid="{00000000-0005-0000-0000-0000AF0A0000}"/>
    <cellStyle name="Comma 2 3 3 3 5 3 2" xfId="2733" xr:uid="{00000000-0005-0000-0000-0000B00A0000}"/>
    <cellStyle name="Comma 2 3 3 3 5 4" xfId="2734" xr:uid="{00000000-0005-0000-0000-0000B10A0000}"/>
    <cellStyle name="Comma 2 3 3 3 5 4 2" xfId="2735" xr:uid="{00000000-0005-0000-0000-0000B20A0000}"/>
    <cellStyle name="Comma 2 3 3 3 5 5" xfId="2736" xr:uid="{00000000-0005-0000-0000-0000B30A0000}"/>
    <cellStyle name="Comma 2 3 3 3 6" xfId="2737" xr:uid="{00000000-0005-0000-0000-0000B40A0000}"/>
    <cellStyle name="Comma 2 3 3 3 6 2" xfId="2738" xr:uid="{00000000-0005-0000-0000-0000B50A0000}"/>
    <cellStyle name="Comma 2 3 3 3 6 2 2" xfId="2739" xr:uid="{00000000-0005-0000-0000-0000B60A0000}"/>
    <cellStyle name="Comma 2 3 3 3 6 3" xfId="2740" xr:uid="{00000000-0005-0000-0000-0000B70A0000}"/>
    <cellStyle name="Comma 2 3 3 3 7" xfId="2741" xr:uid="{00000000-0005-0000-0000-0000B80A0000}"/>
    <cellStyle name="Comma 2 3 3 3 7 2" xfId="2742" xr:uid="{00000000-0005-0000-0000-0000B90A0000}"/>
    <cellStyle name="Comma 2 3 3 3 8" xfId="2743" xr:uid="{00000000-0005-0000-0000-0000BA0A0000}"/>
    <cellStyle name="Comma 2 3 3 3 8 2" xfId="2744" xr:uid="{00000000-0005-0000-0000-0000BB0A0000}"/>
    <cellStyle name="Comma 2 3 3 3 9" xfId="2745" xr:uid="{00000000-0005-0000-0000-0000BC0A0000}"/>
    <cellStyle name="Comma 2 3 3 4" xfId="2746" xr:uid="{00000000-0005-0000-0000-0000BD0A0000}"/>
    <cellStyle name="Comma 2 3 3 4 2" xfId="2747" xr:uid="{00000000-0005-0000-0000-0000BE0A0000}"/>
    <cellStyle name="Comma 2 3 3 4 2 2" xfId="2748" xr:uid="{00000000-0005-0000-0000-0000BF0A0000}"/>
    <cellStyle name="Comma 2 3 3 4 2 2 2" xfId="2749" xr:uid="{00000000-0005-0000-0000-0000C00A0000}"/>
    <cellStyle name="Comma 2 3 3 4 2 2 2 2" xfId="2750" xr:uid="{00000000-0005-0000-0000-0000C10A0000}"/>
    <cellStyle name="Comma 2 3 3 4 2 2 2 2 2" xfId="2751" xr:uid="{00000000-0005-0000-0000-0000C20A0000}"/>
    <cellStyle name="Comma 2 3 3 4 2 2 2 2 2 2" xfId="2752" xr:uid="{00000000-0005-0000-0000-0000C30A0000}"/>
    <cellStyle name="Comma 2 3 3 4 2 2 2 2 3" xfId="2753" xr:uid="{00000000-0005-0000-0000-0000C40A0000}"/>
    <cellStyle name="Comma 2 3 3 4 2 2 2 3" xfId="2754" xr:uid="{00000000-0005-0000-0000-0000C50A0000}"/>
    <cellStyle name="Comma 2 3 3 4 2 2 2 3 2" xfId="2755" xr:uid="{00000000-0005-0000-0000-0000C60A0000}"/>
    <cellStyle name="Comma 2 3 3 4 2 2 2 4" xfId="2756" xr:uid="{00000000-0005-0000-0000-0000C70A0000}"/>
    <cellStyle name="Comma 2 3 3 4 2 2 2 4 2" xfId="2757" xr:uid="{00000000-0005-0000-0000-0000C80A0000}"/>
    <cellStyle name="Comma 2 3 3 4 2 2 2 5" xfId="2758" xr:uid="{00000000-0005-0000-0000-0000C90A0000}"/>
    <cellStyle name="Comma 2 3 3 4 2 2 3" xfId="2759" xr:uid="{00000000-0005-0000-0000-0000CA0A0000}"/>
    <cellStyle name="Comma 2 3 3 4 2 2 3 2" xfId="2760" xr:uid="{00000000-0005-0000-0000-0000CB0A0000}"/>
    <cellStyle name="Comma 2 3 3 4 2 2 3 2 2" xfId="2761" xr:uid="{00000000-0005-0000-0000-0000CC0A0000}"/>
    <cellStyle name="Comma 2 3 3 4 2 2 3 3" xfId="2762" xr:uid="{00000000-0005-0000-0000-0000CD0A0000}"/>
    <cellStyle name="Comma 2 3 3 4 2 2 4" xfId="2763" xr:uid="{00000000-0005-0000-0000-0000CE0A0000}"/>
    <cellStyle name="Comma 2 3 3 4 2 2 4 2" xfId="2764" xr:uid="{00000000-0005-0000-0000-0000CF0A0000}"/>
    <cellStyle name="Comma 2 3 3 4 2 2 5" xfId="2765" xr:uid="{00000000-0005-0000-0000-0000D00A0000}"/>
    <cellStyle name="Comma 2 3 3 4 2 2 5 2" xfId="2766" xr:uid="{00000000-0005-0000-0000-0000D10A0000}"/>
    <cellStyle name="Comma 2 3 3 4 2 2 6" xfId="2767" xr:uid="{00000000-0005-0000-0000-0000D20A0000}"/>
    <cellStyle name="Comma 2 3 3 4 2 3" xfId="2768" xr:uid="{00000000-0005-0000-0000-0000D30A0000}"/>
    <cellStyle name="Comma 2 3 3 4 2 3 2" xfId="2769" xr:uid="{00000000-0005-0000-0000-0000D40A0000}"/>
    <cellStyle name="Comma 2 3 3 4 2 3 2 2" xfId="2770" xr:uid="{00000000-0005-0000-0000-0000D50A0000}"/>
    <cellStyle name="Comma 2 3 3 4 2 3 2 2 2" xfId="2771" xr:uid="{00000000-0005-0000-0000-0000D60A0000}"/>
    <cellStyle name="Comma 2 3 3 4 2 3 2 3" xfId="2772" xr:uid="{00000000-0005-0000-0000-0000D70A0000}"/>
    <cellStyle name="Comma 2 3 3 4 2 3 3" xfId="2773" xr:uid="{00000000-0005-0000-0000-0000D80A0000}"/>
    <cellStyle name="Comma 2 3 3 4 2 3 3 2" xfId="2774" xr:uid="{00000000-0005-0000-0000-0000D90A0000}"/>
    <cellStyle name="Comma 2 3 3 4 2 3 4" xfId="2775" xr:uid="{00000000-0005-0000-0000-0000DA0A0000}"/>
    <cellStyle name="Comma 2 3 3 4 2 3 4 2" xfId="2776" xr:uid="{00000000-0005-0000-0000-0000DB0A0000}"/>
    <cellStyle name="Comma 2 3 3 4 2 3 5" xfId="2777" xr:uid="{00000000-0005-0000-0000-0000DC0A0000}"/>
    <cellStyle name="Comma 2 3 3 4 2 4" xfId="2778" xr:uid="{00000000-0005-0000-0000-0000DD0A0000}"/>
    <cellStyle name="Comma 2 3 3 4 2 4 2" xfId="2779" xr:uid="{00000000-0005-0000-0000-0000DE0A0000}"/>
    <cellStyle name="Comma 2 3 3 4 2 4 2 2" xfId="2780" xr:uid="{00000000-0005-0000-0000-0000DF0A0000}"/>
    <cellStyle name="Comma 2 3 3 4 2 4 3" xfId="2781" xr:uid="{00000000-0005-0000-0000-0000E00A0000}"/>
    <cellStyle name="Comma 2 3 3 4 2 5" xfId="2782" xr:uid="{00000000-0005-0000-0000-0000E10A0000}"/>
    <cellStyle name="Comma 2 3 3 4 2 5 2" xfId="2783" xr:uid="{00000000-0005-0000-0000-0000E20A0000}"/>
    <cellStyle name="Comma 2 3 3 4 2 6" xfId="2784" xr:uid="{00000000-0005-0000-0000-0000E30A0000}"/>
    <cellStyle name="Comma 2 3 3 4 2 6 2" xfId="2785" xr:uid="{00000000-0005-0000-0000-0000E40A0000}"/>
    <cellStyle name="Comma 2 3 3 4 2 7" xfId="2786" xr:uid="{00000000-0005-0000-0000-0000E50A0000}"/>
    <cellStyle name="Comma 2 3 3 4 3" xfId="2787" xr:uid="{00000000-0005-0000-0000-0000E60A0000}"/>
    <cellStyle name="Comma 2 3 3 4 3 2" xfId="2788" xr:uid="{00000000-0005-0000-0000-0000E70A0000}"/>
    <cellStyle name="Comma 2 3 3 4 3 2 2" xfId="2789" xr:uid="{00000000-0005-0000-0000-0000E80A0000}"/>
    <cellStyle name="Comma 2 3 3 4 3 2 2 2" xfId="2790" xr:uid="{00000000-0005-0000-0000-0000E90A0000}"/>
    <cellStyle name="Comma 2 3 3 4 3 2 2 2 2" xfId="2791" xr:uid="{00000000-0005-0000-0000-0000EA0A0000}"/>
    <cellStyle name="Comma 2 3 3 4 3 2 2 3" xfId="2792" xr:uid="{00000000-0005-0000-0000-0000EB0A0000}"/>
    <cellStyle name="Comma 2 3 3 4 3 2 3" xfId="2793" xr:uid="{00000000-0005-0000-0000-0000EC0A0000}"/>
    <cellStyle name="Comma 2 3 3 4 3 2 3 2" xfId="2794" xr:uid="{00000000-0005-0000-0000-0000ED0A0000}"/>
    <cellStyle name="Comma 2 3 3 4 3 2 4" xfId="2795" xr:uid="{00000000-0005-0000-0000-0000EE0A0000}"/>
    <cellStyle name="Comma 2 3 3 4 3 2 4 2" xfId="2796" xr:uid="{00000000-0005-0000-0000-0000EF0A0000}"/>
    <cellStyle name="Comma 2 3 3 4 3 2 5" xfId="2797" xr:uid="{00000000-0005-0000-0000-0000F00A0000}"/>
    <cellStyle name="Comma 2 3 3 4 3 3" xfId="2798" xr:uid="{00000000-0005-0000-0000-0000F10A0000}"/>
    <cellStyle name="Comma 2 3 3 4 3 3 2" xfId="2799" xr:uid="{00000000-0005-0000-0000-0000F20A0000}"/>
    <cellStyle name="Comma 2 3 3 4 3 3 2 2" xfId="2800" xr:uid="{00000000-0005-0000-0000-0000F30A0000}"/>
    <cellStyle name="Comma 2 3 3 4 3 3 3" xfId="2801" xr:uid="{00000000-0005-0000-0000-0000F40A0000}"/>
    <cellStyle name="Comma 2 3 3 4 3 4" xfId="2802" xr:uid="{00000000-0005-0000-0000-0000F50A0000}"/>
    <cellStyle name="Comma 2 3 3 4 3 4 2" xfId="2803" xr:uid="{00000000-0005-0000-0000-0000F60A0000}"/>
    <cellStyle name="Comma 2 3 3 4 3 5" xfId="2804" xr:uid="{00000000-0005-0000-0000-0000F70A0000}"/>
    <cellStyle name="Comma 2 3 3 4 3 5 2" xfId="2805" xr:uid="{00000000-0005-0000-0000-0000F80A0000}"/>
    <cellStyle name="Comma 2 3 3 4 3 6" xfId="2806" xr:uid="{00000000-0005-0000-0000-0000F90A0000}"/>
    <cellStyle name="Comma 2 3 3 4 4" xfId="2807" xr:uid="{00000000-0005-0000-0000-0000FA0A0000}"/>
    <cellStyle name="Comma 2 3 3 4 4 2" xfId="2808" xr:uid="{00000000-0005-0000-0000-0000FB0A0000}"/>
    <cellStyle name="Comma 2 3 3 4 4 2 2" xfId="2809" xr:uid="{00000000-0005-0000-0000-0000FC0A0000}"/>
    <cellStyle name="Comma 2 3 3 4 4 2 2 2" xfId="2810" xr:uid="{00000000-0005-0000-0000-0000FD0A0000}"/>
    <cellStyle name="Comma 2 3 3 4 4 2 3" xfId="2811" xr:uid="{00000000-0005-0000-0000-0000FE0A0000}"/>
    <cellStyle name="Comma 2 3 3 4 4 3" xfId="2812" xr:uid="{00000000-0005-0000-0000-0000FF0A0000}"/>
    <cellStyle name="Comma 2 3 3 4 4 3 2" xfId="2813" xr:uid="{00000000-0005-0000-0000-0000000B0000}"/>
    <cellStyle name="Comma 2 3 3 4 4 4" xfId="2814" xr:uid="{00000000-0005-0000-0000-0000010B0000}"/>
    <cellStyle name="Comma 2 3 3 4 4 4 2" xfId="2815" xr:uid="{00000000-0005-0000-0000-0000020B0000}"/>
    <cellStyle name="Comma 2 3 3 4 4 5" xfId="2816" xr:uid="{00000000-0005-0000-0000-0000030B0000}"/>
    <cellStyle name="Comma 2 3 3 4 5" xfId="2817" xr:uid="{00000000-0005-0000-0000-0000040B0000}"/>
    <cellStyle name="Comma 2 3 3 4 5 2" xfId="2818" xr:uid="{00000000-0005-0000-0000-0000050B0000}"/>
    <cellStyle name="Comma 2 3 3 4 5 2 2" xfId="2819" xr:uid="{00000000-0005-0000-0000-0000060B0000}"/>
    <cellStyle name="Comma 2 3 3 4 5 3" xfId="2820" xr:uid="{00000000-0005-0000-0000-0000070B0000}"/>
    <cellStyle name="Comma 2 3 3 4 6" xfId="2821" xr:uid="{00000000-0005-0000-0000-0000080B0000}"/>
    <cellStyle name="Comma 2 3 3 4 6 2" xfId="2822" xr:uid="{00000000-0005-0000-0000-0000090B0000}"/>
    <cellStyle name="Comma 2 3 3 4 7" xfId="2823" xr:uid="{00000000-0005-0000-0000-00000A0B0000}"/>
    <cellStyle name="Comma 2 3 3 4 7 2" xfId="2824" xr:uid="{00000000-0005-0000-0000-00000B0B0000}"/>
    <cellStyle name="Comma 2 3 3 4 8" xfId="2825" xr:uid="{00000000-0005-0000-0000-00000C0B0000}"/>
    <cellStyle name="Comma 2 3 3 5" xfId="2826" xr:uid="{00000000-0005-0000-0000-00000D0B0000}"/>
    <cellStyle name="Comma 2 3 3 5 2" xfId="2827" xr:uid="{00000000-0005-0000-0000-00000E0B0000}"/>
    <cellStyle name="Comma 2 3 3 5 2 2" xfId="2828" xr:uid="{00000000-0005-0000-0000-00000F0B0000}"/>
    <cellStyle name="Comma 2 3 3 5 2 2 2" xfId="2829" xr:uid="{00000000-0005-0000-0000-0000100B0000}"/>
    <cellStyle name="Comma 2 3 3 5 2 2 2 2" xfId="2830" xr:uid="{00000000-0005-0000-0000-0000110B0000}"/>
    <cellStyle name="Comma 2 3 3 5 2 2 2 2 2" xfId="2831" xr:uid="{00000000-0005-0000-0000-0000120B0000}"/>
    <cellStyle name="Comma 2 3 3 5 2 2 2 3" xfId="2832" xr:uid="{00000000-0005-0000-0000-0000130B0000}"/>
    <cellStyle name="Comma 2 3 3 5 2 2 3" xfId="2833" xr:uid="{00000000-0005-0000-0000-0000140B0000}"/>
    <cellStyle name="Comma 2 3 3 5 2 2 3 2" xfId="2834" xr:uid="{00000000-0005-0000-0000-0000150B0000}"/>
    <cellStyle name="Comma 2 3 3 5 2 2 4" xfId="2835" xr:uid="{00000000-0005-0000-0000-0000160B0000}"/>
    <cellStyle name="Comma 2 3 3 5 2 2 4 2" xfId="2836" xr:uid="{00000000-0005-0000-0000-0000170B0000}"/>
    <cellStyle name="Comma 2 3 3 5 2 2 5" xfId="2837" xr:uid="{00000000-0005-0000-0000-0000180B0000}"/>
    <cellStyle name="Comma 2 3 3 5 2 3" xfId="2838" xr:uid="{00000000-0005-0000-0000-0000190B0000}"/>
    <cellStyle name="Comma 2 3 3 5 2 3 2" xfId="2839" xr:uid="{00000000-0005-0000-0000-00001A0B0000}"/>
    <cellStyle name="Comma 2 3 3 5 2 3 2 2" xfId="2840" xr:uid="{00000000-0005-0000-0000-00001B0B0000}"/>
    <cellStyle name="Comma 2 3 3 5 2 3 3" xfId="2841" xr:uid="{00000000-0005-0000-0000-00001C0B0000}"/>
    <cellStyle name="Comma 2 3 3 5 2 4" xfId="2842" xr:uid="{00000000-0005-0000-0000-00001D0B0000}"/>
    <cellStyle name="Comma 2 3 3 5 2 4 2" xfId="2843" xr:uid="{00000000-0005-0000-0000-00001E0B0000}"/>
    <cellStyle name="Comma 2 3 3 5 2 5" xfId="2844" xr:uid="{00000000-0005-0000-0000-00001F0B0000}"/>
    <cellStyle name="Comma 2 3 3 5 2 5 2" xfId="2845" xr:uid="{00000000-0005-0000-0000-0000200B0000}"/>
    <cellStyle name="Comma 2 3 3 5 2 6" xfId="2846" xr:uid="{00000000-0005-0000-0000-0000210B0000}"/>
    <cellStyle name="Comma 2 3 3 5 3" xfId="2847" xr:uid="{00000000-0005-0000-0000-0000220B0000}"/>
    <cellStyle name="Comma 2 3 3 5 3 2" xfId="2848" xr:uid="{00000000-0005-0000-0000-0000230B0000}"/>
    <cellStyle name="Comma 2 3 3 5 3 2 2" xfId="2849" xr:uid="{00000000-0005-0000-0000-0000240B0000}"/>
    <cellStyle name="Comma 2 3 3 5 3 2 2 2" xfId="2850" xr:uid="{00000000-0005-0000-0000-0000250B0000}"/>
    <cellStyle name="Comma 2 3 3 5 3 2 3" xfId="2851" xr:uid="{00000000-0005-0000-0000-0000260B0000}"/>
    <cellStyle name="Comma 2 3 3 5 3 3" xfId="2852" xr:uid="{00000000-0005-0000-0000-0000270B0000}"/>
    <cellStyle name="Comma 2 3 3 5 3 3 2" xfId="2853" xr:uid="{00000000-0005-0000-0000-0000280B0000}"/>
    <cellStyle name="Comma 2 3 3 5 3 4" xfId="2854" xr:uid="{00000000-0005-0000-0000-0000290B0000}"/>
    <cellStyle name="Comma 2 3 3 5 3 4 2" xfId="2855" xr:uid="{00000000-0005-0000-0000-00002A0B0000}"/>
    <cellStyle name="Comma 2 3 3 5 3 5" xfId="2856" xr:uid="{00000000-0005-0000-0000-00002B0B0000}"/>
    <cellStyle name="Comma 2 3 3 5 4" xfId="2857" xr:uid="{00000000-0005-0000-0000-00002C0B0000}"/>
    <cellStyle name="Comma 2 3 3 5 4 2" xfId="2858" xr:uid="{00000000-0005-0000-0000-00002D0B0000}"/>
    <cellStyle name="Comma 2 3 3 5 4 2 2" xfId="2859" xr:uid="{00000000-0005-0000-0000-00002E0B0000}"/>
    <cellStyle name="Comma 2 3 3 5 4 3" xfId="2860" xr:uid="{00000000-0005-0000-0000-00002F0B0000}"/>
    <cellStyle name="Comma 2 3 3 5 5" xfId="2861" xr:uid="{00000000-0005-0000-0000-0000300B0000}"/>
    <cellStyle name="Comma 2 3 3 5 5 2" xfId="2862" xr:uid="{00000000-0005-0000-0000-0000310B0000}"/>
    <cellStyle name="Comma 2 3 3 5 6" xfId="2863" xr:uid="{00000000-0005-0000-0000-0000320B0000}"/>
    <cellStyle name="Comma 2 3 3 5 6 2" xfId="2864" xr:uid="{00000000-0005-0000-0000-0000330B0000}"/>
    <cellStyle name="Comma 2 3 3 5 7" xfId="2865" xr:uid="{00000000-0005-0000-0000-0000340B0000}"/>
    <cellStyle name="Comma 2 3 3 6" xfId="2866" xr:uid="{00000000-0005-0000-0000-0000350B0000}"/>
    <cellStyle name="Comma 2 3 3 6 2" xfId="2867" xr:uid="{00000000-0005-0000-0000-0000360B0000}"/>
    <cellStyle name="Comma 2 3 3 6 2 2" xfId="2868" xr:uid="{00000000-0005-0000-0000-0000370B0000}"/>
    <cellStyle name="Comma 2 3 3 6 2 2 2" xfId="2869" xr:uid="{00000000-0005-0000-0000-0000380B0000}"/>
    <cellStyle name="Comma 2 3 3 6 2 2 2 2" xfId="2870" xr:uid="{00000000-0005-0000-0000-0000390B0000}"/>
    <cellStyle name="Comma 2 3 3 6 2 2 2 2 2" xfId="2871" xr:uid="{00000000-0005-0000-0000-00003A0B0000}"/>
    <cellStyle name="Comma 2 3 3 6 2 2 2 3" xfId="2872" xr:uid="{00000000-0005-0000-0000-00003B0B0000}"/>
    <cellStyle name="Comma 2 3 3 6 2 2 3" xfId="2873" xr:uid="{00000000-0005-0000-0000-00003C0B0000}"/>
    <cellStyle name="Comma 2 3 3 6 2 2 3 2" xfId="2874" xr:uid="{00000000-0005-0000-0000-00003D0B0000}"/>
    <cellStyle name="Comma 2 3 3 6 2 2 4" xfId="2875" xr:uid="{00000000-0005-0000-0000-00003E0B0000}"/>
    <cellStyle name="Comma 2 3 3 6 2 2 4 2" xfId="2876" xr:uid="{00000000-0005-0000-0000-00003F0B0000}"/>
    <cellStyle name="Comma 2 3 3 6 2 2 5" xfId="2877" xr:uid="{00000000-0005-0000-0000-0000400B0000}"/>
    <cellStyle name="Comma 2 3 3 6 2 3" xfId="2878" xr:uid="{00000000-0005-0000-0000-0000410B0000}"/>
    <cellStyle name="Comma 2 3 3 6 2 3 2" xfId="2879" xr:uid="{00000000-0005-0000-0000-0000420B0000}"/>
    <cellStyle name="Comma 2 3 3 6 2 3 2 2" xfId="2880" xr:uid="{00000000-0005-0000-0000-0000430B0000}"/>
    <cellStyle name="Comma 2 3 3 6 2 3 3" xfId="2881" xr:uid="{00000000-0005-0000-0000-0000440B0000}"/>
    <cellStyle name="Comma 2 3 3 6 2 4" xfId="2882" xr:uid="{00000000-0005-0000-0000-0000450B0000}"/>
    <cellStyle name="Comma 2 3 3 6 2 4 2" xfId="2883" xr:uid="{00000000-0005-0000-0000-0000460B0000}"/>
    <cellStyle name="Comma 2 3 3 6 2 5" xfId="2884" xr:uid="{00000000-0005-0000-0000-0000470B0000}"/>
    <cellStyle name="Comma 2 3 3 6 2 5 2" xfId="2885" xr:uid="{00000000-0005-0000-0000-0000480B0000}"/>
    <cellStyle name="Comma 2 3 3 6 2 6" xfId="2886" xr:uid="{00000000-0005-0000-0000-0000490B0000}"/>
    <cellStyle name="Comma 2 3 3 6 3" xfId="2887" xr:uid="{00000000-0005-0000-0000-00004A0B0000}"/>
    <cellStyle name="Comma 2 3 3 6 3 2" xfId="2888" xr:uid="{00000000-0005-0000-0000-00004B0B0000}"/>
    <cellStyle name="Comma 2 3 3 6 3 2 2" xfId="2889" xr:uid="{00000000-0005-0000-0000-00004C0B0000}"/>
    <cellStyle name="Comma 2 3 3 6 3 2 2 2" xfId="2890" xr:uid="{00000000-0005-0000-0000-00004D0B0000}"/>
    <cellStyle name="Comma 2 3 3 6 3 2 3" xfId="2891" xr:uid="{00000000-0005-0000-0000-00004E0B0000}"/>
    <cellStyle name="Comma 2 3 3 6 3 3" xfId="2892" xr:uid="{00000000-0005-0000-0000-00004F0B0000}"/>
    <cellStyle name="Comma 2 3 3 6 3 3 2" xfId="2893" xr:uid="{00000000-0005-0000-0000-0000500B0000}"/>
    <cellStyle name="Comma 2 3 3 6 3 4" xfId="2894" xr:uid="{00000000-0005-0000-0000-0000510B0000}"/>
    <cellStyle name="Comma 2 3 3 6 3 4 2" xfId="2895" xr:uid="{00000000-0005-0000-0000-0000520B0000}"/>
    <cellStyle name="Comma 2 3 3 6 3 5" xfId="2896" xr:uid="{00000000-0005-0000-0000-0000530B0000}"/>
    <cellStyle name="Comma 2 3 3 6 4" xfId="2897" xr:uid="{00000000-0005-0000-0000-0000540B0000}"/>
    <cellStyle name="Comma 2 3 3 6 4 2" xfId="2898" xr:uid="{00000000-0005-0000-0000-0000550B0000}"/>
    <cellStyle name="Comma 2 3 3 6 4 2 2" xfId="2899" xr:uid="{00000000-0005-0000-0000-0000560B0000}"/>
    <cellStyle name="Comma 2 3 3 6 4 3" xfId="2900" xr:uid="{00000000-0005-0000-0000-0000570B0000}"/>
    <cellStyle name="Comma 2 3 3 6 5" xfId="2901" xr:uid="{00000000-0005-0000-0000-0000580B0000}"/>
    <cellStyle name="Comma 2 3 3 6 5 2" xfId="2902" xr:uid="{00000000-0005-0000-0000-0000590B0000}"/>
    <cellStyle name="Comma 2 3 3 6 6" xfId="2903" xr:uid="{00000000-0005-0000-0000-00005A0B0000}"/>
    <cellStyle name="Comma 2 3 3 6 6 2" xfId="2904" xr:uid="{00000000-0005-0000-0000-00005B0B0000}"/>
    <cellStyle name="Comma 2 3 3 6 7" xfId="2905" xr:uid="{00000000-0005-0000-0000-00005C0B0000}"/>
    <cellStyle name="Comma 2 3 3 7" xfId="2906" xr:uid="{00000000-0005-0000-0000-00005D0B0000}"/>
    <cellStyle name="Comma 2 3 3 7 2" xfId="2907" xr:uid="{00000000-0005-0000-0000-00005E0B0000}"/>
    <cellStyle name="Comma 2 3 3 7 2 2" xfId="2908" xr:uid="{00000000-0005-0000-0000-00005F0B0000}"/>
    <cellStyle name="Comma 2 3 3 7 2 2 2" xfId="2909" xr:uid="{00000000-0005-0000-0000-0000600B0000}"/>
    <cellStyle name="Comma 2 3 3 7 2 2 2 2" xfId="2910" xr:uid="{00000000-0005-0000-0000-0000610B0000}"/>
    <cellStyle name="Comma 2 3 3 7 2 2 3" xfId="2911" xr:uid="{00000000-0005-0000-0000-0000620B0000}"/>
    <cellStyle name="Comma 2 3 3 7 2 3" xfId="2912" xr:uid="{00000000-0005-0000-0000-0000630B0000}"/>
    <cellStyle name="Comma 2 3 3 7 2 3 2" xfId="2913" xr:uid="{00000000-0005-0000-0000-0000640B0000}"/>
    <cellStyle name="Comma 2 3 3 7 2 4" xfId="2914" xr:uid="{00000000-0005-0000-0000-0000650B0000}"/>
    <cellStyle name="Comma 2 3 3 7 2 4 2" xfId="2915" xr:uid="{00000000-0005-0000-0000-0000660B0000}"/>
    <cellStyle name="Comma 2 3 3 7 2 5" xfId="2916" xr:uid="{00000000-0005-0000-0000-0000670B0000}"/>
    <cellStyle name="Comma 2 3 3 7 3" xfId="2917" xr:uid="{00000000-0005-0000-0000-0000680B0000}"/>
    <cellStyle name="Comma 2 3 3 7 3 2" xfId="2918" xr:uid="{00000000-0005-0000-0000-0000690B0000}"/>
    <cellStyle name="Comma 2 3 3 7 3 2 2" xfId="2919" xr:uid="{00000000-0005-0000-0000-00006A0B0000}"/>
    <cellStyle name="Comma 2 3 3 7 3 3" xfId="2920" xr:uid="{00000000-0005-0000-0000-00006B0B0000}"/>
    <cellStyle name="Comma 2 3 3 7 4" xfId="2921" xr:uid="{00000000-0005-0000-0000-00006C0B0000}"/>
    <cellStyle name="Comma 2 3 3 7 4 2" xfId="2922" xr:uid="{00000000-0005-0000-0000-00006D0B0000}"/>
    <cellStyle name="Comma 2 3 3 7 5" xfId="2923" xr:uid="{00000000-0005-0000-0000-00006E0B0000}"/>
    <cellStyle name="Comma 2 3 3 7 5 2" xfId="2924" xr:uid="{00000000-0005-0000-0000-00006F0B0000}"/>
    <cellStyle name="Comma 2 3 3 7 6" xfId="2925" xr:uid="{00000000-0005-0000-0000-0000700B0000}"/>
    <cellStyle name="Comma 2 3 3 8" xfId="2926" xr:uid="{00000000-0005-0000-0000-0000710B0000}"/>
    <cellStyle name="Comma 2 3 3 8 2" xfId="2927" xr:uid="{00000000-0005-0000-0000-0000720B0000}"/>
    <cellStyle name="Comma 2 3 3 8 2 2" xfId="2928" xr:uid="{00000000-0005-0000-0000-0000730B0000}"/>
    <cellStyle name="Comma 2 3 3 8 2 2 2" xfId="2929" xr:uid="{00000000-0005-0000-0000-0000740B0000}"/>
    <cellStyle name="Comma 2 3 3 8 2 3" xfId="2930" xr:uid="{00000000-0005-0000-0000-0000750B0000}"/>
    <cellStyle name="Comma 2 3 3 8 3" xfId="2931" xr:uid="{00000000-0005-0000-0000-0000760B0000}"/>
    <cellStyle name="Comma 2 3 3 8 3 2" xfId="2932" xr:uid="{00000000-0005-0000-0000-0000770B0000}"/>
    <cellStyle name="Comma 2 3 3 8 4" xfId="2933" xr:uid="{00000000-0005-0000-0000-0000780B0000}"/>
    <cellStyle name="Comma 2 3 3 8 4 2" xfId="2934" xr:uid="{00000000-0005-0000-0000-0000790B0000}"/>
    <cellStyle name="Comma 2 3 3 8 5" xfId="2935" xr:uid="{00000000-0005-0000-0000-00007A0B0000}"/>
    <cellStyle name="Comma 2 3 3 9" xfId="2936" xr:uid="{00000000-0005-0000-0000-00007B0B0000}"/>
    <cellStyle name="Comma 2 3 3 9 2" xfId="2937" xr:uid="{00000000-0005-0000-0000-00007C0B0000}"/>
    <cellStyle name="Comma 2 3 3 9 2 2" xfId="2938" xr:uid="{00000000-0005-0000-0000-00007D0B0000}"/>
    <cellStyle name="Comma 2 3 3 9 3" xfId="2939" xr:uid="{00000000-0005-0000-0000-00007E0B0000}"/>
    <cellStyle name="Comma 2 3 4" xfId="2940" xr:uid="{00000000-0005-0000-0000-00007F0B0000}"/>
    <cellStyle name="Comma 2 3 4 10" xfId="2941" xr:uid="{00000000-0005-0000-0000-0000800B0000}"/>
    <cellStyle name="Comma 2 3 4 10 2" xfId="2942" xr:uid="{00000000-0005-0000-0000-0000810B0000}"/>
    <cellStyle name="Comma 2 3 4 11" xfId="2943" xr:uid="{00000000-0005-0000-0000-0000820B0000}"/>
    <cellStyle name="Comma 2 3 4 2" xfId="2944" xr:uid="{00000000-0005-0000-0000-0000830B0000}"/>
    <cellStyle name="Comma 2 3 4 2 2" xfId="2945" xr:uid="{00000000-0005-0000-0000-0000840B0000}"/>
    <cellStyle name="Comma 2 3 4 2 2 2" xfId="2946" xr:uid="{00000000-0005-0000-0000-0000850B0000}"/>
    <cellStyle name="Comma 2 3 4 2 2 2 2" xfId="2947" xr:uid="{00000000-0005-0000-0000-0000860B0000}"/>
    <cellStyle name="Comma 2 3 4 2 2 2 2 2" xfId="2948" xr:uid="{00000000-0005-0000-0000-0000870B0000}"/>
    <cellStyle name="Comma 2 3 4 2 2 2 2 2 2" xfId="2949" xr:uid="{00000000-0005-0000-0000-0000880B0000}"/>
    <cellStyle name="Comma 2 3 4 2 2 2 2 2 2 2" xfId="2950" xr:uid="{00000000-0005-0000-0000-0000890B0000}"/>
    <cellStyle name="Comma 2 3 4 2 2 2 2 2 3" xfId="2951" xr:uid="{00000000-0005-0000-0000-00008A0B0000}"/>
    <cellStyle name="Comma 2 3 4 2 2 2 2 3" xfId="2952" xr:uid="{00000000-0005-0000-0000-00008B0B0000}"/>
    <cellStyle name="Comma 2 3 4 2 2 2 2 3 2" xfId="2953" xr:uid="{00000000-0005-0000-0000-00008C0B0000}"/>
    <cellStyle name="Comma 2 3 4 2 2 2 2 4" xfId="2954" xr:uid="{00000000-0005-0000-0000-00008D0B0000}"/>
    <cellStyle name="Comma 2 3 4 2 2 2 2 4 2" xfId="2955" xr:uid="{00000000-0005-0000-0000-00008E0B0000}"/>
    <cellStyle name="Comma 2 3 4 2 2 2 2 5" xfId="2956" xr:uid="{00000000-0005-0000-0000-00008F0B0000}"/>
    <cellStyle name="Comma 2 3 4 2 2 2 3" xfId="2957" xr:uid="{00000000-0005-0000-0000-0000900B0000}"/>
    <cellStyle name="Comma 2 3 4 2 2 2 3 2" xfId="2958" xr:uid="{00000000-0005-0000-0000-0000910B0000}"/>
    <cellStyle name="Comma 2 3 4 2 2 2 3 2 2" xfId="2959" xr:uid="{00000000-0005-0000-0000-0000920B0000}"/>
    <cellStyle name="Comma 2 3 4 2 2 2 3 3" xfId="2960" xr:uid="{00000000-0005-0000-0000-0000930B0000}"/>
    <cellStyle name="Comma 2 3 4 2 2 2 4" xfId="2961" xr:uid="{00000000-0005-0000-0000-0000940B0000}"/>
    <cellStyle name="Comma 2 3 4 2 2 2 4 2" xfId="2962" xr:uid="{00000000-0005-0000-0000-0000950B0000}"/>
    <cellStyle name="Comma 2 3 4 2 2 2 5" xfId="2963" xr:uid="{00000000-0005-0000-0000-0000960B0000}"/>
    <cellStyle name="Comma 2 3 4 2 2 2 5 2" xfId="2964" xr:uid="{00000000-0005-0000-0000-0000970B0000}"/>
    <cellStyle name="Comma 2 3 4 2 2 2 6" xfId="2965" xr:uid="{00000000-0005-0000-0000-0000980B0000}"/>
    <cellStyle name="Comma 2 3 4 2 2 3" xfId="2966" xr:uid="{00000000-0005-0000-0000-0000990B0000}"/>
    <cellStyle name="Comma 2 3 4 2 2 3 2" xfId="2967" xr:uid="{00000000-0005-0000-0000-00009A0B0000}"/>
    <cellStyle name="Comma 2 3 4 2 2 3 2 2" xfId="2968" xr:uid="{00000000-0005-0000-0000-00009B0B0000}"/>
    <cellStyle name="Comma 2 3 4 2 2 3 2 2 2" xfId="2969" xr:uid="{00000000-0005-0000-0000-00009C0B0000}"/>
    <cellStyle name="Comma 2 3 4 2 2 3 2 3" xfId="2970" xr:uid="{00000000-0005-0000-0000-00009D0B0000}"/>
    <cellStyle name="Comma 2 3 4 2 2 3 3" xfId="2971" xr:uid="{00000000-0005-0000-0000-00009E0B0000}"/>
    <cellStyle name="Comma 2 3 4 2 2 3 3 2" xfId="2972" xr:uid="{00000000-0005-0000-0000-00009F0B0000}"/>
    <cellStyle name="Comma 2 3 4 2 2 3 4" xfId="2973" xr:uid="{00000000-0005-0000-0000-0000A00B0000}"/>
    <cellStyle name="Comma 2 3 4 2 2 3 4 2" xfId="2974" xr:uid="{00000000-0005-0000-0000-0000A10B0000}"/>
    <cellStyle name="Comma 2 3 4 2 2 3 5" xfId="2975" xr:uid="{00000000-0005-0000-0000-0000A20B0000}"/>
    <cellStyle name="Comma 2 3 4 2 2 4" xfId="2976" xr:uid="{00000000-0005-0000-0000-0000A30B0000}"/>
    <cellStyle name="Comma 2 3 4 2 2 4 2" xfId="2977" xr:uid="{00000000-0005-0000-0000-0000A40B0000}"/>
    <cellStyle name="Comma 2 3 4 2 2 4 2 2" xfId="2978" xr:uid="{00000000-0005-0000-0000-0000A50B0000}"/>
    <cellStyle name="Comma 2 3 4 2 2 4 3" xfId="2979" xr:uid="{00000000-0005-0000-0000-0000A60B0000}"/>
    <cellStyle name="Comma 2 3 4 2 2 5" xfId="2980" xr:uid="{00000000-0005-0000-0000-0000A70B0000}"/>
    <cellStyle name="Comma 2 3 4 2 2 5 2" xfId="2981" xr:uid="{00000000-0005-0000-0000-0000A80B0000}"/>
    <cellStyle name="Comma 2 3 4 2 2 6" xfId="2982" xr:uid="{00000000-0005-0000-0000-0000A90B0000}"/>
    <cellStyle name="Comma 2 3 4 2 2 6 2" xfId="2983" xr:uid="{00000000-0005-0000-0000-0000AA0B0000}"/>
    <cellStyle name="Comma 2 3 4 2 2 7" xfId="2984" xr:uid="{00000000-0005-0000-0000-0000AB0B0000}"/>
    <cellStyle name="Comma 2 3 4 2 3" xfId="2985" xr:uid="{00000000-0005-0000-0000-0000AC0B0000}"/>
    <cellStyle name="Comma 2 3 4 2 3 2" xfId="2986" xr:uid="{00000000-0005-0000-0000-0000AD0B0000}"/>
    <cellStyle name="Comma 2 3 4 2 3 2 2" xfId="2987" xr:uid="{00000000-0005-0000-0000-0000AE0B0000}"/>
    <cellStyle name="Comma 2 3 4 2 3 2 2 2" xfId="2988" xr:uid="{00000000-0005-0000-0000-0000AF0B0000}"/>
    <cellStyle name="Comma 2 3 4 2 3 2 2 2 2" xfId="2989" xr:uid="{00000000-0005-0000-0000-0000B00B0000}"/>
    <cellStyle name="Comma 2 3 4 2 3 2 2 2 2 2" xfId="2990" xr:uid="{00000000-0005-0000-0000-0000B10B0000}"/>
    <cellStyle name="Comma 2 3 4 2 3 2 2 2 3" xfId="2991" xr:uid="{00000000-0005-0000-0000-0000B20B0000}"/>
    <cellStyle name="Comma 2 3 4 2 3 2 2 3" xfId="2992" xr:uid="{00000000-0005-0000-0000-0000B30B0000}"/>
    <cellStyle name="Comma 2 3 4 2 3 2 2 3 2" xfId="2993" xr:uid="{00000000-0005-0000-0000-0000B40B0000}"/>
    <cellStyle name="Comma 2 3 4 2 3 2 2 4" xfId="2994" xr:uid="{00000000-0005-0000-0000-0000B50B0000}"/>
    <cellStyle name="Comma 2 3 4 2 3 2 2 4 2" xfId="2995" xr:uid="{00000000-0005-0000-0000-0000B60B0000}"/>
    <cellStyle name="Comma 2 3 4 2 3 2 2 5" xfId="2996" xr:uid="{00000000-0005-0000-0000-0000B70B0000}"/>
    <cellStyle name="Comma 2 3 4 2 3 2 3" xfId="2997" xr:uid="{00000000-0005-0000-0000-0000B80B0000}"/>
    <cellStyle name="Comma 2 3 4 2 3 2 3 2" xfId="2998" xr:uid="{00000000-0005-0000-0000-0000B90B0000}"/>
    <cellStyle name="Comma 2 3 4 2 3 2 3 2 2" xfId="2999" xr:uid="{00000000-0005-0000-0000-0000BA0B0000}"/>
    <cellStyle name="Comma 2 3 4 2 3 2 3 3" xfId="3000" xr:uid="{00000000-0005-0000-0000-0000BB0B0000}"/>
    <cellStyle name="Comma 2 3 4 2 3 2 4" xfId="3001" xr:uid="{00000000-0005-0000-0000-0000BC0B0000}"/>
    <cellStyle name="Comma 2 3 4 2 3 2 4 2" xfId="3002" xr:uid="{00000000-0005-0000-0000-0000BD0B0000}"/>
    <cellStyle name="Comma 2 3 4 2 3 2 5" xfId="3003" xr:uid="{00000000-0005-0000-0000-0000BE0B0000}"/>
    <cellStyle name="Comma 2 3 4 2 3 2 5 2" xfId="3004" xr:uid="{00000000-0005-0000-0000-0000BF0B0000}"/>
    <cellStyle name="Comma 2 3 4 2 3 2 6" xfId="3005" xr:uid="{00000000-0005-0000-0000-0000C00B0000}"/>
    <cellStyle name="Comma 2 3 4 2 3 3" xfId="3006" xr:uid="{00000000-0005-0000-0000-0000C10B0000}"/>
    <cellStyle name="Comma 2 3 4 2 3 3 2" xfId="3007" xr:uid="{00000000-0005-0000-0000-0000C20B0000}"/>
    <cellStyle name="Comma 2 3 4 2 3 3 2 2" xfId="3008" xr:uid="{00000000-0005-0000-0000-0000C30B0000}"/>
    <cellStyle name="Comma 2 3 4 2 3 3 2 2 2" xfId="3009" xr:uid="{00000000-0005-0000-0000-0000C40B0000}"/>
    <cellStyle name="Comma 2 3 4 2 3 3 2 3" xfId="3010" xr:uid="{00000000-0005-0000-0000-0000C50B0000}"/>
    <cellStyle name="Comma 2 3 4 2 3 3 3" xfId="3011" xr:uid="{00000000-0005-0000-0000-0000C60B0000}"/>
    <cellStyle name="Comma 2 3 4 2 3 3 3 2" xfId="3012" xr:uid="{00000000-0005-0000-0000-0000C70B0000}"/>
    <cellStyle name="Comma 2 3 4 2 3 3 4" xfId="3013" xr:uid="{00000000-0005-0000-0000-0000C80B0000}"/>
    <cellStyle name="Comma 2 3 4 2 3 3 4 2" xfId="3014" xr:uid="{00000000-0005-0000-0000-0000C90B0000}"/>
    <cellStyle name="Comma 2 3 4 2 3 3 5" xfId="3015" xr:uid="{00000000-0005-0000-0000-0000CA0B0000}"/>
    <cellStyle name="Comma 2 3 4 2 3 4" xfId="3016" xr:uid="{00000000-0005-0000-0000-0000CB0B0000}"/>
    <cellStyle name="Comma 2 3 4 2 3 4 2" xfId="3017" xr:uid="{00000000-0005-0000-0000-0000CC0B0000}"/>
    <cellStyle name="Comma 2 3 4 2 3 4 2 2" xfId="3018" xr:uid="{00000000-0005-0000-0000-0000CD0B0000}"/>
    <cellStyle name="Comma 2 3 4 2 3 4 3" xfId="3019" xr:uid="{00000000-0005-0000-0000-0000CE0B0000}"/>
    <cellStyle name="Comma 2 3 4 2 3 5" xfId="3020" xr:uid="{00000000-0005-0000-0000-0000CF0B0000}"/>
    <cellStyle name="Comma 2 3 4 2 3 5 2" xfId="3021" xr:uid="{00000000-0005-0000-0000-0000D00B0000}"/>
    <cellStyle name="Comma 2 3 4 2 3 6" xfId="3022" xr:uid="{00000000-0005-0000-0000-0000D10B0000}"/>
    <cellStyle name="Comma 2 3 4 2 3 6 2" xfId="3023" xr:uid="{00000000-0005-0000-0000-0000D20B0000}"/>
    <cellStyle name="Comma 2 3 4 2 3 7" xfId="3024" xr:uid="{00000000-0005-0000-0000-0000D30B0000}"/>
    <cellStyle name="Comma 2 3 4 2 4" xfId="3025" xr:uid="{00000000-0005-0000-0000-0000D40B0000}"/>
    <cellStyle name="Comma 2 3 4 2 4 2" xfId="3026" xr:uid="{00000000-0005-0000-0000-0000D50B0000}"/>
    <cellStyle name="Comma 2 3 4 2 4 2 2" xfId="3027" xr:uid="{00000000-0005-0000-0000-0000D60B0000}"/>
    <cellStyle name="Comma 2 3 4 2 4 2 2 2" xfId="3028" xr:uid="{00000000-0005-0000-0000-0000D70B0000}"/>
    <cellStyle name="Comma 2 3 4 2 4 2 2 2 2" xfId="3029" xr:uid="{00000000-0005-0000-0000-0000D80B0000}"/>
    <cellStyle name="Comma 2 3 4 2 4 2 2 3" xfId="3030" xr:uid="{00000000-0005-0000-0000-0000D90B0000}"/>
    <cellStyle name="Comma 2 3 4 2 4 2 3" xfId="3031" xr:uid="{00000000-0005-0000-0000-0000DA0B0000}"/>
    <cellStyle name="Comma 2 3 4 2 4 2 3 2" xfId="3032" xr:uid="{00000000-0005-0000-0000-0000DB0B0000}"/>
    <cellStyle name="Comma 2 3 4 2 4 2 4" xfId="3033" xr:uid="{00000000-0005-0000-0000-0000DC0B0000}"/>
    <cellStyle name="Comma 2 3 4 2 4 2 4 2" xfId="3034" xr:uid="{00000000-0005-0000-0000-0000DD0B0000}"/>
    <cellStyle name="Comma 2 3 4 2 4 2 5" xfId="3035" xr:uid="{00000000-0005-0000-0000-0000DE0B0000}"/>
    <cellStyle name="Comma 2 3 4 2 4 3" xfId="3036" xr:uid="{00000000-0005-0000-0000-0000DF0B0000}"/>
    <cellStyle name="Comma 2 3 4 2 4 3 2" xfId="3037" xr:uid="{00000000-0005-0000-0000-0000E00B0000}"/>
    <cellStyle name="Comma 2 3 4 2 4 3 2 2" xfId="3038" xr:uid="{00000000-0005-0000-0000-0000E10B0000}"/>
    <cellStyle name="Comma 2 3 4 2 4 3 3" xfId="3039" xr:uid="{00000000-0005-0000-0000-0000E20B0000}"/>
    <cellStyle name="Comma 2 3 4 2 4 4" xfId="3040" xr:uid="{00000000-0005-0000-0000-0000E30B0000}"/>
    <cellStyle name="Comma 2 3 4 2 4 4 2" xfId="3041" xr:uid="{00000000-0005-0000-0000-0000E40B0000}"/>
    <cellStyle name="Comma 2 3 4 2 4 5" xfId="3042" xr:uid="{00000000-0005-0000-0000-0000E50B0000}"/>
    <cellStyle name="Comma 2 3 4 2 4 5 2" xfId="3043" xr:uid="{00000000-0005-0000-0000-0000E60B0000}"/>
    <cellStyle name="Comma 2 3 4 2 4 6" xfId="3044" xr:uid="{00000000-0005-0000-0000-0000E70B0000}"/>
    <cellStyle name="Comma 2 3 4 2 5" xfId="3045" xr:uid="{00000000-0005-0000-0000-0000E80B0000}"/>
    <cellStyle name="Comma 2 3 4 2 5 2" xfId="3046" xr:uid="{00000000-0005-0000-0000-0000E90B0000}"/>
    <cellStyle name="Comma 2 3 4 2 5 2 2" xfId="3047" xr:uid="{00000000-0005-0000-0000-0000EA0B0000}"/>
    <cellStyle name="Comma 2 3 4 2 5 2 2 2" xfId="3048" xr:uid="{00000000-0005-0000-0000-0000EB0B0000}"/>
    <cellStyle name="Comma 2 3 4 2 5 2 3" xfId="3049" xr:uid="{00000000-0005-0000-0000-0000EC0B0000}"/>
    <cellStyle name="Comma 2 3 4 2 5 3" xfId="3050" xr:uid="{00000000-0005-0000-0000-0000ED0B0000}"/>
    <cellStyle name="Comma 2 3 4 2 5 3 2" xfId="3051" xr:uid="{00000000-0005-0000-0000-0000EE0B0000}"/>
    <cellStyle name="Comma 2 3 4 2 5 4" xfId="3052" xr:uid="{00000000-0005-0000-0000-0000EF0B0000}"/>
    <cellStyle name="Comma 2 3 4 2 5 4 2" xfId="3053" xr:uid="{00000000-0005-0000-0000-0000F00B0000}"/>
    <cellStyle name="Comma 2 3 4 2 5 5" xfId="3054" xr:uid="{00000000-0005-0000-0000-0000F10B0000}"/>
    <cellStyle name="Comma 2 3 4 2 6" xfId="3055" xr:uid="{00000000-0005-0000-0000-0000F20B0000}"/>
    <cellStyle name="Comma 2 3 4 2 6 2" xfId="3056" xr:uid="{00000000-0005-0000-0000-0000F30B0000}"/>
    <cellStyle name="Comma 2 3 4 2 6 2 2" xfId="3057" xr:uid="{00000000-0005-0000-0000-0000F40B0000}"/>
    <cellStyle name="Comma 2 3 4 2 6 3" xfId="3058" xr:uid="{00000000-0005-0000-0000-0000F50B0000}"/>
    <cellStyle name="Comma 2 3 4 2 7" xfId="3059" xr:uid="{00000000-0005-0000-0000-0000F60B0000}"/>
    <cellStyle name="Comma 2 3 4 2 7 2" xfId="3060" xr:uid="{00000000-0005-0000-0000-0000F70B0000}"/>
    <cellStyle name="Comma 2 3 4 2 8" xfId="3061" xr:uid="{00000000-0005-0000-0000-0000F80B0000}"/>
    <cellStyle name="Comma 2 3 4 2 8 2" xfId="3062" xr:uid="{00000000-0005-0000-0000-0000F90B0000}"/>
    <cellStyle name="Comma 2 3 4 2 9" xfId="3063" xr:uid="{00000000-0005-0000-0000-0000FA0B0000}"/>
    <cellStyle name="Comma 2 3 4 3" xfId="3064" xr:uid="{00000000-0005-0000-0000-0000FB0B0000}"/>
    <cellStyle name="Comma 2 3 4 3 2" xfId="3065" xr:uid="{00000000-0005-0000-0000-0000FC0B0000}"/>
    <cellStyle name="Comma 2 3 4 3 2 2" xfId="3066" xr:uid="{00000000-0005-0000-0000-0000FD0B0000}"/>
    <cellStyle name="Comma 2 3 4 3 2 2 2" xfId="3067" xr:uid="{00000000-0005-0000-0000-0000FE0B0000}"/>
    <cellStyle name="Comma 2 3 4 3 2 2 2 2" xfId="3068" xr:uid="{00000000-0005-0000-0000-0000FF0B0000}"/>
    <cellStyle name="Comma 2 3 4 3 2 2 2 2 2" xfId="3069" xr:uid="{00000000-0005-0000-0000-0000000C0000}"/>
    <cellStyle name="Comma 2 3 4 3 2 2 2 2 2 2" xfId="3070" xr:uid="{00000000-0005-0000-0000-0000010C0000}"/>
    <cellStyle name="Comma 2 3 4 3 2 2 2 2 3" xfId="3071" xr:uid="{00000000-0005-0000-0000-0000020C0000}"/>
    <cellStyle name="Comma 2 3 4 3 2 2 2 3" xfId="3072" xr:uid="{00000000-0005-0000-0000-0000030C0000}"/>
    <cellStyle name="Comma 2 3 4 3 2 2 2 3 2" xfId="3073" xr:uid="{00000000-0005-0000-0000-0000040C0000}"/>
    <cellStyle name="Comma 2 3 4 3 2 2 2 4" xfId="3074" xr:uid="{00000000-0005-0000-0000-0000050C0000}"/>
    <cellStyle name="Comma 2 3 4 3 2 2 2 4 2" xfId="3075" xr:uid="{00000000-0005-0000-0000-0000060C0000}"/>
    <cellStyle name="Comma 2 3 4 3 2 2 2 5" xfId="3076" xr:uid="{00000000-0005-0000-0000-0000070C0000}"/>
    <cellStyle name="Comma 2 3 4 3 2 2 3" xfId="3077" xr:uid="{00000000-0005-0000-0000-0000080C0000}"/>
    <cellStyle name="Comma 2 3 4 3 2 2 3 2" xfId="3078" xr:uid="{00000000-0005-0000-0000-0000090C0000}"/>
    <cellStyle name="Comma 2 3 4 3 2 2 3 2 2" xfId="3079" xr:uid="{00000000-0005-0000-0000-00000A0C0000}"/>
    <cellStyle name="Comma 2 3 4 3 2 2 3 3" xfId="3080" xr:uid="{00000000-0005-0000-0000-00000B0C0000}"/>
    <cellStyle name="Comma 2 3 4 3 2 2 4" xfId="3081" xr:uid="{00000000-0005-0000-0000-00000C0C0000}"/>
    <cellStyle name="Comma 2 3 4 3 2 2 4 2" xfId="3082" xr:uid="{00000000-0005-0000-0000-00000D0C0000}"/>
    <cellStyle name="Comma 2 3 4 3 2 2 5" xfId="3083" xr:uid="{00000000-0005-0000-0000-00000E0C0000}"/>
    <cellStyle name="Comma 2 3 4 3 2 2 5 2" xfId="3084" xr:uid="{00000000-0005-0000-0000-00000F0C0000}"/>
    <cellStyle name="Comma 2 3 4 3 2 2 6" xfId="3085" xr:uid="{00000000-0005-0000-0000-0000100C0000}"/>
    <cellStyle name="Comma 2 3 4 3 2 3" xfId="3086" xr:uid="{00000000-0005-0000-0000-0000110C0000}"/>
    <cellStyle name="Comma 2 3 4 3 2 3 2" xfId="3087" xr:uid="{00000000-0005-0000-0000-0000120C0000}"/>
    <cellStyle name="Comma 2 3 4 3 2 3 2 2" xfId="3088" xr:uid="{00000000-0005-0000-0000-0000130C0000}"/>
    <cellStyle name="Comma 2 3 4 3 2 3 2 2 2" xfId="3089" xr:uid="{00000000-0005-0000-0000-0000140C0000}"/>
    <cellStyle name="Comma 2 3 4 3 2 3 2 3" xfId="3090" xr:uid="{00000000-0005-0000-0000-0000150C0000}"/>
    <cellStyle name="Comma 2 3 4 3 2 3 3" xfId="3091" xr:uid="{00000000-0005-0000-0000-0000160C0000}"/>
    <cellStyle name="Comma 2 3 4 3 2 3 3 2" xfId="3092" xr:uid="{00000000-0005-0000-0000-0000170C0000}"/>
    <cellStyle name="Comma 2 3 4 3 2 3 4" xfId="3093" xr:uid="{00000000-0005-0000-0000-0000180C0000}"/>
    <cellStyle name="Comma 2 3 4 3 2 3 4 2" xfId="3094" xr:uid="{00000000-0005-0000-0000-0000190C0000}"/>
    <cellStyle name="Comma 2 3 4 3 2 3 5" xfId="3095" xr:uid="{00000000-0005-0000-0000-00001A0C0000}"/>
    <cellStyle name="Comma 2 3 4 3 2 4" xfId="3096" xr:uid="{00000000-0005-0000-0000-00001B0C0000}"/>
    <cellStyle name="Comma 2 3 4 3 2 4 2" xfId="3097" xr:uid="{00000000-0005-0000-0000-00001C0C0000}"/>
    <cellStyle name="Comma 2 3 4 3 2 4 2 2" xfId="3098" xr:uid="{00000000-0005-0000-0000-00001D0C0000}"/>
    <cellStyle name="Comma 2 3 4 3 2 4 3" xfId="3099" xr:uid="{00000000-0005-0000-0000-00001E0C0000}"/>
    <cellStyle name="Comma 2 3 4 3 2 5" xfId="3100" xr:uid="{00000000-0005-0000-0000-00001F0C0000}"/>
    <cellStyle name="Comma 2 3 4 3 2 5 2" xfId="3101" xr:uid="{00000000-0005-0000-0000-0000200C0000}"/>
    <cellStyle name="Comma 2 3 4 3 2 6" xfId="3102" xr:uid="{00000000-0005-0000-0000-0000210C0000}"/>
    <cellStyle name="Comma 2 3 4 3 2 6 2" xfId="3103" xr:uid="{00000000-0005-0000-0000-0000220C0000}"/>
    <cellStyle name="Comma 2 3 4 3 2 7" xfId="3104" xr:uid="{00000000-0005-0000-0000-0000230C0000}"/>
    <cellStyle name="Comma 2 3 4 3 3" xfId="3105" xr:uid="{00000000-0005-0000-0000-0000240C0000}"/>
    <cellStyle name="Comma 2 3 4 3 3 2" xfId="3106" xr:uid="{00000000-0005-0000-0000-0000250C0000}"/>
    <cellStyle name="Comma 2 3 4 3 3 2 2" xfId="3107" xr:uid="{00000000-0005-0000-0000-0000260C0000}"/>
    <cellStyle name="Comma 2 3 4 3 3 2 2 2" xfId="3108" xr:uid="{00000000-0005-0000-0000-0000270C0000}"/>
    <cellStyle name="Comma 2 3 4 3 3 2 2 2 2" xfId="3109" xr:uid="{00000000-0005-0000-0000-0000280C0000}"/>
    <cellStyle name="Comma 2 3 4 3 3 2 2 3" xfId="3110" xr:uid="{00000000-0005-0000-0000-0000290C0000}"/>
    <cellStyle name="Comma 2 3 4 3 3 2 3" xfId="3111" xr:uid="{00000000-0005-0000-0000-00002A0C0000}"/>
    <cellStyle name="Comma 2 3 4 3 3 2 3 2" xfId="3112" xr:uid="{00000000-0005-0000-0000-00002B0C0000}"/>
    <cellStyle name="Comma 2 3 4 3 3 2 4" xfId="3113" xr:uid="{00000000-0005-0000-0000-00002C0C0000}"/>
    <cellStyle name="Comma 2 3 4 3 3 2 4 2" xfId="3114" xr:uid="{00000000-0005-0000-0000-00002D0C0000}"/>
    <cellStyle name="Comma 2 3 4 3 3 2 5" xfId="3115" xr:uid="{00000000-0005-0000-0000-00002E0C0000}"/>
    <cellStyle name="Comma 2 3 4 3 3 3" xfId="3116" xr:uid="{00000000-0005-0000-0000-00002F0C0000}"/>
    <cellStyle name="Comma 2 3 4 3 3 3 2" xfId="3117" xr:uid="{00000000-0005-0000-0000-0000300C0000}"/>
    <cellStyle name="Comma 2 3 4 3 3 3 2 2" xfId="3118" xr:uid="{00000000-0005-0000-0000-0000310C0000}"/>
    <cellStyle name="Comma 2 3 4 3 3 3 3" xfId="3119" xr:uid="{00000000-0005-0000-0000-0000320C0000}"/>
    <cellStyle name="Comma 2 3 4 3 3 4" xfId="3120" xr:uid="{00000000-0005-0000-0000-0000330C0000}"/>
    <cellStyle name="Comma 2 3 4 3 3 4 2" xfId="3121" xr:uid="{00000000-0005-0000-0000-0000340C0000}"/>
    <cellStyle name="Comma 2 3 4 3 3 5" xfId="3122" xr:uid="{00000000-0005-0000-0000-0000350C0000}"/>
    <cellStyle name="Comma 2 3 4 3 3 5 2" xfId="3123" xr:uid="{00000000-0005-0000-0000-0000360C0000}"/>
    <cellStyle name="Comma 2 3 4 3 3 6" xfId="3124" xr:uid="{00000000-0005-0000-0000-0000370C0000}"/>
    <cellStyle name="Comma 2 3 4 3 4" xfId="3125" xr:uid="{00000000-0005-0000-0000-0000380C0000}"/>
    <cellStyle name="Comma 2 3 4 3 4 2" xfId="3126" xr:uid="{00000000-0005-0000-0000-0000390C0000}"/>
    <cellStyle name="Comma 2 3 4 3 4 2 2" xfId="3127" xr:uid="{00000000-0005-0000-0000-00003A0C0000}"/>
    <cellStyle name="Comma 2 3 4 3 4 2 2 2" xfId="3128" xr:uid="{00000000-0005-0000-0000-00003B0C0000}"/>
    <cellStyle name="Comma 2 3 4 3 4 2 3" xfId="3129" xr:uid="{00000000-0005-0000-0000-00003C0C0000}"/>
    <cellStyle name="Comma 2 3 4 3 4 3" xfId="3130" xr:uid="{00000000-0005-0000-0000-00003D0C0000}"/>
    <cellStyle name="Comma 2 3 4 3 4 3 2" xfId="3131" xr:uid="{00000000-0005-0000-0000-00003E0C0000}"/>
    <cellStyle name="Comma 2 3 4 3 4 4" xfId="3132" xr:uid="{00000000-0005-0000-0000-00003F0C0000}"/>
    <cellStyle name="Comma 2 3 4 3 4 4 2" xfId="3133" xr:uid="{00000000-0005-0000-0000-0000400C0000}"/>
    <cellStyle name="Comma 2 3 4 3 4 5" xfId="3134" xr:uid="{00000000-0005-0000-0000-0000410C0000}"/>
    <cellStyle name="Comma 2 3 4 3 5" xfId="3135" xr:uid="{00000000-0005-0000-0000-0000420C0000}"/>
    <cellStyle name="Comma 2 3 4 3 5 2" xfId="3136" xr:uid="{00000000-0005-0000-0000-0000430C0000}"/>
    <cellStyle name="Comma 2 3 4 3 5 2 2" xfId="3137" xr:uid="{00000000-0005-0000-0000-0000440C0000}"/>
    <cellStyle name="Comma 2 3 4 3 5 3" xfId="3138" xr:uid="{00000000-0005-0000-0000-0000450C0000}"/>
    <cellStyle name="Comma 2 3 4 3 6" xfId="3139" xr:uid="{00000000-0005-0000-0000-0000460C0000}"/>
    <cellStyle name="Comma 2 3 4 3 6 2" xfId="3140" xr:uid="{00000000-0005-0000-0000-0000470C0000}"/>
    <cellStyle name="Comma 2 3 4 3 7" xfId="3141" xr:uid="{00000000-0005-0000-0000-0000480C0000}"/>
    <cellStyle name="Comma 2 3 4 3 7 2" xfId="3142" xr:uid="{00000000-0005-0000-0000-0000490C0000}"/>
    <cellStyle name="Comma 2 3 4 3 8" xfId="3143" xr:uid="{00000000-0005-0000-0000-00004A0C0000}"/>
    <cellStyle name="Comma 2 3 4 4" xfId="3144" xr:uid="{00000000-0005-0000-0000-00004B0C0000}"/>
    <cellStyle name="Comma 2 3 4 4 2" xfId="3145" xr:uid="{00000000-0005-0000-0000-00004C0C0000}"/>
    <cellStyle name="Comma 2 3 4 4 2 2" xfId="3146" xr:uid="{00000000-0005-0000-0000-00004D0C0000}"/>
    <cellStyle name="Comma 2 3 4 4 2 2 2" xfId="3147" xr:uid="{00000000-0005-0000-0000-00004E0C0000}"/>
    <cellStyle name="Comma 2 3 4 4 2 2 2 2" xfId="3148" xr:uid="{00000000-0005-0000-0000-00004F0C0000}"/>
    <cellStyle name="Comma 2 3 4 4 2 2 2 2 2" xfId="3149" xr:uid="{00000000-0005-0000-0000-0000500C0000}"/>
    <cellStyle name="Comma 2 3 4 4 2 2 2 3" xfId="3150" xr:uid="{00000000-0005-0000-0000-0000510C0000}"/>
    <cellStyle name="Comma 2 3 4 4 2 2 3" xfId="3151" xr:uid="{00000000-0005-0000-0000-0000520C0000}"/>
    <cellStyle name="Comma 2 3 4 4 2 2 3 2" xfId="3152" xr:uid="{00000000-0005-0000-0000-0000530C0000}"/>
    <cellStyle name="Comma 2 3 4 4 2 2 4" xfId="3153" xr:uid="{00000000-0005-0000-0000-0000540C0000}"/>
    <cellStyle name="Comma 2 3 4 4 2 2 4 2" xfId="3154" xr:uid="{00000000-0005-0000-0000-0000550C0000}"/>
    <cellStyle name="Comma 2 3 4 4 2 2 5" xfId="3155" xr:uid="{00000000-0005-0000-0000-0000560C0000}"/>
    <cellStyle name="Comma 2 3 4 4 2 3" xfId="3156" xr:uid="{00000000-0005-0000-0000-0000570C0000}"/>
    <cellStyle name="Comma 2 3 4 4 2 3 2" xfId="3157" xr:uid="{00000000-0005-0000-0000-0000580C0000}"/>
    <cellStyle name="Comma 2 3 4 4 2 3 2 2" xfId="3158" xr:uid="{00000000-0005-0000-0000-0000590C0000}"/>
    <cellStyle name="Comma 2 3 4 4 2 3 3" xfId="3159" xr:uid="{00000000-0005-0000-0000-00005A0C0000}"/>
    <cellStyle name="Comma 2 3 4 4 2 4" xfId="3160" xr:uid="{00000000-0005-0000-0000-00005B0C0000}"/>
    <cellStyle name="Comma 2 3 4 4 2 4 2" xfId="3161" xr:uid="{00000000-0005-0000-0000-00005C0C0000}"/>
    <cellStyle name="Comma 2 3 4 4 2 5" xfId="3162" xr:uid="{00000000-0005-0000-0000-00005D0C0000}"/>
    <cellStyle name="Comma 2 3 4 4 2 5 2" xfId="3163" xr:uid="{00000000-0005-0000-0000-00005E0C0000}"/>
    <cellStyle name="Comma 2 3 4 4 2 6" xfId="3164" xr:uid="{00000000-0005-0000-0000-00005F0C0000}"/>
    <cellStyle name="Comma 2 3 4 4 3" xfId="3165" xr:uid="{00000000-0005-0000-0000-0000600C0000}"/>
    <cellStyle name="Comma 2 3 4 4 3 2" xfId="3166" xr:uid="{00000000-0005-0000-0000-0000610C0000}"/>
    <cellStyle name="Comma 2 3 4 4 3 2 2" xfId="3167" xr:uid="{00000000-0005-0000-0000-0000620C0000}"/>
    <cellStyle name="Comma 2 3 4 4 3 2 2 2" xfId="3168" xr:uid="{00000000-0005-0000-0000-0000630C0000}"/>
    <cellStyle name="Comma 2 3 4 4 3 2 3" xfId="3169" xr:uid="{00000000-0005-0000-0000-0000640C0000}"/>
    <cellStyle name="Comma 2 3 4 4 3 3" xfId="3170" xr:uid="{00000000-0005-0000-0000-0000650C0000}"/>
    <cellStyle name="Comma 2 3 4 4 3 3 2" xfId="3171" xr:uid="{00000000-0005-0000-0000-0000660C0000}"/>
    <cellStyle name="Comma 2 3 4 4 3 4" xfId="3172" xr:uid="{00000000-0005-0000-0000-0000670C0000}"/>
    <cellStyle name="Comma 2 3 4 4 3 4 2" xfId="3173" xr:uid="{00000000-0005-0000-0000-0000680C0000}"/>
    <cellStyle name="Comma 2 3 4 4 3 5" xfId="3174" xr:uid="{00000000-0005-0000-0000-0000690C0000}"/>
    <cellStyle name="Comma 2 3 4 4 4" xfId="3175" xr:uid="{00000000-0005-0000-0000-00006A0C0000}"/>
    <cellStyle name="Comma 2 3 4 4 4 2" xfId="3176" xr:uid="{00000000-0005-0000-0000-00006B0C0000}"/>
    <cellStyle name="Comma 2 3 4 4 4 2 2" xfId="3177" xr:uid="{00000000-0005-0000-0000-00006C0C0000}"/>
    <cellStyle name="Comma 2 3 4 4 4 3" xfId="3178" xr:uid="{00000000-0005-0000-0000-00006D0C0000}"/>
    <cellStyle name="Comma 2 3 4 4 5" xfId="3179" xr:uid="{00000000-0005-0000-0000-00006E0C0000}"/>
    <cellStyle name="Comma 2 3 4 4 5 2" xfId="3180" xr:uid="{00000000-0005-0000-0000-00006F0C0000}"/>
    <cellStyle name="Comma 2 3 4 4 6" xfId="3181" xr:uid="{00000000-0005-0000-0000-0000700C0000}"/>
    <cellStyle name="Comma 2 3 4 4 6 2" xfId="3182" xr:uid="{00000000-0005-0000-0000-0000710C0000}"/>
    <cellStyle name="Comma 2 3 4 4 7" xfId="3183" xr:uid="{00000000-0005-0000-0000-0000720C0000}"/>
    <cellStyle name="Comma 2 3 4 5" xfId="3184" xr:uid="{00000000-0005-0000-0000-0000730C0000}"/>
    <cellStyle name="Comma 2 3 4 5 2" xfId="3185" xr:uid="{00000000-0005-0000-0000-0000740C0000}"/>
    <cellStyle name="Comma 2 3 4 5 2 2" xfId="3186" xr:uid="{00000000-0005-0000-0000-0000750C0000}"/>
    <cellStyle name="Comma 2 3 4 5 2 2 2" xfId="3187" xr:uid="{00000000-0005-0000-0000-0000760C0000}"/>
    <cellStyle name="Comma 2 3 4 5 2 2 2 2" xfId="3188" xr:uid="{00000000-0005-0000-0000-0000770C0000}"/>
    <cellStyle name="Comma 2 3 4 5 2 2 2 2 2" xfId="3189" xr:uid="{00000000-0005-0000-0000-0000780C0000}"/>
    <cellStyle name="Comma 2 3 4 5 2 2 2 3" xfId="3190" xr:uid="{00000000-0005-0000-0000-0000790C0000}"/>
    <cellStyle name="Comma 2 3 4 5 2 2 3" xfId="3191" xr:uid="{00000000-0005-0000-0000-00007A0C0000}"/>
    <cellStyle name="Comma 2 3 4 5 2 2 3 2" xfId="3192" xr:uid="{00000000-0005-0000-0000-00007B0C0000}"/>
    <cellStyle name="Comma 2 3 4 5 2 2 4" xfId="3193" xr:uid="{00000000-0005-0000-0000-00007C0C0000}"/>
    <cellStyle name="Comma 2 3 4 5 2 2 4 2" xfId="3194" xr:uid="{00000000-0005-0000-0000-00007D0C0000}"/>
    <cellStyle name="Comma 2 3 4 5 2 2 5" xfId="3195" xr:uid="{00000000-0005-0000-0000-00007E0C0000}"/>
    <cellStyle name="Comma 2 3 4 5 2 3" xfId="3196" xr:uid="{00000000-0005-0000-0000-00007F0C0000}"/>
    <cellStyle name="Comma 2 3 4 5 2 3 2" xfId="3197" xr:uid="{00000000-0005-0000-0000-0000800C0000}"/>
    <cellStyle name="Comma 2 3 4 5 2 3 2 2" xfId="3198" xr:uid="{00000000-0005-0000-0000-0000810C0000}"/>
    <cellStyle name="Comma 2 3 4 5 2 3 3" xfId="3199" xr:uid="{00000000-0005-0000-0000-0000820C0000}"/>
    <cellStyle name="Comma 2 3 4 5 2 4" xfId="3200" xr:uid="{00000000-0005-0000-0000-0000830C0000}"/>
    <cellStyle name="Comma 2 3 4 5 2 4 2" xfId="3201" xr:uid="{00000000-0005-0000-0000-0000840C0000}"/>
    <cellStyle name="Comma 2 3 4 5 2 5" xfId="3202" xr:uid="{00000000-0005-0000-0000-0000850C0000}"/>
    <cellStyle name="Comma 2 3 4 5 2 5 2" xfId="3203" xr:uid="{00000000-0005-0000-0000-0000860C0000}"/>
    <cellStyle name="Comma 2 3 4 5 2 6" xfId="3204" xr:uid="{00000000-0005-0000-0000-0000870C0000}"/>
    <cellStyle name="Comma 2 3 4 5 3" xfId="3205" xr:uid="{00000000-0005-0000-0000-0000880C0000}"/>
    <cellStyle name="Comma 2 3 4 5 3 2" xfId="3206" xr:uid="{00000000-0005-0000-0000-0000890C0000}"/>
    <cellStyle name="Comma 2 3 4 5 3 2 2" xfId="3207" xr:uid="{00000000-0005-0000-0000-00008A0C0000}"/>
    <cellStyle name="Comma 2 3 4 5 3 2 2 2" xfId="3208" xr:uid="{00000000-0005-0000-0000-00008B0C0000}"/>
    <cellStyle name="Comma 2 3 4 5 3 2 3" xfId="3209" xr:uid="{00000000-0005-0000-0000-00008C0C0000}"/>
    <cellStyle name="Comma 2 3 4 5 3 3" xfId="3210" xr:uid="{00000000-0005-0000-0000-00008D0C0000}"/>
    <cellStyle name="Comma 2 3 4 5 3 3 2" xfId="3211" xr:uid="{00000000-0005-0000-0000-00008E0C0000}"/>
    <cellStyle name="Comma 2 3 4 5 3 4" xfId="3212" xr:uid="{00000000-0005-0000-0000-00008F0C0000}"/>
    <cellStyle name="Comma 2 3 4 5 3 4 2" xfId="3213" xr:uid="{00000000-0005-0000-0000-0000900C0000}"/>
    <cellStyle name="Comma 2 3 4 5 3 5" xfId="3214" xr:uid="{00000000-0005-0000-0000-0000910C0000}"/>
    <cellStyle name="Comma 2 3 4 5 4" xfId="3215" xr:uid="{00000000-0005-0000-0000-0000920C0000}"/>
    <cellStyle name="Comma 2 3 4 5 4 2" xfId="3216" xr:uid="{00000000-0005-0000-0000-0000930C0000}"/>
    <cellStyle name="Comma 2 3 4 5 4 2 2" xfId="3217" xr:uid="{00000000-0005-0000-0000-0000940C0000}"/>
    <cellStyle name="Comma 2 3 4 5 4 3" xfId="3218" xr:uid="{00000000-0005-0000-0000-0000950C0000}"/>
    <cellStyle name="Comma 2 3 4 5 5" xfId="3219" xr:uid="{00000000-0005-0000-0000-0000960C0000}"/>
    <cellStyle name="Comma 2 3 4 5 5 2" xfId="3220" xr:uid="{00000000-0005-0000-0000-0000970C0000}"/>
    <cellStyle name="Comma 2 3 4 5 6" xfId="3221" xr:uid="{00000000-0005-0000-0000-0000980C0000}"/>
    <cellStyle name="Comma 2 3 4 5 6 2" xfId="3222" xr:uid="{00000000-0005-0000-0000-0000990C0000}"/>
    <cellStyle name="Comma 2 3 4 5 7" xfId="3223" xr:uid="{00000000-0005-0000-0000-00009A0C0000}"/>
    <cellStyle name="Comma 2 3 4 6" xfId="3224" xr:uid="{00000000-0005-0000-0000-00009B0C0000}"/>
    <cellStyle name="Comma 2 3 4 6 2" xfId="3225" xr:uid="{00000000-0005-0000-0000-00009C0C0000}"/>
    <cellStyle name="Comma 2 3 4 6 2 2" xfId="3226" xr:uid="{00000000-0005-0000-0000-00009D0C0000}"/>
    <cellStyle name="Comma 2 3 4 6 2 2 2" xfId="3227" xr:uid="{00000000-0005-0000-0000-00009E0C0000}"/>
    <cellStyle name="Comma 2 3 4 6 2 2 2 2" xfId="3228" xr:uid="{00000000-0005-0000-0000-00009F0C0000}"/>
    <cellStyle name="Comma 2 3 4 6 2 2 3" xfId="3229" xr:uid="{00000000-0005-0000-0000-0000A00C0000}"/>
    <cellStyle name="Comma 2 3 4 6 2 3" xfId="3230" xr:uid="{00000000-0005-0000-0000-0000A10C0000}"/>
    <cellStyle name="Comma 2 3 4 6 2 3 2" xfId="3231" xr:uid="{00000000-0005-0000-0000-0000A20C0000}"/>
    <cellStyle name="Comma 2 3 4 6 2 4" xfId="3232" xr:uid="{00000000-0005-0000-0000-0000A30C0000}"/>
    <cellStyle name="Comma 2 3 4 6 2 4 2" xfId="3233" xr:uid="{00000000-0005-0000-0000-0000A40C0000}"/>
    <cellStyle name="Comma 2 3 4 6 2 5" xfId="3234" xr:uid="{00000000-0005-0000-0000-0000A50C0000}"/>
    <cellStyle name="Comma 2 3 4 6 3" xfId="3235" xr:uid="{00000000-0005-0000-0000-0000A60C0000}"/>
    <cellStyle name="Comma 2 3 4 6 3 2" xfId="3236" xr:uid="{00000000-0005-0000-0000-0000A70C0000}"/>
    <cellStyle name="Comma 2 3 4 6 3 2 2" xfId="3237" xr:uid="{00000000-0005-0000-0000-0000A80C0000}"/>
    <cellStyle name="Comma 2 3 4 6 3 3" xfId="3238" xr:uid="{00000000-0005-0000-0000-0000A90C0000}"/>
    <cellStyle name="Comma 2 3 4 6 4" xfId="3239" xr:uid="{00000000-0005-0000-0000-0000AA0C0000}"/>
    <cellStyle name="Comma 2 3 4 6 4 2" xfId="3240" xr:uid="{00000000-0005-0000-0000-0000AB0C0000}"/>
    <cellStyle name="Comma 2 3 4 6 5" xfId="3241" xr:uid="{00000000-0005-0000-0000-0000AC0C0000}"/>
    <cellStyle name="Comma 2 3 4 6 5 2" xfId="3242" xr:uid="{00000000-0005-0000-0000-0000AD0C0000}"/>
    <cellStyle name="Comma 2 3 4 6 6" xfId="3243" xr:uid="{00000000-0005-0000-0000-0000AE0C0000}"/>
    <cellStyle name="Comma 2 3 4 7" xfId="3244" xr:uid="{00000000-0005-0000-0000-0000AF0C0000}"/>
    <cellStyle name="Comma 2 3 4 7 2" xfId="3245" xr:uid="{00000000-0005-0000-0000-0000B00C0000}"/>
    <cellStyle name="Comma 2 3 4 7 2 2" xfId="3246" xr:uid="{00000000-0005-0000-0000-0000B10C0000}"/>
    <cellStyle name="Comma 2 3 4 7 2 2 2" xfId="3247" xr:uid="{00000000-0005-0000-0000-0000B20C0000}"/>
    <cellStyle name="Comma 2 3 4 7 2 3" xfId="3248" xr:uid="{00000000-0005-0000-0000-0000B30C0000}"/>
    <cellStyle name="Comma 2 3 4 7 3" xfId="3249" xr:uid="{00000000-0005-0000-0000-0000B40C0000}"/>
    <cellStyle name="Comma 2 3 4 7 3 2" xfId="3250" xr:uid="{00000000-0005-0000-0000-0000B50C0000}"/>
    <cellStyle name="Comma 2 3 4 7 4" xfId="3251" xr:uid="{00000000-0005-0000-0000-0000B60C0000}"/>
    <cellStyle name="Comma 2 3 4 7 4 2" xfId="3252" xr:uid="{00000000-0005-0000-0000-0000B70C0000}"/>
    <cellStyle name="Comma 2 3 4 7 5" xfId="3253" xr:uid="{00000000-0005-0000-0000-0000B80C0000}"/>
    <cellStyle name="Comma 2 3 4 8" xfId="3254" xr:uid="{00000000-0005-0000-0000-0000B90C0000}"/>
    <cellStyle name="Comma 2 3 4 8 2" xfId="3255" xr:uid="{00000000-0005-0000-0000-0000BA0C0000}"/>
    <cellStyle name="Comma 2 3 4 8 2 2" xfId="3256" xr:uid="{00000000-0005-0000-0000-0000BB0C0000}"/>
    <cellStyle name="Comma 2 3 4 8 3" xfId="3257" xr:uid="{00000000-0005-0000-0000-0000BC0C0000}"/>
    <cellStyle name="Comma 2 3 4 9" xfId="3258" xr:uid="{00000000-0005-0000-0000-0000BD0C0000}"/>
    <cellStyle name="Comma 2 3 4 9 2" xfId="3259" xr:uid="{00000000-0005-0000-0000-0000BE0C0000}"/>
    <cellStyle name="Comma 2 3 5" xfId="3260" xr:uid="{00000000-0005-0000-0000-0000BF0C0000}"/>
    <cellStyle name="Comma 2 3 5 2" xfId="3261" xr:uid="{00000000-0005-0000-0000-0000C00C0000}"/>
    <cellStyle name="Comma 2 3 5 2 2" xfId="3262" xr:uid="{00000000-0005-0000-0000-0000C10C0000}"/>
    <cellStyle name="Comma 2 3 5 2 2 2" xfId="3263" xr:uid="{00000000-0005-0000-0000-0000C20C0000}"/>
    <cellStyle name="Comma 2 3 5 2 2 2 2" xfId="3264" xr:uid="{00000000-0005-0000-0000-0000C30C0000}"/>
    <cellStyle name="Comma 2 3 5 2 2 2 2 2" xfId="3265" xr:uid="{00000000-0005-0000-0000-0000C40C0000}"/>
    <cellStyle name="Comma 2 3 5 2 2 2 2 2 2" xfId="3266" xr:uid="{00000000-0005-0000-0000-0000C50C0000}"/>
    <cellStyle name="Comma 2 3 5 2 2 2 2 3" xfId="3267" xr:uid="{00000000-0005-0000-0000-0000C60C0000}"/>
    <cellStyle name="Comma 2 3 5 2 2 2 3" xfId="3268" xr:uid="{00000000-0005-0000-0000-0000C70C0000}"/>
    <cellStyle name="Comma 2 3 5 2 2 2 3 2" xfId="3269" xr:uid="{00000000-0005-0000-0000-0000C80C0000}"/>
    <cellStyle name="Comma 2 3 5 2 2 2 4" xfId="3270" xr:uid="{00000000-0005-0000-0000-0000C90C0000}"/>
    <cellStyle name="Comma 2 3 5 2 2 2 4 2" xfId="3271" xr:uid="{00000000-0005-0000-0000-0000CA0C0000}"/>
    <cellStyle name="Comma 2 3 5 2 2 2 5" xfId="3272" xr:uid="{00000000-0005-0000-0000-0000CB0C0000}"/>
    <cellStyle name="Comma 2 3 5 2 2 3" xfId="3273" xr:uid="{00000000-0005-0000-0000-0000CC0C0000}"/>
    <cellStyle name="Comma 2 3 5 2 2 3 2" xfId="3274" xr:uid="{00000000-0005-0000-0000-0000CD0C0000}"/>
    <cellStyle name="Comma 2 3 5 2 2 3 2 2" xfId="3275" xr:uid="{00000000-0005-0000-0000-0000CE0C0000}"/>
    <cellStyle name="Comma 2 3 5 2 2 3 3" xfId="3276" xr:uid="{00000000-0005-0000-0000-0000CF0C0000}"/>
    <cellStyle name="Comma 2 3 5 2 2 4" xfId="3277" xr:uid="{00000000-0005-0000-0000-0000D00C0000}"/>
    <cellStyle name="Comma 2 3 5 2 2 4 2" xfId="3278" xr:uid="{00000000-0005-0000-0000-0000D10C0000}"/>
    <cellStyle name="Comma 2 3 5 2 2 5" xfId="3279" xr:uid="{00000000-0005-0000-0000-0000D20C0000}"/>
    <cellStyle name="Comma 2 3 5 2 2 5 2" xfId="3280" xr:uid="{00000000-0005-0000-0000-0000D30C0000}"/>
    <cellStyle name="Comma 2 3 5 2 2 6" xfId="3281" xr:uid="{00000000-0005-0000-0000-0000D40C0000}"/>
    <cellStyle name="Comma 2 3 5 2 3" xfId="3282" xr:uid="{00000000-0005-0000-0000-0000D50C0000}"/>
    <cellStyle name="Comma 2 3 5 2 3 2" xfId="3283" xr:uid="{00000000-0005-0000-0000-0000D60C0000}"/>
    <cellStyle name="Comma 2 3 5 2 3 2 2" xfId="3284" xr:uid="{00000000-0005-0000-0000-0000D70C0000}"/>
    <cellStyle name="Comma 2 3 5 2 3 2 2 2" xfId="3285" xr:uid="{00000000-0005-0000-0000-0000D80C0000}"/>
    <cellStyle name="Comma 2 3 5 2 3 2 3" xfId="3286" xr:uid="{00000000-0005-0000-0000-0000D90C0000}"/>
    <cellStyle name="Comma 2 3 5 2 3 3" xfId="3287" xr:uid="{00000000-0005-0000-0000-0000DA0C0000}"/>
    <cellStyle name="Comma 2 3 5 2 3 3 2" xfId="3288" xr:uid="{00000000-0005-0000-0000-0000DB0C0000}"/>
    <cellStyle name="Comma 2 3 5 2 3 4" xfId="3289" xr:uid="{00000000-0005-0000-0000-0000DC0C0000}"/>
    <cellStyle name="Comma 2 3 5 2 3 4 2" xfId="3290" xr:uid="{00000000-0005-0000-0000-0000DD0C0000}"/>
    <cellStyle name="Comma 2 3 5 2 3 5" xfId="3291" xr:uid="{00000000-0005-0000-0000-0000DE0C0000}"/>
    <cellStyle name="Comma 2 3 5 2 4" xfId="3292" xr:uid="{00000000-0005-0000-0000-0000DF0C0000}"/>
    <cellStyle name="Comma 2 3 5 2 4 2" xfId="3293" xr:uid="{00000000-0005-0000-0000-0000E00C0000}"/>
    <cellStyle name="Comma 2 3 5 2 4 2 2" xfId="3294" xr:uid="{00000000-0005-0000-0000-0000E10C0000}"/>
    <cellStyle name="Comma 2 3 5 2 4 3" xfId="3295" xr:uid="{00000000-0005-0000-0000-0000E20C0000}"/>
    <cellStyle name="Comma 2 3 5 2 5" xfId="3296" xr:uid="{00000000-0005-0000-0000-0000E30C0000}"/>
    <cellStyle name="Comma 2 3 5 2 5 2" xfId="3297" xr:uid="{00000000-0005-0000-0000-0000E40C0000}"/>
    <cellStyle name="Comma 2 3 5 2 6" xfId="3298" xr:uid="{00000000-0005-0000-0000-0000E50C0000}"/>
    <cellStyle name="Comma 2 3 5 2 6 2" xfId="3299" xr:uid="{00000000-0005-0000-0000-0000E60C0000}"/>
    <cellStyle name="Comma 2 3 5 2 7" xfId="3300" xr:uid="{00000000-0005-0000-0000-0000E70C0000}"/>
    <cellStyle name="Comma 2 3 5 3" xfId="3301" xr:uid="{00000000-0005-0000-0000-0000E80C0000}"/>
    <cellStyle name="Comma 2 3 5 3 2" xfId="3302" xr:uid="{00000000-0005-0000-0000-0000E90C0000}"/>
    <cellStyle name="Comma 2 3 5 3 2 2" xfId="3303" xr:uid="{00000000-0005-0000-0000-0000EA0C0000}"/>
    <cellStyle name="Comma 2 3 5 3 2 2 2" xfId="3304" xr:uid="{00000000-0005-0000-0000-0000EB0C0000}"/>
    <cellStyle name="Comma 2 3 5 3 2 2 2 2" xfId="3305" xr:uid="{00000000-0005-0000-0000-0000EC0C0000}"/>
    <cellStyle name="Comma 2 3 5 3 2 2 2 2 2" xfId="3306" xr:uid="{00000000-0005-0000-0000-0000ED0C0000}"/>
    <cellStyle name="Comma 2 3 5 3 2 2 2 3" xfId="3307" xr:uid="{00000000-0005-0000-0000-0000EE0C0000}"/>
    <cellStyle name="Comma 2 3 5 3 2 2 3" xfId="3308" xr:uid="{00000000-0005-0000-0000-0000EF0C0000}"/>
    <cellStyle name="Comma 2 3 5 3 2 2 3 2" xfId="3309" xr:uid="{00000000-0005-0000-0000-0000F00C0000}"/>
    <cellStyle name="Comma 2 3 5 3 2 2 4" xfId="3310" xr:uid="{00000000-0005-0000-0000-0000F10C0000}"/>
    <cellStyle name="Comma 2 3 5 3 2 2 4 2" xfId="3311" xr:uid="{00000000-0005-0000-0000-0000F20C0000}"/>
    <cellStyle name="Comma 2 3 5 3 2 2 5" xfId="3312" xr:uid="{00000000-0005-0000-0000-0000F30C0000}"/>
    <cellStyle name="Comma 2 3 5 3 2 3" xfId="3313" xr:uid="{00000000-0005-0000-0000-0000F40C0000}"/>
    <cellStyle name="Comma 2 3 5 3 2 3 2" xfId="3314" xr:uid="{00000000-0005-0000-0000-0000F50C0000}"/>
    <cellStyle name="Comma 2 3 5 3 2 3 2 2" xfId="3315" xr:uid="{00000000-0005-0000-0000-0000F60C0000}"/>
    <cellStyle name="Comma 2 3 5 3 2 3 3" xfId="3316" xr:uid="{00000000-0005-0000-0000-0000F70C0000}"/>
    <cellStyle name="Comma 2 3 5 3 2 4" xfId="3317" xr:uid="{00000000-0005-0000-0000-0000F80C0000}"/>
    <cellStyle name="Comma 2 3 5 3 2 4 2" xfId="3318" xr:uid="{00000000-0005-0000-0000-0000F90C0000}"/>
    <cellStyle name="Comma 2 3 5 3 2 5" xfId="3319" xr:uid="{00000000-0005-0000-0000-0000FA0C0000}"/>
    <cellStyle name="Comma 2 3 5 3 2 5 2" xfId="3320" xr:uid="{00000000-0005-0000-0000-0000FB0C0000}"/>
    <cellStyle name="Comma 2 3 5 3 2 6" xfId="3321" xr:uid="{00000000-0005-0000-0000-0000FC0C0000}"/>
    <cellStyle name="Comma 2 3 5 3 3" xfId="3322" xr:uid="{00000000-0005-0000-0000-0000FD0C0000}"/>
    <cellStyle name="Comma 2 3 5 3 3 2" xfId="3323" xr:uid="{00000000-0005-0000-0000-0000FE0C0000}"/>
    <cellStyle name="Comma 2 3 5 3 3 2 2" xfId="3324" xr:uid="{00000000-0005-0000-0000-0000FF0C0000}"/>
    <cellStyle name="Comma 2 3 5 3 3 2 2 2" xfId="3325" xr:uid="{00000000-0005-0000-0000-0000000D0000}"/>
    <cellStyle name="Comma 2 3 5 3 3 2 3" xfId="3326" xr:uid="{00000000-0005-0000-0000-0000010D0000}"/>
    <cellStyle name="Comma 2 3 5 3 3 3" xfId="3327" xr:uid="{00000000-0005-0000-0000-0000020D0000}"/>
    <cellStyle name="Comma 2 3 5 3 3 3 2" xfId="3328" xr:uid="{00000000-0005-0000-0000-0000030D0000}"/>
    <cellStyle name="Comma 2 3 5 3 3 4" xfId="3329" xr:uid="{00000000-0005-0000-0000-0000040D0000}"/>
    <cellStyle name="Comma 2 3 5 3 3 4 2" xfId="3330" xr:uid="{00000000-0005-0000-0000-0000050D0000}"/>
    <cellStyle name="Comma 2 3 5 3 3 5" xfId="3331" xr:uid="{00000000-0005-0000-0000-0000060D0000}"/>
    <cellStyle name="Comma 2 3 5 3 4" xfId="3332" xr:uid="{00000000-0005-0000-0000-0000070D0000}"/>
    <cellStyle name="Comma 2 3 5 3 4 2" xfId="3333" xr:uid="{00000000-0005-0000-0000-0000080D0000}"/>
    <cellStyle name="Comma 2 3 5 3 4 2 2" xfId="3334" xr:uid="{00000000-0005-0000-0000-0000090D0000}"/>
    <cellStyle name="Comma 2 3 5 3 4 3" xfId="3335" xr:uid="{00000000-0005-0000-0000-00000A0D0000}"/>
    <cellStyle name="Comma 2 3 5 3 5" xfId="3336" xr:uid="{00000000-0005-0000-0000-00000B0D0000}"/>
    <cellStyle name="Comma 2 3 5 3 5 2" xfId="3337" xr:uid="{00000000-0005-0000-0000-00000C0D0000}"/>
    <cellStyle name="Comma 2 3 5 3 6" xfId="3338" xr:uid="{00000000-0005-0000-0000-00000D0D0000}"/>
    <cellStyle name="Comma 2 3 5 3 6 2" xfId="3339" xr:uid="{00000000-0005-0000-0000-00000E0D0000}"/>
    <cellStyle name="Comma 2 3 5 3 7" xfId="3340" xr:uid="{00000000-0005-0000-0000-00000F0D0000}"/>
    <cellStyle name="Comma 2 3 5 4" xfId="3341" xr:uid="{00000000-0005-0000-0000-0000100D0000}"/>
    <cellStyle name="Comma 2 3 5 4 2" xfId="3342" xr:uid="{00000000-0005-0000-0000-0000110D0000}"/>
    <cellStyle name="Comma 2 3 5 4 2 2" xfId="3343" xr:uid="{00000000-0005-0000-0000-0000120D0000}"/>
    <cellStyle name="Comma 2 3 5 4 2 2 2" xfId="3344" xr:uid="{00000000-0005-0000-0000-0000130D0000}"/>
    <cellStyle name="Comma 2 3 5 4 2 2 2 2" xfId="3345" xr:uid="{00000000-0005-0000-0000-0000140D0000}"/>
    <cellStyle name="Comma 2 3 5 4 2 2 3" xfId="3346" xr:uid="{00000000-0005-0000-0000-0000150D0000}"/>
    <cellStyle name="Comma 2 3 5 4 2 3" xfId="3347" xr:uid="{00000000-0005-0000-0000-0000160D0000}"/>
    <cellStyle name="Comma 2 3 5 4 2 3 2" xfId="3348" xr:uid="{00000000-0005-0000-0000-0000170D0000}"/>
    <cellStyle name="Comma 2 3 5 4 2 4" xfId="3349" xr:uid="{00000000-0005-0000-0000-0000180D0000}"/>
    <cellStyle name="Comma 2 3 5 4 2 4 2" xfId="3350" xr:uid="{00000000-0005-0000-0000-0000190D0000}"/>
    <cellStyle name="Comma 2 3 5 4 2 5" xfId="3351" xr:uid="{00000000-0005-0000-0000-00001A0D0000}"/>
    <cellStyle name="Comma 2 3 5 4 3" xfId="3352" xr:uid="{00000000-0005-0000-0000-00001B0D0000}"/>
    <cellStyle name="Comma 2 3 5 4 3 2" xfId="3353" xr:uid="{00000000-0005-0000-0000-00001C0D0000}"/>
    <cellStyle name="Comma 2 3 5 4 3 2 2" xfId="3354" xr:uid="{00000000-0005-0000-0000-00001D0D0000}"/>
    <cellStyle name="Comma 2 3 5 4 3 3" xfId="3355" xr:uid="{00000000-0005-0000-0000-00001E0D0000}"/>
    <cellStyle name="Comma 2 3 5 4 4" xfId="3356" xr:uid="{00000000-0005-0000-0000-00001F0D0000}"/>
    <cellStyle name="Comma 2 3 5 4 4 2" xfId="3357" xr:uid="{00000000-0005-0000-0000-0000200D0000}"/>
    <cellStyle name="Comma 2 3 5 4 5" xfId="3358" xr:uid="{00000000-0005-0000-0000-0000210D0000}"/>
    <cellStyle name="Comma 2 3 5 4 5 2" xfId="3359" xr:uid="{00000000-0005-0000-0000-0000220D0000}"/>
    <cellStyle name="Comma 2 3 5 4 6" xfId="3360" xr:uid="{00000000-0005-0000-0000-0000230D0000}"/>
    <cellStyle name="Comma 2 3 5 5" xfId="3361" xr:uid="{00000000-0005-0000-0000-0000240D0000}"/>
    <cellStyle name="Comma 2 3 5 5 2" xfId="3362" xr:uid="{00000000-0005-0000-0000-0000250D0000}"/>
    <cellStyle name="Comma 2 3 5 5 2 2" xfId="3363" xr:uid="{00000000-0005-0000-0000-0000260D0000}"/>
    <cellStyle name="Comma 2 3 5 5 2 2 2" xfId="3364" xr:uid="{00000000-0005-0000-0000-0000270D0000}"/>
    <cellStyle name="Comma 2 3 5 5 2 3" xfId="3365" xr:uid="{00000000-0005-0000-0000-0000280D0000}"/>
    <cellStyle name="Comma 2 3 5 5 3" xfId="3366" xr:uid="{00000000-0005-0000-0000-0000290D0000}"/>
    <cellStyle name="Comma 2 3 5 5 3 2" xfId="3367" xr:uid="{00000000-0005-0000-0000-00002A0D0000}"/>
    <cellStyle name="Comma 2 3 5 5 4" xfId="3368" xr:uid="{00000000-0005-0000-0000-00002B0D0000}"/>
    <cellStyle name="Comma 2 3 5 5 4 2" xfId="3369" xr:uid="{00000000-0005-0000-0000-00002C0D0000}"/>
    <cellStyle name="Comma 2 3 5 5 5" xfId="3370" xr:uid="{00000000-0005-0000-0000-00002D0D0000}"/>
    <cellStyle name="Comma 2 3 5 6" xfId="3371" xr:uid="{00000000-0005-0000-0000-00002E0D0000}"/>
    <cellStyle name="Comma 2 3 5 6 2" xfId="3372" xr:uid="{00000000-0005-0000-0000-00002F0D0000}"/>
    <cellStyle name="Comma 2 3 5 6 2 2" xfId="3373" xr:uid="{00000000-0005-0000-0000-0000300D0000}"/>
    <cellStyle name="Comma 2 3 5 6 3" xfId="3374" xr:uid="{00000000-0005-0000-0000-0000310D0000}"/>
    <cellStyle name="Comma 2 3 5 7" xfId="3375" xr:uid="{00000000-0005-0000-0000-0000320D0000}"/>
    <cellStyle name="Comma 2 3 5 7 2" xfId="3376" xr:uid="{00000000-0005-0000-0000-0000330D0000}"/>
    <cellStyle name="Comma 2 3 5 8" xfId="3377" xr:uid="{00000000-0005-0000-0000-0000340D0000}"/>
    <cellStyle name="Comma 2 3 5 8 2" xfId="3378" xr:uid="{00000000-0005-0000-0000-0000350D0000}"/>
    <cellStyle name="Comma 2 3 5 9" xfId="3379" xr:uid="{00000000-0005-0000-0000-0000360D0000}"/>
    <cellStyle name="Comma 2 3 6" xfId="3380" xr:uid="{00000000-0005-0000-0000-0000370D0000}"/>
    <cellStyle name="Comma 2 3 6 2" xfId="3381" xr:uid="{00000000-0005-0000-0000-0000380D0000}"/>
    <cellStyle name="Comma 2 3 6 2 2" xfId="3382" xr:uid="{00000000-0005-0000-0000-0000390D0000}"/>
    <cellStyle name="Comma 2 3 6 2 2 2" xfId="3383" xr:uid="{00000000-0005-0000-0000-00003A0D0000}"/>
    <cellStyle name="Comma 2 3 6 2 2 2 2" xfId="3384" xr:uid="{00000000-0005-0000-0000-00003B0D0000}"/>
    <cellStyle name="Comma 2 3 6 2 2 2 2 2" xfId="3385" xr:uid="{00000000-0005-0000-0000-00003C0D0000}"/>
    <cellStyle name="Comma 2 3 6 2 2 2 2 2 2" xfId="3386" xr:uid="{00000000-0005-0000-0000-00003D0D0000}"/>
    <cellStyle name="Comma 2 3 6 2 2 2 2 3" xfId="3387" xr:uid="{00000000-0005-0000-0000-00003E0D0000}"/>
    <cellStyle name="Comma 2 3 6 2 2 2 3" xfId="3388" xr:uid="{00000000-0005-0000-0000-00003F0D0000}"/>
    <cellStyle name="Comma 2 3 6 2 2 2 3 2" xfId="3389" xr:uid="{00000000-0005-0000-0000-0000400D0000}"/>
    <cellStyle name="Comma 2 3 6 2 2 2 4" xfId="3390" xr:uid="{00000000-0005-0000-0000-0000410D0000}"/>
    <cellStyle name="Comma 2 3 6 2 2 2 4 2" xfId="3391" xr:uid="{00000000-0005-0000-0000-0000420D0000}"/>
    <cellStyle name="Comma 2 3 6 2 2 2 5" xfId="3392" xr:uid="{00000000-0005-0000-0000-0000430D0000}"/>
    <cellStyle name="Comma 2 3 6 2 2 3" xfId="3393" xr:uid="{00000000-0005-0000-0000-0000440D0000}"/>
    <cellStyle name="Comma 2 3 6 2 2 3 2" xfId="3394" xr:uid="{00000000-0005-0000-0000-0000450D0000}"/>
    <cellStyle name="Comma 2 3 6 2 2 3 2 2" xfId="3395" xr:uid="{00000000-0005-0000-0000-0000460D0000}"/>
    <cellStyle name="Comma 2 3 6 2 2 3 3" xfId="3396" xr:uid="{00000000-0005-0000-0000-0000470D0000}"/>
    <cellStyle name="Comma 2 3 6 2 2 4" xfId="3397" xr:uid="{00000000-0005-0000-0000-0000480D0000}"/>
    <cellStyle name="Comma 2 3 6 2 2 4 2" xfId="3398" xr:uid="{00000000-0005-0000-0000-0000490D0000}"/>
    <cellStyle name="Comma 2 3 6 2 2 5" xfId="3399" xr:uid="{00000000-0005-0000-0000-00004A0D0000}"/>
    <cellStyle name="Comma 2 3 6 2 2 5 2" xfId="3400" xr:uid="{00000000-0005-0000-0000-00004B0D0000}"/>
    <cellStyle name="Comma 2 3 6 2 2 6" xfId="3401" xr:uid="{00000000-0005-0000-0000-00004C0D0000}"/>
    <cellStyle name="Comma 2 3 6 2 3" xfId="3402" xr:uid="{00000000-0005-0000-0000-00004D0D0000}"/>
    <cellStyle name="Comma 2 3 6 2 3 2" xfId="3403" xr:uid="{00000000-0005-0000-0000-00004E0D0000}"/>
    <cellStyle name="Comma 2 3 6 2 3 2 2" xfId="3404" xr:uid="{00000000-0005-0000-0000-00004F0D0000}"/>
    <cellStyle name="Comma 2 3 6 2 3 2 2 2" xfId="3405" xr:uid="{00000000-0005-0000-0000-0000500D0000}"/>
    <cellStyle name="Comma 2 3 6 2 3 2 3" xfId="3406" xr:uid="{00000000-0005-0000-0000-0000510D0000}"/>
    <cellStyle name="Comma 2 3 6 2 3 3" xfId="3407" xr:uid="{00000000-0005-0000-0000-0000520D0000}"/>
    <cellStyle name="Comma 2 3 6 2 3 3 2" xfId="3408" xr:uid="{00000000-0005-0000-0000-0000530D0000}"/>
    <cellStyle name="Comma 2 3 6 2 3 4" xfId="3409" xr:uid="{00000000-0005-0000-0000-0000540D0000}"/>
    <cellStyle name="Comma 2 3 6 2 3 4 2" xfId="3410" xr:uid="{00000000-0005-0000-0000-0000550D0000}"/>
    <cellStyle name="Comma 2 3 6 2 3 5" xfId="3411" xr:uid="{00000000-0005-0000-0000-0000560D0000}"/>
    <cellStyle name="Comma 2 3 6 2 4" xfId="3412" xr:uid="{00000000-0005-0000-0000-0000570D0000}"/>
    <cellStyle name="Comma 2 3 6 2 4 2" xfId="3413" xr:uid="{00000000-0005-0000-0000-0000580D0000}"/>
    <cellStyle name="Comma 2 3 6 2 4 2 2" xfId="3414" xr:uid="{00000000-0005-0000-0000-0000590D0000}"/>
    <cellStyle name="Comma 2 3 6 2 4 3" xfId="3415" xr:uid="{00000000-0005-0000-0000-00005A0D0000}"/>
    <cellStyle name="Comma 2 3 6 2 5" xfId="3416" xr:uid="{00000000-0005-0000-0000-00005B0D0000}"/>
    <cellStyle name="Comma 2 3 6 2 5 2" xfId="3417" xr:uid="{00000000-0005-0000-0000-00005C0D0000}"/>
    <cellStyle name="Comma 2 3 6 2 6" xfId="3418" xr:uid="{00000000-0005-0000-0000-00005D0D0000}"/>
    <cellStyle name="Comma 2 3 6 2 6 2" xfId="3419" xr:uid="{00000000-0005-0000-0000-00005E0D0000}"/>
    <cellStyle name="Comma 2 3 6 2 7" xfId="3420" xr:uid="{00000000-0005-0000-0000-00005F0D0000}"/>
    <cellStyle name="Comma 2 3 6 3" xfId="3421" xr:uid="{00000000-0005-0000-0000-0000600D0000}"/>
    <cellStyle name="Comma 2 3 6 3 2" xfId="3422" xr:uid="{00000000-0005-0000-0000-0000610D0000}"/>
    <cellStyle name="Comma 2 3 6 3 2 2" xfId="3423" xr:uid="{00000000-0005-0000-0000-0000620D0000}"/>
    <cellStyle name="Comma 2 3 6 3 2 2 2" xfId="3424" xr:uid="{00000000-0005-0000-0000-0000630D0000}"/>
    <cellStyle name="Comma 2 3 6 3 2 2 2 2" xfId="3425" xr:uid="{00000000-0005-0000-0000-0000640D0000}"/>
    <cellStyle name="Comma 2 3 6 3 2 2 2 2 2" xfId="3426" xr:uid="{00000000-0005-0000-0000-0000650D0000}"/>
    <cellStyle name="Comma 2 3 6 3 2 2 2 3" xfId="3427" xr:uid="{00000000-0005-0000-0000-0000660D0000}"/>
    <cellStyle name="Comma 2 3 6 3 2 2 3" xfId="3428" xr:uid="{00000000-0005-0000-0000-0000670D0000}"/>
    <cellStyle name="Comma 2 3 6 3 2 2 3 2" xfId="3429" xr:uid="{00000000-0005-0000-0000-0000680D0000}"/>
    <cellStyle name="Comma 2 3 6 3 2 2 4" xfId="3430" xr:uid="{00000000-0005-0000-0000-0000690D0000}"/>
    <cellStyle name="Comma 2 3 6 3 2 2 4 2" xfId="3431" xr:uid="{00000000-0005-0000-0000-00006A0D0000}"/>
    <cellStyle name="Comma 2 3 6 3 2 2 5" xfId="3432" xr:uid="{00000000-0005-0000-0000-00006B0D0000}"/>
    <cellStyle name="Comma 2 3 6 3 2 3" xfId="3433" xr:uid="{00000000-0005-0000-0000-00006C0D0000}"/>
    <cellStyle name="Comma 2 3 6 3 2 3 2" xfId="3434" xr:uid="{00000000-0005-0000-0000-00006D0D0000}"/>
    <cellStyle name="Comma 2 3 6 3 2 3 2 2" xfId="3435" xr:uid="{00000000-0005-0000-0000-00006E0D0000}"/>
    <cellStyle name="Comma 2 3 6 3 2 3 3" xfId="3436" xr:uid="{00000000-0005-0000-0000-00006F0D0000}"/>
    <cellStyle name="Comma 2 3 6 3 2 4" xfId="3437" xr:uid="{00000000-0005-0000-0000-0000700D0000}"/>
    <cellStyle name="Comma 2 3 6 3 2 4 2" xfId="3438" xr:uid="{00000000-0005-0000-0000-0000710D0000}"/>
    <cellStyle name="Comma 2 3 6 3 2 5" xfId="3439" xr:uid="{00000000-0005-0000-0000-0000720D0000}"/>
    <cellStyle name="Comma 2 3 6 3 2 5 2" xfId="3440" xr:uid="{00000000-0005-0000-0000-0000730D0000}"/>
    <cellStyle name="Comma 2 3 6 3 2 6" xfId="3441" xr:uid="{00000000-0005-0000-0000-0000740D0000}"/>
    <cellStyle name="Comma 2 3 6 3 3" xfId="3442" xr:uid="{00000000-0005-0000-0000-0000750D0000}"/>
    <cellStyle name="Comma 2 3 6 3 3 2" xfId="3443" xr:uid="{00000000-0005-0000-0000-0000760D0000}"/>
    <cellStyle name="Comma 2 3 6 3 3 2 2" xfId="3444" xr:uid="{00000000-0005-0000-0000-0000770D0000}"/>
    <cellStyle name="Comma 2 3 6 3 3 2 2 2" xfId="3445" xr:uid="{00000000-0005-0000-0000-0000780D0000}"/>
    <cellStyle name="Comma 2 3 6 3 3 2 3" xfId="3446" xr:uid="{00000000-0005-0000-0000-0000790D0000}"/>
    <cellStyle name="Comma 2 3 6 3 3 3" xfId="3447" xr:uid="{00000000-0005-0000-0000-00007A0D0000}"/>
    <cellStyle name="Comma 2 3 6 3 3 3 2" xfId="3448" xr:uid="{00000000-0005-0000-0000-00007B0D0000}"/>
    <cellStyle name="Comma 2 3 6 3 3 4" xfId="3449" xr:uid="{00000000-0005-0000-0000-00007C0D0000}"/>
    <cellStyle name="Comma 2 3 6 3 3 4 2" xfId="3450" xr:uid="{00000000-0005-0000-0000-00007D0D0000}"/>
    <cellStyle name="Comma 2 3 6 3 3 5" xfId="3451" xr:uid="{00000000-0005-0000-0000-00007E0D0000}"/>
    <cellStyle name="Comma 2 3 6 3 4" xfId="3452" xr:uid="{00000000-0005-0000-0000-00007F0D0000}"/>
    <cellStyle name="Comma 2 3 6 3 4 2" xfId="3453" xr:uid="{00000000-0005-0000-0000-0000800D0000}"/>
    <cellStyle name="Comma 2 3 6 3 4 2 2" xfId="3454" xr:uid="{00000000-0005-0000-0000-0000810D0000}"/>
    <cellStyle name="Comma 2 3 6 3 4 3" xfId="3455" xr:uid="{00000000-0005-0000-0000-0000820D0000}"/>
    <cellStyle name="Comma 2 3 6 3 5" xfId="3456" xr:uid="{00000000-0005-0000-0000-0000830D0000}"/>
    <cellStyle name="Comma 2 3 6 3 5 2" xfId="3457" xr:uid="{00000000-0005-0000-0000-0000840D0000}"/>
    <cellStyle name="Comma 2 3 6 3 6" xfId="3458" xr:uid="{00000000-0005-0000-0000-0000850D0000}"/>
    <cellStyle name="Comma 2 3 6 3 6 2" xfId="3459" xr:uid="{00000000-0005-0000-0000-0000860D0000}"/>
    <cellStyle name="Comma 2 3 6 3 7" xfId="3460" xr:uid="{00000000-0005-0000-0000-0000870D0000}"/>
    <cellStyle name="Comma 2 3 6 4" xfId="3461" xr:uid="{00000000-0005-0000-0000-0000880D0000}"/>
    <cellStyle name="Comma 2 3 6 4 2" xfId="3462" xr:uid="{00000000-0005-0000-0000-0000890D0000}"/>
    <cellStyle name="Comma 2 3 6 4 2 2" xfId="3463" xr:uid="{00000000-0005-0000-0000-00008A0D0000}"/>
    <cellStyle name="Comma 2 3 6 4 2 2 2" xfId="3464" xr:uid="{00000000-0005-0000-0000-00008B0D0000}"/>
    <cellStyle name="Comma 2 3 6 4 2 2 2 2" xfId="3465" xr:uid="{00000000-0005-0000-0000-00008C0D0000}"/>
    <cellStyle name="Comma 2 3 6 4 2 2 3" xfId="3466" xr:uid="{00000000-0005-0000-0000-00008D0D0000}"/>
    <cellStyle name="Comma 2 3 6 4 2 3" xfId="3467" xr:uid="{00000000-0005-0000-0000-00008E0D0000}"/>
    <cellStyle name="Comma 2 3 6 4 2 3 2" xfId="3468" xr:uid="{00000000-0005-0000-0000-00008F0D0000}"/>
    <cellStyle name="Comma 2 3 6 4 2 4" xfId="3469" xr:uid="{00000000-0005-0000-0000-0000900D0000}"/>
    <cellStyle name="Comma 2 3 6 4 2 4 2" xfId="3470" xr:uid="{00000000-0005-0000-0000-0000910D0000}"/>
    <cellStyle name="Comma 2 3 6 4 2 5" xfId="3471" xr:uid="{00000000-0005-0000-0000-0000920D0000}"/>
    <cellStyle name="Comma 2 3 6 4 3" xfId="3472" xr:uid="{00000000-0005-0000-0000-0000930D0000}"/>
    <cellStyle name="Comma 2 3 6 4 3 2" xfId="3473" xr:uid="{00000000-0005-0000-0000-0000940D0000}"/>
    <cellStyle name="Comma 2 3 6 4 3 2 2" xfId="3474" xr:uid="{00000000-0005-0000-0000-0000950D0000}"/>
    <cellStyle name="Comma 2 3 6 4 3 3" xfId="3475" xr:uid="{00000000-0005-0000-0000-0000960D0000}"/>
    <cellStyle name="Comma 2 3 6 4 4" xfId="3476" xr:uid="{00000000-0005-0000-0000-0000970D0000}"/>
    <cellStyle name="Comma 2 3 6 4 4 2" xfId="3477" xr:uid="{00000000-0005-0000-0000-0000980D0000}"/>
    <cellStyle name="Comma 2 3 6 4 5" xfId="3478" xr:uid="{00000000-0005-0000-0000-0000990D0000}"/>
    <cellStyle name="Comma 2 3 6 4 5 2" xfId="3479" xr:uid="{00000000-0005-0000-0000-00009A0D0000}"/>
    <cellStyle name="Comma 2 3 6 4 6" xfId="3480" xr:uid="{00000000-0005-0000-0000-00009B0D0000}"/>
    <cellStyle name="Comma 2 3 6 5" xfId="3481" xr:uid="{00000000-0005-0000-0000-00009C0D0000}"/>
    <cellStyle name="Comma 2 3 6 5 2" xfId="3482" xr:uid="{00000000-0005-0000-0000-00009D0D0000}"/>
    <cellStyle name="Comma 2 3 6 5 2 2" xfId="3483" xr:uid="{00000000-0005-0000-0000-00009E0D0000}"/>
    <cellStyle name="Comma 2 3 6 5 2 2 2" xfId="3484" xr:uid="{00000000-0005-0000-0000-00009F0D0000}"/>
    <cellStyle name="Comma 2 3 6 5 2 3" xfId="3485" xr:uid="{00000000-0005-0000-0000-0000A00D0000}"/>
    <cellStyle name="Comma 2 3 6 5 3" xfId="3486" xr:uid="{00000000-0005-0000-0000-0000A10D0000}"/>
    <cellStyle name="Comma 2 3 6 5 3 2" xfId="3487" xr:uid="{00000000-0005-0000-0000-0000A20D0000}"/>
    <cellStyle name="Comma 2 3 6 5 4" xfId="3488" xr:uid="{00000000-0005-0000-0000-0000A30D0000}"/>
    <cellStyle name="Comma 2 3 6 5 4 2" xfId="3489" xr:uid="{00000000-0005-0000-0000-0000A40D0000}"/>
    <cellStyle name="Comma 2 3 6 5 5" xfId="3490" xr:uid="{00000000-0005-0000-0000-0000A50D0000}"/>
    <cellStyle name="Comma 2 3 6 6" xfId="3491" xr:uid="{00000000-0005-0000-0000-0000A60D0000}"/>
    <cellStyle name="Comma 2 3 6 6 2" xfId="3492" xr:uid="{00000000-0005-0000-0000-0000A70D0000}"/>
    <cellStyle name="Comma 2 3 6 6 2 2" xfId="3493" xr:uid="{00000000-0005-0000-0000-0000A80D0000}"/>
    <cellStyle name="Comma 2 3 6 6 3" xfId="3494" xr:uid="{00000000-0005-0000-0000-0000A90D0000}"/>
    <cellStyle name="Comma 2 3 6 7" xfId="3495" xr:uid="{00000000-0005-0000-0000-0000AA0D0000}"/>
    <cellStyle name="Comma 2 3 6 7 2" xfId="3496" xr:uid="{00000000-0005-0000-0000-0000AB0D0000}"/>
    <cellStyle name="Comma 2 3 6 8" xfId="3497" xr:uid="{00000000-0005-0000-0000-0000AC0D0000}"/>
    <cellStyle name="Comma 2 3 6 8 2" xfId="3498" xr:uid="{00000000-0005-0000-0000-0000AD0D0000}"/>
    <cellStyle name="Comma 2 3 6 9" xfId="3499" xr:uid="{00000000-0005-0000-0000-0000AE0D0000}"/>
    <cellStyle name="Comma 2 3 7" xfId="3500" xr:uid="{00000000-0005-0000-0000-0000AF0D0000}"/>
    <cellStyle name="Comma 2 3 7 2" xfId="3501" xr:uid="{00000000-0005-0000-0000-0000B00D0000}"/>
    <cellStyle name="Comma 2 3 7 2 2" xfId="3502" xr:uid="{00000000-0005-0000-0000-0000B10D0000}"/>
    <cellStyle name="Comma 2 3 7 2 2 2" xfId="3503" xr:uid="{00000000-0005-0000-0000-0000B20D0000}"/>
    <cellStyle name="Comma 2 3 7 2 2 2 2" xfId="3504" xr:uid="{00000000-0005-0000-0000-0000B30D0000}"/>
    <cellStyle name="Comma 2 3 7 2 2 2 2 2" xfId="3505" xr:uid="{00000000-0005-0000-0000-0000B40D0000}"/>
    <cellStyle name="Comma 2 3 7 2 2 2 2 2 2" xfId="3506" xr:uid="{00000000-0005-0000-0000-0000B50D0000}"/>
    <cellStyle name="Comma 2 3 7 2 2 2 2 3" xfId="3507" xr:uid="{00000000-0005-0000-0000-0000B60D0000}"/>
    <cellStyle name="Comma 2 3 7 2 2 2 3" xfId="3508" xr:uid="{00000000-0005-0000-0000-0000B70D0000}"/>
    <cellStyle name="Comma 2 3 7 2 2 2 3 2" xfId="3509" xr:uid="{00000000-0005-0000-0000-0000B80D0000}"/>
    <cellStyle name="Comma 2 3 7 2 2 2 4" xfId="3510" xr:uid="{00000000-0005-0000-0000-0000B90D0000}"/>
    <cellStyle name="Comma 2 3 7 2 2 2 4 2" xfId="3511" xr:uid="{00000000-0005-0000-0000-0000BA0D0000}"/>
    <cellStyle name="Comma 2 3 7 2 2 2 5" xfId="3512" xr:uid="{00000000-0005-0000-0000-0000BB0D0000}"/>
    <cellStyle name="Comma 2 3 7 2 2 3" xfId="3513" xr:uid="{00000000-0005-0000-0000-0000BC0D0000}"/>
    <cellStyle name="Comma 2 3 7 2 2 3 2" xfId="3514" xr:uid="{00000000-0005-0000-0000-0000BD0D0000}"/>
    <cellStyle name="Comma 2 3 7 2 2 3 2 2" xfId="3515" xr:uid="{00000000-0005-0000-0000-0000BE0D0000}"/>
    <cellStyle name="Comma 2 3 7 2 2 3 3" xfId="3516" xr:uid="{00000000-0005-0000-0000-0000BF0D0000}"/>
    <cellStyle name="Comma 2 3 7 2 2 4" xfId="3517" xr:uid="{00000000-0005-0000-0000-0000C00D0000}"/>
    <cellStyle name="Comma 2 3 7 2 2 4 2" xfId="3518" xr:uid="{00000000-0005-0000-0000-0000C10D0000}"/>
    <cellStyle name="Comma 2 3 7 2 2 5" xfId="3519" xr:uid="{00000000-0005-0000-0000-0000C20D0000}"/>
    <cellStyle name="Comma 2 3 7 2 2 5 2" xfId="3520" xr:uid="{00000000-0005-0000-0000-0000C30D0000}"/>
    <cellStyle name="Comma 2 3 7 2 2 6" xfId="3521" xr:uid="{00000000-0005-0000-0000-0000C40D0000}"/>
    <cellStyle name="Comma 2 3 7 2 3" xfId="3522" xr:uid="{00000000-0005-0000-0000-0000C50D0000}"/>
    <cellStyle name="Comma 2 3 7 2 3 2" xfId="3523" xr:uid="{00000000-0005-0000-0000-0000C60D0000}"/>
    <cellStyle name="Comma 2 3 7 2 3 2 2" xfId="3524" xr:uid="{00000000-0005-0000-0000-0000C70D0000}"/>
    <cellStyle name="Comma 2 3 7 2 3 2 2 2" xfId="3525" xr:uid="{00000000-0005-0000-0000-0000C80D0000}"/>
    <cellStyle name="Comma 2 3 7 2 3 2 3" xfId="3526" xr:uid="{00000000-0005-0000-0000-0000C90D0000}"/>
    <cellStyle name="Comma 2 3 7 2 3 3" xfId="3527" xr:uid="{00000000-0005-0000-0000-0000CA0D0000}"/>
    <cellStyle name="Comma 2 3 7 2 3 3 2" xfId="3528" xr:uid="{00000000-0005-0000-0000-0000CB0D0000}"/>
    <cellStyle name="Comma 2 3 7 2 3 4" xfId="3529" xr:uid="{00000000-0005-0000-0000-0000CC0D0000}"/>
    <cellStyle name="Comma 2 3 7 2 3 4 2" xfId="3530" xr:uid="{00000000-0005-0000-0000-0000CD0D0000}"/>
    <cellStyle name="Comma 2 3 7 2 3 5" xfId="3531" xr:uid="{00000000-0005-0000-0000-0000CE0D0000}"/>
    <cellStyle name="Comma 2 3 7 2 4" xfId="3532" xr:uid="{00000000-0005-0000-0000-0000CF0D0000}"/>
    <cellStyle name="Comma 2 3 7 2 4 2" xfId="3533" xr:uid="{00000000-0005-0000-0000-0000D00D0000}"/>
    <cellStyle name="Comma 2 3 7 2 4 2 2" xfId="3534" xr:uid="{00000000-0005-0000-0000-0000D10D0000}"/>
    <cellStyle name="Comma 2 3 7 2 4 3" xfId="3535" xr:uid="{00000000-0005-0000-0000-0000D20D0000}"/>
    <cellStyle name="Comma 2 3 7 2 5" xfId="3536" xr:uid="{00000000-0005-0000-0000-0000D30D0000}"/>
    <cellStyle name="Comma 2 3 7 2 5 2" xfId="3537" xr:uid="{00000000-0005-0000-0000-0000D40D0000}"/>
    <cellStyle name="Comma 2 3 7 2 6" xfId="3538" xr:uid="{00000000-0005-0000-0000-0000D50D0000}"/>
    <cellStyle name="Comma 2 3 7 2 6 2" xfId="3539" xr:uid="{00000000-0005-0000-0000-0000D60D0000}"/>
    <cellStyle name="Comma 2 3 7 2 7" xfId="3540" xr:uid="{00000000-0005-0000-0000-0000D70D0000}"/>
    <cellStyle name="Comma 2 3 7 3" xfId="3541" xr:uid="{00000000-0005-0000-0000-0000D80D0000}"/>
    <cellStyle name="Comma 2 3 7 3 2" xfId="3542" xr:uid="{00000000-0005-0000-0000-0000D90D0000}"/>
    <cellStyle name="Comma 2 3 7 3 2 2" xfId="3543" xr:uid="{00000000-0005-0000-0000-0000DA0D0000}"/>
    <cellStyle name="Comma 2 3 7 3 2 2 2" xfId="3544" xr:uid="{00000000-0005-0000-0000-0000DB0D0000}"/>
    <cellStyle name="Comma 2 3 7 3 2 2 2 2" xfId="3545" xr:uid="{00000000-0005-0000-0000-0000DC0D0000}"/>
    <cellStyle name="Comma 2 3 7 3 2 2 3" xfId="3546" xr:uid="{00000000-0005-0000-0000-0000DD0D0000}"/>
    <cellStyle name="Comma 2 3 7 3 2 3" xfId="3547" xr:uid="{00000000-0005-0000-0000-0000DE0D0000}"/>
    <cellStyle name="Comma 2 3 7 3 2 3 2" xfId="3548" xr:uid="{00000000-0005-0000-0000-0000DF0D0000}"/>
    <cellStyle name="Comma 2 3 7 3 2 4" xfId="3549" xr:uid="{00000000-0005-0000-0000-0000E00D0000}"/>
    <cellStyle name="Comma 2 3 7 3 2 4 2" xfId="3550" xr:uid="{00000000-0005-0000-0000-0000E10D0000}"/>
    <cellStyle name="Comma 2 3 7 3 2 5" xfId="3551" xr:uid="{00000000-0005-0000-0000-0000E20D0000}"/>
    <cellStyle name="Comma 2 3 7 3 3" xfId="3552" xr:uid="{00000000-0005-0000-0000-0000E30D0000}"/>
    <cellStyle name="Comma 2 3 7 3 3 2" xfId="3553" xr:uid="{00000000-0005-0000-0000-0000E40D0000}"/>
    <cellStyle name="Comma 2 3 7 3 3 2 2" xfId="3554" xr:uid="{00000000-0005-0000-0000-0000E50D0000}"/>
    <cellStyle name="Comma 2 3 7 3 3 3" xfId="3555" xr:uid="{00000000-0005-0000-0000-0000E60D0000}"/>
    <cellStyle name="Comma 2 3 7 3 4" xfId="3556" xr:uid="{00000000-0005-0000-0000-0000E70D0000}"/>
    <cellStyle name="Comma 2 3 7 3 4 2" xfId="3557" xr:uid="{00000000-0005-0000-0000-0000E80D0000}"/>
    <cellStyle name="Comma 2 3 7 3 5" xfId="3558" xr:uid="{00000000-0005-0000-0000-0000E90D0000}"/>
    <cellStyle name="Comma 2 3 7 3 5 2" xfId="3559" xr:uid="{00000000-0005-0000-0000-0000EA0D0000}"/>
    <cellStyle name="Comma 2 3 7 3 6" xfId="3560" xr:uid="{00000000-0005-0000-0000-0000EB0D0000}"/>
    <cellStyle name="Comma 2 3 7 4" xfId="3561" xr:uid="{00000000-0005-0000-0000-0000EC0D0000}"/>
    <cellStyle name="Comma 2 3 7 4 2" xfId="3562" xr:uid="{00000000-0005-0000-0000-0000ED0D0000}"/>
    <cellStyle name="Comma 2 3 7 4 2 2" xfId="3563" xr:uid="{00000000-0005-0000-0000-0000EE0D0000}"/>
    <cellStyle name="Comma 2 3 7 4 2 2 2" xfId="3564" xr:uid="{00000000-0005-0000-0000-0000EF0D0000}"/>
    <cellStyle name="Comma 2 3 7 4 2 3" xfId="3565" xr:uid="{00000000-0005-0000-0000-0000F00D0000}"/>
    <cellStyle name="Comma 2 3 7 4 3" xfId="3566" xr:uid="{00000000-0005-0000-0000-0000F10D0000}"/>
    <cellStyle name="Comma 2 3 7 4 3 2" xfId="3567" xr:uid="{00000000-0005-0000-0000-0000F20D0000}"/>
    <cellStyle name="Comma 2 3 7 4 4" xfId="3568" xr:uid="{00000000-0005-0000-0000-0000F30D0000}"/>
    <cellStyle name="Comma 2 3 7 4 4 2" xfId="3569" xr:uid="{00000000-0005-0000-0000-0000F40D0000}"/>
    <cellStyle name="Comma 2 3 7 4 5" xfId="3570" xr:uid="{00000000-0005-0000-0000-0000F50D0000}"/>
    <cellStyle name="Comma 2 3 7 5" xfId="3571" xr:uid="{00000000-0005-0000-0000-0000F60D0000}"/>
    <cellStyle name="Comma 2 3 7 5 2" xfId="3572" xr:uid="{00000000-0005-0000-0000-0000F70D0000}"/>
    <cellStyle name="Comma 2 3 7 5 2 2" xfId="3573" xr:uid="{00000000-0005-0000-0000-0000F80D0000}"/>
    <cellStyle name="Comma 2 3 7 5 3" xfId="3574" xr:uid="{00000000-0005-0000-0000-0000F90D0000}"/>
    <cellStyle name="Comma 2 3 7 6" xfId="3575" xr:uid="{00000000-0005-0000-0000-0000FA0D0000}"/>
    <cellStyle name="Comma 2 3 7 6 2" xfId="3576" xr:uid="{00000000-0005-0000-0000-0000FB0D0000}"/>
    <cellStyle name="Comma 2 3 7 7" xfId="3577" xr:uid="{00000000-0005-0000-0000-0000FC0D0000}"/>
    <cellStyle name="Comma 2 3 7 7 2" xfId="3578" xr:uid="{00000000-0005-0000-0000-0000FD0D0000}"/>
    <cellStyle name="Comma 2 3 7 8" xfId="3579" xr:uid="{00000000-0005-0000-0000-0000FE0D0000}"/>
    <cellStyle name="Comma 2 3 8" xfId="3580" xr:uid="{00000000-0005-0000-0000-0000FF0D0000}"/>
    <cellStyle name="Comma 2 3 8 2" xfId="3581" xr:uid="{00000000-0005-0000-0000-0000000E0000}"/>
    <cellStyle name="Comma 2 3 8 2 2" xfId="3582" xr:uid="{00000000-0005-0000-0000-0000010E0000}"/>
    <cellStyle name="Comma 2 3 8 2 2 2" xfId="3583" xr:uid="{00000000-0005-0000-0000-0000020E0000}"/>
    <cellStyle name="Comma 2 3 8 2 2 2 2" xfId="3584" xr:uid="{00000000-0005-0000-0000-0000030E0000}"/>
    <cellStyle name="Comma 2 3 8 2 2 2 2 2" xfId="3585" xr:uid="{00000000-0005-0000-0000-0000040E0000}"/>
    <cellStyle name="Comma 2 3 8 2 2 2 3" xfId="3586" xr:uid="{00000000-0005-0000-0000-0000050E0000}"/>
    <cellStyle name="Comma 2 3 8 2 2 3" xfId="3587" xr:uid="{00000000-0005-0000-0000-0000060E0000}"/>
    <cellStyle name="Comma 2 3 8 2 2 3 2" xfId="3588" xr:uid="{00000000-0005-0000-0000-0000070E0000}"/>
    <cellStyle name="Comma 2 3 8 2 2 4" xfId="3589" xr:uid="{00000000-0005-0000-0000-0000080E0000}"/>
    <cellStyle name="Comma 2 3 8 2 2 4 2" xfId="3590" xr:uid="{00000000-0005-0000-0000-0000090E0000}"/>
    <cellStyle name="Comma 2 3 8 2 2 5" xfId="3591" xr:uid="{00000000-0005-0000-0000-00000A0E0000}"/>
    <cellStyle name="Comma 2 3 8 2 3" xfId="3592" xr:uid="{00000000-0005-0000-0000-00000B0E0000}"/>
    <cellStyle name="Comma 2 3 8 2 3 2" xfId="3593" xr:uid="{00000000-0005-0000-0000-00000C0E0000}"/>
    <cellStyle name="Comma 2 3 8 2 3 2 2" xfId="3594" xr:uid="{00000000-0005-0000-0000-00000D0E0000}"/>
    <cellStyle name="Comma 2 3 8 2 3 3" xfId="3595" xr:uid="{00000000-0005-0000-0000-00000E0E0000}"/>
    <cellStyle name="Comma 2 3 8 2 4" xfId="3596" xr:uid="{00000000-0005-0000-0000-00000F0E0000}"/>
    <cellStyle name="Comma 2 3 8 2 4 2" xfId="3597" xr:uid="{00000000-0005-0000-0000-0000100E0000}"/>
    <cellStyle name="Comma 2 3 8 2 5" xfId="3598" xr:uid="{00000000-0005-0000-0000-0000110E0000}"/>
    <cellStyle name="Comma 2 3 8 2 5 2" xfId="3599" xr:uid="{00000000-0005-0000-0000-0000120E0000}"/>
    <cellStyle name="Comma 2 3 8 2 6" xfId="3600" xr:uid="{00000000-0005-0000-0000-0000130E0000}"/>
    <cellStyle name="Comma 2 3 8 3" xfId="3601" xr:uid="{00000000-0005-0000-0000-0000140E0000}"/>
    <cellStyle name="Comma 2 3 8 3 2" xfId="3602" xr:uid="{00000000-0005-0000-0000-0000150E0000}"/>
    <cellStyle name="Comma 2 3 8 3 2 2" xfId="3603" xr:uid="{00000000-0005-0000-0000-0000160E0000}"/>
    <cellStyle name="Comma 2 3 8 3 2 2 2" xfId="3604" xr:uid="{00000000-0005-0000-0000-0000170E0000}"/>
    <cellStyle name="Comma 2 3 8 3 2 3" xfId="3605" xr:uid="{00000000-0005-0000-0000-0000180E0000}"/>
    <cellStyle name="Comma 2 3 8 3 3" xfId="3606" xr:uid="{00000000-0005-0000-0000-0000190E0000}"/>
    <cellStyle name="Comma 2 3 8 3 3 2" xfId="3607" xr:uid="{00000000-0005-0000-0000-00001A0E0000}"/>
    <cellStyle name="Comma 2 3 8 3 4" xfId="3608" xr:uid="{00000000-0005-0000-0000-00001B0E0000}"/>
    <cellStyle name="Comma 2 3 8 3 4 2" xfId="3609" xr:uid="{00000000-0005-0000-0000-00001C0E0000}"/>
    <cellStyle name="Comma 2 3 8 3 5" xfId="3610" xr:uid="{00000000-0005-0000-0000-00001D0E0000}"/>
    <cellStyle name="Comma 2 3 8 4" xfId="3611" xr:uid="{00000000-0005-0000-0000-00001E0E0000}"/>
    <cellStyle name="Comma 2 3 8 4 2" xfId="3612" xr:uid="{00000000-0005-0000-0000-00001F0E0000}"/>
    <cellStyle name="Comma 2 3 8 4 2 2" xfId="3613" xr:uid="{00000000-0005-0000-0000-0000200E0000}"/>
    <cellStyle name="Comma 2 3 8 4 3" xfId="3614" xr:uid="{00000000-0005-0000-0000-0000210E0000}"/>
    <cellStyle name="Comma 2 3 8 5" xfId="3615" xr:uid="{00000000-0005-0000-0000-0000220E0000}"/>
    <cellStyle name="Comma 2 3 8 5 2" xfId="3616" xr:uid="{00000000-0005-0000-0000-0000230E0000}"/>
    <cellStyle name="Comma 2 3 8 6" xfId="3617" xr:uid="{00000000-0005-0000-0000-0000240E0000}"/>
    <cellStyle name="Comma 2 3 8 6 2" xfId="3618" xr:uid="{00000000-0005-0000-0000-0000250E0000}"/>
    <cellStyle name="Comma 2 3 8 7" xfId="3619" xr:uid="{00000000-0005-0000-0000-0000260E0000}"/>
    <cellStyle name="Comma 2 3 9" xfId="3620" xr:uid="{00000000-0005-0000-0000-0000270E0000}"/>
    <cellStyle name="Comma 2 3 9 2" xfId="3621" xr:uid="{00000000-0005-0000-0000-0000280E0000}"/>
    <cellStyle name="Comma 2 3 9 2 2" xfId="3622" xr:uid="{00000000-0005-0000-0000-0000290E0000}"/>
    <cellStyle name="Comma 2 3 9 2 2 2" xfId="3623" xr:uid="{00000000-0005-0000-0000-00002A0E0000}"/>
    <cellStyle name="Comma 2 3 9 2 2 2 2" xfId="3624" xr:uid="{00000000-0005-0000-0000-00002B0E0000}"/>
    <cellStyle name="Comma 2 3 9 2 2 2 2 2" xfId="3625" xr:uid="{00000000-0005-0000-0000-00002C0E0000}"/>
    <cellStyle name="Comma 2 3 9 2 2 2 3" xfId="3626" xr:uid="{00000000-0005-0000-0000-00002D0E0000}"/>
    <cellStyle name="Comma 2 3 9 2 2 3" xfId="3627" xr:uid="{00000000-0005-0000-0000-00002E0E0000}"/>
    <cellStyle name="Comma 2 3 9 2 2 3 2" xfId="3628" xr:uid="{00000000-0005-0000-0000-00002F0E0000}"/>
    <cellStyle name="Comma 2 3 9 2 2 4" xfId="3629" xr:uid="{00000000-0005-0000-0000-0000300E0000}"/>
    <cellStyle name="Comma 2 3 9 2 2 4 2" xfId="3630" xr:uid="{00000000-0005-0000-0000-0000310E0000}"/>
    <cellStyle name="Comma 2 3 9 2 2 5" xfId="3631" xr:uid="{00000000-0005-0000-0000-0000320E0000}"/>
    <cellStyle name="Comma 2 3 9 2 3" xfId="3632" xr:uid="{00000000-0005-0000-0000-0000330E0000}"/>
    <cellStyle name="Comma 2 3 9 2 3 2" xfId="3633" xr:uid="{00000000-0005-0000-0000-0000340E0000}"/>
    <cellStyle name="Comma 2 3 9 2 3 2 2" xfId="3634" xr:uid="{00000000-0005-0000-0000-0000350E0000}"/>
    <cellStyle name="Comma 2 3 9 2 3 3" xfId="3635" xr:uid="{00000000-0005-0000-0000-0000360E0000}"/>
    <cellStyle name="Comma 2 3 9 2 4" xfId="3636" xr:uid="{00000000-0005-0000-0000-0000370E0000}"/>
    <cellStyle name="Comma 2 3 9 2 4 2" xfId="3637" xr:uid="{00000000-0005-0000-0000-0000380E0000}"/>
    <cellStyle name="Comma 2 3 9 2 5" xfId="3638" xr:uid="{00000000-0005-0000-0000-0000390E0000}"/>
    <cellStyle name="Comma 2 3 9 2 5 2" xfId="3639" xr:uid="{00000000-0005-0000-0000-00003A0E0000}"/>
    <cellStyle name="Comma 2 3 9 2 6" xfId="3640" xr:uid="{00000000-0005-0000-0000-00003B0E0000}"/>
    <cellStyle name="Comma 2 3 9 3" xfId="3641" xr:uid="{00000000-0005-0000-0000-00003C0E0000}"/>
    <cellStyle name="Comma 2 3 9 3 2" xfId="3642" xr:uid="{00000000-0005-0000-0000-00003D0E0000}"/>
    <cellStyle name="Comma 2 3 9 3 2 2" xfId="3643" xr:uid="{00000000-0005-0000-0000-00003E0E0000}"/>
    <cellStyle name="Comma 2 3 9 3 2 2 2" xfId="3644" xr:uid="{00000000-0005-0000-0000-00003F0E0000}"/>
    <cellStyle name="Comma 2 3 9 3 2 3" xfId="3645" xr:uid="{00000000-0005-0000-0000-0000400E0000}"/>
    <cellStyle name="Comma 2 3 9 3 3" xfId="3646" xr:uid="{00000000-0005-0000-0000-0000410E0000}"/>
    <cellStyle name="Comma 2 3 9 3 3 2" xfId="3647" xr:uid="{00000000-0005-0000-0000-0000420E0000}"/>
    <cellStyle name="Comma 2 3 9 3 4" xfId="3648" xr:uid="{00000000-0005-0000-0000-0000430E0000}"/>
    <cellStyle name="Comma 2 3 9 3 4 2" xfId="3649" xr:uid="{00000000-0005-0000-0000-0000440E0000}"/>
    <cellStyle name="Comma 2 3 9 3 5" xfId="3650" xr:uid="{00000000-0005-0000-0000-0000450E0000}"/>
    <cellStyle name="Comma 2 3 9 4" xfId="3651" xr:uid="{00000000-0005-0000-0000-0000460E0000}"/>
    <cellStyle name="Comma 2 3 9 4 2" xfId="3652" xr:uid="{00000000-0005-0000-0000-0000470E0000}"/>
    <cellStyle name="Comma 2 3 9 4 2 2" xfId="3653" xr:uid="{00000000-0005-0000-0000-0000480E0000}"/>
    <cellStyle name="Comma 2 3 9 4 3" xfId="3654" xr:uid="{00000000-0005-0000-0000-0000490E0000}"/>
    <cellStyle name="Comma 2 3 9 5" xfId="3655" xr:uid="{00000000-0005-0000-0000-00004A0E0000}"/>
    <cellStyle name="Comma 2 3 9 5 2" xfId="3656" xr:uid="{00000000-0005-0000-0000-00004B0E0000}"/>
    <cellStyle name="Comma 2 3 9 6" xfId="3657" xr:uid="{00000000-0005-0000-0000-00004C0E0000}"/>
    <cellStyle name="Comma 2 3 9 6 2" xfId="3658" xr:uid="{00000000-0005-0000-0000-00004D0E0000}"/>
    <cellStyle name="Comma 2 3 9 7" xfId="3659" xr:uid="{00000000-0005-0000-0000-00004E0E0000}"/>
    <cellStyle name="Comma 2 4" xfId="3660" xr:uid="{00000000-0005-0000-0000-00004F0E0000}"/>
    <cellStyle name="Comma 2 4 10" xfId="3661" xr:uid="{00000000-0005-0000-0000-0000500E0000}"/>
    <cellStyle name="Comma 2 4 10 2" xfId="3662" xr:uid="{00000000-0005-0000-0000-0000510E0000}"/>
    <cellStyle name="Comma 2 4 10 2 2" xfId="3663" xr:uid="{00000000-0005-0000-0000-0000520E0000}"/>
    <cellStyle name="Comma 2 4 10 2 2 2" xfId="3664" xr:uid="{00000000-0005-0000-0000-0000530E0000}"/>
    <cellStyle name="Comma 2 4 10 2 2 2 2" xfId="3665" xr:uid="{00000000-0005-0000-0000-0000540E0000}"/>
    <cellStyle name="Comma 2 4 10 2 2 3" xfId="3666" xr:uid="{00000000-0005-0000-0000-0000550E0000}"/>
    <cellStyle name="Comma 2 4 10 2 3" xfId="3667" xr:uid="{00000000-0005-0000-0000-0000560E0000}"/>
    <cellStyle name="Comma 2 4 10 2 3 2" xfId="3668" xr:uid="{00000000-0005-0000-0000-0000570E0000}"/>
    <cellStyle name="Comma 2 4 10 2 4" xfId="3669" xr:uid="{00000000-0005-0000-0000-0000580E0000}"/>
    <cellStyle name="Comma 2 4 10 2 4 2" xfId="3670" xr:uid="{00000000-0005-0000-0000-0000590E0000}"/>
    <cellStyle name="Comma 2 4 10 2 5" xfId="3671" xr:uid="{00000000-0005-0000-0000-00005A0E0000}"/>
    <cellStyle name="Comma 2 4 10 3" xfId="3672" xr:uid="{00000000-0005-0000-0000-00005B0E0000}"/>
    <cellStyle name="Comma 2 4 10 3 2" xfId="3673" xr:uid="{00000000-0005-0000-0000-00005C0E0000}"/>
    <cellStyle name="Comma 2 4 10 3 2 2" xfId="3674" xr:uid="{00000000-0005-0000-0000-00005D0E0000}"/>
    <cellStyle name="Comma 2 4 10 3 3" xfId="3675" xr:uid="{00000000-0005-0000-0000-00005E0E0000}"/>
    <cellStyle name="Comma 2 4 10 4" xfId="3676" xr:uid="{00000000-0005-0000-0000-00005F0E0000}"/>
    <cellStyle name="Comma 2 4 10 4 2" xfId="3677" xr:uid="{00000000-0005-0000-0000-0000600E0000}"/>
    <cellStyle name="Comma 2 4 10 5" xfId="3678" xr:uid="{00000000-0005-0000-0000-0000610E0000}"/>
    <cellStyle name="Comma 2 4 10 5 2" xfId="3679" xr:uid="{00000000-0005-0000-0000-0000620E0000}"/>
    <cellStyle name="Comma 2 4 10 6" xfId="3680" xr:uid="{00000000-0005-0000-0000-0000630E0000}"/>
    <cellStyle name="Comma 2 4 11" xfId="3681" xr:uid="{00000000-0005-0000-0000-0000640E0000}"/>
    <cellStyle name="Comma 2 4 11 2" xfId="3682" xr:uid="{00000000-0005-0000-0000-0000650E0000}"/>
    <cellStyle name="Comma 2 4 11 2 2" xfId="3683" xr:uid="{00000000-0005-0000-0000-0000660E0000}"/>
    <cellStyle name="Comma 2 4 11 2 2 2" xfId="3684" xr:uid="{00000000-0005-0000-0000-0000670E0000}"/>
    <cellStyle name="Comma 2 4 11 2 3" xfId="3685" xr:uid="{00000000-0005-0000-0000-0000680E0000}"/>
    <cellStyle name="Comma 2 4 11 3" xfId="3686" xr:uid="{00000000-0005-0000-0000-0000690E0000}"/>
    <cellStyle name="Comma 2 4 11 3 2" xfId="3687" xr:uid="{00000000-0005-0000-0000-00006A0E0000}"/>
    <cellStyle name="Comma 2 4 11 4" xfId="3688" xr:uid="{00000000-0005-0000-0000-00006B0E0000}"/>
    <cellStyle name="Comma 2 4 11 4 2" xfId="3689" xr:uid="{00000000-0005-0000-0000-00006C0E0000}"/>
    <cellStyle name="Comma 2 4 11 5" xfId="3690" xr:uid="{00000000-0005-0000-0000-00006D0E0000}"/>
    <cellStyle name="Comma 2 4 12" xfId="3691" xr:uid="{00000000-0005-0000-0000-00006E0E0000}"/>
    <cellStyle name="Comma 2 4 12 2" xfId="3692" xr:uid="{00000000-0005-0000-0000-00006F0E0000}"/>
    <cellStyle name="Comma 2 4 12 2 2" xfId="3693" xr:uid="{00000000-0005-0000-0000-0000700E0000}"/>
    <cellStyle name="Comma 2 4 12 3" xfId="3694" xr:uid="{00000000-0005-0000-0000-0000710E0000}"/>
    <cellStyle name="Comma 2 4 13" xfId="3695" xr:uid="{00000000-0005-0000-0000-0000720E0000}"/>
    <cellStyle name="Comma 2 4 13 2" xfId="3696" xr:uid="{00000000-0005-0000-0000-0000730E0000}"/>
    <cellStyle name="Comma 2 4 14" xfId="3697" xr:uid="{00000000-0005-0000-0000-0000740E0000}"/>
    <cellStyle name="Comma 2 4 14 2" xfId="3698" xr:uid="{00000000-0005-0000-0000-0000750E0000}"/>
    <cellStyle name="Comma 2 4 15" xfId="3699" xr:uid="{00000000-0005-0000-0000-0000760E0000}"/>
    <cellStyle name="Comma 2 4 2" xfId="3700" xr:uid="{00000000-0005-0000-0000-0000770E0000}"/>
    <cellStyle name="Comma 2 4 2 10" xfId="3701" xr:uid="{00000000-0005-0000-0000-0000780E0000}"/>
    <cellStyle name="Comma 2 4 2 10 2" xfId="3702" xr:uid="{00000000-0005-0000-0000-0000790E0000}"/>
    <cellStyle name="Comma 2 4 2 11" xfId="3703" xr:uid="{00000000-0005-0000-0000-00007A0E0000}"/>
    <cellStyle name="Comma 2 4 2 11 2" xfId="3704" xr:uid="{00000000-0005-0000-0000-00007B0E0000}"/>
    <cellStyle name="Comma 2 4 2 12" xfId="3705" xr:uid="{00000000-0005-0000-0000-00007C0E0000}"/>
    <cellStyle name="Comma 2 4 2 2" xfId="3706" xr:uid="{00000000-0005-0000-0000-00007D0E0000}"/>
    <cellStyle name="Comma 2 4 2 2 2" xfId="3707" xr:uid="{00000000-0005-0000-0000-00007E0E0000}"/>
    <cellStyle name="Comma 2 4 2 2 2 2" xfId="3708" xr:uid="{00000000-0005-0000-0000-00007F0E0000}"/>
    <cellStyle name="Comma 2 4 2 2 2 2 2" xfId="3709" xr:uid="{00000000-0005-0000-0000-0000800E0000}"/>
    <cellStyle name="Comma 2 4 2 2 2 2 2 2" xfId="3710" xr:uid="{00000000-0005-0000-0000-0000810E0000}"/>
    <cellStyle name="Comma 2 4 2 2 2 2 2 2 2" xfId="3711" xr:uid="{00000000-0005-0000-0000-0000820E0000}"/>
    <cellStyle name="Comma 2 4 2 2 2 2 2 2 2 2" xfId="3712" xr:uid="{00000000-0005-0000-0000-0000830E0000}"/>
    <cellStyle name="Comma 2 4 2 2 2 2 2 2 3" xfId="3713" xr:uid="{00000000-0005-0000-0000-0000840E0000}"/>
    <cellStyle name="Comma 2 4 2 2 2 2 2 3" xfId="3714" xr:uid="{00000000-0005-0000-0000-0000850E0000}"/>
    <cellStyle name="Comma 2 4 2 2 2 2 2 3 2" xfId="3715" xr:uid="{00000000-0005-0000-0000-0000860E0000}"/>
    <cellStyle name="Comma 2 4 2 2 2 2 2 4" xfId="3716" xr:uid="{00000000-0005-0000-0000-0000870E0000}"/>
    <cellStyle name="Comma 2 4 2 2 2 2 2 4 2" xfId="3717" xr:uid="{00000000-0005-0000-0000-0000880E0000}"/>
    <cellStyle name="Comma 2 4 2 2 2 2 2 5" xfId="3718" xr:uid="{00000000-0005-0000-0000-0000890E0000}"/>
    <cellStyle name="Comma 2 4 2 2 2 2 3" xfId="3719" xr:uid="{00000000-0005-0000-0000-00008A0E0000}"/>
    <cellStyle name="Comma 2 4 2 2 2 2 3 2" xfId="3720" xr:uid="{00000000-0005-0000-0000-00008B0E0000}"/>
    <cellStyle name="Comma 2 4 2 2 2 2 3 2 2" xfId="3721" xr:uid="{00000000-0005-0000-0000-00008C0E0000}"/>
    <cellStyle name="Comma 2 4 2 2 2 2 3 3" xfId="3722" xr:uid="{00000000-0005-0000-0000-00008D0E0000}"/>
    <cellStyle name="Comma 2 4 2 2 2 2 4" xfId="3723" xr:uid="{00000000-0005-0000-0000-00008E0E0000}"/>
    <cellStyle name="Comma 2 4 2 2 2 2 4 2" xfId="3724" xr:uid="{00000000-0005-0000-0000-00008F0E0000}"/>
    <cellStyle name="Comma 2 4 2 2 2 2 5" xfId="3725" xr:uid="{00000000-0005-0000-0000-0000900E0000}"/>
    <cellStyle name="Comma 2 4 2 2 2 2 5 2" xfId="3726" xr:uid="{00000000-0005-0000-0000-0000910E0000}"/>
    <cellStyle name="Comma 2 4 2 2 2 2 6" xfId="3727" xr:uid="{00000000-0005-0000-0000-0000920E0000}"/>
    <cellStyle name="Comma 2 4 2 2 2 3" xfId="3728" xr:uid="{00000000-0005-0000-0000-0000930E0000}"/>
    <cellStyle name="Comma 2 4 2 2 2 3 2" xfId="3729" xr:uid="{00000000-0005-0000-0000-0000940E0000}"/>
    <cellStyle name="Comma 2 4 2 2 2 3 2 2" xfId="3730" xr:uid="{00000000-0005-0000-0000-0000950E0000}"/>
    <cellStyle name="Comma 2 4 2 2 2 3 2 2 2" xfId="3731" xr:uid="{00000000-0005-0000-0000-0000960E0000}"/>
    <cellStyle name="Comma 2 4 2 2 2 3 2 3" xfId="3732" xr:uid="{00000000-0005-0000-0000-0000970E0000}"/>
    <cellStyle name="Comma 2 4 2 2 2 3 3" xfId="3733" xr:uid="{00000000-0005-0000-0000-0000980E0000}"/>
    <cellStyle name="Comma 2 4 2 2 2 3 3 2" xfId="3734" xr:uid="{00000000-0005-0000-0000-0000990E0000}"/>
    <cellStyle name="Comma 2 4 2 2 2 3 4" xfId="3735" xr:uid="{00000000-0005-0000-0000-00009A0E0000}"/>
    <cellStyle name="Comma 2 4 2 2 2 3 4 2" xfId="3736" xr:uid="{00000000-0005-0000-0000-00009B0E0000}"/>
    <cellStyle name="Comma 2 4 2 2 2 3 5" xfId="3737" xr:uid="{00000000-0005-0000-0000-00009C0E0000}"/>
    <cellStyle name="Comma 2 4 2 2 2 4" xfId="3738" xr:uid="{00000000-0005-0000-0000-00009D0E0000}"/>
    <cellStyle name="Comma 2 4 2 2 2 4 2" xfId="3739" xr:uid="{00000000-0005-0000-0000-00009E0E0000}"/>
    <cellStyle name="Comma 2 4 2 2 2 4 2 2" xfId="3740" xr:uid="{00000000-0005-0000-0000-00009F0E0000}"/>
    <cellStyle name="Comma 2 4 2 2 2 4 3" xfId="3741" xr:uid="{00000000-0005-0000-0000-0000A00E0000}"/>
    <cellStyle name="Comma 2 4 2 2 2 5" xfId="3742" xr:uid="{00000000-0005-0000-0000-0000A10E0000}"/>
    <cellStyle name="Comma 2 4 2 2 2 5 2" xfId="3743" xr:uid="{00000000-0005-0000-0000-0000A20E0000}"/>
    <cellStyle name="Comma 2 4 2 2 2 6" xfId="3744" xr:uid="{00000000-0005-0000-0000-0000A30E0000}"/>
    <cellStyle name="Comma 2 4 2 2 2 6 2" xfId="3745" xr:uid="{00000000-0005-0000-0000-0000A40E0000}"/>
    <cellStyle name="Comma 2 4 2 2 2 7" xfId="3746" xr:uid="{00000000-0005-0000-0000-0000A50E0000}"/>
    <cellStyle name="Comma 2 4 2 2 3" xfId="3747" xr:uid="{00000000-0005-0000-0000-0000A60E0000}"/>
    <cellStyle name="Comma 2 4 2 2 3 2" xfId="3748" xr:uid="{00000000-0005-0000-0000-0000A70E0000}"/>
    <cellStyle name="Comma 2 4 2 2 3 2 2" xfId="3749" xr:uid="{00000000-0005-0000-0000-0000A80E0000}"/>
    <cellStyle name="Comma 2 4 2 2 3 2 2 2" xfId="3750" xr:uid="{00000000-0005-0000-0000-0000A90E0000}"/>
    <cellStyle name="Comma 2 4 2 2 3 2 2 2 2" xfId="3751" xr:uid="{00000000-0005-0000-0000-0000AA0E0000}"/>
    <cellStyle name="Comma 2 4 2 2 3 2 2 2 2 2" xfId="3752" xr:uid="{00000000-0005-0000-0000-0000AB0E0000}"/>
    <cellStyle name="Comma 2 4 2 2 3 2 2 2 3" xfId="3753" xr:uid="{00000000-0005-0000-0000-0000AC0E0000}"/>
    <cellStyle name="Comma 2 4 2 2 3 2 2 3" xfId="3754" xr:uid="{00000000-0005-0000-0000-0000AD0E0000}"/>
    <cellStyle name="Comma 2 4 2 2 3 2 2 3 2" xfId="3755" xr:uid="{00000000-0005-0000-0000-0000AE0E0000}"/>
    <cellStyle name="Comma 2 4 2 2 3 2 2 4" xfId="3756" xr:uid="{00000000-0005-0000-0000-0000AF0E0000}"/>
    <cellStyle name="Comma 2 4 2 2 3 2 2 4 2" xfId="3757" xr:uid="{00000000-0005-0000-0000-0000B00E0000}"/>
    <cellStyle name="Comma 2 4 2 2 3 2 2 5" xfId="3758" xr:uid="{00000000-0005-0000-0000-0000B10E0000}"/>
    <cellStyle name="Comma 2 4 2 2 3 2 3" xfId="3759" xr:uid="{00000000-0005-0000-0000-0000B20E0000}"/>
    <cellStyle name="Comma 2 4 2 2 3 2 3 2" xfId="3760" xr:uid="{00000000-0005-0000-0000-0000B30E0000}"/>
    <cellStyle name="Comma 2 4 2 2 3 2 3 2 2" xfId="3761" xr:uid="{00000000-0005-0000-0000-0000B40E0000}"/>
    <cellStyle name="Comma 2 4 2 2 3 2 3 3" xfId="3762" xr:uid="{00000000-0005-0000-0000-0000B50E0000}"/>
    <cellStyle name="Comma 2 4 2 2 3 2 4" xfId="3763" xr:uid="{00000000-0005-0000-0000-0000B60E0000}"/>
    <cellStyle name="Comma 2 4 2 2 3 2 4 2" xfId="3764" xr:uid="{00000000-0005-0000-0000-0000B70E0000}"/>
    <cellStyle name="Comma 2 4 2 2 3 2 5" xfId="3765" xr:uid="{00000000-0005-0000-0000-0000B80E0000}"/>
    <cellStyle name="Comma 2 4 2 2 3 2 5 2" xfId="3766" xr:uid="{00000000-0005-0000-0000-0000B90E0000}"/>
    <cellStyle name="Comma 2 4 2 2 3 2 6" xfId="3767" xr:uid="{00000000-0005-0000-0000-0000BA0E0000}"/>
    <cellStyle name="Comma 2 4 2 2 3 3" xfId="3768" xr:uid="{00000000-0005-0000-0000-0000BB0E0000}"/>
    <cellStyle name="Comma 2 4 2 2 3 3 2" xfId="3769" xr:uid="{00000000-0005-0000-0000-0000BC0E0000}"/>
    <cellStyle name="Comma 2 4 2 2 3 3 2 2" xfId="3770" xr:uid="{00000000-0005-0000-0000-0000BD0E0000}"/>
    <cellStyle name="Comma 2 4 2 2 3 3 2 2 2" xfId="3771" xr:uid="{00000000-0005-0000-0000-0000BE0E0000}"/>
    <cellStyle name="Comma 2 4 2 2 3 3 2 3" xfId="3772" xr:uid="{00000000-0005-0000-0000-0000BF0E0000}"/>
    <cellStyle name="Comma 2 4 2 2 3 3 3" xfId="3773" xr:uid="{00000000-0005-0000-0000-0000C00E0000}"/>
    <cellStyle name="Comma 2 4 2 2 3 3 3 2" xfId="3774" xr:uid="{00000000-0005-0000-0000-0000C10E0000}"/>
    <cellStyle name="Comma 2 4 2 2 3 3 4" xfId="3775" xr:uid="{00000000-0005-0000-0000-0000C20E0000}"/>
    <cellStyle name="Comma 2 4 2 2 3 3 4 2" xfId="3776" xr:uid="{00000000-0005-0000-0000-0000C30E0000}"/>
    <cellStyle name="Comma 2 4 2 2 3 3 5" xfId="3777" xr:uid="{00000000-0005-0000-0000-0000C40E0000}"/>
    <cellStyle name="Comma 2 4 2 2 3 4" xfId="3778" xr:uid="{00000000-0005-0000-0000-0000C50E0000}"/>
    <cellStyle name="Comma 2 4 2 2 3 4 2" xfId="3779" xr:uid="{00000000-0005-0000-0000-0000C60E0000}"/>
    <cellStyle name="Comma 2 4 2 2 3 4 2 2" xfId="3780" xr:uid="{00000000-0005-0000-0000-0000C70E0000}"/>
    <cellStyle name="Comma 2 4 2 2 3 4 3" xfId="3781" xr:uid="{00000000-0005-0000-0000-0000C80E0000}"/>
    <cellStyle name="Comma 2 4 2 2 3 5" xfId="3782" xr:uid="{00000000-0005-0000-0000-0000C90E0000}"/>
    <cellStyle name="Comma 2 4 2 2 3 5 2" xfId="3783" xr:uid="{00000000-0005-0000-0000-0000CA0E0000}"/>
    <cellStyle name="Comma 2 4 2 2 3 6" xfId="3784" xr:uid="{00000000-0005-0000-0000-0000CB0E0000}"/>
    <cellStyle name="Comma 2 4 2 2 3 6 2" xfId="3785" xr:uid="{00000000-0005-0000-0000-0000CC0E0000}"/>
    <cellStyle name="Comma 2 4 2 2 3 7" xfId="3786" xr:uid="{00000000-0005-0000-0000-0000CD0E0000}"/>
    <cellStyle name="Comma 2 4 2 2 4" xfId="3787" xr:uid="{00000000-0005-0000-0000-0000CE0E0000}"/>
    <cellStyle name="Comma 2 4 2 2 4 2" xfId="3788" xr:uid="{00000000-0005-0000-0000-0000CF0E0000}"/>
    <cellStyle name="Comma 2 4 2 2 4 2 2" xfId="3789" xr:uid="{00000000-0005-0000-0000-0000D00E0000}"/>
    <cellStyle name="Comma 2 4 2 2 4 2 2 2" xfId="3790" xr:uid="{00000000-0005-0000-0000-0000D10E0000}"/>
    <cellStyle name="Comma 2 4 2 2 4 2 2 2 2" xfId="3791" xr:uid="{00000000-0005-0000-0000-0000D20E0000}"/>
    <cellStyle name="Comma 2 4 2 2 4 2 2 3" xfId="3792" xr:uid="{00000000-0005-0000-0000-0000D30E0000}"/>
    <cellStyle name="Comma 2 4 2 2 4 2 3" xfId="3793" xr:uid="{00000000-0005-0000-0000-0000D40E0000}"/>
    <cellStyle name="Comma 2 4 2 2 4 2 3 2" xfId="3794" xr:uid="{00000000-0005-0000-0000-0000D50E0000}"/>
    <cellStyle name="Comma 2 4 2 2 4 2 4" xfId="3795" xr:uid="{00000000-0005-0000-0000-0000D60E0000}"/>
    <cellStyle name="Comma 2 4 2 2 4 2 4 2" xfId="3796" xr:uid="{00000000-0005-0000-0000-0000D70E0000}"/>
    <cellStyle name="Comma 2 4 2 2 4 2 5" xfId="3797" xr:uid="{00000000-0005-0000-0000-0000D80E0000}"/>
    <cellStyle name="Comma 2 4 2 2 4 3" xfId="3798" xr:uid="{00000000-0005-0000-0000-0000D90E0000}"/>
    <cellStyle name="Comma 2 4 2 2 4 3 2" xfId="3799" xr:uid="{00000000-0005-0000-0000-0000DA0E0000}"/>
    <cellStyle name="Comma 2 4 2 2 4 3 2 2" xfId="3800" xr:uid="{00000000-0005-0000-0000-0000DB0E0000}"/>
    <cellStyle name="Comma 2 4 2 2 4 3 3" xfId="3801" xr:uid="{00000000-0005-0000-0000-0000DC0E0000}"/>
    <cellStyle name="Comma 2 4 2 2 4 4" xfId="3802" xr:uid="{00000000-0005-0000-0000-0000DD0E0000}"/>
    <cellStyle name="Comma 2 4 2 2 4 4 2" xfId="3803" xr:uid="{00000000-0005-0000-0000-0000DE0E0000}"/>
    <cellStyle name="Comma 2 4 2 2 4 5" xfId="3804" xr:uid="{00000000-0005-0000-0000-0000DF0E0000}"/>
    <cellStyle name="Comma 2 4 2 2 4 5 2" xfId="3805" xr:uid="{00000000-0005-0000-0000-0000E00E0000}"/>
    <cellStyle name="Comma 2 4 2 2 4 6" xfId="3806" xr:uid="{00000000-0005-0000-0000-0000E10E0000}"/>
    <cellStyle name="Comma 2 4 2 2 5" xfId="3807" xr:uid="{00000000-0005-0000-0000-0000E20E0000}"/>
    <cellStyle name="Comma 2 4 2 2 5 2" xfId="3808" xr:uid="{00000000-0005-0000-0000-0000E30E0000}"/>
    <cellStyle name="Comma 2 4 2 2 5 2 2" xfId="3809" xr:uid="{00000000-0005-0000-0000-0000E40E0000}"/>
    <cellStyle name="Comma 2 4 2 2 5 2 2 2" xfId="3810" xr:uid="{00000000-0005-0000-0000-0000E50E0000}"/>
    <cellStyle name="Comma 2 4 2 2 5 2 3" xfId="3811" xr:uid="{00000000-0005-0000-0000-0000E60E0000}"/>
    <cellStyle name="Comma 2 4 2 2 5 3" xfId="3812" xr:uid="{00000000-0005-0000-0000-0000E70E0000}"/>
    <cellStyle name="Comma 2 4 2 2 5 3 2" xfId="3813" xr:uid="{00000000-0005-0000-0000-0000E80E0000}"/>
    <cellStyle name="Comma 2 4 2 2 5 4" xfId="3814" xr:uid="{00000000-0005-0000-0000-0000E90E0000}"/>
    <cellStyle name="Comma 2 4 2 2 5 4 2" xfId="3815" xr:uid="{00000000-0005-0000-0000-0000EA0E0000}"/>
    <cellStyle name="Comma 2 4 2 2 5 5" xfId="3816" xr:uid="{00000000-0005-0000-0000-0000EB0E0000}"/>
    <cellStyle name="Comma 2 4 2 2 6" xfId="3817" xr:uid="{00000000-0005-0000-0000-0000EC0E0000}"/>
    <cellStyle name="Comma 2 4 2 2 6 2" xfId="3818" xr:uid="{00000000-0005-0000-0000-0000ED0E0000}"/>
    <cellStyle name="Comma 2 4 2 2 6 2 2" xfId="3819" xr:uid="{00000000-0005-0000-0000-0000EE0E0000}"/>
    <cellStyle name="Comma 2 4 2 2 6 3" xfId="3820" xr:uid="{00000000-0005-0000-0000-0000EF0E0000}"/>
    <cellStyle name="Comma 2 4 2 2 7" xfId="3821" xr:uid="{00000000-0005-0000-0000-0000F00E0000}"/>
    <cellStyle name="Comma 2 4 2 2 7 2" xfId="3822" xr:uid="{00000000-0005-0000-0000-0000F10E0000}"/>
    <cellStyle name="Comma 2 4 2 2 8" xfId="3823" xr:uid="{00000000-0005-0000-0000-0000F20E0000}"/>
    <cellStyle name="Comma 2 4 2 2 8 2" xfId="3824" xr:uid="{00000000-0005-0000-0000-0000F30E0000}"/>
    <cellStyle name="Comma 2 4 2 2 9" xfId="3825" xr:uid="{00000000-0005-0000-0000-0000F40E0000}"/>
    <cellStyle name="Comma 2 4 2 3" xfId="3826" xr:uid="{00000000-0005-0000-0000-0000F50E0000}"/>
    <cellStyle name="Comma 2 4 2 3 2" xfId="3827" xr:uid="{00000000-0005-0000-0000-0000F60E0000}"/>
    <cellStyle name="Comma 2 4 2 3 2 2" xfId="3828" xr:uid="{00000000-0005-0000-0000-0000F70E0000}"/>
    <cellStyle name="Comma 2 4 2 3 2 2 2" xfId="3829" xr:uid="{00000000-0005-0000-0000-0000F80E0000}"/>
    <cellStyle name="Comma 2 4 2 3 2 2 2 2" xfId="3830" xr:uid="{00000000-0005-0000-0000-0000F90E0000}"/>
    <cellStyle name="Comma 2 4 2 3 2 2 2 2 2" xfId="3831" xr:uid="{00000000-0005-0000-0000-0000FA0E0000}"/>
    <cellStyle name="Comma 2 4 2 3 2 2 2 2 2 2" xfId="3832" xr:uid="{00000000-0005-0000-0000-0000FB0E0000}"/>
    <cellStyle name="Comma 2 4 2 3 2 2 2 2 3" xfId="3833" xr:uid="{00000000-0005-0000-0000-0000FC0E0000}"/>
    <cellStyle name="Comma 2 4 2 3 2 2 2 3" xfId="3834" xr:uid="{00000000-0005-0000-0000-0000FD0E0000}"/>
    <cellStyle name="Comma 2 4 2 3 2 2 2 3 2" xfId="3835" xr:uid="{00000000-0005-0000-0000-0000FE0E0000}"/>
    <cellStyle name="Comma 2 4 2 3 2 2 2 4" xfId="3836" xr:uid="{00000000-0005-0000-0000-0000FF0E0000}"/>
    <cellStyle name="Comma 2 4 2 3 2 2 2 4 2" xfId="3837" xr:uid="{00000000-0005-0000-0000-0000000F0000}"/>
    <cellStyle name="Comma 2 4 2 3 2 2 2 5" xfId="3838" xr:uid="{00000000-0005-0000-0000-0000010F0000}"/>
    <cellStyle name="Comma 2 4 2 3 2 2 3" xfId="3839" xr:uid="{00000000-0005-0000-0000-0000020F0000}"/>
    <cellStyle name="Comma 2 4 2 3 2 2 3 2" xfId="3840" xr:uid="{00000000-0005-0000-0000-0000030F0000}"/>
    <cellStyle name="Comma 2 4 2 3 2 2 3 2 2" xfId="3841" xr:uid="{00000000-0005-0000-0000-0000040F0000}"/>
    <cellStyle name="Comma 2 4 2 3 2 2 3 3" xfId="3842" xr:uid="{00000000-0005-0000-0000-0000050F0000}"/>
    <cellStyle name="Comma 2 4 2 3 2 2 4" xfId="3843" xr:uid="{00000000-0005-0000-0000-0000060F0000}"/>
    <cellStyle name="Comma 2 4 2 3 2 2 4 2" xfId="3844" xr:uid="{00000000-0005-0000-0000-0000070F0000}"/>
    <cellStyle name="Comma 2 4 2 3 2 2 5" xfId="3845" xr:uid="{00000000-0005-0000-0000-0000080F0000}"/>
    <cellStyle name="Comma 2 4 2 3 2 2 5 2" xfId="3846" xr:uid="{00000000-0005-0000-0000-0000090F0000}"/>
    <cellStyle name="Comma 2 4 2 3 2 2 6" xfId="3847" xr:uid="{00000000-0005-0000-0000-00000A0F0000}"/>
    <cellStyle name="Comma 2 4 2 3 2 3" xfId="3848" xr:uid="{00000000-0005-0000-0000-00000B0F0000}"/>
    <cellStyle name="Comma 2 4 2 3 2 3 2" xfId="3849" xr:uid="{00000000-0005-0000-0000-00000C0F0000}"/>
    <cellStyle name="Comma 2 4 2 3 2 3 2 2" xfId="3850" xr:uid="{00000000-0005-0000-0000-00000D0F0000}"/>
    <cellStyle name="Comma 2 4 2 3 2 3 2 2 2" xfId="3851" xr:uid="{00000000-0005-0000-0000-00000E0F0000}"/>
    <cellStyle name="Comma 2 4 2 3 2 3 2 3" xfId="3852" xr:uid="{00000000-0005-0000-0000-00000F0F0000}"/>
    <cellStyle name="Comma 2 4 2 3 2 3 3" xfId="3853" xr:uid="{00000000-0005-0000-0000-0000100F0000}"/>
    <cellStyle name="Comma 2 4 2 3 2 3 3 2" xfId="3854" xr:uid="{00000000-0005-0000-0000-0000110F0000}"/>
    <cellStyle name="Comma 2 4 2 3 2 3 4" xfId="3855" xr:uid="{00000000-0005-0000-0000-0000120F0000}"/>
    <cellStyle name="Comma 2 4 2 3 2 3 4 2" xfId="3856" xr:uid="{00000000-0005-0000-0000-0000130F0000}"/>
    <cellStyle name="Comma 2 4 2 3 2 3 5" xfId="3857" xr:uid="{00000000-0005-0000-0000-0000140F0000}"/>
    <cellStyle name="Comma 2 4 2 3 2 4" xfId="3858" xr:uid="{00000000-0005-0000-0000-0000150F0000}"/>
    <cellStyle name="Comma 2 4 2 3 2 4 2" xfId="3859" xr:uid="{00000000-0005-0000-0000-0000160F0000}"/>
    <cellStyle name="Comma 2 4 2 3 2 4 2 2" xfId="3860" xr:uid="{00000000-0005-0000-0000-0000170F0000}"/>
    <cellStyle name="Comma 2 4 2 3 2 4 3" xfId="3861" xr:uid="{00000000-0005-0000-0000-0000180F0000}"/>
    <cellStyle name="Comma 2 4 2 3 2 5" xfId="3862" xr:uid="{00000000-0005-0000-0000-0000190F0000}"/>
    <cellStyle name="Comma 2 4 2 3 2 5 2" xfId="3863" xr:uid="{00000000-0005-0000-0000-00001A0F0000}"/>
    <cellStyle name="Comma 2 4 2 3 2 6" xfId="3864" xr:uid="{00000000-0005-0000-0000-00001B0F0000}"/>
    <cellStyle name="Comma 2 4 2 3 2 6 2" xfId="3865" xr:uid="{00000000-0005-0000-0000-00001C0F0000}"/>
    <cellStyle name="Comma 2 4 2 3 2 7" xfId="3866" xr:uid="{00000000-0005-0000-0000-00001D0F0000}"/>
    <cellStyle name="Comma 2 4 2 3 3" xfId="3867" xr:uid="{00000000-0005-0000-0000-00001E0F0000}"/>
    <cellStyle name="Comma 2 4 2 3 3 2" xfId="3868" xr:uid="{00000000-0005-0000-0000-00001F0F0000}"/>
    <cellStyle name="Comma 2 4 2 3 3 2 2" xfId="3869" xr:uid="{00000000-0005-0000-0000-0000200F0000}"/>
    <cellStyle name="Comma 2 4 2 3 3 2 2 2" xfId="3870" xr:uid="{00000000-0005-0000-0000-0000210F0000}"/>
    <cellStyle name="Comma 2 4 2 3 3 2 2 2 2" xfId="3871" xr:uid="{00000000-0005-0000-0000-0000220F0000}"/>
    <cellStyle name="Comma 2 4 2 3 3 2 2 2 2 2" xfId="3872" xr:uid="{00000000-0005-0000-0000-0000230F0000}"/>
    <cellStyle name="Comma 2 4 2 3 3 2 2 2 3" xfId="3873" xr:uid="{00000000-0005-0000-0000-0000240F0000}"/>
    <cellStyle name="Comma 2 4 2 3 3 2 2 3" xfId="3874" xr:uid="{00000000-0005-0000-0000-0000250F0000}"/>
    <cellStyle name="Comma 2 4 2 3 3 2 2 3 2" xfId="3875" xr:uid="{00000000-0005-0000-0000-0000260F0000}"/>
    <cellStyle name="Comma 2 4 2 3 3 2 2 4" xfId="3876" xr:uid="{00000000-0005-0000-0000-0000270F0000}"/>
    <cellStyle name="Comma 2 4 2 3 3 2 2 4 2" xfId="3877" xr:uid="{00000000-0005-0000-0000-0000280F0000}"/>
    <cellStyle name="Comma 2 4 2 3 3 2 2 5" xfId="3878" xr:uid="{00000000-0005-0000-0000-0000290F0000}"/>
    <cellStyle name="Comma 2 4 2 3 3 2 3" xfId="3879" xr:uid="{00000000-0005-0000-0000-00002A0F0000}"/>
    <cellStyle name="Comma 2 4 2 3 3 2 3 2" xfId="3880" xr:uid="{00000000-0005-0000-0000-00002B0F0000}"/>
    <cellStyle name="Comma 2 4 2 3 3 2 3 2 2" xfId="3881" xr:uid="{00000000-0005-0000-0000-00002C0F0000}"/>
    <cellStyle name="Comma 2 4 2 3 3 2 3 3" xfId="3882" xr:uid="{00000000-0005-0000-0000-00002D0F0000}"/>
    <cellStyle name="Comma 2 4 2 3 3 2 4" xfId="3883" xr:uid="{00000000-0005-0000-0000-00002E0F0000}"/>
    <cellStyle name="Comma 2 4 2 3 3 2 4 2" xfId="3884" xr:uid="{00000000-0005-0000-0000-00002F0F0000}"/>
    <cellStyle name="Comma 2 4 2 3 3 2 5" xfId="3885" xr:uid="{00000000-0005-0000-0000-0000300F0000}"/>
    <cellStyle name="Comma 2 4 2 3 3 2 5 2" xfId="3886" xr:uid="{00000000-0005-0000-0000-0000310F0000}"/>
    <cellStyle name="Comma 2 4 2 3 3 2 6" xfId="3887" xr:uid="{00000000-0005-0000-0000-0000320F0000}"/>
    <cellStyle name="Comma 2 4 2 3 3 3" xfId="3888" xr:uid="{00000000-0005-0000-0000-0000330F0000}"/>
    <cellStyle name="Comma 2 4 2 3 3 3 2" xfId="3889" xr:uid="{00000000-0005-0000-0000-0000340F0000}"/>
    <cellStyle name="Comma 2 4 2 3 3 3 2 2" xfId="3890" xr:uid="{00000000-0005-0000-0000-0000350F0000}"/>
    <cellStyle name="Comma 2 4 2 3 3 3 2 2 2" xfId="3891" xr:uid="{00000000-0005-0000-0000-0000360F0000}"/>
    <cellStyle name="Comma 2 4 2 3 3 3 2 3" xfId="3892" xr:uid="{00000000-0005-0000-0000-0000370F0000}"/>
    <cellStyle name="Comma 2 4 2 3 3 3 3" xfId="3893" xr:uid="{00000000-0005-0000-0000-0000380F0000}"/>
    <cellStyle name="Comma 2 4 2 3 3 3 3 2" xfId="3894" xr:uid="{00000000-0005-0000-0000-0000390F0000}"/>
    <cellStyle name="Comma 2 4 2 3 3 3 4" xfId="3895" xr:uid="{00000000-0005-0000-0000-00003A0F0000}"/>
    <cellStyle name="Comma 2 4 2 3 3 3 4 2" xfId="3896" xr:uid="{00000000-0005-0000-0000-00003B0F0000}"/>
    <cellStyle name="Comma 2 4 2 3 3 3 5" xfId="3897" xr:uid="{00000000-0005-0000-0000-00003C0F0000}"/>
    <cellStyle name="Comma 2 4 2 3 3 4" xfId="3898" xr:uid="{00000000-0005-0000-0000-00003D0F0000}"/>
    <cellStyle name="Comma 2 4 2 3 3 4 2" xfId="3899" xr:uid="{00000000-0005-0000-0000-00003E0F0000}"/>
    <cellStyle name="Comma 2 4 2 3 3 4 2 2" xfId="3900" xr:uid="{00000000-0005-0000-0000-00003F0F0000}"/>
    <cellStyle name="Comma 2 4 2 3 3 4 3" xfId="3901" xr:uid="{00000000-0005-0000-0000-0000400F0000}"/>
    <cellStyle name="Comma 2 4 2 3 3 5" xfId="3902" xr:uid="{00000000-0005-0000-0000-0000410F0000}"/>
    <cellStyle name="Comma 2 4 2 3 3 5 2" xfId="3903" xr:uid="{00000000-0005-0000-0000-0000420F0000}"/>
    <cellStyle name="Comma 2 4 2 3 3 6" xfId="3904" xr:uid="{00000000-0005-0000-0000-0000430F0000}"/>
    <cellStyle name="Comma 2 4 2 3 3 6 2" xfId="3905" xr:uid="{00000000-0005-0000-0000-0000440F0000}"/>
    <cellStyle name="Comma 2 4 2 3 3 7" xfId="3906" xr:uid="{00000000-0005-0000-0000-0000450F0000}"/>
    <cellStyle name="Comma 2 4 2 3 4" xfId="3907" xr:uid="{00000000-0005-0000-0000-0000460F0000}"/>
    <cellStyle name="Comma 2 4 2 3 4 2" xfId="3908" xr:uid="{00000000-0005-0000-0000-0000470F0000}"/>
    <cellStyle name="Comma 2 4 2 3 4 2 2" xfId="3909" xr:uid="{00000000-0005-0000-0000-0000480F0000}"/>
    <cellStyle name="Comma 2 4 2 3 4 2 2 2" xfId="3910" xr:uid="{00000000-0005-0000-0000-0000490F0000}"/>
    <cellStyle name="Comma 2 4 2 3 4 2 2 2 2" xfId="3911" xr:uid="{00000000-0005-0000-0000-00004A0F0000}"/>
    <cellStyle name="Comma 2 4 2 3 4 2 2 3" xfId="3912" xr:uid="{00000000-0005-0000-0000-00004B0F0000}"/>
    <cellStyle name="Comma 2 4 2 3 4 2 3" xfId="3913" xr:uid="{00000000-0005-0000-0000-00004C0F0000}"/>
    <cellStyle name="Comma 2 4 2 3 4 2 3 2" xfId="3914" xr:uid="{00000000-0005-0000-0000-00004D0F0000}"/>
    <cellStyle name="Comma 2 4 2 3 4 2 4" xfId="3915" xr:uid="{00000000-0005-0000-0000-00004E0F0000}"/>
    <cellStyle name="Comma 2 4 2 3 4 2 4 2" xfId="3916" xr:uid="{00000000-0005-0000-0000-00004F0F0000}"/>
    <cellStyle name="Comma 2 4 2 3 4 2 5" xfId="3917" xr:uid="{00000000-0005-0000-0000-0000500F0000}"/>
    <cellStyle name="Comma 2 4 2 3 4 3" xfId="3918" xr:uid="{00000000-0005-0000-0000-0000510F0000}"/>
    <cellStyle name="Comma 2 4 2 3 4 3 2" xfId="3919" xr:uid="{00000000-0005-0000-0000-0000520F0000}"/>
    <cellStyle name="Comma 2 4 2 3 4 3 2 2" xfId="3920" xr:uid="{00000000-0005-0000-0000-0000530F0000}"/>
    <cellStyle name="Comma 2 4 2 3 4 3 3" xfId="3921" xr:uid="{00000000-0005-0000-0000-0000540F0000}"/>
    <cellStyle name="Comma 2 4 2 3 4 4" xfId="3922" xr:uid="{00000000-0005-0000-0000-0000550F0000}"/>
    <cellStyle name="Comma 2 4 2 3 4 4 2" xfId="3923" xr:uid="{00000000-0005-0000-0000-0000560F0000}"/>
    <cellStyle name="Comma 2 4 2 3 4 5" xfId="3924" xr:uid="{00000000-0005-0000-0000-0000570F0000}"/>
    <cellStyle name="Comma 2 4 2 3 4 5 2" xfId="3925" xr:uid="{00000000-0005-0000-0000-0000580F0000}"/>
    <cellStyle name="Comma 2 4 2 3 4 6" xfId="3926" xr:uid="{00000000-0005-0000-0000-0000590F0000}"/>
    <cellStyle name="Comma 2 4 2 3 5" xfId="3927" xr:uid="{00000000-0005-0000-0000-00005A0F0000}"/>
    <cellStyle name="Comma 2 4 2 3 5 2" xfId="3928" xr:uid="{00000000-0005-0000-0000-00005B0F0000}"/>
    <cellStyle name="Comma 2 4 2 3 5 2 2" xfId="3929" xr:uid="{00000000-0005-0000-0000-00005C0F0000}"/>
    <cellStyle name="Comma 2 4 2 3 5 2 2 2" xfId="3930" xr:uid="{00000000-0005-0000-0000-00005D0F0000}"/>
    <cellStyle name="Comma 2 4 2 3 5 2 3" xfId="3931" xr:uid="{00000000-0005-0000-0000-00005E0F0000}"/>
    <cellStyle name="Comma 2 4 2 3 5 3" xfId="3932" xr:uid="{00000000-0005-0000-0000-00005F0F0000}"/>
    <cellStyle name="Comma 2 4 2 3 5 3 2" xfId="3933" xr:uid="{00000000-0005-0000-0000-0000600F0000}"/>
    <cellStyle name="Comma 2 4 2 3 5 4" xfId="3934" xr:uid="{00000000-0005-0000-0000-0000610F0000}"/>
    <cellStyle name="Comma 2 4 2 3 5 4 2" xfId="3935" xr:uid="{00000000-0005-0000-0000-0000620F0000}"/>
    <cellStyle name="Comma 2 4 2 3 5 5" xfId="3936" xr:uid="{00000000-0005-0000-0000-0000630F0000}"/>
    <cellStyle name="Comma 2 4 2 3 6" xfId="3937" xr:uid="{00000000-0005-0000-0000-0000640F0000}"/>
    <cellStyle name="Comma 2 4 2 3 6 2" xfId="3938" xr:uid="{00000000-0005-0000-0000-0000650F0000}"/>
    <cellStyle name="Comma 2 4 2 3 6 2 2" xfId="3939" xr:uid="{00000000-0005-0000-0000-0000660F0000}"/>
    <cellStyle name="Comma 2 4 2 3 6 3" xfId="3940" xr:uid="{00000000-0005-0000-0000-0000670F0000}"/>
    <cellStyle name="Comma 2 4 2 3 7" xfId="3941" xr:uid="{00000000-0005-0000-0000-0000680F0000}"/>
    <cellStyle name="Comma 2 4 2 3 7 2" xfId="3942" xr:uid="{00000000-0005-0000-0000-0000690F0000}"/>
    <cellStyle name="Comma 2 4 2 3 8" xfId="3943" xr:uid="{00000000-0005-0000-0000-00006A0F0000}"/>
    <cellStyle name="Comma 2 4 2 3 8 2" xfId="3944" xr:uid="{00000000-0005-0000-0000-00006B0F0000}"/>
    <cellStyle name="Comma 2 4 2 3 9" xfId="3945" xr:uid="{00000000-0005-0000-0000-00006C0F0000}"/>
    <cellStyle name="Comma 2 4 2 4" xfId="3946" xr:uid="{00000000-0005-0000-0000-00006D0F0000}"/>
    <cellStyle name="Comma 2 4 2 4 2" xfId="3947" xr:uid="{00000000-0005-0000-0000-00006E0F0000}"/>
    <cellStyle name="Comma 2 4 2 4 2 2" xfId="3948" xr:uid="{00000000-0005-0000-0000-00006F0F0000}"/>
    <cellStyle name="Comma 2 4 2 4 2 2 2" xfId="3949" xr:uid="{00000000-0005-0000-0000-0000700F0000}"/>
    <cellStyle name="Comma 2 4 2 4 2 2 2 2" xfId="3950" xr:uid="{00000000-0005-0000-0000-0000710F0000}"/>
    <cellStyle name="Comma 2 4 2 4 2 2 2 2 2" xfId="3951" xr:uid="{00000000-0005-0000-0000-0000720F0000}"/>
    <cellStyle name="Comma 2 4 2 4 2 2 2 2 2 2" xfId="3952" xr:uid="{00000000-0005-0000-0000-0000730F0000}"/>
    <cellStyle name="Comma 2 4 2 4 2 2 2 2 3" xfId="3953" xr:uid="{00000000-0005-0000-0000-0000740F0000}"/>
    <cellStyle name="Comma 2 4 2 4 2 2 2 3" xfId="3954" xr:uid="{00000000-0005-0000-0000-0000750F0000}"/>
    <cellStyle name="Comma 2 4 2 4 2 2 2 3 2" xfId="3955" xr:uid="{00000000-0005-0000-0000-0000760F0000}"/>
    <cellStyle name="Comma 2 4 2 4 2 2 2 4" xfId="3956" xr:uid="{00000000-0005-0000-0000-0000770F0000}"/>
    <cellStyle name="Comma 2 4 2 4 2 2 2 4 2" xfId="3957" xr:uid="{00000000-0005-0000-0000-0000780F0000}"/>
    <cellStyle name="Comma 2 4 2 4 2 2 2 5" xfId="3958" xr:uid="{00000000-0005-0000-0000-0000790F0000}"/>
    <cellStyle name="Comma 2 4 2 4 2 2 3" xfId="3959" xr:uid="{00000000-0005-0000-0000-00007A0F0000}"/>
    <cellStyle name="Comma 2 4 2 4 2 2 3 2" xfId="3960" xr:uid="{00000000-0005-0000-0000-00007B0F0000}"/>
    <cellStyle name="Comma 2 4 2 4 2 2 3 2 2" xfId="3961" xr:uid="{00000000-0005-0000-0000-00007C0F0000}"/>
    <cellStyle name="Comma 2 4 2 4 2 2 3 3" xfId="3962" xr:uid="{00000000-0005-0000-0000-00007D0F0000}"/>
    <cellStyle name="Comma 2 4 2 4 2 2 4" xfId="3963" xr:uid="{00000000-0005-0000-0000-00007E0F0000}"/>
    <cellStyle name="Comma 2 4 2 4 2 2 4 2" xfId="3964" xr:uid="{00000000-0005-0000-0000-00007F0F0000}"/>
    <cellStyle name="Comma 2 4 2 4 2 2 5" xfId="3965" xr:uid="{00000000-0005-0000-0000-0000800F0000}"/>
    <cellStyle name="Comma 2 4 2 4 2 2 5 2" xfId="3966" xr:uid="{00000000-0005-0000-0000-0000810F0000}"/>
    <cellStyle name="Comma 2 4 2 4 2 2 6" xfId="3967" xr:uid="{00000000-0005-0000-0000-0000820F0000}"/>
    <cellStyle name="Comma 2 4 2 4 2 3" xfId="3968" xr:uid="{00000000-0005-0000-0000-0000830F0000}"/>
    <cellStyle name="Comma 2 4 2 4 2 3 2" xfId="3969" xr:uid="{00000000-0005-0000-0000-0000840F0000}"/>
    <cellStyle name="Comma 2 4 2 4 2 3 2 2" xfId="3970" xr:uid="{00000000-0005-0000-0000-0000850F0000}"/>
    <cellStyle name="Comma 2 4 2 4 2 3 2 2 2" xfId="3971" xr:uid="{00000000-0005-0000-0000-0000860F0000}"/>
    <cellStyle name="Comma 2 4 2 4 2 3 2 3" xfId="3972" xr:uid="{00000000-0005-0000-0000-0000870F0000}"/>
    <cellStyle name="Comma 2 4 2 4 2 3 3" xfId="3973" xr:uid="{00000000-0005-0000-0000-0000880F0000}"/>
    <cellStyle name="Comma 2 4 2 4 2 3 3 2" xfId="3974" xr:uid="{00000000-0005-0000-0000-0000890F0000}"/>
    <cellStyle name="Comma 2 4 2 4 2 3 4" xfId="3975" xr:uid="{00000000-0005-0000-0000-00008A0F0000}"/>
    <cellStyle name="Comma 2 4 2 4 2 3 4 2" xfId="3976" xr:uid="{00000000-0005-0000-0000-00008B0F0000}"/>
    <cellStyle name="Comma 2 4 2 4 2 3 5" xfId="3977" xr:uid="{00000000-0005-0000-0000-00008C0F0000}"/>
    <cellStyle name="Comma 2 4 2 4 2 4" xfId="3978" xr:uid="{00000000-0005-0000-0000-00008D0F0000}"/>
    <cellStyle name="Comma 2 4 2 4 2 4 2" xfId="3979" xr:uid="{00000000-0005-0000-0000-00008E0F0000}"/>
    <cellStyle name="Comma 2 4 2 4 2 4 2 2" xfId="3980" xr:uid="{00000000-0005-0000-0000-00008F0F0000}"/>
    <cellStyle name="Comma 2 4 2 4 2 4 3" xfId="3981" xr:uid="{00000000-0005-0000-0000-0000900F0000}"/>
    <cellStyle name="Comma 2 4 2 4 2 5" xfId="3982" xr:uid="{00000000-0005-0000-0000-0000910F0000}"/>
    <cellStyle name="Comma 2 4 2 4 2 5 2" xfId="3983" xr:uid="{00000000-0005-0000-0000-0000920F0000}"/>
    <cellStyle name="Comma 2 4 2 4 2 6" xfId="3984" xr:uid="{00000000-0005-0000-0000-0000930F0000}"/>
    <cellStyle name="Comma 2 4 2 4 2 6 2" xfId="3985" xr:uid="{00000000-0005-0000-0000-0000940F0000}"/>
    <cellStyle name="Comma 2 4 2 4 2 7" xfId="3986" xr:uid="{00000000-0005-0000-0000-0000950F0000}"/>
    <cellStyle name="Comma 2 4 2 4 3" xfId="3987" xr:uid="{00000000-0005-0000-0000-0000960F0000}"/>
    <cellStyle name="Comma 2 4 2 4 3 2" xfId="3988" xr:uid="{00000000-0005-0000-0000-0000970F0000}"/>
    <cellStyle name="Comma 2 4 2 4 3 2 2" xfId="3989" xr:uid="{00000000-0005-0000-0000-0000980F0000}"/>
    <cellStyle name="Comma 2 4 2 4 3 2 2 2" xfId="3990" xr:uid="{00000000-0005-0000-0000-0000990F0000}"/>
    <cellStyle name="Comma 2 4 2 4 3 2 2 2 2" xfId="3991" xr:uid="{00000000-0005-0000-0000-00009A0F0000}"/>
    <cellStyle name="Comma 2 4 2 4 3 2 2 3" xfId="3992" xr:uid="{00000000-0005-0000-0000-00009B0F0000}"/>
    <cellStyle name="Comma 2 4 2 4 3 2 3" xfId="3993" xr:uid="{00000000-0005-0000-0000-00009C0F0000}"/>
    <cellStyle name="Comma 2 4 2 4 3 2 3 2" xfId="3994" xr:uid="{00000000-0005-0000-0000-00009D0F0000}"/>
    <cellStyle name="Comma 2 4 2 4 3 2 4" xfId="3995" xr:uid="{00000000-0005-0000-0000-00009E0F0000}"/>
    <cellStyle name="Comma 2 4 2 4 3 2 4 2" xfId="3996" xr:uid="{00000000-0005-0000-0000-00009F0F0000}"/>
    <cellStyle name="Comma 2 4 2 4 3 2 5" xfId="3997" xr:uid="{00000000-0005-0000-0000-0000A00F0000}"/>
    <cellStyle name="Comma 2 4 2 4 3 3" xfId="3998" xr:uid="{00000000-0005-0000-0000-0000A10F0000}"/>
    <cellStyle name="Comma 2 4 2 4 3 3 2" xfId="3999" xr:uid="{00000000-0005-0000-0000-0000A20F0000}"/>
    <cellStyle name="Comma 2 4 2 4 3 3 2 2" xfId="4000" xr:uid="{00000000-0005-0000-0000-0000A30F0000}"/>
    <cellStyle name="Comma 2 4 2 4 3 3 3" xfId="4001" xr:uid="{00000000-0005-0000-0000-0000A40F0000}"/>
    <cellStyle name="Comma 2 4 2 4 3 4" xfId="4002" xr:uid="{00000000-0005-0000-0000-0000A50F0000}"/>
    <cellStyle name="Comma 2 4 2 4 3 4 2" xfId="4003" xr:uid="{00000000-0005-0000-0000-0000A60F0000}"/>
    <cellStyle name="Comma 2 4 2 4 3 5" xfId="4004" xr:uid="{00000000-0005-0000-0000-0000A70F0000}"/>
    <cellStyle name="Comma 2 4 2 4 3 5 2" xfId="4005" xr:uid="{00000000-0005-0000-0000-0000A80F0000}"/>
    <cellStyle name="Comma 2 4 2 4 3 6" xfId="4006" xr:uid="{00000000-0005-0000-0000-0000A90F0000}"/>
    <cellStyle name="Comma 2 4 2 4 4" xfId="4007" xr:uid="{00000000-0005-0000-0000-0000AA0F0000}"/>
    <cellStyle name="Comma 2 4 2 4 4 2" xfId="4008" xr:uid="{00000000-0005-0000-0000-0000AB0F0000}"/>
    <cellStyle name="Comma 2 4 2 4 4 2 2" xfId="4009" xr:uid="{00000000-0005-0000-0000-0000AC0F0000}"/>
    <cellStyle name="Comma 2 4 2 4 4 2 2 2" xfId="4010" xr:uid="{00000000-0005-0000-0000-0000AD0F0000}"/>
    <cellStyle name="Comma 2 4 2 4 4 2 3" xfId="4011" xr:uid="{00000000-0005-0000-0000-0000AE0F0000}"/>
    <cellStyle name="Comma 2 4 2 4 4 3" xfId="4012" xr:uid="{00000000-0005-0000-0000-0000AF0F0000}"/>
    <cellStyle name="Comma 2 4 2 4 4 3 2" xfId="4013" xr:uid="{00000000-0005-0000-0000-0000B00F0000}"/>
    <cellStyle name="Comma 2 4 2 4 4 4" xfId="4014" xr:uid="{00000000-0005-0000-0000-0000B10F0000}"/>
    <cellStyle name="Comma 2 4 2 4 4 4 2" xfId="4015" xr:uid="{00000000-0005-0000-0000-0000B20F0000}"/>
    <cellStyle name="Comma 2 4 2 4 4 5" xfId="4016" xr:uid="{00000000-0005-0000-0000-0000B30F0000}"/>
    <cellStyle name="Comma 2 4 2 4 5" xfId="4017" xr:uid="{00000000-0005-0000-0000-0000B40F0000}"/>
    <cellStyle name="Comma 2 4 2 4 5 2" xfId="4018" xr:uid="{00000000-0005-0000-0000-0000B50F0000}"/>
    <cellStyle name="Comma 2 4 2 4 5 2 2" xfId="4019" xr:uid="{00000000-0005-0000-0000-0000B60F0000}"/>
    <cellStyle name="Comma 2 4 2 4 5 3" xfId="4020" xr:uid="{00000000-0005-0000-0000-0000B70F0000}"/>
    <cellStyle name="Comma 2 4 2 4 6" xfId="4021" xr:uid="{00000000-0005-0000-0000-0000B80F0000}"/>
    <cellStyle name="Comma 2 4 2 4 6 2" xfId="4022" xr:uid="{00000000-0005-0000-0000-0000B90F0000}"/>
    <cellStyle name="Comma 2 4 2 4 7" xfId="4023" xr:uid="{00000000-0005-0000-0000-0000BA0F0000}"/>
    <cellStyle name="Comma 2 4 2 4 7 2" xfId="4024" xr:uid="{00000000-0005-0000-0000-0000BB0F0000}"/>
    <cellStyle name="Comma 2 4 2 4 8" xfId="4025" xr:uid="{00000000-0005-0000-0000-0000BC0F0000}"/>
    <cellStyle name="Comma 2 4 2 5" xfId="4026" xr:uid="{00000000-0005-0000-0000-0000BD0F0000}"/>
    <cellStyle name="Comma 2 4 2 5 2" xfId="4027" xr:uid="{00000000-0005-0000-0000-0000BE0F0000}"/>
    <cellStyle name="Comma 2 4 2 5 2 2" xfId="4028" xr:uid="{00000000-0005-0000-0000-0000BF0F0000}"/>
    <cellStyle name="Comma 2 4 2 5 2 2 2" xfId="4029" xr:uid="{00000000-0005-0000-0000-0000C00F0000}"/>
    <cellStyle name="Comma 2 4 2 5 2 2 2 2" xfId="4030" xr:uid="{00000000-0005-0000-0000-0000C10F0000}"/>
    <cellStyle name="Comma 2 4 2 5 2 2 2 2 2" xfId="4031" xr:uid="{00000000-0005-0000-0000-0000C20F0000}"/>
    <cellStyle name="Comma 2 4 2 5 2 2 2 3" xfId="4032" xr:uid="{00000000-0005-0000-0000-0000C30F0000}"/>
    <cellStyle name="Comma 2 4 2 5 2 2 3" xfId="4033" xr:uid="{00000000-0005-0000-0000-0000C40F0000}"/>
    <cellStyle name="Comma 2 4 2 5 2 2 3 2" xfId="4034" xr:uid="{00000000-0005-0000-0000-0000C50F0000}"/>
    <cellStyle name="Comma 2 4 2 5 2 2 4" xfId="4035" xr:uid="{00000000-0005-0000-0000-0000C60F0000}"/>
    <cellStyle name="Comma 2 4 2 5 2 2 4 2" xfId="4036" xr:uid="{00000000-0005-0000-0000-0000C70F0000}"/>
    <cellStyle name="Comma 2 4 2 5 2 2 5" xfId="4037" xr:uid="{00000000-0005-0000-0000-0000C80F0000}"/>
    <cellStyle name="Comma 2 4 2 5 2 3" xfId="4038" xr:uid="{00000000-0005-0000-0000-0000C90F0000}"/>
    <cellStyle name="Comma 2 4 2 5 2 3 2" xfId="4039" xr:uid="{00000000-0005-0000-0000-0000CA0F0000}"/>
    <cellStyle name="Comma 2 4 2 5 2 3 2 2" xfId="4040" xr:uid="{00000000-0005-0000-0000-0000CB0F0000}"/>
    <cellStyle name="Comma 2 4 2 5 2 3 3" xfId="4041" xr:uid="{00000000-0005-0000-0000-0000CC0F0000}"/>
    <cellStyle name="Comma 2 4 2 5 2 4" xfId="4042" xr:uid="{00000000-0005-0000-0000-0000CD0F0000}"/>
    <cellStyle name="Comma 2 4 2 5 2 4 2" xfId="4043" xr:uid="{00000000-0005-0000-0000-0000CE0F0000}"/>
    <cellStyle name="Comma 2 4 2 5 2 5" xfId="4044" xr:uid="{00000000-0005-0000-0000-0000CF0F0000}"/>
    <cellStyle name="Comma 2 4 2 5 2 5 2" xfId="4045" xr:uid="{00000000-0005-0000-0000-0000D00F0000}"/>
    <cellStyle name="Comma 2 4 2 5 2 6" xfId="4046" xr:uid="{00000000-0005-0000-0000-0000D10F0000}"/>
    <cellStyle name="Comma 2 4 2 5 3" xfId="4047" xr:uid="{00000000-0005-0000-0000-0000D20F0000}"/>
    <cellStyle name="Comma 2 4 2 5 3 2" xfId="4048" xr:uid="{00000000-0005-0000-0000-0000D30F0000}"/>
    <cellStyle name="Comma 2 4 2 5 3 2 2" xfId="4049" xr:uid="{00000000-0005-0000-0000-0000D40F0000}"/>
    <cellStyle name="Comma 2 4 2 5 3 2 2 2" xfId="4050" xr:uid="{00000000-0005-0000-0000-0000D50F0000}"/>
    <cellStyle name="Comma 2 4 2 5 3 2 3" xfId="4051" xr:uid="{00000000-0005-0000-0000-0000D60F0000}"/>
    <cellStyle name="Comma 2 4 2 5 3 3" xfId="4052" xr:uid="{00000000-0005-0000-0000-0000D70F0000}"/>
    <cellStyle name="Comma 2 4 2 5 3 3 2" xfId="4053" xr:uid="{00000000-0005-0000-0000-0000D80F0000}"/>
    <cellStyle name="Comma 2 4 2 5 3 4" xfId="4054" xr:uid="{00000000-0005-0000-0000-0000D90F0000}"/>
    <cellStyle name="Comma 2 4 2 5 3 4 2" xfId="4055" xr:uid="{00000000-0005-0000-0000-0000DA0F0000}"/>
    <cellStyle name="Comma 2 4 2 5 3 5" xfId="4056" xr:uid="{00000000-0005-0000-0000-0000DB0F0000}"/>
    <cellStyle name="Comma 2 4 2 5 4" xfId="4057" xr:uid="{00000000-0005-0000-0000-0000DC0F0000}"/>
    <cellStyle name="Comma 2 4 2 5 4 2" xfId="4058" xr:uid="{00000000-0005-0000-0000-0000DD0F0000}"/>
    <cellStyle name="Comma 2 4 2 5 4 2 2" xfId="4059" xr:uid="{00000000-0005-0000-0000-0000DE0F0000}"/>
    <cellStyle name="Comma 2 4 2 5 4 3" xfId="4060" xr:uid="{00000000-0005-0000-0000-0000DF0F0000}"/>
    <cellStyle name="Comma 2 4 2 5 5" xfId="4061" xr:uid="{00000000-0005-0000-0000-0000E00F0000}"/>
    <cellStyle name="Comma 2 4 2 5 5 2" xfId="4062" xr:uid="{00000000-0005-0000-0000-0000E10F0000}"/>
    <cellStyle name="Comma 2 4 2 5 6" xfId="4063" xr:uid="{00000000-0005-0000-0000-0000E20F0000}"/>
    <cellStyle name="Comma 2 4 2 5 6 2" xfId="4064" xr:uid="{00000000-0005-0000-0000-0000E30F0000}"/>
    <cellStyle name="Comma 2 4 2 5 7" xfId="4065" xr:uid="{00000000-0005-0000-0000-0000E40F0000}"/>
    <cellStyle name="Comma 2 4 2 6" xfId="4066" xr:uid="{00000000-0005-0000-0000-0000E50F0000}"/>
    <cellStyle name="Comma 2 4 2 6 2" xfId="4067" xr:uid="{00000000-0005-0000-0000-0000E60F0000}"/>
    <cellStyle name="Comma 2 4 2 6 2 2" xfId="4068" xr:uid="{00000000-0005-0000-0000-0000E70F0000}"/>
    <cellStyle name="Comma 2 4 2 6 2 2 2" xfId="4069" xr:uid="{00000000-0005-0000-0000-0000E80F0000}"/>
    <cellStyle name="Comma 2 4 2 6 2 2 2 2" xfId="4070" xr:uid="{00000000-0005-0000-0000-0000E90F0000}"/>
    <cellStyle name="Comma 2 4 2 6 2 2 2 2 2" xfId="4071" xr:uid="{00000000-0005-0000-0000-0000EA0F0000}"/>
    <cellStyle name="Comma 2 4 2 6 2 2 2 3" xfId="4072" xr:uid="{00000000-0005-0000-0000-0000EB0F0000}"/>
    <cellStyle name="Comma 2 4 2 6 2 2 3" xfId="4073" xr:uid="{00000000-0005-0000-0000-0000EC0F0000}"/>
    <cellStyle name="Comma 2 4 2 6 2 2 3 2" xfId="4074" xr:uid="{00000000-0005-0000-0000-0000ED0F0000}"/>
    <cellStyle name="Comma 2 4 2 6 2 2 4" xfId="4075" xr:uid="{00000000-0005-0000-0000-0000EE0F0000}"/>
    <cellStyle name="Comma 2 4 2 6 2 2 4 2" xfId="4076" xr:uid="{00000000-0005-0000-0000-0000EF0F0000}"/>
    <cellStyle name="Comma 2 4 2 6 2 2 5" xfId="4077" xr:uid="{00000000-0005-0000-0000-0000F00F0000}"/>
    <cellStyle name="Comma 2 4 2 6 2 3" xfId="4078" xr:uid="{00000000-0005-0000-0000-0000F10F0000}"/>
    <cellStyle name="Comma 2 4 2 6 2 3 2" xfId="4079" xr:uid="{00000000-0005-0000-0000-0000F20F0000}"/>
    <cellStyle name="Comma 2 4 2 6 2 3 2 2" xfId="4080" xr:uid="{00000000-0005-0000-0000-0000F30F0000}"/>
    <cellStyle name="Comma 2 4 2 6 2 3 3" xfId="4081" xr:uid="{00000000-0005-0000-0000-0000F40F0000}"/>
    <cellStyle name="Comma 2 4 2 6 2 4" xfId="4082" xr:uid="{00000000-0005-0000-0000-0000F50F0000}"/>
    <cellStyle name="Comma 2 4 2 6 2 4 2" xfId="4083" xr:uid="{00000000-0005-0000-0000-0000F60F0000}"/>
    <cellStyle name="Comma 2 4 2 6 2 5" xfId="4084" xr:uid="{00000000-0005-0000-0000-0000F70F0000}"/>
    <cellStyle name="Comma 2 4 2 6 2 5 2" xfId="4085" xr:uid="{00000000-0005-0000-0000-0000F80F0000}"/>
    <cellStyle name="Comma 2 4 2 6 2 6" xfId="4086" xr:uid="{00000000-0005-0000-0000-0000F90F0000}"/>
    <cellStyle name="Comma 2 4 2 6 3" xfId="4087" xr:uid="{00000000-0005-0000-0000-0000FA0F0000}"/>
    <cellStyle name="Comma 2 4 2 6 3 2" xfId="4088" xr:uid="{00000000-0005-0000-0000-0000FB0F0000}"/>
    <cellStyle name="Comma 2 4 2 6 3 2 2" xfId="4089" xr:uid="{00000000-0005-0000-0000-0000FC0F0000}"/>
    <cellStyle name="Comma 2 4 2 6 3 2 2 2" xfId="4090" xr:uid="{00000000-0005-0000-0000-0000FD0F0000}"/>
    <cellStyle name="Comma 2 4 2 6 3 2 3" xfId="4091" xr:uid="{00000000-0005-0000-0000-0000FE0F0000}"/>
    <cellStyle name="Comma 2 4 2 6 3 3" xfId="4092" xr:uid="{00000000-0005-0000-0000-0000FF0F0000}"/>
    <cellStyle name="Comma 2 4 2 6 3 3 2" xfId="4093" xr:uid="{00000000-0005-0000-0000-000000100000}"/>
    <cellStyle name="Comma 2 4 2 6 3 4" xfId="4094" xr:uid="{00000000-0005-0000-0000-000001100000}"/>
    <cellStyle name="Comma 2 4 2 6 3 4 2" xfId="4095" xr:uid="{00000000-0005-0000-0000-000002100000}"/>
    <cellStyle name="Comma 2 4 2 6 3 5" xfId="4096" xr:uid="{00000000-0005-0000-0000-000003100000}"/>
    <cellStyle name="Comma 2 4 2 6 4" xfId="4097" xr:uid="{00000000-0005-0000-0000-000004100000}"/>
    <cellStyle name="Comma 2 4 2 6 4 2" xfId="4098" xr:uid="{00000000-0005-0000-0000-000005100000}"/>
    <cellStyle name="Comma 2 4 2 6 4 2 2" xfId="4099" xr:uid="{00000000-0005-0000-0000-000006100000}"/>
    <cellStyle name="Comma 2 4 2 6 4 3" xfId="4100" xr:uid="{00000000-0005-0000-0000-000007100000}"/>
    <cellStyle name="Comma 2 4 2 6 5" xfId="4101" xr:uid="{00000000-0005-0000-0000-000008100000}"/>
    <cellStyle name="Comma 2 4 2 6 5 2" xfId="4102" xr:uid="{00000000-0005-0000-0000-000009100000}"/>
    <cellStyle name="Comma 2 4 2 6 6" xfId="4103" xr:uid="{00000000-0005-0000-0000-00000A100000}"/>
    <cellStyle name="Comma 2 4 2 6 6 2" xfId="4104" xr:uid="{00000000-0005-0000-0000-00000B100000}"/>
    <cellStyle name="Comma 2 4 2 6 7" xfId="4105" xr:uid="{00000000-0005-0000-0000-00000C100000}"/>
    <cellStyle name="Comma 2 4 2 7" xfId="4106" xr:uid="{00000000-0005-0000-0000-00000D100000}"/>
    <cellStyle name="Comma 2 4 2 7 2" xfId="4107" xr:uid="{00000000-0005-0000-0000-00000E100000}"/>
    <cellStyle name="Comma 2 4 2 7 2 2" xfId="4108" xr:uid="{00000000-0005-0000-0000-00000F100000}"/>
    <cellStyle name="Comma 2 4 2 7 2 2 2" xfId="4109" xr:uid="{00000000-0005-0000-0000-000010100000}"/>
    <cellStyle name="Comma 2 4 2 7 2 2 2 2" xfId="4110" xr:uid="{00000000-0005-0000-0000-000011100000}"/>
    <cellStyle name="Comma 2 4 2 7 2 2 3" xfId="4111" xr:uid="{00000000-0005-0000-0000-000012100000}"/>
    <cellStyle name="Comma 2 4 2 7 2 3" xfId="4112" xr:uid="{00000000-0005-0000-0000-000013100000}"/>
    <cellStyle name="Comma 2 4 2 7 2 3 2" xfId="4113" xr:uid="{00000000-0005-0000-0000-000014100000}"/>
    <cellStyle name="Comma 2 4 2 7 2 4" xfId="4114" xr:uid="{00000000-0005-0000-0000-000015100000}"/>
    <cellStyle name="Comma 2 4 2 7 2 4 2" xfId="4115" xr:uid="{00000000-0005-0000-0000-000016100000}"/>
    <cellStyle name="Comma 2 4 2 7 2 5" xfId="4116" xr:uid="{00000000-0005-0000-0000-000017100000}"/>
    <cellStyle name="Comma 2 4 2 7 3" xfId="4117" xr:uid="{00000000-0005-0000-0000-000018100000}"/>
    <cellStyle name="Comma 2 4 2 7 3 2" xfId="4118" xr:uid="{00000000-0005-0000-0000-000019100000}"/>
    <cellStyle name="Comma 2 4 2 7 3 2 2" xfId="4119" xr:uid="{00000000-0005-0000-0000-00001A100000}"/>
    <cellStyle name="Comma 2 4 2 7 3 3" xfId="4120" xr:uid="{00000000-0005-0000-0000-00001B100000}"/>
    <cellStyle name="Comma 2 4 2 7 4" xfId="4121" xr:uid="{00000000-0005-0000-0000-00001C100000}"/>
    <cellStyle name="Comma 2 4 2 7 4 2" xfId="4122" xr:uid="{00000000-0005-0000-0000-00001D100000}"/>
    <cellStyle name="Comma 2 4 2 7 5" xfId="4123" xr:uid="{00000000-0005-0000-0000-00001E100000}"/>
    <cellStyle name="Comma 2 4 2 7 5 2" xfId="4124" xr:uid="{00000000-0005-0000-0000-00001F100000}"/>
    <cellStyle name="Comma 2 4 2 7 6" xfId="4125" xr:uid="{00000000-0005-0000-0000-000020100000}"/>
    <cellStyle name="Comma 2 4 2 8" xfId="4126" xr:uid="{00000000-0005-0000-0000-000021100000}"/>
    <cellStyle name="Comma 2 4 2 8 2" xfId="4127" xr:uid="{00000000-0005-0000-0000-000022100000}"/>
    <cellStyle name="Comma 2 4 2 8 2 2" xfId="4128" xr:uid="{00000000-0005-0000-0000-000023100000}"/>
    <cellStyle name="Comma 2 4 2 8 2 2 2" xfId="4129" xr:uid="{00000000-0005-0000-0000-000024100000}"/>
    <cellStyle name="Comma 2 4 2 8 2 3" xfId="4130" xr:uid="{00000000-0005-0000-0000-000025100000}"/>
    <cellStyle name="Comma 2 4 2 8 3" xfId="4131" xr:uid="{00000000-0005-0000-0000-000026100000}"/>
    <cellStyle name="Comma 2 4 2 8 3 2" xfId="4132" xr:uid="{00000000-0005-0000-0000-000027100000}"/>
    <cellStyle name="Comma 2 4 2 8 4" xfId="4133" xr:uid="{00000000-0005-0000-0000-000028100000}"/>
    <cellStyle name="Comma 2 4 2 8 4 2" xfId="4134" xr:uid="{00000000-0005-0000-0000-000029100000}"/>
    <cellStyle name="Comma 2 4 2 8 5" xfId="4135" xr:uid="{00000000-0005-0000-0000-00002A100000}"/>
    <cellStyle name="Comma 2 4 2 9" xfId="4136" xr:uid="{00000000-0005-0000-0000-00002B100000}"/>
    <cellStyle name="Comma 2 4 2 9 2" xfId="4137" xr:uid="{00000000-0005-0000-0000-00002C100000}"/>
    <cellStyle name="Comma 2 4 2 9 2 2" xfId="4138" xr:uid="{00000000-0005-0000-0000-00002D100000}"/>
    <cellStyle name="Comma 2 4 2 9 3" xfId="4139" xr:uid="{00000000-0005-0000-0000-00002E100000}"/>
    <cellStyle name="Comma 2 4 3" xfId="4140" xr:uid="{00000000-0005-0000-0000-00002F100000}"/>
    <cellStyle name="Comma 2 4 3 10" xfId="4141" xr:uid="{00000000-0005-0000-0000-000030100000}"/>
    <cellStyle name="Comma 2 4 3 10 2" xfId="4142" xr:uid="{00000000-0005-0000-0000-000031100000}"/>
    <cellStyle name="Comma 2 4 3 11" xfId="4143" xr:uid="{00000000-0005-0000-0000-000032100000}"/>
    <cellStyle name="Comma 2 4 3 11 2" xfId="4144" xr:uid="{00000000-0005-0000-0000-000033100000}"/>
    <cellStyle name="Comma 2 4 3 12" xfId="4145" xr:uid="{00000000-0005-0000-0000-000034100000}"/>
    <cellStyle name="Comma 2 4 3 2" xfId="4146" xr:uid="{00000000-0005-0000-0000-000035100000}"/>
    <cellStyle name="Comma 2 4 3 2 2" xfId="4147" xr:uid="{00000000-0005-0000-0000-000036100000}"/>
    <cellStyle name="Comma 2 4 3 2 2 2" xfId="4148" xr:uid="{00000000-0005-0000-0000-000037100000}"/>
    <cellStyle name="Comma 2 4 3 2 2 2 2" xfId="4149" xr:uid="{00000000-0005-0000-0000-000038100000}"/>
    <cellStyle name="Comma 2 4 3 2 2 2 2 2" xfId="4150" xr:uid="{00000000-0005-0000-0000-000039100000}"/>
    <cellStyle name="Comma 2 4 3 2 2 2 2 2 2" xfId="4151" xr:uid="{00000000-0005-0000-0000-00003A100000}"/>
    <cellStyle name="Comma 2 4 3 2 2 2 2 2 2 2" xfId="4152" xr:uid="{00000000-0005-0000-0000-00003B100000}"/>
    <cellStyle name="Comma 2 4 3 2 2 2 2 2 3" xfId="4153" xr:uid="{00000000-0005-0000-0000-00003C100000}"/>
    <cellStyle name="Comma 2 4 3 2 2 2 2 3" xfId="4154" xr:uid="{00000000-0005-0000-0000-00003D100000}"/>
    <cellStyle name="Comma 2 4 3 2 2 2 2 3 2" xfId="4155" xr:uid="{00000000-0005-0000-0000-00003E100000}"/>
    <cellStyle name="Comma 2 4 3 2 2 2 2 4" xfId="4156" xr:uid="{00000000-0005-0000-0000-00003F100000}"/>
    <cellStyle name="Comma 2 4 3 2 2 2 2 4 2" xfId="4157" xr:uid="{00000000-0005-0000-0000-000040100000}"/>
    <cellStyle name="Comma 2 4 3 2 2 2 2 5" xfId="4158" xr:uid="{00000000-0005-0000-0000-000041100000}"/>
    <cellStyle name="Comma 2 4 3 2 2 2 3" xfId="4159" xr:uid="{00000000-0005-0000-0000-000042100000}"/>
    <cellStyle name="Comma 2 4 3 2 2 2 3 2" xfId="4160" xr:uid="{00000000-0005-0000-0000-000043100000}"/>
    <cellStyle name="Comma 2 4 3 2 2 2 3 2 2" xfId="4161" xr:uid="{00000000-0005-0000-0000-000044100000}"/>
    <cellStyle name="Comma 2 4 3 2 2 2 3 3" xfId="4162" xr:uid="{00000000-0005-0000-0000-000045100000}"/>
    <cellStyle name="Comma 2 4 3 2 2 2 4" xfId="4163" xr:uid="{00000000-0005-0000-0000-000046100000}"/>
    <cellStyle name="Comma 2 4 3 2 2 2 4 2" xfId="4164" xr:uid="{00000000-0005-0000-0000-000047100000}"/>
    <cellStyle name="Comma 2 4 3 2 2 2 5" xfId="4165" xr:uid="{00000000-0005-0000-0000-000048100000}"/>
    <cellStyle name="Comma 2 4 3 2 2 2 5 2" xfId="4166" xr:uid="{00000000-0005-0000-0000-000049100000}"/>
    <cellStyle name="Comma 2 4 3 2 2 2 6" xfId="4167" xr:uid="{00000000-0005-0000-0000-00004A100000}"/>
    <cellStyle name="Comma 2 4 3 2 2 3" xfId="4168" xr:uid="{00000000-0005-0000-0000-00004B100000}"/>
    <cellStyle name="Comma 2 4 3 2 2 3 2" xfId="4169" xr:uid="{00000000-0005-0000-0000-00004C100000}"/>
    <cellStyle name="Comma 2 4 3 2 2 3 2 2" xfId="4170" xr:uid="{00000000-0005-0000-0000-00004D100000}"/>
    <cellStyle name="Comma 2 4 3 2 2 3 2 2 2" xfId="4171" xr:uid="{00000000-0005-0000-0000-00004E100000}"/>
    <cellStyle name="Comma 2 4 3 2 2 3 2 3" xfId="4172" xr:uid="{00000000-0005-0000-0000-00004F100000}"/>
    <cellStyle name="Comma 2 4 3 2 2 3 3" xfId="4173" xr:uid="{00000000-0005-0000-0000-000050100000}"/>
    <cellStyle name="Comma 2 4 3 2 2 3 3 2" xfId="4174" xr:uid="{00000000-0005-0000-0000-000051100000}"/>
    <cellStyle name="Comma 2 4 3 2 2 3 4" xfId="4175" xr:uid="{00000000-0005-0000-0000-000052100000}"/>
    <cellStyle name="Comma 2 4 3 2 2 3 4 2" xfId="4176" xr:uid="{00000000-0005-0000-0000-000053100000}"/>
    <cellStyle name="Comma 2 4 3 2 2 3 5" xfId="4177" xr:uid="{00000000-0005-0000-0000-000054100000}"/>
    <cellStyle name="Comma 2 4 3 2 2 4" xfId="4178" xr:uid="{00000000-0005-0000-0000-000055100000}"/>
    <cellStyle name="Comma 2 4 3 2 2 4 2" xfId="4179" xr:uid="{00000000-0005-0000-0000-000056100000}"/>
    <cellStyle name="Comma 2 4 3 2 2 4 2 2" xfId="4180" xr:uid="{00000000-0005-0000-0000-000057100000}"/>
    <cellStyle name="Comma 2 4 3 2 2 4 3" xfId="4181" xr:uid="{00000000-0005-0000-0000-000058100000}"/>
    <cellStyle name="Comma 2 4 3 2 2 5" xfId="4182" xr:uid="{00000000-0005-0000-0000-000059100000}"/>
    <cellStyle name="Comma 2 4 3 2 2 5 2" xfId="4183" xr:uid="{00000000-0005-0000-0000-00005A100000}"/>
    <cellStyle name="Comma 2 4 3 2 2 6" xfId="4184" xr:uid="{00000000-0005-0000-0000-00005B100000}"/>
    <cellStyle name="Comma 2 4 3 2 2 6 2" xfId="4185" xr:uid="{00000000-0005-0000-0000-00005C100000}"/>
    <cellStyle name="Comma 2 4 3 2 2 7" xfId="4186" xr:uid="{00000000-0005-0000-0000-00005D100000}"/>
    <cellStyle name="Comma 2 4 3 2 3" xfId="4187" xr:uid="{00000000-0005-0000-0000-00005E100000}"/>
    <cellStyle name="Comma 2 4 3 2 3 2" xfId="4188" xr:uid="{00000000-0005-0000-0000-00005F100000}"/>
    <cellStyle name="Comma 2 4 3 2 3 2 2" xfId="4189" xr:uid="{00000000-0005-0000-0000-000060100000}"/>
    <cellStyle name="Comma 2 4 3 2 3 2 2 2" xfId="4190" xr:uid="{00000000-0005-0000-0000-000061100000}"/>
    <cellStyle name="Comma 2 4 3 2 3 2 2 2 2" xfId="4191" xr:uid="{00000000-0005-0000-0000-000062100000}"/>
    <cellStyle name="Comma 2 4 3 2 3 2 2 2 2 2" xfId="4192" xr:uid="{00000000-0005-0000-0000-000063100000}"/>
    <cellStyle name="Comma 2 4 3 2 3 2 2 2 3" xfId="4193" xr:uid="{00000000-0005-0000-0000-000064100000}"/>
    <cellStyle name="Comma 2 4 3 2 3 2 2 3" xfId="4194" xr:uid="{00000000-0005-0000-0000-000065100000}"/>
    <cellStyle name="Comma 2 4 3 2 3 2 2 3 2" xfId="4195" xr:uid="{00000000-0005-0000-0000-000066100000}"/>
    <cellStyle name="Comma 2 4 3 2 3 2 2 4" xfId="4196" xr:uid="{00000000-0005-0000-0000-000067100000}"/>
    <cellStyle name="Comma 2 4 3 2 3 2 2 4 2" xfId="4197" xr:uid="{00000000-0005-0000-0000-000068100000}"/>
    <cellStyle name="Comma 2 4 3 2 3 2 2 5" xfId="4198" xr:uid="{00000000-0005-0000-0000-000069100000}"/>
    <cellStyle name="Comma 2 4 3 2 3 2 3" xfId="4199" xr:uid="{00000000-0005-0000-0000-00006A100000}"/>
    <cellStyle name="Comma 2 4 3 2 3 2 3 2" xfId="4200" xr:uid="{00000000-0005-0000-0000-00006B100000}"/>
    <cellStyle name="Comma 2 4 3 2 3 2 3 2 2" xfId="4201" xr:uid="{00000000-0005-0000-0000-00006C100000}"/>
    <cellStyle name="Comma 2 4 3 2 3 2 3 3" xfId="4202" xr:uid="{00000000-0005-0000-0000-00006D100000}"/>
    <cellStyle name="Comma 2 4 3 2 3 2 4" xfId="4203" xr:uid="{00000000-0005-0000-0000-00006E100000}"/>
    <cellStyle name="Comma 2 4 3 2 3 2 4 2" xfId="4204" xr:uid="{00000000-0005-0000-0000-00006F100000}"/>
    <cellStyle name="Comma 2 4 3 2 3 2 5" xfId="4205" xr:uid="{00000000-0005-0000-0000-000070100000}"/>
    <cellStyle name="Comma 2 4 3 2 3 2 5 2" xfId="4206" xr:uid="{00000000-0005-0000-0000-000071100000}"/>
    <cellStyle name="Comma 2 4 3 2 3 2 6" xfId="4207" xr:uid="{00000000-0005-0000-0000-000072100000}"/>
    <cellStyle name="Comma 2 4 3 2 3 3" xfId="4208" xr:uid="{00000000-0005-0000-0000-000073100000}"/>
    <cellStyle name="Comma 2 4 3 2 3 3 2" xfId="4209" xr:uid="{00000000-0005-0000-0000-000074100000}"/>
    <cellStyle name="Comma 2 4 3 2 3 3 2 2" xfId="4210" xr:uid="{00000000-0005-0000-0000-000075100000}"/>
    <cellStyle name="Comma 2 4 3 2 3 3 2 2 2" xfId="4211" xr:uid="{00000000-0005-0000-0000-000076100000}"/>
    <cellStyle name="Comma 2 4 3 2 3 3 2 3" xfId="4212" xr:uid="{00000000-0005-0000-0000-000077100000}"/>
    <cellStyle name="Comma 2 4 3 2 3 3 3" xfId="4213" xr:uid="{00000000-0005-0000-0000-000078100000}"/>
    <cellStyle name="Comma 2 4 3 2 3 3 3 2" xfId="4214" xr:uid="{00000000-0005-0000-0000-000079100000}"/>
    <cellStyle name="Comma 2 4 3 2 3 3 4" xfId="4215" xr:uid="{00000000-0005-0000-0000-00007A100000}"/>
    <cellStyle name="Comma 2 4 3 2 3 3 4 2" xfId="4216" xr:uid="{00000000-0005-0000-0000-00007B100000}"/>
    <cellStyle name="Comma 2 4 3 2 3 3 5" xfId="4217" xr:uid="{00000000-0005-0000-0000-00007C100000}"/>
    <cellStyle name="Comma 2 4 3 2 3 4" xfId="4218" xr:uid="{00000000-0005-0000-0000-00007D100000}"/>
    <cellStyle name="Comma 2 4 3 2 3 4 2" xfId="4219" xr:uid="{00000000-0005-0000-0000-00007E100000}"/>
    <cellStyle name="Comma 2 4 3 2 3 4 2 2" xfId="4220" xr:uid="{00000000-0005-0000-0000-00007F100000}"/>
    <cellStyle name="Comma 2 4 3 2 3 4 3" xfId="4221" xr:uid="{00000000-0005-0000-0000-000080100000}"/>
    <cellStyle name="Comma 2 4 3 2 3 5" xfId="4222" xr:uid="{00000000-0005-0000-0000-000081100000}"/>
    <cellStyle name="Comma 2 4 3 2 3 5 2" xfId="4223" xr:uid="{00000000-0005-0000-0000-000082100000}"/>
    <cellStyle name="Comma 2 4 3 2 3 6" xfId="4224" xr:uid="{00000000-0005-0000-0000-000083100000}"/>
    <cellStyle name="Comma 2 4 3 2 3 6 2" xfId="4225" xr:uid="{00000000-0005-0000-0000-000084100000}"/>
    <cellStyle name="Comma 2 4 3 2 3 7" xfId="4226" xr:uid="{00000000-0005-0000-0000-000085100000}"/>
    <cellStyle name="Comma 2 4 3 2 4" xfId="4227" xr:uid="{00000000-0005-0000-0000-000086100000}"/>
    <cellStyle name="Comma 2 4 3 2 4 2" xfId="4228" xr:uid="{00000000-0005-0000-0000-000087100000}"/>
    <cellStyle name="Comma 2 4 3 2 4 2 2" xfId="4229" xr:uid="{00000000-0005-0000-0000-000088100000}"/>
    <cellStyle name="Comma 2 4 3 2 4 2 2 2" xfId="4230" xr:uid="{00000000-0005-0000-0000-000089100000}"/>
    <cellStyle name="Comma 2 4 3 2 4 2 2 2 2" xfId="4231" xr:uid="{00000000-0005-0000-0000-00008A100000}"/>
    <cellStyle name="Comma 2 4 3 2 4 2 2 3" xfId="4232" xr:uid="{00000000-0005-0000-0000-00008B100000}"/>
    <cellStyle name="Comma 2 4 3 2 4 2 3" xfId="4233" xr:uid="{00000000-0005-0000-0000-00008C100000}"/>
    <cellStyle name="Comma 2 4 3 2 4 2 3 2" xfId="4234" xr:uid="{00000000-0005-0000-0000-00008D100000}"/>
    <cellStyle name="Comma 2 4 3 2 4 2 4" xfId="4235" xr:uid="{00000000-0005-0000-0000-00008E100000}"/>
    <cellStyle name="Comma 2 4 3 2 4 2 4 2" xfId="4236" xr:uid="{00000000-0005-0000-0000-00008F100000}"/>
    <cellStyle name="Comma 2 4 3 2 4 2 5" xfId="4237" xr:uid="{00000000-0005-0000-0000-000090100000}"/>
    <cellStyle name="Comma 2 4 3 2 4 3" xfId="4238" xr:uid="{00000000-0005-0000-0000-000091100000}"/>
    <cellStyle name="Comma 2 4 3 2 4 3 2" xfId="4239" xr:uid="{00000000-0005-0000-0000-000092100000}"/>
    <cellStyle name="Comma 2 4 3 2 4 3 2 2" xfId="4240" xr:uid="{00000000-0005-0000-0000-000093100000}"/>
    <cellStyle name="Comma 2 4 3 2 4 3 3" xfId="4241" xr:uid="{00000000-0005-0000-0000-000094100000}"/>
    <cellStyle name="Comma 2 4 3 2 4 4" xfId="4242" xr:uid="{00000000-0005-0000-0000-000095100000}"/>
    <cellStyle name="Comma 2 4 3 2 4 4 2" xfId="4243" xr:uid="{00000000-0005-0000-0000-000096100000}"/>
    <cellStyle name="Comma 2 4 3 2 4 5" xfId="4244" xr:uid="{00000000-0005-0000-0000-000097100000}"/>
    <cellStyle name="Comma 2 4 3 2 4 5 2" xfId="4245" xr:uid="{00000000-0005-0000-0000-000098100000}"/>
    <cellStyle name="Comma 2 4 3 2 4 6" xfId="4246" xr:uid="{00000000-0005-0000-0000-000099100000}"/>
    <cellStyle name="Comma 2 4 3 2 5" xfId="4247" xr:uid="{00000000-0005-0000-0000-00009A100000}"/>
    <cellStyle name="Comma 2 4 3 2 5 2" xfId="4248" xr:uid="{00000000-0005-0000-0000-00009B100000}"/>
    <cellStyle name="Comma 2 4 3 2 5 2 2" xfId="4249" xr:uid="{00000000-0005-0000-0000-00009C100000}"/>
    <cellStyle name="Comma 2 4 3 2 5 2 2 2" xfId="4250" xr:uid="{00000000-0005-0000-0000-00009D100000}"/>
    <cellStyle name="Comma 2 4 3 2 5 2 3" xfId="4251" xr:uid="{00000000-0005-0000-0000-00009E100000}"/>
    <cellStyle name="Comma 2 4 3 2 5 3" xfId="4252" xr:uid="{00000000-0005-0000-0000-00009F100000}"/>
    <cellStyle name="Comma 2 4 3 2 5 3 2" xfId="4253" xr:uid="{00000000-0005-0000-0000-0000A0100000}"/>
    <cellStyle name="Comma 2 4 3 2 5 4" xfId="4254" xr:uid="{00000000-0005-0000-0000-0000A1100000}"/>
    <cellStyle name="Comma 2 4 3 2 5 4 2" xfId="4255" xr:uid="{00000000-0005-0000-0000-0000A2100000}"/>
    <cellStyle name="Comma 2 4 3 2 5 5" xfId="4256" xr:uid="{00000000-0005-0000-0000-0000A3100000}"/>
    <cellStyle name="Comma 2 4 3 2 6" xfId="4257" xr:uid="{00000000-0005-0000-0000-0000A4100000}"/>
    <cellStyle name="Comma 2 4 3 2 6 2" xfId="4258" xr:uid="{00000000-0005-0000-0000-0000A5100000}"/>
    <cellStyle name="Comma 2 4 3 2 6 2 2" xfId="4259" xr:uid="{00000000-0005-0000-0000-0000A6100000}"/>
    <cellStyle name="Comma 2 4 3 2 6 3" xfId="4260" xr:uid="{00000000-0005-0000-0000-0000A7100000}"/>
    <cellStyle name="Comma 2 4 3 2 7" xfId="4261" xr:uid="{00000000-0005-0000-0000-0000A8100000}"/>
    <cellStyle name="Comma 2 4 3 2 7 2" xfId="4262" xr:uid="{00000000-0005-0000-0000-0000A9100000}"/>
    <cellStyle name="Comma 2 4 3 2 8" xfId="4263" xr:uid="{00000000-0005-0000-0000-0000AA100000}"/>
    <cellStyle name="Comma 2 4 3 2 8 2" xfId="4264" xr:uid="{00000000-0005-0000-0000-0000AB100000}"/>
    <cellStyle name="Comma 2 4 3 2 9" xfId="4265" xr:uid="{00000000-0005-0000-0000-0000AC100000}"/>
    <cellStyle name="Comma 2 4 3 3" xfId="4266" xr:uid="{00000000-0005-0000-0000-0000AD100000}"/>
    <cellStyle name="Comma 2 4 3 3 2" xfId="4267" xr:uid="{00000000-0005-0000-0000-0000AE100000}"/>
    <cellStyle name="Comma 2 4 3 3 2 2" xfId="4268" xr:uid="{00000000-0005-0000-0000-0000AF100000}"/>
    <cellStyle name="Comma 2 4 3 3 2 2 2" xfId="4269" xr:uid="{00000000-0005-0000-0000-0000B0100000}"/>
    <cellStyle name="Comma 2 4 3 3 2 2 2 2" xfId="4270" xr:uid="{00000000-0005-0000-0000-0000B1100000}"/>
    <cellStyle name="Comma 2 4 3 3 2 2 2 2 2" xfId="4271" xr:uid="{00000000-0005-0000-0000-0000B2100000}"/>
    <cellStyle name="Comma 2 4 3 3 2 2 2 2 2 2" xfId="4272" xr:uid="{00000000-0005-0000-0000-0000B3100000}"/>
    <cellStyle name="Comma 2 4 3 3 2 2 2 2 3" xfId="4273" xr:uid="{00000000-0005-0000-0000-0000B4100000}"/>
    <cellStyle name="Comma 2 4 3 3 2 2 2 3" xfId="4274" xr:uid="{00000000-0005-0000-0000-0000B5100000}"/>
    <cellStyle name="Comma 2 4 3 3 2 2 2 3 2" xfId="4275" xr:uid="{00000000-0005-0000-0000-0000B6100000}"/>
    <cellStyle name="Comma 2 4 3 3 2 2 2 4" xfId="4276" xr:uid="{00000000-0005-0000-0000-0000B7100000}"/>
    <cellStyle name="Comma 2 4 3 3 2 2 2 4 2" xfId="4277" xr:uid="{00000000-0005-0000-0000-0000B8100000}"/>
    <cellStyle name="Comma 2 4 3 3 2 2 2 5" xfId="4278" xr:uid="{00000000-0005-0000-0000-0000B9100000}"/>
    <cellStyle name="Comma 2 4 3 3 2 2 3" xfId="4279" xr:uid="{00000000-0005-0000-0000-0000BA100000}"/>
    <cellStyle name="Comma 2 4 3 3 2 2 3 2" xfId="4280" xr:uid="{00000000-0005-0000-0000-0000BB100000}"/>
    <cellStyle name="Comma 2 4 3 3 2 2 3 2 2" xfId="4281" xr:uid="{00000000-0005-0000-0000-0000BC100000}"/>
    <cellStyle name="Comma 2 4 3 3 2 2 3 3" xfId="4282" xr:uid="{00000000-0005-0000-0000-0000BD100000}"/>
    <cellStyle name="Comma 2 4 3 3 2 2 4" xfId="4283" xr:uid="{00000000-0005-0000-0000-0000BE100000}"/>
    <cellStyle name="Comma 2 4 3 3 2 2 4 2" xfId="4284" xr:uid="{00000000-0005-0000-0000-0000BF100000}"/>
    <cellStyle name="Comma 2 4 3 3 2 2 5" xfId="4285" xr:uid="{00000000-0005-0000-0000-0000C0100000}"/>
    <cellStyle name="Comma 2 4 3 3 2 2 5 2" xfId="4286" xr:uid="{00000000-0005-0000-0000-0000C1100000}"/>
    <cellStyle name="Comma 2 4 3 3 2 2 6" xfId="4287" xr:uid="{00000000-0005-0000-0000-0000C2100000}"/>
    <cellStyle name="Comma 2 4 3 3 2 3" xfId="4288" xr:uid="{00000000-0005-0000-0000-0000C3100000}"/>
    <cellStyle name="Comma 2 4 3 3 2 3 2" xfId="4289" xr:uid="{00000000-0005-0000-0000-0000C4100000}"/>
    <cellStyle name="Comma 2 4 3 3 2 3 2 2" xfId="4290" xr:uid="{00000000-0005-0000-0000-0000C5100000}"/>
    <cellStyle name="Comma 2 4 3 3 2 3 2 2 2" xfId="4291" xr:uid="{00000000-0005-0000-0000-0000C6100000}"/>
    <cellStyle name="Comma 2 4 3 3 2 3 2 3" xfId="4292" xr:uid="{00000000-0005-0000-0000-0000C7100000}"/>
    <cellStyle name="Comma 2 4 3 3 2 3 3" xfId="4293" xr:uid="{00000000-0005-0000-0000-0000C8100000}"/>
    <cellStyle name="Comma 2 4 3 3 2 3 3 2" xfId="4294" xr:uid="{00000000-0005-0000-0000-0000C9100000}"/>
    <cellStyle name="Comma 2 4 3 3 2 3 4" xfId="4295" xr:uid="{00000000-0005-0000-0000-0000CA100000}"/>
    <cellStyle name="Comma 2 4 3 3 2 3 4 2" xfId="4296" xr:uid="{00000000-0005-0000-0000-0000CB100000}"/>
    <cellStyle name="Comma 2 4 3 3 2 3 5" xfId="4297" xr:uid="{00000000-0005-0000-0000-0000CC100000}"/>
    <cellStyle name="Comma 2 4 3 3 2 4" xfId="4298" xr:uid="{00000000-0005-0000-0000-0000CD100000}"/>
    <cellStyle name="Comma 2 4 3 3 2 4 2" xfId="4299" xr:uid="{00000000-0005-0000-0000-0000CE100000}"/>
    <cellStyle name="Comma 2 4 3 3 2 4 2 2" xfId="4300" xr:uid="{00000000-0005-0000-0000-0000CF100000}"/>
    <cellStyle name="Comma 2 4 3 3 2 4 3" xfId="4301" xr:uid="{00000000-0005-0000-0000-0000D0100000}"/>
    <cellStyle name="Comma 2 4 3 3 2 5" xfId="4302" xr:uid="{00000000-0005-0000-0000-0000D1100000}"/>
    <cellStyle name="Comma 2 4 3 3 2 5 2" xfId="4303" xr:uid="{00000000-0005-0000-0000-0000D2100000}"/>
    <cellStyle name="Comma 2 4 3 3 2 6" xfId="4304" xr:uid="{00000000-0005-0000-0000-0000D3100000}"/>
    <cellStyle name="Comma 2 4 3 3 2 6 2" xfId="4305" xr:uid="{00000000-0005-0000-0000-0000D4100000}"/>
    <cellStyle name="Comma 2 4 3 3 2 7" xfId="4306" xr:uid="{00000000-0005-0000-0000-0000D5100000}"/>
    <cellStyle name="Comma 2 4 3 3 3" xfId="4307" xr:uid="{00000000-0005-0000-0000-0000D6100000}"/>
    <cellStyle name="Comma 2 4 3 3 3 2" xfId="4308" xr:uid="{00000000-0005-0000-0000-0000D7100000}"/>
    <cellStyle name="Comma 2 4 3 3 3 2 2" xfId="4309" xr:uid="{00000000-0005-0000-0000-0000D8100000}"/>
    <cellStyle name="Comma 2 4 3 3 3 2 2 2" xfId="4310" xr:uid="{00000000-0005-0000-0000-0000D9100000}"/>
    <cellStyle name="Comma 2 4 3 3 3 2 2 2 2" xfId="4311" xr:uid="{00000000-0005-0000-0000-0000DA100000}"/>
    <cellStyle name="Comma 2 4 3 3 3 2 2 2 2 2" xfId="4312" xr:uid="{00000000-0005-0000-0000-0000DB100000}"/>
    <cellStyle name="Comma 2 4 3 3 3 2 2 2 3" xfId="4313" xr:uid="{00000000-0005-0000-0000-0000DC100000}"/>
    <cellStyle name="Comma 2 4 3 3 3 2 2 3" xfId="4314" xr:uid="{00000000-0005-0000-0000-0000DD100000}"/>
    <cellStyle name="Comma 2 4 3 3 3 2 2 3 2" xfId="4315" xr:uid="{00000000-0005-0000-0000-0000DE100000}"/>
    <cellStyle name="Comma 2 4 3 3 3 2 2 4" xfId="4316" xr:uid="{00000000-0005-0000-0000-0000DF100000}"/>
    <cellStyle name="Comma 2 4 3 3 3 2 2 4 2" xfId="4317" xr:uid="{00000000-0005-0000-0000-0000E0100000}"/>
    <cellStyle name="Comma 2 4 3 3 3 2 2 5" xfId="4318" xr:uid="{00000000-0005-0000-0000-0000E1100000}"/>
    <cellStyle name="Comma 2 4 3 3 3 2 3" xfId="4319" xr:uid="{00000000-0005-0000-0000-0000E2100000}"/>
    <cellStyle name="Comma 2 4 3 3 3 2 3 2" xfId="4320" xr:uid="{00000000-0005-0000-0000-0000E3100000}"/>
    <cellStyle name="Comma 2 4 3 3 3 2 3 2 2" xfId="4321" xr:uid="{00000000-0005-0000-0000-0000E4100000}"/>
    <cellStyle name="Comma 2 4 3 3 3 2 3 3" xfId="4322" xr:uid="{00000000-0005-0000-0000-0000E5100000}"/>
    <cellStyle name="Comma 2 4 3 3 3 2 4" xfId="4323" xr:uid="{00000000-0005-0000-0000-0000E6100000}"/>
    <cellStyle name="Comma 2 4 3 3 3 2 4 2" xfId="4324" xr:uid="{00000000-0005-0000-0000-0000E7100000}"/>
    <cellStyle name="Comma 2 4 3 3 3 2 5" xfId="4325" xr:uid="{00000000-0005-0000-0000-0000E8100000}"/>
    <cellStyle name="Comma 2 4 3 3 3 2 5 2" xfId="4326" xr:uid="{00000000-0005-0000-0000-0000E9100000}"/>
    <cellStyle name="Comma 2 4 3 3 3 2 6" xfId="4327" xr:uid="{00000000-0005-0000-0000-0000EA100000}"/>
    <cellStyle name="Comma 2 4 3 3 3 3" xfId="4328" xr:uid="{00000000-0005-0000-0000-0000EB100000}"/>
    <cellStyle name="Comma 2 4 3 3 3 3 2" xfId="4329" xr:uid="{00000000-0005-0000-0000-0000EC100000}"/>
    <cellStyle name="Comma 2 4 3 3 3 3 2 2" xfId="4330" xr:uid="{00000000-0005-0000-0000-0000ED100000}"/>
    <cellStyle name="Comma 2 4 3 3 3 3 2 2 2" xfId="4331" xr:uid="{00000000-0005-0000-0000-0000EE100000}"/>
    <cellStyle name="Comma 2 4 3 3 3 3 2 3" xfId="4332" xr:uid="{00000000-0005-0000-0000-0000EF100000}"/>
    <cellStyle name="Comma 2 4 3 3 3 3 3" xfId="4333" xr:uid="{00000000-0005-0000-0000-0000F0100000}"/>
    <cellStyle name="Comma 2 4 3 3 3 3 3 2" xfId="4334" xr:uid="{00000000-0005-0000-0000-0000F1100000}"/>
    <cellStyle name="Comma 2 4 3 3 3 3 4" xfId="4335" xr:uid="{00000000-0005-0000-0000-0000F2100000}"/>
    <cellStyle name="Comma 2 4 3 3 3 3 4 2" xfId="4336" xr:uid="{00000000-0005-0000-0000-0000F3100000}"/>
    <cellStyle name="Comma 2 4 3 3 3 3 5" xfId="4337" xr:uid="{00000000-0005-0000-0000-0000F4100000}"/>
    <cellStyle name="Comma 2 4 3 3 3 4" xfId="4338" xr:uid="{00000000-0005-0000-0000-0000F5100000}"/>
    <cellStyle name="Comma 2 4 3 3 3 4 2" xfId="4339" xr:uid="{00000000-0005-0000-0000-0000F6100000}"/>
    <cellStyle name="Comma 2 4 3 3 3 4 2 2" xfId="4340" xr:uid="{00000000-0005-0000-0000-0000F7100000}"/>
    <cellStyle name="Comma 2 4 3 3 3 4 3" xfId="4341" xr:uid="{00000000-0005-0000-0000-0000F8100000}"/>
    <cellStyle name="Comma 2 4 3 3 3 5" xfId="4342" xr:uid="{00000000-0005-0000-0000-0000F9100000}"/>
    <cellStyle name="Comma 2 4 3 3 3 5 2" xfId="4343" xr:uid="{00000000-0005-0000-0000-0000FA100000}"/>
    <cellStyle name="Comma 2 4 3 3 3 6" xfId="4344" xr:uid="{00000000-0005-0000-0000-0000FB100000}"/>
    <cellStyle name="Comma 2 4 3 3 3 6 2" xfId="4345" xr:uid="{00000000-0005-0000-0000-0000FC100000}"/>
    <cellStyle name="Comma 2 4 3 3 3 7" xfId="4346" xr:uid="{00000000-0005-0000-0000-0000FD100000}"/>
    <cellStyle name="Comma 2 4 3 3 4" xfId="4347" xr:uid="{00000000-0005-0000-0000-0000FE100000}"/>
    <cellStyle name="Comma 2 4 3 3 4 2" xfId="4348" xr:uid="{00000000-0005-0000-0000-0000FF100000}"/>
    <cellStyle name="Comma 2 4 3 3 4 2 2" xfId="4349" xr:uid="{00000000-0005-0000-0000-000000110000}"/>
    <cellStyle name="Comma 2 4 3 3 4 2 2 2" xfId="4350" xr:uid="{00000000-0005-0000-0000-000001110000}"/>
    <cellStyle name="Comma 2 4 3 3 4 2 2 2 2" xfId="4351" xr:uid="{00000000-0005-0000-0000-000002110000}"/>
    <cellStyle name="Comma 2 4 3 3 4 2 2 3" xfId="4352" xr:uid="{00000000-0005-0000-0000-000003110000}"/>
    <cellStyle name="Comma 2 4 3 3 4 2 3" xfId="4353" xr:uid="{00000000-0005-0000-0000-000004110000}"/>
    <cellStyle name="Comma 2 4 3 3 4 2 3 2" xfId="4354" xr:uid="{00000000-0005-0000-0000-000005110000}"/>
    <cellStyle name="Comma 2 4 3 3 4 2 4" xfId="4355" xr:uid="{00000000-0005-0000-0000-000006110000}"/>
    <cellStyle name="Comma 2 4 3 3 4 2 4 2" xfId="4356" xr:uid="{00000000-0005-0000-0000-000007110000}"/>
    <cellStyle name="Comma 2 4 3 3 4 2 5" xfId="4357" xr:uid="{00000000-0005-0000-0000-000008110000}"/>
    <cellStyle name="Comma 2 4 3 3 4 3" xfId="4358" xr:uid="{00000000-0005-0000-0000-000009110000}"/>
    <cellStyle name="Comma 2 4 3 3 4 3 2" xfId="4359" xr:uid="{00000000-0005-0000-0000-00000A110000}"/>
    <cellStyle name="Comma 2 4 3 3 4 3 2 2" xfId="4360" xr:uid="{00000000-0005-0000-0000-00000B110000}"/>
    <cellStyle name="Comma 2 4 3 3 4 3 3" xfId="4361" xr:uid="{00000000-0005-0000-0000-00000C110000}"/>
    <cellStyle name="Comma 2 4 3 3 4 4" xfId="4362" xr:uid="{00000000-0005-0000-0000-00000D110000}"/>
    <cellStyle name="Comma 2 4 3 3 4 4 2" xfId="4363" xr:uid="{00000000-0005-0000-0000-00000E110000}"/>
    <cellStyle name="Comma 2 4 3 3 4 5" xfId="4364" xr:uid="{00000000-0005-0000-0000-00000F110000}"/>
    <cellStyle name="Comma 2 4 3 3 4 5 2" xfId="4365" xr:uid="{00000000-0005-0000-0000-000010110000}"/>
    <cellStyle name="Comma 2 4 3 3 4 6" xfId="4366" xr:uid="{00000000-0005-0000-0000-000011110000}"/>
    <cellStyle name="Comma 2 4 3 3 5" xfId="4367" xr:uid="{00000000-0005-0000-0000-000012110000}"/>
    <cellStyle name="Comma 2 4 3 3 5 2" xfId="4368" xr:uid="{00000000-0005-0000-0000-000013110000}"/>
    <cellStyle name="Comma 2 4 3 3 5 2 2" xfId="4369" xr:uid="{00000000-0005-0000-0000-000014110000}"/>
    <cellStyle name="Comma 2 4 3 3 5 2 2 2" xfId="4370" xr:uid="{00000000-0005-0000-0000-000015110000}"/>
    <cellStyle name="Comma 2 4 3 3 5 2 3" xfId="4371" xr:uid="{00000000-0005-0000-0000-000016110000}"/>
    <cellStyle name="Comma 2 4 3 3 5 3" xfId="4372" xr:uid="{00000000-0005-0000-0000-000017110000}"/>
    <cellStyle name="Comma 2 4 3 3 5 3 2" xfId="4373" xr:uid="{00000000-0005-0000-0000-000018110000}"/>
    <cellStyle name="Comma 2 4 3 3 5 4" xfId="4374" xr:uid="{00000000-0005-0000-0000-000019110000}"/>
    <cellStyle name="Comma 2 4 3 3 5 4 2" xfId="4375" xr:uid="{00000000-0005-0000-0000-00001A110000}"/>
    <cellStyle name="Comma 2 4 3 3 5 5" xfId="4376" xr:uid="{00000000-0005-0000-0000-00001B110000}"/>
    <cellStyle name="Comma 2 4 3 3 6" xfId="4377" xr:uid="{00000000-0005-0000-0000-00001C110000}"/>
    <cellStyle name="Comma 2 4 3 3 6 2" xfId="4378" xr:uid="{00000000-0005-0000-0000-00001D110000}"/>
    <cellStyle name="Comma 2 4 3 3 6 2 2" xfId="4379" xr:uid="{00000000-0005-0000-0000-00001E110000}"/>
    <cellStyle name="Comma 2 4 3 3 6 3" xfId="4380" xr:uid="{00000000-0005-0000-0000-00001F110000}"/>
    <cellStyle name="Comma 2 4 3 3 7" xfId="4381" xr:uid="{00000000-0005-0000-0000-000020110000}"/>
    <cellStyle name="Comma 2 4 3 3 7 2" xfId="4382" xr:uid="{00000000-0005-0000-0000-000021110000}"/>
    <cellStyle name="Comma 2 4 3 3 8" xfId="4383" xr:uid="{00000000-0005-0000-0000-000022110000}"/>
    <cellStyle name="Comma 2 4 3 3 8 2" xfId="4384" xr:uid="{00000000-0005-0000-0000-000023110000}"/>
    <cellStyle name="Comma 2 4 3 3 9" xfId="4385" xr:uid="{00000000-0005-0000-0000-000024110000}"/>
    <cellStyle name="Comma 2 4 3 4" xfId="4386" xr:uid="{00000000-0005-0000-0000-000025110000}"/>
    <cellStyle name="Comma 2 4 3 4 2" xfId="4387" xr:uid="{00000000-0005-0000-0000-000026110000}"/>
    <cellStyle name="Comma 2 4 3 4 2 2" xfId="4388" xr:uid="{00000000-0005-0000-0000-000027110000}"/>
    <cellStyle name="Comma 2 4 3 4 2 2 2" xfId="4389" xr:uid="{00000000-0005-0000-0000-000028110000}"/>
    <cellStyle name="Comma 2 4 3 4 2 2 2 2" xfId="4390" xr:uid="{00000000-0005-0000-0000-000029110000}"/>
    <cellStyle name="Comma 2 4 3 4 2 2 2 2 2" xfId="4391" xr:uid="{00000000-0005-0000-0000-00002A110000}"/>
    <cellStyle name="Comma 2 4 3 4 2 2 2 2 2 2" xfId="4392" xr:uid="{00000000-0005-0000-0000-00002B110000}"/>
    <cellStyle name="Comma 2 4 3 4 2 2 2 2 3" xfId="4393" xr:uid="{00000000-0005-0000-0000-00002C110000}"/>
    <cellStyle name="Comma 2 4 3 4 2 2 2 3" xfId="4394" xr:uid="{00000000-0005-0000-0000-00002D110000}"/>
    <cellStyle name="Comma 2 4 3 4 2 2 2 3 2" xfId="4395" xr:uid="{00000000-0005-0000-0000-00002E110000}"/>
    <cellStyle name="Comma 2 4 3 4 2 2 2 4" xfId="4396" xr:uid="{00000000-0005-0000-0000-00002F110000}"/>
    <cellStyle name="Comma 2 4 3 4 2 2 2 4 2" xfId="4397" xr:uid="{00000000-0005-0000-0000-000030110000}"/>
    <cellStyle name="Comma 2 4 3 4 2 2 2 5" xfId="4398" xr:uid="{00000000-0005-0000-0000-000031110000}"/>
    <cellStyle name="Comma 2 4 3 4 2 2 3" xfId="4399" xr:uid="{00000000-0005-0000-0000-000032110000}"/>
    <cellStyle name="Comma 2 4 3 4 2 2 3 2" xfId="4400" xr:uid="{00000000-0005-0000-0000-000033110000}"/>
    <cellStyle name="Comma 2 4 3 4 2 2 3 2 2" xfId="4401" xr:uid="{00000000-0005-0000-0000-000034110000}"/>
    <cellStyle name="Comma 2 4 3 4 2 2 3 3" xfId="4402" xr:uid="{00000000-0005-0000-0000-000035110000}"/>
    <cellStyle name="Comma 2 4 3 4 2 2 4" xfId="4403" xr:uid="{00000000-0005-0000-0000-000036110000}"/>
    <cellStyle name="Comma 2 4 3 4 2 2 4 2" xfId="4404" xr:uid="{00000000-0005-0000-0000-000037110000}"/>
    <cellStyle name="Comma 2 4 3 4 2 2 5" xfId="4405" xr:uid="{00000000-0005-0000-0000-000038110000}"/>
    <cellStyle name="Comma 2 4 3 4 2 2 5 2" xfId="4406" xr:uid="{00000000-0005-0000-0000-000039110000}"/>
    <cellStyle name="Comma 2 4 3 4 2 2 6" xfId="4407" xr:uid="{00000000-0005-0000-0000-00003A110000}"/>
    <cellStyle name="Comma 2 4 3 4 2 3" xfId="4408" xr:uid="{00000000-0005-0000-0000-00003B110000}"/>
    <cellStyle name="Comma 2 4 3 4 2 3 2" xfId="4409" xr:uid="{00000000-0005-0000-0000-00003C110000}"/>
    <cellStyle name="Comma 2 4 3 4 2 3 2 2" xfId="4410" xr:uid="{00000000-0005-0000-0000-00003D110000}"/>
    <cellStyle name="Comma 2 4 3 4 2 3 2 2 2" xfId="4411" xr:uid="{00000000-0005-0000-0000-00003E110000}"/>
    <cellStyle name="Comma 2 4 3 4 2 3 2 3" xfId="4412" xr:uid="{00000000-0005-0000-0000-00003F110000}"/>
    <cellStyle name="Comma 2 4 3 4 2 3 3" xfId="4413" xr:uid="{00000000-0005-0000-0000-000040110000}"/>
    <cellStyle name="Comma 2 4 3 4 2 3 3 2" xfId="4414" xr:uid="{00000000-0005-0000-0000-000041110000}"/>
    <cellStyle name="Comma 2 4 3 4 2 3 4" xfId="4415" xr:uid="{00000000-0005-0000-0000-000042110000}"/>
    <cellStyle name="Comma 2 4 3 4 2 3 4 2" xfId="4416" xr:uid="{00000000-0005-0000-0000-000043110000}"/>
    <cellStyle name="Comma 2 4 3 4 2 3 5" xfId="4417" xr:uid="{00000000-0005-0000-0000-000044110000}"/>
    <cellStyle name="Comma 2 4 3 4 2 4" xfId="4418" xr:uid="{00000000-0005-0000-0000-000045110000}"/>
    <cellStyle name="Comma 2 4 3 4 2 4 2" xfId="4419" xr:uid="{00000000-0005-0000-0000-000046110000}"/>
    <cellStyle name="Comma 2 4 3 4 2 4 2 2" xfId="4420" xr:uid="{00000000-0005-0000-0000-000047110000}"/>
    <cellStyle name="Comma 2 4 3 4 2 4 3" xfId="4421" xr:uid="{00000000-0005-0000-0000-000048110000}"/>
    <cellStyle name="Comma 2 4 3 4 2 5" xfId="4422" xr:uid="{00000000-0005-0000-0000-000049110000}"/>
    <cellStyle name="Comma 2 4 3 4 2 5 2" xfId="4423" xr:uid="{00000000-0005-0000-0000-00004A110000}"/>
    <cellStyle name="Comma 2 4 3 4 2 6" xfId="4424" xr:uid="{00000000-0005-0000-0000-00004B110000}"/>
    <cellStyle name="Comma 2 4 3 4 2 6 2" xfId="4425" xr:uid="{00000000-0005-0000-0000-00004C110000}"/>
    <cellStyle name="Comma 2 4 3 4 2 7" xfId="4426" xr:uid="{00000000-0005-0000-0000-00004D110000}"/>
    <cellStyle name="Comma 2 4 3 4 3" xfId="4427" xr:uid="{00000000-0005-0000-0000-00004E110000}"/>
    <cellStyle name="Comma 2 4 3 4 3 2" xfId="4428" xr:uid="{00000000-0005-0000-0000-00004F110000}"/>
    <cellStyle name="Comma 2 4 3 4 3 2 2" xfId="4429" xr:uid="{00000000-0005-0000-0000-000050110000}"/>
    <cellStyle name="Comma 2 4 3 4 3 2 2 2" xfId="4430" xr:uid="{00000000-0005-0000-0000-000051110000}"/>
    <cellStyle name="Comma 2 4 3 4 3 2 2 2 2" xfId="4431" xr:uid="{00000000-0005-0000-0000-000052110000}"/>
    <cellStyle name="Comma 2 4 3 4 3 2 2 3" xfId="4432" xr:uid="{00000000-0005-0000-0000-000053110000}"/>
    <cellStyle name="Comma 2 4 3 4 3 2 3" xfId="4433" xr:uid="{00000000-0005-0000-0000-000054110000}"/>
    <cellStyle name="Comma 2 4 3 4 3 2 3 2" xfId="4434" xr:uid="{00000000-0005-0000-0000-000055110000}"/>
    <cellStyle name="Comma 2 4 3 4 3 2 4" xfId="4435" xr:uid="{00000000-0005-0000-0000-000056110000}"/>
    <cellStyle name="Comma 2 4 3 4 3 2 4 2" xfId="4436" xr:uid="{00000000-0005-0000-0000-000057110000}"/>
    <cellStyle name="Comma 2 4 3 4 3 2 5" xfId="4437" xr:uid="{00000000-0005-0000-0000-000058110000}"/>
    <cellStyle name="Comma 2 4 3 4 3 3" xfId="4438" xr:uid="{00000000-0005-0000-0000-000059110000}"/>
    <cellStyle name="Comma 2 4 3 4 3 3 2" xfId="4439" xr:uid="{00000000-0005-0000-0000-00005A110000}"/>
    <cellStyle name="Comma 2 4 3 4 3 3 2 2" xfId="4440" xr:uid="{00000000-0005-0000-0000-00005B110000}"/>
    <cellStyle name="Comma 2 4 3 4 3 3 3" xfId="4441" xr:uid="{00000000-0005-0000-0000-00005C110000}"/>
    <cellStyle name="Comma 2 4 3 4 3 4" xfId="4442" xr:uid="{00000000-0005-0000-0000-00005D110000}"/>
    <cellStyle name="Comma 2 4 3 4 3 4 2" xfId="4443" xr:uid="{00000000-0005-0000-0000-00005E110000}"/>
    <cellStyle name="Comma 2 4 3 4 3 5" xfId="4444" xr:uid="{00000000-0005-0000-0000-00005F110000}"/>
    <cellStyle name="Comma 2 4 3 4 3 5 2" xfId="4445" xr:uid="{00000000-0005-0000-0000-000060110000}"/>
    <cellStyle name="Comma 2 4 3 4 3 6" xfId="4446" xr:uid="{00000000-0005-0000-0000-000061110000}"/>
    <cellStyle name="Comma 2 4 3 4 4" xfId="4447" xr:uid="{00000000-0005-0000-0000-000062110000}"/>
    <cellStyle name="Comma 2 4 3 4 4 2" xfId="4448" xr:uid="{00000000-0005-0000-0000-000063110000}"/>
    <cellStyle name="Comma 2 4 3 4 4 2 2" xfId="4449" xr:uid="{00000000-0005-0000-0000-000064110000}"/>
    <cellStyle name="Comma 2 4 3 4 4 2 2 2" xfId="4450" xr:uid="{00000000-0005-0000-0000-000065110000}"/>
    <cellStyle name="Comma 2 4 3 4 4 2 3" xfId="4451" xr:uid="{00000000-0005-0000-0000-000066110000}"/>
    <cellStyle name="Comma 2 4 3 4 4 3" xfId="4452" xr:uid="{00000000-0005-0000-0000-000067110000}"/>
    <cellStyle name="Comma 2 4 3 4 4 3 2" xfId="4453" xr:uid="{00000000-0005-0000-0000-000068110000}"/>
    <cellStyle name="Comma 2 4 3 4 4 4" xfId="4454" xr:uid="{00000000-0005-0000-0000-000069110000}"/>
    <cellStyle name="Comma 2 4 3 4 4 4 2" xfId="4455" xr:uid="{00000000-0005-0000-0000-00006A110000}"/>
    <cellStyle name="Comma 2 4 3 4 4 5" xfId="4456" xr:uid="{00000000-0005-0000-0000-00006B110000}"/>
    <cellStyle name="Comma 2 4 3 4 5" xfId="4457" xr:uid="{00000000-0005-0000-0000-00006C110000}"/>
    <cellStyle name="Comma 2 4 3 4 5 2" xfId="4458" xr:uid="{00000000-0005-0000-0000-00006D110000}"/>
    <cellStyle name="Comma 2 4 3 4 5 2 2" xfId="4459" xr:uid="{00000000-0005-0000-0000-00006E110000}"/>
    <cellStyle name="Comma 2 4 3 4 5 3" xfId="4460" xr:uid="{00000000-0005-0000-0000-00006F110000}"/>
    <cellStyle name="Comma 2 4 3 4 6" xfId="4461" xr:uid="{00000000-0005-0000-0000-000070110000}"/>
    <cellStyle name="Comma 2 4 3 4 6 2" xfId="4462" xr:uid="{00000000-0005-0000-0000-000071110000}"/>
    <cellStyle name="Comma 2 4 3 4 7" xfId="4463" xr:uid="{00000000-0005-0000-0000-000072110000}"/>
    <cellStyle name="Comma 2 4 3 4 7 2" xfId="4464" xr:uid="{00000000-0005-0000-0000-000073110000}"/>
    <cellStyle name="Comma 2 4 3 4 8" xfId="4465" xr:uid="{00000000-0005-0000-0000-000074110000}"/>
    <cellStyle name="Comma 2 4 3 5" xfId="4466" xr:uid="{00000000-0005-0000-0000-000075110000}"/>
    <cellStyle name="Comma 2 4 3 5 2" xfId="4467" xr:uid="{00000000-0005-0000-0000-000076110000}"/>
    <cellStyle name="Comma 2 4 3 5 2 2" xfId="4468" xr:uid="{00000000-0005-0000-0000-000077110000}"/>
    <cellStyle name="Comma 2 4 3 5 2 2 2" xfId="4469" xr:uid="{00000000-0005-0000-0000-000078110000}"/>
    <cellStyle name="Comma 2 4 3 5 2 2 2 2" xfId="4470" xr:uid="{00000000-0005-0000-0000-000079110000}"/>
    <cellStyle name="Comma 2 4 3 5 2 2 2 2 2" xfId="4471" xr:uid="{00000000-0005-0000-0000-00007A110000}"/>
    <cellStyle name="Comma 2 4 3 5 2 2 2 3" xfId="4472" xr:uid="{00000000-0005-0000-0000-00007B110000}"/>
    <cellStyle name="Comma 2 4 3 5 2 2 3" xfId="4473" xr:uid="{00000000-0005-0000-0000-00007C110000}"/>
    <cellStyle name="Comma 2 4 3 5 2 2 3 2" xfId="4474" xr:uid="{00000000-0005-0000-0000-00007D110000}"/>
    <cellStyle name="Comma 2 4 3 5 2 2 4" xfId="4475" xr:uid="{00000000-0005-0000-0000-00007E110000}"/>
    <cellStyle name="Comma 2 4 3 5 2 2 4 2" xfId="4476" xr:uid="{00000000-0005-0000-0000-00007F110000}"/>
    <cellStyle name="Comma 2 4 3 5 2 2 5" xfId="4477" xr:uid="{00000000-0005-0000-0000-000080110000}"/>
    <cellStyle name="Comma 2 4 3 5 2 3" xfId="4478" xr:uid="{00000000-0005-0000-0000-000081110000}"/>
    <cellStyle name="Comma 2 4 3 5 2 3 2" xfId="4479" xr:uid="{00000000-0005-0000-0000-000082110000}"/>
    <cellStyle name="Comma 2 4 3 5 2 3 2 2" xfId="4480" xr:uid="{00000000-0005-0000-0000-000083110000}"/>
    <cellStyle name="Comma 2 4 3 5 2 3 3" xfId="4481" xr:uid="{00000000-0005-0000-0000-000084110000}"/>
    <cellStyle name="Comma 2 4 3 5 2 4" xfId="4482" xr:uid="{00000000-0005-0000-0000-000085110000}"/>
    <cellStyle name="Comma 2 4 3 5 2 4 2" xfId="4483" xr:uid="{00000000-0005-0000-0000-000086110000}"/>
    <cellStyle name="Comma 2 4 3 5 2 5" xfId="4484" xr:uid="{00000000-0005-0000-0000-000087110000}"/>
    <cellStyle name="Comma 2 4 3 5 2 5 2" xfId="4485" xr:uid="{00000000-0005-0000-0000-000088110000}"/>
    <cellStyle name="Comma 2 4 3 5 2 6" xfId="4486" xr:uid="{00000000-0005-0000-0000-000089110000}"/>
    <cellStyle name="Comma 2 4 3 5 3" xfId="4487" xr:uid="{00000000-0005-0000-0000-00008A110000}"/>
    <cellStyle name="Comma 2 4 3 5 3 2" xfId="4488" xr:uid="{00000000-0005-0000-0000-00008B110000}"/>
    <cellStyle name="Comma 2 4 3 5 3 2 2" xfId="4489" xr:uid="{00000000-0005-0000-0000-00008C110000}"/>
    <cellStyle name="Comma 2 4 3 5 3 2 2 2" xfId="4490" xr:uid="{00000000-0005-0000-0000-00008D110000}"/>
    <cellStyle name="Comma 2 4 3 5 3 2 3" xfId="4491" xr:uid="{00000000-0005-0000-0000-00008E110000}"/>
    <cellStyle name="Comma 2 4 3 5 3 3" xfId="4492" xr:uid="{00000000-0005-0000-0000-00008F110000}"/>
    <cellStyle name="Comma 2 4 3 5 3 3 2" xfId="4493" xr:uid="{00000000-0005-0000-0000-000090110000}"/>
    <cellStyle name="Comma 2 4 3 5 3 4" xfId="4494" xr:uid="{00000000-0005-0000-0000-000091110000}"/>
    <cellStyle name="Comma 2 4 3 5 3 4 2" xfId="4495" xr:uid="{00000000-0005-0000-0000-000092110000}"/>
    <cellStyle name="Comma 2 4 3 5 3 5" xfId="4496" xr:uid="{00000000-0005-0000-0000-000093110000}"/>
    <cellStyle name="Comma 2 4 3 5 4" xfId="4497" xr:uid="{00000000-0005-0000-0000-000094110000}"/>
    <cellStyle name="Comma 2 4 3 5 4 2" xfId="4498" xr:uid="{00000000-0005-0000-0000-000095110000}"/>
    <cellStyle name="Comma 2 4 3 5 4 2 2" xfId="4499" xr:uid="{00000000-0005-0000-0000-000096110000}"/>
    <cellStyle name="Comma 2 4 3 5 4 3" xfId="4500" xr:uid="{00000000-0005-0000-0000-000097110000}"/>
    <cellStyle name="Comma 2 4 3 5 5" xfId="4501" xr:uid="{00000000-0005-0000-0000-000098110000}"/>
    <cellStyle name="Comma 2 4 3 5 5 2" xfId="4502" xr:uid="{00000000-0005-0000-0000-000099110000}"/>
    <cellStyle name="Comma 2 4 3 5 6" xfId="4503" xr:uid="{00000000-0005-0000-0000-00009A110000}"/>
    <cellStyle name="Comma 2 4 3 5 6 2" xfId="4504" xr:uid="{00000000-0005-0000-0000-00009B110000}"/>
    <cellStyle name="Comma 2 4 3 5 7" xfId="4505" xr:uid="{00000000-0005-0000-0000-00009C110000}"/>
    <cellStyle name="Comma 2 4 3 6" xfId="4506" xr:uid="{00000000-0005-0000-0000-00009D110000}"/>
    <cellStyle name="Comma 2 4 3 6 2" xfId="4507" xr:uid="{00000000-0005-0000-0000-00009E110000}"/>
    <cellStyle name="Comma 2 4 3 6 2 2" xfId="4508" xr:uid="{00000000-0005-0000-0000-00009F110000}"/>
    <cellStyle name="Comma 2 4 3 6 2 2 2" xfId="4509" xr:uid="{00000000-0005-0000-0000-0000A0110000}"/>
    <cellStyle name="Comma 2 4 3 6 2 2 2 2" xfId="4510" xr:uid="{00000000-0005-0000-0000-0000A1110000}"/>
    <cellStyle name="Comma 2 4 3 6 2 2 2 2 2" xfId="4511" xr:uid="{00000000-0005-0000-0000-0000A2110000}"/>
    <cellStyle name="Comma 2 4 3 6 2 2 2 3" xfId="4512" xr:uid="{00000000-0005-0000-0000-0000A3110000}"/>
    <cellStyle name="Comma 2 4 3 6 2 2 3" xfId="4513" xr:uid="{00000000-0005-0000-0000-0000A4110000}"/>
    <cellStyle name="Comma 2 4 3 6 2 2 3 2" xfId="4514" xr:uid="{00000000-0005-0000-0000-0000A5110000}"/>
    <cellStyle name="Comma 2 4 3 6 2 2 4" xfId="4515" xr:uid="{00000000-0005-0000-0000-0000A6110000}"/>
    <cellStyle name="Comma 2 4 3 6 2 2 4 2" xfId="4516" xr:uid="{00000000-0005-0000-0000-0000A7110000}"/>
    <cellStyle name="Comma 2 4 3 6 2 2 5" xfId="4517" xr:uid="{00000000-0005-0000-0000-0000A8110000}"/>
    <cellStyle name="Comma 2 4 3 6 2 3" xfId="4518" xr:uid="{00000000-0005-0000-0000-0000A9110000}"/>
    <cellStyle name="Comma 2 4 3 6 2 3 2" xfId="4519" xr:uid="{00000000-0005-0000-0000-0000AA110000}"/>
    <cellStyle name="Comma 2 4 3 6 2 3 2 2" xfId="4520" xr:uid="{00000000-0005-0000-0000-0000AB110000}"/>
    <cellStyle name="Comma 2 4 3 6 2 3 3" xfId="4521" xr:uid="{00000000-0005-0000-0000-0000AC110000}"/>
    <cellStyle name="Comma 2 4 3 6 2 4" xfId="4522" xr:uid="{00000000-0005-0000-0000-0000AD110000}"/>
    <cellStyle name="Comma 2 4 3 6 2 4 2" xfId="4523" xr:uid="{00000000-0005-0000-0000-0000AE110000}"/>
    <cellStyle name="Comma 2 4 3 6 2 5" xfId="4524" xr:uid="{00000000-0005-0000-0000-0000AF110000}"/>
    <cellStyle name="Comma 2 4 3 6 2 5 2" xfId="4525" xr:uid="{00000000-0005-0000-0000-0000B0110000}"/>
    <cellStyle name="Comma 2 4 3 6 2 6" xfId="4526" xr:uid="{00000000-0005-0000-0000-0000B1110000}"/>
    <cellStyle name="Comma 2 4 3 6 3" xfId="4527" xr:uid="{00000000-0005-0000-0000-0000B2110000}"/>
    <cellStyle name="Comma 2 4 3 6 3 2" xfId="4528" xr:uid="{00000000-0005-0000-0000-0000B3110000}"/>
    <cellStyle name="Comma 2 4 3 6 3 2 2" xfId="4529" xr:uid="{00000000-0005-0000-0000-0000B4110000}"/>
    <cellStyle name="Comma 2 4 3 6 3 2 2 2" xfId="4530" xr:uid="{00000000-0005-0000-0000-0000B5110000}"/>
    <cellStyle name="Comma 2 4 3 6 3 2 3" xfId="4531" xr:uid="{00000000-0005-0000-0000-0000B6110000}"/>
    <cellStyle name="Comma 2 4 3 6 3 3" xfId="4532" xr:uid="{00000000-0005-0000-0000-0000B7110000}"/>
    <cellStyle name="Comma 2 4 3 6 3 3 2" xfId="4533" xr:uid="{00000000-0005-0000-0000-0000B8110000}"/>
    <cellStyle name="Comma 2 4 3 6 3 4" xfId="4534" xr:uid="{00000000-0005-0000-0000-0000B9110000}"/>
    <cellStyle name="Comma 2 4 3 6 3 4 2" xfId="4535" xr:uid="{00000000-0005-0000-0000-0000BA110000}"/>
    <cellStyle name="Comma 2 4 3 6 3 5" xfId="4536" xr:uid="{00000000-0005-0000-0000-0000BB110000}"/>
    <cellStyle name="Comma 2 4 3 6 4" xfId="4537" xr:uid="{00000000-0005-0000-0000-0000BC110000}"/>
    <cellStyle name="Comma 2 4 3 6 4 2" xfId="4538" xr:uid="{00000000-0005-0000-0000-0000BD110000}"/>
    <cellStyle name="Comma 2 4 3 6 4 2 2" xfId="4539" xr:uid="{00000000-0005-0000-0000-0000BE110000}"/>
    <cellStyle name="Comma 2 4 3 6 4 3" xfId="4540" xr:uid="{00000000-0005-0000-0000-0000BF110000}"/>
    <cellStyle name="Comma 2 4 3 6 5" xfId="4541" xr:uid="{00000000-0005-0000-0000-0000C0110000}"/>
    <cellStyle name="Comma 2 4 3 6 5 2" xfId="4542" xr:uid="{00000000-0005-0000-0000-0000C1110000}"/>
    <cellStyle name="Comma 2 4 3 6 6" xfId="4543" xr:uid="{00000000-0005-0000-0000-0000C2110000}"/>
    <cellStyle name="Comma 2 4 3 6 6 2" xfId="4544" xr:uid="{00000000-0005-0000-0000-0000C3110000}"/>
    <cellStyle name="Comma 2 4 3 6 7" xfId="4545" xr:uid="{00000000-0005-0000-0000-0000C4110000}"/>
    <cellStyle name="Comma 2 4 3 7" xfId="4546" xr:uid="{00000000-0005-0000-0000-0000C5110000}"/>
    <cellStyle name="Comma 2 4 3 7 2" xfId="4547" xr:uid="{00000000-0005-0000-0000-0000C6110000}"/>
    <cellStyle name="Comma 2 4 3 7 2 2" xfId="4548" xr:uid="{00000000-0005-0000-0000-0000C7110000}"/>
    <cellStyle name="Comma 2 4 3 7 2 2 2" xfId="4549" xr:uid="{00000000-0005-0000-0000-0000C8110000}"/>
    <cellStyle name="Comma 2 4 3 7 2 2 2 2" xfId="4550" xr:uid="{00000000-0005-0000-0000-0000C9110000}"/>
    <cellStyle name="Comma 2 4 3 7 2 2 3" xfId="4551" xr:uid="{00000000-0005-0000-0000-0000CA110000}"/>
    <cellStyle name="Comma 2 4 3 7 2 3" xfId="4552" xr:uid="{00000000-0005-0000-0000-0000CB110000}"/>
    <cellStyle name="Comma 2 4 3 7 2 3 2" xfId="4553" xr:uid="{00000000-0005-0000-0000-0000CC110000}"/>
    <cellStyle name="Comma 2 4 3 7 2 4" xfId="4554" xr:uid="{00000000-0005-0000-0000-0000CD110000}"/>
    <cellStyle name="Comma 2 4 3 7 2 4 2" xfId="4555" xr:uid="{00000000-0005-0000-0000-0000CE110000}"/>
    <cellStyle name="Comma 2 4 3 7 2 5" xfId="4556" xr:uid="{00000000-0005-0000-0000-0000CF110000}"/>
    <cellStyle name="Comma 2 4 3 7 3" xfId="4557" xr:uid="{00000000-0005-0000-0000-0000D0110000}"/>
    <cellStyle name="Comma 2 4 3 7 3 2" xfId="4558" xr:uid="{00000000-0005-0000-0000-0000D1110000}"/>
    <cellStyle name="Comma 2 4 3 7 3 2 2" xfId="4559" xr:uid="{00000000-0005-0000-0000-0000D2110000}"/>
    <cellStyle name="Comma 2 4 3 7 3 3" xfId="4560" xr:uid="{00000000-0005-0000-0000-0000D3110000}"/>
    <cellStyle name="Comma 2 4 3 7 4" xfId="4561" xr:uid="{00000000-0005-0000-0000-0000D4110000}"/>
    <cellStyle name="Comma 2 4 3 7 4 2" xfId="4562" xr:uid="{00000000-0005-0000-0000-0000D5110000}"/>
    <cellStyle name="Comma 2 4 3 7 5" xfId="4563" xr:uid="{00000000-0005-0000-0000-0000D6110000}"/>
    <cellStyle name="Comma 2 4 3 7 5 2" xfId="4564" xr:uid="{00000000-0005-0000-0000-0000D7110000}"/>
    <cellStyle name="Comma 2 4 3 7 6" xfId="4565" xr:uid="{00000000-0005-0000-0000-0000D8110000}"/>
    <cellStyle name="Comma 2 4 3 8" xfId="4566" xr:uid="{00000000-0005-0000-0000-0000D9110000}"/>
    <cellStyle name="Comma 2 4 3 8 2" xfId="4567" xr:uid="{00000000-0005-0000-0000-0000DA110000}"/>
    <cellStyle name="Comma 2 4 3 8 2 2" xfId="4568" xr:uid="{00000000-0005-0000-0000-0000DB110000}"/>
    <cellStyle name="Comma 2 4 3 8 2 2 2" xfId="4569" xr:uid="{00000000-0005-0000-0000-0000DC110000}"/>
    <cellStyle name="Comma 2 4 3 8 2 3" xfId="4570" xr:uid="{00000000-0005-0000-0000-0000DD110000}"/>
    <cellStyle name="Comma 2 4 3 8 3" xfId="4571" xr:uid="{00000000-0005-0000-0000-0000DE110000}"/>
    <cellStyle name="Comma 2 4 3 8 3 2" xfId="4572" xr:uid="{00000000-0005-0000-0000-0000DF110000}"/>
    <cellStyle name="Comma 2 4 3 8 4" xfId="4573" xr:uid="{00000000-0005-0000-0000-0000E0110000}"/>
    <cellStyle name="Comma 2 4 3 8 4 2" xfId="4574" xr:uid="{00000000-0005-0000-0000-0000E1110000}"/>
    <cellStyle name="Comma 2 4 3 8 5" xfId="4575" xr:uid="{00000000-0005-0000-0000-0000E2110000}"/>
    <cellStyle name="Comma 2 4 3 9" xfId="4576" xr:uid="{00000000-0005-0000-0000-0000E3110000}"/>
    <cellStyle name="Comma 2 4 3 9 2" xfId="4577" xr:uid="{00000000-0005-0000-0000-0000E4110000}"/>
    <cellStyle name="Comma 2 4 3 9 2 2" xfId="4578" xr:uid="{00000000-0005-0000-0000-0000E5110000}"/>
    <cellStyle name="Comma 2 4 3 9 3" xfId="4579" xr:uid="{00000000-0005-0000-0000-0000E6110000}"/>
    <cellStyle name="Comma 2 4 4" xfId="4580" xr:uid="{00000000-0005-0000-0000-0000E7110000}"/>
    <cellStyle name="Comma 2 4 4 10" xfId="4581" xr:uid="{00000000-0005-0000-0000-0000E8110000}"/>
    <cellStyle name="Comma 2 4 4 10 2" xfId="4582" xr:uid="{00000000-0005-0000-0000-0000E9110000}"/>
    <cellStyle name="Comma 2 4 4 11" xfId="4583" xr:uid="{00000000-0005-0000-0000-0000EA110000}"/>
    <cellStyle name="Comma 2 4 4 2" xfId="4584" xr:uid="{00000000-0005-0000-0000-0000EB110000}"/>
    <cellStyle name="Comma 2 4 4 2 2" xfId="4585" xr:uid="{00000000-0005-0000-0000-0000EC110000}"/>
    <cellStyle name="Comma 2 4 4 2 2 2" xfId="4586" xr:uid="{00000000-0005-0000-0000-0000ED110000}"/>
    <cellStyle name="Comma 2 4 4 2 2 2 2" xfId="4587" xr:uid="{00000000-0005-0000-0000-0000EE110000}"/>
    <cellStyle name="Comma 2 4 4 2 2 2 2 2" xfId="4588" xr:uid="{00000000-0005-0000-0000-0000EF110000}"/>
    <cellStyle name="Comma 2 4 4 2 2 2 2 2 2" xfId="4589" xr:uid="{00000000-0005-0000-0000-0000F0110000}"/>
    <cellStyle name="Comma 2 4 4 2 2 2 2 2 2 2" xfId="4590" xr:uid="{00000000-0005-0000-0000-0000F1110000}"/>
    <cellStyle name="Comma 2 4 4 2 2 2 2 2 3" xfId="4591" xr:uid="{00000000-0005-0000-0000-0000F2110000}"/>
    <cellStyle name="Comma 2 4 4 2 2 2 2 3" xfId="4592" xr:uid="{00000000-0005-0000-0000-0000F3110000}"/>
    <cellStyle name="Comma 2 4 4 2 2 2 2 3 2" xfId="4593" xr:uid="{00000000-0005-0000-0000-0000F4110000}"/>
    <cellStyle name="Comma 2 4 4 2 2 2 2 4" xfId="4594" xr:uid="{00000000-0005-0000-0000-0000F5110000}"/>
    <cellStyle name="Comma 2 4 4 2 2 2 2 4 2" xfId="4595" xr:uid="{00000000-0005-0000-0000-0000F6110000}"/>
    <cellStyle name="Comma 2 4 4 2 2 2 2 5" xfId="4596" xr:uid="{00000000-0005-0000-0000-0000F7110000}"/>
    <cellStyle name="Comma 2 4 4 2 2 2 3" xfId="4597" xr:uid="{00000000-0005-0000-0000-0000F8110000}"/>
    <cellStyle name="Comma 2 4 4 2 2 2 3 2" xfId="4598" xr:uid="{00000000-0005-0000-0000-0000F9110000}"/>
    <cellStyle name="Comma 2 4 4 2 2 2 3 2 2" xfId="4599" xr:uid="{00000000-0005-0000-0000-0000FA110000}"/>
    <cellStyle name="Comma 2 4 4 2 2 2 3 3" xfId="4600" xr:uid="{00000000-0005-0000-0000-0000FB110000}"/>
    <cellStyle name="Comma 2 4 4 2 2 2 4" xfId="4601" xr:uid="{00000000-0005-0000-0000-0000FC110000}"/>
    <cellStyle name="Comma 2 4 4 2 2 2 4 2" xfId="4602" xr:uid="{00000000-0005-0000-0000-0000FD110000}"/>
    <cellStyle name="Comma 2 4 4 2 2 2 5" xfId="4603" xr:uid="{00000000-0005-0000-0000-0000FE110000}"/>
    <cellStyle name="Comma 2 4 4 2 2 2 5 2" xfId="4604" xr:uid="{00000000-0005-0000-0000-0000FF110000}"/>
    <cellStyle name="Comma 2 4 4 2 2 2 6" xfId="4605" xr:uid="{00000000-0005-0000-0000-000000120000}"/>
    <cellStyle name="Comma 2 4 4 2 2 3" xfId="4606" xr:uid="{00000000-0005-0000-0000-000001120000}"/>
    <cellStyle name="Comma 2 4 4 2 2 3 2" xfId="4607" xr:uid="{00000000-0005-0000-0000-000002120000}"/>
    <cellStyle name="Comma 2 4 4 2 2 3 2 2" xfId="4608" xr:uid="{00000000-0005-0000-0000-000003120000}"/>
    <cellStyle name="Comma 2 4 4 2 2 3 2 2 2" xfId="4609" xr:uid="{00000000-0005-0000-0000-000004120000}"/>
    <cellStyle name="Comma 2 4 4 2 2 3 2 3" xfId="4610" xr:uid="{00000000-0005-0000-0000-000005120000}"/>
    <cellStyle name="Comma 2 4 4 2 2 3 3" xfId="4611" xr:uid="{00000000-0005-0000-0000-000006120000}"/>
    <cellStyle name="Comma 2 4 4 2 2 3 3 2" xfId="4612" xr:uid="{00000000-0005-0000-0000-000007120000}"/>
    <cellStyle name="Comma 2 4 4 2 2 3 4" xfId="4613" xr:uid="{00000000-0005-0000-0000-000008120000}"/>
    <cellStyle name="Comma 2 4 4 2 2 3 4 2" xfId="4614" xr:uid="{00000000-0005-0000-0000-000009120000}"/>
    <cellStyle name="Comma 2 4 4 2 2 3 5" xfId="4615" xr:uid="{00000000-0005-0000-0000-00000A120000}"/>
    <cellStyle name="Comma 2 4 4 2 2 4" xfId="4616" xr:uid="{00000000-0005-0000-0000-00000B120000}"/>
    <cellStyle name="Comma 2 4 4 2 2 4 2" xfId="4617" xr:uid="{00000000-0005-0000-0000-00000C120000}"/>
    <cellStyle name="Comma 2 4 4 2 2 4 2 2" xfId="4618" xr:uid="{00000000-0005-0000-0000-00000D120000}"/>
    <cellStyle name="Comma 2 4 4 2 2 4 3" xfId="4619" xr:uid="{00000000-0005-0000-0000-00000E120000}"/>
    <cellStyle name="Comma 2 4 4 2 2 5" xfId="4620" xr:uid="{00000000-0005-0000-0000-00000F120000}"/>
    <cellStyle name="Comma 2 4 4 2 2 5 2" xfId="4621" xr:uid="{00000000-0005-0000-0000-000010120000}"/>
    <cellStyle name="Comma 2 4 4 2 2 6" xfId="4622" xr:uid="{00000000-0005-0000-0000-000011120000}"/>
    <cellStyle name="Comma 2 4 4 2 2 6 2" xfId="4623" xr:uid="{00000000-0005-0000-0000-000012120000}"/>
    <cellStyle name="Comma 2 4 4 2 2 7" xfId="4624" xr:uid="{00000000-0005-0000-0000-000013120000}"/>
    <cellStyle name="Comma 2 4 4 2 3" xfId="4625" xr:uid="{00000000-0005-0000-0000-000014120000}"/>
    <cellStyle name="Comma 2 4 4 2 3 2" xfId="4626" xr:uid="{00000000-0005-0000-0000-000015120000}"/>
    <cellStyle name="Comma 2 4 4 2 3 2 2" xfId="4627" xr:uid="{00000000-0005-0000-0000-000016120000}"/>
    <cellStyle name="Comma 2 4 4 2 3 2 2 2" xfId="4628" xr:uid="{00000000-0005-0000-0000-000017120000}"/>
    <cellStyle name="Comma 2 4 4 2 3 2 2 2 2" xfId="4629" xr:uid="{00000000-0005-0000-0000-000018120000}"/>
    <cellStyle name="Comma 2 4 4 2 3 2 2 2 2 2" xfId="4630" xr:uid="{00000000-0005-0000-0000-000019120000}"/>
    <cellStyle name="Comma 2 4 4 2 3 2 2 2 3" xfId="4631" xr:uid="{00000000-0005-0000-0000-00001A120000}"/>
    <cellStyle name="Comma 2 4 4 2 3 2 2 3" xfId="4632" xr:uid="{00000000-0005-0000-0000-00001B120000}"/>
    <cellStyle name="Comma 2 4 4 2 3 2 2 3 2" xfId="4633" xr:uid="{00000000-0005-0000-0000-00001C120000}"/>
    <cellStyle name="Comma 2 4 4 2 3 2 2 4" xfId="4634" xr:uid="{00000000-0005-0000-0000-00001D120000}"/>
    <cellStyle name="Comma 2 4 4 2 3 2 2 4 2" xfId="4635" xr:uid="{00000000-0005-0000-0000-00001E120000}"/>
    <cellStyle name="Comma 2 4 4 2 3 2 2 5" xfId="4636" xr:uid="{00000000-0005-0000-0000-00001F120000}"/>
    <cellStyle name="Comma 2 4 4 2 3 2 3" xfId="4637" xr:uid="{00000000-0005-0000-0000-000020120000}"/>
    <cellStyle name="Comma 2 4 4 2 3 2 3 2" xfId="4638" xr:uid="{00000000-0005-0000-0000-000021120000}"/>
    <cellStyle name="Comma 2 4 4 2 3 2 3 2 2" xfId="4639" xr:uid="{00000000-0005-0000-0000-000022120000}"/>
    <cellStyle name="Comma 2 4 4 2 3 2 3 3" xfId="4640" xr:uid="{00000000-0005-0000-0000-000023120000}"/>
    <cellStyle name="Comma 2 4 4 2 3 2 4" xfId="4641" xr:uid="{00000000-0005-0000-0000-000024120000}"/>
    <cellStyle name="Comma 2 4 4 2 3 2 4 2" xfId="4642" xr:uid="{00000000-0005-0000-0000-000025120000}"/>
    <cellStyle name="Comma 2 4 4 2 3 2 5" xfId="4643" xr:uid="{00000000-0005-0000-0000-000026120000}"/>
    <cellStyle name="Comma 2 4 4 2 3 2 5 2" xfId="4644" xr:uid="{00000000-0005-0000-0000-000027120000}"/>
    <cellStyle name="Comma 2 4 4 2 3 2 6" xfId="4645" xr:uid="{00000000-0005-0000-0000-000028120000}"/>
    <cellStyle name="Comma 2 4 4 2 3 3" xfId="4646" xr:uid="{00000000-0005-0000-0000-000029120000}"/>
    <cellStyle name="Comma 2 4 4 2 3 3 2" xfId="4647" xr:uid="{00000000-0005-0000-0000-00002A120000}"/>
    <cellStyle name="Comma 2 4 4 2 3 3 2 2" xfId="4648" xr:uid="{00000000-0005-0000-0000-00002B120000}"/>
    <cellStyle name="Comma 2 4 4 2 3 3 2 2 2" xfId="4649" xr:uid="{00000000-0005-0000-0000-00002C120000}"/>
    <cellStyle name="Comma 2 4 4 2 3 3 2 3" xfId="4650" xr:uid="{00000000-0005-0000-0000-00002D120000}"/>
    <cellStyle name="Comma 2 4 4 2 3 3 3" xfId="4651" xr:uid="{00000000-0005-0000-0000-00002E120000}"/>
    <cellStyle name="Comma 2 4 4 2 3 3 3 2" xfId="4652" xr:uid="{00000000-0005-0000-0000-00002F120000}"/>
    <cellStyle name="Comma 2 4 4 2 3 3 4" xfId="4653" xr:uid="{00000000-0005-0000-0000-000030120000}"/>
    <cellStyle name="Comma 2 4 4 2 3 3 4 2" xfId="4654" xr:uid="{00000000-0005-0000-0000-000031120000}"/>
    <cellStyle name="Comma 2 4 4 2 3 3 5" xfId="4655" xr:uid="{00000000-0005-0000-0000-000032120000}"/>
    <cellStyle name="Comma 2 4 4 2 3 4" xfId="4656" xr:uid="{00000000-0005-0000-0000-000033120000}"/>
    <cellStyle name="Comma 2 4 4 2 3 4 2" xfId="4657" xr:uid="{00000000-0005-0000-0000-000034120000}"/>
    <cellStyle name="Comma 2 4 4 2 3 4 2 2" xfId="4658" xr:uid="{00000000-0005-0000-0000-000035120000}"/>
    <cellStyle name="Comma 2 4 4 2 3 4 3" xfId="4659" xr:uid="{00000000-0005-0000-0000-000036120000}"/>
    <cellStyle name="Comma 2 4 4 2 3 5" xfId="4660" xr:uid="{00000000-0005-0000-0000-000037120000}"/>
    <cellStyle name="Comma 2 4 4 2 3 5 2" xfId="4661" xr:uid="{00000000-0005-0000-0000-000038120000}"/>
    <cellStyle name="Comma 2 4 4 2 3 6" xfId="4662" xr:uid="{00000000-0005-0000-0000-000039120000}"/>
    <cellStyle name="Comma 2 4 4 2 3 6 2" xfId="4663" xr:uid="{00000000-0005-0000-0000-00003A120000}"/>
    <cellStyle name="Comma 2 4 4 2 3 7" xfId="4664" xr:uid="{00000000-0005-0000-0000-00003B120000}"/>
    <cellStyle name="Comma 2 4 4 2 4" xfId="4665" xr:uid="{00000000-0005-0000-0000-00003C120000}"/>
    <cellStyle name="Comma 2 4 4 2 4 2" xfId="4666" xr:uid="{00000000-0005-0000-0000-00003D120000}"/>
    <cellStyle name="Comma 2 4 4 2 4 2 2" xfId="4667" xr:uid="{00000000-0005-0000-0000-00003E120000}"/>
    <cellStyle name="Comma 2 4 4 2 4 2 2 2" xfId="4668" xr:uid="{00000000-0005-0000-0000-00003F120000}"/>
    <cellStyle name="Comma 2 4 4 2 4 2 2 2 2" xfId="4669" xr:uid="{00000000-0005-0000-0000-000040120000}"/>
    <cellStyle name="Comma 2 4 4 2 4 2 2 3" xfId="4670" xr:uid="{00000000-0005-0000-0000-000041120000}"/>
    <cellStyle name="Comma 2 4 4 2 4 2 3" xfId="4671" xr:uid="{00000000-0005-0000-0000-000042120000}"/>
    <cellStyle name="Comma 2 4 4 2 4 2 3 2" xfId="4672" xr:uid="{00000000-0005-0000-0000-000043120000}"/>
    <cellStyle name="Comma 2 4 4 2 4 2 4" xfId="4673" xr:uid="{00000000-0005-0000-0000-000044120000}"/>
    <cellStyle name="Comma 2 4 4 2 4 2 4 2" xfId="4674" xr:uid="{00000000-0005-0000-0000-000045120000}"/>
    <cellStyle name="Comma 2 4 4 2 4 2 5" xfId="4675" xr:uid="{00000000-0005-0000-0000-000046120000}"/>
    <cellStyle name="Comma 2 4 4 2 4 3" xfId="4676" xr:uid="{00000000-0005-0000-0000-000047120000}"/>
    <cellStyle name="Comma 2 4 4 2 4 3 2" xfId="4677" xr:uid="{00000000-0005-0000-0000-000048120000}"/>
    <cellStyle name="Comma 2 4 4 2 4 3 2 2" xfId="4678" xr:uid="{00000000-0005-0000-0000-000049120000}"/>
    <cellStyle name="Comma 2 4 4 2 4 3 3" xfId="4679" xr:uid="{00000000-0005-0000-0000-00004A120000}"/>
    <cellStyle name="Comma 2 4 4 2 4 4" xfId="4680" xr:uid="{00000000-0005-0000-0000-00004B120000}"/>
    <cellStyle name="Comma 2 4 4 2 4 4 2" xfId="4681" xr:uid="{00000000-0005-0000-0000-00004C120000}"/>
    <cellStyle name="Comma 2 4 4 2 4 5" xfId="4682" xr:uid="{00000000-0005-0000-0000-00004D120000}"/>
    <cellStyle name="Comma 2 4 4 2 4 5 2" xfId="4683" xr:uid="{00000000-0005-0000-0000-00004E120000}"/>
    <cellStyle name="Comma 2 4 4 2 4 6" xfId="4684" xr:uid="{00000000-0005-0000-0000-00004F120000}"/>
    <cellStyle name="Comma 2 4 4 2 5" xfId="4685" xr:uid="{00000000-0005-0000-0000-000050120000}"/>
    <cellStyle name="Comma 2 4 4 2 5 2" xfId="4686" xr:uid="{00000000-0005-0000-0000-000051120000}"/>
    <cellStyle name="Comma 2 4 4 2 5 2 2" xfId="4687" xr:uid="{00000000-0005-0000-0000-000052120000}"/>
    <cellStyle name="Comma 2 4 4 2 5 2 2 2" xfId="4688" xr:uid="{00000000-0005-0000-0000-000053120000}"/>
    <cellStyle name="Comma 2 4 4 2 5 2 3" xfId="4689" xr:uid="{00000000-0005-0000-0000-000054120000}"/>
    <cellStyle name="Comma 2 4 4 2 5 3" xfId="4690" xr:uid="{00000000-0005-0000-0000-000055120000}"/>
    <cellStyle name="Comma 2 4 4 2 5 3 2" xfId="4691" xr:uid="{00000000-0005-0000-0000-000056120000}"/>
    <cellStyle name="Comma 2 4 4 2 5 4" xfId="4692" xr:uid="{00000000-0005-0000-0000-000057120000}"/>
    <cellStyle name="Comma 2 4 4 2 5 4 2" xfId="4693" xr:uid="{00000000-0005-0000-0000-000058120000}"/>
    <cellStyle name="Comma 2 4 4 2 5 5" xfId="4694" xr:uid="{00000000-0005-0000-0000-000059120000}"/>
    <cellStyle name="Comma 2 4 4 2 6" xfId="4695" xr:uid="{00000000-0005-0000-0000-00005A120000}"/>
    <cellStyle name="Comma 2 4 4 2 6 2" xfId="4696" xr:uid="{00000000-0005-0000-0000-00005B120000}"/>
    <cellStyle name="Comma 2 4 4 2 6 2 2" xfId="4697" xr:uid="{00000000-0005-0000-0000-00005C120000}"/>
    <cellStyle name="Comma 2 4 4 2 6 3" xfId="4698" xr:uid="{00000000-0005-0000-0000-00005D120000}"/>
    <cellStyle name="Comma 2 4 4 2 7" xfId="4699" xr:uid="{00000000-0005-0000-0000-00005E120000}"/>
    <cellStyle name="Comma 2 4 4 2 7 2" xfId="4700" xr:uid="{00000000-0005-0000-0000-00005F120000}"/>
    <cellStyle name="Comma 2 4 4 2 8" xfId="4701" xr:uid="{00000000-0005-0000-0000-000060120000}"/>
    <cellStyle name="Comma 2 4 4 2 8 2" xfId="4702" xr:uid="{00000000-0005-0000-0000-000061120000}"/>
    <cellStyle name="Comma 2 4 4 2 9" xfId="4703" xr:uid="{00000000-0005-0000-0000-000062120000}"/>
    <cellStyle name="Comma 2 4 4 3" xfId="4704" xr:uid="{00000000-0005-0000-0000-000063120000}"/>
    <cellStyle name="Comma 2 4 4 3 2" xfId="4705" xr:uid="{00000000-0005-0000-0000-000064120000}"/>
    <cellStyle name="Comma 2 4 4 3 2 2" xfId="4706" xr:uid="{00000000-0005-0000-0000-000065120000}"/>
    <cellStyle name="Comma 2 4 4 3 2 2 2" xfId="4707" xr:uid="{00000000-0005-0000-0000-000066120000}"/>
    <cellStyle name="Comma 2 4 4 3 2 2 2 2" xfId="4708" xr:uid="{00000000-0005-0000-0000-000067120000}"/>
    <cellStyle name="Comma 2 4 4 3 2 2 2 2 2" xfId="4709" xr:uid="{00000000-0005-0000-0000-000068120000}"/>
    <cellStyle name="Comma 2 4 4 3 2 2 2 2 2 2" xfId="4710" xr:uid="{00000000-0005-0000-0000-000069120000}"/>
    <cellStyle name="Comma 2 4 4 3 2 2 2 2 3" xfId="4711" xr:uid="{00000000-0005-0000-0000-00006A120000}"/>
    <cellStyle name="Comma 2 4 4 3 2 2 2 3" xfId="4712" xr:uid="{00000000-0005-0000-0000-00006B120000}"/>
    <cellStyle name="Comma 2 4 4 3 2 2 2 3 2" xfId="4713" xr:uid="{00000000-0005-0000-0000-00006C120000}"/>
    <cellStyle name="Comma 2 4 4 3 2 2 2 4" xfId="4714" xr:uid="{00000000-0005-0000-0000-00006D120000}"/>
    <cellStyle name="Comma 2 4 4 3 2 2 2 4 2" xfId="4715" xr:uid="{00000000-0005-0000-0000-00006E120000}"/>
    <cellStyle name="Comma 2 4 4 3 2 2 2 5" xfId="4716" xr:uid="{00000000-0005-0000-0000-00006F120000}"/>
    <cellStyle name="Comma 2 4 4 3 2 2 3" xfId="4717" xr:uid="{00000000-0005-0000-0000-000070120000}"/>
    <cellStyle name="Comma 2 4 4 3 2 2 3 2" xfId="4718" xr:uid="{00000000-0005-0000-0000-000071120000}"/>
    <cellStyle name="Comma 2 4 4 3 2 2 3 2 2" xfId="4719" xr:uid="{00000000-0005-0000-0000-000072120000}"/>
    <cellStyle name="Comma 2 4 4 3 2 2 3 3" xfId="4720" xr:uid="{00000000-0005-0000-0000-000073120000}"/>
    <cellStyle name="Comma 2 4 4 3 2 2 4" xfId="4721" xr:uid="{00000000-0005-0000-0000-000074120000}"/>
    <cellStyle name="Comma 2 4 4 3 2 2 4 2" xfId="4722" xr:uid="{00000000-0005-0000-0000-000075120000}"/>
    <cellStyle name="Comma 2 4 4 3 2 2 5" xfId="4723" xr:uid="{00000000-0005-0000-0000-000076120000}"/>
    <cellStyle name="Comma 2 4 4 3 2 2 5 2" xfId="4724" xr:uid="{00000000-0005-0000-0000-000077120000}"/>
    <cellStyle name="Comma 2 4 4 3 2 2 6" xfId="4725" xr:uid="{00000000-0005-0000-0000-000078120000}"/>
    <cellStyle name="Comma 2 4 4 3 2 3" xfId="4726" xr:uid="{00000000-0005-0000-0000-000079120000}"/>
    <cellStyle name="Comma 2 4 4 3 2 3 2" xfId="4727" xr:uid="{00000000-0005-0000-0000-00007A120000}"/>
    <cellStyle name="Comma 2 4 4 3 2 3 2 2" xfId="4728" xr:uid="{00000000-0005-0000-0000-00007B120000}"/>
    <cellStyle name="Comma 2 4 4 3 2 3 2 2 2" xfId="4729" xr:uid="{00000000-0005-0000-0000-00007C120000}"/>
    <cellStyle name="Comma 2 4 4 3 2 3 2 3" xfId="4730" xr:uid="{00000000-0005-0000-0000-00007D120000}"/>
    <cellStyle name="Comma 2 4 4 3 2 3 3" xfId="4731" xr:uid="{00000000-0005-0000-0000-00007E120000}"/>
    <cellStyle name="Comma 2 4 4 3 2 3 3 2" xfId="4732" xr:uid="{00000000-0005-0000-0000-00007F120000}"/>
    <cellStyle name="Comma 2 4 4 3 2 3 4" xfId="4733" xr:uid="{00000000-0005-0000-0000-000080120000}"/>
    <cellStyle name="Comma 2 4 4 3 2 3 4 2" xfId="4734" xr:uid="{00000000-0005-0000-0000-000081120000}"/>
    <cellStyle name="Comma 2 4 4 3 2 3 5" xfId="4735" xr:uid="{00000000-0005-0000-0000-000082120000}"/>
    <cellStyle name="Comma 2 4 4 3 2 4" xfId="4736" xr:uid="{00000000-0005-0000-0000-000083120000}"/>
    <cellStyle name="Comma 2 4 4 3 2 4 2" xfId="4737" xr:uid="{00000000-0005-0000-0000-000084120000}"/>
    <cellStyle name="Comma 2 4 4 3 2 4 2 2" xfId="4738" xr:uid="{00000000-0005-0000-0000-000085120000}"/>
    <cellStyle name="Comma 2 4 4 3 2 4 3" xfId="4739" xr:uid="{00000000-0005-0000-0000-000086120000}"/>
    <cellStyle name="Comma 2 4 4 3 2 5" xfId="4740" xr:uid="{00000000-0005-0000-0000-000087120000}"/>
    <cellStyle name="Comma 2 4 4 3 2 5 2" xfId="4741" xr:uid="{00000000-0005-0000-0000-000088120000}"/>
    <cellStyle name="Comma 2 4 4 3 2 6" xfId="4742" xr:uid="{00000000-0005-0000-0000-000089120000}"/>
    <cellStyle name="Comma 2 4 4 3 2 6 2" xfId="4743" xr:uid="{00000000-0005-0000-0000-00008A120000}"/>
    <cellStyle name="Comma 2 4 4 3 2 7" xfId="4744" xr:uid="{00000000-0005-0000-0000-00008B120000}"/>
    <cellStyle name="Comma 2 4 4 3 3" xfId="4745" xr:uid="{00000000-0005-0000-0000-00008C120000}"/>
    <cellStyle name="Comma 2 4 4 3 3 2" xfId="4746" xr:uid="{00000000-0005-0000-0000-00008D120000}"/>
    <cellStyle name="Comma 2 4 4 3 3 2 2" xfId="4747" xr:uid="{00000000-0005-0000-0000-00008E120000}"/>
    <cellStyle name="Comma 2 4 4 3 3 2 2 2" xfId="4748" xr:uid="{00000000-0005-0000-0000-00008F120000}"/>
    <cellStyle name="Comma 2 4 4 3 3 2 2 2 2" xfId="4749" xr:uid="{00000000-0005-0000-0000-000090120000}"/>
    <cellStyle name="Comma 2 4 4 3 3 2 2 3" xfId="4750" xr:uid="{00000000-0005-0000-0000-000091120000}"/>
    <cellStyle name="Comma 2 4 4 3 3 2 3" xfId="4751" xr:uid="{00000000-0005-0000-0000-000092120000}"/>
    <cellStyle name="Comma 2 4 4 3 3 2 3 2" xfId="4752" xr:uid="{00000000-0005-0000-0000-000093120000}"/>
    <cellStyle name="Comma 2 4 4 3 3 2 4" xfId="4753" xr:uid="{00000000-0005-0000-0000-000094120000}"/>
    <cellStyle name="Comma 2 4 4 3 3 2 4 2" xfId="4754" xr:uid="{00000000-0005-0000-0000-000095120000}"/>
    <cellStyle name="Comma 2 4 4 3 3 2 5" xfId="4755" xr:uid="{00000000-0005-0000-0000-000096120000}"/>
    <cellStyle name="Comma 2 4 4 3 3 3" xfId="4756" xr:uid="{00000000-0005-0000-0000-000097120000}"/>
    <cellStyle name="Comma 2 4 4 3 3 3 2" xfId="4757" xr:uid="{00000000-0005-0000-0000-000098120000}"/>
    <cellStyle name="Comma 2 4 4 3 3 3 2 2" xfId="4758" xr:uid="{00000000-0005-0000-0000-000099120000}"/>
    <cellStyle name="Comma 2 4 4 3 3 3 3" xfId="4759" xr:uid="{00000000-0005-0000-0000-00009A120000}"/>
    <cellStyle name="Comma 2 4 4 3 3 4" xfId="4760" xr:uid="{00000000-0005-0000-0000-00009B120000}"/>
    <cellStyle name="Comma 2 4 4 3 3 4 2" xfId="4761" xr:uid="{00000000-0005-0000-0000-00009C120000}"/>
    <cellStyle name="Comma 2 4 4 3 3 5" xfId="4762" xr:uid="{00000000-0005-0000-0000-00009D120000}"/>
    <cellStyle name="Comma 2 4 4 3 3 5 2" xfId="4763" xr:uid="{00000000-0005-0000-0000-00009E120000}"/>
    <cellStyle name="Comma 2 4 4 3 3 6" xfId="4764" xr:uid="{00000000-0005-0000-0000-00009F120000}"/>
    <cellStyle name="Comma 2 4 4 3 4" xfId="4765" xr:uid="{00000000-0005-0000-0000-0000A0120000}"/>
    <cellStyle name="Comma 2 4 4 3 4 2" xfId="4766" xr:uid="{00000000-0005-0000-0000-0000A1120000}"/>
    <cellStyle name="Comma 2 4 4 3 4 2 2" xfId="4767" xr:uid="{00000000-0005-0000-0000-0000A2120000}"/>
    <cellStyle name="Comma 2 4 4 3 4 2 2 2" xfId="4768" xr:uid="{00000000-0005-0000-0000-0000A3120000}"/>
    <cellStyle name="Comma 2 4 4 3 4 2 3" xfId="4769" xr:uid="{00000000-0005-0000-0000-0000A4120000}"/>
    <cellStyle name="Comma 2 4 4 3 4 3" xfId="4770" xr:uid="{00000000-0005-0000-0000-0000A5120000}"/>
    <cellStyle name="Comma 2 4 4 3 4 3 2" xfId="4771" xr:uid="{00000000-0005-0000-0000-0000A6120000}"/>
    <cellStyle name="Comma 2 4 4 3 4 4" xfId="4772" xr:uid="{00000000-0005-0000-0000-0000A7120000}"/>
    <cellStyle name="Comma 2 4 4 3 4 4 2" xfId="4773" xr:uid="{00000000-0005-0000-0000-0000A8120000}"/>
    <cellStyle name="Comma 2 4 4 3 4 5" xfId="4774" xr:uid="{00000000-0005-0000-0000-0000A9120000}"/>
    <cellStyle name="Comma 2 4 4 3 5" xfId="4775" xr:uid="{00000000-0005-0000-0000-0000AA120000}"/>
    <cellStyle name="Comma 2 4 4 3 5 2" xfId="4776" xr:uid="{00000000-0005-0000-0000-0000AB120000}"/>
    <cellStyle name="Comma 2 4 4 3 5 2 2" xfId="4777" xr:uid="{00000000-0005-0000-0000-0000AC120000}"/>
    <cellStyle name="Comma 2 4 4 3 5 3" xfId="4778" xr:uid="{00000000-0005-0000-0000-0000AD120000}"/>
    <cellStyle name="Comma 2 4 4 3 6" xfId="4779" xr:uid="{00000000-0005-0000-0000-0000AE120000}"/>
    <cellStyle name="Comma 2 4 4 3 6 2" xfId="4780" xr:uid="{00000000-0005-0000-0000-0000AF120000}"/>
    <cellStyle name="Comma 2 4 4 3 7" xfId="4781" xr:uid="{00000000-0005-0000-0000-0000B0120000}"/>
    <cellStyle name="Comma 2 4 4 3 7 2" xfId="4782" xr:uid="{00000000-0005-0000-0000-0000B1120000}"/>
    <cellStyle name="Comma 2 4 4 3 8" xfId="4783" xr:uid="{00000000-0005-0000-0000-0000B2120000}"/>
    <cellStyle name="Comma 2 4 4 4" xfId="4784" xr:uid="{00000000-0005-0000-0000-0000B3120000}"/>
    <cellStyle name="Comma 2 4 4 4 2" xfId="4785" xr:uid="{00000000-0005-0000-0000-0000B4120000}"/>
    <cellStyle name="Comma 2 4 4 4 2 2" xfId="4786" xr:uid="{00000000-0005-0000-0000-0000B5120000}"/>
    <cellStyle name="Comma 2 4 4 4 2 2 2" xfId="4787" xr:uid="{00000000-0005-0000-0000-0000B6120000}"/>
    <cellStyle name="Comma 2 4 4 4 2 2 2 2" xfId="4788" xr:uid="{00000000-0005-0000-0000-0000B7120000}"/>
    <cellStyle name="Comma 2 4 4 4 2 2 2 2 2" xfId="4789" xr:uid="{00000000-0005-0000-0000-0000B8120000}"/>
    <cellStyle name="Comma 2 4 4 4 2 2 2 3" xfId="4790" xr:uid="{00000000-0005-0000-0000-0000B9120000}"/>
    <cellStyle name="Comma 2 4 4 4 2 2 3" xfId="4791" xr:uid="{00000000-0005-0000-0000-0000BA120000}"/>
    <cellStyle name="Comma 2 4 4 4 2 2 3 2" xfId="4792" xr:uid="{00000000-0005-0000-0000-0000BB120000}"/>
    <cellStyle name="Comma 2 4 4 4 2 2 4" xfId="4793" xr:uid="{00000000-0005-0000-0000-0000BC120000}"/>
    <cellStyle name="Comma 2 4 4 4 2 2 4 2" xfId="4794" xr:uid="{00000000-0005-0000-0000-0000BD120000}"/>
    <cellStyle name="Comma 2 4 4 4 2 2 5" xfId="4795" xr:uid="{00000000-0005-0000-0000-0000BE120000}"/>
    <cellStyle name="Comma 2 4 4 4 2 3" xfId="4796" xr:uid="{00000000-0005-0000-0000-0000BF120000}"/>
    <cellStyle name="Comma 2 4 4 4 2 3 2" xfId="4797" xr:uid="{00000000-0005-0000-0000-0000C0120000}"/>
    <cellStyle name="Comma 2 4 4 4 2 3 2 2" xfId="4798" xr:uid="{00000000-0005-0000-0000-0000C1120000}"/>
    <cellStyle name="Comma 2 4 4 4 2 3 3" xfId="4799" xr:uid="{00000000-0005-0000-0000-0000C2120000}"/>
    <cellStyle name="Comma 2 4 4 4 2 4" xfId="4800" xr:uid="{00000000-0005-0000-0000-0000C3120000}"/>
    <cellStyle name="Comma 2 4 4 4 2 4 2" xfId="4801" xr:uid="{00000000-0005-0000-0000-0000C4120000}"/>
    <cellStyle name="Comma 2 4 4 4 2 5" xfId="4802" xr:uid="{00000000-0005-0000-0000-0000C5120000}"/>
    <cellStyle name="Comma 2 4 4 4 2 5 2" xfId="4803" xr:uid="{00000000-0005-0000-0000-0000C6120000}"/>
    <cellStyle name="Comma 2 4 4 4 2 6" xfId="4804" xr:uid="{00000000-0005-0000-0000-0000C7120000}"/>
    <cellStyle name="Comma 2 4 4 4 3" xfId="4805" xr:uid="{00000000-0005-0000-0000-0000C8120000}"/>
    <cellStyle name="Comma 2 4 4 4 3 2" xfId="4806" xr:uid="{00000000-0005-0000-0000-0000C9120000}"/>
    <cellStyle name="Comma 2 4 4 4 3 2 2" xfId="4807" xr:uid="{00000000-0005-0000-0000-0000CA120000}"/>
    <cellStyle name="Comma 2 4 4 4 3 2 2 2" xfId="4808" xr:uid="{00000000-0005-0000-0000-0000CB120000}"/>
    <cellStyle name="Comma 2 4 4 4 3 2 3" xfId="4809" xr:uid="{00000000-0005-0000-0000-0000CC120000}"/>
    <cellStyle name="Comma 2 4 4 4 3 3" xfId="4810" xr:uid="{00000000-0005-0000-0000-0000CD120000}"/>
    <cellStyle name="Comma 2 4 4 4 3 3 2" xfId="4811" xr:uid="{00000000-0005-0000-0000-0000CE120000}"/>
    <cellStyle name="Comma 2 4 4 4 3 4" xfId="4812" xr:uid="{00000000-0005-0000-0000-0000CF120000}"/>
    <cellStyle name="Comma 2 4 4 4 3 4 2" xfId="4813" xr:uid="{00000000-0005-0000-0000-0000D0120000}"/>
    <cellStyle name="Comma 2 4 4 4 3 5" xfId="4814" xr:uid="{00000000-0005-0000-0000-0000D1120000}"/>
    <cellStyle name="Comma 2 4 4 4 4" xfId="4815" xr:uid="{00000000-0005-0000-0000-0000D2120000}"/>
    <cellStyle name="Comma 2 4 4 4 4 2" xfId="4816" xr:uid="{00000000-0005-0000-0000-0000D3120000}"/>
    <cellStyle name="Comma 2 4 4 4 4 2 2" xfId="4817" xr:uid="{00000000-0005-0000-0000-0000D4120000}"/>
    <cellStyle name="Comma 2 4 4 4 4 3" xfId="4818" xr:uid="{00000000-0005-0000-0000-0000D5120000}"/>
    <cellStyle name="Comma 2 4 4 4 5" xfId="4819" xr:uid="{00000000-0005-0000-0000-0000D6120000}"/>
    <cellStyle name="Comma 2 4 4 4 5 2" xfId="4820" xr:uid="{00000000-0005-0000-0000-0000D7120000}"/>
    <cellStyle name="Comma 2 4 4 4 6" xfId="4821" xr:uid="{00000000-0005-0000-0000-0000D8120000}"/>
    <cellStyle name="Comma 2 4 4 4 6 2" xfId="4822" xr:uid="{00000000-0005-0000-0000-0000D9120000}"/>
    <cellStyle name="Comma 2 4 4 4 7" xfId="4823" xr:uid="{00000000-0005-0000-0000-0000DA120000}"/>
    <cellStyle name="Comma 2 4 4 5" xfId="4824" xr:uid="{00000000-0005-0000-0000-0000DB120000}"/>
    <cellStyle name="Comma 2 4 4 5 2" xfId="4825" xr:uid="{00000000-0005-0000-0000-0000DC120000}"/>
    <cellStyle name="Comma 2 4 4 5 2 2" xfId="4826" xr:uid="{00000000-0005-0000-0000-0000DD120000}"/>
    <cellStyle name="Comma 2 4 4 5 2 2 2" xfId="4827" xr:uid="{00000000-0005-0000-0000-0000DE120000}"/>
    <cellStyle name="Comma 2 4 4 5 2 2 2 2" xfId="4828" xr:uid="{00000000-0005-0000-0000-0000DF120000}"/>
    <cellStyle name="Comma 2 4 4 5 2 2 2 2 2" xfId="4829" xr:uid="{00000000-0005-0000-0000-0000E0120000}"/>
    <cellStyle name="Comma 2 4 4 5 2 2 2 3" xfId="4830" xr:uid="{00000000-0005-0000-0000-0000E1120000}"/>
    <cellStyle name="Comma 2 4 4 5 2 2 3" xfId="4831" xr:uid="{00000000-0005-0000-0000-0000E2120000}"/>
    <cellStyle name="Comma 2 4 4 5 2 2 3 2" xfId="4832" xr:uid="{00000000-0005-0000-0000-0000E3120000}"/>
    <cellStyle name="Comma 2 4 4 5 2 2 4" xfId="4833" xr:uid="{00000000-0005-0000-0000-0000E4120000}"/>
    <cellStyle name="Comma 2 4 4 5 2 2 4 2" xfId="4834" xr:uid="{00000000-0005-0000-0000-0000E5120000}"/>
    <cellStyle name="Comma 2 4 4 5 2 2 5" xfId="4835" xr:uid="{00000000-0005-0000-0000-0000E6120000}"/>
    <cellStyle name="Comma 2 4 4 5 2 3" xfId="4836" xr:uid="{00000000-0005-0000-0000-0000E7120000}"/>
    <cellStyle name="Comma 2 4 4 5 2 3 2" xfId="4837" xr:uid="{00000000-0005-0000-0000-0000E8120000}"/>
    <cellStyle name="Comma 2 4 4 5 2 3 2 2" xfId="4838" xr:uid="{00000000-0005-0000-0000-0000E9120000}"/>
    <cellStyle name="Comma 2 4 4 5 2 3 3" xfId="4839" xr:uid="{00000000-0005-0000-0000-0000EA120000}"/>
    <cellStyle name="Comma 2 4 4 5 2 4" xfId="4840" xr:uid="{00000000-0005-0000-0000-0000EB120000}"/>
    <cellStyle name="Comma 2 4 4 5 2 4 2" xfId="4841" xr:uid="{00000000-0005-0000-0000-0000EC120000}"/>
    <cellStyle name="Comma 2 4 4 5 2 5" xfId="4842" xr:uid="{00000000-0005-0000-0000-0000ED120000}"/>
    <cellStyle name="Comma 2 4 4 5 2 5 2" xfId="4843" xr:uid="{00000000-0005-0000-0000-0000EE120000}"/>
    <cellStyle name="Comma 2 4 4 5 2 6" xfId="4844" xr:uid="{00000000-0005-0000-0000-0000EF120000}"/>
    <cellStyle name="Comma 2 4 4 5 3" xfId="4845" xr:uid="{00000000-0005-0000-0000-0000F0120000}"/>
    <cellStyle name="Comma 2 4 4 5 3 2" xfId="4846" xr:uid="{00000000-0005-0000-0000-0000F1120000}"/>
    <cellStyle name="Comma 2 4 4 5 3 2 2" xfId="4847" xr:uid="{00000000-0005-0000-0000-0000F2120000}"/>
    <cellStyle name="Comma 2 4 4 5 3 2 2 2" xfId="4848" xr:uid="{00000000-0005-0000-0000-0000F3120000}"/>
    <cellStyle name="Comma 2 4 4 5 3 2 3" xfId="4849" xr:uid="{00000000-0005-0000-0000-0000F4120000}"/>
    <cellStyle name="Comma 2 4 4 5 3 3" xfId="4850" xr:uid="{00000000-0005-0000-0000-0000F5120000}"/>
    <cellStyle name="Comma 2 4 4 5 3 3 2" xfId="4851" xr:uid="{00000000-0005-0000-0000-0000F6120000}"/>
    <cellStyle name="Comma 2 4 4 5 3 4" xfId="4852" xr:uid="{00000000-0005-0000-0000-0000F7120000}"/>
    <cellStyle name="Comma 2 4 4 5 3 4 2" xfId="4853" xr:uid="{00000000-0005-0000-0000-0000F8120000}"/>
    <cellStyle name="Comma 2 4 4 5 3 5" xfId="4854" xr:uid="{00000000-0005-0000-0000-0000F9120000}"/>
    <cellStyle name="Comma 2 4 4 5 4" xfId="4855" xr:uid="{00000000-0005-0000-0000-0000FA120000}"/>
    <cellStyle name="Comma 2 4 4 5 4 2" xfId="4856" xr:uid="{00000000-0005-0000-0000-0000FB120000}"/>
    <cellStyle name="Comma 2 4 4 5 4 2 2" xfId="4857" xr:uid="{00000000-0005-0000-0000-0000FC120000}"/>
    <cellStyle name="Comma 2 4 4 5 4 3" xfId="4858" xr:uid="{00000000-0005-0000-0000-0000FD120000}"/>
    <cellStyle name="Comma 2 4 4 5 5" xfId="4859" xr:uid="{00000000-0005-0000-0000-0000FE120000}"/>
    <cellStyle name="Comma 2 4 4 5 5 2" xfId="4860" xr:uid="{00000000-0005-0000-0000-0000FF120000}"/>
    <cellStyle name="Comma 2 4 4 5 6" xfId="4861" xr:uid="{00000000-0005-0000-0000-000000130000}"/>
    <cellStyle name="Comma 2 4 4 5 6 2" xfId="4862" xr:uid="{00000000-0005-0000-0000-000001130000}"/>
    <cellStyle name="Comma 2 4 4 5 7" xfId="4863" xr:uid="{00000000-0005-0000-0000-000002130000}"/>
    <cellStyle name="Comma 2 4 4 6" xfId="4864" xr:uid="{00000000-0005-0000-0000-000003130000}"/>
    <cellStyle name="Comma 2 4 4 6 2" xfId="4865" xr:uid="{00000000-0005-0000-0000-000004130000}"/>
    <cellStyle name="Comma 2 4 4 6 2 2" xfId="4866" xr:uid="{00000000-0005-0000-0000-000005130000}"/>
    <cellStyle name="Comma 2 4 4 6 2 2 2" xfId="4867" xr:uid="{00000000-0005-0000-0000-000006130000}"/>
    <cellStyle name="Comma 2 4 4 6 2 2 2 2" xfId="4868" xr:uid="{00000000-0005-0000-0000-000007130000}"/>
    <cellStyle name="Comma 2 4 4 6 2 2 3" xfId="4869" xr:uid="{00000000-0005-0000-0000-000008130000}"/>
    <cellStyle name="Comma 2 4 4 6 2 3" xfId="4870" xr:uid="{00000000-0005-0000-0000-000009130000}"/>
    <cellStyle name="Comma 2 4 4 6 2 3 2" xfId="4871" xr:uid="{00000000-0005-0000-0000-00000A130000}"/>
    <cellStyle name="Comma 2 4 4 6 2 4" xfId="4872" xr:uid="{00000000-0005-0000-0000-00000B130000}"/>
    <cellStyle name="Comma 2 4 4 6 2 4 2" xfId="4873" xr:uid="{00000000-0005-0000-0000-00000C130000}"/>
    <cellStyle name="Comma 2 4 4 6 2 5" xfId="4874" xr:uid="{00000000-0005-0000-0000-00000D130000}"/>
    <cellStyle name="Comma 2 4 4 6 3" xfId="4875" xr:uid="{00000000-0005-0000-0000-00000E130000}"/>
    <cellStyle name="Comma 2 4 4 6 3 2" xfId="4876" xr:uid="{00000000-0005-0000-0000-00000F130000}"/>
    <cellStyle name="Comma 2 4 4 6 3 2 2" xfId="4877" xr:uid="{00000000-0005-0000-0000-000010130000}"/>
    <cellStyle name="Comma 2 4 4 6 3 3" xfId="4878" xr:uid="{00000000-0005-0000-0000-000011130000}"/>
    <cellStyle name="Comma 2 4 4 6 4" xfId="4879" xr:uid="{00000000-0005-0000-0000-000012130000}"/>
    <cellStyle name="Comma 2 4 4 6 4 2" xfId="4880" xr:uid="{00000000-0005-0000-0000-000013130000}"/>
    <cellStyle name="Comma 2 4 4 6 5" xfId="4881" xr:uid="{00000000-0005-0000-0000-000014130000}"/>
    <cellStyle name="Comma 2 4 4 6 5 2" xfId="4882" xr:uid="{00000000-0005-0000-0000-000015130000}"/>
    <cellStyle name="Comma 2 4 4 6 6" xfId="4883" xr:uid="{00000000-0005-0000-0000-000016130000}"/>
    <cellStyle name="Comma 2 4 4 7" xfId="4884" xr:uid="{00000000-0005-0000-0000-000017130000}"/>
    <cellStyle name="Comma 2 4 4 7 2" xfId="4885" xr:uid="{00000000-0005-0000-0000-000018130000}"/>
    <cellStyle name="Comma 2 4 4 7 2 2" xfId="4886" xr:uid="{00000000-0005-0000-0000-000019130000}"/>
    <cellStyle name="Comma 2 4 4 7 2 2 2" xfId="4887" xr:uid="{00000000-0005-0000-0000-00001A130000}"/>
    <cellStyle name="Comma 2 4 4 7 2 3" xfId="4888" xr:uid="{00000000-0005-0000-0000-00001B130000}"/>
    <cellStyle name="Comma 2 4 4 7 3" xfId="4889" xr:uid="{00000000-0005-0000-0000-00001C130000}"/>
    <cellStyle name="Comma 2 4 4 7 3 2" xfId="4890" xr:uid="{00000000-0005-0000-0000-00001D130000}"/>
    <cellStyle name="Comma 2 4 4 7 4" xfId="4891" xr:uid="{00000000-0005-0000-0000-00001E130000}"/>
    <cellStyle name="Comma 2 4 4 7 4 2" xfId="4892" xr:uid="{00000000-0005-0000-0000-00001F130000}"/>
    <cellStyle name="Comma 2 4 4 7 5" xfId="4893" xr:uid="{00000000-0005-0000-0000-000020130000}"/>
    <cellStyle name="Comma 2 4 4 8" xfId="4894" xr:uid="{00000000-0005-0000-0000-000021130000}"/>
    <cellStyle name="Comma 2 4 4 8 2" xfId="4895" xr:uid="{00000000-0005-0000-0000-000022130000}"/>
    <cellStyle name="Comma 2 4 4 8 2 2" xfId="4896" xr:uid="{00000000-0005-0000-0000-000023130000}"/>
    <cellStyle name="Comma 2 4 4 8 3" xfId="4897" xr:uid="{00000000-0005-0000-0000-000024130000}"/>
    <cellStyle name="Comma 2 4 4 9" xfId="4898" xr:uid="{00000000-0005-0000-0000-000025130000}"/>
    <cellStyle name="Comma 2 4 4 9 2" xfId="4899" xr:uid="{00000000-0005-0000-0000-000026130000}"/>
    <cellStyle name="Comma 2 4 5" xfId="4900" xr:uid="{00000000-0005-0000-0000-000027130000}"/>
    <cellStyle name="Comma 2 4 5 2" xfId="4901" xr:uid="{00000000-0005-0000-0000-000028130000}"/>
    <cellStyle name="Comma 2 4 5 2 2" xfId="4902" xr:uid="{00000000-0005-0000-0000-000029130000}"/>
    <cellStyle name="Comma 2 4 5 2 2 2" xfId="4903" xr:uid="{00000000-0005-0000-0000-00002A130000}"/>
    <cellStyle name="Comma 2 4 5 2 2 2 2" xfId="4904" xr:uid="{00000000-0005-0000-0000-00002B130000}"/>
    <cellStyle name="Comma 2 4 5 2 2 2 2 2" xfId="4905" xr:uid="{00000000-0005-0000-0000-00002C130000}"/>
    <cellStyle name="Comma 2 4 5 2 2 2 2 2 2" xfId="4906" xr:uid="{00000000-0005-0000-0000-00002D130000}"/>
    <cellStyle name="Comma 2 4 5 2 2 2 2 3" xfId="4907" xr:uid="{00000000-0005-0000-0000-00002E130000}"/>
    <cellStyle name="Comma 2 4 5 2 2 2 3" xfId="4908" xr:uid="{00000000-0005-0000-0000-00002F130000}"/>
    <cellStyle name="Comma 2 4 5 2 2 2 3 2" xfId="4909" xr:uid="{00000000-0005-0000-0000-000030130000}"/>
    <cellStyle name="Comma 2 4 5 2 2 2 4" xfId="4910" xr:uid="{00000000-0005-0000-0000-000031130000}"/>
    <cellStyle name="Comma 2 4 5 2 2 2 4 2" xfId="4911" xr:uid="{00000000-0005-0000-0000-000032130000}"/>
    <cellStyle name="Comma 2 4 5 2 2 2 5" xfId="4912" xr:uid="{00000000-0005-0000-0000-000033130000}"/>
    <cellStyle name="Comma 2 4 5 2 2 3" xfId="4913" xr:uid="{00000000-0005-0000-0000-000034130000}"/>
    <cellStyle name="Comma 2 4 5 2 2 3 2" xfId="4914" xr:uid="{00000000-0005-0000-0000-000035130000}"/>
    <cellStyle name="Comma 2 4 5 2 2 3 2 2" xfId="4915" xr:uid="{00000000-0005-0000-0000-000036130000}"/>
    <cellStyle name="Comma 2 4 5 2 2 3 3" xfId="4916" xr:uid="{00000000-0005-0000-0000-000037130000}"/>
    <cellStyle name="Comma 2 4 5 2 2 4" xfId="4917" xr:uid="{00000000-0005-0000-0000-000038130000}"/>
    <cellStyle name="Comma 2 4 5 2 2 4 2" xfId="4918" xr:uid="{00000000-0005-0000-0000-000039130000}"/>
    <cellStyle name="Comma 2 4 5 2 2 5" xfId="4919" xr:uid="{00000000-0005-0000-0000-00003A130000}"/>
    <cellStyle name="Comma 2 4 5 2 2 5 2" xfId="4920" xr:uid="{00000000-0005-0000-0000-00003B130000}"/>
    <cellStyle name="Comma 2 4 5 2 2 6" xfId="4921" xr:uid="{00000000-0005-0000-0000-00003C130000}"/>
    <cellStyle name="Comma 2 4 5 2 3" xfId="4922" xr:uid="{00000000-0005-0000-0000-00003D130000}"/>
    <cellStyle name="Comma 2 4 5 2 3 2" xfId="4923" xr:uid="{00000000-0005-0000-0000-00003E130000}"/>
    <cellStyle name="Comma 2 4 5 2 3 2 2" xfId="4924" xr:uid="{00000000-0005-0000-0000-00003F130000}"/>
    <cellStyle name="Comma 2 4 5 2 3 2 2 2" xfId="4925" xr:uid="{00000000-0005-0000-0000-000040130000}"/>
    <cellStyle name="Comma 2 4 5 2 3 2 3" xfId="4926" xr:uid="{00000000-0005-0000-0000-000041130000}"/>
    <cellStyle name="Comma 2 4 5 2 3 3" xfId="4927" xr:uid="{00000000-0005-0000-0000-000042130000}"/>
    <cellStyle name="Comma 2 4 5 2 3 3 2" xfId="4928" xr:uid="{00000000-0005-0000-0000-000043130000}"/>
    <cellStyle name="Comma 2 4 5 2 3 4" xfId="4929" xr:uid="{00000000-0005-0000-0000-000044130000}"/>
    <cellStyle name="Comma 2 4 5 2 3 4 2" xfId="4930" xr:uid="{00000000-0005-0000-0000-000045130000}"/>
    <cellStyle name="Comma 2 4 5 2 3 5" xfId="4931" xr:uid="{00000000-0005-0000-0000-000046130000}"/>
    <cellStyle name="Comma 2 4 5 2 4" xfId="4932" xr:uid="{00000000-0005-0000-0000-000047130000}"/>
    <cellStyle name="Comma 2 4 5 2 4 2" xfId="4933" xr:uid="{00000000-0005-0000-0000-000048130000}"/>
    <cellStyle name="Comma 2 4 5 2 4 2 2" xfId="4934" xr:uid="{00000000-0005-0000-0000-000049130000}"/>
    <cellStyle name="Comma 2 4 5 2 4 3" xfId="4935" xr:uid="{00000000-0005-0000-0000-00004A130000}"/>
    <cellStyle name="Comma 2 4 5 2 5" xfId="4936" xr:uid="{00000000-0005-0000-0000-00004B130000}"/>
    <cellStyle name="Comma 2 4 5 2 5 2" xfId="4937" xr:uid="{00000000-0005-0000-0000-00004C130000}"/>
    <cellStyle name="Comma 2 4 5 2 6" xfId="4938" xr:uid="{00000000-0005-0000-0000-00004D130000}"/>
    <cellStyle name="Comma 2 4 5 2 6 2" xfId="4939" xr:uid="{00000000-0005-0000-0000-00004E130000}"/>
    <cellStyle name="Comma 2 4 5 2 7" xfId="4940" xr:uid="{00000000-0005-0000-0000-00004F130000}"/>
    <cellStyle name="Comma 2 4 5 3" xfId="4941" xr:uid="{00000000-0005-0000-0000-000050130000}"/>
    <cellStyle name="Comma 2 4 5 3 2" xfId="4942" xr:uid="{00000000-0005-0000-0000-000051130000}"/>
    <cellStyle name="Comma 2 4 5 3 2 2" xfId="4943" xr:uid="{00000000-0005-0000-0000-000052130000}"/>
    <cellStyle name="Comma 2 4 5 3 2 2 2" xfId="4944" xr:uid="{00000000-0005-0000-0000-000053130000}"/>
    <cellStyle name="Comma 2 4 5 3 2 2 2 2" xfId="4945" xr:uid="{00000000-0005-0000-0000-000054130000}"/>
    <cellStyle name="Comma 2 4 5 3 2 2 2 2 2" xfId="4946" xr:uid="{00000000-0005-0000-0000-000055130000}"/>
    <cellStyle name="Comma 2 4 5 3 2 2 2 3" xfId="4947" xr:uid="{00000000-0005-0000-0000-000056130000}"/>
    <cellStyle name="Comma 2 4 5 3 2 2 3" xfId="4948" xr:uid="{00000000-0005-0000-0000-000057130000}"/>
    <cellStyle name="Comma 2 4 5 3 2 2 3 2" xfId="4949" xr:uid="{00000000-0005-0000-0000-000058130000}"/>
    <cellStyle name="Comma 2 4 5 3 2 2 4" xfId="4950" xr:uid="{00000000-0005-0000-0000-000059130000}"/>
    <cellStyle name="Comma 2 4 5 3 2 2 4 2" xfId="4951" xr:uid="{00000000-0005-0000-0000-00005A130000}"/>
    <cellStyle name="Comma 2 4 5 3 2 2 5" xfId="4952" xr:uid="{00000000-0005-0000-0000-00005B130000}"/>
    <cellStyle name="Comma 2 4 5 3 2 3" xfId="4953" xr:uid="{00000000-0005-0000-0000-00005C130000}"/>
    <cellStyle name="Comma 2 4 5 3 2 3 2" xfId="4954" xr:uid="{00000000-0005-0000-0000-00005D130000}"/>
    <cellStyle name="Comma 2 4 5 3 2 3 2 2" xfId="4955" xr:uid="{00000000-0005-0000-0000-00005E130000}"/>
    <cellStyle name="Comma 2 4 5 3 2 3 3" xfId="4956" xr:uid="{00000000-0005-0000-0000-00005F130000}"/>
    <cellStyle name="Comma 2 4 5 3 2 4" xfId="4957" xr:uid="{00000000-0005-0000-0000-000060130000}"/>
    <cellStyle name="Comma 2 4 5 3 2 4 2" xfId="4958" xr:uid="{00000000-0005-0000-0000-000061130000}"/>
    <cellStyle name="Comma 2 4 5 3 2 5" xfId="4959" xr:uid="{00000000-0005-0000-0000-000062130000}"/>
    <cellStyle name="Comma 2 4 5 3 2 5 2" xfId="4960" xr:uid="{00000000-0005-0000-0000-000063130000}"/>
    <cellStyle name="Comma 2 4 5 3 2 6" xfId="4961" xr:uid="{00000000-0005-0000-0000-000064130000}"/>
    <cellStyle name="Comma 2 4 5 3 3" xfId="4962" xr:uid="{00000000-0005-0000-0000-000065130000}"/>
    <cellStyle name="Comma 2 4 5 3 3 2" xfId="4963" xr:uid="{00000000-0005-0000-0000-000066130000}"/>
    <cellStyle name="Comma 2 4 5 3 3 2 2" xfId="4964" xr:uid="{00000000-0005-0000-0000-000067130000}"/>
    <cellStyle name="Comma 2 4 5 3 3 2 2 2" xfId="4965" xr:uid="{00000000-0005-0000-0000-000068130000}"/>
    <cellStyle name="Comma 2 4 5 3 3 2 3" xfId="4966" xr:uid="{00000000-0005-0000-0000-000069130000}"/>
    <cellStyle name="Comma 2 4 5 3 3 3" xfId="4967" xr:uid="{00000000-0005-0000-0000-00006A130000}"/>
    <cellStyle name="Comma 2 4 5 3 3 3 2" xfId="4968" xr:uid="{00000000-0005-0000-0000-00006B130000}"/>
    <cellStyle name="Comma 2 4 5 3 3 4" xfId="4969" xr:uid="{00000000-0005-0000-0000-00006C130000}"/>
    <cellStyle name="Comma 2 4 5 3 3 4 2" xfId="4970" xr:uid="{00000000-0005-0000-0000-00006D130000}"/>
    <cellStyle name="Comma 2 4 5 3 3 5" xfId="4971" xr:uid="{00000000-0005-0000-0000-00006E130000}"/>
    <cellStyle name="Comma 2 4 5 3 4" xfId="4972" xr:uid="{00000000-0005-0000-0000-00006F130000}"/>
    <cellStyle name="Comma 2 4 5 3 4 2" xfId="4973" xr:uid="{00000000-0005-0000-0000-000070130000}"/>
    <cellStyle name="Comma 2 4 5 3 4 2 2" xfId="4974" xr:uid="{00000000-0005-0000-0000-000071130000}"/>
    <cellStyle name="Comma 2 4 5 3 4 3" xfId="4975" xr:uid="{00000000-0005-0000-0000-000072130000}"/>
    <cellStyle name="Comma 2 4 5 3 5" xfId="4976" xr:uid="{00000000-0005-0000-0000-000073130000}"/>
    <cellStyle name="Comma 2 4 5 3 5 2" xfId="4977" xr:uid="{00000000-0005-0000-0000-000074130000}"/>
    <cellStyle name="Comma 2 4 5 3 6" xfId="4978" xr:uid="{00000000-0005-0000-0000-000075130000}"/>
    <cellStyle name="Comma 2 4 5 3 6 2" xfId="4979" xr:uid="{00000000-0005-0000-0000-000076130000}"/>
    <cellStyle name="Comma 2 4 5 3 7" xfId="4980" xr:uid="{00000000-0005-0000-0000-000077130000}"/>
    <cellStyle name="Comma 2 4 5 4" xfId="4981" xr:uid="{00000000-0005-0000-0000-000078130000}"/>
    <cellStyle name="Comma 2 4 5 4 2" xfId="4982" xr:uid="{00000000-0005-0000-0000-000079130000}"/>
    <cellStyle name="Comma 2 4 5 4 2 2" xfId="4983" xr:uid="{00000000-0005-0000-0000-00007A130000}"/>
    <cellStyle name="Comma 2 4 5 4 2 2 2" xfId="4984" xr:uid="{00000000-0005-0000-0000-00007B130000}"/>
    <cellStyle name="Comma 2 4 5 4 2 2 2 2" xfId="4985" xr:uid="{00000000-0005-0000-0000-00007C130000}"/>
    <cellStyle name="Comma 2 4 5 4 2 2 3" xfId="4986" xr:uid="{00000000-0005-0000-0000-00007D130000}"/>
    <cellStyle name="Comma 2 4 5 4 2 3" xfId="4987" xr:uid="{00000000-0005-0000-0000-00007E130000}"/>
    <cellStyle name="Comma 2 4 5 4 2 3 2" xfId="4988" xr:uid="{00000000-0005-0000-0000-00007F130000}"/>
    <cellStyle name="Comma 2 4 5 4 2 4" xfId="4989" xr:uid="{00000000-0005-0000-0000-000080130000}"/>
    <cellStyle name="Comma 2 4 5 4 2 4 2" xfId="4990" xr:uid="{00000000-0005-0000-0000-000081130000}"/>
    <cellStyle name="Comma 2 4 5 4 2 5" xfId="4991" xr:uid="{00000000-0005-0000-0000-000082130000}"/>
    <cellStyle name="Comma 2 4 5 4 3" xfId="4992" xr:uid="{00000000-0005-0000-0000-000083130000}"/>
    <cellStyle name="Comma 2 4 5 4 3 2" xfId="4993" xr:uid="{00000000-0005-0000-0000-000084130000}"/>
    <cellStyle name="Comma 2 4 5 4 3 2 2" xfId="4994" xr:uid="{00000000-0005-0000-0000-000085130000}"/>
    <cellStyle name="Comma 2 4 5 4 3 3" xfId="4995" xr:uid="{00000000-0005-0000-0000-000086130000}"/>
    <cellStyle name="Comma 2 4 5 4 4" xfId="4996" xr:uid="{00000000-0005-0000-0000-000087130000}"/>
    <cellStyle name="Comma 2 4 5 4 4 2" xfId="4997" xr:uid="{00000000-0005-0000-0000-000088130000}"/>
    <cellStyle name="Comma 2 4 5 4 5" xfId="4998" xr:uid="{00000000-0005-0000-0000-000089130000}"/>
    <cellStyle name="Comma 2 4 5 4 5 2" xfId="4999" xr:uid="{00000000-0005-0000-0000-00008A130000}"/>
    <cellStyle name="Comma 2 4 5 4 6" xfId="5000" xr:uid="{00000000-0005-0000-0000-00008B130000}"/>
    <cellStyle name="Comma 2 4 5 5" xfId="5001" xr:uid="{00000000-0005-0000-0000-00008C130000}"/>
    <cellStyle name="Comma 2 4 5 5 2" xfId="5002" xr:uid="{00000000-0005-0000-0000-00008D130000}"/>
    <cellStyle name="Comma 2 4 5 5 2 2" xfId="5003" xr:uid="{00000000-0005-0000-0000-00008E130000}"/>
    <cellStyle name="Comma 2 4 5 5 2 2 2" xfId="5004" xr:uid="{00000000-0005-0000-0000-00008F130000}"/>
    <cellStyle name="Comma 2 4 5 5 2 3" xfId="5005" xr:uid="{00000000-0005-0000-0000-000090130000}"/>
    <cellStyle name="Comma 2 4 5 5 3" xfId="5006" xr:uid="{00000000-0005-0000-0000-000091130000}"/>
    <cellStyle name="Comma 2 4 5 5 3 2" xfId="5007" xr:uid="{00000000-0005-0000-0000-000092130000}"/>
    <cellStyle name="Comma 2 4 5 5 4" xfId="5008" xr:uid="{00000000-0005-0000-0000-000093130000}"/>
    <cellStyle name="Comma 2 4 5 5 4 2" xfId="5009" xr:uid="{00000000-0005-0000-0000-000094130000}"/>
    <cellStyle name="Comma 2 4 5 5 5" xfId="5010" xr:uid="{00000000-0005-0000-0000-000095130000}"/>
    <cellStyle name="Comma 2 4 5 6" xfId="5011" xr:uid="{00000000-0005-0000-0000-000096130000}"/>
    <cellStyle name="Comma 2 4 5 6 2" xfId="5012" xr:uid="{00000000-0005-0000-0000-000097130000}"/>
    <cellStyle name="Comma 2 4 5 6 2 2" xfId="5013" xr:uid="{00000000-0005-0000-0000-000098130000}"/>
    <cellStyle name="Comma 2 4 5 6 3" xfId="5014" xr:uid="{00000000-0005-0000-0000-000099130000}"/>
    <cellStyle name="Comma 2 4 5 7" xfId="5015" xr:uid="{00000000-0005-0000-0000-00009A130000}"/>
    <cellStyle name="Comma 2 4 5 7 2" xfId="5016" xr:uid="{00000000-0005-0000-0000-00009B130000}"/>
    <cellStyle name="Comma 2 4 5 8" xfId="5017" xr:uid="{00000000-0005-0000-0000-00009C130000}"/>
    <cellStyle name="Comma 2 4 5 8 2" xfId="5018" xr:uid="{00000000-0005-0000-0000-00009D130000}"/>
    <cellStyle name="Comma 2 4 5 9" xfId="5019" xr:uid="{00000000-0005-0000-0000-00009E130000}"/>
    <cellStyle name="Comma 2 4 6" xfId="5020" xr:uid="{00000000-0005-0000-0000-00009F130000}"/>
    <cellStyle name="Comma 2 4 6 2" xfId="5021" xr:uid="{00000000-0005-0000-0000-0000A0130000}"/>
    <cellStyle name="Comma 2 4 6 2 2" xfId="5022" xr:uid="{00000000-0005-0000-0000-0000A1130000}"/>
    <cellStyle name="Comma 2 4 6 2 2 2" xfId="5023" xr:uid="{00000000-0005-0000-0000-0000A2130000}"/>
    <cellStyle name="Comma 2 4 6 2 2 2 2" xfId="5024" xr:uid="{00000000-0005-0000-0000-0000A3130000}"/>
    <cellStyle name="Comma 2 4 6 2 2 2 2 2" xfId="5025" xr:uid="{00000000-0005-0000-0000-0000A4130000}"/>
    <cellStyle name="Comma 2 4 6 2 2 2 2 2 2" xfId="5026" xr:uid="{00000000-0005-0000-0000-0000A5130000}"/>
    <cellStyle name="Comma 2 4 6 2 2 2 2 3" xfId="5027" xr:uid="{00000000-0005-0000-0000-0000A6130000}"/>
    <cellStyle name="Comma 2 4 6 2 2 2 3" xfId="5028" xr:uid="{00000000-0005-0000-0000-0000A7130000}"/>
    <cellStyle name="Comma 2 4 6 2 2 2 3 2" xfId="5029" xr:uid="{00000000-0005-0000-0000-0000A8130000}"/>
    <cellStyle name="Comma 2 4 6 2 2 2 4" xfId="5030" xr:uid="{00000000-0005-0000-0000-0000A9130000}"/>
    <cellStyle name="Comma 2 4 6 2 2 2 4 2" xfId="5031" xr:uid="{00000000-0005-0000-0000-0000AA130000}"/>
    <cellStyle name="Comma 2 4 6 2 2 2 5" xfId="5032" xr:uid="{00000000-0005-0000-0000-0000AB130000}"/>
    <cellStyle name="Comma 2 4 6 2 2 3" xfId="5033" xr:uid="{00000000-0005-0000-0000-0000AC130000}"/>
    <cellStyle name="Comma 2 4 6 2 2 3 2" xfId="5034" xr:uid="{00000000-0005-0000-0000-0000AD130000}"/>
    <cellStyle name="Comma 2 4 6 2 2 3 2 2" xfId="5035" xr:uid="{00000000-0005-0000-0000-0000AE130000}"/>
    <cellStyle name="Comma 2 4 6 2 2 3 3" xfId="5036" xr:uid="{00000000-0005-0000-0000-0000AF130000}"/>
    <cellStyle name="Comma 2 4 6 2 2 4" xfId="5037" xr:uid="{00000000-0005-0000-0000-0000B0130000}"/>
    <cellStyle name="Comma 2 4 6 2 2 4 2" xfId="5038" xr:uid="{00000000-0005-0000-0000-0000B1130000}"/>
    <cellStyle name="Comma 2 4 6 2 2 5" xfId="5039" xr:uid="{00000000-0005-0000-0000-0000B2130000}"/>
    <cellStyle name="Comma 2 4 6 2 2 5 2" xfId="5040" xr:uid="{00000000-0005-0000-0000-0000B3130000}"/>
    <cellStyle name="Comma 2 4 6 2 2 6" xfId="5041" xr:uid="{00000000-0005-0000-0000-0000B4130000}"/>
    <cellStyle name="Comma 2 4 6 2 3" xfId="5042" xr:uid="{00000000-0005-0000-0000-0000B5130000}"/>
    <cellStyle name="Comma 2 4 6 2 3 2" xfId="5043" xr:uid="{00000000-0005-0000-0000-0000B6130000}"/>
    <cellStyle name="Comma 2 4 6 2 3 2 2" xfId="5044" xr:uid="{00000000-0005-0000-0000-0000B7130000}"/>
    <cellStyle name="Comma 2 4 6 2 3 2 2 2" xfId="5045" xr:uid="{00000000-0005-0000-0000-0000B8130000}"/>
    <cellStyle name="Comma 2 4 6 2 3 2 3" xfId="5046" xr:uid="{00000000-0005-0000-0000-0000B9130000}"/>
    <cellStyle name="Comma 2 4 6 2 3 3" xfId="5047" xr:uid="{00000000-0005-0000-0000-0000BA130000}"/>
    <cellStyle name="Comma 2 4 6 2 3 3 2" xfId="5048" xr:uid="{00000000-0005-0000-0000-0000BB130000}"/>
    <cellStyle name="Comma 2 4 6 2 3 4" xfId="5049" xr:uid="{00000000-0005-0000-0000-0000BC130000}"/>
    <cellStyle name="Comma 2 4 6 2 3 4 2" xfId="5050" xr:uid="{00000000-0005-0000-0000-0000BD130000}"/>
    <cellStyle name="Comma 2 4 6 2 3 5" xfId="5051" xr:uid="{00000000-0005-0000-0000-0000BE130000}"/>
    <cellStyle name="Comma 2 4 6 2 4" xfId="5052" xr:uid="{00000000-0005-0000-0000-0000BF130000}"/>
    <cellStyle name="Comma 2 4 6 2 4 2" xfId="5053" xr:uid="{00000000-0005-0000-0000-0000C0130000}"/>
    <cellStyle name="Comma 2 4 6 2 4 2 2" xfId="5054" xr:uid="{00000000-0005-0000-0000-0000C1130000}"/>
    <cellStyle name="Comma 2 4 6 2 4 3" xfId="5055" xr:uid="{00000000-0005-0000-0000-0000C2130000}"/>
    <cellStyle name="Comma 2 4 6 2 5" xfId="5056" xr:uid="{00000000-0005-0000-0000-0000C3130000}"/>
    <cellStyle name="Comma 2 4 6 2 5 2" xfId="5057" xr:uid="{00000000-0005-0000-0000-0000C4130000}"/>
    <cellStyle name="Comma 2 4 6 2 6" xfId="5058" xr:uid="{00000000-0005-0000-0000-0000C5130000}"/>
    <cellStyle name="Comma 2 4 6 2 6 2" xfId="5059" xr:uid="{00000000-0005-0000-0000-0000C6130000}"/>
    <cellStyle name="Comma 2 4 6 2 7" xfId="5060" xr:uid="{00000000-0005-0000-0000-0000C7130000}"/>
    <cellStyle name="Comma 2 4 6 3" xfId="5061" xr:uid="{00000000-0005-0000-0000-0000C8130000}"/>
    <cellStyle name="Comma 2 4 6 3 2" xfId="5062" xr:uid="{00000000-0005-0000-0000-0000C9130000}"/>
    <cellStyle name="Comma 2 4 6 3 2 2" xfId="5063" xr:uid="{00000000-0005-0000-0000-0000CA130000}"/>
    <cellStyle name="Comma 2 4 6 3 2 2 2" xfId="5064" xr:uid="{00000000-0005-0000-0000-0000CB130000}"/>
    <cellStyle name="Comma 2 4 6 3 2 2 2 2" xfId="5065" xr:uid="{00000000-0005-0000-0000-0000CC130000}"/>
    <cellStyle name="Comma 2 4 6 3 2 2 2 2 2" xfId="5066" xr:uid="{00000000-0005-0000-0000-0000CD130000}"/>
    <cellStyle name="Comma 2 4 6 3 2 2 2 3" xfId="5067" xr:uid="{00000000-0005-0000-0000-0000CE130000}"/>
    <cellStyle name="Comma 2 4 6 3 2 2 3" xfId="5068" xr:uid="{00000000-0005-0000-0000-0000CF130000}"/>
    <cellStyle name="Comma 2 4 6 3 2 2 3 2" xfId="5069" xr:uid="{00000000-0005-0000-0000-0000D0130000}"/>
    <cellStyle name="Comma 2 4 6 3 2 2 4" xfId="5070" xr:uid="{00000000-0005-0000-0000-0000D1130000}"/>
    <cellStyle name="Comma 2 4 6 3 2 2 4 2" xfId="5071" xr:uid="{00000000-0005-0000-0000-0000D2130000}"/>
    <cellStyle name="Comma 2 4 6 3 2 2 5" xfId="5072" xr:uid="{00000000-0005-0000-0000-0000D3130000}"/>
    <cellStyle name="Comma 2 4 6 3 2 3" xfId="5073" xr:uid="{00000000-0005-0000-0000-0000D4130000}"/>
    <cellStyle name="Comma 2 4 6 3 2 3 2" xfId="5074" xr:uid="{00000000-0005-0000-0000-0000D5130000}"/>
    <cellStyle name="Comma 2 4 6 3 2 3 2 2" xfId="5075" xr:uid="{00000000-0005-0000-0000-0000D6130000}"/>
    <cellStyle name="Comma 2 4 6 3 2 3 3" xfId="5076" xr:uid="{00000000-0005-0000-0000-0000D7130000}"/>
    <cellStyle name="Comma 2 4 6 3 2 4" xfId="5077" xr:uid="{00000000-0005-0000-0000-0000D8130000}"/>
    <cellStyle name="Comma 2 4 6 3 2 4 2" xfId="5078" xr:uid="{00000000-0005-0000-0000-0000D9130000}"/>
    <cellStyle name="Comma 2 4 6 3 2 5" xfId="5079" xr:uid="{00000000-0005-0000-0000-0000DA130000}"/>
    <cellStyle name="Comma 2 4 6 3 2 5 2" xfId="5080" xr:uid="{00000000-0005-0000-0000-0000DB130000}"/>
    <cellStyle name="Comma 2 4 6 3 2 6" xfId="5081" xr:uid="{00000000-0005-0000-0000-0000DC130000}"/>
    <cellStyle name="Comma 2 4 6 3 3" xfId="5082" xr:uid="{00000000-0005-0000-0000-0000DD130000}"/>
    <cellStyle name="Comma 2 4 6 3 3 2" xfId="5083" xr:uid="{00000000-0005-0000-0000-0000DE130000}"/>
    <cellStyle name="Comma 2 4 6 3 3 2 2" xfId="5084" xr:uid="{00000000-0005-0000-0000-0000DF130000}"/>
    <cellStyle name="Comma 2 4 6 3 3 2 2 2" xfId="5085" xr:uid="{00000000-0005-0000-0000-0000E0130000}"/>
    <cellStyle name="Comma 2 4 6 3 3 2 3" xfId="5086" xr:uid="{00000000-0005-0000-0000-0000E1130000}"/>
    <cellStyle name="Comma 2 4 6 3 3 3" xfId="5087" xr:uid="{00000000-0005-0000-0000-0000E2130000}"/>
    <cellStyle name="Comma 2 4 6 3 3 3 2" xfId="5088" xr:uid="{00000000-0005-0000-0000-0000E3130000}"/>
    <cellStyle name="Comma 2 4 6 3 3 4" xfId="5089" xr:uid="{00000000-0005-0000-0000-0000E4130000}"/>
    <cellStyle name="Comma 2 4 6 3 3 4 2" xfId="5090" xr:uid="{00000000-0005-0000-0000-0000E5130000}"/>
    <cellStyle name="Comma 2 4 6 3 3 5" xfId="5091" xr:uid="{00000000-0005-0000-0000-0000E6130000}"/>
    <cellStyle name="Comma 2 4 6 3 4" xfId="5092" xr:uid="{00000000-0005-0000-0000-0000E7130000}"/>
    <cellStyle name="Comma 2 4 6 3 4 2" xfId="5093" xr:uid="{00000000-0005-0000-0000-0000E8130000}"/>
    <cellStyle name="Comma 2 4 6 3 4 2 2" xfId="5094" xr:uid="{00000000-0005-0000-0000-0000E9130000}"/>
    <cellStyle name="Comma 2 4 6 3 4 3" xfId="5095" xr:uid="{00000000-0005-0000-0000-0000EA130000}"/>
    <cellStyle name="Comma 2 4 6 3 5" xfId="5096" xr:uid="{00000000-0005-0000-0000-0000EB130000}"/>
    <cellStyle name="Comma 2 4 6 3 5 2" xfId="5097" xr:uid="{00000000-0005-0000-0000-0000EC130000}"/>
    <cellStyle name="Comma 2 4 6 3 6" xfId="5098" xr:uid="{00000000-0005-0000-0000-0000ED130000}"/>
    <cellStyle name="Comma 2 4 6 3 6 2" xfId="5099" xr:uid="{00000000-0005-0000-0000-0000EE130000}"/>
    <cellStyle name="Comma 2 4 6 3 7" xfId="5100" xr:uid="{00000000-0005-0000-0000-0000EF130000}"/>
    <cellStyle name="Comma 2 4 6 4" xfId="5101" xr:uid="{00000000-0005-0000-0000-0000F0130000}"/>
    <cellStyle name="Comma 2 4 6 4 2" xfId="5102" xr:uid="{00000000-0005-0000-0000-0000F1130000}"/>
    <cellStyle name="Comma 2 4 6 4 2 2" xfId="5103" xr:uid="{00000000-0005-0000-0000-0000F2130000}"/>
    <cellStyle name="Comma 2 4 6 4 2 2 2" xfId="5104" xr:uid="{00000000-0005-0000-0000-0000F3130000}"/>
    <cellStyle name="Comma 2 4 6 4 2 2 2 2" xfId="5105" xr:uid="{00000000-0005-0000-0000-0000F4130000}"/>
    <cellStyle name="Comma 2 4 6 4 2 2 3" xfId="5106" xr:uid="{00000000-0005-0000-0000-0000F5130000}"/>
    <cellStyle name="Comma 2 4 6 4 2 3" xfId="5107" xr:uid="{00000000-0005-0000-0000-0000F6130000}"/>
    <cellStyle name="Comma 2 4 6 4 2 3 2" xfId="5108" xr:uid="{00000000-0005-0000-0000-0000F7130000}"/>
    <cellStyle name="Comma 2 4 6 4 2 4" xfId="5109" xr:uid="{00000000-0005-0000-0000-0000F8130000}"/>
    <cellStyle name="Comma 2 4 6 4 2 4 2" xfId="5110" xr:uid="{00000000-0005-0000-0000-0000F9130000}"/>
    <cellStyle name="Comma 2 4 6 4 2 5" xfId="5111" xr:uid="{00000000-0005-0000-0000-0000FA130000}"/>
    <cellStyle name="Comma 2 4 6 4 3" xfId="5112" xr:uid="{00000000-0005-0000-0000-0000FB130000}"/>
    <cellStyle name="Comma 2 4 6 4 3 2" xfId="5113" xr:uid="{00000000-0005-0000-0000-0000FC130000}"/>
    <cellStyle name="Comma 2 4 6 4 3 2 2" xfId="5114" xr:uid="{00000000-0005-0000-0000-0000FD130000}"/>
    <cellStyle name="Comma 2 4 6 4 3 3" xfId="5115" xr:uid="{00000000-0005-0000-0000-0000FE130000}"/>
    <cellStyle name="Comma 2 4 6 4 4" xfId="5116" xr:uid="{00000000-0005-0000-0000-0000FF130000}"/>
    <cellStyle name="Comma 2 4 6 4 4 2" xfId="5117" xr:uid="{00000000-0005-0000-0000-000000140000}"/>
    <cellStyle name="Comma 2 4 6 4 5" xfId="5118" xr:uid="{00000000-0005-0000-0000-000001140000}"/>
    <cellStyle name="Comma 2 4 6 4 5 2" xfId="5119" xr:uid="{00000000-0005-0000-0000-000002140000}"/>
    <cellStyle name="Comma 2 4 6 4 6" xfId="5120" xr:uid="{00000000-0005-0000-0000-000003140000}"/>
    <cellStyle name="Comma 2 4 6 5" xfId="5121" xr:uid="{00000000-0005-0000-0000-000004140000}"/>
    <cellStyle name="Comma 2 4 6 5 2" xfId="5122" xr:uid="{00000000-0005-0000-0000-000005140000}"/>
    <cellStyle name="Comma 2 4 6 5 2 2" xfId="5123" xr:uid="{00000000-0005-0000-0000-000006140000}"/>
    <cellStyle name="Comma 2 4 6 5 2 2 2" xfId="5124" xr:uid="{00000000-0005-0000-0000-000007140000}"/>
    <cellStyle name="Comma 2 4 6 5 2 3" xfId="5125" xr:uid="{00000000-0005-0000-0000-000008140000}"/>
    <cellStyle name="Comma 2 4 6 5 3" xfId="5126" xr:uid="{00000000-0005-0000-0000-000009140000}"/>
    <cellStyle name="Comma 2 4 6 5 3 2" xfId="5127" xr:uid="{00000000-0005-0000-0000-00000A140000}"/>
    <cellStyle name="Comma 2 4 6 5 4" xfId="5128" xr:uid="{00000000-0005-0000-0000-00000B140000}"/>
    <cellStyle name="Comma 2 4 6 5 4 2" xfId="5129" xr:uid="{00000000-0005-0000-0000-00000C140000}"/>
    <cellStyle name="Comma 2 4 6 5 5" xfId="5130" xr:uid="{00000000-0005-0000-0000-00000D140000}"/>
    <cellStyle name="Comma 2 4 6 6" xfId="5131" xr:uid="{00000000-0005-0000-0000-00000E140000}"/>
    <cellStyle name="Comma 2 4 6 6 2" xfId="5132" xr:uid="{00000000-0005-0000-0000-00000F140000}"/>
    <cellStyle name="Comma 2 4 6 6 2 2" xfId="5133" xr:uid="{00000000-0005-0000-0000-000010140000}"/>
    <cellStyle name="Comma 2 4 6 6 3" xfId="5134" xr:uid="{00000000-0005-0000-0000-000011140000}"/>
    <cellStyle name="Comma 2 4 6 7" xfId="5135" xr:uid="{00000000-0005-0000-0000-000012140000}"/>
    <cellStyle name="Comma 2 4 6 7 2" xfId="5136" xr:uid="{00000000-0005-0000-0000-000013140000}"/>
    <cellStyle name="Comma 2 4 6 8" xfId="5137" xr:uid="{00000000-0005-0000-0000-000014140000}"/>
    <cellStyle name="Comma 2 4 6 8 2" xfId="5138" xr:uid="{00000000-0005-0000-0000-000015140000}"/>
    <cellStyle name="Comma 2 4 6 9" xfId="5139" xr:uid="{00000000-0005-0000-0000-000016140000}"/>
    <cellStyle name="Comma 2 4 7" xfId="5140" xr:uid="{00000000-0005-0000-0000-000017140000}"/>
    <cellStyle name="Comma 2 4 7 2" xfId="5141" xr:uid="{00000000-0005-0000-0000-000018140000}"/>
    <cellStyle name="Comma 2 4 7 2 2" xfId="5142" xr:uid="{00000000-0005-0000-0000-000019140000}"/>
    <cellStyle name="Comma 2 4 7 2 2 2" xfId="5143" xr:uid="{00000000-0005-0000-0000-00001A140000}"/>
    <cellStyle name="Comma 2 4 7 2 2 2 2" xfId="5144" xr:uid="{00000000-0005-0000-0000-00001B140000}"/>
    <cellStyle name="Comma 2 4 7 2 2 2 2 2" xfId="5145" xr:uid="{00000000-0005-0000-0000-00001C140000}"/>
    <cellStyle name="Comma 2 4 7 2 2 2 2 2 2" xfId="5146" xr:uid="{00000000-0005-0000-0000-00001D140000}"/>
    <cellStyle name="Comma 2 4 7 2 2 2 2 3" xfId="5147" xr:uid="{00000000-0005-0000-0000-00001E140000}"/>
    <cellStyle name="Comma 2 4 7 2 2 2 3" xfId="5148" xr:uid="{00000000-0005-0000-0000-00001F140000}"/>
    <cellStyle name="Comma 2 4 7 2 2 2 3 2" xfId="5149" xr:uid="{00000000-0005-0000-0000-000020140000}"/>
    <cellStyle name="Comma 2 4 7 2 2 2 4" xfId="5150" xr:uid="{00000000-0005-0000-0000-000021140000}"/>
    <cellStyle name="Comma 2 4 7 2 2 2 4 2" xfId="5151" xr:uid="{00000000-0005-0000-0000-000022140000}"/>
    <cellStyle name="Comma 2 4 7 2 2 2 5" xfId="5152" xr:uid="{00000000-0005-0000-0000-000023140000}"/>
    <cellStyle name="Comma 2 4 7 2 2 3" xfId="5153" xr:uid="{00000000-0005-0000-0000-000024140000}"/>
    <cellStyle name="Comma 2 4 7 2 2 3 2" xfId="5154" xr:uid="{00000000-0005-0000-0000-000025140000}"/>
    <cellStyle name="Comma 2 4 7 2 2 3 2 2" xfId="5155" xr:uid="{00000000-0005-0000-0000-000026140000}"/>
    <cellStyle name="Comma 2 4 7 2 2 3 3" xfId="5156" xr:uid="{00000000-0005-0000-0000-000027140000}"/>
    <cellStyle name="Comma 2 4 7 2 2 4" xfId="5157" xr:uid="{00000000-0005-0000-0000-000028140000}"/>
    <cellStyle name="Comma 2 4 7 2 2 4 2" xfId="5158" xr:uid="{00000000-0005-0000-0000-000029140000}"/>
    <cellStyle name="Comma 2 4 7 2 2 5" xfId="5159" xr:uid="{00000000-0005-0000-0000-00002A140000}"/>
    <cellStyle name="Comma 2 4 7 2 2 5 2" xfId="5160" xr:uid="{00000000-0005-0000-0000-00002B140000}"/>
    <cellStyle name="Comma 2 4 7 2 2 6" xfId="5161" xr:uid="{00000000-0005-0000-0000-00002C140000}"/>
    <cellStyle name="Comma 2 4 7 2 3" xfId="5162" xr:uid="{00000000-0005-0000-0000-00002D140000}"/>
    <cellStyle name="Comma 2 4 7 2 3 2" xfId="5163" xr:uid="{00000000-0005-0000-0000-00002E140000}"/>
    <cellStyle name="Comma 2 4 7 2 3 2 2" xfId="5164" xr:uid="{00000000-0005-0000-0000-00002F140000}"/>
    <cellStyle name="Comma 2 4 7 2 3 2 2 2" xfId="5165" xr:uid="{00000000-0005-0000-0000-000030140000}"/>
    <cellStyle name="Comma 2 4 7 2 3 2 3" xfId="5166" xr:uid="{00000000-0005-0000-0000-000031140000}"/>
    <cellStyle name="Comma 2 4 7 2 3 3" xfId="5167" xr:uid="{00000000-0005-0000-0000-000032140000}"/>
    <cellStyle name="Comma 2 4 7 2 3 3 2" xfId="5168" xr:uid="{00000000-0005-0000-0000-000033140000}"/>
    <cellStyle name="Comma 2 4 7 2 3 4" xfId="5169" xr:uid="{00000000-0005-0000-0000-000034140000}"/>
    <cellStyle name="Comma 2 4 7 2 3 4 2" xfId="5170" xr:uid="{00000000-0005-0000-0000-000035140000}"/>
    <cellStyle name="Comma 2 4 7 2 3 5" xfId="5171" xr:uid="{00000000-0005-0000-0000-000036140000}"/>
    <cellStyle name="Comma 2 4 7 2 4" xfId="5172" xr:uid="{00000000-0005-0000-0000-000037140000}"/>
    <cellStyle name="Comma 2 4 7 2 4 2" xfId="5173" xr:uid="{00000000-0005-0000-0000-000038140000}"/>
    <cellStyle name="Comma 2 4 7 2 4 2 2" xfId="5174" xr:uid="{00000000-0005-0000-0000-000039140000}"/>
    <cellStyle name="Comma 2 4 7 2 4 3" xfId="5175" xr:uid="{00000000-0005-0000-0000-00003A140000}"/>
    <cellStyle name="Comma 2 4 7 2 5" xfId="5176" xr:uid="{00000000-0005-0000-0000-00003B140000}"/>
    <cellStyle name="Comma 2 4 7 2 5 2" xfId="5177" xr:uid="{00000000-0005-0000-0000-00003C140000}"/>
    <cellStyle name="Comma 2 4 7 2 6" xfId="5178" xr:uid="{00000000-0005-0000-0000-00003D140000}"/>
    <cellStyle name="Comma 2 4 7 2 6 2" xfId="5179" xr:uid="{00000000-0005-0000-0000-00003E140000}"/>
    <cellStyle name="Comma 2 4 7 2 7" xfId="5180" xr:uid="{00000000-0005-0000-0000-00003F140000}"/>
    <cellStyle name="Comma 2 4 7 3" xfId="5181" xr:uid="{00000000-0005-0000-0000-000040140000}"/>
    <cellStyle name="Comma 2 4 7 3 2" xfId="5182" xr:uid="{00000000-0005-0000-0000-000041140000}"/>
    <cellStyle name="Comma 2 4 7 3 2 2" xfId="5183" xr:uid="{00000000-0005-0000-0000-000042140000}"/>
    <cellStyle name="Comma 2 4 7 3 2 2 2" xfId="5184" xr:uid="{00000000-0005-0000-0000-000043140000}"/>
    <cellStyle name="Comma 2 4 7 3 2 2 2 2" xfId="5185" xr:uid="{00000000-0005-0000-0000-000044140000}"/>
    <cellStyle name="Comma 2 4 7 3 2 2 3" xfId="5186" xr:uid="{00000000-0005-0000-0000-000045140000}"/>
    <cellStyle name="Comma 2 4 7 3 2 3" xfId="5187" xr:uid="{00000000-0005-0000-0000-000046140000}"/>
    <cellStyle name="Comma 2 4 7 3 2 3 2" xfId="5188" xr:uid="{00000000-0005-0000-0000-000047140000}"/>
    <cellStyle name="Comma 2 4 7 3 2 4" xfId="5189" xr:uid="{00000000-0005-0000-0000-000048140000}"/>
    <cellStyle name="Comma 2 4 7 3 2 4 2" xfId="5190" xr:uid="{00000000-0005-0000-0000-000049140000}"/>
    <cellStyle name="Comma 2 4 7 3 2 5" xfId="5191" xr:uid="{00000000-0005-0000-0000-00004A140000}"/>
    <cellStyle name="Comma 2 4 7 3 3" xfId="5192" xr:uid="{00000000-0005-0000-0000-00004B140000}"/>
    <cellStyle name="Comma 2 4 7 3 3 2" xfId="5193" xr:uid="{00000000-0005-0000-0000-00004C140000}"/>
    <cellStyle name="Comma 2 4 7 3 3 2 2" xfId="5194" xr:uid="{00000000-0005-0000-0000-00004D140000}"/>
    <cellStyle name="Comma 2 4 7 3 3 3" xfId="5195" xr:uid="{00000000-0005-0000-0000-00004E140000}"/>
    <cellStyle name="Comma 2 4 7 3 4" xfId="5196" xr:uid="{00000000-0005-0000-0000-00004F140000}"/>
    <cellStyle name="Comma 2 4 7 3 4 2" xfId="5197" xr:uid="{00000000-0005-0000-0000-000050140000}"/>
    <cellStyle name="Comma 2 4 7 3 5" xfId="5198" xr:uid="{00000000-0005-0000-0000-000051140000}"/>
    <cellStyle name="Comma 2 4 7 3 5 2" xfId="5199" xr:uid="{00000000-0005-0000-0000-000052140000}"/>
    <cellStyle name="Comma 2 4 7 3 6" xfId="5200" xr:uid="{00000000-0005-0000-0000-000053140000}"/>
    <cellStyle name="Comma 2 4 7 4" xfId="5201" xr:uid="{00000000-0005-0000-0000-000054140000}"/>
    <cellStyle name="Comma 2 4 7 4 2" xfId="5202" xr:uid="{00000000-0005-0000-0000-000055140000}"/>
    <cellStyle name="Comma 2 4 7 4 2 2" xfId="5203" xr:uid="{00000000-0005-0000-0000-000056140000}"/>
    <cellStyle name="Comma 2 4 7 4 2 2 2" xfId="5204" xr:uid="{00000000-0005-0000-0000-000057140000}"/>
    <cellStyle name="Comma 2 4 7 4 2 3" xfId="5205" xr:uid="{00000000-0005-0000-0000-000058140000}"/>
    <cellStyle name="Comma 2 4 7 4 3" xfId="5206" xr:uid="{00000000-0005-0000-0000-000059140000}"/>
    <cellStyle name="Comma 2 4 7 4 3 2" xfId="5207" xr:uid="{00000000-0005-0000-0000-00005A140000}"/>
    <cellStyle name="Comma 2 4 7 4 4" xfId="5208" xr:uid="{00000000-0005-0000-0000-00005B140000}"/>
    <cellStyle name="Comma 2 4 7 4 4 2" xfId="5209" xr:uid="{00000000-0005-0000-0000-00005C140000}"/>
    <cellStyle name="Comma 2 4 7 4 5" xfId="5210" xr:uid="{00000000-0005-0000-0000-00005D140000}"/>
    <cellStyle name="Comma 2 4 7 5" xfId="5211" xr:uid="{00000000-0005-0000-0000-00005E140000}"/>
    <cellStyle name="Comma 2 4 7 5 2" xfId="5212" xr:uid="{00000000-0005-0000-0000-00005F140000}"/>
    <cellStyle name="Comma 2 4 7 5 2 2" xfId="5213" xr:uid="{00000000-0005-0000-0000-000060140000}"/>
    <cellStyle name="Comma 2 4 7 5 3" xfId="5214" xr:uid="{00000000-0005-0000-0000-000061140000}"/>
    <cellStyle name="Comma 2 4 7 6" xfId="5215" xr:uid="{00000000-0005-0000-0000-000062140000}"/>
    <cellStyle name="Comma 2 4 7 6 2" xfId="5216" xr:uid="{00000000-0005-0000-0000-000063140000}"/>
    <cellStyle name="Comma 2 4 7 7" xfId="5217" xr:uid="{00000000-0005-0000-0000-000064140000}"/>
    <cellStyle name="Comma 2 4 7 7 2" xfId="5218" xr:uid="{00000000-0005-0000-0000-000065140000}"/>
    <cellStyle name="Comma 2 4 7 8" xfId="5219" xr:uid="{00000000-0005-0000-0000-000066140000}"/>
    <cellStyle name="Comma 2 4 8" xfId="5220" xr:uid="{00000000-0005-0000-0000-000067140000}"/>
    <cellStyle name="Comma 2 4 8 2" xfId="5221" xr:uid="{00000000-0005-0000-0000-000068140000}"/>
    <cellStyle name="Comma 2 4 8 2 2" xfId="5222" xr:uid="{00000000-0005-0000-0000-000069140000}"/>
    <cellStyle name="Comma 2 4 8 2 2 2" xfId="5223" xr:uid="{00000000-0005-0000-0000-00006A140000}"/>
    <cellStyle name="Comma 2 4 8 2 2 2 2" xfId="5224" xr:uid="{00000000-0005-0000-0000-00006B140000}"/>
    <cellStyle name="Comma 2 4 8 2 2 2 2 2" xfId="5225" xr:uid="{00000000-0005-0000-0000-00006C140000}"/>
    <cellStyle name="Comma 2 4 8 2 2 2 3" xfId="5226" xr:uid="{00000000-0005-0000-0000-00006D140000}"/>
    <cellStyle name="Comma 2 4 8 2 2 3" xfId="5227" xr:uid="{00000000-0005-0000-0000-00006E140000}"/>
    <cellStyle name="Comma 2 4 8 2 2 3 2" xfId="5228" xr:uid="{00000000-0005-0000-0000-00006F140000}"/>
    <cellStyle name="Comma 2 4 8 2 2 4" xfId="5229" xr:uid="{00000000-0005-0000-0000-000070140000}"/>
    <cellStyle name="Comma 2 4 8 2 2 4 2" xfId="5230" xr:uid="{00000000-0005-0000-0000-000071140000}"/>
    <cellStyle name="Comma 2 4 8 2 2 5" xfId="5231" xr:uid="{00000000-0005-0000-0000-000072140000}"/>
    <cellStyle name="Comma 2 4 8 2 3" xfId="5232" xr:uid="{00000000-0005-0000-0000-000073140000}"/>
    <cellStyle name="Comma 2 4 8 2 3 2" xfId="5233" xr:uid="{00000000-0005-0000-0000-000074140000}"/>
    <cellStyle name="Comma 2 4 8 2 3 2 2" xfId="5234" xr:uid="{00000000-0005-0000-0000-000075140000}"/>
    <cellStyle name="Comma 2 4 8 2 3 3" xfId="5235" xr:uid="{00000000-0005-0000-0000-000076140000}"/>
    <cellStyle name="Comma 2 4 8 2 4" xfId="5236" xr:uid="{00000000-0005-0000-0000-000077140000}"/>
    <cellStyle name="Comma 2 4 8 2 4 2" xfId="5237" xr:uid="{00000000-0005-0000-0000-000078140000}"/>
    <cellStyle name="Comma 2 4 8 2 5" xfId="5238" xr:uid="{00000000-0005-0000-0000-000079140000}"/>
    <cellStyle name="Comma 2 4 8 2 5 2" xfId="5239" xr:uid="{00000000-0005-0000-0000-00007A140000}"/>
    <cellStyle name="Comma 2 4 8 2 6" xfId="5240" xr:uid="{00000000-0005-0000-0000-00007B140000}"/>
    <cellStyle name="Comma 2 4 8 3" xfId="5241" xr:uid="{00000000-0005-0000-0000-00007C140000}"/>
    <cellStyle name="Comma 2 4 8 3 2" xfId="5242" xr:uid="{00000000-0005-0000-0000-00007D140000}"/>
    <cellStyle name="Comma 2 4 8 3 2 2" xfId="5243" xr:uid="{00000000-0005-0000-0000-00007E140000}"/>
    <cellStyle name="Comma 2 4 8 3 2 2 2" xfId="5244" xr:uid="{00000000-0005-0000-0000-00007F140000}"/>
    <cellStyle name="Comma 2 4 8 3 2 3" xfId="5245" xr:uid="{00000000-0005-0000-0000-000080140000}"/>
    <cellStyle name="Comma 2 4 8 3 3" xfId="5246" xr:uid="{00000000-0005-0000-0000-000081140000}"/>
    <cellStyle name="Comma 2 4 8 3 3 2" xfId="5247" xr:uid="{00000000-0005-0000-0000-000082140000}"/>
    <cellStyle name="Comma 2 4 8 3 4" xfId="5248" xr:uid="{00000000-0005-0000-0000-000083140000}"/>
    <cellStyle name="Comma 2 4 8 3 4 2" xfId="5249" xr:uid="{00000000-0005-0000-0000-000084140000}"/>
    <cellStyle name="Comma 2 4 8 3 5" xfId="5250" xr:uid="{00000000-0005-0000-0000-000085140000}"/>
    <cellStyle name="Comma 2 4 8 4" xfId="5251" xr:uid="{00000000-0005-0000-0000-000086140000}"/>
    <cellStyle name="Comma 2 4 8 4 2" xfId="5252" xr:uid="{00000000-0005-0000-0000-000087140000}"/>
    <cellStyle name="Comma 2 4 8 4 2 2" xfId="5253" xr:uid="{00000000-0005-0000-0000-000088140000}"/>
    <cellStyle name="Comma 2 4 8 4 3" xfId="5254" xr:uid="{00000000-0005-0000-0000-000089140000}"/>
    <cellStyle name="Comma 2 4 8 5" xfId="5255" xr:uid="{00000000-0005-0000-0000-00008A140000}"/>
    <cellStyle name="Comma 2 4 8 5 2" xfId="5256" xr:uid="{00000000-0005-0000-0000-00008B140000}"/>
    <cellStyle name="Comma 2 4 8 6" xfId="5257" xr:uid="{00000000-0005-0000-0000-00008C140000}"/>
    <cellStyle name="Comma 2 4 8 6 2" xfId="5258" xr:uid="{00000000-0005-0000-0000-00008D140000}"/>
    <cellStyle name="Comma 2 4 8 7" xfId="5259" xr:uid="{00000000-0005-0000-0000-00008E140000}"/>
    <cellStyle name="Comma 2 4 9" xfId="5260" xr:uid="{00000000-0005-0000-0000-00008F140000}"/>
    <cellStyle name="Comma 2 4 9 2" xfId="5261" xr:uid="{00000000-0005-0000-0000-000090140000}"/>
    <cellStyle name="Comma 2 4 9 2 2" xfId="5262" xr:uid="{00000000-0005-0000-0000-000091140000}"/>
    <cellStyle name="Comma 2 4 9 2 2 2" xfId="5263" xr:uid="{00000000-0005-0000-0000-000092140000}"/>
    <cellStyle name="Comma 2 4 9 2 2 2 2" xfId="5264" xr:uid="{00000000-0005-0000-0000-000093140000}"/>
    <cellStyle name="Comma 2 4 9 2 2 2 2 2" xfId="5265" xr:uid="{00000000-0005-0000-0000-000094140000}"/>
    <cellStyle name="Comma 2 4 9 2 2 2 3" xfId="5266" xr:uid="{00000000-0005-0000-0000-000095140000}"/>
    <cellStyle name="Comma 2 4 9 2 2 3" xfId="5267" xr:uid="{00000000-0005-0000-0000-000096140000}"/>
    <cellStyle name="Comma 2 4 9 2 2 3 2" xfId="5268" xr:uid="{00000000-0005-0000-0000-000097140000}"/>
    <cellStyle name="Comma 2 4 9 2 2 4" xfId="5269" xr:uid="{00000000-0005-0000-0000-000098140000}"/>
    <cellStyle name="Comma 2 4 9 2 2 4 2" xfId="5270" xr:uid="{00000000-0005-0000-0000-000099140000}"/>
    <cellStyle name="Comma 2 4 9 2 2 5" xfId="5271" xr:uid="{00000000-0005-0000-0000-00009A140000}"/>
    <cellStyle name="Comma 2 4 9 2 3" xfId="5272" xr:uid="{00000000-0005-0000-0000-00009B140000}"/>
    <cellStyle name="Comma 2 4 9 2 3 2" xfId="5273" xr:uid="{00000000-0005-0000-0000-00009C140000}"/>
    <cellStyle name="Comma 2 4 9 2 3 2 2" xfId="5274" xr:uid="{00000000-0005-0000-0000-00009D140000}"/>
    <cellStyle name="Comma 2 4 9 2 3 3" xfId="5275" xr:uid="{00000000-0005-0000-0000-00009E140000}"/>
    <cellStyle name="Comma 2 4 9 2 4" xfId="5276" xr:uid="{00000000-0005-0000-0000-00009F140000}"/>
    <cellStyle name="Comma 2 4 9 2 4 2" xfId="5277" xr:uid="{00000000-0005-0000-0000-0000A0140000}"/>
    <cellStyle name="Comma 2 4 9 2 5" xfId="5278" xr:uid="{00000000-0005-0000-0000-0000A1140000}"/>
    <cellStyle name="Comma 2 4 9 2 5 2" xfId="5279" xr:uid="{00000000-0005-0000-0000-0000A2140000}"/>
    <cellStyle name="Comma 2 4 9 2 6" xfId="5280" xr:uid="{00000000-0005-0000-0000-0000A3140000}"/>
    <cellStyle name="Comma 2 4 9 3" xfId="5281" xr:uid="{00000000-0005-0000-0000-0000A4140000}"/>
    <cellStyle name="Comma 2 4 9 3 2" xfId="5282" xr:uid="{00000000-0005-0000-0000-0000A5140000}"/>
    <cellStyle name="Comma 2 4 9 3 2 2" xfId="5283" xr:uid="{00000000-0005-0000-0000-0000A6140000}"/>
    <cellStyle name="Comma 2 4 9 3 2 2 2" xfId="5284" xr:uid="{00000000-0005-0000-0000-0000A7140000}"/>
    <cellStyle name="Comma 2 4 9 3 2 3" xfId="5285" xr:uid="{00000000-0005-0000-0000-0000A8140000}"/>
    <cellStyle name="Comma 2 4 9 3 3" xfId="5286" xr:uid="{00000000-0005-0000-0000-0000A9140000}"/>
    <cellStyle name="Comma 2 4 9 3 3 2" xfId="5287" xr:uid="{00000000-0005-0000-0000-0000AA140000}"/>
    <cellStyle name="Comma 2 4 9 3 4" xfId="5288" xr:uid="{00000000-0005-0000-0000-0000AB140000}"/>
    <cellStyle name="Comma 2 4 9 3 4 2" xfId="5289" xr:uid="{00000000-0005-0000-0000-0000AC140000}"/>
    <cellStyle name="Comma 2 4 9 3 5" xfId="5290" xr:uid="{00000000-0005-0000-0000-0000AD140000}"/>
    <cellStyle name="Comma 2 4 9 4" xfId="5291" xr:uid="{00000000-0005-0000-0000-0000AE140000}"/>
    <cellStyle name="Comma 2 4 9 4 2" xfId="5292" xr:uid="{00000000-0005-0000-0000-0000AF140000}"/>
    <cellStyle name="Comma 2 4 9 4 2 2" xfId="5293" xr:uid="{00000000-0005-0000-0000-0000B0140000}"/>
    <cellStyle name="Comma 2 4 9 4 3" xfId="5294" xr:uid="{00000000-0005-0000-0000-0000B1140000}"/>
    <cellStyle name="Comma 2 4 9 5" xfId="5295" xr:uid="{00000000-0005-0000-0000-0000B2140000}"/>
    <cellStyle name="Comma 2 4 9 5 2" xfId="5296" xr:uid="{00000000-0005-0000-0000-0000B3140000}"/>
    <cellStyle name="Comma 2 4 9 6" xfId="5297" xr:uid="{00000000-0005-0000-0000-0000B4140000}"/>
    <cellStyle name="Comma 2 4 9 6 2" xfId="5298" xr:uid="{00000000-0005-0000-0000-0000B5140000}"/>
    <cellStyle name="Comma 2 4 9 7" xfId="5299" xr:uid="{00000000-0005-0000-0000-0000B6140000}"/>
    <cellStyle name="Comma 2 5" xfId="5300" xr:uid="{00000000-0005-0000-0000-0000B7140000}"/>
    <cellStyle name="Comma 2 5 10" xfId="5301" xr:uid="{00000000-0005-0000-0000-0000B8140000}"/>
    <cellStyle name="Comma 2 5 10 2" xfId="5302" xr:uid="{00000000-0005-0000-0000-0000B9140000}"/>
    <cellStyle name="Comma 2 5 11" xfId="5303" xr:uid="{00000000-0005-0000-0000-0000BA140000}"/>
    <cellStyle name="Comma 2 5 11 2" xfId="5304" xr:uid="{00000000-0005-0000-0000-0000BB140000}"/>
    <cellStyle name="Comma 2 5 12" xfId="5305" xr:uid="{00000000-0005-0000-0000-0000BC140000}"/>
    <cellStyle name="Comma 2 5 2" xfId="5306" xr:uid="{00000000-0005-0000-0000-0000BD140000}"/>
    <cellStyle name="Comma 2 5 2 2" xfId="5307" xr:uid="{00000000-0005-0000-0000-0000BE140000}"/>
    <cellStyle name="Comma 2 5 2 2 2" xfId="5308" xr:uid="{00000000-0005-0000-0000-0000BF140000}"/>
    <cellStyle name="Comma 2 5 2 2 2 2" xfId="5309" xr:uid="{00000000-0005-0000-0000-0000C0140000}"/>
    <cellStyle name="Comma 2 5 2 2 2 2 2" xfId="5310" xr:uid="{00000000-0005-0000-0000-0000C1140000}"/>
    <cellStyle name="Comma 2 5 2 2 2 2 2 2" xfId="5311" xr:uid="{00000000-0005-0000-0000-0000C2140000}"/>
    <cellStyle name="Comma 2 5 2 2 2 2 2 2 2" xfId="5312" xr:uid="{00000000-0005-0000-0000-0000C3140000}"/>
    <cellStyle name="Comma 2 5 2 2 2 2 2 3" xfId="5313" xr:uid="{00000000-0005-0000-0000-0000C4140000}"/>
    <cellStyle name="Comma 2 5 2 2 2 2 3" xfId="5314" xr:uid="{00000000-0005-0000-0000-0000C5140000}"/>
    <cellStyle name="Comma 2 5 2 2 2 2 3 2" xfId="5315" xr:uid="{00000000-0005-0000-0000-0000C6140000}"/>
    <cellStyle name="Comma 2 5 2 2 2 2 4" xfId="5316" xr:uid="{00000000-0005-0000-0000-0000C7140000}"/>
    <cellStyle name="Comma 2 5 2 2 2 2 4 2" xfId="5317" xr:uid="{00000000-0005-0000-0000-0000C8140000}"/>
    <cellStyle name="Comma 2 5 2 2 2 2 5" xfId="5318" xr:uid="{00000000-0005-0000-0000-0000C9140000}"/>
    <cellStyle name="Comma 2 5 2 2 2 3" xfId="5319" xr:uid="{00000000-0005-0000-0000-0000CA140000}"/>
    <cellStyle name="Comma 2 5 2 2 2 3 2" xfId="5320" xr:uid="{00000000-0005-0000-0000-0000CB140000}"/>
    <cellStyle name="Comma 2 5 2 2 2 3 2 2" xfId="5321" xr:uid="{00000000-0005-0000-0000-0000CC140000}"/>
    <cellStyle name="Comma 2 5 2 2 2 3 3" xfId="5322" xr:uid="{00000000-0005-0000-0000-0000CD140000}"/>
    <cellStyle name="Comma 2 5 2 2 2 4" xfId="5323" xr:uid="{00000000-0005-0000-0000-0000CE140000}"/>
    <cellStyle name="Comma 2 5 2 2 2 4 2" xfId="5324" xr:uid="{00000000-0005-0000-0000-0000CF140000}"/>
    <cellStyle name="Comma 2 5 2 2 2 5" xfId="5325" xr:uid="{00000000-0005-0000-0000-0000D0140000}"/>
    <cellStyle name="Comma 2 5 2 2 2 5 2" xfId="5326" xr:uid="{00000000-0005-0000-0000-0000D1140000}"/>
    <cellStyle name="Comma 2 5 2 2 2 6" xfId="5327" xr:uid="{00000000-0005-0000-0000-0000D2140000}"/>
    <cellStyle name="Comma 2 5 2 2 3" xfId="5328" xr:uid="{00000000-0005-0000-0000-0000D3140000}"/>
    <cellStyle name="Comma 2 5 2 2 3 2" xfId="5329" xr:uid="{00000000-0005-0000-0000-0000D4140000}"/>
    <cellStyle name="Comma 2 5 2 2 3 2 2" xfId="5330" xr:uid="{00000000-0005-0000-0000-0000D5140000}"/>
    <cellStyle name="Comma 2 5 2 2 3 2 2 2" xfId="5331" xr:uid="{00000000-0005-0000-0000-0000D6140000}"/>
    <cellStyle name="Comma 2 5 2 2 3 2 3" xfId="5332" xr:uid="{00000000-0005-0000-0000-0000D7140000}"/>
    <cellStyle name="Comma 2 5 2 2 3 3" xfId="5333" xr:uid="{00000000-0005-0000-0000-0000D8140000}"/>
    <cellStyle name="Comma 2 5 2 2 3 3 2" xfId="5334" xr:uid="{00000000-0005-0000-0000-0000D9140000}"/>
    <cellStyle name="Comma 2 5 2 2 3 4" xfId="5335" xr:uid="{00000000-0005-0000-0000-0000DA140000}"/>
    <cellStyle name="Comma 2 5 2 2 3 4 2" xfId="5336" xr:uid="{00000000-0005-0000-0000-0000DB140000}"/>
    <cellStyle name="Comma 2 5 2 2 3 5" xfId="5337" xr:uid="{00000000-0005-0000-0000-0000DC140000}"/>
    <cellStyle name="Comma 2 5 2 2 4" xfId="5338" xr:uid="{00000000-0005-0000-0000-0000DD140000}"/>
    <cellStyle name="Comma 2 5 2 2 4 2" xfId="5339" xr:uid="{00000000-0005-0000-0000-0000DE140000}"/>
    <cellStyle name="Comma 2 5 2 2 4 2 2" xfId="5340" xr:uid="{00000000-0005-0000-0000-0000DF140000}"/>
    <cellStyle name="Comma 2 5 2 2 4 3" xfId="5341" xr:uid="{00000000-0005-0000-0000-0000E0140000}"/>
    <cellStyle name="Comma 2 5 2 2 5" xfId="5342" xr:uid="{00000000-0005-0000-0000-0000E1140000}"/>
    <cellStyle name="Comma 2 5 2 2 5 2" xfId="5343" xr:uid="{00000000-0005-0000-0000-0000E2140000}"/>
    <cellStyle name="Comma 2 5 2 2 6" xfId="5344" xr:uid="{00000000-0005-0000-0000-0000E3140000}"/>
    <cellStyle name="Comma 2 5 2 2 6 2" xfId="5345" xr:uid="{00000000-0005-0000-0000-0000E4140000}"/>
    <cellStyle name="Comma 2 5 2 2 7" xfId="5346" xr:uid="{00000000-0005-0000-0000-0000E5140000}"/>
    <cellStyle name="Comma 2 5 2 3" xfId="5347" xr:uid="{00000000-0005-0000-0000-0000E6140000}"/>
    <cellStyle name="Comma 2 5 2 3 2" xfId="5348" xr:uid="{00000000-0005-0000-0000-0000E7140000}"/>
    <cellStyle name="Comma 2 5 2 3 2 2" xfId="5349" xr:uid="{00000000-0005-0000-0000-0000E8140000}"/>
    <cellStyle name="Comma 2 5 2 3 2 2 2" xfId="5350" xr:uid="{00000000-0005-0000-0000-0000E9140000}"/>
    <cellStyle name="Comma 2 5 2 3 2 2 2 2" xfId="5351" xr:uid="{00000000-0005-0000-0000-0000EA140000}"/>
    <cellStyle name="Comma 2 5 2 3 2 2 2 2 2" xfId="5352" xr:uid="{00000000-0005-0000-0000-0000EB140000}"/>
    <cellStyle name="Comma 2 5 2 3 2 2 2 3" xfId="5353" xr:uid="{00000000-0005-0000-0000-0000EC140000}"/>
    <cellStyle name="Comma 2 5 2 3 2 2 3" xfId="5354" xr:uid="{00000000-0005-0000-0000-0000ED140000}"/>
    <cellStyle name="Comma 2 5 2 3 2 2 3 2" xfId="5355" xr:uid="{00000000-0005-0000-0000-0000EE140000}"/>
    <cellStyle name="Comma 2 5 2 3 2 2 4" xfId="5356" xr:uid="{00000000-0005-0000-0000-0000EF140000}"/>
    <cellStyle name="Comma 2 5 2 3 2 2 4 2" xfId="5357" xr:uid="{00000000-0005-0000-0000-0000F0140000}"/>
    <cellStyle name="Comma 2 5 2 3 2 2 5" xfId="5358" xr:uid="{00000000-0005-0000-0000-0000F1140000}"/>
    <cellStyle name="Comma 2 5 2 3 2 3" xfId="5359" xr:uid="{00000000-0005-0000-0000-0000F2140000}"/>
    <cellStyle name="Comma 2 5 2 3 2 3 2" xfId="5360" xr:uid="{00000000-0005-0000-0000-0000F3140000}"/>
    <cellStyle name="Comma 2 5 2 3 2 3 2 2" xfId="5361" xr:uid="{00000000-0005-0000-0000-0000F4140000}"/>
    <cellStyle name="Comma 2 5 2 3 2 3 3" xfId="5362" xr:uid="{00000000-0005-0000-0000-0000F5140000}"/>
    <cellStyle name="Comma 2 5 2 3 2 4" xfId="5363" xr:uid="{00000000-0005-0000-0000-0000F6140000}"/>
    <cellStyle name="Comma 2 5 2 3 2 4 2" xfId="5364" xr:uid="{00000000-0005-0000-0000-0000F7140000}"/>
    <cellStyle name="Comma 2 5 2 3 2 5" xfId="5365" xr:uid="{00000000-0005-0000-0000-0000F8140000}"/>
    <cellStyle name="Comma 2 5 2 3 2 5 2" xfId="5366" xr:uid="{00000000-0005-0000-0000-0000F9140000}"/>
    <cellStyle name="Comma 2 5 2 3 2 6" xfId="5367" xr:uid="{00000000-0005-0000-0000-0000FA140000}"/>
    <cellStyle name="Comma 2 5 2 3 3" xfId="5368" xr:uid="{00000000-0005-0000-0000-0000FB140000}"/>
    <cellStyle name="Comma 2 5 2 3 3 2" xfId="5369" xr:uid="{00000000-0005-0000-0000-0000FC140000}"/>
    <cellStyle name="Comma 2 5 2 3 3 2 2" xfId="5370" xr:uid="{00000000-0005-0000-0000-0000FD140000}"/>
    <cellStyle name="Comma 2 5 2 3 3 2 2 2" xfId="5371" xr:uid="{00000000-0005-0000-0000-0000FE140000}"/>
    <cellStyle name="Comma 2 5 2 3 3 2 3" xfId="5372" xr:uid="{00000000-0005-0000-0000-0000FF140000}"/>
    <cellStyle name="Comma 2 5 2 3 3 3" xfId="5373" xr:uid="{00000000-0005-0000-0000-000000150000}"/>
    <cellStyle name="Comma 2 5 2 3 3 3 2" xfId="5374" xr:uid="{00000000-0005-0000-0000-000001150000}"/>
    <cellStyle name="Comma 2 5 2 3 3 4" xfId="5375" xr:uid="{00000000-0005-0000-0000-000002150000}"/>
    <cellStyle name="Comma 2 5 2 3 3 4 2" xfId="5376" xr:uid="{00000000-0005-0000-0000-000003150000}"/>
    <cellStyle name="Comma 2 5 2 3 3 5" xfId="5377" xr:uid="{00000000-0005-0000-0000-000004150000}"/>
    <cellStyle name="Comma 2 5 2 3 4" xfId="5378" xr:uid="{00000000-0005-0000-0000-000005150000}"/>
    <cellStyle name="Comma 2 5 2 3 4 2" xfId="5379" xr:uid="{00000000-0005-0000-0000-000006150000}"/>
    <cellStyle name="Comma 2 5 2 3 4 2 2" xfId="5380" xr:uid="{00000000-0005-0000-0000-000007150000}"/>
    <cellStyle name="Comma 2 5 2 3 4 3" xfId="5381" xr:uid="{00000000-0005-0000-0000-000008150000}"/>
    <cellStyle name="Comma 2 5 2 3 5" xfId="5382" xr:uid="{00000000-0005-0000-0000-000009150000}"/>
    <cellStyle name="Comma 2 5 2 3 5 2" xfId="5383" xr:uid="{00000000-0005-0000-0000-00000A150000}"/>
    <cellStyle name="Comma 2 5 2 3 6" xfId="5384" xr:uid="{00000000-0005-0000-0000-00000B150000}"/>
    <cellStyle name="Comma 2 5 2 3 6 2" xfId="5385" xr:uid="{00000000-0005-0000-0000-00000C150000}"/>
    <cellStyle name="Comma 2 5 2 3 7" xfId="5386" xr:uid="{00000000-0005-0000-0000-00000D150000}"/>
    <cellStyle name="Comma 2 5 2 4" xfId="5387" xr:uid="{00000000-0005-0000-0000-00000E150000}"/>
    <cellStyle name="Comma 2 5 2 4 2" xfId="5388" xr:uid="{00000000-0005-0000-0000-00000F150000}"/>
    <cellStyle name="Comma 2 5 2 4 2 2" xfId="5389" xr:uid="{00000000-0005-0000-0000-000010150000}"/>
    <cellStyle name="Comma 2 5 2 4 2 2 2" xfId="5390" xr:uid="{00000000-0005-0000-0000-000011150000}"/>
    <cellStyle name="Comma 2 5 2 4 2 2 2 2" xfId="5391" xr:uid="{00000000-0005-0000-0000-000012150000}"/>
    <cellStyle name="Comma 2 5 2 4 2 2 3" xfId="5392" xr:uid="{00000000-0005-0000-0000-000013150000}"/>
    <cellStyle name="Comma 2 5 2 4 2 3" xfId="5393" xr:uid="{00000000-0005-0000-0000-000014150000}"/>
    <cellStyle name="Comma 2 5 2 4 2 3 2" xfId="5394" xr:uid="{00000000-0005-0000-0000-000015150000}"/>
    <cellStyle name="Comma 2 5 2 4 2 4" xfId="5395" xr:uid="{00000000-0005-0000-0000-000016150000}"/>
    <cellStyle name="Comma 2 5 2 4 2 4 2" xfId="5396" xr:uid="{00000000-0005-0000-0000-000017150000}"/>
    <cellStyle name="Comma 2 5 2 4 2 5" xfId="5397" xr:uid="{00000000-0005-0000-0000-000018150000}"/>
    <cellStyle name="Comma 2 5 2 4 3" xfId="5398" xr:uid="{00000000-0005-0000-0000-000019150000}"/>
    <cellStyle name="Comma 2 5 2 4 3 2" xfId="5399" xr:uid="{00000000-0005-0000-0000-00001A150000}"/>
    <cellStyle name="Comma 2 5 2 4 3 2 2" xfId="5400" xr:uid="{00000000-0005-0000-0000-00001B150000}"/>
    <cellStyle name="Comma 2 5 2 4 3 3" xfId="5401" xr:uid="{00000000-0005-0000-0000-00001C150000}"/>
    <cellStyle name="Comma 2 5 2 4 4" xfId="5402" xr:uid="{00000000-0005-0000-0000-00001D150000}"/>
    <cellStyle name="Comma 2 5 2 4 4 2" xfId="5403" xr:uid="{00000000-0005-0000-0000-00001E150000}"/>
    <cellStyle name="Comma 2 5 2 4 5" xfId="5404" xr:uid="{00000000-0005-0000-0000-00001F150000}"/>
    <cellStyle name="Comma 2 5 2 4 5 2" xfId="5405" xr:uid="{00000000-0005-0000-0000-000020150000}"/>
    <cellStyle name="Comma 2 5 2 4 6" xfId="5406" xr:uid="{00000000-0005-0000-0000-000021150000}"/>
    <cellStyle name="Comma 2 5 2 5" xfId="5407" xr:uid="{00000000-0005-0000-0000-000022150000}"/>
    <cellStyle name="Comma 2 5 2 5 2" xfId="5408" xr:uid="{00000000-0005-0000-0000-000023150000}"/>
    <cellStyle name="Comma 2 5 2 5 2 2" xfId="5409" xr:uid="{00000000-0005-0000-0000-000024150000}"/>
    <cellStyle name="Comma 2 5 2 5 2 2 2" xfId="5410" xr:uid="{00000000-0005-0000-0000-000025150000}"/>
    <cellStyle name="Comma 2 5 2 5 2 3" xfId="5411" xr:uid="{00000000-0005-0000-0000-000026150000}"/>
    <cellStyle name="Comma 2 5 2 5 3" xfId="5412" xr:uid="{00000000-0005-0000-0000-000027150000}"/>
    <cellStyle name="Comma 2 5 2 5 3 2" xfId="5413" xr:uid="{00000000-0005-0000-0000-000028150000}"/>
    <cellStyle name="Comma 2 5 2 5 4" xfId="5414" xr:uid="{00000000-0005-0000-0000-000029150000}"/>
    <cellStyle name="Comma 2 5 2 5 4 2" xfId="5415" xr:uid="{00000000-0005-0000-0000-00002A150000}"/>
    <cellStyle name="Comma 2 5 2 5 5" xfId="5416" xr:uid="{00000000-0005-0000-0000-00002B150000}"/>
    <cellStyle name="Comma 2 5 2 6" xfId="5417" xr:uid="{00000000-0005-0000-0000-00002C150000}"/>
    <cellStyle name="Comma 2 5 2 6 2" xfId="5418" xr:uid="{00000000-0005-0000-0000-00002D150000}"/>
    <cellStyle name="Comma 2 5 2 6 2 2" xfId="5419" xr:uid="{00000000-0005-0000-0000-00002E150000}"/>
    <cellStyle name="Comma 2 5 2 6 3" xfId="5420" xr:uid="{00000000-0005-0000-0000-00002F150000}"/>
    <cellStyle name="Comma 2 5 2 7" xfId="5421" xr:uid="{00000000-0005-0000-0000-000030150000}"/>
    <cellStyle name="Comma 2 5 2 7 2" xfId="5422" xr:uid="{00000000-0005-0000-0000-000031150000}"/>
    <cellStyle name="Comma 2 5 2 8" xfId="5423" xr:uid="{00000000-0005-0000-0000-000032150000}"/>
    <cellStyle name="Comma 2 5 2 8 2" xfId="5424" xr:uid="{00000000-0005-0000-0000-000033150000}"/>
    <cellStyle name="Comma 2 5 2 9" xfId="5425" xr:uid="{00000000-0005-0000-0000-000034150000}"/>
    <cellStyle name="Comma 2 5 3" xfId="5426" xr:uid="{00000000-0005-0000-0000-000035150000}"/>
    <cellStyle name="Comma 2 5 3 2" xfId="5427" xr:uid="{00000000-0005-0000-0000-000036150000}"/>
    <cellStyle name="Comma 2 5 3 2 2" xfId="5428" xr:uid="{00000000-0005-0000-0000-000037150000}"/>
    <cellStyle name="Comma 2 5 3 2 2 2" xfId="5429" xr:uid="{00000000-0005-0000-0000-000038150000}"/>
    <cellStyle name="Comma 2 5 3 2 2 2 2" xfId="5430" xr:uid="{00000000-0005-0000-0000-000039150000}"/>
    <cellStyle name="Comma 2 5 3 2 2 2 2 2" xfId="5431" xr:uid="{00000000-0005-0000-0000-00003A150000}"/>
    <cellStyle name="Comma 2 5 3 2 2 2 2 2 2" xfId="5432" xr:uid="{00000000-0005-0000-0000-00003B150000}"/>
    <cellStyle name="Comma 2 5 3 2 2 2 2 3" xfId="5433" xr:uid="{00000000-0005-0000-0000-00003C150000}"/>
    <cellStyle name="Comma 2 5 3 2 2 2 3" xfId="5434" xr:uid="{00000000-0005-0000-0000-00003D150000}"/>
    <cellStyle name="Comma 2 5 3 2 2 2 3 2" xfId="5435" xr:uid="{00000000-0005-0000-0000-00003E150000}"/>
    <cellStyle name="Comma 2 5 3 2 2 2 4" xfId="5436" xr:uid="{00000000-0005-0000-0000-00003F150000}"/>
    <cellStyle name="Comma 2 5 3 2 2 2 4 2" xfId="5437" xr:uid="{00000000-0005-0000-0000-000040150000}"/>
    <cellStyle name="Comma 2 5 3 2 2 2 5" xfId="5438" xr:uid="{00000000-0005-0000-0000-000041150000}"/>
    <cellStyle name="Comma 2 5 3 2 2 3" xfId="5439" xr:uid="{00000000-0005-0000-0000-000042150000}"/>
    <cellStyle name="Comma 2 5 3 2 2 3 2" xfId="5440" xr:uid="{00000000-0005-0000-0000-000043150000}"/>
    <cellStyle name="Comma 2 5 3 2 2 3 2 2" xfId="5441" xr:uid="{00000000-0005-0000-0000-000044150000}"/>
    <cellStyle name="Comma 2 5 3 2 2 3 3" xfId="5442" xr:uid="{00000000-0005-0000-0000-000045150000}"/>
    <cellStyle name="Comma 2 5 3 2 2 4" xfId="5443" xr:uid="{00000000-0005-0000-0000-000046150000}"/>
    <cellStyle name="Comma 2 5 3 2 2 4 2" xfId="5444" xr:uid="{00000000-0005-0000-0000-000047150000}"/>
    <cellStyle name="Comma 2 5 3 2 2 5" xfId="5445" xr:uid="{00000000-0005-0000-0000-000048150000}"/>
    <cellStyle name="Comma 2 5 3 2 2 5 2" xfId="5446" xr:uid="{00000000-0005-0000-0000-000049150000}"/>
    <cellStyle name="Comma 2 5 3 2 2 6" xfId="5447" xr:uid="{00000000-0005-0000-0000-00004A150000}"/>
    <cellStyle name="Comma 2 5 3 2 3" xfId="5448" xr:uid="{00000000-0005-0000-0000-00004B150000}"/>
    <cellStyle name="Comma 2 5 3 2 3 2" xfId="5449" xr:uid="{00000000-0005-0000-0000-00004C150000}"/>
    <cellStyle name="Comma 2 5 3 2 3 2 2" xfId="5450" xr:uid="{00000000-0005-0000-0000-00004D150000}"/>
    <cellStyle name="Comma 2 5 3 2 3 2 2 2" xfId="5451" xr:uid="{00000000-0005-0000-0000-00004E150000}"/>
    <cellStyle name="Comma 2 5 3 2 3 2 3" xfId="5452" xr:uid="{00000000-0005-0000-0000-00004F150000}"/>
    <cellStyle name="Comma 2 5 3 2 3 3" xfId="5453" xr:uid="{00000000-0005-0000-0000-000050150000}"/>
    <cellStyle name="Comma 2 5 3 2 3 3 2" xfId="5454" xr:uid="{00000000-0005-0000-0000-000051150000}"/>
    <cellStyle name="Comma 2 5 3 2 3 4" xfId="5455" xr:uid="{00000000-0005-0000-0000-000052150000}"/>
    <cellStyle name="Comma 2 5 3 2 3 4 2" xfId="5456" xr:uid="{00000000-0005-0000-0000-000053150000}"/>
    <cellStyle name="Comma 2 5 3 2 3 5" xfId="5457" xr:uid="{00000000-0005-0000-0000-000054150000}"/>
    <cellStyle name="Comma 2 5 3 2 4" xfId="5458" xr:uid="{00000000-0005-0000-0000-000055150000}"/>
    <cellStyle name="Comma 2 5 3 2 4 2" xfId="5459" xr:uid="{00000000-0005-0000-0000-000056150000}"/>
    <cellStyle name="Comma 2 5 3 2 4 2 2" xfId="5460" xr:uid="{00000000-0005-0000-0000-000057150000}"/>
    <cellStyle name="Comma 2 5 3 2 4 3" xfId="5461" xr:uid="{00000000-0005-0000-0000-000058150000}"/>
    <cellStyle name="Comma 2 5 3 2 5" xfId="5462" xr:uid="{00000000-0005-0000-0000-000059150000}"/>
    <cellStyle name="Comma 2 5 3 2 5 2" xfId="5463" xr:uid="{00000000-0005-0000-0000-00005A150000}"/>
    <cellStyle name="Comma 2 5 3 2 6" xfId="5464" xr:uid="{00000000-0005-0000-0000-00005B150000}"/>
    <cellStyle name="Comma 2 5 3 2 6 2" xfId="5465" xr:uid="{00000000-0005-0000-0000-00005C150000}"/>
    <cellStyle name="Comma 2 5 3 2 7" xfId="5466" xr:uid="{00000000-0005-0000-0000-00005D150000}"/>
    <cellStyle name="Comma 2 5 3 3" xfId="5467" xr:uid="{00000000-0005-0000-0000-00005E150000}"/>
    <cellStyle name="Comma 2 5 3 3 2" xfId="5468" xr:uid="{00000000-0005-0000-0000-00005F150000}"/>
    <cellStyle name="Comma 2 5 3 3 2 2" xfId="5469" xr:uid="{00000000-0005-0000-0000-000060150000}"/>
    <cellStyle name="Comma 2 5 3 3 2 2 2" xfId="5470" xr:uid="{00000000-0005-0000-0000-000061150000}"/>
    <cellStyle name="Comma 2 5 3 3 2 2 2 2" xfId="5471" xr:uid="{00000000-0005-0000-0000-000062150000}"/>
    <cellStyle name="Comma 2 5 3 3 2 2 2 2 2" xfId="5472" xr:uid="{00000000-0005-0000-0000-000063150000}"/>
    <cellStyle name="Comma 2 5 3 3 2 2 2 3" xfId="5473" xr:uid="{00000000-0005-0000-0000-000064150000}"/>
    <cellStyle name="Comma 2 5 3 3 2 2 3" xfId="5474" xr:uid="{00000000-0005-0000-0000-000065150000}"/>
    <cellStyle name="Comma 2 5 3 3 2 2 3 2" xfId="5475" xr:uid="{00000000-0005-0000-0000-000066150000}"/>
    <cellStyle name="Comma 2 5 3 3 2 2 4" xfId="5476" xr:uid="{00000000-0005-0000-0000-000067150000}"/>
    <cellStyle name="Comma 2 5 3 3 2 2 4 2" xfId="5477" xr:uid="{00000000-0005-0000-0000-000068150000}"/>
    <cellStyle name="Comma 2 5 3 3 2 2 5" xfId="5478" xr:uid="{00000000-0005-0000-0000-000069150000}"/>
    <cellStyle name="Comma 2 5 3 3 2 3" xfId="5479" xr:uid="{00000000-0005-0000-0000-00006A150000}"/>
    <cellStyle name="Comma 2 5 3 3 2 3 2" xfId="5480" xr:uid="{00000000-0005-0000-0000-00006B150000}"/>
    <cellStyle name="Comma 2 5 3 3 2 3 2 2" xfId="5481" xr:uid="{00000000-0005-0000-0000-00006C150000}"/>
    <cellStyle name="Comma 2 5 3 3 2 3 3" xfId="5482" xr:uid="{00000000-0005-0000-0000-00006D150000}"/>
    <cellStyle name="Comma 2 5 3 3 2 4" xfId="5483" xr:uid="{00000000-0005-0000-0000-00006E150000}"/>
    <cellStyle name="Comma 2 5 3 3 2 4 2" xfId="5484" xr:uid="{00000000-0005-0000-0000-00006F150000}"/>
    <cellStyle name="Comma 2 5 3 3 2 5" xfId="5485" xr:uid="{00000000-0005-0000-0000-000070150000}"/>
    <cellStyle name="Comma 2 5 3 3 2 5 2" xfId="5486" xr:uid="{00000000-0005-0000-0000-000071150000}"/>
    <cellStyle name="Comma 2 5 3 3 2 6" xfId="5487" xr:uid="{00000000-0005-0000-0000-000072150000}"/>
    <cellStyle name="Comma 2 5 3 3 3" xfId="5488" xr:uid="{00000000-0005-0000-0000-000073150000}"/>
    <cellStyle name="Comma 2 5 3 3 3 2" xfId="5489" xr:uid="{00000000-0005-0000-0000-000074150000}"/>
    <cellStyle name="Comma 2 5 3 3 3 2 2" xfId="5490" xr:uid="{00000000-0005-0000-0000-000075150000}"/>
    <cellStyle name="Comma 2 5 3 3 3 2 2 2" xfId="5491" xr:uid="{00000000-0005-0000-0000-000076150000}"/>
    <cellStyle name="Comma 2 5 3 3 3 2 3" xfId="5492" xr:uid="{00000000-0005-0000-0000-000077150000}"/>
    <cellStyle name="Comma 2 5 3 3 3 3" xfId="5493" xr:uid="{00000000-0005-0000-0000-000078150000}"/>
    <cellStyle name="Comma 2 5 3 3 3 3 2" xfId="5494" xr:uid="{00000000-0005-0000-0000-000079150000}"/>
    <cellStyle name="Comma 2 5 3 3 3 4" xfId="5495" xr:uid="{00000000-0005-0000-0000-00007A150000}"/>
    <cellStyle name="Comma 2 5 3 3 3 4 2" xfId="5496" xr:uid="{00000000-0005-0000-0000-00007B150000}"/>
    <cellStyle name="Comma 2 5 3 3 3 5" xfId="5497" xr:uid="{00000000-0005-0000-0000-00007C150000}"/>
    <cellStyle name="Comma 2 5 3 3 4" xfId="5498" xr:uid="{00000000-0005-0000-0000-00007D150000}"/>
    <cellStyle name="Comma 2 5 3 3 4 2" xfId="5499" xr:uid="{00000000-0005-0000-0000-00007E150000}"/>
    <cellStyle name="Comma 2 5 3 3 4 2 2" xfId="5500" xr:uid="{00000000-0005-0000-0000-00007F150000}"/>
    <cellStyle name="Comma 2 5 3 3 4 3" xfId="5501" xr:uid="{00000000-0005-0000-0000-000080150000}"/>
    <cellStyle name="Comma 2 5 3 3 5" xfId="5502" xr:uid="{00000000-0005-0000-0000-000081150000}"/>
    <cellStyle name="Comma 2 5 3 3 5 2" xfId="5503" xr:uid="{00000000-0005-0000-0000-000082150000}"/>
    <cellStyle name="Comma 2 5 3 3 6" xfId="5504" xr:uid="{00000000-0005-0000-0000-000083150000}"/>
    <cellStyle name="Comma 2 5 3 3 6 2" xfId="5505" xr:uid="{00000000-0005-0000-0000-000084150000}"/>
    <cellStyle name="Comma 2 5 3 3 7" xfId="5506" xr:uid="{00000000-0005-0000-0000-000085150000}"/>
    <cellStyle name="Comma 2 5 3 4" xfId="5507" xr:uid="{00000000-0005-0000-0000-000086150000}"/>
    <cellStyle name="Comma 2 5 3 4 2" xfId="5508" xr:uid="{00000000-0005-0000-0000-000087150000}"/>
    <cellStyle name="Comma 2 5 3 4 2 2" xfId="5509" xr:uid="{00000000-0005-0000-0000-000088150000}"/>
    <cellStyle name="Comma 2 5 3 4 2 2 2" xfId="5510" xr:uid="{00000000-0005-0000-0000-000089150000}"/>
    <cellStyle name="Comma 2 5 3 4 2 2 2 2" xfId="5511" xr:uid="{00000000-0005-0000-0000-00008A150000}"/>
    <cellStyle name="Comma 2 5 3 4 2 2 3" xfId="5512" xr:uid="{00000000-0005-0000-0000-00008B150000}"/>
    <cellStyle name="Comma 2 5 3 4 2 3" xfId="5513" xr:uid="{00000000-0005-0000-0000-00008C150000}"/>
    <cellStyle name="Comma 2 5 3 4 2 3 2" xfId="5514" xr:uid="{00000000-0005-0000-0000-00008D150000}"/>
    <cellStyle name="Comma 2 5 3 4 2 4" xfId="5515" xr:uid="{00000000-0005-0000-0000-00008E150000}"/>
    <cellStyle name="Comma 2 5 3 4 2 4 2" xfId="5516" xr:uid="{00000000-0005-0000-0000-00008F150000}"/>
    <cellStyle name="Comma 2 5 3 4 2 5" xfId="5517" xr:uid="{00000000-0005-0000-0000-000090150000}"/>
    <cellStyle name="Comma 2 5 3 4 3" xfId="5518" xr:uid="{00000000-0005-0000-0000-000091150000}"/>
    <cellStyle name="Comma 2 5 3 4 3 2" xfId="5519" xr:uid="{00000000-0005-0000-0000-000092150000}"/>
    <cellStyle name="Comma 2 5 3 4 3 2 2" xfId="5520" xr:uid="{00000000-0005-0000-0000-000093150000}"/>
    <cellStyle name="Comma 2 5 3 4 3 3" xfId="5521" xr:uid="{00000000-0005-0000-0000-000094150000}"/>
    <cellStyle name="Comma 2 5 3 4 4" xfId="5522" xr:uid="{00000000-0005-0000-0000-000095150000}"/>
    <cellStyle name="Comma 2 5 3 4 4 2" xfId="5523" xr:uid="{00000000-0005-0000-0000-000096150000}"/>
    <cellStyle name="Comma 2 5 3 4 5" xfId="5524" xr:uid="{00000000-0005-0000-0000-000097150000}"/>
    <cellStyle name="Comma 2 5 3 4 5 2" xfId="5525" xr:uid="{00000000-0005-0000-0000-000098150000}"/>
    <cellStyle name="Comma 2 5 3 4 6" xfId="5526" xr:uid="{00000000-0005-0000-0000-000099150000}"/>
    <cellStyle name="Comma 2 5 3 5" xfId="5527" xr:uid="{00000000-0005-0000-0000-00009A150000}"/>
    <cellStyle name="Comma 2 5 3 5 2" xfId="5528" xr:uid="{00000000-0005-0000-0000-00009B150000}"/>
    <cellStyle name="Comma 2 5 3 5 2 2" xfId="5529" xr:uid="{00000000-0005-0000-0000-00009C150000}"/>
    <cellStyle name="Comma 2 5 3 5 2 2 2" xfId="5530" xr:uid="{00000000-0005-0000-0000-00009D150000}"/>
    <cellStyle name="Comma 2 5 3 5 2 3" xfId="5531" xr:uid="{00000000-0005-0000-0000-00009E150000}"/>
    <cellStyle name="Comma 2 5 3 5 3" xfId="5532" xr:uid="{00000000-0005-0000-0000-00009F150000}"/>
    <cellStyle name="Comma 2 5 3 5 3 2" xfId="5533" xr:uid="{00000000-0005-0000-0000-0000A0150000}"/>
    <cellStyle name="Comma 2 5 3 5 4" xfId="5534" xr:uid="{00000000-0005-0000-0000-0000A1150000}"/>
    <cellStyle name="Comma 2 5 3 5 4 2" xfId="5535" xr:uid="{00000000-0005-0000-0000-0000A2150000}"/>
    <cellStyle name="Comma 2 5 3 5 5" xfId="5536" xr:uid="{00000000-0005-0000-0000-0000A3150000}"/>
    <cellStyle name="Comma 2 5 3 6" xfId="5537" xr:uid="{00000000-0005-0000-0000-0000A4150000}"/>
    <cellStyle name="Comma 2 5 3 6 2" xfId="5538" xr:uid="{00000000-0005-0000-0000-0000A5150000}"/>
    <cellStyle name="Comma 2 5 3 6 2 2" xfId="5539" xr:uid="{00000000-0005-0000-0000-0000A6150000}"/>
    <cellStyle name="Comma 2 5 3 6 3" xfId="5540" xr:uid="{00000000-0005-0000-0000-0000A7150000}"/>
    <cellStyle name="Comma 2 5 3 7" xfId="5541" xr:uid="{00000000-0005-0000-0000-0000A8150000}"/>
    <cellStyle name="Comma 2 5 3 7 2" xfId="5542" xr:uid="{00000000-0005-0000-0000-0000A9150000}"/>
    <cellStyle name="Comma 2 5 3 8" xfId="5543" xr:uid="{00000000-0005-0000-0000-0000AA150000}"/>
    <cellStyle name="Comma 2 5 3 8 2" xfId="5544" xr:uid="{00000000-0005-0000-0000-0000AB150000}"/>
    <cellStyle name="Comma 2 5 3 9" xfId="5545" xr:uid="{00000000-0005-0000-0000-0000AC150000}"/>
    <cellStyle name="Comma 2 5 4" xfId="5546" xr:uid="{00000000-0005-0000-0000-0000AD150000}"/>
    <cellStyle name="Comma 2 5 4 2" xfId="5547" xr:uid="{00000000-0005-0000-0000-0000AE150000}"/>
    <cellStyle name="Comma 2 5 4 2 2" xfId="5548" xr:uid="{00000000-0005-0000-0000-0000AF150000}"/>
    <cellStyle name="Comma 2 5 4 2 2 2" xfId="5549" xr:uid="{00000000-0005-0000-0000-0000B0150000}"/>
    <cellStyle name="Comma 2 5 4 2 2 2 2" xfId="5550" xr:uid="{00000000-0005-0000-0000-0000B1150000}"/>
    <cellStyle name="Comma 2 5 4 2 2 2 2 2" xfId="5551" xr:uid="{00000000-0005-0000-0000-0000B2150000}"/>
    <cellStyle name="Comma 2 5 4 2 2 2 2 2 2" xfId="5552" xr:uid="{00000000-0005-0000-0000-0000B3150000}"/>
    <cellStyle name="Comma 2 5 4 2 2 2 2 3" xfId="5553" xr:uid="{00000000-0005-0000-0000-0000B4150000}"/>
    <cellStyle name="Comma 2 5 4 2 2 2 3" xfId="5554" xr:uid="{00000000-0005-0000-0000-0000B5150000}"/>
    <cellStyle name="Comma 2 5 4 2 2 2 3 2" xfId="5555" xr:uid="{00000000-0005-0000-0000-0000B6150000}"/>
    <cellStyle name="Comma 2 5 4 2 2 2 4" xfId="5556" xr:uid="{00000000-0005-0000-0000-0000B7150000}"/>
    <cellStyle name="Comma 2 5 4 2 2 2 4 2" xfId="5557" xr:uid="{00000000-0005-0000-0000-0000B8150000}"/>
    <cellStyle name="Comma 2 5 4 2 2 2 5" xfId="5558" xr:uid="{00000000-0005-0000-0000-0000B9150000}"/>
    <cellStyle name="Comma 2 5 4 2 2 3" xfId="5559" xr:uid="{00000000-0005-0000-0000-0000BA150000}"/>
    <cellStyle name="Comma 2 5 4 2 2 3 2" xfId="5560" xr:uid="{00000000-0005-0000-0000-0000BB150000}"/>
    <cellStyle name="Comma 2 5 4 2 2 3 2 2" xfId="5561" xr:uid="{00000000-0005-0000-0000-0000BC150000}"/>
    <cellStyle name="Comma 2 5 4 2 2 3 3" xfId="5562" xr:uid="{00000000-0005-0000-0000-0000BD150000}"/>
    <cellStyle name="Comma 2 5 4 2 2 4" xfId="5563" xr:uid="{00000000-0005-0000-0000-0000BE150000}"/>
    <cellStyle name="Comma 2 5 4 2 2 4 2" xfId="5564" xr:uid="{00000000-0005-0000-0000-0000BF150000}"/>
    <cellStyle name="Comma 2 5 4 2 2 5" xfId="5565" xr:uid="{00000000-0005-0000-0000-0000C0150000}"/>
    <cellStyle name="Comma 2 5 4 2 2 5 2" xfId="5566" xr:uid="{00000000-0005-0000-0000-0000C1150000}"/>
    <cellStyle name="Comma 2 5 4 2 2 6" xfId="5567" xr:uid="{00000000-0005-0000-0000-0000C2150000}"/>
    <cellStyle name="Comma 2 5 4 2 3" xfId="5568" xr:uid="{00000000-0005-0000-0000-0000C3150000}"/>
    <cellStyle name="Comma 2 5 4 2 3 2" xfId="5569" xr:uid="{00000000-0005-0000-0000-0000C4150000}"/>
    <cellStyle name="Comma 2 5 4 2 3 2 2" xfId="5570" xr:uid="{00000000-0005-0000-0000-0000C5150000}"/>
    <cellStyle name="Comma 2 5 4 2 3 2 2 2" xfId="5571" xr:uid="{00000000-0005-0000-0000-0000C6150000}"/>
    <cellStyle name="Comma 2 5 4 2 3 2 3" xfId="5572" xr:uid="{00000000-0005-0000-0000-0000C7150000}"/>
    <cellStyle name="Comma 2 5 4 2 3 3" xfId="5573" xr:uid="{00000000-0005-0000-0000-0000C8150000}"/>
    <cellStyle name="Comma 2 5 4 2 3 3 2" xfId="5574" xr:uid="{00000000-0005-0000-0000-0000C9150000}"/>
    <cellStyle name="Comma 2 5 4 2 3 4" xfId="5575" xr:uid="{00000000-0005-0000-0000-0000CA150000}"/>
    <cellStyle name="Comma 2 5 4 2 3 4 2" xfId="5576" xr:uid="{00000000-0005-0000-0000-0000CB150000}"/>
    <cellStyle name="Comma 2 5 4 2 3 5" xfId="5577" xr:uid="{00000000-0005-0000-0000-0000CC150000}"/>
    <cellStyle name="Comma 2 5 4 2 4" xfId="5578" xr:uid="{00000000-0005-0000-0000-0000CD150000}"/>
    <cellStyle name="Comma 2 5 4 2 4 2" xfId="5579" xr:uid="{00000000-0005-0000-0000-0000CE150000}"/>
    <cellStyle name="Comma 2 5 4 2 4 2 2" xfId="5580" xr:uid="{00000000-0005-0000-0000-0000CF150000}"/>
    <cellStyle name="Comma 2 5 4 2 4 3" xfId="5581" xr:uid="{00000000-0005-0000-0000-0000D0150000}"/>
    <cellStyle name="Comma 2 5 4 2 5" xfId="5582" xr:uid="{00000000-0005-0000-0000-0000D1150000}"/>
    <cellStyle name="Comma 2 5 4 2 5 2" xfId="5583" xr:uid="{00000000-0005-0000-0000-0000D2150000}"/>
    <cellStyle name="Comma 2 5 4 2 6" xfId="5584" xr:uid="{00000000-0005-0000-0000-0000D3150000}"/>
    <cellStyle name="Comma 2 5 4 2 6 2" xfId="5585" xr:uid="{00000000-0005-0000-0000-0000D4150000}"/>
    <cellStyle name="Comma 2 5 4 2 7" xfId="5586" xr:uid="{00000000-0005-0000-0000-0000D5150000}"/>
    <cellStyle name="Comma 2 5 4 3" xfId="5587" xr:uid="{00000000-0005-0000-0000-0000D6150000}"/>
    <cellStyle name="Comma 2 5 4 3 2" xfId="5588" xr:uid="{00000000-0005-0000-0000-0000D7150000}"/>
    <cellStyle name="Comma 2 5 4 3 2 2" xfId="5589" xr:uid="{00000000-0005-0000-0000-0000D8150000}"/>
    <cellStyle name="Comma 2 5 4 3 2 2 2" xfId="5590" xr:uid="{00000000-0005-0000-0000-0000D9150000}"/>
    <cellStyle name="Comma 2 5 4 3 2 2 2 2" xfId="5591" xr:uid="{00000000-0005-0000-0000-0000DA150000}"/>
    <cellStyle name="Comma 2 5 4 3 2 2 3" xfId="5592" xr:uid="{00000000-0005-0000-0000-0000DB150000}"/>
    <cellStyle name="Comma 2 5 4 3 2 3" xfId="5593" xr:uid="{00000000-0005-0000-0000-0000DC150000}"/>
    <cellStyle name="Comma 2 5 4 3 2 3 2" xfId="5594" xr:uid="{00000000-0005-0000-0000-0000DD150000}"/>
    <cellStyle name="Comma 2 5 4 3 2 4" xfId="5595" xr:uid="{00000000-0005-0000-0000-0000DE150000}"/>
    <cellStyle name="Comma 2 5 4 3 2 4 2" xfId="5596" xr:uid="{00000000-0005-0000-0000-0000DF150000}"/>
    <cellStyle name="Comma 2 5 4 3 2 5" xfId="5597" xr:uid="{00000000-0005-0000-0000-0000E0150000}"/>
    <cellStyle name="Comma 2 5 4 3 3" xfId="5598" xr:uid="{00000000-0005-0000-0000-0000E1150000}"/>
    <cellStyle name="Comma 2 5 4 3 3 2" xfId="5599" xr:uid="{00000000-0005-0000-0000-0000E2150000}"/>
    <cellStyle name="Comma 2 5 4 3 3 2 2" xfId="5600" xr:uid="{00000000-0005-0000-0000-0000E3150000}"/>
    <cellStyle name="Comma 2 5 4 3 3 3" xfId="5601" xr:uid="{00000000-0005-0000-0000-0000E4150000}"/>
    <cellStyle name="Comma 2 5 4 3 4" xfId="5602" xr:uid="{00000000-0005-0000-0000-0000E5150000}"/>
    <cellStyle name="Comma 2 5 4 3 4 2" xfId="5603" xr:uid="{00000000-0005-0000-0000-0000E6150000}"/>
    <cellStyle name="Comma 2 5 4 3 5" xfId="5604" xr:uid="{00000000-0005-0000-0000-0000E7150000}"/>
    <cellStyle name="Comma 2 5 4 3 5 2" xfId="5605" xr:uid="{00000000-0005-0000-0000-0000E8150000}"/>
    <cellStyle name="Comma 2 5 4 3 6" xfId="5606" xr:uid="{00000000-0005-0000-0000-0000E9150000}"/>
    <cellStyle name="Comma 2 5 4 4" xfId="5607" xr:uid="{00000000-0005-0000-0000-0000EA150000}"/>
    <cellStyle name="Comma 2 5 4 4 2" xfId="5608" xr:uid="{00000000-0005-0000-0000-0000EB150000}"/>
    <cellStyle name="Comma 2 5 4 4 2 2" xfId="5609" xr:uid="{00000000-0005-0000-0000-0000EC150000}"/>
    <cellStyle name="Comma 2 5 4 4 2 2 2" xfId="5610" xr:uid="{00000000-0005-0000-0000-0000ED150000}"/>
    <cellStyle name="Comma 2 5 4 4 2 3" xfId="5611" xr:uid="{00000000-0005-0000-0000-0000EE150000}"/>
    <cellStyle name="Comma 2 5 4 4 3" xfId="5612" xr:uid="{00000000-0005-0000-0000-0000EF150000}"/>
    <cellStyle name="Comma 2 5 4 4 3 2" xfId="5613" xr:uid="{00000000-0005-0000-0000-0000F0150000}"/>
    <cellStyle name="Comma 2 5 4 4 4" xfId="5614" xr:uid="{00000000-0005-0000-0000-0000F1150000}"/>
    <cellStyle name="Comma 2 5 4 4 4 2" xfId="5615" xr:uid="{00000000-0005-0000-0000-0000F2150000}"/>
    <cellStyle name="Comma 2 5 4 4 5" xfId="5616" xr:uid="{00000000-0005-0000-0000-0000F3150000}"/>
    <cellStyle name="Comma 2 5 4 5" xfId="5617" xr:uid="{00000000-0005-0000-0000-0000F4150000}"/>
    <cellStyle name="Comma 2 5 4 5 2" xfId="5618" xr:uid="{00000000-0005-0000-0000-0000F5150000}"/>
    <cellStyle name="Comma 2 5 4 5 2 2" xfId="5619" xr:uid="{00000000-0005-0000-0000-0000F6150000}"/>
    <cellStyle name="Comma 2 5 4 5 3" xfId="5620" xr:uid="{00000000-0005-0000-0000-0000F7150000}"/>
    <cellStyle name="Comma 2 5 4 6" xfId="5621" xr:uid="{00000000-0005-0000-0000-0000F8150000}"/>
    <cellStyle name="Comma 2 5 4 6 2" xfId="5622" xr:uid="{00000000-0005-0000-0000-0000F9150000}"/>
    <cellStyle name="Comma 2 5 4 7" xfId="5623" xr:uid="{00000000-0005-0000-0000-0000FA150000}"/>
    <cellStyle name="Comma 2 5 4 7 2" xfId="5624" xr:uid="{00000000-0005-0000-0000-0000FB150000}"/>
    <cellStyle name="Comma 2 5 4 8" xfId="5625" xr:uid="{00000000-0005-0000-0000-0000FC150000}"/>
    <cellStyle name="Comma 2 5 5" xfId="5626" xr:uid="{00000000-0005-0000-0000-0000FD150000}"/>
    <cellStyle name="Comma 2 5 5 2" xfId="5627" xr:uid="{00000000-0005-0000-0000-0000FE150000}"/>
    <cellStyle name="Comma 2 5 5 2 2" xfId="5628" xr:uid="{00000000-0005-0000-0000-0000FF150000}"/>
    <cellStyle name="Comma 2 5 5 2 2 2" xfId="5629" xr:uid="{00000000-0005-0000-0000-000000160000}"/>
    <cellStyle name="Comma 2 5 5 2 2 2 2" xfId="5630" xr:uid="{00000000-0005-0000-0000-000001160000}"/>
    <cellStyle name="Comma 2 5 5 2 2 2 2 2" xfId="5631" xr:uid="{00000000-0005-0000-0000-000002160000}"/>
    <cellStyle name="Comma 2 5 5 2 2 2 3" xfId="5632" xr:uid="{00000000-0005-0000-0000-000003160000}"/>
    <cellStyle name="Comma 2 5 5 2 2 3" xfId="5633" xr:uid="{00000000-0005-0000-0000-000004160000}"/>
    <cellStyle name="Comma 2 5 5 2 2 3 2" xfId="5634" xr:uid="{00000000-0005-0000-0000-000005160000}"/>
    <cellStyle name="Comma 2 5 5 2 2 4" xfId="5635" xr:uid="{00000000-0005-0000-0000-000006160000}"/>
    <cellStyle name="Comma 2 5 5 2 2 4 2" xfId="5636" xr:uid="{00000000-0005-0000-0000-000007160000}"/>
    <cellStyle name="Comma 2 5 5 2 2 5" xfId="5637" xr:uid="{00000000-0005-0000-0000-000008160000}"/>
    <cellStyle name="Comma 2 5 5 2 3" xfId="5638" xr:uid="{00000000-0005-0000-0000-000009160000}"/>
    <cellStyle name="Comma 2 5 5 2 3 2" xfId="5639" xr:uid="{00000000-0005-0000-0000-00000A160000}"/>
    <cellStyle name="Comma 2 5 5 2 3 2 2" xfId="5640" xr:uid="{00000000-0005-0000-0000-00000B160000}"/>
    <cellStyle name="Comma 2 5 5 2 3 3" xfId="5641" xr:uid="{00000000-0005-0000-0000-00000C160000}"/>
    <cellStyle name="Comma 2 5 5 2 4" xfId="5642" xr:uid="{00000000-0005-0000-0000-00000D160000}"/>
    <cellStyle name="Comma 2 5 5 2 4 2" xfId="5643" xr:uid="{00000000-0005-0000-0000-00000E160000}"/>
    <cellStyle name="Comma 2 5 5 2 5" xfId="5644" xr:uid="{00000000-0005-0000-0000-00000F160000}"/>
    <cellStyle name="Comma 2 5 5 2 5 2" xfId="5645" xr:uid="{00000000-0005-0000-0000-000010160000}"/>
    <cellStyle name="Comma 2 5 5 2 6" xfId="5646" xr:uid="{00000000-0005-0000-0000-000011160000}"/>
    <cellStyle name="Comma 2 5 5 3" xfId="5647" xr:uid="{00000000-0005-0000-0000-000012160000}"/>
    <cellStyle name="Comma 2 5 5 3 2" xfId="5648" xr:uid="{00000000-0005-0000-0000-000013160000}"/>
    <cellStyle name="Comma 2 5 5 3 2 2" xfId="5649" xr:uid="{00000000-0005-0000-0000-000014160000}"/>
    <cellStyle name="Comma 2 5 5 3 2 2 2" xfId="5650" xr:uid="{00000000-0005-0000-0000-000015160000}"/>
    <cellStyle name="Comma 2 5 5 3 2 3" xfId="5651" xr:uid="{00000000-0005-0000-0000-000016160000}"/>
    <cellStyle name="Comma 2 5 5 3 3" xfId="5652" xr:uid="{00000000-0005-0000-0000-000017160000}"/>
    <cellStyle name="Comma 2 5 5 3 3 2" xfId="5653" xr:uid="{00000000-0005-0000-0000-000018160000}"/>
    <cellStyle name="Comma 2 5 5 3 4" xfId="5654" xr:uid="{00000000-0005-0000-0000-000019160000}"/>
    <cellStyle name="Comma 2 5 5 3 4 2" xfId="5655" xr:uid="{00000000-0005-0000-0000-00001A160000}"/>
    <cellStyle name="Comma 2 5 5 3 5" xfId="5656" xr:uid="{00000000-0005-0000-0000-00001B160000}"/>
    <cellStyle name="Comma 2 5 5 4" xfId="5657" xr:uid="{00000000-0005-0000-0000-00001C160000}"/>
    <cellStyle name="Comma 2 5 5 4 2" xfId="5658" xr:uid="{00000000-0005-0000-0000-00001D160000}"/>
    <cellStyle name="Comma 2 5 5 4 2 2" xfId="5659" xr:uid="{00000000-0005-0000-0000-00001E160000}"/>
    <cellStyle name="Comma 2 5 5 4 3" xfId="5660" xr:uid="{00000000-0005-0000-0000-00001F160000}"/>
    <cellStyle name="Comma 2 5 5 5" xfId="5661" xr:uid="{00000000-0005-0000-0000-000020160000}"/>
    <cellStyle name="Comma 2 5 5 5 2" xfId="5662" xr:uid="{00000000-0005-0000-0000-000021160000}"/>
    <cellStyle name="Comma 2 5 5 6" xfId="5663" xr:uid="{00000000-0005-0000-0000-000022160000}"/>
    <cellStyle name="Comma 2 5 5 6 2" xfId="5664" xr:uid="{00000000-0005-0000-0000-000023160000}"/>
    <cellStyle name="Comma 2 5 5 7" xfId="5665" xr:uid="{00000000-0005-0000-0000-000024160000}"/>
    <cellStyle name="Comma 2 5 6" xfId="5666" xr:uid="{00000000-0005-0000-0000-000025160000}"/>
    <cellStyle name="Comma 2 5 6 2" xfId="5667" xr:uid="{00000000-0005-0000-0000-000026160000}"/>
    <cellStyle name="Comma 2 5 6 2 2" xfId="5668" xr:uid="{00000000-0005-0000-0000-000027160000}"/>
    <cellStyle name="Comma 2 5 6 2 2 2" xfId="5669" xr:uid="{00000000-0005-0000-0000-000028160000}"/>
    <cellStyle name="Comma 2 5 6 2 2 2 2" xfId="5670" xr:uid="{00000000-0005-0000-0000-000029160000}"/>
    <cellStyle name="Comma 2 5 6 2 2 2 2 2" xfId="5671" xr:uid="{00000000-0005-0000-0000-00002A160000}"/>
    <cellStyle name="Comma 2 5 6 2 2 2 3" xfId="5672" xr:uid="{00000000-0005-0000-0000-00002B160000}"/>
    <cellStyle name="Comma 2 5 6 2 2 3" xfId="5673" xr:uid="{00000000-0005-0000-0000-00002C160000}"/>
    <cellStyle name="Comma 2 5 6 2 2 3 2" xfId="5674" xr:uid="{00000000-0005-0000-0000-00002D160000}"/>
    <cellStyle name="Comma 2 5 6 2 2 4" xfId="5675" xr:uid="{00000000-0005-0000-0000-00002E160000}"/>
    <cellStyle name="Comma 2 5 6 2 2 4 2" xfId="5676" xr:uid="{00000000-0005-0000-0000-00002F160000}"/>
    <cellStyle name="Comma 2 5 6 2 2 5" xfId="5677" xr:uid="{00000000-0005-0000-0000-000030160000}"/>
    <cellStyle name="Comma 2 5 6 2 3" xfId="5678" xr:uid="{00000000-0005-0000-0000-000031160000}"/>
    <cellStyle name="Comma 2 5 6 2 3 2" xfId="5679" xr:uid="{00000000-0005-0000-0000-000032160000}"/>
    <cellStyle name="Comma 2 5 6 2 3 2 2" xfId="5680" xr:uid="{00000000-0005-0000-0000-000033160000}"/>
    <cellStyle name="Comma 2 5 6 2 3 3" xfId="5681" xr:uid="{00000000-0005-0000-0000-000034160000}"/>
    <cellStyle name="Comma 2 5 6 2 4" xfId="5682" xr:uid="{00000000-0005-0000-0000-000035160000}"/>
    <cellStyle name="Comma 2 5 6 2 4 2" xfId="5683" xr:uid="{00000000-0005-0000-0000-000036160000}"/>
    <cellStyle name="Comma 2 5 6 2 5" xfId="5684" xr:uid="{00000000-0005-0000-0000-000037160000}"/>
    <cellStyle name="Comma 2 5 6 2 5 2" xfId="5685" xr:uid="{00000000-0005-0000-0000-000038160000}"/>
    <cellStyle name="Comma 2 5 6 2 6" xfId="5686" xr:uid="{00000000-0005-0000-0000-000039160000}"/>
    <cellStyle name="Comma 2 5 6 3" xfId="5687" xr:uid="{00000000-0005-0000-0000-00003A160000}"/>
    <cellStyle name="Comma 2 5 6 3 2" xfId="5688" xr:uid="{00000000-0005-0000-0000-00003B160000}"/>
    <cellStyle name="Comma 2 5 6 3 2 2" xfId="5689" xr:uid="{00000000-0005-0000-0000-00003C160000}"/>
    <cellStyle name="Comma 2 5 6 3 2 2 2" xfId="5690" xr:uid="{00000000-0005-0000-0000-00003D160000}"/>
    <cellStyle name="Comma 2 5 6 3 2 3" xfId="5691" xr:uid="{00000000-0005-0000-0000-00003E160000}"/>
    <cellStyle name="Comma 2 5 6 3 3" xfId="5692" xr:uid="{00000000-0005-0000-0000-00003F160000}"/>
    <cellStyle name="Comma 2 5 6 3 3 2" xfId="5693" xr:uid="{00000000-0005-0000-0000-000040160000}"/>
    <cellStyle name="Comma 2 5 6 3 4" xfId="5694" xr:uid="{00000000-0005-0000-0000-000041160000}"/>
    <cellStyle name="Comma 2 5 6 3 4 2" xfId="5695" xr:uid="{00000000-0005-0000-0000-000042160000}"/>
    <cellStyle name="Comma 2 5 6 3 5" xfId="5696" xr:uid="{00000000-0005-0000-0000-000043160000}"/>
    <cellStyle name="Comma 2 5 6 4" xfId="5697" xr:uid="{00000000-0005-0000-0000-000044160000}"/>
    <cellStyle name="Comma 2 5 6 4 2" xfId="5698" xr:uid="{00000000-0005-0000-0000-000045160000}"/>
    <cellStyle name="Comma 2 5 6 4 2 2" xfId="5699" xr:uid="{00000000-0005-0000-0000-000046160000}"/>
    <cellStyle name="Comma 2 5 6 4 3" xfId="5700" xr:uid="{00000000-0005-0000-0000-000047160000}"/>
    <cellStyle name="Comma 2 5 6 5" xfId="5701" xr:uid="{00000000-0005-0000-0000-000048160000}"/>
    <cellStyle name="Comma 2 5 6 5 2" xfId="5702" xr:uid="{00000000-0005-0000-0000-000049160000}"/>
    <cellStyle name="Comma 2 5 6 6" xfId="5703" xr:uid="{00000000-0005-0000-0000-00004A160000}"/>
    <cellStyle name="Comma 2 5 6 6 2" xfId="5704" xr:uid="{00000000-0005-0000-0000-00004B160000}"/>
    <cellStyle name="Comma 2 5 6 7" xfId="5705" xr:uid="{00000000-0005-0000-0000-00004C160000}"/>
    <cellStyle name="Comma 2 5 7" xfId="5706" xr:uid="{00000000-0005-0000-0000-00004D160000}"/>
    <cellStyle name="Comma 2 5 7 2" xfId="5707" xr:uid="{00000000-0005-0000-0000-00004E160000}"/>
    <cellStyle name="Comma 2 5 7 2 2" xfId="5708" xr:uid="{00000000-0005-0000-0000-00004F160000}"/>
    <cellStyle name="Comma 2 5 7 2 2 2" xfId="5709" xr:uid="{00000000-0005-0000-0000-000050160000}"/>
    <cellStyle name="Comma 2 5 7 2 2 2 2" xfId="5710" xr:uid="{00000000-0005-0000-0000-000051160000}"/>
    <cellStyle name="Comma 2 5 7 2 2 3" xfId="5711" xr:uid="{00000000-0005-0000-0000-000052160000}"/>
    <cellStyle name="Comma 2 5 7 2 3" xfId="5712" xr:uid="{00000000-0005-0000-0000-000053160000}"/>
    <cellStyle name="Comma 2 5 7 2 3 2" xfId="5713" xr:uid="{00000000-0005-0000-0000-000054160000}"/>
    <cellStyle name="Comma 2 5 7 2 4" xfId="5714" xr:uid="{00000000-0005-0000-0000-000055160000}"/>
    <cellStyle name="Comma 2 5 7 2 4 2" xfId="5715" xr:uid="{00000000-0005-0000-0000-000056160000}"/>
    <cellStyle name="Comma 2 5 7 2 5" xfId="5716" xr:uid="{00000000-0005-0000-0000-000057160000}"/>
    <cellStyle name="Comma 2 5 7 3" xfId="5717" xr:uid="{00000000-0005-0000-0000-000058160000}"/>
    <cellStyle name="Comma 2 5 7 3 2" xfId="5718" xr:uid="{00000000-0005-0000-0000-000059160000}"/>
    <cellStyle name="Comma 2 5 7 3 2 2" xfId="5719" xr:uid="{00000000-0005-0000-0000-00005A160000}"/>
    <cellStyle name="Comma 2 5 7 3 3" xfId="5720" xr:uid="{00000000-0005-0000-0000-00005B160000}"/>
    <cellStyle name="Comma 2 5 7 4" xfId="5721" xr:uid="{00000000-0005-0000-0000-00005C160000}"/>
    <cellStyle name="Comma 2 5 7 4 2" xfId="5722" xr:uid="{00000000-0005-0000-0000-00005D160000}"/>
    <cellStyle name="Comma 2 5 7 5" xfId="5723" xr:uid="{00000000-0005-0000-0000-00005E160000}"/>
    <cellStyle name="Comma 2 5 7 5 2" xfId="5724" xr:uid="{00000000-0005-0000-0000-00005F160000}"/>
    <cellStyle name="Comma 2 5 7 6" xfId="5725" xr:uid="{00000000-0005-0000-0000-000060160000}"/>
    <cellStyle name="Comma 2 5 8" xfId="5726" xr:uid="{00000000-0005-0000-0000-000061160000}"/>
    <cellStyle name="Comma 2 5 8 2" xfId="5727" xr:uid="{00000000-0005-0000-0000-000062160000}"/>
    <cellStyle name="Comma 2 5 8 2 2" xfId="5728" xr:uid="{00000000-0005-0000-0000-000063160000}"/>
    <cellStyle name="Comma 2 5 8 2 2 2" xfId="5729" xr:uid="{00000000-0005-0000-0000-000064160000}"/>
    <cellStyle name="Comma 2 5 8 2 3" xfId="5730" xr:uid="{00000000-0005-0000-0000-000065160000}"/>
    <cellStyle name="Comma 2 5 8 3" xfId="5731" xr:uid="{00000000-0005-0000-0000-000066160000}"/>
    <cellStyle name="Comma 2 5 8 3 2" xfId="5732" xr:uid="{00000000-0005-0000-0000-000067160000}"/>
    <cellStyle name="Comma 2 5 8 4" xfId="5733" xr:uid="{00000000-0005-0000-0000-000068160000}"/>
    <cellStyle name="Comma 2 5 8 4 2" xfId="5734" xr:uid="{00000000-0005-0000-0000-000069160000}"/>
    <cellStyle name="Comma 2 5 8 5" xfId="5735" xr:uid="{00000000-0005-0000-0000-00006A160000}"/>
    <cellStyle name="Comma 2 5 9" xfId="5736" xr:uid="{00000000-0005-0000-0000-00006B160000}"/>
    <cellStyle name="Comma 2 5 9 2" xfId="5737" xr:uid="{00000000-0005-0000-0000-00006C160000}"/>
    <cellStyle name="Comma 2 5 9 2 2" xfId="5738" xr:uid="{00000000-0005-0000-0000-00006D160000}"/>
    <cellStyle name="Comma 2 5 9 3" xfId="5739" xr:uid="{00000000-0005-0000-0000-00006E160000}"/>
    <cellStyle name="Comma 2 6" xfId="5740" xr:uid="{00000000-0005-0000-0000-00006F160000}"/>
    <cellStyle name="Comma 2 6 10" xfId="5741" xr:uid="{00000000-0005-0000-0000-000070160000}"/>
    <cellStyle name="Comma 2 6 10 2" xfId="5742" xr:uid="{00000000-0005-0000-0000-000071160000}"/>
    <cellStyle name="Comma 2 6 11" xfId="5743" xr:uid="{00000000-0005-0000-0000-000072160000}"/>
    <cellStyle name="Comma 2 6 11 2" xfId="5744" xr:uid="{00000000-0005-0000-0000-000073160000}"/>
    <cellStyle name="Comma 2 6 12" xfId="5745" xr:uid="{00000000-0005-0000-0000-000074160000}"/>
    <cellStyle name="Comma 2 6 2" xfId="5746" xr:uid="{00000000-0005-0000-0000-000075160000}"/>
    <cellStyle name="Comma 2 6 2 2" xfId="5747" xr:uid="{00000000-0005-0000-0000-000076160000}"/>
    <cellStyle name="Comma 2 6 2 2 2" xfId="5748" xr:uid="{00000000-0005-0000-0000-000077160000}"/>
    <cellStyle name="Comma 2 6 2 2 2 2" xfId="5749" xr:uid="{00000000-0005-0000-0000-000078160000}"/>
    <cellStyle name="Comma 2 6 2 2 2 2 2" xfId="5750" xr:uid="{00000000-0005-0000-0000-000079160000}"/>
    <cellStyle name="Comma 2 6 2 2 2 2 2 2" xfId="5751" xr:uid="{00000000-0005-0000-0000-00007A160000}"/>
    <cellStyle name="Comma 2 6 2 2 2 2 2 2 2" xfId="5752" xr:uid="{00000000-0005-0000-0000-00007B160000}"/>
    <cellStyle name="Comma 2 6 2 2 2 2 2 3" xfId="5753" xr:uid="{00000000-0005-0000-0000-00007C160000}"/>
    <cellStyle name="Comma 2 6 2 2 2 2 3" xfId="5754" xr:uid="{00000000-0005-0000-0000-00007D160000}"/>
    <cellStyle name="Comma 2 6 2 2 2 2 3 2" xfId="5755" xr:uid="{00000000-0005-0000-0000-00007E160000}"/>
    <cellStyle name="Comma 2 6 2 2 2 2 4" xfId="5756" xr:uid="{00000000-0005-0000-0000-00007F160000}"/>
    <cellStyle name="Comma 2 6 2 2 2 2 4 2" xfId="5757" xr:uid="{00000000-0005-0000-0000-000080160000}"/>
    <cellStyle name="Comma 2 6 2 2 2 2 5" xfId="5758" xr:uid="{00000000-0005-0000-0000-000081160000}"/>
    <cellStyle name="Comma 2 6 2 2 2 3" xfId="5759" xr:uid="{00000000-0005-0000-0000-000082160000}"/>
    <cellStyle name="Comma 2 6 2 2 2 3 2" xfId="5760" xr:uid="{00000000-0005-0000-0000-000083160000}"/>
    <cellStyle name="Comma 2 6 2 2 2 3 2 2" xfId="5761" xr:uid="{00000000-0005-0000-0000-000084160000}"/>
    <cellStyle name="Comma 2 6 2 2 2 3 3" xfId="5762" xr:uid="{00000000-0005-0000-0000-000085160000}"/>
    <cellStyle name="Comma 2 6 2 2 2 4" xfId="5763" xr:uid="{00000000-0005-0000-0000-000086160000}"/>
    <cellStyle name="Comma 2 6 2 2 2 4 2" xfId="5764" xr:uid="{00000000-0005-0000-0000-000087160000}"/>
    <cellStyle name="Comma 2 6 2 2 2 5" xfId="5765" xr:uid="{00000000-0005-0000-0000-000088160000}"/>
    <cellStyle name="Comma 2 6 2 2 2 5 2" xfId="5766" xr:uid="{00000000-0005-0000-0000-000089160000}"/>
    <cellStyle name="Comma 2 6 2 2 2 6" xfId="5767" xr:uid="{00000000-0005-0000-0000-00008A160000}"/>
    <cellStyle name="Comma 2 6 2 2 3" xfId="5768" xr:uid="{00000000-0005-0000-0000-00008B160000}"/>
    <cellStyle name="Comma 2 6 2 2 3 2" xfId="5769" xr:uid="{00000000-0005-0000-0000-00008C160000}"/>
    <cellStyle name="Comma 2 6 2 2 3 2 2" xfId="5770" xr:uid="{00000000-0005-0000-0000-00008D160000}"/>
    <cellStyle name="Comma 2 6 2 2 3 2 2 2" xfId="5771" xr:uid="{00000000-0005-0000-0000-00008E160000}"/>
    <cellStyle name="Comma 2 6 2 2 3 2 3" xfId="5772" xr:uid="{00000000-0005-0000-0000-00008F160000}"/>
    <cellStyle name="Comma 2 6 2 2 3 3" xfId="5773" xr:uid="{00000000-0005-0000-0000-000090160000}"/>
    <cellStyle name="Comma 2 6 2 2 3 3 2" xfId="5774" xr:uid="{00000000-0005-0000-0000-000091160000}"/>
    <cellStyle name="Comma 2 6 2 2 3 4" xfId="5775" xr:uid="{00000000-0005-0000-0000-000092160000}"/>
    <cellStyle name="Comma 2 6 2 2 3 4 2" xfId="5776" xr:uid="{00000000-0005-0000-0000-000093160000}"/>
    <cellStyle name="Comma 2 6 2 2 3 5" xfId="5777" xr:uid="{00000000-0005-0000-0000-000094160000}"/>
    <cellStyle name="Comma 2 6 2 2 4" xfId="5778" xr:uid="{00000000-0005-0000-0000-000095160000}"/>
    <cellStyle name="Comma 2 6 2 2 4 2" xfId="5779" xr:uid="{00000000-0005-0000-0000-000096160000}"/>
    <cellStyle name="Comma 2 6 2 2 4 2 2" xfId="5780" xr:uid="{00000000-0005-0000-0000-000097160000}"/>
    <cellStyle name="Comma 2 6 2 2 4 3" xfId="5781" xr:uid="{00000000-0005-0000-0000-000098160000}"/>
    <cellStyle name="Comma 2 6 2 2 5" xfId="5782" xr:uid="{00000000-0005-0000-0000-000099160000}"/>
    <cellStyle name="Comma 2 6 2 2 5 2" xfId="5783" xr:uid="{00000000-0005-0000-0000-00009A160000}"/>
    <cellStyle name="Comma 2 6 2 2 6" xfId="5784" xr:uid="{00000000-0005-0000-0000-00009B160000}"/>
    <cellStyle name="Comma 2 6 2 2 6 2" xfId="5785" xr:uid="{00000000-0005-0000-0000-00009C160000}"/>
    <cellStyle name="Comma 2 6 2 2 7" xfId="5786" xr:uid="{00000000-0005-0000-0000-00009D160000}"/>
    <cellStyle name="Comma 2 6 2 3" xfId="5787" xr:uid="{00000000-0005-0000-0000-00009E160000}"/>
    <cellStyle name="Comma 2 6 2 3 2" xfId="5788" xr:uid="{00000000-0005-0000-0000-00009F160000}"/>
    <cellStyle name="Comma 2 6 2 3 2 2" xfId="5789" xr:uid="{00000000-0005-0000-0000-0000A0160000}"/>
    <cellStyle name="Comma 2 6 2 3 2 2 2" xfId="5790" xr:uid="{00000000-0005-0000-0000-0000A1160000}"/>
    <cellStyle name="Comma 2 6 2 3 2 2 2 2" xfId="5791" xr:uid="{00000000-0005-0000-0000-0000A2160000}"/>
    <cellStyle name="Comma 2 6 2 3 2 2 2 2 2" xfId="5792" xr:uid="{00000000-0005-0000-0000-0000A3160000}"/>
    <cellStyle name="Comma 2 6 2 3 2 2 2 3" xfId="5793" xr:uid="{00000000-0005-0000-0000-0000A4160000}"/>
    <cellStyle name="Comma 2 6 2 3 2 2 3" xfId="5794" xr:uid="{00000000-0005-0000-0000-0000A5160000}"/>
    <cellStyle name="Comma 2 6 2 3 2 2 3 2" xfId="5795" xr:uid="{00000000-0005-0000-0000-0000A6160000}"/>
    <cellStyle name="Comma 2 6 2 3 2 2 4" xfId="5796" xr:uid="{00000000-0005-0000-0000-0000A7160000}"/>
    <cellStyle name="Comma 2 6 2 3 2 2 4 2" xfId="5797" xr:uid="{00000000-0005-0000-0000-0000A8160000}"/>
    <cellStyle name="Comma 2 6 2 3 2 2 5" xfId="5798" xr:uid="{00000000-0005-0000-0000-0000A9160000}"/>
    <cellStyle name="Comma 2 6 2 3 2 3" xfId="5799" xr:uid="{00000000-0005-0000-0000-0000AA160000}"/>
    <cellStyle name="Comma 2 6 2 3 2 3 2" xfId="5800" xr:uid="{00000000-0005-0000-0000-0000AB160000}"/>
    <cellStyle name="Comma 2 6 2 3 2 3 2 2" xfId="5801" xr:uid="{00000000-0005-0000-0000-0000AC160000}"/>
    <cellStyle name="Comma 2 6 2 3 2 3 3" xfId="5802" xr:uid="{00000000-0005-0000-0000-0000AD160000}"/>
    <cellStyle name="Comma 2 6 2 3 2 4" xfId="5803" xr:uid="{00000000-0005-0000-0000-0000AE160000}"/>
    <cellStyle name="Comma 2 6 2 3 2 4 2" xfId="5804" xr:uid="{00000000-0005-0000-0000-0000AF160000}"/>
    <cellStyle name="Comma 2 6 2 3 2 5" xfId="5805" xr:uid="{00000000-0005-0000-0000-0000B0160000}"/>
    <cellStyle name="Comma 2 6 2 3 2 5 2" xfId="5806" xr:uid="{00000000-0005-0000-0000-0000B1160000}"/>
    <cellStyle name="Comma 2 6 2 3 2 6" xfId="5807" xr:uid="{00000000-0005-0000-0000-0000B2160000}"/>
    <cellStyle name="Comma 2 6 2 3 3" xfId="5808" xr:uid="{00000000-0005-0000-0000-0000B3160000}"/>
    <cellStyle name="Comma 2 6 2 3 3 2" xfId="5809" xr:uid="{00000000-0005-0000-0000-0000B4160000}"/>
    <cellStyle name="Comma 2 6 2 3 3 2 2" xfId="5810" xr:uid="{00000000-0005-0000-0000-0000B5160000}"/>
    <cellStyle name="Comma 2 6 2 3 3 2 2 2" xfId="5811" xr:uid="{00000000-0005-0000-0000-0000B6160000}"/>
    <cellStyle name="Comma 2 6 2 3 3 2 3" xfId="5812" xr:uid="{00000000-0005-0000-0000-0000B7160000}"/>
    <cellStyle name="Comma 2 6 2 3 3 3" xfId="5813" xr:uid="{00000000-0005-0000-0000-0000B8160000}"/>
    <cellStyle name="Comma 2 6 2 3 3 3 2" xfId="5814" xr:uid="{00000000-0005-0000-0000-0000B9160000}"/>
    <cellStyle name="Comma 2 6 2 3 3 4" xfId="5815" xr:uid="{00000000-0005-0000-0000-0000BA160000}"/>
    <cellStyle name="Comma 2 6 2 3 3 4 2" xfId="5816" xr:uid="{00000000-0005-0000-0000-0000BB160000}"/>
    <cellStyle name="Comma 2 6 2 3 3 5" xfId="5817" xr:uid="{00000000-0005-0000-0000-0000BC160000}"/>
    <cellStyle name="Comma 2 6 2 3 4" xfId="5818" xr:uid="{00000000-0005-0000-0000-0000BD160000}"/>
    <cellStyle name="Comma 2 6 2 3 4 2" xfId="5819" xr:uid="{00000000-0005-0000-0000-0000BE160000}"/>
    <cellStyle name="Comma 2 6 2 3 4 2 2" xfId="5820" xr:uid="{00000000-0005-0000-0000-0000BF160000}"/>
    <cellStyle name="Comma 2 6 2 3 4 3" xfId="5821" xr:uid="{00000000-0005-0000-0000-0000C0160000}"/>
    <cellStyle name="Comma 2 6 2 3 5" xfId="5822" xr:uid="{00000000-0005-0000-0000-0000C1160000}"/>
    <cellStyle name="Comma 2 6 2 3 5 2" xfId="5823" xr:uid="{00000000-0005-0000-0000-0000C2160000}"/>
    <cellStyle name="Comma 2 6 2 3 6" xfId="5824" xr:uid="{00000000-0005-0000-0000-0000C3160000}"/>
    <cellStyle name="Comma 2 6 2 3 6 2" xfId="5825" xr:uid="{00000000-0005-0000-0000-0000C4160000}"/>
    <cellStyle name="Comma 2 6 2 3 7" xfId="5826" xr:uid="{00000000-0005-0000-0000-0000C5160000}"/>
    <cellStyle name="Comma 2 6 2 4" xfId="5827" xr:uid="{00000000-0005-0000-0000-0000C6160000}"/>
    <cellStyle name="Comma 2 6 2 4 2" xfId="5828" xr:uid="{00000000-0005-0000-0000-0000C7160000}"/>
    <cellStyle name="Comma 2 6 2 4 2 2" xfId="5829" xr:uid="{00000000-0005-0000-0000-0000C8160000}"/>
    <cellStyle name="Comma 2 6 2 4 2 2 2" xfId="5830" xr:uid="{00000000-0005-0000-0000-0000C9160000}"/>
    <cellStyle name="Comma 2 6 2 4 2 2 2 2" xfId="5831" xr:uid="{00000000-0005-0000-0000-0000CA160000}"/>
    <cellStyle name="Comma 2 6 2 4 2 2 3" xfId="5832" xr:uid="{00000000-0005-0000-0000-0000CB160000}"/>
    <cellStyle name="Comma 2 6 2 4 2 3" xfId="5833" xr:uid="{00000000-0005-0000-0000-0000CC160000}"/>
    <cellStyle name="Comma 2 6 2 4 2 3 2" xfId="5834" xr:uid="{00000000-0005-0000-0000-0000CD160000}"/>
    <cellStyle name="Comma 2 6 2 4 2 4" xfId="5835" xr:uid="{00000000-0005-0000-0000-0000CE160000}"/>
    <cellStyle name="Comma 2 6 2 4 2 4 2" xfId="5836" xr:uid="{00000000-0005-0000-0000-0000CF160000}"/>
    <cellStyle name="Comma 2 6 2 4 2 5" xfId="5837" xr:uid="{00000000-0005-0000-0000-0000D0160000}"/>
    <cellStyle name="Comma 2 6 2 4 3" xfId="5838" xr:uid="{00000000-0005-0000-0000-0000D1160000}"/>
    <cellStyle name="Comma 2 6 2 4 3 2" xfId="5839" xr:uid="{00000000-0005-0000-0000-0000D2160000}"/>
    <cellStyle name="Comma 2 6 2 4 3 2 2" xfId="5840" xr:uid="{00000000-0005-0000-0000-0000D3160000}"/>
    <cellStyle name="Comma 2 6 2 4 3 3" xfId="5841" xr:uid="{00000000-0005-0000-0000-0000D4160000}"/>
    <cellStyle name="Comma 2 6 2 4 4" xfId="5842" xr:uid="{00000000-0005-0000-0000-0000D5160000}"/>
    <cellStyle name="Comma 2 6 2 4 4 2" xfId="5843" xr:uid="{00000000-0005-0000-0000-0000D6160000}"/>
    <cellStyle name="Comma 2 6 2 4 5" xfId="5844" xr:uid="{00000000-0005-0000-0000-0000D7160000}"/>
    <cellStyle name="Comma 2 6 2 4 5 2" xfId="5845" xr:uid="{00000000-0005-0000-0000-0000D8160000}"/>
    <cellStyle name="Comma 2 6 2 4 6" xfId="5846" xr:uid="{00000000-0005-0000-0000-0000D9160000}"/>
    <cellStyle name="Comma 2 6 2 5" xfId="5847" xr:uid="{00000000-0005-0000-0000-0000DA160000}"/>
    <cellStyle name="Comma 2 6 2 5 2" xfId="5848" xr:uid="{00000000-0005-0000-0000-0000DB160000}"/>
    <cellStyle name="Comma 2 6 2 5 2 2" xfId="5849" xr:uid="{00000000-0005-0000-0000-0000DC160000}"/>
    <cellStyle name="Comma 2 6 2 5 2 2 2" xfId="5850" xr:uid="{00000000-0005-0000-0000-0000DD160000}"/>
    <cellStyle name="Comma 2 6 2 5 2 3" xfId="5851" xr:uid="{00000000-0005-0000-0000-0000DE160000}"/>
    <cellStyle name="Comma 2 6 2 5 3" xfId="5852" xr:uid="{00000000-0005-0000-0000-0000DF160000}"/>
    <cellStyle name="Comma 2 6 2 5 3 2" xfId="5853" xr:uid="{00000000-0005-0000-0000-0000E0160000}"/>
    <cellStyle name="Comma 2 6 2 5 4" xfId="5854" xr:uid="{00000000-0005-0000-0000-0000E1160000}"/>
    <cellStyle name="Comma 2 6 2 5 4 2" xfId="5855" xr:uid="{00000000-0005-0000-0000-0000E2160000}"/>
    <cellStyle name="Comma 2 6 2 5 5" xfId="5856" xr:uid="{00000000-0005-0000-0000-0000E3160000}"/>
    <cellStyle name="Comma 2 6 2 6" xfId="5857" xr:uid="{00000000-0005-0000-0000-0000E4160000}"/>
    <cellStyle name="Comma 2 6 2 6 2" xfId="5858" xr:uid="{00000000-0005-0000-0000-0000E5160000}"/>
    <cellStyle name="Comma 2 6 2 6 2 2" xfId="5859" xr:uid="{00000000-0005-0000-0000-0000E6160000}"/>
    <cellStyle name="Comma 2 6 2 6 3" xfId="5860" xr:uid="{00000000-0005-0000-0000-0000E7160000}"/>
    <cellStyle name="Comma 2 6 2 7" xfId="5861" xr:uid="{00000000-0005-0000-0000-0000E8160000}"/>
    <cellStyle name="Comma 2 6 2 7 2" xfId="5862" xr:uid="{00000000-0005-0000-0000-0000E9160000}"/>
    <cellStyle name="Comma 2 6 2 8" xfId="5863" xr:uid="{00000000-0005-0000-0000-0000EA160000}"/>
    <cellStyle name="Comma 2 6 2 8 2" xfId="5864" xr:uid="{00000000-0005-0000-0000-0000EB160000}"/>
    <cellStyle name="Comma 2 6 2 9" xfId="5865" xr:uid="{00000000-0005-0000-0000-0000EC160000}"/>
    <cellStyle name="Comma 2 6 3" xfId="5866" xr:uid="{00000000-0005-0000-0000-0000ED160000}"/>
    <cellStyle name="Comma 2 6 3 2" xfId="5867" xr:uid="{00000000-0005-0000-0000-0000EE160000}"/>
    <cellStyle name="Comma 2 6 3 2 2" xfId="5868" xr:uid="{00000000-0005-0000-0000-0000EF160000}"/>
    <cellStyle name="Comma 2 6 3 2 2 2" xfId="5869" xr:uid="{00000000-0005-0000-0000-0000F0160000}"/>
    <cellStyle name="Comma 2 6 3 2 2 2 2" xfId="5870" xr:uid="{00000000-0005-0000-0000-0000F1160000}"/>
    <cellStyle name="Comma 2 6 3 2 2 2 2 2" xfId="5871" xr:uid="{00000000-0005-0000-0000-0000F2160000}"/>
    <cellStyle name="Comma 2 6 3 2 2 2 2 2 2" xfId="5872" xr:uid="{00000000-0005-0000-0000-0000F3160000}"/>
    <cellStyle name="Comma 2 6 3 2 2 2 2 3" xfId="5873" xr:uid="{00000000-0005-0000-0000-0000F4160000}"/>
    <cellStyle name="Comma 2 6 3 2 2 2 3" xfId="5874" xr:uid="{00000000-0005-0000-0000-0000F5160000}"/>
    <cellStyle name="Comma 2 6 3 2 2 2 3 2" xfId="5875" xr:uid="{00000000-0005-0000-0000-0000F6160000}"/>
    <cellStyle name="Comma 2 6 3 2 2 2 4" xfId="5876" xr:uid="{00000000-0005-0000-0000-0000F7160000}"/>
    <cellStyle name="Comma 2 6 3 2 2 2 4 2" xfId="5877" xr:uid="{00000000-0005-0000-0000-0000F8160000}"/>
    <cellStyle name="Comma 2 6 3 2 2 2 5" xfId="5878" xr:uid="{00000000-0005-0000-0000-0000F9160000}"/>
    <cellStyle name="Comma 2 6 3 2 2 3" xfId="5879" xr:uid="{00000000-0005-0000-0000-0000FA160000}"/>
    <cellStyle name="Comma 2 6 3 2 2 3 2" xfId="5880" xr:uid="{00000000-0005-0000-0000-0000FB160000}"/>
    <cellStyle name="Comma 2 6 3 2 2 3 2 2" xfId="5881" xr:uid="{00000000-0005-0000-0000-0000FC160000}"/>
    <cellStyle name="Comma 2 6 3 2 2 3 3" xfId="5882" xr:uid="{00000000-0005-0000-0000-0000FD160000}"/>
    <cellStyle name="Comma 2 6 3 2 2 4" xfId="5883" xr:uid="{00000000-0005-0000-0000-0000FE160000}"/>
    <cellStyle name="Comma 2 6 3 2 2 4 2" xfId="5884" xr:uid="{00000000-0005-0000-0000-0000FF160000}"/>
    <cellStyle name="Comma 2 6 3 2 2 5" xfId="5885" xr:uid="{00000000-0005-0000-0000-000000170000}"/>
    <cellStyle name="Comma 2 6 3 2 2 5 2" xfId="5886" xr:uid="{00000000-0005-0000-0000-000001170000}"/>
    <cellStyle name="Comma 2 6 3 2 2 6" xfId="5887" xr:uid="{00000000-0005-0000-0000-000002170000}"/>
    <cellStyle name="Comma 2 6 3 2 3" xfId="5888" xr:uid="{00000000-0005-0000-0000-000003170000}"/>
    <cellStyle name="Comma 2 6 3 2 3 2" xfId="5889" xr:uid="{00000000-0005-0000-0000-000004170000}"/>
    <cellStyle name="Comma 2 6 3 2 3 2 2" xfId="5890" xr:uid="{00000000-0005-0000-0000-000005170000}"/>
    <cellStyle name="Comma 2 6 3 2 3 2 2 2" xfId="5891" xr:uid="{00000000-0005-0000-0000-000006170000}"/>
    <cellStyle name="Comma 2 6 3 2 3 2 3" xfId="5892" xr:uid="{00000000-0005-0000-0000-000007170000}"/>
    <cellStyle name="Comma 2 6 3 2 3 3" xfId="5893" xr:uid="{00000000-0005-0000-0000-000008170000}"/>
    <cellStyle name="Comma 2 6 3 2 3 3 2" xfId="5894" xr:uid="{00000000-0005-0000-0000-000009170000}"/>
    <cellStyle name="Comma 2 6 3 2 3 4" xfId="5895" xr:uid="{00000000-0005-0000-0000-00000A170000}"/>
    <cellStyle name="Comma 2 6 3 2 3 4 2" xfId="5896" xr:uid="{00000000-0005-0000-0000-00000B170000}"/>
    <cellStyle name="Comma 2 6 3 2 3 5" xfId="5897" xr:uid="{00000000-0005-0000-0000-00000C170000}"/>
    <cellStyle name="Comma 2 6 3 2 4" xfId="5898" xr:uid="{00000000-0005-0000-0000-00000D170000}"/>
    <cellStyle name="Comma 2 6 3 2 4 2" xfId="5899" xr:uid="{00000000-0005-0000-0000-00000E170000}"/>
    <cellStyle name="Comma 2 6 3 2 4 2 2" xfId="5900" xr:uid="{00000000-0005-0000-0000-00000F170000}"/>
    <cellStyle name="Comma 2 6 3 2 4 3" xfId="5901" xr:uid="{00000000-0005-0000-0000-000010170000}"/>
    <cellStyle name="Comma 2 6 3 2 5" xfId="5902" xr:uid="{00000000-0005-0000-0000-000011170000}"/>
    <cellStyle name="Comma 2 6 3 2 5 2" xfId="5903" xr:uid="{00000000-0005-0000-0000-000012170000}"/>
    <cellStyle name="Comma 2 6 3 2 6" xfId="5904" xr:uid="{00000000-0005-0000-0000-000013170000}"/>
    <cellStyle name="Comma 2 6 3 2 6 2" xfId="5905" xr:uid="{00000000-0005-0000-0000-000014170000}"/>
    <cellStyle name="Comma 2 6 3 2 7" xfId="5906" xr:uid="{00000000-0005-0000-0000-000015170000}"/>
    <cellStyle name="Comma 2 6 3 3" xfId="5907" xr:uid="{00000000-0005-0000-0000-000016170000}"/>
    <cellStyle name="Comma 2 6 3 3 2" xfId="5908" xr:uid="{00000000-0005-0000-0000-000017170000}"/>
    <cellStyle name="Comma 2 6 3 3 2 2" xfId="5909" xr:uid="{00000000-0005-0000-0000-000018170000}"/>
    <cellStyle name="Comma 2 6 3 3 2 2 2" xfId="5910" xr:uid="{00000000-0005-0000-0000-000019170000}"/>
    <cellStyle name="Comma 2 6 3 3 2 2 2 2" xfId="5911" xr:uid="{00000000-0005-0000-0000-00001A170000}"/>
    <cellStyle name="Comma 2 6 3 3 2 2 2 2 2" xfId="5912" xr:uid="{00000000-0005-0000-0000-00001B170000}"/>
    <cellStyle name="Comma 2 6 3 3 2 2 2 3" xfId="5913" xr:uid="{00000000-0005-0000-0000-00001C170000}"/>
    <cellStyle name="Comma 2 6 3 3 2 2 3" xfId="5914" xr:uid="{00000000-0005-0000-0000-00001D170000}"/>
    <cellStyle name="Comma 2 6 3 3 2 2 3 2" xfId="5915" xr:uid="{00000000-0005-0000-0000-00001E170000}"/>
    <cellStyle name="Comma 2 6 3 3 2 2 4" xfId="5916" xr:uid="{00000000-0005-0000-0000-00001F170000}"/>
    <cellStyle name="Comma 2 6 3 3 2 2 4 2" xfId="5917" xr:uid="{00000000-0005-0000-0000-000020170000}"/>
    <cellStyle name="Comma 2 6 3 3 2 2 5" xfId="5918" xr:uid="{00000000-0005-0000-0000-000021170000}"/>
    <cellStyle name="Comma 2 6 3 3 2 3" xfId="5919" xr:uid="{00000000-0005-0000-0000-000022170000}"/>
    <cellStyle name="Comma 2 6 3 3 2 3 2" xfId="5920" xr:uid="{00000000-0005-0000-0000-000023170000}"/>
    <cellStyle name="Comma 2 6 3 3 2 3 2 2" xfId="5921" xr:uid="{00000000-0005-0000-0000-000024170000}"/>
    <cellStyle name="Comma 2 6 3 3 2 3 3" xfId="5922" xr:uid="{00000000-0005-0000-0000-000025170000}"/>
    <cellStyle name="Comma 2 6 3 3 2 4" xfId="5923" xr:uid="{00000000-0005-0000-0000-000026170000}"/>
    <cellStyle name="Comma 2 6 3 3 2 4 2" xfId="5924" xr:uid="{00000000-0005-0000-0000-000027170000}"/>
    <cellStyle name="Comma 2 6 3 3 2 5" xfId="5925" xr:uid="{00000000-0005-0000-0000-000028170000}"/>
    <cellStyle name="Comma 2 6 3 3 2 5 2" xfId="5926" xr:uid="{00000000-0005-0000-0000-000029170000}"/>
    <cellStyle name="Comma 2 6 3 3 2 6" xfId="5927" xr:uid="{00000000-0005-0000-0000-00002A170000}"/>
    <cellStyle name="Comma 2 6 3 3 3" xfId="5928" xr:uid="{00000000-0005-0000-0000-00002B170000}"/>
    <cellStyle name="Comma 2 6 3 3 3 2" xfId="5929" xr:uid="{00000000-0005-0000-0000-00002C170000}"/>
    <cellStyle name="Comma 2 6 3 3 3 2 2" xfId="5930" xr:uid="{00000000-0005-0000-0000-00002D170000}"/>
    <cellStyle name="Comma 2 6 3 3 3 2 2 2" xfId="5931" xr:uid="{00000000-0005-0000-0000-00002E170000}"/>
    <cellStyle name="Comma 2 6 3 3 3 2 3" xfId="5932" xr:uid="{00000000-0005-0000-0000-00002F170000}"/>
    <cellStyle name="Comma 2 6 3 3 3 3" xfId="5933" xr:uid="{00000000-0005-0000-0000-000030170000}"/>
    <cellStyle name="Comma 2 6 3 3 3 3 2" xfId="5934" xr:uid="{00000000-0005-0000-0000-000031170000}"/>
    <cellStyle name="Comma 2 6 3 3 3 4" xfId="5935" xr:uid="{00000000-0005-0000-0000-000032170000}"/>
    <cellStyle name="Comma 2 6 3 3 3 4 2" xfId="5936" xr:uid="{00000000-0005-0000-0000-000033170000}"/>
    <cellStyle name="Comma 2 6 3 3 3 5" xfId="5937" xr:uid="{00000000-0005-0000-0000-000034170000}"/>
    <cellStyle name="Comma 2 6 3 3 4" xfId="5938" xr:uid="{00000000-0005-0000-0000-000035170000}"/>
    <cellStyle name="Comma 2 6 3 3 4 2" xfId="5939" xr:uid="{00000000-0005-0000-0000-000036170000}"/>
    <cellStyle name="Comma 2 6 3 3 4 2 2" xfId="5940" xr:uid="{00000000-0005-0000-0000-000037170000}"/>
    <cellStyle name="Comma 2 6 3 3 4 3" xfId="5941" xr:uid="{00000000-0005-0000-0000-000038170000}"/>
    <cellStyle name="Comma 2 6 3 3 5" xfId="5942" xr:uid="{00000000-0005-0000-0000-000039170000}"/>
    <cellStyle name="Comma 2 6 3 3 5 2" xfId="5943" xr:uid="{00000000-0005-0000-0000-00003A170000}"/>
    <cellStyle name="Comma 2 6 3 3 6" xfId="5944" xr:uid="{00000000-0005-0000-0000-00003B170000}"/>
    <cellStyle name="Comma 2 6 3 3 6 2" xfId="5945" xr:uid="{00000000-0005-0000-0000-00003C170000}"/>
    <cellStyle name="Comma 2 6 3 3 7" xfId="5946" xr:uid="{00000000-0005-0000-0000-00003D170000}"/>
    <cellStyle name="Comma 2 6 3 4" xfId="5947" xr:uid="{00000000-0005-0000-0000-00003E170000}"/>
    <cellStyle name="Comma 2 6 3 4 2" xfId="5948" xr:uid="{00000000-0005-0000-0000-00003F170000}"/>
    <cellStyle name="Comma 2 6 3 4 2 2" xfId="5949" xr:uid="{00000000-0005-0000-0000-000040170000}"/>
    <cellStyle name="Comma 2 6 3 4 2 2 2" xfId="5950" xr:uid="{00000000-0005-0000-0000-000041170000}"/>
    <cellStyle name="Comma 2 6 3 4 2 2 2 2" xfId="5951" xr:uid="{00000000-0005-0000-0000-000042170000}"/>
    <cellStyle name="Comma 2 6 3 4 2 2 3" xfId="5952" xr:uid="{00000000-0005-0000-0000-000043170000}"/>
    <cellStyle name="Comma 2 6 3 4 2 3" xfId="5953" xr:uid="{00000000-0005-0000-0000-000044170000}"/>
    <cellStyle name="Comma 2 6 3 4 2 3 2" xfId="5954" xr:uid="{00000000-0005-0000-0000-000045170000}"/>
    <cellStyle name="Comma 2 6 3 4 2 4" xfId="5955" xr:uid="{00000000-0005-0000-0000-000046170000}"/>
    <cellStyle name="Comma 2 6 3 4 2 4 2" xfId="5956" xr:uid="{00000000-0005-0000-0000-000047170000}"/>
    <cellStyle name="Comma 2 6 3 4 2 5" xfId="5957" xr:uid="{00000000-0005-0000-0000-000048170000}"/>
    <cellStyle name="Comma 2 6 3 4 3" xfId="5958" xr:uid="{00000000-0005-0000-0000-000049170000}"/>
    <cellStyle name="Comma 2 6 3 4 3 2" xfId="5959" xr:uid="{00000000-0005-0000-0000-00004A170000}"/>
    <cellStyle name="Comma 2 6 3 4 3 2 2" xfId="5960" xr:uid="{00000000-0005-0000-0000-00004B170000}"/>
    <cellStyle name="Comma 2 6 3 4 3 3" xfId="5961" xr:uid="{00000000-0005-0000-0000-00004C170000}"/>
    <cellStyle name="Comma 2 6 3 4 4" xfId="5962" xr:uid="{00000000-0005-0000-0000-00004D170000}"/>
    <cellStyle name="Comma 2 6 3 4 4 2" xfId="5963" xr:uid="{00000000-0005-0000-0000-00004E170000}"/>
    <cellStyle name="Comma 2 6 3 4 5" xfId="5964" xr:uid="{00000000-0005-0000-0000-00004F170000}"/>
    <cellStyle name="Comma 2 6 3 4 5 2" xfId="5965" xr:uid="{00000000-0005-0000-0000-000050170000}"/>
    <cellStyle name="Comma 2 6 3 4 6" xfId="5966" xr:uid="{00000000-0005-0000-0000-000051170000}"/>
    <cellStyle name="Comma 2 6 3 5" xfId="5967" xr:uid="{00000000-0005-0000-0000-000052170000}"/>
    <cellStyle name="Comma 2 6 3 5 2" xfId="5968" xr:uid="{00000000-0005-0000-0000-000053170000}"/>
    <cellStyle name="Comma 2 6 3 5 2 2" xfId="5969" xr:uid="{00000000-0005-0000-0000-000054170000}"/>
    <cellStyle name="Comma 2 6 3 5 2 2 2" xfId="5970" xr:uid="{00000000-0005-0000-0000-000055170000}"/>
    <cellStyle name="Comma 2 6 3 5 2 3" xfId="5971" xr:uid="{00000000-0005-0000-0000-000056170000}"/>
    <cellStyle name="Comma 2 6 3 5 3" xfId="5972" xr:uid="{00000000-0005-0000-0000-000057170000}"/>
    <cellStyle name="Comma 2 6 3 5 3 2" xfId="5973" xr:uid="{00000000-0005-0000-0000-000058170000}"/>
    <cellStyle name="Comma 2 6 3 5 4" xfId="5974" xr:uid="{00000000-0005-0000-0000-000059170000}"/>
    <cellStyle name="Comma 2 6 3 5 4 2" xfId="5975" xr:uid="{00000000-0005-0000-0000-00005A170000}"/>
    <cellStyle name="Comma 2 6 3 5 5" xfId="5976" xr:uid="{00000000-0005-0000-0000-00005B170000}"/>
    <cellStyle name="Comma 2 6 3 6" xfId="5977" xr:uid="{00000000-0005-0000-0000-00005C170000}"/>
    <cellStyle name="Comma 2 6 3 6 2" xfId="5978" xr:uid="{00000000-0005-0000-0000-00005D170000}"/>
    <cellStyle name="Comma 2 6 3 6 2 2" xfId="5979" xr:uid="{00000000-0005-0000-0000-00005E170000}"/>
    <cellStyle name="Comma 2 6 3 6 3" xfId="5980" xr:uid="{00000000-0005-0000-0000-00005F170000}"/>
    <cellStyle name="Comma 2 6 3 7" xfId="5981" xr:uid="{00000000-0005-0000-0000-000060170000}"/>
    <cellStyle name="Comma 2 6 3 7 2" xfId="5982" xr:uid="{00000000-0005-0000-0000-000061170000}"/>
    <cellStyle name="Comma 2 6 3 8" xfId="5983" xr:uid="{00000000-0005-0000-0000-000062170000}"/>
    <cellStyle name="Comma 2 6 3 8 2" xfId="5984" xr:uid="{00000000-0005-0000-0000-000063170000}"/>
    <cellStyle name="Comma 2 6 3 9" xfId="5985" xr:uid="{00000000-0005-0000-0000-000064170000}"/>
    <cellStyle name="Comma 2 6 4" xfId="5986" xr:uid="{00000000-0005-0000-0000-000065170000}"/>
    <cellStyle name="Comma 2 6 4 2" xfId="5987" xr:uid="{00000000-0005-0000-0000-000066170000}"/>
    <cellStyle name="Comma 2 6 4 2 2" xfId="5988" xr:uid="{00000000-0005-0000-0000-000067170000}"/>
    <cellStyle name="Comma 2 6 4 2 2 2" xfId="5989" xr:uid="{00000000-0005-0000-0000-000068170000}"/>
    <cellStyle name="Comma 2 6 4 2 2 2 2" xfId="5990" xr:uid="{00000000-0005-0000-0000-000069170000}"/>
    <cellStyle name="Comma 2 6 4 2 2 2 2 2" xfId="5991" xr:uid="{00000000-0005-0000-0000-00006A170000}"/>
    <cellStyle name="Comma 2 6 4 2 2 2 2 2 2" xfId="5992" xr:uid="{00000000-0005-0000-0000-00006B170000}"/>
    <cellStyle name="Comma 2 6 4 2 2 2 2 3" xfId="5993" xr:uid="{00000000-0005-0000-0000-00006C170000}"/>
    <cellStyle name="Comma 2 6 4 2 2 2 3" xfId="5994" xr:uid="{00000000-0005-0000-0000-00006D170000}"/>
    <cellStyle name="Comma 2 6 4 2 2 2 3 2" xfId="5995" xr:uid="{00000000-0005-0000-0000-00006E170000}"/>
    <cellStyle name="Comma 2 6 4 2 2 2 4" xfId="5996" xr:uid="{00000000-0005-0000-0000-00006F170000}"/>
    <cellStyle name="Comma 2 6 4 2 2 2 4 2" xfId="5997" xr:uid="{00000000-0005-0000-0000-000070170000}"/>
    <cellStyle name="Comma 2 6 4 2 2 2 5" xfId="5998" xr:uid="{00000000-0005-0000-0000-000071170000}"/>
    <cellStyle name="Comma 2 6 4 2 2 3" xfId="5999" xr:uid="{00000000-0005-0000-0000-000072170000}"/>
    <cellStyle name="Comma 2 6 4 2 2 3 2" xfId="6000" xr:uid="{00000000-0005-0000-0000-000073170000}"/>
    <cellStyle name="Comma 2 6 4 2 2 3 2 2" xfId="6001" xr:uid="{00000000-0005-0000-0000-000074170000}"/>
    <cellStyle name="Comma 2 6 4 2 2 3 3" xfId="6002" xr:uid="{00000000-0005-0000-0000-000075170000}"/>
    <cellStyle name="Comma 2 6 4 2 2 4" xfId="6003" xr:uid="{00000000-0005-0000-0000-000076170000}"/>
    <cellStyle name="Comma 2 6 4 2 2 4 2" xfId="6004" xr:uid="{00000000-0005-0000-0000-000077170000}"/>
    <cellStyle name="Comma 2 6 4 2 2 5" xfId="6005" xr:uid="{00000000-0005-0000-0000-000078170000}"/>
    <cellStyle name="Comma 2 6 4 2 2 5 2" xfId="6006" xr:uid="{00000000-0005-0000-0000-000079170000}"/>
    <cellStyle name="Comma 2 6 4 2 2 6" xfId="6007" xr:uid="{00000000-0005-0000-0000-00007A170000}"/>
    <cellStyle name="Comma 2 6 4 2 3" xfId="6008" xr:uid="{00000000-0005-0000-0000-00007B170000}"/>
    <cellStyle name="Comma 2 6 4 2 3 2" xfId="6009" xr:uid="{00000000-0005-0000-0000-00007C170000}"/>
    <cellStyle name="Comma 2 6 4 2 3 2 2" xfId="6010" xr:uid="{00000000-0005-0000-0000-00007D170000}"/>
    <cellStyle name="Comma 2 6 4 2 3 2 2 2" xfId="6011" xr:uid="{00000000-0005-0000-0000-00007E170000}"/>
    <cellStyle name="Comma 2 6 4 2 3 2 3" xfId="6012" xr:uid="{00000000-0005-0000-0000-00007F170000}"/>
    <cellStyle name="Comma 2 6 4 2 3 3" xfId="6013" xr:uid="{00000000-0005-0000-0000-000080170000}"/>
    <cellStyle name="Comma 2 6 4 2 3 3 2" xfId="6014" xr:uid="{00000000-0005-0000-0000-000081170000}"/>
    <cellStyle name="Comma 2 6 4 2 3 4" xfId="6015" xr:uid="{00000000-0005-0000-0000-000082170000}"/>
    <cellStyle name="Comma 2 6 4 2 3 4 2" xfId="6016" xr:uid="{00000000-0005-0000-0000-000083170000}"/>
    <cellStyle name="Comma 2 6 4 2 3 5" xfId="6017" xr:uid="{00000000-0005-0000-0000-000084170000}"/>
    <cellStyle name="Comma 2 6 4 2 4" xfId="6018" xr:uid="{00000000-0005-0000-0000-000085170000}"/>
    <cellStyle name="Comma 2 6 4 2 4 2" xfId="6019" xr:uid="{00000000-0005-0000-0000-000086170000}"/>
    <cellStyle name="Comma 2 6 4 2 4 2 2" xfId="6020" xr:uid="{00000000-0005-0000-0000-000087170000}"/>
    <cellStyle name="Comma 2 6 4 2 4 3" xfId="6021" xr:uid="{00000000-0005-0000-0000-000088170000}"/>
    <cellStyle name="Comma 2 6 4 2 5" xfId="6022" xr:uid="{00000000-0005-0000-0000-000089170000}"/>
    <cellStyle name="Comma 2 6 4 2 5 2" xfId="6023" xr:uid="{00000000-0005-0000-0000-00008A170000}"/>
    <cellStyle name="Comma 2 6 4 2 6" xfId="6024" xr:uid="{00000000-0005-0000-0000-00008B170000}"/>
    <cellStyle name="Comma 2 6 4 2 6 2" xfId="6025" xr:uid="{00000000-0005-0000-0000-00008C170000}"/>
    <cellStyle name="Comma 2 6 4 2 7" xfId="6026" xr:uid="{00000000-0005-0000-0000-00008D170000}"/>
    <cellStyle name="Comma 2 6 4 3" xfId="6027" xr:uid="{00000000-0005-0000-0000-00008E170000}"/>
    <cellStyle name="Comma 2 6 4 3 2" xfId="6028" xr:uid="{00000000-0005-0000-0000-00008F170000}"/>
    <cellStyle name="Comma 2 6 4 3 2 2" xfId="6029" xr:uid="{00000000-0005-0000-0000-000090170000}"/>
    <cellStyle name="Comma 2 6 4 3 2 2 2" xfId="6030" xr:uid="{00000000-0005-0000-0000-000091170000}"/>
    <cellStyle name="Comma 2 6 4 3 2 2 2 2" xfId="6031" xr:uid="{00000000-0005-0000-0000-000092170000}"/>
    <cellStyle name="Comma 2 6 4 3 2 2 3" xfId="6032" xr:uid="{00000000-0005-0000-0000-000093170000}"/>
    <cellStyle name="Comma 2 6 4 3 2 3" xfId="6033" xr:uid="{00000000-0005-0000-0000-000094170000}"/>
    <cellStyle name="Comma 2 6 4 3 2 3 2" xfId="6034" xr:uid="{00000000-0005-0000-0000-000095170000}"/>
    <cellStyle name="Comma 2 6 4 3 2 4" xfId="6035" xr:uid="{00000000-0005-0000-0000-000096170000}"/>
    <cellStyle name="Comma 2 6 4 3 2 4 2" xfId="6036" xr:uid="{00000000-0005-0000-0000-000097170000}"/>
    <cellStyle name="Comma 2 6 4 3 2 5" xfId="6037" xr:uid="{00000000-0005-0000-0000-000098170000}"/>
    <cellStyle name="Comma 2 6 4 3 3" xfId="6038" xr:uid="{00000000-0005-0000-0000-000099170000}"/>
    <cellStyle name="Comma 2 6 4 3 3 2" xfId="6039" xr:uid="{00000000-0005-0000-0000-00009A170000}"/>
    <cellStyle name="Comma 2 6 4 3 3 2 2" xfId="6040" xr:uid="{00000000-0005-0000-0000-00009B170000}"/>
    <cellStyle name="Comma 2 6 4 3 3 3" xfId="6041" xr:uid="{00000000-0005-0000-0000-00009C170000}"/>
    <cellStyle name="Comma 2 6 4 3 4" xfId="6042" xr:uid="{00000000-0005-0000-0000-00009D170000}"/>
    <cellStyle name="Comma 2 6 4 3 4 2" xfId="6043" xr:uid="{00000000-0005-0000-0000-00009E170000}"/>
    <cellStyle name="Comma 2 6 4 3 5" xfId="6044" xr:uid="{00000000-0005-0000-0000-00009F170000}"/>
    <cellStyle name="Comma 2 6 4 3 5 2" xfId="6045" xr:uid="{00000000-0005-0000-0000-0000A0170000}"/>
    <cellStyle name="Comma 2 6 4 3 6" xfId="6046" xr:uid="{00000000-0005-0000-0000-0000A1170000}"/>
    <cellStyle name="Comma 2 6 4 4" xfId="6047" xr:uid="{00000000-0005-0000-0000-0000A2170000}"/>
    <cellStyle name="Comma 2 6 4 4 2" xfId="6048" xr:uid="{00000000-0005-0000-0000-0000A3170000}"/>
    <cellStyle name="Comma 2 6 4 4 2 2" xfId="6049" xr:uid="{00000000-0005-0000-0000-0000A4170000}"/>
    <cellStyle name="Comma 2 6 4 4 2 2 2" xfId="6050" xr:uid="{00000000-0005-0000-0000-0000A5170000}"/>
    <cellStyle name="Comma 2 6 4 4 2 3" xfId="6051" xr:uid="{00000000-0005-0000-0000-0000A6170000}"/>
    <cellStyle name="Comma 2 6 4 4 3" xfId="6052" xr:uid="{00000000-0005-0000-0000-0000A7170000}"/>
    <cellStyle name="Comma 2 6 4 4 3 2" xfId="6053" xr:uid="{00000000-0005-0000-0000-0000A8170000}"/>
    <cellStyle name="Comma 2 6 4 4 4" xfId="6054" xr:uid="{00000000-0005-0000-0000-0000A9170000}"/>
    <cellStyle name="Comma 2 6 4 4 4 2" xfId="6055" xr:uid="{00000000-0005-0000-0000-0000AA170000}"/>
    <cellStyle name="Comma 2 6 4 4 5" xfId="6056" xr:uid="{00000000-0005-0000-0000-0000AB170000}"/>
    <cellStyle name="Comma 2 6 4 5" xfId="6057" xr:uid="{00000000-0005-0000-0000-0000AC170000}"/>
    <cellStyle name="Comma 2 6 4 5 2" xfId="6058" xr:uid="{00000000-0005-0000-0000-0000AD170000}"/>
    <cellStyle name="Comma 2 6 4 5 2 2" xfId="6059" xr:uid="{00000000-0005-0000-0000-0000AE170000}"/>
    <cellStyle name="Comma 2 6 4 5 3" xfId="6060" xr:uid="{00000000-0005-0000-0000-0000AF170000}"/>
    <cellStyle name="Comma 2 6 4 6" xfId="6061" xr:uid="{00000000-0005-0000-0000-0000B0170000}"/>
    <cellStyle name="Comma 2 6 4 6 2" xfId="6062" xr:uid="{00000000-0005-0000-0000-0000B1170000}"/>
    <cellStyle name="Comma 2 6 4 7" xfId="6063" xr:uid="{00000000-0005-0000-0000-0000B2170000}"/>
    <cellStyle name="Comma 2 6 4 7 2" xfId="6064" xr:uid="{00000000-0005-0000-0000-0000B3170000}"/>
    <cellStyle name="Comma 2 6 4 8" xfId="6065" xr:uid="{00000000-0005-0000-0000-0000B4170000}"/>
    <cellStyle name="Comma 2 6 5" xfId="6066" xr:uid="{00000000-0005-0000-0000-0000B5170000}"/>
    <cellStyle name="Comma 2 6 5 2" xfId="6067" xr:uid="{00000000-0005-0000-0000-0000B6170000}"/>
    <cellStyle name="Comma 2 6 5 2 2" xfId="6068" xr:uid="{00000000-0005-0000-0000-0000B7170000}"/>
    <cellStyle name="Comma 2 6 5 2 2 2" xfId="6069" xr:uid="{00000000-0005-0000-0000-0000B8170000}"/>
    <cellStyle name="Comma 2 6 5 2 2 2 2" xfId="6070" xr:uid="{00000000-0005-0000-0000-0000B9170000}"/>
    <cellStyle name="Comma 2 6 5 2 2 2 2 2" xfId="6071" xr:uid="{00000000-0005-0000-0000-0000BA170000}"/>
    <cellStyle name="Comma 2 6 5 2 2 2 3" xfId="6072" xr:uid="{00000000-0005-0000-0000-0000BB170000}"/>
    <cellStyle name="Comma 2 6 5 2 2 3" xfId="6073" xr:uid="{00000000-0005-0000-0000-0000BC170000}"/>
    <cellStyle name="Comma 2 6 5 2 2 3 2" xfId="6074" xr:uid="{00000000-0005-0000-0000-0000BD170000}"/>
    <cellStyle name="Comma 2 6 5 2 2 4" xfId="6075" xr:uid="{00000000-0005-0000-0000-0000BE170000}"/>
    <cellStyle name="Comma 2 6 5 2 2 4 2" xfId="6076" xr:uid="{00000000-0005-0000-0000-0000BF170000}"/>
    <cellStyle name="Comma 2 6 5 2 2 5" xfId="6077" xr:uid="{00000000-0005-0000-0000-0000C0170000}"/>
    <cellStyle name="Comma 2 6 5 2 3" xfId="6078" xr:uid="{00000000-0005-0000-0000-0000C1170000}"/>
    <cellStyle name="Comma 2 6 5 2 3 2" xfId="6079" xr:uid="{00000000-0005-0000-0000-0000C2170000}"/>
    <cellStyle name="Comma 2 6 5 2 3 2 2" xfId="6080" xr:uid="{00000000-0005-0000-0000-0000C3170000}"/>
    <cellStyle name="Comma 2 6 5 2 3 3" xfId="6081" xr:uid="{00000000-0005-0000-0000-0000C4170000}"/>
    <cellStyle name="Comma 2 6 5 2 4" xfId="6082" xr:uid="{00000000-0005-0000-0000-0000C5170000}"/>
    <cellStyle name="Comma 2 6 5 2 4 2" xfId="6083" xr:uid="{00000000-0005-0000-0000-0000C6170000}"/>
    <cellStyle name="Comma 2 6 5 2 5" xfId="6084" xr:uid="{00000000-0005-0000-0000-0000C7170000}"/>
    <cellStyle name="Comma 2 6 5 2 5 2" xfId="6085" xr:uid="{00000000-0005-0000-0000-0000C8170000}"/>
    <cellStyle name="Comma 2 6 5 2 6" xfId="6086" xr:uid="{00000000-0005-0000-0000-0000C9170000}"/>
    <cellStyle name="Comma 2 6 5 3" xfId="6087" xr:uid="{00000000-0005-0000-0000-0000CA170000}"/>
    <cellStyle name="Comma 2 6 5 3 2" xfId="6088" xr:uid="{00000000-0005-0000-0000-0000CB170000}"/>
    <cellStyle name="Comma 2 6 5 3 2 2" xfId="6089" xr:uid="{00000000-0005-0000-0000-0000CC170000}"/>
    <cellStyle name="Comma 2 6 5 3 2 2 2" xfId="6090" xr:uid="{00000000-0005-0000-0000-0000CD170000}"/>
    <cellStyle name="Comma 2 6 5 3 2 3" xfId="6091" xr:uid="{00000000-0005-0000-0000-0000CE170000}"/>
    <cellStyle name="Comma 2 6 5 3 3" xfId="6092" xr:uid="{00000000-0005-0000-0000-0000CF170000}"/>
    <cellStyle name="Comma 2 6 5 3 3 2" xfId="6093" xr:uid="{00000000-0005-0000-0000-0000D0170000}"/>
    <cellStyle name="Comma 2 6 5 3 4" xfId="6094" xr:uid="{00000000-0005-0000-0000-0000D1170000}"/>
    <cellStyle name="Comma 2 6 5 3 4 2" xfId="6095" xr:uid="{00000000-0005-0000-0000-0000D2170000}"/>
    <cellStyle name="Comma 2 6 5 3 5" xfId="6096" xr:uid="{00000000-0005-0000-0000-0000D3170000}"/>
    <cellStyle name="Comma 2 6 5 4" xfId="6097" xr:uid="{00000000-0005-0000-0000-0000D4170000}"/>
    <cellStyle name="Comma 2 6 5 4 2" xfId="6098" xr:uid="{00000000-0005-0000-0000-0000D5170000}"/>
    <cellStyle name="Comma 2 6 5 4 2 2" xfId="6099" xr:uid="{00000000-0005-0000-0000-0000D6170000}"/>
    <cellStyle name="Comma 2 6 5 4 3" xfId="6100" xr:uid="{00000000-0005-0000-0000-0000D7170000}"/>
    <cellStyle name="Comma 2 6 5 5" xfId="6101" xr:uid="{00000000-0005-0000-0000-0000D8170000}"/>
    <cellStyle name="Comma 2 6 5 5 2" xfId="6102" xr:uid="{00000000-0005-0000-0000-0000D9170000}"/>
    <cellStyle name="Comma 2 6 5 6" xfId="6103" xr:uid="{00000000-0005-0000-0000-0000DA170000}"/>
    <cellStyle name="Comma 2 6 5 6 2" xfId="6104" xr:uid="{00000000-0005-0000-0000-0000DB170000}"/>
    <cellStyle name="Comma 2 6 5 7" xfId="6105" xr:uid="{00000000-0005-0000-0000-0000DC170000}"/>
    <cellStyle name="Comma 2 6 6" xfId="6106" xr:uid="{00000000-0005-0000-0000-0000DD170000}"/>
    <cellStyle name="Comma 2 6 6 2" xfId="6107" xr:uid="{00000000-0005-0000-0000-0000DE170000}"/>
    <cellStyle name="Comma 2 6 6 2 2" xfId="6108" xr:uid="{00000000-0005-0000-0000-0000DF170000}"/>
    <cellStyle name="Comma 2 6 6 2 2 2" xfId="6109" xr:uid="{00000000-0005-0000-0000-0000E0170000}"/>
    <cellStyle name="Comma 2 6 6 2 2 2 2" xfId="6110" xr:uid="{00000000-0005-0000-0000-0000E1170000}"/>
    <cellStyle name="Comma 2 6 6 2 2 2 2 2" xfId="6111" xr:uid="{00000000-0005-0000-0000-0000E2170000}"/>
    <cellStyle name="Comma 2 6 6 2 2 2 3" xfId="6112" xr:uid="{00000000-0005-0000-0000-0000E3170000}"/>
    <cellStyle name="Comma 2 6 6 2 2 3" xfId="6113" xr:uid="{00000000-0005-0000-0000-0000E4170000}"/>
    <cellStyle name="Comma 2 6 6 2 2 3 2" xfId="6114" xr:uid="{00000000-0005-0000-0000-0000E5170000}"/>
    <cellStyle name="Comma 2 6 6 2 2 4" xfId="6115" xr:uid="{00000000-0005-0000-0000-0000E6170000}"/>
    <cellStyle name="Comma 2 6 6 2 2 4 2" xfId="6116" xr:uid="{00000000-0005-0000-0000-0000E7170000}"/>
    <cellStyle name="Comma 2 6 6 2 2 5" xfId="6117" xr:uid="{00000000-0005-0000-0000-0000E8170000}"/>
    <cellStyle name="Comma 2 6 6 2 3" xfId="6118" xr:uid="{00000000-0005-0000-0000-0000E9170000}"/>
    <cellStyle name="Comma 2 6 6 2 3 2" xfId="6119" xr:uid="{00000000-0005-0000-0000-0000EA170000}"/>
    <cellStyle name="Comma 2 6 6 2 3 2 2" xfId="6120" xr:uid="{00000000-0005-0000-0000-0000EB170000}"/>
    <cellStyle name="Comma 2 6 6 2 3 3" xfId="6121" xr:uid="{00000000-0005-0000-0000-0000EC170000}"/>
    <cellStyle name="Comma 2 6 6 2 4" xfId="6122" xr:uid="{00000000-0005-0000-0000-0000ED170000}"/>
    <cellStyle name="Comma 2 6 6 2 4 2" xfId="6123" xr:uid="{00000000-0005-0000-0000-0000EE170000}"/>
    <cellStyle name="Comma 2 6 6 2 5" xfId="6124" xr:uid="{00000000-0005-0000-0000-0000EF170000}"/>
    <cellStyle name="Comma 2 6 6 2 5 2" xfId="6125" xr:uid="{00000000-0005-0000-0000-0000F0170000}"/>
    <cellStyle name="Comma 2 6 6 2 6" xfId="6126" xr:uid="{00000000-0005-0000-0000-0000F1170000}"/>
    <cellStyle name="Comma 2 6 6 3" xfId="6127" xr:uid="{00000000-0005-0000-0000-0000F2170000}"/>
    <cellStyle name="Comma 2 6 6 3 2" xfId="6128" xr:uid="{00000000-0005-0000-0000-0000F3170000}"/>
    <cellStyle name="Comma 2 6 6 3 2 2" xfId="6129" xr:uid="{00000000-0005-0000-0000-0000F4170000}"/>
    <cellStyle name="Comma 2 6 6 3 2 2 2" xfId="6130" xr:uid="{00000000-0005-0000-0000-0000F5170000}"/>
    <cellStyle name="Comma 2 6 6 3 2 3" xfId="6131" xr:uid="{00000000-0005-0000-0000-0000F6170000}"/>
    <cellStyle name="Comma 2 6 6 3 3" xfId="6132" xr:uid="{00000000-0005-0000-0000-0000F7170000}"/>
    <cellStyle name="Comma 2 6 6 3 3 2" xfId="6133" xr:uid="{00000000-0005-0000-0000-0000F8170000}"/>
    <cellStyle name="Comma 2 6 6 3 4" xfId="6134" xr:uid="{00000000-0005-0000-0000-0000F9170000}"/>
    <cellStyle name="Comma 2 6 6 3 4 2" xfId="6135" xr:uid="{00000000-0005-0000-0000-0000FA170000}"/>
    <cellStyle name="Comma 2 6 6 3 5" xfId="6136" xr:uid="{00000000-0005-0000-0000-0000FB170000}"/>
    <cellStyle name="Comma 2 6 6 4" xfId="6137" xr:uid="{00000000-0005-0000-0000-0000FC170000}"/>
    <cellStyle name="Comma 2 6 6 4 2" xfId="6138" xr:uid="{00000000-0005-0000-0000-0000FD170000}"/>
    <cellStyle name="Comma 2 6 6 4 2 2" xfId="6139" xr:uid="{00000000-0005-0000-0000-0000FE170000}"/>
    <cellStyle name="Comma 2 6 6 4 3" xfId="6140" xr:uid="{00000000-0005-0000-0000-0000FF170000}"/>
    <cellStyle name="Comma 2 6 6 5" xfId="6141" xr:uid="{00000000-0005-0000-0000-000000180000}"/>
    <cellStyle name="Comma 2 6 6 5 2" xfId="6142" xr:uid="{00000000-0005-0000-0000-000001180000}"/>
    <cellStyle name="Comma 2 6 6 6" xfId="6143" xr:uid="{00000000-0005-0000-0000-000002180000}"/>
    <cellStyle name="Comma 2 6 6 6 2" xfId="6144" xr:uid="{00000000-0005-0000-0000-000003180000}"/>
    <cellStyle name="Comma 2 6 6 7" xfId="6145" xr:uid="{00000000-0005-0000-0000-000004180000}"/>
    <cellStyle name="Comma 2 6 7" xfId="6146" xr:uid="{00000000-0005-0000-0000-000005180000}"/>
    <cellStyle name="Comma 2 6 7 2" xfId="6147" xr:uid="{00000000-0005-0000-0000-000006180000}"/>
    <cellStyle name="Comma 2 6 7 2 2" xfId="6148" xr:uid="{00000000-0005-0000-0000-000007180000}"/>
    <cellStyle name="Comma 2 6 7 2 2 2" xfId="6149" xr:uid="{00000000-0005-0000-0000-000008180000}"/>
    <cellStyle name="Comma 2 6 7 2 2 2 2" xfId="6150" xr:uid="{00000000-0005-0000-0000-000009180000}"/>
    <cellStyle name="Comma 2 6 7 2 2 3" xfId="6151" xr:uid="{00000000-0005-0000-0000-00000A180000}"/>
    <cellStyle name="Comma 2 6 7 2 3" xfId="6152" xr:uid="{00000000-0005-0000-0000-00000B180000}"/>
    <cellStyle name="Comma 2 6 7 2 3 2" xfId="6153" xr:uid="{00000000-0005-0000-0000-00000C180000}"/>
    <cellStyle name="Comma 2 6 7 2 4" xfId="6154" xr:uid="{00000000-0005-0000-0000-00000D180000}"/>
    <cellStyle name="Comma 2 6 7 2 4 2" xfId="6155" xr:uid="{00000000-0005-0000-0000-00000E180000}"/>
    <cellStyle name="Comma 2 6 7 2 5" xfId="6156" xr:uid="{00000000-0005-0000-0000-00000F180000}"/>
    <cellStyle name="Comma 2 6 7 3" xfId="6157" xr:uid="{00000000-0005-0000-0000-000010180000}"/>
    <cellStyle name="Comma 2 6 7 3 2" xfId="6158" xr:uid="{00000000-0005-0000-0000-000011180000}"/>
    <cellStyle name="Comma 2 6 7 3 2 2" xfId="6159" xr:uid="{00000000-0005-0000-0000-000012180000}"/>
    <cellStyle name="Comma 2 6 7 3 3" xfId="6160" xr:uid="{00000000-0005-0000-0000-000013180000}"/>
    <cellStyle name="Comma 2 6 7 4" xfId="6161" xr:uid="{00000000-0005-0000-0000-000014180000}"/>
    <cellStyle name="Comma 2 6 7 4 2" xfId="6162" xr:uid="{00000000-0005-0000-0000-000015180000}"/>
    <cellStyle name="Comma 2 6 7 5" xfId="6163" xr:uid="{00000000-0005-0000-0000-000016180000}"/>
    <cellStyle name="Comma 2 6 7 5 2" xfId="6164" xr:uid="{00000000-0005-0000-0000-000017180000}"/>
    <cellStyle name="Comma 2 6 7 6" xfId="6165" xr:uid="{00000000-0005-0000-0000-000018180000}"/>
    <cellStyle name="Comma 2 6 8" xfId="6166" xr:uid="{00000000-0005-0000-0000-000019180000}"/>
    <cellStyle name="Comma 2 6 8 2" xfId="6167" xr:uid="{00000000-0005-0000-0000-00001A180000}"/>
    <cellStyle name="Comma 2 6 8 2 2" xfId="6168" xr:uid="{00000000-0005-0000-0000-00001B180000}"/>
    <cellStyle name="Comma 2 6 8 2 2 2" xfId="6169" xr:uid="{00000000-0005-0000-0000-00001C180000}"/>
    <cellStyle name="Comma 2 6 8 2 3" xfId="6170" xr:uid="{00000000-0005-0000-0000-00001D180000}"/>
    <cellStyle name="Comma 2 6 8 3" xfId="6171" xr:uid="{00000000-0005-0000-0000-00001E180000}"/>
    <cellStyle name="Comma 2 6 8 3 2" xfId="6172" xr:uid="{00000000-0005-0000-0000-00001F180000}"/>
    <cellStyle name="Comma 2 6 8 4" xfId="6173" xr:uid="{00000000-0005-0000-0000-000020180000}"/>
    <cellStyle name="Comma 2 6 8 4 2" xfId="6174" xr:uid="{00000000-0005-0000-0000-000021180000}"/>
    <cellStyle name="Comma 2 6 8 5" xfId="6175" xr:uid="{00000000-0005-0000-0000-000022180000}"/>
    <cellStyle name="Comma 2 6 9" xfId="6176" xr:uid="{00000000-0005-0000-0000-000023180000}"/>
    <cellStyle name="Comma 2 6 9 2" xfId="6177" xr:uid="{00000000-0005-0000-0000-000024180000}"/>
    <cellStyle name="Comma 2 6 9 2 2" xfId="6178" xr:uid="{00000000-0005-0000-0000-000025180000}"/>
    <cellStyle name="Comma 2 6 9 3" xfId="6179" xr:uid="{00000000-0005-0000-0000-000026180000}"/>
    <cellStyle name="Comma 2 7" xfId="6180" xr:uid="{00000000-0005-0000-0000-000027180000}"/>
    <cellStyle name="Comma 2 7 10" xfId="6181" xr:uid="{00000000-0005-0000-0000-000028180000}"/>
    <cellStyle name="Comma 2 7 10 2" xfId="6182" xr:uid="{00000000-0005-0000-0000-000029180000}"/>
    <cellStyle name="Comma 2 7 11" xfId="6183" xr:uid="{00000000-0005-0000-0000-00002A180000}"/>
    <cellStyle name="Comma 2 7 11 2" xfId="6184" xr:uid="{00000000-0005-0000-0000-00002B180000}"/>
    <cellStyle name="Comma 2 7 12" xfId="6185" xr:uid="{00000000-0005-0000-0000-00002C180000}"/>
    <cellStyle name="Comma 2 7 2" xfId="6186" xr:uid="{00000000-0005-0000-0000-00002D180000}"/>
    <cellStyle name="Comma 2 7 2 2" xfId="6187" xr:uid="{00000000-0005-0000-0000-00002E180000}"/>
    <cellStyle name="Comma 2 7 2 2 2" xfId="6188" xr:uid="{00000000-0005-0000-0000-00002F180000}"/>
    <cellStyle name="Comma 2 7 2 2 2 2" xfId="6189" xr:uid="{00000000-0005-0000-0000-000030180000}"/>
    <cellStyle name="Comma 2 7 2 2 2 2 2" xfId="6190" xr:uid="{00000000-0005-0000-0000-000031180000}"/>
    <cellStyle name="Comma 2 7 2 2 2 2 2 2" xfId="6191" xr:uid="{00000000-0005-0000-0000-000032180000}"/>
    <cellStyle name="Comma 2 7 2 2 2 2 2 2 2" xfId="6192" xr:uid="{00000000-0005-0000-0000-000033180000}"/>
    <cellStyle name="Comma 2 7 2 2 2 2 2 3" xfId="6193" xr:uid="{00000000-0005-0000-0000-000034180000}"/>
    <cellStyle name="Comma 2 7 2 2 2 2 3" xfId="6194" xr:uid="{00000000-0005-0000-0000-000035180000}"/>
    <cellStyle name="Comma 2 7 2 2 2 2 3 2" xfId="6195" xr:uid="{00000000-0005-0000-0000-000036180000}"/>
    <cellStyle name="Comma 2 7 2 2 2 2 4" xfId="6196" xr:uid="{00000000-0005-0000-0000-000037180000}"/>
    <cellStyle name="Comma 2 7 2 2 2 2 4 2" xfId="6197" xr:uid="{00000000-0005-0000-0000-000038180000}"/>
    <cellStyle name="Comma 2 7 2 2 2 2 5" xfId="6198" xr:uid="{00000000-0005-0000-0000-000039180000}"/>
    <cellStyle name="Comma 2 7 2 2 2 3" xfId="6199" xr:uid="{00000000-0005-0000-0000-00003A180000}"/>
    <cellStyle name="Comma 2 7 2 2 2 3 2" xfId="6200" xr:uid="{00000000-0005-0000-0000-00003B180000}"/>
    <cellStyle name="Comma 2 7 2 2 2 3 2 2" xfId="6201" xr:uid="{00000000-0005-0000-0000-00003C180000}"/>
    <cellStyle name="Comma 2 7 2 2 2 3 3" xfId="6202" xr:uid="{00000000-0005-0000-0000-00003D180000}"/>
    <cellStyle name="Comma 2 7 2 2 2 4" xfId="6203" xr:uid="{00000000-0005-0000-0000-00003E180000}"/>
    <cellStyle name="Comma 2 7 2 2 2 4 2" xfId="6204" xr:uid="{00000000-0005-0000-0000-00003F180000}"/>
    <cellStyle name="Comma 2 7 2 2 2 5" xfId="6205" xr:uid="{00000000-0005-0000-0000-000040180000}"/>
    <cellStyle name="Comma 2 7 2 2 2 5 2" xfId="6206" xr:uid="{00000000-0005-0000-0000-000041180000}"/>
    <cellStyle name="Comma 2 7 2 2 2 6" xfId="6207" xr:uid="{00000000-0005-0000-0000-000042180000}"/>
    <cellStyle name="Comma 2 7 2 2 3" xfId="6208" xr:uid="{00000000-0005-0000-0000-000043180000}"/>
    <cellStyle name="Comma 2 7 2 2 3 2" xfId="6209" xr:uid="{00000000-0005-0000-0000-000044180000}"/>
    <cellStyle name="Comma 2 7 2 2 3 2 2" xfId="6210" xr:uid="{00000000-0005-0000-0000-000045180000}"/>
    <cellStyle name="Comma 2 7 2 2 3 2 2 2" xfId="6211" xr:uid="{00000000-0005-0000-0000-000046180000}"/>
    <cellStyle name="Comma 2 7 2 2 3 2 3" xfId="6212" xr:uid="{00000000-0005-0000-0000-000047180000}"/>
    <cellStyle name="Comma 2 7 2 2 3 3" xfId="6213" xr:uid="{00000000-0005-0000-0000-000048180000}"/>
    <cellStyle name="Comma 2 7 2 2 3 3 2" xfId="6214" xr:uid="{00000000-0005-0000-0000-000049180000}"/>
    <cellStyle name="Comma 2 7 2 2 3 4" xfId="6215" xr:uid="{00000000-0005-0000-0000-00004A180000}"/>
    <cellStyle name="Comma 2 7 2 2 3 4 2" xfId="6216" xr:uid="{00000000-0005-0000-0000-00004B180000}"/>
    <cellStyle name="Comma 2 7 2 2 3 5" xfId="6217" xr:uid="{00000000-0005-0000-0000-00004C180000}"/>
    <cellStyle name="Comma 2 7 2 2 4" xfId="6218" xr:uid="{00000000-0005-0000-0000-00004D180000}"/>
    <cellStyle name="Comma 2 7 2 2 4 2" xfId="6219" xr:uid="{00000000-0005-0000-0000-00004E180000}"/>
    <cellStyle name="Comma 2 7 2 2 4 2 2" xfId="6220" xr:uid="{00000000-0005-0000-0000-00004F180000}"/>
    <cellStyle name="Comma 2 7 2 2 4 3" xfId="6221" xr:uid="{00000000-0005-0000-0000-000050180000}"/>
    <cellStyle name="Comma 2 7 2 2 5" xfId="6222" xr:uid="{00000000-0005-0000-0000-000051180000}"/>
    <cellStyle name="Comma 2 7 2 2 5 2" xfId="6223" xr:uid="{00000000-0005-0000-0000-000052180000}"/>
    <cellStyle name="Comma 2 7 2 2 6" xfId="6224" xr:uid="{00000000-0005-0000-0000-000053180000}"/>
    <cellStyle name="Comma 2 7 2 2 6 2" xfId="6225" xr:uid="{00000000-0005-0000-0000-000054180000}"/>
    <cellStyle name="Comma 2 7 2 2 7" xfId="6226" xr:uid="{00000000-0005-0000-0000-000055180000}"/>
    <cellStyle name="Comma 2 7 2 3" xfId="6227" xr:uid="{00000000-0005-0000-0000-000056180000}"/>
    <cellStyle name="Comma 2 7 2 3 2" xfId="6228" xr:uid="{00000000-0005-0000-0000-000057180000}"/>
    <cellStyle name="Comma 2 7 2 3 2 2" xfId="6229" xr:uid="{00000000-0005-0000-0000-000058180000}"/>
    <cellStyle name="Comma 2 7 2 3 2 2 2" xfId="6230" xr:uid="{00000000-0005-0000-0000-000059180000}"/>
    <cellStyle name="Comma 2 7 2 3 2 2 2 2" xfId="6231" xr:uid="{00000000-0005-0000-0000-00005A180000}"/>
    <cellStyle name="Comma 2 7 2 3 2 2 2 2 2" xfId="6232" xr:uid="{00000000-0005-0000-0000-00005B180000}"/>
    <cellStyle name="Comma 2 7 2 3 2 2 2 3" xfId="6233" xr:uid="{00000000-0005-0000-0000-00005C180000}"/>
    <cellStyle name="Comma 2 7 2 3 2 2 3" xfId="6234" xr:uid="{00000000-0005-0000-0000-00005D180000}"/>
    <cellStyle name="Comma 2 7 2 3 2 2 3 2" xfId="6235" xr:uid="{00000000-0005-0000-0000-00005E180000}"/>
    <cellStyle name="Comma 2 7 2 3 2 2 4" xfId="6236" xr:uid="{00000000-0005-0000-0000-00005F180000}"/>
    <cellStyle name="Comma 2 7 2 3 2 2 4 2" xfId="6237" xr:uid="{00000000-0005-0000-0000-000060180000}"/>
    <cellStyle name="Comma 2 7 2 3 2 2 5" xfId="6238" xr:uid="{00000000-0005-0000-0000-000061180000}"/>
    <cellStyle name="Comma 2 7 2 3 2 3" xfId="6239" xr:uid="{00000000-0005-0000-0000-000062180000}"/>
    <cellStyle name="Comma 2 7 2 3 2 3 2" xfId="6240" xr:uid="{00000000-0005-0000-0000-000063180000}"/>
    <cellStyle name="Comma 2 7 2 3 2 3 2 2" xfId="6241" xr:uid="{00000000-0005-0000-0000-000064180000}"/>
    <cellStyle name="Comma 2 7 2 3 2 3 3" xfId="6242" xr:uid="{00000000-0005-0000-0000-000065180000}"/>
    <cellStyle name="Comma 2 7 2 3 2 4" xfId="6243" xr:uid="{00000000-0005-0000-0000-000066180000}"/>
    <cellStyle name="Comma 2 7 2 3 2 4 2" xfId="6244" xr:uid="{00000000-0005-0000-0000-000067180000}"/>
    <cellStyle name="Comma 2 7 2 3 2 5" xfId="6245" xr:uid="{00000000-0005-0000-0000-000068180000}"/>
    <cellStyle name="Comma 2 7 2 3 2 5 2" xfId="6246" xr:uid="{00000000-0005-0000-0000-000069180000}"/>
    <cellStyle name="Comma 2 7 2 3 2 6" xfId="6247" xr:uid="{00000000-0005-0000-0000-00006A180000}"/>
    <cellStyle name="Comma 2 7 2 3 3" xfId="6248" xr:uid="{00000000-0005-0000-0000-00006B180000}"/>
    <cellStyle name="Comma 2 7 2 3 3 2" xfId="6249" xr:uid="{00000000-0005-0000-0000-00006C180000}"/>
    <cellStyle name="Comma 2 7 2 3 3 2 2" xfId="6250" xr:uid="{00000000-0005-0000-0000-00006D180000}"/>
    <cellStyle name="Comma 2 7 2 3 3 2 2 2" xfId="6251" xr:uid="{00000000-0005-0000-0000-00006E180000}"/>
    <cellStyle name="Comma 2 7 2 3 3 2 3" xfId="6252" xr:uid="{00000000-0005-0000-0000-00006F180000}"/>
    <cellStyle name="Comma 2 7 2 3 3 3" xfId="6253" xr:uid="{00000000-0005-0000-0000-000070180000}"/>
    <cellStyle name="Comma 2 7 2 3 3 3 2" xfId="6254" xr:uid="{00000000-0005-0000-0000-000071180000}"/>
    <cellStyle name="Comma 2 7 2 3 3 4" xfId="6255" xr:uid="{00000000-0005-0000-0000-000072180000}"/>
    <cellStyle name="Comma 2 7 2 3 3 4 2" xfId="6256" xr:uid="{00000000-0005-0000-0000-000073180000}"/>
    <cellStyle name="Comma 2 7 2 3 3 5" xfId="6257" xr:uid="{00000000-0005-0000-0000-000074180000}"/>
    <cellStyle name="Comma 2 7 2 3 4" xfId="6258" xr:uid="{00000000-0005-0000-0000-000075180000}"/>
    <cellStyle name="Comma 2 7 2 3 4 2" xfId="6259" xr:uid="{00000000-0005-0000-0000-000076180000}"/>
    <cellStyle name="Comma 2 7 2 3 4 2 2" xfId="6260" xr:uid="{00000000-0005-0000-0000-000077180000}"/>
    <cellStyle name="Comma 2 7 2 3 4 3" xfId="6261" xr:uid="{00000000-0005-0000-0000-000078180000}"/>
    <cellStyle name="Comma 2 7 2 3 5" xfId="6262" xr:uid="{00000000-0005-0000-0000-000079180000}"/>
    <cellStyle name="Comma 2 7 2 3 5 2" xfId="6263" xr:uid="{00000000-0005-0000-0000-00007A180000}"/>
    <cellStyle name="Comma 2 7 2 3 6" xfId="6264" xr:uid="{00000000-0005-0000-0000-00007B180000}"/>
    <cellStyle name="Comma 2 7 2 3 6 2" xfId="6265" xr:uid="{00000000-0005-0000-0000-00007C180000}"/>
    <cellStyle name="Comma 2 7 2 3 7" xfId="6266" xr:uid="{00000000-0005-0000-0000-00007D180000}"/>
    <cellStyle name="Comma 2 7 2 4" xfId="6267" xr:uid="{00000000-0005-0000-0000-00007E180000}"/>
    <cellStyle name="Comma 2 7 2 4 2" xfId="6268" xr:uid="{00000000-0005-0000-0000-00007F180000}"/>
    <cellStyle name="Comma 2 7 2 4 2 2" xfId="6269" xr:uid="{00000000-0005-0000-0000-000080180000}"/>
    <cellStyle name="Comma 2 7 2 4 2 2 2" xfId="6270" xr:uid="{00000000-0005-0000-0000-000081180000}"/>
    <cellStyle name="Comma 2 7 2 4 2 2 2 2" xfId="6271" xr:uid="{00000000-0005-0000-0000-000082180000}"/>
    <cellStyle name="Comma 2 7 2 4 2 2 3" xfId="6272" xr:uid="{00000000-0005-0000-0000-000083180000}"/>
    <cellStyle name="Comma 2 7 2 4 2 3" xfId="6273" xr:uid="{00000000-0005-0000-0000-000084180000}"/>
    <cellStyle name="Comma 2 7 2 4 2 3 2" xfId="6274" xr:uid="{00000000-0005-0000-0000-000085180000}"/>
    <cellStyle name="Comma 2 7 2 4 2 4" xfId="6275" xr:uid="{00000000-0005-0000-0000-000086180000}"/>
    <cellStyle name="Comma 2 7 2 4 2 4 2" xfId="6276" xr:uid="{00000000-0005-0000-0000-000087180000}"/>
    <cellStyle name="Comma 2 7 2 4 2 5" xfId="6277" xr:uid="{00000000-0005-0000-0000-000088180000}"/>
    <cellStyle name="Comma 2 7 2 4 3" xfId="6278" xr:uid="{00000000-0005-0000-0000-000089180000}"/>
    <cellStyle name="Comma 2 7 2 4 3 2" xfId="6279" xr:uid="{00000000-0005-0000-0000-00008A180000}"/>
    <cellStyle name="Comma 2 7 2 4 3 2 2" xfId="6280" xr:uid="{00000000-0005-0000-0000-00008B180000}"/>
    <cellStyle name="Comma 2 7 2 4 3 3" xfId="6281" xr:uid="{00000000-0005-0000-0000-00008C180000}"/>
    <cellStyle name="Comma 2 7 2 4 4" xfId="6282" xr:uid="{00000000-0005-0000-0000-00008D180000}"/>
    <cellStyle name="Comma 2 7 2 4 4 2" xfId="6283" xr:uid="{00000000-0005-0000-0000-00008E180000}"/>
    <cellStyle name="Comma 2 7 2 4 5" xfId="6284" xr:uid="{00000000-0005-0000-0000-00008F180000}"/>
    <cellStyle name="Comma 2 7 2 4 5 2" xfId="6285" xr:uid="{00000000-0005-0000-0000-000090180000}"/>
    <cellStyle name="Comma 2 7 2 4 6" xfId="6286" xr:uid="{00000000-0005-0000-0000-000091180000}"/>
    <cellStyle name="Comma 2 7 2 5" xfId="6287" xr:uid="{00000000-0005-0000-0000-000092180000}"/>
    <cellStyle name="Comma 2 7 2 5 2" xfId="6288" xr:uid="{00000000-0005-0000-0000-000093180000}"/>
    <cellStyle name="Comma 2 7 2 5 2 2" xfId="6289" xr:uid="{00000000-0005-0000-0000-000094180000}"/>
    <cellStyle name="Comma 2 7 2 5 2 2 2" xfId="6290" xr:uid="{00000000-0005-0000-0000-000095180000}"/>
    <cellStyle name="Comma 2 7 2 5 2 3" xfId="6291" xr:uid="{00000000-0005-0000-0000-000096180000}"/>
    <cellStyle name="Comma 2 7 2 5 3" xfId="6292" xr:uid="{00000000-0005-0000-0000-000097180000}"/>
    <cellStyle name="Comma 2 7 2 5 3 2" xfId="6293" xr:uid="{00000000-0005-0000-0000-000098180000}"/>
    <cellStyle name="Comma 2 7 2 5 4" xfId="6294" xr:uid="{00000000-0005-0000-0000-000099180000}"/>
    <cellStyle name="Comma 2 7 2 5 4 2" xfId="6295" xr:uid="{00000000-0005-0000-0000-00009A180000}"/>
    <cellStyle name="Comma 2 7 2 5 5" xfId="6296" xr:uid="{00000000-0005-0000-0000-00009B180000}"/>
    <cellStyle name="Comma 2 7 2 6" xfId="6297" xr:uid="{00000000-0005-0000-0000-00009C180000}"/>
    <cellStyle name="Comma 2 7 2 6 2" xfId="6298" xr:uid="{00000000-0005-0000-0000-00009D180000}"/>
    <cellStyle name="Comma 2 7 2 6 2 2" xfId="6299" xr:uid="{00000000-0005-0000-0000-00009E180000}"/>
    <cellStyle name="Comma 2 7 2 6 3" xfId="6300" xr:uid="{00000000-0005-0000-0000-00009F180000}"/>
    <cellStyle name="Comma 2 7 2 7" xfId="6301" xr:uid="{00000000-0005-0000-0000-0000A0180000}"/>
    <cellStyle name="Comma 2 7 2 7 2" xfId="6302" xr:uid="{00000000-0005-0000-0000-0000A1180000}"/>
    <cellStyle name="Comma 2 7 2 8" xfId="6303" xr:uid="{00000000-0005-0000-0000-0000A2180000}"/>
    <cellStyle name="Comma 2 7 2 8 2" xfId="6304" xr:uid="{00000000-0005-0000-0000-0000A3180000}"/>
    <cellStyle name="Comma 2 7 2 9" xfId="6305" xr:uid="{00000000-0005-0000-0000-0000A4180000}"/>
    <cellStyle name="Comma 2 7 3" xfId="6306" xr:uid="{00000000-0005-0000-0000-0000A5180000}"/>
    <cellStyle name="Comma 2 7 3 2" xfId="6307" xr:uid="{00000000-0005-0000-0000-0000A6180000}"/>
    <cellStyle name="Comma 2 7 3 2 2" xfId="6308" xr:uid="{00000000-0005-0000-0000-0000A7180000}"/>
    <cellStyle name="Comma 2 7 3 2 2 2" xfId="6309" xr:uid="{00000000-0005-0000-0000-0000A8180000}"/>
    <cellStyle name="Comma 2 7 3 2 2 2 2" xfId="6310" xr:uid="{00000000-0005-0000-0000-0000A9180000}"/>
    <cellStyle name="Comma 2 7 3 2 2 2 2 2" xfId="6311" xr:uid="{00000000-0005-0000-0000-0000AA180000}"/>
    <cellStyle name="Comma 2 7 3 2 2 2 2 2 2" xfId="6312" xr:uid="{00000000-0005-0000-0000-0000AB180000}"/>
    <cellStyle name="Comma 2 7 3 2 2 2 2 3" xfId="6313" xr:uid="{00000000-0005-0000-0000-0000AC180000}"/>
    <cellStyle name="Comma 2 7 3 2 2 2 3" xfId="6314" xr:uid="{00000000-0005-0000-0000-0000AD180000}"/>
    <cellStyle name="Comma 2 7 3 2 2 2 3 2" xfId="6315" xr:uid="{00000000-0005-0000-0000-0000AE180000}"/>
    <cellStyle name="Comma 2 7 3 2 2 2 4" xfId="6316" xr:uid="{00000000-0005-0000-0000-0000AF180000}"/>
    <cellStyle name="Comma 2 7 3 2 2 2 4 2" xfId="6317" xr:uid="{00000000-0005-0000-0000-0000B0180000}"/>
    <cellStyle name="Comma 2 7 3 2 2 2 5" xfId="6318" xr:uid="{00000000-0005-0000-0000-0000B1180000}"/>
    <cellStyle name="Comma 2 7 3 2 2 3" xfId="6319" xr:uid="{00000000-0005-0000-0000-0000B2180000}"/>
    <cellStyle name="Comma 2 7 3 2 2 3 2" xfId="6320" xr:uid="{00000000-0005-0000-0000-0000B3180000}"/>
    <cellStyle name="Comma 2 7 3 2 2 3 2 2" xfId="6321" xr:uid="{00000000-0005-0000-0000-0000B4180000}"/>
    <cellStyle name="Comma 2 7 3 2 2 3 3" xfId="6322" xr:uid="{00000000-0005-0000-0000-0000B5180000}"/>
    <cellStyle name="Comma 2 7 3 2 2 4" xfId="6323" xr:uid="{00000000-0005-0000-0000-0000B6180000}"/>
    <cellStyle name="Comma 2 7 3 2 2 4 2" xfId="6324" xr:uid="{00000000-0005-0000-0000-0000B7180000}"/>
    <cellStyle name="Comma 2 7 3 2 2 5" xfId="6325" xr:uid="{00000000-0005-0000-0000-0000B8180000}"/>
    <cellStyle name="Comma 2 7 3 2 2 5 2" xfId="6326" xr:uid="{00000000-0005-0000-0000-0000B9180000}"/>
    <cellStyle name="Comma 2 7 3 2 2 6" xfId="6327" xr:uid="{00000000-0005-0000-0000-0000BA180000}"/>
    <cellStyle name="Comma 2 7 3 2 3" xfId="6328" xr:uid="{00000000-0005-0000-0000-0000BB180000}"/>
    <cellStyle name="Comma 2 7 3 2 3 2" xfId="6329" xr:uid="{00000000-0005-0000-0000-0000BC180000}"/>
    <cellStyle name="Comma 2 7 3 2 3 2 2" xfId="6330" xr:uid="{00000000-0005-0000-0000-0000BD180000}"/>
    <cellStyle name="Comma 2 7 3 2 3 2 2 2" xfId="6331" xr:uid="{00000000-0005-0000-0000-0000BE180000}"/>
    <cellStyle name="Comma 2 7 3 2 3 2 3" xfId="6332" xr:uid="{00000000-0005-0000-0000-0000BF180000}"/>
    <cellStyle name="Comma 2 7 3 2 3 3" xfId="6333" xr:uid="{00000000-0005-0000-0000-0000C0180000}"/>
    <cellStyle name="Comma 2 7 3 2 3 3 2" xfId="6334" xr:uid="{00000000-0005-0000-0000-0000C1180000}"/>
    <cellStyle name="Comma 2 7 3 2 3 4" xfId="6335" xr:uid="{00000000-0005-0000-0000-0000C2180000}"/>
    <cellStyle name="Comma 2 7 3 2 3 4 2" xfId="6336" xr:uid="{00000000-0005-0000-0000-0000C3180000}"/>
    <cellStyle name="Comma 2 7 3 2 3 5" xfId="6337" xr:uid="{00000000-0005-0000-0000-0000C4180000}"/>
    <cellStyle name="Comma 2 7 3 2 4" xfId="6338" xr:uid="{00000000-0005-0000-0000-0000C5180000}"/>
    <cellStyle name="Comma 2 7 3 2 4 2" xfId="6339" xr:uid="{00000000-0005-0000-0000-0000C6180000}"/>
    <cellStyle name="Comma 2 7 3 2 4 2 2" xfId="6340" xr:uid="{00000000-0005-0000-0000-0000C7180000}"/>
    <cellStyle name="Comma 2 7 3 2 4 3" xfId="6341" xr:uid="{00000000-0005-0000-0000-0000C8180000}"/>
    <cellStyle name="Comma 2 7 3 2 5" xfId="6342" xr:uid="{00000000-0005-0000-0000-0000C9180000}"/>
    <cellStyle name="Comma 2 7 3 2 5 2" xfId="6343" xr:uid="{00000000-0005-0000-0000-0000CA180000}"/>
    <cellStyle name="Comma 2 7 3 2 6" xfId="6344" xr:uid="{00000000-0005-0000-0000-0000CB180000}"/>
    <cellStyle name="Comma 2 7 3 2 6 2" xfId="6345" xr:uid="{00000000-0005-0000-0000-0000CC180000}"/>
    <cellStyle name="Comma 2 7 3 2 7" xfId="6346" xr:uid="{00000000-0005-0000-0000-0000CD180000}"/>
    <cellStyle name="Comma 2 7 3 3" xfId="6347" xr:uid="{00000000-0005-0000-0000-0000CE180000}"/>
    <cellStyle name="Comma 2 7 3 3 2" xfId="6348" xr:uid="{00000000-0005-0000-0000-0000CF180000}"/>
    <cellStyle name="Comma 2 7 3 3 2 2" xfId="6349" xr:uid="{00000000-0005-0000-0000-0000D0180000}"/>
    <cellStyle name="Comma 2 7 3 3 2 2 2" xfId="6350" xr:uid="{00000000-0005-0000-0000-0000D1180000}"/>
    <cellStyle name="Comma 2 7 3 3 2 2 2 2" xfId="6351" xr:uid="{00000000-0005-0000-0000-0000D2180000}"/>
    <cellStyle name="Comma 2 7 3 3 2 2 2 2 2" xfId="6352" xr:uid="{00000000-0005-0000-0000-0000D3180000}"/>
    <cellStyle name="Comma 2 7 3 3 2 2 2 3" xfId="6353" xr:uid="{00000000-0005-0000-0000-0000D4180000}"/>
    <cellStyle name="Comma 2 7 3 3 2 2 3" xfId="6354" xr:uid="{00000000-0005-0000-0000-0000D5180000}"/>
    <cellStyle name="Comma 2 7 3 3 2 2 3 2" xfId="6355" xr:uid="{00000000-0005-0000-0000-0000D6180000}"/>
    <cellStyle name="Comma 2 7 3 3 2 2 4" xfId="6356" xr:uid="{00000000-0005-0000-0000-0000D7180000}"/>
    <cellStyle name="Comma 2 7 3 3 2 2 4 2" xfId="6357" xr:uid="{00000000-0005-0000-0000-0000D8180000}"/>
    <cellStyle name="Comma 2 7 3 3 2 2 5" xfId="6358" xr:uid="{00000000-0005-0000-0000-0000D9180000}"/>
    <cellStyle name="Comma 2 7 3 3 2 3" xfId="6359" xr:uid="{00000000-0005-0000-0000-0000DA180000}"/>
    <cellStyle name="Comma 2 7 3 3 2 3 2" xfId="6360" xr:uid="{00000000-0005-0000-0000-0000DB180000}"/>
    <cellStyle name="Comma 2 7 3 3 2 3 2 2" xfId="6361" xr:uid="{00000000-0005-0000-0000-0000DC180000}"/>
    <cellStyle name="Comma 2 7 3 3 2 3 3" xfId="6362" xr:uid="{00000000-0005-0000-0000-0000DD180000}"/>
    <cellStyle name="Comma 2 7 3 3 2 4" xfId="6363" xr:uid="{00000000-0005-0000-0000-0000DE180000}"/>
    <cellStyle name="Comma 2 7 3 3 2 4 2" xfId="6364" xr:uid="{00000000-0005-0000-0000-0000DF180000}"/>
    <cellStyle name="Comma 2 7 3 3 2 5" xfId="6365" xr:uid="{00000000-0005-0000-0000-0000E0180000}"/>
    <cellStyle name="Comma 2 7 3 3 2 5 2" xfId="6366" xr:uid="{00000000-0005-0000-0000-0000E1180000}"/>
    <cellStyle name="Comma 2 7 3 3 2 6" xfId="6367" xr:uid="{00000000-0005-0000-0000-0000E2180000}"/>
    <cellStyle name="Comma 2 7 3 3 3" xfId="6368" xr:uid="{00000000-0005-0000-0000-0000E3180000}"/>
    <cellStyle name="Comma 2 7 3 3 3 2" xfId="6369" xr:uid="{00000000-0005-0000-0000-0000E4180000}"/>
    <cellStyle name="Comma 2 7 3 3 3 2 2" xfId="6370" xr:uid="{00000000-0005-0000-0000-0000E5180000}"/>
    <cellStyle name="Comma 2 7 3 3 3 2 2 2" xfId="6371" xr:uid="{00000000-0005-0000-0000-0000E6180000}"/>
    <cellStyle name="Comma 2 7 3 3 3 2 3" xfId="6372" xr:uid="{00000000-0005-0000-0000-0000E7180000}"/>
    <cellStyle name="Comma 2 7 3 3 3 3" xfId="6373" xr:uid="{00000000-0005-0000-0000-0000E8180000}"/>
    <cellStyle name="Comma 2 7 3 3 3 3 2" xfId="6374" xr:uid="{00000000-0005-0000-0000-0000E9180000}"/>
    <cellStyle name="Comma 2 7 3 3 3 4" xfId="6375" xr:uid="{00000000-0005-0000-0000-0000EA180000}"/>
    <cellStyle name="Comma 2 7 3 3 3 4 2" xfId="6376" xr:uid="{00000000-0005-0000-0000-0000EB180000}"/>
    <cellStyle name="Comma 2 7 3 3 3 5" xfId="6377" xr:uid="{00000000-0005-0000-0000-0000EC180000}"/>
    <cellStyle name="Comma 2 7 3 3 4" xfId="6378" xr:uid="{00000000-0005-0000-0000-0000ED180000}"/>
    <cellStyle name="Comma 2 7 3 3 4 2" xfId="6379" xr:uid="{00000000-0005-0000-0000-0000EE180000}"/>
    <cellStyle name="Comma 2 7 3 3 4 2 2" xfId="6380" xr:uid="{00000000-0005-0000-0000-0000EF180000}"/>
    <cellStyle name="Comma 2 7 3 3 4 3" xfId="6381" xr:uid="{00000000-0005-0000-0000-0000F0180000}"/>
    <cellStyle name="Comma 2 7 3 3 5" xfId="6382" xr:uid="{00000000-0005-0000-0000-0000F1180000}"/>
    <cellStyle name="Comma 2 7 3 3 5 2" xfId="6383" xr:uid="{00000000-0005-0000-0000-0000F2180000}"/>
    <cellStyle name="Comma 2 7 3 3 6" xfId="6384" xr:uid="{00000000-0005-0000-0000-0000F3180000}"/>
    <cellStyle name="Comma 2 7 3 3 6 2" xfId="6385" xr:uid="{00000000-0005-0000-0000-0000F4180000}"/>
    <cellStyle name="Comma 2 7 3 3 7" xfId="6386" xr:uid="{00000000-0005-0000-0000-0000F5180000}"/>
    <cellStyle name="Comma 2 7 3 4" xfId="6387" xr:uid="{00000000-0005-0000-0000-0000F6180000}"/>
    <cellStyle name="Comma 2 7 3 4 2" xfId="6388" xr:uid="{00000000-0005-0000-0000-0000F7180000}"/>
    <cellStyle name="Comma 2 7 3 4 2 2" xfId="6389" xr:uid="{00000000-0005-0000-0000-0000F8180000}"/>
    <cellStyle name="Comma 2 7 3 4 2 2 2" xfId="6390" xr:uid="{00000000-0005-0000-0000-0000F9180000}"/>
    <cellStyle name="Comma 2 7 3 4 2 2 2 2" xfId="6391" xr:uid="{00000000-0005-0000-0000-0000FA180000}"/>
    <cellStyle name="Comma 2 7 3 4 2 2 3" xfId="6392" xr:uid="{00000000-0005-0000-0000-0000FB180000}"/>
    <cellStyle name="Comma 2 7 3 4 2 3" xfId="6393" xr:uid="{00000000-0005-0000-0000-0000FC180000}"/>
    <cellStyle name="Comma 2 7 3 4 2 3 2" xfId="6394" xr:uid="{00000000-0005-0000-0000-0000FD180000}"/>
    <cellStyle name="Comma 2 7 3 4 2 4" xfId="6395" xr:uid="{00000000-0005-0000-0000-0000FE180000}"/>
    <cellStyle name="Comma 2 7 3 4 2 4 2" xfId="6396" xr:uid="{00000000-0005-0000-0000-0000FF180000}"/>
    <cellStyle name="Comma 2 7 3 4 2 5" xfId="6397" xr:uid="{00000000-0005-0000-0000-000000190000}"/>
    <cellStyle name="Comma 2 7 3 4 3" xfId="6398" xr:uid="{00000000-0005-0000-0000-000001190000}"/>
    <cellStyle name="Comma 2 7 3 4 3 2" xfId="6399" xr:uid="{00000000-0005-0000-0000-000002190000}"/>
    <cellStyle name="Comma 2 7 3 4 3 2 2" xfId="6400" xr:uid="{00000000-0005-0000-0000-000003190000}"/>
    <cellStyle name="Comma 2 7 3 4 3 3" xfId="6401" xr:uid="{00000000-0005-0000-0000-000004190000}"/>
    <cellStyle name="Comma 2 7 3 4 4" xfId="6402" xr:uid="{00000000-0005-0000-0000-000005190000}"/>
    <cellStyle name="Comma 2 7 3 4 4 2" xfId="6403" xr:uid="{00000000-0005-0000-0000-000006190000}"/>
    <cellStyle name="Comma 2 7 3 4 5" xfId="6404" xr:uid="{00000000-0005-0000-0000-000007190000}"/>
    <cellStyle name="Comma 2 7 3 4 5 2" xfId="6405" xr:uid="{00000000-0005-0000-0000-000008190000}"/>
    <cellStyle name="Comma 2 7 3 4 6" xfId="6406" xr:uid="{00000000-0005-0000-0000-000009190000}"/>
    <cellStyle name="Comma 2 7 3 5" xfId="6407" xr:uid="{00000000-0005-0000-0000-00000A190000}"/>
    <cellStyle name="Comma 2 7 3 5 2" xfId="6408" xr:uid="{00000000-0005-0000-0000-00000B190000}"/>
    <cellStyle name="Comma 2 7 3 5 2 2" xfId="6409" xr:uid="{00000000-0005-0000-0000-00000C190000}"/>
    <cellStyle name="Comma 2 7 3 5 2 2 2" xfId="6410" xr:uid="{00000000-0005-0000-0000-00000D190000}"/>
    <cellStyle name="Comma 2 7 3 5 2 3" xfId="6411" xr:uid="{00000000-0005-0000-0000-00000E190000}"/>
    <cellStyle name="Comma 2 7 3 5 3" xfId="6412" xr:uid="{00000000-0005-0000-0000-00000F190000}"/>
    <cellStyle name="Comma 2 7 3 5 3 2" xfId="6413" xr:uid="{00000000-0005-0000-0000-000010190000}"/>
    <cellStyle name="Comma 2 7 3 5 4" xfId="6414" xr:uid="{00000000-0005-0000-0000-000011190000}"/>
    <cellStyle name="Comma 2 7 3 5 4 2" xfId="6415" xr:uid="{00000000-0005-0000-0000-000012190000}"/>
    <cellStyle name="Comma 2 7 3 5 5" xfId="6416" xr:uid="{00000000-0005-0000-0000-000013190000}"/>
    <cellStyle name="Comma 2 7 3 6" xfId="6417" xr:uid="{00000000-0005-0000-0000-000014190000}"/>
    <cellStyle name="Comma 2 7 3 6 2" xfId="6418" xr:uid="{00000000-0005-0000-0000-000015190000}"/>
    <cellStyle name="Comma 2 7 3 6 2 2" xfId="6419" xr:uid="{00000000-0005-0000-0000-000016190000}"/>
    <cellStyle name="Comma 2 7 3 6 3" xfId="6420" xr:uid="{00000000-0005-0000-0000-000017190000}"/>
    <cellStyle name="Comma 2 7 3 7" xfId="6421" xr:uid="{00000000-0005-0000-0000-000018190000}"/>
    <cellStyle name="Comma 2 7 3 7 2" xfId="6422" xr:uid="{00000000-0005-0000-0000-000019190000}"/>
    <cellStyle name="Comma 2 7 3 8" xfId="6423" xr:uid="{00000000-0005-0000-0000-00001A190000}"/>
    <cellStyle name="Comma 2 7 3 8 2" xfId="6424" xr:uid="{00000000-0005-0000-0000-00001B190000}"/>
    <cellStyle name="Comma 2 7 3 9" xfId="6425" xr:uid="{00000000-0005-0000-0000-00001C190000}"/>
    <cellStyle name="Comma 2 7 4" xfId="6426" xr:uid="{00000000-0005-0000-0000-00001D190000}"/>
    <cellStyle name="Comma 2 7 4 2" xfId="6427" xr:uid="{00000000-0005-0000-0000-00001E190000}"/>
    <cellStyle name="Comma 2 7 4 2 2" xfId="6428" xr:uid="{00000000-0005-0000-0000-00001F190000}"/>
    <cellStyle name="Comma 2 7 4 2 2 2" xfId="6429" xr:uid="{00000000-0005-0000-0000-000020190000}"/>
    <cellStyle name="Comma 2 7 4 2 2 2 2" xfId="6430" xr:uid="{00000000-0005-0000-0000-000021190000}"/>
    <cellStyle name="Comma 2 7 4 2 2 2 2 2" xfId="6431" xr:uid="{00000000-0005-0000-0000-000022190000}"/>
    <cellStyle name="Comma 2 7 4 2 2 2 2 2 2" xfId="6432" xr:uid="{00000000-0005-0000-0000-000023190000}"/>
    <cellStyle name="Comma 2 7 4 2 2 2 2 3" xfId="6433" xr:uid="{00000000-0005-0000-0000-000024190000}"/>
    <cellStyle name="Comma 2 7 4 2 2 2 3" xfId="6434" xr:uid="{00000000-0005-0000-0000-000025190000}"/>
    <cellStyle name="Comma 2 7 4 2 2 2 3 2" xfId="6435" xr:uid="{00000000-0005-0000-0000-000026190000}"/>
    <cellStyle name="Comma 2 7 4 2 2 2 4" xfId="6436" xr:uid="{00000000-0005-0000-0000-000027190000}"/>
    <cellStyle name="Comma 2 7 4 2 2 2 4 2" xfId="6437" xr:uid="{00000000-0005-0000-0000-000028190000}"/>
    <cellStyle name="Comma 2 7 4 2 2 2 5" xfId="6438" xr:uid="{00000000-0005-0000-0000-000029190000}"/>
    <cellStyle name="Comma 2 7 4 2 2 3" xfId="6439" xr:uid="{00000000-0005-0000-0000-00002A190000}"/>
    <cellStyle name="Comma 2 7 4 2 2 3 2" xfId="6440" xr:uid="{00000000-0005-0000-0000-00002B190000}"/>
    <cellStyle name="Comma 2 7 4 2 2 3 2 2" xfId="6441" xr:uid="{00000000-0005-0000-0000-00002C190000}"/>
    <cellStyle name="Comma 2 7 4 2 2 3 3" xfId="6442" xr:uid="{00000000-0005-0000-0000-00002D190000}"/>
    <cellStyle name="Comma 2 7 4 2 2 4" xfId="6443" xr:uid="{00000000-0005-0000-0000-00002E190000}"/>
    <cellStyle name="Comma 2 7 4 2 2 4 2" xfId="6444" xr:uid="{00000000-0005-0000-0000-00002F190000}"/>
    <cellStyle name="Comma 2 7 4 2 2 5" xfId="6445" xr:uid="{00000000-0005-0000-0000-000030190000}"/>
    <cellStyle name="Comma 2 7 4 2 2 5 2" xfId="6446" xr:uid="{00000000-0005-0000-0000-000031190000}"/>
    <cellStyle name="Comma 2 7 4 2 2 6" xfId="6447" xr:uid="{00000000-0005-0000-0000-000032190000}"/>
    <cellStyle name="Comma 2 7 4 2 3" xfId="6448" xr:uid="{00000000-0005-0000-0000-000033190000}"/>
    <cellStyle name="Comma 2 7 4 2 3 2" xfId="6449" xr:uid="{00000000-0005-0000-0000-000034190000}"/>
    <cellStyle name="Comma 2 7 4 2 3 2 2" xfId="6450" xr:uid="{00000000-0005-0000-0000-000035190000}"/>
    <cellStyle name="Comma 2 7 4 2 3 2 2 2" xfId="6451" xr:uid="{00000000-0005-0000-0000-000036190000}"/>
    <cellStyle name="Comma 2 7 4 2 3 2 3" xfId="6452" xr:uid="{00000000-0005-0000-0000-000037190000}"/>
    <cellStyle name="Comma 2 7 4 2 3 3" xfId="6453" xr:uid="{00000000-0005-0000-0000-000038190000}"/>
    <cellStyle name="Comma 2 7 4 2 3 3 2" xfId="6454" xr:uid="{00000000-0005-0000-0000-000039190000}"/>
    <cellStyle name="Comma 2 7 4 2 3 4" xfId="6455" xr:uid="{00000000-0005-0000-0000-00003A190000}"/>
    <cellStyle name="Comma 2 7 4 2 3 4 2" xfId="6456" xr:uid="{00000000-0005-0000-0000-00003B190000}"/>
    <cellStyle name="Comma 2 7 4 2 3 5" xfId="6457" xr:uid="{00000000-0005-0000-0000-00003C190000}"/>
    <cellStyle name="Comma 2 7 4 2 4" xfId="6458" xr:uid="{00000000-0005-0000-0000-00003D190000}"/>
    <cellStyle name="Comma 2 7 4 2 4 2" xfId="6459" xr:uid="{00000000-0005-0000-0000-00003E190000}"/>
    <cellStyle name="Comma 2 7 4 2 4 2 2" xfId="6460" xr:uid="{00000000-0005-0000-0000-00003F190000}"/>
    <cellStyle name="Comma 2 7 4 2 4 3" xfId="6461" xr:uid="{00000000-0005-0000-0000-000040190000}"/>
    <cellStyle name="Comma 2 7 4 2 5" xfId="6462" xr:uid="{00000000-0005-0000-0000-000041190000}"/>
    <cellStyle name="Comma 2 7 4 2 5 2" xfId="6463" xr:uid="{00000000-0005-0000-0000-000042190000}"/>
    <cellStyle name="Comma 2 7 4 2 6" xfId="6464" xr:uid="{00000000-0005-0000-0000-000043190000}"/>
    <cellStyle name="Comma 2 7 4 2 6 2" xfId="6465" xr:uid="{00000000-0005-0000-0000-000044190000}"/>
    <cellStyle name="Comma 2 7 4 2 7" xfId="6466" xr:uid="{00000000-0005-0000-0000-000045190000}"/>
    <cellStyle name="Comma 2 7 4 3" xfId="6467" xr:uid="{00000000-0005-0000-0000-000046190000}"/>
    <cellStyle name="Comma 2 7 4 3 2" xfId="6468" xr:uid="{00000000-0005-0000-0000-000047190000}"/>
    <cellStyle name="Comma 2 7 4 3 2 2" xfId="6469" xr:uid="{00000000-0005-0000-0000-000048190000}"/>
    <cellStyle name="Comma 2 7 4 3 2 2 2" xfId="6470" xr:uid="{00000000-0005-0000-0000-000049190000}"/>
    <cellStyle name="Comma 2 7 4 3 2 2 2 2" xfId="6471" xr:uid="{00000000-0005-0000-0000-00004A190000}"/>
    <cellStyle name="Comma 2 7 4 3 2 2 3" xfId="6472" xr:uid="{00000000-0005-0000-0000-00004B190000}"/>
    <cellStyle name="Comma 2 7 4 3 2 3" xfId="6473" xr:uid="{00000000-0005-0000-0000-00004C190000}"/>
    <cellStyle name="Comma 2 7 4 3 2 3 2" xfId="6474" xr:uid="{00000000-0005-0000-0000-00004D190000}"/>
    <cellStyle name="Comma 2 7 4 3 2 4" xfId="6475" xr:uid="{00000000-0005-0000-0000-00004E190000}"/>
    <cellStyle name="Comma 2 7 4 3 2 4 2" xfId="6476" xr:uid="{00000000-0005-0000-0000-00004F190000}"/>
    <cellStyle name="Comma 2 7 4 3 2 5" xfId="6477" xr:uid="{00000000-0005-0000-0000-000050190000}"/>
    <cellStyle name="Comma 2 7 4 3 3" xfId="6478" xr:uid="{00000000-0005-0000-0000-000051190000}"/>
    <cellStyle name="Comma 2 7 4 3 3 2" xfId="6479" xr:uid="{00000000-0005-0000-0000-000052190000}"/>
    <cellStyle name="Comma 2 7 4 3 3 2 2" xfId="6480" xr:uid="{00000000-0005-0000-0000-000053190000}"/>
    <cellStyle name="Comma 2 7 4 3 3 3" xfId="6481" xr:uid="{00000000-0005-0000-0000-000054190000}"/>
    <cellStyle name="Comma 2 7 4 3 4" xfId="6482" xr:uid="{00000000-0005-0000-0000-000055190000}"/>
    <cellStyle name="Comma 2 7 4 3 4 2" xfId="6483" xr:uid="{00000000-0005-0000-0000-000056190000}"/>
    <cellStyle name="Comma 2 7 4 3 5" xfId="6484" xr:uid="{00000000-0005-0000-0000-000057190000}"/>
    <cellStyle name="Comma 2 7 4 3 5 2" xfId="6485" xr:uid="{00000000-0005-0000-0000-000058190000}"/>
    <cellStyle name="Comma 2 7 4 3 6" xfId="6486" xr:uid="{00000000-0005-0000-0000-000059190000}"/>
    <cellStyle name="Comma 2 7 4 4" xfId="6487" xr:uid="{00000000-0005-0000-0000-00005A190000}"/>
    <cellStyle name="Comma 2 7 4 4 2" xfId="6488" xr:uid="{00000000-0005-0000-0000-00005B190000}"/>
    <cellStyle name="Comma 2 7 4 4 2 2" xfId="6489" xr:uid="{00000000-0005-0000-0000-00005C190000}"/>
    <cellStyle name="Comma 2 7 4 4 2 2 2" xfId="6490" xr:uid="{00000000-0005-0000-0000-00005D190000}"/>
    <cellStyle name="Comma 2 7 4 4 2 3" xfId="6491" xr:uid="{00000000-0005-0000-0000-00005E190000}"/>
    <cellStyle name="Comma 2 7 4 4 3" xfId="6492" xr:uid="{00000000-0005-0000-0000-00005F190000}"/>
    <cellStyle name="Comma 2 7 4 4 3 2" xfId="6493" xr:uid="{00000000-0005-0000-0000-000060190000}"/>
    <cellStyle name="Comma 2 7 4 4 4" xfId="6494" xr:uid="{00000000-0005-0000-0000-000061190000}"/>
    <cellStyle name="Comma 2 7 4 4 4 2" xfId="6495" xr:uid="{00000000-0005-0000-0000-000062190000}"/>
    <cellStyle name="Comma 2 7 4 4 5" xfId="6496" xr:uid="{00000000-0005-0000-0000-000063190000}"/>
    <cellStyle name="Comma 2 7 4 5" xfId="6497" xr:uid="{00000000-0005-0000-0000-000064190000}"/>
    <cellStyle name="Comma 2 7 4 5 2" xfId="6498" xr:uid="{00000000-0005-0000-0000-000065190000}"/>
    <cellStyle name="Comma 2 7 4 5 2 2" xfId="6499" xr:uid="{00000000-0005-0000-0000-000066190000}"/>
    <cellStyle name="Comma 2 7 4 5 3" xfId="6500" xr:uid="{00000000-0005-0000-0000-000067190000}"/>
    <cellStyle name="Comma 2 7 4 6" xfId="6501" xr:uid="{00000000-0005-0000-0000-000068190000}"/>
    <cellStyle name="Comma 2 7 4 6 2" xfId="6502" xr:uid="{00000000-0005-0000-0000-000069190000}"/>
    <cellStyle name="Comma 2 7 4 7" xfId="6503" xr:uid="{00000000-0005-0000-0000-00006A190000}"/>
    <cellStyle name="Comma 2 7 4 7 2" xfId="6504" xr:uid="{00000000-0005-0000-0000-00006B190000}"/>
    <cellStyle name="Comma 2 7 4 8" xfId="6505" xr:uid="{00000000-0005-0000-0000-00006C190000}"/>
    <cellStyle name="Comma 2 7 5" xfId="6506" xr:uid="{00000000-0005-0000-0000-00006D190000}"/>
    <cellStyle name="Comma 2 7 5 2" xfId="6507" xr:uid="{00000000-0005-0000-0000-00006E190000}"/>
    <cellStyle name="Comma 2 7 5 2 2" xfId="6508" xr:uid="{00000000-0005-0000-0000-00006F190000}"/>
    <cellStyle name="Comma 2 7 5 2 2 2" xfId="6509" xr:uid="{00000000-0005-0000-0000-000070190000}"/>
    <cellStyle name="Comma 2 7 5 2 2 2 2" xfId="6510" xr:uid="{00000000-0005-0000-0000-000071190000}"/>
    <cellStyle name="Comma 2 7 5 2 2 2 2 2" xfId="6511" xr:uid="{00000000-0005-0000-0000-000072190000}"/>
    <cellStyle name="Comma 2 7 5 2 2 2 3" xfId="6512" xr:uid="{00000000-0005-0000-0000-000073190000}"/>
    <cellStyle name="Comma 2 7 5 2 2 3" xfId="6513" xr:uid="{00000000-0005-0000-0000-000074190000}"/>
    <cellStyle name="Comma 2 7 5 2 2 3 2" xfId="6514" xr:uid="{00000000-0005-0000-0000-000075190000}"/>
    <cellStyle name="Comma 2 7 5 2 2 4" xfId="6515" xr:uid="{00000000-0005-0000-0000-000076190000}"/>
    <cellStyle name="Comma 2 7 5 2 2 4 2" xfId="6516" xr:uid="{00000000-0005-0000-0000-000077190000}"/>
    <cellStyle name="Comma 2 7 5 2 2 5" xfId="6517" xr:uid="{00000000-0005-0000-0000-000078190000}"/>
    <cellStyle name="Comma 2 7 5 2 3" xfId="6518" xr:uid="{00000000-0005-0000-0000-000079190000}"/>
    <cellStyle name="Comma 2 7 5 2 3 2" xfId="6519" xr:uid="{00000000-0005-0000-0000-00007A190000}"/>
    <cellStyle name="Comma 2 7 5 2 3 2 2" xfId="6520" xr:uid="{00000000-0005-0000-0000-00007B190000}"/>
    <cellStyle name="Comma 2 7 5 2 3 3" xfId="6521" xr:uid="{00000000-0005-0000-0000-00007C190000}"/>
    <cellStyle name="Comma 2 7 5 2 4" xfId="6522" xr:uid="{00000000-0005-0000-0000-00007D190000}"/>
    <cellStyle name="Comma 2 7 5 2 4 2" xfId="6523" xr:uid="{00000000-0005-0000-0000-00007E190000}"/>
    <cellStyle name="Comma 2 7 5 2 5" xfId="6524" xr:uid="{00000000-0005-0000-0000-00007F190000}"/>
    <cellStyle name="Comma 2 7 5 2 5 2" xfId="6525" xr:uid="{00000000-0005-0000-0000-000080190000}"/>
    <cellStyle name="Comma 2 7 5 2 6" xfId="6526" xr:uid="{00000000-0005-0000-0000-000081190000}"/>
    <cellStyle name="Comma 2 7 5 3" xfId="6527" xr:uid="{00000000-0005-0000-0000-000082190000}"/>
    <cellStyle name="Comma 2 7 5 3 2" xfId="6528" xr:uid="{00000000-0005-0000-0000-000083190000}"/>
    <cellStyle name="Comma 2 7 5 3 2 2" xfId="6529" xr:uid="{00000000-0005-0000-0000-000084190000}"/>
    <cellStyle name="Comma 2 7 5 3 2 2 2" xfId="6530" xr:uid="{00000000-0005-0000-0000-000085190000}"/>
    <cellStyle name="Comma 2 7 5 3 2 3" xfId="6531" xr:uid="{00000000-0005-0000-0000-000086190000}"/>
    <cellStyle name="Comma 2 7 5 3 3" xfId="6532" xr:uid="{00000000-0005-0000-0000-000087190000}"/>
    <cellStyle name="Comma 2 7 5 3 3 2" xfId="6533" xr:uid="{00000000-0005-0000-0000-000088190000}"/>
    <cellStyle name="Comma 2 7 5 3 4" xfId="6534" xr:uid="{00000000-0005-0000-0000-000089190000}"/>
    <cellStyle name="Comma 2 7 5 3 4 2" xfId="6535" xr:uid="{00000000-0005-0000-0000-00008A190000}"/>
    <cellStyle name="Comma 2 7 5 3 5" xfId="6536" xr:uid="{00000000-0005-0000-0000-00008B190000}"/>
    <cellStyle name="Comma 2 7 5 4" xfId="6537" xr:uid="{00000000-0005-0000-0000-00008C190000}"/>
    <cellStyle name="Comma 2 7 5 4 2" xfId="6538" xr:uid="{00000000-0005-0000-0000-00008D190000}"/>
    <cellStyle name="Comma 2 7 5 4 2 2" xfId="6539" xr:uid="{00000000-0005-0000-0000-00008E190000}"/>
    <cellStyle name="Comma 2 7 5 4 3" xfId="6540" xr:uid="{00000000-0005-0000-0000-00008F190000}"/>
    <cellStyle name="Comma 2 7 5 5" xfId="6541" xr:uid="{00000000-0005-0000-0000-000090190000}"/>
    <cellStyle name="Comma 2 7 5 5 2" xfId="6542" xr:uid="{00000000-0005-0000-0000-000091190000}"/>
    <cellStyle name="Comma 2 7 5 6" xfId="6543" xr:uid="{00000000-0005-0000-0000-000092190000}"/>
    <cellStyle name="Comma 2 7 5 6 2" xfId="6544" xr:uid="{00000000-0005-0000-0000-000093190000}"/>
    <cellStyle name="Comma 2 7 5 7" xfId="6545" xr:uid="{00000000-0005-0000-0000-000094190000}"/>
    <cellStyle name="Comma 2 7 6" xfId="6546" xr:uid="{00000000-0005-0000-0000-000095190000}"/>
    <cellStyle name="Comma 2 7 6 2" xfId="6547" xr:uid="{00000000-0005-0000-0000-000096190000}"/>
    <cellStyle name="Comma 2 7 6 2 2" xfId="6548" xr:uid="{00000000-0005-0000-0000-000097190000}"/>
    <cellStyle name="Comma 2 7 6 2 2 2" xfId="6549" xr:uid="{00000000-0005-0000-0000-000098190000}"/>
    <cellStyle name="Comma 2 7 6 2 2 2 2" xfId="6550" xr:uid="{00000000-0005-0000-0000-000099190000}"/>
    <cellStyle name="Comma 2 7 6 2 2 2 2 2" xfId="6551" xr:uid="{00000000-0005-0000-0000-00009A190000}"/>
    <cellStyle name="Comma 2 7 6 2 2 2 3" xfId="6552" xr:uid="{00000000-0005-0000-0000-00009B190000}"/>
    <cellStyle name="Comma 2 7 6 2 2 3" xfId="6553" xr:uid="{00000000-0005-0000-0000-00009C190000}"/>
    <cellStyle name="Comma 2 7 6 2 2 3 2" xfId="6554" xr:uid="{00000000-0005-0000-0000-00009D190000}"/>
    <cellStyle name="Comma 2 7 6 2 2 4" xfId="6555" xr:uid="{00000000-0005-0000-0000-00009E190000}"/>
    <cellStyle name="Comma 2 7 6 2 2 4 2" xfId="6556" xr:uid="{00000000-0005-0000-0000-00009F190000}"/>
    <cellStyle name="Comma 2 7 6 2 2 5" xfId="6557" xr:uid="{00000000-0005-0000-0000-0000A0190000}"/>
    <cellStyle name="Comma 2 7 6 2 3" xfId="6558" xr:uid="{00000000-0005-0000-0000-0000A1190000}"/>
    <cellStyle name="Comma 2 7 6 2 3 2" xfId="6559" xr:uid="{00000000-0005-0000-0000-0000A2190000}"/>
    <cellStyle name="Comma 2 7 6 2 3 2 2" xfId="6560" xr:uid="{00000000-0005-0000-0000-0000A3190000}"/>
    <cellStyle name="Comma 2 7 6 2 3 3" xfId="6561" xr:uid="{00000000-0005-0000-0000-0000A4190000}"/>
    <cellStyle name="Comma 2 7 6 2 4" xfId="6562" xr:uid="{00000000-0005-0000-0000-0000A5190000}"/>
    <cellStyle name="Comma 2 7 6 2 4 2" xfId="6563" xr:uid="{00000000-0005-0000-0000-0000A6190000}"/>
    <cellStyle name="Comma 2 7 6 2 5" xfId="6564" xr:uid="{00000000-0005-0000-0000-0000A7190000}"/>
    <cellStyle name="Comma 2 7 6 2 5 2" xfId="6565" xr:uid="{00000000-0005-0000-0000-0000A8190000}"/>
    <cellStyle name="Comma 2 7 6 2 6" xfId="6566" xr:uid="{00000000-0005-0000-0000-0000A9190000}"/>
    <cellStyle name="Comma 2 7 6 3" xfId="6567" xr:uid="{00000000-0005-0000-0000-0000AA190000}"/>
    <cellStyle name="Comma 2 7 6 3 2" xfId="6568" xr:uid="{00000000-0005-0000-0000-0000AB190000}"/>
    <cellStyle name="Comma 2 7 6 3 2 2" xfId="6569" xr:uid="{00000000-0005-0000-0000-0000AC190000}"/>
    <cellStyle name="Comma 2 7 6 3 2 2 2" xfId="6570" xr:uid="{00000000-0005-0000-0000-0000AD190000}"/>
    <cellStyle name="Comma 2 7 6 3 2 3" xfId="6571" xr:uid="{00000000-0005-0000-0000-0000AE190000}"/>
    <cellStyle name="Comma 2 7 6 3 3" xfId="6572" xr:uid="{00000000-0005-0000-0000-0000AF190000}"/>
    <cellStyle name="Comma 2 7 6 3 3 2" xfId="6573" xr:uid="{00000000-0005-0000-0000-0000B0190000}"/>
    <cellStyle name="Comma 2 7 6 3 4" xfId="6574" xr:uid="{00000000-0005-0000-0000-0000B1190000}"/>
    <cellStyle name="Comma 2 7 6 3 4 2" xfId="6575" xr:uid="{00000000-0005-0000-0000-0000B2190000}"/>
    <cellStyle name="Comma 2 7 6 3 5" xfId="6576" xr:uid="{00000000-0005-0000-0000-0000B3190000}"/>
    <cellStyle name="Comma 2 7 6 4" xfId="6577" xr:uid="{00000000-0005-0000-0000-0000B4190000}"/>
    <cellStyle name="Comma 2 7 6 4 2" xfId="6578" xr:uid="{00000000-0005-0000-0000-0000B5190000}"/>
    <cellStyle name="Comma 2 7 6 4 2 2" xfId="6579" xr:uid="{00000000-0005-0000-0000-0000B6190000}"/>
    <cellStyle name="Comma 2 7 6 4 3" xfId="6580" xr:uid="{00000000-0005-0000-0000-0000B7190000}"/>
    <cellStyle name="Comma 2 7 6 5" xfId="6581" xr:uid="{00000000-0005-0000-0000-0000B8190000}"/>
    <cellStyle name="Comma 2 7 6 5 2" xfId="6582" xr:uid="{00000000-0005-0000-0000-0000B9190000}"/>
    <cellStyle name="Comma 2 7 6 6" xfId="6583" xr:uid="{00000000-0005-0000-0000-0000BA190000}"/>
    <cellStyle name="Comma 2 7 6 6 2" xfId="6584" xr:uid="{00000000-0005-0000-0000-0000BB190000}"/>
    <cellStyle name="Comma 2 7 6 7" xfId="6585" xr:uid="{00000000-0005-0000-0000-0000BC190000}"/>
    <cellStyle name="Comma 2 7 7" xfId="6586" xr:uid="{00000000-0005-0000-0000-0000BD190000}"/>
    <cellStyle name="Comma 2 7 7 2" xfId="6587" xr:uid="{00000000-0005-0000-0000-0000BE190000}"/>
    <cellStyle name="Comma 2 7 7 2 2" xfId="6588" xr:uid="{00000000-0005-0000-0000-0000BF190000}"/>
    <cellStyle name="Comma 2 7 7 2 2 2" xfId="6589" xr:uid="{00000000-0005-0000-0000-0000C0190000}"/>
    <cellStyle name="Comma 2 7 7 2 2 2 2" xfId="6590" xr:uid="{00000000-0005-0000-0000-0000C1190000}"/>
    <cellStyle name="Comma 2 7 7 2 2 3" xfId="6591" xr:uid="{00000000-0005-0000-0000-0000C2190000}"/>
    <cellStyle name="Comma 2 7 7 2 3" xfId="6592" xr:uid="{00000000-0005-0000-0000-0000C3190000}"/>
    <cellStyle name="Comma 2 7 7 2 3 2" xfId="6593" xr:uid="{00000000-0005-0000-0000-0000C4190000}"/>
    <cellStyle name="Comma 2 7 7 2 4" xfId="6594" xr:uid="{00000000-0005-0000-0000-0000C5190000}"/>
    <cellStyle name="Comma 2 7 7 2 4 2" xfId="6595" xr:uid="{00000000-0005-0000-0000-0000C6190000}"/>
    <cellStyle name="Comma 2 7 7 2 5" xfId="6596" xr:uid="{00000000-0005-0000-0000-0000C7190000}"/>
    <cellStyle name="Comma 2 7 7 3" xfId="6597" xr:uid="{00000000-0005-0000-0000-0000C8190000}"/>
    <cellStyle name="Comma 2 7 7 3 2" xfId="6598" xr:uid="{00000000-0005-0000-0000-0000C9190000}"/>
    <cellStyle name="Comma 2 7 7 3 2 2" xfId="6599" xr:uid="{00000000-0005-0000-0000-0000CA190000}"/>
    <cellStyle name="Comma 2 7 7 3 3" xfId="6600" xr:uid="{00000000-0005-0000-0000-0000CB190000}"/>
    <cellStyle name="Comma 2 7 7 4" xfId="6601" xr:uid="{00000000-0005-0000-0000-0000CC190000}"/>
    <cellStyle name="Comma 2 7 7 4 2" xfId="6602" xr:uid="{00000000-0005-0000-0000-0000CD190000}"/>
    <cellStyle name="Comma 2 7 7 5" xfId="6603" xr:uid="{00000000-0005-0000-0000-0000CE190000}"/>
    <cellStyle name="Comma 2 7 7 5 2" xfId="6604" xr:uid="{00000000-0005-0000-0000-0000CF190000}"/>
    <cellStyle name="Comma 2 7 7 6" xfId="6605" xr:uid="{00000000-0005-0000-0000-0000D0190000}"/>
    <cellStyle name="Comma 2 7 8" xfId="6606" xr:uid="{00000000-0005-0000-0000-0000D1190000}"/>
    <cellStyle name="Comma 2 7 8 2" xfId="6607" xr:uid="{00000000-0005-0000-0000-0000D2190000}"/>
    <cellStyle name="Comma 2 7 8 2 2" xfId="6608" xr:uid="{00000000-0005-0000-0000-0000D3190000}"/>
    <cellStyle name="Comma 2 7 8 2 2 2" xfId="6609" xr:uid="{00000000-0005-0000-0000-0000D4190000}"/>
    <cellStyle name="Comma 2 7 8 2 3" xfId="6610" xr:uid="{00000000-0005-0000-0000-0000D5190000}"/>
    <cellStyle name="Comma 2 7 8 3" xfId="6611" xr:uid="{00000000-0005-0000-0000-0000D6190000}"/>
    <cellStyle name="Comma 2 7 8 3 2" xfId="6612" xr:uid="{00000000-0005-0000-0000-0000D7190000}"/>
    <cellStyle name="Comma 2 7 8 4" xfId="6613" xr:uid="{00000000-0005-0000-0000-0000D8190000}"/>
    <cellStyle name="Comma 2 7 8 4 2" xfId="6614" xr:uid="{00000000-0005-0000-0000-0000D9190000}"/>
    <cellStyle name="Comma 2 7 8 5" xfId="6615" xr:uid="{00000000-0005-0000-0000-0000DA190000}"/>
    <cellStyle name="Comma 2 7 9" xfId="6616" xr:uid="{00000000-0005-0000-0000-0000DB190000}"/>
    <cellStyle name="Comma 2 7 9 2" xfId="6617" xr:uid="{00000000-0005-0000-0000-0000DC190000}"/>
    <cellStyle name="Comma 2 7 9 2 2" xfId="6618" xr:uid="{00000000-0005-0000-0000-0000DD190000}"/>
    <cellStyle name="Comma 2 7 9 3" xfId="6619" xr:uid="{00000000-0005-0000-0000-0000DE190000}"/>
    <cellStyle name="Comma 2 8" xfId="6620" xr:uid="{00000000-0005-0000-0000-0000DF190000}"/>
    <cellStyle name="Comma 2 8 10" xfId="6621" xr:uid="{00000000-0005-0000-0000-0000E0190000}"/>
    <cellStyle name="Comma 2 8 10 2" xfId="6622" xr:uid="{00000000-0005-0000-0000-0000E1190000}"/>
    <cellStyle name="Comma 2 8 11" xfId="6623" xr:uid="{00000000-0005-0000-0000-0000E2190000}"/>
    <cellStyle name="Comma 2 8 2" xfId="6624" xr:uid="{00000000-0005-0000-0000-0000E3190000}"/>
    <cellStyle name="Comma 2 8 2 2" xfId="6625" xr:uid="{00000000-0005-0000-0000-0000E4190000}"/>
    <cellStyle name="Comma 2 8 2 2 2" xfId="6626" xr:uid="{00000000-0005-0000-0000-0000E5190000}"/>
    <cellStyle name="Comma 2 8 2 2 2 2" xfId="6627" xr:uid="{00000000-0005-0000-0000-0000E6190000}"/>
    <cellStyle name="Comma 2 8 2 2 2 2 2" xfId="6628" xr:uid="{00000000-0005-0000-0000-0000E7190000}"/>
    <cellStyle name="Comma 2 8 2 2 2 2 2 2" xfId="6629" xr:uid="{00000000-0005-0000-0000-0000E8190000}"/>
    <cellStyle name="Comma 2 8 2 2 2 2 2 2 2" xfId="6630" xr:uid="{00000000-0005-0000-0000-0000E9190000}"/>
    <cellStyle name="Comma 2 8 2 2 2 2 2 3" xfId="6631" xr:uid="{00000000-0005-0000-0000-0000EA190000}"/>
    <cellStyle name="Comma 2 8 2 2 2 2 3" xfId="6632" xr:uid="{00000000-0005-0000-0000-0000EB190000}"/>
    <cellStyle name="Comma 2 8 2 2 2 2 3 2" xfId="6633" xr:uid="{00000000-0005-0000-0000-0000EC190000}"/>
    <cellStyle name="Comma 2 8 2 2 2 2 4" xfId="6634" xr:uid="{00000000-0005-0000-0000-0000ED190000}"/>
    <cellStyle name="Comma 2 8 2 2 2 2 4 2" xfId="6635" xr:uid="{00000000-0005-0000-0000-0000EE190000}"/>
    <cellStyle name="Comma 2 8 2 2 2 2 5" xfId="6636" xr:uid="{00000000-0005-0000-0000-0000EF190000}"/>
    <cellStyle name="Comma 2 8 2 2 2 3" xfId="6637" xr:uid="{00000000-0005-0000-0000-0000F0190000}"/>
    <cellStyle name="Comma 2 8 2 2 2 3 2" xfId="6638" xr:uid="{00000000-0005-0000-0000-0000F1190000}"/>
    <cellStyle name="Comma 2 8 2 2 2 3 2 2" xfId="6639" xr:uid="{00000000-0005-0000-0000-0000F2190000}"/>
    <cellStyle name="Comma 2 8 2 2 2 3 3" xfId="6640" xr:uid="{00000000-0005-0000-0000-0000F3190000}"/>
    <cellStyle name="Comma 2 8 2 2 2 4" xfId="6641" xr:uid="{00000000-0005-0000-0000-0000F4190000}"/>
    <cellStyle name="Comma 2 8 2 2 2 4 2" xfId="6642" xr:uid="{00000000-0005-0000-0000-0000F5190000}"/>
    <cellStyle name="Comma 2 8 2 2 2 5" xfId="6643" xr:uid="{00000000-0005-0000-0000-0000F6190000}"/>
    <cellStyle name="Comma 2 8 2 2 2 5 2" xfId="6644" xr:uid="{00000000-0005-0000-0000-0000F7190000}"/>
    <cellStyle name="Comma 2 8 2 2 2 6" xfId="6645" xr:uid="{00000000-0005-0000-0000-0000F8190000}"/>
    <cellStyle name="Comma 2 8 2 2 3" xfId="6646" xr:uid="{00000000-0005-0000-0000-0000F9190000}"/>
    <cellStyle name="Comma 2 8 2 2 3 2" xfId="6647" xr:uid="{00000000-0005-0000-0000-0000FA190000}"/>
    <cellStyle name="Comma 2 8 2 2 3 2 2" xfId="6648" xr:uid="{00000000-0005-0000-0000-0000FB190000}"/>
    <cellStyle name="Comma 2 8 2 2 3 2 2 2" xfId="6649" xr:uid="{00000000-0005-0000-0000-0000FC190000}"/>
    <cellStyle name="Comma 2 8 2 2 3 2 3" xfId="6650" xr:uid="{00000000-0005-0000-0000-0000FD190000}"/>
    <cellStyle name="Comma 2 8 2 2 3 3" xfId="6651" xr:uid="{00000000-0005-0000-0000-0000FE190000}"/>
    <cellStyle name="Comma 2 8 2 2 3 3 2" xfId="6652" xr:uid="{00000000-0005-0000-0000-0000FF190000}"/>
    <cellStyle name="Comma 2 8 2 2 3 4" xfId="6653" xr:uid="{00000000-0005-0000-0000-0000001A0000}"/>
    <cellStyle name="Comma 2 8 2 2 3 4 2" xfId="6654" xr:uid="{00000000-0005-0000-0000-0000011A0000}"/>
    <cellStyle name="Comma 2 8 2 2 3 5" xfId="6655" xr:uid="{00000000-0005-0000-0000-0000021A0000}"/>
    <cellStyle name="Comma 2 8 2 2 4" xfId="6656" xr:uid="{00000000-0005-0000-0000-0000031A0000}"/>
    <cellStyle name="Comma 2 8 2 2 4 2" xfId="6657" xr:uid="{00000000-0005-0000-0000-0000041A0000}"/>
    <cellStyle name="Comma 2 8 2 2 4 2 2" xfId="6658" xr:uid="{00000000-0005-0000-0000-0000051A0000}"/>
    <cellStyle name="Comma 2 8 2 2 4 3" xfId="6659" xr:uid="{00000000-0005-0000-0000-0000061A0000}"/>
    <cellStyle name="Comma 2 8 2 2 5" xfId="6660" xr:uid="{00000000-0005-0000-0000-0000071A0000}"/>
    <cellStyle name="Comma 2 8 2 2 5 2" xfId="6661" xr:uid="{00000000-0005-0000-0000-0000081A0000}"/>
    <cellStyle name="Comma 2 8 2 2 6" xfId="6662" xr:uid="{00000000-0005-0000-0000-0000091A0000}"/>
    <cellStyle name="Comma 2 8 2 2 6 2" xfId="6663" xr:uid="{00000000-0005-0000-0000-00000A1A0000}"/>
    <cellStyle name="Comma 2 8 2 2 7" xfId="6664" xr:uid="{00000000-0005-0000-0000-00000B1A0000}"/>
    <cellStyle name="Comma 2 8 2 3" xfId="6665" xr:uid="{00000000-0005-0000-0000-00000C1A0000}"/>
    <cellStyle name="Comma 2 8 2 3 2" xfId="6666" xr:uid="{00000000-0005-0000-0000-00000D1A0000}"/>
    <cellStyle name="Comma 2 8 2 3 2 2" xfId="6667" xr:uid="{00000000-0005-0000-0000-00000E1A0000}"/>
    <cellStyle name="Comma 2 8 2 3 2 2 2" xfId="6668" xr:uid="{00000000-0005-0000-0000-00000F1A0000}"/>
    <cellStyle name="Comma 2 8 2 3 2 2 2 2" xfId="6669" xr:uid="{00000000-0005-0000-0000-0000101A0000}"/>
    <cellStyle name="Comma 2 8 2 3 2 2 2 2 2" xfId="6670" xr:uid="{00000000-0005-0000-0000-0000111A0000}"/>
    <cellStyle name="Comma 2 8 2 3 2 2 2 3" xfId="6671" xr:uid="{00000000-0005-0000-0000-0000121A0000}"/>
    <cellStyle name="Comma 2 8 2 3 2 2 3" xfId="6672" xr:uid="{00000000-0005-0000-0000-0000131A0000}"/>
    <cellStyle name="Comma 2 8 2 3 2 2 3 2" xfId="6673" xr:uid="{00000000-0005-0000-0000-0000141A0000}"/>
    <cellStyle name="Comma 2 8 2 3 2 2 4" xfId="6674" xr:uid="{00000000-0005-0000-0000-0000151A0000}"/>
    <cellStyle name="Comma 2 8 2 3 2 2 4 2" xfId="6675" xr:uid="{00000000-0005-0000-0000-0000161A0000}"/>
    <cellStyle name="Comma 2 8 2 3 2 2 5" xfId="6676" xr:uid="{00000000-0005-0000-0000-0000171A0000}"/>
    <cellStyle name="Comma 2 8 2 3 2 3" xfId="6677" xr:uid="{00000000-0005-0000-0000-0000181A0000}"/>
    <cellStyle name="Comma 2 8 2 3 2 3 2" xfId="6678" xr:uid="{00000000-0005-0000-0000-0000191A0000}"/>
    <cellStyle name="Comma 2 8 2 3 2 3 2 2" xfId="6679" xr:uid="{00000000-0005-0000-0000-00001A1A0000}"/>
    <cellStyle name="Comma 2 8 2 3 2 3 3" xfId="6680" xr:uid="{00000000-0005-0000-0000-00001B1A0000}"/>
    <cellStyle name="Comma 2 8 2 3 2 4" xfId="6681" xr:uid="{00000000-0005-0000-0000-00001C1A0000}"/>
    <cellStyle name="Comma 2 8 2 3 2 4 2" xfId="6682" xr:uid="{00000000-0005-0000-0000-00001D1A0000}"/>
    <cellStyle name="Comma 2 8 2 3 2 5" xfId="6683" xr:uid="{00000000-0005-0000-0000-00001E1A0000}"/>
    <cellStyle name="Comma 2 8 2 3 2 5 2" xfId="6684" xr:uid="{00000000-0005-0000-0000-00001F1A0000}"/>
    <cellStyle name="Comma 2 8 2 3 2 6" xfId="6685" xr:uid="{00000000-0005-0000-0000-0000201A0000}"/>
    <cellStyle name="Comma 2 8 2 3 3" xfId="6686" xr:uid="{00000000-0005-0000-0000-0000211A0000}"/>
    <cellStyle name="Comma 2 8 2 3 3 2" xfId="6687" xr:uid="{00000000-0005-0000-0000-0000221A0000}"/>
    <cellStyle name="Comma 2 8 2 3 3 2 2" xfId="6688" xr:uid="{00000000-0005-0000-0000-0000231A0000}"/>
    <cellStyle name="Comma 2 8 2 3 3 2 2 2" xfId="6689" xr:uid="{00000000-0005-0000-0000-0000241A0000}"/>
    <cellStyle name="Comma 2 8 2 3 3 2 3" xfId="6690" xr:uid="{00000000-0005-0000-0000-0000251A0000}"/>
    <cellStyle name="Comma 2 8 2 3 3 3" xfId="6691" xr:uid="{00000000-0005-0000-0000-0000261A0000}"/>
    <cellStyle name="Comma 2 8 2 3 3 3 2" xfId="6692" xr:uid="{00000000-0005-0000-0000-0000271A0000}"/>
    <cellStyle name="Comma 2 8 2 3 3 4" xfId="6693" xr:uid="{00000000-0005-0000-0000-0000281A0000}"/>
    <cellStyle name="Comma 2 8 2 3 3 4 2" xfId="6694" xr:uid="{00000000-0005-0000-0000-0000291A0000}"/>
    <cellStyle name="Comma 2 8 2 3 3 5" xfId="6695" xr:uid="{00000000-0005-0000-0000-00002A1A0000}"/>
    <cellStyle name="Comma 2 8 2 3 4" xfId="6696" xr:uid="{00000000-0005-0000-0000-00002B1A0000}"/>
    <cellStyle name="Comma 2 8 2 3 4 2" xfId="6697" xr:uid="{00000000-0005-0000-0000-00002C1A0000}"/>
    <cellStyle name="Comma 2 8 2 3 4 2 2" xfId="6698" xr:uid="{00000000-0005-0000-0000-00002D1A0000}"/>
    <cellStyle name="Comma 2 8 2 3 4 3" xfId="6699" xr:uid="{00000000-0005-0000-0000-00002E1A0000}"/>
    <cellStyle name="Comma 2 8 2 3 5" xfId="6700" xr:uid="{00000000-0005-0000-0000-00002F1A0000}"/>
    <cellStyle name="Comma 2 8 2 3 5 2" xfId="6701" xr:uid="{00000000-0005-0000-0000-0000301A0000}"/>
    <cellStyle name="Comma 2 8 2 3 6" xfId="6702" xr:uid="{00000000-0005-0000-0000-0000311A0000}"/>
    <cellStyle name="Comma 2 8 2 3 6 2" xfId="6703" xr:uid="{00000000-0005-0000-0000-0000321A0000}"/>
    <cellStyle name="Comma 2 8 2 3 7" xfId="6704" xr:uid="{00000000-0005-0000-0000-0000331A0000}"/>
    <cellStyle name="Comma 2 8 2 4" xfId="6705" xr:uid="{00000000-0005-0000-0000-0000341A0000}"/>
    <cellStyle name="Comma 2 8 2 4 2" xfId="6706" xr:uid="{00000000-0005-0000-0000-0000351A0000}"/>
    <cellStyle name="Comma 2 8 2 4 2 2" xfId="6707" xr:uid="{00000000-0005-0000-0000-0000361A0000}"/>
    <cellStyle name="Comma 2 8 2 4 2 2 2" xfId="6708" xr:uid="{00000000-0005-0000-0000-0000371A0000}"/>
    <cellStyle name="Comma 2 8 2 4 2 2 2 2" xfId="6709" xr:uid="{00000000-0005-0000-0000-0000381A0000}"/>
    <cellStyle name="Comma 2 8 2 4 2 2 3" xfId="6710" xr:uid="{00000000-0005-0000-0000-0000391A0000}"/>
    <cellStyle name="Comma 2 8 2 4 2 3" xfId="6711" xr:uid="{00000000-0005-0000-0000-00003A1A0000}"/>
    <cellStyle name="Comma 2 8 2 4 2 3 2" xfId="6712" xr:uid="{00000000-0005-0000-0000-00003B1A0000}"/>
    <cellStyle name="Comma 2 8 2 4 2 4" xfId="6713" xr:uid="{00000000-0005-0000-0000-00003C1A0000}"/>
    <cellStyle name="Comma 2 8 2 4 2 4 2" xfId="6714" xr:uid="{00000000-0005-0000-0000-00003D1A0000}"/>
    <cellStyle name="Comma 2 8 2 4 2 5" xfId="6715" xr:uid="{00000000-0005-0000-0000-00003E1A0000}"/>
    <cellStyle name="Comma 2 8 2 4 3" xfId="6716" xr:uid="{00000000-0005-0000-0000-00003F1A0000}"/>
    <cellStyle name="Comma 2 8 2 4 3 2" xfId="6717" xr:uid="{00000000-0005-0000-0000-0000401A0000}"/>
    <cellStyle name="Comma 2 8 2 4 3 2 2" xfId="6718" xr:uid="{00000000-0005-0000-0000-0000411A0000}"/>
    <cellStyle name="Comma 2 8 2 4 3 3" xfId="6719" xr:uid="{00000000-0005-0000-0000-0000421A0000}"/>
    <cellStyle name="Comma 2 8 2 4 4" xfId="6720" xr:uid="{00000000-0005-0000-0000-0000431A0000}"/>
    <cellStyle name="Comma 2 8 2 4 4 2" xfId="6721" xr:uid="{00000000-0005-0000-0000-0000441A0000}"/>
    <cellStyle name="Comma 2 8 2 4 5" xfId="6722" xr:uid="{00000000-0005-0000-0000-0000451A0000}"/>
    <cellStyle name="Comma 2 8 2 4 5 2" xfId="6723" xr:uid="{00000000-0005-0000-0000-0000461A0000}"/>
    <cellStyle name="Comma 2 8 2 4 6" xfId="6724" xr:uid="{00000000-0005-0000-0000-0000471A0000}"/>
    <cellStyle name="Comma 2 8 2 5" xfId="6725" xr:uid="{00000000-0005-0000-0000-0000481A0000}"/>
    <cellStyle name="Comma 2 8 2 5 2" xfId="6726" xr:uid="{00000000-0005-0000-0000-0000491A0000}"/>
    <cellStyle name="Comma 2 8 2 5 2 2" xfId="6727" xr:uid="{00000000-0005-0000-0000-00004A1A0000}"/>
    <cellStyle name="Comma 2 8 2 5 2 2 2" xfId="6728" xr:uid="{00000000-0005-0000-0000-00004B1A0000}"/>
    <cellStyle name="Comma 2 8 2 5 2 3" xfId="6729" xr:uid="{00000000-0005-0000-0000-00004C1A0000}"/>
    <cellStyle name="Comma 2 8 2 5 3" xfId="6730" xr:uid="{00000000-0005-0000-0000-00004D1A0000}"/>
    <cellStyle name="Comma 2 8 2 5 3 2" xfId="6731" xr:uid="{00000000-0005-0000-0000-00004E1A0000}"/>
    <cellStyle name="Comma 2 8 2 5 4" xfId="6732" xr:uid="{00000000-0005-0000-0000-00004F1A0000}"/>
    <cellStyle name="Comma 2 8 2 5 4 2" xfId="6733" xr:uid="{00000000-0005-0000-0000-0000501A0000}"/>
    <cellStyle name="Comma 2 8 2 5 5" xfId="6734" xr:uid="{00000000-0005-0000-0000-0000511A0000}"/>
    <cellStyle name="Comma 2 8 2 6" xfId="6735" xr:uid="{00000000-0005-0000-0000-0000521A0000}"/>
    <cellStyle name="Comma 2 8 2 6 2" xfId="6736" xr:uid="{00000000-0005-0000-0000-0000531A0000}"/>
    <cellStyle name="Comma 2 8 2 6 2 2" xfId="6737" xr:uid="{00000000-0005-0000-0000-0000541A0000}"/>
    <cellStyle name="Comma 2 8 2 6 3" xfId="6738" xr:uid="{00000000-0005-0000-0000-0000551A0000}"/>
    <cellStyle name="Comma 2 8 2 7" xfId="6739" xr:uid="{00000000-0005-0000-0000-0000561A0000}"/>
    <cellStyle name="Comma 2 8 2 7 2" xfId="6740" xr:uid="{00000000-0005-0000-0000-0000571A0000}"/>
    <cellStyle name="Comma 2 8 2 8" xfId="6741" xr:uid="{00000000-0005-0000-0000-0000581A0000}"/>
    <cellStyle name="Comma 2 8 2 8 2" xfId="6742" xr:uid="{00000000-0005-0000-0000-0000591A0000}"/>
    <cellStyle name="Comma 2 8 2 9" xfId="6743" xr:uid="{00000000-0005-0000-0000-00005A1A0000}"/>
    <cellStyle name="Comma 2 8 3" xfId="6744" xr:uid="{00000000-0005-0000-0000-00005B1A0000}"/>
    <cellStyle name="Comma 2 8 3 2" xfId="6745" xr:uid="{00000000-0005-0000-0000-00005C1A0000}"/>
    <cellStyle name="Comma 2 8 3 2 2" xfId="6746" xr:uid="{00000000-0005-0000-0000-00005D1A0000}"/>
    <cellStyle name="Comma 2 8 3 2 2 2" xfId="6747" xr:uid="{00000000-0005-0000-0000-00005E1A0000}"/>
    <cellStyle name="Comma 2 8 3 2 2 2 2" xfId="6748" xr:uid="{00000000-0005-0000-0000-00005F1A0000}"/>
    <cellStyle name="Comma 2 8 3 2 2 2 2 2" xfId="6749" xr:uid="{00000000-0005-0000-0000-0000601A0000}"/>
    <cellStyle name="Comma 2 8 3 2 2 2 2 2 2" xfId="6750" xr:uid="{00000000-0005-0000-0000-0000611A0000}"/>
    <cellStyle name="Comma 2 8 3 2 2 2 2 3" xfId="6751" xr:uid="{00000000-0005-0000-0000-0000621A0000}"/>
    <cellStyle name="Comma 2 8 3 2 2 2 3" xfId="6752" xr:uid="{00000000-0005-0000-0000-0000631A0000}"/>
    <cellStyle name="Comma 2 8 3 2 2 2 3 2" xfId="6753" xr:uid="{00000000-0005-0000-0000-0000641A0000}"/>
    <cellStyle name="Comma 2 8 3 2 2 2 4" xfId="6754" xr:uid="{00000000-0005-0000-0000-0000651A0000}"/>
    <cellStyle name="Comma 2 8 3 2 2 2 4 2" xfId="6755" xr:uid="{00000000-0005-0000-0000-0000661A0000}"/>
    <cellStyle name="Comma 2 8 3 2 2 2 5" xfId="6756" xr:uid="{00000000-0005-0000-0000-0000671A0000}"/>
    <cellStyle name="Comma 2 8 3 2 2 3" xfId="6757" xr:uid="{00000000-0005-0000-0000-0000681A0000}"/>
    <cellStyle name="Comma 2 8 3 2 2 3 2" xfId="6758" xr:uid="{00000000-0005-0000-0000-0000691A0000}"/>
    <cellStyle name="Comma 2 8 3 2 2 3 2 2" xfId="6759" xr:uid="{00000000-0005-0000-0000-00006A1A0000}"/>
    <cellStyle name="Comma 2 8 3 2 2 3 3" xfId="6760" xr:uid="{00000000-0005-0000-0000-00006B1A0000}"/>
    <cellStyle name="Comma 2 8 3 2 2 4" xfId="6761" xr:uid="{00000000-0005-0000-0000-00006C1A0000}"/>
    <cellStyle name="Comma 2 8 3 2 2 4 2" xfId="6762" xr:uid="{00000000-0005-0000-0000-00006D1A0000}"/>
    <cellStyle name="Comma 2 8 3 2 2 5" xfId="6763" xr:uid="{00000000-0005-0000-0000-00006E1A0000}"/>
    <cellStyle name="Comma 2 8 3 2 2 5 2" xfId="6764" xr:uid="{00000000-0005-0000-0000-00006F1A0000}"/>
    <cellStyle name="Comma 2 8 3 2 2 6" xfId="6765" xr:uid="{00000000-0005-0000-0000-0000701A0000}"/>
    <cellStyle name="Comma 2 8 3 2 3" xfId="6766" xr:uid="{00000000-0005-0000-0000-0000711A0000}"/>
    <cellStyle name="Comma 2 8 3 2 3 2" xfId="6767" xr:uid="{00000000-0005-0000-0000-0000721A0000}"/>
    <cellStyle name="Comma 2 8 3 2 3 2 2" xfId="6768" xr:uid="{00000000-0005-0000-0000-0000731A0000}"/>
    <cellStyle name="Comma 2 8 3 2 3 2 2 2" xfId="6769" xr:uid="{00000000-0005-0000-0000-0000741A0000}"/>
    <cellStyle name="Comma 2 8 3 2 3 2 3" xfId="6770" xr:uid="{00000000-0005-0000-0000-0000751A0000}"/>
    <cellStyle name="Comma 2 8 3 2 3 3" xfId="6771" xr:uid="{00000000-0005-0000-0000-0000761A0000}"/>
    <cellStyle name="Comma 2 8 3 2 3 3 2" xfId="6772" xr:uid="{00000000-0005-0000-0000-0000771A0000}"/>
    <cellStyle name="Comma 2 8 3 2 3 4" xfId="6773" xr:uid="{00000000-0005-0000-0000-0000781A0000}"/>
    <cellStyle name="Comma 2 8 3 2 3 4 2" xfId="6774" xr:uid="{00000000-0005-0000-0000-0000791A0000}"/>
    <cellStyle name="Comma 2 8 3 2 3 5" xfId="6775" xr:uid="{00000000-0005-0000-0000-00007A1A0000}"/>
    <cellStyle name="Comma 2 8 3 2 4" xfId="6776" xr:uid="{00000000-0005-0000-0000-00007B1A0000}"/>
    <cellStyle name="Comma 2 8 3 2 4 2" xfId="6777" xr:uid="{00000000-0005-0000-0000-00007C1A0000}"/>
    <cellStyle name="Comma 2 8 3 2 4 2 2" xfId="6778" xr:uid="{00000000-0005-0000-0000-00007D1A0000}"/>
    <cellStyle name="Comma 2 8 3 2 4 3" xfId="6779" xr:uid="{00000000-0005-0000-0000-00007E1A0000}"/>
    <cellStyle name="Comma 2 8 3 2 5" xfId="6780" xr:uid="{00000000-0005-0000-0000-00007F1A0000}"/>
    <cellStyle name="Comma 2 8 3 2 5 2" xfId="6781" xr:uid="{00000000-0005-0000-0000-0000801A0000}"/>
    <cellStyle name="Comma 2 8 3 2 6" xfId="6782" xr:uid="{00000000-0005-0000-0000-0000811A0000}"/>
    <cellStyle name="Comma 2 8 3 2 6 2" xfId="6783" xr:uid="{00000000-0005-0000-0000-0000821A0000}"/>
    <cellStyle name="Comma 2 8 3 2 7" xfId="6784" xr:uid="{00000000-0005-0000-0000-0000831A0000}"/>
    <cellStyle name="Comma 2 8 3 3" xfId="6785" xr:uid="{00000000-0005-0000-0000-0000841A0000}"/>
    <cellStyle name="Comma 2 8 3 3 2" xfId="6786" xr:uid="{00000000-0005-0000-0000-0000851A0000}"/>
    <cellStyle name="Comma 2 8 3 3 2 2" xfId="6787" xr:uid="{00000000-0005-0000-0000-0000861A0000}"/>
    <cellStyle name="Comma 2 8 3 3 2 2 2" xfId="6788" xr:uid="{00000000-0005-0000-0000-0000871A0000}"/>
    <cellStyle name="Comma 2 8 3 3 2 2 2 2" xfId="6789" xr:uid="{00000000-0005-0000-0000-0000881A0000}"/>
    <cellStyle name="Comma 2 8 3 3 2 2 3" xfId="6790" xr:uid="{00000000-0005-0000-0000-0000891A0000}"/>
    <cellStyle name="Comma 2 8 3 3 2 3" xfId="6791" xr:uid="{00000000-0005-0000-0000-00008A1A0000}"/>
    <cellStyle name="Comma 2 8 3 3 2 3 2" xfId="6792" xr:uid="{00000000-0005-0000-0000-00008B1A0000}"/>
    <cellStyle name="Comma 2 8 3 3 2 4" xfId="6793" xr:uid="{00000000-0005-0000-0000-00008C1A0000}"/>
    <cellStyle name="Comma 2 8 3 3 2 4 2" xfId="6794" xr:uid="{00000000-0005-0000-0000-00008D1A0000}"/>
    <cellStyle name="Comma 2 8 3 3 2 5" xfId="6795" xr:uid="{00000000-0005-0000-0000-00008E1A0000}"/>
    <cellStyle name="Comma 2 8 3 3 3" xfId="6796" xr:uid="{00000000-0005-0000-0000-00008F1A0000}"/>
    <cellStyle name="Comma 2 8 3 3 3 2" xfId="6797" xr:uid="{00000000-0005-0000-0000-0000901A0000}"/>
    <cellStyle name="Comma 2 8 3 3 3 2 2" xfId="6798" xr:uid="{00000000-0005-0000-0000-0000911A0000}"/>
    <cellStyle name="Comma 2 8 3 3 3 3" xfId="6799" xr:uid="{00000000-0005-0000-0000-0000921A0000}"/>
    <cellStyle name="Comma 2 8 3 3 4" xfId="6800" xr:uid="{00000000-0005-0000-0000-0000931A0000}"/>
    <cellStyle name="Comma 2 8 3 3 4 2" xfId="6801" xr:uid="{00000000-0005-0000-0000-0000941A0000}"/>
    <cellStyle name="Comma 2 8 3 3 5" xfId="6802" xr:uid="{00000000-0005-0000-0000-0000951A0000}"/>
    <cellStyle name="Comma 2 8 3 3 5 2" xfId="6803" xr:uid="{00000000-0005-0000-0000-0000961A0000}"/>
    <cellStyle name="Comma 2 8 3 3 6" xfId="6804" xr:uid="{00000000-0005-0000-0000-0000971A0000}"/>
    <cellStyle name="Comma 2 8 3 4" xfId="6805" xr:uid="{00000000-0005-0000-0000-0000981A0000}"/>
    <cellStyle name="Comma 2 8 3 4 2" xfId="6806" xr:uid="{00000000-0005-0000-0000-0000991A0000}"/>
    <cellStyle name="Comma 2 8 3 4 2 2" xfId="6807" xr:uid="{00000000-0005-0000-0000-00009A1A0000}"/>
    <cellStyle name="Comma 2 8 3 4 2 2 2" xfId="6808" xr:uid="{00000000-0005-0000-0000-00009B1A0000}"/>
    <cellStyle name="Comma 2 8 3 4 2 3" xfId="6809" xr:uid="{00000000-0005-0000-0000-00009C1A0000}"/>
    <cellStyle name="Comma 2 8 3 4 3" xfId="6810" xr:uid="{00000000-0005-0000-0000-00009D1A0000}"/>
    <cellStyle name="Comma 2 8 3 4 3 2" xfId="6811" xr:uid="{00000000-0005-0000-0000-00009E1A0000}"/>
    <cellStyle name="Comma 2 8 3 4 4" xfId="6812" xr:uid="{00000000-0005-0000-0000-00009F1A0000}"/>
    <cellStyle name="Comma 2 8 3 4 4 2" xfId="6813" xr:uid="{00000000-0005-0000-0000-0000A01A0000}"/>
    <cellStyle name="Comma 2 8 3 4 5" xfId="6814" xr:uid="{00000000-0005-0000-0000-0000A11A0000}"/>
    <cellStyle name="Comma 2 8 3 5" xfId="6815" xr:uid="{00000000-0005-0000-0000-0000A21A0000}"/>
    <cellStyle name="Comma 2 8 3 5 2" xfId="6816" xr:uid="{00000000-0005-0000-0000-0000A31A0000}"/>
    <cellStyle name="Comma 2 8 3 5 2 2" xfId="6817" xr:uid="{00000000-0005-0000-0000-0000A41A0000}"/>
    <cellStyle name="Comma 2 8 3 5 3" xfId="6818" xr:uid="{00000000-0005-0000-0000-0000A51A0000}"/>
    <cellStyle name="Comma 2 8 3 6" xfId="6819" xr:uid="{00000000-0005-0000-0000-0000A61A0000}"/>
    <cellStyle name="Comma 2 8 3 6 2" xfId="6820" xr:uid="{00000000-0005-0000-0000-0000A71A0000}"/>
    <cellStyle name="Comma 2 8 3 7" xfId="6821" xr:uid="{00000000-0005-0000-0000-0000A81A0000}"/>
    <cellStyle name="Comma 2 8 3 7 2" xfId="6822" xr:uid="{00000000-0005-0000-0000-0000A91A0000}"/>
    <cellStyle name="Comma 2 8 3 8" xfId="6823" xr:uid="{00000000-0005-0000-0000-0000AA1A0000}"/>
    <cellStyle name="Comma 2 8 4" xfId="6824" xr:uid="{00000000-0005-0000-0000-0000AB1A0000}"/>
    <cellStyle name="Comma 2 8 4 2" xfId="6825" xr:uid="{00000000-0005-0000-0000-0000AC1A0000}"/>
    <cellStyle name="Comma 2 8 4 2 2" xfId="6826" xr:uid="{00000000-0005-0000-0000-0000AD1A0000}"/>
    <cellStyle name="Comma 2 8 4 2 2 2" xfId="6827" xr:uid="{00000000-0005-0000-0000-0000AE1A0000}"/>
    <cellStyle name="Comma 2 8 4 2 2 2 2" xfId="6828" xr:uid="{00000000-0005-0000-0000-0000AF1A0000}"/>
    <cellStyle name="Comma 2 8 4 2 2 2 2 2" xfId="6829" xr:uid="{00000000-0005-0000-0000-0000B01A0000}"/>
    <cellStyle name="Comma 2 8 4 2 2 2 3" xfId="6830" xr:uid="{00000000-0005-0000-0000-0000B11A0000}"/>
    <cellStyle name="Comma 2 8 4 2 2 3" xfId="6831" xr:uid="{00000000-0005-0000-0000-0000B21A0000}"/>
    <cellStyle name="Comma 2 8 4 2 2 3 2" xfId="6832" xr:uid="{00000000-0005-0000-0000-0000B31A0000}"/>
    <cellStyle name="Comma 2 8 4 2 2 4" xfId="6833" xr:uid="{00000000-0005-0000-0000-0000B41A0000}"/>
    <cellStyle name="Comma 2 8 4 2 2 4 2" xfId="6834" xr:uid="{00000000-0005-0000-0000-0000B51A0000}"/>
    <cellStyle name="Comma 2 8 4 2 2 5" xfId="6835" xr:uid="{00000000-0005-0000-0000-0000B61A0000}"/>
    <cellStyle name="Comma 2 8 4 2 3" xfId="6836" xr:uid="{00000000-0005-0000-0000-0000B71A0000}"/>
    <cellStyle name="Comma 2 8 4 2 3 2" xfId="6837" xr:uid="{00000000-0005-0000-0000-0000B81A0000}"/>
    <cellStyle name="Comma 2 8 4 2 3 2 2" xfId="6838" xr:uid="{00000000-0005-0000-0000-0000B91A0000}"/>
    <cellStyle name="Comma 2 8 4 2 3 3" xfId="6839" xr:uid="{00000000-0005-0000-0000-0000BA1A0000}"/>
    <cellStyle name="Comma 2 8 4 2 4" xfId="6840" xr:uid="{00000000-0005-0000-0000-0000BB1A0000}"/>
    <cellStyle name="Comma 2 8 4 2 4 2" xfId="6841" xr:uid="{00000000-0005-0000-0000-0000BC1A0000}"/>
    <cellStyle name="Comma 2 8 4 2 5" xfId="6842" xr:uid="{00000000-0005-0000-0000-0000BD1A0000}"/>
    <cellStyle name="Comma 2 8 4 2 5 2" xfId="6843" xr:uid="{00000000-0005-0000-0000-0000BE1A0000}"/>
    <cellStyle name="Comma 2 8 4 2 6" xfId="6844" xr:uid="{00000000-0005-0000-0000-0000BF1A0000}"/>
    <cellStyle name="Comma 2 8 4 3" xfId="6845" xr:uid="{00000000-0005-0000-0000-0000C01A0000}"/>
    <cellStyle name="Comma 2 8 4 3 2" xfId="6846" xr:uid="{00000000-0005-0000-0000-0000C11A0000}"/>
    <cellStyle name="Comma 2 8 4 3 2 2" xfId="6847" xr:uid="{00000000-0005-0000-0000-0000C21A0000}"/>
    <cellStyle name="Comma 2 8 4 3 2 2 2" xfId="6848" xr:uid="{00000000-0005-0000-0000-0000C31A0000}"/>
    <cellStyle name="Comma 2 8 4 3 2 3" xfId="6849" xr:uid="{00000000-0005-0000-0000-0000C41A0000}"/>
    <cellStyle name="Comma 2 8 4 3 3" xfId="6850" xr:uid="{00000000-0005-0000-0000-0000C51A0000}"/>
    <cellStyle name="Comma 2 8 4 3 3 2" xfId="6851" xr:uid="{00000000-0005-0000-0000-0000C61A0000}"/>
    <cellStyle name="Comma 2 8 4 3 4" xfId="6852" xr:uid="{00000000-0005-0000-0000-0000C71A0000}"/>
    <cellStyle name="Comma 2 8 4 3 4 2" xfId="6853" xr:uid="{00000000-0005-0000-0000-0000C81A0000}"/>
    <cellStyle name="Comma 2 8 4 3 5" xfId="6854" xr:uid="{00000000-0005-0000-0000-0000C91A0000}"/>
    <cellStyle name="Comma 2 8 4 4" xfId="6855" xr:uid="{00000000-0005-0000-0000-0000CA1A0000}"/>
    <cellStyle name="Comma 2 8 4 4 2" xfId="6856" xr:uid="{00000000-0005-0000-0000-0000CB1A0000}"/>
    <cellStyle name="Comma 2 8 4 4 2 2" xfId="6857" xr:uid="{00000000-0005-0000-0000-0000CC1A0000}"/>
    <cellStyle name="Comma 2 8 4 4 3" xfId="6858" xr:uid="{00000000-0005-0000-0000-0000CD1A0000}"/>
    <cellStyle name="Comma 2 8 4 5" xfId="6859" xr:uid="{00000000-0005-0000-0000-0000CE1A0000}"/>
    <cellStyle name="Comma 2 8 4 5 2" xfId="6860" xr:uid="{00000000-0005-0000-0000-0000CF1A0000}"/>
    <cellStyle name="Comma 2 8 4 6" xfId="6861" xr:uid="{00000000-0005-0000-0000-0000D01A0000}"/>
    <cellStyle name="Comma 2 8 4 6 2" xfId="6862" xr:uid="{00000000-0005-0000-0000-0000D11A0000}"/>
    <cellStyle name="Comma 2 8 4 7" xfId="6863" xr:uid="{00000000-0005-0000-0000-0000D21A0000}"/>
    <cellStyle name="Comma 2 8 5" xfId="6864" xr:uid="{00000000-0005-0000-0000-0000D31A0000}"/>
    <cellStyle name="Comma 2 8 5 2" xfId="6865" xr:uid="{00000000-0005-0000-0000-0000D41A0000}"/>
    <cellStyle name="Comma 2 8 5 2 2" xfId="6866" xr:uid="{00000000-0005-0000-0000-0000D51A0000}"/>
    <cellStyle name="Comma 2 8 5 2 2 2" xfId="6867" xr:uid="{00000000-0005-0000-0000-0000D61A0000}"/>
    <cellStyle name="Comma 2 8 5 2 2 2 2" xfId="6868" xr:uid="{00000000-0005-0000-0000-0000D71A0000}"/>
    <cellStyle name="Comma 2 8 5 2 2 2 2 2" xfId="6869" xr:uid="{00000000-0005-0000-0000-0000D81A0000}"/>
    <cellStyle name="Comma 2 8 5 2 2 2 3" xfId="6870" xr:uid="{00000000-0005-0000-0000-0000D91A0000}"/>
    <cellStyle name="Comma 2 8 5 2 2 3" xfId="6871" xr:uid="{00000000-0005-0000-0000-0000DA1A0000}"/>
    <cellStyle name="Comma 2 8 5 2 2 3 2" xfId="6872" xr:uid="{00000000-0005-0000-0000-0000DB1A0000}"/>
    <cellStyle name="Comma 2 8 5 2 2 4" xfId="6873" xr:uid="{00000000-0005-0000-0000-0000DC1A0000}"/>
    <cellStyle name="Comma 2 8 5 2 2 4 2" xfId="6874" xr:uid="{00000000-0005-0000-0000-0000DD1A0000}"/>
    <cellStyle name="Comma 2 8 5 2 2 5" xfId="6875" xr:uid="{00000000-0005-0000-0000-0000DE1A0000}"/>
    <cellStyle name="Comma 2 8 5 2 3" xfId="6876" xr:uid="{00000000-0005-0000-0000-0000DF1A0000}"/>
    <cellStyle name="Comma 2 8 5 2 3 2" xfId="6877" xr:uid="{00000000-0005-0000-0000-0000E01A0000}"/>
    <cellStyle name="Comma 2 8 5 2 3 2 2" xfId="6878" xr:uid="{00000000-0005-0000-0000-0000E11A0000}"/>
    <cellStyle name="Comma 2 8 5 2 3 3" xfId="6879" xr:uid="{00000000-0005-0000-0000-0000E21A0000}"/>
    <cellStyle name="Comma 2 8 5 2 4" xfId="6880" xr:uid="{00000000-0005-0000-0000-0000E31A0000}"/>
    <cellStyle name="Comma 2 8 5 2 4 2" xfId="6881" xr:uid="{00000000-0005-0000-0000-0000E41A0000}"/>
    <cellStyle name="Comma 2 8 5 2 5" xfId="6882" xr:uid="{00000000-0005-0000-0000-0000E51A0000}"/>
    <cellStyle name="Comma 2 8 5 2 5 2" xfId="6883" xr:uid="{00000000-0005-0000-0000-0000E61A0000}"/>
    <cellStyle name="Comma 2 8 5 2 6" xfId="6884" xr:uid="{00000000-0005-0000-0000-0000E71A0000}"/>
    <cellStyle name="Comma 2 8 5 3" xfId="6885" xr:uid="{00000000-0005-0000-0000-0000E81A0000}"/>
    <cellStyle name="Comma 2 8 5 3 2" xfId="6886" xr:uid="{00000000-0005-0000-0000-0000E91A0000}"/>
    <cellStyle name="Comma 2 8 5 3 2 2" xfId="6887" xr:uid="{00000000-0005-0000-0000-0000EA1A0000}"/>
    <cellStyle name="Comma 2 8 5 3 2 2 2" xfId="6888" xr:uid="{00000000-0005-0000-0000-0000EB1A0000}"/>
    <cellStyle name="Comma 2 8 5 3 2 3" xfId="6889" xr:uid="{00000000-0005-0000-0000-0000EC1A0000}"/>
    <cellStyle name="Comma 2 8 5 3 3" xfId="6890" xr:uid="{00000000-0005-0000-0000-0000ED1A0000}"/>
    <cellStyle name="Comma 2 8 5 3 3 2" xfId="6891" xr:uid="{00000000-0005-0000-0000-0000EE1A0000}"/>
    <cellStyle name="Comma 2 8 5 3 4" xfId="6892" xr:uid="{00000000-0005-0000-0000-0000EF1A0000}"/>
    <cellStyle name="Comma 2 8 5 3 4 2" xfId="6893" xr:uid="{00000000-0005-0000-0000-0000F01A0000}"/>
    <cellStyle name="Comma 2 8 5 3 5" xfId="6894" xr:uid="{00000000-0005-0000-0000-0000F11A0000}"/>
    <cellStyle name="Comma 2 8 5 4" xfId="6895" xr:uid="{00000000-0005-0000-0000-0000F21A0000}"/>
    <cellStyle name="Comma 2 8 5 4 2" xfId="6896" xr:uid="{00000000-0005-0000-0000-0000F31A0000}"/>
    <cellStyle name="Comma 2 8 5 4 2 2" xfId="6897" xr:uid="{00000000-0005-0000-0000-0000F41A0000}"/>
    <cellStyle name="Comma 2 8 5 4 3" xfId="6898" xr:uid="{00000000-0005-0000-0000-0000F51A0000}"/>
    <cellStyle name="Comma 2 8 5 5" xfId="6899" xr:uid="{00000000-0005-0000-0000-0000F61A0000}"/>
    <cellStyle name="Comma 2 8 5 5 2" xfId="6900" xr:uid="{00000000-0005-0000-0000-0000F71A0000}"/>
    <cellStyle name="Comma 2 8 5 6" xfId="6901" xr:uid="{00000000-0005-0000-0000-0000F81A0000}"/>
    <cellStyle name="Comma 2 8 5 6 2" xfId="6902" xr:uid="{00000000-0005-0000-0000-0000F91A0000}"/>
    <cellStyle name="Comma 2 8 5 7" xfId="6903" xr:uid="{00000000-0005-0000-0000-0000FA1A0000}"/>
    <cellStyle name="Comma 2 8 6" xfId="6904" xr:uid="{00000000-0005-0000-0000-0000FB1A0000}"/>
    <cellStyle name="Comma 2 8 6 2" xfId="6905" xr:uid="{00000000-0005-0000-0000-0000FC1A0000}"/>
    <cellStyle name="Comma 2 8 6 2 2" xfId="6906" xr:uid="{00000000-0005-0000-0000-0000FD1A0000}"/>
    <cellStyle name="Comma 2 8 6 2 2 2" xfId="6907" xr:uid="{00000000-0005-0000-0000-0000FE1A0000}"/>
    <cellStyle name="Comma 2 8 6 2 2 2 2" xfId="6908" xr:uid="{00000000-0005-0000-0000-0000FF1A0000}"/>
    <cellStyle name="Comma 2 8 6 2 2 3" xfId="6909" xr:uid="{00000000-0005-0000-0000-0000001B0000}"/>
    <cellStyle name="Comma 2 8 6 2 3" xfId="6910" xr:uid="{00000000-0005-0000-0000-0000011B0000}"/>
    <cellStyle name="Comma 2 8 6 2 3 2" xfId="6911" xr:uid="{00000000-0005-0000-0000-0000021B0000}"/>
    <cellStyle name="Comma 2 8 6 2 4" xfId="6912" xr:uid="{00000000-0005-0000-0000-0000031B0000}"/>
    <cellStyle name="Comma 2 8 6 2 4 2" xfId="6913" xr:uid="{00000000-0005-0000-0000-0000041B0000}"/>
    <cellStyle name="Comma 2 8 6 2 5" xfId="6914" xr:uid="{00000000-0005-0000-0000-0000051B0000}"/>
    <cellStyle name="Comma 2 8 6 3" xfId="6915" xr:uid="{00000000-0005-0000-0000-0000061B0000}"/>
    <cellStyle name="Comma 2 8 6 3 2" xfId="6916" xr:uid="{00000000-0005-0000-0000-0000071B0000}"/>
    <cellStyle name="Comma 2 8 6 3 2 2" xfId="6917" xr:uid="{00000000-0005-0000-0000-0000081B0000}"/>
    <cellStyle name="Comma 2 8 6 3 3" xfId="6918" xr:uid="{00000000-0005-0000-0000-0000091B0000}"/>
    <cellStyle name="Comma 2 8 6 4" xfId="6919" xr:uid="{00000000-0005-0000-0000-00000A1B0000}"/>
    <cellStyle name="Comma 2 8 6 4 2" xfId="6920" xr:uid="{00000000-0005-0000-0000-00000B1B0000}"/>
    <cellStyle name="Comma 2 8 6 5" xfId="6921" xr:uid="{00000000-0005-0000-0000-00000C1B0000}"/>
    <cellStyle name="Comma 2 8 6 5 2" xfId="6922" xr:uid="{00000000-0005-0000-0000-00000D1B0000}"/>
    <cellStyle name="Comma 2 8 6 6" xfId="6923" xr:uid="{00000000-0005-0000-0000-00000E1B0000}"/>
    <cellStyle name="Comma 2 8 7" xfId="6924" xr:uid="{00000000-0005-0000-0000-00000F1B0000}"/>
    <cellStyle name="Comma 2 8 7 2" xfId="6925" xr:uid="{00000000-0005-0000-0000-0000101B0000}"/>
    <cellStyle name="Comma 2 8 7 2 2" xfId="6926" xr:uid="{00000000-0005-0000-0000-0000111B0000}"/>
    <cellStyle name="Comma 2 8 7 2 2 2" xfId="6927" xr:uid="{00000000-0005-0000-0000-0000121B0000}"/>
    <cellStyle name="Comma 2 8 7 2 3" xfId="6928" xr:uid="{00000000-0005-0000-0000-0000131B0000}"/>
    <cellStyle name="Comma 2 8 7 3" xfId="6929" xr:uid="{00000000-0005-0000-0000-0000141B0000}"/>
    <cellStyle name="Comma 2 8 7 3 2" xfId="6930" xr:uid="{00000000-0005-0000-0000-0000151B0000}"/>
    <cellStyle name="Comma 2 8 7 4" xfId="6931" xr:uid="{00000000-0005-0000-0000-0000161B0000}"/>
    <cellStyle name="Comma 2 8 7 4 2" xfId="6932" xr:uid="{00000000-0005-0000-0000-0000171B0000}"/>
    <cellStyle name="Comma 2 8 7 5" xfId="6933" xr:uid="{00000000-0005-0000-0000-0000181B0000}"/>
    <cellStyle name="Comma 2 8 8" xfId="6934" xr:uid="{00000000-0005-0000-0000-0000191B0000}"/>
    <cellStyle name="Comma 2 8 8 2" xfId="6935" xr:uid="{00000000-0005-0000-0000-00001A1B0000}"/>
    <cellStyle name="Comma 2 8 8 2 2" xfId="6936" xr:uid="{00000000-0005-0000-0000-00001B1B0000}"/>
    <cellStyle name="Comma 2 8 8 3" xfId="6937" xr:uid="{00000000-0005-0000-0000-00001C1B0000}"/>
    <cellStyle name="Comma 2 8 9" xfId="6938" xr:uid="{00000000-0005-0000-0000-00001D1B0000}"/>
    <cellStyle name="Comma 2 8 9 2" xfId="6939" xr:uid="{00000000-0005-0000-0000-00001E1B0000}"/>
    <cellStyle name="Comma 2 9" xfId="6940" xr:uid="{00000000-0005-0000-0000-00001F1B0000}"/>
    <cellStyle name="Comma 2 9 2" xfId="6941" xr:uid="{00000000-0005-0000-0000-0000201B0000}"/>
    <cellStyle name="Comma 2 9 2 2" xfId="6942" xr:uid="{00000000-0005-0000-0000-0000211B0000}"/>
    <cellStyle name="Comma 2 9 2 2 2" xfId="6943" xr:uid="{00000000-0005-0000-0000-0000221B0000}"/>
    <cellStyle name="Comma 2 9 2 2 2 2" xfId="6944" xr:uid="{00000000-0005-0000-0000-0000231B0000}"/>
    <cellStyle name="Comma 2 9 2 2 2 2 2" xfId="6945" xr:uid="{00000000-0005-0000-0000-0000241B0000}"/>
    <cellStyle name="Comma 2 9 2 2 2 2 2 2" xfId="6946" xr:uid="{00000000-0005-0000-0000-0000251B0000}"/>
    <cellStyle name="Comma 2 9 2 2 2 2 3" xfId="6947" xr:uid="{00000000-0005-0000-0000-0000261B0000}"/>
    <cellStyle name="Comma 2 9 2 2 2 3" xfId="6948" xr:uid="{00000000-0005-0000-0000-0000271B0000}"/>
    <cellStyle name="Comma 2 9 2 2 2 3 2" xfId="6949" xr:uid="{00000000-0005-0000-0000-0000281B0000}"/>
    <cellStyle name="Comma 2 9 2 2 2 4" xfId="6950" xr:uid="{00000000-0005-0000-0000-0000291B0000}"/>
    <cellStyle name="Comma 2 9 2 2 2 4 2" xfId="6951" xr:uid="{00000000-0005-0000-0000-00002A1B0000}"/>
    <cellStyle name="Comma 2 9 2 2 2 5" xfId="6952" xr:uid="{00000000-0005-0000-0000-00002B1B0000}"/>
    <cellStyle name="Comma 2 9 2 2 3" xfId="6953" xr:uid="{00000000-0005-0000-0000-00002C1B0000}"/>
    <cellStyle name="Comma 2 9 2 2 3 2" xfId="6954" xr:uid="{00000000-0005-0000-0000-00002D1B0000}"/>
    <cellStyle name="Comma 2 9 2 2 3 2 2" xfId="6955" xr:uid="{00000000-0005-0000-0000-00002E1B0000}"/>
    <cellStyle name="Comma 2 9 2 2 3 3" xfId="6956" xr:uid="{00000000-0005-0000-0000-00002F1B0000}"/>
    <cellStyle name="Comma 2 9 2 2 4" xfId="6957" xr:uid="{00000000-0005-0000-0000-0000301B0000}"/>
    <cellStyle name="Comma 2 9 2 2 4 2" xfId="6958" xr:uid="{00000000-0005-0000-0000-0000311B0000}"/>
    <cellStyle name="Comma 2 9 2 2 5" xfId="6959" xr:uid="{00000000-0005-0000-0000-0000321B0000}"/>
    <cellStyle name="Comma 2 9 2 2 5 2" xfId="6960" xr:uid="{00000000-0005-0000-0000-0000331B0000}"/>
    <cellStyle name="Comma 2 9 2 2 6" xfId="6961" xr:uid="{00000000-0005-0000-0000-0000341B0000}"/>
    <cellStyle name="Comma 2 9 2 3" xfId="6962" xr:uid="{00000000-0005-0000-0000-0000351B0000}"/>
    <cellStyle name="Comma 2 9 2 3 2" xfId="6963" xr:uid="{00000000-0005-0000-0000-0000361B0000}"/>
    <cellStyle name="Comma 2 9 2 3 2 2" xfId="6964" xr:uid="{00000000-0005-0000-0000-0000371B0000}"/>
    <cellStyle name="Comma 2 9 2 3 2 2 2" xfId="6965" xr:uid="{00000000-0005-0000-0000-0000381B0000}"/>
    <cellStyle name="Comma 2 9 2 3 2 3" xfId="6966" xr:uid="{00000000-0005-0000-0000-0000391B0000}"/>
    <cellStyle name="Comma 2 9 2 3 3" xfId="6967" xr:uid="{00000000-0005-0000-0000-00003A1B0000}"/>
    <cellStyle name="Comma 2 9 2 3 3 2" xfId="6968" xr:uid="{00000000-0005-0000-0000-00003B1B0000}"/>
    <cellStyle name="Comma 2 9 2 3 4" xfId="6969" xr:uid="{00000000-0005-0000-0000-00003C1B0000}"/>
    <cellStyle name="Comma 2 9 2 3 4 2" xfId="6970" xr:uid="{00000000-0005-0000-0000-00003D1B0000}"/>
    <cellStyle name="Comma 2 9 2 3 5" xfId="6971" xr:uid="{00000000-0005-0000-0000-00003E1B0000}"/>
    <cellStyle name="Comma 2 9 2 4" xfId="6972" xr:uid="{00000000-0005-0000-0000-00003F1B0000}"/>
    <cellStyle name="Comma 2 9 2 4 2" xfId="6973" xr:uid="{00000000-0005-0000-0000-0000401B0000}"/>
    <cellStyle name="Comma 2 9 2 4 2 2" xfId="6974" xr:uid="{00000000-0005-0000-0000-0000411B0000}"/>
    <cellStyle name="Comma 2 9 2 4 3" xfId="6975" xr:uid="{00000000-0005-0000-0000-0000421B0000}"/>
    <cellStyle name="Comma 2 9 2 5" xfId="6976" xr:uid="{00000000-0005-0000-0000-0000431B0000}"/>
    <cellStyle name="Comma 2 9 2 5 2" xfId="6977" xr:uid="{00000000-0005-0000-0000-0000441B0000}"/>
    <cellStyle name="Comma 2 9 2 6" xfId="6978" xr:uid="{00000000-0005-0000-0000-0000451B0000}"/>
    <cellStyle name="Comma 2 9 2 6 2" xfId="6979" xr:uid="{00000000-0005-0000-0000-0000461B0000}"/>
    <cellStyle name="Comma 2 9 2 7" xfId="6980" xr:uid="{00000000-0005-0000-0000-0000471B0000}"/>
    <cellStyle name="Comma 2 9 3" xfId="6981" xr:uid="{00000000-0005-0000-0000-0000481B0000}"/>
    <cellStyle name="Comma 2 9 3 2" xfId="6982" xr:uid="{00000000-0005-0000-0000-0000491B0000}"/>
    <cellStyle name="Comma 2 9 3 2 2" xfId="6983" xr:uid="{00000000-0005-0000-0000-00004A1B0000}"/>
    <cellStyle name="Comma 2 9 3 2 2 2" xfId="6984" xr:uid="{00000000-0005-0000-0000-00004B1B0000}"/>
    <cellStyle name="Comma 2 9 3 2 2 2 2" xfId="6985" xr:uid="{00000000-0005-0000-0000-00004C1B0000}"/>
    <cellStyle name="Comma 2 9 3 2 2 2 2 2" xfId="6986" xr:uid="{00000000-0005-0000-0000-00004D1B0000}"/>
    <cellStyle name="Comma 2 9 3 2 2 2 3" xfId="6987" xr:uid="{00000000-0005-0000-0000-00004E1B0000}"/>
    <cellStyle name="Comma 2 9 3 2 2 3" xfId="6988" xr:uid="{00000000-0005-0000-0000-00004F1B0000}"/>
    <cellStyle name="Comma 2 9 3 2 2 3 2" xfId="6989" xr:uid="{00000000-0005-0000-0000-0000501B0000}"/>
    <cellStyle name="Comma 2 9 3 2 2 4" xfId="6990" xr:uid="{00000000-0005-0000-0000-0000511B0000}"/>
    <cellStyle name="Comma 2 9 3 2 2 4 2" xfId="6991" xr:uid="{00000000-0005-0000-0000-0000521B0000}"/>
    <cellStyle name="Comma 2 9 3 2 2 5" xfId="6992" xr:uid="{00000000-0005-0000-0000-0000531B0000}"/>
    <cellStyle name="Comma 2 9 3 2 3" xfId="6993" xr:uid="{00000000-0005-0000-0000-0000541B0000}"/>
    <cellStyle name="Comma 2 9 3 2 3 2" xfId="6994" xr:uid="{00000000-0005-0000-0000-0000551B0000}"/>
    <cellStyle name="Comma 2 9 3 2 3 2 2" xfId="6995" xr:uid="{00000000-0005-0000-0000-0000561B0000}"/>
    <cellStyle name="Comma 2 9 3 2 3 3" xfId="6996" xr:uid="{00000000-0005-0000-0000-0000571B0000}"/>
    <cellStyle name="Comma 2 9 3 2 4" xfId="6997" xr:uid="{00000000-0005-0000-0000-0000581B0000}"/>
    <cellStyle name="Comma 2 9 3 2 4 2" xfId="6998" xr:uid="{00000000-0005-0000-0000-0000591B0000}"/>
    <cellStyle name="Comma 2 9 3 2 5" xfId="6999" xr:uid="{00000000-0005-0000-0000-00005A1B0000}"/>
    <cellStyle name="Comma 2 9 3 2 5 2" xfId="7000" xr:uid="{00000000-0005-0000-0000-00005B1B0000}"/>
    <cellStyle name="Comma 2 9 3 2 6" xfId="7001" xr:uid="{00000000-0005-0000-0000-00005C1B0000}"/>
    <cellStyle name="Comma 2 9 3 3" xfId="7002" xr:uid="{00000000-0005-0000-0000-00005D1B0000}"/>
    <cellStyle name="Comma 2 9 3 3 2" xfId="7003" xr:uid="{00000000-0005-0000-0000-00005E1B0000}"/>
    <cellStyle name="Comma 2 9 3 3 2 2" xfId="7004" xr:uid="{00000000-0005-0000-0000-00005F1B0000}"/>
    <cellStyle name="Comma 2 9 3 3 2 2 2" xfId="7005" xr:uid="{00000000-0005-0000-0000-0000601B0000}"/>
    <cellStyle name="Comma 2 9 3 3 2 3" xfId="7006" xr:uid="{00000000-0005-0000-0000-0000611B0000}"/>
    <cellStyle name="Comma 2 9 3 3 3" xfId="7007" xr:uid="{00000000-0005-0000-0000-0000621B0000}"/>
    <cellStyle name="Comma 2 9 3 3 3 2" xfId="7008" xr:uid="{00000000-0005-0000-0000-0000631B0000}"/>
    <cellStyle name="Comma 2 9 3 3 4" xfId="7009" xr:uid="{00000000-0005-0000-0000-0000641B0000}"/>
    <cellStyle name="Comma 2 9 3 3 4 2" xfId="7010" xr:uid="{00000000-0005-0000-0000-0000651B0000}"/>
    <cellStyle name="Comma 2 9 3 3 5" xfId="7011" xr:uid="{00000000-0005-0000-0000-0000661B0000}"/>
    <cellStyle name="Comma 2 9 3 4" xfId="7012" xr:uid="{00000000-0005-0000-0000-0000671B0000}"/>
    <cellStyle name="Comma 2 9 3 4 2" xfId="7013" xr:uid="{00000000-0005-0000-0000-0000681B0000}"/>
    <cellStyle name="Comma 2 9 3 4 2 2" xfId="7014" xr:uid="{00000000-0005-0000-0000-0000691B0000}"/>
    <cellStyle name="Comma 2 9 3 4 3" xfId="7015" xr:uid="{00000000-0005-0000-0000-00006A1B0000}"/>
    <cellStyle name="Comma 2 9 3 5" xfId="7016" xr:uid="{00000000-0005-0000-0000-00006B1B0000}"/>
    <cellStyle name="Comma 2 9 3 5 2" xfId="7017" xr:uid="{00000000-0005-0000-0000-00006C1B0000}"/>
    <cellStyle name="Comma 2 9 3 6" xfId="7018" xr:uid="{00000000-0005-0000-0000-00006D1B0000}"/>
    <cellStyle name="Comma 2 9 3 6 2" xfId="7019" xr:uid="{00000000-0005-0000-0000-00006E1B0000}"/>
    <cellStyle name="Comma 2 9 3 7" xfId="7020" xr:uid="{00000000-0005-0000-0000-00006F1B0000}"/>
    <cellStyle name="Comma 2 9 4" xfId="7021" xr:uid="{00000000-0005-0000-0000-0000701B0000}"/>
    <cellStyle name="Comma 2 9 4 2" xfId="7022" xr:uid="{00000000-0005-0000-0000-0000711B0000}"/>
    <cellStyle name="Comma 2 9 4 2 2" xfId="7023" xr:uid="{00000000-0005-0000-0000-0000721B0000}"/>
    <cellStyle name="Comma 2 9 4 2 2 2" xfId="7024" xr:uid="{00000000-0005-0000-0000-0000731B0000}"/>
    <cellStyle name="Comma 2 9 4 2 2 2 2" xfId="7025" xr:uid="{00000000-0005-0000-0000-0000741B0000}"/>
    <cellStyle name="Comma 2 9 4 2 2 3" xfId="7026" xr:uid="{00000000-0005-0000-0000-0000751B0000}"/>
    <cellStyle name="Comma 2 9 4 2 3" xfId="7027" xr:uid="{00000000-0005-0000-0000-0000761B0000}"/>
    <cellStyle name="Comma 2 9 4 2 3 2" xfId="7028" xr:uid="{00000000-0005-0000-0000-0000771B0000}"/>
    <cellStyle name="Comma 2 9 4 2 4" xfId="7029" xr:uid="{00000000-0005-0000-0000-0000781B0000}"/>
    <cellStyle name="Comma 2 9 4 2 4 2" xfId="7030" xr:uid="{00000000-0005-0000-0000-0000791B0000}"/>
    <cellStyle name="Comma 2 9 4 2 5" xfId="7031" xr:uid="{00000000-0005-0000-0000-00007A1B0000}"/>
    <cellStyle name="Comma 2 9 4 3" xfId="7032" xr:uid="{00000000-0005-0000-0000-00007B1B0000}"/>
    <cellStyle name="Comma 2 9 4 3 2" xfId="7033" xr:uid="{00000000-0005-0000-0000-00007C1B0000}"/>
    <cellStyle name="Comma 2 9 4 3 2 2" xfId="7034" xr:uid="{00000000-0005-0000-0000-00007D1B0000}"/>
    <cellStyle name="Comma 2 9 4 3 3" xfId="7035" xr:uid="{00000000-0005-0000-0000-00007E1B0000}"/>
    <cellStyle name="Comma 2 9 4 4" xfId="7036" xr:uid="{00000000-0005-0000-0000-00007F1B0000}"/>
    <cellStyle name="Comma 2 9 4 4 2" xfId="7037" xr:uid="{00000000-0005-0000-0000-0000801B0000}"/>
    <cellStyle name="Comma 2 9 4 5" xfId="7038" xr:uid="{00000000-0005-0000-0000-0000811B0000}"/>
    <cellStyle name="Comma 2 9 4 5 2" xfId="7039" xr:uid="{00000000-0005-0000-0000-0000821B0000}"/>
    <cellStyle name="Comma 2 9 4 6" xfId="7040" xr:uid="{00000000-0005-0000-0000-0000831B0000}"/>
    <cellStyle name="Comma 2 9 5" xfId="7041" xr:uid="{00000000-0005-0000-0000-0000841B0000}"/>
    <cellStyle name="Comma 2 9 5 2" xfId="7042" xr:uid="{00000000-0005-0000-0000-0000851B0000}"/>
    <cellStyle name="Comma 2 9 5 2 2" xfId="7043" xr:uid="{00000000-0005-0000-0000-0000861B0000}"/>
    <cellStyle name="Comma 2 9 5 2 2 2" xfId="7044" xr:uid="{00000000-0005-0000-0000-0000871B0000}"/>
    <cellStyle name="Comma 2 9 5 2 3" xfId="7045" xr:uid="{00000000-0005-0000-0000-0000881B0000}"/>
    <cellStyle name="Comma 2 9 5 3" xfId="7046" xr:uid="{00000000-0005-0000-0000-0000891B0000}"/>
    <cellStyle name="Comma 2 9 5 3 2" xfId="7047" xr:uid="{00000000-0005-0000-0000-00008A1B0000}"/>
    <cellStyle name="Comma 2 9 5 4" xfId="7048" xr:uid="{00000000-0005-0000-0000-00008B1B0000}"/>
    <cellStyle name="Comma 2 9 5 4 2" xfId="7049" xr:uid="{00000000-0005-0000-0000-00008C1B0000}"/>
    <cellStyle name="Comma 2 9 5 5" xfId="7050" xr:uid="{00000000-0005-0000-0000-00008D1B0000}"/>
    <cellStyle name="Comma 2 9 6" xfId="7051" xr:uid="{00000000-0005-0000-0000-00008E1B0000}"/>
    <cellStyle name="Comma 2 9 6 2" xfId="7052" xr:uid="{00000000-0005-0000-0000-00008F1B0000}"/>
    <cellStyle name="Comma 2 9 6 2 2" xfId="7053" xr:uid="{00000000-0005-0000-0000-0000901B0000}"/>
    <cellStyle name="Comma 2 9 6 3" xfId="7054" xr:uid="{00000000-0005-0000-0000-0000911B0000}"/>
    <cellStyle name="Comma 2 9 7" xfId="7055" xr:uid="{00000000-0005-0000-0000-0000921B0000}"/>
    <cellStyle name="Comma 2 9 7 2" xfId="7056" xr:uid="{00000000-0005-0000-0000-0000931B0000}"/>
    <cellStyle name="Comma 2 9 8" xfId="7057" xr:uid="{00000000-0005-0000-0000-0000941B0000}"/>
    <cellStyle name="Comma 2 9 8 2" xfId="7058" xr:uid="{00000000-0005-0000-0000-0000951B0000}"/>
    <cellStyle name="Comma 2 9 9" xfId="7059" xr:uid="{00000000-0005-0000-0000-0000961B0000}"/>
    <cellStyle name="Comma 3" xfId="7060" xr:uid="{00000000-0005-0000-0000-0000971B0000}"/>
    <cellStyle name="Comma 3 10" xfId="7061" xr:uid="{00000000-0005-0000-0000-0000981B0000}"/>
    <cellStyle name="Comma 3 10 2" xfId="7062" xr:uid="{00000000-0005-0000-0000-0000991B0000}"/>
    <cellStyle name="Comma 3 10 2 2" xfId="7063" xr:uid="{00000000-0005-0000-0000-00009A1B0000}"/>
    <cellStyle name="Comma 3 10 2 2 2" xfId="7064" xr:uid="{00000000-0005-0000-0000-00009B1B0000}"/>
    <cellStyle name="Comma 3 10 2 2 2 2" xfId="7065" xr:uid="{00000000-0005-0000-0000-00009C1B0000}"/>
    <cellStyle name="Comma 3 10 2 2 2 2 2" xfId="7066" xr:uid="{00000000-0005-0000-0000-00009D1B0000}"/>
    <cellStyle name="Comma 3 10 2 2 2 2 2 2" xfId="7067" xr:uid="{00000000-0005-0000-0000-00009E1B0000}"/>
    <cellStyle name="Comma 3 10 2 2 2 2 3" xfId="7068" xr:uid="{00000000-0005-0000-0000-00009F1B0000}"/>
    <cellStyle name="Comma 3 10 2 2 2 3" xfId="7069" xr:uid="{00000000-0005-0000-0000-0000A01B0000}"/>
    <cellStyle name="Comma 3 10 2 2 2 3 2" xfId="7070" xr:uid="{00000000-0005-0000-0000-0000A11B0000}"/>
    <cellStyle name="Comma 3 10 2 2 2 4" xfId="7071" xr:uid="{00000000-0005-0000-0000-0000A21B0000}"/>
    <cellStyle name="Comma 3 10 2 2 2 4 2" xfId="7072" xr:uid="{00000000-0005-0000-0000-0000A31B0000}"/>
    <cellStyle name="Comma 3 10 2 2 2 5" xfId="7073" xr:uid="{00000000-0005-0000-0000-0000A41B0000}"/>
    <cellStyle name="Comma 3 10 2 2 3" xfId="7074" xr:uid="{00000000-0005-0000-0000-0000A51B0000}"/>
    <cellStyle name="Comma 3 10 2 2 3 2" xfId="7075" xr:uid="{00000000-0005-0000-0000-0000A61B0000}"/>
    <cellStyle name="Comma 3 10 2 2 3 2 2" xfId="7076" xr:uid="{00000000-0005-0000-0000-0000A71B0000}"/>
    <cellStyle name="Comma 3 10 2 2 3 3" xfId="7077" xr:uid="{00000000-0005-0000-0000-0000A81B0000}"/>
    <cellStyle name="Comma 3 10 2 2 4" xfId="7078" xr:uid="{00000000-0005-0000-0000-0000A91B0000}"/>
    <cellStyle name="Comma 3 10 2 2 4 2" xfId="7079" xr:uid="{00000000-0005-0000-0000-0000AA1B0000}"/>
    <cellStyle name="Comma 3 10 2 2 5" xfId="7080" xr:uid="{00000000-0005-0000-0000-0000AB1B0000}"/>
    <cellStyle name="Comma 3 10 2 2 5 2" xfId="7081" xr:uid="{00000000-0005-0000-0000-0000AC1B0000}"/>
    <cellStyle name="Comma 3 10 2 2 6" xfId="7082" xr:uid="{00000000-0005-0000-0000-0000AD1B0000}"/>
    <cellStyle name="Comma 3 10 2 3" xfId="7083" xr:uid="{00000000-0005-0000-0000-0000AE1B0000}"/>
    <cellStyle name="Comma 3 10 2 3 2" xfId="7084" xr:uid="{00000000-0005-0000-0000-0000AF1B0000}"/>
    <cellStyle name="Comma 3 10 2 3 2 2" xfId="7085" xr:uid="{00000000-0005-0000-0000-0000B01B0000}"/>
    <cellStyle name="Comma 3 10 2 3 2 2 2" xfId="7086" xr:uid="{00000000-0005-0000-0000-0000B11B0000}"/>
    <cellStyle name="Comma 3 10 2 3 2 3" xfId="7087" xr:uid="{00000000-0005-0000-0000-0000B21B0000}"/>
    <cellStyle name="Comma 3 10 2 3 3" xfId="7088" xr:uid="{00000000-0005-0000-0000-0000B31B0000}"/>
    <cellStyle name="Comma 3 10 2 3 3 2" xfId="7089" xr:uid="{00000000-0005-0000-0000-0000B41B0000}"/>
    <cellStyle name="Comma 3 10 2 3 4" xfId="7090" xr:uid="{00000000-0005-0000-0000-0000B51B0000}"/>
    <cellStyle name="Comma 3 10 2 3 4 2" xfId="7091" xr:uid="{00000000-0005-0000-0000-0000B61B0000}"/>
    <cellStyle name="Comma 3 10 2 3 5" xfId="7092" xr:uid="{00000000-0005-0000-0000-0000B71B0000}"/>
    <cellStyle name="Comma 3 10 2 4" xfId="7093" xr:uid="{00000000-0005-0000-0000-0000B81B0000}"/>
    <cellStyle name="Comma 3 10 2 4 2" xfId="7094" xr:uid="{00000000-0005-0000-0000-0000B91B0000}"/>
    <cellStyle name="Comma 3 10 2 4 2 2" xfId="7095" xr:uid="{00000000-0005-0000-0000-0000BA1B0000}"/>
    <cellStyle name="Comma 3 10 2 4 3" xfId="7096" xr:uid="{00000000-0005-0000-0000-0000BB1B0000}"/>
    <cellStyle name="Comma 3 10 2 5" xfId="7097" xr:uid="{00000000-0005-0000-0000-0000BC1B0000}"/>
    <cellStyle name="Comma 3 10 2 5 2" xfId="7098" xr:uid="{00000000-0005-0000-0000-0000BD1B0000}"/>
    <cellStyle name="Comma 3 10 2 6" xfId="7099" xr:uid="{00000000-0005-0000-0000-0000BE1B0000}"/>
    <cellStyle name="Comma 3 10 2 6 2" xfId="7100" xr:uid="{00000000-0005-0000-0000-0000BF1B0000}"/>
    <cellStyle name="Comma 3 10 2 7" xfId="7101" xr:uid="{00000000-0005-0000-0000-0000C01B0000}"/>
    <cellStyle name="Comma 3 10 3" xfId="7102" xr:uid="{00000000-0005-0000-0000-0000C11B0000}"/>
    <cellStyle name="Comma 3 10 3 2" xfId="7103" xr:uid="{00000000-0005-0000-0000-0000C21B0000}"/>
    <cellStyle name="Comma 3 10 3 2 2" xfId="7104" xr:uid="{00000000-0005-0000-0000-0000C31B0000}"/>
    <cellStyle name="Comma 3 10 3 2 2 2" xfId="7105" xr:uid="{00000000-0005-0000-0000-0000C41B0000}"/>
    <cellStyle name="Comma 3 10 3 2 2 2 2" xfId="7106" xr:uid="{00000000-0005-0000-0000-0000C51B0000}"/>
    <cellStyle name="Comma 3 10 3 2 2 3" xfId="7107" xr:uid="{00000000-0005-0000-0000-0000C61B0000}"/>
    <cellStyle name="Comma 3 10 3 2 3" xfId="7108" xr:uid="{00000000-0005-0000-0000-0000C71B0000}"/>
    <cellStyle name="Comma 3 10 3 2 3 2" xfId="7109" xr:uid="{00000000-0005-0000-0000-0000C81B0000}"/>
    <cellStyle name="Comma 3 10 3 2 4" xfId="7110" xr:uid="{00000000-0005-0000-0000-0000C91B0000}"/>
    <cellStyle name="Comma 3 10 3 2 4 2" xfId="7111" xr:uid="{00000000-0005-0000-0000-0000CA1B0000}"/>
    <cellStyle name="Comma 3 10 3 2 5" xfId="7112" xr:uid="{00000000-0005-0000-0000-0000CB1B0000}"/>
    <cellStyle name="Comma 3 10 3 3" xfId="7113" xr:uid="{00000000-0005-0000-0000-0000CC1B0000}"/>
    <cellStyle name="Comma 3 10 3 3 2" xfId="7114" xr:uid="{00000000-0005-0000-0000-0000CD1B0000}"/>
    <cellStyle name="Comma 3 10 3 3 2 2" xfId="7115" xr:uid="{00000000-0005-0000-0000-0000CE1B0000}"/>
    <cellStyle name="Comma 3 10 3 3 3" xfId="7116" xr:uid="{00000000-0005-0000-0000-0000CF1B0000}"/>
    <cellStyle name="Comma 3 10 3 4" xfId="7117" xr:uid="{00000000-0005-0000-0000-0000D01B0000}"/>
    <cellStyle name="Comma 3 10 3 4 2" xfId="7118" xr:uid="{00000000-0005-0000-0000-0000D11B0000}"/>
    <cellStyle name="Comma 3 10 3 5" xfId="7119" xr:uid="{00000000-0005-0000-0000-0000D21B0000}"/>
    <cellStyle name="Comma 3 10 3 5 2" xfId="7120" xr:uid="{00000000-0005-0000-0000-0000D31B0000}"/>
    <cellStyle name="Comma 3 10 3 6" xfId="7121" xr:uid="{00000000-0005-0000-0000-0000D41B0000}"/>
    <cellStyle name="Comma 3 10 4" xfId="7122" xr:uid="{00000000-0005-0000-0000-0000D51B0000}"/>
    <cellStyle name="Comma 3 10 4 2" xfId="7123" xr:uid="{00000000-0005-0000-0000-0000D61B0000}"/>
    <cellStyle name="Comma 3 10 4 2 2" xfId="7124" xr:uid="{00000000-0005-0000-0000-0000D71B0000}"/>
    <cellStyle name="Comma 3 10 4 2 2 2" xfId="7125" xr:uid="{00000000-0005-0000-0000-0000D81B0000}"/>
    <cellStyle name="Comma 3 10 4 2 3" xfId="7126" xr:uid="{00000000-0005-0000-0000-0000D91B0000}"/>
    <cellStyle name="Comma 3 10 4 3" xfId="7127" xr:uid="{00000000-0005-0000-0000-0000DA1B0000}"/>
    <cellStyle name="Comma 3 10 4 3 2" xfId="7128" xr:uid="{00000000-0005-0000-0000-0000DB1B0000}"/>
    <cellStyle name="Comma 3 10 4 4" xfId="7129" xr:uid="{00000000-0005-0000-0000-0000DC1B0000}"/>
    <cellStyle name="Comma 3 10 4 4 2" xfId="7130" xr:uid="{00000000-0005-0000-0000-0000DD1B0000}"/>
    <cellStyle name="Comma 3 10 4 5" xfId="7131" xr:uid="{00000000-0005-0000-0000-0000DE1B0000}"/>
    <cellStyle name="Comma 3 10 5" xfId="7132" xr:uid="{00000000-0005-0000-0000-0000DF1B0000}"/>
    <cellStyle name="Comma 3 10 5 2" xfId="7133" xr:uid="{00000000-0005-0000-0000-0000E01B0000}"/>
    <cellStyle name="Comma 3 10 5 2 2" xfId="7134" xr:uid="{00000000-0005-0000-0000-0000E11B0000}"/>
    <cellStyle name="Comma 3 10 5 3" xfId="7135" xr:uid="{00000000-0005-0000-0000-0000E21B0000}"/>
    <cellStyle name="Comma 3 10 6" xfId="7136" xr:uid="{00000000-0005-0000-0000-0000E31B0000}"/>
    <cellStyle name="Comma 3 10 6 2" xfId="7137" xr:uid="{00000000-0005-0000-0000-0000E41B0000}"/>
    <cellStyle name="Comma 3 10 7" xfId="7138" xr:uid="{00000000-0005-0000-0000-0000E51B0000}"/>
    <cellStyle name="Comma 3 10 7 2" xfId="7139" xr:uid="{00000000-0005-0000-0000-0000E61B0000}"/>
    <cellStyle name="Comma 3 10 8" xfId="7140" xr:uid="{00000000-0005-0000-0000-0000E71B0000}"/>
    <cellStyle name="Comma 3 11" xfId="7141" xr:uid="{00000000-0005-0000-0000-0000E81B0000}"/>
    <cellStyle name="Comma 3 11 2" xfId="7142" xr:uid="{00000000-0005-0000-0000-0000E91B0000}"/>
    <cellStyle name="Comma 3 11 2 2" xfId="7143" xr:uid="{00000000-0005-0000-0000-0000EA1B0000}"/>
    <cellStyle name="Comma 3 11 2 2 2" xfId="7144" xr:uid="{00000000-0005-0000-0000-0000EB1B0000}"/>
    <cellStyle name="Comma 3 11 2 2 2 2" xfId="7145" xr:uid="{00000000-0005-0000-0000-0000EC1B0000}"/>
    <cellStyle name="Comma 3 11 2 2 2 2 2" xfId="7146" xr:uid="{00000000-0005-0000-0000-0000ED1B0000}"/>
    <cellStyle name="Comma 3 11 2 2 2 3" xfId="7147" xr:uid="{00000000-0005-0000-0000-0000EE1B0000}"/>
    <cellStyle name="Comma 3 11 2 2 3" xfId="7148" xr:uid="{00000000-0005-0000-0000-0000EF1B0000}"/>
    <cellStyle name="Comma 3 11 2 2 3 2" xfId="7149" xr:uid="{00000000-0005-0000-0000-0000F01B0000}"/>
    <cellStyle name="Comma 3 11 2 2 4" xfId="7150" xr:uid="{00000000-0005-0000-0000-0000F11B0000}"/>
    <cellStyle name="Comma 3 11 2 2 4 2" xfId="7151" xr:uid="{00000000-0005-0000-0000-0000F21B0000}"/>
    <cellStyle name="Comma 3 11 2 2 5" xfId="7152" xr:uid="{00000000-0005-0000-0000-0000F31B0000}"/>
    <cellStyle name="Comma 3 11 2 3" xfId="7153" xr:uid="{00000000-0005-0000-0000-0000F41B0000}"/>
    <cellStyle name="Comma 3 11 2 3 2" xfId="7154" xr:uid="{00000000-0005-0000-0000-0000F51B0000}"/>
    <cellStyle name="Comma 3 11 2 3 2 2" xfId="7155" xr:uid="{00000000-0005-0000-0000-0000F61B0000}"/>
    <cellStyle name="Comma 3 11 2 3 3" xfId="7156" xr:uid="{00000000-0005-0000-0000-0000F71B0000}"/>
    <cellStyle name="Comma 3 11 2 4" xfId="7157" xr:uid="{00000000-0005-0000-0000-0000F81B0000}"/>
    <cellStyle name="Comma 3 11 2 4 2" xfId="7158" xr:uid="{00000000-0005-0000-0000-0000F91B0000}"/>
    <cellStyle name="Comma 3 11 2 5" xfId="7159" xr:uid="{00000000-0005-0000-0000-0000FA1B0000}"/>
    <cellStyle name="Comma 3 11 2 5 2" xfId="7160" xr:uid="{00000000-0005-0000-0000-0000FB1B0000}"/>
    <cellStyle name="Comma 3 11 2 6" xfId="7161" xr:uid="{00000000-0005-0000-0000-0000FC1B0000}"/>
    <cellStyle name="Comma 3 11 3" xfId="7162" xr:uid="{00000000-0005-0000-0000-0000FD1B0000}"/>
    <cellStyle name="Comma 3 11 3 2" xfId="7163" xr:uid="{00000000-0005-0000-0000-0000FE1B0000}"/>
    <cellStyle name="Comma 3 11 3 2 2" xfId="7164" xr:uid="{00000000-0005-0000-0000-0000FF1B0000}"/>
    <cellStyle name="Comma 3 11 3 2 2 2" xfId="7165" xr:uid="{00000000-0005-0000-0000-0000001C0000}"/>
    <cellStyle name="Comma 3 11 3 2 3" xfId="7166" xr:uid="{00000000-0005-0000-0000-0000011C0000}"/>
    <cellStyle name="Comma 3 11 3 3" xfId="7167" xr:uid="{00000000-0005-0000-0000-0000021C0000}"/>
    <cellStyle name="Comma 3 11 3 3 2" xfId="7168" xr:uid="{00000000-0005-0000-0000-0000031C0000}"/>
    <cellStyle name="Comma 3 11 3 4" xfId="7169" xr:uid="{00000000-0005-0000-0000-0000041C0000}"/>
    <cellStyle name="Comma 3 11 3 4 2" xfId="7170" xr:uid="{00000000-0005-0000-0000-0000051C0000}"/>
    <cellStyle name="Comma 3 11 3 5" xfId="7171" xr:uid="{00000000-0005-0000-0000-0000061C0000}"/>
    <cellStyle name="Comma 3 11 4" xfId="7172" xr:uid="{00000000-0005-0000-0000-0000071C0000}"/>
    <cellStyle name="Comma 3 11 4 2" xfId="7173" xr:uid="{00000000-0005-0000-0000-0000081C0000}"/>
    <cellStyle name="Comma 3 11 4 2 2" xfId="7174" xr:uid="{00000000-0005-0000-0000-0000091C0000}"/>
    <cellStyle name="Comma 3 11 4 3" xfId="7175" xr:uid="{00000000-0005-0000-0000-00000A1C0000}"/>
    <cellStyle name="Comma 3 11 5" xfId="7176" xr:uid="{00000000-0005-0000-0000-00000B1C0000}"/>
    <cellStyle name="Comma 3 11 5 2" xfId="7177" xr:uid="{00000000-0005-0000-0000-00000C1C0000}"/>
    <cellStyle name="Comma 3 11 6" xfId="7178" xr:uid="{00000000-0005-0000-0000-00000D1C0000}"/>
    <cellStyle name="Comma 3 11 6 2" xfId="7179" xr:uid="{00000000-0005-0000-0000-00000E1C0000}"/>
    <cellStyle name="Comma 3 11 7" xfId="7180" xr:uid="{00000000-0005-0000-0000-00000F1C0000}"/>
    <cellStyle name="Comma 3 12" xfId="7181" xr:uid="{00000000-0005-0000-0000-0000101C0000}"/>
    <cellStyle name="Comma 3 12 2" xfId="7182" xr:uid="{00000000-0005-0000-0000-0000111C0000}"/>
    <cellStyle name="Comma 3 12 2 2" xfId="7183" xr:uid="{00000000-0005-0000-0000-0000121C0000}"/>
    <cellStyle name="Comma 3 12 2 2 2" xfId="7184" xr:uid="{00000000-0005-0000-0000-0000131C0000}"/>
    <cellStyle name="Comma 3 12 2 2 2 2" xfId="7185" xr:uid="{00000000-0005-0000-0000-0000141C0000}"/>
    <cellStyle name="Comma 3 12 2 2 2 2 2" xfId="7186" xr:uid="{00000000-0005-0000-0000-0000151C0000}"/>
    <cellStyle name="Comma 3 12 2 2 2 3" xfId="7187" xr:uid="{00000000-0005-0000-0000-0000161C0000}"/>
    <cellStyle name="Comma 3 12 2 2 3" xfId="7188" xr:uid="{00000000-0005-0000-0000-0000171C0000}"/>
    <cellStyle name="Comma 3 12 2 2 3 2" xfId="7189" xr:uid="{00000000-0005-0000-0000-0000181C0000}"/>
    <cellStyle name="Comma 3 12 2 2 4" xfId="7190" xr:uid="{00000000-0005-0000-0000-0000191C0000}"/>
    <cellStyle name="Comma 3 12 2 2 4 2" xfId="7191" xr:uid="{00000000-0005-0000-0000-00001A1C0000}"/>
    <cellStyle name="Comma 3 12 2 2 5" xfId="7192" xr:uid="{00000000-0005-0000-0000-00001B1C0000}"/>
    <cellStyle name="Comma 3 12 2 3" xfId="7193" xr:uid="{00000000-0005-0000-0000-00001C1C0000}"/>
    <cellStyle name="Comma 3 12 2 3 2" xfId="7194" xr:uid="{00000000-0005-0000-0000-00001D1C0000}"/>
    <cellStyle name="Comma 3 12 2 3 2 2" xfId="7195" xr:uid="{00000000-0005-0000-0000-00001E1C0000}"/>
    <cellStyle name="Comma 3 12 2 3 3" xfId="7196" xr:uid="{00000000-0005-0000-0000-00001F1C0000}"/>
    <cellStyle name="Comma 3 12 2 4" xfId="7197" xr:uid="{00000000-0005-0000-0000-0000201C0000}"/>
    <cellStyle name="Comma 3 12 2 4 2" xfId="7198" xr:uid="{00000000-0005-0000-0000-0000211C0000}"/>
    <cellStyle name="Comma 3 12 2 5" xfId="7199" xr:uid="{00000000-0005-0000-0000-0000221C0000}"/>
    <cellStyle name="Comma 3 12 2 5 2" xfId="7200" xr:uid="{00000000-0005-0000-0000-0000231C0000}"/>
    <cellStyle name="Comma 3 12 2 6" xfId="7201" xr:uid="{00000000-0005-0000-0000-0000241C0000}"/>
    <cellStyle name="Comma 3 12 3" xfId="7202" xr:uid="{00000000-0005-0000-0000-0000251C0000}"/>
    <cellStyle name="Comma 3 12 3 2" xfId="7203" xr:uid="{00000000-0005-0000-0000-0000261C0000}"/>
    <cellStyle name="Comma 3 12 3 2 2" xfId="7204" xr:uid="{00000000-0005-0000-0000-0000271C0000}"/>
    <cellStyle name="Comma 3 12 3 2 2 2" xfId="7205" xr:uid="{00000000-0005-0000-0000-0000281C0000}"/>
    <cellStyle name="Comma 3 12 3 2 3" xfId="7206" xr:uid="{00000000-0005-0000-0000-0000291C0000}"/>
    <cellStyle name="Comma 3 12 3 3" xfId="7207" xr:uid="{00000000-0005-0000-0000-00002A1C0000}"/>
    <cellStyle name="Comma 3 12 3 3 2" xfId="7208" xr:uid="{00000000-0005-0000-0000-00002B1C0000}"/>
    <cellStyle name="Comma 3 12 3 4" xfId="7209" xr:uid="{00000000-0005-0000-0000-00002C1C0000}"/>
    <cellStyle name="Comma 3 12 3 4 2" xfId="7210" xr:uid="{00000000-0005-0000-0000-00002D1C0000}"/>
    <cellStyle name="Comma 3 12 3 5" xfId="7211" xr:uid="{00000000-0005-0000-0000-00002E1C0000}"/>
    <cellStyle name="Comma 3 12 4" xfId="7212" xr:uid="{00000000-0005-0000-0000-00002F1C0000}"/>
    <cellStyle name="Comma 3 12 4 2" xfId="7213" xr:uid="{00000000-0005-0000-0000-0000301C0000}"/>
    <cellStyle name="Comma 3 12 4 2 2" xfId="7214" xr:uid="{00000000-0005-0000-0000-0000311C0000}"/>
    <cellStyle name="Comma 3 12 4 3" xfId="7215" xr:uid="{00000000-0005-0000-0000-0000321C0000}"/>
    <cellStyle name="Comma 3 12 5" xfId="7216" xr:uid="{00000000-0005-0000-0000-0000331C0000}"/>
    <cellStyle name="Comma 3 12 5 2" xfId="7217" xr:uid="{00000000-0005-0000-0000-0000341C0000}"/>
    <cellStyle name="Comma 3 12 6" xfId="7218" xr:uid="{00000000-0005-0000-0000-0000351C0000}"/>
    <cellStyle name="Comma 3 12 6 2" xfId="7219" xr:uid="{00000000-0005-0000-0000-0000361C0000}"/>
    <cellStyle name="Comma 3 12 7" xfId="7220" xr:uid="{00000000-0005-0000-0000-0000371C0000}"/>
    <cellStyle name="Comma 3 13" xfId="7221" xr:uid="{00000000-0005-0000-0000-0000381C0000}"/>
    <cellStyle name="Comma 3 13 2" xfId="7222" xr:uid="{00000000-0005-0000-0000-0000391C0000}"/>
    <cellStyle name="Comma 3 13 2 2" xfId="7223" xr:uid="{00000000-0005-0000-0000-00003A1C0000}"/>
    <cellStyle name="Comma 3 13 2 2 2" xfId="7224" xr:uid="{00000000-0005-0000-0000-00003B1C0000}"/>
    <cellStyle name="Comma 3 13 2 2 2 2" xfId="7225" xr:uid="{00000000-0005-0000-0000-00003C1C0000}"/>
    <cellStyle name="Comma 3 13 2 2 3" xfId="7226" xr:uid="{00000000-0005-0000-0000-00003D1C0000}"/>
    <cellStyle name="Comma 3 13 2 3" xfId="7227" xr:uid="{00000000-0005-0000-0000-00003E1C0000}"/>
    <cellStyle name="Comma 3 13 2 3 2" xfId="7228" xr:uid="{00000000-0005-0000-0000-00003F1C0000}"/>
    <cellStyle name="Comma 3 13 2 4" xfId="7229" xr:uid="{00000000-0005-0000-0000-0000401C0000}"/>
    <cellStyle name="Comma 3 13 2 4 2" xfId="7230" xr:uid="{00000000-0005-0000-0000-0000411C0000}"/>
    <cellStyle name="Comma 3 13 2 5" xfId="7231" xr:uid="{00000000-0005-0000-0000-0000421C0000}"/>
    <cellStyle name="Comma 3 13 3" xfId="7232" xr:uid="{00000000-0005-0000-0000-0000431C0000}"/>
    <cellStyle name="Comma 3 13 3 2" xfId="7233" xr:uid="{00000000-0005-0000-0000-0000441C0000}"/>
    <cellStyle name="Comma 3 13 3 2 2" xfId="7234" xr:uid="{00000000-0005-0000-0000-0000451C0000}"/>
    <cellStyle name="Comma 3 13 3 3" xfId="7235" xr:uid="{00000000-0005-0000-0000-0000461C0000}"/>
    <cellStyle name="Comma 3 13 4" xfId="7236" xr:uid="{00000000-0005-0000-0000-0000471C0000}"/>
    <cellStyle name="Comma 3 13 4 2" xfId="7237" xr:uid="{00000000-0005-0000-0000-0000481C0000}"/>
    <cellStyle name="Comma 3 13 5" xfId="7238" xr:uid="{00000000-0005-0000-0000-0000491C0000}"/>
    <cellStyle name="Comma 3 13 5 2" xfId="7239" xr:uid="{00000000-0005-0000-0000-00004A1C0000}"/>
    <cellStyle name="Comma 3 13 6" xfId="7240" xr:uid="{00000000-0005-0000-0000-00004B1C0000}"/>
    <cellStyle name="Comma 3 14" xfId="7241" xr:uid="{00000000-0005-0000-0000-00004C1C0000}"/>
    <cellStyle name="Comma 3 15" xfId="7242" xr:uid="{00000000-0005-0000-0000-00004D1C0000}"/>
    <cellStyle name="Comma 3 15 2" xfId="7243" xr:uid="{00000000-0005-0000-0000-00004E1C0000}"/>
    <cellStyle name="Comma 3 15 2 2" xfId="7244" xr:uid="{00000000-0005-0000-0000-00004F1C0000}"/>
    <cellStyle name="Comma 3 15 2 2 2" xfId="7245" xr:uid="{00000000-0005-0000-0000-0000501C0000}"/>
    <cellStyle name="Comma 3 15 2 3" xfId="7246" xr:uid="{00000000-0005-0000-0000-0000511C0000}"/>
    <cellStyle name="Comma 3 15 3" xfId="7247" xr:uid="{00000000-0005-0000-0000-0000521C0000}"/>
    <cellStyle name="Comma 3 15 3 2" xfId="7248" xr:uid="{00000000-0005-0000-0000-0000531C0000}"/>
    <cellStyle name="Comma 3 15 4" xfId="7249" xr:uid="{00000000-0005-0000-0000-0000541C0000}"/>
    <cellStyle name="Comma 3 15 4 2" xfId="7250" xr:uid="{00000000-0005-0000-0000-0000551C0000}"/>
    <cellStyle name="Comma 3 15 5" xfId="7251" xr:uid="{00000000-0005-0000-0000-0000561C0000}"/>
    <cellStyle name="Comma 3 16" xfId="7252" xr:uid="{00000000-0005-0000-0000-0000571C0000}"/>
    <cellStyle name="Comma 3 16 2" xfId="7253" xr:uid="{00000000-0005-0000-0000-0000581C0000}"/>
    <cellStyle name="Comma 3 16 2 2" xfId="7254" xr:uid="{00000000-0005-0000-0000-0000591C0000}"/>
    <cellStyle name="Comma 3 16 2 2 2" xfId="7255" xr:uid="{00000000-0005-0000-0000-00005A1C0000}"/>
    <cellStyle name="Comma 3 16 2 3" xfId="7256" xr:uid="{00000000-0005-0000-0000-00005B1C0000}"/>
    <cellStyle name="Comma 3 16 3" xfId="7257" xr:uid="{00000000-0005-0000-0000-00005C1C0000}"/>
    <cellStyle name="Comma 3 16 3 2" xfId="7258" xr:uid="{00000000-0005-0000-0000-00005D1C0000}"/>
    <cellStyle name="Comma 3 16 4" xfId="7259" xr:uid="{00000000-0005-0000-0000-00005E1C0000}"/>
    <cellStyle name="Comma 3 16 4 2" xfId="7260" xr:uid="{00000000-0005-0000-0000-00005F1C0000}"/>
    <cellStyle name="Comma 3 16 5" xfId="7261" xr:uid="{00000000-0005-0000-0000-0000601C0000}"/>
    <cellStyle name="Comma 3 17" xfId="7262" xr:uid="{00000000-0005-0000-0000-0000611C0000}"/>
    <cellStyle name="Comma 3 17 2" xfId="7263" xr:uid="{00000000-0005-0000-0000-0000621C0000}"/>
    <cellStyle name="Comma 3 17 2 2" xfId="7264" xr:uid="{00000000-0005-0000-0000-0000631C0000}"/>
    <cellStyle name="Comma 3 17 3" xfId="7265" xr:uid="{00000000-0005-0000-0000-0000641C0000}"/>
    <cellStyle name="Comma 3 18" xfId="7266" xr:uid="{00000000-0005-0000-0000-0000651C0000}"/>
    <cellStyle name="Comma 3 18 2" xfId="7267" xr:uid="{00000000-0005-0000-0000-0000661C0000}"/>
    <cellStyle name="Comma 3 18 2 2" xfId="7268" xr:uid="{00000000-0005-0000-0000-0000671C0000}"/>
    <cellStyle name="Comma 3 18 3" xfId="7269" xr:uid="{00000000-0005-0000-0000-0000681C0000}"/>
    <cellStyle name="Comma 3 19" xfId="7270" xr:uid="{00000000-0005-0000-0000-0000691C0000}"/>
    <cellStyle name="Comma 3 19 2" xfId="7271" xr:uid="{00000000-0005-0000-0000-00006A1C0000}"/>
    <cellStyle name="Comma 3 2" xfId="7272" xr:uid="{00000000-0005-0000-0000-00006B1C0000}"/>
    <cellStyle name="Comma 3 2 10" xfId="7273" xr:uid="{00000000-0005-0000-0000-00006C1C0000}"/>
    <cellStyle name="Comma 3 2 10 2" xfId="7274" xr:uid="{00000000-0005-0000-0000-00006D1C0000}"/>
    <cellStyle name="Comma 3 2 10 2 2" xfId="7275" xr:uid="{00000000-0005-0000-0000-00006E1C0000}"/>
    <cellStyle name="Comma 3 2 10 2 2 2" xfId="7276" xr:uid="{00000000-0005-0000-0000-00006F1C0000}"/>
    <cellStyle name="Comma 3 2 10 2 2 2 2" xfId="7277" xr:uid="{00000000-0005-0000-0000-0000701C0000}"/>
    <cellStyle name="Comma 3 2 10 2 2 3" xfId="7278" xr:uid="{00000000-0005-0000-0000-0000711C0000}"/>
    <cellStyle name="Comma 3 2 10 2 3" xfId="7279" xr:uid="{00000000-0005-0000-0000-0000721C0000}"/>
    <cellStyle name="Comma 3 2 10 2 3 2" xfId="7280" xr:uid="{00000000-0005-0000-0000-0000731C0000}"/>
    <cellStyle name="Comma 3 2 10 2 4" xfId="7281" xr:uid="{00000000-0005-0000-0000-0000741C0000}"/>
    <cellStyle name="Comma 3 2 10 2 4 2" xfId="7282" xr:uid="{00000000-0005-0000-0000-0000751C0000}"/>
    <cellStyle name="Comma 3 2 10 2 5" xfId="7283" xr:uid="{00000000-0005-0000-0000-0000761C0000}"/>
    <cellStyle name="Comma 3 2 10 3" xfId="7284" xr:uid="{00000000-0005-0000-0000-0000771C0000}"/>
    <cellStyle name="Comma 3 2 10 3 2" xfId="7285" xr:uid="{00000000-0005-0000-0000-0000781C0000}"/>
    <cellStyle name="Comma 3 2 10 3 2 2" xfId="7286" xr:uid="{00000000-0005-0000-0000-0000791C0000}"/>
    <cellStyle name="Comma 3 2 10 3 3" xfId="7287" xr:uid="{00000000-0005-0000-0000-00007A1C0000}"/>
    <cellStyle name="Comma 3 2 10 4" xfId="7288" xr:uid="{00000000-0005-0000-0000-00007B1C0000}"/>
    <cellStyle name="Comma 3 2 10 4 2" xfId="7289" xr:uid="{00000000-0005-0000-0000-00007C1C0000}"/>
    <cellStyle name="Comma 3 2 10 5" xfId="7290" xr:uid="{00000000-0005-0000-0000-00007D1C0000}"/>
    <cellStyle name="Comma 3 2 10 5 2" xfId="7291" xr:uid="{00000000-0005-0000-0000-00007E1C0000}"/>
    <cellStyle name="Comma 3 2 10 6" xfId="7292" xr:uid="{00000000-0005-0000-0000-00007F1C0000}"/>
    <cellStyle name="Comma 3 2 11" xfId="7293" xr:uid="{00000000-0005-0000-0000-0000801C0000}"/>
    <cellStyle name="Comma 3 2 11 2" xfId="7294" xr:uid="{00000000-0005-0000-0000-0000811C0000}"/>
    <cellStyle name="Comma 3 2 11 2 2" xfId="7295" xr:uid="{00000000-0005-0000-0000-0000821C0000}"/>
    <cellStyle name="Comma 3 2 11 2 2 2" xfId="7296" xr:uid="{00000000-0005-0000-0000-0000831C0000}"/>
    <cellStyle name="Comma 3 2 11 2 3" xfId="7297" xr:uid="{00000000-0005-0000-0000-0000841C0000}"/>
    <cellStyle name="Comma 3 2 11 3" xfId="7298" xr:uid="{00000000-0005-0000-0000-0000851C0000}"/>
    <cellStyle name="Comma 3 2 11 3 2" xfId="7299" xr:uid="{00000000-0005-0000-0000-0000861C0000}"/>
    <cellStyle name="Comma 3 2 11 4" xfId="7300" xr:uid="{00000000-0005-0000-0000-0000871C0000}"/>
    <cellStyle name="Comma 3 2 11 4 2" xfId="7301" xr:uid="{00000000-0005-0000-0000-0000881C0000}"/>
    <cellStyle name="Comma 3 2 11 5" xfId="7302" xr:uid="{00000000-0005-0000-0000-0000891C0000}"/>
    <cellStyle name="Comma 3 2 12" xfId="7303" xr:uid="{00000000-0005-0000-0000-00008A1C0000}"/>
    <cellStyle name="Comma 3 2 12 2" xfId="7304" xr:uid="{00000000-0005-0000-0000-00008B1C0000}"/>
    <cellStyle name="Comma 3 2 12 2 2" xfId="7305" xr:uid="{00000000-0005-0000-0000-00008C1C0000}"/>
    <cellStyle name="Comma 3 2 12 3" xfId="7306" xr:uid="{00000000-0005-0000-0000-00008D1C0000}"/>
    <cellStyle name="Comma 3 2 13" xfId="7307" xr:uid="{00000000-0005-0000-0000-00008E1C0000}"/>
    <cellStyle name="Comma 3 2 13 2" xfId="7308" xr:uid="{00000000-0005-0000-0000-00008F1C0000}"/>
    <cellStyle name="Comma 3 2 14" xfId="7309" xr:uid="{00000000-0005-0000-0000-0000901C0000}"/>
    <cellStyle name="Comma 3 2 14 2" xfId="7310" xr:uid="{00000000-0005-0000-0000-0000911C0000}"/>
    <cellStyle name="Comma 3 2 15" xfId="7311" xr:uid="{00000000-0005-0000-0000-0000921C0000}"/>
    <cellStyle name="Comma 3 2 2" xfId="7312" xr:uid="{00000000-0005-0000-0000-0000931C0000}"/>
    <cellStyle name="Comma 3 2 2 10" xfId="7313" xr:uid="{00000000-0005-0000-0000-0000941C0000}"/>
    <cellStyle name="Comma 3 2 2 10 2" xfId="7314" xr:uid="{00000000-0005-0000-0000-0000951C0000}"/>
    <cellStyle name="Comma 3 2 2 11" xfId="7315" xr:uid="{00000000-0005-0000-0000-0000961C0000}"/>
    <cellStyle name="Comma 3 2 2 11 2" xfId="7316" xr:uid="{00000000-0005-0000-0000-0000971C0000}"/>
    <cellStyle name="Comma 3 2 2 12" xfId="7317" xr:uid="{00000000-0005-0000-0000-0000981C0000}"/>
    <cellStyle name="Comma 3 2 2 2" xfId="7318" xr:uid="{00000000-0005-0000-0000-0000991C0000}"/>
    <cellStyle name="Comma 3 2 2 2 2" xfId="7319" xr:uid="{00000000-0005-0000-0000-00009A1C0000}"/>
    <cellStyle name="Comma 3 2 2 2 2 2" xfId="7320" xr:uid="{00000000-0005-0000-0000-00009B1C0000}"/>
    <cellStyle name="Comma 3 2 2 2 2 2 2" xfId="7321" xr:uid="{00000000-0005-0000-0000-00009C1C0000}"/>
    <cellStyle name="Comma 3 2 2 2 2 2 2 2" xfId="7322" xr:uid="{00000000-0005-0000-0000-00009D1C0000}"/>
    <cellStyle name="Comma 3 2 2 2 2 2 2 2 2" xfId="7323" xr:uid="{00000000-0005-0000-0000-00009E1C0000}"/>
    <cellStyle name="Comma 3 2 2 2 2 2 2 2 2 2" xfId="7324" xr:uid="{00000000-0005-0000-0000-00009F1C0000}"/>
    <cellStyle name="Comma 3 2 2 2 2 2 2 2 3" xfId="7325" xr:uid="{00000000-0005-0000-0000-0000A01C0000}"/>
    <cellStyle name="Comma 3 2 2 2 2 2 2 3" xfId="7326" xr:uid="{00000000-0005-0000-0000-0000A11C0000}"/>
    <cellStyle name="Comma 3 2 2 2 2 2 2 3 2" xfId="7327" xr:uid="{00000000-0005-0000-0000-0000A21C0000}"/>
    <cellStyle name="Comma 3 2 2 2 2 2 2 4" xfId="7328" xr:uid="{00000000-0005-0000-0000-0000A31C0000}"/>
    <cellStyle name="Comma 3 2 2 2 2 2 2 4 2" xfId="7329" xr:uid="{00000000-0005-0000-0000-0000A41C0000}"/>
    <cellStyle name="Comma 3 2 2 2 2 2 2 5" xfId="7330" xr:uid="{00000000-0005-0000-0000-0000A51C0000}"/>
    <cellStyle name="Comma 3 2 2 2 2 2 3" xfId="7331" xr:uid="{00000000-0005-0000-0000-0000A61C0000}"/>
    <cellStyle name="Comma 3 2 2 2 2 2 3 2" xfId="7332" xr:uid="{00000000-0005-0000-0000-0000A71C0000}"/>
    <cellStyle name="Comma 3 2 2 2 2 2 3 2 2" xfId="7333" xr:uid="{00000000-0005-0000-0000-0000A81C0000}"/>
    <cellStyle name="Comma 3 2 2 2 2 2 3 3" xfId="7334" xr:uid="{00000000-0005-0000-0000-0000A91C0000}"/>
    <cellStyle name="Comma 3 2 2 2 2 2 4" xfId="7335" xr:uid="{00000000-0005-0000-0000-0000AA1C0000}"/>
    <cellStyle name="Comma 3 2 2 2 2 2 4 2" xfId="7336" xr:uid="{00000000-0005-0000-0000-0000AB1C0000}"/>
    <cellStyle name="Comma 3 2 2 2 2 2 5" xfId="7337" xr:uid="{00000000-0005-0000-0000-0000AC1C0000}"/>
    <cellStyle name="Comma 3 2 2 2 2 2 5 2" xfId="7338" xr:uid="{00000000-0005-0000-0000-0000AD1C0000}"/>
    <cellStyle name="Comma 3 2 2 2 2 2 6" xfId="7339" xr:uid="{00000000-0005-0000-0000-0000AE1C0000}"/>
    <cellStyle name="Comma 3 2 2 2 2 3" xfId="7340" xr:uid="{00000000-0005-0000-0000-0000AF1C0000}"/>
    <cellStyle name="Comma 3 2 2 2 2 3 2" xfId="7341" xr:uid="{00000000-0005-0000-0000-0000B01C0000}"/>
    <cellStyle name="Comma 3 2 2 2 2 3 2 2" xfId="7342" xr:uid="{00000000-0005-0000-0000-0000B11C0000}"/>
    <cellStyle name="Comma 3 2 2 2 2 3 2 2 2" xfId="7343" xr:uid="{00000000-0005-0000-0000-0000B21C0000}"/>
    <cellStyle name="Comma 3 2 2 2 2 3 2 3" xfId="7344" xr:uid="{00000000-0005-0000-0000-0000B31C0000}"/>
    <cellStyle name="Comma 3 2 2 2 2 3 3" xfId="7345" xr:uid="{00000000-0005-0000-0000-0000B41C0000}"/>
    <cellStyle name="Comma 3 2 2 2 2 3 3 2" xfId="7346" xr:uid="{00000000-0005-0000-0000-0000B51C0000}"/>
    <cellStyle name="Comma 3 2 2 2 2 3 4" xfId="7347" xr:uid="{00000000-0005-0000-0000-0000B61C0000}"/>
    <cellStyle name="Comma 3 2 2 2 2 3 4 2" xfId="7348" xr:uid="{00000000-0005-0000-0000-0000B71C0000}"/>
    <cellStyle name="Comma 3 2 2 2 2 3 5" xfId="7349" xr:uid="{00000000-0005-0000-0000-0000B81C0000}"/>
    <cellStyle name="Comma 3 2 2 2 2 4" xfId="7350" xr:uid="{00000000-0005-0000-0000-0000B91C0000}"/>
    <cellStyle name="Comma 3 2 2 2 2 4 2" xfId="7351" xr:uid="{00000000-0005-0000-0000-0000BA1C0000}"/>
    <cellStyle name="Comma 3 2 2 2 2 4 2 2" xfId="7352" xr:uid="{00000000-0005-0000-0000-0000BB1C0000}"/>
    <cellStyle name="Comma 3 2 2 2 2 4 3" xfId="7353" xr:uid="{00000000-0005-0000-0000-0000BC1C0000}"/>
    <cellStyle name="Comma 3 2 2 2 2 5" xfId="7354" xr:uid="{00000000-0005-0000-0000-0000BD1C0000}"/>
    <cellStyle name="Comma 3 2 2 2 2 5 2" xfId="7355" xr:uid="{00000000-0005-0000-0000-0000BE1C0000}"/>
    <cellStyle name="Comma 3 2 2 2 2 6" xfId="7356" xr:uid="{00000000-0005-0000-0000-0000BF1C0000}"/>
    <cellStyle name="Comma 3 2 2 2 2 6 2" xfId="7357" xr:uid="{00000000-0005-0000-0000-0000C01C0000}"/>
    <cellStyle name="Comma 3 2 2 2 2 7" xfId="7358" xr:uid="{00000000-0005-0000-0000-0000C11C0000}"/>
    <cellStyle name="Comma 3 2 2 2 3" xfId="7359" xr:uid="{00000000-0005-0000-0000-0000C21C0000}"/>
    <cellStyle name="Comma 3 2 2 2 3 2" xfId="7360" xr:uid="{00000000-0005-0000-0000-0000C31C0000}"/>
    <cellStyle name="Comma 3 2 2 2 3 2 2" xfId="7361" xr:uid="{00000000-0005-0000-0000-0000C41C0000}"/>
    <cellStyle name="Comma 3 2 2 2 3 2 2 2" xfId="7362" xr:uid="{00000000-0005-0000-0000-0000C51C0000}"/>
    <cellStyle name="Comma 3 2 2 2 3 2 2 2 2" xfId="7363" xr:uid="{00000000-0005-0000-0000-0000C61C0000}"/>
    <cellStyle name="Comma 3 2 2 2 3 2 2 2 2 2" xfId="7364" xr:uid="{00000000-0005-0000-0000-0000C71C0000}"/>
    <cellStyle name="Comma 3 2 2 2 3 2 2 2 3" xfId="7365" xr:uid="{00000000-0005-0000-0000-0000C81C0000}"/>
    <cellStyle name="Comma 3 2 2 2 3 2 2 3" xfId="7366" xr:uid="{00000000-0005-0000-0000-0000C91C0000}"/>
    <cellStyle name="Comma 3 2 2 2 3 2 2 3 2" xfId="7367" xr:uid="{00000000-0005-0000-0000-0000CA1C0000}"/>
    <cellStyle name="Comma 3 2 2 2 3 2 2 4" xfId="7368" xr:uid="{00000000-0005-0000-0000-0000CB1C0000}"/>
    <cellStyle name="Comma 3 2 2 2 3 2 2 4 2" xfId="7369" xr:uid="{00000000-0005-0000-0000-0000CC1C0000}"/>
    <cellStyle name="Comma 3 2 2 2 3 2 2 5" xfId="7370" xr:uid="{00000000-0005-0000-0000-0000CD1C0000}"/>
    <cellStyle name="Comma 3 2 2 2 3 2 3" xfId="7371" xr:uid="{00000000-0005-0000-0000-0000CE1C0000}"/>
    <cellStyle name="Comma 3 2 2 2 3 2 3 2" xfId="7372" xr:uid="{00000000-0005-0000-0000-0000CF1C0000}"/>
    <cellStyle name="Comma 3 2 2 2 3 2 3 2 2" xfId="7373" xr:uid="{00000000-0005-0000-0000-0000D01C0000}"/>
    <cellStyle name="Comma 3 2 2 2 3 2 3 3" xfId="7374" xr:uid="{00000000-0005-0000-0000-0000D11C0000}"/>
    <cellStyle name="Comma 3 2 2 2 3 2 4" xfId="7375" xr:uid="{00000000-0005-0000-0000-0000D21C0000}"/>
    <cellStyle name="Comma 3 2 2 2 3 2 4 2" xfId="7376" xr:uid="{00000000-0005-0000-0000-0000D31C0000}"/>
    <cellStyle name="Comma 3 2 2 2 3 2 5" xfId="7377" xr:uid="{00000000-0005-0000-0000-0000D41C0000}"/>
    <cellStyle name="Comma 3 2 2 2 3 2 5 2" xfId="7378" xr:uid="{00000000-0005-0000-0000-0000D51C0000}"/>
    <cellStyle name="Comma 3 2 2 2 3 2 6" xfId="7379" xr:uid="{00000000-0005-0000-0000-0000D61C0000}"/>
    <cellStyle name="Comma 3 2 2 2 3 3" xfId="7380" xr:uid="{00000000-0005-0000-0000-0000D71C0000}"/>
    <cellStyle name="Comma 3 2 2 2 3 3 2" xfId="7381" xr:uid="{00000000-0005-0000-0000-0000D81C0000}"/>
    <cellStyle name="Comma 3 2 2 2 3 3 2 2" xfId="7382" xr:uid="{00000000-0005-0000-0000-0000D91C0000}"/>
    <cellStyle name="Comma 3 2 2 2 3 3 2 2 2" xfId="7383" xr:uid="{00000000-0005-0000-0000-0000DA1C0000}"/>
    <cellStyle name="Comma 3 2 2 2 3 3 2 3" xfId="7384" xr:uid="{00000000-0005-0000-0000-0000DB1C0000}"/>
    <cellStyle name="Comma 3 2 2 2 3 3 3" xfId="7385" xr:uid="{00000000-0005-0000-0000-0000DC1C0000}"/>
    <cellStyle name="Comma 3 2 2 2 3 3 3 2" xfId="7386" xr:uid="{00000000-0005-0000-0000-0000DD1C0000}"/>
    <cellStyle name="Comma 3 2 2 2 3 3 4" xfId="7387" xr:uid="{00000000-0005-0000-0000-0000DE1C0000}"/>
    <cellStyle name="Comma 3 2 2 2 3 3 4 2" xfId="7388" xr:uid="{00000000-0005-0000-0000-0000DF1C0000}"/>
    <cellStyle name="Comma 3 2 2 2 3 3 5" xfId="7389" xr:uid="{00000000-0005-0000-0000-0000E01C0000}"/>
    <cellStyle name="Comma 3 2 2 2 3 4" xfId="7390" xr:uid="{00000000-0005-0000-0000-0000E11C0000}"/>
    <cellStyle name="Comma 3 2 2 2 3 4 2" xfId="7391" xr:uid="{00000000-0005-0000-0000-0000E21C0000}"/>
    <cellStyle name="Comma 3 2 2 2 3 4 2 2" xfId="7392" xr:uid="{00000000-0005-0000-0000-0000E31C0000}"/>
    <cellStyle name="Comma 3 2 2 2 3 4 3" xfId="7393" xr:uid="{00000000-0005-0000-0000-0000E41C0000}"/>
    <cellStyle name="Comma 3 2 2 2 3 5" xfId="7394" xr:uid="{00000000-0005-0000-0000-0000E51C0000}"/>
    <cellStyle name="Comma 3 2 2 2 3 5 2" xfId="7395" xr:uid="{00000000-0005-0000-0000-0000E61C0000}"/>
    <cellStyle name="Comma 3 2 2 2 3 6" xfId="7396" xr:uid="{00000000-0005-0000-0000-0000E71C0000}"/>
    <cellStyle name="Comma 3 2 2 2 3 6 2" xfId="7397" xr:uid="{00000000-0005-0000-0000-0000E81C0000}"/>
    <cellStyle name="Comma 3 2 2 2 3 7" xfId="7398" xr:uid="{00000000-0005-0000-0000-0000E91C0000}"/>
    <cellStyle name="Comma 3 2 2 2 4" xfId="7399" xr:uid="{00000000-0005-0000-0000-0000EA1C0000}"/>
    <cellStyle name="Comma 3 2 2 2 4 2" xfId="7400" xr:uid="{00000000-0005-0000-0000-0000EB1C0000}"/>
    <cellStyle name="Comma 3 2 2 2 4 2 2" xfId="7401" xr:uid="{00000000-0005-0000-0000-0000EC1C0000}"/>
    <cellStyle name="Comma 3 2 2 2 4 2 2 2" xfId="7402" xr:uid="{00000000-0005-0000-0000-0000ED1C0000}"/>
    <cellStyle name="Comma 3 2 2 2 4 2 2 2 2" xfId="7403" xr:uid="{00000000-0005-0000-0000-0000EE1C0000}"/>
    <cellStyle name="Comma 3 2 2 2 4 2 2 3" xfId="7404" xr:uid="{00000000-0005-0000-0000-0000EF1C0000}"/>
    <cellStyle name="Comma 3 2 2 2 4 2 3" xfId="7405" xr:uid="{00000000-0005-0000-0000-0000F01C0000}"/>
    <cellStyle name="Comma 3 2 2 2 4 2 3 2" xfId="7406" xr:uid="{00000000-0005-0000-0000-0000F11C0000}"/>
    <cellStyle name="Comma 3 2 2 2 4 2 4" xfId="7407" xr:uid="{00000000-0005-0000-0000-0000F21C0000}"/>
    <cellStyle name="Comma 3 2 2 2 4 2 4 2" xfId="7408" xr:uid="{00000000-0005-0000-0000-0000F31C0000}"/>
    <cellStyle name="Comma 3 2 2 2 4 2 5" xfId="7409" xr:uid="{00000000-0005-0000-0000-0000F41C0000}"/>
    <cellStyle name="Comma 3 2 2 2 4 3" xfId="7410" xr:uid="{00000000-0005-0000-0000-0000F51C0000}"/>
    <cellStyle name="Comma 3 2 2 2 4 3 2" xfId="7411" xr:uid="{00000000-0005-0000-0000-0000F61C0000}"/>
    <cellStyle name="Comma 3 2 2 2 4 3 2 2" xfId="7412" xr:uid="{00000000-0005-0000-0000-0000F71C0000}"/>
    <cellStyle name="Comma 3 2 2 2 4 3 3" xfId="7413" xr:uid="{00000000-0005-0000-0000-0000F81C0000}"/>
    <cellStyle name="Comma 3 2 2 2 4 4" xfId="7414" xr:uid="{00000000-0005-0000-0000-0000F91C0000}"/>
    <cellStyle name="Comma 3 2 2 2 4 4 2" xfId="7415" xr:uid="{00000000-0005-0000-0000-0000FA1C0000}"/>
    <cellStyle name="Comma 3 2 2 2 4 5" xfId="7416" xr:uid="{00000000-0005-0000-0000-0000FB1C0000}"/>
    <cellStyle name="Comma 3 2 2 2 4 5 2" xfId="7417" xr:uid="{00000000-0005-0000-0000-0000FC1C0000}"/>
    <cellStyle name="Comma 3 2 2 2 4 6" xfId="7418" xr:uid="{00000000-0005-0000-0000-0000FD1C0000}"/>
    <cellStyle name="Comma 3 2 2 2 5" xfId="7419" xr:uid="{00000000-0005-0000-0000-0000FE1C0000}"/>
    <cellStyle name="Comma 3 2 2 2 5 2" xfId="7420" xr:uid="{00000000-0005-0000-0000-0000FF1C0000}"/>
    <cellStyle name="Comma 3 2 2 2 5 2 2" xfId="7421" xr:uid="{00000000-0005-0000-0000-0000001D0000}"/>
    <cellStyle name="Comma 3 2 2 2 5 2 2 2" xfId="7422" xr:uid="{00000000-0005-0000-0000-0000011D0000}"/>
    <cellStyle name="Comma 3 2 2 2 5 2 3" xfId="7423" xr:uid="{00000000-0005-0000-0000-0000021D0000}"/>
    <cellStyle name="Comma 3 2 2 2 5 3" xfId="7424" xr:uid="{00000000-0005-0000-0000-0000031D0000}"/>
    <cellStyle name="Comma 3 2 2 2 5 3 2" xfId="7425" xr:uid="{00000000-0005-0000-0000-0000041D0000}"/>
    <cellStyle name="Comma 3 2 2 2 5 4" xfId="7426" xr:uid="{00000000-0005-0000-0000-0000051D0000}"/>
    <cellStyle name="Comma 3 2 2 2 5 4 2" xfId="7427" xr:uid="{00000000-0005-0000-0000-0000061D0000}"/>
    <cellStyle name="Comma 3 2 2 2 5 5" xfId="7428" xr:uid="{00000000-0005-0000-0000-0000071D0000}"/>
    <cellStyle name="Comma 3 2 2 2 6" xfId="7429" xr:uid="{00000000-0005-0000-0000-0000081D0000}"/>
    <cellStyle name="Comma 3 2 2 2 6 2" xfId="7430" xr:uid="{00000000-0005-0000-0000-0000091D0000}"/>
    <cellStyle name="Comma 3 2 2 2 6 2 2" xfId="7431" xr:uid="{00000000-0005-0000-0000-00000A1D0000}"/>
    <cellStyle name="Comma 3 2 2 2 6 3" xfId="7432" xr:uid="{00000000-0005-0000-0000-00000B1D0000}"/>
    <cellStyle name="Comma 3 2 2 2 7" xfId="7433" xr:uid="{00000000-0005-0000-0000-00000C1D0000}"/>
    <cellStyle name="Comma 3 2 2 2 7 2" xfId="7434" xr:uid="{00000000-0005-0000-0000-00000D1D0000}"/>
    <cellStyle name="Comma 3 2 2 2 8" xfId="7435" xr:uid="{00000000-0005-0000-0000-00000E1D0000}"/>
    <cellStyle name="Comma 3 2 2 2 8 2" xfId="7436" xr:uid="{00000000-0005-0000-0000-00000F1D0000}"/>
    <cellStyle name="Comma 3 2 2 2 9" xfId="7437" xr:uid="{00000000-0005-0000-0000-0000101D0000}"/>
    <cellStyle name="Comma 3 2 2 3" xfId="7438" xr:uid="{00000000-0005-0000-0000-0000111D0000}"/>
    <cellStyle name="Comma 3 2 2 3 2" xfId="7439" xr:uid="{00000000-0005-0000-0000-0000121D0000}"/>
    <cellStyle name="Comma 3 2 2 3 2 2" xfId="7440" xr:uid="{00000000-0005-0000-0000-0000131D0000}"/>
    <cellStyle name="Comma 3 2 2 3 2 2 2" xfId="7441" xr:uid="{00000000-0005-0000-0000-0000141D0000}"/>
    <cellStyle name="Comma 3 2 2 3 2 2 2 2" xfId="7442" xr:uid="{00000000-0005-0000-0000-0000151D0000}"/>
    <cellStyle name="Comma 3 2 2 3 2 2 2 2 2" xfId="7443" xr:uid="{00000000-0005-0000-0000-0000161D0000}"/>
    <cellStyle name="Comma 3 2 2 3 2 2 2 2 2 2" xfId="7444" xr:uid="{00000000-0005-0000-0000-0000171D0000}"/>
    <cellStyle name="Comma 3 2 2 3 2 2 2 2 3" xfId="7445" xr:uid="{00000000-0005-0000-0000-0000181D0000}"/>
    <cellStyle name="Comma 3 2 2 3 2 2 2 3" xfId="7446" xr:uid="{00000000-0005-0000-0000-0000191D0000}"/>
    <cellStyle name="Comma 3 2 2 3 2 2 2 3 2" xfId="7447" xr:uid="{00000000-0005-0000-0000-00001A1D0000}"/>
    <cellStyle name="Comma 3 2 2 3 2 2 2 4" xfId="7448" xr:uid="{00000000-0005-0000-0000-00001B1D0000}"/>
    <cellStyle name="Comma 3 2 2 3 2 2 2 4 2" xfId="7449" xr:uid="{00000000-0005-0000-0000-00001C1D0000}"/>
    <cellStyle name="Comma 3 2 2 3 2 2 2 5" xfId="7450" xr:uid="{00000000-0005-0000-0000-00001D1D0000}"/>
    <cellStyle name="Comma 3 2 2 3 2 2 3" xfId="7451" xr:uid="{00000000-0005-0000-0000-00001E1D0000}"/>
    <cellStyle name="Comma 3 2 2 3 2 2 3 2" xfId="7452" xr:uid="{00000000-0005-0000-0000-00001F1D0000}"/>
    <cellStyle name="Comma 3 2 2 3 2 2 3 2 2" xfId="7453" xr:uid="{00000000-0005-0000-0000-0000201D0000}"/>
    <cellStyle name="Comma 3 2 2 3 2 2 3 3" xfId="7454" xr:uid="{00000000-0005-0000-0000-0000211D0000}"/>
    <cellStyle name="Comma 3 2 2 3 2 2 4" xfId="7455" xr:uid="{00000000-0005-0000-0000-0000221D0000}"/>
    <cellStyle name="Comma 3 2 2 3 2 2 4 2" xfId="7456" xr:uid="{00000000-0005-0000-0000-0000231D0000}"/>
    <cellStyle name="Comma 3 2 2 3 2 2 5" xfId="7457" xr:uid="{00000000-0005-0000-0000-0000241D0000}"/>
    <cellStyle name="Comma 3 2 2 3 2 2 5 2" xfId="7458" xr:uid="{00000000-0005-0000-0000-0000251D0000}"/>
    <cellStyle name="Comma 3 2 2 3 2 2 6" xfId="7459" xr:uid="{00000000-0005-0000-0000-0000261D0000}"/>
    <cellStyle name="Comma 3 2 2 3 2 3" xfId="7460" xr:uid="{00000000-0005-0000-0000-0000271D0000}"/>
    <cellStyle name="Comma 3 2 2 3 2 3 2" xfId="7461" xr:uid="{00000000-0005-0000-0000-0000281D0000}"/>
    <cellStyle name="Comma 3 2 2 3 2 3 2 2" xfId="7462" xr:uid="{00000000-0005-0000-0000-0000291D0000}"/>
    <cellStyle name="Comma 3 2 2 3 2 3 2 2 2" xfId="7463" xr:uid="{00000000-0005-0000-0000-00002A1D0000}"/>
    <cellStyle name="Comma 3 2 2 3 2 3 2 3" xfId="7464" xr:uid="{00000000-0005-0000-0000-00002B1D0000}"/>
    <cellStyle name="Comma 3 2 2 3 2 3 3" xfId="7465" xr:uid="{00000000-0005-0000-0000-00002C1D0000}"/>
    <cellStyle name="Comma 3 2 2 3 2 3 3 2" xfId="7466" xr:uid="{00000000-0005-0000-0000-00002D1D0000}"/>
    <cellStyle name="Comma 3 2 2 3 2 3 4" xfId="7467" xr:uid="{00000000-0005-0000-0000-00002E1D0000}"/>
    <cellStyle name="Comma 3 2 2 3 2 3 4 2" xfId="7468" xr:uid="{00000000-0005-0000-0000-00002F1D0000}"/>
    <cellStyle name="Comma 3 2 2 3 2 3 5" xfId="7469" xr:uid="{00000000-0005-0000-0000-0000301D0000}"/>
    <cellStyle name="Comma 3 2 2 3 2 4" xfId="7470" xr:uid="{00000000-0005-0000-0000-0000311D0000}"/>
    <cellStyle name="Comma 3 2 2 3 2 4 2" xfId="7471" xr:uid="{00000000-0005-0000-0000-0000321D0000}"/>
    <cellStyle name="Comma 3 2 2 3 2 4 2 2" xfId="7472" xr:uid="{00000000-0005-0000-0000-0000331D0000}"/>
    <cellStyle name="Comma 3 2 2 3 2 4 3" xfId="7473" xr:uid="{00000000-0005-0000-0000-0000341D0000}"/>
    <cellStyle name="Comma 3 2 2 3 2 5" xfId="7474" xr:uid="{00000000-0005-0000-0000-0000351D0000}"/>
    <cellStyle name="Comma 3 2 2 3 2 5 2" xfId="7475" xr:uid="{00000000-0005-0000-0000-0000361D0000}"/>
    <cellStyle name="Comma 3 2 2 3 2 6" xfId="7476" xr:uid="{00000000-0005-0000-0000-0000371D0000}"/>
    <cellStyle name="Comma 3 2 2 3 2 6 2" xfId="7477" xr:uid="{00000000-0005-0000-0000-0000381D0000}"/>
    <cellStyle name="Comma 3 2 2 3 2 7" xfId="7478" xr:uid="{00000000-0005-0000-0000-0000391D0000}"/>
    <cellStyle name="Comma 3 2 2 3 3" xfId="7479" xr:uid="{00000000-0005-0000-0000-00003A1D0000}"/>
    <cellStyle name="Comma 3 2 2 3 3 2" xfId="7480" xr:uid="{00000000-0005-0000-0000-00003B1D0000}"/>
    <cellStyle name="Comma 3 2 2 3 3 2 2" xfId="7481" xr:uid="{00000000-0005-0000-0000-00003C1D0000}"/>
    <cellStyle name="Comma 3 2 2 3 3 2 2 2" xfId="7482" xr:uid="{00000000-0005-0000-0000-00003D1D0000}"/>
    <cellStyle name="Comma 3 2 2 3 3 2 2 2 2" xfId="7483" xr:uid="{00000000-0005-0000-0000-00003E1D0000}"/>
    <cellStyle name="Comma 3 2 2 3 3 2 2 2 2 2" xfId="7484" xr:uid="{00000000-0005-0000-0000-00003F1D0000}"/>
    <cellStyle name="Comma 3 2 2 3 3 2 2 2 3" xfId="7485" xr:uid="{00000000-0005-0000-0000-0000401D0000}"/>
    <cellStyle name="Comma 3 2 2 3 3 2 2 3" xfId="7486" xr:uid="{00000000-0005-0000-0000-0000411D0000}"/>
    <cellStyle name="Comma 3 2 2 3 3 2 2 3 2" xfId="7487" xr:uid="{00000000-0005-0000-0000-0000421D0000}"/>
    <cellStyle name="Comma 3 2 2 3 3 2 2 4" xfId="7488" xr:uid="{00000000-0005-0000-0000-0000431D0000}"/>
    <cellStyle name="Comma 3 2 2 3 3 2 2 4 2" xfId="7489" xr:uid="{00000000-0005-0000-0000-0000441D0000}"/>
    <cellStyle name="Comma 3 2 2 3 3 2 2 5" xfId="7490" xr:uid="{00000000-0005-0000-0000-0000451D0000}"/>
    <cellStyle name="Comma 3 2 2 3 3 2 3" xfId="7491" xr:uid="{00000000-0005-0000-0000-0000461D0000}"/>
    <cellStyle name="Comma 3 2 2 3 3 2 3 2" xfId="7492" xr:uid="{00000000-0005-0000-0000-0000471D0000}"/>
    <cellStyle name="Comma 3 2 2 3 3 2 3 2 2" xfId="7493" xr:uid="{00000000-0005-0000-0000-0000481D0000}"/>
    <cellStyle name="Comma 3 2 2 3 3 2 3 3" xfId="7494" xr:uid="{00000000-0005-0000-0000-0000491D0000}"/>
    <cellStyle name="Comma 3 2 2 3 3 2 4" xfId="7495" xr:uid="{00000000-0005-0000-0000-00004A1D0000}"/>
    <cellStyle name="Comma 3 2 2 3 3 2 4 2" xfId="7496" xr:uid="{00000000-0005-0000-0000-00004B1D0000}"/>
    <cellStyle name="Comma 3 2 2 3 3 2 5" xfId="7497" xr:uid="{00000000-0005-0000-0000-00004C1D0000}"/>
    <cellStyle name="Comma 3 2 2 3 3 2 5 2" xfId="7498" xr:uid="{00000000-0005-0000-0000-00004D1D0000}"/>
    <cellStyle name="Comma 3 2 2 3 3 2 6" xfId="7499" xr:uid="{00000000-0005-0000-0000-00004E1D0000}"/>
    <cellStyle name="Comma 3 2 2 3 3 3" xfId="7500" xr:uid="{00000000-0005-0000-0000-00004F1D0000}"/>
    <cellStyle name="Comma 3 2 2 3 3 3 2" xfId="7501" xr:uid="{00000000-0005-0000-0000-0000501D0000}"/>
    <cellStyle name="Comma 3 2 2 3 3 3 2 2" xfId="7502" xr:uid="{00000000-0005-0000-0000-0000511D0000}"/>
    <cellStyle name="Comma 3 2 2 3 3 3 2 2 2" xfId="7503" xr:uid="{00000000-0005-0000-0000-0000521D0000}"/>
    <cellStyle name="Comma 3 2 2 3 3 3 2 3" xfId="7504" xr:uid="{00000000-0005-0000-0000-0000531D0000}"/>
    <cellStyle name="Comma 3 2 2 3 3 3 3" xfId="7505" xr:uid="{00000000-0005-0000-0000-0000541D0000}"/>
    <cellStyle name="Comma 3 2 2 3 3 3 3 2" xfId="7506" xr:uid="{00000000-0005-0000-0000-0000551D0000}"/>
    <cellStyle name="Comma 3 2 2 3 3 3 4" xfId="7507" xr:uid="{00000000-0005-0000-0000-0000561D0000}"/>
    <cellStyle name="Comma 3 2 2 3 3 3 4 2" xfId="7508" xr:uid="{00000000-0005-0000-0000-0000571D0000}"/>
    <cellStyle name="Comma 3 2 2 3 3 3 5" xfId="7509" xr:uid="{00000000-0005-0000-0000-0000581D0000}"/>
    <cellStyle name="Comma 3 2 2 3 3 4" xfId="7510" xr:uid="{00000000-0005-0000-0000-0000591D0000}"/>
    <cellStyle name="Comma 3 2 2 3 3 4 2" xfId="7511" xr:uid="{00000000-0005-0000-0000-00005A1D0000}"/>
    <cellStyle name="Comma 3 2 2 3 3 4 2 2" xfId="7512" xr:uid="{00000000-0005-0000-0000-00005B1D0000}"/>
    <cellStyle name="Comma 3 2 2 3 3 4 3" xfId="7513" xr:uid="{00000000-0005-0000-0000-00005C1D0000}"/>
    <cellStyle name="Comma 3 2 2 3 3 5" xfId="7514" xr:uid="{00000000-0005-0000-0000-00005D1D0000}"/>
    <cellStyle name="Comma 3 2 2 3 3 5 2" xfId="7515" xr:uid="{00000000-0005-0000-0000-00005E1D0000}"/>
    <cellStyle name="Comma 3 2 2 3 3 6" xfId="7516" xr:uid="{00000000-0005-0000-0000-00005F1D0000}"/>
    <cellStyle name="Comma 3 2 2 3 3 6 2" xfId="7517" xr:uid="{00000000-0005-0000-0000-0000601D0000}"/>
    <cellStyle name="Comma 3 2 2 3 3 7" xfId="7518" xr:uid="{00000000-0005-0000-0000-0000611D0000}"/>
    <cellStyle name="Comma 3 2 2 3 4" xfId="7519" xr:uid="{00000000-0005-0000-0000-0000621D0000}"/>
    <cellStyle name="Comma 3 2 2 3 4 2" xfId="7520" xr:uid="{00000000-0005-0000-0000-0000631D0000}"/>
    <cellStyle name="Comma 3 2 2 3 4 2 2" xfId="7521" xr:uid="{00000000-0005-0000-0000-0000641D0000}"/>
    <cellStyle name="Comma 3 2 2 3 4 2 2 2" xfId="7522" xr:uid="{00000000-0005-0000-0000-0000651D0000}"/>
    <cellStyle name="Comma 3 2 2 3 4 2 2 2 2" xfId="7523" xr:uid="{00000000-0005-0000-0000-0000661D0000}"/>
    <cellStyle name="Comma 3 2 2 3 4 2 2 3" xfId="7524" xr:uid="{00000000-0005-0000-0000-0000671D0000}"/>
    <cellStyle name="Comma 3 2 2 3 4 2 3" xfId="7525" xr:uid="{00000000-0005-0000-0000-0000681D0000}"/>
    <cellStyle name="Comma 3 2 2 3 4 2 3 2" xfId="7526" xr:uid="{00000000-0005-0000-0000-0000691D0000}"/>
    <cellStyle name="Comma 3 2 2 3 4 2 4" xfId="7527" xr:uid="{00000000-0005-0000-0000-00006A1D0000}"/>
    <cellStyle name="Comma 3 2 2 3 4 2 4 2" xfId="7528" xr:uid="{00000000-0005-0000-0000-00006B1D0000}"/>
    <cellStyle name="Comma 3 2 2 3 4 2 5" xfId="7529" xr:uid="{00000000-0005-0000-0000-00006C1D0000}"/>
    <cellStyle name="Comma 3 2 2 3 4 3" xfId="7530" xr:uid="{00000000-0005-0000-0000-00006D1D0000}"/>
    <cellStyle name="Comma 3 2 2 3 4 3 2" xfId="7531" xr:uid="{00000000-0005-0000-0000-00006E1D0000}"/>
    <cellStyle name="Comma 3 2 2 3 4 3 2 2" xfId="7532" xr:uid="{00000000-0005-0000-0000-00006F1D0000}"/>
    <cellStyle name="Comma 3 2 2 3 4 3 3" xfId="7533" xr:uid="{00000000-0005-0000-0000-0000701D0000}"/>
    <cellStyle name="Comma 3 2 2 3 4 4" xfId="7534" xr:uid="{00000000-0005-0000-0000-0000711D0000}"/>
    <cellStyle name="Comma 3 2 2 3 4 4 2" xfId="7535" xr:uid="{00000000-0005-0000-0000-0000721D0000}"/>
    <cellStyle name="Comma 3 2 2 3 4 5" xfId="7536" xr:uid="{00000000-0005-0000-0000-0000731D0000}"/>
    <cellStyle name="Comma 3 2 2 3 4 5 2" xfId="7537" xr:uid="{00000000-0005-0000-0000-0000741D0000}"/>
    <cellStyle name="Comma 3 2 2 3 4 6" xfId="7538" xr:uid="{00000000-0005-0000-0000-0000751D0000}"/>
    <cellStyle name="Comma 3 2 2 3 5" xfId="7539" xr:uid="{00000000-0005-0000-0000-0000761D0000}"/>
    <cellStyle name="Comma 3 2 2 3 5 2" xfId="7540" xr:uid="{00000000-0005-0000-0000-0000771D0000}"/>
    <cellStyle name="Comma 3 2 2 3 5 2 2" xfId="7541" xr:uid="{00000000-0005-0000-0000-0000781D0000}"/>
    <cellStyle name="Comma 3 2 2 3 5 2 2 2" xfId="7542" xr:uid="{00000000-0005-0000-0000-0000791D0000}"/>
    <cellStyle name="Comma 3 2 2 3 5 2 3" xfId="7543" xr:uid="{00000000-0005-0000-0000-00007A1D0000}"/>
    <cellStyle name="Comma 3 2 2 3 5 3" xfId="7544" xr:uid="{00000000-0005-0000-0000-00007B1D0000}"/>
    <cellStyle name="Comma 3 2 2 3 5 3 2" xfId="7545" xr:uid="{00000000-0005-0000-0000-00007C1D0000}"/>
    <cellStyle name="Comma 3 2 2 3 5 4" xfId="7546" xr:uid="{00000000-0005-0000-0000-00007D1D0000}"/>
    <cellStyle name="Comma 3 2 2 3 5 4 2" xfId="7547" xr:uid="{00000000-0005-0000-0000-00007E1D0000}"/>
    <cellStyle name="Comma 3 2 2 3 5 5" xfId="7548" xr:uid="{00000000-0005-0000-0000-00007F1D0000}"/>
    <cellStyle name="Comma 3 2 2 3 6" xfId="7549" xr:uid="{00000000-0005-0000-0000-0000801D0000}"/>
    <cellStyle name="Comma 3 2 2 3 6 2" xfId="7550" xr:uid="{00000000-0005-0000-0000-0000811D0000}"/>
    <cellStyle name="Comma 3 2 2 3 6 2 2" xfId="7551" xr:uid="{00000000-0005-0000-0000-0000821D0000}"/>
    <cellStyle name="Comma 3 2 2 3 6 3" xfId="7552" xr:uid="{00000000-0005-0000-0000-0000831D0000}"/>
    <cellStyle name="Comma 3 2 2 3 7" xfId="7553" xr:uid="{00000000-0005-0000-0000-0000841D0000}"/>
    <cellStyle name="Comma 3 2 2 3 7 2" xfId="7554" xr:uid="{00000000-0005-0000-0000-0000851D0000}"/>
    <cellStyle name="Comma 3 2 2 3 8" xfId="7555" xr:uid="{00000000-0005-0000-0000-0000861D0000}"/>
    <cellStyle name="Comma 3 2 2 3 8 2" xfId="7556" xr:uid="{00000000-0005-0000-0000-0000871D0000}"/>
    <cellStyle name="Comma 3 2 2 3 9" xfId="7557" xr:uid="{00000000-0005-0000-0000-0000881D0000}"/>
    <cellStyle name="Comma 3 2 2 4" xfId="7558" xr:uid="{00000000-0005-0000-0000-0000891D0000}"/>
    <cellStyle name="Comma 3 2 2 4 2" xfId="7559" xr:uid="{00000000-0005-0000-0000-00008A1D0000}"/>
    <cellStyle name="Comma 3 2 2 4 2 2" xfId="7560" xr:uid="{00000000-0005-0000-0000-00008B1D0000}"/>
    <cellStyle name="Comma 3 2 2 4 2 2 2" xfId="7561" xr:uid="{00000000-0005-0000-0000-00008C1D0000}"/>
    <cellStyle name="Comma 3 2 2 4 2 2 2 2" xfId="7562" xr:uid="{00000000-0005-0000-0000-00008D1D0000}"/>
    <cellStyle name="Comma 3 2 2 4 2 2 2 2 2" xfId="7563" xr:uid="{00000000-0005-0000-0000-00008E1D0000}"/>
    <cellStyle name="Comma 3 2 2 4 2 2 2 2 2 2" xfId="7564" xr:uid="{00000000-0005-0000-0000-00008F1D0000}"/>
    <cellStyle name="Comma 3 2 2 4 2 2 2 2 3" xfId="7565" xr:uid="{00000000-0005-0000-0000-0000901D0000}"/>
    <cellStyle name="Comma 3 2 2 4 2 2 2 3" xfId="7566" xr:uid="{00000000-0005-0000-0000-0000911D0000}"/>
    <cellStyle name="Comma 3 2 2 4 2 2 2 3 2" xfId="7567" xr:uid="{00000000-0005-0000-0000-0000921D0000}"/>
    <cellStyle name="Comma 3 2 2 4 2 2 2 4" xfId="7568" xr:uid="{00000000-0005-0000-0000-0000931D0000}"/>
    <cellStyle name="Comma 3 2 2 4 2 2 2 4 2" xfId="7569" xr:uid="{00000000-0005-0000-0000-0000941D0000}"/>
    <cellStyle name="Comma 3 2 2 4 2 2 2 5" xfId="7570" xr:uid="{00000000-0005-0000-0000-0000951D0000}"/>
    <cellStyle name="Comma 3 2 2 4 2 2 3" xfId="7571" xr:uid="{00000000-0005-0000-0000-0000961D0000}"/>
    <cellStyle name="Comma 3 2 2 4 2 2 3 2" xfId="7572" xr:uid="{00000000-0005-0000-0000-0000971D0000}"/>
    <cellStyle name="Comma 3 2 2 4 2 2 3 2 2" xfId="7573" xr:uid="{00000000-0005-0000-0000-0000981D0000}"/>
    <cellStyle name="Comma 3 2 2 4 2 2 3 3" xfId="7574" xr:uid="{00000000-0005-0000-0000-0000991D0000}"/>
    <cellStyle name="Comma 3 2 2 4 2 2 4" xfId="7575" xr:uid="{00000000-0005-0000-0000-00009A1D0000}"/>
    <cellStyle name="Comma 3 2 2 4 2 2 4 2" xfId="7576" xr:uid="{00000000-0005-0000-0000-00009B1D0000}"/>
    <cellStyle name="Comma 3 2 2 4 2 2 5" xfId="7577" xr:uid="{00000000-0005-0000-0000-00009C1D0000}"/>
    <cellStyle name="Comma 3 2 2 4 2 2 5 2" xfId="7578" xr:uid="{00000000-0005-0000-0000-00009D1D0000}"/>
    <cellStyle name="Comma 3 2 2 4 2 2 6" xfId="7579" xr:uid="{00000000-0005-0000-0000-00009E1D0000}"/>
    <cellStyle name="Comma 3 2 2 4 2 3" xfId="7580" xr:uid="{00000000-0005-0000-0000-00009F1D0000}"/>
    <cellStyle name="Comma 3 2 2 4 2 3 2" xfId="7581" xr:uid="{00000000-0005-0000-0000-0000A01D0000}"/>
    <cellStyle name="Comma 3 2 2 4 2 3 2 2" xfId="7582" xr:uid="{00000000-0005-0000-0000-0000A11D0000}"/>
    <cellStyle name="Comma 3 2 2 4 2 3 2 2 2" xfId="7583" xr:uid="{00000000-0005-0000-0000-0000A21D0000}"/>
    <cellStyle name="Comma 3 2 2 4 2 3 2 3" xfId="7584" xr:uid="{00000000-0005-0000-0000-0000A31D0000}"/>
    <cellStyle name="Comma 3 2 2 4 2 3 3" xfId="7585" xr:uid="{00000000-0005-0000-0000-0000A41D0000}"/>
    <cellStyle name="Comma 3 2 2 4 2 3 3 2" xfId="7586" xr:uid="{00000000-0005-0000-0000-0000A51D0000}"/>
    <cellStyle name="Comma 3 2 2 4 2 3 4" xfId="7587" xr:uid="{00000000-0005-0000-0000-0000A61D0000}"/>
    <cellStyle name="Comma 3 2 2 4 2 3 4 2" xfId="7588" xr:uid="{00000000-0005-0000-0000-0000A71D0000}"/>
    <cellStyle name="Comma 3 2 2 4 2 3 5" xfId="7589" xr:uid="{00000000-0005-0000-0000-0000A81D0000}"/>
    <cellStyle name="Comma 3 2 2 4 2 4" xfId="7590" xr:uid="{00000000-0005-0000-0000-0000A91D0000}"/>
    <cellStyle name="Comma 3 2 2 4 2 4 2" xfId="7591" xr:uid="{00000000-0005-0000-0000-0000AA1D0000}"/>
    <cellStyle name="Comma 3 2 2 4 2 4 2 2" xfId="7592" xr:uid="{00000000-0005-0000-0000-0000AB1D0000}"/>
    <cellStyle name="Comma 3 2 2 4 2 4 3" xfId="7593" xr:uid="{00000000-0005-0000-0000-0000AC1D0000}"/>
    <cellStyle name="Comma 3 2 2 4 2 5" xfId="7594" xr:uid="{00000000-0005-0000-0000-0000AD1D0000}"/>
    <cellStyle name="Comma 3 2 2 4 2 5 2" xfId="7595" xr:uid="{00000000-0005-0000-0000-0000AE1D0000}"/>
    <cellStyle name="Comma 3 2 2 4 2 6" xfId="7596" xr:uid="{00000000-0005-0000-0000-0000AF1D0000}"/>
    <cellStyle name="Comma 3 2 2 4 2 6 2" xfId="7597" xr:uid="{00000000-0005-0000-0000-0000B01D0000}"/>
    <cellStyle name="Comma 3 2 2 4 2 7" xfId="7598" xr:uid="{00000000-0005-0000-0000-0000B11D0000}"/>
    <cellStyle name="Comma 3 2 2 4 3" xfId="7599" xr:uid="{00000000-0005-0000-0000-0000B21D0000}"/>
    <cellStyle name="Comma 3 2 2 4 3 2" xfId="7600" xr:uid="{00000000-0005-0000-0000-0000B31D0000}"/>
    <cellStyle name="Comma 3 2 2 4 3 2 2" xfId="7601" xr:uid="{00000000-0005-0000-0000-0000B41D0000}"/>
    <cellStyle name="Comma 3 2 2 4 3 2 2 2" xfId="7602" xr:uid="{00000000-0005-0000-0000-0000B51D0000}"/>
    <cellStyle name="Comma 3 2 2 4 3 2 2 2 2" xfId="7603" xr:uid="{00000000-0005-0000-0000-0000B61D0000}"/>
    <cellStyle name="Comma 3 2 2 4 3 2 2 3" xfId="7604" xr:uid="{00000000-0005-0000-0000-0000B71D0000}"/>
    <cellStyle name="Comma 3 2 2 4 3 2 3" xfId="7605" xr:uid="{00000000-0005-0000-0000-0000B81D0000}"/>
    <cellStyle name="Comma 3 2 2 4 3 2 3 2" xfId="7606" xr:uid="{00000000-0005-0000-0000-0000B91D0000}"/>
    <cellStyle name="Comma 3 2 2 4 3 2 4" xfId="7607" xr:uid="{00000000-0005-0000-0000-0000BA1D0000}"/>
    <cellStyle name="Comma 3 2 2 4 3 2 4 2" xfId="7608" xr:uid="{00000000-0005-0000-0000-0000BB1D0000}"/>
    <cellStyle name="Comma 3 2 2 4 3 2 5" xfId="7609" xr:uid="{00000000-0005-0000-0000-0000BC1D0000}"/>
    <cellStyle name="Comma 3 2 2 4 3 3" xfId="7610" xr:uid="{00000000-0005-0000-0000-0000BD1D0000}"/>
    <cellStyle name="Comma 3 2 2 4 3 3 2" xfId="7611" xr:uid="{00000000-0005-0000-0000-0000BE1D0000}"/>
    <cellStyle name="Comma 3 2 2 4 3 3 2 2" xfId="7612" xr:uid="{00000000-0005-0000-0000-0000BF1D0000}"/>
    <cellStyle name="Comma 3 2 2 4 3 3 3" xfId="7613" xr:uid="{00000000-0005-0000-0000-0000C01D0000}"/>
    <cellStyle name="Comma 3 2 2 4 3 4" xfId="7614" xr:uid="{00000000-0005-0000-0000-0000C11D0000}"/>
    <cellStyle name="Comma 3 2 2 4 3 4 2" xfId="7615" xr:uid="{00000000-0005-0000-0000-0000C21D0000}"/>
    <cellStyle name="Comma 3 2 2 4 3 5" xfId="7616" xr:uid="{00000000-0005-0000-0000-0000C31D0000}"/>
    <cellStyle name="Comma 3 2 2 4 3 5 2" xfId="7617" xr:uid="{00000000-0005-0000-0000-0000C41D0000}"/>
    <cellStyle name="Comma 3 2 2 4 3 6" xfId="7618" xr:uid="{00000000-0005-0000-0000-0000C51D0000}"/>
    <cellStyle name="Comma 3 2 2 4 4" xfId="7619" xr:uid="{00000000-0005-0000-0000-0000C61D0000}"/>
    <cellStyle name="Comma 3 2 2 4 4 2" xfId="7620" xr:uid="{00000000-0005-0000-0000-0000C71D0000}"/>
    <cellStyle name="Comma 3 2 2 4 4 2 2" xfId="7621" xr:uid="{00000000-0005-0000-0000-0000C81D0000}"/>
    <cellStyle name="Comma 3 2 2 4 4 2 2 2" xfId="7622" xr:uid="{00000000-0005-0000-0000-0000C91D0000}"/>
    <cellStyle name="Comma 3 2 2 4 4 2 3" xfId="7623" xr:uid="{00000000-0005-0000-0000-0000CA1D0000}"/>
    <cellStyle name="Comma 3 2 2 4 4 3" xfId="7624" xr:uid="{00000000-0005-0000-0000-0000CB1D0000}"/>
    <cellStyle name="Comma 3 2 2 4 4 3 2" xfId="7625" xr:uid="{00000000-0005-0000-0000-0000CC1D0000}"/>
    <cellStyle name="Comma 3 2 2 4 4 4" xfId="7626" xr:uid="{00000000-0005-0000-0000-0000CD1D0000}"/>
    <cellStyle name="Comma 3 2 2 4 4 4 2" xfId="7627" xr:uid="{00000000-0005-0000-0000-0000CE1D0000}"/>
    <cellStyle name="Comma 3 2 2 4 4 5" xfId="7628" xr:uid="{00000000-0005-0000-0000-0000CF1D0000}"/>
    <cellStyle name="Comma 3 2 2 4 5" xfId="7629" xr:uid="{00000000-0005-0000-0000-0000D01D0000}"/>
    <cellStyle name="Comma 3 2 2 4 5 2" xfId="7630" xr:uid="{00000000-0005-0000-0000-0000D11D0000}"/>
    <cellStyle name="Comma 3 2 2 4 5 2 2" xfId="7631" xr:uid="{00000000-0005-0000-0000-0000D21D0000}"/>
    <cellStyle name="Comma 3 2 2 4 5 3" xfId="7632" xr:uid="{00000000-0005-0000-0000-0000D31D0000}"/>
    <cellStyle name="Comma 3 2 2 4 6" xfId="7633" xr:uid="{00000000-0005-0000-0000-0000D41D0000}"/>
    <cellStyle name="Comma 3 2 2 4 6 2" xfId="7634" xr:uid="{00000000-0005-0000-0000-0000D51D0000}"/>
    <cellStyle name="Comma 3 2 2 4 7" xfId="7635" xr:uid="{00000000-0005-0000-0000-0000D61D0000}"/>
    <cellStyle name="Comma 3 2 2 4 7 2" xfId="7636" xr:uid="{00000000-0005-0000-0000-0000D71D0000}"/>
    <cellStyle name="Comma 3 2 2 4 8" xfId="7637" xr:uid="{00000000-0005-0000-0000-0000D81D0000}"/>
    <cellStyle name="Comma 3 2 2 5" xfId="7638" xr:uid="{00000000-0005-0000-0000-0000D91D0000}"/>
    <cellStyle name="Comma 3 2 2 5 2" xfId="7639" xr:uid="{00000000-0005-0000-0000-0000DA1D0000}"/>
    <cellStyle name="Comma 3 2 2 5 2 2" xfId="7640" xr:uid="{00000000-0005-0000-0000-0000DB1D0000}"/>
    <cellStyle name="Comma 3 2 2 5 2 2 2" xfId="7641" xr:uid="{00000000-0005-0000-0000-0000DC1D0000}"/>
    <cellStyle name="Comma 3 2 2 5 2 2 2 2" xfId="7642" xr:uid="{00000000-0005-0000-0000-0000DD1D0000}"/>
    <cellStyle name="Comma 3 2 2 5 2 2 2 2 2" xfId="7643" xr:uid="{00000000-0005-0000-0000-0000DE1D0000}"/>
    <cellStyle name="Comma 3 2 2 5 2 2 2 3" xfId="7644" xr:uid="{00000000-0005-0000-0000-0000DF1D0000}"/>
    <cellStyle name="Comma 3 2 2 5 2 2 3" xfId="7645" xr:uid="{00000000-0005-0000-0000-0000E01D0000}"/>
    <cellStyle name="Comma 3 2 2 5 2 2 3 2" xfId="7646" xr:uid="{00000000-0005-0000-0000-0000E11D0000}"/>
    <cellStyle name="Comma 3 2 2 5 2 2 4" xfId="7647" xr:uid="{00000000-0005-0000-0000-0000E21D0000}"/>
    <cellStyle name="Comma 3 2 2 5 2 2 4 2" xfId="7648" xr:uid="{00000000-0005-0000-0000-0000E31D0000}"/>
    <cellStyle name="Comma 3 2 2 5 2 2 5" xfId="7649" xr:uid="{00000000-0005-0000-0000-0000E41D0000}"/>
    <cellStyle name="Comma 3 2 2 5 2 3" xfId="7650" xr:uid="{00000000-0005-0000-0000-0000E51D0000}"/>
    <cellStyle name="Comma 3 2 2 5 2 3 2" xfId="7651" xr:uid="{00000000-0005-0000-0000-0000E61D0000}"/>
    <cellStyle name="Comma 3 2 2 5 2 3 2 2" xfId="7652" xr:uid="{00000000-0005-0000-0000-0000E71D0000}"/>
    <cellStyle name="Comma 3 2 2 5 2 3 3" xfId="7653" xr:uid="{00000000-0005-0000-0000-0000E81D0000}"/>
    <cellStyle name="Comma 3 2 2 5 2 4" xfId="7654" xr:uid="{00000000-0005-0000-0000-0000E91D0000}"/>
    <cellStyle name="Comma 3 2 2 5 2 4 2" xfId="7655" xr:uid="{00000000-0005-0000-0000-0000EA1D0000}"/>
    <cellStyle name="Comma 3 2 2 5 2 5" xfId="7656" xr:uid="{00000000-0005-0000-0000-0000EB1D0000}"/>
    <cellStyle name="Comma 3 2 2 5 2 5 2" xfId="7657" xr:uid="{00000000-0005-0000-0000-0000EC1D0000}"/>
    <cellStyle name="Comma 3 2 2 5 2 6" xfId="7658" xr:uid="{00000000-0005-0000-0000-0000ED1D0000}"/>
    <cellStyle name="Comma 3 2 2 5 3" xfId="7659" xr:uid="{00000000-0005-0000-0000-0000EE1D0000}"/>
    <cellStyle name="Comma 3 2 2 5 3 2" xfId="7660" xr:uid="{00000000-0005-0000-0000-0000EF1D0000}"/>
    <cellStyle name="Comma 3 2 2 5 3 2 2" xfId="7661" xr:uid="{00000000-0005-0000-0000-0000F01D0000}"/>
    <cellStyle name="Comma 3 2 2 5 3 2 2 2" xfId="7662" xr:uid="{00000000-0005-0000-0000-0000F11D0000}"/>
    <cellStyle name="Comma 3 2 2 5 3 2 3" xfId="7663" xr:uid="{00000000-0005-0000-0000-0000F21D0000}"/>
    <cellStyle name="Comma 3 2 2 5 3 3" xfId="7664" xr:uid="{00000000-0005-0000-0000-0000F31D0000}"/>
    <cellStyle name="Comma 3 2 2 5 3 3 2" xfId="7665" xr:uid="{00000000-0005-0000-0000-0000F41D0000}"/>
    <cellStyle name="Comma 3 2 2 5 3 4" xfId="7666" xr:uid="{00000000-0005-0000-0000-0000F51D0000}"/>
    <cellStyle name="Comma 3 2 2 5 3 4 2" xfId="7667" xr:uid="{00000000-0005-0000-0000-0000F61D0000}"/>
    <cellStyle name="Comma 3 2 2 5 3 5" xfId="7668" xr:uid="{00000000-0005-0000-0000-0000F71D0000}"/>
    <cellStyle name="Comma 3 2 2 5 4" xfId="7669" xr:uid="{00000000-0005-0000-0000-0000F81D0000}"/>
    <cellStyle name="Comma 3 2 2 5 4 2" xfId="7670" xr:uid="{00000000-0005-0000-0000-0000F91D0000}"/>
    <cellStyle name="Comma 3 2 2 5 4 2 2" xfId="7671" xr:uid="{00000000-0005-0000-0000-0000FA1D0000}"/>
    <cellStyle name="Comma 3 2 2 5 4 3" xfId="7672" xr:uid="{00000000-0005-0000-0000-0000FB1D0000}"/>
    <cellStyle name="Comma 3 2 2 5 5" xfId="7673" xr:uid="{00000000-0005-0000-0000-0000FC1D0000}"/>
    <cellStyle name="Comma 3 2 2 5 5 2" xfId="7674" xr:uid="{00000000-0005-0000-0000-0000FD1D0000}"/>
    <cellStyle name="Comma 3 2 2 5 6" xfId="7675" xr:uid="{00000000-0005-0000-0000-0000FE1D0000}"/>
    <cellStyle name="Comma 3 2 2 5 6 2" xfId="7676" xr:uid="{00000000-0005-0000-0000-0000FF1D0000}"/>
    <cellStyle name="Comma 3 2 2 5 7" xfId="7677" xr:uid="{00000000-0005-0000-0000-0000001E0000}"/>
    <cellStyle name="Comma 3 2 2 6" xfId="7678" xr:uid="{00000000-0005-0000-0000-0000011E0000}"/>
    <cellStyle name="Comma 3 2 2 6 2" xfId="7679" xr:uid="{00000000-0005-0000-0000-0000021E0000}"/>
    <cellStyle name="Comma 3 2 2 6 2 2" xfId="7680" xr:uid="{00000000-0005-0000-0000-0000031E0000}"/>
    <cellStyle name="Comma 3 2 2 6 2 2 2" xfId="7681" xr:uid="{00000000-0005-0000-0000-0000041E0000}"/>
    <cellStyle name="Comma 3 2 2 6 2 2 2 2" xfId="7682" xr:uid="{00000000-0005-0000-0000-0000051E0000}"/>
    <cellStyle name="Comma 3 2 2 6 2 2 2 2 2" xfId="7683" xr:uid="{00000000-0005-0000-0000-0000061E0000}"/>
    <cellStyle name="Comma 3 2 2 6 2 2 2 3" xfId="7684" xr:uid="{00000000-0005-0000-0000-0000071E0000}"/>
    <cellStyle name="Comma 3 2 2 6 2 2 3" xfId="7685" xr:uid="{00000000-0005-0000-0000-0000081E0000}"/>
    <cellStyle name="Comma 3 2 2 6 2 2 3 2" xfId="7686" xr:uid="{00000000-0005-0000-0000-0000091E0000}"/>
    <cellStyle name="Comma 3 2 2 6 2 2 4" xfId="7687" xr:uid="{00000000-0005-0000-0000-00000A1E0000}"/>
    <cellStyle name="Comma 3 2 2 6 2 2 4 2" xfId="7688" xr:uid="{00000000-0005-0000-0000-00000B1E0000}"/>
    <cellStyle name="Comma 3 2 2 6 2 2 5" xfId="7689" xr:uid="{00000000-0005-0000-0000-00000C1E0000}"/>
    <cellStyle name="Comma 3 2 2 6 2 3" xfId="7690" xr:uid="{00000000-0005-0000-0000-00000D1E0000}"/>
    <cellStyle name="Comma 3 2 2 6 2 3 2" xfId="7691" xr:uid="{00000000-0005-0000-0000-00000E1E0000}"/>
    <cellStyle name="Comma 3 2 2 6 2 3 2 2" xfId="7692" xr:uid="{00000000-0005-0000-0000-00000F1E0000}"/>
    <cellStyle name="Comma 3 2 2 6 2 3 3" xfId="7693" xr:uid="{00000000-0005-0000-0000-0000101E0000}"/>
    <cellStyle name="Comma 3 2 2 6 2 4" xfId="7694" xr:uid="{00000000-0005-0000-0000-0000111E0000}"/>
    <cellStyle name="Comma 3 2 2 6 2 4 2" xfId="7695" xr:uid="{00000000-0005-0000-0000-0000121E0000}"/>
    <cellStyle name="Comma 3 2 2 6 2 5" xfId="7696" xr:uid="{00000000-0005-0000-0000-0000131E0000}"/>
    <cellStyle name="Comma 3 2 2 6 2 5 2" xfId="7697" xr:uid="{00000000-0005-0000-0000-0000141E0000}"/>
    <cellStyle name="Comma 3 2 2 6 2 6" xfId="7698" xr:uid="{00000000-0005-0000-0000-0000151E0000}"/>
    <cellStyle name="Comma 3 2 2 6 3" xfId="7699" xr:uid="{00000000-0005-0000-0000-0000161E0000}"/>
    <cellStyle name="Comma 3 2 2 6 3 2" xfId="7700" xr:uid="{00000000-0005-0000-0000-0000171E0000}"/>
    <cellStyle name="Comma 3 2 2 6 3 2 2" xfId="7701" xr:uid="{00000000-0005-0000-0000-0000181E0000}"/>
    <cellStyle name="Comma 3 2 2 6 3 2 2 2" xfId="7702" xr:uid="{00000000-0005-0000-0000-0000191E0000}"/>
    <cellStyle name="Comma 3 2 2 6 3 2 3" xfId="7703" xr:uid="{00000000-0005-0000-0000-00001A1E0000}"/>
    <cellStyle name="Comma 3 2 2 6 3 3" xfId="7704" xr:uid="{00000000-0005-0000-0000-00001B1E0000}"/>
    <cellStyle name="Comma 3 2 2 6 3 3 2" xfId="7705" xr:uid="{00000000-0005-0000-0000-00001C1E0000}"/>
    <cellStyle name="Comma 3 2 2 6 3 4" xfId="7706" xr:uid="{00000000-0005-0000-0000-00001D1E0000}"/>
    <cellStyle name="Comma 3 2 2 6 3 4 2" xfId="7707" xr:uid="{00000000-0005-0000-0000-00001E1E0000}"/>
    <cellStyle name="Comma 3 2 2 6 3 5" xfId="7708" xr:uid="{00000000-0005-0000-0000-00001F1E0000}"/>
    <cellStyle name="Comma 3 2 2 6 4" xfId="7709" xr:uid="{00000000-0005-0000-0000-0000201E0000}"/>
    <cellStyle name="Comma 3 2 2 6 4 2" xfId="7710" xr:uid="{00000000-0005-0000-0000-0000211E0000}"/>
    <cellStyle name="Comma 3 2 2 6 4 2 2" xfId="7711" xr:uid="{00000000-0005-0000-0000-0000221E0000}"/>
    <cellStyle name="Comma 3 2 2 6 4 3" xfId="7712" xr:uid="{00000000-0005-0000-0000-0000231E0000}"/>
    <cellStyle name="Comma 3 2 2 6 5" xfId="7713" xr:uid="{00000000-0005-0000-0000-0000241E0000}"/>
    <cellStyle name="Comma 3 2 2 6 5 2" xfId="7714" xr:uid="{00000000-0005-0000-0000-0000251E0000}"/>
    <cellStyle name="Comma 3 2 2 6 6" xfId="7715" xr:uid="{00000000-0005-0000-0000-0000261E0000}"/>
    <cellStyle name="Comma 3 2 2 6 6 2" xfId="7716" xr:uid="{00000000-0005-0000-0000-0000271E0000}"/>
    <cellStyle name="Comma 3 2 2 6 7" xfId="7717" xr:uid="{00000000-0005-0000-0000-0000281E0000}"/>
    <cellStyle name="Comma 3 2 2 7" xfId="7718" xr:uid="{00000000-0005-0000-0000-0000291E0000}"/>
    <cellStyle name="Comma 3 2 2 7 2" xfId="7719" xr:uid="{00000000-0005-0000-0000-00002A1E0000}"/>
    <cellStyle name="Comma 3 2 2 7 2 2" xfId="7720" xr:uid="{00000000-0005-0000-0000-00002B1E0000}"/>
    <cellStyle name="Comma 3 2 2 7 2 2 2" xfId="7721" xr:uid="{00000000-0005-0000-0000-00002C1E0000}"/>
    <cellStyle name="Comma 3 2 2 7 2 2 2 2" xfId="7722" xr:uid="{00000000-0005-0000-0000-00002D1E0000}"/>
    <cellStyle name="Comma 3 2 2 7 2 2 3" xfId="7723" xr:uid="{00000000-0005-0000-0000-00002E1E0000}"/>
    <cellStyle name="Comma 3 2 2 7 2 3" xfId="7724" xr:uid="{00000000-0005-0000-0000-00002F1E0000}"/>
    <cellStyle name="Comma 3 2 2 7 2 3 2" xfId="7725" xr:uid="{00000000-0005-0000-0000-0000301E0000}"/>
    <cellStyle name="Comma 3 2 2 7 2 4" xfId="7726" xr:uid="{00000000-0005-0000-0000-0000311E0000}"/>
    <cellStyle name="Comma 3 2 2 7 2 4 2" xfId="7727" xr:uid="{00000000-0005-0000-0000-0000321E0000}"/>
    <cellStyle name="Comma 3 2 2 7 2 5" xfId="7728" xr:uid="{00000000-0005-0000-0000-0000331E0000}"/>
    <cellStyle name="Comma 3 2 2 7 3" xfId="7729" xr:uid="{00000000-0005-0000-0000-0000341E0000}"/>
    <cellStyle name="Comma 3 2 2 7 3 2" xfId="7730" xr:uid="{00000000-0005-0000-0000-0000351E0000}"/>
    <cellStyle name="Comma 3 2 2 7 3 2 2" xfId="7731" xr:uid="{00000000-0005-0000-0000-0000361E0000}"/>
    <cellStyle name="Comma 3 2 2 7 3 3" xfId="7732" xr:uid="{00000000-0005-0000-0000-0000371E0000}"/>
    <cellStyle name="Comma 3 2 2 7 4" xfId="7733" xr:uid="{00000000-0005-0000-0000-0000381E0000}"/>
    <cellStyle name="Comma 3 2 2 7 4 2" xfId="7734" xr:uid="{00000000-0005-0000-0000-0000391E0000}"/>
    <cellStyle name="Comma 3 2 2 7 5" xfId="7735" xr:uid="{00000000-0005-0000-0000-00003A1E0000}"/>
    <cellStyle name="Comma 3 2 2 7 5 2" xfId="7736" xr:uid="{00000000-0005-0000-0000-00003B1E0000}"/>
    <cellStyle name="Comma 3 2 2 7 6" xfId="7737" xr:uid="{00000000-0005-0000-0000-00003C1E0000}"/>
    <cellStyle name="Comma 3 2 2 8" xfId="7738" xr:uid="{00000000-0005-0000-0000-00003D1E0000}"/>
    <cellStyle name="Comma 3 2 2 8 2" xfId="7739" xr:uid="{00000000-0005-0000-0000-00003E1E0000}"/>
    <cellStyle name="Comma 3 2 2 8 2 2" xfId="7740" xr:uid="{00000000-0005-0000-0000-00003F1E0000}"/>
    <cellStyle name="Comma 3 2 2 8 2 2 2" xfId="7741" xr:uid="{00000000-0005-0000-0000-0000401E0000}"/>
    <cellStyle name="Comma 3 2 2 8 2 3" xfId="7742" xr:uid="{00000000-0005-0000-0000-0000411E0000}"/>
    <cellStyle name="Comma 3 2 2 8 3" xfId="7743" xr:uid="{00000000-0005-0000-0000-0000421E0000}"/>
    <cellStyle name="Comma 3 2 2 8 3 2" xfId="7744" xr:uid="{00000000-0005-0000-0000-0000431E0000}"/>
    <cellStyle name="Comma 3 2 2 8 4" xfId="7745" xr:uid="{00000000-0005-0000-0000-0000441E0000}"/>
    <cellStyle name="Comma 3 2 2 8 4 2" xfId="7746" xr:uid="{00000000-0005-0000-0000-0000451E0000}"/>
    <cellStyle name="Comma 3 2 2 8 5" xfId="7747" xr:uid="{00000000-0005-0000-0000-0000461E0000}"/>
    <cellStyle name="Comma 3 2 2 9" xfId="7748" xr:uid="{00000000-0005-0000-0000-0000471E0000}"/>
    <cellStyle name="Comma 3 2 2 9 2" xfId="7749" xr:uid="{00000000-0005-0000-0000-0000481E0000}"/>
    <cellStyle name="Comma 3 2 2 9 2 2" xfId="7750" xr:uid="{00000000-0005-0000-0000-0000491E0000}"/>
    <cellStyle name="Comma 3 2 2 9 3" xfId="7751" xr:uid="{00000000-0005-0000-0000-00004A1E0000}"/>
    <cellStyle name="Comma 3 2 3" xfId="7752" xr:uid="{00000000-0005-0000-0000-00004B1E0000}"/>
    <cellStyle name="Comma 3 2 3 10" xfId="7753" xr:uid="{00000000-0005-0000-0000-00004C1E0000}"/>
    <cellStyle name="Comma 3 2 3 10 2" xfId="7754" xr:uid="{00000000-0005-0000-0000-00004D1E0000}"/>
    <cellStyle name="Comma 3 2 3 11" xfId="7755" xr:uid="{00000000-0005-0000-0000-00004E1E0000}"/>
    <cellStyle name="Comma 3 2 3 11 2" xfId="7756" xr:uid="{00000000-0005-0000-0000-00004F1E0000}"/>
    <cellStyle name="Comma 3 2 3 12" xfId="7757" xr:uid="{00000000-0005-0000-0000-0000501E0000}"/>
    <cellStyle name="Comma 3 2 3 2" xfId="7758" xr:uid="{00000000-0005-0000-0000-0000511E0000}"/>
    <cellStyle name="Comma 3 2 3 2 2" xfId="7759" xr:uid="{00000000-0005-0000-0000-0000521E0000}"/>
    <cellStyle name="Comma 3 2 3 2 2 2" xfId="7760" xr:uid="{00000000-0005-0000-0000-0000531E0000}"/>
    <cellStyle name="Comma 3 2 3 2 2 2 2" xfId="7761" xr:uid="{00000000-0005-0000-0000-0000541E0000}"/>
    <cellStyle name="Comma 3 2 3 2 2 2 2 2" xfId="7762" xr:uid="{00000000-0005-0000-0000-0000551E0000}"/>
    <cellStyle name="Comma 3 2 3 2 2 2 2 2 2" xfId="7763" xr:uid="{00000000-0005-0000-0000-0000561E0000}"/>
    <cellStyle name="Comma 3 2 3 2 2 2 2 2 2 2" xfId="7764" xr:uid="{00000000-0005-0000-0000-0000571E0000}"/>
    <cellStyle name="Comma 3 2 3 2 2 2 2 2 3" xfId="7765" xr:uid="{00000000-0005-0000-0000-0000581E0000}"/>
    <cellStyle name="Comma 3 2 3 2 2 2 2 3" xfId="7766" xr:uid="{00000000-0005-0000-0000-0000591E0000}"/>
    <cellStyle name="Comma 3 2 3 2 2 2 2 3 2" xfId="7767" xr:uid="{00000000-0005-0000-0000-00005A1E0000}"/>
    <cellStyle name="Comma 3 2 3 2 2 2 2 4" xfId="7768" xr:uid="{00000000-0005-0000-0000-00005B1E0000}"/>
    <cellStyle name="Comma 3 2 3 2 2 2 2 4 2" xfId="7769" xr:uid="{00000000-0005-0000-0000-00005C1E0000}"/>
    <cellStyle name="Comma 3 2 3 2 2 2 2 5" xfId="7770" xr:uid="{00000000-0005-0000-0000-00005D1E0000}"/>
    <cellStyle name="Comma 3 2 3 2 2 2 3" xfId="7771" xr:uid="{00000000-0005-0000-0000-00005E1E0000}"/>
    <cellStyle name="Comma 3 2 3 2 2 2 3 2" xfId="7772" xr:uid="{00000000-0005-0000-0000-00005F1E0000}"/>
    <cellStyle name="Comma 3 2 3 2 2 2 3 2 2" xfId="7773" xr:uid="{00000000-0005-0000-0000-0000601E0000}"/>
    <cellStyle name="Comma 3 2 3 2 2 2 3 3" xfId="7774" xr:uid="{00000000-0005-0000-0000-0000611E0000}"/>
    <cellStyle name="Comma 3 2 3 2 2 2 4" xfId="7775" xr:uid="{00000000-0005-0000-0000-0000621E0000}"/>
    <cellStyle name="Comma 3 2 3 2 2 2 4 2" xfId="7776" xr:uid="{00000000-0005-0000-0000-0000631E0000}"/>
    <cellStyle name="Comma 3 2 3 2 2 2 5" xfId="7777" xr:uid="{00000000-0005-0000-0000-0000641E0000}"/>
    <cellStyle name="Comma 3 2 3 2 2 2 5 2" xfId="7778" xr:uid="{00000000-0005-0000-0000-0000651E0000}"/>
    <cellStyle name="Comma 3 2 3 2 2 2 6" xfId="7779" xr:uid="{00000000-0005-0000-0000-0000661E0000}"/>
    <cellStyle name="Comma 3 2 3 2 2 3" xfId="7780" xr:uid="{00000000-0005-0000-0000-0000671E0000}"/>
    <cellStyle name="Comma 3 2 3 2 2 3 2" xfId="7781" xr:uid="{00000000-0005-0000-0000-0000681E0000}"/>
    <cellStyle name="Comma 3 2 3 2 2 3 2 2" xfId="7782" xr:uid="{00000000-0005-0000-0000-0000691E0000}"/>
    <cellStyle name="Comma 3 2 3 2 2 3 2 2 2" xfId="7783" xr:uid="{00000000-0005-0000-0000-00006A1E0000}"/>
    <cellStyle name="Comma 3 2 3 2 2 3 2 3" xfId="7784" xr:uid="{00000000-0005-0000-0000-00006B1E0000}"/>
    <cellStyle name="Comma 3 2 3 2 2 3 3" xfId="7785" xr:uid="{00000000-0005-0000-0000-00006C1E0000}"/>
    <cellStyle name="Comma 3 2 3 2 2 3 3 2" xfId="7786" xr:uid="{00000000-0005-0000-0000-00006D1E0000}"/>
    <cellStyle name="Comma 3 2 3 2 2 3 4" xfId="7787" xr:uid="{00000000-0005-0000-0000-00006E1E0000}"/>
    <cellStyle name="Comma 3 2 3 2 2 3 4 2" xfId="7788" xr:uid="{00000000-0005-0000-0000-00006F1E0000}"/>
    <cellStyle name="Comma 3 2 3 2 2 3 5" xfId="7789" xr:uid="{00000000-0005-0000-0000-0000701E0000}"/>
    <cellStyle name="Comma 3 2 3 2 2 4" xfId="7790" xr:uid="{00000000-0005-0000-0000-0000711E0000}"/>
    <cellStyle name="Comma 3 2 3 2 2 4 2" xfId="7791" xr:uid="{00000000-0005-0000-0000-0000721E0000}"/>
    <cellStyle name="Comma 3 2 3 2 2 4 2 2" xfId="7792" xr:uid="{00000000-0005-0000-0000-0000731E0000}"/>
    <cellStyle name="Comma 3 2 3 2 2 4 3" xfId="7793" xr:uid="{00000000-0005-0000-0000-0000741E0000}"/>
    <cellStyle name="Comma 3 2 3 2 2 5" xfId="7794" xr:uid="{00000000-0005-0000-0000-0000751E0000}"/>
    <cellStyle name="Comma 3 2 3 2 2 5 2" xfId="7795" xr:uid="{00000000-0005-0000-0000-0000761E0000}"/>
    <cellStyle name="Comma 3 2 3 2 2 6" xfId="7796" xr:uid="{00000000-0005-0000-0000-0000771E0000}"/>
    <cellStyle name="Comma 3 2 3 2 2 6 2" xfId="7797" xr:uid="{00000000-0005-0000-0000-0000781E0000}"/>
    <cellStyle name="Comma 3 2 3 2 2 7" xfId="7798" xr:uid="{00000000-0005-0000-0000-0000791E0000}"/>
    <cellStyle name="Comma 3 2 3 2 3" xfId="7799" xr:uid="{00000000-0005-0000-0000-00007A1E0000}"/>
    <cellStyle name="Comma 3 2 3 2 3 2" xfId="7800" xr:uid="{00000000-0005-0000-0000-00007B1E0000}"/>
    <cellStyle name="Comma 3 2 3 2 3 2 2" xfId="7801" xr:uid="{00000000-0005-0000-0000-00007C1E0000}"/>
    <cellStyle name="Comma 3 2 3 2 3 2 2 2" xfId="7802" xr:uid="{00000000-0005-0000-0000-00007D1E0000}"/>
    <cellStyle name="Comma 3 2 3 2 3 2 2 2 2" xfId="7803" xr:uid="{00000000-0005-0000-0000-00007E1E0000}"/>
    <cellStyle name="Comma 3 2 3 2 3 2 2 2 2 2" xfId="7804" xr:uid="{00000000-0005-0000-0000-00007F1E0000}"/>
    <cellStyle name="Comma 3 2 3 2 3 2 2 2 3" xfId="7805" xr:uid="{00000000-0005-0000-0000-0000801E0000}"/>
    <cellStyle name="Comma 3 2 3 2 3 2 2 3" xfId="7806" xr:uid="{00000000-0005-0000-0000-0000811E0000}"/>
    <cellStyle name="Comma 3 2 3 2 3 2 2 3 2" xfId="7807" xr:uid="{00000000-0005-0000-0000-0000821E0000}"/>
    <cellStyle name="Comma 3 2 3 2 3 2 2 4" xfId="7808" xr:uid="{00000000-0005-0000-0000-0000831E0000}"/>
    <cellStyle name="Comma 3 2 3 2 3 2 2 4 2" xfId="7809" xr:uid="{00000000-0005-0000-0000-0000841E0000}"/>
    <cellStyle name="Comma 3 2 3 2 3 2 2 5" xfId="7810" xr:uid="{00000000-0005-0000-0000-0000851E0000}"/>
    <cellStyle name="Comma 3 2 3 2 3 2 3" xfId="7811" xr:uid="{00000000-0005-0000-0000-0000861E0000}"/>
    <cellStyle name="Comma 3 2 3 2 3 2 3 2" xfId="7812" xr:uid="{00000000-0005-0000-0000-0000871E0000}"/>
    <cellStyle name="Comma 3 2 3 2 3 2 3 2 2" xfId="7813" xr:uid="{00000000-0005-0000-0000-0000881E0000}"/>
    <cellStyle name="Comma 3 2 3 2 3 2 3 3" xfId="7814" xr:uid="{00000000-0005-0000-0000-0000891E0000}"/>
    <cellStyle name="Comma 3 2 3 2 3 2 4" xfId="7815" xr:uid="{00000000-0005-0000-0000-00008A1E0000}"/>
    <cellStyle name="Comma 3 2 3 2 3 2 4 2" xfId="7816" xr:uid="{00000000-0005-0000-0000-00008B1E0000}"/>
    <cellStyle name="Comma 3 2 3 2 3 2 5" xfId="7817" xr:uid="{00000000-0005-0000-0000-00008C1E0000}"/>
    <cellStyle name="Comma 3 2 3 2 3 2 5 2" xfId="7818" xr:uid="{00000000-0005-0000-0000-00008D1E0000}"/>
    <cellStyle name="Comma 3 2 3 2 3 2 6" xfId="7819" xr:uid="{00000000-0005-0000-0000-00008E1E0000}"/>
    <cellStyle name="Comma 3 2 3 2 3 3" xfId="7820" xr:uid="{00000000-0005-0000-0000-00008F1E0000}"/>
    <cellStyle name="Comma 3 2 3 2 3 3 2" xfId="7821" xr:uid="{00000000-0005-0000-0000-0000901E0000}"/>
    <cellStyle name="Comma 3 2 3 2 3 3 2 2" xfId="7822" xr:uid="{00000000-0005-0000-0000-0000911E0000}"/>
    <cellStyle name="Comma 3 2 3 2 3 3 2 2 2" xfId="7823" xr:uid="{00000000-0005-0000-0000-0000921E0000}"/>
    <cellStyle name="Comma 3 2 3 2 3 3 2 3" xfId="7824" xr:uid="{00000000-0005-0000-0000-0000931E0000}"/>
    <cellStyle name="Comma 3 2 3 2 3 3 3" xfId="7825" xr:uid="{00000000-0005-0000-0000-0000941E0000}"/>
    <cellStyle name="Comma 3 2 3 2 3 3 3 2" xfId="7826" xr:uid="{00000000-0005-0000-0000-0000951E0000}"/>
    <cellStyle name="Comma 3 2 3 2 3 3 4" xfId="7827" xr:uid="{00000000-0005-0000-0000-0000961E0000}"/>
    <cellStyle name="Comma 3 2 3 2 3 3 4 2" xfId="7828" xr:uid="{00000000-0005-0000-0000-0000971E0000}"/>
    <cellStyle name="Comma 3 2 3 2 3 3 5" xfId="7829" xr:uid="{00000000-0005-0000-0000-0000981E0000}"/>
    <cellStyle name="Comma 3 2 3 2 3 4" xfId="7830" xr:uid="{00000000-0005-0000-0000-0000991E0000}"/>
    <cellStyle name="Comma 3 2 3 2 3 4 2" xfId="7831" xr:uid="{00000000-0005-0000-0000-00009A1E0000}"/>
    <cellStyle name="Comma 3 2 3 2 3 4 2 2" xfId="7832" xr:uid="{00000000-0005-0000-0000-00009B1E0000}"/>
    <cellStyle name="Comma 3 2 3 2 3 4 3" xfId="7833" xr:uid="{00000000-0005-0000-0000-00009C1E0000}"/>
    <cellStyle name="Comma 3 2 3 2 3 5" xfId="7834" xr:uid="{00000000-0005-0000-0000-00009D1E0000}"/>
    <cellStyle name="Comma 3 2 3 2 3 5 2" xfId="7835" xr:uid="{00000000-0005-0000-0000-00009E1E0000}"/>
    <cellStyle name="Comma 3 2 3 2 3 6" xfId="7836" xr:uid="{00000000-0005-0000-0000-00009F1E0000}"/>
    <cellStyle name="Comma 3 2 3 2 3 6 2" xfId="7837" xr:uid="{00000000-0005-0000-0000-0000A01E0000}"/>
    <cellStyle name="Comma 3 2 3 2 3 7" xfId="7838" xr:uid="{00000000-0005-0000-0000-0000A11E0000}"/>
    <cellStyle name="Comma 3 2 3 2 4" xfId="7839" xr:uid="{00000000-0005-0000-0000-0000A21E0000}"/>
    <cellStyle name="Comma 3 2 3 2 4 2" xfId="7840" xr:uid="{00000000-0005-0000-0000-0000A31E0000}"/>
    <cellStyle name="Comma 3 2 3 2 4 2 2" xfId="7841" xr:uid="{00000000-0005-0000-0000-0000A41E0000}"/>
    <cellStyle name="Comma 3 2 3 2 4 2 2 2" xfId="7842" xr:uid="{00000000-0005-0000-0000-0000A51E0000}"/>
    <cellStyle name="Comma 3 2 3 2 4 2 2 2 2" xfId="7843" xr:uid="{00000000-0005-0000-0000-0000A61E0000}"/>
    <cellStyle name="Comma 3 2 3 2 4 2 2 3" xfId="7844" xr:uid="{00000000-0005-0000-0000-0000A71E0000}"/>
    <cellStyle name="Comma 3 2 3 2 4 2 3" xfId="7845" xr:uid="{00000000-0005-0000-0000-0000A81E0000}"/>
    <cellStyle name="Comma 3 2 3 2 4 2 3 2" xfId="7846" xr:uid="{00000000-0005-0000-0000-0000A91E0000}"/>
    <cellStyle name="Comma 3 2 3 2 4 2 4" xfId="7847" xr:uid="{00000000-0005-0000-0000-0000AA1E0000}"/>
    <cellStyle name="Comma 3 2 3 2 4 2 4 2" xfId="7848" xr:uid="{00000000-0005-0000-0000-0000AB1E0000}"/>
    <cellStyle name="Comma 3 2 3 2 4 2 5" xfId="7849" xr:uid="{00000000-0005-0000-0000-0000AC1E0000}"/>
    <cellStyle name="Comma 3 2 3 2 4 3" xfId="7850" xr:uid="{00000000-0005-0000-0000-0000AD1E0000}"/>
    <cellStyle name="Comma 3 2 3 2 4 3 2" xfId="7851" xr:uid="{00000000-0005-0000-0000-0000AE1E0000}"/>
    <cellStyle name="Comma 3 2 3 2 4 3 2 2" xfId="7852" xr:uid="{00000000-0005-0000-0000-0000AF1E0000}"/>
    <cellStyle name="Comma 3 2 3 2 4 3 3" xfId="7853" xr:uid="{00000000-0005-0000-0000-0000B01E0000}"/>
    <cellStyle name="Comma 3 2 3 2 4 4" xfId="7854" xr:uid="{00000000-0005-0000-0000-0000B11E0000}"/>
    <cellStyle name="Comma 3 2 3 2 4 4 2" xfId="7855" xr:uid="{00000000-0005-0000-0000-0000B21E0000}"/>
    <cellStyle name="Comma 3 2 3 2 4 5" xfId="7856" xr:uid="{00000000-0005-0000-0000-0000B31E0000}"/>
    <cellStyle name="Comma 3 2 3 2 4 5 2" xfId="7857" xr:uid="{00000000-0005-0000-0000-0000B41E0000}"/>
    <cellStyle name="Comma 3 2 3 2 4 6" xfId="7858" xr:uid="{00000000-0005-0000-0000-0000B51E0000}"/>
    <cellStyle name="Comma 3 2 3 2 5" xfId="7859" xr:uid="{00000000-0005-0000-0000-0000B61E0000}"/>
    <cellStyle name="Comma 3 2 3 2 5 2" xfId="7860" xr:uid="{00000000-0005-0000-0000-0000B71E0000}"/>
    <cellStyle name="Comma 3 2 3 2 5 2 2" xfId="7861" xr:uid="{00000000-0005-0000-0000-0000B81E0000}"/>
    <cellStyle name="Comma 3 2 3 2 5 2 2 2" xfId="7862" xr:uid="{00000000-0005-0000-0000-0000B91E0000}"/>
    <cellStyle name="Comma 3 2 3 2 5 2 3" xfId="7863" xr:uid="{00000000-0005-0000-0000-0000BA1E0000}"/>
    <cellStyle name="Comma 3 2 3 2 5 3" xfId="7864" xr:uid="{00000000-0005-0000-0000-0000BB1E0000}"/>
    <cellStyle name="Comma 3 2 3 2 5 3 2" xfId="7865" xr:uid="{00000000-0005-0000-0000-0000BC1E0000}"/>
    <cellStyle name="Comma 3 2 3 2 5 4" xfId="7866" xr:uid="{00000000-0005-0000-0000-0000BD1E0000}"/>
    <cellStyle name="Comma 3 2 3 2 5 4 2" xfId="7867" xr:uid="{00000000-0005-0000-0000-0000BE1E0000}"/>
    <cellStyle name="Comma 3 2 3 2 5 5" xfId="7868" xr:uid="{00000000-0005-0000-0000-0000BF1E0000}"/>
    <cellStyle name="Comma 3 2 3 2 6" xfId="7869" xr:uid="{00000000-0005-0000-0000-0000C01E0000}"/>
    <cellStyle name="Comma 3 2 3 2 6 2" xfId="7870" xr:uid="{00000000-0005-0000-0000-0000C11E0000}"/>
    <cellStyle name="Comma 3 2 3 2 6 2 2" xfId="7871" xr:uid="{00000000-0005-0000-0000-0000C21E0000}"/>
    <cellStyle name="Comma 3 2 3 2 6 3" xfId="7872" xr:uid="{00000000-0005-0000-0000-0000C31E0000}"/>
    <cellStyle name="Comma 3 2 3 2 7" xfId="7873" xr:uid="{00000000-0005-0000-0000-0000C41E0000}"/>
    <cellStyle name="Comma 3 2 3 2 7 2" xfId="7874" xr:uid="{00000000-0005-0000-0000-0000C51E0000}"/>
    <cellStyle name="Comma 3 2 3 2 8" xfId="7875" xr:uid="{00000000-0005-0000-0000-0000C61E0000}"/>
    <cellStyle name="Comma 3 2 3 2 8 2" xfId="7876" xr:uid="{00000000-0005-0000-0000-0000C71E0000}"/>
    <cellStyle name="Comma 3 2 3 2 9" xfId="7877" xr:uid="{00000000-0005-0000-0000-0000C81E0000}"/>
    <cellStyle name="Comma 3 2 3 3" xfId="7878" xr:uid="{00000000-0005-0000-0000-0000C91E0000}"/>
    <cellStyle name="Comma 3 2 3 3 2" xfId="7879" xr:uid="{00000000-0005-0000-0000-0000CA1E0000}"/>
    <cellStyle name="Comma 3 2 3 3 2 2" xfId="7880" xr:uid="{00000000-0005-0000-0000-0000CB1E0000}"/>
    <cellStyle name="Comma 3 2 3 3 2 2 2" xfId="7881" xr:uid="{00000000-0005-0000-0000-0000CC1E0000}"/>
    <cellStyle name="Comma 3 2 3 3 2 2 2 2" xfId="7882" xr:uid="{00000000-0005-0000-0000-0000CD1E0000}"/>
    <cellStyle name="Comma 3 2 3 3 2 2 2 2 2" xfId="7883" xr:uid="{00000000-0005-0000-0000-0000CE1E0000}"/>
    <cellStyle name="Comma 3 2 3 3 2 2 2 2 2 2" xfId="7884" xr:uid="{00000000-0005-0000-0000-0000CF1E0000}"/>
    <cellStyle name="Comma 3 2 3 3 2 2 2 2 3" xfId="7885" xr:uid="{00000000-0005-0000-0000-0000D01E0000}"/>
    <cellStyle name="Comma 3 2 3 3 2 2 2 3" xfId="7886" xr:uid="{00000000-0005-0000-0000-0000D11E0000}"/>
    <cellStyle name="Comma 3 2 3 3 2 2 2 3 2" xfId="7887" xr:uid="{00000000-0005-0000-0000-0000D21E0000}"/>
    <cellStyle name="Comma 3 2 3 3 2 2 2 4" xfId="7888" xr:uid="{00000000-0005-0000-0000-0000D31E0000}"/>
    <cellStyle name="Comma 3 2 3 3 2 2 2 4 2" xfId="7889" xr:uid="{00000000-0005-0000-0000-0000D41E0000}"/>
    <cellStyle name="Comma 3 2 3 3 2 2 2 5" xfId="7890" xr:uid="{00000000-0005-0000-0000-0000D51E0000}"/>
    <cellStyle name="Comma 3 2 3 3 2 2 3" xfId="7891" xr:uid="{00000000-0005-0000-0000-0000D61E0000}"/>
    <cellStyle name="Comma 3 2 3 3 2 2 3 2" xfId="7892" xr:uid="{00000000-0005-0000-0000-0000D71E0000}"/>
    <cellStyle name="Comma 3 2 3 3 2 2 3 2 2" xfId="7893" xr:uid="{00000000-0005-0000-0000-0000D81E0000}"/>
    <cellStyle name="Comma 3 2 3 3 2 2 3 3" xfId="7894" xr:uid="{00000000-0005-0000-0000-0000D91E0000}"/>
    <cellStyle name="Comma 3 2 3 3 2 2 4" xfId="7895" xr:uid="{00000000-0005-0000-0000-0000DA1E0000}"/>
    <cellStyle name="Comma 3 2 3 3 2 2 4 2" xfId="7896" xr:uid="{00000000-0005-0000-0000-0000DB1E0000}"/>
    <cellStyle name="Comma 3 2 3 3 2 2 5" xfId="7897" xr:uid="{00000000-0005-0000-0000-0000DC1E0000}"/>
    <cellStyle name="Comma 3 2 3 3 2 2 5 2" xfId="7898" xr:uid="{00000000-0005-0000-0000-0000DD1E0000}"/>
    <cellStyle name="Comma 3 2 3 3 2 2 6" xfId="7899" xr:uid="{00000000-0005-0000-0000-0000DE1E0000}"/>
    <cellStyle name="Comma 3 2 3 3 2 3" xfId="7900" xr:uid="{00000000-0005-0000-0000-0000DF1E0000}"/>
    <cellStyle name="Comma 3 2 3 3 2 3 2" xfId="7901" xr:uid="{00000000-0005-0000-0000-0000E01E0000}"/>
    <cellStyle name="Comma 3 2 3 3 2 3 2 2" xfId="7902" xr:uid="{00000000-0005-0000-0000-0000E11E0000}"/>
    <cellStyle name="Comma 3 2 3 3 2 3 2 2 2" xfId="7903" xr:uid="{00000000-0005-0000-0000-0000E21E0000}"/>
    <cellStyle name="Comma 3 2 3 3 2 3 2 3" xfId="7904" xr:uid="{00000000-0005-0000-0000-0000E31E0000}"/>
    <cellStyle name="Comma 3 2 3 3 2 3 3" xfId="7905" xr:uid="{00000000-0005-0000-0000-0000E41E0000}"/>
    <cellStyle name="Comma 3 2 3 3 2 3 3 2" xfId="7906" xr:uid="{00000000-0005-0000-0000-0000E51E0000}"/>
    <cellStyle name="Comma 3 2 3 3 2 3 4" xfId="7907" xr:uid="{00000000-0005-0000-0000-0000E61E0000}"/>
    <cellStyle name="Comma 3 2 3 3 2 3 4 2" xfId="7908" xr:uid="{00000000-0005-0000-0000-0000E71E0000}"/>
    <cellStyle name="Comma 3 2 3 3 2 3 5" xfId="7909" xr:uid="{00000000-0005-0000-0000-0000E81E0000}"/>
    <cellStyle name="Comma 3 2 3 3 2 4" xfId="7910" xr:uid="{00000000-0005-0000-0000-0000E91E0000}"/>
    <cellStyle name="Comma 3 2 3 3 2 4 2" xfId="7911" xr:uid="{00000000-0005-0000-0000-0000EA1E0000}"/>
    <cellStyle name="Comma 3 2 3 3 2 4 2 2" xfId="7912" xr:uid="{00000000-0005-0000-0000-0000EB1E0000}"/>
    <cellStyle name="Comma 3 2 3 3 2 4 3" xfId="7913" xr:uid="{00000000-0005-0000-0000-0000EC1E0000}"/>
    <cellStyle name="Comma 3 2 3 3 2 5" xfId="7914" xr:uid="{00000000-0005-0000-0000-0000ED1E0000}"/>
    <cellStyle name="Comma 3 2 3 3 2 5 2" xfId="7915" xr:uid="{00000000-0005-0000-0000-0000EE1E0000}"/>
    <cellStyle name="Comma 3 2 3 3 2 6" xfId="7916" xr:uid="{00000000-0005-0000-0000-0000EF1E0000}"/>
    <cellStyle name="Comma 3 2 3 3 2 6 2" xfId="7917" xr:uid="{00000000-0005-0000-0000-0000F01E0000}"/>
    <cellStyle name="Comma 3 2 3 3 2 7" xfId="7918" xr:uid="{00000000-0005-0000-0000-0000F11E0000}"/>
    <cellStyle name="Comma 3 2 3 3 3" xfId="7919" xr:uid="{00000000-0005-0000-0000-0000F21E0000}"/>
    <cellStyle name="Comma 3 2 3 3 3 2" xfId="7920" xr:uid="{00000000-0005-0000-0000-0000F31E0000}"/>
    <cellStyle name="Comma 3 2 3 3 3 2 2" xfId="7921" xr:uid="{00000000-0005-0000-0000-0000F41E0000}"/>
    <cellStyle name="Comma 3 2 3 3 3 2 2 2" xfId="7922" xr:uid="{00000000-0005-0000-0000-0000F51E0000}"/>
    <cellStyle name="Comma 3 2 3 3 3 2 2 2 2" xfId="7923" xr:uid="{00000000-0005-0000-0000-0000F61E0000}"/>
    <cellStyle name="Comma 3 2 3 3 3 2 2 2 2 2" xfId="7924" xr:uid="{00000000-0005-0000-0000-0000F71E0000}"/>
    <cellStyle name="Comma 3 2 3 3 3 2 2 2 3" xfId="7925" xr:uid="{00000000-0005-0000-0000-0000F81E0000}"/>
    <cellStyle name="Comma 3 2 3 3 3 2 2 3" xfId="7926" xr:uid="{00000000-0005-0000-0000-0000F91E0000}"/>
    <cellStyle name="Comma 3 2 3 3 3 2 2 3 2" xfId="7927" xr:uid="{00000000-0005-0000-0000-0000FA1E0000}"/>
    <cellStyle name="Comma 3 2 3 3 3 2 2 4" xfId="7928" xr:uid="{00000000-0005-0000-0000-0000FB1E0000}"/>
    <cellStyle name="Comma 3 2 3 3 3 2 2 4 2" xfId="7929" xr:uid="{00000000-0005-0000-0000-0000FC1E0000}"/>
    <cellStyle name="Comma 3 2 3 3 3 2 2 5" xfId="7930" xr:uid="{00000000-0005-0000-0000-0000FD1E0000}"/>
    <cellStyle name="Comma 3 2 3 3 3 2 3" xfId="7931" xr:uid="{00000000-0005-0000-0000-0000FE1E0000}"/>
    <cellStyle name="Comma 3 2 3 3 3 2 3 2" xfId="7932" xr:uid="{00000000-0005-0000-0000-0000FF1E0000}"/>
    <cellStyle name="Comma 3 2 3 3 3 2 3 2 2" xfId="7933" xr:uid="{00000000-0005-0000-0000-0000001F0000}"/>
    <cellStyle name="Comma 3 2 3 3 3 2 3 3" xfId="7934" xr:uid="{00000000-0005-0000-0000-0000011F0000}"/>
    <cellStyle name="Comma 3 2 3 3 3 2 4" xfId="7935" xr:uid="{00000000-0005-0000-0000-0000021F0000}"/>
    <cellStyle name="Comma 3 2 3 3 3 2 4 2" xfId="7936" xr:uid="{00000000-0005-0000-0000-0000031F0000}"/>
    <cellStyle name="Comma 3 2 3 3 3 2 5" xfId="7937" xr:uid="{00000000-0005-0000-0000-0000041F0000}"/>
    <cellStyle name="Comma 3 2 3 3 3 2 5 2" xfId="7938" xr:uid="{00000000-0005-0000-0000-0000051F0000}"/>
    <cellStyle name="Comma 3 2 3 3 3 2 6" xfId="7939" xr:uid="{00000000-0005-0000-0000-0000061F0000}"/>
    <cellStyle name="Comma 3 2 3 3 3 3" xfId="7940" xr:uid="{00000000-0005-0000-0000-0000071F0000}"/>
    <cellStyle name="Comma 3 2 3 3 3 3 2" xfId="7941" xr:uid="{00000000-0005-0000-0000-0000081F0000}"/>
    <cellStyle name="Comma 3 2 3 3 3 3 2 2" xfId="7942" xr:uid="{00000000-0005-0000-0000-0000091F0000}"/>
    <cellStyle name="Comma 3 2 3 3 3 3 2 2 2" xfId="7943" xr:uid="{00000000-0005-0000-0000-00000A1F0000}"/>
    <cellStyle name="Comma 3 2 3 3 3 3 2 3" xfId="7944" xr:uid="{00000000-0005-0000-0000-00000B1F0000}"/>
    <cellStyle name="Comma 3 2 3 3 3 3 3" xfId="7945" xr:uid="{00000000-0005-0000-0000-00000C1F0000}"/>
    <cellStyle name="Comma 3 2 3 3 3 3 3 2" xfId="7946" xr:uid="{00000000-0005-0000-0000-00000D1F0000}"/>
    <cellStyle name="Comma 3 2 3 3 3 3 4" xfId="7947" xr:uid="{00000000-0005-0000-0000-00000E1F0000}"/>
    <cellStyle name="Comma 3 2 3 3 3 3 4 2" xfId="7948" xr:uid="{00000000-0005-0000-0000-00000F1F0000}"/>
    <cellStyle name="Comma 3 2 3 3 3 3 5" xfId="7949" xr:uid="{00000000-0005-0000-0000-0000101F0000}"/>
    <cellStyle name="Comma 3 2 3 3 3 4" xfId="7950" xr:uid="{00000000-0005-0000-0000-0000111F0000}"/>
    <cellStyle name="Comma 3 2 3 3 3 4 2" xfId="7951" xr:uid="{00000000-0005-0000-0000-0000121F0000}"/>
    <cellStyle name="Comma 3 2 3 3 3 4 2 2" xfId="7952" xr:uid="{00000000-0005-0000-0000-0000131F0000}"/>
    <cellStyle name="Comma 3 2 3 3 3 4 3" xfId="7953" xr:uid="{00000000-0005-0000-0000-0000141F0000}"/>
    <cellStyle name="Comma 3 2 3 3 3 5" xfId="7954" xr:uid="{00000000-0005-0000-0000-0000151F0000}"/>
    <cellStyle name="Comma 3 2 3 3 3 5 2" xfId="7955" xr:uid="{00000000-0005-0000-0000-0000161F0000}"/>
    <cellStyle name="Comma 3 2 3 3 3 6" xfId="7956" xr:uid="{00000000-0005-0000-0000-0000171F0000}"/>
    <cellStyle name="Comma 3 2 3 3 3 6 2" xfId="7957" xr:uid="{00000000-0005-0000-0000-0000181F0000}"/>
    <cellStyle name="Comma 3 2 3 3 3 7" xfId="7958" xr:uid="{00000000-0005-0000-0000-0000191F0000}"/>
    <cellStyle name="Comma 3 2 3 3 4" xfId="7959" xr:uid="{00000000-0005-0000-0000-00001A1F0000}"/>
    <cellStyle name="Comma 3 2 3 3 4 2" xfId="7960" xr:uid="{00000000-0005-0000-0000-00001B1F0000}"/>
    <cellStyle name="Comma 3 2 3 3 4 2 2" xfId="7961" xr:uid="{00000000-0005-0000-0000-00001C1F0000}"/>
    <cellStyle name="Comma 3 2 3 3 4 2 2 2" xfId="7962" xr:uid="{00000000-0005-0000-0000-00001D1F0000}"/>
    <cellStyle name="Comma 3 2 3 3 4 2 2 2 2" xfId="7963" xr:uid="{00000000-0005-0000-0000-00001E1F0000}"/>
    <cellStyle name="Comma 3 2 3 3 4 2 2 3" xfId="7964" xr:uid="{00000000-0005-0000-0000-00001F1F0000}"/>
    <cellStyle name="Comma 3 2 3 3 4 2 3" xfId="7965" xr:uid="{00000000-0005-0000-0000-0000201F0000}"/>
    <cellStyle name="Comma 3 2 3 3 4 2 3 2" xfId="7966" xr:uid="{00000000-0005-0000-0000-0000211F0000}"/>
    <cellStyle name="Comma 3 2 3 3 4 2 4" xfId="7967" xr:uid="{00000000-0005-0000-0000-0000221F0000}"/>
    <cellStyle name="Comma 3 2 3 3 4 2 4 2" xfId="7968" xr:uid="{00000000-0005-0000-0000-0000231F0000}"/>
    <cellStyle name="Comma 3 2 3 3 4 2 5" xfId="7969" xr:uid="{00000000-0005-0000-0000-0000241F0000}"/>
    <cellStyle name="Comma 3 2 3 3 4 3" xfId="7970" xr:uid="{00000000-0005-0000-0000-0000251F0000}"/>
    <cellStyle name="Comma 3 2 3 3 4 3 2" xfId="7971" xr:uid="{00000000-0005-0000-0000-0000261F0000}"/>
    <cellStyle name="Comma 3 2 3 3 4 3 2 2" xfId="7972" xr:uid="{00000000-0005-0000-0000-0000271F0000}"/>
    <cellStyle name="Comma 3 2 3 3 4 3 3" xfId="7973" xr:uid="{00000000-0005-0000-0000-0000281F0000}"/>
    <cellStyle name="Comma 3 2 3 3 4 4" xfId="7974" xr:uid="{00000000-0005-0000-0000-0000291F0000}"/>
    <cellStyle name="Comma 3 2 3 3 4 4 2" xfId="7975" xr:uid="{00000000-0005-0000-0000-00002A1F0000}"/>
    <cellStyle name="Comma 3 2 3 3 4 5" xfId="7976" xr:uid="{00000000-0005-0000-0000-00002B1F0000}"/>
    <cellStyle name="Comma 3 2 3 3 4 5 2" xfId="7977" xr:uid="{00000000-0005-0000-0000-00002C1F0000}"/>
    <cellStyle name="Comma 3 2 3 3 4 6" xfId="7978" xr:uid="{00000000-0005-0000-0000-00002D1F0000}"/>
    <cellStyle name="Comma 3 2 3 3 5" xfId="7979" xr:uid="{00000000-0005-0000-0000-00002E1F0000}"/>
    <cellStyle name="Comma 3 2 3 3 5 2" xfId="7980" xr:uid="{00000000-0005-0000-0000-00002F1F0000}"/>
    <cellStyle name="Comma 3 2 3 3 5 2 2" xfId="7981" xr:uid="{00000000-0005-0000-0000-0000301F0000}"/>
    <cellStyle name="Comma 3 2 3 3 5 2 2 2" xfId="7982" xr:uid="{00000000-0005-0000-0000-0000311F0000}"/>
    <cellStyle name="Comma 3 2 3 3 5 2 3" xfId="7983" xr:uid="{00000000-0005-0000-0000-0000321F0000}"/>
    <cellStyle name="Comma 3 2 3 3 5 3" xfId="7984" xr:uid="{00000000-0005-0000-0000-0000331F0000}"/>
    <cellStyle name="Comma 3 2 3 3 5 3 2" xfId="7985" xr:uid="{00000000-0005-0000-0000-0000341F0000}"/>
    <cellStyle name="Comma 3 2 3 3 5 4" xfId="7986" xr:uid="{00000000-0005-0000-0000-0000351F0000}"/>
    <cellStyle name="Comma 3 2 3 3 5 4 2" xfId="7987" xr:uid="{00000000-0005-0000-0000-0000361F0000}"/>
    <cellStyle name="Comma 3 2 3 3 5 5" xfId="7988" xr:uid="{00000000-0005-0000-0000-0000371F0000}"/>
    <cellStyle name="Comma 3 2 3 3 6" xfId="7989" xr:uid="{00000000-0005-0000-0000-0000381F0000}"/>
    <cellStyle name="Comma 3 2 3 3 6 2" xfId="7990" xr:uid="{00000000-0005-0000-0000-0000391F0000}"/>
    <cellStyle name="Comma 3 2 3 3 6 2 2" xfId="7991" xr:uid="{00000000-0005-0000-0000-00003A1F0000}"/>
    <cellStyle name="Comma 3 2 3 3 6 3" xfId="7992" xr:uid="{00000000-0005-0000-0000-00003B1F0000}"/>
    <cellStyle name="Comma 3 2 3 3 7" xfId="7993" xr:uid="{00000000-0005-0000-0000-00003C1F0000}"/>
    <cellStyle name="Comma 3 2 3 3 7 2" xfId="7994" xr:uid="{00000000-0005-0000-0000-00003D1F0000}"/>
    <cellStyle name="Comma 3 2 3 3 8" xfId="7995" xr:uid="{00000000-0005-0000-0000-00003E1F0000}"/>
    <cellStyle name="Comma 3 2 3 3 8 2" xfId="7996" xr:uid="{00000000-0005-0000-0000-00003F1F0000}"/>
    <cellStyle name="Comma 3 2 3 3 9" xfId="7997" xr:uid="{00000000-0005-0000-0000-0000401F0000}"/>
    <cellStyle name="Comma 3 2 3 4" xfId="7998" xr:uid="{00000000-0005-0000-0000-0000411F0000}"/>
    <cellStyle name="Comma 3 2 3 4 2" xfId="7999" xr:uid="{00000000-0005-0000-0000-0000421F0000}"/>
    <cellStyle name="Comma 3 2 3 4 2 2" xfId="8000" xr:uid="{00000000-0005-0000-0000-0000431F0000}"/>
    <cellStyle name="Comma 3 2 3 4 2 2 2" xfId="8001" xr:uid="{00000000-0005-0000-0000-0000441F0000}"/>
    <cellStyle name="Comma 3 2 3 4 2 2 2 2" xfId="8002" xr:uid="{00000000-0005-0000-0000-0000451F0000}"/>
    <cellStyle name="Comma 3 2 3 4 2 2 2 2 2" xfId="8003" xr:uid="{00000000-0005-0000-0000-0000461F0000}"/>
    <cellStyle name="Comma 3 2 3 4 2 2 2 2 2 2" xfId="8004" xr:uid="{00000000-0005-0000-0000-0000471F0000}"/>
    <cellStyle name="Comma 3 2 3 4 2 2 2 2 3" xfId="8005" xr:uid="{00000000-0005-0000-0000-0000481F0000}"/>
    <cellStyle name="Comma 3 2 3 4 2 2 2 3" xfId="8006" xr:uid="{00000000-0005-0000-0000-0000491F0000}"/>
    <cellStyle name="Comma 3 2 3 4 2 2 2 3 2" xfId="8007" xr:uid="{00000000-0005-0000-0000-00004A1F0000}"/>
    <cellStyle name="Comma 3 2 3 4 2 2 2 4" xfId="8008" xr:uid="{00000000-0005-0000-0000-00004B1F0000}"/>
    <cellStyle name="Comma 3 2 3 4 2 2 2 4 2" xfId="8009" xr:uid="{00000000-0005-0000-0000-00004C1F0000}"/>
    <cellStyle name="Comma 3 2 3 4 2 2 2 5" xfId="8010" xr:uid="{00000000-0005-0000-0000-00004D1F0000}"/>
    <cellStyle name="Comma 3 2 3 4 2 2 3" xfId="8011" xr:uid="{00000000-0005-0000-0000-00004E1F0000}"/>
    <cellStyle name="Comma 3 2 3 4 2 2 3 2" xfId="8012" xr:uid="{00000000-0005-0000-0000-00004F1F0000}"/>
    <cellStyle name="Comma 3 2 3 4 2 2 3 2 2" xfId="8013" xr:uid="{00000000-0005-0000-0000-0000501F0000}"/>
    <cellStyle name="Comma 3 2 3 4 2 2 3 3" xfId="8014" xr:uid="{00000000-0005-0000-0000-0000511F0000}"/>
    <cellStyle name="Comma 3 2 3 4 2 2 4" xfId="8015" xr:uid="{00000000-0005-0000-0000-0000521F0000}"/>
    <cellStyle name="Comma 3 2 3 4 2 2 4 2" xfId="8016" xr:uid="{00000000-0005-0000-0000-0000531F0000}"/>
    <cellStyle name="Comma 3 2 3 4 2 2 5" xfId="8017" xr:uid="{00000000-0005-0000-0000-0000541F0000}"/>
    <cellStyle name="Comma 3 2 3 4 2 2 5 2" xfId="8018" xr:uid="{00000000-0005-0000-0000-0000551F0000}"/>
    <cellStyle name="Comma 3 2 3 4 2 2 6" xfId="8019" xr:uid="{00000000-0005-0000-0000-0000561F0000}"/>
    <cellStyle name="Comma 3 2 3 4 2 3" xfId="8020" xr:uid="{00000000-0005-0000-0000-0000571F0000}"/>
    <cellStyle name="Comma 3 2 3 4 2 3 2" xfId="8021" xr:uid="{00000000-0005-0000-0000-0000581F0000}"/>
    <cellStyle name="Comma 3 2 3 4 2 3 2 2" xfId="8022" xr:uid="{00000000-0005-0000-0000-0000591F0000}"/>
    <cellStyle name="Comma 3 2 3 4 2 3 2 2 2" xfId="8023" xr:uid="{00000000-0005-0000-0000-00005A1F0000}"/>
    <cellStyle name="Comma 3 2 3 4 2 3 2 3" xfId="8024" xr:uid="{00000000-0005-0000-0000-00005B1F0000}"/>
    <cellStyle name="Comma 3 2 3 4 2 3 3" xfId="8025" xr:uid="{00000000-0005-0000-0000-00005C1F0000}"/>
    <cellStyle name="Comma 3 2 3 4 2 3 3 2" xfId="8026" xr:uid="{00000000-0005-0000-0000-00005D1F0000}"/>
    <cellStyle name="Comma 3 2 3 4 2 3 4" xfId="8027" xr:uid="{00000000-0005-0000-0000-00005E1F0000}"/>
    <cellStyle name="Comma 3 2 3 4 2 3 4 2" xfId="8028" xr:uid="{00000000-0005-0000-0000-00005F1F0000}"/>
    <cellStyle name="Comma 3 2 3 4 2 3 5" xfId="8029" xr:uid="{00000000-0005-0000-0000-0000601F0000}"/>
    <cellStyle name="Comma 3 2 3 4 2 4" xfId="8030" xr:uid="{00000000-0005-0000-0000-0000611F0000}"/>
    <cellStyle name="Comma 3 2 3 4 2 4 2" xfId="8031" xr:uid="{00000000-0005-0000-0000-0000621F0000}"/>
    <cellStyle name="Comma 3 2 3 4 2 4 2 2" xfId="8032" xr:uid="{00000000-0005-0000-0000-0000631F0000}"/>
    <cellStyle name="Comma 3 2 3 4 2 4 3" xfId="8033" xr:uid="{00000000-0005-0000-0000-0000641F0000}"/>
    <cellStyle name="Comma 3 2 3 4 2 5" xfId="8034" xr:uid="{00000000-0005-0000-0000-0000651F0000}"/>
    <cellStyle name="Comma 3 2 3 4 2 5 2" xfId="8035" xr:uid="{00000000-0005-0000-0000-0000661F0000}"/>
    <cellStyle name="Comma 3 2 3 4 2 6" xfId="8036" xr:uid="{00000000-0005-0000-0000-0000671F0000}"/>
    <cellStyle name="Comma 3 2 3 4 2 6 2" xfId="8037" xr:uid="{00000000-0005-0000-0000-0000681F0000}"/>
    <cellStyle name="Comma 3 2 3 4 2 7" xfId="8038" xr:uid="{00000000-0005-0000-0000-0000691F0000}"/>
    <cellStyle name="Comma 3 2 3 4 3" xfId="8039" xr:uid="{00000000-0005-0000-0000-00006A1F0000}"/>
    <cellStyle name="Comma 3 2 3 4 3 2" xfId="8040" xr:uid="{00000000-0005-0000-0000-00006B1F0000}"/>
    <cellStyle name="Comma 3 2 3 4 3 2 2" xfId="8041" xr:uid="{00000000-0005-0000-0000-00006C1F0000}"/>
    <cellStyle name="Comma 3 2 3 4 3 2 2 2" xfId="8042" xr:uid="{00000000-0005-0000-0000-00006D1F0000}"/>
    <cellStyle name="Comma 3 2 3 4 3 2 2 2 2" xfId="8043" xr:uid="{00000000-0005-0000-0000-00006E1F0000}"/>
    <cellStyle name="Comma 3 2 3 4 3 2 2 3" xfId="8044" xr:uid="{00000000-0005-0000-0000-00006F1F0000}"/>
    <cellStyle name="Comma 3 2 3 4 3 2 3" xfId="8045" xr:uid="{00000000-0005-0000-0000-0000701F0000}"/>
    <cellStyle name="Comma 3 2 3 4 3 2 3 2" xfId="8046" xr:uid="{00000000-0005-0000-0000-0000711F0000}"/>
    <cellStyle name="Comma 3 2 3 4 3 2 4" xfId="8047" xr:uid="{00000000-0005-0000-0000-0000721F0000}"/>
    <cellStyle name="Comma 3 2 3 4 3 2 4 2" xfId="8048" xr:uid="{00000000-0005-0000-0000-0000731F0000}"/>
    <cellStyle name="Comma 3 2 3 4 3 2 5" xfId="8049" xr:uid="{00000000-0005-0000-0000-0000741F0000}"/>
    <cellStyle name="Comma 3 2 3 4 3 3" xfId="8050" xr:uid="{00000000-0005-0000-0000-0000751F0000}"/>
    <cellStyle name="Comma 3 2 3 4 3 3 2" xfId="8051" xr:uid="{00000000-0005-0000-0000-0000761F0000}"/>
    <cellStyle name="Comma 3 2 3 4 3 3 2 2" xfId="8052" xr:uid="{00000000-0005-0000-0000-0000771F0000}"/>
    <cellStyle name="Comma 3 2 3 4 3 3 3" xfId="8053" xr:uid="{00000000-0005-0000-0000-0000781F0000}"/>
    <cellStyle name="Comma 3 2 3 4 3 4" xfId="8054" xr:uid="{00000000-0005-0000-0000-0000791F0000}"/>
    <cellStyle name="Comma 3 2 3 4 3 4 2" xfId="8055" xr:uid="{00000000-0005-0000-0000-00007A1F0000}"/>
    <cellStyle name="Comma 3 2 3 4 3 5" xfId="8056" xr:uid="{00000000-0005-0000-0000-00007B1F0000}"/>
    <cellStyle name="Comma 3 2 3 4 3 5 2" xfId="8057" xr:uid="{00000000-0005-0000-0000-00007C1F0000}"/>
    <cellStyle name="Comma 3 2 3 4 3 6" xfId="8058" xr:uid="{00000000-0005-0000-0000-00007D1F0000}"/>
    <cellStyle name="Comma 3 2 3 4 4" xfId="8059" xr:uid="{00000000-0005-0000-0000-00007E1F0000}"/>
    <cellStyle name="Comma 3 2 3 4 4 2" xfId="8060" xr:uid="{00000000-0005-0000-0000-00007F1F0000}"/>
    <cellStyle name="Comma 3 2 3 4 4 2 2" xfId="8061" xr:uid="{00000000-0005-0000-0000-0000801F0000}"/>
    <cellStyle name="Comma 3 2 3 4 4 2 2 2" xfId="8062" xr:uid="{00000000-0005-0000-0000-0000811F0000}"/>
    <cellStyle name="Comma 3 2 3 4 4 2 3" xfId="8063" xr:uid="{00000000-0005-0000-0000-0000821F0000}"/>
    <cellStyle name="Comma 3 2 3 4 4 3" xfId="8064" xr:uid="{00000000-0005-0000-0000-0000831F0000}"/>
    <cellStyle name="Comma 3 2 3 4 4 3 2" xfId="8065" xr:uid="{00000000-0005-0000-0000-0000841F0000}"/>
    <cellStyle name="Comma 3 2 3 4 4 4" xfId="8066" xr:uid="{00000000-0005-0000-0000-0000851F0000}"/>
    <cellStyle name="Comma 3 2 3 4 4 4 2" xfId="8067" xr:uid="{00000000-0005-0000-0000-0000861F0000}"/>
    <cellStyle name="Comma 3 2 3 4 4 5" xfId="8068" xr:uid="{00000000-0005-0000-0000-0000871F0000}"/>
    <cellStyle name="Comma 3 2 3 4 5" xfId="8069" xr:uid="{00000000-0005-0000-0000-0000881F0000}"/>
    <cellStyle name="Comma 3 2 3 4 5 2" xfId="8070" xr:uid="{00000000-0005-0000-0000-0000891F0000}"/>
    <cellStyle name="Comma 3 2 3 4 5 2 2" xfId="8071" xr:uid="{00000000-0005-0000-0000-00008A1F0000}"/>
    <cellStyle name="Comma 3 2 3 4 5 3" xfId="8072" xr:uid="{00000000-0005-0000-0000-00008B1F0000}"/>
    <cellStyle name="Comma 3 2 3 4 6" xfId="8073" xr:uid="{00000000-0005-0000-0000-00008C1F0000}"/>
    <cellStyle name="Comma 3 2 3 4 6 2" xfId="8074" xr:uid="{00000000-0005-0000-0000-00008D1F0000}"/>
    <cellStyle name="Comma 3 2 3 4 7" xfId="8075" xr:uid="{00000000-0005-0000-0000-00008E1F0000}"/>
    <cellStyle name="Comma 3 2 3 4 7 2" xfId="8076" xr:uid="{00000000-0005-0000-0000-00008F1F0000}"/>
    <cellStyle name="Comma 3 2 3 4 8" xfId="8077" xr:uid="{00000000-0005-0000-0000-0000901F0000}"/>
    <cellStyle name="Comma 3 2 3 5" xfId="8078" xr:uid="{00000000-0005-0000-0000-0000911F0000}"/>
    <cellStyle name="Comma 3 2 3 5 2" xfId="8079" xr:uid="{00000000-0005-0000-0000-0000921F0000}"/>
    <cellStyle name="Comma 3 2 3 5 2 2" xfId="8080" xr:uid="{00000000-0005-0000-0000-0000931F0000}"/>
    <cellStyle name="Comma 3 2 3 5 2 2 2" xfId="8081" xr:uid="{00000000-0005-0000-0000-0000941F0000}"/>
    <cellStyle name="Comma 3 2 3 5 2 2 2 2" xfId="8082" xr:uid="{00000000-0005-0000-0000-0000951F0000}"/>
    <cellStyle name="Comma 3 2 3 5 2 2 2 2 2" xfId="8083" xr:uid="{00000000-0005-0000-0000-0000961F0000}"/>
    <cellStyle name="Comma 3 2 3 5 2 2 2 3" xfId="8084" xr:uid="{00000000-0005-0000-0000-0000971F0000}"/>
    <cellStyle name="Comma 3 2 3 5 2 2 3" xfId="8085" xr:uid="{00000000-0005-0000-0000-0000981F0000}"/>
    <cellStyle name="Comma 3 2 3 5 2 2 3 2" xfId="8086" xr:uid="{00000000-0005-0000-0000-0000991F0000}"/>
    <cellStyle name="Comma 3 2 3 5 2 2 4" xfId="8087" xr:uid="{00000000-0005-0000-0000-00009A1F0000}"/>
    <cellStyle name="Comma 3 2 3 5 2 2 4 2" xfId="8088" xr:uid="{00000000-0005-0000-0000-00009B1F0000}"/>
    <cellStyle name="Comma 3 2 3 5 2 2 5" xfId="8089" xr:uid="{00000000-0005-0000-0000-00009C1F0000}"/>
    <cellStyle name="Comma 3 2 3 5 2 3" xfId="8090" xr:uid="{00000000-0005-0000-0000-00009D1F0000}"/>
    <cellStyle name="Comma 3 2 3 5 2 3 2" xfId="8091" xr:uid="{00000000-0005-0000-0000-00009E1F0000}"/>
    <cellStyle name="Comma 3 2 3 5 2 3 2 2" xfId="8092" xr:uid="{00000000-0005-0000-0000-00009F1F0000}"/>
    <cellStyle name="Comma 3 2 3 5 2 3 3" xfId="8093" xr:uid="{00000000-0005-0000-0000-0000A01F0000}"/>
    <cellStyle name="Comma 3 2 3 5 2 4" xfId="8094" xr:uid="{00000000-0005-0000-0000-0000A11F0000}"/>
    <cellStyle name="Comma 3 2 3 5 2 4 2" xfId="8095" xr:uid="{00000000-0005-0000-0000-0000A21F0000}"/>
    <cellStyle name="Comma 3 2 3 5 2 5" xfId="8096" xr:uid="{00000000-0005-0000-0000-0000A31F0000}"/>
    <cellStyle name="Comma 3 2 3 5 2 5 2" xfId="8097" xr:uid="{00000000-0005-0000-0000-0000A41F0000}"/>
    <cellStyle name="Comma 3 2 3 5 2 6" xfId="8098" xr:uid="{00000000-0005-0000-0000-0000A51F0000}"/>
    <cellStyle name="Comma 3 2 3 5 3" xfId="8099" xr:uid="{00000000-0005-0000-0000-0000A61F0000}"/>
    <cellStyle name="Comma 3 2 3 5 3 2" xfId="8100" xr:uid="{00000000-0005-0000-0000-0000A71F0000}"/>
    <cellStyle name="Comma 3 2 3 5 3 2 2" xfId="8101" xr:uid="{00000000-0005-0000-0000-0000A81F0000}"/>
    <cellStyle name="Comma 3 2 3 5 3 2 2 2" xfId="8102" xr:uid="{00000000-0005-0000-0000-0000A91F0000}"/>
    <cellStyle name="Comma 3 2 3 5 3 2 3" xfId="8103" xr:uid="{00000000-0005-0000-0000-0000AA1F0000}"/>
    <cellStyle name="Comma 3 2 3 5 3 3" xfId="8104" xr:uid="{00000000-0005-0000-0000-0000AB1F0000}"/>
    <cellStyle name="Comma 3 2 3 5 3 3 2" xfId="8105" xr:uid="{00000000-0005-0000-0000-0000AC1F0000}"/>
    <cellStyle name="Comma 3 2 3 5 3 4" xfId="8106" xr:uid="{00000000-0005-0000-0000-0000AD1F0000}"/>
    <cellStyle name="Comma 3 2 3 5 3 4 2" xfId="8107" xr:uid="{00000000-0005-0000-0000-0000AE1F0000}"/>
    <cellStyle name="Comma 3 2 3 5 3 5" xfId="8108" xr:uid="{00000000-0005-0000-0000-0000AF1F0000}"/>
    <cellStyle name="Comma 3 2 3 5 4" xfId="8109" xr:uid="{00000000-0005-0000-0000-0000B01F0000}"/>
    <cellStyle name="Comma 3 2 3 5 4 2" xfId="8110" xr:uid="{00000000-0005-0000-0000-0000B11F0000}"/>
    <cellStyle name="Comma 3 2 3 5 4 2 2" xfId="8111" xr:uid="{00000000-0005-0000-0000-0000B21F0000}"/>
    <cellStyle name="Comma 3 2 3 5 4 3" xfId="8112" xr:uid="{00000000-0005-0000-0000-0000B31F0000}"/>
    <cellStyle name="Comma 3 2 3 5 5" xfId="8113" xr:uid="{00000000-0005-0000-0000-0000B41F0000}"/>
    <cellStyle name="Comma 3 2 3 5 5 2" xfId="8114" xr:uid="{00000000-0005-0000-0000-0000B51F0000}"/>
    <cellStyle name="Comma 3 2 3 5 6" xfId="8115" xr:uid="{00000000-0005-0000-0000-0000B61F0000}"/>
    <cellStyle name="Comma 3 2 3 5 6 2" xfId="8116" xr:uid="{00000000-0005-0000-0000-0000B71F0000}"/>
    <cellStyle name="Comma 3 2 3 5 7" xfId="8117" xr:uid="{00000000-0005-0000-0000-0000B81F0000}"/>
    <cellStyle name="Comma 3 2 3 6" xfId="8118" xr:uid="{00000000-0005-0000-0000-0000B91F0000}"/>
    <cellStyle name="Comma 3 2 3 6 2" xfId="8119" xr:uid="{00000000-0005-0000-0000-0000BA1F0000}"/>
    <cellStyle name="Comma 3 2 3 6 2 2" xfId="8120" xr:uid="{00000000-0005-0000-0000-0000BB1F0000}"/>
    <cellStyle name="Comma 3 2 3 6 2 2 2" xfId="8121" xr:uid="{00000000-0005-0000-0000-0000BC1F0000}"/>
    <cellStyle name="Comma 3 2 3 6 2 2 2 2" xfId="8122" xr:uid="{00000000-0005-0000-0000-0000BD1F0000}"/>
    <cellStyle name="Comma 3 2 3 6 2 2 2 2 2" xfId="8123" xr:uid="{00000000-0005-0000-0000-0000BE1F0000}"/>
    <cellStyle name="Comma 3 2 3 6 2 2 2 3" xfId="8124" xr:uid="{00000000-0005-0000-0000-0000BF1F0000}"/>
    <cellStyle name="Comma 3 2 3 6 2 2 3" xfId="8125" xr:uid="{00000000-0005-0000-0000-0000C01F0000}"/>
    <cellStyle name="Comma 3 2 3 6 2 2 3 2" xfId="8126" xr:uid="{00000000-0005-0000-0000-0000C11F0000}"/>
    <cellStyle name="Comma 3 2 3 6 2 2 4" xfId="8127" xr:uid="{00000000-0005-0000-0000-0000C21F0000}"/>
    <cellStyle name="Comma 3 2 3 6 2 2 4 2" xfId="8128" xr:uid="{00000000-0005-0000-0000-0000C31F0000}"/>
    <cellStyle name="Comma 3 2 3 6 2 2 5" xfId="8129" xr:uid="{00000000-0005-0000-0000-0000C41F0000}"/>
    <cellStyle name="Comma 3 2 3 6 2 3" xfId="8130" xr:uid="{00000000-0005-0000-0000-0000C51F0000}"/>
    <cellStyle name="Comma 3 2 3 6 2 3 2" xfId="8131" xr:uid="{00000000-0005-0000-0000-0000C61F0000}"/>
    <cellStyle name="Comma 3 2 3 6 2 3 2 2" xfId="8132" xr:uid="{00000000-0005-0000-0000-0000C71F0000}"/>
    <cellStyle name="Comma 3 2 3 6 2 3 3" xfId="8133" xr:uid="{00000000-0005-0000-0000-0000C81F0000}"/>
    <cellStyle name="Comma 3 2 3 6 2 4" xfId="8134" xr:uid="{00000000-0005-0000-0000-0000C91F0000}"/>
    <cellStyle name="Comma 3 2 3 6 2 4 2" xfId="8135" xr:uid="{00000000-0005-0000-0000-0000CA1F0000}"/>
    <cellStyle name="Comma 3 2 3 6 2 5" xfId="8136" xr:uid="{00000000-0005-0000-0000-0000CB1F0000}"/>
    <cellStyle name="Comma 3 2 3 6 2 5 2" xfId="8137" xr:uid="{00000000-0005-0000-0000-0000CC1F0000}"/>
    <cellStyle name="Comma 3 2 3 6 2 6" xfId="8138" xr:uid="{00000000-0005-0000-0000-0000CD1F0000}"/>
    <cellStyle name="Comma 3 2 3 6 3" xfId="8139" xr:uid="{00000000-0005-0000-0000-0000CE1F0000}"/>
    <cellStyle name="Comma 3 2 3 6 3 2" xfId="8140" xr:uid="{00000000-0005-0000-0000-0000CF1F0000}"/>
    <cellStyle name="Comma 3 2 3 6 3 2 2" xfId="8141" xr:uid="{00000000-0005-0000-0000-0000D01F0000}"/>
    <cellStyle name="Comma 3 2 3 6 3 2 2 2" xfId="8142" xr:uid="{00000000-0005-0000-0000-0000D11F0000}"/>
    <cellStyle name="Comma 3 2 3 6 3 2 3" xfId="8143" xr:uid="{00000000-0005-0000-0000-0000D21F0000}"/>
    <cellStyle name="Comma 3 2 3 6 3 3" xfId="8144" xr:uid="{00000000-0005-0000-0000-0000D31F0000}"/>
    <cellStyle name="Comma 3 2 3 6 3 3 2" xfId="8145" xr:uid="{00000000-0005-0000-0000-0000D41F0000}"/>
    <cellStyle name="Comma 3 2 3 6 3 4" xfId="8146" xr:uid="{00000000-0005-0000-0000-0000D51F0000}"/>
    <cellStyle name="Comma 3 2 3 6 3 4 2" xfId="8147" xr:uid="{00000000-0005-0000-0000-0000D61F0000}"/>
    <cellStyle name="Comma 3 2 3 6 3 5" xfId="8148" xr:uid="{00000000-0005-0000-0000-0000D71F0000}"/>
    <cellStyle name="Comma 3 2 3 6 4" xfId="8149" xr:uid="{00000000-0005-0000-0000-0000D81F0000}"/>
    <cellStyle name="Comma 3 2 3 6 4 2" xfId="8150" xr:uid="{00000000-0005-0000-0000-0000D91F0000}"/>
    <cellStyle name="Comma 3 2 3 6 4 2 2" xfId="8151" xr:uid="{00000000-0005-0000-0000-0000DA1F0000}"/>
    <cellStyle name="Comma 3 2 3 6 4 3" xfId="8152" xr:uid="{00000000-0005-0000-0000-0000DB1F0000}"/>
    <cellStyle name="Comma 3 2 3 6 5" xfId="8153" xr:uid="{00000000-0005-0000-0000-0000DC1F0000}"/>
    <cellStyle name="Comma 3 2 3 6 5 2" xfId="8154" xr:uid="{00000000-0005-0000-0000-0000DD1F0000}"/>
    <cellStyle name="Comma 3 2 3 6 6" xfId="8155" xr:uid="{00000000-0005-0000-0000-0000DE1F0000}"/>
    <cellStyle name="Comma 3 2 3 6 6 2" xfId="8156" xr:uid="{00000000-0005-0000-0000-0000DF1F0000}"/>
    <cellStyle name="Comma 3 2 3 6 7" xfId="8157" xr:uid="{00000000-0005-0000-0000-0000E01F0000}"/>
    <cellStyle name="Comma 3 2 3 7" xfId="8158" xr:uid="{00000000-0005-0000-0000-0000E11F0000}"/>
    <cellStyle name="Comma 3 2 3 7 2" xfId="8159" xr:uid="{00000000-0005-0000-0000-0000E21F0000}"/>
    <cellStyle name="Comma 3 2 3 7 2 2" xfId="8160" xr:uid="{00000000-0005-0000-0000-0000E31F0000}"/>
    <cellStyle name="Comma 3 2 3 7 2 2 2" xfId="8161" xr:uid="{00000000-0005-0000-0000-0000E41F0000}"/>
    <cellStyle name="Comma 3 2 3 7 2 2 2 2" xfId="8162" xr:uid="{00000000-0005-0000-0000-0000E51F0000}"/>
    <cellStyle name="Comma 3 2 3 7 2 2 3" xfId="8163" xr:uid="{00000000-0005-0000-0000-0000E61F0000}"/>
    <cellStyle name="Comma 3 2 3 7 2 3" xfId="8164" xr:uid="{00000000-0005-0000-0000-0000E71F0000}"/>
    <cellStyle name="Comma 3 2 3 7 2 3 2" xfId="8165" xr:uid="{00000000-0005-0000-0000-0000E81F0000}"/>
    <cellStyle name="Comma 3 2 3 7 2 4" xfId="8166" xr:uid="{00000000-0005-0000-0000-0000E91F0000}"/>
    <cellStyle name="Comma 3 2 3 7 2 4 2" xfId="8167" xr:uid="{00000000-0005-0000-0000-0000EA1F0000}"/>
    <cellStyle name="Comma 3 2 3 7 2 5" xfId="8168" xr:uid="{00000000-0005-0000-0000-0000EB1F0000}"/>
    <cellStyle name="Comma 3 2 3 7 3" xfId="8169" xr:uid="{00000000-0005-0000-0000-0000EC1F0000}"/>
    <cellStyle name="Comma 3 2 3 7 3 2" xfId="8170" xr:uid="{00000000-0005-0000-0000-0000ED1F0000}"/>
    <cellStyle name="Comma 3 2 3 7 3 2 2" xfId="8171" xr:uid="{00000000-0005-0000-0000-0000EE1F0000}"/>
    <cellStyle name="Comma 3 2 3 7 3 3" xfId="8172" xr:uid="{00000000-0005-0000-0000-0000EF1F0000}"/>
    <cellStyle name="Comma 3 2 3 7 4" xfId="8173" xr:uid="{00000000-0005-0000-0000-0000F01F0000}"/>
    <cellStyle name="Comma 3 2 3 7 4 2" xfId="8174" xr:uid="{00000000-0005-0000-0000-0000F11F0000}"/>
    <cellStyle name="Comma 3 2 3 7 5" xfId="8175" xr:uid="{00000000-0005-0000-0000-0000F21F0000}"/>
    <cellStyle name="Comma 3 2 3 7 5 2" xfId="8176" xr:uid="{00000000-0005-0000-0000-0000F31F0000}"/>
    <cellStyle name="Comma 3 2 3 7 6" xfId="8177" xr:uid="{00000000-0005-0000-0000-0000F41F0000}"/>
    <cellStyle name="Comma 3 2 3 8" xfId="8178" xr:uid="{00000000-0005-0000-0000-0000F51F0000}"/>
    <cellStyle name="Comma 3 2 3 8 2" xfId="8179" xr:uid="{00000000-0005-0000-0000-0000F61F0000}"/>
    <cellStyle name="Comma 3 2 3 8 2 2" xfId="8180" xr:uid="{00000000-0005-0000-0000-0000F71F0000}"/>
    <cellStyle name="Comma 3 2 3 8 2 2 2" xfId="8181" xr:uid="{00000000-0005-0000-0000-0000F81F0000}"/>
    <cellStyle name="Comma 3 2 3 8 2 3" xfId="8182" xr:uid="{00000000-0005-0000-0000-0000F91F0000}"/>
    <cellStyle name="Comma 3 2 3 8 3" xfId="8183" xr:uid="{00000000-0005-0000-0000-0000FA1F0000}"/>
    <cellStyle name="Comma 3 2 3 8 3 2" xfId="8184" xr:uid="{00000000-0005-0000-0000-0000FB1F0000}"/>
    <cellStyle name="Comma 3 2 3 8 4" xfId="8185" xr:uid="{00000000-0005-0000-0000-0000FC1F0000}"/>
    <cellStyle name="Comma 3 2 3 8 4 2" xfId="8186" xr:uid="{00000000-0005-0000-0000-0000FD1F0000}"/>
    <cellStyle name="Comma 3 2 3 8 5" xfId="8187" xr:uid="{00000000-0005-0000-0000-0000FE1F0000}"/>
    <cellStyle name="Comma 3 2 3 9" xfId="8188" xr:uid="{00000000-0005-0000-0000-0000FF1F0000}"/>
    <cellStyle name="Comma 3 2 3 9 2" xfId="8189" xr:uid="{00000000-0005-0000-0000-000000200000}"/>
    <cellStyle name="Comma 3 2 3 9 2 2" xfId="8190" xr:uid="{00000000-0005-0000-0000-000001200000}"/>
    <cellStyle name="Comma 3 2 3 9 3" xfId="8191" xr:uid="{00000000-0005-0000-0000-000002200000}"/>
    <cellStyle name="Comma 3 2 4" xfId="8192" xr:uid="{00000000-0005-0000-0000-000003200000}"/>
    <cellStyle name="Comma 3 2 4 10" xfId="8193" xr:uid="{00000000-0005-0000-0000-000004200000}"/>
    <cellStyle name="Comma 3 2 4 10 2" xfId="8194" xr:uid="{00000000-0005-0000-0000-000005200000}"/>
    <cellStyle name="Comma 3 2 4 11" xfId="8195" xr:uid="{00000000-0005-0000-0000-000006200000}"/>
    <cellStyle name="Comma 3 2 4 2" xfId="8196" xr:uid="{00000000-0005-0000-0000-000007200000}"/>
    <cellStyle name="Comma 3 2 4 2 2" xfId="8197" xr:uid="{00000000-0005-0000-0000-000008200000}"/>
    <cellStyle name="Comma 3 2 4 2 2 2" xfId="8198" xr:uid="{00000000-0005-0000-0000-000009200000}"/>
    <cellStyle name="Comma 3 2 4 2 2 2 2" xfId="8199" xr:uid="{00000000-0005-0000-0000-00000A200000}"/>
    <cellStyle name="Comma 3 2 4 2 2 2 2 2" xfId="8200" xr:uid="{00000000-0005-0000-0000-00000B200000}"/>
    <cellStyle name="Comma 3 2 4 2 2 2 2 2 2" xfId="8201" xr:uid="{00000000-0005-0000-0000-00000C200000}"/>
    <cellStyle name="Comma 3 2 4 2 2 2 2 2 2 2" xfId="8202" xr:uid="{00000000-0005-0000-0000-00000D200000}"/>
    <cellStyle name="Comma 3 2 4 2 2 2 2 2 3" xfId="8203" xr:uid="{00000000-0005-0000-0000-00000E200000}"/>
    <cellStyle name="Comma 3 2 4 2 2 2 2 3" xfId="8204" xr:uid="{00000000-0005-0000-0000-00000F200000}"/>
    <cellStyle name="Comma 3 2 4 2 2 2 2 3 2" xfId="8205" xr:uid="{00000000-0005-0000-0000-000010200000}"/>
    <cellStyle name="Comma 3 2 4 2 2 2 2 4" xfId="8206" xr:uid="{00000000-0005-0000-0000-000011200000}"/>
    <cellStyle name="Comma 3 2 4 2 2 2 2 4 2" xfId="8207" xr:uid="{00000000-0005-0000-0000-000012200000}"/>
    <cellStyle name="Comma 3 2 4 2 2 2 2 5" xfId="8208" xr:uid="{00000000-0005-0000-0000-000013200000}"/>
    <cellStyle name="Comma 3 2 4 2 2 2 3" xfId="8209" xr:uid="{00000000-0005-0000-0000-000014200000}"/>
    <cellStyle name="Comma 3 2 4 2 2 2 3 2" xfId="8210" xr:uid="{00000000-0005-0000-0000-000015200000}"/>
    <cellStyle name="Comma 3 2 4 2 2 2 3 2 2" xfId="8211" xr:uid="{00000000-0005-0000-0000-000016200000}"/>
    <cellStyle name="Comma 3 2 4 2 2 2 3 3" xfId="8212" xr:uid="{00000000-0005-0000-0000-000017200000}"/>
    <cellStyle name="Comma 3 2 4 2 2 2 4" xfId="8213" xr:uid="{00000000-0005-0000-0000-000018200000}"/>
    <cellStyle name="Comma 3 2 4 2 2 2 4 2" xfId="8214" xr:uid="{00000000-0005-0000-0000-000019200000}"/>
    <cellStyle name="Comma 3 2 4 2 2 2 5" xfId="8215" xr:uid="{00000000-0005-0000-0000-00001A200000}"/>
    <cellStyle name="Comma 3 2 4 2 2 2 5 2" xfId="8216" xr:uid="{00000000-0005-0000-0000-00001B200000}"/>
    <cellStyle name="Comma 3 2 4 2 2 2 6" xfId="8217" xr:uid="{00000000-0005-0000-0000-00001C200000}"/>
    <cellStyle name="Comma 3 2 4 2 2 3" xfId="8218" xr:uid="{00000000-0005-0000-0000-00001D200000}"/>
    <cellStyle name="Comma 3 2 4 2 2 3 2" xfId="8219" xr:uid="{00000000-0005-0000-0000-00001E200000}"/>
    <cellStyle name="Comma 3 2 4 2 2 3 2 2" xfId="8220" xr:uid="{00000000-0005-0000-0000-00001F200000}"/>
    <cellStyle name="Comma 3 2 4 2 2 3 2 2 2" xfId="8221" xr:uid="{00000000-0005-0000-0000-000020200000}"/>
    <cellStyle name="Comma 3 2 4 2 2 3 2 3" xfId="8222" xr:uid="{00000000-0005-0000-0000-000021200000}"/>
    <cellStyle name="Comma 3 2 4 2 2 3 3" xfId="8223" xr:uid="{00000000-0005-0000-0000-000022200000}"/>
    <cellStyle name="Comma 3 2 4 2 2 3 3 2" xfId="8224" xr:uid="{00000000-0005-0000-0000-000023200000}"/>
    <cellStyle name="Comma 3 2 4 2 2 3 4" xfId="8225" xr:uid="{00000000-0005-0000-0000-000024200000}"/>
    <cellStyle name="Comma 3 2 4 2 2 3 4 2" xfId="8226" xr:uid="{00000000-0005-0000-0000-000025200000}"/>
    <cellStyle name="Comma 3 2 4 2 2 3 5" xfId="8227" xr:uid="{00000000-0005-0000-0000-000026200000}"/>
    <cellStyle name="Comma 3 2 4 2 2 4" xfId="8228" xr:uid="{00000000-0005-0000-0000-000027200000}"/>
    <cellStyle name="Comma 3 2 4 2 2 4 2" xfId="8229" xr:uid="{00000000-0005-0000-0000-000028200000}"/>
    <cellStyle name="Comma 3 2 4 2 2 4 2 2" xfId="8230" xr:uid="{00000000-0005-0000-0000-000029200000}"/>
    <cellStyle name="Comma 3 2 4 2 2 4 3" xfId="8231" xr:uid="{00000000-0005-0000-0000-00002A200000}"/>
    <cellStyle name="Comma 3 2 4 2 2 5" xfId="8232" xr:uid="{00000000-0005-0000-0000-00002B200000}"/>
    <cellStyle name="Comma 3 2 4 2 2 5 2" xfId="8233" xr:uid="{00000000-0005-0000-0000-00002C200000}"/>
    <cellStyle name="Comma 3 2 4 2 2 6" xfId="8234" xr:uid="{00000000-0005-0000-0000-00002D200000}"/>
    <cellStyle name="Comma 3 2 4 2 2 6 2" xfId="8235" xr:uid="{00000000-0005-0000-0000-00002E200000}"/>
    <cellStyle name="Comma 3 2 4 2 2 7" xfId="8236" xr:uid="{00000000-0005-0000-0000-00002F200000}"/>
    <cellStyle name="Comma 3 2 4 2 3" xfId="8237" xr:uid="{00000000-0005-0000-0000-000030200000}"/>
    <cellStyle name="Comma 3 2 4 2 3 2" xfId="8238" xr:uid="{00000000-0005-0000-0000-000031200000}"/>
    <cellStyle name="Comma 3 2 4 2 3 2 2" xfId="8239" xr:uid="{00000000-0005-0000-0000-000032200000}"/>
    <cellStyle name="Comma 3 2 4 2 3 2 2 2" xfId="8240" xr:uid="{00000000-0005-0000-0000-000033200000}"/>
    <cellStyle name="Comma 3 2 4 2 3 2 2 2 2" xfId="8241" xr:uid="{00000000-0005-0000-0000-000034200000}"/>
    <cellStyle name="Comma 3 2 4 2 3 2 2 2 2 2" xfId="8242" xr:uid="{00000000-0005-0000-0000-000035200000}"/>
    <cellStyle name="Comma 3 2 4 2 3 2 2 2 3" xfId="8243" xr:uid="{00000000-0005-0000-0000-000036200000}"/>
    <cellStyle name="Comma 3 2 4 2 3 2 2 3" xfId="8244" xr:uid="{00000000-0005-0000-0000-000037200000}"/>
    <cellStyle name="Comma 3 2 4 2 3 2 2 3 2" xfId="8245" xr:uid="{00000000-0005-0000-0000-000038200000}"/>
    <cellStyle name="Comma 3 2 4 2 3 2 2 4" xfId="8246" xr:uid="{00000000-0005-0000-0000-000039200000}"/>
    <cellStyle name="Comma 3 2 4 2 3 2 2 4 2" xfId="8247" xr:uid="{00000000-0005-0000-0000-00003A200000}"/>
    <cellStyle name="Comma 3 2 4 2 3 2 2 5" xfId="8248" xr:uid="{00000000-0005-0000-0000-00003B200000}"/>
    <cellStyle name="Comma 3 2 4 2 3 2 3" xfId="8249" xr:uid="{00000000-0005-0000-0000-00003C200000}"/>
    <cellStyle name="Comma 3 2 4 2 3 2 3 2" xfId="8250" xr:uid="{00000000-0005-0000-0000-00003D200000}"/>
    <cellStyle name="Comma 3 2 4 2 3 2 3 2 2" xfId="8251" xr:uid="{00000000-0005-0000-0000-00003E200000}"/>
    <cellStyle name="Comma 3 2 4 2 3 2 3 3" xfId="8252" xr:uid="{00000000-0005-0000-0000-00003F200000}"/>
    <cellStyle name="Comma 3 2 4 2 3 2 4" xfId="8253" xr:uid="{00000000-0005-0000-0000-000040200000}"/>
    <cellStyle name="Comma 3 2 4 2 3 2 4 2" xfId="8254" xr:uid="{00000000-0005-0000-0000-000041200000}"/>
    <cellStyle name="Comma 3 2 4 2 3 2 5" xfId="8255" xr:uid="{00000000-0005-0000-0000-000042200000}"/>
    <cellStyle name="Comma 3 2 4 2 3 2 5 2" xfId="8256" xr:uid="{00000000-0005-0000-0000-000043200000}"/>
    <cellStyle name="Comma 3 2 4 2 3 2 6" xfId="8257" xr:uid="{00000000-0005-0000-0000-000044200000}"/>
    <cellStyle name="Comma 3 2 4 2 3 3" xfId="8258" xr:uid="{00000000-0005-0000-0000-000045200000}"/>
    <cellStyle name="Comma 3 2 4 2 3 3 2" xfId="8259" xr:uid="{00000000-0005-0000-0000-000046200000}"/>
    <cellStyle name="Comma 3 2 4 2 3 3 2 2" xfId="8260" xr:uid="{00000000-0005-0000-0000-000047200000}"/>
    <cellStyle name="Comma 3 2 4 2 3 3 2 2 2" xfId="8261" xr:uid="{00000000-0005-0000-0000-000048200000}"/>
    <cellStyle name="Comma 3 2 4 2 3 3 2 3" xfId="8262" xr:uid="{00000000-0005-0000-0000-000049200000}"/>
    <cellStyle name="Comma 3 2 4 2 3 3 3" xfId="8263" xr:uid="{00000000-0005-0000-0000-00004A200000}"/>
    <cellStyle name="Comma 3 2 4 2 3 3 3 2" xfId="8264" xr:uid="{00000000-0005-0000-0000-00004B200000}"/>
    <cellStyle name="Comma 3 2 4 2 3 3 4" xfId="8265" xr:uid="{00000000-0005-0000-0000-00004C200000}"/>
    <cellStyle name="Comma 3 2 4 2 3 3 4 2" xfId="8266" xr:uid="{00000000-0005-0000-0000-00004D200000}"/>
    <cellStyle name="Comma 3 2 4 2 3 3 5" xfId="8267" xr:uid="{00000000-0005-0000-0000-00004E200000}"/>
    <cellStyle name="Comma 3 2 4 2 3 4" xfId="8268" xr:uid="{00000000-0005-0000-0000-00004F200000}"/>
    <cellStyle name="Comma 3 2 4 2 3 4 2" xfId="8269" xr:uid="{00000000-0005-0000-0000-000050200000}"/>
    <cellStyle name="Comma 3 2 4 2 3 4 2 2" xfId="8270" xr:uid="{00000000-0005-0000-0000-000051200000}"/>
    <cellStyle name="Comma 3 2 4 2 3 4 3" xfId="8271" xr:uid="{00000000-0005-0000-0000-000052200000}"/>
    <cellStyle name="Comma 3 2 4 2 3 5" xfId="8272" xr:uid="{00000000-0005-0000-0000-000053200000}"/>
    <cellStyle name="Comma 3 2 4 2 3 5 2" xfId="8273" xr:uid="{00000000-0005-0000-0000-000054200000}"/>
    <cellStyle name="Comma 3 2 4 2 3 6" xfId="8274" xr:uid="{00000000-0005-0000-0000-000055200000}"/>
    <cellStyle name="Comma 3 2 4 2 3 6 2" xfId="8275" xr:uid="{00000000-0005-0000-0000-000056200000}"/>
    <cellStyle name="Comma 3 2 4 2 3 7" xfId="8276" xr:uid="{00000000-0005-0000-0000-000057200000}"/>
    <cellStyle name="Comma 3 2 4 2 4" xfId="8277" xr:uid="{00000000-0005-0000-0000-000058200000}"/>
    <cellStyle name="Comma 3 2 4 2 4 2" xfId="8278" xr:uid="{00000000-0005-0000-0000-000059200000}"/>
    <cellStyle name="Comma 3 2 4 2 4 2 2" xfId="8279" xr:uid="{00000000-0005-0000-0000-00005A200000}"/>
    <cellStyle name="Comma 3 2 4 2 4 2 2 2" xfId="8280" xr:uid="{00000000-0005-0000-0000-00005B200000}"/>
    <cellStyle name="Comma 3 2 4 2 4 2 2 2 2" xfId="8281" xr:uid="{00000000-0005-0000-0000-00005C200000}"/>
    <cellStyle name="Comma 3 2 4 2 4 2 2 3" xfId="8282" xr:uid="{00000000-0005-0000-0000-00005D200000}"/>
    <cellStyle name="Comma 3 2 4 2 4 2 3" xfId="8283" xr:uid="{00000000-0005-0000-0000-00005E200000}"/>
    <cellStyle name="Comma 3 2 4 2 4 2 3 2" xfId="8284" xr:uid="{00000000-0005-0000-0000-00005F200000}"/>
    <cellStyle name="Comma 3 2 4 2 4 2 4" xfId="8285" xr:uid="{00000000-0005-0000-0000-000060200000}"/>
    <cellStyle name="Comma 3 2 4 2 4 2 4 2" xfId="8286" xr:uid="{00000000-0005-0000-0000-000061200000}"/>
    <cellStyle name="Comma 3 2 4 2 4 2 5" xfId="8287" xr:uid="{00000000-0005-0000-0000-000062200000}"/>
    <cellStyle name="Comma 3 2 4 2 4 3" xfId="8288" xr:uid="{00000000-0005-0000-0000-000063200000}"/>
    <cellStyle name="Comma 3 2 4 2 4 3 2" xfId="8289" xr:uid="{00000000-0005-0000-0000-000064200000}"/>
    <cellStyle name="Comma 3 2 4 2 4 3 2 2" xfId="8290" xr:uid="{00000000-0005-0000-0000-000065200000}"/>
    <cellStyle name="Comma 3 2 4 2 4 3 3" xfId="8291" xr:uid="{00000000-0005-0000-0000-000066200000}"/>
    <cellStyle name="Comma 3 2 4 2 4 4" xfId="8292" xr:uid="{00000000-0005-0000-0000-000067200000}"/>
    <cellStyle name="Comma 3 2 4 2 4 4 2" xfId="8293" xr:uid="{00000000-0005-0000-0000-000068200000}"/>
    <cellStyle name="Comma 3 2 4 2 4 5" xfId="8294" xr:uid="{00000000-0005-0000-0000-000069200000}"/>
    <cellStyle name="Comma 3 2 4 2 4 5 2" xfId="8295" xr:uid="{00000000-0005-0000-0000-00006A200000}"/>
    <cellStyle name="Comma 3 2 4 2 4 6" xfId="8296" xr:uid="{00000000-0005-0000-0000-00006B200000}"/>
    <cellStyle name="Comma 3 2 4 2 5" xfId="8297" xr:uid="{00000000-0005-0000-0000-00006C200000}"/>
    <cellStyle name="Comma 3 2 4 2 5 2" xfId="8298" xr:uid="{00000000-0005-0000-0000-00006D200000}"/>
    <cellStyle name="Comma 3 2 4 2 5 2 2" xfId="8299" xr:uid="{00000000-0005-0000-0000-00006E200000}"/>
    <cellStyle name="Comma 3 2 4 2 5 2 2 2" xfId="8300" xr:uid="{00000000-0005-0000-0000-00006F200000}"/>
    <cellStyle name="Comma 3 2 4 2 5 2 3" xfId="8301" xr:uid="{00000000-0005-0000-0000-000070200000}"/>
    <cellStyle name="Comma 3 2 4 2 5 3" xfId="8302" xr:uid="{00000000-0005-0000-0000-000071200000}"/>
    <cellStyle name="Comma 3 2 4 2 5 3 2" xfId="8303" xr:uid="{00000000-0005-0000-0000-000072200000}"/>
    <cellStyle name="Comma 3 2 4 2 5 4" xfId="8304" xr:uid="{00000000-0005-0000-0000-000073200000}"/>
    <cellStyle name="Comma 3 2 4 2 5 4 2" xfId="8305" xr:uid="{00000000-0005-0000-0000-000074200000}"/>
    <cellStyle name="Comma 3 2 4 2 5 5" xfId="8306" xr:uid="{00000000-0005-0000-0000-000075200000}"/>
    <cellStyle name="Comma 3 2 4 2 6" xfId="8307" xr:uid="{00000000-0005-0000-0000-000076200000}"/>
    <cellStyle name="Comma 3 2 4 2 6 2" xfId="8308" xr:uid="{00000000-0005-0000-0000-000077200000}"/>
    <cellStyle name="Comma 3 2 4 2 6 2 2" xfId="8309" xr:uid="{00000000-0005-0000-0000-000078200000}"/>
    <cellStyle name="Comma 3 2 4 2 6 3" xfId="8310" xr:uid="{00000000-0005-0000-0000-000079200000}"/>
    <cellStyle name="Comma 3 2 4 2 7" xfId="8311" xr:uid="{00000000-0005-0000-0000-00007A200000}"/>
    <cellStyle name="Comma 3 2 4 2 7 2" xfId="8312" xr:uid="{00000000-0005-0000-0000-00007B200000}"/>
    <cellStyle name="Comma 3 2 4 2 8" xfId="8313" xr:uid="{00000000-0005-0000-0000-00007C200000}"/>
    <cellStyle name="Comma 3 2 4 2 8 2" xfId="8314" xr:uid="{00000000-0005-0000-0000-00007D200000}"/>
    <cellStyle name="Comma 3 2 4 2 9" xfId="8315" xr:uid="{00000000-0005-0000-0000-00007E200000}"/>
    <cellStyle name="Comma 3 2 4 3" xfId="8316" xr:uid="{00000000-0005-0000-0000-00007F200000}"/>
    <cellStyle name="Comma 3 2 4 3 2" xfId="8317" xr:uid="{00000000-0005-0000-0000-000080200000}"/>
    <cellStyle name="Comma 3 2 4 3 2 2" xfId="8318" xr:uid="{00000000-0005-0000-0000-000081200000}"/>
    <cellStyle name="Comma 3 2 4 3 2 2 2" xfId="8319" xr:uid="{00000000-0005-0000-0000-000082200000}"/>
    <cellStyle name="Comma 3 2 4 3 2 2 2 2" xfId="8320" xr:uid="{00000000-0005-0000-0000-000083200000}"/>
    <cellStyle name="Comma 3 2 4 3 2 2 2 2 2" xfId="8321" xr:uid="{00000000-0005-0000-0000-000084200000}"/>
    <cellStyle name="Comma 3 2 4 3 2 2 2 2 2 2" xfId="8322" xr:uid="{00000000-0005-0000-0000-000085200000}"/>
    <cellStyle name="Comma 3 2 4 3 2 2 2 2 3" xfId="8323" xr:uid="{00000000-0005-0000-0000-000086200000}"/>
    <cellStyle name="Comma 3 2 4 3 2 2 2 3" xfId="8324" xr:uid="{00000000-0005-0000-0000-000087200000}"/>
    <cellStyle name="Comma 3 2 4 3 2 2 2 3 2" xfId="8325" xr:uid="{00000000-0005-0000-0000-000088200000}"/>
    <cellStyle name="Comma 3 2 4 3 2 2 2 4" xfId="8326" xr:uid="{00000000-0005-0000-0000-000089200000}"/>
    <cellStyle name="Comma 3 2 4 3 2 2 2 4 2" xfId="8327" xr:uid="{00000000-0005-0000-0000-00008A200000}"/>
    <cellStyle name="Comma 3 2 4 3 2 2 2 5" xfId="8328" xr:uid="{00000000-0005-0000-0000-00008B200000}"/>
    <cellStyle name="Comma 3 2 4 3 2 2 3" xfId="8329" xr:uid="{00000000-0005-0000-0000-00008C200000}"/>
    <cellStyle name="Comma 3 2 4 3 2 2 3 2" xfId="8330" xr:uid="{00000000-0005-0000-0000-00008D200000}"/>
    <cellStyle name="Comma 3 2 4 3 2 2 3 2 2" xfId="8331" xr:uid="{00000000-0005-0000-0000-00008E200000}"/>
    <cellStyle name="Comma 3 2 4 3 2 2 3 3" xfId="8332" xr:uid="{00000000-0005-0000-0000-00008F200000}"/>
    <cellStyle name="Comma 3 2 4 3 2 2 4" xfId="8333" xr:uid="{00000000-0005-0000-0000-000090200000}"/>
    <cellStyle name="Comma 3 2 4 3 2 2 4 2" xfId="8334" xr:uid="{00000000-0005-0000-0000-000091200000}"/>
    <cellStyle name="Comma 3 2 4 3 2 2 5" xfId="8335" xr:uid="{00000000-0005-0000-0000-000092200000}"/>
    <cellStyle name="Comma 3 2 4 3 2 2 5 2" xfId="8336" xr:uid="{00000000-0005-0000-0000-000093200000}"/>
    <cellStyle name="Comma 3 2 4 3 2 2 6" xfId="8337" xr:uid="{00000000-0005-0000-0000-000094200000}"/>
    <cellStyle name="Comma 3 2 4 3 2 3" xfId="8338" xr:uid="{00000000-0005-0000-0000-000095200000}"/>
    <cellStyle name="Comma 3 2 4 3 2 3 2" xfId="8339" xr:uid="{00000000-0005-0000-0000-000096200000}"/>
    <cellStyle name="Comma 3 2 4 3 2 3 2 2" xfId="8340" xr:uid="{00000000-0005-0000-0000-000097200000}"/>
    <cellStyle name="Comma 3 2 4 3 2 3 2 2 2" xfId="8341" xr:uid="{00000000-0005-0000-0000-000098200000}"/>
    <cellStyle name="Comma 3 2 4 3 2 3 2 3" xfId="8342" xr:uid="{00000000-0005-0000-0000-000099200000}"/>
    <cellStyle name="Comma 3 2 4 3 2 3 3" xfId="8343" xr:uid="{00000000-0005-0000-0000-00009A200000}"/>
    <cellStyle name="Comma 3 2 4 3 2 3 3 2" xfId="8344" xr:uid="{00000000-0005-0000-0000-00009B200000}"/>
    <cellStyle name="Comma 3 2 4 3 2 3 4" xfId="8345" xr:uid="{00000000-0005-0000-0000-00009C200000}"/>
    <cellStyle name="Comma 3 2 4 3 2 3 4 2" xfId="8346" xr:uid="{00000000-0005-0000-0000-00009D200000}"/>
    <cellStyle name="Comma 3 2 4 3 2 3 5" xfId="8347" xr:uid="{00000000-0005-0000-0000-00009E200000}"/>
    <cellStyle name="Comma 3 2 4 3 2 4" xfId="8348" xr:uid="{00000000-0005-0000-0000-00009F200000}"/>
    <cellStyle name="Comma 3 2 4 3 2 4 2" xfId="8349" xr:uid="{00000000-0005-0000-0000-0000A0200000}"/>
    <cellStyle name="Comma 3 2 4 3 2 4 2 2" xfId="8350" xr:uid="{00000000-0005-0000-0000-0000A1200000}"/>
    <cellStyle name="Comma 3 2 4 3 2 4 3" xfId="8351" xr:uid="{00000000-0005-0000-0000-0000A2200000}"/>
    <cellStyle name="Comma 3 2 4 3 2 5" xfId="8352" xr:uid="{00000000-0005-0000-0000-0000A3200000}"/>
    <cellStyle name="Comma 3 2 4 3 2 5 2" xfId="8353" xr:uid="{00000000-0005-0000-0000-0000A4200000}"/>
    <cellStyle name="Comma 3 2 4 3 2 6" xfId="8354" xr:uid="{00000000-0005-0000-0000-0000A5200000}"/>
    <cellStyle name="Comma 3 2 4 3 2 6 2" xfId="8355" xr:uid="{00000000-0005-0000-0000-0000A6200000}"/>
    <cellStyle name="Comma 3 2 4 3 2 7" xfId="8356" xr:uid="{00000000-0005-0000-0000-0000A7200000}"/>
    <cellStyle name="Comma 3 2 4 3 3" xfId="8357" xr:uid="{00000000-0005-0000-0000-0000A8200000}"/>
    <cellStyle name="Comma 3 2 4 3 3 2" xfId="8358" xr:uid="{00000000-0005-0000-0000-0000A9200000}"/>
    <cellStyle name="Comma 3 2 4 3 3 2 2" xfId="8359" xr:uid="{00000000-0005-0000-0000-0000AA200000}"/>
    <cellStyle name="Comma 3 2 4 3 3 2 2 2" xfId="8360" xr:uid="{00000000-0005-0000-0000-0000AB200000}"/>
    <cellStyle name="Comma 3 2 4 3 3 2 2 2 2" xfId="8361" xr:uid="{00000000-0005-0000-0000-0000AC200000}"/>
    <cellStyle name="Comma 3 2 4 3 3 2 2 3" xfId="8362" xr:uid="{00000000-0005-0000-0000-0000AD200000}"/>
    <cellStyle name="Comma 3 2 4 3 3 2 3" xfId="8363" xr:uid="{00000000-0005-0000-0000-0000AE200000}"/>
    <cellStyle name="Comma 3 2 4 3 3 2 3 2" xfId="8364" xr:uid="{00000000-0005-0000-0000-0000AF200000}"/>
    <cellStyle name="Comma 3 2 4 3 3 2 4" xfId="8365" xr:uid="{00000000-0005-0000-0000-0000B0200000}"/>
    <cellStyle name="Comma 3 2 4 3 3 2 4 2" xfId="8366" xr:uid="{00000000-0005-0000-0000-0000B1200000}"/>
    <cellStyle name="Comma 3 2 4 3 3 2 5" xfId="8367" xr:uid="{00000000-0005-0000-0000-0000B2200000}"/>
    <cellStyle name="Comma 3 2 4 3 3 3" xfId="8368" xr:uid="{00000000-0005-0000-0000-0000B3200000}"/>
    <cellStyle name="Comma 3 2 4 3 3 3 2" xfId="8369" xr:uid="{00000000-0005-0000-0000-0000B4200000}"/>
    <cellStyle name="Comma 3 2 4 3 3 3 2 2" xfId="8370" xr:uid="{00000000-0005-0000-0000-0000B5200000}"/>
    <cellStyle name="Comma 3 2 4 3 3 3 3" xfId="8371" xr:uid="{00000000-0005-0000-0000-0000B6200000}"/>
    <cellStyle name="Comma 3 2 4 3 3 4" xfId="8372" xr:uid="{00000000-0005-0000-0000-0000B7200000}"/>
    <cellStyle name="Comma 3 2 4 3 3 4 2" xfId="8373" xr:uid="{00000000-0005-0000-0000-0000B8200000}"/>
    <cellStyle name="Comma 3 2 4 3 3 5" xfId="8374" xr:uid="{00000000-0005-0000-0000-0000B9200000}"/>
    <cellStyle name="Comma 3 2 4 3 3 5 2" xfId="8375" xr:uid="{00000000-0005-0000-0000-0000BA200000}"/>
    <cellStyle name="Comma 3 2 4 3 3 6" xfId="8376" xr:uid="{00000000-0005-0000-0000-0000BB200000}"/>
    <cellStyle name="Comma 3 2 4 3 4" xfId="8377" xr:uid="{00000000-0005-0000-0000-0000BC200000}"/>
    <cellStyle name="Comma 3 2 4 3 4 2" xfId="8378" xr:uid="{00000000-0005-0000-0000-0000BD200000}"/>
    <cellStyle name="Comma 3 2 4 3 4 2 2" xfId="8379" xr:uid="{00000000-0005-0000-0000-0000BE200000}"/>
    <cellStyle name="Comma 3 2 4 3 4 2 2 2" xfId="8380" xr:uid="{00000000-0005-0000-0000-0000BF200000}"/>
    <cellStyle name="Comma 3 2 4 3 4 2 3" xfId="8381" xr:uid="{00000000-0005-0000-0000-0000C0200000}"/>
    <cellStyle name="Comma 3 2 4 3 4 3" xfId="8382" xr:uid="{00000000-0005-0000-0000-0000C1200000}"/>
    <cellStyle name="Comma 3 2 4 3 4 3 2" xfId="8383" xr:uid="{00000000-0005-0000-0000-0000C2200000}"/>
    <cellStyle name="Comma 3 2 4 3 4 4" xfId="8384" xr:uid="{00000000-0005-0000-0000-0000C3200000}"/>
    <cellStyle name="Comma 3 2 4 3 4 4 2" xfId="8385" xr:uid="{00000000-0005-0000-0000-0000C4200000}"/>
    <cellStyle name="Comma 3 2 4 3 4 5" xfId="8386" xr:uid="{00000000-0005-0000-0000-0000C5200000}"/>
    <cellStyle name="Comma 3 2 4 3 5" xfId="8387" xr:uid="{00000000-0005-0000-0000-0000C6200000}"/>
    <cellStyle name="Comma 3 2 4 3 5 2" xfId="8388" xr:uid="{00000000-0005-0000-0000-0000C7200000}"/>
    <cellStyle name="Comma 3 2 4 3 5 2 2" xfId="8389" xr:uid="{00000000-0005-0000-0000-0000C8200000}"/>
    <cellStyle name="Comma 3 2 4 3 5 3" xfId="8390" xr:uid="{00000000-0005-0000-0000-0000C9200000}"/>
    <cellStyle name="Comma 3 2 4 3 6" xfId="8391" xr:uid="{00000000-0005-0000-0000-0000CA200000}"/>
    <cellStyle name="Comma 3 2 4 3 6 2" xfId="8392" xr:uid="{00000000-0005-0000-0000-0000CB200000}"/>
    <cellStyle name="Comma 3 2 4 3 7" xfId="8393" xr:uid="{00000000-0005-0000-0000-0000CC200000}"/>
    <cellStyle name="Comma 3 2 4 3 7 2" xfId="8394" xr:uid="{00000000-0005-0000-0000-0000CD200000}"/>
    <cellStyle name="Comma 3 2 4 3 8" xfId="8395" xr:uid="{00000000-0005-0000-0000-0000CE200000}"/>
    <cellStyle name="Comma 3 2 4 4" xfId="8396" xr:uid="{00000000-0005-0000-0000-0000CF200000}"/>
    <cellStyle name="Comma 3 2 4 4 2" xfId="8397" xr:uid="{00000000-0005-0000-0000-0000D0200000}"/>
    <cellStyle name="Comma 3 2 4 4 2 2" xfId="8398" xr:uid="{00000000-0005-0000-0000-0000D1200000}"/>
    <cellStyle name="Comma 3 2 4 4 2 2 2" xfId="8399" xr:uid="{00000000-0005-0000-0000-0000D2200000}"/>
    <cellStyle name="Comma 3 2 4 4 2 2 2 2" xfId="8400" xr:uid="{00000000-0005-0000-0000-0000D3200000}"/>
    <cellStyle name="Comma 3 2 4 4 2 2 2 2 2" xfId="8401" xr:uid="{00000000-0005-0000-0000-0000D4200000}"/>
    <cellStyle name="Comma 3 2 4 4 2 2 2 3" xfId="8402" xr:uid="{00000000-0005-0000-0000-0000D5200000}"/>
    <cellStyle name="Comma 3 2 4 4 2 2 3" xfId="8403" xr:uid="{00000000-0005-0000-0000-0000D6200000}"/>
    <cellStyle name="Comma 3 2 4 4 2 2 3 2" xfId="8404" xr:uid="{00000000-0005-0000-0000-0000D7200000}"/>
    <cellStyle name="Comma 3 2 4 4 2 2 4" xfId="8405" xr:uid="{00000000-0005-0000-0000-0000D8200000}"/>
    <cellStyle name="Comma 3 2 4 4 2 2 4 2" xfId="8406" xr:uid="{00000000-0005-0000-0000-0000D9200000}"/>
    <cellStyle name="Comma 3 2 4 4 2 2 5" xfId="8407" xr:uid="{00000000-0005-0000-0000-0000DA200000}"/>
    <cellStyle name="Comma 3 2 4 4 2 3" xfId="8408" xr:uid="{00000000-0005-0000-0000-0000DB200000}"/>
    <cellStyle name="Comma 3 2 4 4 2 3 2" xfId="8409" xr:uid="{00000000-0005-0000-0000-0000DC200000}"/>
    <cellStyle name="Comma 3 2 4 4 2 3 2 2" xfId="8410" xr:uid="{00000000-0005-0000-0000-0000DD200000}"/>
    <cellStyle name="Comma 3 2 4 4 2 3 3" xfId="8411" xr:uid="{00000000-0005-0000-0000-0000DE200000}"/>
    <cellStyle name="Comma 3 2 4 4 2 4" xfId="8412" xr:uid="{00000000-0005-0000-0000-0000DF200000}"/>
    <cellStyle name="Comma 3 2 4 4 2 4 2" xfId="8413" xr:uid="{00000000-0005-0000-0000-0000E0200000}"/>
    <cellStyle name="Comma 3 2 4 4 2 5" xfId="8414" xr:uid="{00000000-0005-0000-0000-0000E1200000}"/>
    <cellStyle name="Comma 3 2 4 4 2 5 2" xfId="8415" xr:uid="{00000000-0005-0000-0000-0000E2200000}"/>
    <cellStyle name="Comma 3 2 4 4 2 6" xfId="8416" xr:uid="{00000000-0005-0000-0000-0000E3200000}"/>
    <cellStyle name="Comma 3 2 4 4 3" xfId="8417" xr:uid="{00000000-0005-0000-0000-0000E4200000}"/>
    <cellStyle name="Comma 3 2 4 4 3 2" xfId="8418" xr:uid="{00000000-0005-0000-0000-0000E5200000}"/>
    <cellStyle name="Comma 3 2 4 4 3 2 2" xfId="8419" xr:uid="{00000000-0005-0000-0000-0000E6200000}"/>
    <cellStyle name="Comma 3 2 4 4 3 2 2 2" xfId="8420" xr:uid="{00000000-0005-0000-0000-0000E7200000}"/>
    <cellStyle name="Comma 3 2 4 4 3 2 3" xfId="8421" xr:uid="{00000000-0005-0000-0000-0000E8200000}"/>
    <cellStyle name="Comma 3 2 4 4 3 3" xfId="8422" xr:uid="{00000000-0005-0000-0000-0000E9200000}"/>
    <cellStyle name="Comma 3 2 4 4 3 3 2" xfId="8423" xr:uid="{00000000-0005-0000-0000-0000EA200000}"/>
    <cellStyle name="Comma 3 2 4 4 3 4" xfId="8424" xr:uid="{00000000-0005-0000-0000-0000EB200000}"/>
    <cellStyle name="Comma 3 2 4 4 3 4 2" xfId="8425" xr:uid="{00000000-0005-0000-0000-0000EC200000}"/>
    <cellStyle name="Comma 3 2 4 4 3 5" xfId="8426" xr:uid="{00000000-0005-0000-0000-0000ED200000}"/>
    <cellStyle name="Comma 3 2 4 4 4" xfId="8427" xr:uid="{00000000-0005-0000-0000-0000EE200000}"/>
    <cellStyle name="Comma 3 2 4 4 4 2" xfId="8428" xr:uid="{00000000-0005-0000-0000-0000EF200000}"/>
    <cellStyle name="Comma 3 2 4 4 4 2 2" xfId="8429" xr:uid="{00000000-0005-0000-0000-0000F0200000}"/>
    <cellStyle name="Comma 3 2 4 4 4 3" xfId="8430" xr:uid="{00000000-0005-0000-0000-0000F1200000}"/>
    <cellStyle name="Comma 3 2 4 4 5" xfId="8431" xr:uid="{00000000-0005-0000-0000-0000F2200000}"/>
    <cellStyle name="Comma 3 2 4 4 5 2" xfId="8432" xr:uid="{00000000-0005-0000-0000-0000F3200000}"/>
    <cellStyle name="Comma 3 2 4 4 6" xfId="8433" xr:uid="{00000000-0005-0000-0000-0000F4200000}"/>
    <cellStyle name="Comma 3 2 4 4 6 2" xfId="8434" xr:uid="{00000000-0005-0000-0000-0000F5200000}"/>
    <cellStyle name="Comma 3 2 4 4 7" xfId="8435" xr:uid="{00000000-0005-0000-0000-0000F6200000}"/>
    <cellStyle name="Comma 3 2 4 5" xfId="8436" xr:uid="{00000000-0005-0000-0000-0000F7200000}"/>
    <cellStyle name="Comma 3 2 4 5 2" xfId="8437" xr:uid="{00000000-0005-0000-0000-0000F8200000}"/>
    <cellStyle name="Comma 3 2 4 5 2 2" xfId="8438" xr:uid="{00000000-0005-0000-0000-0000F9200000}"/>
    <cellStyle name="Comma 3 2 4 5 2 2 2" xfId="8439" xr:uid="{00000000-0005-0000-0000-0000FA200000}"/>
    <cellStyle name="Comma 3 2 4 5 2 2 2 2" xfId="8440" xr:uid="{00000000-0005-0000-0000-0000FB200000}"/>
    <cellStyle name="Comma 3 2 4 5 2 2 2 2 2" xfId="8441" xr:uid="{00000000-0005-0000-0000-0000FC200000}"/>
    <cellStyle name="Comma 3 2 4 5 2 2 2 3" xfId="8442" xr:uid="{00000000-0005-0000-0000-0000FD200000}"/>
    <cellStyle name="Comma 3 2 4 5 2 2 3" xfId="8443" xr:uid="{00000000-0005-0000-0000-0000FE200000}"/>
    <cellStyle name="Comma 3 2 4 5 2 2 3 2" xfId="8444" xr:uid="{00000000-0005-0000-0000-0000FF200000}"/>
    <cellStyle name="Comma 3 2 4 5 2 2 4" xfId="8445" xr:uid="{00000000-0005-0000-0000-000000210000}"/>
    <cellStyle name="Comma 3 2 4 5 2 2 4 2" xfId="8446" xr:uid="{00000000-0005-0000-0000-000001210000}"/>
    <cellStyle name="Comma 3 2 4 5 2 2 5" xfId="8447" xr:uid="{00000000-0005-0000-0000-000002210000}"/>
    <cellStyle name="Comma 3 2 4 5 2 3" xfId="8448" xr:uid="{00000000-0005-0000-0000-000003210000}"/>
    <cellStyle name="Comma 3 2 4 5 2 3 2" xfId="8449" xr:uid="{00000000-0005-0000-0000-000004210000}"/>
    <cellStyle name="Comma 3 2 4 5 2 3 2 2" xfId="8450" xr:uid="{00000000-0005-0000-0000-000005210000}"/>
    <cellStyle name="Comma 3 2 4 5 2 3 3" xfId="8451" xr:uid="{00000000-0005-0000-0000-000006210000}"/>
    <cellStyle name="Comma 3 2 4 5 2 4" xfId="8452" xr:uid="{00000000-0005-0000-0000-000007210000}"/>
    <cellStyle name="Comma 3 2 4 5 2 4 2" xfId="8453" xr:uid="{00000000-0005-0000-0000-000008210000}"/>
    <cellStyle name="Comma 3 2 4 5 2 5" xfId="8454" xr:uid="{00000000-0005-0000-0000-000009210000}"/>
    <cellStyle name="Comma 3 2 4 5 2 5 2" xfId="8455" xr:uid="{00000000-0005-0000-0000-00000A210000}"/>
    <cellStyle name="Comma 3 2 4 5 2 6" xfId="8456" xr:uid="{00000000-0005-0000-0000-00000B210000}"/>
    <cellStyle name="Comma 3 2 4 5 3" xfId="8457" xr:uid="{00000000-0005-0000-0000-00000C210000}"/>
    <cellStyle name="Comma 3 2 4 5 3 2" xfId="8458" xr:uid="{00000000-0005-0000-0000-00000D210000}"/>
    <cellStyle name="Comma 3 2 4 5 3 2 2" xfId="8459" xr:uid="{00000000-0005-0000-0000-00000E210000}"/>
    <cellStyle name="Comma 3 2 4 5 3 2 2 2" xfId="8460" xr:uid="{00000000-0005-0000-0000-00000F210000}"/>
    <cellStyle name="Comma 3 2 4 5 3 2 3" xfId="8461" xr:uid="{00000000-0005-0000-0000-000010210000}"/>
    <cellStyle name="Comma 3 2 4 5 3 3" xfId="8462" xr:uid="{00000000-0005-0000-0000-000011210000}"/>
    <cellStyle name="Comma 3 2 4 5 3 3 2" xfId="8463" xr:uid="{00000000-0005-0000-0000-000012210000}"/>
    <cellStyle name="Comma 3 2 4 5 3 4" xfId="8464" xr:uid="{00000000-0005-0000-0000-000013210000}"/>
    <cellStyle name="Comma 3 2 4 5 3 4 2" xfId="8465" xr:uid="{00000000-0005-0000-0000-000014210000}"/>
    <cellStyle name="Comma 3 2 4 5 3 5" xfId="8466" xr:uid="{00000000-0005-0000-0000-000015210000}"/>
    <cellStyle name="Comma 3 2 4 5 4" xfId="8467" xr:uid="{00000000-0005-0000-0000-000016210000}"/>
    <cellStyle name="Comma 3 2 4 5 4 2" xfId="8468" xr:uid="{00000000-0005-0000-0000-000017210000}"/>
    <cellStyle name="Comma 3 2 4 5 4 2 2" xfId="8469" xr:uid="{00000000-0005-0000-0000-000018210000}"/>
    <cellStyle name="Comma 3 2 4 5 4 3" xfId="8470" xr:uid="{00000000-0005-0000-0000-000019210000}"/>
    <cellStyle name="Comma 3 2 4 5 5" xfId="8471" xr:uid="{00000000-0005-0000-0000-00001A210000}"/>
    <cellStyle name="Comma 3 2 4 5 5 2" xfId="8472" xr:uid="{00000000-0005-0000-0000-00001B210000}"/>
    <cellStyle name="Comma 3 2 4 5 6" xfId="8473" xr:uid="{00000000-0005-0000-0000-00001C210000}"/>
    <cellStyle name="Comma 3 2 4 5 6 2" xfId="8474" xr:uid="{00000000-0005-0000-0000-00001D210000}"/>
    <cellStyle name="Comma 3 2 4 5 7" xfId="8475" xr:uid="{00000000-0005-0000-0000-00001E210000}"/>
    <cellStyle name="Comma 3 2 4 6" xfId="8476" xr:uid="{00000000-0005-0000-0000-00001F210000}"/>
    <cellStyle name="Comma 3 2 4 6 2" xfId="8477" xr:uid="{00000000-0005-0000-0000-000020210000}"/>
    <cellStyle name="Comma 3 2 4 6 2 2" xfId="8478" xr:uid="{00000000-0005-0000-0000-000021210000}"/>
    <cellStyle name="Comma 3 2 4 6 2 2 2" xfId="8479" xr:uid="{00000000-0005-0000-0000-000022210000}"/>
    <cellStyle name="Comma 3 2 4 6 2 2 2 2" xfId="8480" xr:uid="{00000000-0005-0000-0000-000023210000}"/>
    <cellStyle name="Comma 3 2 4 6 2 2 3" xfId="8481" xr:uid="{00000000-0005-0000-0000-000024210000}"/>
    <cellStyle name="Comma 3 2 4 6 2 3" xfId="8482" xr:uid="{00000000-0005-0000-0000-000025210000}"/>
    <cellStyle name="Comma 3 2 4 6 2 3 2" xfId="8483" xr:uid="{00000000-0005-0000-0000-000026210000}"/>
    <cellStyle name="Comma 3 2 4 6 2 4" xfId="8484" xr:uid="{00000000-0005-0000-0000-000027210000}"/>
    <cellStyle name="Comma 3 2 4 6 2 4 2" xfId="8485" xr:uid="{00000000-0005-0000-0000-000028210000}"/>
    <cellStyle name="Comma 3 2 4 6 2 5" xfId="8486" xr:uid="{00000000-0005-0000-0000-000029210000}"/>
    <cellStyle name="Comma 3 2 4 6 3" xfId="8487" xr:uid="{00000000-0005-0000-0000-00002A210000}"/>
    <cellStyle name="Comma 3 2 4 6 3 2" xfId="8488" xr:uid="{00000000-0005-0000-0000-00002B210000}"/>
    <cellStyle name="Comma 3 2 4 6 3 2 2" xfId="8489" xr:uid="{00000000-0005-0000-0000-00002C210000}"/>
    <cellStyle name="Comma 3 2 4 6 3 3" xfId="8490" xr:uid="{00000000-0005-0000-0000-00002D210000}"/>
    <cellStyle name="Comma 3 2 4 6 4" xfId="8491" xr:uid="{00000000-0005-0000-0000-00002E210000}"/>
    <cellStyle name="Comma 3 2 4 6 4 2" xfId="8492" xr:uid="{00000000-0005-0000-0000-00002F210000}"/>
    <cellStyle name="Comma 3 2 4 6 5" xfId="8493" xr:uid="{00000000-0005-0000-0000-000030210000}"/>
    <cellStyle name="Comma 3 2 4 6 5 2" xfId="8494" xr:uid="{00000000-0005-0000-0000-000031210000}"/>
    <cellStyle name="Comma 3 2 4 6 6" xfId="8495" xr:uid="{00000000-0005-0000-0000-000032210000}"/>
    <cellStyle name="Comma 3 2 4 7" xfId="8496" xr:uid="{00000000-0005-0000-0000-000033210000}"/>
    <cellStyle name="Comma 3 2 4 7 2" xfId="8497" xr:uid="{00000000-0005-0000-0000-000034210000}"/>
    <cellStyle name="Comma 3 2 4 7 2 2" xfId="8498" xr:uid="{00000000-0005-0000-0000-000035210000}"/>
    <cellStyle name="Comma 3 2 4 7 2 2 2" xfId="8499" xr:uid="{00000000-0005-0000-0000-000036210000}"/>
    <cellStyle name="Comma 3 2 4 7 2 3" xfId="8500" xr:uid="{00000000-0005-0000-0000-000037210000}"/>
    <cellStyle name="Comma 3 2 4 7 3" xfId="8501" xr:uid="{00000000-0005-0000-0000-000038210000}"/>
    <cellStyle name="Comma 3 2 4 7 3 2" xfId="8502" xr:uid="{00000000-0005-0000-0000-000039210000}"/>
    <cellStyle name="Comma 3 2 4 7 4" xfId="8503" xr:uid="{00000000-0005-0000-0000-00003A210000}"/>
    <cellStyle name="Comma 3 2 4 7 4 2" xfId="8504" xr:uid="{00000000-0005-0000-0000-00003B210000}"/>
    <cellStyle name="Comma 3 2 4 7 5" xfId="8505" xr:uid="{00000000-0005-0000-0000-00003C210000}"/>
    <cellStyle name="Comma 3 2 4 8" xfId="8506" xr:uid="{00000000-0005-0000-0000-00003D210000}"/>
    <cellStyle name="Comma 3 2 4 8 2" xfId="8507" xr:uid="{00000000-0005-0000-0000-00003E210000}"/>
    <cellStyle name="Comma 3 2 4 8 2 2" xfId="8508" xr:uid="{00000000-0005-0000-0000-00003F210000}"/>
    <cellStyle name="Comma 3 2 4 8 3" xfId="8509" xr:uid="{00000000-0005-0000-0000-000040210000}"/>
    <cellStyle name="Comma 3 2 4 9" xfId="8510" xr:uid="{00000000-0005-0000-0000-000041210000}"/>
    <cellStyle name="Comma 3 2 4 9 2" xfId="8511" xr:uid="{00000000-0005-0000-0000-000042210000}"/>
    <cellStyle name="Comma 3 2 5" xfId="8512" xr:uid="{00000000-0005-0000-0000-000043210000}"/>
    <cellStyle name="Comma 3 2 5 2" xfId="8513" xr:uid="{00000000-0005-0000-0000-000044210000}"/>
    <cellStyle name="Comma 3 2 5 2 2" xfId="8514" xr:uid="{00000000-0005-0000-0000-000045210000}"/>
    <cellStyle name="Comma 3 2 5 2 2 2" xfId="8515" xr:uid="{00000000-0005-0000-0000-000046210000}"/>
    <cellStyle name="Comma 3 2 5 2 2 2 2" xfId="8516" xr:uid="{00000000-0005-0000-0000-000047210000}"/>
    <cellStyle name="Comma 3 2 5 2 2 2 2 2" xfId="8517" xr:uid="{00000000-0005-0000-0000-000048210000}"/>
    <cellStyle name="Comma 3 2 5 2 2 2 2 2 2" xfId="8518" xr:uid="{00000000-0005-0000-0000-000049210000}"/>
    <cellStyle name="Comma 3 2 5 2 2 2 2 3" xfId="8519" xr:uid="{00000000-0005-0000-0000-00004A210000}"/>
    <cellStyle name="Comma 3 2 5 2 2 2 3" xfId="8520" xr:uid="{00000000-0005-0000-0000-00004B210000}"/>
    <cellStyle name="Comma 3 2 5 2 2 2 3 2" xfId="8521" xr:uid="{00000000-0005-0000-0000-00004C210000}"/>
    <cellStyle name="Comma 3 2 5 2 2 2 4" xfId="8522" xr:uid="{00000000-0005-0000-0000-00004D210000}"/>
    <cellStyle name="Comma 3 2 5 2 2 2 4 2" xfId="8523" xr:uid="{00000000-0005-0000-0000-00004E210000}"/>
    <cellStyle name="Comma 3 2 5 2 2 2 5" xfId="8524" xr:uid="{00000000-0005-0000-0000-00004F210000}"/>
    <cellStyle name="Comma 3 2 5 2 2 3" xfId="8525" xr:uid="{00000000-0005-0000-0000-000050210000}"/>
    <cellStyle name="Comma 3 2 5 2 2 3 2" xfId="8526" xr:uid="{00000000-0005-0000-0000-000051210000}"/>
    <cellStyle name="Comma 3 2 5 2 2 3 2 2" xfId="8527" xr:uid="{00000000-0005-0000-0000-000052210000}"/>
    <cellStyle name="Comma 3 2 5 2 2 3 3" xfId="8528" xr:uid="{00000000-0005-0000-0000-000053210000}"/>
    <cellStyle name="Comma 3 2 5 2 2 4" xfId="8529" xr:uid="{00000000-0005-0000-0000-000054210000}"/>
    <cellStyle name="Comma 3 2 5 2 2 4 2" xfId="8530" xr:uid="{00000000-0005-0000-0000-000055210000}"/>
    <cellStyle name="Comma 3 2 5 2 2 5" xfId="8531" xr:uid="{00000000-0005-0000-0000-000056210000}"/>
    <cellStyle name="Comma 3 2 5 2 2 5 2" xfId="8532" xr:uid="{00000000-0005-0000-0000-000057210000}"/>
    <cellStyle name="Comma 3 2 5 2 2 6" xfId="8533" xr:uid="{00000000-0005-0000-0000-000058210000}"/>
    <cellStyle name="Comma 3 2 5 2 3" xfId="8534" xr:uid="{00000000-0005-0000-0000-000059210000}"/>
    <cellStyle name="Comma 3 2 5 2 3 2" xfId="8535" xr:uid="{00000000-0005-0000-0000-00005A210000}"/>
    <cellStyle name="Comma 3 2 5 2 3 2 2" xfId="8536" xr:uid="{00000000-0005-0000-0000-00005B210000}"/>
    <cellStyle name="Comma 3 2 5 2 3 2 2 2" xfId="8537" xr:uid="{00000000-0005-0000-0000-00005C210000}"/>
    <cellStyle name="Comma 3 2 5 2 3 2 3" xfId="8538" xr:uid="{00000000-0005-0000-0000-00005D210000}"/>
    <cellStyle name="Comma 3 2 5 2 3 3" xfId="8539" xr:uid="{00000000-0005-0000-0000-00005E210000}"/>
    <cellStyle name="Comma 3 2 5 2 3 3 2" xfId="8540" xr:uid="{00000000-0005-0000-0000-00005F210000}"/>
    <cellStyle name="Comma 3 2 5 2 3 4" xfId="8541" xr:uid="{00000000-0005-0000-0000-000060210000}"/>
    <cellStyle name="Comma 3 2 5 2 3 4 2" xfId="8542" xr:uid="{00000000-0005-0000-0000-000061210000}"/>
    <cellStyle name="Comma 3 2 5 2 3 5" xfId="8543" xr:uid="{00000000-0005-0000-0000-000062210000}"/>
    <cellStyle name="Comma 3 2 5 2 4" xfId="8544" xr:uid="{00000000-0005-0000-0000-000063210000}"/>
    <cellStyle name="Comma 3 2 5 2 4 2" xfId="8545" xr:uid="{00000000-0005-0000-0000-000064210000}"/>
    <cellStyle name="Comma 3 2 5 2 4 2 2" xfId="8546" xr:uid="{00000000-0005-0000-0000-000065210000}"/>
    <cellStyle name="Comma 3 2 5 2 4 3" xfId="8547" xr:uid="{00000000-0005-0000-0000-000066210000}"/>
    <cellStyle name="Comma 3 2 5 2 5" xfId="8548" xr:uid="{00000000-0005-0000-0000-000067210000}"/>
    <cellStyle name="Comma 3 2 5 2 5 2" xfId="8549" xr:uid="{00000000-0005-0000-0000-000068210000}"/>
    <cellStyle name="Comma 3 2 5 2 6" xfId="8550" xr:uid="{00000000-0005-0000-0000-000069210000}"/>
    <cellStyle name="Comma 3 2 5 2 6 2" xfId="8551" xr:uid="{00000000-0005-0000-0000-00006A210000}"/>
    <cellStyle name="Comma 3 2 5 2 7" xfId="8552" xr:uid="{00000000-0005-0000-0000-00006B210000}"/>
    <cellStyle name="Comma 3 2 5 3" xfId="8553" xr:uid="{00000000-0005-0000-0000-00006C210000}"/>
    <cellStyle name="Comma 3 2 5 3 2" xfId="8554" xr:uid="{00000000-0005-0000-0000-00006D210000}"/>
    <cellStyle name="Comma 3 2 5 3 2 2" xfId="8555" xr:uid="{00000000-0005-0000-0000-00006E210000}"/>
    <cellStyle name="Comma 3 2 5 3 2 2 2" xfId="8556" xr:uid="{00000000-0005-0000-0000-00006F210000}"/>
    <cellStyle name="Comma 3 2 5 3 2 2 2 2" xfId="8557" xr:uid="{00000000-0005-0000-0000-000070210000}"/>
    <cellStyle name="Comma 3 2 5 3 2 2 2 2 2" xfId="8558" xr:uid="{00000000-0005-0000-0000-000071210000}"/>
    <cellStyle name="Comma 3 2 5 3 2 2 2 3" xfId="8559" xr:uid="{00000000-0005-0000-0000-000072210000}"/>
    <cellStyle name="Comma 3 2 5 3 2 2 3" xfId="8560" xr:uid="{00000000-0005-0000-0000-000073210000}"/>
    <cellStyle name="Comma 3 2 5 3 2 2 3 2" xfId="8561" xr:uid="{00000000-0005-0000-0000-000074210000}"/>
    <cellStyle name="Comma 3 2 5 3 2 2 4" xfId="8562" xr:uid="{00000000-0005-0000-0000-000075210000}"/>
    <cellStyle name="Comma 3 2 5 3 2 2 4 2" xfId="8563" xr:uid="{00000000-0005-0000-0000-000076210000}"/>
    <cellStyle name="Comma 3 2 5 3 2 2 5" xfId="8564" xr:uid="{00000000-0005-0000-0000-000077210000}"/>
    <cellStyle name="Comma 3 2 5 3 2 3" xfId="8565" xr:uid="{00000000-0005-0000-0000-000078210000}"/>
    <cellStyle name="Comma 3 2 5 3 2 3 2" xfId="8566" xr:uid="{00000000-0005-0000-0000-000079210000}"/>
    <cellStyle name="Comma 3 2 5 3 2 3 2 2" xfId="8567" xr:uid="{00000000-0005-0000-0000-00007A210000}"/>
    <cellStyle name="Comma 3 2 5 3 2 3 3" xfId="8568" xr:uid="{00000000-0005-0000-0000-00007B210000}"/>
    <cellStyle name="Comma 3 2 5 3 2 4" xfId="8569" xr:uid="{00000000-0005-0000-0000-00007C210000}"/>
    <cellStyle name="Comma 3 2 5 3 2 4 2" xfId="8570" xr:uid="{00000000-0005-0000-0000-00007D210000}"/>
    <cellStyle name="Comma 3 2 5 3 2 5" xfId="8571" xr:uid="{00000000-0005-0000-0000-00007E210000}"/>
    <cellStyle name="Comma 3 2 5 3 2 5 2" xfId="8572" xr:uid="{00000000-0005-0000-0000-00007F210000}"/>
    <cellStyle name="Comma 3 2 5 3 2 6" xfId="8573" xr:uid="{00000000-0005-0000-0000-000080210000}"/>
    <cellStyle name="Comma 3 2 5 3 3" xfId="8574" xr:uid="{00000000-0005-0000-0000-000081210000}"/>
    <cellStyle name="Comma 3 2 5 3 3 2" xfId="8575" xr:uid="{00000000-0005-0000-0000-000082210000}"/>
    <cellStyle name="Comma 3 2 5 3 3 2 2" xfId="8576" xr:uid="{00000000-0005-0000-0000-000083210000}"/>
    <cellStyle name="Comma 3 2 5 3 3 2 2 2" xfId="8577" xr:uid="{00000000-0005-0000-0000-000084210000}"/>
    <cellStyle name="Comma 3 2 5 3 3 2 3" xfId="8578" xr:uid="{00000000-0005-0000-0000-000085210000}"/>
    <cellStyle name="Comma 3 2 5 3 3 3" xfId="8579" xr:uid="{00000000-0005-0000-0000-000086210000}"/>
    <cellStyle name="Comma 3 2 5 3 3 3 2" xfId="8580" xr:uid="{00000000-0005-0000-0000-000087210000}"/>
    <cellStyle name="Comma 3 2 5 3 3 4" xfId="8581" xr:uid="{00000000-0005-0000-0000-000088210000}"/>
    <cellStyle name="Comma 3 2 5 3 3 4 2" xfId="8582" xr:uid="{00000000-0005-0000-0000-000089210000}"/>
    <cellStyle name="Comma 3 2 5 3 3 5" xfId="8583" xr:uid="{00000000-0005-0000-0000-00008A210000}"/>
    <cellStyle name="Comma 3 2 5 3 4" xfId="8584" xr:uid="{00000000-0005-0000-0000-00008B210000}"/>
    <cellStyle name="Comma 3 2 5 3 4 2" xfId="8585" xr:uid="{00000000-0005-0000-0000-00008C210000}"/>
    <cellStyle name="Comma 3 2 5 3 4 2 2" xfId="8586" xr:uid="{00000000-0005-0000-0000-00008D210000}"/>
    <cellStyle name="Comma 3 2 5 3 4 3" xfId="8587" xr:uid="{00000000-0005-0000-0000-00008E210000}"/>
    <cellStyle name="Comma 3 2 5 3 5" xfId="8588" xr:uid="{00000000-0005-0000-0000-00008F210000}"/>
    <cellStyle name="Comma 3 2 5 3 5 2" xfId="8589" xr:uid="{00000000-0005-0000-0000-000090210000}"/>
    <cellStyle name="Comma 3 2 5 3 6" xfId="8590" xr:uid="{00000000-0005-0000-0000-000091210000}"/>
    <cellStyle name="Comma 3 2 5 3 6 2" xfId="8591" xr:uid="{00000000-0005-0000-0000-000092210000}"/>
    <cellStyle name="Comma 3 2 5 3 7" xfId="8592" xr:uid="{00000000-0005-0000-0000-000093210000}"/>
    <cellStyle name="Comma 3 2 5 4" xfId="8593" xr:uid="{00000000-0005-0000-0000-000094210000}"/>
    <cellStyle name="Comma 3 2 5 4 2" xfId="8594" xr:uid="{00000000-0005-0000-0000-000095210000}"/>
    <cellStyle name="Comma 3 2 5 4 2 2" xfId="8595" xr:uid="{00000000-0005-0000-0000-000096210000}"/>
    <cellStyle name="Comma 3 2 5 4 2 2 2" xfId="8596" xr:uid="{00000000-0005-0000-0000-000097210000}"/>
    <cellStyle name="Comma 3 2 5 4 2 2 2 2" xfId="8597" xr:uid="{00000000-0005-0000-0000-000098210000}"/>
    <cellStyle name="Comma 3 2 5 4 2 2 3" xfId="8598" xr:uid="{00000000-0005-0000-0000-000099210000}"/>
    <cellStyle name="Comma 3 2 5 4 2 3" xfId="8599" xr:uid="{00000000-0005-0000-0000-00009A210000}"/>
    <cellStyle name="Comma 3 2 5 4 2 3 2" xfId="8600" xr:uid="{00000000-0005-0000-0000-00009B210000}"/>
    <cellStyle name="Comma 3 2 5 4 2 4" xfId="8601" xr:uid="{00000000-0005-0000-0000-00009C210000}"/>
    <cellStyle name="Comma 3 2 5 4 2 4 2" xfId="8602" xr:uid="{00000000-0005-0000-0000-00009D210000}"/>
    <cellStyle name="Comma 3 2 5 4 2 5" xfId="8603" xr:uid="{00000000-0005-0000-0000-00009E210000}"/>
    <cellStyle name="Comma 3 2 5 4 3" xfId="8604" xr:uid="{00000000-0005-0000-0000-00009F210000}"/>
    <cellStyle name="Comma 3 2 5 4 3 2" xfId="8605" xr:uid="{00000000-0005-0000-0000-0000A0210000}"/>
    <cellStyle name="Comma 3 2 5 4 3 2 2" xfId="8606" xr:uid="{00000000-0005-0000-0000-0000A1210000}"/>
    <cellStyle name="Comma 3 2 5 4 3 3" xfId="8607" xr:uid="{00000000-0005-0000-0000-0000A2210000}"/>
    <cellStyle name="Comma 3 2 5 4 4" xfId="8608" xr:uid="{00000000-0005-0000-0000-0000A3210000}"/>
    <cellStyle name="Comma 3 2 5 4 4 2" xfId="8609" xr:uid="{00000000-0005-0000-0000-0000A4210000}"/>
    <cellStyle name="Comma 3 2 5 4 5" xfId="8610" xr:uid="{00000000-0005-0000-0000-0000A5210000}"/>
    <cellStyle name="Comma 3 2 5 4 5 2" xfId="8611" xr:uid="{00000000-0005-0000-0000-0000A6210000}"/>
    <cellStyle name="Comma 3 2 5 4 6" xfId="8612" xr:uid="{00000000-0005-0000-0000-0000A7210000}"/>
    <cellStyle name="Comma 3 2 5 5" xfId="8613" xr:uid="{00000000-0005-0000-0000-0000A8210000}"/>
    <cellStyle name="Comma 3 2 5 5 2" xfId="8614" xr:uid="{00000000-0005-0000-0000-0000A9210000}"/>
    <cellStyle name="Comma 3 2 5 5 2 2" xfId="8615" xr:uid="{00000000-0005-0000-0000-0000AA210000}"/>
    <cellStyle name="Comma 3 2 5 5 2 2 2" xfId="8616" xr:uid="{00000000-0005-0000-0000-0000AB210000}"/>
    <cellStyle name="Comma 3 2 5 5 2 3" xfId="8617" xr:uid="{00000000-0005-0000-0000-0000AC210000}"/>
    <cellStyle name="Comma 3 2 5 5 3" xfId="8618" xr:uid="{00000000-0005-0000-0000-0000AD210000}"/>
    <cellStyle name="Comma 3 2 5 5 3 2" xfId="8619" xr:uid="{00000000-0005-0000-0000-0000AE210000}"/>
    <cellStyle name="Comma 3 2 5 5 4" xfId="8620" xr:uid="{00000000-0005-0000-0000-0000AF210000}"/>
    <cellStyle name="Comma 3 2 5 5 4 2" xfId="8621" xr:uid="{00000000-0005-0000-0000-0000B0210000}"/>
    <cellStyle name="Comma 3 2 5 5 5" xfId="8622" xr:uid="{00000000-0005-0000-0000-0000B1210000}"/>
    <cellStyle name="Comma 3 2 5 6" xfId="8623" xr:uid="{00000000-0005-0000-0000-0000B2210000}"/>
    <cellStyle name="Comma 3 2 5 6 2" xfId="8624" xr:uid="{00000000-0005-0000-0000-0000B3210000}"/>
    <cellStyle name="Comma 3 2 5 6 2 2" xfId="8625" xr:uid="{00000000-0005-0000-0000-0000B4210000}"/>
    <cellStyle name="Comma 3 2 5 6 3" xfId="8626" xr:uid="{00000000-0005-0000-0000-0000B5210000}"/>
    <cellStyle name="Comma 3 2 5 7" xfId="8627" xr:uid="{00000000-0005-0000-0000-0000B6210000}"/>
    <cellStyle name="Comma 3 2 5 7 2" xfId="8628" xr:uid="{00000000-0005-0000-0000-0000B7210000}"/>
    <cellStyle name="Comma 3 2 5 8" xfId="8629" xr:uid="{00000000-0005-0000-0000-0000B8210000}"/>
    <cellStyle name="Comma 3 2 5 8 2" xfId="8630" xr:uid="{00000000-0005-0000-0000-0000B9210000}"/>
    <cellStyle name="Comma 3 2 5 9" xfId="8631" xr:uid="{00000000-0005-0000-0000-0000BA210000}"/>
    <cellStyle name="Comma 3 2 6" xfId="8632" xr:uid="{00000000-0005-0000-0000-0000BB210000}"/>
    <cellStyle name="Comma 3 2 6 2" xfId="8633" xr:uid="{00000000-0005-0000-0000-0000BC210000}"/>
    <cellStyle name="Comma 3 2 6 2 2" xfId="8634" xr:uid="{00000000-0005-0000-0000-0000BD210000}"/>
    <cellStyle name="Comma 3 2 6 2 2 2" xfId="8635" xr:uid="{00000000-0005-0000-0000-0000BE210000}"/>
    <cellStyle name="Comma 3 2 6 2 2 2 2" xfId="8636" xr:uid="{00000000-0005-0000-0000-0000BF210000}"/>
    <cellStyle name="Comma 3 2 6 2 2 2 2 2" xfId="8637" xr:uid="{00000000-0005-0000-0000-0000C0210000}"/>
    <cellStyle name="Comma 3 2 6 2 2 2 2 2 2" xfId="8638" xr:uid="{00000000-0005-0000-0000-0000C1210000}"/>
    <cellStyle name="Comma 3 2 6 2 2 2 2 3" xfId="8639" xr:uid="{00000000-0005-0000-0000-0000C2210000}"/>
    <cellStyle name="Comma 3 2 6 2 2 2 3" xfId="8640" xr:uid="{00000000-0005-0000-0000-0000C3210000}"/>
    <cellStyle name="Comma 3 2 6 2 2 2 3 2" xfId="8641" xr:uid="{00000000-0005-0000-0000-0000C4210000}"/>
    <cellStyle name="Comma 3 2 6 2 2 2 4" xfId="8642" xr:uid="{00000000-0005-0000-0000-0000C5210000}"/>
    <cellStyle name="Comma 3 2 6 2 2 2 4 2" xfId="8643" xr:uid="{00000000-0005-0000-0000-0000C6210000}"/>
    <cellStyle name="Comma 3 2 6 2 2 2 5" xfId="8644" xr:uid="{00000000-0005-0000-0000-0000C7210000}"/>
    <cellStyle name="Comma 3 2 6 2 2 3" xfId="8645" xr:uid="{00000000-0005-0000-0000-0000C8210000}"/>
    <cellStyle name="Comma 3 2 6 2 2 3 2" xfId="8646" xr:uid="{00000000-0005-0000-0000-0000C9210000}"/>
    <cellStyle name="Comma 3 2 6 2 2 3 2 2" xfId="8647" xr:uid="{00000000-0005-0000-0000-0000CA210000}"/>
    <cellStyle name="Comma 3 2 6 2 2 3 3" xfId="8648" xr:uid="{00000000-0005-0000-0000-0000CB210000}"/>
    <cellStyle name="Comma 3 2 6 2 2 4" xfId="8649" xr:uid="{00000000-0005-0000-0000-0000CC210000}"/>
    <cellStyle name="Comma 3 2 6 2 2 4 2" xfId="8650" xr:uid="{00000000-0005-0000-0000-0000CD210000}"/>
    <cellStyle name="Comma 3 2 6 2 2 5" xfId="8651" xr:uid="{00000000-0005-0000-0000-0000CE210000}"/>
    <cellStyle name="Comma 3 2 6 2 2 5 2" xfId="8652" xr:uid="{00000000-0005-0000-0000-0000CF210000}"/>
    <cellStyle name="Comma 3 2 6 2 2 6" xfId="8653" xr:uid="{00000000-0005-0000-0000-0000D0210000}"/>
    <cellStyle name="Comma 3 2 6 2 3" xfId="8654" xr:uid="{00000000-0005-0000-0000-0000D1210000}"/>
    <cellStyle name="Comma 3 2 6 2 3 2" xfId="8655" xr:uid="{00000000-0005-0000-0000-0000D2210000}"/>
    <cellStyle name="Comma 3 2 6 2 3 2 2" xfId="8656" xr:uid="{00000000-0005-0000-0000-0000D3210000}"/>
    <cellStyle name="Comma 3 2 6 2 3 2 2 2" xfId="8657" xr:uid="{00000000-0005-0000-0000-0000D4210000}"/>
    <cellStyle name="Comma 3 2 6 2 3 2 3" xfId="8658" xr:uid="{00000000-0005-0000-0000-0000D5210000}"/>
    <cellStyle name="Comma 3 2 6 2 3 3" xfId="8659" xr:uid="{00000000-0005-0000-0000-0000D6210000}"/>
    <cellStyle name="Comma 3 2 6 2 3 3 2" xfId="8660" xr:uid="{00000000-0005-0000-0000-0000D7210000}"/>
    <cellStyle name="Comma 3 2 6 2 3 4" xfId="8661" xr:uid="{00000000-0005-0000-0000-0000D8210000}"/>
    <cellStyle name="Comma 3 2 6 2 3 4 2" xfId="8662" xr:uid="{00000000-0005-0000-0000-0000D9210000}"/>
    <cellStyle name="Comma 3 2 6 2 3 5" xfId="8663" xr:uid="{00000000-0005-0000-0000-0000DA210000}"/>
    <cellStyle name="Comma 3 2 6 2 4" xfId="8664" xr:uid="{00000000-0005-0000-0000-0000DB210000}"/>
    <cellStyle name="Comma 3 2 6 2 4 2" xfId="8665" xr:uid="{00000000-0005-0000-0000-0000DC210000}"/>
    <cellStyle name="Comma 3 2 6 2 4 2 2" xfId="8666" xr:uid="{00000000-0005-0000-0000-0000DD210000}"/>
    <cellStyle name="Comma 3 2 6 2 4 3" xfId="8667" xr:uid="{00000000-0005-0000-0000-0000DE210000}"/>
    <cellStyle name="Comma 3 2 6 2 5" xfId="8668" xr:uid="{00000000-0005-0000-0000-0000DF210000}"/>
    <cellStyle name="Comma 3 2 6 2 5 2" xfId="8669" xr:uid="{00000000-0005-0000-0000-0000E0210000}"/>
    <cellStyle name="Comma 3 2 6 2 6" xfId="8670" xr:uid="{00000000-0005-0000-0000-0000E1210000}"/>
    <cellStyle name="Comma 3 2 6 2 6 2" xfId="8671" xr:uid="{00000000-0005-0000-0000-0000E2210000}"/>
    <cellStyle name="Comma 3 2 6 2 7" xfId="8672" xr:uid="{00000000-0005-0000-0000-0000E3210000}"/>
    <cellStyle name="Comma 3 2 6 3" xfId="8673" xr:uid="{00000000-0005-0000-0000-0000E4210000}"/>
    <cellStyle name="Comma 3 2 6 3 2" xfId="8674" xr:uid="{00000000-0005-0000-0000-0000E5210000}"/>
    <cellStyle name="Comma 3 2 6 3 2 2" xfId="8675" xr:uid="{00000000-0005-0000-0000-0000E6210000}"/>
    <cellStyle name="Comma 3 2 6 3 2 2 2" xfId="8676" xr:uid="{00000000-0005-0000-0000-0000E7210000}"/>
    <cellStyle name="Comma 3 2 6 3 2 2 2 2" xfId="8677" xr:uid="{00000000-0005-0000-0000-0000E8210000}"/>
    <cellStyle name="Comma 3 2 6 3 2 2 2 2 2" xfId="8678" xr:uid="{00000000-0005-0000-0000-0000E9210000}"/>
    <cellStyle name="Comma 3 2 6 3 2 2 2 3" xfId="8679" xr:uid="{00000000-0005-0000-0000-0000EA210000}"/>
    <cellStyle name="Comma 3 2 6 3 2 2 3" xfId="8680" xr:uid="{00000000-0005-0000-0000-0000EB210000}"/>
    <cellStyle name="Comma 3 2 6 3 2 2 3 2" xfId="8681" xr:uid="{00000000-0005-0000-0000-0000EC210000}"/>
    <cellStyle name="Comma 3 2 6 3 2 2 4" xfId="8682" xr:uid="{00000000-0005-0000-0000-0000ED210000}"/>
    <cellStyle name="Comma 3 2 6 3 2 2 4 2" xfId="8683" xr:uid="{00000000-0005-0000-0000-0000EE210000}"/>
    <cellStyle name="Comma 3 2 6 3 2 2 5" xfId="8684" xr:uid="{00000000-0005-0000-0000-0000EF210000}"/>
    <cellStyle name="Comma 3 2 6 3 2 3" xfId="8685" xr:uid="{00000000-0005-0000-0000-0000F0210000}"/>
    <cellStyle name="Comma 3 2 6 3 2 3 2" xfId="8686" xr:uid="{00000000-0005-0000-0000-0000F1210000}"/>
    <cellStyle name="Comma 3 2 6 3 2 3 2 2" xfId="8687" xr:uid="{00000000-0005-0000-0000-0000F2210000}"/>
    <cellStyle name="Comma 3 2 6 3 2 3 3" xfId="8688" xr:uid="{00000000-0005-0000-0000-0000F3210000}"/>
    <cellStyle name="Comma 3 2 6 3 2 4" xfId="8689" xr:uid="{00000000-0005-0000-0000-0000F4210000}"/>
    <cellStyle name="Comma 3 2 6 3 2 4 2" xfId="8690" xr:uid="{00000000-0005-0000-0000-0000F5210000}"/>
    <cellStyle name="Comma 3 2 6 3 2 5" xfId="8691" xr:uid="{00000000-0005-0000-0000-0000F6210000}"/>
    <cellStyle name="Comma 3 2 6 3 2 5 2" xfId="8692" xr:uid="{00000000-0005-0000-0000-0000F7210000}"/>
    <cellStyle name="Comma 3 2 6 3 2 6" xfId="8693" xr:uid="{00000000-0005-0000-0000-0000F8210000}"/>
    <cellStyle name="Comma 3 2 6 3 3" xfId="8694" xr:uid="{00000000-0005-0000-0000-0000F9210000}"/>
    <cellStyle name="Comma 3 2 6 3 3 2" xfId="8695" xr:uid="{00000000-0005-0000-0000-0000FA210000}"/>
    <cellStyle name="Comma 3 2 6 3 3 2 2" xfId="8696" xr:uid="{00000000-0005-0000-0000-0000FB210000}"/>
    <cellStyle name="Comma 3 2 6 3 3 2 2 2" xfId="8697" xr:uid="{00000000-0005-0000-0000-0000FC210000}"/>
    <cellStyle name="Comma 3 2 6 3 3 2 3" xfId="8698" xr:uid="{00000000-0005-0000-0000-0000FD210000}"/>
    <cellStyle name="Comma 3 2 6 3 3 3" xfId="8699" xr:uid="{00000000-0005-0000-0000-0000FE210000}"/>
    <cellStyle name="Comma 3 2 6 3 3 3 2" xfId="8700" xr:uid="{00000000-0005-0000-0000-0000FF210000}"/>
    <cellStyle name="Comma 3 2 6 3 3 4" xfId="8701" xr:uid="{00000000-0005-0000-0000-000000220000}"/>
    <cellStyle name="Comma 3 2 6 3 3 4 2" xfId="8702" xr:uid="{00000000-0005-0000-0000-000001220000}"/>
    <cellStyle name="Comma 3 2 6 3 3 5" xfId="8703" xr:uid="{00000000-0005-0000-0000-000002220000}"/>
    <cellStyle name="Comma 3 2 6 3 4" xfId="8704" xr:uid="{00000000-0005-0000-0000-000003220000}"/>
    <cellStyle name="Comma 3 2 6 3 4 2" xfId="8705" xr:uid="{00000000-0005-0000-0000-000004220000}"/>
    <cellStyle name="Comma 3 2 6 3 4 2 2" xfId="8706" xr:uid="{00000000-0005-0000-0000-000005220000}"/>
    <cellStyle name="Comma 3 2 6 3 4 3" xfId="8707" xr:uid="{00000000-0005-0000-0000-000006220000}"/>
    <cellStyle name="Comma 3 2 6 3 5" xfId="8708" xr:uid="{00000000-0005-0000-0000-000007220000}"/>
    <cellStyle name="Comma 3 2 6 3 5 2" xfId="8709" xr:uid="{00000000-0005-0000-0000-000008220000}"/>
    <cellStyle name="Comma 3 2 6 3 6" xfId="8710" xr:uid="{00000000-0005-0000-0000-000009220000}"/>
    <cellStyle name="Comma 3 2 6 3 6 2" xfId="8711" xr:uid="{00000000-0005-0000-0000-00000A220000}"/>
    <cellStyle name="Comma 3 2 6 3 7" xfId="8712" xr:uid="{00000000-0005-0000-0000-00000B220000}"/>
    <cellStyle name="Comma 3 2 6 4" xfId="8713" xr:uid="{00000000-0005-0000-0000-00000C220000}"/>
    <cellStyle name="Comma 3 2 6 4 2" xfId="8714" xr:uid="{00000000-0005-0000-0000-00000D220000}"/>
    <cellStyle name="Comma 3 2 6 4 2 2" xfId="8715" xr:uid="{00000000-0005-0000-0000-00000E220000}"/>
    <cellStyle name="Comma 3 2 6 4 2 2 2" xfId="8716" xr:uid="{00000000-0005-0000-0000-00000F220000}"/>
    <cellStyle name="Comma 3 2 6 4 2 2 2 2" xfId="8717" xr:uid="{00000000-0005-0000-0000-000010220000}"/>
    <cellStyle name="Comma 3 2 6 4 2 2 3" xfId="8718" xr:uid="{00000000-0005-0000-0000-000011220000}"/>
    <cellStyle name="Comma 3 2 6 4 2 3" xfId="8719" xr:uid="{00000000-0005-0000-0000-000012220000}"/>
    <cellStyle name="Comma 3 2 6 4 2 3 2" xfId="8720" xr:uid="{00000000-0005-0000-0000-000013220000}"/>
    <cellStyle name="Comma 3 2 6 4 2 4" xfId="8721" xr:uid="{00000000-0005-0000-0000-000014220000}"/>
    <cellStyle name="Comma 3 2 6 4 2 4 2" xfId="8722" xr:uid="{00000000-0005-0000-0000-000015220000}"/>
    <cellStyle name="Comma 3 2 6 4 2 5" xfId="8723" xr:uid="{00000000-0005-0000-0000-000016220000}"/>
    <cellStyle name="Comma 3 2 6 4 3" xfId="8724" xr:uid="{00000000-0005-0000-0000-000017220000}"/>
    <cellStyle name="Comma 3 2 6 4 3 2" xfId="8725" xr:uid="{00000000-0005-0000-0000-000018220000}"/>
    <cellStyle name="Comma 3 2 6 4 3 2 2" xfId="8726" xr:uid="{00000000-0005-0000-0000-000019220000}"/>
    <cellStyle name="Comma 3 2 6 4 3 3" xfId="8727" xr:uid="{00000000-0005-0000-0000-00001A220000}"/>
    <cellStyle name="Comma 3 2 6 4 4" xfId="8728" xr:uid="{00000000-0005-0000-0000-00001B220000}"/>
    <cellStyle name="Comma 3 2 6 4 4 2" xfId="8729" xr:uid="{00000000-0005-0000-0000-00001C220000}"/>
    <cellStyle name="Comma 3 2 6 4 5" xfId="8730" xr:uid="{00000000-0005-0000-0000-00001D220000}"/>
    <cellStyle name="Comma 3 2 6 4 5 2" xfId="8731" xr:uid="{00000000-0005-0000-0000-00001E220000}"/>
    <cellStyle name="Comma 3 2 6 4 6" xfId="8732" xr:uid="{00000000-0005-0000-0000-00001F220000}"/>
    <cellStyle name="Comma 3 2 6 5" xfId="8733" xr:uid="{00000000-0005-0000-0000-000020220000}"/>
    <cellStyle name="Comma 3 2 6 5 2" xfId="8734" xr:uid="{00000000-0005-0000-0000-000021220000}"/>
    <cellStyle name="Comma 3 2 6 5 2 2" xfId="8735" xr:uid="{00000000-0005-0000-0000-000022220000}"/>
    <cellStyle name="Comma 3 2 6 5 2 2 2" xfId="8736" xr:uid="{00000000-0005-0000-0000-000023220000}"/>
    <cellStyle name="Comma 3 2 6 5 2 3" xfId="8737" xr:uid="{00000000-0005-0000-0000-000024220000}"/>
    <cellStyle name="Comma 3 2 6 5 3" xfId="8738" xr:uid="{00000000-0005-0000-0000-000025220000}"/>
    <cellStyle name="Comma 3 2 6 5 3 2" xfId="8739" xr:uid="{00000000-0005-0000-0000-000026220000}"/>
    <cellStyle name="Comma 3 2 6 5 4" xfId="8740" xr:uid="{00000000-0005-0000-0000-000027220000}"/>
    <cellStyle name="Comma 3 2 6 5 4 2" xfId="8741" xr:uid="{00000000-0005-0000-0000-000028220000}"/>
    <cellStyle name="Comma 3 2 6 5 5" xfId="8742" xr:uid="{00000000-0005-0000-0000-000029220000}"/>
    <cellStyle name="Comma 3 2 6 6" xfId="8743" xr:uid="{00000000-0005-0000-0000-00002A220000}"/>
    <cellStyle name="Comma 3 2 6 6 2" xfId="8744" xr:uid="{00000000-0005-0000-0000-00002B220000}"/>
    <cellStyle name="Comma 3 2 6 6 2 2" xfId="8745" xr:uid="{00000000-0005-0000-0000-00002C220000}"/>
    <cellStyle name="Comma 3 2 6 6 3" xfId="8746" xr:uid="{00000000-0005-0000-0000-00002D220000}"/>
    <cellStyle name="Comma 3 2 6 7" xfId="8747" xr:uid="{00000000-0005-0000-0000-00002E220000}"/>
    <cellStyle name="Comma 3 2 6 7 2" xfId="8748" xr:uid="{00000000-0005-0000-0000-00002F220000}"/>
    <cellStyle name="Comma 3 2 6 8" xfId="8749" xr:uid="{00000000-0005-0000-0000-000030220000}"/>
    <cellStyle name="Comma 3 2 6 8 2" xfId="8750" xr:uid="{00000000-0005-0000-0000-000031220000}"/>
    <cellStyle name="Comma 3 2 6 9" xfId="8751" xr:uid="{00000000-0005-0000-0000-000032220000}"/>
    <cellStyle name="Comma 3 2 7" xfId="8752" xr:uid="{00000000-0005-0000-0000-000033220000}"/>
    <cellStyle name="Comma 3 2 7 2" xfId="8753" xr:uid="{00000000-0005-0000-0000-000034220000}"/>
    <cellStyle name="Comma 3 2 7 2 2" xfId="8754" xr:uid="{00000000-0005-0000-0000-000035220000}"/>
    <cellStyle name="Comma 3 2 7 2 2 2" xfId="8755" xr:uid="{00000000-0005-0000-0000-000036220000}"/>
    <cellStyle name="Comma 3 2 7 2 2 2 2" xfId="8756" xr:uid="{00000000-0005-0000-0000-000037220000}"/>
    <cellStyle name="Comma 3 2 7 2 2 2 2 2" xfId="8757" xr:uid="{00000000-0005-0000-0000-000038220000}"/>
    <cellStyle name="Comma 3 2 7 2 2 2 2 2 2" xfId="8758" xr:uid="{00000000-0005-0000-0000-000039220000}"/>
    <cellStyle name="Comma 3 2 7 2 2 2 2 3" xfId="8759" xr:uid="{00000000-0005-0000-0000-00003A220000}"/>
    <cellStyle name="Comma 3 2 7 2 2 2 3" xfId="8760" xr:uid="{00000000-0005-0000-0000-00003B220000}"/>
    <cellStyle name="Comma 3 2 7 2 2 2 3 2" xfId="8761" xr:uid="{00000000-0005-0000-0000-00003C220000}"/>
    <cellStyle name="Comma 3 2 7 2 2 2 4" xfId="8762" xr:uid="{00000000-0005-0000-0000-00003D220000}"/>
    <cellStyle name="Comma 3 2 7 2 2 2 4 2" xfId="8763" xr:uid="{00000000-0005-0000-0000-00003E220000}"/>
    <cellStyle name="Comma 3 2 7 2 2 2 5" xfId="8764" xr:uid="{00000000-0005-0000-0000-00003F220000}"/>
    <cellStyle name="Comma 3 2 7 2 2 3" xfId="8765" xr:uid="{00000000-0005-0000-0000-000040220000}"/>
    <cellStyle name="Comma 3 2 7 2 2 3 2" xfId="8766" xr:uid="{00000000-0005-0000-0000-000041220000}"/>
    <cellStyle name="Comma 3 2 7 2 2 3 2 2" xfId="8767" xr:uid="{00000000-0005-0000-0000-000042220000}"/>
    <cellStyle name="Comma 3 2 7 2 2 3 3" xfId="8768" xr:uid="{00000000-0005-0000-0000-000043220000}"/>
    <cellStyle name="Comma 3 2 7 2 2 4" xfId="8769" xr:uid="{00000000-0005-0000-0000-000044220000}"/>
    <cellStyle name="Comma 3 2 7 2 2 4 2" xfId="8770" xr:uid="{00000000-0005-0000-0000-000045220000}"/>
    <cellStyle name="Comma 3 2 7 2 2 5" xfId="8771" xr:uid="{00000000-0005-0000-0000-000046220000}"/>
    <cellStyle name="Comma 3 2 7 2 2 5 2" xfId="8772" xr:uid="{00000000-0005-0000-0000-000047220000}"/>
    <cellStyle name="Comma 3 2 7 2 2 6" xfId="8773" xr:uid="{00000000-0005-0000-0000-000048220000}"/>
    <cellStyle name="Comma 3 2 7 2 3" xfId="8774" xr:uid="{00000000-0005-0000-0000-000049220000}"/>
    <cellStyle name="Comma 3 2 7 2 3 2" xfId="8775" xr:uid="{00000000-0005-0000-0000-00004A220000}"/>
    <cellStyle name="Comma 3 2 7 2 3 2 2" xfId="8776" xr:uid="{00000000-0005-0000-0000-00004B220000}"/>
    <cellStyle name="Comma 3 2 7 2 3 2 2 2" xfId="8777" xr:uid="{00000000-0005-0000-0000-00004C220000}"/>
    <cellStyle name="Comma 3 2 7 2 3 2 3" xfId="8778" xr:uid="{00000000-0005-0000-0000-00004D220000}"/>
    <cellStyle name="Comma 3 2 7 2 3 3" xfId="8779" xr:uid="{00000000-0005-0000-0000-00004E220000}"/>
    <cellStyle name="Comma 3 2 7 2 3 3 2" xfId="8780" xr:uid="{00000000-0005-0000-0000-00004F220000}"/>
    <cellStyle name="Comma 3 2 7 2 3 4" xfId="8781" xr:uid="{00000000-0005-0000-0000-000050220000}"/>
    <cellStyle name="Comma 3 2 7 2 3 4 2" xfId="8782" xr:uid="{00000000-0005-0000-0000-000051220000}"/>
    <cellStyle name="Comma 3 2 7 2 3 5" xfId="8783" xr:uid="{00000000-0005-0000-0000-000052220000}"/>
    <cellStyle name="Comma 3 2 7 2 4" xfId="8784" xr:uid="{00000000-0005-0000-0000-000053220000}"/>
    <cellStyle name="Comma 3 2 7 2 4 2" xfId="8785" xr:uid="{00000000-0005-0000-0000-000054220000}"/>
    <cellStyle name="Comma 3 2 7 2 4 2 2" xfId="8786" xr:uid="{00000000-0005-0000-0000-000055220000}"/>
    <cellStyle name="Comma 3 2 7 2 4 3" xfId="8787" xr:uid="{00000000-0005-0000-0000-000056220000}"/>
    <cellStyle name="Comma 3 2 7 2 5" xfId="8788" xr:uid="{00000000-0005-0000-0000-000057220000}"/>
    <cellStyle name="Comma 3 2 7 2 5 2" xfId="8789" xr:uid="{00000000-0005-0000-0000-000058220000}"/>
    <cellStyle name="Comma 3 2 7 2 6" xfId="8790" xr:uid="{00000000-0005-0000-0000-000059220000}"/>
    <cellStyle name="Comma 3 2 7 2 6 2" xfId="8791" xr:uid="{00000000-0005-0000-0000-00005A220000}"/>
    <cellStyle name="Comma 3 2 7 2 7" xfId="8792" xr:uid="{00000000-0005-0000-0000-00005B220000}"/>
    <cellStyle name="Comma 3 2 7 3" xfId="8793" xr:uid="{00000000-0005-0000-0000-00005C220000}"/>
    <cellStyle name="Comma 3 2 7 3 2" xfId="8794" xr:uid="{00000000-0005-0000-0000-00005D220000}"/>
    <cellStyle name="Comma 3 2 7 3 2 2" xfId="8795" xr:uid="{00000000-0005-0000-0000-00005E220000}"/>
    <cellStyle name="Comma 3 2 7 3 2 2 2" xfId="8796" xr:uid="{00000000-0005-0000-0000-00005F220000}"/>
    <cellStyle name="Comma 3 2 7 3 2 2 2 2" xfId="8797" xr:uid="{00000000-0005-0000-0000-000060220000}"/>
    <cellStyle name="Comma 3 2 7 3 2 2 3" xfId="8798" xr:uid="{00000000-0005-0000-0000-000061220000}"/>
    <cellStyle name="Comma 3 2 7 3 2 3" xfId="8799" xr:uid="{00000000-0005-0000-0000-000062220000}"/>
    <cellStyle name="Comma 3 2 7 3 2 3 2" xfId="8800" xr:uid="{00000000-0005-0000-0000-000063220000}"/>
    <cellStyle name="Comma 3 2 7 3 2 4" xfId="8801" xr:uid="{00000000-0005-0000-0000-000064220000}"/>
    <cellStyle name="Comma 3 2 7 3 2 4 2" xfId="8802" xr:uid="{00000000-0005-0000-0000-000065220000}"/>
    <cellStyle name="Comma 3 2 7 3 2 5" xfId="8803" xr:uid="{00000000-0005-0000-0000-000066220000}"/>
    <cellStyle name="Comma 3 2 7 3 3" xfId="8804" xr:uid="{00000000-0005-0000-0000-000067220000}"/>
    <cellStyle name="Comma 3 2 7 3 3 2" xfId="8805" xr:uid="{00000000-0005-0000-0000-000068220000}"/>
    <cellStyle name="Comma 3 2 7 3 3 2 2" xfId="8806" xr:uid="{00000000-0005-0000-0000-000069220000}"/>
    <cellStyle name="Comma 3 2 7 3 3 3" xfId="8807" xr:uid="{00000000-0005-0000-0000-00006A220000}"/>
    <cellStyle name="Comma 3 2 7 3 4" xfId="8808" xr:uid="{00000000-0005-0000-0000-00006B220000}"/>
    <cellStyle name="Comma 3 2 7 3 4 2" xfId="8809" xr:uid="{00000000-0005-0000-0000-00006C220000}"/>
    <cellStyle name="Comma 3 2 7 3 5" xfId="8810" xr:uid="{00000000-0005-0000-0000-00006D220000}"/>
    <cellStyle name="Comma 3 2 7 3 5 2" xfId="8811" xr:uid="{00000000-0005-0000-0000-00006E220000}"/>
    <cellStyle name="Comma 3 2 7 3 6" xfId="8812" xr:uid="{00000000-0005-0000-0000-00006F220000}"/>
    <cellStyle name="Comma 3 2 7 4" xfId="8813" xr:uid="{00000000-0005-0000-0000-000070220000}"/>
    <cellStyle name="Comma 3 2 7 4 2" xfId="8814" xr:uid="{00000000-0005-0000-0000-000071220000}"/>
    <cellStyle name="Comma 3 2 7 4 2 2" xfId="8815" xr:uid="{00000000-0005-0000-0000-000072220000}"/>
    <cellStyle name="Comma 3 2 7 4 2 2 2" xfId="8816" xr:uid="{00000000-0005-0000-0000-000073220000}"/>
    <cellStyle name="Comma 3 2 7 4 2 3" xfId="8817" xr:uid="{00000000-0005-0000-0000-000074220000}"/>
    <cellStyle name="Comma 3 2 7 4 3" xfId="8818" xr:uid="{00000000-0005-0000-0000-000075220000}"/>
    <cellStyle name="Comma 3 2 7 4 3 2" xfId="8819" xr:uid="{00000000-0005-0000-0000-000076220000}"/>
    <cellStyle name="Comma 3 2 7 4 4" xfId="8820" xr:uid="{00000000-0005-0000-0000-000077220000}"/>
    <cellStyle name="Comma 3 2 7 4 4 2" xfId="8821" xr:uid="{00000000-0005-0000-0000-000078220000}"/>
    <cellStyle name="Comma 3 2 7 4 5" xfId="8822" xr:uid="{00000000-0005-0000-0000-000079220000}"/>
    <cellStyle name="Comma 3 2 7 5" xfId="8823" xr:uid="{00000000-0005-0000-0000-00007A220000}"/>
    <cellStyle name="Comma 3 2 7 5 2" xfId="8824" xr:uid="{00000000-0005-0000-0000-00007B220000}"/>
    <cellStyle name="Comma 3 2 7 5 2 2" xfId="8825" xr:uid="{00000000-0005-0000-0000-00007C220000}"/>
    <cellStyle name="Comma 3 2 7 5 3" xfId="8826" xr:uid="{00000000-0005-0000-0000-00007D220000}"/>
    <cellStyle name="Comma 3 2 7 6" xfId="8827" xr:uid="{00000000-0005-0000-0000-00007E220000}"/>
    <cellStyle name="Comma 3 2 7 6 2" xfId="8828" xr:uid="{00000000-0005-0000-0000-00007F220000}"/>
    <cellStyle name="Comma 3 2 7 7" xfId="8829" xr:uid="{00000000-0005-0000-0000-000080220000}"/>
    <cellStyle name="Comma 3 2 7 7 2" xfId="8830" xr:uid="{00000000-0005-0000-0000-000081220000}"/>
    <cellStyle name="Comma 3 2 7 8" xfId="8831" xr:uid="{00000000-0005-0000-0000-000082220000}"/>
    <cellStyle name="Comma 3 2 8" xfId="8832" xr:uid="{00000000-0005-0000-0000-000083220000}"/>
    <cellStyle name="Comma 3 2 8 2" xfId="8833" xr:uid="{00000000-0005-0000-0000-000084220000}"/>
    <cellStyle name="Comma 3 2 8 2 2" xfId="8834" xr:uid="{00000000-0005-0000-0000-000085220000}"/>
    <cellStyle name="Comma 3 2 8 2 2 2" xfId="8835" xr:uid="{00000000-0005-0000-0000-000086220000}"/>
    <cellStyle name="Comma 3 2 8 2 2 2 2" xfId="8836" xr:uid="{00000000-0005-0000-0000-000087220000}"/>
    <cellStyle name="Comma 3 2 8 2 2 2 2 2" xfId="8837" xr:uid="{00000000-0005-0000-0000-000088220000}"/>
    <cellStyle name="Comma 3 2 8 2 2 2 3" xfId="8838" xr:uid="{00000000-0005-0000-0000-000089220000}"/>
    <cellStyle name="Comma 3 2 8 2 2 3" xfId="8839" xr:uid="{00000000-0005-0000-0000-00008A220000}"/>
    <cellStyle name="Comma 3 2 8 2 2 3 2" xfId="8840" xr:uid="{00000000-0005-0000-0000-00008B220000}"/>
    <cellStyle name="Comma 3 2 8 2 2 4" xfId="8841" xr:uid="{00000000-0005-0000-0000-00008C220000}"/>
    <cellStyle name="Comma 3 2 8 2 2 4 2" xfId="8842" xr:uid="{00000000-0005-0000-0000-00008D220000}"/>
    <cellStyle name="Comma 3 2 8 2 2 5" xfId="8843" xr:uid="{00000000-0005-0000-0000-00008E220000}"/>
    <cellStyle name="Comma 3 2 8 2 3" xfId="8844" xr:uid="{00000000-0005-0000-0000-00008F220000}"/>
    <cellStyle name="Comma 3 2 8 2 3 2" xfId="8845" xr:uid="{00000000-0005-0000-0000-000090220000}"/>
    <cellStyle name="Comma 3 2 8 2 3 2 2" xfId="8846" xr:uid="{00000000-0005-0000-0000-000091220000}"/>
    <cellStyle name="Comma 3 2 8 2 3 3" xfId="8847" xr:uid="{00000000-0005-0000-0000-000092220000}"/>
    <cellStyle name="Comma 3 2 8 2 4" xfId="8848" xr:uid="{00000000-0005-0000-0000-000093220000}"/>
    <cellStyle name="Comma 3 2 8 2 4 2" xfId="8849" xr:uid="{00000000-0005-0000-0000-000094220000}"/>
    <cellStyle name="Comma 3 2 8 2 5" xfId="8850" xr:uid="{00000000-0005-0000-0000-000095220000}"/>
    <cellStyle name="Comma 3 2 8 2 5 2" xfId="8851" xr:uid="{00000000-0005-0000-0000-000096220000}"/>
    <cellStyle name="Comma 3 2 8 2 6" xfId="8852" xr:uid="{00000000-0005-0000-0000-000097220000}"/>
    <cellStyle name="Comma 3 2 8 3" xfId="8853" xr:uid="{00000000-0005-0000-0000-000098220000}"/>
    <cellStyle name="Comma 3 2 8 3 2" xfId="8854" xr:uid="{00000000-0005-0000-0000-000099220000}"/>
    <cellStyle name="Comma 3 2 8 3 2 2" xfId="8855" xr:uid="{00000000-0005-0000-0000-00009A220000}"/>
    <cellStyle name="Comma 3 2 8 3 2 2 2" xfId="8856" xr:uid="{00000000-0005-0000-0000-00009B220000}"/>
    <cellStyle name="Comma 3 2 8 3 2 3" xfId="8857" xr:uid="{00000000-0005-0000-0000-00009C220000}"/>
    <cellStyle name="Comma 3 2 8 3 3" xfId="8858" xr:uid="{00000000-0005-0000-0000-00009D220000}"/>
    <cellStyle name="Comma 3 2 8 3 3 2" xfId="8859" xr:uid="{00000000-0005-0000-0000-00009E220000}"/>
    <cellStyle name="Comma 3 2 8 3 4" xfId="8860" xr:uid="{00000000-0005-0000-0000-00009F220000}"/>
    <cellStyle name="Comma 3 2 8 3 4 2" xfId="8861" xr:uid="{00000000-0005-0000-0000-0000A0220000}"/>
    <cellStyle name="Comma 3 2 8 3 5" xfId="8862" xr:uid="{00000000-0005-0000-0000-0000A1220000}"/>
    <cellStyle name="Comma 3 2 8 4" xfId="8863" xr:uid="{00000000-0005-0000-0000-0000A2220000}"/>
    <cellStyle name="Comma 3 2 8 4 2" xfId="8864" xr:uid="{00000000-0005-0000-0000-0000A3220000}"/>
    <cellStyle name="Comma 3 2 8 4 2 2" xfId="8865" xr:uid="{00000000-0005-0000-0000-0000A4220000}"/>
    <cellStyle name="Comma 3 2 8 4 3" xfId="8866" xr:uid="{00000000-0005-0000-0000-0000A5220000}"/>
    <cellStyle name="Comma 3 2 8 5" xfId="8867" xr:uid="{00000000-0005-0000-0000-0000A6220000}"/>
    <cellStyle name="Comma 3 2 8 5 2" xfId="8868" xr:uid="{00000000-0005-0000-0000-0000A7220000}"/>
    <cellStyle name="Comma 3 2 8 6" xfId="8869" xr:uid="{00000000-0005-0000-0000-0000A8220000}"/>
    <cellStyle name="Comma 3 2 8 6 2" xfId="8870" xr:uid="{00000000-0005-0000-0000-0000A9220000}"/>
    <cellStyle name="Comma 3 2 8 7" xfId="8871" xr:uid="{00000000-0005-0000-0000-0000AA220000}"/>
    <cellStyle name="Comma 3 2 9" xfId="8872" xr:uid="{00000000-0005-0000-0000-0000AB220000}"/>
    <cellStyle name="Comma 3 2 9 2" xfId="8873" xr:uid="{00000000-0005-0000-0000-0000AC220000}"/>
    <cellStyle name="Comma 3 2 9 2 2" xfId="8874" xr:uid="{00000000-0005-0000-0000-0000AD220000}"/>
    <cellStyle name="Comma 3 2 9 2 2 2" xfId="8875" xr:uid="{00000000-0005-0000-0000-0000AE220000}"/>
    <cellStyle name="Comma 3 2 9 2 2 2 2" xfId="8876" xr:uid="{00000000-0005-0000-0000-0000AF220000}"/>
    <cellStyle name="Comma 3 2 9 2 2 2 2 2" xfId="8877" xr:uid="{00000000-0005-0000-0000-0000B0220000}"/>
    <cellStyle name="Comma 3 2 9 2 2 2 3" xfId="8878" xr:uid="{00000000-0005-0000-0000-0000B1220000}"/>
    <cellStyle name="Comma 3 2 9 2 2 3" xfId="8879" xr:uid="{00000000-0005-0000-0000-0000B2220000}"/>
    <cellStyle name="Comma 3 2 9 2 2 3 2" xfId="8880" xr:uid="{00000000-0005-0000-0000-0000B3220000}"/>
    <cellStyle name="Comma 3 2 9 2 2 4" xfId="8881" xr:uid="{00000000-0005-0000-0000-0000B4220000}"/>
    <cellStyle name="Comma 3 2 9 2 2 4 2" xfId="8882" xr:uid="{00000000-0005-0000-0000-0000B5220000}"/>
    <cellStyle name="Comma 3 2 9 2 2 5" xfId="8883" xr:uid="{00000000-0005-0000-0000-0000B6220000}"/>
    <cellStyle name="Comma 3 2 9 2 3" xfId="8884" xr:uid="{00000000-0005-0000-0000-0000B7220000}"/>
    <cellStyle name="Comma 3 2 9 2 3 2" xfId="8885" xr:uid="{00000000-0005-0000-0000-0000B8220000}"/>
    <cellStyle name="Comma 3 2 9 2 3 2 2" xfId="8886" xr:uid="{00000000-0005-0000-0000-0000B9220000}"/>
    <cellStyle name="Comma 3 2 9 2 3 3" xfId="8887" xr:uid="{00000000-0005-0000-0000-0000BA220000}"/>
    <cellStyle name="Comma 3 2 9 2 4" xfId="8888" xr:uid="{00000000-0005-0000-0000-0000BB220000}"/>
    <cellStyle name="Comma 3 2 9 2 4 2" xfId="8889" xr:uid="{00000000-0005-0000-0000-0000BC220000}"/>
    <cellStyle name="Comma 3 2 9 2 5" xfId="8890" xr:uid="{00000000-0005-0000-0000-0000BD220000}"/>
    <cellStyle name="Comma 3 2 9 2 5 2" xfId="8891" xr:uid="{00000000-0005-0000-0000-0000BE220000}"/>
    <cellStyle name="Comma 3 2 9 2 6" xfId="8892" xr:uid="{00000000-0005-0000-0000-0000BF220000}"/>
    <cellStyle name="Comma 3 2 9 3" xfId="8893" xr:uid="{00000000-0005-0000-0000-0000C0220000}"/>
    <cellStyle name="Comma 3 2 9 3 2" xfId="8894" xr:uid="{00000000-0005-0000-0000-0000C1220000}"/>
    <cellStyle name="Comma 3 2 9 3 2 2" xfId="8895" xr:uid="{00000000-0005-0000-0000-0000C2220000}"/>
    <cellStyle name="Comma 3 2 9 3 2 2 2" xfId="8896" xr:uid="{00000000-0005-0000-0000-0000C3220000}"/>
    <cellStyle name="Comma 3 2 9 3 2 3" xfId="8897" xr:uid="{00000000-0005-0000-0000-0000C4220000}"/>
    <cellStyle name="Comma 3 2 9 3 3" xfId="8898" xr:uid="{00000000-0005-0000-0000-0000C5220000}"/>
    <cellStyle name="Comma 3 2 9 3 3 2" xfId="8899" xr:uid="{00000000-0005-0000-0000-0000C6220000}"/>
    <cellStyle name="Comma 3 2 9 3 4" xfId="8900" xr:uid="{00000000-0005-0000-0000-0000C7220000}"/>
    <cellStyle name="Comma 3 2 9 3 4 2" xfId="8901" xr:uid="{00000000-0005-0000-0000-0000C8220000}"/>
    <cellStyle name="Comma 3 2 9 3 5" xfId="8902" xr:uid="{00000000-0005-0000-0000-0000C9220000}"/>
    <cellStyle name="Comma 3 2 9 4" xfId="8903" xr:uid="{00000000-0005-0000-0000-0000CA220000}"/>
    <cellStyle name="Comma 3 2 9 4 2" xfId="8904" xr:uid="{00000000-0005-0000-0000-0000CB220000}"/>
    <cellStyle name="Comma 3 2 9 4 2 2" xfId="8905" xr:uid="{00000000-0005-0000-0000-0000CC220000}"/>
    <cellStyle name="Comma 3 2 9 4 3" xfId="8906" xr:uid="{00000000-0005-0000-0000-0000CD220000}"/>
    <cellStyle name="Comma 3 2 9 5" xfId="8907" xr:uid="{00000000-0005-0000-0000-0000CE220000}"/>
    <cellStyle name="Comma 3 2 9 5 2" xfId="8908" xr:uid="{00000000-0005-0000-0000-0000CF220000}"/>
    <cellStyle name="Comma 3 2 9 6" xfId="8909" xr:uid="{00000000-0005-0000-0000-0000D0220000}"/>
    <cellStyle name="Comma 3 2 9 6 2" xfId="8910" xr:uid="{00000000-0005-0000-0000-0000D1220000}"/>
    <cellStyle name="Comma 3 2 9 7" xfId="8911" xr:uid="{00000000-0005-0000-0000-0000D2220000}"/>
    <cellStyle name="Comma 3 20" xfId="8912" xr:uid="{00000000-0005-0000-0000-0000D3220000}"/>
    <cellStyle name="Comma 3 21" xfId="8913" xr:uid="{00000000-0005-0000-0000-0000D4220000}"/>
    <cellStyle name="Comma 3 3" xfId="8914" xr:uid="{00000000-0005-0000-0000-0000D5220000}"/>
    <cellStyle name="Comma 3 3 10" xfId="8915" xr:uid="{00000000-0005-0000-0000-0000D6220000}"/>
    <cellStyle name="Comma 3 3 10 2" xfId="8916" xr:uid="{00000000-0005-0000-0000-0000D7220000}"/>
    <cellStyle name="Comma 3 3 10 2 2" xfId="8917" xr:uid="{00000000-0005-0000-0000-0000D8220000}"/>
    <cellStyle name="Comma 3 3 10 3" xfId="8918" xr:uid="{00000000-0005-0000-0000-0000D9220000}"/>
    <cellStyle name="Comma 3 3 11" xfId="8919" xr:uid="{00000000-0005-0000-0000-0000DA220000}"/>
    <cellStyle name="Comma 3 3 11 2" xfId="8920" xr:uid="{00000000-0005-0000-0000-0000DB220000}"/>
    <cellStyle name="Comma 3 3 12" xfId="8921" xr:uid="{00000000-0005-0000-0000-0000DC220000}"/>
    <cellStyle name="Comma 3 3 12 2" xfId="8922" xr:uid="{00000000-0005-0000-0000-0000DD220000}"/>
    <cellStyle name="Comma 3 3 13" xfId="8923" xr:uid="{00000000-0005-0000-0000-0000DE220000}"/>
    <cellStyle name="Comma 3 3 2" xfId="8924" xr:uid="{00000000-0005-0000-0000-0000DF220000}"/>
    <cellStyle name="Comma 3 3 2 10" xfId="8925" xr:uid="{00000000-0005-0000-0000-0000E0220000}"/>
    <cellStyle name="Comma 3 3 2 10 2" xfId="8926" xr:uid="{00000000-0005-0000-0000-0000E1220000}"/>
    <cellStyle name="Comma 3 3 2 11" xfId="8927" xr:uid="{00000000-0005-0000-0000-0000E2220000}"/>
    <cellStyle name="Comma 3 3 2 11 2" xfId="8928" xr:uid="{00000000-0005-0000-0000-0000E3220000}"/>
    <cellStyle name="Comma 3 3 2 12" xfId="8929" xr:uid="{00000000-0005-0000-0000-0000E4220000}"/>
    <cellStyle name="Comma 3 3 2 2" xfId="8930" xr:uid="{00000000-0005-0000-0000-0000E5220000}"/>
    <cellStyle name="Comma 3 3 2 2 2" xfId="8931" xr:uid="{00000000-0005-0000-0000-0000E6220000}"/>
    <cellStyle name="Comma 3 3 2 2 2 2" xfId="8932" xr:uid="{00000000-0005-0000-0000-0000E7220000}"/>
    <cellStyle name="Comma 3 3 2 2 2 2 2" xfId="8933" xr:uid="{00000000-0005-0000-0000-0000E8220000}"/>
    <cellStyle name="Comma 3 3 2 2 2 2 2 2" xfId="8934" xr:uid="{00000000-0005-0000-0000-0000E9220000}"/>
    <cellStyle name="Comma 3 3 2 2 2 2 2 2 2" xfId="8935" xr:uid="{00000000-0005-0000-0000-0000EA220000}"/>
    <cellStyle name="Comma 3 3 2 2 2 2 2 2 2 2" xfId="8936" xr:uid="{00000000-0005-0000-0000-0000EB220000}"/>
    <cellStyle name="Comma 3 3 2 2 2 2 2 2 3" xfId="8937" xr:uid="{00000000-0005-0000-0000-0000EC220000}"/>
    <cellStyle name="Comma 3 3 2 2 2 2 2 3" xfId="8938" xr:uid="{00000000-0005-0000-0000-0000ED220000}"/>
    <cellStyle name="Comma 3 3 2 2 2 2 2 3 2" xfId="8939" xr:uid="{00000000-0005-0000-0000-0000EE220000}"/>
    <cellStyle name="Comma 3 3 2 2 2 2 2 4" xfId="8940" xr:uid="{00000000-0005-0000-0000-0000EF220000}"/>
    <cellStyle name="Comma 3 3 2 2 2 2 2 4 2" xfId="8941" xr:uid="{00000000-0005-0000-0000-0000F0220000}"/>
    <cellStyle name="Comma 3 3 2 2 2 2 2 5" xfId="8942" xr:uid="{00000000-0005-0000-0000-0000F1220000}"/>
    <cellStyle name="Comma 3 3 2 2 2 2 3" xfId="8943" xr:uid="{00000000-0005-0000-0000-0000F2220000}"/>
    <cellStyle name="Comma 3 3 2 2 2 2 3 2" xfId="8944" xr:uid="{00000000-0005-0000-0000-0000F3220000}"/>
    <cellStyle name="Comma 3 3 2 2 2 2 3 2 2" xfId="8945" xr:uid="{00000000-0005-0000-0000-0000F4220000}"/>
    <cellStyle name="Comma 3 3 2 2 2 2 3 3" xfId="8946" xr:uid="{00000000-0005-0000-0000-0000F5220000}"/>
    <cellStyle name="Comma 3 3 2 2 2 2 4" xfId="8947" xr:uid="{00000000-0005-0000-0000-0000F6220000}"/>
    <cellStyle name="Comma 3 3 2 2 2 2 4 2" xfId="8948" xr:uid="{00000000-0005-0000-0000-0000F7220000}"/>
    <cellStyle name="Comma 3 3 2 2 2 2 5" xfId="8949" xr:uid="{00000000-0005-0000-0000-0000F8220000}"/>
    <cellStyle name="Comma 3 3 2 2 2 2 5 2" xfId="8950" xr:uid="{00000000-0005-0000-0000-0000F9220000}"/>
    <cellStyle name="Comma 3 3 2 2 2 2 6" xfId="8951" xr:uid="{00000000-0005-0000-0000-0000FA220000}"/>
    <cellStyle name="Comma 3 3 2 2 2 3" xfId="8952" xr:uid="{00000000-0005-0000-0000-0000FB220000}"/>
    <cellStyle name="Comma 3 3 2 2 2 3 2" xfId="8953" xr:uid="{00000000-0005-0000-0000-0000FC220000}"/>
    <cellStyle name="Comma 3 3 2 2 2 3 2 2" xfId="8954" xr:uid="{00000000-0005-0000-0000-0000FD220000}"/>
    <cellStyle name="Comma 3 3 2 2 2 3 2 2 2" xfId="8955" xr:uid="{00000000-0005-0000-0000-0000FE220000}"/>
    <cellStyle name="Comma 3 3 2 2 2 3 2 3" xfId="8956" xr:uid="{00000000-0005-0000-0000-0000FF220000}"/>
    <cellStyle name="Comma 3 3 2 2 2 3 3" xfId="8957" xr:uid="{00000000-0005-0000-0000-000000230000}"/>
    <cellStyle name="Comma 3 3 2 2 2 3 3 2" xfId="8958" xr:uid="{00000000-0005-0000-0000-000001230000}"/>
    <cellStyle name="Comma 3 3 2 2 2 3 4" xfId="8959" xr:uid="{00000000-0005-0000-0000-000002230000}"/>
    <cellStyle name="Comma 3 3 2 2 2 3 4 2" xfId="8960" xr:uid="{00000000-0005-0000-0000-000003230000}"/>
    <cellStyle name="Comma 3 3 2 2 2 3 5" xfId="8961" xr:uid="{00000000-0005-0000-0000-000004230000}"/>
    <cellStyle name="Comma 3 3 2 2 2 4" xfId="8962" xr:uid="{00000000-0005-0000-0000-000005230000}"/>
    <cellStyle name="Comma 3 3 2 2 2 4 2" xfId="8963" xr:uid="{00000000-0005-0000-0000-000006230000}"/>
    <cellStyle name="Comma 3 3 2 2 2 4 2 2" xfId="8964" xr:uid="{00000000-0005-0000-0000-000007230000}"/>
    <cellStyle name="Comma 3 3 2 2 2 4 3" xfId="8965" xr:uid="{00000000-0005-0000-0000-000008230000}"/>
    <cellStyle name="Comma 3 3 2 2 2 5" xfId="8966" xr:uid="{00000000-0005-0000-0000-000009230000}"/>
    <cellStyle name="Comma 3 3 2 2 2 5 2" xfId="8967" xr:uid="{00000000-0005-0000-0000-00000A230000}"/>
    <cellStyle name="Comma 3 3 2 2 2 6" xfId="8968" xr:uid="{00000000-0005-0000-0000-00000B230000}"/>
    <cellStyle name="Comma 3 3 2 2 2 6 2" xfId="8969" xr:uid="{00000000-0005-0000-0000-00000C230000}"/>
    <cellStyle name="Comma 3 3 2 2 2 7" xfId="8970" xr:uid="{00000000-0005-0000-0000-00000D230000}"/>
    <cellStyle name="Comma 3 3 2 2 3" xfId="8971" xr:uid="{00000000-0005-0000-0000-00000E230000}"/>
    <cellStyle name="Comma 3 3 2 2 3 2" xfId="8972" xr:uid="{00000000-0005-0000-0000-00000F230000}"/>
    <cellStyle name="Comma 3 3 2 2 3 2 2" xfId="8973" xr:uid="{00000000-0005-0000-0000-000010230000}"/>
    <cellStyle name="Comma 3 3 2 2 3 2 2 2" xfId="8974" xr:uid="{00000000-0005-0000-0000-000011230000}"/>
    <cellStyle name="Comma 3 3 2 2 3 2 2 2 2" xfId="8975" xr:uid="{00000000-0005-0000-0000-000012230000}"/>
    <cellStyle name="Comma 3 3 2 2 3 2 2 2 2 2" xfId="8976" xr:uid="{00000000-0005-0000-0000-000013230000}"/>
    <cellStyle name="Comma 3 3 2 2 3 2 2 2 3" xfId="8977" xr:uid="{00000000-0005-0000-0000-000014230000}"/>
    <cellStyle name="Comma 3 3 2 2 3 2 2 3" xfId="8978" xr:uid="{00000000-0005-0000-0000-000015230000}"/>
    <cellStyle name="Comma 3 3 2 2 3 2 2 3 2" xfId="8979" xr:uid="{00000000-0005-0000-0000-000016230000}"/>
    <cellStyle name="Comma 3 3 2 2 3 2 2 4" xfId="8980" xr:uid="{00000000-0005-0000-0000-000017230000}"/>
    <cellStyle name="Comma 3 3 2 2 3 2 2 4 2" xfId="8981" xr:uid="{00000000-0005-0000-0000-000018230000}"/>
    <cellStyle name="Comma 3 3 2 2 3 2 2 5" xfId="8982" xr:uid="{00000000-0005-0000-0000-000019230000}"/>
    <cellStyle name="Comma 3 3 2 2 3 2 3" xfId="8983" xr:uid="{00000000-0005-0000-0000-00001A230000}"/>
    <cellStyle name="Comma 3 3 2 2 3 2 3 2" xfId="8984" xr:uid="{00000000-0005-0000-0000-00001B230000}"/>
    <cellStyle name="Comma 3 3 2 2 3 2 3 2 2" xfId="8985" xr:uid="{00000000-0005-0000-0000-00001C230000}"/>
    <cellStyle name="Comma 3 3 2 2 3 2 3 3" xfId="8986" xr:uid="{00000000-0005-0000-0000-00001D230000}"/>
    <cellStyle name="Comma 3 3 2 2 3 2 4" xfId="8987" xr:uid="{00000000-0005-0000-0000-00001E230000}"/>
    <cellStyle name="Comma 3 3 2 2 3 2 4 2" xfId="8988" xr:uid="{00000000-0005-0000-0000-00001F230000}"/>
    <cellStyle name="Comma 3 3 2 2 3 2 5" xfId="8989" xr:uid="{00000000-0005-0000-0000-000020230000}"/>
    <cellStyle name="Comma 3 3 2 2 3 2 5 2" xfId="8990" xr:uid="{00000000-0005-0000-0000-000021230000}"/>
    <cellStyle name="Comma 3 3 2 2 3 2 6" xfId="8991" xr:uid="{00000000-0005-0000-0000-000022230000}"/>
    <cellStyle name="Comma 3 3 2 2 3 3" xfId="8992" xr:uid="{00000000-0005-0000-0000-000023230000}"/>
    <cellStyle name="Comma 3 3 2 2 3 3 2" xfId="8993" xr:uid="{00000000-0005-0000-0000-000024230000}"/>
    <cellStyle name="Comma 3 3 2 2 3 3 2 2" xfId="8994" xr:uid="{00000000-0005-0000-0000-000025230000}"/>
    <cellStyle name="Comma 3 3 2 2 3 3 2 2 2" xfId="8995" xr:uid="{00000000-0005-0000-0000-000026230000}"/>
    <cellStyle name="Comma 3 3 2 2 3 3 2 3" xfId="8996" xr:uid="{00000000-0005-0000-0000-000027230000}"/>
    <cellStyle name="Comma 3 3 2 2 3 3 3" xfId="8997" xr:uid="{00000000-0005-0000-0000-000028230000}"/>
    <cellStyle name="Comma 3 3 2 2 3 3 3 2" xfId="8998" xr:uid="{00000000-0005-0000-0000-000029230000}"/>
    <cellStyle name="Comma 3 3 2 2 3 3 4" xfId="8999" xr:uid="{00000000-0005-0000-0000-00002A230000}"/>
    <cellStyle name="Comma 3 3 2 2 3 3 4 2" xfId="9000" xr:uid="{00000000-0005-0000-0000-00002B230000}"/>
    <cellStyle name="Comma 3 3 2 2 3 3 5" xfId="9001" xr:uid="{00000000-0005-0000-0000-00002C230000}"/>
    <cellStyle name="Comma 3 3 2 2 3 4" xfId="9002" xr:uid="{00000000-0005-0000-0000-00002D230000}"/>
    <cellStyle name="Comma 3 3 2 2 3 4 2" xfId="9003" xr:uid="{00000000-0005-0000-0000-00002E230000}"/>
    <cellStyle name="Comma 3 3 2 2 3 4 2 2" xfId="9004" xr:uid="{00000000-0005-0000-0000-00002F230000}"/>
    <cellStyle name="Comma 3 3 2 2 3 4 3" xfId="9005" xr:uid="{00000000-0005-0000-0000-000030230000}"/>
    <cellStyle name="Comma 3 3 2 2 3 5" xfId="9006" xr:uid="{00000000-0005-0000-0000-000031230000}"/>
    <cellStyle name="Comma 3 3 2 2 3 5 2" xfId="9007" xr:uid="{00000000-0005-0000-0000-000032230000}"/>
    <cellStyle name="Comma 3 3 2 2 3 6" xfId="9008" xr:uid="{00000000-0005-0000-0000-000033230000}"/>
    <cellStyle name="Comma 3 3 2 2 3 6 2" xfId="9009" xr:uid="{00000000-0005-0000-0000-000034230000}"/>
    <cellStyle name="Comma 3 3 2 2 3 7" xfId="9010" xr:uid="{00000000-0005-0000-0000-000035230000}"/>
    <cellStyle name="Comma 3 3 2 2 4" xfId="9011" xr:uid="{00000000-0005-0000-0000-000036230000}"/>
    <cellStyle name="Comma 3 3 2 2 4 2" xfId="9012" xr:uid="{00000000-0005-0000-0000-000037230000}"/>
    <cellStyle name="Comma 3 3 2 2 4 2 2" xfId="9013" xr:uid="{00000000-0005-0000-0000-000038230000}"/>
    <cellStyle name="Comma 3 3 2 2 4 2 2 2" xfId="9014" xr:uid="{00000000-0005-0000-0000-000039230000}"/>
    <cellStyle name="Comma 3 3 2 2 4 2 2 2 2" xfId="9015" xr:uid="{00000000-0005-0000-0000-00003A230000}"/>
    <cellStyle name="Comma 3 3 2 2 4 2 2 3" xfId="9016" xr:uid="{00000000-0005-0000-0000-00003B230000}"/>
    <cellStyle name="Comma 3 3 2 2 4 2 3" xfId="9017" xr:uid="{00000000-0005-0000-0000-00003C230000}"/>
    <cellStyle name="Comma 3 3 2 2 4 2 3 2" xfId="9018" xr:uid="{00000000-0005-0000-0000-00003D230000}"/>
    <cellStyle name="Comma 3 3 2 2 4 2 4" xfId="9019" xr:uid="{00000000-0005-0000-0000-00003E230000}"/>
    <cellStyle name="Comma 3 3 2 2 4 2 4 2" xfId="9020" xr:uid="{00000000-0005-0000-0000-00003F230000}"/>
    <cellStyle name="Comma 3 3 2 2 4 2 5" xfId="9021" xr:uid="{00000000-0005-0000-0000-000040230000}"/>
    <cellStyle name="Comma 3 3 2 2 4 3" xfId="9022" xr:uid="{00000000-0005-0000-0000-000041230000}"/>
    <cellStyle name="Comma 3 3 2 2 4 3 2" xfId="9023" xr:uid="{00000000-0005-0000-0000-000042230000}"/>
    <cellStyle name="Comma 3 3 2 2 4 3 2 2" xfId="9024" xr:uid="{00000000-0005-0000-0000-000043230000}"/>
    <cellStyle name="Comma 3 3 2 2 4 3 3" xfId="9025" xr:uid="{00000000-0005-0000-0000-000044230000}"/>
    <cellStyle name="Comma 3 3 2 2 4 4" xfId="9026" xr:uid="{00000000-0005-0000-0000-000045230000}"/>
    <cellStyle name="Comma 3 3 2 2 4 4 2" xfId="9027" xr:uid="{00000000-0005-0000-0000-000046230000}"/>
    <cellStyle name="Comma 3 3 2 2 4 5" xfId="9028" xr:uid="{00000000-0005-0000-0000-000047230000}"/>
    <cellStyle name="Comma 3 3 2 2 4 5 2" xfId="9029" xr:uid="{00000000-0005-0000-0000-000048230000}"/>
    <cellStyle name="Comma 3 3 2 2 4 6" xfId="9030" xr:uid="{00000000-0005-0000-0000-000049230000}"/>
    <cellStyle name="Comma 3 3 2 2 5" xfId="9031" xr:uid="{00000000-0005-0000-0000-00004A230000}"/>
    <cellStyle name="Comma 3 3 2 2 5 2" xfId="9032" xr:uid="{00000000-0005-0000-0000-00004B230000}"/>
    <cellStyle name="Comma 3 3 2 2 5 2 2" xfId="9033" xr:uid="{00000000-0005-0000-0000-00004C230000}"/>
    <cellStyle name="Comma 3 3 2 2 5 2 2 2" xfId="9034" xr:uid="{00000000-0005-0000-0000-00004D230000}"/>
    <cellStyle name="Comma 3 3 2 2 5 2 3" xfId="9035" xr:uid="{00000000-0005-0000-0000-00004E230000}"/>
    <cellStyle name="Comma 3 3 2 2 5 3" xfId="9036" xr:uid="{00000000-0005-0000-0000-00004F230000}"/>
    <cellStyle name="Comma 3 3 2 2 5 3 2" xfId="9037" xr:uid="{00000000-0005-0000-0000-000050230000}"/>
    <cellStyle name="Comma 3 3 2 2 5 4" xfId="9038" xr:uid="{00000000-0005-0000-0000-000051230000}"/>
    <cellStyle name="Comma 3 3 2 2 5 4 2" xfId="9039" xr:uid="{00000000-0005-0000-0000-000052230000}"/>
    <cellStyle name="Comma 3 3 2 2 5 5" xfId="9040" xr:uid="{00000000-0005-0000-0000-000053230000}"/>
    <cellStyle name="Comma 3 3 2 2 6" xfId="9041" xr:uid="{00000000-0005-0000-0000-000054230000}"/>
    <cellStyle name="Comma 3 3 2 2 6 2" xfId="9042" xr:uid="{00000000-0005-0000-0000-000055230000}"/>
    <cellStyle name="Comma 3 3 2 2 6 2 2" xfId="9043" xr:uid="{00000000-0005-0000-0000-000056230000}"/>
    <cellStyle name="Comma 3 3 2 2 6 3" xfId="9044" xr:uid="{00000000-0005-0000-0000-000057230000}"/>
    <cellStyle name="Comma 3 3 2 2 7" xfId="9045" xr:uid="{00000000-0005-0000-0000-000058230000}"/>
    <cellStyle name="Comma 3 3 2 2 7 2" xfId="9046" xr:uid="{00000000-0005-0000-0000-000059230000}"/>
    <cellStyle name="Comma 3 3 2 2 8" xfId="9047" xr:uid="{00000000-0005-0000-0000-00005A230000}"/>
    <cellStyle name="Comma 3 3 2 2 8 2" xfId="9048" xr:uid="{00000000-0005-0000-0000-00005B230000}"/>
    <cellStyle name="Comma 3 3 2 2 9" xfId="9049" xr:uid="{00000000-0005-0000-0000-00005C230000}"/>
    <cellStyle name="Comma 3 3 2 3" xfId="9050" xr:uid="{00000000-0005-0000-0000-00005D230000}"/>
    <cellStyle name="Comma 3 3 2 3 2" xfId="9051" xr:uid="{00000000-0005-0000-0000-00005E230000}"/>
    <cellStyle name="Comma 3 3 2 3 2 2" xfId="9052" xr:uid="{00000000-0005-0000-0000-00005F230000}"/>
    <cellStyle name="Comma 3 3 2 3 2 2 2" xfId="9053" xr:uid="{00000000-0005-0000-0000-000060230000}"/>
    <cellStyle name="Comma 3 3 2 3 2 2 2 2" xfId="9054" xr:uid="{00000000-0005-0000-0000-000061230000}"/>
    <cellStyle name="Comma 3 3 2 3 2 2 2 2 2" xfId="9055" xr:uid="{00000000-0005-0000-0000-000062230000}"/>
    <cellStyle name="Comma 3 3 2 3 2 2 2 2 2 2" xfId="9056" xr:uid="{00000000-0005-0000-0000-000063230000}"/>
    <cellStyle name="Comma 3 3 2 3 2 2 2 2 3" xfId="9057" xr:uid="{00000000-0005-0000-0000-000064230000}"/>
    <cellStyle name="Comma 3 3 2 3 2 2 2 3" xfId="9058" xr:uid="{00000000-0005-0000-0000-000065230000}"/>
    <cellStyle name="Comma 3 3 2 3 2 2 2 3 2" xfId="9059" xr:uid="{00000000-0005-0000-0000-000066230000}"/>
    <cellStyle name="Comma 3 3 2 3 2 2 2 4" xfId="9060" xr:uid="{00000000-0005-0000-0000-000067230000}"/>
    <cellStyle name="Comma 3 3 2 3 2 2 2 4 2" xfId="9061" xr:uid="{00000000-0005-0000-0000-000068230000}"/>
    <cellStyle name="Comma 3 3 2 3 2 2 2 5" xfId="9062" xr:uid="{00000000-0005-0000-0000-000069230000}"/>
    <cellStyle name="Comma 3 3 2 3 2 2 3" xfId="9063" xr:uid="{00000000-0005-0000-0000-00006A230000}"/>
    <cellStyle name="Comma 3 3 2 3 2 2 3 2" xfId="9064" xr:uid="{00000000-0005-0000-0000-00006B230000}"/>
    <cellStyle name="Comma 3 3 2 3 2 2 3 2 2" xfId="9065" xr:uid="{00000000-0005-0000-0000-00006C230000}"/>
    <cellStyle name="Comma 3 3 2 3 2 2 3 3" xfId="9066" xr:uid="{00000000-0005-0000-0000-00006D230000}"/>
    <cellStyle name="Comma 3 3 2 3 2 2 4" xfId="9067" xr:uid="{00000000-0005-0000-0000-00006E230000}"/>
    <cellStyle name="Comma 3 3 2 3 2 2 4 2" xfId="9068" xr:uid="{00000000-0005-0000-0000-00006F230000}"/>
    <cellStyle name="Comma 3 3 2 3 2 2 5" xfId="9069" xr:uid="{00000000-0005-0000-0000-000070230000}"/>
    <cellStyle name="Comma 3 3 2 3 2 2 5 2" xfId="9070" xr:uid="{00000000-0005-0000-0000-000071230000}"/>
    <cellStyle name="Comma 3 3 2 3 2 2 6" xfId="9071" xr:uid="{00000000-0005-0000-0000-000072230000}"/>
    <cellStyle name="Comma 3 3 2 3 2 3" xfId="9072" xr:uid="{00000000-0005-0000-0000-000073230000}"/>
    <cellStyle name="Comma 3 3 2 3 2 3 2" xfId="9073" xr:uid="{00000000-0005-0000-0000-000074230000}"/>
    <cellStyle name="Comma 3 3 2 3 2 3 2 2" xfId="9074" xr:uid="{00000000-0005-0000-0000-000075230000}"/>
    <cellStyle name="Comma 3 3 2 3 2 3 2 2 2" xfId="9075" xr:uid="{00000000-0005-0000-0000-000076230000}"/>
    <cellStyle name="Comma 3 3 2 3 2 3 2 3" xfId="9076" xr:uid="{00000000-0005-0000-0000-000077230000}"/>
    <cellStyle name="Comma 3 3 2 3 2 3 3" xfId="9077" xr:uid="{00000000-0005-0000-0000-000078230000}"/>
    <cellStyle name="Comma 3 3 2 3 2 3 3 2" xfId="9078" xr:uid="{00000000-0005-0000-0000-000079230000}"/>
    <cellStyle name="Comma 3 3 2 3 2 3 4" xfId="9079" xr:uid="{00000000-0005-0000-0000-00007A230000}"/>
    <cellStyle name="Comma 3 3 2 3 2 3 4 2" xfId="9080" xr:uid="{00000000-0005-0000-0000-00007B230000}"/>
    <cellStyle name="Comma 3 3 2 3 2 3 5" xfId="9081" xr:uid="{00000000-0005-0000-0000-00007C230000}"/>
    <cellStyle name="Comma 3 3 2 3 2 4" xfId="9082" xr:uid="{00000000-0005-0000-0000-00007D230000}"/>
    <cellStyle name="Comma 3 3 2 3 2 4 2" xfId="9083" xr:uid="{00000000-0005-0000-0000-00007E230000}"/>
    <cellStyle name="Comma 3 3 2 3 2 4 2 2" xfId="9084" xr:uid="{00000000-0005-0000-0000-00007F230000}"/>
    <cellStyle name="Comma 3 3 2 3 2 4 3" xfId="9085" xr:uid="{00000000-0005-0000-0000-000080230000}"/>
    <cellStyle name="Comma 3 3 2 3 2 5" xfId="9086" xr:uid="{00000000-0005-0000-0000-000081230000}"/>
    <cellStyle name="Comma 3 3 2 3 2 5 2" xfId="9087" xr:uid="{00000000-0005-0000-0000-000082230000}"/>
    <cellStyle name="Comma 3 3 2 3 2 6" xfId="9088" xr:uid="{00000000-0005-0000-0000-000083230000}"/>
    <cellStyle name="Comma 3 3 2 3 2 6 2" xfId="9089" xr:uid="{00000000-0005-0000-0000-000084230000}"/>
    <cellStyle name="Comma 3 3 2 3 2 7" xfId="9090" xr:uid="{00000000-0005-0000-0000-000085230000}"/>
    <cellStyle name="Comma 3 3 2 3 3" xfId="9091" xr:uid="{00000000-0005-0000-0000-000086230000}"/>
    <cellStyle name="Comma 3 3 2 3 3 2" xfId="9092" xr:uid="{00000000-0005-0000-0000-000087230000}"/>
    <cellStyle name="Comma 3 3 2 3 3 2 2" xfId="9093" xr:uid="{00000000-0005-0000-0000-000088230000}"/>
    <cellStyle name="Comma 3 3 2 3 3 2 2 2" xfId="9094" xr:uid="{00000000-0005-0000-0000-000089230000}"/>
    <cellStyle name="Comma 3 3 2 3 3 2 2 2 2" xfId="9095" xr:uid="{00000000-0005-0000-0000-00008A230000}"/>
    <cellStyle name="Comma 3 3 2 3 3 2 2 2 2 2" xfId="9096" xr:uid="{00000000-0005-0000-0000-00008B230000}"/>
    <cellStyle name="Comma 3 3 2 3 3 2 2 2 3" xfId="9097" xr:uid="{00000000-0005-0000-0000-00008C230000}"/>
    <cellStyle name="Comma 3 3 2 3 3 2 2 3" xfId="9098" xr:uid="{00000000-0005-0000-0000-00008D230000}"/>
    <cellStyle name="Comma 3 3 2 3 3 2 2 3 2" xfId="9099" xr:uid="{00000000-0005-0000-0000-00008E230000}"/>
    <cellStyle name="Comma 3 3 2 3 3 2 2 4" xfId="9100" xr:uid="{00000000-0005-0000-0000-00008F230000}"/>
    <cellStyle name="Comma 3 3 2 3 3 2 2 4 2" xfId="9101" xr:uid="{00000000-0005-0000-0000-000090230000}"/>
    <cellStyle name="Comma 3 3 2 3 3 2 2 5" xfId="9102" xr:uid="{00000000-0005-0000-0000-000091230000}"/>
    <cellStyle name="Comma 3 3 2 3 3 2 3" xfId="9103" xr:uid="{00000000-0005-0000-0000-000092230000}"/>
    <cellStyle name="Comma 3 3 2 3 3 2 3 2" xfId="9104" xr:uid="{00000000-0005-0000-0000-000093230000}"/>
    <cellStyle name="Comma 3 3 2 3 3 2 3 2 2" xfId="9105" xr:uid="{00000000-0005-0000-0000-000094230000}"/>
    <cellStyle name="Comma 3 3 2 3 3 2 3 3" xfId="9106" xr:uid="{00000000-0005-0000-0000-000095230000}"/>
    <cellStyle name="Comma 3 3 2 3 3 2 4" xfId="9107" xr:uid="{00000000-0005-0000-0000-000096230000}"/>
    <cellStyle name="Comma 3 3 2 3 3 2 4 2" xfId="9108" xr:uid="{00000000-0005-0000-0000-000097230000}"/>
    <cellStyle name="Comma 3 3 2 3 3 2 5" xfId="9109" xr:uid="{00000000-0005-0000-0000-000098230000}"/>
    <cellStyle name="Comma 3 3 2 3 3 2 5 2" xfId="9110" xr:uid="{00000000-0005-0000-0000-000099230000}"/>
    <cellStyle name="Comma 3 3 2 3 3 2 6" xfId="9111" xr:uid="{00000000-0005-0000-0000-00009A230000}"/>
    <cellStyle name="Comma 3 3 2 3 3 3" xfId="9112" xr:uid="{00000000-0005-0000-0000-00009B230000}"/>
    <cellStyle name="Comma 3 3 2 3 3 3 2" xfId="9113" xr:uid="{00000000-0005-0000-0000-00009C230000}"/>
    <cellStyle name="Comma 3 3 2 3 3 3 2 2" xfId="9114" xr:uid="{00000000-0005-0000-0000-00009D230000}"/>
    <cellStyle name="Comma 3 3 2 3 3 3 2 2 2" xfId="9115" xr:uid="{00000000-0005-0000-0000-00009E230000}"/>
    <cellStyle name="Comma 3 3 2 3 3 3 2 3" xfId="9116" xr:uid="{00000000-0005-0000-0000-00009F230000}"/>
    <cellStyle name="Comma 3 3 2 3 3 3 3" xfId="9117" xr:uid="{00000000-0005-0000-0000-0000A0230000}"/>
    <cellStyle name="Comma 3 3 2 3 3 3 3 2" xfId="9118" xr:uid="{00000000-0005-0000-0000-0000A1230000}"/>
    <cellStyle name="Comma 3 3 2 3 3 3 4" xfId="9119" xr:uid="{00000000-0005-0000-0000-0000A2230000}"/>
    <cellStyle name="Comma 3 3 2 3 3 3 4 2" xfId="9120" xr:uid="{00000000-0005-0000-0000-0000A3230000}"/>
    <cellStyle name="Comma 3 3 2 3 3 3 5" xfId="9121" xr:uid="{00000000-0005-0000-0000-0000A4230000}"/>
    <cellStyle name="Comma 3 3 2 3 3 4" xfId="9122" xr:uid="{00000000-0005-0000-0000-0000A5230000}"/>
    <cellStyle name="Comma 3 3 2 3 3 4 2" xfId="9123" xr:uid="{00000000-0005-0000-0000-0000A6230000}"/>
    <cellStyle name="Comma 3 3 2 3 3 4 2 2" xfId="9124" xr:uid="{00000000-0005-0000-0000-0000A7230000}"/>
    <cellStyle name="Comma 3 3 2 3 3 4 3" xfId="9125" xr:uid="{00000000-0005-0000-0000-0000A8230000}"/>
    <cellStyle name="Comma 3 3 2 3 3 5" xfId="9126" xr:uid="{00000000-0005-0000-0000-0000A9230000}"/>
    <cellStyle name="Comma 3 3 2 3 3 5 2" xfId="9127" xr:uid="{00000000-0005-0000-0000-0000AA230000}"/>
    <cellStyle name="Comma 3 3 2 3 3 6" xfId="9128" xr:uid="{00000000-0005-0000-0000-0000AB230000}"/>
    <cellStyle name="Comma 3 3 2 3 3 6 2" xfId="9129" xr:uid="{00000000-0005-0000-0000-0000AC230000}"/>
    <cellStyle name="Comma 3 3 2 3 3 7" xfId="9130" xr:uid="{00000000-0005-0000-0000-0000AD230000}"/>
    <cellStyle name="Comma 3 3 2 3 4" xfId="9131" xr:uid="{00000000-0005-0000-0000-0000AE230000}"/>
    <cellStyle name="Comma 3 3 2 3 4 2" xfId="9132" xr:uid="{00000000-0005-0000-0000-0000AF230000}"/>
    <cellStyle name="Comma 3 3 2 3 4 2 2" xfId="9133" xr:uid="{00000000-0005-0000-0000-0000B0230000}"/>
    <cellStyle name="Comma 3 3 2 3 4 2 2 2" xfId="9134" xr:uid="{00000000-0005-0000-0000-0000B1230000}"/>
    <cellStyle name="Comma 3 3 2 3 4 2 2 2 2" xfId="9135" xr:uid="{00000000-0005-0000-0000-0000B2230000}"/>
    <cellStyle name="Comma 3 3 2 3 4 2 2 3" xfId="9136" xr:uid="{00000000-0005-0000-0000-0000B3230000}"/>
    <cellStyle name="Comma 3 3 2 3 4 2 3" xfId="9137" xr:uid="{00000000-0005-0000-0000-0000B4230000}"/>
    <cellStyle name="Comma 3 3 2 3 4 2 3 2" xfId="9138" xr:uid="{00000000-0005-0000-0000-0000B5230000}"/>
    <cellStyle name="Comma 3 3 2 3 4 2 4" xfId="9139" xr:uid="{00000000-0005-0000-0000-0000B6230000}"/>
    <cellStyle name="Comma 3 3 2 3 4 2 4 2" xfId="9140" xr:uid="{00000000-0005-0000-0000-0000B7230000}"/>
    <cellStyle name="Comma 3 3 2 3 4 2 5" xfId="9141" xr:uid="{00000000-0005-0000-0000-0000B8230000}"/>
    <cellStyle name="Comma 3 3 2 3 4 3" xfId="9142" xr:uid="{00000000-0005-0000-0000-0000B9230000}"/>
    <cellStyle name="Comma 3 3 2 3 4 3 2" xfId="9143" xr:uid="{00000000-0005-0000-0000-0000BA230000}"/>
    <cellStyle name="Comma 3 3 2 3 4 3 2 2" xfId="9144" xr:uid="{00000000-0005-0000-0000-0000BB230000}"/>
    <cellStyle name="Comma 3 3 2 3 4 3 3" xfId="9145" xr:uid="{00000000-0005-0000-0000-0000BC230000}"/>
    <cellStyle name="Comma 3 3 2 3 4 4" xfId="9146" xr:uid="{00000000-0005-0000-0000-0000BD230000}"/>
    <cellStyle name="Comma 3 3 2 3 4 4 2" xfId="9147" xr:uid="{00000000-0005-0000-0000-0000BE230000}"/>
    <cellStyle name="Comma 3 3 2 3 4 5" xfId="9148" xr:uid="{00000000-0005-0000-0000-0000BF230000}"/>
    <cellStyle name="Comma 3 3 2 3 4 5 2" xfId="9149" xr:uid="{00000000-0005-0000-0000-0000C0230000}"/>
    <cellStyle name="Comma 3 3 2 3 4 6" xfId="9150" xr:uid="{00000000-0005-0000-0000-0000C1230000}"/>
    <cellStyle name="Comma 3 3 2 3 5" xfId="9151" xr:uid="{00000000-0005-0000-0000-0000C2230000}"/>
    <cellStyle name="Comma 3 3 2 3 5 2" xfId="9152" xr:uid="{00000000-0005-0000-0000-0000C3230000}"/>
    <cellStyle name="Comma 3 3 2 3 5 2 2" xfId="9153" xr:uid="{00000000-0005-0000-0000-0000C4230000}"/>
    <cellStyle name="Comma 3 3 2 3 5 2 2 2" xfId="9154" xr:uid="{00000000-0005-0000-0000-0000C5230000}"/>
    <cellStyle name="Comma 3 3 2 3 5 2 3" xfId="9155" xr:uid="{00000000-0005-0000-0000-0000C6230000}"/>
    <cellStyle name="Comma 3 3 2 3 5 3" xfId="9156" xr:uid="{00000000-0005-0000-0000-0000C7230000}"/>
    <cellStyle name="Comma 3 3 2 3 5 3 2" xfId="9157" xr:uid="{00000000-0005-0000-0000-0000C8230000}"/>
    <cellStyle name="Comma 3 3 2 3 5 4" xfId="9158" xr:uid="{00000000-0005-0000-0000-0000C9230000}"/>
    <cellStyle name="Comma 3 3 2 3 5 4 2" xfId="9159" xr:uid="{00000000-0005-0000-0000-0000CA230000}"/>
    <cellStyle name="Comma 3 3 2 3 5 5" xfId="9160" xr:uid="{00000000-0005-0000-0000-0000CB230000}"/>
    <cellStyle name="Comma 3 3 2 3 6" xfId="9161" xr:uid="{00000000-0005-0000-0000-0000CC230000}"/>
    <cellStyle name="Comma 3 3 2 3 6 2" xfId="9162" xr:uid="{00000000-0005-0000-0000-0000CD230000}"/>
    <cellStyle name="Comma 3 3 2 3 6 2 2" xfId="9163" xr:uid="{00000000-0005-0000-0000-0000CE230000}"/>
    <cellStyle name="Comma 3 3 2 3 6 3" xfId="9164" xr:uid="{00000000-0005-0000-0000-0000CF230000}"/>
    <cellStyle name="Comma 3 3 2 3 7" xfId="9165" xr:uid="{00000000-0005-0000-0000-0000D0230000}"/>
    <cellStyle name="Comma 3 3 2 3 7 2" xfId="9166" xr:uid="{00000000-0005-0000-0000-0000D1230000}"/>
    <cellStyle name="Comma 3 3 2 3 8" xfId="9167" xr:uid="{00000000-0005-0000-0000-0000D2230000}"/>
    <cellStyle name="Comma 3 3 2 3 8 2" xfId="9168" xr:uid="{00000000-0005-0000-0000-0000D3230000}"/>
    <cellStyle name="Comma 3 3 2 3 9" xfId="9169" xr:uid="{00000000-0005-0000-0000-0000D4230000}"/>
    <cellStyle name="Comma 3 3 2 4" xfId="9170" xr:uid="{00000000-0005-0000-0000-0000D5230000}"/>
    <cellStyle name="Comma 3 3 2 4 2" xfId="9171" xr:uid="{00000000-0005-0000-0000-0000D6230000}"/>
    <cellStyle name="Comma 3 3 2 4 2 2" xfId="9172" xr:uid="{00000000-0005-0000-0000-0000D7230000}"/>
    <cellStyle name="Comma 3 3 2 4 2 2 2" xfId="9173" xr:uid="{00000000-0005-0000-0000-0000D8230000}"/>
    <cellStyle name="Comma 3 3 2 4 2 2 2 2" xfId="9174" xr:uid="{00000000-0005-0000-0000-0000D9230000}"/>
    <cellStyle name="Comma 3 3 2 4 2 2 2 2 2" xfId="9175" xr:uid="{00000000-0005-0000-0000-0000DA230000}"/>
    <cellStyle name="Comma 3 3 2 4 2 2 2 2 2 2" xfId="9176" xr:uid="{00000000-0005-0000-0000-0000DB230000}"/>
    <cellStyle name="Comma 3 3 2 4 2 2 2 2 3" xfId="9177" xr:uid="{00000000-0005-0000-0000-0000DC230000}"/>
    <cellStyle name="Comma 3 3 2 4 2 2 2 3" xfId="9178" xr:uid="{00000000-0005-0000-0000-0000DD230000}"/>
    <cellStyle name="Comma 3 3 2 4 2 2 2 3 2" xfId="9179" xr:uid="{00000000-0005-0000-0000-0000DE230000}"/>
    <cellStyle name="Comma 3 3 2 4 2 2 2 4" xfId="9180" xr:uid="{00000000-0005-0000-0000-0000DF230000}"/>
    <cellStyle name="Comma 3 3 2 4 2 2 2 4 2" xfId="9181" xr:uid="{00000000-0005-0000-0000-0000E0230000}"/>
    <cellStyle name="Comma 3 3 2 4 2 2 2 5" xfId="9182" xr:uid="{00000000-0005-0000-0000-0000E1230000}"/>
    <cellStyle name="Comma 3 3 2 4 2 2 3" xfId="9183" xr:uid="{00000000-0005-0000-0000-0000E2230000}"/>
    <cellStyle name="Comma 3 3 2 4 2 2 3 2" xfId="9184" xr:uid="{00000000-0005-0000-0000-0000E3230000}"/>
    <cellStyle name="Comma 3 3 2 4 2 2 3 2 2" xfId="9185" xr:uid="{00000000-0005-0000-0000-0000E4230000}"/>
    <cellStyle name="Comma 3 3 2 4 2 2 3 3" xfId="9186" xr:uid="{00000000-0005-0000-0000-0000E5230000}"/>
    <cellStyle name="Comma 3 3 2 4 2 2 4" xfId="9187" xr:uid="{00000000-0005-0000-0000-0000E6230000}"/>
    <cellStyle name="Comma 3 3 2 4 2 2 4 2" xfId="9188" xr:uid="{00000000-0005-0000-0000-0000E7230000}"/>
    <cellStyle name="Comma 3 3 2 4 2 2 5" xfId="9189" xr:uid="{00000000-0005-0000-0000-0000E8230000}"/>
    <cellStyle name="Comma 3 3 2 4 2 2 5 2" xfId="9190" xr:uid="{00000000-0005-0000-0000-0000E9230000}"/>
    <cellStyle name="Comma 3 3 2 4 2 2 6" xfId="9191" xr:uid="{00000000-0005-0000-0000-0000EA230000}"/>
    <cellStyle name="Comma 3 3 2 4 2 3" xfId="9192" xr:uid="{00000000-0005-0000-0000-0000EB230000}"/>
    <cellStyle name="Comma 3 3 2 4 2 3 2" xfId="9193" xr:uid="{00000000-0005-0000-0000-0000EC230000}"/>
    <cellStyle name="Comma 3 3 2 4 2 3 2 2" xfId="9194" xr:uid="{00000000-0005-0000-0000-0000ED230000}"/>
    <cellStyle name="Comma 3 3 2 4 2 3 2 2 2" xfId="9195" xr:uid="{00000000-0005-0000-0000-0000EE230000}"/>
    <cellStyle name="Comma 3 3 2 4 2 3 2 3" xfId="9196" xr:uid="{00000000-0005-0000-0000-0000EF230000}"/>
    <cellStyle name="Comma 3 3 2 4 2 3 3" xfId="9197" xr:uid="{00000000-0005-0000-0000-0000F0230000}"/>
    <cellStyle name="Comma 3 3 2 4 2 3 3 2" xfId="9198" xr:uid="{00000000-0005-0000-0000-0000F1230000}"/>
    <cellStyle name="Comma 3 3 2 4 2 3 4" xfId="9199" xr:uid="{00000000-0005-0000-0000-0000F2230000}"/>
    <cellStyle name="Comma 3 3 2 4 2 3 4 2" xfId="9200" xr:uid="{00000000-0005-0000-0000-0000F3230000}"/>
    <cellStyle name="Comma 3 3 2 4 2 3 5" xfId="9201" xr:uid="{00000000-0005-0000-0000-0000F4230000}"/>
    <cellStyle name="Comma 3 3 2 4 2 4" xfId="9202" xr:uid="{00000000-0005-0000-0000-0000F5230000}"/>
    <cellStyle name="Comma 3 3 2 4 2 4 2" xfId="9203" xr:uid="{00000000-0005-0000-0000-0000F6230000}"/>
    <cellStyle name="Comma 3 3 2 4 2 4 2 2" xfId="9204" xr:uid="{00000000-0005-0000-0000-0000F7230000}"/>
    <cellStyle name="Comma 3 3 2 4 2 4 3" xfId="9205" xr:uid="{00000000-0005-0000-0000-0000F8230000}"/>
    <cellStyle name="Comma 3 3 2 4 2 5" xfId="9206" xr:uid="{00000000-0005-0000-0000-0000F9230000}"/>
    <cellStyle name="Comma 3 3 2 4 2 5 2" xfId="9207" xr:uid="{00000000-0005-0000-0000-0000FA230000}"/>
    <cellStyle name="Comma 3 3 2 4 2 6" xfId="9208" xr:uid="{00000000-0005-0000-0000-0000FB230000}"/>
    <cellStyle name="Comma 3 3 2 4 2 6 2" xfId="9209" xr:uid="{00000000-0005-0000-0000-0000FC230000}"/>
    <cellStyle name="Comma 3 3 2 4 2 7" xfId="9210" xr:uid="{00000000-0005-0000-0000-0000FD230000}"/>
    <cellStyle name="Comma 3 3 2 4 3" xfId="9211" xr:uid="{00000000-0005-0000-0000-0000FE230000}"/>
    <cellStyle name="Comma 3 3 2 4 3 2" xfId="9212" xr:uid="{00000000-0005-0000-0000-0000FF230000}"/>
    <cellStyle name="Comma 3 3 2 4 3 2 2" xfId="9213" xr:uid="{00000000-0005-0000-0000-000000240000}"/>
    <cellStyle name="Comma 3 3 2 4 3 2 2 2" xfId="9214" xr:uid="{00000000-0005-0000-0000-000001240000}"/>
    <cellStyle name="Comma 3 3 2 4 3 2 2 2 2" xfId="9215" xr:uid="{00000000-0005-0000-0000-000002240000}"/>
    <cellStyle name="Comma 3 3 2 4 3 2 2 3" xfId="9216" xr:uid="{00000000-0005-0000-0000-000003240000}"/>
    <cellStyle name="Comma 3 3 2 4 3 2 3" xfId="9217" xr:uid="{00000000-0005-0000-0000-000004240000}"/>
    <cellStyle name="Comma 3 3 2 4 3 2 3 2" xfId="9218" xr:uid="{00000000-0005-0000-0000-000005240000}"/>
    <cellStyle name="Comma 3 3 2 4 3 2 4" xfId="9219" xr:uid="{00000000-0005-0000-0000-000006240000}"/>
    <cellStyle name="Comma 3 3 2 4 3 2 4 2" xfId="9220" xr:uid="{00000000-0005-0000-0000-000007240000}"/>
    <cellStyle name="Comma 3 3 2 4 3 2 5" xfId="9221" xr:uid="{00000000-0005-0000-0000-000008240000}"/>
    <cellStyle name="Comma 3 3 2 4 3 3" xfId="9222" xr:uid="{00000000-0005-0000-0000-000009240000}"/>
    <cellStyle name="Comma 3 3 2 4 3 3 2" xfId="9223" xr:uid="{00000000-0005-0000-0000-00000A240000}"/>
    <cellStyle name="Comma 3 3 2 4 3 3 2 2" xfId="9224" xr:uid="{00000000-0005-0000-0000-00000B240000}"/>
    <cellStyle name="Comma 3 3 2 4 3 3 3" xfId="9225" xr:uid="{00000000-0005-0000-0000-00000C240000}"/>
    <cellStyle name="Comma 3 3 2 4 3 4" xfId="9226" xr:uid="{00000000-0005-0000-0000-00000D240000}"/>
    <cellStyle name="Comma 3 3 2 4 3 4 2" xfId="9227" xr:uid="{00000000-0005-0000-0000-00000E240000}"/>
    <cellStyle name="Comma 3 3 2 4 3 5" xfId="9228" xr:uid="{00000000-0005-0000-0000-00000F240000}"/>
    <cellStyle name="Comma 3 3 2 4 3 5 2" xfId="9229" xr:uid="{00000000-0005-0000-0000-000010240000}"/>
    <cellStyle name="Comma 3 3 2 4 3 6" xfId="9230" xr:uid="{00000000-0005-0000-0000-000011240000}"/>
    <cellStyle name="Comma 3 3 2 4 4" xfId="9231" xr:uid="{00000000-0005-0000-0000-000012240000}"/>
    <cellStyle name="Comma 3 3 2 4 4 2" xfId="9232" xr:uid="{00000000-0005-0000-0000-000013240000}"/>
    <cellStyle name="Comma 3 3 2 4 4 2 2" xfId="9233" xr:uid="{00000000-0005-0000-0000-000014240000}"/>
    <cellStyle name="Comma 3 3 2 4 4 2 2 2" xfId="9234" xr:uid="{00000000-0005-0000-0000-000015240000}"/>
    <cellStyle name="Comma 3 3 2 4 4 2 3" xfId="9235" xr:uid="{00000000-0005-0000-0000-000016240000}"/>
    <cellStyle name="Comma 3 3 2 4 4 3" xfId="9236" xr:uid="{00000000-0005-0000-0000-000017240000}"/>
    <cellStyle name="Comma 3 3 2 4 4 3 2" xfId="9237" xr:uid="{00000000-0005-0000-0000-000018240000}"/>
    <cellStyle name="Comma 3 3 2 4 4 4" xfId="9238" xr:uid="{00000000-0005-0000-0000-000019240000}"/>
    <cellStyle name="Comma 3 3 2 4 4 4 2" xfId="9239" xr:uid="{00000000-0005-0000-0000-00001A240000}"/>
    <cellStyle name="Comma 3 3 2 4 4 5" xfId="9240" xr:uid="{00000000-0005-0000-0000-00001B240000}"/>
    <cellStyle name="Comma 3 3 2 4 5" xfId="9241" xr:uid="{00000000-0005-0000-0000-00001C240000}"/>
    <cellStyle name="Comma 3 3 2 4 5 2" xfId="9242" xr:uid="{00000000-0005-0000-0000-00001D240000}"/>
    <cellStyle name="Comma 3 3 2 4 5 2 2" xfId="9243" xr:uid="{00000000-0005-0000-0000-00001E240000}"/>
    <cellStyle name="Comma 3 3 2 4 5 3" xfId="9244" xr:uid="{00000000-0005-0000-0000-00001F240000}"/>
    <cellStyle name="Comma 3 3 2 4 6" xfId="9245" xr:uid="{00000000-0005-0000-0000-000020240000}"/>
    <cellStyle name="Comma 3 3 2 4 6 2" xfId="9246" xr:uid="{00000000-0005-0000-0000-000021240000}"/>
    <cellStyle name="Comma 3 3 2 4 7" xfId="9247" xr:uid="{00000000-0005-0000-0000-000022240000}"/>
    <cellStyle name="Comma 3 3 2 4 7 2" xfId="9248" xr:uid="{00000000-0005-0000-0000-000023240000}"/>
    <cellStyle name="Comma 3 3 2 4 8" xfId="9249" xr:uid="{00000000-0005-0000-0000-000024240000}"/>
    <cellStyle name="Comma 3 3 2 5" xfId="9250" xr:uid="{00000000-0005-0000-0000-000025240000}"/>
    <cellStyle name="Comma 3 3 2 5 2" xfId="9251" xr:uid="{00000000-0005-0000-0000-000026240000}"/>
    <cellStyle name="Comma 3 3 2 5 2 2" xfId="9252" xr:uid="{00000000-0005-0000-0000-000027240000}"/>
    <cellStyle name="Comma 3 3 2 5 2 2 2" xfId="9253" xr:uid="{00000000-0005-0000-0000-000028240000}"/>
    <cellStyle name="Comma 3 3 2 5 2 2 2 2" xfId="9254" xr:uid="{00000000-0005-0000-0000-000029240000}"/>
    <cellStyle name="Comma 3 3 2 5 2 2 2 2 2" xfId="9255" xr:uid="{00000000-0005-0000-0000-00002A240000}"/>
    <cellStyle name="Comma 3 3 2 5 2 2 2 3" xfId="9256" xr:uid="{00000000-0005-0000-0000-00002B240000}"/>
    <cellStyle name="Comma 3 3 2 5 2 2 3" xfId="9257" xr:uid="{00000000-0005-0000-0000-00002C240000}"/>
    <cellStyle name="Comma 3 3 2 5 2 2 3 2" xfId="9258" xr:uid="{00000000-0005-0000-0000-00002D240000}"/>
    <cellStyle name="Comma 3 3 2 5 2 2 4" xfId="9259" xr:uid="{00000000-0005-0000-0000-00002E240000}"/>
    <cellStyle name="Comma 3 3 2 5 2 2 4 2" xfId="9260" xr:uid="{00000000-0005-0000-0000-00002F240000}"/>
    <cellStyle name="Comma 3 3 2 5 2 2 5" xfId="9261" xr:uid="{00000000-0005-0000-0000-000030240000}"/>
    <cellStyle name="Comma 3 3 2 5 2 3" xfId="9262" xr:uid="{00000000-0005-0000-0000-000031240000}"/>
    <cellStyle name="Comma 3 3 2 5 2 3 2" xfId="9263" xr:uid="{00000000-0005-0000-0000-000032240000}"/>
    <cellStyle name="Comma 3 3 2 5 2 3 2 2" xfId="9264" xr:uid="{00000000-0005-0000-0000-000033240000}"/>
    <cellStyle name="Comma 3 3 2 5 2 3 3" xfId="9265" xr:uid="{00000000-0005-0000-0000-000034240000}"/>
    <cellStyle name="Comma 3 3 2 5 2 4" xfId="9266" xr:uid="{00000000-0005-0000-0000-000035240000}"/>
    <cellStyle name="Comma 3 3 2 5 2 4 2" xfId="9267" xr:uid="{00000000-0005-0000-0000-000036240000}"/>
    <cellStyle name="Comma 3 3 2 5 2 5" xfId="9268" xr:uid="{00000000-0005-0000-0000-000037240000}"/>
    <cellStyle name="Comma 3 3 2 5 2 5 2" xfId="9269" xr:uid="{00000000-0005-0000-0000-000038240000}"/>
    <cellStyle name="Comma 3 3 2 5 2 6" xfId="9270" xr:uid="{00000000-0005-0000-0000-000039240000}"/>
    <cellStyle name="Comma 3 3 2 5 3" xfId="9271" xr:uid="{00000000-0005-0000-0000-00003A240000}"/>
    <cellStyle name="Comma 3 3 2 5 3 2" xfId="9272" xr:uid="{00000000-0005-0000-0000-00003B240000}"/>
    <cellStyle name="Comma 3 3 2 5 3 2 2" xfId="9273" xr:uid="{00000000-0005-0000-0000-00003C240000}"/>
    <cellStyle name="Comma 3 3 2 5 3 2 2 2" xfId="9274" xr:uid="{00000000-0005-0000-0000-00003D240000}"/>
    <cellStyle name="Comma 3 3 2 5 3 2 3" xfId="9275" xr:uid="{00000000-0005-0000-0000-00003E240000}"/>
    <cellStyle name="Comma 3 3 2 5 3 3" xfId="9276" xr:uid="{00000000-0005-0000-0000-00003F240000}"/>
    <cellStyle name="Comma 3 3 2 5 3 3 2" xfId="9277" xr:uid="{00000000-0005-0000-0000-000040240000}"/>
    <cellStyle name="Comma 3 3 2 5 3 4" xfId="9278" xr:uid="{00000000-0005-0000-0000-000041240000}"/>
    <cellStyle name="Comma 3 3 2 5 3 4 2" xfId="9279" xr:uid="{00000000-0005-0000-0000-000042240000}"/>
    <cellStyle name="Comma 3 3 2 5 3 5" xfId="9280" xr:uid="{00000000-0005-0000-0000-000043240000}"/>
    <cellStyle name="Comma 3 3 2 5 4" xfId="9281" xr:uid="{00000000-0005-0000-0000-000044240000}"/>
    <cellStyle name="Comma 3 3 2 5 4 2" xfId="9282" xr:uid="{00000000-0005-0000-0000-000045240000}"/>
    <cellStyle name="Comma 3 3 2 5 4 2 2" xfId="9283" xr:uid="{00000000-0005-0000-0000-000046240000}"/>
    <cellStyle name="Comma 3 3 2 5 4 3" xfId="9284" xr:uid="{00000000-0005-0000-0000-000047240000}"/>
    <cellStyle name="Comma 3 3 2 5 5" xfId="9285" xr:uid="{00000000-0005-0000-0000-000048240000}"/>
    <cellStyle name="Comma 3 3 2 5 5 2" xfId="9286" xr:uid="{00000000-0005-0000-0000-000049240000}"/>
    <cellStyle name="Comma 3 3 2 5 6" xfId="9287" xr:uid="{00000000-0005-0000-0000-00004A240000}"/>
    <cellStyle name="Comma 3 3 2 5 6 2" xfId="9288" xr:uid="{00000000-0005-0000-0000-00004B240000}"/>
    <cellStyle name="Comma 3 3 2 5 7" xfId="9289" xr:uid="{00000000-0005-0000-0000-00004C240000}"/>
    <cellStyle name="Comma 3 3 2 6" xfId="9290" xr:uid="{00000000-0005-0000-0000-00004D240000}"/>
    <cellStyle name="Comma 3 3 2 6 2" xfId="9291" xr:uid="{00000000-0005-0000-0000-00004E240000}"/>
    <cellStyle name="Comma 3 3 2 6 2 2" xfId="9292" xr:uid="{00000000-0005-0000-0000-00004F240000}"/>
    <cellStyle name="Comma 3 3 2 6 2 2 2" xfId="9293" xr:uid="{00000000-0005-0000-0000-000050240000}"/>
    <cellStyle name="Comma 3 3 2 6 2 2 2 2" xfId="9294" xr:uid="{00000000-0005-0000-0000-000051240000}"/>
    <cellStyle name="Comma 3 3 2 6 2 2 2 2 2" xfId="9295" xr:uid="{00000000-0005-0000-0000-000052240000}"/>
    <cellStyle name="Comma 3 3 2 6 2 2 2 3" xfId="9296" xr:uid="{00000000-0005-0000-0000-000053240000}"/>
    <cellStyle name="Comma 3 3 2 6 2 2 3" xfId="9297" xr:uid="{00000000-0005-0000-0000-000054240000}"/>
    <cellStyle name="Comma 3 3 2 6 2 2 3 2" xfId="9298" xr:uid="{00000000-0005-0000-0000-000055240000}"/>
    <cellStyle name="Comma 3 3 2 6 2 2 4" xfId="9299" xr:uid="{00000000-0005-0000-0000-000056240000}"/>
    <cellStyle name="Comma 3 3 2 6 2 2 4 2" xfId="9300" xr:uid="{00000000-0005-0000-0000-000057240000}"/>
    <cellStyle name="Comma 3 3 2 6 2 2 5" xfId="9301" xr:uid="{00000000-0005-0000-0000-000058240000}"/>
    <cellStyle name="Comma 3 3 2 6 2 3" xfId="9302" xr:uid="{00000000-0005-0000-0000-000059240000}"/>
    <cellStyle name="Comma 3 3 2 6 2 3 2" xfId="9303" xr:uid="{00000000-0005-0000-0000-00005A240000}"/>
    <cellStyle name="Comma 3 3 2 6 2 3 2 2" xfId="9304" xr:uid="{00000000-0005-0000-0000-00005B240000}"/>
    <cellStyle name="Comma 3 3 2 6 2 3 3" xfId="9305" xr:uid="{00000000-0005-0000-0000-00005C240000}"/>
    <cellStyle name="Comma 3 3 2 6 2 4" xfId="9306" xr:uid="{00000000-0005-0000-0000-00005D240000}"/>
    <cellStyle name="Comma 3 3 2 6 2 4 2" xfId="9307" xr:uid="{00000000-0005-0000-0000-00005E240000}"/>
    <cellStyle name="Comma 3 3 2 6 2 5" xfId="9308" xr:uid="{00000000-0005-0000-0000-00005F240000}"/>
    <cellStyle name="Comma 3 3 2 6 2 5 2" xfId="9309" xr:uid="{00000000-0005-0000-0000-000060240000}"/>
    <cellStyle name="Comma 3 3 2 6 2 6" xfId="9310" xr:uid="{00000000-0005-0000-0000-000061240000}"/>
    <cellStyle name="Comma 3 3 2 6 3" xfId="9311" xr:uid="{00000000-0005-0000-0000-000062240000}"/>
    <cellStyle name="Comma 3 3 2 6 3 2" xfId="9312" xr:uid="{00000000-0005-0000-0000-000063240000}"/>
    <cellStyle name="Comma 3 3 2 6 3 2 2" xfId="9313" xr:uid="{00000000-0005-0000-0000-000064240000}"/>
    <cellStyle name="Comma 3 3 2 6 3 2 2 2" xfId="9314" xr:uid="{00000000-0005-0000-0000-000065240000}"/>
    <cellStyle name="Comma 3 3 2 6 3 2 3" xfId="9315" xr:uid="{00000000-0005-0000-0000-000066240000}"/>
    <cellStyle name="Comma 3 3 2 6 3 3" xfId="9316" xr:uid="{00000000-0005-0000-0000-000067240000}"/>
    <cellStyle name="Comma 3 3 2 6 3 3 2" xfId="9317" xr:uid="{00000000-0005-0000-0000-000068240000}"/>
    <cellStyle name="Comma 3 3 2 6 3 4" xfId="9318" xr:uid="{00000000-0005-0000-0000-000069240000}"/>
    <cellStyle name="Comma 3 3 2 6 3 4 2" xfId="9319" xr:uid="{00000000-0005-0000-0000-00006A240000}"/>
    <cellStyle name="Comma 3 3 2 6 3 5" xfId="9320" xr:uid="{00000000-0005-0000-0000-00006B240000}"/>
    <cellStyle name="Comma 3 3 2 6 4" xfId="9321" xr:uid="{00000000-0005-0000-0000-00006C240000}"/>
    <cellStyle name="Comma 3 3 2 6 4 2" xfId="9322" xr:uid="{00000000-0005-0000-0000-00006D240000}"/>
    <cellStyle name="Comma 3 3 2 6 4 2 2" xfId="9323" xr:uid="{00000000-0005-0000-0000-00006E240000}"/>
    <cellStyle name="Comma 3 3 2 6 4 3" xfId="9324" xr:uid="{00000000-0005-0000-0000-00006F240000}"/>
    <cellStyle name="Comma 3 3 2 6 5" xfId="9325" xr:uid="{00000000-0005-0000-0000-000070240000}"/>
    <cellStyle name="Comma 3 3 2 6 5 2" xfId="9326" xr:uid="{00000000-0005-0000-0000-000071240000}"/>
    <cellStyle name="Comma 3 3 2 6 6" xfId="9327" xr:uid="{00000000-0005-0000-0000-000072240000}"/>
    <cellStyle name="Comma 3 3 2 6 6 2" xfId="9328" xr:uid="{00000000-0005-0000-0000-000073240000}"/>
    <cellStyle name="Comma 3 3 2 6 7" xfId="9329" xr:uid="{00000000-0005-0000-0000-000074240000}"/>
    <cellStyle name="Comma 3 3 2 7" xfId="9330" xr:uid="{00000000-0005-0000-0000-000075240000}"/>
    <cellStyle name="Comma 3 3 2 7 2" xfId="9331" xr:uid="{00000000-0005-0000-0000-000076240000}"/>
    <cellStyle name="Comma 3 3 2 7 2 2" xfId="9332" xr:uid="{00000000-0005-0000-0000-000077240000}"/>
    <cellStyle name="Comma 3 3 2 7 2 2 2" xfId="9333" xr:uid="{00000000-0005-0000-0000-000078240000}"/>
    <cellStyle name="Comma 3 3 2 7 2 2 2 2" xfId="9334" xr:uid="{00000000-0005-0000-0000-000079240000}"/>
    <cellStyle name="Comma 3 3 2 7 2 2 3" xfId="9335" xr:uid="{00000000-0005-0000-0000-00007A240000}"/>
    <cellStyle name="Comma 3 3 2 7 2 3" xfId="9336" xr:uid="{00000000-0005-0000-0000-00007B240000}"/>
    <cellStyle name="Comma 3 3 2 7 2 3 2" xfId="9337" xr:uid="{00000000-0005-0000-0000-00007C240000}"/>
    <cellStyle name="Comma 3 3 2 7 2 4" xfId="9338" xr:uid="{00000000-0005-0000-0000-00007D240000}"/>
    <cellStyle name="Comma 3 3 2 7 2 4 2" xfId="9339" xr:uid="{00000000-0005-0000-0000-00007E240000}"/>
    <cellStyle name="Comma 3 3 2 7 2 5" xfId="9340" xr:uid="{00000000-0005-0000-0000-00007F240000}"/>
    <cellStyle name="Comma 3 3 2 7 3" xfId="9341" xr:uid="{00000000-0005-0000-0000-000080240000}"/>
    <cellStyle name="Comma 3 3 2 7 3 2" xfId="9342" xr:uid="{00000000-0005-0000-0000-000081240000}"/>
    <cellStyle name="Comma 3 3 2 7 3 2 2" xfId="9343" xr:uid="{00000000-0005-0000-0000-000082240000}"/>
    <cellStyle name="Comma 3 3 2 7 3 3" xfId="9344" xr:uid="{00000000-0005-0000-0000-000083240000}"/>
    <cellStyle name="Comma 3 3 2 7 4" xfId="9345" xr:uid="{00000000-0005-0000-0000-000084240000}"/>
    <cellStyle name="Comma 3 3 2 7 4 2" xfId="9346" xr:uid="{00000000-0005-0000-0000-000085240000}"/>
    <cellStyle name="Comma 3 3 2 7 5" xfId="9347" xr:uid="{00000000-0005-0000-0000-000086240000}"/>
    <cellStyle name="Comma 3 3 2 7 5 2" xfId="9348" xr:uid="{00000000-0005-0000-0000-000087240000}"/>
    <cellStyle name="Comma 3 3 2 7 6" xfId="9349" xr:uid="{00000000-0005-0000-0000-000088240000}"/>
    <cellStyle name="Comma 3 3 2 8" xfId="9350" xr:uid="{00000000-0005-0000-0000-000089240000}"/>
    <cellStyle name="Comma 3 3 2 8 2" xfId="9351" xr:uid="{00000000-0005-0000-0000-00008A240000}"/>
    <cellStyle name="Comma 3 3 2 8 2 2" xfId="9352" xr:uid="{00000000-0005-0000-0000-00008B240000}"/>
    <cellStyle name="Comma 3 3 2 8 2 2 2" xfId="9353" xr:uid="{00000000-0005-0000-0000-00008C240000}"/>
    <cellStyle name="Comma 3 3 2 8 2 3" xfId="9354" xr:uid="{00000000-0005-0000-0000-00008D240000}"/>
    <cellStyle name="Comma 3 3 2 8 3" xfId="9355" xr:uid="{00000000-0005-0000-0000-00008E240000}"/>
    <cellStyle name="Comma 3 3 2 8 3 2" xfId="9356" xr:uid="{00000000-0005-0000-0000-00008F240000}"/>
    <cellStyle name="Comma 3 3 2 8 4" xfId="9357" xr:uid="{00000000-0005-0000-0000-000090240000}"/>
    <cellStyle name="Comma 3 3 2 8 4 2" xfId="9358" xr:uid="{00000000-0005-0000-0000-000091240000}"/>
    <cellStyle name="Comma 3 3 2 8 5" xfId="9359" xr:uid="{00000000-0005-0000-0000-000092240000}"/>
    <cellStyle name="Comma 3 3 2 9" xfId="9360" xr:uid="{00000000-0005-0000-0000-000093240000}"/>
    <cellStyle name="Comma 3 3 2 9 2" xfId="9361" xr:uid="{00000000-0005-0000-0000-000094240000}"/>
    <cellStyle name="Comma 3 3 2 9 2 2" xfId="9362" xr:uid="{00000000-0005-0000-0000-000095240000}"/>
    <cellStyle name="Comma 3 3 2 9 3" xfId="9363" xr:uid="{00000000-0005-0000-0000-000096240000}"/>
    <cellStyle name="Comma 3 3 3" xfId="9364" xr:uid="{00000000-0005-0000-0000-000097240000}"/>
    <cellStyle name="Comma 3 3 3 2" xfId="9365" xr:uid="{00000000-0005-0000-0000-000098240000}"/>
    <cellStyle name="Comma 3 3 3 2 2" xfId="9366" xr:uid="{00000000-0005-0000-0000-000099240000}"/>
    <cellStyle name="Comma 3 3 3 2 2 2" xfId="9367" xr:uid="{00000000-0005-0000-0000-00009A240000}"/>
    <cellStyle name="Comma 3 3 3 2 2 2 2" xfId="9368" xr:uid="{00000000-0005-0000-0000-00009B240000}"/>
    <cellStyle name="Comma 3 3 3 2 2 2 2 2" xfId="9369" xr:uid="{00000000-0005-0000-0000-00009C240000}"/>
    <cellStyle name="Comma 3 3 3 2 2 2 2 2 2" xfId="9370" xr:uid="{00000000-0005-0000-0000-00009D240000}"/>
    <cellStyle name="Comma 3 3 3 2 2 2 2 3" xfId="9371" xr:uid="{00000000-0005-0000-0000-00009E240000}"/>
    <cellStyle name="Comma 3 3 3 2 2 2 3" xfId="9372" xr:uid="{00000000-0005-0000-0000-00009F240000}"/>
    <cellStyle name="Comma 3 3 3 2 2 2 3 2" xfId="9373" xr:uid="{00000000-0005-0000-0000-0000A0240000}"/>
    <cellStyle name="Comma 3 3 3 2 2 2 4" xfId="9374" xr:uid="{00000000-0005-0000-0000-0000A1240000}"/>
    <cellStyle name="Comma 3 3 3 2 2 2 4 2" xfId="9375" xr:uid="{00000000-0005-0000-0000-0000A2240000}"/>
    <cellStyle name="Comma 3 3 3 2 2 2 5" xfId="9376" xr:uid="{00000000-0005-0000-0000-0000A3240000}"/>
    <cellStyle name="Comma 3 3 3 2 2 3" xfId="9377" xr:uid="{00000000-0005-0000-0000-0000A4240000}"/>
    <cellStyle name="Comma 3 3 3 2 2 3 2" xfId="9378" xr:uid="{00000000-0005-0000-0000-0000A5240000}"/>
    <cellStyle name="Comma 3 3 3 2 2 3 2 2" xfId="9379" xr:uid="{00000000-0005-0000-0000-0000A6240000}"/>
    <cellStyle name="Comma 3 3 3 2 2 3 3" xfId="9380" xr:uid="{00000000-0005-0000-0000-0000A7240000}"/>
    <cellStyle name="Comma 3 3 3 2 2 4" xfId="9381" xr:uid="{00000000-0005-0000-0000-0000A8240000}"/>
    <cellStyle name="Comma 3 3 3 2 2 4 2" xfId="9382" xr:uid="{00000000-0005-0000-0000-0000A9240000}"/>
    <cellStyle name="Comma 3 3 3 2 2 5" xfId="9383" xr:uid="{00000000-0005-0000-0000-0000AA240000}"/>
    <cellStyle name="Comma 3 3 3 2 2 5 2" xfId="9384" xr:uid="{00000000-0005-0000-0000-0000AB240000}"/>
    <cellStyle name="Comma 3 3 3 2 2 6" xfId="9385" xr:uid="{00000000-0005-0000-0000-0000AC240000}"/>
    <cellStyle name="Comma 3 3 3 2 3" xfId="9386" xr:uid="{00000000-0005-0000-0000-0000AD240000}"/>
    <cellStyle name="Comma 3 3 3 2 3 2" xfId="9387" xr:uid="{00000000-0005-0000-0000-0000AE240000}"/>
    <cellStyle name="Comma 3 3 3 2 3 2 2" xfId="9388" xr:uid="{00000000-0005-0000-0000-0000AF240000}"/>
    <cellStyle name="Comma 3 3 3 2 3 2 2 2" xfId="9389" xr:uid="{00000000-0005-0000-0000-0000B0240000}"/>
    <cellStyle name="Comma 3 3 3 2 3 2 3" xfId="9390" xr:uid="{00000000-0005-0000-0000-0000B1240000}"/>
    <cellStyle name="Comma 3 3 3 2 3 3" xfId="9391" xr:uid="{00000000-0005-0000-0000-0000B2240000}"/>
    <cellStyle name="Comma 3 3 3 2 3 3 2" xfId="9392" xr:uid="{00000000-0005-0000-0000-0000B3240000}"/>
    <cellStyle name="Comma 3 3 3 2 3 4" xfId="9393" xr:uid="{00000000-0005-0000-0000-0000B4240000}"/>
    <cellStyle name="Comma 3 3 3 2 3 4 2" xfId="9394" xr:uid="{00000000-0005-0000-0000-0000B5240000}"/>
    <cellStyle name="Comma 3 3 3 2 3 5" xfId="9395" xr:uid="{00000000-0005-0000-0000-0000B6240000}"/>
    <cellStyle name="Comma 3 3 3 2 4" xfId="9396" xr:uid="{00000000-0005-0000-0000-0000B7240000}"/>
    <cellStyle name="Comma 3 3 3 2 4 2" xfId="9397" xr:uid="{00000000-0005-0000-0000-0000B8240000}"/>
    <cellStyle name="Comma 3 3 3 2 4 2 2" xfId="9398" xr:uid="{00000000-0005-0000-0000-0000B9240000}"/>
    <cellStyle name="Comma 3 3 3 2 4 3" xfId="9399" xr:uid="{00000000-0005-0000-0000-0000BA240000}"/>
    <cellStyle name="Comma 3 3 3 2 5" xfId="9400" xr:uid="{00000000-0005-0000-0000-0000BB240000}"/>
    <cellStyle name="Comma 3 3 3 2 5 2" xfId="9401" xr:uid="{00000000-0005-0000-0000-0000BC240000}"/>
    <cellStyle name="Comma 3 3 3 2 6" xfId="9402" xr:uid="{00000000-0005-0000-0000-0000BD240000}"/>
    <cellStyle name="Comma 3 3 3 2 6 2" xfId="9403" xr:uid="{00000000-0005-0000-0000-0000BE240000}"/>
    <cellStyle name="Comma 3 3 3 2 7" xfId="9404" xr:uid="{00000000-0005-0000-0000-0000BF240000}"/>
    <cellStyle name="Comma 3 3 3 3" xfId="9405" xr:uid="{00000000-0005-0000-0000-0000C0240000}"/>
    <cellStyle name="Comma 3 3 3 3 2" xfId="9406" xr:uid="{00000000-0005-0000-0000-0000C1240000}"/>
    <cellStyle name="Comma 3 3 3 3 2 2" xfId="9407" xr:uid="{00000000-0005-0000-0000-0000C2240000}"/>
    <cellStyle name="Comma 3 3 3 3 2 2 2" xfId="9408" xr:uid="{00000000-0005-0000-0000-0000C3240000}"/>
    <cellStyle name="Comma 3 3 3 3 2 2 2 2" xfId="9409" xr:uid="{00000000-0005-0000-0000-0000C4240000}"/>
    <cellStyle name="Comma 3 3 3 3 2 2 2 2 2" xfId="9410" xr:uid="{00000000-0005-0000-0000-0000C5240000}"/>
    <cellStyle name="Comma 3 3 3 3 2 2 2 3" xfId="9411" xr:uid="{00000000-0005-0000-0000-0000C6240000}"/>
    <cellStyle name="Comma 3 3 3 3 2 2 3" xfId="9412" xr:uid="{00000000-0005-0000-0000-0000C7240000}"/>
    <cellStyle name="Comma 3 3 3 3 2 2 3 2" xfId="9413" xr:uid="{00000000-0005-0000-0000-0000C8240000}"/>
    <cellStyle name="Comma 3 3 3 3 2 2 4" xfId="9414" xr:uid="{00000000-0005-0000-0000-0000C9240000}"/>
    <cellStyle name="Comma 3 3 3 3 2 2 4 2" xfId="9415" xr:uid="{00000000-0005-0000-0000-0000CA240000}"/>
    <cellStyle name="Comma 3 3 3 3 2 2 5" xfId="9416" xr:uid="{00000000-0005-0000-0000-0000CB240000}"/>
    <cellStyle name="Comma 3 3 3 3 2 3" xfId="9417" xr:uid="{00000000-0005-0000-0000-0000CC240000}"/>
    <cellStyle name="Comma 3 3 3 3 2 3 2" xfId="9418" xr:uid="{00000000-0005-0000-0000-0000CD240000}"/>
    <cellStyle name="Comma 3 3 3 3 2 3 2 2" xfId="9419" xr:uid="{00000000-0005-0000-0000-0000CE240000}"/>
    <cellStyle name="Comma 3 3 3 3 2 3 3" xfId="9420" xr:uid="{00000000-0005-0000-0000-0000CF240000}"/>
    <cellStyle name="Comma 3 3 3 3 2 4" xfId="9421" xr:uid="{00000000-0005-0000-0000-0000D0240000}"/>
    <cellStyle name="Comma 3 3 3 3 2 4 2" xfId="9422" xr:uid="{00000000-0005-0000-0000-0000D1240000}"/>
    <cellStyle name="Comma 3 3 3 3 2 5" xfId="9423" xr:uid="{00000000-0005-0000-0000-0000D2240000}"/>
    <cellStyle name="Comma 3 3 3 3 2 5 2" xfId="9424" xr:uid="{00000000-0005-0000-0000-0000D3240000}"/>
    <cellStyle name="Comma 3 3 3 3 2 6" xfId="9425" xr:uid="{00000000-0005-0000-0000-0000D4240000}"/>
    <cellStyle name="Comma 3 3 3 3 3" xfId="9426" xr:uid="{00000000-0005-0000-0000-0000D5240000}"/>
    <cellStyle name="Comma 3 3 3 3 3 2" xfId="9427" xr:uid="{00000000-0005-0000-0000-0000D6240000}"/>
    <cellStyle name="Comma 3 3 3 3 3 2 2" xfId="9428" xr:uid="{00000000-0005-0000-0000-0000D7240000}"/>
    <cellStyle name="Comma 3 3 3 3 3 2 2 2" xfId="9429" xr:uid="{00000000-0005-0000-0000-0000D8240000}"/>
    <cellStyle name="Comma 3 3 3 3 3 2 3" xfId="9430" xr:uid="{00000000-0005-0000-0000-0000D9240000}"/>
    <cellStyle name="Comma 3 3 3 3 3 3" xfId="9431" xr:uid="{00000000-0005-0000-0000-0000DA240000}"/>
    <cellStyle name="Comma 3 3 3 3 3 3 2" xfId="9432" xr:uid="{00000000-0005-0000-0000-0000DB240000}"/>
    <cellStyle name="Comma 3 3 3 3 3 4" xfId="9433" xr:uid="{00000000-0005-0000-0000-0000DC240000}"/>
    <cellStyle name="Comma 3 3 3 3 3 4 2" xfId="9434" xr:uid="{00000000-0005-0000-0000-0000DD240000}"/>
    <cellStyle name="Comma 3 3 3 3 3 5" xfId="9435" xr:uid="{00000000-0005-0000-0000-0000DE240000}"/>
    <cellStyle name="Comma 3 3 3 3 4" xfId="9436" xr:uid="{00000000-0005-0000-0000-0000DF240000}"/>
    <cellStyle name="Comma 3 3 3 3 4 2" xfId="9437" xr:uid="{00000000-0005-0000-0000-0000E0240000}"/>
    <cellStyle name="Comma 3 3 3 3 4 2 2" xfId="9438" xr:uid="{00000000-0005-0000-0000-0000E1240000}"/>
    <cellStyle name="Comma 3 3 3 3 4 3" xfId="9439" xr:uid="{00000000-0005-0000-0000-0000E2240000}"/>
    <cellStyle name="Comma 3 3 3 3 5" xfId="9440" xr:uid="{00000000-0005-0000-0000-0000E3240000}"/>
    <cellStyle name="Comma 3 3 3 3 5 2" xfId="9441" xr:uid="{00000000-0005-0000-0000-0000E4240000}"/>
    <cellStyle name="Comma 3 3 3 3 6" xfId="9442" xr:uid="{00000000-0005-0000-0000-0000E5240000}"/>
    <cellStyle name="Comma 3 3 3 3 6 2" xfId="9443" xr:uid="{00000000-0005-0000-0000-0000E6240000}"/>
    <cellStyle name="Comma 3 3 3 3 7" xfId="9444" xr:uid="{00000000-0005-0000-0000-0000E7240000}"/>
    <cellStyle name="Comma 3 3 3 4" xfId="9445" xr:uid="{00000000-0005-0000-0000-0000E8240000}"/>
    <cellStyle name="Comma 3 3 3 4 2" xfId="9446" xr:uid="{00000000-0005-0000-0000-0000E9240000}"/>
    <cellStyle name="Comma 3 3 3 4 2 2" xfId="9447" xr:uid="{00000000-0005-0000-0000-0000EA240000}"/>
    <cellStyle name="Comma 3 3 3 4 2 2 2" xfId="9448" xr:uid="{00000000-0005-0000-0000-0000EB240000}"/>
    <cellStyle name="Comma 3 3 3 4 2 2 2 2" xfId="9449" xr:uid="{00000000-0005-0000-0000-0000EC240000}"/>
    <cellStyle name="Comma 3 3 3 4 2 2 3" xfId="9450" xr:uid="{00000000-0005-0000-0000-0000ED240000}"/>
    <cellStyle name="Comma 3 3 3 4 2 3" xfId="9451" xr:uid="{00000000-0005-0000-0000-0000EE240000}"/>
    <cellStyle name="Comma 3 3 3 4 2 3 2" xfId="9452" xr:uid="{00000000-0005-0000-0000-0000EF240000}"/>
    <cellStyle name="Comma 3 3 3 4 2 4" xfId="9453" xr:uid="{00000000-0005-0000-0000-0000F0240000}"/>
    <cellStyle name="Comma 3 3 3 4 2 4 2" xfId="9454" xr:uid="{00000000-0005-0000-0000-0000F1240000}"/>
    <cellStyle name="Comma 3 3 3 4 2 5" xfId="9455" xr:uid="{00000000-0005-0000-0000-0000F2240000}"/>
    <cellStyle name="Comma 3 3 3 4 3" xfId="9456" xr:uid="{00000000-0005-0000-0000-0000F3240000}"/>
    <cellStyle name="Comma 3 3 3 4 3 2" xfId="9457" xr:uid="{00000000-0005-0000-0000-0000F4240000}"/>
    <cellStyle name="Comma 3 3 3 4 3 2 2" xfId="9458" xr:uid="{00000000-0005-0000-0000-0000F5240000}"/>
    <cellStyle name="Comma 3 3 3 4 3 3" xfId="9459" xr:uid="{00000000-0005-0000-0000-0000F6240000}"/>
    <cellStyle name="Comma 3 3 3 4 4" xfId="9460" xr:uid="{00000000-0005-0000-0000-0000F7240000}"/>
    <cellStyle name="Comma 3 3 3 4 4 2" xfId="9461" xr:uid="{00000000-0005-0000-0000-0000F8240000}"/>
    <cellStyle name="Comma 3 3 3 4 5" xfId="9462" xr:uid="{00000000-0005-0000-0000-0000F9240000}"/>
    <cellStyle name="Comma 3 3 3 4 5 2" xfId="9463" xr:uid="{00000000-0005-0000-0000-0000FA240000}"/>
    <cellStyle name="Comma 3 3 3 4 6" xfId="9464" xr:uid="{00000000-0005-0000-0000-0000FB240000}"/>
    <cellStyle name="Comma 3 3 3 5" xfId="9465" xr:uid="{00000000-0005-0000-0000-0000FC240000}"/>
    <cellStyle name="Comma 3 3 3 5 2" xfId="9466" xr:uid="{00000000-0005-0000-0000-0000FD240000}"/>
    <cellStyle name="Comma 3 3 3 5 2 2" xfId="9467" xr:uid="{00000000-0005-0000-0000-0000FE240000}"/>
    <cellStyle name="Comma 3 3 3 5 2 2 2" xfId="9468" xr:uid="{00000000-0005-0000-0000-0000FF240000}"/>
    <cellStyle name="Comma 3 3 3 5 2 3" xfId="9469" xr:uid="{00000000-0005-0000-0000-000000250000}"/>
    <cellStyle name="Comma 3 3 3 5 3" xfId="9470" xr:uid="{00000000-0005-0000-0000-000001250000}"/>
    <cellStyle name="Comma 3 3 3 5 3 2" xfId="9471" xr:uid="{00000000-0005-0000-0000-000002250000}"/>
    <cellStyle name="Comma 3 3 3 5 4" xfId="9472" xr:uid="{00000000-0005-0000-0000-000003250000}"/>
    <cellStyle name="Comma 3 3 3 5 4 2" xfId="9473" xr:uid="{00000000-0005-0000-0000-000004250000}"/>
    <cellStyle name="Comma 3 3 3 5 5" xfId="9474" xr:uid="{00000000-0005-0000-0000-000005250000}"/>
    <cellStyle name="Comma 3 3 3 6" xfId="9475" xr:uid="{00000000-0005-0000-0000-000006250000}"/>
    <cellStyle name="Comma 3 3 3 6 2" xfId="9476" xr:uid="{00000000-0005-0000-0000-000007250000}"/>
    <cellStyle name="Comma 3 3 3 6 2 2" xfId="9477" xr:uid="{00000000-0005-0000-0000-000008250000}"/>
    <cellStyle name="Comma 3 3 3 6 3" xfId="9478" xr:uid="{00000000-0005-0000-0000-000009250000}"/>
    <cellStyle name="Comma 3 3 3 7" xfId="9479" xr:uid="{00000000-0005-0000-0000-00000A250000}"/>
    <cellStyle name="Comma 3 3 3 7 2" xfId="9480" xr:uid="{00000000-0005-0000-0000-00000B250000}"/>
    <cellStyle name="Comma 3 3 3 8" xfId="9481" xr:uid="{00000000-0005-0000-0000-00000C250000}"/>
    <cellStyle name="Comma 3 3 3 8 2" xfId="9482" xr:uid="{00000000-0005-0000-0000-00000D250000}"/>
    <cellStyle name="Comma 3 3 3 9" xfId="9483" xr:uid="{00000000-0005-0000-0000-00000E250000}"/>
    <cellStyle name="Comma 3 3 4" xfId="9484" xr:uid="{00000000-0005-0000-0000-00000F250000}"/>
    <cellStyle name="Comma 3 3 4 2" xfId="9485" xr:uid="{00000000-0005-0000-0000-000010250000}"/>
    <cellStyle name="Comma 3 3 4 2 2" xfId="9486" xr:uid="{00000000-0005-0000-0000-000011250000}"/>
    <cellStyle name="Comma 3 3 4 2 2 2" xfId="9487" xr:uid="{00000000-0005-0000-0000-000012250000}"/>
    <cellStyle name="Comma 3 3 4 2 2 2 2" xfId="9488" xr:uid="{00000000-0005-0000-0000-000013250000}"/>
    <cellStyle name="Comma 3 3 4 2 2 2 2 2" xfId="9489" xr:uid="{00000000-0005-0000-0000-000014250000}"/>
    <cellStyle name="Comma 3 3 4 2 2 2 2 2 2" xfId="9490" xr:uid="{00000000-0005-0000-0000-000015250000}"/>
    <cellStyle name="Comma 3 3 4 2 2 2 2 3" xfId="9491" xr:uid="{00000000-0005-0000-0000-000016250000}"/>
    <cellStyle name="Comma 3 3 4 2 2 2 3" xfId="9492" xr:uid="{00000000-0005-0000-0000-000017250000}"/>
    <cellStyle name="Comma 3 3 4 2 2 2 3 2" xfId="9493" xr:uid="{00000000-0005-0000-0000-000018250000}"/>
    <cellStyle name="Comma 3 3 4 2 2 2 4" xfId="9494" xr:uid="{00000000-0005-0000-0000-000019250000}"/>
    <cellStyle name="Comma 3 3 4 2 2 2 4 2" xfId="9495" xr:uid="{00000000-0005-0000-0000-00001A250000}"/>
    <cellStyle name="Comma 3 3 4 2 2 2 5" xfId="9496" xr:uid="{00000000-0005-0000-0000-00001B250000}"/>
    <cellStyle name="Comma 3 3 4 2 2 3" xfId="9497" xr:uid="{00000000-0005-0000-0000-00001C250000}"/>
    <cellStyle name="Comma 3 3 4 2 2 3 2" xfId="9498" xr:uid="{00000000-0005-0000-0000-00001D250000}"/>
    <cellStyle name="Comma 3 3 4 2 2 3 2 2" xfId="9499" xr:uid="{00000000-0005-0000-0000-00001E250000}"/>
    <cellStyle name="Comma 3 3 4 2 2 3 3" xfId="9500" xr:uid="{00000000-0005-0000-0000-00001F250000}"/>
    <cellStyle name="Comma 3 3 4 2 2 4" xfId="9501" xr:uid="{00000000-0005-0000-0000-000020250000}"/>
    <cellStyle name="Comma 3 3 4 2 2 4 2" xfId="9502" xr:uid="{00000000-0005-0000-0000-000021250000}"/>
    <cellStyle name="Comma 3 3 4 2 2 5" xfId="9503" xr:uid="{00000000-0005-0000-0000-000022250000}"/>
    <cellStyle name="Comma 3 3 4 2 2 5 2" xfId="9504" xr:uid="{00000000-0005-0000-0000-000023250000}"/>
    <cellStyle name="Comma 3 3 4 2 2 6" xfId="9505" xr:uid="{00000000-0005-0000-0000-000024250000}"/>
    <cellStyle name="Comma 3 3 4 2 3" xfId="9506" xr:uid="{00000000-0005-0000-0000-000025250000}"/>
    <cellStyle name="Comma 3 3 4 2 3 2" xfId="9507" xr:uid="{00000000-0005-0000-0000-000026250000}"/>
    <cellStyle name="Comma 3 3 4 2 3 2 2" xfId="9508" xr:uid="{00000000-0005-0000-0000-000027250000}"/>
    <cellStyle name="Comma 3 3 4 2 3 2 2 2" xfId="9509" xr:uid="{00000000-0005-0000-0000-000028250000}"/>
    <cellStyle name="Comma 3 3 4 2 3 2 3" xfId="9510" xr:uid="{00000000-0005-0000-0000-000029250000}"/>
    <cellStyle name="Comma 3 3 4 2 3 3" xfId="9511" xr:uid="{00000000-0005-0000-0000-00002A250000}"/>
    <cellStyle name="Comma 3 3 4 2 3 3 2" xfId="9512" xr:uid="{00000000-0005-0000-0000-00002B250000}"/>
    <cellStyle name="Comma 3 3 4 2 3 4" xfId="9513" xr:uid="{00000000-0005-0000-0000-00002C250000}"/>
    <cellStyle name="Comma 3 3 4 2 3 4 2" xfId="9514" xr:uid="{00000000-0005-0000-0000-00002D250000}"/>
    <cellStyle name="Comma 3 3 4 2 3 5" xfId="9515" xr:uid="{00000000-0005-0000-0000-00002E250000}"/>
    <cellStyle name="Comma 3 3 4 2 4" xfId="9516" xr:uid="{00000000-0005-0000-0000-00002F250000}"/>
    <cellStyle name="Comma 3 3 4 2 4 2" xfId="9517" xr:uid="{00000000-0005-0000-0000-000030250000}"/>
    <cellStyle name="Comma 3 3 4 2 4 2 2" xfId="9518" xr:uid="{00000000-0005-0000-0000-000031250000}"/>
    <cellStyle name="Comma 3 3 4 2 4 3" xfId="9519" xr:uid="{00000000-0005-0000-0000-000032250000}"/>
    <cellStyle name="Comma 3 3 4 2 5" xfId="9520" xr:uid="{00000000-0005-0000-0000-000033250000}"/>
    <cellStyle name="Comma 3 3 4 2 5 2" xfId="9521" xr:uid="{00000000-0005-0000-0000-000034250000}"/>
    <cellStyle name="Comma 3 3 4 2 6" xfId="9522" xr:uid="{00000000-0005-0000-0000-000035250000}"/>
    <cellStyle name="Comma 3 3 4 2 6 2" xfId="9523" xr:uid="{00000000-0005-0000-0000-000036250000}"/>
    <cellStyle name="Comma 3 3 4 2 7" xfId="9524" xr:uid="{00000000-0005-0000-0000-000037250000}"/>
    <cellStyle name="Comma 3 3 4 3" xfId="9525" xr:uid="{00000000-0005-0000-0000-000038250000}"/>
    <cellStyle name="Comma 3 3 4 3 2" xfId="9526" xr:uid="{00000000-0005-0000-0000-000039250000}"/>
    <cellStyle name="Comma 3 3 4 3 2 2" xfId="9527" xr:uid="{00000000-0005-0000-0000-00003A250000}"/>
    <cellStyle name="Comma 3 3 4 3 2 2 2" xfId="9528" xr:uid="{00000000-0005-0000-0000-00003B250000}"/>
    <cellStyle name="Comma 3 3 4 3 2 2 2 2" xfId="9529" xr:uid="{00000000-0005-0000-0000-00003C250000}"/>
    <cellStyle name="Comma 3 3 4 3 2 2 2 2 2" xfId="9530" xr:uid="{00000000-0005-0000-0000-00003D250000}"/>
    <cellStyle name="Comma 3 3 4 3 2 2 2 3" xfId="9531" xr:uid="{00000000-0005-0000-0000-00003E250000}"/>
    <cellStyle name="Comma 3 3 4 3 2 2 3" xfId="9532" xr:uid="{00000000-0005-0000-0000-00003F250000}"/>
    <cellStyle name="Comma 3 3 4 3 2 2 3 2" xfId="9533" xr:uid="{00000000-0005-0000-0000-000040250000}"/>
    <cellStyle name="Comma 3 3 4 3 2 2 4" xfId="9534" xr:uid="{00000000-0005-0000-0000-000041250000}"/>
    <cellStyle name="Comma 3 3 4 3 2 2 4 2" xfId="9535" xr:uid="{00000000-0005-0000-0000-000042250000}"/>
    <cellStyle name="Comma 3 3 4 3 2 2 5" xfId="9536" xr:uid="{00000000-0005-0000-0000-000043250000}"/>
    <cellStyle name="Comma 3 3 4 3 2 3" xfId="9537" xr:uid="{00000000-0005-0000-0000-000044250000}"/>
    <cellStyle name="Comma 3 3 4 3 2 3 2" xfId="9538" xr:uid="{00000000-0005-0000-0000-000045250000}"/>
    <cellStyle name="Comma 3 3 4 3 2 3 2 2" xfId="9539" xr:uid="{00000000-0005-0000-0000-000046250000}"/>
    <cellStyle name="Comma 3 3 4 3 2 3 3" xfId="9540" xr:uid="{00000000-0005-0000-0000-000047250000}"/>
    <cellStyle name="Comma 3 3 4 3 2 4" xfId="9541" xr:uid="{00000000-0005-0000-0000-000048250000}"/>
    <cellStyle name="Comma 3 3 4 3 2 4 2" xfId="9542" xr:uid="{00000000-0005-0000-0000-000049250000}"/>
    <cellStyle name="Comma 3 3 4 3 2 5" xfId="9543" xr:uid="{00000000-0005-0000-0000-00004A250000}"/>
    <cellStyle name="Comma 3 3 4 3 2 5 2" xfId="9544" xr:uid="{00000000-0005-0000-0000-00004B250000}"/>
    <cellStyle name="Comma 3 3 4 3 2 6" xfId="9545" xr:uid="{00000000-0005-0000-0000-00004C250000}"/>
    <cellStyle name="Comma 3 3 4 3 3" xfId="9546" xr:uid="{00000000-0005-0000-0000-00004D250000}"/>
    <cellStyle name="Comma 3 3 4 3 3 2" xfId="9547" xr:uid="{00000000-0005-0000-0000-00004E250000}"/>
    <cellStyle name="Comma 3 3 4 3 3 2 2" xfId="9548" xr:uid="{00000000-0005-0000-0000-00004F250000}"/>
    <cellStyle name="Comma 3 3 4 3 3 2 2 2" xfId="9549" xr:uid="{00000000-0005-0000-0000-000050250000}"/>
    <cellStyle name="Comma 3 3 4 3 3 2 3" xfId="9550" xr:uid="{00000000-0005-0000-0000-000051250000}"/>
    <cellStyle name="Comma 3 3 4 3 3 3" xfId="9551" xr:uid="{00000000-0005-0000-0000-000052250000}"/>
    <cellStyle name="Comma 3 3 4 3 3 3 2" xfId="9552" xr:uid="{00000000-0005-0000-0000-000053250000}"/>
    <cellStyle name="Comma 3 3 4 3 3 4" xfId="9553" xr:uid="{00000000-0005-0000-0000-000054250000}"/>
    <cellStyle name="Comma 3 3 4 3 3 4 2" xfId="9554" xr:uid="{00000000-0005-0000-0000-000055250000}"/>
    <cellStyle name="Comma 3 3 4 3 3 5" xfId="9555" xr:uid="{00000000-0005-0000-0000-000056250000}"/>
    <cellStyle name="Comma 3 3 4 3 4" xfId="9556" xr:uid="{00000000-0005-0000-0000-000057250000}"/>
    <cellStyle name="Comma 3 3 4 3 4 2" xfId="9557" xr:uid="{00000000-0005-0000-0000-000058250000}"/>
    <cellStyle name="Comma 3 3 4 3 4 2 2" xfId="9558" xr:uid="{00000000-0005-0000-0000-000059250000}"/>
    <cellStyle name="Comma 3 3 4 3 4 3" xfId="9559" xr:uid="{00000000-0005-0000-0000-00005A250000}"/>
    <cellStyle name="Comma 3 3 4 3 5" xfId="9560" xr:uid="{00000000-0005-0000-0000-00005B250000}"/>
    <cellStyle name="Comma 3 3 4 3 5 2" xfId="9561" xr:uid="{00000000-0005-0000-0000-00005C250000}"/>
    <cellStyle name="Comma 3 3 4 3 6" xfId="9562" xr:uid="{00000000-0005-0000-0000-00005D250000}"/>
    <cellStyle name="Comma 3 3 4 3 6 2" xfId="9563" xr:uid="{00000000-0005-0000-0000-00005E250000}"/>
    <cellStyle name="Comma 3 3 4 3 7" xfId="9564" xr:uid="{00000000-0005-0000-0000-00005F250000}"/>
    <cellStyle name="Comma 3 3 4 4" xfId="9565" xr:uid="{00000000-0005-0000-0000-000060250000}"/>
    <cellStyle name="Comma 3 3 4 4 2" xfId="9566" xr:uid="{00000000-0005-0000-0000-000061250000}"/>
    <cellStyle name="Comma 3 3 4 4 2 2" xfId="9567" xr:uid="{00000000-0005-0000-0000-000062250000}"/>
    <cellStyle name="Comma 3 3 4 4 2 2 2" xfId="9568" xr:uid="{00000000-0005-0000-0000-000063250000}"/>
    <cellStyle name="Comma 3 3 4 4 2 2 2 2" xfId="9569" xr:uid="{00000000-0005-0000-0000-000064250000}"/>
    <cellStyle name="Comma 3 3 4 4 2 2 3" xfId="9570" xr:uid="{00000000-0005-0000-0000-000065250000}"/>
    <cellStyle name="Comma 3 3 4 4 2 3" xfId="9571" xr:uid="{00000000-0005-0000-0000-000066250000}"/>
    <cellStyle name="Comma 3 3 4 4 2 3 2" xfId="9572" xr:uid="{00000000-0005-0000-0000-000067250000}"/>
    <cellStyle name="Comma 3 3 4 4 2 4" xfId="9573" xr:uid="{00000000-0005-0000-0000-000068250000}"/>
    <cellStyle name="Comma 3 3 4 4 2 4 2" xfId="9574" xr:uid="{00000000-0005-0000-0000-000069250000}"/>
    <cellStyle name="Comma 3 3 4 4 2 5" xfId="9575" xr:uid="{00000000-0005-0000-0000-00006A250000}"/>
    <cellStyle name="Comma 3 3 4 4 3" xfId="9576" xr:uid="{00000000-0005-0000-0000-00006B250000}"/>
    <cellStyle name="Comma 3 3 4 4 3 2" xfId="9577" xr:uid="{00000000-0005-0000-0000-00006C250000}"/>
    <cellStyle name="Comma 3 3 4 4 3 2 2" xfId="9578" xr:uid="{00000000-0005-0000-0000-00006D250000}"/>
    <cellStyle name="Comma 3 3 4 4 3 3" xfId="9579" xr:uid="{00000000-0005-0000-0000-00006E250000}"/>
    <cellStyle name="Comma 3 3 4 4 4" xfId="9580" xr:uid="{00000000-0005-0000-0000-00006F250000}"/>
    <cellStyle name="Comma 3 3 4 4 4 2" xfId="9581" xr:uid="{00000000-0005-0000-0000-000070250000}"/>
    <cellStyle name="Comma 3 3 4 4 5" xfId="9582" xr:uid="{00000000-0005-0000-0000-000071250000}"/>
    <cellStyle name="Comma 3 3 4 4 5 2" xfId="9583" xr:uid="{00000000-0005-0000-0000-000072250000}"/>
    <cellStyle name="Comma 3 3 4 4 6" xfId="9584" xr:uid="{00000000-0005-0000-0000-000073250000}"/>
    <cellStyle name="Comma 3 3 4 5" xfId="9585" xr:uid="{00000000-0005-0000-0000-000074250000}"/>
    <cellStyle name="Comma 3 3 4 5 2" xfId="9586" xr:uid="{00000000-0005-0000-0000-000075250000}"/>
    <cellStyle name="Comma 3 3 4 5 2 2" xfId="9587" xr:uid="{00000000-0005-0000-0000-000076250000}"/>
    <cellStyle name="Comma 3 3 4 5 2 2 2" xfId="9588" xr:uid="{00000000-0005-0000-0000-000077250000}"/>
    <cellStyle name="Comma 3 3 4 5 2 3" xfId="9589" xr:uid="{00000000-0005-0000-0000-000078250000}"/>
    <cellStyle name="Comma 3 3 4 5 3" xfId="9590" xr:uid="{00000000-0005-0000-0000-000079250000}"/>
    <cellStyle name="Comma 3 3 4 5 3 2" xfId="9591" xr:uid="{00000000-0005-0000-0000-00007A250000}"/>
    <cellStyle name="Comma 3 3 4 5 4" xfId="9592" xr:uid="{00000000-0005-0000-0000-00007B250000}"/>
    <cellStyle name="Comma 3 3 4 5 4 2" xfId="9593" xr:uid="{00000000-0005-0000-0000-00007C250000}"/>
    <cellStyle name="Comma 3 3 4 5 5" xfId="9594" xr:uid="{00000000-0005-0000-0000-00007D250000}"/>
    <cellStyle name="Comma 3 3 4 6" xfId="9595" xr:uid="{00000000-0005-0000-0000-00007E250000}"/>
    <cellStyle name="Comma 3 3 4 6 2" xfId="9596" xr:uid="{00000000-0005-0000-0000-00007F250000}"/>
    <cellStyle name="Comma 3 3 4 6 2 2" xfId="9597" xr:uid="{00000000-0005-0000-0000-000080250000}"/>
    <cellStyle name="Comma 3 3 4 6 3" xfId="9598" xr:uid="{00000000-0005-0000-0000-000081250000}"/>
    <cellStyle name="Comma 3 3 4 7" xfId="9599" xr:uid="{00000000-0005-0000-0000-000082250000}"/>
    <cellStyle name="Comma 3 3 4 7 2" xfId="9600" xr:uid="{00000000-0005-0000-0000-000083250000}"/>
    <cellStyle name="Comma 3 3 4 8" xfId="9601" xr:uid="{00000000-0005-0000-0000-000084250000}"/>
    <cellStyle name="Comma 3 3 4 8 2" xfId="9602" xr:uid="{00000000-0005-0000-0000-000085250000}"/>
    <cellStyle name="Comma 3 3 4 9" xfId="9603" xr:uid="{00000000-0005-0000-0000-000086250000}"/>
    <cellStyle name="Comma 3 3 5" xfId="9604" xr:uid="{00000000-0005-0000-0000-000087250000}"/>
    <cellStyle name="Comma 3 3 5 2" xfId="9605" xr:uid="{00000000-0005-0000-0000-000088250000}"/>
    <cellStyle name="Comma 3 3 5 2 2" xfId="9606" xr:uid="{00000000-0005-0000-0000-000089250000}"/>
    <cellStyle name="Comma 3 3 5 2 2 2" xfId="9607" xr:uid="{00000000-0005-0000-0000-00008A250000}"/>
    <cellStyle name="Comma 3 3 5 2 2 2 2" xfId="9608" xr:uid="{00000000-0005-0000-0000-00008B250000}"/>
    <cellStyle name="Comma 3 3 5 2 2 2 2 2" xfId="9609" xr:uid="{00000000-0005-0000-0000-00008C250000}"/>
    <cellStyle name="Comma 3 3 5 2 2 2 2 2 2" xfId="9610" xr:uid="{00000000-0005-0000-0000-00008D250000}"/>
    <cellStyle name="Comma 3 3 5 2 2 2 2 3" xfId="9611" xr:uid="{00000000-0005-0000-0000-00008E250000}"/>
    <cellStyle name="Comma 3 3 5 2 2 2 3" xfId="9612" xr:uid="{00000000-0005-0000-0000-00008F250000}"/>
    <cellStyle name="Comma 3 3 5 2 2 2 3 2" xfId="9613" xr:uid="{00000000-0005-0000-0000-000090250000}"/>
    <cellStyle name="Comma 3 3 5 2 2 2 4" xfId="9614" xr:uid="{00000000-0005-0000-0000-000091250000}"/>
    <cellStyle name="Comma 3 3 5 2 2 2 4 2" xfId="9615" xr:uid="{00000000-0005-0000-0000-000092250000}"/>
    <cellStyle name="Comma 3 3 5 2 2 2 5" xfId="9616" xr:uid="{00000000-0005-0000-0000-000093250000}"/>
    <cellStyle name="Comma 3 3 5 2 2 3" xfId="9617" xr:uid="{00000000-0005-0000-0000-000094250000}"/>
    <cellStyle name="Comma 3 3 5 2 2 3 2" xfId="9618" xr:uid="{00000000-0005-0000-0000-000095250000}"/>
    <cellStyle name="Comma 3 3 5 2 2 3 2 2" xfId="9619" xr:uid="{00000000-0005-0000-0000-000096250000}"/>
    <cellStyle name="Comma 3 3 5 2 2 3 3" xfId="9620" xr:uid="{00000000-0005-0000-0000-000097250000}"/>
    <cellStyle name="Comma 3 3 5 2 2 4" xfId="9621" xr:uid="{00000000-0005-0000-0000-000098250000}"/>
    <cellStyle name="Comma 3 3 5 2 2 4 2" xfId="9622" xr:uid="{00000000-0005-0000-0000-000099250000}"/>
    <cellStyle name="Comma 3 3 5 2 2 5" xfId="9623" xr:uid="{00000000-0005-0000-0000-00009A250000}"/>
    <cellStyle name="Comma 3 3 5 2 2 5 2" xfId="9624" xr:uid="{00000000-0005-0000-0000-00009B250000}"/>
    <cellStyle name="Comma 3 3 5 2 2 6" xfId="9625" xr:uid="{00000000-0005-0000-0000-00009C250000}"/>
    <cellStyle name="Comma 3 3 5 2 3" xfId="9626" xr:uid="{00000000-0005-0000-0000-00009D250000}"/>
    <cellStyle name="Comma 3 3 5 2 3 2" xfId="9627" xr:uid="{00000000-0005-0000-0000-00009E250000}"/>
    <cellStyle name="Comma 3 3 5 2 3 2 2" xfId="9628" xr:uid="{00000000-0005-0000-0000-00009F250000}"/>
    <cellStyle name="Comma 3 3 5 2 3 2 2 2" xfId="9629" xr:uid="{00000000-0005-0000-0000-0000A0250000}"/>
    <cellStyle name="Comma 3 3 5 2 3 2 3" xfId="9630" xr:uid="{00000000-0005-0000-0000-0000A1250000}"/>
    <cellStyle name="Comma 3 3 5 2 3 3" xfId="9631" xr:uid="{00000000-0005-0000-0000-0000A2250000}"/>
    <cellStyle name="Comma 3 3 5 2 3 3 2" xfId="9632" xr:uid="{00000000-0005-0000-0000-0000A3250000}"/>
    <cellStyle name="Comma 3 3 5 2 3 4" xfId="9633" xr:uid="{00000000-0005-0000-0000-0000A4250000}"/>
    <cellStyle name="Comma 3 3 5 2 3 4 2" xfId="9634" xr:uid="{00000000-0005-0000-0000-0000A5250000}"/>
    <cellStyle name="Comma 3 3 5 2 3 5" xfId="9635" xr:uid="{00000000-0005-0000-0000-0000A6250000}"/>
    <cellStyle name="Comma 3 3 5 2 4" xfId="9636" xr:uid="{00000000-0005-0000-0000-0000A7250000}"/>
    <cellStyle name="Comma 3 3 5 2 4 2" xfId="9637" xr:uid="{00000000-0005-0000-0000-0000A8250000}"/>
    <cellStyle name="Comma 3 3 5 2 4 2 2" xfId="9638" xr:uid="{00000000-0005-0000-0000-0000A9250000}"/>
    <cellStyle name="Comma 3 3 5 2 4 3" xfId="9639" xr:uid="{00000000-0005-0000-0000-0000AA250000}"/>
    <cellStyle name="Comma 3 3 5 2 5" xfId="9640" xr:uid="{00000000-0005-0000-0000-0000AB250000}"/>
    <cellStyle name="Comma 3 3 5 2 5 2" xfId="9641" xr:uid="{00000000-0005-0000-0000-0000AC250000}"/>
    <cellStyle name="Comma 3 3 5 2 6" xfId="9642" xr:uid="{00000000-0005-0000-0000-0000AD250000}"/>
    <cellStyle name="Comma 3 3 5 2 6 2" xfId="9643" xr:uid="{00000000-0005-0000-0000-0000AE250000}"/>
    <cellStyle name="Comma 3 3 5 2 7" xfId="9644" xr:uid="{00000000-0005-0000-0000-0000AF250000}"/>
    <cellStyle name="Comma 3 3 5 3" xfId="9645" xr:uid="{00000000-0005-0000-0000-0000B0250000}"/>
    <cellStyle name="Comma 3 3 5 3 2" xfId="9646" xr:uid="{00000000-0005-0000-0000-0000B1250000}"/>
    <cellStyle name="Comma 3 3 5 3 2 2" xfId="9647" xr:uid="{00000000-0005-0000-0000-0000B2250000}"/>
    <cellStyle name="Comma 3 3 5 3 2 2 2" xfId="9648" xr:uid="{00000000-0005-0000-0000-0000B3250000}"/>
    <cellStyle name="Comma 3 3 5 3 2 2 2 2" xfId="9649" xr:uid="{00000000-0005-0000-0000-0000B4250000}"/>
    <cellStyle name="Comma 3 3 5 3 2 2 3" xfId="9650" xr:uid="{00000000-0005-0000-0000-0000B5250000}"/>
    <cellStyle name="Comma 3 3 5 3 2 3" xfId="9651" xr:uid="{00000000-0005-0000-0000-0000B6250000}"/>
    <cellStyle name="Comma 3 3 5 3 2 3 2" xfId="9652" xr:uid="{00000000-0005-0000-0000-0000B7250000}"/>
    <cellStyle name="Comma 3 3 5 3 2 4" xfId="9653" xr:uid="{00000000-0005-0000-0000-0000B8250000}"/>
    <cellStyle name="Comma 3 3 5 3 2 4 2" xfId="9654" xr:uid="{00000000-0005-0000-0000-0000B9250000}"/>
    <cellStyle name="Comma 3 3 5 3 2 5" xfId="9655" xr:uid="{00000000-0005-0000-0000-0000BA250000}"/>
    <cellStyle name="Comma 3 3 5 3 3" xfId="9656" xr:uid="{00000000-0005-0000-0000-0000BB250000}"/>
    <cellStyle name="Comma 3 3 5 3 3 2" xfId="9657" xr:uid="{00000000-0005-0000-0000-0000BC250000}"/>
    <cellStyle name="Comma 3 3 5 3 3 2 2" xfId="9658" xr:uid="{00000000-0005-0000-0000-0000BD250000}"/>
    <cellStyle name="Comma 3 3 5 3 3 3" xfId="9659" xr:uid="{00000000-0005-0000-0000-0000BE250000}"/>
    <cellStyle name="Comma 3 3 5 3 4" xfId="9660" xr:uid="{00000000-0005-0000-0000-0000BF250000}"/>
    <cellStyle name="Comma 3 3 5 3 4 2" xfId="9661" xr:uid="{00000000-0005-0000-0000-0000C0250000}"/>
    <cellStyle name="Comma 3 3 5 3 5" xfId="9662" xr:uid="{00000000-0005-0000-0000-0000C1250000}"/>
    <cellStyle name="Comma 3 3 5 3 5 2" xfId="9663" xr:uid="{00000000-0005-0000-0000-0000C2250000}"/>
    <cellStyle name="Comma 3 3 5 3 6" xfId="9664" xr:uid="{00000000-0005-0000-0000-0000C3250000}"/>
    <cellStyle name="Comma 3 3 5 4" xfId="9665" xr:uid="{00000000-0005-0000-0000-0000C4250000}"/>
    <cellStyle name="Comma 3 3 5 4 2" xfId="9666" xr:uid="{00000000-0005-0000-0000-0000C5250000}"/>
    <cellStyle name="Comma 3 3 5 4 2 2" xfId="9667" xr:uid="{00000000-0005-0000-0000-0000C6250000}"/>
    <cellStyle name="Comma 3 3 5 4 2 2 2" xfId="9668" xr:uid="{00000000-0005-0000-0000-0000C7250000}"/>
    <cellStyle name="Comma 3 3 5 4 2 3" xfId="9669" xr:uid="{00000000-0005-0000-0000-0000C8250000}"/>
    <cellStyle name="Comma 3 3 5 4 3" xfId="9670" xr:uid="{00000000-0005-0000-0000-0000C9250000}"/>
    <cellStyle name="Comma 3 3 5 4 3 2" xfId="9671" xr:uid="{00000000-0005-0000-0000-0000CA250000}"/>
    <cellStyle name="Comma 3 3 5 4 4" xfId="9672" xr:uid="{00000000-0005-0000-0000-0000CB250000}"/>
    <cellStyle name="Comma 3 3 5 4 4 2" xfId="9673" xr:uid="{00000000-0005-0000-0000-0000CC250000}"/>
    <cellStyle name="Comma 3 3 5 4 5" xfId="9674" xr:uid="{00000000-0005-0000-0000-0000CD250000}"/>
    <cellStyle name="Comma 3 3 5 5" xfId="9675" xr:uid="{00000000-0005-0000-0000-0000CE250000}"/>
    <cellStyle name="Comma 3 3 5 5 2" xfId="9676" xr:uid="{00000000-0005-0000-0000-0000CF250000}"/>
    <cellStyle name="Comma 3 3 5 5 2 2" xfId="9677" xr:uid="{00000000-0005-0000-0000-0000D0250000}"/>
    <cellStyle name="Comma 3 3 5 5 3" xfId="9678" xr:uid="{00000000-0005-0000-0000-0000D1250000}"/>
    <cellStyle name="Comma 3 3 5 6" xfId="9679" xr:uid="{00000000-0005-0000-0000-0000D2250000}"/>
    <cellStyle name="Comma 3 3 5 6 2" xfId="9680" xr:uid="{00000000-0005-0000-0000-0000D3250000}"/>
    <cellStyle name="Comma 3 3 5 7" xfId="9681" xr:uid="{00000000-0005-0000-0000-0000D4250000}"/>
    <cellStyle name="Comma 3 3 5 7 2" xfId="9682" xr:uid="{00000000-0005-0000-0000-0000D5250000}"/>
    <cellStyle name="Comma 3 3 5 8" xfId="9683" xr:uid="{00000000-0005-0000-0000-0000D6250000}"/>
    <cellStyle name="Comma 3 3 6" xfId="9684" xr:uid="{00000000-0005-0000-0000-0000D7250000}"/>
    <cellStyle name="Comma 3 3 6 2" xfId="9685" xr:uid="{00000000-0005-0000-0000-0000D8250000}"/>
    <cellStyle name="Comma 3 3 6 2 2" xfId="9686" xr:uid="{00000000-0005-0000-0000-0000D9250000}"/>
    <cellStyle name="Comma 3 3 6 2 2 2" xfId="9687" xr:uid="{00000000-0005-0000-0000-0000DA250000}"/>
    <cellStyle name="Comma 3 3 6 2 2 2 2" xfId="9688" xr:uid="{00000000-0005-0000-0000-0000DB250000}"/>
    <cellStyle name="Comma 3 3 6 2 2 2 2 2" xfId="9689" xr:uid="{00000000-0005-0000-0000-0000DC250000}"/>
    <cellStyle name="Comma 3 3 6 2 2 2 3" xfId="9690" xr:uid="{00000000-0005-0000-0000-0000DD250000}"/>
    <cellStyle name="Comma 3 3 6 2 2 3" xfId="9691" xr:uid="{00000000-0005-0000-0000-0000DE250000}"/>
    <cellStyle name="Comma 3 3 6 2 2 3 2" xfId="9692" xr:uid="{00000000-0005-0000-0000-0000DF250000}"/>
    <cellStyle name="Comma 3 3 6 2 2 4" xfId="9693" xr:uid="{00000000-0005-0000-0000-0000E0250000}"/>
    <cellStyle name="Comma 3 3 6 2 2 4 2" xfId="9694" xr:uid="{00000000-0005-0000-0000-0000E1250000}"/>
    <cellStyle name="Comma 3 3 6 2 2 5" xfId="9695" xr:uid="{00000000-0005-0000-0000-0000E2250000}"/>
    <cellStyle name="Comma 3 3 6 2 3" xfId="9696" xr:uid="{00000000-0005-0000-0000-0000E3250000}"/>
    <cellStyle name="Comma 3 3 6 2 3 2" xfId="9697" xr:uid="{00000000-0005-0000-0000-0000E4250000}"/>
    <cellStyle name="Comma 3 3 6 2 3 2 2" xfId="9698" xr:uid="{00000000-0005-0000-0000-0000E5250000}"/>
    <cellStyle name="Comma 3 3 6 2 3 3" xfId="9699" xr:uid="{00000000-0005-0000-0000-0000E6250000}"/>
    <cellStyle name="Comma 3 3 6 2 4" xfId="9700" xr:uid="{00000000-0005-0000-0000-0000E7250000}"/>
    <cellStyle name="Comma 3 3 6 2 4 2" xfId="9701" xr:uid="{00000000-0005-0000-0000-0000E8250000}"/>
    <cellStyle name="Comma 3 3 6 2 5" xfId="9702" xr:uid="{00000000-0005-0000-0000-0000E9250000}"/>
    <cellStyle name="Comma 3 3 6 2 5 2" xfId="9703" xr:uid="{00000000-0005-0000-0000-0000EA250000}"/>
    <cellStyle name="Comma 3 3 6 2 6" xfId="9704" xr:uid="{00000000-0005-0000-0000-0000EB250000}"/>
    <cellStyle name="Comma 3 3 6 3" xfId="9705" xr:uid="{00000000-0005-0000-0000-0000EC250000}"/>
    <cellStyle name="Comma 3 3 6 3 2" xfId="9706" xr:uid="{00000000-0005-0000-0000-0000ED250000}"/>
    <cellStyle name="Comma 3 3 6 3 2 2" xfId="9707" xr:uid="{00000000-0005-0000-0000-0000EE250000}"/>
    <cellStyle name="Comma 3 3 6 3 2 2 2" xfId="9708" xr:uid="{00000000-0005-0000-0000-0000EF250000}"/>
    <cellStyle name="Comma 3 3 6 3 2 3" xfId="9709" xr:uid="{00000000-0005-0000-0000-0000F0250000}"/>
    <cellStyle name="Comma 3 3 6 3 3" xfId="9710" xr:uid="{00000000-0005-0000-0000-0000F1250000}"/>
    <cellStyle name="Comma 3 3 6 3 3 2" xfId="9711" xr:uid="{00000000-0005-0000-0000-0000F2250000}"/>
    <cellStyle name="Comma 3 3 6 3 4" xfId="9712" xr:uid="{00000000-0005-0000-0000-0000F3250000}"/>
    <cellStyle name="Comma 3 3 6 3 4 2" xfId="9713" xr:uid="{00000000-0005-0000-0000-0000F4250000}"/>
    <cellStyle name="Comma 3 3 6 3 5" xfId="9714" xr:uid="{00000000-0005-0000-0000-0000F5250000}"/>
    <cellStyle name="Comma 3 3 6 4" xfId="9715" xr:uid="{00000000-0005-0000-0000-0000F6250000}"/>
    <cellStyle name="Comma 3 3 6 4 2" xfId="9716" xr:uid="{00000000-0005-0000-0000-0000F7250000}"/>
    <cellStyle name="Comma 3 3 6 4 2 2" xfId="9717" xr:uid="{00000000-0005-0000-0000-0000F8250000}"/>
    <cellStyle name="Comma 3 3 6 4 3" xfId="9718" xr:uid="{00000000-0005-0000-0000-0000F9250000}"/>
    <cellStyle name="Comma 3 3 6 5" xfId="9719" xr:uid="{00000000-0005-0000-0000-0000FA250000}"/>
    <cellStyle name="Comma 3 3 6 5 2" xfId="9720" xr:uid="{00000000-0005-0000-0000-0000FB250000}"/>
    <cellStyle name="Comma 3 3 6 6" xfId="9721" xr:uid="{00000000-0005-0000-0000-0000FC250000}"/>
    <cellStyle name="Comma 3 3 6 6 2" xfId="9722" xr:uid="{00000000-0005-0000-0000-0000FD250000}"/>
    <cellStyle name="Comma 3 3 6 7" xfId="9723" xr:uid="{00000000-0005-0000-0000-0000FE250000}"/>
    <cellStyle name="Comma 3 3 7" xfId="9724" xr:uid="{00000000-0005-0000-0000-0000FF250000}"/>
    <cellStyle name="Comma 3 3 7 2" xfId="9725" xr:uid="{00000000-0005-0000-0000-000000260000}"/>
    <cellStyle name="Comma 3 3 7 2 2" xfId="9726" xr:uid="{00000000-0005-0000-0000-000001260000}"/>
    <cellStyle name="Comma 3 3 7 2 2 2" xfId="9727" xr:uid="{00000000-0005-0000-0000-000002260000}"/>
    <cellStyle name="Comma 3 3 7 2 2 2 2" xfId="9728" xr:uid="{00000000-0005-0000-0000-000003260000}"/>
    <cellStyle name="Comma 3 3 7 2 2 2 2 2" xfId="9729" xr:uid="{00000000-0005-0000-0000-000004260000}"/>
    <cellStyle name="Comma 3 3 7 2 2 2 3" xfId="9730" xr:uid="{00000000-0005-0000-0000-000005260000}"/>
    <cellStyle name="Comma 3 3 7 2 2 3" xfId="9731" xr:uid="{00000000-0005-0000-0000-000006260000}"/>
    <cellStyle name="Comma 3 3 7 2 2 3 2" xfId="9732" xr:uid="{00000000-0005-0000-0000-000007260000}"/>
    <cellStyle name="Comma 3 3 7 2 2 4" xfId="9733" xr:uid="{00000000-0005-0000-0000-000008260000}"/>
    <cellStyle name="Comma 3 3 7 2 2 4 2" xfId="9734" xr:uid="{00000000-0005-0000-0000-000009260000}"/>
    <cellStyle name="Comma 3 3 7 2 2 5" xfId="9735" xr:uid="{00000000-0005-0000-0000-00000A260000}"/>
    <cellStyle name="Comma 3 3 7 2 3" xfId="9736" xr:uid="{00000000-0005-0000-0000-00000B260000}"/>
    <cellStyle name="Comma 3 3 7 2 3 2" xfId="9737" xr:uid="{00000000-0005-0000-0000-00000C260000}"/>
    <cellStyle name="Comma 3 3 7 2 3 2 2" xfId="9738" xr:uid="{00000000-0005-0000-0000-00000D260000}"/>
    <cellStyle name="Comma 3 3 7 2 3 3" xfId="9739" xr:uid="{00000000-0005-0000-0000-00000E260000}"/>
    <cellStyle name="Comma 3 3 7 2 4" xfId="9740" xr:uid="{00000000-0005-0000-0000-00000F260000}"/>
    <cellStyle name="Comma 3 3 7 2 4 2" xfId="9741" xr:uid="{00000000-0005-0000-0000-000010260000}"/>
    <cellStyle name="Comma 3 3 7 2 5" xfId="9742" xr:uid="{00000000-0005-0000-0000-000011260000}"/>
    <cellStyle name="Comma 3 3 7 2 5 2" xfId="9743" xr:uid="{00000000-0005-0000-0000-000012260000}"/>
    <cellStyle name="Comma 3 3 7 2 6" xfId="9744" xr:uid="{00000000-0005-0000-0000-000013260000}"/>
    <cellStyle name="Comma 3 3 7 3" xfId="9745" xr:uid="{00000000-0005-0000-0000-000014260000}"/>
    <cellStyle name="Comma 3 3 7 3 2" xfId="9746" xr:uid="{00000000-0005-0000-0000-000015260000}"/>
    <cellStyle name="Comma 3 3 7 3 2 2" xfId="9747" xr:uid="{00000000-0005-0000-0000-000016260000}"/>
    <cellStyle name="Comma 3 3 7 3 2 2 2" xfId="9748" xr:uid="{00000000-0005-0000-0000-000017260000}"/>
    <cellStyle name="Comma 3 3 7 3 2 3" xfId="9749" xr:uid="{00000000-0005-0000-0000-000018260000}"/>
    <cellStyle name="Comma 3 3 7 3 3" xfId="9750" xr:uid="{00000000-0005-0000-0000-000019260000}"/>
    <cellStyle name="Comma 3 3 7 3 3 2" xfId="9751" xr:uid="{00000000-0005-0000-0000-00001A260000}"/>
    <cellStyle name="Comma 3 3 7 3 4" xfId="9752" xr:uid="{00000000-0005-0000-0000-00001B260000}"/>
    <cellStyle name="Comma 3 3 7 3 4 2" xfId="9753" xr:uid="{00000000-0005-0000-0000-00001C260000}"/>
    <cellStyle name="Comma 3 3 7 3 5" xfId="9754" xr:uid="{00000000-0005-0000-0000-00001D260000}"/>
    <cellStyle name="Comma 3 3 7 4" xfId="9755" xr:uid="{00000000-0005-0000-0000-00001E260000}"/>
    <cellStyle name="Comma 3 3 7 4 2" xfId="9756" xr:uid="{00000000-0005-0000-0000-00001F260000}"/>
    <cellStyle name="Comma 3 3 7 4 2 2" xfId="9757" xr:uid="{00000000-0005-0000-0000-000020260000}"/>
    <cellStyle name="Comma 3 3 7 4 3" xfId="9758" xr:uid="{00000000-0005-0000-0000-000021260000}"/>
    <cellStyle name="Comma 3 3 7 5" xfId="9759" xr:uid="{00000000-0005-0000-0000-000022260000}"/>
    <cellStyle name="Comma 3 3 7 5 2" xfId="9760" xr:uid="{00000000-0005-0000-0000-000023260000}"/>
    <cellStyle name="Comma 3 3 7 6" xfId="9761" xr:uid="{00000000-0005-0000-0000-000024260000}"/>
    <cellStyle name="Comma 3 3 7 6 2" xfId="9762" xr:uid="{00000000-0005-0000-0000-000025260000}"/>
    <cellStyle name="Comma 3 3 7 7" xfId="9763" xr:uid="{00000000-0005-0000-0000-000026260000}"/>
    <cellStyle name="Comma 3 3 8" xfId="9764" xr:uid="{00000000-0005-0000-0000-000027260000}"/>
    <cellStyle name="Comma 3 3 8 2" xfId="9765" xr:uid="{00000000-0005-0000-0000-000028260000}"/>
    <cellStyle name="Comma 3 3 8 2 2" xfId="9766" xr:uid="{00000000-0005-0000-0000-000029260000}"/>
    <cellStyle name="Comma 3 3 8 2 2 2" xfId="9767" xr:uid="{00000000-0005-0000-0000-00002A260000}"/>
    <cellStyle name="Comma 3 3 8 2 2 2 2" xfId="9768" xr:uid="{00000000-0005-0000-0000-00002B260000}"/>
    <cellStyle name="Comma 3 3 8 2 2 3" xfId="9769" xr:uid="{00000000-0005-0000-0000-00002C260000}"/>
    <cellStyle name="Comma 3 3 8 2 3" xfId="9770" xr:uid="{00000000-0005-0000-0000-00002D260000}"/>
    <cellStyle name="Comma 3 3 8 2 3 2" xfId="9771" xr:uid="{00000000-0005-0000-0000-00002E260000}"/>
    <cellStyle name="Comma 3 3 8 2 4" xfId="9772" xr:uid="{00000000-0005-0000-0000-00002F260000}"/>
    <cellStyle name="Comma 3 3 8 2 4 2" xfId="9773" xr:uid="{00000000-0005-0000-0000-000030260000}"/>
    <cellStyle name="Comma 3 3 8 2 5" xfId="9774" xr:uid="{00000000-0005-0000-0000-000031260000}"/>
    <cellStyle name="Comma 3 3 8 3" xfId="9775" xr:uid="{00000000-0005-0000-0000-000032260000}"/>
    <cellStyle name="Comma 3 3 8 3 2" xfId="9776" xr:uid="{00000000-0005-0000-0000-000033260000}"/>
    <cellStyle name="Comma 3 3 8 3 2 2" xfId="9777" xr:uid="{00000000-0005-0000-0000-000034260000}"/>
    <cellStyle name="Comma 3 3 8 3 3" xfId="9778" xr:uid="{00000000-0005-0000-0000-000035260000}"/>
    <cellStyle name="Comma 3 3 8 4" xfId="9779" xr:uid="{00000000-0005-0000-0000-000036260000}"/>
    <cellStyle name="Comma 3 3 8 4 2" xfId="9780" xr:uid="{00000000-0005-0000-0000-000037260000}"/>
    <cellStyle name="Comma 3 3 8 5" xfId="9781" xr:uid="{00000000-0005-0000-0000-000038260000}"/>
    <cellStyle name="Comma 3 3 8 5 2" xfId="9782" xr:uid="{00000000-0005-0000-0000-000039260000}"/>
    <cellStyle name="Comma 3 3 8 6" xfId="9783" xr:uid="{00000000-0005-0000-0000-00003A260000}"/>
    <cellStyle name="Comma 3 3 9" xfId="9784" xr:uid="{00000000-0005-0000-0000-00003B260000}"/>
    <cellStyle name="Comma 3 3 9 2" xfId="9785" xr:uid="{00000000-0005-0000-0000-00003C260000}"/>
    <cellStyle name="Comma 3 3 9 2 2" xfId="9786" xr:uid="{00000000-0005-0000-0000-00003D260000}"/>
    <cellStyle name="Comma 3 3 9 2 2 2" xfId="9787" xr:uid="{00000000-0005-0000-0000-00003E260000}"/>
    <cellStyle name="Comma 3 3 9 2 3" xfId="9788" xr:uid="{00000000-0005-0000-0000-00003F260000}"/>
    <cellStyle name="Comma 3 3 9 3" xfId="9789" xr:uid="{00000000-0005-0000-0000-000040260000}"/>
    <cellStyle name="Comma 3 3 9 3 2" xfId="9790" xr:uid="{00000000-0005-0000-0000-000041260000}"/>
    <cellStyle name="Comma 3 3 9 4" xfId="9791" xr:uid="{00000000-0005-0000-0000-000042260000}"/>
    <cellStyle name="Comma 3 3 9 4 2" xfId="9792" xr:uid="{00000000-0005-0000-0000-000043260000}"/>
    <cellStyle name="Comma 3 3 9 5" xfId="9793" xr:uid="{00000000-0005-0000-0000-000044260000}"/>
    <cellStyle name="Comma 3 4" xfId="9794" xr:uid="{00000000-0005-0000-0000-000045260000}"/>
    <cellStyle name="Comma 3 4 10" xfId="9795" xr:uid="{00000000-0005-0000-0000-000046260000}"/>
    <cellStyle name="Comma 3 4 10 2" xfId="9796" xr:uid="{00000000-0005-0000-0000-000047260000}"/>
    <cellStyle name="Comma 3 4 11" xfId="9797" xr:uid="{00000000-0005-0000-0000-000048260000}"/>
    <cellStyle name="Comma 3 4 11 2" xfId="9798" xr:uid="{00000000-0005-0000-0000-000049260000}"/>
    <cellStyle name="Comma 3 4 12" xfId="9799" xr:uid="{00000000-0005-0000-0000-00004A260000}"/>
    <cellStyle name="Comma 3 4 2" xfId="9800" xr:uid="{00000000-0005-0000-0000-00004B260000}"/>
    <cellStyle name="Comma 3 4 2 2" xfId="9801" xr:uid="{00000000-0005-0000-0000-00004C260000}"/>
    <cellStyle name="Comma 3 4 2 2 2" xfId="9802" xr:uid="{00000000-0005-0000-0000-00004D260000}"/>
    <cellStyle name="Comma 3 4 2 2 2 2" xfId="9803" xr:uid="{00000000-0005-0000-0000-00004E260000}"/>
    <cellStyle name="Comma 3 4 2 2 2 2 2" xfId="9804" xr:uid="{00000000-0005-0000-0000-00004F260000}"/>
    <cellStyle name="Comma 3 4 2 2 2 2 2 2" xfId="9805" xr:uid="{00000000-0005-0000-0000-000050260000}"/>
    <cellStyle name="Comma 3 4 2 2 2 2 2 2 2" xfId="9806" xr:uid="{00000000-0005-0000-0000-000051260000}"/>
    <cellStyle name="Comma 3 4 2 2 2 2 2 3" xfId="9807" xr:uid="{00000000-0005-0000-0000-000052260000}"/>
    <cellStyle name="Comma 3 4 2 2 2 2 3" xfId="9808" xr:uid="{00000000-0005-0000-0000-000053260000}"/>
    <cellStyle name="Comma 3 4 2 2 2 2 3 2" xfId="9809" xr:uid="{00000000-0005-0000-0000-000054260000}"/>
    <cellStyle name="Comma 3 4 2 2 2 2 4" xfId="9810" xr:uid="{00000000-0005-0000-0000-000055260000}"/>
    <cellStyle name="Comma 3 4 2 2 2 2 4 2" xfId="9811" xr:uid="{00000000-0005-0000-0000-000056260000}"/>
    <cellStyle name="Comma 3 4 2 2 2 2 5" xfId="9812" xr:uid="{00000000-0005-0000-0000-000057260000}"/>
    <cellStyle name="Comma 3 4 2 2 2 3" xfId="9813" xr:uid="{00000000-0005-0000-0000-000058260000}"/>
    <cellStyle name="Comma 3 4 2 2 2 3 2" xfId="9814" xr:uid="{00000000-0005-0000-0000-000059260000}"/>
    <cellStyle name="Comma 3 4 2 2 2 3 2 2" xfId="9815" xr:uid="{00000000-0005-0000-0000-00005A260000}"/>
    <cellStyle name="Comma 3 4 2 2 2 3 3" xfId="9816" xr:uid="{00000000-0005-0000-0000-00005B260000}"/>
    <cellStyle name="Comma 3 4 2 2 2 4" xfId="9817" xr:uid="{00000000-0005-0000-0000-00005C260000}"/>
    <cellStyle name="Comma 3 4 2 2 2 4 2" xfId="9818" xr:uid="{00000000-0005-0000-0000-00005D260000}"/>
    <cellStyle name="Comma 3 4 2 2 2 5" xfId="9819" xr:uid="{00000000-0005-0000-0000-00005E260000}"/>
    <cellStyle name="Comma 3 4 2 2 2 5 2" xfId="9820" xr:uid="{00000000-0005-0000-0000-00005F260000}"/>
    <cellStyle name="Comma 3 4 2 2 2 6" xfId="9821" xr:uid="{00000000-0005-0000-0000-000060260000}"/>
    <cellStyle name="Comma 3 4 2 2 3" xfId="9822" xr:uid="{00000000-0005-0000-0000-000061260000}"/>
    <cellStyle name="Comma 3 4 2 2 3 2" xfId="9823" xr:uid="{00000000-0005-0000-0000-000062260000}"/>
    <cellStyle name="Comma 3 4 2 2 3 2 2" xfId="9824" xr:uid="{00000000-0005-0000-0000-000063260000}"/>
    <cellStyle name="Comma 3 4 2 2 3 2 2 2" xfId="9825" xr:uid="{00000000-0005-0000-0000-000064260000}"/>
    <cellStyle name="Comma 3 4 2 2 3 2 3" xfId="9826" xr:uid="{00000000-0005-0000-0000-000065260000}"/>
    <cellStyle name="Comma 3 4 2 2 3 3" xfId="9827" xr:uid="{00000000-0005-0000-0000-000066260000}"/>
    <cellStyle name="Comma 3 4 2 2 3 3 2" xfId="9828" xr:uid="{00000000-0005-0000-0000-000067260000}"/>
    <cellStyle name="Comma 3 4 2 2 3 4" xfId="9829" xr:uid="{00000000-0005-0000-0000-000068260000}"/>
    <cellStyle name="Comma 3 4 2 2 3 4 2" xfId="9830" xr:uid="{00000000-0005-0000-0000-000069260000}"/>
    <cellStyle name="Comma 3 4 2 2 3 5" xfId="9831" xr:uid="{00000000-0005-0000-0000-00006A260000}"/>
    <cellStyle name="Comma 3 4 2 2 4" xfId="9832" xr:uid="{00000000-0005-0000-0000-00006B260000}"/>
    <cellStyle name="Comma 3 4 2 2 4 2" xfId="9833" xr:uid="{00000000-0005-0000-0000-00006C260000}"/>
    <cellStyle name="Comma 3 4 2 2 4 2 2" xfId="9834" xr:uid="{00000000-0005-0000-0000-00006D260000}"/>
    <cellStyle name="Comma 3 4 2 2 4 3" xfId="9835" xr:uid="{00000000-0005-0000-0000-00006E260000}"/>
    <cellStyle name="Comma 3 4 2 2 5" xfId="9836" xr:uid="{00000000-0005-0000-0000-00006F260000}"/>
    <cellStyle name="Comma 3 4 2 2 5 2" xfId="9837" xr:uid="{00000000-0005-0000-0000-000070260000}"/>
    <cellStyle name="Comma 3 4 2 2 6" xfId="9838" xr:uid="{00000000-0005-0000-0000-000071260000}"/>
    <cellStyle name="Comma 3 4 2 2 6 2" xfId="9839" xr:uid="{00000000-0005-0000-0000-000072260000}"/>
    <cellStyle name="Comma 3 4 2 2 7" xfId="9840" xr:uid="{00000000-0005-0000-0000-000073260000}"/>
    <cellStyle name="Comma 3 4 2 3" xfId="9841" xr:uid="{00000000-0005-0000-0000-000074260000}"/>
    <cellStyle name="Comma 3 4 2 3 2" xfId="9842" xr:uid="{00000000-0005-0000-0000-000075260000}"/>
    <cellStyle name="Comma 3 4 2 3 2 2" xfId="9843" xr:uid="{00000000-0005-0000-0000-000076260000}"/>
    <cellStyle name="Comma 3 4 2 3 2 2 2" xfId="9844" xr:uid="{00000000-0005-0000-0000-000077260000}"/>
    <cellStyle name="Comma 3 4 2 3 2 2 2 2" xfId="9845" xr:uid="{00000000-0005-0000-0000-000078260000}"/>
    <cellStyle name="Comma 3 4 2 3 2 2 2 2 2" xfId="9846" xr:uid="{00000000-0005-0000-0000-000079260000}"/>
    <cellStyle name="Comma 3 4 2 3 2 2 2 3" xfId="9847" xr:uid="{00000000-0005-0000-0000-00007A260000}"/>
    <cellStyle name="Comma 3 4 2 3 2 2 3" xfId="9848" xr:uid="{00000000-0005-0000-0000-00007B260000}"/>
    <cellStyle name="Comma 3 4 2 3 2 2 3 2" xfId="9849" xr:uid="{00000000-0005-0000-0000-00007C260000}"/>
    <cellStyle name="Comma 3 4 2 3 2 2 4" xfId="9850" xr:uid="{00000000-0005-0000-0000-00007D260000}"/>
    <cellStyle name="Comma 3 4 2 3 2 2 4 2" xfId="9851" xr:uid="{00000000-0005-0000-0000-00007E260000}"/>
    <cellStyle name="Comma 3 4 2 3 2 2 5" xfId="9852" xr:uid="{00000000-0005-0000-0000-00007F260000}"/>
    <cellStyle name="Comma 3 4 2 3 2 3" xfId="9853" xr:uid="{00000000-0005-0000-0000-000080260000}"/>
    <cellStyle name="Comma 3 4 2 3 2 3 2" xfId="9854" xr:uid="{00000000-0005-0000-0000-000081260000}"/>
    <cellStyle name="Comma 3 4 2 3 2 3 2 2" xfId="9855" xr:uid="{00000000-0005-0000-0000-000082260000}"/>
    <cellStyle name="Comma 3 4 2 3 2 3 3" xfId="9856" xr:uid="{00000000-0005-0000-0000-000083260000}"/>
    <cellStyle name="Comma 3 4 2 3 2 4" xfId="9857" xr:uid="{00000000-0005-0000-0000-000084260000}"/>
    <cellStyle name="Comma 3 4 2 3 2 4 2" xfId="9858" xr:uid="{00000000-0005-0000-0000-000085260000}"/>
    <cellStyle name="Comma 3 4 2 3 2 5" xfId="9859" xr:uid="{00000000-0005-0000-0000-000086260000}"/>
    <cellStyle name="Comma 3 4 2 3 2 5 2" xfId="9860" xr:uid="{00000000-0005-0000-0000-000087260000}"/>
    <cellStyle name="Comma 3 4 2 3 2 6" xfId="9861" xr:uid="{00000000-0005-0000-0000-000088260000}"/>
    <cellStyle name="Comma 3 4 2 3 3" xfId="9862" xr:uid="{00000000-0005-0000-0000-000089260000}"/>
    <cellStyle name="Comma 3 4 2 3 3 2" xfId="9863" xr:uid="{00000000-0005-0000-0000-00008A260000}"/>
    <cellStyle name="Comma 3 4 2 3 3 2 2" xfId="9864" xr:uid="{00000000-0005-0000-0000-00008B260000}"/>
    <cellStyle name="Comma 3 4 2 3 3 2 2 2" xfId="9865" xr:uid="{00000000-0005-0000-0000-00008C260000}"/>
    <cellStyle name="Comma 3 4 2 3 3 2 3" xfId="9866" xr:uid="{00000000-0005-0000-0000-00008D260000}"/>
    <cellStyle name="Comma 3 4 2 3 3 3" xfId="9867" xr:uid="{00000000-0005-0000-0000-00008E260000}"/>
    <cellStyle name="Comma 3 4 2 3 3 3 2" xfId="9868" xr:uid="{00000000-0005-0000-0000-00008F260000}"/>
    <cellStyle name="Comma 3 4 2 3 3 4" xfId="9869" xr:uid="{00000000-0005-0000-0000-000090260000}"/>
    <cellStyle name="Comma 3 4 2 3 3 4 2" xfId="9870" xr:uid="{00000000-0005-0000-0000-000091260000}"/>
    <cellStyle name="Comma 3 4 2 3 3 5" xfId="9871" xr:uid="{00000000-0005-0000-0000-000092260000}"/>
    <cellStyle name="Comma 3 4 2 3 4" xfId="9872" xr:uid="{00000000-0005-0000-0000-000093260000}"/>
    <cellStyle name="Comma 3 4 2 3 4 2" xfId="9873" xr:uid="{00000000-0005-0000-0000-000094260000}"/>
    <cellStyle name="Comma 3 4 2 3 4 2 2" xfId="9874" xr:uid="{00000000-0005-0000-0000-000095260000}"/>
    <cellStyle name="Comma 3 4 2 3 4 3" xfId="9875" xr:uid="{00000000-0005-0000-0000-000096260000}"/>
    <cellStyle name="Comma 3 4 2 3 5" xfId="9876" xr:uid="{00000000-0005-0000-0000-000097260000}"/>
    <cellStyle name="Comma 3 4 2 3 5 2" xfId="9877" xr:uid="{00000000-0005-0000-0000-000098260000}"/>
    <cellStyle name="Comma 3 4 2 3 6" xfId="9878" xr:uid="{00000000-0005-0000-0000-000099260000}"/>
    <cellStyle name="Comma 3 4 2 3 6 2" xfId="9879" xr:uid="{00000000-0005-0000-0000-00009A260000}"/>
    <cellStyle name="Comma 3 4 2 3 7" xfId="9880" xr:uid="{00000000-0005-0000-0000-00009B260000}"/>
    <cellStyle name="Comma 3 4 2 4" xfId="9881" xr:uid="{00000000-0005-0000-0000-00009C260000}"/>
    <cellStyle name="Comma 3 4 2 4 2" xfId="9882" xr:uid="{00000000-0005-0000-0000-00009D260000}"/>
    <cellStyle name="Comma 3 4 2 4 2 2" xfId="9883" xr:uid="{00000000-0005-0000-0000-00009E260000}"/>
    <cellStyle name="Comma 3 4 2 4 2 2 2" xfId="9884" xr:uid="{00000000-0005-0000-0000-00009F260000}"/>
    <cellStyle name="Comma 3 4 2 4 2 2 2 2" xfId="9885" xr:uid="{00000000-0005-0000-0000-0000A0260000}"/>
    <cellStyle name="Comma 3 4 2 4 2 2 3" xfId="9886" xr:uid="{00000000-0005-0000-0000-0000A1260000}"/>
    <cellStyle name="Comma 3 4 2 4 2 3" xfId="9887" xr:uid="{00000000-0005-0000-0000-0000A2260000}"/>
    <cellStyle name="Comma 3 4 2 4 2 3 2" xfId="9888" xr:uid="{00000000-0005-0000-0000-0000A3260000}"/>
    <cellStyle name="Comma 3 4 2 4 2 4" xfId="9889" xr:uid="{00000000-0005-0000-0000-0000A4260000}"/>
    <cellStyle name="Comma 3 4 2 4 2 4 2" xfId="9890" xr:uid="{00000000-0005-0000-0000-0000A5260000}"/>
    <cellStyle name="Comma 3 4 2 4 2 5" xfId="9891" xr:uid="{00000000-0005-0000-0000-0000A6260000}"/>
    <cellStyle name="Comma 3 4 2 4 3" xfId="9892" xr:uid="{00000000-0005-0000-0000-0000A7260000}"/>
    <cellStyle name="Comma 3 4 2 4 3 2" xfId="9893" xr:uid="{00000000-0005-0000-0000-0000A8260000}"/>
    <cellStyle name="Comma 3 4 2 4 3 2 2" xfId="9894" xr:uid="{00000000-0005-0000-0000-0000A9260000}"/>
    <cellStyle name="Comma 3 4 2 4 3 3" xfId="9895" xr:uid="{00000000-0005-0000-0000-0000AA260000}"/>
    <cellStyle name="Comma 3 4 2 4 4" xfId="9896" xr:uid="{00000000-0005-0000-0000-0000AB260000}"/>
    <cellStyle name="Comma 3 4 2 4 4 2" xfId="9897" xr:uid="{00000000-0005-0000-0000-0000AC260000}"/>
    <cellStyle name="Comma 3 4 2 4 5" xfId="9898" xr:uid="{00000000-0005-0000-0000-0000AD260000}"/>
    <cellStyle name="Comma 3 4 2 4 5 2" xfId="9899" xr:uid="{00000000-0005-0000-0000-0000AE260000}"/>
    <cellStyle name="Comma 3 4 2 4 6" xfId="9900" xr:uid="{00000000-0005-0000-0000-0000AF260000}"/>
    <cellStyle name="Comma 3 4 2 5" xfId="9901" xr:uid="{00000000-0005-0000-0000-0000B0260000}"/>
    <cellStyle name="Comma 3 4 2 5 2" xfId="9902" xr:uid="{00000000-0005-0000-0000-0000B1260000}"/>
    <cellStyle name="Comma 3 4 2 5 2 2" xfId="9903" xr:uid="{00000000-0005-0000-0000-0000B2260000}"/>
    <cellStyle name="Comma 3 4 2 5 2 2 2" xfId="9904" xr:uid="{00000000-0005-0000-0000-0000B3260000}"/>
    <cellStyle name="Comma 3 4 2 5 2 3" xfId="9905" xr:uid="{00000000-0005-0000-0000-0000B4260000}"/>
    <cellStyle name="Comma 3 4 2 5 3" xfId="9906" xr:uid="{00000000-0005-0000-0000-0000B5260000}"/>
    <cellStyle name="Comma 3 4 2 5 3 2" xfId="9907" xr:uid="{00000000-0005-0000-0000-0000B6260000}"/>
    <cellStyle name="Comma 3 4 2 5 4" xfId="9908" xr:uid="{00000000-0005-0000-0000-0000B7260000}"/>
    <cellStyle name="Comma 3 4 2 5 4 2" xfId="9909" xr:uid="{00000000-0005-0000-0000-0000B8260000}"/>
    <cellStyle name="Comma 3 4 2 5 5" xfId="9910" xr:uid="{00000000-0005-0000-0000-0000B9260000}"/>
    <cellStyle name="Comma 3 4 2 6" xfId="9911" xr:uid="{00000000-0005-0000-0000-0000BA260000}"/>
    <cellStyle name="Comma 3 4 2 6 2" xfId="9912" xr:uid="{00000000-0005-0000-0000-0000BB260000}"/>
    <cellStyle name="Comma 3 4 2 6 2 2" xfId="9913" xr:uid="{00000000-0005-0000-0000-0000BC260000}"/>
    <cellStyle name="Comma 3 4 2 6 3" xfId="9914" xr:uid="{00000000-0005-0000-0000-0000BD260000}"/>
    <cellStyle name="Comma 3 4 2 7" xfId="9915" xr:uid="{00000000-0005-0000-0000-0000BE260000}"/>
    <cellStyle name="Comma 3 4 2 7 2" xfId="9916" xr:uid="{00000000-0005-0000-0000-0000BF260000}"/>
    <cellStyle name="Comma 3 4 2 8" xfId="9917" xr:uid="{00000000-0005-0000-0000-0000C0260000}"/>
    <cellStyle name="Comma 3 4 2 8 2" xfId="9918" xr:uid="{00000000-0005-0000-0000-0000C1260000}"/>
    <cellStyle name="Comma 3 4 2 9" xfId="9919" xr:uid="{00000000-0005-0000-0000-0000C2260000}"/>
    <cellStyle name="Comma 3 4 3" xfId="9920" xr:uid="{00000000-0005-0000-0000-0000C3260000}"/>
    <cellStyle name="Comma 3 4 3 2" xfId="9921" xr:uid="{00000000-0005-0000-0000-0000C4260000}"/>
    <cellStyle name="Comma 3 4 3 2 2" xfId="9922" xr:uid="{00000000-0005-0000-0000-0000C5260000}"/>
    <cellStyle name="Comma 3 4 3 2 2 2" xfId="9923" xr:uid="{00000000-0005-0000-0000-0000C6260000}"/>
    <cellStyle name="Comma 3 4 3 2 2 2 2" xfId="9924" xr:uid="{00000000-0005-0000-0000-0000C7260000}"/>
    <cellStyle name="Comma 3 4 3 2 2 2 2 2" xfId="9925" xr:uid="{00000000-0005-0000-0000-0000C8260000}"/>
    <cellStyle name="Comma 3 4 3 2 2 2 2 2 2" xfId="9926" xr:uid="{00000000-0005-0000-0000-0000C9260000}"/>
    <cellStyle name="Comma 3 4 3 2 2 2 2 3" xfId="9927" xr:uid="{00000000-0005-0000-0000-0000CA260000}"/>
    <cellStyle name="Comma 3 4 3 2 2 2 3" xfId="9928" xr:uid="{00000000-0005-0000-0000-0000CB260000}"/>
    <cellStyle name="Comma 3 4 3 2 2 2 3 2" xfId="9929" xr:uid="{00000000-0005-0000-0000-0000CC260000}"/>
    <cellStyle name="Comma 3 4 3 2 2 2 4" xfId="9930" xr:uid="{00000000-0005-0000-0000-0000CD260000}"/>
    <cellStyle name="Comma 3 4 3 2 2 2 4 2" xfId="9931" xr:uid="{00000000-0005-0000-0000-0000CE260000}"/>
    <cellStyle name="Comma 3 4 3 2 2 2 5" xfId="9932" xr:uid="{00000000-0005-0000-0000-0000CF260000}"/>
    <cellStyle name="Comma 3 4 3 2 2 3" xfId="9933" xr:uid="{00000000-0005-0000-0000-0000D0260000}"/>
    <cellStyle name="Comma 3 4 3 2 2 3 2" xfId="9934" xr:uid="{00000000-0005-0000-0000-0000D1260000}"/>
    <cellStyle name="Comma 3 4 3 2 2 3 2 2" xfId="9935" xr:uid="{00000000-0005-0000-0000-0000D2260000}"/>
    <cellStyle name="Comma 3 4 3 2 2 3 3" xfId="9936" xr:uid="{00000000-0005-0000-0000-0000D3260000}"/>
    <cellStyle name="Comma 3 4 3 2 2 4" xfId="9937" xr:uid="{00000000-0005-0000-0000-0000D4260000}"/>
    <cellStyle name="Comma 3 4 3 2 2 4 2" xfId="9938" xr:uid="{00000000-0005-0000-0000-0000D5260000}"/>
    <cellStyle name="Comma 3 4 3 2 2 5" xfId="9939" xr:uid="{00000000-0005-0000-0000-0000D6260000}"/>
    <cellStyle name="Comma 3 4 3 2 2 5 2" xfId="9940" xr:uid="{00000000-0005-0000-0000-0000D7260000}"/>
    <cellStyle name="Comma 3 4 3 2 2 6" xfId="9941" xr:uid="{00000000-0005-0000-0000-0000D8260000}"/>
    <cellStyle name="Comma 3 4 3 2 3" xfId="9942" xr:uid="{00000000-0005-0000-0000-0000D9260000}"/>
    <cellStyle name="Comma 3 4 3 2 3 2" xfId="9943" xr:uid="{00000000-0005-0000-0000-0000DA260000}"/>
    <cellStyle name="Comma 3 4 3 2 3 2 2" xfId="9944" xr:uid="{00000000-0005-0000-0000-0000DB260000}"/>
    <cellStyle name="Comma 3 4 3 2 3 2 2 2" xfId="9945" xr:uid="{00000000-0005-0000-0000-0000DC260000}"/>
    <cellStyle name="Comma 3 4 3 2 3 2 3" xfId="9946" xr:uid="{00000000-0005-0000-0000-0000DD260000}"/>
    <cellStyle name="Comma 3 4 3 2 3 3" xfId="9947" xr:uid="{00000000-0005-0000-0000-0000DE260000}"/>
    <cellStyle name="Comma 3 4 3 2 3 3 2" xfId="9948" xr:uid="{00000000-0005-0000-0000-0000DF260000}"/>
    <cellStyle name="Comma 3 4 3 2 3 4" xfId="9949" xr:uid="{00000000-0005-0000-0000-0000E0260000}"/>
    <cellStyle name="Comma 3 4 3 2 3 4 2" xfId="9950" xr:uid="{00000000-0005-0000-0000-0000E1260000}"/>
    <cellStyle name="Comma 3 4 3 2 3 5" xfId="9951" xr:uid="{00000000-0005-0000-0000-0000E2260000}"/>
    <cellStyle name="Comma 3 4 3 2 4" xfId="9952" xr:uid="{00000000-0005-0000-0000-0000E3260000}"/>
    <cellStyle name="Comma 3 4 3 2 4 2" xfId="9953" xr:uid="{00000000-0005-0000-0000-0000E4260000}"/>
    <cellStyle name="Comma 3 4 3 2 4 2 2" xfId="9954" xr:uid="{00000000-0005-0000-0000-0000E5260000}"/>
    <cellStyle name="Comma 3 4 3 2 4 3" xfId="9955" xr:uid="{00000000-0005-0000-0000-0000E6260000}"/>
    <cellStyle name="Comma 3 4 3 2 5" xfId="9956" xr:uid="{00000000-0005-0000-0000-0000E7260000}"/>
    <cellStyle name="Comma 3 4 3 2 5 2" xfId="9957" xr:uid="{00000000-0005-0000-0000-0000E8260000}"/>
    <cellStyle name="Comma 3 4 3 2 6" xfId="9958" xr:uid="{00000000-0005-0000-0000-0000E9260000}"/>
    <cellStyle name="Comma 3 4 3 2 6 2" xfId="9959" xr:uid="{00000000-0005-0000-0000-0000EA260000}"/>
    <cellStyle name="Comma 3 4 3 2 7" xfId="9960" xr:uid="{00000000-0005-0000-0000-0000EB260000}"/>
    <cellStyle name="Comma 3 4 3 3" xfId="9961" xr:uid="{00000000-0005-0000-0000-0000EC260000}"/>
    <cellStyle name="Comma 3 4 3 3 2" xfId="9962" xr:uid="{00000000-0005-0000-0000-0000ED260000}"/>
    <cellStyle name="Comma 3 4 3 3 2 2" xfId="9963" xr:uid="{00000000-0005-0000-0000-0000EE260000}"/>
    <cellStyle name="Comma 3 4 3 3 2 2 2" xfId="9964" xr:uid="{00000000-0005-0000-0000-0000EF260000}"/>
    <cellStyle name="Comma 3 4 3 3 2 2 2 2" xfId="9965" xr:uid="{00000000-0005-0000-0000-0000F0260000}"/>
    <cellStyle name="Comma 3 4 3 3 2 2 2 2 2" xfId="9966" xr:uid="{00000000-0005-0000-0000-0000F1260000}"/>
    <cellStyle name="Comma 3 4 3 3 2 2 2 3" xfId="9967" xr:uid="{00000000-0005-0000-0000-0000F2260000}"/>
    <cellStyle name="Comma 3 4 3 3 2 2 3" xfId="9968" xr:uid="{00000000-0005-0000-0000-0000F3260000}"/>
    <cellStyle name="Comma 3 4 3 3 2 2 3 2" xfId="9969" xr:uid="{00000000-0005-0000-0000-0000F4260000}"/>
    <cellStyle name="Comma 3 4 3 3 2 2 4" xfId="9970" xr:uid="{00000000-0005-0000-0000-0000F5260000}"/>
    <cellStyle name="Comma 3 4 3 3 2 2 4 2" xfId="9971" xr:uid="{00000000-0005-0000-0000-0000F6260000}"/>
    <cellStyle name="Comma 3 4 3 3 2 2 5" xfId="9972" xr:uid="{00000000-0005-0000-0000-0000F7260000}"/>
    <cellStyle name="Comma 3 4 3 3 2 3" xfId="9973" xr:uid="{00000000-0005-0000-0000-0000F8260000}"/>
    <cellStyle name="Comma 3 4 3 3 2 3 2" xfId="9974" xr:uid="{00000000-0005-0000-0000-0000F9260000}"/>
    <cellStyle name="Comma 3 4 3 3 2 3 2 2" xfId="9975" xr:uid="{00000000-0005-0000-0000-0000FA260000}"/>
    <cellStyle name="Comma 3 4 3 3 2 3 3" xfId="9976" xr:uid="{00000000-0005-0000-0000-0000FB260000}"/>
    <cellStyle name="Comma 3 4 3 3 2 4" xfId="9977" xr:uid="{00000000-0005-0000-0000-0000FC260000}"/>
    <cellStyle name="Comma 3 4 3 3 2 4 2" xfId="9978" xr:uid="{00000000-0005-0000-0000-0000FD260000}"/>
    <cellStyle name="Comma 3 4 3 3 2 5" xfId="9979" xr:uid="{00000000-0005-0000-0000-0000FE260000}"/>
    <cellStyle name="Comma 3 4 3 3 2 5 2" xfId="9980" xr:uid="{00000000-0005-0000-0000-0000FF260000}"/>
    <cellStyle name="Comma 3 4 3 3 2 6" xfId="9981" xr:uid="{00000000-0005-0000-0000-000000270000}"/>
    <cellStyle name="Comma 3 4 3 3 3" xfId="9982" xr:uid="{00000000-0005-0000-0000-000001270000}"/>
    <cellStyle name="Comma 3 4 3 3 3 2" xfId="9983" xr:uid="{00000000-0005-0000-0000-000002270000}"/>
    <cellStyle name="Comma 3 4 3 3 3 2 2" xfId="9984" xr:uid="{00000000-0005-0000-0000-000003270000}"/>
    <cellStyle name="Comma 3 4 3 3 3 2 2 2" xfId="9985" xr:uid="{00000000-0005-0000-0000-000004270000}"/>
    <cellStyle name="Comma 3 4 3 3 3 2 3" xfId="9986" xr:uid="{00000000-0005-0000-0000-000005270000}"/>
    <cellStyle name="Comma 3 4 3 3 3 3" xfId="9987" xr:uid="{00000000-0005-0000-0000-000006270000}"/>
    <cellStyle name="Comma 3 4 3 3 3 3 2" xfId="9988" xr:uid="{00000000-0005-0000-0000-000007270000}"/>
    <cellStyle name="Comma 3 4 3 3 3 4" xfId="9989" xr:uid="{00000000-0005-0000-0000-000008270000}"/>
    <cellStyle name="Comma 3 4 3 3 3 4 2" xfId="9990" xr:uid="{00000000-0005-0000-0000-000009270000}"/>
    <cellStyle name="Comma 3 4 3 3 3 5" xfId="9991" xr:uid="{00000000-0005-0000-0000-00000A270000}"/>
    <cellStyle name="Comma 3 4 3 3 4" xfId="9992" xr:uid="{00000000-0005-0000-0000-00000B270000}"/>
    <cellStyle name="Comma 3 4 3 3 4 2" xfId="9993" xr:uid="{00000000-0005-0000-0000-00000C270000}"/>
    <cellStyle name="Comma 3 4 3 3 4 2 2" xfId="9994" xr:uid="{00000000-0005-0000-0000-00000D270000}"/>
    <cellStyle name="Comma 3 4 3 3 4 3" xfId="9995" xr:uid="{00000000-0005-0000-0000-00000E270000}"/>
    <cellStyle name="Comma 3 4 3 3 5" xfId="9996" xr:uid="{00000000-0005-0000-0000-00000F270000}"/>
    <cellStyle name="Comma 3 4 3 3 5 2" xfId="9997" xr:uid="{00000000-0005-0000-0000-000010270000}"/>
    <cellStyle name="Comma 3 4 3 3 6" xfId="9998" xr:uid="{00000000-0005-0000-0000-000011270000}"/>
    <cellStyle name="Comma 3 4 3 3 6 2" xfId="9999" xr:uid="{00000000-0005-0000-0000-000012270000}"/>
    <cellStyle name="Comma 3 4 3 3 7" xfId="10000" xr:uid="{00000000-0005-0000-0000-000013270000}"/>
    <cellStyle name="Comma 3 4 3 4" xfId="10001" xr:uid="{00000000-0005-0000-0000-000014270000}"/>
    <cellStyle name="Comma 3 4 3 4 2" xfId="10002" xr:uid="{00000000-0005-0000-0000-000015270000}"/>
    <cellStyle name="Comma 3 4 3 4 2 2" xfId="10003" xr:uid="{00000000-0005-0000-0000-000016270000}"/>
    <cellStyle name="Comma 3 4 3 4 2 2 2" xfId="10004" xr:uid="{00000000-0005-0000-0000-000017270000}"/>
    <cellStyle name="Comma 3 4 3 4 2 2 2 2" xfId="10005" xr:uid="{00000000-0005-0000-0000-000018270000}"/>
    <cellStyle name="Comma 3 4 3 4 2 2 3" xfId="10006" xr:uid="{00000000-0005-0000-0000-000019270000}"/>
    <cellStyle name="Comma 3 4 3 4 2 3" xfId="10007" xr:uid="{00000000-0005-0000-0000-00001A270000}"/>
    <cellStyle name="Comma 3 4 3 4 2 3 2" xfId="10008" xr:uid="{00000000-0005-0000-0000-00001B270000}"/>
    <cellStyle name="Comma 3 4 3 4 2 4" xfId="10009" xr:uid="{00000000-0005-0000-0000-00001C270000}"/>
    <cellStyle name="Comma 3 4 3 4 2 4 2" xfId="10010" xr:uid="{00000000-0005-0000-0000-00001D270000}"/>
    <cellStyle name="Comma 3 4 3 4 2 5" xfId="10011" xr:uid="{00000000-0005-0000-0000-00001E270000}"/>
    <cellStyle name="Comma 3 4 3 4 3" xfId="10012" xr:uid="{00000000-0005-0000-0000-00001F270000}"/>
    <cellStyle name="Comma 3 4 3 4 3 2" xfId="10013" xr:uid="{00000000-0005-0000-0000-000020270000}"/>
    <cellStyle name="Comma 3 4 3 4 3 2 2" xfId="10014" xr:uid="{00000000-0005-0000-0000-000021270000}"/>
    <cellStyle name="Comma 3 4 3 4 3 3" xfId="10015" xr:uid="{00000000-0005-0000-0000-000022270000}"/>
    <cellStyle name="Comma 3 4 3 4 4" xfId="10016" xr:uid="{00000000-0005-0000-0000-000023270000}"/>
    <cellStyle name="Comma 3 4 3 4 4 2" xfId="10017" xr:uid="{00000000-0005-0000-0000-000024270000}"/>
    <cellStyle name="Comma 3 4 3 4 5" xfId="10018" xr:uid="{00000000-0005-0000-0000-000025270000}"/>
    <cellStyle name="Comma 3 4 3 4 5 2" xfId="10019" xr:uid="{00000000-0005-0000-0000-000026270000}"/>
    <cellStyle name="Comma 3 4 3 4 6" xfId="10020" xr:uid="{00000000-0005-0000-0000-000027270000}"/>
    <cellStyle name="Comma 3 4 3 5" xfId="10021" xr:uid="{00000000-0005-0000-0000-000028270000}"/>
    <cellStyle name="Comma 3 4 3 5 2" xfId="10022" xr:uid="{00000000-0005-0000-0000-000029270000}"/>
    <cellStyle name="Comma 3 4 3 5 2 2" xfId="10023" xr:uid="{00000000-0005-0000-0000-00002A270000}"/>
    <cellStyle name="Comma 3 4 3 5 2 2 2" xfId="10024" xr:uid="{00000000-0005-0000-0000-00002B270000}"/>
    <cellStyle name="Comma 3 4 3 5 2 3" xfId="10025" xr:uid="{00000000-0005-0000-0000-00002C270000}"/>
    <cellStyle name="Comma 3 4 3 5 3" xfId="10026" xr:uid="{00000000-0005-0000-0000-00002D270000}"/>
    <cellStyle name="Comma 3 4 3 5 3 2" xfId="10027" xr:uid="{00000000-0005-0000-0000-00002E270000}"/>
    <cellStyle name="Comma 3 4 3 5 4" xfId="10028" xr:uid="{00000000-0005-0000-0000-00002F270000}"/>
    <cellStyle name="Comma 3 4 3 5 4 2" xfId="10029" xr:uid="{00000000-0005-0000-0000-000030270000}"/>
    <cellStyle name="Comma 3 4 3 5 5" xfId="10030" xr:uid="{00000000-0005-0000-0000-000031270000}"/>
    <cellStyle name="Comma 3 4 3 6" xfId="10031" xr:uid="{00000000-0005-0000-0000-000032270000}"/>
    <cellStyle name="Comma 3 4 3 6 2" xfId="10032" xr:uid="{00000000-0005-0000-0000-000033270000}"/>
    <cellStyle name="Comma 3 4 3 6 2 2" xfId="10033" xr:uid="{00000000-0005-0000-0000-000034270000}"/>
    <cellStyle name="Comma 3 4 3 6 3" xfId="10034" xr:uid="{00000000-0005-0000-0000-000035270000}"/>
    <cellStyle name="Comma 3 4 3 7" xfId="10035" xr:uid="{00000000-0005-0000-0000-000036270000}"/>
    <cellStyle name="Comma 3 4 3 7 2" xfId="10036" xr:uid="{00000000-0005-0000-0000-000037270000}"/>
    <cellStyle name="Comma 3 4 3 8" xfId="10037" xr:uid="{00000000-0005-0000-0000-000038270000}"/>
    <cellStyle name="Comma 3 4 3 8 2" xfId="10038" xr:uid="{00000000-0005-0000-0000-000039270000}"/>
    <cellStyle name="Comma 3 4 3 9" xfId="10039" xr:uid="{00000000-0005-0000-0000-00003A270000}"/>
    <cellStyle name="Comma 3 4 4" xfId="10040" xr:uid="{00000000-0005-0000-0000-00003B270000}"/>
    <cellStyle name="Comma 3 4 4 2" xfId="10041" xr:uid="{00000000-0005-0000-0000-00003C270000}"/>
    <cellStyle name="Comma 3 4 4 2 2" xfId="10042" xr:uid="{00000000-0005-0000-0000-00003D270000}"/>
    <cellStyle name="Comma 3 4 4 2 2 2" xfId="10043" xr:uid="{00000000-0005-0000-0000-00003E270000}"/>
    <cellStyle name="Comma 3 4 4 2 2 2 2" xfId="10044" xr:uid="{00000000-0005-0000-0000-00003F270000}"/>
    <cellStyle name="Comma 3 4 4 2 2 2 2 2" xfId="10045" xr:uid="{00000000-0005-0000-0000-000040270000}"/>
    <cellStyle name="Comma 3 4 4 2 2 2 2 2 2" xfId="10046" xr:uid="{00000000-0005-0000-0000-000041270000}"/>
    <cellStyle name="Comma 3 4 4 2 2 2 2 3" xfId="10047" xr:uid="{00000000-0005-0000-0000-000042270000}"/>
    <cellStyle name="Comma 3 4 4 2 2 2 3" xfId="10048" xr:uid="{00000000-0005-0000-0000-000043270000}"/>
    <cellStyle name="Comma 3 4 4 2 2 2 3 2" xfId="10049" xr:uid="{00000000-0005-0000-0000-000044270000}"/>
    <cellStyle name="Comma 3 4 4 2 2 2 4" xfId="10050" xr:uid="{00000000-0005-0000-0000-000045270000}"/>
    <cellStyle name="Comma 3 4 4 2 2 2 4 2" xfId="10051" xr:uid="{00000000-0005-0000-0000-000046270000}"/>
    <cellStyle name="Comma 3 4 4 2 2 2 5" xfId="10052" xr:uid="{00000000-0005-0000-0000-000047270000}"/>
    <cellStyle name="Comma 3 4 4 2 2 3" xfId="10053" xr:uid="{00000000-0005-0000-0000-000048270000}"/>
    <cellStyle name="Comma 3 4 4 2 2 3 2" xfId="10054" xr:uid="{00000000-0005-0000-0000-000049270000}"/>
    <cellStyle name="Comma 3 4 4 2 2 3 2 2" xfId="10055" xr:uid="{00000000-0005-0000-0000-00004A270000}"/>
    <cellStyle name="Comma 3 4 4 2 2 3 3" xfId="10056" xr:uid="{00000000-0005-0000-0000-00004B270000}"/>
    <cellStyle name="Comma 3 4 4 2 2 4" xfId="10057" xr:uid="{00000000-0005-0000-0000-00004C270000}"/>
    <cellStyle name="Comma 3 4 4 2 2 4 2" xfId="10058" xr:uid="{00000000-0005-0000-0000-00004D270000}"/>
    <cellStyle name="Comma 3 4 4 2 2 5" xfId="10059" xr:uid="{00000000-0005-0000-0000-00004E270000}"/>
    <cellStyle name="Comma 3 4 4 2 2 5 2" xfId="10060" xr:uid="{00000000-0005-0000-0000-00004F270000}"/>
    <cellStyle name="Comma 3 4 4 2 2 6" xfId="10061" xr:uid="{00000000-0005-0000-0000-000050270000}"/>
    <cellStyle name="Comma 3 4 4 2 3" xfId="10062" xr:uid="{00000000-0005-0000-0000-000051270000}"/>
    <cellStyle name="Comma 3 4 4 2 3 2" xfId="10063" xr:uid="{00000000-0005-0000-0000-000052270000}"/>
    <cellStyle name="Comma 3 4 4 2 3 2 2" xfId="10064" xr:uid="{00000000-0005-0000-0000-000053270000}"/>
    <cellStyle name="Comma 3 4 4 2 3 2 2 2" xfId="10065" xr:uid="{00000000-0005-0000-0000-000054270000}"/>
    <cellStyle name="Comma 3 4 4 2 3 2 3" xfId="10066" xr:uid="{00000000-0005-0000-0000-000055270000}"/>
    <cellStyle name="Comma 3 4 4 2 3 3" xfId="10067" xr:uid="{00000000-0005-0000-0000-000056270000}"/>
    <cellStyle name="Comma 3 4 4 2 3 3 2" xfId="10068" xr:uid="{00000000-0005-0000-0000-000057270000}"/>
    <cellStyle name="Comma 3 4 4 2 3 4" xfId="10069" xr:uid="{00000000-0005-0000-0000-000058270000}"/>
    <cellStyle name="Comma 3 4 4 2 3 4 2" xfId="10070" xr:uid="{00000000-0005-0000-0000-000059270000}"/>
    <cellStyle name="Comma 3 4 4 2 3 5" xfId="10071" xr:uid="{00000000-0005-0000-0000-00005A270000}"/>
    <cellStyle name="Comma 3 4 4 2 4" xfId="10072" xr:uid="{00000000-0005-0000-0000-00005B270000}"/>
    <cellStyle name="Comma 3 4 4 2 4 2" xfId="10073" xr:uid="{00000000-0005-0000-0000-00005C270000}"/>
    <cellStyle name="Comma 3 4 4 2 4 2 2" xfId="10074" xr:uid="{00000000-0005-0000-0000-00005D270000}"/>
    <cellStyle name="Comma 3 4 4 2 4 3" xfId="10075" xr:uid="{00000000-0005-0000-0000-00005E270000}"/>
    <cellStyle name="Comma 3 4 4 2 5" xfId="10076" xr:uid="{00000000-0005-0000-0000-00005F270000}"/>
    <cellStyle name="Comma 3 4 4 2 5 2" xfId="10077" xr:uid="{00000000-0005-0000-0000-000060270000}"/>
    <cellStyle name="Comma 3 4 4 2 6" xfId="10078" xr:uid="{00000000-0005-0000-0000-000061270000}"/>
    <cellStyle name="Comma 3 4 4 2 6 2" xfId="10079" xr:uid="{00000000-0005-0000-0000-000062270000}"/>
    <cellStyle name="Comma 3 4 4 2 7" xfId="10080" xr:uid="{00000000-0005-0000-0000-000063270000}"/>
    <cellStyle name="Comma 3 4 4 3" xfId="10081" xr:uid="{00000000-0005-0000-0000-000064270000}"/>
    <cellStyle name="Comma 3 4 4 3 2" xfId="10082" xr:uid="{00000000-0005-0000-0000-000065270000}"/>
    <cellStyle name="Comma 3 4 4 3 2 2" xfId="10083" xr:uid="{00000000-0005-0000-0000-000066270000}"/>
    <cellStyle name="Comma 3 4 4 3 2 2 2" xfId="10084" xr:uid="{00000000-0005-0000-0000-000067270000}"/>
    <cellStyle name="Comma 3 4 4 3 2 2 2 2" xfId="10085" xr:uid="{00000000-0005-0000-0000-000068270000}"/>
    <cellStyle name="Comma 3 4 4 3 2 2 3" xfId="10086" xr:uid="{00000000-0005-0000-0000-000069270000}"/>
    <cellStyle name="Comma 3 4 4 3 2 3" xfId="10087" xr:uid="{00000000-0005-0000-0000-00006A270000}"/>
    <cellStyle name="Comma 3 4 4 3 2 3 2" xfId="10088" xr:uid="{00000000-0005-0000-0000-00006B270000}"/>
    <cellStyle name="Comma 3 4 4 3 2 4" xfId="10089" xr:uid="{00000000-0005-0000-0000-00006C270000}"/>
    <cellStyle name="Comma 3 4 4 3 2 4 2" xfId="10090" xr:uid="{00000000-0005-0000-0000-00006D270000}"/>
    <cellStyle name="Comma 3 4 4 3 2 5" xfId="10091" xr:uid="{00000000-0005-0000-0000-00006E270000}"/>
    <cellStyle name="Comma 3 4 4 3 3" xfId="10092" xr:uid="{00000000-0005-0000-0000-00006F270000}"/>
    <cellStyle name="Comma 3 4 4 3 3 2" xfId="10093" xr:uid="{00000000-0005-0000-0000-000070270000}"/>
    <cellStyle name="Comma 3 4 4 3 3 2 2" xfId="10094" xr:uid="{00000000-0005-0000-0000-000071270000}"/>
    <cellStyle name="Comma 3 4 4 3 3 3" xfId="10095" xr:uid="{00000000-0005-0000-0000-000072270000}"/>
    <cellStyle name="Comma 3 4 4 3 4" xfId="10096" xr:uid="{00000000-0005-0000-0000-000073270000}"/>
    <cellStyle name="Comma 3 4 4 3 4 2" xfId="10097" xr:uid="{00000000-0005-0000-0000-000074270000}"/>
    <cellStyle name="Comma 3 4 4 3 5" xfId="10098" xr:uid="{00000000-0005-0000-0000-000075270000}"/>
    <cellStyle name="Comma 3 4 4 3 5 2" xfId="10099" xr:uid="{00000000-0005-0000-0000-000076270000}"/>
    <cellStyle name="Comma 3 4 4 3 6" xfId="10100" xr:uid="{00000000-0005-0000-0000-000077270000}"/>
    <cellStyle name="Comma 3 4 4 4" xfId="10101" xr:uid="{00000000-0005-0000-0000-000078270000}"/>
    <cellStyle name="Comma 3 4 4 4 2" xfId="10102" xr:uid="{00000000-0005-0000-0000-000079270000}"/>
    <cellStyle name="Comma 3 4 4 4 2 2" xfId="10103" xr:uid="{00000000-0005-0000-0000-00007A270000}"/>
    <cellStyle name="Comma 3 4 4 4 2 2 2" xfId="10104" xr:uid="{00000000-0005-0000-0000-00007B270000}"/>
    <cellStyle name="Comma 3 4 4 4 2 3" xfId="10105" xr:uid="{00000000-0005-0000-0000-00007C270000}"/>
    <cellStyle name="Comma 3 4 4 4 3" xfId="10106" xr:uid="{00000000-0005-0000-0000-00007D270000}"/>
    <cellStyle name="Comma 3 4 4 4 3 2" xfId="10107" xr:uid="{00000000-0005-0000-0000-00007E270000}"/>
    <cellStyle name="Comma 3 4 4 4 4" xfId="10108" xr:uid="{00000000-0005-0000-0000-00007F270000}"/>
    <cellStyle name="Comma 3 4 4 4 4 2" xfId="10109" xr:uid="{00000000-0005-0000-0000-000080270000}"/>
    <cellStyle name="Comma 3 4 4 4 5" xfId="10110" xr:uid="{00000000-0005-0000-0000-000081270000}"/>
    <cellStyle name="Comma 3 4 4 5" xfId="10111" xr:uid="{00000000-0005-0000-0000-000082270000}"/>
    <cellStyle name="Comma 3 4 4 5 2" xfId="10112" xr:uid="{00000000-0005-0000-0000-000083270000}"/>
    <cellStyle name="Comma 3 4 4 5 2 2" xfId="10113" xr:uid="{00000000-0005-0000-0000-000084270000}"/>
    <cellStyle name="Comma 3 4 4 5 3" xfId="10114" xr:uid="{00000000-0005-0000-0000-000085270000}"/>
    <cellStyle name="Comma 3 4 4 6" xfId="10115" xr:uid="{00000000-0005-0000-0000-000086270000}"/>
    <cellStyle name="Comma 3 4 4 6 2" xfId="10116" xr:uid="{00000000-0005-0000-0000-000087270000}"/>
    <cellStyle name="Comma 3 4 4 7" xfId="10117" xr:uid="{00000000-0005-0000-0000-000088270000}"/>
    <cellStyle name="Comma 3 4 4 7 2" xfId="10118" xr:uid="{00000000-0005-0000-0000-000089270000}"/>
    <cellStyle name="Comma 3 4 4 8" xfId="10119" xr:uid="{00000000-0005-0000-0000-00008A270000}"/>
    <cellStyle name="Comma 3 4 5" xfId="10120" xr:uid="{00000000-0005-0000-0000-00008B270000}"/>
    <cellStyle name="Comma 3 4 5 2" xfId="10121" xr:uid="{00000000-0005-0000-0000-00008C270000}"/>
    <cellStyle name="Comma 3 4 5 2 2" xfId="10122" xr:uid="{00000000-0005-0000-0000-00008D270000}"/>
    <cellStyle name="Comma 3 4 5 2 2 2" xfId="10123" xr:uid="{00000000-0005-0000-0000-00008E270000}"/>
    <cellStyle name="Comma 3 4 5 2 2 2 2" xfId="10124" xr:uid="{00000000-0005-0000-0000-00008F270000}"/>
    <cellStyle name="Comma 3 4 5 2 2 2 2 2" xfId="10125" xr:uid="{00000000-0005-0000-0000-000090270000}"/>
    <cellStyle name="Comma 3 4 5 2 2 2 3" xfId="10126" xr:uid="{00000000-0005-0000-0000-000091270000}"/>
    <cellStyle name="Comma 3 4 5 2 2 3" xfId="10127" xr:uid="{00000000-0005-0000-0000-000092270000}"/>
    <cellStyle name="Comma 3 4 5 2 2 3 2" xfId="10128" xr:uid="{00000000-0005-0000-0000-000093270000}"/>
    <cellStyle name="Comma 3 4 5 2 2 4" xfId="10129" xr:uid="{00000000-0005-0000-0000-000094270000}"/>
    <cellStyle name="Comma 3 4 5 2 2 4 2" xfId="10130" xr:uid="{00000000-0005-0000-0000-000095270000}"/>
    <cellStyle name="Comma 3 4 5 2 2 5" xfId="10131" xr:uid="{00000000-0005-0000-0000-000096270000}"/>
    <cellStyle name="Comma 3 4 5 2 3" xfId="10132" xr:uid="{00000000-0005-0000-0000-000097270000}"/>
    <cellStyle name="Comma 3 4 5 2 3 2" xfId="10133" xr:uid="{00000000-0005-0000-0000-000098270000}"/>
    <cellStyle name="Comma 3 4 5 2 3 2 2" xfId="10134" xr:uid="{00000000-0005-0000-0000-000099270000}"/>
    <cellStyle name="Comma 3 4 5 2 3 3" xfId="10135" xr:uid="{00000000-0005-0000-0000-00009A270000}"/>
    <cellStyle name="Comma 3 4 5 2 4" xfId="10136" xr:uid="{00000000-0005-0000-0000-00009B270000}"/>
    <cellStyle name="Comma 3 4 5 2 4 2" xfId="10137" xr:uid="{00000000-0005-0000-0000-00009C270000}"/>
    <cellStyle name="Comma 3 4 5 2 5" xfId="10138" xr:uid="{00000000-0005-0000-0000-00009D270000}"/>
    <cellStyle name="Comma 3 4 5 2 5 2" xfId="10139" xr:uid="{00000000-0005-0000-0000-00009E270000}"/>
    <cellStyle name="Comma 3 4 5 2 6" xfId="10140" xr:uid="{00000000-0005-0000-0000-00009F270000}"/>
    <cellStyle name="Comma 3 4 5 3" xfId="10141" xr:uid="{00000000-0005-0000-0000-0000A0270000}"/>
    <cellStyle name="Comma 3 4 5 3 2" xfId="10142" xr:uid="{00000000-0005-0000-0000-0000A1270000}"/>
    <cellStyle name="Comma 3 4 5 3 2 2" xfId="10143" xr:uid="{00000000-0005-0000-0000-0000A2270000}"/>
    <cellStyle name="Comma 3 4 5 3 2 2 2" xfId="10144" xr:uid="{00000000-0005-0000-0000-0000A3270000}"/>
    <cellStyle name="Comma 3 4 5 3 2 3" xfId="10145" xr:uid="{00000000-0005-0000-0000-0000A4270000}"/>
    <cellStyle name="Comma 3 4 5 3 3" xfId="10146" xr:uid="{00000000-0005-0000-0000-0000A5270000}"/>
    <cellStyle name="Comma 3 4 5 3 3 2" xfId="10147" xr:uid="{00000000-0005-0000-0000-0000A6270000}"/>
    <cellStyle name="Comma 3 4 5 3 4" xfId="10148" xr:uid="{00000000-0005-0000-0000-0000A7270000}"/>
    <cellStyle name="Comma 3 4 5 3 4 2" xfId="10149" xr:uid="{00000000-0005-0000-0000-0000A8270000}"/>
    <cellStyle name="Comma 3 4 5 3 5" xfId="10150" xr:uid="{00000000-0005-0000-0000-0000A9270000}"/>
    <cellStyle name="Comma 3 4 5 4" xfId="10151" xr:uid="{00000000-0005-0000-0000-0000AA270000}"/>
    <cellStyle name="Comma 3 4 5 4 2" xfId="10152" xr:uid="{00000000-0005-0000-0000-0000AB270000}"/>
    <cellStyle name="Comma 3 4 5 4 2 2" xfId="10153" xr:uid="{00000000-0005-0000-0000-0000AC270000}"/>
    <cellStyle name="Comma 3 4 5 4 3" xfId="10154" xr:uid="{00000000-0005-0000-0000-0000AD270000}"/>
    <cellStyle name="Comma 3 4 5 5" xfId="10155" xr:uid="{00000000-0005-0000-0000-0000AE270000}"/>
    <cellStyle name="Comma 3 4 5 5 2" xfId="10156" xr:uid="{00000000-0005-0000-0000-0000AF270000}"/>
    <cellStyle name="Comma 3 4 5 6" xfId="10157" xr:uid="{00000000-0005-0000-0000-0000B0270000}"/>
    <cellStyle name="Comma 3 4 5 6 2" xfId="10158" xr:uid="{00000000-0005-0000-0000-0000B1270000}"/>
    <cellStyle name="Comma 3 4 5 7" xfId="10159" xr:uid="{00000000-0005-0000-0000-0000B2270000}"/>
    <cellStyle name="Comma 3 4 6" xfId="10160" xr:uid="{00000000-0005-0000-0000-0000B3270000}"/>
    <cellStyle name="Comma 3 4 6 2" xfId="10161" xr:uid="{00000000-0005-0000-0000-0000B4270000}"/>
    <cellStyle name="Comma 3 4 6 2 2" xfId="10162" xr:uid="{00000000-0005-0000-0000-0000B5270000}"/>
    <cellStyle name="Comma 3 4 6 2 2 2" xfId="10163" xr:uid="{00000000-0005-0000-0000-0000B6270000}"/>
    <cellStyle name="Comma 3 4 6 2 2 2 2" xfId="10164" xr:uid="{00000000-0005-0000-0000-0000B7270000}"/>
    <cellStyle name="Comma 3 4 6 2 2 2 2 2" xfId="10165" xr:uid="{00000000-0005-0000-0000-0000B8270000}"/>
    <cellStyle name="Comma 3 4 6 2 2 2 3" xfId="10166" xr:uid="{00000000-0005-0000-0000-0000B9270000}"/>
    <cellStyle name="Comma 3 4 6 2 2 3" xfId="10167" xr:uid="{00000000-0005-0000-0000-0000BA270000}"/>
    <cellStyle name="Comma 3 4 6 2 2 3 2" xfId="10168" xr:uid="{00000000-0005-0000-0000-0000BB270000}"/>
    <cellStyle name="Comma 3 4 6 2 2 4" xfId="10169" xr:uid="{00000000-0005-0000-0000-0000BC270000}"/>
    <cellStyle name="Comma 3 4 6 2 2 4 2" xfId="10170" xr:uid="{00000000-0005-0000-0000-0000BD270000}"/>
    <cellStyle name="Comma 3 4 6 2 2 5" xfId="10171" xr:uid="{00000000-0005-0000-0000-0000BE270000}"/>
    <cellStyle name="Comma 3 4 6 2 3" xfId="10172" xr:uid="{00000000-0005-0000-0000-0000BF270000}"/>
    <cellStyle name="Comma 3 4 6 2 3 2" xfId="10173" xr:uid="{00000000-0005-0000-0000-0000C0270000}"/>
    <cellStyle name="Comma 3 4 6 2 3 2 2" xfId="10174" xr:uid="{00000000-0005-0000-0000-0000C1270000}"/>
    <cellStyle name="Comma 3 4 6 2 3 3" xfId="10175" xr:uid="{00000000-0005-0000-0000-0000C2270000}"/>
    <cellStyle name="Comma 3 4 6 2 4" xfId="10176" xr:uid="{00000000-0005-0000-0000-0000C3270000}"/>
    <cellStyle name="Comma 3 4 6 2 4 2" xfId="10177" xr:uid="{00000000-0005-0000-0000-0000C4270000}"/>
    <cellStyle name="Comma 3 4 6 2 5" xfId="10178" xr:uid="{00000000-0005-0000-0000-0000C5270000}"/>
    <cellStyle name="Comma 3 4 6 2 5 2" xfId="10179" xr:uid="{00000000-0005-0000-0000-0000C6270000}"/>
    <cellStyle name="Comma 3 4 6 2 6" xfId="10180" xr:uid="{00000000-0005-0000-0000-0000C7270000}"/>
    <cellStyle name="Comma 3 4 6 3" xfId="10181" xr:uid="{00000000-0005-0000-0000-0000C8270000}"/>
    <cellStyle name="Comma 3 4 6 3 2" xfId="10182" xr:uid="{00000000-0005-0000-0000-0000C9270000}"/>
    <cellStyle name="Comma 3 4 6 3 2 2" xfId="10183" xr:uid="{00000000-0005-0000-0000-0000CA270000}"/>
    <cellStyle name="Comma 3 4 6 3 2 2 2" xfId="10184" xr:uid="{00000000-0005-0000-0000-0000CB270000}"/>
    <cellStyle name="Comma 3 4 6 3 2 3" xfId="10185" xr:uid="{00000000-0005-0000-0000-0000CC270000}"/>
    <cellStyle name="Comma 3 4 6 3 3" xfId="10186" xr:uid="{00000000-0005-0000-0000-0000CD270000}"/>
    <cellStyle name="Comma 3 4 6 3 3 2" xfId="10187" xr:uid="{00000000-0005-0000-0000-0000CE270000}"/>
    <cellStyle name="Comma 3 4 6 3 4" xfId="10188" xr:uid="{00000000-0005-0000-0000-0000CF270000}"/>
    <cellStyle name="Comma 3 4 6 3 4 2" xfId="10189" xr:uid="{00000000-0005-0000-0000-0000D0270000}"/>
    <cellStyle name="Comma 3 4 6 3 5" xfId="10190" xr:uid="{00000000-0005-0000-0000-0000D1270000}"/>
    <cellStyle name="Comma 3 4 6 4" xfId="10191" xr:uid="{00000000-0005-0000-0000-0000D2270000}"/>
    <cellStyle name="Comma 3 4 6 4 2" xfId="10192" xr:uid="{00000000-0005-0000-0000-0000D3270000}"/>
    <cellStyle name="Comma 3 4 6 4 2 2" xfId="10193" xr:uid="{00000000-0005-0000-0000-0000D4270000}"/>
    <cellStyle name="Comma 3 4 6 4 3" xfId="10194" xr:uid="{00000000-0005-0000-0000-0000D5270000}"/>
    <cellStyle name="Comma 3 4 6 5" xfId="10195" xr:uid="{00000000-0005-0000-0000-0000D6270000}"/>
    <cellStyle name="Comma 3 4 6 5 2" xfId="10196" xr:uid="{00000000-0005-0000-0000-0000D7270000}"/>
    <cellStyle name="Comma 3 4 6 6" xfId="10197" xr:uid="{00000000-0005-0000-0000-0000D8270000}"/>
    <cellStyle name="Comma 3 4 6 6 2" xfId="10198" xr:uid="{00000000-0005-0000-0000-0000D9270000}"/>
    <cellStyle name="Comma 3 4 6 7" xfId="10199" xr:uid="{00000000-0005-0000-0000-0000DA270000}"/>
    <cellStyle name="Comma 3 4 7" xfId="10200" xr:uid="{00000000-0005-0000-0000-0000DB270000}"/>
    <cellStyle name="Comma 3 4 7 2" xfId="10201" xr:uid="{00000000-0005-0000-0000-0000DC270000}"/>
    <cellStyle name="Comma 3 4 7 2 2" xfId="10202" xr:uid="{00000000-0005-0000-0000-0000DD270000}"/>
    <cellStyle name="Comma 3 4 7 2 2 2" xfId="10203" xr:uid="{00000000-0005-0000-0000-0000DE270000}"/>
    <cellStyle name="Comma 3 4 7 2 2 2 2" xfId="10204" xr:uid="{00000000-0005-0000-0000-0000DF270000}"/>
    <cellStyle name="Comma 3 4 7 2 2 3" xfId="10205" xr:uid="{00000000-0005-0000-0000-0000E0270000}"/>
    <cellStyle name="Comma 3 4 7 2 3" xfId="10206" xr:uid="{00000000-0005-0000-0000-0000E1270000}"/>
    <cellStyle name="Comma 3 4 7 2 3 2" xfId="10207" xr:uid="{00000000-0005-0000-0000-0000E2270000}"/>
    <cellStyle name="Comma 3 4 7 2 4" xfId="10208" xr:uid="{00000000-0005-0000-0000-0000E3270000}"/>
    <cellStyle name="Comma 3 4 7 2 4 2" xfId="10209" xr:uid="{00000000-0005-0000-0000-0000E4270000}"/>
    <cellStyle name="Comma 3 4 7 2 5" xfId="10210" xr:uid="{00000000-0005-0000-0000-0000E5270000}"/>
    <cellStyle name="Comma 3 4 7 3" xfId="10211" xr:uid="{00000000-0005-0000-0000-0000E6270000}"/>
    <cellStyle name="Comma 3 4 7 3 2" xfId="10212" xr:uid="{00000000-0005-0000-0000-0000E7270000}"/>
    <cellStyle name="Comma 3 4 7 3 2 2" xfId="10213" xr:uid="{00000000-0005-0000-0000-0000E8270000}"/>
    <cellStyle name="Comma 3 4 7 3 3" xfId="10214" xr:uid="{00000000-0005-0000-0000-0000E9270000}"/>
    <cellStyle name="Comma 3 4 7 4" xfId="10215" xr:uid="{00000000-0005-0000-0000-0000EA270000}"/>
    <cellStyle name="Comma 3 4 7 4 2" xfId="10216" xr:uid="{00000000-0005-0000-0000-0000EB270000}"/>
    <cellStyle name="Comma 3 4 7 5" xfId="10217" xr:uid="{00000000-0005-0000-0000-0000EC270000}"/>
    <cellStyle name="Comma 3 4 7 5 2" xfId="10218" xr:uid="{00000000-0005-0000-0000-0000ED270000}"/>
    <cellStyle name="Comma 3 4 7 6" xfId="10219" xr:uid="{00000000-0005-0000-0000-0000EE270000}"/>
    <cellStyle name="Comma 3 4 8" xfId="10220" xr:uid="{00000000-0005-0000-0000-0000EF270000}"/>
    <cellStyle name="Comma 3 4 8 2" xfId="10221" xr:uid="{00000000-0005-0000-0000-0000F0270000}"/>
    <cellStyle name="Comma 3 4 8 2 2" xfId="10222" xr:uid="{00000000-0005-0000-0000-0000F1270000}"/>
    <cellStyle name="Comma 3 4 8 2 2 2" xfId="10223" xr:uid="{00000000-0005-0000-0000-0000F2270000}"/>
    <cellStyle name="Comma 3 4 8 2 3" xfId="10224" xr:uid="{00000000-0005-0000-0000-0000F3270000}"/>
    <cellStyle name="Comma 3 4 8 3" xfId="10225" xr:uid="{00000000-0005-0000-0000-0000F4270000}"/>
    <cellStyle name="Comma 3 4 8 3 2" xfId="10226" xr:uid="{00000000-0005-0000-0000-0000F5270000}"/>
    <cellStyle name="Comma 3 4 8 4" xfId="10227" xr:uid="{00000000-0005-0000-0000-0000F6270000}"/>
    <cellStyle name="Comma 3 4 8 4 2" xfId="10228" xr:uid="{00000000-0005-0000-0000-0000F7270000}"/>
    <cellStyle name="Comma 3 4 8 5" xfId="10229" xr:uid="{00000000-0005-0000-0000-0000F8270000}"/>
    <cellStyle name="Comma 3 4 9" xfId="10230" xr:uid="{00000000-0005-0000-0000-0000F9270000}"/>
    <cellStyle name="Comma 3 4 9 2" xfId="10231" xr:uid="{00000000-0005-0000-0000-0000FA270000}"/>
    <cellStyle name="Comma 3 4 9 2 2" xfId="10232" xr:uid="{00000000-0005-0000-0000-0000FB270000}"/>
    <cellStyle name="Comma 3 4 9 3" xfId="10233" xr:uid="{00000000-0005-0000-0000-0000FC270000}"/>
    <cellStyle name="Comma 3 5" xfId="10234" xr:uid="{00000000-0005-0000-0000-0000FD270000}"/>
    <cellStyle name="Comma 3 5 10" xfId="10235" xr:uid="{00000000-0005-0000-0000-0000FE270000}"/>
    <cellStyle name="Comma 3 5 10 2" xfId="10236" xr:uid="{00000000-0005-0000-0000-0000FF270000}"/>
    <cellStyle name="Comma 3 5 11" xfId="10237" xr:uid="{00000000-0005-0000-0000-000000280000}"/>
    <cellStyle name="Comma 3 5 11 2" xfId="10238" xr:uid="{00000000-0005-0000-0000-000001280000}"/>
    <cellStyle name="Comma 3 5 12" xfId="10239" xr:uid="{00000000-0005-0000-0000-000002280000}"/>
    <cellStyle name="Comma 3 5 2" xfId="10240" xr:uid="{00000000-0005-0000-0000-000003280000}"/>
    <cellStyle name="Comma 3 5 2 2" xfId="10241" xr:uid="{00000000-0005-0000-0000-000004280000}"/>
    <cellStyle name="Comma 3 5 2 2 2" xfId="10242" xr:uid="{00000000-0005-0000-0000-000005280000}"/>
    <cellStyle name="Comma 3 5 2 2 2 2" xfId="10243" xr:uid="{00000000-0005-0000-0000-000006280000}"/>
    <cellStyle name="Comma 3 5 2 2 2 2 2" xfId="10244" xr:uid="{00000000-0005-0000-0000-000007280000}"/>
    <cellStyle name="Comma 3 5 2 2 2 2 2 2" xfId="10245" xr:uid="{00000000-0005-0000-0000-000008280000}"/>
    <cellStyle name="Comma 3 5 2 2 2 2 2 2 2" xfId="10246" xr:uid="{00000000-0005-0000-0000-000009280000}"/>
    <cellStyle name="Comma 3 5 2 2 2 2 2 3" xfId="10247" xr:uid="{00000000-0005-0000-0000-00000A280000}"/>
    <cellStyle name="Comma 3 5 2 2 2 2 3" xfId="10248" xr:uid="{00000000-0005-0000-0000-00000B280000}"/>
    <cellStyle name="Comma 3 5 2 2 2 2 3 2" xfId="10249" xr:uid="{00000000-0005-0000-0000-00000C280000}"/>
    <cellStyle name="Comma 3 5 2 2 2 2 4" xfId="10250" xr:uid="{00000000-0005-0000-0000-00000D280000}"/>
    <cellStyle name="Comma 3 5 2 2 2 2 4 2" xfId="10251" xr:uid="{00000000-0005-0000-0000-00000E280000}"/>
    <cellStyle name="Comma 3 5 2 2 2 2 5" xfId="10252" xr:uid="{00000000-0005-0000-0000-00000F280000}"/>
    <cellStyle name="Comma 3 5 2 2 2 3" xfId="10253" xr:uid="{00000000-0005-0000-0000-000010280000}"/>
    <cellStyle name="Comma 3 5 2 2 2 3 2" xfId="10254" xr:uid="{00000000-0005-0000-0000-000011280000}"/>
    <cellStyle name="Comma 3 5 2 2 2 3 2 2" xfId="10255" xr:uid="{00000000-0005-0000-0000-000012280000}"/>
    <cellStyle name="Comma 3 5 2 2 2 3 3" xfId="10256" xr:uid="{00000000-0005-0000-0000-000013280000}"/>
    <cellStyle name="Comma 3 5 2 2 2 4" xfId="10257" xr:uid="{00000000-0005-0000-0000-000014280000}"/>
    <cellStyle name="Comma 3 5 2 2 2 4 2" xfId="10258" xr:uid="{00000000-0005-0000-0000-000015280000}"/>
    <cellStyle name="Comma 3 5 2 2 2 5" xfId="10259" xr:uid="{00000000-0005-0000-0000-000016280000}"/>
    <cellStyle name="Comma 3 5 2 2 2 5 2" xfId="10260" xr:uid="{00000000-0005-0000-0000-000017280000}"/>
    <cellStyle name="Comma 3 5 2 2 2 6" xfId="10261" xr:uid="{00000000-0005-0000-0000-000018280000}"/>
    <cellStyle name="Comma 3 5 2 2 3" xfId="10262" xr:uid="{00000000-0005-0000-0000-000019280000}"/>
    <cellStyle name="Comma 3 5 2 2 3 2" xfId="10263" xr:uid="{00000000-0005-0000-0000-00001A280000}"/>
    <cellStyle name="Comma 3 5 2 2 3 2 2" xfId="10264" xr:uid="{00000000-0005-0000-0000-00001B280000}"/>
    <cellStyle name="Comma 3 5 2 2 3 2 2 2" xfId="10265" xr:uid="{00000000-0005-0000-0000-00001C280000}"/>
    <cellStyle name="Comma 3 5 2 2 3 2 3" xfId="10266" xr:uid="{00000000-0005-0000-0000-00001D280000}"/>
    <cellStyle name="Comma 3 5 2 2 3 3" xfId="10267" xr:uid="{00000000-0005-0000-0000-00001E280000}"/>
    <cellStyle name="Comma 3 5 2 2 3 3 2" xfId="10268" xr:uid="{00000000-0005-0000-0000-00001F280000}"/>
    <cellStyle name="Comma 3 5 2 2 3 4" xfId="10269" xr:uid="{00000000-0005-0000-0000-000020280000}"/>
    <cellStyle name="Comma 3 5 2 2 3 4 2" xfId="10270" xr:uid="{00000000-0005-0000-0000-000021280000}"/>
    <cellStyle name="Comma 3 5 2 2 3 5" xfId="10271" xr:uid="{00000000-0005-0000-0000-000022280000}"/>
    <cellStyle name="Comma 3 5 2 2 4" xfId="10272" xr:uid="{00000000-0005-0000-0000-000023280000}"/>
    <cellStyle name="Comma 3 5 2 2 4 2" xfId="10273" xr:uid="{00000000-0005-0000-0000-000024280000}"/>
    <cellStyle name="Comma 3 5 2 2 4 2 2" xfId="10274" xr:uid="{00000000-0005-0000-0000-000025280000}"/>
    <cellStyle name="Comma 3 5 2 2 4 3" xfId="10275" xr:uid="{00000000-0005-0000-0000-000026280000}"/>
    <cellStyle name="Comma 3 5 2 2 5" xfId="10276" xr:uid="{00000000-0005-0000-0000-000027280000}"/>
    <cellStyle name="Comma 3 5 2 2 5 2" xfId="10277" xr:uid="{00000000-0005-0000-0000-000028280000}"/>
    <cellStyle name="Comma 3 5 2 2 6" xfId="10278" xr:uid="{00000000-0005-0000-0000-000029280000}"/>
    <cellStyle name="Comma 3 5 2 2 6 2" xfId="10279" xr:uid="{00000000-0005-0000-0000-00002A280000}"/>
    <cellStyle name="Comma 3 5 2 2 7" xfId="10280" xr:uid="{00000000-0005-0000-0000-00002B280000}"/>
    <cellStyle name="Comma 3 5 2 3" xfId="10281" xr:uid="{00000000-0005-0000-0000-00002C280000}"/>
    <cellStyle name="Comma 3 5 2 3 2" xfId="10282" xr:uid="{00000000-0005-0000-0000-00002D280000}"/>
    <cellStyle name="Comma 3 5 2 3 2 2" xfId="10283" xr:uid="{00000000-0005-0000-0000-00002E280000}"/>
    <cellStyle name="Comma 3 5 2 3 2 2 2" xfId="10284" xr:uid="{00000000-0005-0000-0000-00002F280000}"/>
    <cellStyle name="Comma 3 5 2 3 2 2 2 2" xfId="10285" xr:uid="{00000000-0005-0000-0000-000030280000}"/>
    <cellStyle name="Comma 3 5 2 3 2 2 2 2 2" xfId="10286" xr:uid="{00000000-0005-0000-0000-000031280000}"/>
    <cellStyle name="Comma 3 5 2 3 2 2 2 3" xfId="10287" xr:uid="{00000000-0005-0000-0000-000032280000}"/>
    <cellStyle name="Comma 3 5 2 3 2 2 3" xfId="10288" xr:uid="{00000000-0005-0000-0000-000033280000}"/>
    <cellStyle name="Comma 3 5 2 3 2 2 3 2" xfId="10289" xr:uid="{00000000-0005-0000-0000-000034280000}"/>
    <cellStyle name="Comma 3 5 2 3 2 2 4" xfId="10290" xr:uid="{00000000-0005-0000-0000-000035280000}"/>
    <cellStyle name="Comma 3 5 2 3 2 2 4 2" xfId="10291" xr:uid="{00000000-0005-0000-0000-000036280000}"/>
    <cellStyle name="Comma 3 5 2 3 2 2 5" xfId="10292" xr:uid="{00000000-0005-0000-0000-000037280000}"/>
    <cellStyle name="Comma 3 5 2 3 2 3" xfId="10293" xr:uid="{00000000-0005-0000-0000-000038280000}"/>
    <cellStyle name="Comma 3 5 2 3 2 3 2" xfId="10294" xr:uid="{00000000-0005-0000-0000-000039280000}"/>
    <cellStyle name="Comma 3 5 2 3 2 3 2 2" xfId="10295" xr:uid="{00000000-0005-0000-0000-00003A280000}"/>
    <cellStyle name="Comma 3 5 2 3 2 3 3" xfId="10296" xr:uid="{00000000-0005-0000-0000-00003B280000}"/>
    <cellStyle name="Comma 3 5 2 3 2 4" xfId="10297" xr:uid="{00000000-0005-0000-0000-00003C280000}"/>
    <cellStyle name="Comma 3 5 2 3 2 4 2" xfId="10298" xr:uid="{00000000-0005-0000-0000-00003D280000}"/>
    <cellStyle name="Comma 3 5 2 3 2 5" xfId="10299" xr:uid="{00000000-0005-0000-0000-00003E280000}"/>
    <cellStyle name="Comma 3 5 2 3 2 5 2" xfId="10300" xr:uid="{00000000-0005-0000-0000-00003F280000}"/>
    <cellStyle name="Comma 3 5 2 3 2 6" xfId="10301" xr:uid="{00000000-0005-0000-0000-000040280000}"/>
    <cellStyle name="Comma 3 5 2 3 3" xfId="10302" xr:uid="{00000000-0005-0000-0000-000041280000}"/>
    <cellStyle name="Comma 3 5 2 3 3 2" xfId="10303" xr:uid="{00000000-0005-0000-0000-000042280000}"/>
    <cellStyle name="Comma 3 5 2 3 3 2 2" xfId="10304" xr:uid="{00000000-0005-0000-0000-000043280000}"/>
    <cellStyle name="Comma 3 5 2 3 3 2 2 2" xfId="10305" xr:uid="{00000000-0005-0000-0000-000044280000}"/>
    <cellStyle name="Comma 3 5 2 3 3 2 3" xfId="10306" xr:uid="{00000000-0005-0000-0000-000045280000}"/>
    <cellStyle name="Comma 3 5 2 3 3 3" xfId="10307" xr:uid="{00000000-0005-0000-0000-000046280000}"/>
    <cellStyle name="Comma 3 5 2 3 3 3 2" xfId="10308" xr:uid="{00000000-0005-0000-0000-000047280000}"/>
    <cellStyle name="Comma 3 5 2 3 3 4" xfId="10309" xr:uid="{00000000-0005-0000-0000-000048280000}"/>
    <cellStyle name="Comma 3 5 2 3 3 4 2" xfId="10310" xr:uid="{00000000-0005-0000-0000-000049280000}"/>
    <cellStyle name="Comma 3 5 2 3 3 5" xfId="10311" xr:uid="{00000000-0005-0000-0000-00004A280000}"/>
    <cellStyle name="Comma 3 5 2 3 4" xfId="10312" xr:uid="{00000000-0005-0000-0000-00004B280000}"/>
    <cellStyle name="Comma 3 5 2 3 4 2" xfId="10313" xr:uid="{00000000-0005-0000-0000-00004C280000}"/>
    <cellStyle name="Comma 3 5 2 3 4 2 2" xfId="10314" xr:uid="{00000000-0005-0000-0000-00004D280000}"/>
    <cellStyle name="Comma 3 5 2 3 4 3" xfId="10315" xr:uid="{00000000-0005-0000-0000-00004E280000}"/>
    <cellStyle name="Comma 3 5 2 3 5" xfId="10316" xr:uid="{00000000-0005-0000-0000-00004F280000}"/>
    <cellStyle name="Comma 3 5 2 3 5 2" xfId="10317" xr:uid="{00000000-0005-0000-0000-000050280000}"/>
    <cellStyle name="Comma 3 5 2 3 6" xfId="10318" xr:uid="{00000000-0005-0000-0000-000051280000}"/>
    <cellStyle name="Comma 3 5 2 3 6 2" xfId="10319" xr:uid="{00000000-0005-0000-0000-000052280000}"/>
    <cellStyle name="Comma 3 5 2 3 7" xfId="10320" xr:uid="{00000000-0005-0000-0000-000053280000}"/>
    <cellStyle name="Comma 3 5 2 4" xfId="10321" xr:uid="{00000000-0005-0000-0000-000054280000}"/>
    <cellStyle name="Comma 3 5 2 4 2" xfId="10322" xr:uid="{00000000-0005-0000-0000-000055280000}"/>
    <cellStyle name="Comma 3 5 2 4 2 2" xfId="10323" xr:uid="{00000000-0005-0000-0000-000056280000}"/>
    <cellStyle name="Comma 3 5 2 4 2 2 2" xfId="10324" xr:uid="{00000000-0005-0000-0000-000057280000}"/>
    <cellStyle name="Comma 3 5 2 4 2 2 2 2" xfId="10325" xr:uid="{00000000-0005-0000-0000-000058280000}"/>
    <cellStyle name="Comma 3 5 2 4 2 2 3" xfId="10326" xr:uid="{00000000-0005-0000-0000-000059280000}"/>
    <cellStyle name="Comma 3 5 2 4 2 3" xfId="10327" xr:uid="{00000000-0005-0000-0000-00005A280000}"/>
    <cellStyle name="Comma 3 5 2 4 2 3 2" xfId="10328" xr:uid="{00000000-0005-0000-0000-00005B280000}"/>
    <cellStyle name="Comma 3 5 2 4 2 4" xfId="10329" xr:uid="{00000000-0005-0000-0000-00005C280000}"/>
    <cellStyle name="Comma 3 5 2 4 2 4 2" xfId="10330" xr:uid="{00000000-0005-0000-0000-00005D280000}"/>
    <cellStyle name="Comma 3 5 2 4 2 5" xfId="10331" xr:uid="{00000000-0005-0000-0000-00005E280000}"/>
    <cellStyle name="Comma 3 5 2 4 3" xfId="10332" xr:uid="{00000000-0005-0000-0000-00005F280000}"/>
    <cellStyle name="Comma 3 5 2 4 3 2" xfId="10333" xr:uid="{00000000-0005-0000-0000-000060280000}"/>
    <cellStyle name="Comma 3 5 2 4 3 2 2" xfId="10334" xr:uid="{00000000-0005-0000-0000-000061280000}"/>
    <cellStyle name="Comma 3 5 2 4 3 3" xfId="10335" xr:uid="{00000000-0005-0000-0000-000062280000}"/>
    <cellStyle name="Comma 3 5 2 4 4" xfId="10336" xr:uid="{00000000-0005-0000-0000-000063280000}"/>
    <cellStyle name="Comma 3 5 2 4 4 2" xfId="10337" xr:uid="{00000000-0005-0000-0000-000064280000}"/>
    <cellStyle name="Comma 3 5 2 4 5" xfId="10338" xr:uid="{00000000-0005-0000-0000-000065280000}"/>
    <cellStyle name="Comma 3 5 2 4 5 2" xfId="10339" xr:uid="{00000000-0005-0000-0000-000066280000}"/>
    <cellStyle name="Comma 3 5 2 4 6" xfId="10340" xr:uid="{00000000-0005-0000-0000-000067280000}"/>
    <cellStyle name="Comma 3 5 2 5" xfId="10341" xr:uid="{00000000-0005-0000-0000-000068280000}"/>
    <cellStyle name="Comma 3 5 2 5 2" xfId="10342" xr:uid="{00000000-0005-0000-0000-000069280000}"/>
    <cellStyle name="Comma 3 5 2 5 2 2" xfId="10343" xr:uid="{00000000-0005-0000-0000-00006A280000}"/>
    <cellStyle name="Comma 3 5 2 5 2 2 2" xfId="10344" xr:uid="{00000000-0005-0000-0000-00006B280000}"/>
    <cellStyle name="Comma 3 5 2 5 2 3" xfId="10345" xr:uid="{00000000-0005-0000-0000-00006C280000}"/>
    <cellStyle name="Comma 3 5 2 5 3" xfId="10346" xr:uid="{00000000-0005-0000-0000-00006D280000}"/>
    <cellStyle name="Comma 3 5 2 5 3 2" xfId="10347" xr:uid="{00000000-0005-0000-0000-00006E280000}"/>
    <cellStyle name="Comma 3 5 2 5 4" xfId="10348" xr:uid="{00000000-0005-0000-0000-00006F280000}"/>
    <cellStyle name="Comma 3 5 2 5 4 2" xfId="10349" xr:uid="{00000000-0005-0000-0000-000070280000}"/>
    <cellStyle name="Comma 3 5 2 5 5" xfId="10350" xr:uid="{00000000-0005-0000-0000-000071280000}"/>
    <cellStyle name="Comma 3 5 2 6" xfId="10351" xr:uid="{00000000-0005-0000-0000-000072280000}"/>
    <cellStyle name="Comma 3 5 2 6 2" xfId="10352" xr:uid="{00000000-0005-0000-0000-000073280000}"/>
    <cellStyle name="Comma 3 5 2 6 2 2" xfId="10353" xr:uid="{00000000-0005-0000-0000-000074280000}"/>
    <cellStyle name="Comma 3 5 2 6 3" xfId="10354" xr:uid="{00000000-0005-0000-0000-000075280000}"/>
    <cellStyle name="Comma 3 5 2 7" xfId="10355" xr:uid="{00000000-0005-0000-0000-000076280000}"/>
    <cellStyle name="Comma 3 5 2 7 2" xfId="10356" xr:uid="{00000000-0005-0000-0000-000077280000}"/>
    <cellStyle name="Comma 3 5 2 8" xfId="10357" xr:uid="{00000000-0005-0000-0000-000078280000}"/>
    <cellStyle name="Comma 3 5 2 8 2" xfId="10358" xr:uid="{00000000-0005-0000-0000-000079280000}"/>
    <cellStyle name="Comma 3 5 2 9" xfId="10359" xr:uid="{00000000-0005-0000-0000-00007A280000}"/>
    <cellStyle name="Comma 3 5 3" xfId="10360" xr:uid="{00000000-0005-0000-0000-00007B280000}"/>
    <cellStyle name="Comma 3 5 3 2" xfId="10361" xr:uid="{00000000-0005-0000-0000-00007C280000}"/>
    <cellStyle name="Comma 3 5 3 2 2" xfId="10362" xr:uid="{00000000-0005-0000-0000-00007D280000}"/>
    <cellStyle name="Comma 3 5 3 2 2 2" xfId="10363" xr:uid="{00000000-0005-0000-0000-00007E280000}"/>
    <cellStyle name="Comma 3 5 3 2 2 2 2" xfId="10364" xr:uid="{00000000-0005-0000-0000-00007F280000}"/>
    <cellStyle name="Comma 3 5 3 2 2 2 2 2" xfId="10365" xr:uid="{00000000-0005-0000-0000-000080280000}"/>
    <cellStyle name="Comma 3 5 3 2 2 2 2 2 2" xfId="10366" xr:uid="{00000000-0005-0000-0000-000081280000}"/>
    <cellStyle name="Comma 3 5 3 2 2 2 2 3" xfId="10367" xr:uid="{00000000-0005-0000-0000-000082280000}"/>
    <cellStyle name="Comma 3 5 3 2 2 2 3" xfId="10368" xr:uid="{00000000-0005-0000-0000-000083280000}"/>
    <cellStyle name="Comma 3 5 3 2 2 2 3 2" xfId="10369" xr:uid="{00000000-0005-0000-0000-000084280000}"/>
    <cellStyle name="Comma 3 5 3 2 2 2 4" xfId="10370" xr:uid="{00000000-0005-0000-0000-000085280000}"/>
    <cellStyle name="Comma 3 5 3 2 2 2 4 2" xfId="10371" xr:uid="{00000000-0005-0000-0000-000086280000}"/>
    <cellStyle name="Comma 3 5 3 2 2 2 5" xfId="10372" xr:uid="{00000000-0005-0000-0000-000087280000}"/>
    <cellStyle name="Comma 3 5 3 2 2 3" xfId="10373" xr:uid="{00000000-0005-0000-0000-000088280000}"/>
    <cellStyle name="Comma 3 5 3 2 2 3 2" xfId="10374" xr:uid="{00000000-0005-0000-0000-000089280000}"/>
    <cellStyle name="Comma 3 5 3 2 2 3 2 2" xfId="10375" xr:uid="{00000000-0005-0000-0000-00008A280000}"/>
    <cellStyle name="Comma 3 5 3 2 2 3 3" xfId="10376" xr:uid="{00000000-0005-0000-0000-00008B280000}"/>
    <cellStyle name="Comma 3 5 3 2 2 4" xfId="10377" xr:uid="{00000000-0005-0000-0000-00008C280000}"/>
    <cellStyle name="Comma 3 5 3 2 2 4 2" xfId="10378" xr:uid="{00000000-0005-0000-0000-00008D280000}"/>
    <cellStyle name="Comma 3 5 3 2 2 5" xfId="10379" xr:uid="{00000000-0005-0000-0000-00008E280000}"/>
    <cellStyle name="Comma 3 5 3 2 2 5 2" xfId="10380" xr:uid="{00000000-0005-0000-0000-00008F280000}"/>
    <cellStyle name="Comma 3 5 3 2 2 6" xfId="10381" xr:uid="{00000000-0005-0000-0000-000090280000}"/>
    <cellStyle name="Comma 3 5 3 2 3" xfId="10382" xr:uid="{00000000-0005-0000-0000-000091280000}"/>
    <cellStyle name="Comma 3 5 3 2 3 2" xfId="10383" xr:uid="{00000000-0005-0000-0000-000092280000}"/>
    <cellStyle name="Comma 3 5 3 2 3 2 2" xfId="10384" xr:uid="{00000000-0005-0000-0000-000093280000}"/>
    <cellStyle name="Comma 3 5 3 2 3 2 2 2" xfId="10385" xr:uid="{00000000-0005-0000-0000-000094280000}"/>
    <cellStyle name="Comma 3 5 3 2 3 2 3" xfId="10386" xr:uid="{00000000-0005-0000-0000-000095280000}"/>
    <cellStyle name="Comma 3 5 3 2 3 3" xfId="10387" xr:uid="{00000000-0005-0000-0000-000096280000}"/>
    <cellStyle name="Comma 3 5 3 2 3 3 2" xfId="10388" xr:uid="{00000000-0005-0000-0000-000097280000}"/>
    <cellStyle name="Comma 3 5 3 2 3 4" xfId="10389" xr:uid="{00000000-0005-0000-0000-000098280000}"/>
    <cellStyle name="Comma 3 5 3 2 3 4 2" xfId="10390" xr:uid="{00000000-0005-0000-0000-000099280000}"/>
    <cellStyle name="Comma 3 5 3 2 3 5" xfId="10391" xr:uid="{00000000-0005-0000-0000-00009A280000}"/>
    <cellStyle name="Comma 3 5 3 2 4" xfId="10392" xr:uid="{00000000-0005-0000-0000-00009B280000}"/>
    <cellStyle name="Comma 3 5 3 2 4 2" xfId="10393" xr:uid="{00000000-0005-0000-0000-00009C280000}"/>
    <cellStyle name="Comma 3 5 3 2 4 2 2" xfId="10394" xr:uid="{00000000-0005-0000-0000-00009D280000}"/>
    <cellStyle name="Comma 3 5 3 2 4 3" xfId="10395" xr:uid="{00000000-0005-0000-0000-00009E280000}"/>
    <cellStyle name="Comma 3 5 3 2 5" xfId="10396" xr:uid="{00000000-0005-0000-0000-00009F280000}"/>
    <cellStyle name="Comma 3 5 3 2 5 2" xfId="10397" xr:uid="{00000000-0005-0000-0000-0000A0280000}"/>
    <cellStyle name="Comma 3 5 3 2 6" xfId="10398" xr:uid="{00000000-0005-0000-0000-0000A1280000}"/>
    <cellStyle name="Comma 3 5 3 2 6 2" xfId="10399" xr:uid="{00000000-0005-0000-0000-0000A2280000}"/>
    <cellStyle name="Comma 3 5 3 2 7" xfId="10400" xr:uid="{00000000-0005-0000-0000-0000A3280000}"/>
    <cellStyle name="Comma 3 5 3 3" xfId="10401" xr:uid="{00000000-0005-0000-0000-0000A4280000}"/>
    <cellStyle name="Comma 3 5 3 3 2" xfId="10402" xr:uid="{00000000-0005-0000-0000-0000A5280000}"/>
    <cellStyle name="Comma 3 5 3 3 2 2" xfId="10403" xr:uid="{00000000-0005-0000-0000-0000A6280000}"/>
    <cellStyle name="Comma 3 5 3 3 2 2 2" xfId="10404" xr:uid="{00000000-0005-0000-0000-0000A7280000}"/>
    <cellStyle name="Comma 3 5 3 3 2 2 2 2" xfId="10405" xr:uid="{00000000-0005-0000-0000-0000A8280000}"/>
    <cellStyle name="Comma 3 5 3 3 2 2 2 2 2" xfId="10406" xr:uid="{00000000-0005-0000-0000-0000A9280000}"/>
    <cellStyle name="Comma 3 5 3 3 2 2 2 3" xfId="10407" xr:uid="{00000000-0005-0000-0000-0000AA280000}"/>
    <cellStyle name="Comma 3 5 3 3 2 2 3" xfId="10408" xr:uid="{00000000-0005-0000-0000-0000AB280000}"/>
    <cellStyle name="Comma 3 5 3 3 2 2 3 2" xfId="10409" xr:uid="{00000000-0005-0000-0000-0000AC280000}"/>
    <cellStyle name="Comma 3 5 3 3 2 2 4" xfId="10410" xr:uid="{00000000-0005-0000-0000-0000AD280000}"/>
    <cellStyle name="Comma 3 5 3 3 2 2 4 2" xfId="10411" xr:uid="{00000000-0005-0000-0000-0000AE280000}"/>
    <cellStyle name="Comma 3 5 3 3 2 2 5" xfId="10412" xr:uid="{00000000-0005-0000-0000-0000AF280000}"/>
    <cellStyle name="Comma 3 5 3 3 2 3" xfId="10413" xr:uid="{00000000-0005-0000-0000-0000B0280000}"/>
    <cellStyle name="Comma 3 5 3 3 2 3 2" xfId="10414" xr:uid="{00000000-0005-0000-0000-0000B1280000}"/>
    <cellStyle name="Comma 3 5 3 3 2 3 2 2" xfId="10415" xr:uid="{00000000-0005-0000-0000-0000B2280000}"/>
    <cellStyle name="Comma 3 5 3 3 2 3 3" xfId="10416" xr:uid="{00000000-0005-0000-0000-0000B3280000}"/>
    <cellStyle name="Comma 3 5 3 3 2 4" xfId="10417" xr:uid="{00000000-0005-0000-0000-0000B4280000}"/>
    <cellStyle name="Comma 3 5 3 3 2 4 2" xfId="10418" xr:uid="{00000000-0005-0000-0000-0000B5280000}"/>
    <cellStyle name="Comma 3 5 3 3 2 5" xfId="10419" xr:uid="{00000000-0005-0000-0000-0000B6280000}"/>
    <cellStyle name="Comma 3 5 3 3 2 5 2" xfId="10420" xr:uid="{00000000-0005-0000-0000-0000B7280000}"/>
    <cellStyle name="Comma 3 5 3 3 2 6" xfId="10421" xr:uid="{00000000-0005-0000-0000-0000B8280000}"/>
    <cellStyle name="Comma 3 5 3 3 3" xfId="10422" xr:uid="{00000000-0005-0000-0000-0000B9280000}"/>
    <cellStyle name="Comma 3 5 3 3 3 2" xfId="10423" xr:uid="{00000000-0005-0000-0000-0000BA280000}"/>
    <cellStyle name="Comma 3 5 3 3 3 2 2" xfId="10424" xr:uid="{00000000-0005-0000-0000-0000BB280000}"/>
    <cellStyle name="Comma 3 5 3 3 3 2 2 2" xfId="10425" xr:uid="{00000000-0005-0000-0000-0000BC280000}"/>
    <cellStyle name="Comma 3 5 3 3 3 2 3" xfId="10426" xr:uid="{00000000-0005-0000-0000-0000BD280000}"/>
    <cellStyle name="Comma 3 5 3 3 3 3" xfId="10427" xr:uid="{00000000-0005-0000-0000-0000BE280000}"/>
    <cellStyle name="Comma 3 5 3 3 3 3 2" xfId="10428" xr:uid="{00000000-0005-0000-0000-0000BF280000}"/>
    <cellStyle name="Comma 3 5 3 3 3 4" xfId="10429" xr:uid="{00000000-0005-0000-0000-0000C0280000}"/>
    <cellStyle name="Comma 3 5 3 3 3 4 2" xfId="10430" xr:uid="{00000000-0005-0000-0000-0000C1280000}"/>
    <cellStyle name="Comma 3 5 3 3 3 5" xfId="10431" xr:uid="{00000000-0005-0000-0000-0000C2280000}"/>
    <cellStyle name="Comma 3 5 3 3 4" xfId="10432" xr:uid="{00000000-0005-0000-0000-0000C3280000}"/>
    <cellStyle name="Comma 3 5 3 3 4 2" xfId="10433" xr:uid="{00000000-0005-0000-0000-0000C4280000}"/>
    <cellStyle name="Comma 3 5 3 3 4 2 2" xfId="10434" xr:uid="{00000000-0005-0000-0000-0000C5280000}"/>
    <cellStyle name="Comma 3 5 3 3 4 3" xfId="10435" xr:uid="{00000000-0005-0000-0000-0000C6280000}"/>
    <cellStyle name="Comma 3 5 3 3 5" xfId="10436" xr:uid="{00000000-0005-0000-0000-0000C7280000}"/>
    <cellStyle name="Comma 3 5 3 3 5 2" xfId="10437" xr:uid="{00000000-0005-0000-0000-0000C8280000}"/>
    <cellStyle name="Comma 3 5 3 3 6" xfId="10438" xr:uid="{00000000-0005-0000-0000-0000C9280000}"/>
    <cellStyle name="Comma 3 5 3 3 6 2" xfId="10439" xr:uid="{00000000-0005-0000-0000-0000CA280000}"/>
    <cellStyle name="Comma 3 5 3 3 7" xfId="10440" xr:uid="{00000000-0005-0000-0000-0000CB280000}"/>
    <cellStyle name="Comma 3 5 3 4" xfId="10441" xr:uid="{00000000-0005-0000-0000-0000CC280000}"/>
    <cellStyle name="Comma 3 5 3 4 2" xfId="10442" xr:uid="{00000000-0005-0000-0000-0000CD280000}"/>
    <cellStyle name="Comma 3 5 3 4 2 2" xfId="10443" xr:uid="{00000000-0005-0000-0000-0000CE280000}"/>
    <cellStyle name="Comma 3 5 3 4 2 2 2" xfId="10444" xr:uid="{00000000-0005-0000-0000-0000CF280000}"/>
    <cellStyle name="Comma 3 5 3 4 2 2 2 2" xfId="10445" xr:uid="{00000000-0005-0000-0000-0000D0280000}"/>
    <cellStyle name="Comma 3 5 3 4 2 2 3" xfId="10446" xr:uid="{00000000-0005-0000-0000-0000D1280000}"/>
    <cellStyle name="Comma 3 5 3 4 2 3" xfId="10447" xr:uid="{00000000-0005-0000-0000-0000D2280000}"/>
    <cellStyle name="Comma 3 5 3 4 2 3 2" xfId="10448" xr:uid="{00000000-0005-0000-0000-0000D3280000}"/>
    <cellStyle name="Comma 3 5 3 4 2 4" xfId="10449" xr:uid="{00000000-0005-0000-0000-0000D4280000}"/>
    <cellStyle name="Comma 3 5 3 4 2 4 2" xfId="10450" xr:uid="{00000000-0005-0000-0000-0000D5280000}"/>
    <cellStyle name="Comma 3 5 3 4 2 5" xfId="10451" xr:uid="{00000000-0005-0000-0000-0000D6280000}"/>
    <cellStyle name="Comma 3 5 3 4 3" xfId="10452" xr:uid="{00000000-0005-0000-0000-0000D7280000}"/>
    <cellStyle name="Comma 3 5 3 4 3 2" xfId="10453" xr:uid="{00000000-0005-0000-0000-0000D8280000}"/>
    <cellStyle name="Comma 3 5 3 4 3 2 2" xfId="10454" xr:uid="{00000000-0005-0000-0000-0000D9280000}"/>
    <cellStyle name="Comma 3 5 3 4 3 3" xfId="10455" xr:uid="{00000000-0005-0000-0000-0000DA280000}"/>
    <cellStyle name="Comma 3 5 3 4 4" xfId="10456" xr:uid="{00000000-0005-0000-0000-0000DB280000}"/>
    <cellStyle name="Comma 3 5 3 4 4 2" xfId="10457" xr:uid="{00000000-0005-0000-0000-0000DC280000}"/>
    <cellStyle name="Comma 3 5 3 4 5" xfId="10458" xr:uid="{00000000-0005-0000-0000-0000DD280000}"/>
    <cellStyle name="Comma 3 5 3 4 5 2" xfId="10459" xr:uid="{00000000-0005-0000-0000-0000DE280000}"/>
    <cellStyle name="Comma 3 5 3 4 6" xfId="10460" xr:uid="{00000000-0005-0000-0000-0000DF280000}"/>
    <cellStyle name="Comma 3 5 3 5" xfId="10461" xr:uid="{00000000-0005-0000-0000-0000E0280000}"/>
    <cellStyle name="Comma 3 5 3 5 2" xfId="10462" xr:uid="{00000000-0005-0000-0000-0000E1280000}"/>
    <cellStyle name="Comma 3 5 3 5 2 2" xfId="10463" xr:uid="{00000000-0005-0000-0000-0000E2280000}"/>
    <cellStyle name="Comma 3 5 3 5 2 2 2" xfId="10464" xr:uid="{00000000-0005-0000-0000-0000E3280000}"/>
    <cellStyle name="Comma 3 5 3 5 2 3" xfId="10465" xr:uid="{00000000-0005-0000-0000-0000E4280000}"/>
    <cellStyle name="Comma 3 5 3 5 3" xfId="10466" xr:uid="{00000000-0005-0000-0000-0000E5280000}"/>
    <cellStyle name="Comma 3 5 3 5 3 2" xfId="10467" xr:uid="{00000000-0005-0000-0000-0000E6280000}"/>
    <cellStyle name="Comma 3 5 3 5 4" xfId="10468" xr:uid="{00000000-0005-0000-0000-0000E7280000}"/>
    <cellStyle name="Comma 3 5 3 5 4 2" xfId="10469" xr:uid="{00000000-0005-0000-0000-0000E8280000}"/>
    <cellStyle name="Comma 3 5 3 5 5" xfId="10470" xr:uid="{00000000-0005-0000-0000-0000E9280000}"/>
    <cellStyle name="Comma 3 5 3 6" xfId="10471" xr:uid="{00000000-0005-0000-0000-0000EA280000}"/>
    <cellStyle name="Comma 3 5 3 6 2" xfId="10472" xr:uid="{00000000-0005-0000-0000-0000EB280000}"/>
    <cellStyle name="Comma 3 5 3 6 2 2" xfId="10473" xr:uid="{00000000-0005-0000-0000-0000EC280000}"/>
    <cellStyle name="Comma 3 5 3 6 3" xfId="10474" xr:uid="{00000000-0005-0000-0000-0000ED280000}"/>
    <cellStyle name="Comma 3 5 3 7" xfId="10475" xr:uid="{00000000-0005-0000-0000-0000EE280000}"/>
    <cellStyle name="Comma 3 5 3 7 2" xfId="10476" xr:uid="{00000000-0005-0000-0000-0000EF280000}"/>
    <cellStyle name="Comma 3 5 3 8" xfId="10477" xr:uid="{00000000-0005-0000-0000-0000F0280000}"/>
    <cellStyle name="Comma 3 5 3 8 2" xfId="10478" xr:uid="{00000000-0005-0000-0000-0000F1280000}"/>
    <cellStyle name="Comma 3 5 3 9" xfId="10479" xr:uid="{00000000-0005-0000-0000-0000F2280000}"/>
    <cellStyle name="Comma 3 5 4" xfId="10480" xr:uid="{00000000-0005-0000-0000-0000F3280000}"/>
    <cellStyle name="Comma 3 5 4 2" xfId="10481" xr:uid="{00000000-0005-0000-0000-0000F4280000}"/>
    <cellStyle name="Comma 3 5 4 2 2" xfId="10482" xr:uid="{00000000-0005-0000-0000-0000F5280000}"/>
    <cellStyle name="Comma 3 5 4 2 2 2" xfId="10483" xr:uid="{00000000-0005-0000-0000-0000F6280000}"/>
    <cellStyle name="Comma 3 5 4 2 2 2 2" xfId="10484" xr:uid="{00000000-0005-0000-0000-0000F7280000}"/>
    <cellStyle name="Comma 3 5 4 2 2 2 2 2" xfId="10485" xr:uid="{00000000-0005-0000-0000-0000F8280000}"/>
    <cellStyle name="Comma 3 5 4 2 2 2 2 2 2" xfId="10486" xr:uid="{00000000-0005-0000-0000-0000F9280000}"/>
    <cellStyle name="Comma 3 5 4 2 2 2 2 3" xfId="10487" xr:uid="{00000000-0005-0000-0000-0000FA280000}"/>
    <cellStyle name="Comma 3 5 4 2 2 2 3" xfId="10488" xr:uid="{00000000-0005-0000-0000-0000FB280000}"/>
    <cellStyle name="Comma 3 5 4 2 2 2 3 2" xfId="10489" xr:uid="{00000000-0005-0000-0000-0000FC280000}"/>
    <cellStyle name="Comma 3 5 4 2 2 2 4" xfId="10490" xr:uid="{00000000-0005-0000-0000-0000FD280000}"/>
    <cellStyle name="Comma 3 5 4 2 2 2 4 2" xfId="10491" xr:uid="{00000000-0005-0000-0000-0000FE280000}"/>
    <cellStyle name="Comma 3 5 4 2 2 2 5" xfId="10492" xr:uid="{00000000-0005-0000-0000-0000FF280000}"/>
    <cellStyle name="Comma 3 5 4 2 2 3" xfId="10493" xr:uid="{00000000-0005-0000-0000-000000290000}"/>
    <cellStyle name="Comma 3 5 4 2 2 3 2" xfId="10494" xr:uid="{00000000-0005-0000-0000-000001290000}"/>
    <cellStyle name="Comma 3 5 4 2 2 3 2 2" xfId="10495" xr:uid="{00000000-0005-0000-0000-000002290000}"/>
    <cellStyle name="Comma 3 5 4 2 2 3 3" xfId="10496" xr:uid="{00000000-0005-0000-0000-000003290000}"/>
    <cellStyle name="Comma 3 5 4 2 2 4" xfId="10497" xr:uid="{00000000-0005-0000-0000-000004290000}"/>
    <cellStyle name="Comma 3 5 4 2 2 4 2" xfId="10498" xr:uid="{00000000-0005-0000-0000-000005290000}"/>
    <cellStyle name="Comma 3 5 4 2 2 5" xfId="10499" xr:uid="{00000000-0005-0000-0000-000006290000}"/>
    <cellStyle name="Comma 3 5 4 2 2 5 2" xfId="10500" xr:uid="{00000000-0005-0000-0000-000007290000}"/>
    <cellStyle name="Comma 3 5 4 2 2 6" xfId="10501" xr:uid="{00000000-0005-0000-0000-000008290000}"/>
    <cellStyle name="Comma 3 5 4 2 3" xfId="10502" xr:uid="{00000000-0005-0000-0000-000009290000}"/>
    <cellStyle name="Comma 3 5 4 2 3 2" xfId="10503" xr:uid="{00000000-0005-0000-0000-00000A290000}"/>
    <cellStyle name="Comma 3 5 4 2 3 2 2" xfId="10504" xr:uid="{00000000-0005-0000-0000-00000B290000}"/>
    <cellStyle name="Comma 3 5 4 2 3 2 2 2" xfId="10505" xr:uid="{00000000-0005-0000-0000-00000C290000}"/>
    <cellStyle name="Comma 3 5 4 2 3 2 3" xfId="10506" xr:uid="{00000000-0005-0000-0000-00000D290000}"/>
    <cellStyle name="Comma 3 5 4 2 3 3" xfId="10507" xr:uid="{00000000-0005-0000-0000-00000E290000}"/>
    <cellStyle name="Comma 3 5 4 2 3 3 2" xfId="10508" xr:uid="{00000000-0005-0000-0000-00000F290000}"/>
    <cellStyle name="Comma 3 5 4 2 3 4" xfId="10509" xr:uid="{00000000-0005-0000-0000-000010290000}"/>
    <cellStyle name="Comma 3 5 4 2 3 4 2" xfId="10510" xr:uid="{00000000-0005-0000-0000-000011290000}"/>
    <cellStyle name="Comma 3 5 4 2 3 5" xfId="10511" xr:uid="{00000000-0005-0000-0000-000012290000}"/>
    <cellStyle name="Comma 3 5 4 2 4" xfId="10512" xr:uid="{00000000-0005-0000-0000-000013290000}"/>
    <cellStyle name="Comma 3 5 4 2 4 2" xfId="10513" xr:uid="{00000000-0005-0000-0000-000014290000}"/>
    <cellStyle name="Comma 3 5 4 2 4 2 2" xfId="10514" xr:uid="{00000000-0005-0000-0000-000015290000}"/>
    <cellStyle name="Comma 3 5 4 2 4 3" xfId="10515" xr:uid="{00000000-0005-0000-0000-000016290000}"/>
    <cellStyle name="Comma 3 5 4 2 5" xfId="10516" xr:uid="{00000000-0005-0000-0000-000017290000}"/>
    <cellStyle name="Comma 3 5 4 2 5 2" xfId="10517" xr:uid="{00000000-0005-0000-0000-000018290000}"/>
    <cellStyle name="Comma 3 5 4 2 6" xfId="10518" xr:uid="{00000000-0005-0000-0000-000019290000}"/>
    <cellStyle name="Comma 3 5 4 2 6 2" xfId="10519" xr:uid="{00000000-0005-0000-0000-00001A290000}"/>
    <cellStyle name="Comma 3 5 4 2 7" xfId="10520" xr:uid="{00000000-0005-0000-0000-00001B290000}"/>
    <cellStyle name="Comma 3 5 4 3" xfId="10521" xr:uid="{00000000-0005-0000-0000-00001C290000}"/>
    <cellStyle name="Comma 3 5 4 3 2" xfId="10522" xr:uid="{00000000-0005-0000-0000-00001D290000}"/>
    <cellStyle name="Comma 3 5 4 3 2 2" xfId="10523" xr:uid="{00000000-0005-0000-0000-00001E290000}"/>
    <cellStyle name="Comma 3 5 4 3 2 2 2" xfId="10524" xr:uid="{00000000-0005-0000-0000-00001F290000}"/>
    <cellStyle name="Comma 3 5 4 3 2 2 2 2" xfId="10525" xr:uid="{00000000-0005-0000-0000-000020290000}"/>
    <cellStyle name="Comma 3 5 4 3 2 2 3" xfId="10526" xr:uid="{00000000-0005-0000-0000-000021290000}"/>
    <cellStyle name="Comma 3 5 4 3 2 3" xfId="10527" xr:uid="{00000000-0005-0000-0000-000022290000}"/>
    <cellStyle name="Comma 3 5 4 3 2 3 2" xfId="10528" xr:uid="{00000000-0005-0000-0000-000023290000}"/>
    <cellStyle name="Comma 3 5 4 3 2 4" xfId="10529" xr:uid="{00000000-0005-0000-0000-000024290000}"/>
    <cellStyle name="Comma 3 5 4 3 2 4 2" xfId="10530" xr:uid="{00000000-0005-0000-0000-000025290000}"/>
    <cellStyle name="Comma 3 5 4 3 2 5" xfId="10531" xr:uid="{00000000-0005-0000-0000-000026290000}"/>
    <cellStyle name="Comma 3 5 4 3 3" xfId="10532" xr:uid="{00000000-0005-0000-0000-000027290000}"/>
    <cellStyle name="Comma 3 5 4 3 3 2" xfId="10533" xr:uid="{00000000-0005-0000-0000-000028290000}"/>
    <cellStyle name="Comma 3 5 4 3 3 2 2" xfId="10534" xr:uid="{00000000-0005-0000-0000-000029290000}"/>
    <cellStyle name="Comma 3 5 4 3 3 3" xfId="10535" xr:uid="{00000000-0005-0000-0000-00002A290000}"/>
    <cellStyle name="Comma 3 5 4 3 4" xfId="10536" xr:uid="{00000000-0005-0000-0000-00002B290000}"/>
    <cellStyle name="Comma 3 5 4 3 4 2" xfId="10537" xr:uid="{00000000-0005-0000-0000-00002C290000}"/>
    <cellStyle name="Comma 3 5 4 3 5" xfId="10538" xr:uid="{00000000-0005-0000-0000-00002D290000}"/>
    <cellStyle name="Comma 3 5 4 3 5 2" xfId="10539" xr:uid="{00000000-0005-0000-0000-00002E290000}"/>
    <cellStyle name="Comma 3 5 4 3 6" xfId="10540" xr:uid="{00000000-0005-0000-0000-00002F290000}"/>
    <cellStyle name="Comma 3 5 4 4" xfId="10541" xr:uid="{00000000-0005-0000-0000-000030290000}"/>
    <cellStyle name="Comma 3 5 4 4 2" xfId="10542" xr:uid="{00000000-0005-0000-0000-000031290000}"/>
    <cellStyle name="Comma 3 5 4 4 2 2" xfId="10543" xr:uid="{00000000-0005-0000-0000-000032290000}"/>
    <cellStyle name="Comma 3 5 4 4 2 2 2" xfId="10544" xr:uid="{00000000-0005-0000-0000-000033290000}"/>
    <cellStyle name="Comma 3 5 4 4 2 3" xfId="10545" xr:uid="{00000000-0005-0000-0000-000034290000}"/>
    <cellStyle name="Comma 3 5 4 4 3" xfId="10546" xr:uid="{00000000-0005-0000-0000-000035290000}"/>
    <cellStyle name="Comma 3 5 4 4 3 2" xfId="10547" xr:uid="{00000000-0005-0000-0000-000036290000}"/>
    <cellStyle name="Comma 3 5 4 4 4" xfId="10548" xr:uid="{00000000-0005-0000-0000-000037290000}"/>
    <cellStyle name="Comma 3 5 4 4 4 2" xfId="10549" xr:uid="{00000000-0005-0000-0000-000038290000}"/>
    <cellStyle name="Comma 3 5 4 4 5" xfId="10550" xr:uid="{00000000-0005-0000-0000-000039290000}"/>
    <cellStyle name="Comma 3 5 4 5" xfId="10551" xr:uid="{00000000-0005-0000-0000-00003A290000}"/>
    <cellStyle name="Comma 3 5 4 5 2" xfId="10552" xr:uid="{00000000-0005-0000-0000-00003B290000}"/>
    <cellStyle name="Comma 3 5 4 5 2 2" xfId="10553" xr:uid="{00000000-0005-0000-0000-00003C290000}"/>
    <cellStyle name="Comma 3 5 4 5 3" xfId="10554" xr:uid="{00000000-0005-0000-0000-00003D290000}"/>
    <cellStyle name="Comma 3 5 4 6" xfId="10555" xr:uid="{00000000-0005-0000-0000-00003E290000}"/>
    <cellStyle name="Comma 3 5 4 6 2" xfId="10556" xr:uid="{00000000-0005-0000-0000-00003F290000}"/>
    <cellStyle name="Comma 3 5 4 7" xfId="10557" xr:uid="{00000000-0005-0000-0000-000040290000}"/>
    <cellStyle name="Comma 3 5 4 7 2" xfId="10558" xr:uid="{00000000-0005-0000-0000-000041290000}"/>
    <cellStyle name="Comma 3 5 4 8" xfId="10559" xr:uid="{00000000-0005-0000-0000-000042290000}"/>
    <cellStyle name="Comma 3 5 5" xfId="10560" xr:uid="{00000000-0005-0000-0000-000043290000}"/>
    <cellStyle name="Comma 3 5 5 2" xfId="10561" xr:uid="{00000000-0005-0000-0000-000044290000}"/>
    <cellStyle name="Comma 3 5 5 2 2" xfId="10562" xr:uid="{00000000-0005-0000-0000-000045290000}"/>
    <cellStyle name="Comma 3 5 5 2 2 2" xfId="10563" xr:uid="{00000000-0005-0000-0000-000046290000}"/>
    <cellStyle name="Comma 3 5 5 2 2 2 2" xfId="10564" xr:uid="{00000000-0005-0000-0000-000047290000}"/>
    <cellStyle name="Comma 3 5 5 2 2 2 2 2" xfId="10565" xr:uid="{00000000-0005-0000-0000-000048290000}"/>
    <cellStyle name="Comma 3 5 5 2 2 2 3" xfId="10566" xr:uid="{00000000-0005-0000-0000-000049290000}"/>
    <cellStyle name="Comma 3 5 5 2 2 3" xfId="10567" xr:uid="{00000000-0005-0000-0000-00004A290000}"/>
    <cellStyle name="Comma 3 5 5 2 2 3 2" xfId="10568" xr:uid="{00000000-0005-0000-0000-00004B290000}"/>
    <cellStyle name="Comma 3 5 5 2 2 4" xfId="10569" xr:uid="{00000000-0005-0000-0000-00004C290000}"/>
    <cellStyle name="Comma 3 5 5 2 2 4 2" xfId="10570" xr:uid="{00000000-0005-0000-0000-00004D290000}"/>
    <cellStyle name="Comma 3 5 5 2 2 5" xfId="10571" xr:uid="{00000000-0005-0000-0000-00004E290000}"/>
    <cellStyle name="Comma 3 5 5 2 3" xfId="10572" xr:uid="{00000000-0005-0000-0000-00004F290000}"/>
    <cellStyle name="Comma 3 5 5 2 3 2" xfId="10573" xr:uid="{00000000-0005-0000-0000-000050290000}"/>
    <cellStyle name="Comma 3 5 5 2 3 2 2" xfId="10574" xr:uid="{00000000-0005-0000-0000-000051290000}"/>
    <cellStyle name="Comma 3 5 5 2 3 3" xfId="10575" xr:uid="{00000000-0005-0000-0000-000052290000}"/>
    <cellStyle name="Comma 3 5 5 2 4" xfId="10576" xr:uid="{00000000-0005-0000-0000-000053290000}"/>
    <cellStyle name="Comma 3 5 5 2 4 2" xfId="10577" xr:uid="{00000000-0005-0000-0000-000054290000}"/>
    <cellStyle name="Comma 3 5 5 2 5" xfId="10578" xr:uid="{00000000-0005-0000-0000-000055290000}"/>
    <cellStyle name="Comma 3 5 5 2 5 2" xfId="10579" xr:uid="{00000000-0005-0000-0000-000056290000}"/>
    <cellStyle name="Comma 3 5 5 2 6" xfId="10580" xr:uid="{00000000-0005-0000-0000-000057290000}"/>
    <cellStyle name="Comma 3 5 5 3" xfId="10581" xr:uid="{00000000-0005-0000-0000-000058290000}"/>
    <cellStyle name="Comma 3 5 5 3 2" xfId="10582" xr:uid="{00000000-0005-0000-0000-000059290000}"/>
    <cellStyle name="Comma 3 5 5 3 2 2" xfId="10583" xr:uid="{00000000-0005-0000-0000-00005A290000}"/>
    <cellStyle name="Comma 3 5 5 3 2 2 2" xfId="10584" xr:uid="{00000000-0005-0000-0000-00005B290000}"/>
    <cellStyle name="Comma 3 5 5 3 2 3" xfId="10585" xr:uid="{00000000-0005-0000-0000-00005C290000}"/>
    <cellStyle name="Comma 3 5 5 3 3" xfId="10586" xr:uid="{00000000-0005-0000-0000-00005D290000}"/>
    <cellStyle name="Comma 3 5 5 3 3 2" xfId="10587" xr:uid="{00000000-0005-0000-0000-00005E290000}"/>
    <cellStyle name="Comma 3 5 5 3 4" xfId="10588" xr:uid="{00000000-0005-0000-0000-00005F290000}"/>
    <cellStyle name="Comma 3 5 5 3 4 2" xfId="10589" xr:uid="{00000000-0005-0000-0000-000060290000}"/>
    <cellStyle name="Comma 3 5 5 3 5" xfId="10590" xr:uid="{00000000-0005-0000-0000-000061290000}"/>
    <cellStyle name="Comma 3 5 5 4" xfId="10591" xr:uid="{00000000-0005-0000-0000-000062290000}"/>
    <cellStyle name="Comma 3 5 5 4 2" xfId="10592" xr:uid="{00000000-0005-0000-0000-000063290000}"/>
    <cellStyle name="Comma 3 5 5 4 2 2" xfId="10593" xr:uid="{00000000-0005-0000-0000-000064290000}"/>
    <cellStyle name="Comma 3 5 5 4 3" xfId="10594" xr:uid="{00000000-0005-0000-0000-000065290000}"/>
    <cellStyle name="Comma 3 5 5 5" xfId="10595" xr:uid="{00000000-0005-0000-0000-000066290000}"/>
    <cellStyle name="Comma 3 5 5 5 2" xfId="10596" xr:uid="{00000000-0005-0000-0000-000067290000}"/>
    <cellStyle name="Comma 3 5 5 6" xfId="10597" xr:uid="{00000000-0005-0000-0000-000068290000}"/>
    <cellStyle name="Comma 3 5 5 6 2" xfId="10598" xr:uid="{00000000-0005-0000-0000-000069290000}"/>
    <cellStyle name="Comma 3 5 5 7" xfId="10599" xr:uid="{00000000-0005-0000-0000-00006A290000}"/>
    <cellStyle name="Comma 3 5 6" xfId="10600" xr:uid="{00000000-0005-0000-0000-00006B290000}"/>
    <cellStyle name="Comma 3 5 6 2" xfId="10601" xr:uid="{00000000-0005-0000-0000-00006C290000}"/>
    <cellStyle name="Comma 3 5 6 2 2" xfId="10602" xr:uid="{00000000-0005-0000-0000-00006D290000}"/>
    <cellStyle name="Comma 3 5 6 2 2 2" xfId="10603" xr:uid="{00000000-0005-0000-0000-00006E290000}"/>
    <cellStyle name="Comma 3 5 6 2 2 2 2" xfId="10604" xr:uid="{00000000-0005-0000-0000-00006F290000}"/>
    <cellStyle name="Comma 3 5 6 2 2 2 2 2" xfId="10605" xr:uid="{00000000-0005-0000-0000-000070290000}"/>
    <cellStyle name="Comma 3 5 6 2 2 2 3" xfId="10606" xr:uid="{00000000-0005-0000-0000-000071290000}"/>
    <cellStyle name="Comma 3 5 6 2 2 3" xfId="10607" xr:uid="{00000000-0005-0000-0000-000072290000}"/>
    <cellStyle name="Comma 3 5 6 2 2 3 2" xfId="10608" xr:uid="{00000000-0005-0000-0000-000073290000}"/>
    <cellStyle name="Comma 3 5 6 2 2 4" xfId="10609" xr:uid="{00000000-0005-0000-0000-000074290000}"/>
    <cellStyle name="Comma 3 5 6 2 2 4 2" xfId="10610" xr:uid="{00000000-0005-0000-0000-000075290000}"/>
    <cellStyle name="Comma 3 5 6 2 2 5" xfId="10611" xr:uid="{00000000-0005-0000-0000-000076290000}"/>
    <cellStyle name="Comma 3 5 6 2 3" xfId="10612" xr:uid="{00000000-0005-0000-0000-000077290000}"/>
    <cellStyle name="Comma 3 5 6 2 3 2" xfId="10613" xr:uid="{00000000-0005-0000-0000-000078290000}"/>
    <cellStyle name="Comma 3 5 6 2 3 2 2" xfId="10614" xr:uid="{00000000-0005-0000-0000-000079290000}"/>
    <cellStyle name="Comma 3 5 6 2 3 3" xfId="10615" xr:uid="{00000000-0005-0000-0000-00007A290000}"/>
    <cellStyle name="Comma 3 5 6 2 4" xfId="10616" xr:uid="{00000000-0005-0000-0000-00007B290000}"/>
    <cellStyle name="Comma 3 5 6 2 4 2" xfId="10617" xr:uid="{00000000-0005-0000-0000-00007C290000}"/>
    <cellStyle name="Comma 3 5 6 2 5" xfId="10618" xr:uid="{00000000-0005-0000-0000-00007D290000}"/>
    <cellStyle name="Comma 3 5 6 2 5 2" xfId="10619" xr:uid="{00000000-0005-0000-0000-00007E290000}"/>
    <cellStyle name="Comma 3 5 6 2 6" xfId="10620" xr:uid="{00000000-0005-0000-0000-00007F290000}"/>
    <cellStyle name="Comma 3 5 6 3" xfId="10621" xr:uid="{00000000-0005-0000-0000-000080290000}"/>
    <cellStyle name="Comma 3 5 6 3 2" xfId="10622" xr:uid="{00000000-0005-0000-0000-000081290000}"/>
    <cellStyle name="Comma 3 5 6 3 2 2" xfId="10623" xr:uid="{00000000-0005-0000-0000-000082290000}"/>
    <cellStyle name="Comma 3 5 6 3 2 2 2" xfId="10624" xr:uid="{00000000-0005-0000-0000-000083290000}"/>
    <cellStyle name="Comma 3 5 6 3 2 3" xfId="10625" xr:uid="{00000000-0005-0000-0000-000084290000}"/>
    <cellStyle name="Comma 3 5 6 3 3" xfId="10626" xr:uid="{00000000-0005-0000-0000-000085290000}"/>
    <cellStyle name="Comma 3 5 6 3 3 2" xfId="10627" xr:uid="{00000000-0005-0000-0000-000086290000}"/>
    <cellStyle name="Comma 3 5 6 3 4" xfId="10628" xr:uid="{00000000-0005-0000-0000-000087290000}"/>
    <cellStyle name="Comma 3 5 6 3 4 2" xfId="10629" xr:uid="{00000000-0005-0000-0000-000088290000}"/>
    <cellStyle name="Comma 3 5 6 3 5" xfId="10630" xr:uid="{00000000-0005-0000-0000-000089290000}"/>
    <cellStyle name="Comma 3 5 6 4" xfId="10631" xr:uid="{00000000-0005-0000-0000-00008A290000}"/>
    <cellStyle name="Comma 3 5 6 4 2" xfId="10632" xr:uid="{00000000-0005-0000-0000-00008B290000}"/>
    <cellStyle name="Comma 3 5 6 4 2 2" xfId="10633" xr:uid="{00000000-0005-0000-0000-00008C290000}"/>
    <cellStyle name="Comma 3 5 6 4 3" xfId="10634" xr:uid="{00000000-0005-0000-0000-00008D290000}"/>
    <cellStyle name="Comma 3 5 6 5" xfId="10635" xr:uid="{00000000-0005-0000-0000-00008E290000}"/>
    <cellStyle name="Comma 3 5 6 5 2" xfId="10636" xr:uid="{00000000-0005-0000-0000-00008F290000}"/>
    <cellStyle name="Comma 3 5 6 6" xfId="10637" xr:uid="{00000000-0005-0000-0000-000090290000}"/>
    <cellStyle name="Comma 3 5 6 6 2" xfId="10638" xr:uid="{00000000-0005-0000-0000-000091290000}"/>
    <cellStyle name="Comma 3 5 6 7" xfId="10639" xr:uid="{00000000-0005-0000-0000-000092290000}"/>
    <cellStyle name="Comma 3 5 7" xfId="10640" xr:uid="{00000000-0005-0000-0000-000093290000}"/>
    <cellStyle name="Comma 3 5 7 2" xfId="10641" xr:uid="{00000000-0005-0000-0000-000094290000}"/>
    <cellStyle name="Comma 3 5 7 2 2" xfId="10642" xr:uid="{00000000-0005-0000-0000-000095290000}"/>
    <cellStyle name="Comma 3 5 7 2 2 2" xfId="10643" xr:uid="{00000000-0005-0000-0000-000096290000}"/>
    <cellStyle name="Comma 3 5 7 2 2 2 2" xfId="10644" xr:uid="{00000000-0005-0000-0000-000097290000}"/>
    <cellStyle name="Comma 3 5 7 2 2 3" xfId="10645" xr:uid="{00000000-0005-0000-0000-000098290000}"/>
    <cellStyle name="Comma 3 5 7 2 3" xfId="10646" xr:uid="{00000000-0005-0000-0000-000099290000}"/>
    <cellStyle name="Comma 3 5 7 2 3 2" xfId="10647" xr:uid="{00000000-0005-0000-0000-00009A290000}"/>
    <cellStyle name="Comma 3 5 7 2 4" xfId="10648" xr:uid="{00000000-0005-0000-0000-00009B290000}"/>
    <cellStyle name="Comma 3 5 7 2 4 2" xfId="10649" xr:uid="{00000000-0005-0000-0000-00009C290000}"/>
    <cellStyle name="Comma 3 5 7 2 5" xfId="10650" xr:uid="{00000000-0005-0000-0000-00009D290000}"/>
    <cellStyle name="Comma 3 5 7 3" xfId="10651" xr:uid="{00000000-0005-0000-0000-00009E290000}"/>
    <cellStyle name="Comma 3 5 7 3 2" xfId="10652" xr:uid="{00000000-0005-0000-0000-00009F290000}"/>
    <cellStyle name="Comma 3 5 7 3 2 2" xfId="10653" xr:uid="{00000000-0005-0000-0000-0000A0290000}"/>
    <cellStyle name="Comma 3 5 7 3 3" xfId="10654" xr:uid="{00000000-0005-0000-0000-0000A1290000}"/>
    <cellStyle name="Comma 3 5 7 4" xfId="10655" xr:uid="{00000000-0005-0000-0000-0000A2290000}"/>
    <cellStyle name="Comma 3 5 7 4 2" xfId="10656" xr:uid="{00000000-0005-0000-0000-0000A3290000}"/>
    <cellStyle name="Comma 3 5 7 5" xfId="10657" xr:uid="{00000000-0005-0000-0000-0000A4290000}"/>
    <cellStyle name="Comma 3 5 7 5 2" xfId="10658" xr:uid="{00000000-0005-0000-0000-0000A5290000}"/>
    <cellStyle name="Comma 3 5 7 6" xfId="10659" xr:uid="{00000000-0005-0000-0000-0000A6290000}"/>
    <cellStyle name="Comma 3 5 8" xfId="10660" xr:uid="{00000000-0005-0000-0000-0000A7290000}"/>
    <cellStyle name="Comma 3 5 8 2" xfId="10661" xr:uid="{00000000-0005-0000-0000-0000A8290000}"/>
    <cellStyle name="Comma 3 5 8 2 2" xfId="10662" xr:uid="{00000000-0005-0000-0000-0000A9290000}"/>
    <cellStyle name="Comma 3 5 8 2 2 2" xfId="10663" xr:uid="{00000000-0005-0000-0000-0000AA290000}"/>
    <cellStyle name="Comma 3 5 8 2 3" xfId="10664" xr:uid="{00000000-0005-0000-0000-0000AB290000}"/>
    <cellStyle name="Comma 3 5 8 3" xfId="10665" xr:uid="{00000000-0005-0000-0000-0000AC290000}"/>
    <cellStyle name="Comma 3 5 8 3 2" xfId="10666" xr:uid="{00000000-0005-0000-0000-0000AD290000}"/>
    <cellStyle name="Comma 3 5 8 4" xfId="10667" xr:uid="{00000000-0005-0000-0000-0000AE290000}"/>
    <cellStyle name="Comma 3 5 8 4 2" xfId="10668" xr:uid="{00000000-0005-0000-0000-0000AF290000}"/>
    <cellStyle name="Comma 3 5 8 5" xfId="10669" xr:uid="{00000000-0005-0000-0000-0000B0290000}"/>
    <cellStyle name="Comma 3 5 9" xfId="10670" xr:uid="{00000000-0005-0000-0000-0000B1290000}"/>
    <cellStyle name="Comma 3 5 9 2" xfId="10671" xr:uid="{00000000-0005-0000-0000-0000B2290000}"/>
    <cellStyle name="Comma 3 5 9 2 2" xfId="10672" xr:uid="{00000000-0005-0000-0000-0000B3290000}"/>
    <cellStyle name="Comma 3 5 9 3" xfId="10673" xr:uid="{00000000-0005-0000-0000-0000B4290000}"/>
    <cellStyle name="Comma 3 6" xfId="10674" xr:uid="{00000000-0005-0000-0000-0000B5290000}"/>
    <cellStyle name="Comma 3 6 10" xfId="10675" xr:uid="{00000000-0005-0000-0000-0000B6290000}"/>
    <cellStyle name="Comma 3 6 10 2" xfId="10676" xr:uid="{00000000-0005-0000-0000-0000B7290000}"/>
    <cellStyle name="Comma 3 6 11" xfId="10677" xr:uid="{00000000-0005-0000-0000-0000B8290000}"/>
    <cellStyle name="Comma 3 6 11 2" xfId="10678" xr:uid="{00000000-0005-0000-0000-0000B9290000}"/>
    <cellStyle name="Comma 3 6 12" xfId="10679" xr:uid="{00000000-0005-0000-0000-0000BA290000}"/>
    <cellStyle name="Comma 3 6 2" xfId="10680" xr:uid="{00000000-0005-0000-0000-0000BB290000}"/>
    <cellStyle name="Comma 3 6 2 2" xfId="10681" xr:uid="{00000000-0005-0000-0000-0000BC290000}"/>
    <cellStyle name="Comma 3 6 2 2 2" xfId="10682" xr:uid="{00000000-0005-0000-0000-0000BD290000}"/>
    <cellStyle name="Comma 3 6 2 2 2 2" xfId="10683" xr:uid="{00000000-0005-0000-0000-0000BE290000}"/>
    <cellStyle name="Comma 3 6 2 2 2 2 2" xfId="10684" xr:uid="{00000000-0005-0000-0000-0000BF290000}"/>
    <cellStyle name="Comma 3 6 2 2 2 2 2 2" xfId="10685" xr:uid="{00000000-0005-0000-0000-0000C0290000}"/>
    <cellStyle name="Comma 3 6 2 2 2 2 2 2 2" xfId="10686" xr:uid="{00000000-0005-0000-0000-0000C1290000}"/>
    <cellStyle name="Comma 3 6 2 2 2 2 2 3" xfId="10687" xr:uid="{00000000-0005-0000-0000-0000C2290000}"/>
    <cellStyle name="Comma 3 6 2 2 2 2 3" xfId="10688" xr:uid="{00000000-0005-0000-0000-0000C3290000}"/>
    <cellStyle name="Comma 3 6 2 2 2 2 3 2" xfId="10689" xr:uid="{00000000-0005-0000-0000-0000C4290000}"/>
    <cellStyle name="Comma 3 6 2 2 2 2 4" xfId="10690" xr:uid="{00000000-0005-0000-0000-0000C5290000}"/>
    <cellStyle name="Comma 3 6 2 2 2 2 4 2" xfId="10691" xr:uid="{00000000-0005-0000-0000-0000C6290000}"/>
    <cellStyle name="Comma 3 6 2 2 2 2 5" xfId="10692" xr:uid="{00000000-0005-0000-0000-0000C7290000}"/>
    <cellStyle name="Comma 3 6 2 2 2 3" xfId="10693" xr:uid="{00000000-0005-0000-0000-0000C8290000}"/>
    <cellStyle name="Comma 3 6 2 2 2 3 2" xfId="10694" xr:uid="{00000000-0005-0000-0000-0000C9290000}"/>
    <cellStyle name="Comma 3 6 2 2 2 3 2 2" xfId="10695" xr:uid="{00000000-0005-0000-0000-0000CA290000}"/>
    <cellStyle name="Comma 3 6 2 2 2 3 3" xfId="10696" xr:uid="{00000000-0005-0000-0000-0000CB290000}"/>
    <cellStyle name="Comma 3 6 2 2 2 4" xfId="10697" xr:uid="{00000000-0005-0000-0000-0000CC290000}"/>
    <cellStyle name="Comma 3 6 2 2 2 4 2" xfId="10698" xr:uid="{00000000-0005-0000-0000-0000CD290000}"/>
    <cellStyle name="Comma 3 6 2 2 2 5" xfId="10699" xr:uid="{00000000-0005-0000-0000-0000CE290000}"/>
    <cellStyle name="Comma 3 6 2 2 2 5 2" xfId="10700" xr:uid="{00000000-0005-0000-0000-0000CF290000}"/>
    <cellStyle name="Comma 3 6 2 2 2 6" xfId="10701" xr:uid="{00000000-0005-0000-0000-0000D0290000}"/>
    <cellStyle name="Comma 3 6 2 2 3" xfId="10702" xr:uid="{00000000-0005-0000-0000-0000D1290000}"/>
    <cellStyle name="Comma 3 6 2 2 3 2" xfId="10703" xr:uid="{00000000-0005-0000-0000-0000D2290000}"/>
    <cellStyle name="Comma 3 6 2 2 3 2 2" xfId="10704" xr:uid="{00000000-0005-0000-0000-0000D3290000}"/>
    <cellStyle name="Comma 3 6 2 2 3 2 2 2" xfId="10705" xr:uid="{00000000-0005-0000-0000-0000D4290000}"/>
    <cellStyle name="Comma 3 6 2 2 3 2 3" xfId="10706" xr:uid="{00000000-0005-0000-0000-0000D5290000}"/>
    <cellStyle name="Comma 3 6 2 2 3 3" xfId="10707" xr:uid="{00000000-0005-0000-0000-0000D6290000}"/>
    <cellStyle name="Comma 3 6 2 2 3 3 2" xfId="10708" xr:uid="{00000000-0005-0000-0000-0000D7290000}"/>
    <cellStyle name="Comma 3 6 2 2 3 4" xfId="10709" xr:uid="{00000000-0005-0000-0000-0000D8290000}"/>
    <cellStyle name="Comma 3 6 2 2 3 4 2" xfId="10710" xr:uid="{00000000-0005-0000-0000-0000D9290000}"/>
    <cellStyle name="Comma 3 6 2 2 3 5" xfId="10711" xr:uid="{00000000-0005-0000-0000-0000DA290000}"/>
    <cellStyle name="Comma 3 6 2 2 4" xfId="10712" xr:uid="{00000000-0005-0000-0000-0000DB290000}"/>
    <cellStyle name="Comma 3 6 2 2 4 2" xfId="10713" xr:uid="{00000000-0005-0000-0000-0000DC290000}"/>
    <cellStyle name="Comma 3 6 2 2 4 2 2" xfId="10714" xr:uid="{00000000-0005-0000-0000-0000DD290000}"/>
    <cellStyle name="Comma 3 6 2 2 4 3" xfId="10715" xr:uid="{00000000-0005-0000-0000-0000DE290000}"/>
    <cellStyle name="Comma 3 6 2 2 5" xfId="10716" xr:uid="{00000000-0005-0000-0000-0000DF290000}"/>
    <cellStyle name="Comma 3 6 2 2 5 2" xfId="10717" xr:uid="{00000000-0005-0000-0000-0000E0290000}"/>
    <cellStyle name="Comma 3 6 2 2 6" xfId="10718" xr:uid="{00000000-0005-0000-0000-0000E1290000}"/>
    <cellStyle name="Comma 3 6 2 2 6 2" xfId="10719" xr:uid="{00000000-0005-0000-0000-0000E2290000}"/>
    <cellStyle name="Comma 3 6 2 2 7" xfId="10720" xr:uid="{00000000-0005-0000-0000-0000E3290000}"/>
    <cellStyle name="Comma 3 6 2 3" xfId="10721" xr:uid="{00000000-0005-0000-0000-0000E4290000}"/>
    <cellStyle name="Comma 3 6 2 3 2" xfId="10722" xr:uid="{00000000-0005-0000-0000-0000E5290000}"/>
    <cellStyle name="Comma 3 6 2 3 2 2" xfId="10723" xr:uid="{00000000-0005-0000-0000-0000E6290000}"/>
    <cellStyle name="Comma 3 6 2 3 2 2 2" xfId="10724" xr:uid="{00000000-0005-0000-0000-0000E7290000}"/>
    <cellStyle name="Comma 3 6 2 3 2 2 2 2" xfId="10725" xr:uid="{00000000-0005-0000-0000-0000E8290000}"/>
    <cellStyle name="Comma 3 6 2 3 2 2 2 2 2" xfId="10726" xr:uid="{00000000-0005-0000-0000-0000E9290000}"/>
    <cellStyle name="Comma 3 6 2 3 2 2 2 3" xfId="10727" xr:uid="{00000000-0005-0000-0000-0000EA290000}"/>
    <cellStyle name="Comma 3 6 2 3 2 2 3" xfId="10728" xr:uid="{00000000-0005-0000-0000-0000EB290000}"/>
    <cellStyle name="Comma 3 6 2 3 2 2 3 2" xfId="10729" xr:uid="{00000000-0005-0000-0000-0000EC290000}"/>
    <cellStyle name="Comma 3 6 2 3 2 2 4" xfId="10730" xr:uid="{00000000-0005-0000-0000-0000ED290000}"/>
    <cellStyle name="Comma 3 6 2 3 2 2 4 2" xfId="10731" xr:uid="{00000000-0005-0000-0000-0000EE290000}"/>
    <cellStyle name="Comma 3 6 2 3 2 2 5" xfId="10732" xr:uid="{00000000-0005-0000-0000-0000EF290000}"/>
    <cellStyle name="Comma 3 6 2 3 2 3" xfId="10733" xr:uid="{00000000-0005-0000-0000-0000F0290000}"/>
    <cellStyle name="Comma 3 6 2 3 2 3 2" xfId="10734" xr:uid="{00000000-0005-0000-0000-0000F1290000}"/>
    <cellStyle name="Comma 3 6 2 3 2 3 2 2" xfId="10735" xr:uid="{00000000-0005-0000-0000-0000F2290000}"/>
    <cellStyle name="Comma 3 6 2 3 2 3 3" xfId="10736" xr:uid="{00000000-0005-0000-0000-0000F3290000}"/>
    <cellStyle name="Comma 3 6 2 3 2 4" xfId="10737" xr:uid="{00000000-0005-0000-0000-0000F4290000}"/>
    <cellStyle name="Comma 3 6 2 3 2 4 2" xfId="10738" xr:uid="{00000000-0005-0000-0000-0000F5290000}"/>
    <cellStyle name="Comma 3 6 2 3 2 5" xfId="10739" xr:uid="{00000000-0005-0000-0000-0000F6290000}"/>
    <cellStyle name="Comma 3 6 2 3 2 5 2" xfId="10740" xr:uid="{00000000-0005-0000-0000-0000F7290000}"/>
    <cellStyle name="Comma 3 6 2 3 2 6" xfId="10741" xr:uid="{00000000-0005-0000-0000-0000F8290000}"/>
    <cellStyle name="Comma 3 6 2 3 3" xfId="10742" xr:uid="{00000000-0005-0000-0000-0000F9290000}"/>
    <cellStyle name="Comma 3 6 2 3 3 2" xfId="10743" xr:uid="{00000000-0005-0000-0000-0000FA290000}"/>
    <cellStyle name="Comma 3 6 2 3 3 2 2" xfId="10744" xr:uid="{00000000-0005-0000-0000-0000FB290000}"/>
    <cellStyle name="Comma 3 6 2 3 3 2 2 2" xfId="10745" xr:uid="{00000000-0005-0000-0000-0000FC290000}"/>
    <cellStyle name="Comma 3 6 2 3 3 2 3" xfId="10746" xr:uid="{00000000-0005-0000-0000-0000FD290000}"/>
    <cellStyle name="Comma 3 6 2 3 3 3" xfId="10747" xr:uid="{00000000-0005-0000-0000-0000FE290000}"/>
    <cellStyle name="Comma 3 6 2 3 3 3 2" xfId="10748" xr:uid="{00000000-0005-0000-0000-0000FF290000}"/>
    <cellStyle name="Comma 3 6 2 3 3 4" xfId="10749" xr:uid="{00000000-0005-0000-0000-0000002A0000}"/>
    <cellStyle name="Comma 3 6 2 3 3 4 2" xfId="10750" xr:uid="{00000000-0005-0000-0000-0000012A0000}"/>
    <cellStyle name="Comma 3 6 2 3 3 5" xfId="10751" xr:uid="{00000000-0005-0000-0000-0000022A0000}"/>
    <cellStyle name="Comma 3 6 2 3 4" xfId="10752" xr:uid="{00000000-0005-0000-0000-0000032A0000}"/>
    <cellStyle name="Comma 3 6 2 3 4 2" xfId="10753" xr:uid="{00000000-0005-0000-0000-0000042A0000}"/>
    <cellStyle name="Comma 3 6 2 3 4 2 2" xfId="10754" xr:uid="{00000000-0005-0000-0000-0000052A0000}"/>
    <cellStyle name="Comma 3 6 2 3 4 3" xfId="10755" xr:uid="{00000000-0005-0000-0000-0000062A0000}"/>
    <cellStyle name="Comma 3 6 2 3 5" xfId="10756" xr:uid="{00000000-0005-0000-0000-0000072A0000}"/>
    <cellStyle name="Comma 3 6 2 3 5 2" xfId="10757" xr:uid="{00000000-0005-0000-0000-0000082A0000}"/>
    <cellStyle name="Comma 3 6 2 3 6" xfId="10758" xr:uid="{00000000-0005-0000-0000-0000092A0000}"/>
    <cellStyle name="Comma 3 6 2 3 6 2" xfId="10759" xr:uid="{00000000-0005-0000-0000-00000A2A0000}"/>
    <cellStyle name="Comma 3 6 2 3 7" xfId="10760" xr:uid="{00000000-0005-0000-0000-00000B2A0000}"/>
    <cellStyle name="Comma 3 6 2 4" xfId="10761" xr:uid="{00000000-0005-0000-0000-00000C2A0000}"/>
    <cellStyle name="Comma 3 6 2 4 2" xfId="10762" xr:uid="{00000000-0005-0000-0000-00000D2A0000}"/>
    <cellStyle name="Comma 3 6 2 4 2 2" xfId="10763" xr:uid="{00000000-0005-0000-0000-00000E2A0000}"/>
    <cellStyle name="Comma 3 6 2 4 2 2 2" xfId="10764" xr:uid="{00000000-0005-0000-0000-00000F2A0000}"/>
    <cellStyle name="Comma 3 6 2 4 2 2 2 2" xfId="10765" xr:uid="{00000000-0005-0000-0000-0000102A0000}"/>
    <cellStyle name="Comma 3 6 2 4 2 2 3" xfId="10766" xr:uid="{00000000-0005-0000-0000-0000112A0000}"/>
    <cellStyle name="Comma 3 6 2 4 2 3" xfId="10767" xr:uid="{00000000-0005-0000-0000-0000122A0000}"/>
    <cellStyle name="Comma 3 6 2 4 2 3 2" xfId="10768" xr:uid="{00000000-0005-0000-0000-0000132A0000}"/>
    <cellStyle name="Comma 3 6 2 4 2 4" xfId="10769" xr:uid="{00000000-0005-0000-0000-0000142A0000}"/>
    <cellStyle name="Comma 3 6 2 4 2 4 2" xfId="10770" xr:uid="{00000000-0005-0000-0000-0000152A0000}"/>
    <cellStyle name="Comma 3 6 2 4 2 5" xfId="10771" xr:uid="{00000000-0005-0000-0000-0000162A0000}"/>
    <cellStyle name="Comma 3 6 2 4 3" xfId="10772" xr:uid="{00000000-0005-0000-0000-0000172A0000}"/>
    <cellStyle name="Comma 3 6 2 4 3 2" xfId="10773" xr:uid="{00000000-0005-0000-0000-0000182A0000}"/>
    <cellStyle name="Comma 3 6 2 4 3 2 2" xfId="10774" xr:uid="{00000000-0005-0000-0000-0000192A0000}"/>
    <cellStyle name="Comma 3 6 2 4 3 3" xfId="10775" xr:uid="{00000000-0005-0000-0000-00001A2A0000}"/>
    <cellStyle name="Comma 3 6 2 4 4" xfId="10776" xr:uid="{00000000-0005-0000-0000-00001B2A0000}"/>
    <cellStyle name="Comma 3 6 2 4 4 2" xfId="10777" xr:uid="{00000000-0005-0000-0000-00001C2A0000}"/>
    <cellStyle name="Comma 3 6 2 4 5" xfId="10778" xr:uid="{00000000-0005-0000-0000-00001D2A0000}"/>
    <cellStyle name="Comma 3 6 2 4 5 2" xfId="10779" xr:uid="{00000000-0005-0000-0000-00001E2A0000}"/>
    <cellStyle name="Comma 3 6 2 4 6" xfId="10780" xr:uid="{00000000-0005-0000-0000-00001F2A0000}"/>
    <cellStyle name="Comma 3 6 2 5" xfId="10781" xr:uid="{00000000-0005-0000-0000-0000202A0000}"/>
    <cellStyle name="Comma 3 6 2 5 2" xfId="10782" xr:uid="{00000000-0005-0000-0000-0000212A0000}"/>
    <cellStyle name="Comma 3 6 2 5 2 2" xfId="10783" xr:uid="{00000000-0005-0000-0000-0000222A0000}"/>
    <cellStyle name="Comma 3 6 2 5 2 2 2" xfId="10784" xr:uid="{00000000-0005-0000-0000-0000232A0000}"/>
    <cellStyle name="Comma 3 6 2 5 2 3" xfId="10785" xr:uid="{00000000-0005-0000-0000-0000242A0000}"/>
    <cellStyle name="Comma 3 6 2 5 3" xfId="10786" xr:uid="{00000000-0005-0000-0000-0000252A0000}"/>
    <cellStyle name="Comma 3 6 2 5 3 2" xfId="10787" xr:uid="{00000000-0005-0000-0000-0000262A0000}"/>
    <cellStyle name="Comma 3 6 2 5 4" xfId="10788" xr:uid="{00000000-0005-0000-0000-0000272A0000}"/>
    <cellStyle name="Comma 3 6 2 5 4 2" xfId="10789" xr:uid="{00000000-0005-0000-0000-0000282A0000}"/>
    <cellStyle name="Comma 3 6 2 5 5" xfId="10790" xr:uid="{00000000-0005-0000-0000-0000292A0000}"/>
    <cellStyle name="Comma 3 6 2 6" xfId="10791" xr:uid="{00000000-0005-0000-0000-00002A2A0000}"/>
    <cellStyle name="Comma 3 6 2 6 2" xfId="10792" xr:uid="{00000000-0005-0000-0000-00002B2A0000}"/>
    <cellStyle name="Comma 3 6 2 6 2 2" xfId="10793" xr:uid="{00000000-0005-0000-0000-00002C2A0000}"/>
    <cellStyle name="Comma 3 6 2 6 3" xfId="10794" xr:uid="{00000000-0005-0000-0000-00002D2A0000}"/>
    <cellStyle name="Comma 3 6 2 7" xfId="10795" xr:uid="{00000000-0005-0000-0000-00002E2A0000}"/>
    <cellStyle name="Comma 3 6 2 7 2" xfId="10796" xr:uid="{00000000-0005-0000-0000-00002F2A0000}"/>
    <cellStyle name="Comma 3 6 2 8" xfId="10797" xr:uid="{00000000-0005-0000-0000-0000302A0000}"/>
    <cellStyle name="Comma 3 6 2 8 2" xfId="10798" xr:uid="{00000000-0005-0000-0000-0000312A0000}"/>
    <cellStyle name="Comma 3 6 2 9" xfId="10799" xr:uid="{00000000-0005-0000-0000-0000322A0000}"/>
    <cellStyle name="Comma 3 6 3" xfId="10800" xr:uid="{00000000-0005-0000-0000-0000332A0000}"/>
    <cellStyle name="Comma 3 6 3 2" xfId="10801" xr:uid="{00000000-0005-0000-0000-0000342A0000}"/>
    <cellStyle name="Comma 3 6 3 2 2" xfId="10802" xr:uid="{00000000-0005-0000-0000-0000352A0000}"/>
    <cellStyle name="Comma 3 6 3 2 2 2" xfId="10803" xr:uid="{00000000-0005-0000-0000-0000362A0000}"/>
    <cellStyle name="Comma 3 6 3 2 2 2 2" xfId="10804" xr:uid="{00000000-0005-0000-0000-0000372A0000}"/>
    <cellStyle name="Comma 3 6 3 2 2 2 2 2" xfId="10805" xr:uid="{00000000-0005-0000-0000-0000382A0000}"/>
    <cellStyle name="Comma 3 6 3 2 2 2 2 2 2" xfId="10806" xr:uid="{00000000-0005-0000-0000-0000392A0000}"/>
    <cellStyle name="Comma 3 6 3 2 2 2 2 3" xfId="10807" xr:uid="{00000000-0005-0000-0000-00003A2A0000}"/>
    <cellStyle name="Comma 3 6 3 2 2 2 3" xfId="10808" xr:uid="{00000000-0005-0000-0000-00003B2A0000}"/>
    <cellStyle name="Comma 3 6 3 2 2 2 3 2" xfId="10809" xr:uid="{00000000-0005-0000-0000-00003C2A0000}"/>
    <cellStyle name="Comma 3 6 3 2 2 2 4" xfId="10810" xr:uid="{00000000-0005-0000-0000-00003D2A0000}"/>
    <cellStyle name="Comma 3 6 3 2 2 2 4 2" xfId="10811" xr:uid="{00000000-0005-0000-0000-00003E2A0000}"/>
    <cellStyle name="Comma 3 6 3 2 2 2 5" xfId="10812" xr:uid="{00000000-0005-0000-0000-00003F2A0000}"/>
    <cellStyle name="Comma 3 6 3 2 2 3" xfId="10813" xr:uid="{00000000-0005-0000-0000-0000402A0000}"/>
    <cellStyle name="Comma 3 6 3 2 2 3 2" xfId="10814" xr:uid="{00000000-0005-0000-0000-0000412A0000}"/>
    <cellStyle name="Comma 3 6 3 2 2 3 2 2" xfId="10815" xr:uid="{00000000-0005-0000-0000-0000422A0000}"/>
    <cellStyle name="Comma 3 6 3 2 2 3 3" xfId="10816" xr:uid="{00000000-0005-0000-0000-0000432A0000}"/>
    <cellStyle name="Comma 3 6 3 2 2 4" xfId="10817" xr:uid="{00000000-0005-0000-0000-0000442A0000}"/>
    <cellStyle name="Comma 3 6 3 2 2 4 2" xfId="10818" xr:uid="{00000000-0005-0000-0000-0000452A0000}"/>
    <cellStyle name="Comma 3 6 3 2 2 5" xfId="10819" xr:uid="{00000000-0005-0000-0000-0000462A0000}"/>
    <cellStyle name="Comma 3 6 3 2 2 5 2" xfId="10820" xr:uid="{00000000-0005-0000-0000-0000472A0000}"/>
    <cellStyle name="Comma 3 6 3 2 2 6" xfId="10821" xr:uid="{00000000-0005-0000-0000-0000482A0000}"/>
    <cellStyle name="Comma 3 6 3 2 3" xfId="10822" xr:uid="{00000000-0005-0000-0000-0000492A0000}"/>
    <cellStyle name="Comma 3 6 3 2 3 2" xfId="10823" xr:uid="{00000000-0005-0000-0000-00004A2A0000}"/>
    <cellStyle name="Comma 3 6 3 2 3 2 2" xfId="10824" xr:uid="{00000000-0005-0000-0000-00004B2A0000}"/>
    <cellStyle name="Comma 3 6 3 2 3 2 2 2" xfId="10825" xr:uid="{00000000-0005-0000-0000-00004C2A0000}"/>
    <cellStyle name="Comma 3 6 3 2 3 2 3" xfId="10826" xr:uid="{00000000-0005-0000-0000-00004D2A0000}"/>
    <cellStyle name="Comma 3 6 3 2 3 3" xfId="10827" xr:uid="{00000000-0005-0000-0000-00004E2A0000}"/>
    <cellStyle name="Comma 3 6 3 2 3 3 2" xfId="10828" xr:uid="{00000000-0005-0000-0000-00004F2A0000}"/>
    <cellStyle name="Comma 3 6 3 2 3 4" xfId="10829" xr:uid="{00000000-0005-0000-0000-0000502A0000}"/>
    <cellStyle name="Comma 3 6 3 2 3 4 2" xfId="10830" xr:uid="{00000000-0005-0000-0000-0000512A0000}"/>
    <cellStyle name="Comma 3 6 3 2 3 5" xfId="10831" xr:uid="{00000000-0005-0000-0000-0000522A0000}"/>
    <cellStyle name="Comma 3 6 3 2 4" xfId="10832" xr:uid="{00000000-0005-0000-0000-0000532A0000}"/>
    <cellStyle name="Comma 3 6 3 2 4 2" xfId="10833" xr:uid="{00000000-0005-0000-0000-0000542A0000}"/>
    <cellStyle name="Comma 3 6 3 2 4 2 2" xfId="10834" xr:uid="{00000000-0005-0000-0000-0000552A0000}"/>
    <cellStyle name="Comma 3 6 3 2 4 3" xfId="10835" xr:uid="{00000000-0005-0000-0000-0000562A0000}"/>
    <cellStyle name="Comma 3 6 3 2 5" xfId="10836" xr:uid="{00000000-0005-0000-0000-0000572A0000}"/>
    <cellStyle name="Comma 3 6 3 2 5 2" xfId="10837" xr:uid="{00000000-0005-0000-0000-0000582A0000}"/>
    <cellStyle name="Comma 3 6 3 2 6" xfId="10838" xr:uid="{00000000-0005-0000-0000-0000592A0000}"/>
    <cellStyle name="Comma 3 6 3 2 6 2" xfId="10839" xr:uid="{00000000-0005-0000-0000-00005A2A0000}"/>
    <cellStyle name="Comma 3 6 3 2 7" xfId="10840" xr:uid="{00000000-0005-0000-0000-00005B2A0000}"/>
    <cellStyle name="Comma 3 6 3 3" xfId="10841" xr:uid="{00000000-0005-0000-0000-00005C2A0000}"/>
    <cellStyle name="Comma 3 6 3 3 2" xfId="10842" xr:uid="{00000000-0005-0000-0000-00005D2A0000}"/>
    <cellStyle name="Comma 3 6 3 3 2 2" xfId="10843" xr:uid="{00000000-0005-0000-0000-00005E2A0000}"/>
    <cellStyle name="Comma 3 6 3 3 2 2 2" xfId="10844" xr:uid="{00000000-0005-0000-0000-00005F2A0000}"/>
    <cellStyle name="Comma 3 6 3 3 2 2 2 2" xfId="10845" xr:uid="{00000000-0005-0000-0000-0000602A0000}"/>
    <cellStyle name="Comma 3 6 3 3 2 2 2 2 2" xfId="10846" xr:uid="{00000000-0005-0000-0000-0000612A0000}"/>
    <cellStyle name="Comma 3 6 3 3 2 2 2 3" xfId="10847" xr:uid="{00000000-0005-0000-0000-0000622A0000}"/>
    <cellStyle name="Comma 3 6 3 3 2 2 3" xfId="10848" xr:uid="{00000000-0005-0000-0000-0000632A0000}"/>
    <cellStyle name="Comma 3 6 3 3 2 2 3 2" xfId="10849" xr:uid="{00000000-0005-0000-0000-0000642A0000}"/>
    <cellStyle name="Comma 3 6 3 3 2 2 4" xfId="10850" xr:uid="{00000000-0005-0000-0000-0000652A0000}"/>
    <cellStyle name="Comma 3 6 3 3 2 2 4 2" xfId="10851" xr:uid="{00000000-0005-0000-0000-0000662A0000}"/>
    <cellStyle name="Comma 3 6 3 3 2 2 5" xfId="10852" xr:uid="{00000000-0005-0000-0000-0000672A0000}"/>
    <cellStyle name="Comma 3 6 3 3 2 3" xfId="10853" xr:uid="{00000000-0005-0000-0000-0000682A0000}"/>
    <cellStyle name="Comma 3 6 3 3 2 3 2" xfId="10854" xr:uid="{00000000-0005-0000-0000-0000692A0000}"/>
    <cellStyle name="Comma 3 6 3 3 2 3 2 2" xfId="10855" xr:uid="{00000000-0005-0000-0000-00006A2A0000}"/>
    <cellStyle name="Comma 3 6 3 3 2 3 3" xfId="10856" xr:uid="{00000000-0005-0000-0000-00006B2A0000}"/>
    <cellStyle name="Comma 3 6 3 3 2 4" xfId="10857" xr:uid="{00000000-0005-0000-0000-00006C2A0000}"/>
    <cellStyle name="Comma 3 6 3 3 2 4 2" xfId="10858" xr:uid="{00000000-0005-0000-0000-00006D2A0000}"/>
    <cellStyle name="Comma 3 6 3 3 2 5" xfId="10859" xr:uid="{00000000-0005-0000-0000-00006E2A0000}"/>
    <cellStyle name="Comma 3 6 3 3 2 5 2" xfId="10860" xr:uid="{00000000-0005-0000-0000-00006F2A0000}"/>
    <cellStyle name="Comma 3 6 3 3 2 6" xfId="10861" xr:uid="{00000000-0005-0000-0000-0000702A0000}"/>
    <cellStyle name="Comma 3 6 3 3 3" xfId="10862" xr:uid="{00000000-0005-0000-0000-0000712A0000}"/>
    <cellStyle name="Comma 3 6 3 3 3 2" xfId="10863" xr:uid="{00000000-0005-0000-0000-0000722A0000}"/>
    <cellStyle name="Comma 3 6 3 3 3 2 2" xfId="10864" xr:uid="{00000000-0005-0000-0000-0000732A0000}"/>
    <cellStyle name="Comma 3 6 3 3 3 2 2 2" xfId="10865" xr:uid="{00000000-0005-0000-0000-0000742A0000}"/>
    <cellStyle name="Comma 3 6 3 3 3 2 3" xfId="10866" xr:uid="{00000000-0005-0000-0000-0000752A0000}"/>
    <cellStyle name="Comma 3 6 3 3 3 3" xfId="10867" xr:uid="{00000000-0005-0000-0000-0000762A0000}"/>
    <cellStyle name="Comma 3 6 3 3 3 3 2" xfId="10868" xr:uid="{00000000-0005-0000-0000-0000772A0000}"/>
    <cellStyle name="Comma 3 6 3 3 3 4" xfId="10869" xr:uid="{00000000-0005-0000-0000-0000782A0000}"/>
    <cellStyle name="Comma 3 6 3 3 3 4 2" xfId="10870" xr:uid="{00000000-0005-0000-0000-0000792A0000}"/>
    <cellStyle name="Comma 3 6 3 3 3 5" xfId="10871" xr:uid="{00000000-0005-0000-0000-00007A2A0000}"/>
    <cellStyle name="Comma 3 6 3 3 4" xfId="10872" xr:uid="{00000000-0005-0000-0000-00007B2A0000}"/>
    <cellStyle name="Comma 3 6 3 3 4 2" xfId="10873" xr:uid="{00000000-0005-0000-0000-00007C2A0000}"/>
    <cellStyle name="Comma 3 6 3 3 4 2 2" xfId="10874" xr:uid="{00000000-0005-0000-0000-00007D2A0000}"/>
    <cellStyle name="Comma 3 6 3 3 4 3" xfId="10875" xr:uid="{00000000-0005-0000-0000-00007E2A0000}"/>
    <cellStyle name="Comma 3 6 3 3 5" xfId="10876" xr:uid="{00000000-0005-0000-0000-00007F2A0000}"/>
    <cellStyle name="Comma 3 6 3 3 5 2" xfId="10877" xr:uid="{00000000-0005-0000-0000-0000802A0000}"/>
    <cellStyle name="Comma 3 6 3 3 6" xfId="10878" xr:uid="{00000000-0005-0000-0000-0000812A0000}"/>
    <cellStyle name="Comma 3 6 3 3 6 2" xfId="10879" xr:uid="{00000000-0005-0000-0000-0000822A0000}"/>
    <cellStyle name="Comma 3 6 3 3 7" xfId="10880" xr:uid="{00000000-0005-0000-0000-0000832A0000}"/>
    <cellStyle name="Comma 3 6 3 4" xfId="10881" xr:uid="{00000000-0005-0000-0000-0000842A0000}"/>
    <cellStyle name="Comma 3 6 3 4 2" xfId="10882" xr:uid="{00000000-0005-0000-0000-0000852A0000}"/>
    <cellStyle name="Comma 3 6 3 4 2 2" xfId="10883" xr:uid="{00000000-0005-0000-0000-0000862A0000}"/>
    <cellStyle name="Comma 3 6 3 4 2 2 2" xfId="10884" xr:uid="{00000000-0005-0000-0000-0000872A0000}"/>
    <cellStyle name="Comma 3 6 3 4 2 2 2 2" xfId="10885" xr:uid="{00000000-0005-0000-0000-0000882A0000}"/>
    <cellStyle name="Comma 3 6 3 4 2 2 3" xfId="10886" xr:uid="{00000000-0005-0000-0000-0000892A0000}"/>
    <cellStyle name="Comma 3 6 3 4 2 3" xfId="10887" xr:uid="{00000000-0005-0000-0000-00008A2A0000}"/>
    <cellStyle name="Comma 3 6 3 4 2 3 2" xfId="10888" xr:uid="{00000000-0005-0000-0000-00008B2A0000}"/>
    <cellStyle name="Comma 3 6 3 4 2 4" xfId="10889" xr:uid="{00000000-0005-0000-0000-00008C2A0000}"/>
    <cellStyle name="Comma 3 6 3 4 2 4 2" xfId="10890" xr:uid="{00000000-0005-0000-0000-00008D2A0000}"/>
    <cellStyle name="Comma 3 6 3 4 2 5" xfId="10891" xr:uid="{00000000-0005-0000-0000-00008E2A0000}"/>
    <cellStyle name="Comma 3 6 3 4 3" xfId="10892" xr:uid="{00000000-0005-0000-0000-00008F2A0000}"/>
    <cellStyle name="Comma 3 6 3 4 3 2" xfId="10893" xr:uid="{00000000-0005-0000-0000-0000902A0000}"/>
    <cellStyle name="Comma 3 6 3 4 3 2 2" xfId="10894" xr:uid="{00000000-0005-0000-0000-0000912A0000}"/>
    <cellStyle name="Comma 3 6 3 4 3 3" xfId="10895" xr:uid="{00000000-0005-0000-0000-0000922A0000}"/>
    <cellStyle name="Comma 3 6 3 4 4" xfId="10896" xr:uid="{00000000-0005-0000-0000-0000932A0000}"/>
    <cellStyle name="Comma 3 6 3 4 4 2" xfId="10897" xr:uid="{00000000-0005-0000-0000-0000942A0000}"/>
    <cellStyle name="Comma 3 6 3 4 5" xfId="10898" xr:uid="{00000000-0005-0000-0000-0000952A0000}"/>
    <cellStyle name="Comma 3 6 3 4 5 2" xfId="10899" xr:uid="{00000000-0005-0000-0000-0000962A0000}"/>
    <cellStyle name="Comma 3 6 3 4 6" xfId="10900" xr:uid="{00000000-0005-0000-0000-0000972A0000}"/>
    <cellStyle name="Comma 3 6 3 5" xfId="10901" xr:uid="{00000000-0005-0000-0000-0000982A0000}"/>
    <cellStyle name="Comma 3 6 3 5 2" xfId="10902" xr:uid="{00000000-0005-0000-0000-0000992A0000}"/>
    <cellStyle name="Comma 3 6 3 5 2 2" xfId="10903" xr:uid="{00000000-0005-0000-0000-00009A2A0000}"/>
    <cellStyle name="Comma 3 6 3 5 2 2 2" xfId="10904" xr:uid="{00000000-0005-0000-0000-00009B2A0000}"/>
    <cellStyle name="Comma 3 6 3 5 2 3" xfId="10905" xr:uid="{00000000-0005-0000-0000-00009C2A0000}"/>
    <cellStyle name="Comma 3 6 3 5 3" xfId="10906" xr:uid="{00000000-0005-0000-0000-00009D2A0000}"/>
    <cellStyle name="Comma 3 6 3 5 3 2" xfId="10907" xr:uid="{00000000-0005-0000-0000-00009E2A0000}"/>
    <cellStyle name="Comma 3 6 3 5 4" xfId="10908" xr:uid="{00000000-0005-0000-0000-00009F2A0000}"/>
    <cellStyle name="Comma 3 6 3 5 4 2" xfId="10909" xr:uid="{00000000-0005-0000-0000-0000A02A0000}"/>
    <cellStyle name="Comma 3 6 3 5 5" xfId="10910" xr:uid="{00000000-0005-0000-0000-0000A12A0000}"/>
    <cellStyle name="Comma 3 6 3 6" xfId="10911" xr:uid="{00000000-0005-0000-0000-0000A22A0000}"/>
    <cellStyle name="Comma 3 6 3 6 2" xfId="10912" xr:uid="{00000000-0005-0000-0000-0000A32A0000}"/>
    <cellStyle name="Comma 3 6 3 6 2 2" xfId="10913" xr:uid="{00000000-0005-0000-0000-0000A42A0000}"/>
    <cellStyle name="Comma 3 6 3 6 3" xfId="10914" xr:uid="{00000000-0005-0000-0000-0000A52A0000}"/>
    <cellStyle name="Comma 3 6 3 7" xfId="10915" xr:uid="{00000000-0005-0000-0000-0000A62A0000}"/>
    <cellStyle name="Comma 3 6 3 7 2" xfId="10916" xr:uid="{00000000-0005-0000-0000-0000A72A0000}"/>
    <cellStyle name="Comma 3 6 3 8" xfId="10917" xr:uid="{00000000-0005-0000-0000-0000A82A0000}"/>
    <cellStyle name="Comma 3 6 3 8 2" xfId="10918" xr:uid="{00000000-0005-0000-0000-0000A92A0000}"/>
    <cellStyle name="Comma 3 6 3 9" xfId="10919" xr:uid="{00000000-0005-0000-0000-0000AA2A0000}"/>
    <cellStyle name="Comma 3 6 4" xfId="10920" xr:uid="{00000000-0005-0000-0000-0000AB2A0000}"/>
    <cellStyle name="Comma 3 6 4 2" xfId="10921" xr:uid="{00000000-0005-0000-0000-0000AC2A0000}"/>
    <cellStyle name="Comma 3 6 4 2 2" xfId="10922" xr:uid="{00000000-0005-0000-0000-0000AD2A0000}"/>
    <cellStyle name="Comma 3 6 4 2 2 2" xfId="10923" xr:uid="{00000000-0005-0000-0000-0000AE2A0000}"/>
    <cellStyle name="Comma 3 6 4 2 2 2 2" xfId="10924" xr:uid="{00000000-0005-0000-0000-0000AF2A0000}"/>
    <cellStyle name="Comma 3 6 4 2 2 2 2 2" xfId="10925" xr:uid="{00000000-0005-0000-0000-0000B02A0000}"/>
    <cellStyle name="Comma 3 6 4 2 2 2 2 2 2" xfId="10926" xr:uid="{00000000-0005-0000-0000-0000B12A0000}"/>
    <cellStyle name="Comma 3 6 4 2 2 2 2 3" xfId="10927" xr:uid="{00000000-0005-0000-0000-0000B22A0000}"/>
    <cellStyle name="Comma 3 6 4 2 2 2 3" xfId="10928" xr:uid="{00000000-0005-0000-0000-0000B32A0000}"/>
    <cellStyle name="Comma 3 6 4 2 2 2 3 2" xfId="10929" xr:uid="{00000000-0005-0000-0000-0000B42A0000}"/>
    <cellStyle name="Comma 3 6 4 2 2 2 4" xfId="10930" xr:uid="{00000000-0005-0000-0000-0000B52A0000}"/>
    <cellStyle name="Comma 3 6 4 2 2 2 4 2" xfId="10931" xr:uid="{00000000-0005-0000-0000-0000B62A0000}"/>
    <cellStyle name="Comma 3 6 4 2 2 2 5" xfId="10932" xr:uid="{00000000-0005-0000-0000-0000B72A0000}"/>
    <cellStyle name="Comma 3 6 4 2 2 3" xfId="10933" xr:uid="{00000000-0005-0000-0000-0000B82A0000}"/>
    <cellStyle name="Comma 3 6 4 2 2 3 2" xfId="10934" xr:uid="{00000000-0005-0000-0000-0000B92A0000}"/>
    <cellStyle name="Comma 3 6 4 2 2 3 2 2" xfId="10935" xr:uid="{00000000-0005-0000-0000-0000BA2A0000}"/>
    <cellStyle name="Comma 3 6 4 2 2 3 3" xfId="10936" xr:uid="{00000000-0005-0000-0000-0000BB2A0000}"/>
    <cellStyle name="Comma 3 6 4 2 2 4" xfId="10937" xr:uid="{00000000-0005-0000-0000-0000BC2A0000}"/>
    <cellStyle name="Comma 3 6 4 2 2 4 2" xfId="10938" xr:uid="{00000000-0005-0000-0000-0000BD2A0000}"/>
    <cellStyle name="Comma 3 6 4 2 2 5" xfId="10939" xr:uid="{00000000-0005-0000-0000-0000BE2A0000}"/>
    <cellStyle name="Comma 3 6 4 2 2 5 2" xfId="10940" xr:uid="{00000000-0005-0000-0000-0000BF2A0000}"/>
    <cellStyle name="Comma 3 6 4 2 2 6" xfId="10941" xr:uid="{00000000-0005-0000-0000-0000C02A0000}"/>
    <cellStyle name="Comma 3 6 4 2 3" xfId="10942" xr:uid="{00000000-0005-0000-0000-0000C12A0000}"/>
    <cellStyle name="Comma 3 6 4 2 3 2" xfId="10943" xr:uid="{00000000-0005-0000-0000-0000C22A0000}"/>
    <cellStyle name="Comma 3 6 4 2 3 2 2" xfId="10944" xr:uid="{00000000-0005-0000-0000-0000C32A0000}"/>
    <cellStyle name="Comma 3 6 4 2 3 2 2 2" xfId="10945" xr:uid="{00000000-0005-0000-0000-0000C42A0000}"/>
    <cellStyle name="Comma 3 6 4 2 3 2 3" xfId="10946" xr:uid="{00000000-0005-0000-0000-0000C52A0000}"/>
    <cellStyle name="Comma 3 6 4 2 3 3" xfId="10947" xr:uid="{00000000-0005-0000-0000-0000C62A0000}"/>
    <cellStyle name="Comma 3 6 4 2 3 3 2" xfId="10948" xr:uid="{00000000-0005-0000-0000-0000C72A0000}"/>
    <cellStyle name="Comma 3 6 4 2 3 4" xfId="10949" xr:uid="{00000000-0005-0000-0000-0000C82A0000}"/>
    <cellStyle name="Comma 3 6 4 2 3 4 2" xfId="10950" xr:uid="{00000000-0005-0000-0000-0000C92A0000}"/>
    <cellStyle name="Comma 3 6 4 2 3 5" xfId="10951" xr:uid="{00000000-0005-0000-0000-0000CA2A0000}"/>
    <cellStyle name="Comma 3 6 4 2 4" xfId="10952" xr:uid="{00000000-0005-0000-0000-0000CB2A0000}"/>
    <cellStyle name="Comma 3 6 4 2 4 2" xfId="10953" xr:uid="{00000000-0005-0000-0000-0000CC2A0000}"/>
    <cellStyle name="Comma 3 6 4 2 4 2 2" xfId="10954" xr:uid="{00000000-0005-0000-0000-0000CD2A0000}"/>
    <cellStyle name="Comma 3 6 4 2 4 3" xfId="10955" xr:uid="{00000000-0005-0000-0000-0000CE2A0000}"/>
    <cellStyle name="Comma 3 6 4 2 5" xfId="10956" xr:uid="{00000000-0005-0000-0000-0000CF2A0000}"/>
    <cellStyle name="Comma 3 6 4 2 5 2" xfId="10957" xr:uid="{00000000-0005-0000-0000-0000D02A0000}"/>
    <cellStyle name="Comma 3 6 4 2 6" xfId="10958" xr:uid="{00000000-0005-0000-0000-0000D12A0000}"/>
    <cellStyle name="Comma 3 6 4 2 6 2" xfId="10959" xr:uid="{00000000-0005-0000-0000-0000D22A0000}"/>
    <cellStyle name="Comma 3 6 4 2 7" xfId="10960" xr:uid="{00000000-0005-0000-0000-0000D32A0000}"/>
    <cellStyle name="Comma 3 6 4 3" xfId="10961" xr:uid="{00000000-0005-0000-0000-0000D42A0000}"/>
    <cellStyle name="Comma 3 6 4 3 2" xfId="10962" xr:uid="{00000000-0005-0000-0000-0000D52A0000}"/>
    <cellStyle name="Comma 3 6 4 3 2 2" xfId="10963" xr:uid="{00000000-0005-0000-0000-0000D62A0000}"/>
    <cellStyle name="Comma 3 6 4 3 2 2 2" xfId="10964" xr:uid="{00000000-0005-0000-0000-0000D72A0000}"/>
    <cellStyle name="Comma 3 6 4 3 2 2 2 2" xfId="10965" xr:uid="{00000000-0005-0000-0000-0000D82A0000}"/>
    <cellStyle name="Comma 3 6 4 3 2 2 3" xfId="10966" xr:uid="{00000000-0005-0000-0000-0000D92A0000}"/>
    <cellStyle name="Comma 3 6 4 3 2 3" xfId="10967" xr:uid="{00000000-0005-0000-0000-0000DA2A0000}"/>
    <cellStyle name="Comma 3 6 4 3 2 3 2" xfId="10968" xr:uid="{00000000-0005-0000-0000-0000DB2A0000}"/>
    <cellStyle name="Comma 3 6 4 3 2 4" xfId="10969" xr:uid="{00000000-0005-0000-0000-0000DC2A0000}"/>
    <cellStyle name="Comma 3 6 4 3 2 4 2" xfId="10970" xr:uid="{00000000-0005-0000-0000-0000DD2A0000}"/>
    <cellStyle name="Comma 3 6 4 3 2 5" xfId="10971" xr:uid="{00000000-0005-0000-0000-0000DE2A0000}"/>
    <cellStyle name="Comma 3 6 4 3 3" xfId="10972" xr:uid="{00000000-0005-0000-0000-0000DF2A0000}"/>
    <cellStyle name="Comma 3 6 4 3 3 2" xfId="10973" xr:uid="{00000000-0005-0000-0000-0000E02A0000}"/>
    <cellStyle name="Comma 3 6 4 3 3 2 2" xfId="10974" xr:uid="{00000000-0005-0000-0000-0000E12A0000}"/>
    <cellStyle name="Comma 3 6 4 3 3 3" xfId="10975" xr:uid="{00000000-0005-0000-0000-0000E22A0000}"/>
    <cellStyle name="Comma 3 6 4 3 4" xfId="10976" xr:uid="{00000000-0005-0000-0000-0000E32A0000}"/>
    <cellStyle name="Comma 3 6 4 3 4 2" xfId="10977" xr:uid="{00000000-0005-0000-0000-0000E42A0000}"/>
    <cellStyle name="Comma 3 6 4 3 5" xfId="10978" xr:uid="{00000000-0005-0000-0000-0000E52A0000}"/>
    <cellStyle name="Comma 3 6 4 3 5 2" xfId="10979" xr:uid="{00000000-0005-0000-0000-0000E62A0000}"/>
    <cellStyle name="Comma 3 6 4 3 6" xfId="10980" xr:uid="{00000000-0005-0000-0000-0000E72A0000}"/>
    <cellStyle name="Comma 3 6 4 4" xfId="10981" xr:uid="{00000000-0005-0000-0000-0000E82A0000}"/>
    <cellStyle name="Comma 3 6 4 4 2" xfId="10982" xr:uid="{00000000-0005-0000-0000-0000E92A0000}"/>
    <cellStyle name="Comma 3 6 4 4 2 2" xfId="10983" xr:uid="{00000000-0005-0000-0000-0000EA2A0000}"/>
    <cellStyle name="Comma 3 6 4 4 2 2 2" xfId="10984" xr:uid="{00000000-0005-0000-0000-0000EB2A0000}"/>
    <cellStyle name="Comma 3 6 4 4 2 3" xfId="10985" xr:uid="{00000000-0005-0000-0000-0000EC2A0000}"/>
    <cellStyle name="Comma 3 6 4 4 3" xfId="10986" xr:uid="{00000000-0005-0000-0000-0000ED2A0000}"/>
    <cellStyle name="Comma 3 6 4 4 3 2" xfId="10987" xr:uid="{00000000-0005-0000-0000-0000EE2A0000}"/>
    <cellStyle name="Comma 3 6 4 4 4" xfId="10988" xr:uid="{00000000-0005-0000-0000-0000EF2A0000}"/>
    <cellStyle name="Comma 3 6 4 4 4 2" xfId="10989" xr:uid="{00000000-0005-0000-0000-0000F02A0000}"/>
    <cellStyle name="Comma 3 6 4 4 5" xfId="10990" xr:uid="{00000000-0005-0000-0000-0000F12A0000}"/>
    <cellStyle name="Comma 3 6 4 5" xfId="10991" xr:uid="{00000000-0005-0000-0000-0000F22A0000}"/>
    <cellStyle name="Comma 3 6 4 5 2" xfId="10992" xr:uid="{00000000-0005-0000-0000-0000F32A0000}"/>
    <cellStyle name="Comma 3 6 4 5 2 2" xfId="10993" xr:uid="{00000000-0005-0000-0000-0000F42A0000}"/>
    <cellStyle name="Comma 3 6 4 5 3" xfId="10994" xr:uid="{00000000-0005-0000-0000-0000F52A0000}"/>
    <cellStyle name="Comma 3 6 4 6" xfId="10995" xr:uid="{00000000-0005-0000-0000-0000F62A0000}"/>
    <cellStyle name="Comma 3 6 4 6 2" xfId="10996" xr:uid="{00000000-0005-0000-0000-0000F72A0000}"/>
    <cellStyle name="Comma 3 6 4 7" xfId="10997" xr:uid="{00000000-0005-0000-0000-0000F82A0000}"/>
    <cellStyle name="Comma 3 6 4 7 2" xfId="10998" xr:uid="{00000000-0005-0000-0000-0000F92A0000}"/>
    <cellStyle name="Comma 3 6 4 8" xfId="10999" xr:uid="{00000000-0005-0000-0000-0000FA2A0000}"/>
    <cellStyle name="Comma 3 6 5" xfId="11000" xr:uid="{00000000-0005-0000-0000-0000FB2A0000}"/>
    <cellStyle name="Comma 3 6 5 2" xfId="11001" xr:uid="{00000000-0005-0000-0000-0000FC2A0000}"/>
    <cellStyle name="Comma 3 6 5 2 2" xfId="11002" xr:uid="{00000000-0005-0000-0000-0000FD2A0000}"/>
    <cellStyle name="Comma 3 6 5 2 2 2" xfId="11003" xr:uid="{00000000-0005-0000-0000-0000FE2A0000}"/>
    <cellStyle name="Comma 3 6 5 2 2 2 2" xfId="11004" xr:uid="{00000000-0005-0000-0000-0000FF2A0000}"/>
    <cellStyle name="Comma 3 6 5 2 2 2 2 2" xfId="11005" xr:uid="{00000000-0005-0000-0000-0000002B0000}"/>
    <cellStyle name="Comma 3 6 5 2 2 2 3" xfId="11006" xr:uid="{00000000-0005-0000-0000-0000012B0000}"/>
    <cellStyle name="Comma 3 6 5 2 2 3" xfId="11007" xr:uid="{00000000-0005-0000-0000-0000022B0000}"/>
    <cellStyle name="Comma 3 6 5 2 2 3 2" xfId="11008" xr:uid="{00000000-0005-0000-0000-0000032B0000}"/>
    <cellStyle name="Comma 3 6 5 2 2 4" xfId="11009" xr:uid="{00000000-0005-0000-0000-0000042B0000}"/>
    <cellStyle name="Comma 3 6 5 2 2 4 2" xfId="11010" xr:uid="{00000000-0005-0000-0000-0000052B0000}"/>
    <cellStyle name="Comma 3 6 5 2 2 5" xfId="11011" xr:uid="{00000000-0005-0000-0000-0000062B0000}"/>
    <cellStyle name="Comma 3 6 5 2 3" xfId="11012" xr:uid="{00000000-0005-0000-0000-0000072B0000}"/>
    <cellStyle name="Comma 3 6 5 2 3 2" xfId="11013" xr:uid="{00000000-0005-0000-0000-0000082B0000}"/>
    <cellStyle name="Comma 3 6 5 2 3 2 2" xfId="11014" xr:uid="{00000000-0005-0000-0000-0000092B0000}"/>
    <cellStyle name="Comma 3 6 5 2 3 3" xfId="11015" xr:uid="{00000000-0005-0000-0000-00000A2B0000}"/>
    <cellStyle name="Comma 3 6 5 2 4" xfId="11016" xr:uid="{00000000-0005-0000-0000-00000B2B0000}"/>
    <cellStyle name="Comma 3 6 5 2 4 2" xfId="11017" xr:uid="{00000000-0005-0000-0000-00000C2B0000}"/>
    <cellStyle name="Comma 3 6 5 2 5" xfId="11018" xr:uid="{00000000-0005-0000-0000-00000D2B0000}"/>
    <cellStyle name="Comma 3 6 5 2 5 2" xfId="11019" xr:uid="{00000000-0005-0000-0000-00000E2B0000}"/>
    <cellStyle name="Comma 3 6 5 2 6" xfId="11020" xr:uid="{00000000-0005-0000-0000-00000F2B0000}"/>
    <cellStyle name="Comma 3 6 5 3" xfId="11021" xr:uid="{00000000-0005-0000-0000-0000102B0000}"/>
    <cellStyle name="Comma 3 6 5 3 2" xfId="11022" xr:uid="{00000000-0005-0000-0000-0000112B0000}"/>
    <cellStyle name="Comma 3 6 5 3 2 2" xfId="11023" xr:uid="{00000000-0005-0000-0000-0000122B0000}"/>
    <cellStyle name="Comma 3 6 5 3 2 2 2" xfId="11024" xr:uid="{00000000-0005-0000-0000-0000132B0000}"/>
    <cellStyle name="Comma 3 6 5 3 2 3" xfId="11025" xr:uid="{00000000-0005-0000-0000-0000142B0000}"/>
    <cellStyle name="Comma 3 6 5 3 3" xfId="11026" xr:uid="{00000000-0005-0000-0000-0000152B0000}"/>
    <cellStyle name="Comma 3 6 5 3 3 2" xfId="11027" xr:uid="{00000000-0005-0000-0000-0000162B0000}"/>
    <cellStyle name="Comma 3 6 5 3 4" xfId="11028" xr:uid="{00000000-0005-0000-0000-0000172B0000}"/>
    <cellStyle name="Comma 3 6 5 3 4 2" xfId="11029" xr:uid="{00000000-0005-0000-0000-0000182B0000}"/>
    <cellStyle name="Comma 3 6 5 3 5" xfId="11030" xr:uid="{00000000-0005-0000-0000-0000192B0000}"/>
    <cellStyle name="Comma 3 6 5 4" xfId="11031" xr:uid="{00000000-0005-0000-0000-00001A2B0000}"/>
    <cellStyle name="Comma 3 6 5 4 2" xfId="11032" xr:uid="{00000000-0005-0000-0000-00001B2B0000}"/>
    <cellStyle name="Comma 3 6 5 4 2 2" xfId="11033" xr:uid="{00000000-0005-0000-0000-00001C2B0000}"/>
    <cellStyle name="Comma 3 6 5 4 3" xfId="11034" xr:uid="{00000000-0005-0000-0000-00001D2B0000}"/>
    <cellStyle name="Comma 3 6 5 5" xfId="11035" xr:uid="{00000000-0005-0000-0000-00001E2B0000}"/>
    <cellStyle name="Comma 3 6 5 5 2" xfId="11036" xr:uid="{00000000-0005-0000-0000-00001F2B0000}"/>
    <cellStyle name="Comma 3 6 5 6" xfId="11037" xr:uid="{00000000-0005-0000-0000-0000202B0000}"/>
    <cellStyle name="Comma 3 6 5 6 2" xfId="11038" xr:uid="{00000000-0005-0000-0000-0000212B0000}"/>
    <cellStyle name="Comma 3 6 5 7" xfId="11039" xr:uid="{00000000-0005-0000-0000-0000222B0000}"/>
    <cellStyle name="Comma 3 6 6" xfId="11040" xr:uid="{00000000-0005-0000-0000-0000232B0000}"/>
    <cellStyle name="Comma 3 6 6 2" xfId="11041" xr:uid="{00000000-0005-0000-0000-0000242B0000}"/>
    <cellStyle name="Comma 3 6 6 2 2" xfId="11042" xr:uid="{00000000-0005-0000-0000-0000252B0000}"/>
    <cellStyle name="Comma 3 6 6 2 2 2" xfId="11043" xr:uid="{00000000-0005-0000-0000-0000262B0000}"/>
    <cellStyle name="Comma 3 6 6 2 2 2 2" xfId="11044" xr:uid="{00000000-0005-0000-0000-0000272B0000}"/>
    <cellStyle name="Comma 3 6 6 2 2 2 2 2" xfId="11045" xr:uid="{00000000-0005-0000-0000-0000282B0000}"/>
    <cellStyle name="Comma 3 6 6 2 2 2 3" xfId="11046" xr:uid="{00000000-0005-0000-0000-0000292B0000}"/>
    <cellStyle name="Comma 3 6 6 2 2 3" xfId="11047" xr:uid="{00000000-0005-0000-0000-00002A2B0000}"/>
    <cellStyle name="Comma 3 6 6 2 2 3 2" xfId="11048" xr:uid="{00000000-0005-0000-0000-00002B2B0000}"/>
    <cellStyle name="Comma 3 6 6 2 2 4" xfId="11049" xr:uid="{00000000-0005-0000-0000-00002C2B0000}"/>
    <cellStyle name="Comma 3 6 6 2 2 4 2" xfId="11050" xr:uid="{00000000-0005-0000-0000-00002D2B0000}"/>
    <cellStyle name="Comma 3 6 6 2 2 5" xfId="11051" xr:uid="{00000000-0005-0000-0000-00002E2B0000}"/>
    <cellStyle name="Comma 3 6 6 2 3" xfId="11052" xr:uid="{00000000-0005-0000-0000-00002F2B0000}"/>
    <cellStyle name="Comma 3 6 6 2 3 2" xfId="11053" xr:uid="{00000000-0005-0000-0000-0000302B0000}"/>
    <cellStyle name="Comma 3 6 6 2 3 2 2" xfId="11054" xr:uid="{00000000-0005-0000-0000-0000312B0000}"/>
    <cellStyle name="Comma 3 6 6 2 3 3" xfId="11055" xr:uid="{00000000-0005-0000-0000-0000322B0000}"/>
    <cellStyle name="Comma 3 6 6 2 4" xfId="11056" xr:uid="{00000000-0005-0000-0000-0000332B0000}"/>
    <cellStyle name="Comma 3 6 6 2 4 2" xfId="11057" xr:uid="{00000000-0005-0000-0000-0000342B0000}"/>
    <cellStyle name="Comma 3 6 6 2 5" xfId="11058" xr:uid="{00000000-0005-0000-0000-0000352B0000}"/>
    <cellStyle name="Comma 3 6 6 2 5 2" xfId="11059" xr:uid="{00000000-0005-0000-0000-0000362B0000}"/>
    <cellStyle name="Comma 3 6 6 2 6" xfId="11060" xr:uid="{00000000-0005-0000-0000-0000372B0000}"/>
    <cellStyle name="Comma 3 6 6 3" xfId="11061" xr:uid="{00000000-0005-0000-0000-0000382B0000}"/>
    <cellStyle name="Comma 3 6 6 3 2" xfId="11062" xr:uid="{00000000-0005-0000-0000-0000392B0000}"/>
    <cellStyle name="Comma 3 6 6 3 2 2" xfId="11063" xr:uid="{00000000-0005-0000-0000-00003A2B0000}"/>
    <cellStyle name="Comma 3 6 6 3 2 2 2" xfId="11064" xr:uid="{00000000-0005-0000-0000-00003B2B0000}"/>
    <cellStyle name="Comma 3 6 6 3 2 3" xfId="11065" xr:uid="{00000000-0005-0000-0000-00003C2B0000}"/>
    <cellStyle name="Comma 3 6 6 3 3" xfId="11066" xr:uid="{00000000-0005-0000-0000-00003D2B0000}"/>
    <cellStyle name="Comma 3 6 6 3 3 2" xfId="11067" xr:uid="{00000000-0005-0000-0000-00003E2B0000}"/>
    <cellStyle name="Comma 3 6 6 3 4" xfId="11068" xr:uid="{00000000-0005-0000-0000-00003F2B0000}"/>
    <cellStyle name="Comma 3 6 6 3 4 2" xfId="11069" xr:uid="{00000000-0005-0000-0000-0000402B0000}"/>
    <cellStyle name="Comma 3 6 6 3 5" xfId="11070" xr:uid="{00000000-0005-0000-0000-0000412B0000}"/>
    <cellStyle name="Comma 3 6 6 4" xfId="11071" xr:uid="{00000000-0005-0000-0000-0000422B0000}"/>
    <cellStyle name="Comma 3 6 6 4 2" xfId="11072" xr:uid="{00000000-0005-0000-0000-0000432B0000}"/>
    <cellStyle name="Comma 3 6 6 4 2 2" xfId="11073" xr:uid="{00000000-0005-0000-0000-0000442B0000}"/>
    <cellStyle name="Comma 3 6 6 4 3" xfId="11074" xr:uid="{00000000-0005-0000-0000-0000452B0000}"/>
    <cellStyle name="Comma 3 6 6 5" xfId="11075" xr:uid="{00000000-0005-0000-0000-0000462B0000}"/>
    <cellStyle name="Comma 3 6 6 5 2" xfId="11076" xr:uid="{00000000-0005-0000-0000-0000472B0000}"/>
    <cellStyle name="Comma 3 6 6 6" xfId="11077" xr:uid="{00000000-0005-0000-0000-0000482B0000}"/>
    <cellStyle name="Comma 3 6 6 6 2" xfId="11078" xr:uid="{00000000-0005-0000-0000-0000492B0000}"/>
    <cellStyle name="Comma 3 6 6 7" xfId="11079" xr:uid="{00000000-0005-0000-0000-00004A2B0000}"/>
    <cellStyle name="Comma 3 6 7" xfId="11080" xr:uid="{00000000-0005-0000-0000-00004B2B0000}"/>
    <cellStyle name="Comma 3 6 7 2" xfId="11081" xr:uid="{00000000-0005-0000-0000-00004C2B0000}"/>
    <cellStyle name="Comma 3 6 7 2 2" xfId="11082" xr:uid="{00000000-0005-0000-0000-00004D2B0000}"/>
    <cellStyle name="Comma 3 6 7 2 2 2" xfId="11083" xr:uid="{00000000-0005-0000-0000-00004E2B0000}"/>
    <cellStyle name="Comma 3 6 7 2 2 2 2" xfId="11084" xr:uid="{00000000-0005-0000-0000-00004F2B0000}"/>
    <cellStyle name="Comma 3 6 7 2 2 3" xfId="11085" xr:uid="{00000000-0005-0000-0000-0000502B0000}"/>
    <cellStyle name="Comma 3 6 7 2 3" xfId="11086" xr:uid="{00000000-0005-0000-0000-0000512B0000}"/>
    <cellStyle name="Comma 3 6 7 2 3 2" xfId="11087" xr:uid="{00000000-0005-0000-0000-0000522B0000}"/>
    <cellStyle name="Comma 3 6 7 2 4" xfId="11088" xr:uid="{00000000-0005-0000-0000-0000532B0000}"/>
    <cellStyle name="Comma 3 6 7 2 4 2" xfId="11089" xr:uid="{00000000-0005-0000-0000-0000542B0000}"/>
    <cellStyle name="Comma 3 6 7 2 5" xfId="11090" xr:uid="{00000000-0005-0000-0000-0000552B0000}"/>
    <cellStyle name="Comma 3 6 7 3" xfId="11091" xr:uid="{00000000-0005-0000-0000-0000562B0000}"/>
    <cellStyle name="Comma 3 6 7 3 2" xfId="11092" xr:uid="{00000000-0005-0000-0000-0000572B0000}"/>
    <cellStyle name="Comma 3 6 7 3 2 2" xfId="11093" xr:uid="{00000000-0005-0000-0000-0000582B0000}"/>
    <cellStyle name="Comma 3 6 7 3 3" xfId="11094" xr:uid="{00000000-0005-0000-0000-0000592B0000}"/>
    <cellStyle name="Comma 3 6 7 4" xfId="11095" xr:uid="{00000000-0005-0000-0000-00005A2B0000}"/>
    <cellStyle name="Comma 3 6 7 4 2" xfId="11096" xr:uid="{00000000-0005-0000-0000-00005B2B0000}"/>
    <cellStyle name="Comma 3 6 7 5" xfId="11097" xr:uid="{00000000-0005-0000-0000-00005C2B0000}"/>
    <cellStyle name="Comma 3 6 7 5 2" xfId="11098" xr:uid="{00000000-0005-0000-0000-00005D2B0000}"/>
    <cellStyle name="Comma 3 6 7 6" xfId="11099" xr:uid="{00000000-0005-0000-0000-00005E2B0000}"/>
    <cellStyle name="Comma 3 6 8" xfId="11100" xr:uid="{00000000-0005-0000-0000-00005F2B0000}"/>
    <cellStyle name="Comma 3 6 8 2" xfId="11101" xr:uid="{00000000-0005-0000-0000-0000602B0000}"/>
    <cellStyle name="Comma 3 6 8 2 2" xfId="11102" xr:uid="{00000000-0005-0000-0000-0000612B0000}"/>
    <cellStyle name="Comma 3 6 8 2 2 2" xfId="11103" xr:uid="{00000000-0005-0000-0000-0000622B0000}"/>
    <cellStyle name="Comma 3 6 8 2 3" xfId="11104" xr:uid="{00000000-0005-0000-0000-0000632B0000}"/>
    <cellStyle name="Comma 3 6 8 3" xfId="11105" xr:uid="{00000000-0005-0000-0000-0000642B0000}"/>
    <cellStyle name="Comma 3 6 8 3 2" xfId="11106" xr:uid="{00000000-0005-0000-0000-0000652B0000}"/>
    <cellStyle name="Comma 3 6 8 4" xfId="11107" xr:uid="{00000000-0005-0000-0000-0000662B0000}"/>
    <cellStyle name="Comma 3 6 8 4 2" xfId="11108" xr:uid="{00000000-0005-0000-0000-0000672B0000}"/>
    <cellStyle name="Comma 3 6 8 5" xfId="11109" xr:uid="{00000000-0005-0000-0000-0000682B0000}"/>
    <cellStyle name="Comma 3 6 9" xfId="11110" xr:uid="{00000000-0005-0000-0000-0000692B0000}"/>
    <cellStyle name="Comma 3 6 9 2" xfId="11111" xr:uid="{00000000-0005-0000-0000-00006A2B0000}"/>
    <cellStyle name="Comma 3 6 9 2 2" xfId="11112" xr:uid="{00000000-0005-0000-0000-00006B2B0000}"/>
    <cellStyle name="Comma 3 6 9 3" xfId="11113" xr:uid="{00000000-0005-0000-0000-00006C2B0000}"/>
    <cellStyle name="Comma 3 7" xfId="11114" xr:uid="{00000000-0005-0000-0000-00006D2B0000}"/>
    <cellStyle name="Comma 3 7 10" xfId="11115" xr:uid="{00000000-0005-0000-0000-00006E2B0000}"/>
    <cellStyle name="Comma 3 7 10 2" xfId="11116" xr:uid="{00000000-0005-0000-0000-00006F2B0000}"/>
    <cellStyle name="Comma 3 7 11" xfId="11117" xr:uid="{00000000-0005-0000-0000-0000702B0000}"/>
    <cellStyle name="Comma 3 7 2" xfId="11118" xr:uid="{00000000-0005-0000-0000-0000712B0000}"/>
    <cellStyle name="Comma 3 7 2 2" xfId="11119" xr:uid="{00000000-0005-0000-0000-0000722B0000}"/>
    <cellStyle name="Comma 3 7 2 2 2" xfId="11120" xr:uid="{00000000-0005-0000-0000-0000732B0000}"/>
    <cellStyle name="Comma 3 7 2 2 2 2" xfId="11121" xr:uid="{00000000-0005-0000-0000-0000742B0000}"/>
    <cellStyle name="Comma 3 7 2 2 2 2 2" xfId="11122" xr:uid="{00000000-0005-0000-0000-0000752B0000}"/>
    <cellStyle name="Comma 3 7 2 2 2 2 2 2" xfId="11123" xr:uid="{00000000-0005-0000-0000-0000762B0000}"/>
    <cellStyle name="Comma 3 7 2 2 2 2 2 2 2" xfId="11124" xr:uid="{00000000-0005-0000-0000-0000772B0000}"/>
    <cellStyle name="Comma 3 7 2 2 2 2 2 3" xfId="11125" xr:uid="{00000000-0005-0000-0000-0000782B0000}"/>
    <cellStyle name="Comma 3 7 2 2 2 2 3" xfId="11126" xr:uid="{00000000-0005-0000-0000-0000792B0000}"/>
    <cellStyle name="Comma 3 7 2 2 2 2 3 2" xfId="11127" xr:uid="{00000000-0005-0000-0000-00007A2B0000}"/>
    <cellStyle name="Comma 3 7 2 2 2 2 4" xfId="11128" xr:uid="{00000000-0005-0000-0000-00007B2B0000}"/>
    <cellStyle name="Comma 3 7 2 2 2 2 4 2" xfId="11129" xr:uid="{00000000-0005-0000-0000-00007C2B0000}"/>
    <cellStyle name="Comma 3 7 2 2 2 2 5" xfId="11130" xr:uid="{00000000-0005-0000-0000-00007D2B0000}"/>
    <cellStyle name="Comma 3 7 2 2 2 3" xfId="11131" xr:uid="{00000000-0005-0000-0000-00007E2B0000}"/>
    <cellStyle name="Comma 3 7 2 2 2 3 2" xfId="11132" xr:uid="{00000000-0005-0000-0000-00007F2B0000}"/>
    <cellStyle name="Comma 3 7 2 2 2 3 2 2" xfId="11133" xr:uid="{00000000-0005-0000-0000-0000802B0000}"/>
    <cellStyle name="Comma 3 7 2 2 2 3 3" xfId="11134" xr:uid="{00000000-0005-0000-0000-0000812B0000}"/>
    <cellStyle name="Comma 3 7 2 2 2 4" xfId="11135" xr:uid="{00000000-0005-0000-0000-0000822B0000}"/>
    <cellStyle name="Comma 3 7 2 2 2 4 2" xfId="11136" xr:uid="{00000000-0005-0000-0000-0000832B0000}"/>
    <cellStyle name="Comma 3 7 2 2 2 5" xfId="11137" xr:uid="{00000000-0005-0000-0000-0000842B0000}"/>
    <cellStyle name="Comma 3 7 2 2 2 5 2" xfId="11138" xr:uid="{00000000-0005-0000-0000-0000852B0000}"/>
    <cellStyle name="Comma 3 7 2 2 2 6" xfId="11139" xr:uid="{00000000-0005-0000-0000-0000862B0000}"/>
    <cellStyle name="Comma 3 7 2 2 3" xfId="11140" xr:uid="{00000000-0005-0000-0000-0000872B0000}"/>
    <cellStyle name="Comma 3 7 2 2 3 2" xfId="11141" xr:uid="{00000000-0005-0000-0000-0000882B0000}"/>
    <cellStyle name="Comma 3 7 2 2 3 2 2" xfId="11142" xr:uid="{00000000-0005-0000-0000-0000892B0000}"/>
    <cellStyle name="Comma 3 7 2 2 3 2 2 2" xfId="11143" xr:uid="{00000000-0005-0000-0000-00008A2B0000}"/>
    <cellStyle name="Comma 3 7 2 2 3 2 3" xfId="11144" xr:uid="{00000000-0005-0000-0000-00008B2B0000}"/>
    <cellStyle name="Comma 3 7 2 2 3 3" xfId="11145" xr:uid="{00000000-0005-0000-0000-00008C2B0000}"/>
    <cellStyle name="Comma 3 7 2 2 3 3 2" xfId="11146" xr:uid="{00000000-0005-0000-0000-00008D2B0000}"/>
    <cellStyle name="Comma 3 7 2 2 3 4" xfId="11147" xr:uid="{00000000-0005-0000-0000-00008E2B0000}"/>
    <cellStyle name="Comma 3 7 2 2 3 4 2" xfId="11148" xr:uid="{00000000-0005-0000-0000-00008F2B0000}"/>
    <cellStyle name="Comma 3 7 2 2 3 5" xfId="11149" xr:uid="{00000000-0005-0000-0000-0000902B0000}"/>
    <cellStyle name="Comma 3 7 2 2 4" xfId="11150" xr:uid="{00000000-0005-0000-0000-0000912B0000}"/>
    <cellStyle name="Comma 3 7 2 2 4 2" xfId="11151" xr:uid="{00000000-0005-0000-0000-0000922B0000}"/>
    <cellStyle name="Comma 3 7 2 2 4 2 2" xfId="11152" xr:uid="{00000000-0005-0000-0000-0000932B0000}"/>
    <cellStyle name="Comma 3 7 2 2 4 3" xfId="11153" xr:uid="{00000000-0005-0000-0000-0000942B0000}"/>
    <cellStyle name="Comma 3 7 2 2 5" xfId="11154" xr:uid="{00000000-0005-0000-0000-0000952B0000}"/>
    <cellStyle name="Comma 3 7 2 2 5 2" xfId="11155" xr:uid="{00000000-0005-0000-0000-0000962B0000}"/>
    <cellStyle name="Comma 3 7 2 2 6" xfId="11156" xr:uid="{00000000-0005-0000-0000-0000972B0000}"/>
    <cellStyle name="Comma 3 7 2 2 6 2" xfId="11157" xr:uid="{00000000-0005-0000-0000-0000982B0000}"/>
    <cellStyle name="Comma 3 7 2 2 7" xfId="11158" xr:uid="{00000000-0005-0000-0000-0000992B0000}"/>
    <cellStyle name="Comma 3 7 2 3" xfId="11159" xr:uid="{00000000-0005-0000-0000-00009A2B0000}"/>
    <cellStyle name="Comma 3 7 2 3 2" xfId="11160" xr:uid="{00000000-0005-0000-0000-00009B2B0000}"/>
    <cellStyle name="Comma 3 7 2 3 2 2" xfId="11161" xr:uid="{00000000-0005-0000-0000-00009C2B0000}"/>
    <cellStyle name="Comma 3 7 2 3 2 2 2" xfId="11162" xr:uid="{00000000-0005-0000-0000-00009D2B0000}"/>
    <cellStyle name="Comma 3 7 2 3 2 2 2 2" xfId="11163" xr:uid="{00000000-0005-0000-0000-00009E2B0000}"/>
    <cellStyle name="Comma 3 7 2 3 2 2 2 2 2" xfId="11164" xr:uid="{00000000-0005-0000-0000-00009F2B0000}"/>
    <cellStyle name="Comma 3 7 2 3 2 2 2 3" xfId="11165" xr:uid="{00000000-0005-0000-0000-0000A02B0000}"/>
    <cellStyle name="Comma 3 7 2 3 2 2 3" xfId="11166" xr:uid="{00000000-0005-0000-0000-0000A12B0000}"/>
    <cellStyle name="Comma 3 7 2 3 2 2 3 2" xfId="11167" xr:uid="{00000000-0005-0000-0000-0000A22B0000}"/>
    <cellStyle name="Comma 3 7 2 3 2 2 4" xfId="11168" xr:uid="{00000000-0005-0000-0000-0000A32B0000}"/>
    <cellStyle name="Comma 3 7 2 3 2 2 4 2" xfId="11169" xr:uid="{00000000-0005-0000-0000-0000A42B0000}"/>
    <cellStyle name="Comma 3 7 2 3 2 2 5" xfId="11170" xr:uid="{00000000-0005-0000-0000-0000A52B0000}"/>
    <cellStyle name="Comma 3 7 2 3 2 3" xfId="11171" xr:uid="{00000000-0005-0000-0000-0000A62B0000}"/>
    <cellStyle name="Comma 3 7 2 3 2 3 2" xfId="11172" xr:uid="{00000000-0005-0000-0000-0000A72B0000}"/>
    <cellStyle name="Comma 3 7 2 3 2 3 2 2" xfId="11173" xr:uid="{00000000-0005-0000-0000-0000A82B0000}"/>
    <cellStyle name="Comma 3 7 2 3 2 3 3" xfId="11174" xr:uid="{00000000-0005-0000-0000-0000A92B0000}"/>
    <cellStyle name="Comma 3 7 2 3 2 4" xfId="11175" xr:uid="{00000000-0005-0000-0000-0000AA2B0000}"/>
    <cellStyle name="Comma 3 7 2 3 2 4 2" xfId="11176" xr:uid="{00000000-0005-0000-0000-0000AB2B0000}"/>
    <cellStyle name="Comma 3 7 2 3 2 5" xfId="11177" xr:uid="{00000000-0005-0000-0000-0000AC2B0000}"/>
    <cellStyle name="Comma 3 7 2 3 2 5 2" xfId="11178" xr:uid="{00000000-0005-0000-0000-0000AD2B0000}"/>
    <cellStyle name="Comma 3 7 2 3 2 6" xfId="11179" xr:uid="{00000000-0005-0000-0000-0000AE2B0000}"/>
    <cellStyle name="Comma 3 7 2 3 3" xfId="11180" xr:uid="{00000000-0005-0000-0000-0000AF2B0000}"/>
    <cellStyle name="Comma 3 7 2 3 3 2" xfId="11181" xr:uid="{00000000-0005-0000-0000-0000B02B0000}"/>
    <cellStyle name="Comma 3 7 2 3 3 2 2" xfId="11182" xr:uid="{00000000-0005-0000-0000-0000B12B0000}"/>
    <cellStyle name="Comma 3 7 2 3 3 2 2 2" xfId="11183" xr:uid="{00000000-0005-0000-0000-0000B22B0000}"/>
    <cellStyle name="Comma 3 7 2 3 3 2 3" xfId="11184" xr:uid="{00000000-0005-0000-0000-0000B32B0000}"/>
    <cellStyle name="Comma 3 7 2 3 3 3" xfId="11185" xr:uid="{00000000-0005-0000-0000-0000B42B0000}"/>
    <cellStyle name="Comma 3 7 2 3 3 3 2" xfId="11186" xr:uid="{00000000-0005-0000-0000-0000B52B0000}"/>
    <cellStyle name="Comma 3 7 2 3 3 4" xfId="11187" xr:uid="{00000000-0005-0000-0000-0000B62B0000}"/>
    <cellStyle name="Comma 3 7 2 3 3 4 2" xfId="11188" xr:uid="{00000000-0005-0000-0000-0000B72B0000}"/>
    <cellStyle name="Comma 3 7 2 3 3 5" xfId="11189" xr:uid="{00000000-0005-0000-0000-0000B82B0000}"/>
    <cellStyle name="Comma 3 7 2 3 4" xfId="11190" xr:uid="{00000000-0005-0000-0000-0000B92B0000}"/>
    <cellStyle name="Comma 3 7 2 3 4 2" xfId="11191" xr:uid="{00000000-0005-0000-0000-0000BA2B0000}"/>
    <cellStyle name="Comma 3 7 2 3 4 2 2" xfId="11192" xr:uid="{00000000-0005-0000-0000-0000BB2B0000}"/>
    <cellStyle name="Comma 3 7 2 3 4 3" xfId="11193" xr:uid="{00000000-0005-0000-0000-0000BC2B0000}"/>
    <cellStyle name="Comma 3 7 2 3 5" xfId="11194" xr:uid="{00000000-0005-0000-0000-0000BD2B0000}"/>
    <cellStyle name="Comma 3 7 2 3 5 2" xfId="11195" xr:uid="{00000000-0005-0000-0000-0000BE2B0000}"/>
    <cellStyle name="Comma 3 7 2 3 6" xfId="11196" xr:uid="{00000000-0005-0000-0000-0000BF2B0000}"/>
    <cellStyle name="Comma 3 7 2 3 6 2" xfId="11197" xr:uid="{00000000-0005-0000-0000-0000C02B0000}"/>
    <cellStyle name="Comma 3 7 2 3 7" xfId="11198" xr:uid="{00000000-0005-0000-0000-0000C12B0000}"/>
    <cellStyle name="Comma 3 7 2 4" xfId="11199" xr:uid="{00000000-0005-0000-0000-0000C22B0000}"/>
    <cellStyle name="Comma 3 7 2 4 2" xfId="11200" xr:uid="{00000000-0005-0000-0000-0000C32B0000}"/>
    <cellStyle name="Comma 3 7 2 4 2 2" xfId="11201" xr:uid="{00000000-0005-0000-0000-0000C42B0000}"/>
    <cellStyle name="Comma 3 7 2 4 2 2 2" xfId="11202" xr:uid="{00000000-0005-0000-0000-0000C52B0000}"/>
    <cellStyle name="Comma 3 7 2 4 2 2 2 2" xfId="11203" xr:uid="{00000000-0005-0000-0000-0000C62B0000}"/>
    <cellStyle name="Comma 3 7 2 4 2 2 3" xfId="11204" xr:uid="{00000000-0005-0000-0000-0000C72B0000}"/>
    <cellStyle name="Comma 3 7 2 4 2 3" xfId="11205" xr:uid="{00000000-0005-0000-0000-0000C82B0000}"/>
    <cellStyle name="Comma 3 7 2 4 2 3 2" xfId="11206" xr:uid="{00000000-0005-0000-0000-0000C92B0000}"/>
    <cellStyle name="Comma 3 7 2 4 2 4" xfId="11207" xr:uid="{00000000-0005-0000-0000-0000CA2B0000}"/>
    <cellStyle name="Comma 3 7 2 4 2 4 2" xfId="11208" xr:uid="{00000000-0005-0000-0000-0000CB2B0000}"/>
    <cellStyle name="Comma 3 7 2 4 2 5" xfId="11209" xr:uid="{00000000-0005-0000-0000-0000CC2B0000}"/>
    <cellStyle name="Comma 3 7 2 4 3" xfId="11210" xr:uid="{00000000-0005-0000-0000-0000CD2B0000}"/>
    <cellStyle name="Comma 3 7 2 4 3 2" xfId="11211" xr:uid="{00000000-0005-0000-0000-0000CE2B0000}"/>
    <cellStyle name="Comma 3 7 2 4 3 2 2" xfId="11212" xr:uid="{00000000-0005-0000-0000-0000CF2B0000}"/>
    <cellStyle name="Comma 3 7 2 4 3 3" xfId="11213" xr:uid="{00000000-0005-0000-0000-0000D02B0000}"/>
    <cellStyle name="Comma 3 7 2 4 4" xfId="11214" xr:uid="{00000000-0005-0000-0000-0000D12B0000}"/>
    <cellStyle name="Comma 3 7 2 4 4 2" xfId="11215" xr:uid="{00000000-0005-0000-0000-0000D22B0000}"/>
    <cellStyle name="Comma 3 7 2 4 5" xfId="11216" xr:uid="{00000000-0005-0000-0000-0000D32B0000}"/>
    <cellStyle name="Comma 3 7 2 4 5 2" xfId="11217" xr:uid="{00000000-0005-0000-0000-0000D42B0000}"/>
    <cellStyle name="Comma 3 7 2 4 6" xfId="11218" xr:uid="{00000000-0005-0000-0000-0000D52B0000}"/>
    <cellStyle name="Comma 3 7 2 5" xfId="11219" xr:uid="{00000000-0005-0000-0000-0000D62B0000}"/>
    <cellStyle name="Comma 3 7 2 5 2" xfId="11220" xr:uid="{00000000-0005-0000-0000-0000D72B0000}"/>
    <cellStyle name="Comma 3 7 2 5 2 2" xfId="11221" xr:uid="{00000000-0005-0000-0000-0000D82B0000}"/>
    <cellStyle name="Comma 3 7 2 5 2 2 2" xfId="11222" xr:uid="{00000000-0005-0000-0000-0000D92B0000}"/>
    <cellStyle name="Comma 3 7 2 5 2 3" xfId="11223" xr:uid="{00000000-0005-0000-0000-0000DA2B0000}"/>
    <cellStyle name="Comma 3 7 2 5 3" xfId="11224" xr:uid="{00000000-0005-0000-0000-0000DB2B0000}"/>
    <cellStyle name="Comma 3 7 2 5 3 2" xfId="11225" xr:uid="{00000000-0005-0000-0000-0000DC2B0000}"/>
    <cellStyle name="Comma 3 7 2 5 4" xfId="11226" xr:uid="{00000000-0005-0000-0000-0000DD2B0000}"/>
    <cellStyle name="Comma 3 7 2 5 4 2" xfId="11227" xr:uid="{00000000-0005-0000-0000-0000DE2B0000}"/>
    <cellStyle name="Comma 3 7 2 5 5" xfId="11228" xr:uid="{00000000-0005-0000-0000-0000DF2B0000}"/>
    <cellStyle name="Comma 3 7 2 6" xfId="11229" xr:uid="{00000000-0005-0000-0000-0000E02B0000}"/>
    <cellStyle name="Comma 3 7 2 6 2" xfId="11230" xr:uid="{00000000-0005-0000-0000-0000E12B0000}"/>
    <cellStyle name="Comma 3 7 2 6 2 2" xfId="11231" xr:uid="{00000000-0005-0000-0000-0000E22B0000}"/>
    <cellStyle name="Comma 3 7 2 6 3" xfId="11232" xr:uid="{00000000-0005-0000-0000-0000E32B0000}"/>
    <cellStyle name="Comma 3 7 2 7" xfId="11233" xr:uid="{00000000-0005-0000-0000-0000E42B0000}"/>
    <cellStyle name="Comma 3 7 2 7 2" xfId="11234" xr:uid="{00000000-0005-0000-0000-0000E52B0000}"/>
    <cellStyle name="Comma 3 7 2 8" xfId="11235" xr:uid="{00000000-0005-0000-0000-0000E62B0000}"/>
    <cellStyle name="Comma 3 7 2 8 2" xfId="11236" xr:uid="{00000000-0005-0000-0000-0000E72B0000}"/>
    <cellStyle name="Comma 3 7 2 9" xfId="11237" xr:uid="{00000000-0005-0000-0000-0000E82B0000}"/>
    <cellStyle name="Comma 3 7 3" xfId="11238" xr:uid="{00000000-0005-0000-0000-0000E92B0000}"/>
    <cellStyle name="Comma 3 7 3 2" xfId="11239" xr:uid="{00000000-0005-0000-0000-0000EA2B0000}"/>
    <cellStyle name="Comma 3 7 3 2 2" xfId="11240" xr:uid="{00000000-0005-0000-0000-0000EB2B0000}"/>
    <cellStyle name="Comma 3 7 3 2 2 2" xfId="11241" xr:uid="{00000000-0005-0000-0000-0000EC2B0000}"/>
    <cellStyle name="Comma 3 7 3 2 2 2 2" xfId="11242" xr:uid="{00000000-0005-0000-0000-0000ED2B0000}"/>
    <cellStyle name="Comma 3 7 3 2 2 2 2 2" xfId="11243" xr:uid="{00000000-0005-0000-0000-0000EE2B0000}"/>
    <cellStyle name="Comma 3 7 3 2 2 2 2 2 2" xfId="11244" xr:uid="{00000000-0005-0000-0000-0000EF2B0000}"/>
    <cellStyle name="Comma 3 7 3 2 2 2 2 3" xfId="11245" xr:uid="{00000000-0005-0000-0000-0000F02B0000}"/>
    <cellStyle name="Comma 3 7 3 2 2 2 3" xfId="11246" xr:uid="{00000000-0005-0000-0000-0000F12B0000}"/>
    <cellStyle name="Comma 3 7 3 2 2 2 3 2" xfId="11247" xr:uid="{00000000-0005-0000-0000-0000F22B0000}"/>
    <cellStyle name="Comma 3 7 3 2 2 2 4" xfId="11248" xr:uid="{00000000-0005-0000-0000-0000F32B0000}"/>
    <cellStyle name="Comma 3 7 3 2 2 2 4 2" xfId="11249" xr:uid="{00000000-0005-0000-0000-0000F42B0000}"/>
    <cellStyle name="Comma 3 7 3 2 2 2 5" xfId="11250" xr:uid="{00000000-0005-0000-0000-0000F52B0000}"/>
    <cellStyle name="Comma 3 7 3 2 2 3" xfId="11251" xr:uid="{00000000-0005-0000-0000-0000F62B0000}"/>
    <cellStyle name="Comma 3 7 3 2 2 3 2" xfId="11252" xr:uid="{00000000-0005-0000-0000-0000F72B0000}"/>
    <cellStyle name="Comma 3 7 3 2 2 3 2 2" xfId="11253" xr:uid="{00000000-0005-0000-0000-0000F82B0000}"/>
    <cellStyle name="Comma 3 7 3 2 2 3 3" xfId="11254" xr:uid="{00000000-0005-0000-0000-0000F92B0000}"/>
    <cellStyle name="Comma 3 7 3 2 2 4" xfId="11255" xr:uid="{00000000-0005-0000-0000-0000FA2B0000}"/>
    <cellStyle name="Comma 3 7 3 2 2 4 2" xfId="11256" xr:uid="{00000000-0005-0000-0000-0000FB2B0000}"/>
    <cellStyle name="Comma 3 7 3 2 2 5" xfId="11257" xr:uid="{00000000-0005-0000-0000-0000FC2B0000}"/>
    <cellStyle name="Comma 3 7 3 2 2 5 2" xfId="11258" xr:uid="{00000000-0005-0000-0000-0000FD2B0000}"/>
    <cellStyle name="Comma 3 7 3 2 2 6" xfId="11259" xr:uid="{00000000-0005-0000-0000-0000FE2B0000}"/>
    <cellStyle name="Comma 3 7 3 2 3" xfId="11260" xr:uid="{00000000-0005-0000-0000-0000FF2B0000}"/>
    <cellStyle name="Comma 3 7 3 2 3 2" xfId="11261" xr:uid="{00000000-0005-0000-0000-0000002C0000}"/>
    <cellStyle name="Comma 3 7 3 2 3 2 2" xfId="11262" xr:uid="{00000000-0005-0000-0000-0000012C0000}"/>
    <cellStyle name="Comma 3 7 3 2 3 2 2 2" xfId="11263" xr:uid="{00000000-0005-0000-0000-0000022C0000}"/>
    <cellStyle name="Comma 3 7 3 2 3 2 3" xfId="11264" xr:uid="{00000000-0005-0000-0000-0000032C0000}"/>
    <cellStyle name="Comma 3 7 3 2 3 3" xfId="11265" xr:uid="{00000000-0005-0000-0000-0000042C0000}"/>
    <cellStyle name="Comma 3 7 3 2 3 3 2" xfId="11266" xr:uid="{00000000-0005-0000-0000-0000052C0000}"/>
    <cellStyle name="Comma 3 7 3 2 3 4" xfId="11267" xr:uid="{00000000-0005-0000-0000-0000062C0000}"/>
    <cellStyle name="Comma 3 7 3 2 3 4 2" xfId="11268" xr:uid="{00000000-0005-0000-0000-0000072C0000}"/>
    <cellStyle name="Comma 3 7 3 2 3 5" xfId="11269" xr:uid="{00000000-0005-0000-0000-0000082C0000}"/>
    <cellStyle name="Comma 3 7 3 2 4" xfId="11270" xr:uid="{00000000-0005-0000-0000-0000092C0000}"/>
    <cellStyle name="Comma 3 7 3 2 4 2" xfId="11271" xr:uid="{00000000-0005-0000-0000-00000A2C0000}"/>
    <cellStyle name="Comma 3 7 3 2 4 2 2" xfId="11272" xr:uid="{00000000-0005-0000-0000-00000B2C0000}"/>
    <cellStyle name="Comma 3 7 3 2 4 3" xfId="11273" xr:uid="{00000000-0005-0000-0000-00000C2C0000}"/>
    <cellStyle name="Comma 3 7 3 2 5" xfId="11274" xr:uid="{00000000-0005-0000-0000-00000D2C0000}"/>
    <cellStyle name="Comma 3 7 3 2 5 2" xfId="11275" xr:uid="{00000000-0005-0000-0000-00000E2C0000}"/>
    <cellStyle name="Comma 3 7 3 2 6" xfId="11276" xr:uid="{00000000-0005-0000-0000-00000F2C0000}"/>
    <cellStyle name="Comma 3 7 3 2 6 2" xfId="11277" xr:uid="{00000000-0005-0000-0000-0000102C0000}"/>
    <cellStyle name="Comma 3 7 3 2 7" xfId="11278" xr:uid="{00000000-0005-0000-0000-0000112C0000}"/>
    <cellStyle name="Comma 3 7 3 3" xfId="11279" xr:uid="{00000000-0005-0000-0000-0000122C0000}"/>
    <cellStyle name="Comma 3 7 3 3 2" xfId="11280" xr:uid="{00000000-0005-0000-0000-0000132C0000}"/>
    <cellStyle name="Comma 3 7 3 3 2 2" xfId="11281" xr:uid="{00000000-0005-0000-0000-0000142C0000}"/>
    <cellStyle name="Comma 3 7 3 3 2 2 2" xfId="11282" xr:uid="{00000000-0005-0000-0000-0000152C0000}"/>
    <cellStyle name="Comma 3 7 3 3 2 2 2 2" xfId="11283" xr:uid="{00000000-0005-0000-0000-0000162C0000}"/>
    <cellStyle name="Comma 3 7 3 3 2 2 3" xfId="11284" xr:uid="{00000000-0005-0000-0000-0000172C0000}"/>
    <cellStyle name="Comma 3 7 3 3 2 3" xfId="11285" xr:uid="{00000000-0005-0000-0000-0000182C0000}"/>
    <cellStyle name="Comma 3 7 3 3 2 3 2" xfId="11286" xr:uid="{00000000-0005-0000-0000-0000192C0000}"/>
    <cellStyle name="Comma 3 7 3 3 2 4" xfId="11287" xr:uid="{00000000-0005-0000-0000-00001A2C0000}"/>
    <cellStyle name="Comma 3 7 3 3 2 4 2" xfId="11288" xr:uid="{00000000-0005-0000-0000-00001B2C0000}"/>
    <cellStyle name="Comma 3 7 3 3 2 5" xfId="11289" xr:uid="{00000000-0005-0000-0000-00001C2C0000}"/>
    <cellStyle name="Comma 3 7 3 3 3" xfId="11290" xr:uid="{00000000-0005-0000-0000-00001D2C0000}"/>
    <cellStyle name="Comma 3 7 3 3 3 2" xfId="11291" xr:uid="{00000000-0005-0000-0000-00001E2C0000}"/>
    <cellStyle name="Comma 3 7 3 3 3 2 2" xfId="11292" xr:uid="{00000000-0005-0000-0000-00001F2C0000}"/>
    <cellStyle name="Comma 3 7 3 3 3 3" xfId="11293" xr:uid="{00000000-0005-0000-0000-0000202C0000}"/>
    <cellStyle name="Comma 3 7 3 3 4" xfId="11294" xr:uid="{00000000-0005-0000-0000-0000212C0000}"/>
    <cellStyle name="Comma 3 7 3 3 4 2" xfId="11295" xr:uid="{00000000-0005-0000-0000-0000222C0000}"/>
    <cellStyle name="Comma 3 7 3 3 5" xfId="11296" xr:uid="{00000000-0005-0000-0000-0000232C0000}"/>
    <cellStyle name="Comma 3 7 3 3 5 2" xfId="11297" xr:uid="{00000000-0005-0000-0000-0000242C0000}"/>
    <cellStyle name="Comma 3 7 3 3 6" xfId="11298" xr:uid="{00000000-0005-0000-0000-0000252C0000}"/>
    <cellStyle name="Comma 3 7 3 4" xfId="11299" xr:uid="{00000000-0005-0000-0000-0000262C0000}"/>
    <cellStyle name="Comma 3 7 3 4 2" xfId="11300" xr:uid="{00000000-0005-0000-0000-0000272C0000}"/>
    <cellStyle name="Comma 3 7 3 4 2 2" xfId="11301" xr:uid="{00000000-0005-0000-0000-0000282C0000}"/>
    <cellStyle name="Comma 3 7 3 4 2 2 2" xfId="11302" xr:uid="{00000000-0005-0000-0000-0000292C0000}"/>
    <cellStyle name="Comma 3 7 3 4 2 3" xfId="11303" xr:uid="{00000000-0005-0000-0000-00002A2C0000}"/>
    <cellStyle name="Comma 3 7 3 4 3" xfId="11304" xr:uid="{00000000-0005-0000-0000-00002B2C0000}"/>
    <cellStyle name="Comma 3 7 3 4 3 2" xfId="11305" xr:uid="{00000000-0005-0000-0000-00002C2C0000}"/>
    <cellStyle name="Comma 3 7 3 4 4" xfId="11306" xr:uid="{00000000-0005-0000-0000-00002D2C0000}"/>
    <cellStyle name="Comma 3 7 3 4 4 2" xfId="11307" xr:uid="{00000000-0005-0000-0000-00002E2C0000}"/>
    <cellStyle name="Comma 3 7 3 4 5" xfId="11308" xr:uid="{00000000-0005-0000-0000-00002F2C0000}"/>
    <cellStyle name="Comma 3 7 3 5" xfId="11309" xr:uid="{00000000-0005-0000-0000-0000302C0000}"/>
    <cellStyle name="Comma 3 7 3 5 2" xfId="11310" xr:uid="{00000000-0005-0000-0000-0000312C0000}"/>
    <cellStyle name="Comma 3 7 3 5 2 2" xfId="11311" xr:uid="{00000000-0005-0000-0000-0000322C0000}"/>
    <cellStyle name="Comma 3 7 3 5 3" xfId="11312" xr:uid="{00000000-0005-0000-0000-0000332C0000}"/>
    <cellStyle name="Comma 3 7 3 6" xfId="11313" xr:uid="{00000000-0005-0000-0000-0000342C0000}"/>
    <cellStyle name="Comma 3 7 3 6 2" xfId="11314" xr:uid="{00000000-0005-0000-0000-0000352C0000}"/>
    <cellStyle name="Comma 3 7 3 7" xfId="11315" xr:uid="{00000000-0005-0000-0000-0000362C0000}"/>
    <cellStyle name="Comma 3 7 3 7 2" xfId="11316" xr:uid="{00000000-0005-0000-0000-0000372C0000}"/>
    <cellStyle name="Comma 3 7 3 8" xfId="11317" xr:uid="{00000000-0005-0000-0000-0000382C0000}"/>
    <cellStyle name="Comma 3 7 4" xfId="11318" xr:uid="{00000000-0005-0000-0000-0000392C0000}"/>
    <cellStyle name="Comma 3 7 4 2" xfId="11319" xr:uid="{00000000-0005-0000-0000-00003A2C0000}"/>
    <cellStyle name="Comma 3 7 4 2 2" xfId="11320" xr:uid="{00000000-0005-0000-0000-00003B2C0000}"/>
    <cellStyle name="Comma 3 7 4 2 2 2" xfId="11321" xr:uid="{00000000-0005-0000-0000-00003C2C0000}"/>
    <cellStyle name="Comma 3 7 4 2 2 2 2" xfId="11322" xr:uid="{00000000-0005-0000-0000-00003D2C0000}"/>
    <cellStyle name="Comma 3 7 4 2 2 2 2 2" xfId="11323" xr:uid="{00000000-0005-0000-0000-00003E2C0000}"/>
    <cellStyle name="Comma 3 7 4 2 2 2 3" xfId="11324" xr:uid="{00000000-0005-0000-0000-00003F2C0000}"/>
    <cellStyle name="Comma 3 7 4 2 2 3" xfId="11325" xr:uid="{00000000-0005-0000-0000-0000402C0000}"/>
    <cellStyle name="Comma 3 7 4 2 2 3 2" xfId="11326" xr:uid="{00000000-0005-0000-0000-0000412C0000}"/>
    <cellStyle name="Comma 3 7 4 2 2 4" xfId="11327" xr:uid="{00000000-0005-0000-0000-0000422C0000}"/>
    <cellStyle name="Comma 3 7 4 2 2 4 2" xfId="11328" xr:uid="{00000000-0005-0000-0000-0000432C0000}"/>
    <cellStyle name="Comma 3 7 4 2 2 5" xfId="11329" xr:uid="{00000000-0005-0000-0000-0000442C0000}"/>
    <cellStyle name="Comma 3 7 4 2 3" xfId="11330" xr:uid="{00000000-0005-0000-0000-0000452C0000}"/>
    <cellStyle name="Comma 3 7 4 2 3 2" xfId="11331" xr:uid="{00000000-0005-0000-0000-0000462C0000}"/>
    <cellStyle name="Comma 3 7 4 2 3 2 2" xfId="11332" xr:uid="{00000000-0005-0000-0000-0000472C0000}"/>
    <cellStyle name="Comma 3 7 4 2 3 3" xfId="11333" xr:uid="{00000000-0005-0000-0000-0000482C0000}"/>
    <cellStyle name="Comma 3 7 4 2 4" xfId="11334" xr:uid="{00000000-0005-0000-0000-0000492C0000}"/>
    <cellStyle name="Comma 3 7 4 2 4 2" xfId="11335" xr:uid="{00000000-0005-0000-0000-00004A2C0000}"/>
    <cellStyle name="Comma 3 7 4 2 5" xfId="11336" xr:uid="{00000000-0005-0000-0000-00004B2C0000}"/>
    <cellStyle name="Comma 3 7 4 2 5 2" xfId="11337" xr:uid="{00000000-0005-0000-0000-00004C2C0000}"/>
    <cellStyle name="Comma 3 7 4 2 6" xfId="11338" xr:uid="{00000000-0005-0000-0000-00004D2C0000}"/>
    <cellStyle name="Comma 3 7 4 3" xfId="11339" xr:uid="{00000000-0005-0000-0000-00004E2C0000}"/>
    <cellStyle name="Comma 3 7 4 3 2" xfId="11340" xr:uid="{00000000-0005-0000-0000-00004F2C0000}"/>
    <cellStyle name="Comma 3 7 4 3 2 2" xfId="11341" xr:uid="{00000000-0005-0000-0000-0000502C0000}"/>
    <cellStyle name="Comma 3 7 4 3 2 2 2" xfId="11342" xr:uid="{00000000-0005-0000-0000-0000512C0000}"/>
    <cellStyle name="Comma 3 7 4 3 2 3" xfId="11343" xr:uid="{00000000-0005-0000-0000-0000522C0000}"/>
    <cellStyle name="Comma 3 7 4 3 3" xfId="11344" xr:uid="{00000000-0005-0000-0000-0000532C0000}"/>
    <cellStyle name="Comma 3 7 4 3 3 2" xfId="11345" xr:uid="{00000000-0005-0000-0000-0000542C0000}"/>
    <cellStyle name="Comma 3 7 4 3 4" xfId="11346" xr:uid="{00000000-0005-0000-0000-0000552C0000}"/>
    <cellStyle name="Comma 3 7 4 3 4 2" xfId="11347" xr:uid="{00000000-0005-0000-0000-0000562C0000}"/>
    <cellStyle name="Comma 3 7 4 3 5" xfId="11348" xr:uid="{00000000-0005-0000-0000-0000572C0000}"/>
    <cellStyle name="Comma 3 7 4 4" xfId="11349" xr:uid="{00000000-0005-0000-0000-0000582C0000}"/>
    <cellStyle name="Comma 3 7 4 4 2" xfId="11350" xr:uid="{00000000-0005-0000-0000-0000592C0000}"/>
    <cellStyle name="Comma 3 7 4 4 2 2" xfId="11351" xr:uid="{00000000-0005-0000-0000-00005A2C0000}"/>
    <cellStyle name="Comma 3 7 4 4 3" xfId="11352" xr:uid="{00000000-0005-0000-0000-00005B2C0000}"/>
    <cellStyle name="Comma 3 7 4 5" xfId="11353" xr:uid="{00000000-0005-0000-0000-00005C2C0000}"/>
    <cellStyle name="Comma 3 7 4 5 2" xfId="11354" xr:uid="{00000000-0005-0000-0000-00005D2C0000}"/>
    <cellStyle name="Comma 3 7 4 6" xfId="11355" xr:uid="{00000000-0005-0000-0000-00005E2C0000}"/>
    <cellStyle name="Comma 3 7 4 6 2" xfId="11356" xr:uid="{00000000-0005-0000-0000-00005F2C0000}"/>
    <cellStyle name="Comma 3 7 4 7" xfId="11357" xr:uid="{00000000-0005-0000-0000-0000602C0000}"/>
    <cellStyle name="Comma 3 7 5" xfId="11358" xr:uid="{00000000-0005-0000-0000-0000612C0000}"/>
    <cellStyle name="Comma 3 7 5 2" xfId="11359" xr:uid="{00000000-0005-0000-0000-0000622C0000}"/>
    <cellStyle name="Comma 3 7 5 2 2" xfId="11360" xr:uid="{00000000-0005-0000-0000-0000632C0000}"/>
    <cellStyle name="Comma 3 7 5 2 2 2" xfId="11361" xr:uid="{00000000-0005-0000-0000-0000642C0000}"/>
    <cellStyle name="Comma 3 7 5 2 2 2 2" xfId="11362" xr:uid="{00000000-0005-0000-0000-0000652C0000}"/>
    <cellStyle name="Comma 3 7 5 2 2 2 2 2" xfId="11363" xr:uid="{00000000-0005-0000-0000-0000662C0000}"/>
    <cellStyle name="Comma 3 7 5 2 2 2 3" xfId="11364" xr:uid="{00000000-0005-0000-0000-0000672C0000}"/>
    <cellStyle name="Comma 3 7 5 2 2 3" xfId="11365" xr:uid="{00000000-0005-0000-0000-0000682C0000}"/>
    <cellStyle name="Comma 3 7 5 2 2 3 2" xfId="11366" xr:uid="{00000000-0005-0000-0000-0000692C0000}"/>
    <cellStyle name="Comma 3 7 5 2 2 4" xfId="11367" xr:uid="{00000000-0005-0000-0000-00006A2C0000}"/>
    <cellStyle name="Comma 3 7 5 2 2 4 2" xfId="11368" xr:uid="{00000000-0005-0000-0000-00006B2C0000}"/>
    <cellStyle name="Comma 3 7 5 2 2 5" xfId="11369" xr:uid="{00000000-0005-0000-0000-00006C2C0000}"/>
    <cellStyle name="Comma 3 7 5 2 3" xfId="11370" xr:uid="{00000000-0005-0000-0000-00006D2C0000}"/>
    <cellStyle name="Comma 3 7 5 2 3 2" xfId="11371" xr:uid="{00000000-0005-0000-0000-00006E2C0000}"/>
    <cellStyle name="Comma 3 7 5 2 3 2 2" xfId="11372" xr:uid="{00000000-0005-0000-0000-00006F2C0000}"/>
    <cellStyle name="Comma 3 7 5 2 3 3" xfId="11373" xr:uid="{00000000-0005-0000-0000-0000702C0000}"/>
    <cellStyle name="Comma 3 7 5 2 4" xfId="11374" xr:uid="{00000000-0005-0000-0000-0000712C0000}"/>
    <cellStyle name="Comma 3 7 5 2 4 2" xfId="11375" xr:uid="{00000000-0005-0000-0000-0000722C0000}"/>
    <cellStyle name="Comma 3 7 5 2 5" xfId="11376" xr:uid="{00000000-0005-0000-0000-0000732C0000}"/>
    <cellStyle name="Comma 3 7 5 2 5 2" xfId="11377" xr:uid="{00000000-0005-0000-0000-0000742C0000}"/>
    <cellStyle name="Comma 3 7 5 2 6" xfId="11378" xr:uid="{00000000-0005-0000-0000-0000752C0000}"/>
    <cellStyle name="Comma 3 7 5 3" xfId="11379" xr:uid="{00000000-0005-0000-0000-0000762C0000}"/>
    <cellStyle name="Comma 3 7 5 3 2" xfId="11380" xr:uid="{00000000-0005-0000-0000-0000772C0000}"/>
    <cellStyle name="Comma 3 7 5 3 2 2" xfId="11381" xr:uid="{00000000-0005-0000-0000-0000782C0000}"/>
    <cellStyle name="Comma 3 7 5 3 2 2 2" xfId="11382" xr:uid="{00000000-0005-0000-0000-0000792C0000}"/>
    <cellStyle name="Comma 3 7 5 3 2 3" xfId="11383" xr:uid="{00000000-0005-0000-0000-00007A2C0000}"/>
    <cellStyle name="Comma 3 7 5 3 3" xfId="11384" xr:uid="{00000000-0005-0000-0000-00007B2C0000}"/>
    <cellStyle name="Comma 3 7 5 3 3 2" xfId="11385" xr:uid="{00000000-0005-0000-0000-00007C2C0000}"/>
    <cellStyle name="Comma 3 7 5 3 4" xfId="11386" xr:uid="{00000000-0005-0000-0000-00007D2C0000}"/>
    <cellStyle name="Comma 3 7 5 3 4 2" xfId="11387" xr:uid="{00000000-0005-0000-0000-00007E2C0000}"/>
    <cellStyle name="Comma 3 7 5 3 5" xfId="11388" xr:uid="{00000000-0005-0000-0000-00007F2C0000}"/>
    <cellStyle name="Comma 3 7 5 4" xfId="11389" xr:uid="{00000000-0005-0000-0000-0000802C0000}"/>
    <cellStyle name="Comma 3 7 5 4 2" xfId="11390" xr:uid="{00000000-0005-0000-0000-0000812C0000}"/>
    <cellStyle name="Comma 3 7 5 4 2 2" xfId="11391" xr:uid="{00000000-0005-0000-0000-0000822C0000}"/>
    <cellStyle name="Comma 3 7 5 4 3" xfId="11392" xr:uid="{00000000-0005-0000-0000-0000832C0000}"/>
    <cellStyle name="Comma 3 7 5 5" xfId="11393" xr:uid="{00000000-0005-0000-0000-0000842C0000}"/>
    <cellStyle name="Comma 3 7 5 5 2" xfId="11394" xr:uid="{00000000-0005-0000-0000-0000852C0000}"/>
    <cellStyle name="Comma 3 7 5 6" xfId="11395" xr:uid="{00000000-0005-0000-0000-0000862C0000}"/>
    <cellStyle name="Comma 3 7 5 6 2" xfId="11396" xr:uid="{00000000-0005-0000-0000-0000872C0000}"/>
    <cellStyle name="Comma 3 7 5 7" xfId="11397" xr:uid="{00000000-0005-0000-0000-0000882C0000}"/>
    <cellStyle name="Comma 3 7 6" xfId="11398" xr:uid="{00000000-0005-0000-0000-0000892C0000}"/>
    <cellStyle name="Comma 3 7 6 2" xfId="11399" xr:uid="{00000000-0005-0000-0000-00008A2C0000}"/>
    <cellStyle name="Comma 3 7 6 2 2" xfId="11400" xr:uid="{00000000-0005-0000-0000-00008B2C0000}"/>
    <cellStyle name="Comma 3 7 6 2 2 2" xfId="11401" xr:uid="{00000000-0005-0000-0000-00008C2C0000}"/>
    <cellStyle name="Comma 3 7 6 2 2 2 2" xfId="11402" xr:uid="{00000000-0005-0000-0000-00008D2C0000}"/>
    <cellStyle name="Comma 3 7 6 2 2 3" xfId="11403" xr:uid="{00000000-0005-0000-0000-00008E2C0000}"/>
    <cellStyle name="Comma 3 7 6 2 3" xfId="11404" xr:uid="{00000000-0005-0000-0000-00008F2C0000}"/>
    <cellStyle name="Comma 3 7 6 2 3 2" xfId="11405" xr:uid="{00000000-0005-0000-0000-0000902C0000}"/>
    <cellStyle name="Comma 3 7 6 2 4" xfId="11406" xr:uid="{00000000-0005-0000-0000-0000912C0000}"/>
    <cellStyle name="Comma 3 7 6 2 4 2" xfId="11407" xr:uid="{00000000-0005-0000-0000-0000922C0000}"/>
    <cellStyle name="Comma 3 7 6 2 5" xfId="11408" xr:uid="{00000000-0005-0000-0000-0000932C0000}"/>
    <cellStyle name="Comma 3 7 6 3" xfId="11409" xr:uid="{00000000-0005-0000-0000-0000942C0000}"/>
    <cellStyle name="Comma 3 7 6 3 2" xfId="11410" xr:uid="{00000000-0005-0000-0000-0000952C0000}"/>
    <cellStyle name="Comma 3 7 6 3 2 2" xfId="11411" xr:uid="{00000000-0005-0000-0000-0000962C0000}"/>
    <cellStyle name="Comma 3 7 6 3 3" xfId="11412" xr:uid="{00000000-0005-0000-0000-0000972C0000}"/>
    <cellStyle name="Comma 3 7 6 4" xfId="11413" xr:uid="{00000000-0005-0000-0000-0000982C0000}"/>
    <cellStyle name="Comma 3 7 6 4 2" xfId="11414" xr:uid="{00000000-0005-0000-0000-0000992C0000}"/>
    <cellStyle name="Comma 3 7 6 5" xfId="11415" xr:uid="{00000000-0005-0000-0000-00009A2C0000}"/>
    <cellStyle name="Comma 3 7 6 5 2" xfId="11416" xr:uid="{00000000-0005-0000-0000-00009B2C0000}"/>
    <cellStyle name="Comma 3 7 6 6" xfId="11417" xr:uid="{00000000-0005-0000-0000-00009C2C0000}"/>
    <cellStyle name="Comma 3 7 7" xfId="11418" xr:uid="{00000000-0005-0000-0000-00009D2C0000}"/>
    <cellStyle name="Comma 3 7 7 2" xfId="11419" xr:uid="{00000000-0005-0000-0000-00009E2C0000}"/>
    <cellStyle name="Comma 3 7 7 2 2" xfId="11420" xr:uid="{00000000-0005-0000-0000-00009F2C0000}"/>
    <cellStyle name="Comma 3 7 7 2 2 2" xfId="11421" xr:uid="{00000000-0005-0000-0000-0000A02C0000}"/>
    <cellStyle name="Comma 3 7 7 2 3" xfId="11422" xr:uid="{00000000-0005-0000-0000-0000A12C0000}"/>
    <cellStyle name="Comma 3 7 7 3" xfId="11423" xr:uid="{00000000-0005-0000-0000-0000A22C0000}"/>
    <cellStyle name="Comma 3 7 7 3 2" xfId="11424" xr:uid="{00000000-0005-0000-0000-0000A32C0000}"/>
    <cellStyle name="Comma 3 7 7 4" xfId="11425" xr:uid="{00000000-0005-0000-0000-0000A42C0000}"/>
    <cellStyle name="Comma 3 7 7 4 2" xfId="11426" xr:uid="{00000000-0005-0000-0000-0000A52C0000}"/>
    <cellStyle name="Comma 3 7 7 5" xfId="11427" xr:uid="{00000000-0005-0000-0000-0000A62C0000}"/>
    <cellStyle name="Comma 3 7 8" xfId="11428" xr:uid="{00000000-0005-0000-0000-0000A72C0000}"/>
    <cellStyle name="Comma 3 7 8 2" xfId="11429" xr:uid="{00000000-0005-0000-0000-0000A82C0000}"/>
    <cellStyle name="Comma 3 7 8 2 2" xfId="11430" xr:uid="{00000000-0005-0000-0000-0000A92C0000}"/>
    <cellStyle name="Comma 3 7 8 3" xfId="11431" xr:uid="{00000000-0005-0000-0000-0000AA2C0000}"/>
    <cellStyle name="Comma 3 7 9" xfId="11432" xr:uid="{00000000-0005-0000-0000-0000AB2C0000}"/>
    <cellStyle name="Comma 3 7 9 2" xfId="11433" xr:uid="{00000000-0005-0000-0000-0000AC2C0000}"/>
    <cellStyle name="Comma 3 8" xfId="11434" xr:uid="{00000000-0005-0000-0000-0000AD2C0000}"/>
    <cellStyle name="Comma 3 8 2" xfId="11435" xr:uid="{00000000-0005-0000-0000-0000AE2C0000}"/>
    <cellStyle name="Comma 3 8 2 2" xfId="11436" xr:uid="{00000000-0005-0000-0000-0000AF2C0000}"/>
    <cellStyle name="Comma 3 8 2 2 2" xfId="11437" xr:uid="{00000000-0005-0000-0000-0000B02C0000}"/>
    <cellStyle name="Comma 3 8 2 2 2 2" xfId="11438" xr:uid="{00000000-0005-0000-0000-0000B12C0000}"/>
    <cellStyle name="Comma 3 8 2 2 2 2 2" xfId="11439" xr:uid="{00000000-0005-0000-0000-0000B22C0000}"/>
    <cellStyle name="Comma 3 8 2 2 2 2 2 2" xfId="11440" xr:uid="{00000000-0005-0000-0000-0000B32C0000}"/>
    <cellStyle name="Comma 3 8 2 2 2 2 3" xfId="11441" xr:uid="{00000000-0005-0000-0000-0000B42C0000}"/>
    <cellStyle name="Comma 3 8 2 2 2 3" xfId="11442" xr:uid="{00000000-0005-0000-0000-0000B52C0000}"/>
    <cellStyle name="Comma 3 8 2 2 2 3 2" xfId="11443" xr:uid="{00000000-0005-0000-0000-0000B62C0000}"/>
    <cellStyle name="Comma 3 8 2 2 2 4" xfId="11444" xr:uid="{00000000-0005-0000-0000-0000B72C0000}"/>
    <cellStyle name="Comma 3 8 2 2 2 4 2" xfId="11445" xr:uid="{00000000-0005-0000-0000-0000B82C0000}"/>
    <cellStyle name="Comma 3 8 2 2 2 5" xfId="11446" xr:uid="{00000000-0005-0000-0000-0000B92C0000}"/>
    <cellStyle name="Comma 3 8 2 2 3" xfId="11447" xr:uid="{00000000-0005-0000-0000-0000BA2C0000}"/>
    <cellStyle name="Comma 3 8 2 2 3 2" xfId="11448" xr:uid="{00000000-0005-0000-0000-0000BB2C0000}"/>
    <cellStyle name="Comma 3 8 2 2 3 2 2" xfId="11449" xr:uid="{00000000-0005-0000-0000-0000BC2C0000}"/>
    <cellStyle name="Comma 3 8 2 2 3 3" xfId="11450" xr:uid="{00000000-0005-0000-0000-0000BD2C0000}"/>
    <cellStyle name="Comma 3 8 2 2 4" xfId="11451" xr:uid="{00000000-0005-0000-0000-0000BE2C0000}"/>
    <cellStyle name="Comma 3 8 2 2 4 2" xfId="11452" xr:uid="{00000000-0005-0000-0000-0000BF2C0000}"/>
    <cellStyle name="Comma 3 8 2 2 5" xfId="11453" xr:uid="{00000000-0005-0000-0000-0000C02C0000}"/>
    <cellStyle name="Comma 3 8 2 2 5 2" xfId="11454" xr:uid="{00000000-0005-0000-0000-0000C12C0000}"/>
    <cellStyle name="Comma 3 8 2 2 6" xfId="11455" xr:uid="{00000000-0005-0000-0000-0000C22C0000}"/>
    <cellStyle name="Comma 3 8 2 3" xfId="11456" xr:uid="{00000000-0005-0000-0000-0000C32C0000}"/>
    <cellStyle name="Comma 3 8 2 3 2" xfId="11457" xr:uid="{00000000-0005-0000-0000-0000C42C0000}"/>
    <cellStyle name="Comma 3 8 2 3 2 2" xfId="11458" xr:uid="{00000000-0005-0000-0000-0000C52C0000}"/>
    <cellStyle name="Comma 3 8 2 3 2 2 2" xfId="11459" xr:uid="{00000000-0005-0000-0000-0000C62C0000}"/>
    <cellStyle name="Comma 3 8 2 3 2 3" xfId="11460" xr:uid="{00000000-0005-0000-0000-0000C72C0000}"/>
    <cellStyle name="Comma 3 8 2 3 3" xfId="11461" xr:uid="{00000000-0005-0000-0000-0000C82C0000}"/>
    <cellStyle name="Comma 3 8 2 3 3 2" xfId="11462" xr:uid="{00000000-0005-0000-0000-0000C92C0000}"/>
    <cellStyle name="Comma 3 8 2 3 4" xfId="11463" xr:uid="{00000000-0005-0000-0000-0000CA2C0000}"/>
    <cellStyle name="Comma 3 8 2 3 4 2" xfId="11464" xr:uid="{00000000-0005-0000-0000-0000CB2C0000}"/>
    <cellStyle name="Comma 3 8 2 3 5" xfId="11465" xr:uid="{00000000-0005-0000-0000-0000CC2C0000}"/>
    <cellStyle name="Comma 3 8 2 4" xfId="11466" xr:uid="{00000000-0005-0000-0000-0000CD2C0000}"/>
    <cellStyle name="Comma 3 8 2 4 2" xfId="11467" xr:uid="{00000000-0005-0000-0000-0000CE2C0000}"/>
    <cellStyle name="Comma 3 8 2 4 2 2" xfId="11468" xr:uid="{00000000-0005-0000-0000-0000CF2C0000}"/>
    <cellStyle name="Comma 3 8 2 4 3" xfId="11469" xr:uid="{00000000-0005-0000-0000-0000D02C0000}"/>
    <cellStyle name="Comma 3 8 2 5" xfId="11470" xr:uid="{00000000-0005-0000-0000-0000D12C0000}"/>
    <cellStyle name="Comma 3 8 2 5 2" xfId="11471" xr:uid="{00000000-0005-0000-0000-0000D22C0000}"/>
    <cellStyle name="Comma 3 8 2 6" xfId="11472" xr:uid="{00000000-0005-0000-0000-0000D32C0000}"/>
    <cellStyle name="Comma 3 8 2 6 2" xfId="11473" xr:uid="{00000000-0005-0000-0000-0000D42C0000}"/>
    <cellStyle name="Comma 3 8 2 7" xfId="11474" xr:uid="{00000000-0005-0000-0000-0000D52C0000}"/>
    <cellStyle name="Comma 3 8 3" xfId="11475" xr:uid="{00000000-0005-0000-0000-0000D62C0000}"/>
    <cellStyle name="Comma 3 8 3 2" xfId="11476" xr:uid="{00000000-0005-0000-0000-0000D72C0000}"/>
    <cellStyle name="Comma 3 8 3 2 2" xfId="11477" xr:uid="{00000000-0005-0000-0000-0000D82C0000}"/>
    <cellStyle name="Comma 3 8 3 2 2 2" xfId="11478" xr:uid="{00000000-0005-0000-0000-0000D92C0000}"/>
    <cellStyle name="Comma 3 8 3 2 2 2 2" xfId="11479" xr:uid="{00000000-0005-0000-0000-0000DA2C0000}"/>
    <cellStyle name="Comma 3 8 3 2 2 2 2 2" xfId="11480" xr:uid="{00000000-0005-0000-0000-0000DB2C0000}"/>
    <cellStyle name="Comma 3 8 3 2 2 2 3" xfId="11481" xr:uid="{00000000-0005-0000-0000-0000DC2C0000}"/>
    <cellStyle name="Comma 3 8 3 2 2 3" xfId="11482" xr:uid="{00000000-0005-0000-0000-0000DD2C0000}"/>
    <cellStyle name="Comma 3 8 3 2 2 3 2" xfId="11483" xr:uid="{00000000-0005-0000-0000-0000DE2C0000}"/>
    <cellStyle name="Comma 3 8 3 2 2 4" xfId="11484" xr:uid="{00000000-0005-0000-0000-0000DF2C0000}"/>
    <cellStyle name="Comma 3 8 3 2 2 4 2" xfId="11485" xr:uid="{00000000-0005-0000-0000-0000E02C0000}"/>
    <cellStyle name="Comma 3 8 3 2 2 5" xfId="11486" xr:uid="{00000000-0005-0000-0000-0000E12C0000}"/>
    <cellStyle name="Comma 3 8 3 2 3" xfId="11487" xr:uid="{00000000-0005-0000-0000-0000E22C0000}"/>
    <cellStyle name="Comma 3 8 3 2 3 2" xfId="11488" xr:uid="{00000000-0005-0000-0000-0000E32C0000}"/>
    <cellStyle name="Comma 3 8 3 2 3 2 2" xfId="11489" xr:uid="{00000000-0005-0000-0000-0000E42C0000}"/>
    <cellStyle name="Comma 3 8 3 2 3 3" xfId="11490" xr:uid="{00000000-0005-0000-0000-0000E52C0000}"/>
    <cellStyle name="Comma 3 8 3 2 4" xfId="11491" xr:uid="{00000000-0005-0000-0000-0000E62C0000}"/>
    <cellStyle name="Comma 3 8 3 2 4 2" xfId="11492" xr:uid="{00000000-0005-0000-0000-0000E72C0000}"/>
    <cellStyle name="Comma 3 8 3 2 5" xfId="11493" xr:uid="{00000000-0005-0000-0000-0000E82C0000}"/>
    <cellStyle name="Comma 3 8 3 2 5 2" xfId="11494" xr:uid="{00000000-0005-0000-0000-0000E92C0000}"/>
    <cellStyle name="Comma 3 8 3 2 6" xfId="11495" xr:uid="{00000000-0005-0000-0000-0000EA2C0000}"/>
    <cellStyle name="Comma 3 8 3 3" xfId="11496" xr:uid="{00000000-0005-0000-0000-0000EB2C0000}"/>
    <cellStyle name="Comma 3 8 3 3 2" xfId="11497" xr:uid="{00000000-0005-0000-0000-0000EC2C0000}"/>
    <cellStyle name="Comma 3 8 3 3 2 2" xfId="11498" xr:uid="{00000000-0005-0000-0000-0000ED2C0000}"/>
    <cellStyle name="Comma 3 8 3 3 2 2 2" xfId="11499" xr:uid="{00000000-0005-0000-0000-0000EE2C0000}"/>
    <cellStyle name="Comma 3 8 3 3 2 3" xfId="11500" xr:uid="{00000000-0005-0000-0000-0000EF2C0000}"/>
    <cellStyle name="Comma 3 8 3 3 3" xfId="11501" xr:uid="{00000000-0005-0000-0000-0000F02C0000}"/>
    <cellStyle name="Comma 3 8 3 3 3 2" xfId="11502" xr:uid="{00000000-0005-0000-0000-0000F12C0000}"/>
    <cellStyle name="Comma 3 8 3 3 4" xfId="11503" xr:uid="{00000000-0005-0000-0000-0000F22C0000}"/>
    <cellStyle name="Comma 3 8 3 3 4 2" xfId="11504" xr:uid="{00000000-0005-0000-0000-0000F32C0000}"/>
    <cellStyle name="Comma 3 8 3 3 5" xfId="11505" xr:uid="{00000000-0005-0000-0000-0000F42C0000}"/>
    <cellStyle name="Comma 3 8 3 4" xfId="11506" xr:uid="{00000000-0005-0000-0000-0000F52C0000}"/>
    <cellStyle name="Comma 3 8 3 4 2" xfId="11507" xr:uid="{00000000-0005-0000-0000-0000F62C0000}"/>
    <cellStyle name="Comma 3 8 3 4 2 2" xfId="11508" xr:uid="{00000000-0005-0000-0000-0000F72C0000}"/>
    <cellStyle name="Comma 3 8 3 4 3" xfId="11509" xr:uid="{00000000-0005-0000-0000-0000F82C0000}"/>
    <cellStyle name="Comma 3 8 3 5" xfId="11510" xr:uid="{00000000-0005-0000-0000-0000F92C0000}"/>
    <cellStyle name="Comma 3 8 3 5 2" xfId="11511" xr:uid="{00000000-0005-0000-0000-0000FA2C0000}"/>
    <cellStyle name="Comma 3 8 3 6" xfId="11512" xr:uid="{00000000-0005-0000-0000-0000FB2C0000}"/>
    <cellStyle name="Comma 3 8 3 6 2" xfId="11513" xr:uid="{00000000-0005-0000-0000-0000FC2C0000}"/>
    <cellStyle name="Comma 3 8 3 7" xfId="11514" xr:uid="{00000000-0005-0000-0000-0000FD2C0000}"/>
    <cellStyle name="Comma 3 8 4" xfId="11515" xr:uid="{00000000-0005-0000-0000-0000FE2C0000}"/>
    <cellStyle name="Comma 3 8 4 2" xfId="11516" xr:uid="{00000000-0005-0000-0000-0000FF2C0000}"/>
    <cellStyle name="Comma 3 8 4 2 2" xfId="11517" xr:uid="{00000000-0005-0000-0000-0000002D0000}"/>
    <cellStyle name="Comma 3 8 4 2 2 2" xfId="11518" xr:uid="{00000000-0005-0000-0000-0000012D0000}"/>
    <cellStyle name="Comma 3 8 4 2 2 2 2" xfId="11519" xr:uid="{00000000-0005-0000-0000-0000022D0000}"/>
    <cellStyle name="Comma 3 8 4 2 2 3" xfId="11520" xr:uid="{00000000-0005-0000-0000-0000032D0000}"/>
    <cellStyle name="Comma 3 8 4 2 3" xfId="11521" xr:uid="{00000000-0005-0000-0000-0000042D0000}"/>
    <cellStyle name="Comma 3 8 4 2 3 2" xfId="11522" xr:uid="{00000000-0005-0000-0000-0000052D0000}"/>
    <cellStyle name="Comma 3 8 4 2 4" xfId="11523" xr:uid="{00000000-0005-0000-0000-0000062D0000}"/>
    <cellStyle name="Comma 3 8 4 2 4 2" xfId="11524" xr:uid="{00000000-0005-0000-0000-0000072D0000}"/>
    <cellStyle name="Comma 3 8 4 2 5" xfId="11525" xr:uid="{00000000-0005-0000-0000-0000082D0000}"/>
    <cellStyle name="Comma 3 8 4 3" xfId="11526" xr:uid="{00000000-0005-0000-0000-0000092D0000}"/>
    <cellStyle name="Comma 3 8 4 3 2" xfId="11527" xr:uid="{00000000-0005-0000-0000-00000A2D0000}"/>
    <cellStyle name="Comma 3 8 4 3 2 2" xfId="11528" xr:uid="{00000000-0005-0000-0000-00000B2D0000}"/>
    <cellStyle name="Comma 3 8 4 3 3" xfId="11529" xr:uid="{00000000-0005-0000-0000-00000C2D0000}"/>
    <cellStyle name="Comma 3 8 4 4" xfId="11530" xr:uid="{00000000-0005-0000-0000-00000D2D0000}"/>
    <cellStyle name="Comma 3 8 4 4 2" xfId="11531" xr:uid="{00000000-0005-0000-0000-00000E2D0000}"/>
    <cellStyle name="Comma 3 8 4 5" xfId="11532" xr:uid="{00000000-0005-0000-0000-00000F2D0000}"/>
    <cellStyle name="Comma 3 8 4 5 2" xfId="11533" xr:uid="{00000000-0005-0000-0000-0000102D0000}"/>
    <cellStyle name="Comma 3 8 4 6" xfId="11534" xr:uid="{00000000-0005-0000-0000-0000112D0000}"/>
    <cellStyle name="Comma 3 8 5" xfId="11535" xr:uid="{00000000-0005-0000-0000-0000122D0000}"/>
    <cellStyle name="Comma 3 8 5 2" xfId="11536" xr:uid="{00000000-0005-0000-0000-0000132D0000}"/>
    <cellStyle name="Comma 3 8 5 2 2" xfId="11537" xr:uid="{00000000-0005-0000-0000-0000142D0000}"/>
    <cellStyle name="Comma 3 8 5 2 2 2" xfId="11538" xr:uid="{00000000-0005-0000-0000-0000152D0000}"/>
    <cellStyle name="Comma 3 8 5 2 3" xfId="11539" xr:uid="{00000000-0005-0000-0000-0000162D0000}"/>
    <cellStyle name="Comma 3 8 5 3" xfId="11540" xr:uid="{00000000-0005-0000-0000-0000172D0000}"/>
    <cellStyle name="Comma 3 8 5 3 2" xfId="11541" xr:uid="{00000000-0005-0000-0000-0000182D0000}"/>
    <cellStyle name="Comma 3 8 5 4" xfId="11542" xr:uid="{00000000-0005-0000-0000-0000192D0000}"/>
    <cellStyle name="Comma 3 8 5 4 2" xfId="11543" xr:uid="{00000000-0005-0000-0000-00001A2D0000}"/>
    <cellStyle name="Comma 3 8 5 5" xfId="11544" xr:uid="{00000000-0005-0000-0000-00001B2D0000}"/>
    <cellStyle name="Comma 3 8 6" xfId="11545" xr:uid="{00000000-0005-0000-0000-00001C2D0000}"/>
    <cellStyle name="Comma 3 8 6 2" xfId="11546" xr:uid="{00000000-0005-0000-0000-00001D2D0000}"/>
    <cellStyle name="Comma 3 8 6 2 2" xfId="11547" xr:uid="{00000000-0005-0000-0000-00001E2D0000}"/>
    <cellStyle name="Comma 3 8 6 3" xfId="11548" xr:uid="{00000000-0005-0000-0000-00001F2D0000}"/>
    <cellStyle name="Comma 3 8 7" xfId="11549" xr:uid="{00000000-0005-0000-0000-0000202D0000}"/>
    <cellStyle name="Comma 3 8 7 2" xfId="11550" xr:uid="{00000000-0005-0000-0000-0000212D0000}"/>
    <cellStyle name="Comma 3 8 8" xfId="11551" xr:uid="{00000000-0005-0000-0000-0000222D0000}"/>
    <cellStyle name="Comma 3 8 8 2" xfId="11552" xr:uid="{00000000-0005-0000-0000-0000232D0000}"/>
    <cellStyle name="Comma 3 8 9" xfId="11553" xr:uid="{00000000-0005-0000-0000-0000242D0000}"/>
    <cellStyle name="Comma 3 9" xfId="11554" xr:uid="{00000000-0005-0000-0000-0000252D0000}"/>
    <cellStyle name="Comma 3 9 2" xfId="11555" xr:uid="{00000000-0005-0000-0000-0000262D0000}"/>
    <cellStyle name="Comma 3 9 2 2" xfId="11556" xr:uid="{00000000-0005-0000-0000-0000272D0000}"/>
    <cellStyle name="Comma 3 9 2 2 2" xfId="11557" xr:uid="{00000000-0005-0000-0000-0000282D0000}"/>
    <cellStyle name="Comma 3 9 2 2 2 2" xfId="11558" xr:uid="{00000000-0005-0000-0000-0000292D0000}"/>
    <cellStyle name="Comma 3 9 2 2 2 2 2" xfId="11559" xr:uid="{00000000-0005-0000-0000-00002A2D0000}"/>
    <cellStyle name="Comma 3 9 2 2 2 2 2 2" xfId="11560" xr:uid="{00000000-0005-0000-0000-00002B2D0000}"/>
    <cellStyle name="Comma 3 9 2 2 2 2 3" xfId="11561" xr:uid="{00000000-0005-0000-0000-00002C2D0000}"/>
    <cellStyle name="Comma 3 9 2 2 2 3" xfId="11562" xr:uid="{00000000-0005-0000-0000-00002D2D0000}"/>
    <cellStyle name="Comma 3 9 2 2 2 3 2" xfId="11563" xr:uid="{00000000-0005-0000-0000-00002E2D0000}"/>
    <cellStyle name="Comma 3 9 2 2 2 4" xfId="11564" xr:uid="{00000000-0005-0000-0000-00002F2D0000}"/>
    <cellStyle name="Comma 3 9 2 2 2 4 2" xfId="11565" xr:uid="{00000000-0005-0000-0000-0000302D0000}"/>
    <cellStyle name="Comma 3 9 2 2 2 5" xfId="11566" xr:uid="{00000000-0005-0000-0000-0000312D0000}"/>
    <cellStyle name="Comma 3 9 2 2 3" xfId="11567" xr:uid="{00000000-0005-0000-0000-0000322D0000}"/>
    <cellStyle name="Comma 3 9 2 2 3 2" xfId="11568" xr:uid="{00000000-0005-0000-0000-0000332D0000}"/>
    <cellStyle name="Comma 3 9 2 2 3 2 2" xfId="11569" xr:uid="{00000000-0005-0000-0000-0000342D0000}"/>
    <cellStyle name="Comma 3 9 2 2 3 3" xfId="11570" xr:uid="{00000000-0005-0000-0000-0000352D0000}"/>
    <cellStyle name="Comma 3 9 2 2 4" xfId="11571" xr:uid="{00000000-0005-0000-0000-0000362D0000}"/>
    <cellStyle name="Comma 3 9 2 2 4 2" xfId="11572" xr:uid="{00000000-0005-0000-0000-0000372D0000}"/>
    <cellStyle name="Comma 3 9 2 2 5" xfId="11573" xr:uid="{00000000-0005-0000-0000-0000382D0000}"/>
    <cellStyle name="Comma 3 9 2 2 5 2" xfId="11574" xr:uid="{00000000-0005-0000-0000-0000392D0000}"/>
    <cellStyle name="Comma 3 9 2 2 6" xfId="11575" xr:uid="{00000000-0005-0000-0000-00003A2D0000}"/>
    <cellStyle name="Comma 3 9 2 3" xfId="11576" xr:uid="{00000000-0005-0000-0000-00003B2D0000}"/>
    <cellStyle name="Comma 3 9 2 3 2" xfId="11577" xr:uid="{00000000-0005-0000-0000-00003C2D0000}"/>
    <cellStyle name="Comma 3 9 2 3 2 2" xfId="11578" xr:uid="{00000000-0005-0000-0000-00003D2D0000}"/>
    <cellStyle name="Comma 3 9 2 3 2 2 2" xfId="11579" xr:uid="{00000000-0005-0000-0000-00003E2D0000}"/>
    <cellStyle name="Comma 3 9 2 3 2 3" xfId="11580" xr:uid="{00000000-0005-0000-0000-00003F2D0000}"/>
    <cellStyle name="Comma 3 9 2 3 3" xfId="11581" xr:uid="{00000000-0005-0000-0000-0000402D0000}"/>
    <cellStyle name="Comma 3 9 2 3 3 2" xfId="11582" xr:uid="{00000000-0005-0000-0000-0000412D0000}"/>
    <cellStyle name="Comma 3 9 2 3 4" xfId="11583" xr:uid="{00000000-0005-0000-0000-0000422D0000}"/>
    <cellStyle name="Comma 3 9 2 3 4 2" xfId="11584" xr:uid="{00000000-0005-0000-0000-0000432D0000}"/>
    <cellStyle name="Comma 3 9 2 3 5" xfId="11585" xr:uid="{00000000-0005-0000-0000-0000442D0000}"/>
    <cellStyle name="Comma 3 9 2 4" xfId="11586" xr:uid="{00000000-0005-0000-0000-0000452D0000}"/>
    <cellStyle name="Comma 3 9 2 4 2" xfId="11587" xr:uid="{00000000-0005-0000-0000-0000462D0000}"/>
    <cellStyle name="Comma 3 9 2 4 2 2" xfId="11588" xr:uid="{00000000-0005-0000-0000-0000472D0000}"/>
    <cellStyle name="Comma 3 9 2 4 3" xfId="11589" xr:uid="{00000000-0005-0000-0000-0000482D0000}"/>
    <cellStyle name="Comma 3 9 2 5" xfId="11590" xr:uid="{00000000-0005-0000-0000-0000492D0000}"/>
    <cellStyle name="Comma 3 9 2 5 2" xfId="11591" xr:uid="{00000000-0005-0000-0000-00004A2D0000}"/>
    <cellStyle name="Comma 3 9 2 6" xfId="11592" xr:uid="{00000000-0005-0000-0000-00004B2D0000}"/>
    <cellStyle name="Comma 3 9 2 6 2" xfId="11593" xr:uid="{00000000-0005-0000-0000-00004C2D0000}"/>
    <cellStyle name="Comma 3 9 2 7" xfId="11594" xr:uid="{00000000-0005-0000-0000-00004D2D0000}"/>
    <cellStyle name="Comma 3 9 3" xfId="11595" xr:uid="{00000000-0005-0000-0000-00004E2D0000}"/>
    <cellStyle name="Comma 3 9 3 2" xfId="11596" xr:uid="{00000000-0005-0000-0000-00004F2D0000}"/>
    <cellStyle name="Comma 3 9 3 2 2" xfId="11597" xr:uid="{00000000-0005-0000-0000-0000502D0000}"/>
    <cellStyle name="Comma 3 9 3 2 2 2" xfId="11598" xr:uid="{00000000-0005-0000-0000-0000512D0000}"/>
    <cellStyle name="Comma 3 9 3 2 2 2 2" xfId="11599" xr:uid="{00000000-0005-0000-0000-0000522D0000}"/>
    <cellStyle name="Comma 3 9 3 2 2 2 2 2" xfId="11600" xr:uid="{00000000-0005-0000-0000-0000532D0000}"/>
    <cellStyle name="Comma 3 9 3 2 2 2 3" xfId="11601" xr:uid="{00000000-0005-0000-0000-0000542D0000}"/>
    <cellStyle name="Comma 3 9 3 2 2 3" xfId="11602" xr:uid="{00000000-0005-0000-0000-0000552D0000}"/>
    <cellStyle name="Comma 3 9 3 2 2 3 2" xfId="11603" xr:uid="{00000000-0005-0000-0000-0000562D0000}"/>
    <cellStyle name="Comma 3 9 3 2 2 4" xfId="11604" xr:uid="{00000000-0005-0000-0000-0000572D0000}"/>
    <cellStyle name="Comma 3 9 3 2 2 4 2" xfId="11605" xr:uid="{00000000-0005-0000-0000-0000582D0000}"/>
    <cellStyle name="Comma 3 9 3 2 2 5" xfId="11606" xr:uid="{00000000-0005-0000-0000-0000592D0000}"/>
    <cellStyle name="Comma 3 9 3 2 3" xfId="11607" xr:uid="{00000000-0005-0000-0000-00005A2D0000}"/>
    <cellStyle name="Comma 3 9 3 2 3 2" xfId="11608" xr:uid="{00000000-0005-0000-0000-00005B2D0000}"/>
    <cellStyle name="Comma 3 9 3 2 3 2 2" xfId="11609" xr:uid="{00000000-0005-0000-0000-00005C2D0000}"/>
    <cellStyle name="Comma 3 9 3 2 3 3" xfId="11610" xr:uid="{00000000-0005-0000-0000-00005D2D0000}"/>
    <cellStyle name="Comma 3 9 3 2 4" xfId="11611" xr:uid="{00000000-0005-0000-0000-00005E2D0000}"/>
    <cellStyle name="Comma 3 9 3 2 4 2" xfId="11612" xr:uid="{00000000-0005-0000-0000-00005F2D0000}"/>
    <cellStyle name="Comma 3 9 3 2 5" xfId="11613" xr:uid="{00000000-0005-0000-0000-0000602D0000}"/>
    <cellStyle name="Comma 3 9 3 2 5 2" xfId="11614" xr:uid="{00000000-0005-0000-0000-0000612D0000}"/>
    <cellStyle name="Comma 3 9 3 2 6" xfId="11615" xr:uid="{00000000-0005-0000-0000-0000622D0000}"/>
    <cellStyle name="Comma 3 9 3 3" xfId="11616" xr:uid="{00000000-0005-0000-0000-0000632D0000}"/>
    <cellStyle name="Comma 3 9 3 3 2" xfId="11617" xr:uid="{00000000-0005-0000-0000-0000642D0000}"/>
    <cellStyle name="Comma 3 9 3 3 2 2" xfId="11618" xr:uid="{00000000-0005-0000-0000-0000652D0000}"/>
    <cellStyle name="Comma 3 9 3 3 2 2 2" xfId="11619" xr:uid="{00000000-0005-0000-0000-0000662D0000}"/>
    <cellStyle name="Comma 3 9 3 3 2 3" xfId="11620" xr:uid="{00000000-0005-0000-0000-0000672D0000}"/>
    <cellStyle name="Comma 3 9 3 3 3" xfId="11621" xr:uid="{00000000-0005-0000-0000-0000682D0000}"/>
    <cellStyle name="Comma 3 9 3 3 3 2" xfId="11622" xr:uid="{00000000-0005-0000-0000-0000692D0000}"/>
    <cellStyle name="Comma 3 9 3 3 4" xfId="11623" xr:uid="{00000000-0005-0000-0000-00006A2D0000}"/>
    <cellStyle name="Comma 3 9 3 3 4 2" xfId="11624" xr:uid="{00000000-0005-0000-0000-00006B2D0000}"/>
    <cellStyle name="Comma 3 9 3 3 5" xfId="11625" xr:uid="{00000000-0005-0000-0000-00006C2D0000}"/>
    <cellStyle name="Comma 3 9 3 4" xfId="11626" xr:uid="{00000000-0005-0000-0000-00006D2D0000}"/>
    <cellStyle name="Comma 3 9 3 4 2" xfId="11627" xr:uid="{00000000-0005-0000-0000-00006E2D0000}"/>
    <cellStyle name="Comma 3 9 3 4 2 2" xfId="11628" xr:uid="{00000000-0005-0000-0000-00006F2D0000}"/>
    <cellStyle name="Comma 3 9 3 4 3" xfId="11629" xr:uid="{00000000-0005-0000-0000-0000702D0000}"/>
    <cellStyle name="Comma 3 9 3 5" xfId="11630" xr:uid="{00000000-0005-0000-0000-0000712D0000}"/>
    <cellStyle name="Comma 3 9 3 5 2" xfId="11631" xr:uid="{00000000-0005-0000-0000-0000722D0000}"/>
    <cellStyle name="Comma 3 9 3 6" xfId="11632" xr:uid="{00000000-0005-0000-0000-0000732D0000}"/>
    <cellStyle name="Comma 3 9 3 6 2" xfId="11633" xr:uid="{00000000-0005-0000-0000-0000742D0000}"/>
    <cellStyle name="Comma 3 9 3 7" xfId="11634" xr:uid="{00000000-0005-0000-0000-0000752D0000}"/>
    <cellStyle name="Comma 3 9 4" xfId="11635" xr:uid="{00000000-0005-0000-0000-0000762D0000}"/>
    <cellStyle name="Comma 3 9 4 2" xfId="11636" xr:uid="{00000000-0005-0000-0000-0000772D0000}"/>
    <cellStyle name="Comma 3 9 4 2 2" xfId="11637" xr:uid="{00000000-0005-0000-0000-0000782D0000}"/>
    <cellStyle name="Comma 3 9 4 2 2 2" xfId="11638" xr:uid="{00000000-0005-0000-0000-0000792D0000}"/>
    <cellStyle name="Comma 3 9 4 2 2 2 2" xfId="11639" xr:uid="{00000000-0005-0000-0000-00007A2D0000}"/>
    <cellStyle name="Comma 3 9 4 2 2 3" xfId="11640" xr:uid="{00000000-0005-0000-0000-00007B2D0000}"/>
    <cellStyle name="Comma 3 9 4 2 3" xfId="11641" xr:uid="{00000000-0005-0000-0000-00007C2D0000}"/>
    <cellStyle name="Comma 3 9 4 2 3 2" xfId="11642" xr:uid="{00000000-0005-0000-0000-00007D2D0000}"/>
    <cellStyle name="Comma 3 9 4 2 4" xfId="11643" xr:uid="{00000000-0005-0000-0000-00007E2D0000}"/>
    <cellStyle name="Comma 3 9 4 2 4 2" xfId="11644" xr:uid="{00000000-0005-0000-0000-00007F2D0000}"/>
    <cellStyle name="Comma 3 9 4 2 5" xfId="11645" xr:uid="{00000000-0005-0000-0000-0000802D0000}"/>
    <cellStyle name="Comma 3 9 4 3" xfId="11646" xr:uid="{00000000-0005-0000-0000-0000812D0000}"/>
    <cellStyle name="Comma 3 9 4 3 2" xfId="11647" xr:uid="{00000000-0005-0000-0000-0000822D0000}"/>
    <cellStyle name="Comma 3 9 4 3 2 2" xfId="11648" xr:uid="{00000000-0005-0000-0000-0000832D0000}"/>
    <cellStyle name="Comma 3 9 4 3 3" xfId="11649" xr:uid="{00000000-0005-0000-0000-0000842D0000}"/>
    <cellStyle name="Comma 3 9 4 4" xfId="11650" xr:uid="{00000000-0005-0000-0000-0000852D0000}"/>
    <cellStyle name="Comma 3 9 4 4 2" xfId="11651" xr:uid="{00000000-0005-0000-0000-0000862D0000}"/>
    <cellStyle name="Comma 3 9 4 5" xfId="11652" xr:uid="{00000000-0005-0000-0000-0000872D0000}"/>
    <cellStyle name="Comma 3 9 4 5 2" xfId="11653" xr:uid="{00000000-0005-0000-0000-0000882D0000}"/>
    <cellStyle name="Comma 3 9 4 6" xfId="11654" xr:uid="{00000000-0005-0000-0000-0000892D0000}"/>
    <cellStyle name="Comma 3 9 5" xfId="11655" xr:uid="{00000000-0005-0000-0000-00008A2D0000}"/>
    <cellStyle name="Comma 3 9 5 2" xfId="11656" xr:uid="{00000000-0005-0000-0000-00008B2D0000}"/>
    <cellStyle name="Comma 3 9 5 2 2" xfId="11657" xr:uid="{00000000-0005-0000-0000-00008C2D0000}"/>
    <cellStyle name="Comma 3 9 5 2 2 2" xfId="11658" xr:uid="{00000000-0005-0000-0000-00008D2D0000}"/>
    <cellStyle name="Comma 3 9 5 2 3" xfId="11659" xr:uid="{00000000-0005-0000-0000-00008E2D0000}"/>
    <cellStyle name="Comma 3 9 5 3" xfId="11660" xr:uid="{00000000-0005-0000-0000-00008F2D0000}"/>
    <cellStyle name="Comma 3 9 5 3 2" xfId="11661" xr:uid="{00000000-0005-0000-0000-0000902D0000}"/>
    <cellStyle name="Comma 3 9 5 4" xfId="11662" xr:uid="{00000000-0005-0000-0000-0000912D0000}"/>
    <cellStyle name="Comma 3 9 5 4 2" xfId="11663" xr:uid="{00000000-0005-0000-0000-0000922D0000}"/>
    <cellStyle name="Comma 3 9 5 5" xfId="11664" xr:uid="{00000000-0005-0000-0000-0000932D0000}"/>
    <cellStyle name="Comma 3 9 6" xfId="11665" xr:uid="{00000000-0005-0000-0000-0000942D0000}"/>
    <cellStyle name="Comma 3 9 6 2" xfId="11666" xr:uid="{00000000-0005-0000-0000-0000952D0000}"/>
    <cellStyle name="Comma 3 9 6 2 2" xfId="11667" xr:uid="{00000000-0005-0000-0000-0000962D0000}"/>
    <cellStyle name="Comma 3 9 6 3" xfId="11668" xr:uid="{00000000-0005-0000-0000-0000972D0000}"/>
    <cellStyle name="Comma 3 9 7" xfId="11669" xr:uid="{00000000-0005-0000-0000-0000982D0000}"/>
    <cellStyle name="Comma 3 9 7 2" xfId="11670" xr:uid="{00000000-0005-0000-0000-0000992D0000}"/>
    <cellStyle name="Comma 3 9 8" xfId="11671" xr:uid="{00000000-0005-0000-0000-00009A2D0000}"/>
    <cellStyle name="Comma 3 9 8 2" xfId="11672" xr:uid="{00000000-0005-0000-0000-00009B2D0000}"/>
    <cellStyle name="Comma 3 9 9" xfId="11673" xr:uid="{00000000-0005-0000-0000-00009C2D0000}"/>
    <cellStyle name="Comma 4" xfId="11674" xr:uid="{00000000-0005-0000-0000-00009D2D0000}"/>
    <cellStyle name="Comma 4 10" xfId="11675" xr:uid="{00000000-0005-0000-0000-00009E2D0000}"/>
    <cellStyle name="Comma 4 10 2" xfId="11676" xr:uid="{00000000-0005-0000-0000-00009F2D0000}"/>
    <cellStyle name="Comma 4 10 2 2" xfId="11677" xr:uid="{00000000-0005-0000-0000-0000A02D0000}"/>
    <cellStyle name="Comma 4 10 2 2 2" xfId="11678" xr:uid="{00000000-0005-0000-0000-0000A12D0000}"/>
    <cellStyle name="Comma 4 10 2 2 2 2" xfId="11679" xr:uid="{00000000-0005-0000-0000-0000A22D0000}"/>
    <cellStyle name="Comma 4 10 2 2 3" xfId="11680" xr:uid="{00000000-0005-0000-0000-0000A32D0000}"/>
    <cellStyle name="Comma 4 10 2 3" xfId="11681" xr:uid="{00000000-0005-0000-0000-0000A42D0000}"/>
    <cellStyle name="Comma 4 10 2 3 2" xfId="11682" xr:uid="{00000000-0005-0000-0000-0000A52D0000}"/>
    <cellStyle name="Comma 4 10 2 4" xfId="11683" xr:uid="{00000000-0005-0000-0000-0000A62D0000}"/>
    <cellStyle name="Comma 4 10 2 4 2" xfId="11684" xr:uid="{00000000-0005-0000-0000-0000A72D0000}"/>
    <cellStyle name="Comma 4 10 2 5" xfId="11685" xr:uid="{00000000-0005-0000-0000-0000A82D0000}"/>
    <cellStyle name="Comma 4 10 3" xfId="11686" xr:uid="{00000000-0005-0000-0000-0000A92D0000}"/>
    <cellStyle name="Comma 4 10 3 2" xfId="11687" xr:uid="{00000000-0005-0000-0000-0000AA2D0000}"/>
    <cellStyle name="Comma 4 10 3 2 2" xfId="11688" xr:uid="{00000000-0005-0000-0000-0000AB2D0000}"/>
    <cellStyle name="Comma 4 10 3 3" xfId="11689" xr:uid="{00000000-0005-0000-0000-0000AC2D0000}"/>
    <cellStyle name="Comma 4 10 4" xfId="11690" xr:uid="{00000000-0005-0000-0000-0000AD2D0000}"/>
    <cellStyle name="Comma 4 10 4 2" xfId="11691" xr:uid="{00000000-0005-0000-0000-0000AE2D0000}"/>
    <cellStyle name="Comma 4 10 5" xfId="11692" xr:uid="{00000000-0005-0000-0000-0000AF2D0000}"/>
    <cellStyle name="Comma 4 10 5 2" xfId="11693" xr:uid="{00000000-0005-0000-0000-0000B02D0000}"/>
    <cellStyle name="Comma 4 10 6" xfId="11694" xr:uid="{00000000-0005-0000-0000-0000B12D0000}"/>
    <cellStyle name="Comma 4 11" xfId="11695" xr:uid="{00000000-0005-0000-0000-0000B22D0000}"/>
    <cellStyle name="Comma 4 11 2" xfId="11696" xr:uid="{00000000-0005-0000-0000-0000B32D0000}"/>
    <cellStyle name="Comma 4 11 2 2" xfId="11697" xr:uid="{00000000-0005-0000-0000-0000B42D0000}"/>
    <cellStyle name="Comma 4 11 2 2 2" xfId="11698" xr:uid="{00000000-0005-0000-0000-0000B52D0000}"/>
    <cellStyle name="Comma 4 11 2 3" xfId="11699" xr:uid="{00000000-0005-0000-0000-0000B62D0000}"/>
    <cellStyle name="Comma 4 11 3" xfId="11700" xr:uid="{00000000-0005-0000-0000-0000B72D0000}"/>
    <cellStyle name="Comma 4 11 3 2" xfId="11701" xr:uid="{00000000-0005-0000-0000-0000B82D0000}"/>
    <cellStyle name="Comma 4 11 4" xfId="11702" xr:uid="{00000000-0005-0000-0000-0000B92D0000}"/>
    <cellStyle name="Comma 4 11 4 2" xfId="11703" xr:uid="{00000000-0005-0000-0000-0000BA2D0000}"/>
    <cellStyle name="Comma 4 11 5" xfId="11704" xr:uid="{00000000-0005-0000-0000-0000BB2D0000}"/>
    <cellStyle name="Comma 4 12" xfId="11705" xr:uid="{00000000-0005-0000-0000-0000BC2D0000}"/>
    <cellStyle name="Comma 4 12 2" xfId="11706" xr:uid="{00000000-0005-0000-0000-0000BD2D0000}"/>
    <cellStyle name="Comma 4 12 2 2" xfId="11707" xr:uid="{00000000-0005-0000-0000-0000BE2D0000}"/>
    <cellStyle name="Comma 4 12 3" xfId="11708" xr:uid="{00000000-0005-0000-0000-0000BF2D0000}"/>
    <cellStyle name="Comma 4 12 3 2" xfId="11709" xr:uid="{00000000-0005-0000-0000-0000C02D0000}"/>
    <cellStyle name="Comma 4 12 4" xfId="11710" xr:uid="{00000000-0005-0000-0000-0000C12D0000}"/>
    <cellStyle name="Comma 4 13" xfId="11711" xr:uid="{00000000-0005-0000-0000-0000C22D0000}"/>
    <cellStyle name="Comma 4 13 2" xfId="11712" xr:uid="{00000000-0005-0000-0000-0000C32D0000}"/>
    <cellStyle name="Comma 4 14" xfId="11713" xr:uid="{00000000-0005-0000-0000-0000C42D0000}"/>
    <cellStyle name="Comma 4 14 2" xfId="11714" xr:uid="{00000000-0005-0000-0000-0000C52D0000}"/>
    <cellStyle name="Comma 4 15" xfId="11715" xr:uid="{00000000-0005-0000-0000-0000C62D0000}"/>
    <cellStyle name="Comma 4 15 2" xfId="11716" xr:uid="{00000000-0005-0000-0000-0000C72D0000}"/>
    <cellStyle name="Comma 4 16" xfId="11717" xr:uid="{00000000-0005-0000-0000-0000C82D0000}"/>
    <cellStyle name="Comma 4 2" xfId="11718" xr:uid="{00000000-0005-0000-0000-0000C92D0000}"/>
    <cellStyle name="Comma 4 2 10" xfId="11719" xr:uid="{00000000-0005-0000-0000-0000CA2D0000}"/>
    <cellStyle name="Comma 4 2 10 2" xfId="11720" xr:uid="{00000000-0005-0000-0000-0000CB2D0000}"/>
    <cellStyle name="Comma 4 2 11" xfId="11721" xr:uid="{00000000-0005-0000-0000-0000CC2D0000}"/>
    <cellStyle name="Comma 4 2 11 2" xfId="11722" xr:uid="{00000000-0005-0000-0000-0000CD2D0000}"/>
    <cellStyle name="Comma 4 2 12" xfId="11723" xr:uid="{00000000-0005-0000-0000-0000CE2D0000}"/>
    <cellStyle name="Comma 4 2 2" xfId="11724" xr:uid="{00000000-0005-0000-0000-0000CF2D0000}"/>
    <cellStyle name="Comma 4 2 2 2" xfId="11725" xr:uid="{00000000-0005-0000-0000-0000D02D0000}"/>
    <cellStyle name="Comma 4 2 2 2 2" xfId="11726" xr:uid="{00000000-0005-0000-0000-0000D12D0000}"/>
    <cellStyle name="Comma 4 2 2 2 2 2" xfId="11727" xr:uid="{00000000-0005-0000-0000-0000D22D0000}"/>
    <cellStyle name="Comma 4 2 2 2 2 2 2" xfId="11728" xr:uid="{00000000-0005-0000-0000-0000D32D0000}"/>
    <cellStyle name="Comma 4 2 2 2 2 2 2 2" xfId="11729" xr:uid="{00000000-0005-0000-0000-0000D42D0000}"/>
    <cellStyle name="Comma 4 2 2 2 2 2 2 2 2" xfId="11730" xr:uid="{00000000-0005-0000-0000-0000D52D0000}"/>
    <cellStyle name="Comma 4 2 2 2 2 2 2 3" xfId="11731" xr:uid="{00000000-0005-0000-0000-0000D62D0000}"/>
    <cellStyle name="Comma 4 2 2 2 2 2 3" xfId="11732" xr:uid="{00000000-0005-0000-0000-0000D72D0000}"/>
    <cellStyle name="Comma 4 2 2 2 2 2 3 2" xfId="11733" xr:uid="{00000000-0005-0000-0000-0000D82D0000}"/>
    <cellStyle name="Comma 4 2 2 2 2 2 4" xfId="11734" xr:uid="{00000000-0005-0000-0000-0000D92D0000}"/>
    <cellStyle name="Comma 4 2 2 2 2 2 4 2" xfId="11735" xr:uid="{00000000-0005-0000-0000-0000DA2D0000}"/>
    <cellStyle name="Comma 4 2 2 2 2 2 5" xfId="11736" xr:uid="{00000000-0005-0000-0000-0000DB2D0000}"/>
    <cellStyle name="Comma 4 2 2 2 2 3" xfId="11737" xr:uid="{00000000-0005-0000-0000-0000DC2D0000}"/>
    <cellStyle name="Comma 4 2 2 2 2 3 2" xfId="11738" xr:uid="{00000000-0005-0000-0000-0000DD2D0000}"/>
    <cellStyle name="Comma 4 2 2 2 2 3 2 2" xfId="11739" xr:uid="{00000000-0005-0000-0000-0000DE2D0000}"/>
    <cellStyle name="Comma 4 2 2 2 2 3 3" xfId="11740" xr:uid="{00000000-0005-0000-0000-0000DF2D0000}"/>
    <cellStyle name="Comma 4 2 2 2 2 4" xfId="11741" xr:uid="{00000000-0005-0000-0000-0000E02D0000}"/>
    <cellStyle name="Comma 4 2 2 2 2 4 2" xfId="11742" xr:uid="{00000000-0005-0000-0000-0000E12D0000}"/>
    <cellStyle name="Comma 4 2 2 2 2 5" xfId="11743" xr:uid="{00000000-0005-0000-0000-0000E22D0000}"/>
    <cellStyle name="Comma 4 2 2 2 2 5 2" xfId="11744" xr:uid="{00000000-0005-0000-0000-0000E32D0000}"/>
    <cellStyle name="Comma 4 2 2 2 2 6" xfId="11745" xr:uid="{00000000-0005-0000-0000-0000E42D0000}"/>
    <cellStyle name="Comma 4 2 2 2 3" xfId="11746" xr:uid="{00000000-0005-0000-0000-0000E52D0000}"/>
    <cellStyle name="Comma 4 2 2 2 3 2" xfId="11747" xr:uid="{00000000-0005-0000-0000-0000E62D0000}"/>
    <cellStyle name="Comma 4 2 2 2 3 2 2" xfId="11748" xr:uid="{00000000-0005-0000-0000-0000E72D0000}"/>
    <cellStyle name="Comma 4 2 2 2 3 2 2 2" xfId="11749" xr:uid="{00000000-0005-0000-0000-0000E82D0000}"/>
    <cellStyle name="Comma 4 2 2 2 3 2 3" xfId="11750" xr:uid="{00000000-0005-0000-0000-0000E92D0000}"/>
    <cellStyle name="Comma 4 2 2 2 3 3" xfId="11751" xr:uid="{00000000-0005-0000-0000-0000EA2D0000}"/>
    <cellStyle name="Comma 4 2 2 2 3 3 2" xfId="11752" xr:uid="{00000000-0005-0000-0000-0000EB2D0000}"/>
    <cellStyle name="Comma 4 2 2 2 3 4" xfId="11753" xr:uid="{00000000-0005-0000-0000-0000EC2D0000}"/>
    <cellStyle name="Comma 4 2 2 2 3 4 2" xfId="11754" xr:uid="{00000000-0005-0000-0000-0000ED2D0000}"/>
    <cellStyle name="Comma 4 2 2 2 3 5" xfId="11755" xr:uid="{00000000-0005-0000-0000-0000EE2D0000}"/>
    <cellStyle name="Comma 4 2 2 2 4" xfId="11756" xr:uid="{00000000-0005-0000-0000-0000EF2D0000}"/>
    <cellStyle name="Comma 4 2 2 2 4 2" xfId="11757" xr:uid="{00000000-0005-0000-0000-0000F02D0000}"/>
    <cellStyle name="Comma 4 2 2 2 4 2 2" xfId="11758" xr:uid="{00000000-0005-0000-0000-0000F12D0000}"/>
    <cellStyle name="Comma 4 2 2 2 4 3" xfId="11759" xr:uid="{00000000-0005-0000-0000-0000F22D0000}"/>
    <cellStyle name="Comma 4 2 2 2 5" xfId="11760" xr:uid="{00000000-0005-0000-0000-0000F32D0000}"/>
    <cellStyle name="Comma 4 2 2 2 5 2" xfId="11761" xr:uid="{00000000-0005-0000-0000-0000F42D0000}"/>
    <cellStyle name="Comma 4 2 2 2 6" xfId="11762" xr:uid="{00000000-0005-0000-0000-0000F52D0000}"/>
    <cellStyle name="Comma 4 2 2 2 6 2" xfId="11763" xr:uid="{00000000-0005-0000-0000-0000F62D0000}"/>
    <cellStyle name="Comma 4 2 2 2 7" xfId="11764" xr:uid="{00000000-0005-0000-0000-0000F72D0000}"/>
    <cellStyle name="Comma 4 2 2 3" xfId="11765" xr:uid="{00000000-0005-0000-0000-0000F82D0000}"/>
    <cellStyle name="Comma 4 2 2 3 2" xfId="11766" xr:uid="{00000000-0005-0000-0000-0000F92D0000}"/>
    <cellStyle name="Comma 4 2 2 3 2 2" xfId="11767" xr:uid="{00000000-0005-0000-0000-0000FA2D0000}"/>
    <cellStyle name="Comma 4 2 2 3 2 2 2" xfId="11768" xr:uid="{00000000-0005-0000-0000-0000FB2D0000}"/>
    <cellStyle name="Comma 4 2 2 3 2 2 2 2" xfId="11769" xr:uid="{00000000-0005-0000-0000-0000FC2D0000}"/>
    <cellStyle name="Comma 4 2 2 3 2 2 2 2 2" xfId="11770" xr:uid="{00000000-0005-0000-0000-0000FD2D0000}"/>
    <cellStyle name="Comma 4 2 2 3 2 2 2 3" xfId="11771" xr:uid="{00000000-0005-0000-0000-0000FE2D0000}"/>
    <cellStyle name="Comma 4 2 2 3 2 2 3" xfId="11772" xr:uid="{00000000-0005-0000-0000-0000FF2D0000}"/>
    <cellStyle name="Comma 4 2 2 3 2 2 3 2" xfId="11773" xr:uid="{00000000-0005-0000-0000-0000002E0000}"/>
    <cellStyle name="Comma 4 2 2 3 2 2 4" xfId="11774" xr:uid="{00000000-0005-0000-0000-0000012E0000}"/>
    <cellStyle name="Comma 4 2 2 3 2 2 4 2" xfId="11775" xr:uid="{00000000-0005-0000-0000-0000022E0000}"/>
    <cellStyle name="Comma 4 2 2 3 2 2 5" xfId="11776" xr:uid="{00000000-0005-0000-0000-0000032E0000}"/>
    <cellStyle name="Comma 4 2 2 3 2 3" xfId="11777" xr:uid="{00000000-0005-0000-0000-0000042E0000}"/>
    <cellStyle name="Comma 4 2 2 3 2 3 2" xfId="11778" xr:uid="{00000000-0005-0000-0000-0000052E0000}"/>
    <cellStyle name="Comma 4 2 2 3 2 3 2 2" xfId="11779" xr:uid="{00000000-0005-0000-0000-0000062E0000}"/>
    <cellStyle name="Comma 4 2 2 3 2 3 3" xfId="11780" xr:uid="{00000000-0005-0000-0000-0000072E0000}"/>
    <cellStyle name="Comma 4 2 2 3 2 4" xfId="11781" xr:uid="{00000000-0005-0000-0000-0000082E0000}"/>
    <cellStyle name="Comma 4 2 2 3 2 4 2" xfId="11782" xr:uid="{00000000-0005-0000-0000-0000092E0000}"/>
    <cellStyle name="Comma 4 2 2 3 2 5" xfId="11783" xr:uid="{00000000-0005-0000-0000-00000A2E0000}"/>
    <cellStyle name="Comma 4 2 2 3 2 5 2" xfId="11784" xr:uid="{00000000-0005-0000-0000-00000B2E0000}"/>
    <cellStyle name="Comma 4 2 2 3 2 6" xfId="11785" xr:uid="{00000000-0005-0000-0000-00000C2E0000}"/>
    <cellStyle name="Comma 4 2 2 3 3" xfId="11786" xr:uid="{00000000-0005-0000-0000-00000D2E0000}"/>
    <cellStyle name="Comma 4 2 2 3 3 2" xfId="11787" xr:uid="{00000000-0005-0000-0000-00000E2E0000}"/>
    <cellStyle name="Comma 4 2 2 3 3 2 2" xfId="11788" xr:uid="{00000000-0005-0000-0000-00000F2E0000}"/>
    <cellStyle name="Comma 4 2 2 3 3 2 2 2" xfId="11789" xr:uid="{00000000-0005-0000-0000-0000102E0000}"/>
    <cellStyle name="Comma 4 2 2 3 3 2 3" xfId="11790" xr:uid="{00000000-0005-0000-0000-0000112E0000}"/>
    <cellStyle name="Comma 4 2 2 3 3 3" xfId="11791" xr:uid="{00000000-0005-0000-0000-0000122E0000}"/>
    <cellStyle name="Comma 4 2 2 3 3 3 2" xfId="11792" xr:uid="{00000000-0005-0000-0000-0000132E0000}"/>
    <cellStyle name="Comma 4 2 2 3 3 4" xfId="11793" xr:uid="{00000000-0005-0000-0000-0000142E0000}"/>
    <cellStyle name="Comma 4 2 2 3 3 4 2" xfId="11794" xr:uid="{00000000-0005-0000-0000-0000152E0000}"/>
    <cellStyle name="Comma 4 2 2 3 3 5" xfId="11795" xr:uid="{00000000-0005-0000-0000-0000162E0000}"/>
    <cellStyle name="Comma 4 2 2 3 4" xfId="11796" xr:uid="{00000000-0005-0000-0000-0000172E0000}"/>
    <cellStyle name="Comma 4 2 2 3 4 2" xfId="11797" xr:uid="{00000000-0005-0000-0000-0000182E0000}"/>
    <cellStyle name="Comma 4 2 2 3 4 2 2" xfId="11798" xr:uid="{00000000-0005-0000-0000-0000192E0000}"/>
    <cellStyle name="Comma 4 2 2 3 4 3" xfId="11799" xr:uid="{00000000-0005-0000-0000-00001A2E0000}"/>
    <cellStyle name="Comma 4 2 2 3 5" xfId="11800" xr:uid="{00000000-0005-0000-0000-00001B2E0000}"/>
    <cellStyle name="Comma 4 2 2 3 5 2" xfId="11801" xr:uid="{00000000-0005-0000-0000-00001C2E0000}"/>
    <cellStyle name="Comma 4 2 2 3 6" xfId="11802" xr:uid="{00000000-0005-0000-0000-00001D2E0000}"/>
    <cellStyle name="Comma 4 2 2 3 6 2" xfId="11803" xr:uid="{00000000-0005-0000-0000-00001E2E0000}"/>
    <cellStyle name="Comma 4 2 2 3 7" xfId="11804" xr:uid="{00000000-0005-0000-0000-00001F2E0000}"/>
    <cellStyle name="Comma 4 2 2 4" xfId="11805" xr:uid="{00000000-0005-0000-0000-0000202E0000}"/>
    <cellStyle name="Comma 4 2 2 4 2" xfId="11806" xr:uid="{00000000-0005-0000-0000-0000212E0000}"/>
    <cellStyle name="Comma 4 2 2 4 2 2" xfId="11807" xr:uid="{00000000-0005-0000-0000-0000222E0000}"/>
    <cellStyle name="Comma 4 2 2 4 2 2 2" xfId="11808" xr:uid="{00000000-0005-0000-0000-0000232E0000}"/>
    <cellStyle name="Comma 4 2 2 4 2 2 2 2" xfId="11809" xr:uid="{00000000-0005-0000-0000-0000242E0000}"/>
    <cellStyle name="Comma 4 2 2 4 2 2 3" xfId="11810" xr:uid="{00000000-0005-0000-0000-0000252E0000}"/>
    <cellStyle name="Comma 4 2 2 4 2 3" xfId="11811" xr:uid="{00000000-0005-0000-0000-0000262E0000}"/>
    <cellStyle name="Comma 4 2 2 4 2 3 2" xfId="11812" xr:uid="{00000000-0005-0000-0000-0000272E0000}"/>
    <cellStyle name="Comma 4 2 2 4 2 4" xfId="11813" xr:uid="{00000000-0005-0000-0000-0000282E0000}"/>
    <cellStyle name="Comma 4 2 2 4 2 4 2" xfId="11814" xr:uid="{00000000-0005-0000-0000-0000292E0000}"/>
    <cellStyle name="Comma 4 2 2 4 2 5" xfId="11815" xr:uid="{00000000-0005-0000-0000-00002A2E0000}"/>
    <cellStyle name="Comma 4 2 2 4 3" xfId="11816" xr:uid="{00000000-0005-0000-0000-00002B2E0000}"/>
    <cellStyle name="Comma 4 2 2 4 3 2" xfId="11817" xr:uid="{00000000-0005-0000-0000-00002C2E0000}"/>
    <cellStyle name="Comma 4 2 2 4 3 2 2" xfId="11818" xr:uid="{00000000-0005-0000-0000-00002D2E0000}"/>
    <cellStyle name="Comma 4 2 2 4 3 3" xfId="11819" xr:uid="{00000000-0005-0000-0000-00002E2E0000}"/>
    <cellStyle name="Comma 4 2 2 4 4" xfId="11820" xr:uid="{00000000-0005-0000-0000-00002F2E0000}"/>
    <cellStyle name="Comma 4 2 2 4 4 2" xfId="11821" xr:uid="{00000000-0005-0000-0000-0000302E0000}"/>
    <cellStyle name="Comma 4 2 2 4 5" xfId="11822" xr:uid="{00000000-0005-0000-0000-0000312E0000}"/>
    <cellStyle name="Comma 4 2 2 4 5 2" xfId="11823" xr:uid="{00000000-0005-0000-0000-0000322E0000}"/>
    <cellStyle name="Comma 4 2 2 4 6" xfId="11824" xr:uid="{00000000-0005-0000-0000-0000332E0000}"/>
    <cellStyle name="Comma 4 2 2 5" xfId="11825" xr:uid="{00000000-0005-0000-0000-0000342E0000}"/>
    <cellStyle name="Comma 4 2 2 5 2" xfId="11826" xr:uid="{00000000-0005-0000-0000-0000352E0000}"/>
    <cellStyle name="Comma 4 2 2 5 2 2" xfId="11827" xr:uid="{00000000-0005-0000-0000-0000362E0000}"/>
    <cellStyle name="Comma 4 2 2 5 2 2 2" xfId="11828" xr:uid="{00000000-0005-0000-0000-0000372E0000}"/>
    <cellStyle name="Comma 4 2 2 5 2 3" xfId="11829" xr:uid="{00000000-0005-0000-0000-0000382E0000}"/>
    <cellStyle name="Comma 4 2 2 5 3" xfId="11830" xr:uid="{00000000-0005-0000-0000-0000392E0000}"/>
    <cellStyle name="Comma 4 2 2 5 3 2" xfId="11831" xr:uid="{00000000-0005-0000-0000-00003A2E0000}"/>
    <cellStyle name="Comma 4 2 2 5 4" xfId="11832" xr:uid="{00000000-0005-0000-0000-00003B2E0000}"/>
    <cellStyle name="Comma 4 2 2 5 4 2" xfId="11833" xr:uid="{00000000-0005-0000-0000-00003C2E0000}"/>
    <cellStyle name="Comma 4 2 2 5 5" xfId="11834" xr:uid="{00000000-0005-0000-0000-00003D2E0000}"/>
    <cellStyle name="Comma 4 2 2 6" xfId="11835" xr:uid="{00000000-0005-0000-0000-00003E2E0000}"/>
    <cellStyle name="Comma 4 2 2 6 2" xfId="11836" xr:uid="{00000000-0005-0000-0000-00003F2E0000}"/>
    <cellStyle name="Comma 4 2 2 6 2 2" xfId="11837" xr:uid="{00000000-0005-0000-0000-0000402E0000}"/>
    <cellStyle name="Comma 4 2 2 6 3" xfId="11838" xr:uid="{00000000-0005-0000-0000-0000412E0000}"/>
    <cellStyle name="Comma 4 2 2 7" xfId="11839" xr:uid="{00000000-0005-0000-0000-0000422E0000}"/>
    <cellStyle name="Comma 4 2 2 7 2" xfId="11840" xr:uid="{00000000-0005-0000-0000-0000432E0000}"/>
    <cellStyle name="Comma 4 2 2 8" xfId="11841" xr:uid="{00000000-0005-0000-0000-0000442E0000}"/>
    <cellStyle name="Comma 4 2 2 8 2" xfId="11842" xr:uid="{00000000-0005-0000-0000-0000452E0000}"/>
    <cellStyle name="Comma 4 2 2 9" xfId="11843" xr:uid="{00000000-0005-0000-0000-0000462E0000}"/>
    <cellStyle name="Comma 4 2 3" xfId="11844" xr:uid="{00000000-0005-0000-0000-0000472E0000}"/>
    <cellStyle name="Comma 4 2 3 2" xfId="11845" xr:uid="{00000000-0005-0000-0000-0000482E0000}"/>
    <cellStyle name="Comma 4 2 3 2 2" xfId="11846" xr:uid="{00000000-0005-0000-0000-0000492E0000}"/>
    <cellStyle name="Comma 4 2 3 2 2 2" xfId="11847" xr:uid="{00000000-0005-0000-0000-00004A2E0000}"/>
    <cellStyle name="Comma 4 2 3 2 2 2 2" xfId="11848" xr:uid="{00000000-0005-0000-0000-00004B2E0000}"/>
    <cellStyle name="Comma 4 2 3 2 2 2 2 2" xfId="11849" xr:uid="{00000000-0005-0000-0000-00004C2E0000}"/>
    <cellStyle name="Comma 4 2 3 2 2 2 2 2 2" xfId="11850" xr:uid="{00000000-0005-0000-0000-00004D2E0000}"/>
    <cellStyle name="Comma 4 2 3 2 2 2 2 3" xfId="11851" xr:uid="{00000000-0005-0000-0000-00004E2E0000}"/>
    <cellStyle name="Comma 4 2 3 2 2 2 3" xfId="11852" xr:uid="{00000000-0005-0000-0000-00004F2E0000}"/>
    <cellStyle name="Comma 4 2 3 2 2 2 3 2" xfId="11853" xr:uid="{00000000-0005-0000-0000-0000502E0000}"/>
    <cellStyle name="Comma 4 2 3 2 2 2 4" xfId="11854" xr:uid="{00000000-0005-0000-0000-0000512E0000}"/>
    <cellStyle name="Comma 4 2 3 2 2 2 4 2" xfId="11855" xr:uid="{00000000-0005-0000-0000-0000522E0000}"/>
    <cellStyle name="Comma 4 2 3 2 2 2 5" xfId="11856" xr:uid="{00000000-0005-0000-0000-0000532E0000}"/>
    <cellStyle name="Comma 4 2 3 2 2 3" xfId="11857" xr:uid="{00000000-0005-0000-0000-0000542E0000}"/>
    <cellStyle name="Comma 4 2 3 2 2 3 2" xfId="11858" xr:uid="{00000000-0005-0000-0000-0000552E0000}"/>
    <cellStyle name="Comma 4 2 3 2 2 3 2 2" xfId="11859" xr:uid="{00000000-0005-0000-0000-0000562E0000}"/>
    <cellStyle name="Comma 4 2 3 2 2 3 3" xfId="11860" xr:uid="{00000000-0005-0000-0000-0000572E0000}"/>
    <cellStyle name="Comma 4 2 3 2 2 4" xfId="11861" xr:uid="{00000000-0005-0000-0000-0000582E0000}"/>
    <cellStyle name="Comma 4 2 3 2 2 4 2" xfId="11862" xr:uid="{00000000-0005-0000-0000-0000592E0000}"/>
    <cellStyle name="Comma 4 2 3 2 2 5" xfId="11863" xr:uid="{00000000-0005-0000-0000-00005A2E0000}"/>
    <cellStyle name="Comma 4 2 3 2 2 5 2" xfId="11864" xr:uid="{00000000-0005-0000-0000-00005B2E0000}"/>
    <cellStyle name="Comma 4 2 3 2 2 6" xfId="11865" xr:uid="{00000000-0005-0000-0000-00005C2E0000}"/>
    <cellStyle name="Comma 4 2 3 2 3" xfId="11866" xr:uid="{00000000-0005-0000-0000-00005D2E0000}"/>
    <cellStyle name="Comma 4 2 3 2 3 2" xfId="11867" xr:uid="{00000000-0005-0000-0000-00005E2E0000}"/>
    <cellStyle name="Comma 4 2 3 2 3 2 2" xfId="11868" xr:uid="{00000000-0005-0000-0000-00005F2E0000}"/>
    <cellStyle name="Comma 4 2 3 2 3 2 2 2" xfId="11869" xr:uid="{00000000-0005-0000-0000-0000602E0000}"/>
    <cellStyle name="Comma 4 2 3 2 3 2 3" xfId="11870" xr:uid="{00000000-0005-0000-0000-0000612E0000}"/>
    <cellStyle name="Comma 4 2 3 2 3 3" xfId="11871" xr:uid="{00000000-0005-0000-0000-0000622E0000}"/>
    <cellStyle name="Comma 4 2 3 2 3 3 2" xfId="11872" xr:uid="{00000000-0005-0000-0000-0000632E0000}"/>
    <cellStyle name="Comma 4 2 3 2 3 4" xfId="11873" xr:uid="{00000000-0005-0000-0000-0000642E0000}"/>
    <cellStyle name="Comma 4 2 3 2 3 4 2" xfId="11874" xr:uid="{00000000-0005-0000-0000-0000652E0000}"/>
    <cellStyle name="Comma 4 2 3 2 3 5" xfId="11875" xr:uid="{00000000-0005-0000-0000-0000662E0000}"/>
    <cellStyle name="Comma 4 2 3 2 4" xfId="11876" xr:uid="{00000000-0005-0000-0000-0000672E0000}"/>
    <cellStyle name="Comma 4 2 3 2 4 2" xfId="11877" xr:uid="{00000000-0005-0000-0000-0000682E0000}"/>
    <cellStyle name="Comma 4 2 3 2 4 2 2" xfId="11878" xr:uid="{00000000-0005-0000-0000-0000692E0000}"/>
    <cellStyle name="Comma 4 2 3 2 4 3" xfId="11879" xr:uid="{00000000-0005-0000-0000-00006A2E0000}"/>
    <cellStyle name="Comma 4 2 3 2 5" xfId="11880" xr:uid="{00000000-0005-0000-0000-00006B2E0000}"/>
    <cellStyle name="Comma 4 2 3 2 5 2" xfId="11881" xr:uid="{00000000-0005-0000-0000-00006C2E0000}"/>
    <cellStyle name="Comma 4 2 3 2 6" xfId="11882" xr:uid="{00000000-0005-0000-0000-00006D2E0000}"/>
    <cellStyle name="Comma 4 2 3 2 6 2" xfId="11883" xr:uid="{00000000-0005-0000-0000-00006E2E0000}"/>
    <cellStyle name="Comma 4 2 3 2 7" xfId="11884" xr:uid="{00000000-0005-0000-0000-00006F2E0000}"/>
    <cellStyle name="Comma 4 2 3 3" xfId="11885" xr:uid="{00000000-0005-0000-0000-0000702E0000}"/>
    <cellStyle name="Comma 4 2 3 3 2" xfId="11886" xr:uid="{00000000-0005-0000-0000-0000712E0000}"/>
    <cellStyle name="Comma 4 2 3 3 2 2" xfId="11887" xr:uid="{00000000-0005-0000-0000-0000722E0000}"/>
    <cellStyle name="Comma 4 2 3 3 2 2 2" xfId="11888" xr:uid="{00000000-0005-0000-0000-0000732E0000}"/>
    <cellStyle name="Comma 4 2 3 3 2 2 2 2" xfId="11889" xr:uid="{00000000-0005-0000-0000-0000742E0000}"/>
    <cellStyle name="Comma 4 2 3 3 2 2 2 2 2" xfId="11890" xr:uid="{00000000-0005-0000-0000-0000752E0000}"/>
    <cellStyle name="Comma 4 2 3 3 2 2 2 3" xfId="11891" xr:uid="{00000000-0005-0000-0000-0000762E0000}"/>
    <cellStyle name="Comma 4 2 3 3 2 2 3" xfId="11892" xr:uid="{00000000-0005-0000-0000-0000772E0000}"/>
    <cellStyle name="Comma 4 2 3 3 2 2 3 2" xfId="11893" xr:uid="{00000000-0005-0000-0000-0000782E0000}"/>
    <cellStyle name="Comma 4 2 3 3 2 2 4" xfId="11894" xr:uid="{00000000-0005-0000-0000-0000792E0000}"/>
    <cellStyle name="Comma 4 2 3 3 2 2 4 2" xfId="11895" xr:uid="{00000000-0005-0000-0000-00007A2E0000}"/>
    <cellStyle name="Comma 4 2 3 3 2 2 5" xfId="11896" xr:uid="{00000000-0005-0000-0000-00007B2E0000}"/>
    <cellStyle name="Comma 4 2 3 3 2 3" xfId="11897" xr:uid="{00000000-0005-0000-0000-00007C2E0000}"/>
    <cellStyle name="Comma 4 2 3 3 2 3 2" xfId="11898" xr:uid="{00000000-0005-0000-0000-00007D2E0000}"/>
    <cellStyle name="Comma 4 2 3 3 2 3 2 2" xfId="11899" xr:uid="{00000000-0005-0000-0000-00007E2E0000}"/>
    <cellStyle name="Comma 4 2 3 3 2 3 3" xfId="11900" xr:uid="{00000000-0005-0000-0000-00007F2E0000}"/>
    <cellStyle name="Comma 4 2 3 3 2 4" xfId="11901" xr:uid="{00000000-0005-0000-0000-0000802E0000}"/>
    <cellStyle name="Comma 4 2 3 3 2 4 2" xfId="11902" xr:uid="{00000000-0005-0000-0000-0000812E0000}"/>
    <cellStyle name="Comma 4 2 3 3 2 5" xfId="11903" xr:uid="{00000000-0005-0000-0000-0000822E0000}"/>
    <cellStyle name="Comma 4 2 3 3 2 5 2" xfId="11904" xr:uid="{00000000-0005-0000-0000-0000832E0000}"/>
    <cellStyle name="Comma 4 2 3 3 2 6" xfId="11905" xr:uid="{00000000-0005-0000-0000-0000842E0000}"/>
    <cellStyle name="Comma 4 2 3 3 3" xfId="11906" xr:uid="{00000000-0005-0000-0000-0000852E0000}"/>
    <cellStyle name="Comma 4 2 3 3 3 2" xfId="11907" xr:uid="{00000000-0005-0000-0000-0000862E0000}"/>
    <cellStyle name="Comma 4 2 3 3 3 2 2" xfId="11908" xr:uid="{00000000-0005-0000-0000-0000872E0000}"/>
    <cellStyle name="Comma 4 2 3 3 3 2 2 2" xfId="11909" xr:uid="{00000000-0005-0000-0000-0000882E0000}"/>
    <cellStyle name="Comma 4 2 3 3 3 2 3" xfId="11910" xr:uid="{00000000-0005-0000-0000-0000892E0000}"/>
    <cellStyle name="Comma 4 2 3 3 3 3" xfId="11911" xr:uid="{00000000-0005-0000-0000-00008A2E0000}"/>
    <cellStyle name="Comma 4 2 3 3 3 3 2" xfId="11912" xr:uid="{00000000-0005-0000-0000-00008B2E0000}"/>
    <cellStyle name="Comma 4 2 3 3 3 4" xfId="11913" xr:uid="{00000000-0005-0000-0000-00008C2E0000}"/>
    <cellStyle name="Comma 4 2 3 3 3 4 2" xfId="11914" xr:uid="{00000000-0005-0000-0000-00008D2E0000}"/>
    <cellStyle name="Comma 4 2 3 3 3 5" xfId="11915" xr:uid="{00000000-0005-0000-0000-00008E2E0000}"/>
    <cellStyle name="Comma 4 2 3 3 4" xfId="11916" xr:uid="{00000000-0005-0000-0000-00008F2E0000}"/>
    <cellStyle name="Comma 4 2 3 3 4 2" xfId="11917" xr:uid="{00000000-0005-0000-0000-0000902E0000}"/>
    <cellStyle name="Comma 4 2 3 3 4 2 2" xfId="11918" xr:uid="{00000000-0005-0000-0000-0000912E0000}"/>
    <cellStyle name="Comma 4 2 3 3 4 3" xfId="11919" xr:uid="{00000000-0005-0000-0000-0000922E0000}"/>
    <cellStyle name="Comma 4 2 3 3 5" xfId="11920" xr:uid="{00000000-0005-0000-0000-0000932E0000}"/>
    <cellStyle name="Comma 4 2 3 3 5 2" xfId="11921" xr:uid="{00000000-0005-0000-0000-0000942E0000}"/>
    <cellStyle name="Comma 4 2 3 3 6" xfId="11922" xr:uid="{00000000-0005-0000-0000-0000952E0000}"/>
    <cellStyle name="Comma 4 2 3 3 6 2" xfId="11923" xr:uid="{00000000-0005-0000-0000-0000962E0000}"/>
    <cellStyle name="Comma 4 2 3 3 7" xfId="11924" xr:uid="{00000000-0005-0000-0000-0000972E0000}"/>
    <cellStyle name="Comma 4 2 3 4" xfId="11925" xr:uid="{00000000-0005-0000-0000-0000982E0000}"/>
    <cellStyle name="Comma 4 2 3 4 2" xfId="11926" xr:uid="{00000000-0005-0000-0000-0000992E0000}"/>
    <cellStyle name="Comma 4 2 3 4 2 2" xfId="11927" xr:uid="{00000000-0005-0000-0000-00009A2E0000}"/>
    <cellStyle name="Comma 4 2 3 4 2 2 2" xfId="11928" xr:uid="{00000000-0005-0000-0000-00009B2E0000}"/>
    <cellStyle name="Comma 4 2 3 4 2 2 2 2" xfId="11929" xr:uid="{00000000-0005-0000-0000-00009C2E0000}"/>
    <cellStyle name="Comma 4 2 3 4 2 2 3" xfId="11930" xr:uid="{00000000-0005-0000-0000-00009D2E0000}"/>
    <cellStyle name="Comma 4 2 3 4 2 3" xfId="11931" xr:uid="{00000000-0005-0000-0000-00009E2E0000}"/>
    <cellStyle name="Comma 4 2 3 4 2 3 2" xfId="11932" xr:uid="{00000000-0005-0000-0000-00009F2E0000}"/>
    <cellStyle name="Comma 4 2 3 4 2 4" xfId="11933" xr:uid="{00000000-0005-0000-0000-0000A02E0000}"/>
    <cellStyle name="Comma 4 2 3 4 2 4 2" xfId="11934" xr:uid="{00000000-0005-0000-0000-0000A12E0000}"/>
    <cellStyle name="Comma 4 2 3 4 2 5" xfId="11935" xr:uid="{00000000-0005-0000-0000-0000A22E0000}"/>
    <cellStyle name="Comma 4 2 3 4 3" xfId="11936" xr:uid="{00000000-0005-0000-0000-0000A32E0000}"/>
    <cellStyle name="Comma 4 2 3 4 3 2" xfId="11937" xr:uid="{00000000-0005-0000-0000-0000A42E0000}"/>
    <cellStyle name="Comma 4 2 3 4 3 2 2" xfId="11938" xr:uid="{00000000-0005-0000-0000-0000A52E0000}"/>
    <cellStyle name="Comma 4 2 3 4 3 3" xfId="11939" xr:uid="{00000000-0005-0000-0000-0000A62E0000}"/>
    <cellStyle name="Comma 4 2 3 4 4" xfId="11940" xr:uid="{00000000-0005-0000-0000-0000A72E0000}"/>
    <cellStyle name="Comma 4 2 3 4 4 2" xfId="11941" xr:uid="{00000000-0005-0000-0000-0000A82E0000}"/>
    <cellStyle name="Comma 4 2 3 4 5" xfId="11942" xr:uid="{00000000-0005-0000-0000-0000A92E0000}"/>
    <cellStyle name="Comma 4 2 3 4 5 2" xfId="11943" xr:uid="{00000000-0005-0000-0000-0000AA2E0000}"/>
    <cellStyle name="Comma 4 2 3 4 6" xfId="11944" xr:uid="{00000000-0005-0000-0000-0000AB2E0000}"/>
    <cellStyle name="Comma 4 2 3 5" xfId="11945" xr:uid="{00000000-0005-0000-0000-0000AC2E0000}"/>
    <cellStyle name="Comma 4 2 3 5 2" xfId="11946" xr:uid="{00000000-0005-0000-0000-0000AD2E0000}"/>
    <cellStyle name="Comma 4 2 3 5 2 2" xfId="11947" xr:uid="{00000000-0005-0000-0000-0000AE2E0000}"/>
    <cellStyle name="Comma 4 2 3 5 2 2 2" xfId="11948" xr:uid="{00000000-0005-0000-0000-0000AF2E0000}"/>
    <cellStyle name="Comma 4 2 3 5 2 3" xfId="11949" xr:uid="{00000000-0005-0000-0000-0000B02E0000}"/>
    <cellStyle name="Comma 4 2 3 5 3" xfId="11950" xr:uid="{00000000-0005-0000-0000-0000B12E0000}"/>
    <cellStyle name="Comma 4 2 3 5 3 2" xfId="11951" xr:uid="{00000000-0005-0000-0000-0000B22E0000}"/>
    <cellStyle name="Comma 4 2 3 5 4" xfId="11952" xr:uid="{00000000-0005-0000-0000-0000B32E0000}"/>
    <cellStyle name="Comma 4 2 3 5 4 2" xfId="11953" xr:uid="{00000000-0005-0000-0000-0000B42E0000}"/>
    <cellStyle name="Comma 4 2 3 5 5" xfId="11954" xr:uid="{00000000-0005-0000-0000-0000B52E0000}"/>
    <cellStyle name="Comma 4 2 3 6" xfId="11955" xr:uid="{00000000-0005-0000-0000-0000B62E0000}"/>
    <cellStyle name="Comma 4 2 3 6 2" xfId="11956" xr:uid="{00000000-0005-0000-0000-0000B72E0000}"/>
    <cellStyle name="Comma 4 2 3 6 2 2" xfId="11957" xr:uid="{00000000-0005-0000-0000-0000B82E0000}"/>
    <cellStyle name="Comma 4 2 3 6 3" xfId="11958" xr:uid="{00000000-0005-0000-0000-0000B92E0000}"/>
    <cellStyle name="Comma 4 2 3 7" xfId="11959" xr:uid="{00000000-0005-0000-0000-0000BA2E0000}"/>
    <cellStyle name="Comma 4 2 3 7 2" xfId="11960" xr:uid="{00000000-0005-0000-0000-0000BB2E0000}"/>
    <cellStyle name="Comma 4 2 3 8" xfId="11961" xr:uid="{00000000-0005-0000-0000-0000BC2E0000}"/>
    <cellStyle name="Comma 4 2 3 8 2" xfId="11962" xr:uid="{00000000-0005-0000-0000-0000BD2E0000}"/>
    <cellStyle name="Comma 4 2 3 9" xfId="11963" xr:uid="{00000000-0005-0000-0000-0000BE2E0000}"/>
    <cellStyle name="Comma 4 2 4" xfId="11964" xr:uid="{00000000-0005-0000-0000-0000BF2E0000}"/>
    <cellStyle name="Comma 4 2 4 2" xfId="11965" xr:uid="{00000000-0005-0000-0000-0000C02E0000}"/>
    <cellStyle name="Comma 4 2 4 2 2" xfId="11966" xr:uid="{00000000-0005-0000-0000-0000C12E0000}"/>
    <cellStyle name="Comma 4 2 4 2 2 2" xfId="11967" xr:uid="{00000000-0005-0000-0000-0000C22E0000}"/>
    <cellStyle name="Comma 4 2 4 2 2 2 2" xfId="11968" xr:uid="{00000000-0005-0000-0000-0000C32E0000}"/>
    <cellStyle name="Comma 4 2 4 2 2 2 2 2" xfId="11969" xr:uid="{00000000-0005-0000-0000-0000C42E0000}"/>
    <cellStyle name="Comma 4 2 4 2 2 2 2 2 2" xfId="11970" xr:uid="{00000000-0005-0000-0000-0000C52E0000}"/>
    <cellStyle name="Comma 4 2 4 2 2 2 2 3" xfId="11971" xr:uid="{00000000-0005-0000-0000-0000C62E0000}"/>
    <cellStyle name="Comma 4 2 4 2 2 2 3" xfId="11972" xr:uid="{00000000-0005-0000-0000-0000C72E0000}"/>
    <cellStyle name="Comma 4 2 4 2 2 2 3 2" xfId="11973" xr:uid="{00000000-0005-0000-0000-0000C82E0000}"/>
    <cellStyle name="Comma 4 2 4 2 2 2 4" xfId="11974" xr:uid="{00000000-0005-0000-0000-0000C92E0000}"/>
    <cellStyle name="Comma 4 2 4 2 2 2 4 2" xfId="11975" xr:uid="{00000000-0005-0000-0000-0000CA2E0000}"/>
    <cellStyle name="Comma 4 2 4 2 2 2 5" xfId="11976" xr:uid="{00000000-0005-0000-0000-0000CB2E0000}"/>
    <cellStyle name="Comma 4 2 4 2 2 3" xfId="11977" xr:uid="{00000000-0005-0000-0000-0000CC2E0000}"/>
    <cellStyle name="Comma 4 2 4 2 2 3 2" xfId="11978" xr:uid="{00000000-0005-0000-0000-0000CD2E0000}"/>
    <cellStyle name="Comma 4 2 4 2 2 3 2 2" xfId="11979" xr:uid="{00000000-0005-0000-0000-0000CE2E0000}"/>
    <cellStyle name="Comma 4 2 4 2 2 3 3" xfId="11980" xr:uid="{00000000-0005-0000-0000-0000CF2E0000}"/>
    <cellStyle name="Comma 4 2 4 2 2 4" xfId="11981" xr:uid="{00000000-0005-0000-0000-0000D02E0000}"/>
    <cellStyle name="Comma 4 2 4 2 2 4 2" xfId="11982" xr:uid="{00000000-0005-0000-0000-0000D12E0000}"/>
    <cellStyle name="Comma 4 2 4 2 2 5" xfId="11983" xr:uid="{00000000-0005-0000-0000-0000D22E0000}"/>
    <cellStyle name="Comma 4 2 4 2 2 5 2" xfId="11984" xr:uid="{00000000-0005-0000-0000-0000D32E0000}"/>
    <cellStyle name="Comma 4 2 4 2 2 6" xfId="11985" xr:uid="{00000000-0005-0000-0000-0000D42E0000}"/>
    <cellStyle name="Comma 4 2 4 2 3" xfId="11986" xr:uid="{00000000-0005-0000-0000-0000D52E0000}"/>
    <cellStyle name="Comma 4 2 4 2 3 2" xfId="11987" xr:uid="{00000000-0005-0000-0000-0000D62E0000}"/>
    <cellStyle name="Comma 4 2 4 2 3 2 2" xfId="11988" xr:uid="{00000000-0005-0000-0000-0000D72E0000}"/>
    <cellStyle name="Comma 4 2 4 2 3 2 2 2" xfId="11989" xr:uid="{00000000-0005-0000-0000-0000D82E0000}"/>
    <cellStyle name="Comma 4 2 4 2 3 2 3" xfId="11990" xr:uid="{00000000-0005-0000-0000-0000D92E0000}"/>
    <cellStyle name="Comma 4 2 4 2 3 3" xfId="11991" xr:uid="{00000000-0005-0000-0000-0000DA2E0000}"/>
    <cellStyle name="Comma 4 2 4 2 3 3 2" xfId="11992" xr:uid="{00000000-0005-0000-0000-0000DB2E0000}"/>
    <cellStyle name="Comma 4 2 4 2 3 4" xfId="11993" xr:uid="{00000000-0005-0000-0000-0000DC2E0000}"/>
    <cellStyle name="Comma 4 2 4 2 3 4 2" xfId="11994" xr:uid="{00000000-0005-0000-0000-0000DD2E0000}"/>
    <cellStyle name="Comma 4 2 4 2 3 5" xfId="11995" xr:uid="{00000000-0005-0000-0000-0000DE2E0000}"/>
    <cellStyle name="Comma 4 2 4 2 4" xfId="11996" xr:uid="{00000000-0005-0000-0000-0000DF2E0000}"/>
    <cellStyle name="Comma 4 2 4 2 4 2" xfId="11997" xr:uid="{00000000-0005-0000-0000-0000E02E0000}"/>
    <cellStyle name="Comma 4 2 4 2 4 2 2" xfId="11998" xr:uid="{00000000-0005-0000-0000-0000E12E0000}"/>
    <cellStyle name="Comma 4 2 4 2 4 3" xfId="11999" xr:uid="{00000000-0005-0000-0000-0000E22E0000}"/>
    <cellStyle name="Comma 4 2 4 2 5" xfId="12000" xr:uid="{00000000-0005-0000-0000-0000E32E0000}"/>
    <cellStyle name="Comma 4 2 4 2 5 2" xfId="12001" xr:uid="{00000000-0005-0000-0000-0000E42E0000}"/>
    <cellStyle name="Comma 4 2 4 2 6" xfId="12002" xr:uid="{00000000-0005-0000-0000-0000E52E0000}"/>
    <cellStyle name="Comma 4 2 4 2 6 2" xfId="12003" xr:uid="{00000000-0005-0000-0000-0000E62E0000}"/>
    <cellStyle name="Comma 4 2 4 2 7" xfId="12004" xr:uid="{00000000-0005-0000-0000-0000E72E0000}"/>
    <cellStyle name="Comma 4 2 4 3" xfId="12005" xr:uid="{00000000-0005-0000-0000-0000E82E0000}"/>
    <cellStyle name="Comma 4 2 4 3 2" xfId="12006" xr:uid="{00000000-0005-0000-0000-0000E92E0000}"/>
    <cellStyle name="Comma 4 2 4 3 2 2" xfId="12007" xr:uid="{00000000-0005-0000-0000-0000EA2E0000}"/>
    <cellStyle name="Comma 4 2 4 3 2 2 2" xfId="12008" xr:uid="{00000000-0005-0000-0000-0000EB2E0000}"/>
    <cellStyle name="Comma 4 2 4 3 2 2 2 2" xfId="12009" xr:uid="{00000000-0005-0000-0000-0000EC2E0000}"/>
    <cellStyle name="Comma 4 2 4 3 2 2 3" xfId="12010" xr:uid="{00000000-0005-0000-0000-0000ED2E0000}"/>
    <cellStyle name="Comma 4 2 4 3 2 3" xfId="12011" xr:uid="{00000000-0005-0000-0000-0000EE2E0000}"/>
    <cellStyle name="Comma 4 2 4 3 2 3 2" xfId="12012" xr:uid="{00000000-0005-0000-0000-0000EF2E0000}"/>
    <cellStyle name="Comma 4 2 4 3 2 4" xfId="12013" xr:uid="{00000000-0005-0000-0000-0000F02E0000}"/>
    <cellStyle name="Comma 4 2 4 3 2 4 2" xfId="12014" xr:uid="{00000000-0005-0000-0000-0000F12E0000}"/>
    <cellStyle name="Comma 4 2 4 3 2 5" xfId="12015" xr:uid="{00000000-0005-0000-0000-0000F22E0000}"/>
    <cellStyle name="Comma 4 2 4 3 3" xfId="12016" xr:uid="{00000000-0005-0000-0000-0000F32E0000}"/>
    <cellStyle name="Comma 4 2 4 3 3 2" xfId="12017" xr:uid="{00000000-0005-0000-0000-0000F42E0000}"/>
    <cellStyle name="Comma 4 2 4 3 3 2 2" xfId="12018" xr:uid="{00000000-0005-0000-0000-0000F52E0000}"/>
    <cellStyle name="Comma 4 2 4 3 3 3" xfId="12019" xr:uid="{00000000-0005-0000-0000-0000F62E0000}"/>
    <cellStyle name="Comma 4 2 4 3 4" xfId="12020" xr:uid="{00000000-0005-0000-0000-0000F72E0000}"/>
    <cellStyle name="Comma 4 2 4 3 4 2" xfId="12021" xr:uid="{00000000-0005-0000-0000-0000F82E0000}"/>
    <cellStyle name="Comma 4 2 4 3 5" xfId="12022" xr:uid="{00000000-0005-0000-0000-0000F92E0000}"/>
    <cellStyle name="Comma 4 2 4 3 5 2" xfId="12023" xr:uid="{00000000-0005-0000-0000-0000FA2E0000}"/>
    <cellStyle name="Comma 4 2 4 3 6" xfId="12024" xr:uid="{00000000-0005-0000-0000-0000FB2E0000}"/>
    <cellStyle name="Comma 4 2 4 4" xfId="12025" xr:uid="{00000000-0005-0000-0000-0000FC2E0000}"/>
    <cellStyle name="Comma 4 2 4 4 2" xfId="12026" xr:uid="{00000000-0005-0000-0000-0000FD2E0000}"/>
    <cellStyle name="Comma 4 2 4 4 2 2" xfId="12027" xr:uid="{00000000-0005-0000-0000-0000FE2E0000}"/>
    <cellStyle name="Comma 4 2 4 4 2 2 2" xfId="12028" xr:uid="{00000000-0005-0000-0000-0000FF2E0000}"/>
    <cellStyle name="Comma 4 2 4 4 2 3" xfId="12029" xr:uid="{00000000-0005-0000-0000-0000002F0000}"/>
    <cellStyle name="Comma 4 2 4 4 3" xfId="12030" xr:uid="{00000000-0005-0000-0000-0000012F0000}"/>
    <cellStyle name="Comma 4 2 4 4 3 2" xfId="12031" xr:uid="{00000000-0005-0000-0000-0000022F0000}"/>
    <cellStyle name="Comma 4 2 4 4 4" xfId="12032" xr:uid="{00000000-0005-0000-0000-0000032F0000}"/>
    <cellStyle name="Comma 4 2 4 4 4 2" xfId="12033" xr:uid="{00000000-0005-0000-0000-0000042F0000}"/>
    <cellStyle name="Comma 4 2 4 4 5" xfId="12034" xr:uid="{00000000-0005-0000-0000-0000052F0000}"/>
    <cellStyle name="Comma 4 2 4 5" xfId="12035" xr:uid="{00000000-0005-0000-0000-0000062F0000}"/>
    <cellStyle name="Comma 4 2 4 5 2" xfId="12036" xr:uid="{00000000-0005-0000-0000-0000072F0000}"/>
    <cellStyle name="Comma 4 2 4 5 2 2" xfId="12037" xr:uid="{00000000-0005-0000-0000-0000082F0000}"/>
    <cellStyle name="Comma 4 2 4 5 3" xfId="12038" xr:uid="{00000000-0005-0000-0000-0000092F0000}"/>
    <cellStyle name="Comma 4 2 4 6" xfId="12039" xr:uid="{00000000-0005-0000-0000-00000A2F0000}"/>
    <cellStyle name="Comma 4 2 4 6 2" xfId="12040" xr:uid="{00000000-0005-0000-0000-00000B2F0000}"/>
    <cellStyle name="Comma 4 2 4 7" xfId="12041" xr:uid="{00000000-0005-0000-0000-00000C2F0000}"/>
    <cellStyle name="Comma 4 2 4 7 2" xfId="12042" xr:uid="{00000000-0005-0000-0000-00000D2F0000}"/>
    <cellStyle name="Comma 4 2 4 8" xfId="12043" xr:uid="{00000000-0005-0000-0000-00000E2F0000}"/>
    <cellStyle name="Comma 4 2 5" xfId="12044" xr:uid="{00000000-0005-0000-0000-00000F2F0000}"/>
    <cellStyle name="Comma 4 2 5 2" xfId="12045" xr:uid="{00000000-0005-0000-0000-0000102F0000}"/>
    <cellStyle name="Comma 4 2 5 2 2" xfId="12046" xr:uid="{00000000-0005-0000-0000-0000112F0000}"/>
    <cellStyle name="Comma 4 2 5 2 2 2" xfId="12047" xr:uid="{00000000-0005-0000-0000-0000122F0000}"/>
    <cellStyle name="Comma 4 2 5 2 2 2 2" xfId="12048" xr:uid="{00000000-0005-0000-0000-0000132F0000}"/>
    <cellStyle name="Comma 4 2 5 2 2 2 2 2" xfId="12049" xr:uid="{00000000-0005-0000-0000-0000142F0000}"/>
    <cellStyle name="Comma 4 2 5 2 2 2 3" xfId="12050" xr:uid="{00000000-0005-0000-0000-0000152F0000}"/>
    <cellStyle name="Comma 4 2 5 2 2 3" xfId="12051" xr:uid="{00000000-0005-0000-0000-0000162F0000}"/>
    <cellStyle name="Comma 4 2 5 2 2 3 2" xfId="12052" xr:uid="{00000000-0005-0000-0000-0000172F0000}"/>
    <cellStyle name="Comma 4 2 5 2 2 4" xfId="12053" xr:uid="{00000000-0005-0000-0000-0000182F0000}"/>
    <cellStyle name="Comma 4 2 5 2 2 4 2" xfId="12054" xr:uid="{00000000-0005-0000-0000-0000192F0000}"/>
    <cellStyle name="Comma 4 2 5 2 2 5" xfId="12055" xr:uid="{00000000-0005-0000-0000-00001A2F0000}"/>
    <cellStyle name="Comma 4 2 5 2 3" xfId="12056" xr:uid="{00000000-0005-0000-0000-00001B2F0000}"/>
    <cellStyle name="Comma 4 2 5 2 3 2" xfId="12057" xr:uid="{00000000-0005-0000-0000-00001C2F0000}"/>
    <cellStyle name="Comma 4 2 5 2 3 2 2" xfId="12058" xr:uid="{00000000-0005-0000-0000-00001D2F0000}"/>
    <cellStyle name="Comma 4 2 5 2 3 3" xfId="12059" xr:uid="{00000000-0005-0000-0000-00001E2F0000}"/>
    <cellStyle name="Comma 4 2 5 2 4" xfId="12060" xr:uid="{00000000-0005-0000-0000-00001F2F0000}"/>
    <cellStyle name="Comma 4 2 5 2 4 2" xfId="12061" xr:uid="{00000000-0005-0000-0000-0000202F0000}"/>
    <cellStyle name="Comma 4 2 5 2 5" xfId="12062" xr:uid="{00000000-0005-0000-0000-0000212F0000}"/>
    <cellStyle name="Comma 4 2 5 2 5 2" xfId="12063" xr:uid="{00000000-0005-0000-0000-0000222F0000}"/>
    <cellStyle name="Comma 4 2 5 2 6" xfId="12064" xr:uid="{00000000-0005-0000-0000-0000232F0000}"/>
    <cellStyle name="Comma 4 2 5 3" xfId="12065" xr:uid="{00000000-0005-0000-0000-0000242F0000}"/>
    <cellStyle name="Comma 4 2 5 3 2" xfId="12066" xr:uid="{00000000-0005-0000-0000-0000252F0000}"/>
    <cellStyle name="Comma 4 2 5 3 2 2" xfId="12067" xr:uid="{00000000-0005-0000-0000-0000262F0000}"/>
    <cellStyle name="Comma 4 2 5 3 2 2 2" xfId="12068" xr:uid="{00000000-0005-0000-0000-0000272F0000}"/>
    <cellStyle name="Comma 4 2 5 3 2 3" xfId="12069" xr:uid="{00000000-0005-0000-0000-0000282F0000}"/>
    <cellStyle name="Comma 4 2 5 3 3" xfId="12070" xr:uid="{00000000-0005-0000-0000-0000292F0000}"/>
    <cellStyle name="Comma 4 2 5 3 3 2" xfId="12071" xr:uid="{00000000-0005-0000-0000-00002A2F0000}"/>
    <cellStyle name="Comma 4 2 5 3 4" xfId="12072" xr:uid="{00000000-0005-0000-0000-00002B2F0000}"/>
    <cellStyle name="Comma 4 2 5 3 4 2" xfId="12073" xr:uid="{00000000-0005-0000-0000-00002C2F0000}"/>
    <cellStyle name="Comma 4 2 5 3 5" xfId="12074" xr:uid="{00000000-0005-0000-0000-00002D2F0000}"/>
    <cellStyle name="Comma 4 2 5 4" xfId="12075" xr:uid="{00000000-0005-0000-0000-00002E2F0000}"/>
    <cellStyle name="Comma 4 2 5 4 2" xfId="12076" xr:uid="{00000000-0005-0000-0000-00002F2F0000}"/>
    <cellStyle name="Comma 4 2 5 4 2 2" xfId="12077" xr:uid="{00000000-0005-0000-0000-0000302F0000}"/>
    <cellStyle name="Comma 4 2 5 4 3" xfId="12078" xr:uid="{00000000-0005-0000-0000-0000312F0000}"/>
    <cellStyle name="Comma 4 2 5 5" xfId="12079" xr:uid="{00000000-0005-0000-0000-0000322F0000}"/>
    <cellStyle name="Comma 4 2 5 5 2" xfId="12080" xr:uid="{00000000-0005-0000-0000-0000332F0000}"/>
    <cellStyle name="Comma 4 2 5 6" xfId="12081" xr:uid="{00000000-0005-0000-0000-0000342F0000}"/>
    <cellStyle name="Comma 4 2 5 6 2" xfId="12082" xr:uid="{00000000-0005-0000-0000-0000352F0000}"/>
    <cellStyle name="Comma 4 2 5 7" xfId="12083" xr:uid="{00000000-0005-0000-0000-0000362F0000}"/>
    <cellStyle name="Comma 4 2 6" xfId="12084" xr:uid="{00000000-0005-0000-0000-0000372F0000}"/>
    <cellStyle name="Comma 4 2 6 2" xfId="12085" xr:uid="{00000000-0005-0000-0000-0000382F0000}"/>
    <cellStyle name="Comma 4 2 6 2 2" xfId="12086" xr:uid="{00000000-0005-0000-0000-0000392F0000}"/>
    <cellStyle name="Comma 4 2 6 2 2 2" xfId="12087" xr:uid="{00000000-0005-0000-0000-00003A2F0000}"/>
    <cellStyle name="Comma 4 2 6 2 2 2 2" xfId="12088" xr:uid="{00000000-0005-0000-0000-00003B2F0000}"/>
    <cellStyle name="Comma 4 2 6 2 2 2 2 2" xfId="12089" xr:uid="{00000000-0005-0000-0000-00003C2F0000}"/>
    <cellStyle name="Comma 4 2 6 2 2 2 3" xfId="12090" xr:uid="{00000000-0005-0000-0000-00003D2F0000}"/>
    <cellStyle name="Comma 4 2 6 2 2 3" xfId="12091" xr:uid="{00000000-0005-0000-0000-00003E2F0000}"/>
    <cellStyle name="Comma 4 2 6 2 2 3 2" xfId="12092" xr:uid="{00000000-0005-0000-0000-00003F2F0000}"/>
    <cellStyle name="Comma 4 2 6 2 2 4" xfId="12093" xr:uid="{00000000-0005-0000-0000-0000402F0000}"/>
    <cellStyle name="Comma 4 2 6 2 2 4 2" xfId="12094" xr:uid="{00000000-0005-0000-0000-0000412F0000}"/>
    <cellStyle name="Comma 4 2 6 2 2 5" xfId="12095" xr:uid="{00000000-0005-0000-0000-0000422F0000}"/>
    <cellStyle name="Comma 4 2 6 2 3" xfId="12096" xr:uid="{00000000-0005-0000-0000-0000432F0000}"/>
    <cellStyle name="Comma 4 2 6 2 3 2" xfId="12097" xr:uid="{00000000-0005-0000-0000-0000442F0000}"/>
    <cellStyle name="Comma 4 2 6 2 3 2 2" xfId="12098" xr:uid="{00000000-0005-0000-0000-0000452F0000}"/>
    <cellStyle name="Comma 4 2 6 2 3 3" xfId="12099" xr:uid="{00000000-0005-0000-0000-0000462F0000}"/>
    <cellStyle name="Comma 4 2 6 2 4" xfId="12100" xr:uid="{00000000-0005-0000-0000-0000472F0000}"/>
    <cellStyle name="Comma 4 2 6 2 4 2" xfId="12101" xr:uid="{00000000-0005-0000-0000-0000482F0000}"/>
    <cellStyle name="Comma 4 2 6 2 5" xfId="12102" xr:uid="{00000000-0005-0000-0000-0000492F0000}"/>
    <cellStyle name="Comma 4 2 6 2 5 2" xfId="12103" xr:uid="{00000000-0005-0000-0000-00004A2F0000}"/>
    <cellStyle name="Comma 4 2 6 2 6" xfId="12104" xr:uid="{00000000-0005-0000-0000-00004B2F0000}"/>
    <cellStyle name="Comma 4 2 6 3" xfId="12105" xr:uid="{00000000-0005-0000-0000-00004C2F0000}"/>
    <cellStyle name="Comma 4 2 6 3 2" xfId="12106" xr:uid="{00000000-0005-0000-0000-00004D2F0000}"/>
    <cellStyle name="Comma 4 2 6 3 2 2" xfId="12107" xr:uid="{00000000-0005-0000-0000-00004E2F0000}"/>
    <cellStyle name="Comma 4 2 6 3 2 2 2" xfId="12108" xr:uid="{00000000-0005-0000-0000-00004F2F0000}"/>
    <cellStyle name="Comma 4 2 6 3 2 3" xfId="12109" xr:uid="{00000000-0005-0000-0000-0000502F0000}"/>
    <cellStyle name="Comma 4 2 6 3 3" xfId="12110" xr:uid="{00000000-0005-0000-0000-0000512F0000}"/>
    <cellStyle name="Comma 4 2 6 3 3 2" xfId="12111" xr:uid="{00000000-0005-0000-0000-0000522F0000}"/>
    <cellStyle name="Comma 4 2 6 3 4" xfId="12112" xr:uid="{00000000-0005-0000-0000-0000532F0000}"/>
    <cellStyle name="Comma 4 2 6 3 4 2" xfId="12113" xr:uid="{00000000-0005-0000-0000-0000542F0000}"/>
    <cellStyle name="Comma 4 2 6 3 5" xfId="12114" xr:uid="{00000000-0005-0000-0000-0000552F0000}"/>
    <cellStyle name="Comma 4 2 6 4" xfId="12115" xr:uid="{00000000-0005-0000-0000-0000562F0000}"/>
    <cellStyle name="Comma 4 2 6 4 2" xfId="12116" xr:uid="{00000000-0005-0000-0000-0000572F0000}"/>
    <cellStyle name="Comma 4 2 6 4 2 2" xfId="12117" xr:uid="{00000000-0005-0000-0000-0000582F0000}"/>
    <cellStyle name="Comma 4 2 6 4 3" xfId="12118" xr:uid="{00000000-0005-0000-0000-0000592F0000}"/>
    <cellStyle name="Comma 4 2 6 5" xfId="12119" xr:uid="{00000000-0005-0000-0000-00005A2F0000}"/>
    <cellStyle name="Comma 4 2 6 5 2" xfId="12120" xr:uid="{00000000-0005-0000-0000-00005B2F0000}"/>
    <cellStyle name="Comma 4 2 6 6" xfId="12121" xr:uid="{00000000-0005-0000-0000-00005C2F0000}"/>
    <cellStyle name="Comma 4 2 6 6 2" xfId="12122" xr:uid="{00000000-0005-0000-0000-00005D2F0000}"/>
    <cellStyle name="Comma 4 2 6 7" xfId="12123" xr:uid="{00000000-0005-0000-0000-00005E2F0000}"/>
    <cellStyle name="Comma 4 2 7" xfId="12124" xr:uid="{00000000-0005-0000-0000-00005F2F0000}"/>
    <cellStyle name="Comma 4 2 7 2" xfId="12125" xr:uid="{00000000-0005-0000-0000-0000602F0000}"/>
    <cellStyle name="Comma 4 2 7 2 2" xfId="12126" xr:uid="{00000000-0005-0000-0000-0000612F0000}"/>
    <cellStyle name="Comma 4 2 7 2 2 2" xfId="12127" xr:uid="{00000000-0005-0000-0000-0000622F0000}"/>
    <cellStyle name="Comma 4 2 7 2 2 2 2" xfId="12128" xr:uid="{00000000-0005-0000-0000-0000632F0000}"/>
    <cellStyle name="Comma 4 2 7 2 2 3" xfId="12129" xr:uid="{00000000-0005-0000-0000-0000642F0000}"/>
    <cellStyle name="Comma 4 2 7 2 3" xfId="12130" xr:uid="{00000000-0005-0000-0000-0000652F0000}"/>
    <cellStyle name="Comma 4 2 7 2 3 2" xfId="12131" xr:uid="{00000000-0005-0000-0000-0000662F0000}"/>
    <cellStyle name="Comma 4 2 7 2 4" xfId="12132" xr:uid="{00000000-0005-0000-0000-0000672F0000}"/>
    <cellStyle name="Comma 4 2 7 2 4 2" xfId="12133" xr:uid="{00000000-0005-0000-0000-0000682F0000}"/>
    <cellStyle name="Comma 4 2 7 2 5" xfId="12134" xr:uid="{00000000-0005-0000-0000-0000692F0000}"/>
    <cellStyle name="Comma 4 2 7 3" xfId="12135" xr:uid="{00000000-0005-0000-0000-00006A2F0000}"/>
    <cellStyle name="Comma 4 2 7 3 2" xfId="12136" xr:uid="{00000000-0005-0000-0000-00006B2F0000}"/>
    <cellStyle name="Comma 4 2 7 3 2 2" xfId="12137" xr:uid="{00000000-0005-0000-0000-00006C2F0000}"/>
    <cellStyle name="Comma 4 2 7 3 3" xfId="12138" xr:uid="{00000000-0005-0000-0000-00006D2F0000}"/>
    <cellStyle name="Comma 4 2 7 4" xfId="12139" xr:uid="{00000000-0005-0000-0000-00006E2F0000}"/>
    <cellStyle name="Comma 4 2 7 4 2" xfId="12140" xr:uid="{00000000-0005-0000-0000-00006F2F0000}"/>
    <cellStyle name="Comma 4 2 7 5" xfId="12141" xr:uid="{00000000-0005-0000-0000-0000702F0000}"/>
    <cellStyle name="Comma 4 2 7 5 2" xfId="12142" xr:uid="{00000000-0005-0000-0000-0000712F0000}"/>
    <cellStyle name="Comma 4 2 7 6" xfId="12143" xr:uid="{00000000-0005-0000-0000-0000722F0000}"/>
    <cellStyle name="Comma 4 2 8" xfId="12144" xr:uid="{00000000-0005-0000-0000-0000732F0000}"/>
    <cellStyle name="Comma 4 2 8 2" xfId="12145" xr:uid="{00000000-0005-0000-0000-0000742F0000}"/>
    <cellStyle name="Comma 4 2 8 2 2" xfId="12146" xr:uid="{00000000-0005-0000-0000-0000752F0000}"/>
    <cellStyle name="Comma 4 2 8 2 2 2" xfId="12147" xr:uid="{00000000-0005-0000-0000-0000762F0000}"/>
    <cellStyle name="Comma 4 2 8 2 3" xfId="12148" xr:uid="{00000000-0005-0000-0000-0000772F0000}"/>
    <cellStyle name="Comma 4 2 8 3" xfId="12149" xr:uid="{00000000-0005-0000-0000-0000782F0000}"/>
    <cellStyle name="Comma 4 2 8 3 2" xfId="12150" xr:uid="{00000000-0005-0000-0000-0000792F0000}"/>
    <cellStyle name="Comma 4 2 8 4" xfId="12151" xr:uid="{00000000-0005-0000-0000-00007A2F0000}"/>
    <cellStyle name="Comma 4 2 8 4 2" xfId="12152" xr:uid="{00000000-0005-0000-0000-00007B2F0000}"/>
    <cellStyle name="Comma 4 2 8 5" xfId="12153" xr:uid="{00000000-0005-0000-0000-00007C2F0000}"/>
    <cellStyle name="Comma 4 2 9" xfId="12154" xr:uid="{00000000-0005-0000-0000-00007D2F0000}"/>
    <cellStyle name="Comma 4 2 9 2" xfId="12155" xr:uid="{00000000-0005-0000-0000-00007E2F0000}"/>
    <cellStyle name="Comma 4 2 9 2 2" xfId="12156" xr:uid="{00000000-0005-0000-0000-00007F2F0000}"/>
    <cellStyle name="Comma 4 2 9 3" xfId="12157" xr:uid="{00000000-0005-0000-0000-0000802F0000}"/>
    <cellStyle name="Comma 4 3" xfId="12158" xr:uid="{00000000-0005-0000-0000-0000812F0000}"/>
    <cellStyle name="Comma 4 3 10" xfId="12159" xr:uid="{00000000-0005-0000-0000-0000822F0000}"/>
    <cellStyle name="Comma 4 3 10 2" xfId="12160" xr:uid="{00000000-0005-0000-0000-0000832F0000}"/>
    <cellStyle name="Comma 4 3 11" xfId="12161" xr:uid="{00000000-0005-0000-0000-0000842F0000}"/>
    <cellStyle name="Comma 4 3 11 2" xfId="12162" xr:uid="{00000000-0005-0000-0000-0000852F0000}"/>
    <cellStyle name="Comma 4 3 12" xfId="12163" xr:uid="{00000000-0005-0000-0000-0000862F0000}"/>
    <cellStyle name="Comma 4 3 2" xfId="12164" xr:uid="{00000000-0005-0000-0000-0000872F0000}"/>
    <cellStyle name="Comma 4 3 2 2" xfId="12165" xr:uid="{00000000-0005-0000-0000-0000882F0000}"/>
    <cellStyle name="Comma 4 3 2 2 2" xfId="12166" xr:uid="{00000000-0005-0000-0000-0000892F0000}"/>
    <cellStyle name="Comma 4 3 2 2 2 2" xfId="12167" xr:uid="{00000000-0005-0000-0000-00008A2F0000}"/>
    <cellStyle name="Comma 4 3 2 2 2 2 2" xfId="12168" xr:uid="{00000000-0005-0000-0000-00008B2F0000}"/>
    <cellStyle name="Comma 4 3 2 2 2 2 2 2" xfId="12169" xr:uid="{00000000-0005-0000-0000-00008C2F0000}"/>
    <cellStyle name="Comma 4 3 2 2 2 2 2 2 2" xfId="12170" xr:uid="{00000000-0005-0000-0000-00008D2F0000}"/>
    <cellStyle name="Comma 4 3 2 2 2 2 2 3" xfId="12171" xr:uid="{00000000-0005-0000-0000-00008E2F0000}"/>
    <cellStyle name="Comma 4 3 2 2 2 2 3" xfId="12172" xr:uid="{00000000-0005-0000-0000-00008F2F0000}"/>
    <cellStyle name="Comma 4 3 2 2 2 2 3 2" xfId="12173" xr:uid="{00000000-0005-0000-0000-0000902F0000}"/>
    <cellStyle name="Comma 4 3 2 2 2 2 4" xfId="12174" xr:uid="{00000000-0005-0000-0000-0000912F0000}"/>
    <cellStyle name="Comma 4 3 2 2 2 2 4 2" xfId="12175" xr:uid="{00000000-0005-0000-0000-0000922F0000}"/>
    <cellStyle name="Comma 4 3 2 2 2 2 5" xfId="12176" xr:uid="{00000000-0005-0000-0000-0000932F0000}"/>
    <cellStyle name="Comma 4 3 2 2 2 3" xfId="12177" xr:uid="{00000000-0005-0000-0000-0000942F0000}"/>
    <cellStyle name="Comma 4 3 2 2 2 3 2" xfId="12178" xr:uid="{00000000-0005-0000-0000-0000952F0000}"/>
    <cellStyle name="Comma 4 3 2 2 2 3 2 2" xfId="12179" xr:uid="{00000000-0005-0000-0000-0000962F0000}"/>
    <cellStyle name="Comma 4 3 2 2 2 3 3" xfId="12180" xr:uid="{00000000-0005-0000-0000-0000972F0000}"/>
    <cellStyle name="Comma 4 3 2 2 2 4" xfId="12181" xr:uid="{00000000-0005-0000-0000-0000982F0000}"/>
    <cellStyle name="Comma 4 3 2 2 2 4 2" xfId="12182" xr:uid="{00000000-0005-0000-0000-0000992F0000}"/>
    <cellStyle name="Comma 4 3 2 2 2 5" xfId="12183" xr:uid="{00000000-0005-0000-0000-00009A2F0000}"/>
    <cellStyle name="Comma 4 3 2 2 2 5 2" xfId="12184" xr:uid="{00000000-0005-0000-0000-00009B2F0000}"/>
    <cellStyle name="Comma 4 3 2 2 2 6" xfId="12185" xr:uid="{00000000-0005-0000-0000-00009C2F0000}"/>
    <cellStyle name="Comma 4 3 2 2 3" xfId="12186" xr:uid="{00000000-0005-0000-0000-00009D2F0000}"/>
    <cellStyle name="Comma 4 3 2 2 3 2" xfId="12187" xr:uid="{00000000-0005-0000-0000-00009E2F0000}"/>
    <cellStyle name="Comma 4 3 2 2 3 2 2" xfId="12188" xr:uid="{00000000-0005-0000-0000-00009F2F0000}"/>
    <cellStyle name="Comma 4 3 2 2 3 2 2 2" xfId="12189" xr:uid="{00000000-0005-0000-0000-0000A02F0000}"/>
    <cellStyle name="Comma 4 3 2 2 3 2 3" xfId="12190" xr:uid="{00000000-0005-0000-0000-0000A12F0000}"/>
    <cellStyle name="Comma 4 3 2 2 3 3" xfId="12191" xr:uid="{00000000-0005-0000-0000-0000A22F0000}"/>
    <cellStyle name="Comma 4 3 2 2 3 3 2" xfId="12192" xr:uid="{00000000-0005-0000-0000-0000A32F0000}"/>
    <cellStyle name="Comma 4 3 2 2 3 4" xfId="12193" xr:uid="{00000000-0005-0000-0000-0000A42F0000}"/>
    <cellStyle name="Comma 4 3 2 2 3 4 2" xfId="12194" xr:uid="{00000000-0005-0000-0000-0000A52F0000}"/>
    <cellStyle name="Comma 4 3 2 2 3 5" xfId="12195" xr:uid="{00000000-0005-0000-0000-0000A62F0000}"/>
    <cellStyle name="Comma 4 3 2 2 4" xfId="12196" xr:uid="{00000000-0005-0000-0000-0000A72F0000}"/>
    <cellStyle name="Comma 4 3 2 2 4 2" xfId="12197" xr:uid="{00000000-0005-0000-0000-0000A82F0000}"/>
    <cellStyle name="Comma 4 3 2 2 4 2 2" xfId="12198" xr:uid="{00000000-0005-0000-0000-0000A92F0000}"/>
    <cellStyle name="Comma 4 3 2 2 4 3" xfId="12199" xr:uid="{00000000-0005-0000-0000-0000AA2F0000}"/>
    <cellStyle name="Comma 4 3 2 2 5" xfId="12200" xr:uid="{00000000-0005-0000-0000-0000AB2F0000}"/>
    <cellStyle name="Comma 4 3 2 2 5 2" xfId="12201" xr:uid="{00000000-0005-0000-0000-0000AC2F0000}"/>
    <cellStyle name="Comma 4 3 2 2 6" xfId="12202" xr:uid="{00000000-0005-0000-0000-0000AD2F0000}"/>
    <cellStyle name="Comma 4 3 2 2 6 2" xfId="12203" xr:uid="{00000000-0005-0000-0000-0000AE2F0000}"/>
    <cellStyle name="Comma 4 3 2 2 7" xfId="12204" xr:uid="{00000000-0005-0000-0000-0000AF2F0000}"/>
    <cellStyle name="Comma 4 3 2 3" xfId="12205" xr:uid="{00000000-0005-0000-0000-0000B02F0000}"/>
    <cellStyle name="Comma 4 3 2 3 2" xfId="12206" xr:uid="{00000000-0005-0000-0000-0000B12F0000}"/>
    <cellStyle name="Comma 4 3 2 3 2 2" xfId="12207" xr:uid="{00000000-0005-0000-0000-0000B22F0000}"/>
    <cellStyle name="Comma 4 3 2 3 2 2 2" xfId="12208" xr:uid="{00000000-0005-0000-0000-0000B32F0000}"/>
    <cellStyle name="Comma 4 3 2 3 2 2 2 2" xfId="12209" xr:uid="{00000000-0005-0000-0000-0000B42F0000}"/>
    <cellStyle name="Comma 4 3 2 3 2 2 2 2 2" xfId="12210" xr:uid="{00000000-0005-0000-0000-0000B52F0000}"/>
    <cellStyle name="Comma 4 3 2 3 2 2 2 3" xfId="12211" xr:uid="{00000000-0005-0000-0000-0000B62F0000}"/>
    <cellStyle name="Comma 4 3 2 3 2 2 3" xfId="12212" xr:uid="{00000000-0005-0000-0000-0000B72F0000}"/>
    <cellStyle name="Comma 4 3 2 3 2 2 3 2" xfId="12213" xr:uid="{00000000-0005-0000-0000-0000B82F0000}"/>
    <cellStyle name="Comma 4 3 2 3 2 2 4" xfId="12214" xr:uid="{00000000-0005-0000-0000-0000B92F0000}"/>
    <cellStyle name="Comma 4 3 2 3 2 2 4 2" xfId="12215" xr:uid="{00000000-0005-0000-0000-0000BA2F0000}"/>
    <cellStyle name="Comma 4 3 2 3 2 2 5" xfId="12216" xr:uid="{00000000-0005-0000-0000-0000BB2F0000}"/>
    <cellStyle name="Comma 4 3 2 3 2 3" xfId="12217" xr:uid="{00000000-0005-0000-0000-0000BC2F0000}"/>
    <cellStyle name="Comma 4 3 2 3 2 3 2" xfId="12218" xr:uid="{00000000-0005-0000-0000-0000BD2F0000}"/>
    <cellStyle name="Comma 4 3 2 3 2 3 2 2" xfId="12219" xr:uid="{00000000-0005-0000-0000-0000BE2F0000}"/>
    <cellStyle name="Comma 4 3 2 3 2 3 3" xfId="12220" xr:uid="{00000000-0005-0000-0000-0000BF2F0000}"/>
    <cellStyle name="Comma 4 3 2 3 2 4" xfId="12221" xr:uid="{00000000-0005-0000-0000-0000C02F0000}"/>
    <cellStyle name="Comma 4 3 2 3 2 4 2" xfId="12222" xr:uid="{00000000-0005-0000-0000-0000C12F0000}"/>
    <cellStyle name="Comma 4 3 2 3 2 5" xfId="12223" xr:uid="{00000000-0005-0000-0000-0000C22F0000}"/>
    <cellStyle name="Comma 4 3 2 3 2 5 2" xfId="12224" xr:uid="{00000000-0005-0000-0000-0000C32F0000}"/>
    <cellStyle name="Comma 4 3 2 3 2 6" xfId="12225" xr:uid="{00000000-0005-0000-0000-0000C42F0000}"/>
    <cellStyle name="Comma 4 3 2 3 3" xfId="12226" xr:uid="{00000000-0005-0000-0000-0000C52F0000}"/>
    <cellStyle name="Comma 4 3 2 3 3 2" xfId="12227" xr:uid="{00000000-0005-0000-0000-0000C62F0000}"/>
    <cellStyle name="Comma 4 3 2 3 3 2 2" xfId="12228" xr:uid="{00000000-0005-0000-0000-0000C72F0000}"/>
    <cellStyle name="Comma 4 3 2 3 3 2 2 2" xfId="12229" xr:uid="{00000000-0005-0000-0000-0000C82F0000}"/>
    <cellStyle name="Comma 4 3 2 3 3 2 3" xfId="12230" xr:uid="{00000000-0005-0000-0000-0000C92F0000}"/>
    <cellStyle name="Comma 4 3 2 3 3 3" xfId="12231" xr:uid="{00000000-0005-0000-0000-0000CA2F0000}"/>
    <cellStyle name="Comma 4 3 2 3 3 3 2" xfId="12232" xr:uid="{00000000-0005-0000-0000-0000CB2F0000}"/>
    <cellStyle name="Comma 4 3 2 3 3 4" xfId="12233" xr:uid="{00000000-0005-0000-0000-0000CC2F0000}"/>
    <cellStyle name="Comma 4 3 2 3 3 4 2" xfId="12234" xr:uid="{00000000-0005-0000-0000-0000CD2F0000}"/>
    <cellStyle name="Comma 4 3 2 3 3 5" xfId="12235" xr:uid="{00000000-0005-0000-0000-0000CE2F0000}"/>
    <cellStyle name="Comma 4 3 2 3 4" xfId="12236" xr:uid="{00000000-0005-0000-0000-0000CF2F0000}"/>
    <cellStyle name="Comma 4 3 2 3 4 2" xfId="12237" xr:uid="{00000000-0005-0000-0000-0000D02F0000}"/>
    <cellStyle name="Comma 4 3 2 3 4 2 2" xfId="12238" xr:uid="{00000000-0005-0000-0000-0000D12F0000}"/>
    <cellStyle name="Comma 4 3 2 3 4 3" xfId="12239" xr:uid="{00000000-0005-0000-0000-0000D22F0000}"/>
    <cellStyle name="Comma 4 3 2 3 5" xfId="12240" xr:uid="{00000000-0005-0000-0000-0000D32F0000}"/>
    <cellStyle name="Comma 4 3 2 3 5 2" xfId="12241" xr:uid="{00000000-0005-0000-0000-0000D42F0000}"/>
    <cellStyle name="Comma 4 3 2 3 6" xfId="12242" xr:uid="{00000000-0005-0000-0000-0000D52F0000}"/>
    <cellStyle name="Comma 4 3 2 3 6 2" xfId="12243" xr:uid="{00000000-0005-0000-0000-0000D62F0000}"/>
    <cellStyle name="Comma 4 3 2 3 7" xfId="12244" xr:uid="{00000000-0005-0000-0000-0000D72F0000}"/>
    <cellStyle name="Comma 4 3 2 4" xfId="12245" xr:uid="{00000000-0005-0000-0000-0000D82F0000}"/>
    <cellStyle name="Comma 4 3 2 4 2" xfId="12246" xr:uid="{00000000-0005-0000-0000-0000D92F0000}"/>
    <cellStyle name="Comma 4 3 2 4 2 2" xfId="12247" xr:uid="{00000000-0005-0000-0000-0000DA2F0000}"/>
    <cellStyle name="Comma 4 3 2 4 2 2 2" xfId="12248" xr:uid="{00000000-0005-0000-0000-0000DB2F0000}"/>
    <cellStyle name="Comma 4 3 2 4 2 2 2 2" xfId="12249" xr:uid="{00000000-0005-0000-0000-0000DC2F0000}"/>
    <cellStyle name="Comma 4 3 2 4 2 2 3" xfId="12250" xr:uid="{00000000-0005-0000-0000-0000DD2F0000}"/>
    <cellStyle name="Comma 4 3 2 4 2 3" xfId="12251" xr:uid="{00000000-0005-0000-0000-0000DE2F0000}"/>
    <cellStyle name="Comma 4 3 2 4 2 3 2" xfId="12252" xr:uid="{00000000-0005-0000-0000-0000DF2F0000}"/>
    <cellStyle name="Comma 4 3 2 4 2 4" xfId="12253" xr:uid="{00000000-0005-0000-0000-0000E02F0000}"/>
    <cellStyle name="Comma 4 3 2 4 2 4 2" xfId="12254" xr:uid="{00000000-0005-0000-0000-0000E12F0000}"/>
    <cellStyle name="Comma 4 3 2 4 2 5" xfId="12255" xr:uid="{00000000-0005-0000-0000-0000E22F0000}"/>
    <cellStyle name="Comma 4 3 2 4 3" xfId="12256" xr:uid="{00000000-0005-0000-0000-0000E32F0000}"/>
    <cellStyle name="Comma 4 3 2 4 3 2" xfId="12257" xr:uid="{00000000-0005-0000-0000-0000E42F0000}"/>
    <cellStyle name="Comma 4 3 2 4 3 2 2" xfId="12258" xr:uid="{00000000-0005-0000-0000-0000E52F0000}"/>
    <cellStyle name="Comma 4 3 2 4 3 3" xfId="12259" xr:uid="{00000000-0005-0000-0000-0000E62F0000}"/>
    <cellStyle name="Comma 4 3 2 4 4" xfId="12260" xr:uid="{00000000-0005-0000-0000-0000E72F0000}"/>
    <cellStyle name="Comma 4 3 2 4 4 2" xfId="12261" xr:uid="{00000000-0005-0000-0000-0000E82F0000}"/>
    <cellStyle name="Comma 4 3 2 4 5" xfId="12262" xr:uid="{00000000-0005-0000-0000-0000E92F0000}"/>
    <cellStyle name="Comma 4 3 2 4 5 2" xfId="12263" xr:uid="{00000000-0005-0000-0000-0000EA2F0000}"/>
    <cellStyle name="Comma 4 3 2 4 6" xfId="12264" xr:uid="{00000000-0005-0000-0000-0000EB2F0000}"/>
    <cellStyle name="Comma 4 3 2 5" xfId="12265" xr:uid="{00000000-0005-0000-0000-0000EC2F0000}"/>
    <cellStyle name="Comma 4 3 2 5 2" xfId="12266" xr:uid="{00000000-0005-0000-0000-0000ED2F0000}"/>
    <cellStyle name="Comma 4 3 2 5 2 2" xfId="12267" xr:uid="{00000000-0005-0000-0000-0000EE2F0000}"/>
    <cellStyle name="Comma 4 3 2 5 2 2 2" xfId="12268" xr:uid="{00000000-0005-0000-0000-0000EF2F0000}"/>
    <cellStyle name="Comma 4 3 2 5 2 3" xfId="12269" xr:uid="{00000000-0005-0000-0000-0000F02F0000}"/>
    <cellStyle name="Comma 4 3 2 5 3" xfId="12270" xr:uid="{00000000-0005-0000-0000-0000F12F0000}"/>
    <cellStyle name="Comma 4 3 2 5 3 2" xfId="12271" xr:uid="{00000000-0005-0000-0000-0000F22F0000}"/>
    <cellStyle name="Comma 4 3 2 5 4" xfId="12272" xr:uid="{00000000-0005-0000-0000-0000F32F0000}"/>
    <cellStyle name="Comma 4 3 2 5 4 2" xfId="12273" xr:uid="{00000000-0005-0000-0000-0000F42F0000}"/>
    <cellStyle name="Comma 4 3 2 5 5" xfId="12274" xr:uid="{00000000-0005-0000-0000-0000F52F0000}"/>
    <cellStyle name="Comma 4 3 2 6" xfId="12275" xr:uid="{00000000-0005-0000-0000-0000F62F0000}"/>
    <cellStyle name="Comma 4 3 2 6 2" xfId="12276" xr:uid="{00000000-0005-0000-0000-0000F72F0000}"/>
    <cellStyle name="Comma 4 3 2 6 2 2" xfId="12277" xr:uid="{00000000-0005-0000-0000-0000F82F0000}"/>
    <cellStyle name="Comma 4 3 2 6 3" xfId="12278" xr:uid="{00000000-0005-0000-0000-0000F92F0000}"/>
    <cellStyle name="Comma 4 3 2 7" xfId="12279" xr:uid="{00000000-0005-0000-0000-0000FA2F0000}"/>
    <cellStyle name="Comma 4 3 2 7 2" xfId="12280" xr:uid="{00000000-0005-0000-0000-0000FB2F0000}"/>
    <cellStyle name="Comma 4 3 2 8" xfId="12281" xr:uid="{00000000-0005-0000-0000-0000FC2F0000}"/>
    <cellStyle name="Comma 4 3 2 8 2" xfId="12282" xr:uid="{00000000-0005-0000-0000-0000FD2F0000}"/>
    <cellStyle name="Comma 4 3 2 9" xfId="12283" xr:uid="{00000000-0005-0000-0000-0000FE2F0000}"/>
    <cellStyle name="Comma 4 3 3" xfId="12284" xr:uid="{00000000-0005-0000-0000-0000FF2F0000}"/>
    <cellStyle name="Comma 4 3 3 2" xfId="12285" xr:uid="{00000000-0005-0000-0000-000000300000}"/>
    <cellStyle name="Comma 4 3 3 2 2" xfId="12286" xr:uid="{00000000-0005-0000-0000-000001300000}"/>
    <cellStyle name="Comma 4 3 3 2 2 2" xfId="12287" xr:uid="{00000000-0005-0000-0000-000002300000}"/>
    <cellStyle name="Comma 4 3 3 2 2 2 2" xfId="12288" xr:uid="{00000000-0005-0000-0000-000003300000}"/>
    <cellStyle name="Comma 4 3 3 2 2 2 2 2" xfId="12289" xr:uid="{00000000-0005-0000-0000-000004300000}"/>
    <cellStyle name="Comma 4 3 3 2 2 2 2 2 2" xfId="12290" xr:uid="{00000000-0005-0000-0000-000005300000}"/>
    <cellStyle name="Comma 4 3 3 2 2 2 2 3" xfId="12291" xr:uid="{00000000-0005-0000-0000-000006300000}"/>
    <cellStyle name="Comma 4 3 3 2 2 2 3" xfId="12292" xr:uid="{00000000-0005-0000-0000-000007300000}"/>
    <cellStyle name="Comma 4 3 3 2 2 2 3 2" xfId="12293" xr:uid="{00000000-0005-0000-0000-000008300000}"/>
    <cellStyle name="Comma 4 3 3 2 2 2 4" xfId="12294" xr:uid="{00000000-0005-0000-0000-000009300000}"/>
    <cellStyle name="Comma 4 3 3 2 2 2 4 2" xfId="12295" xr:uid="{00000000-0005-0000-0000-00000A300000}"/>
    <cellStyle name="Comma 4 3 3 2 2 2 5" xfId="12296" xr:uid="{00000000-0005-0000-0000-00000B300000}"/>
    <cellStyle name="Comma 4 3 3 2 2 3" xfId="12297" xr:uid="{00000000-0005-0000-0000-00000C300000}"/>
    <cellStyle name="Comma 4 3 3 2 2 3 2" xfId="12298" xr:uid="{00000000-0005-0000-0000-00000D300000}"/>
    <cellStyle name="Comma 4 3 3 2 2 3 2 2" xfId="12299" xr:uid="{00000000-0005-0000-0000-00000E300000}"/>
    <cellStyle name="Comma 4 3 3 2 2 3 3" xfId="12300" xr:uid="{00000000-0005-0000-0000-00000F300000}"/>
    <cellStyle name="Comma 4 3 3 2 2 4" xfId="12301" xr:uid="{00000000-0005-0000-0000-000010300000}"/>
    <cellStyle name="Comma 4 3 3 2 2 4 2" xfId="12302" xr:uid="{00000000-0005-0000-0000-000011300000}"/>
    <cellStyle name="Comma 4 3 3 2 2 5" xfId="12303" xr:uid="{00000000-0005-0000-0000-000012300000}"/>
    <cellStyle name="Comma 4 3 3 2 2 5 2" xfId="12304" xr:uid="{00000000-0005-0000-0000-000013300000}"/>
    <cellStyle name="Comma 4 3 3 2 2 6" xfId="12305" xr:uid="{00000000-0005-0000-0000-000014300000}"/>
    <cellStyle name="Comma 4 3 3 2 3" xfId="12306" xr:uid="{00000000-0005-0000-0000-000015300000}"/>
    <cellStyle name="Comma 4 3 3 2 3 2" xfId="12307" xr:uid="{00000000-0005-0000-0000-000016300000}"/>
    <cellStyle name="Comma 4 3 3 2 3 2 2" xfId="12308" xr:uid="{00000000-0005-0000-0000-000017300000}"/>
    <cellStyle name="Comma 4 3 3 2 3 2 2 2" xfId="12309" xr:uid="{00000000-0005-0000-0000-000018300000}"/>
    <cellStyle name="Comma 4 3 3 2 3 2 3" xfId="12310" xr:uid="{00000000-0005-0000-0000-000019300000}"/>
    <cellStyle name="Comma 4 3 3 2 3 3" xfId="12311" xr:uid="{00000000-0005-0000-0000-00001A300000}"/>
    <cellStyle name="Comma 4 3 3 2 3 3 2" xfId="12312" xr:uid="{00000000-0005-0000-0000-00001B300000}"/>
    <cellStyle name="Comma 4 3 3 2 3 4" xfId="12313" xr:uid="{00000000-0005-0000-0000-00001C300000}"/>
    <cellStyle name="Comma 4 3 3 2 3 4 2" xfId="12314" xr:uid="{00000000-0005-0000-0000-00001D300000}"/>
    <cellStyle name="Comma 4 3 3 2 3 5" xfId="12315" xr:uid="{00000000-0005-0000-0000-00001E300000}"/>
    <cellStyle name="Comma 4 3 3 2 4" xfId="12316" xr:uid="{00000000-0005-0000-0000-00001F300000}"/>
    <cellStyle name="Comma 4 3 3 2 4 2" xfId="12317" xr:uid="{00000000-0005-0000-0000-000020300000}"/>
    <cellStyle name="Comma 4 3 3 2 4 2 2" xfId="12318" xr:uid="{00000000-0005-0000-0000-000021300000}"/>
    <cellStyle name="Comma 4 3 3 2 4 3" xfId="12319" xr:uid="{00000000-0005-0000-0000-000022300000}"/>
    <cellStyle name="Comma 4 3 3 2 5" xfId="12320" xr:uid="{00000000-0005-0000-0000-000023300000}"/>
    <cellStyle name="Comma 4 3 3 2 5 2" xfId="12321" xr:uid="{00000000-0005-0000-0000-000024300000}"/>
    <cellStyle name="Comma 4 3 3 2 6" xfId="12322" xr:uid="{00000000-0005-0000-0000-000025300000}"/>
    <cellStyle name="Comma 4 3 3 2 6 2" xfId="12323" xr:uid="{00000000-0005-0000-0000-000026300000}"/>
    <cellStyle name="Comma 4 3 3 2 7" xfId="12324" xr:uid="{00000000-0005-0000-0000-000027300000}"/>
    <cellStyle name="Comma 4 3 3 3" xfId="12325" xr:uid="{00000000-0005-0000-0000-000028300000}"/>
    <cellStyle name="Comma 4 3 3 3 2" xfId="12326" xr:uid="{00000000-0005-0000-0000-000029300000}"/>
    <cellStyle name="Comma 4 3 3 3 2 2" xfId="12327" xr:uid="{00000000-0005-0000-0000-00002A300000}"/>
    <cellStyle name="Comma 4 3 3 3 2 2 2" xfId="12328" xr:uid="{00000000-0005-0000-0000-00002B300000}"/>
    <cellStyle name="Comma 4 3 3 3 2 2 2 2" xfId="12329" xr:uid="{00000000-0005-0000-0000-00002C300000}"/>
    <cellStyle name="Comma 4 3 3 3 2 2 2 2 2" xfId="12330" xr:uid="{00000000-0005-0000-0000-00002D300000}"/>
    <cellStyle name="Comma 4 3 3 3 2 2 2 3" xfId="12331" xr:uid="{00000000-0005-0000-0000-00002E300000}"/>
    <cellStyle name="Comma 4 3 3 3 2 2 3" xfId="12332" xr:uid="{00000000-0005-0000-0000-00002F300000}"/>
    <cellStyle name="Comma 4 3 3 3 2 2 3 2" xfId="12333" xr:uid="{00000000-0005-0000-0000-000030300000}"/>
    <cellStyle name="Comma 4 3 3 3 2 2 4" xfId="12334" xr:uid="{00000000-0005-0000-0000-000031300000}"/>
    <cellStyle name="Comma 4 3 3 3 2 2 4 2" xfId="12335" xr:uid="{00000000-0005-0000-0000-000032300000}"/>
    <cellStyle name="Comma 4 3 3 3 2 2 5" xfId="12336" xr:uid="{00000000-0005-0000-0000-000033300000}"/>
    <cellStyle name="Comma 4 3 3 3 2 3" xfId="12337" xr:uid="{00000000-0005-0000-0000-000034300000}"/>
    <cellStyle name="Comma 4 3 3 3 2 3 2" xfId="12338" xr:uid="{00000000-0005-0000-0000-000035300000}"/>
    <cellStyle name="Comma 4 3 3 3 2 3 2 2" xfId="12339" xr:uid="{00000000-0005-0000-0000-000036300000}"/>
    <cellStyle name="Comma 4 3 3 3 2 3 3" xfId="12340" xr:uid="{00000000-0005-0000-0000-000037300000}"/>
    <cellStyle name="Comma 4 3 3 3 2 4" xfId="12341" xr:uid="{00000000-0005-0000-0000-000038300000}"/>
    <cellStyle name="Comma 4 3 3 3 2 4 2" xfId="12342" xr:uid="{00000000-0005-0000-0000-000039300000}"/>
    <cellStyle name="Comma 4 3 3 3 2 5" xfId="12343" xr:uid="{00000000-0005-0000-0000-00003A300000}"/>
    <cellStyle name="Comma 4 3 3 3 2 5 2" xfId="12344" xr:uid="{00000000-0005-0000-0000-00003B300000}"/>
    <cellStyle name="Comma 4 3 3 3 2 6" xfId="12345" xr:uid="{00000000-0005-0000-0000-00003C300000}"/>
    <cellStyle name="Comma 4 3 3 3 3" xfId="12346" xr:uid="{00000000-0005-0000-0000-00003D300000}"/>
    <cellStyle name="Comma 4 3 3 3 3 2" xfId="12347" xr:uid="{00000000-0005-0000-0000-00003E300000}"/>
    <cellStyle name="Comma 4 3 3 3 3 2 2" xfId="12348" xr:uid="{00000000-0005-0000-0000-00003F300000}"/>
    <cellStyle name="Comma 4 3 3 3 3 2 2 2" xfId="12349" xr:uid="{00000000-0005-0000-0000-000040300000}"/>
    <cellStyle name="Comma 4 3 3 3 3 2 3" xfId="12350" xr:uid="{00000000-0005-0000-0000-000041300000}"/>
    <cellStyle name="Comma 4 3 3 3 3 3" xfId="12351" xr:uid="{00000000-0005-0000-0000-000042300000}"/>
    <cellStyle name="Comma 4 3 3 3 3 3 2" xfId="12352" xr:uid="{00000000-0005-0000-0000-000043300000}"/>
    <cellStyle name="Comma 4 3 3 3 3 4" xfId="12353" xr:uid="{00000000-0005-0000-0000-000044300000}"/>
    <cellStyle name="Comma 4 3 3 3 3 4 2" xfId="12354" xr:uid="{00000000-0005-0000-0000-000045300000}"/>
    <cellStyle name="Comma 4 3 3 3 3 5" xfId="12355" xr:uid="{00000000-0005-0000-0000-000046300000}"/>
    <cellStyle name="Comma 4 3 3 3 4" xfId="12356" xr:uid="{00000000-0005-0000-0000-000047300000}"/>
    <cellStyle name="Comma 4 3 3 3 4 2" xfId="12357" xr:uid="{00000000-0005-0000-0000-000048300000}"/>
    <cellStyle name="Comma 4 3 3 3 4 2 2" xfId="12358" xr:uid="{00000000-0005-0000-0000-000049300000}"/>
    <cellStyle name="Comma 4 3 3 3 4 3" xfId="12359" xr:uid="{00000000-0005-0000-0000-00004A300000}"/>
    <cellStyle name="Comma 4 3 3 3 5" xfId="12360" xr:uid="{00000000-0005-0000-0000-00004B300000}"/>
    <cellStyle name="Comma 4 3 3 3 5 2" xfId="12361" xr:uid="{00000000-0005-0000-0000-00004C300000}"/>
    <cellStyle name="Comma 4 3 3 3 6" xfId="12362" xr:uid="{00000000-0005-0000-0000-00004D300000}"/>
    <cellStyle name="Comma 4 3 3 3 6 2" xfId="12363" xr:uid="{00000000-0005-0000-0000-00004E300000}"/>
    <cellStyle name="Comma 4 3 3 3 7" xfId="12364" xr:uid="{00000000-0005-0000-0000-00004F300000}"/>
    <cellStyle name="Comma 4 3 3 4" xfId="12365" xr:uid="{00000000-0005-0000-0000-000050300000}"/>
    <cellStyle name="Comma 4 3 3 4 2" xfId="12366" xr:uid="{00000000-0005-0000-0000-000051300000}"/>
    <cellStyle name="Comma 4 3 3 4 2 2" xfId="12367" xr:uid="{00000000-0005-0000-0000-000052300000}"/>
    <cellStyle name="Comma 4 3 3 4 2 2 2" xfId="12368" xr:uid="{00000000-0005-0000-0000-000053300000}"/>
    <cellStyle name="Comma 4 3 3 4 2 2 2 2" xfId="12369" xr:uid="{00000000-0005-0000-0000-000054300000}"/>
    <cellStyle name="Comma 4 3 3 4 2 2 3" xfId="12370" xr:uid="{00000000-0005-0000-0000-000055300000}"/>
    <cellStyle name="Comma 4 3 3 4 2 3" xfId="12371" xr:uid="{00000000-0005-0000-0000-000056300000}"/>
    <cellStyle name="Comma 4 3 3 4 2 3 2" xfId="12372" xr:uid="{00000000-0005-0000-0000-000057300000}"/>
    <cellStyle name="Comma 4 3 3 4 2 4" xfId="12373" xr:uid="{00000000-0005-0000-0000-000058300000}"/>
    <cellStyle name="Comma 4 3 3 4 2 4 2" xfId="12374" xr:uid="{00000000-0005-0000-0000-000059300000}"/>
    <cellStyle name="Comma 4 3 3 4 2 5" xfId="12375" xr:uid="{00000000-0005-0000-0000-00005A300000}"/>
    <cellStyle name="Comma 4 3 3 4 3" xfId="12376" xr:uid="{00000000-0005-0000-0000-00005B300000}"/>
    <cellStyle name="Comma 4 3 3 4 3 2" xfId="12377" xr:uid="{00000000-0005-0000-0000-00005C300000}"/>
    <cellStyle name="Comma 4 3 3 4 3 2 2" xfId="12378" xr:uid="{00000000-0005-0000-0000-00005D300000}"/>
    <cellStyle name="Comma 4 3 3 4 3 3" xfId="12379" xr:uid="{00000000-0005-0000-0000-00005E300000}"/>
    <cellStyle name="Comma 4 3 3 4 4" xfId="12380" xr:uid="{00000000-0005-0000-0000-00005F300000}"/>
    <cellStyle name="Comma 4 3 3 4 4 2" xfId="12381" xr:uid="{00000000-0005-0000-0000-000060300000}"/>
    <cellStyle name="Comma 4 3 3 4 5" xfId="12382" xr:uid="{00000000-0005-0000-0000-000061300000}"/>
    <cellStyle name="Comma 4 3 3 4 5 2" xfId="12383" xr:uid="{00000000-0005-0000-0000-000062300000}"/>
    <cellStyle name="Comma 4 3 3 4 6" xfId="12384" xr:uid="{00000000-0005-0000-0000-000063300000}"/>
    <cellStyle name="Comma 4 3 3 5" xfId="12385" xr:uid="{00000000-0005-0000-0000-000064300000}"/>
    <cellStyle name="Comma 4 3 3 5 2" xfId="12386" xr:uid="{00000000-0005-0000-0000-000065300000}"/>
    <cellStyle name="Comma 4 3 3 5 2 2" xfId="12387" xr:uid="{00000000-0005-0000-0000-000066300000}"/>
    <cellStyle name="Comma 4 3 3 5 2 2 2" xfId="12388" xr:uid="{00000000-0005-0000-0000-000067300000}"/>
    <cellStyle name="Comma 4 3 3 5 2 3" xfId="12389" xr:uid="{00000000-0005-0000-0000-000068300000}"/>
    <cellStyle name="Comma 4 3 3 5 3" xfId="12390" xr:uid="{00000000-0005-0000-0000-000069300000}"/>
    <cellStyle name="Comma 4 3 3 5 3 2" xfId="12391" xr:uid="{00000000-0005-0000-0000-00006A300000}"/>
    <cellStyle name="Comma 4 3 3 5 4" xfId="12392" xr:uid="{00000000-0005-0000-0000-00006B300000}"/>
    <cellStyle name="Comma 4 3 3 5 4 2" xfId="12393" xr:uid="{00000000-0005-0000-0000-00006C300000}"/>
    <cellStyle name="Comma 4 3 3 5 5" xfId="12394" xr:uid="{00000000-0005-0000-0000-00006D300000}"/>
    <cellStyle name="Comma 4 3 3 6" xfId="12395" xr:uid="{00000000-0005-0000-0000-00006E300000}"/>
    <cellStyle name="Comma 4 3 3 6 2" xfId="12396" xr:uid="{00000000-0005-0000-0000-00006F300000}"/>
    <cellStyle name="Comma 4 3 3 6 2 2" xfId="12397" xr:uid="{00000000-0005-0000-0000-000070300000}"/>
    <cellStyle name="Comma 4 3 3 6 3" xfId="12398" xr:uid="{00000000-0005-0000-0000-000071300000}"/>
    <cellStyle name="Comma 4 3 3 7" xfId="12399" xr:uid="{00000000-0005-0000-0000-000072300000}"/>
    <cellStyle name="Comma 4 3 3 7 2" xfId="12400" xr:uid="{00000000-0005-0000-0000-000073300000}"/>
    <cellStyle name="Comma 4 3 3 8" xfId="12401" xr:uid="{00000000-0005-0000-0000-000074300000}"/>
    <cellStyle name="Comma 4 3 3 8 2" xfId="12402" xr:uid="{00000000-0005-0000-0000-000075300000}"/>
    <cellStyle name="Comma 4 3 3 9" xfId="12403" xr:uid="{00000000-0005-0000-0000-000076300000}"/>
    <cellStyle name="Comma 4 3 4" xfId="12404" xr:uid="{00000000-0005-0000-0000-000077300000}"/>
    <cellStyle name="Comma 4 3 4 2" xfId="12405" xr:uid="{00000000-0005-0000-0000-000078300000}"/>
    <cellStyle name="Comma 4 3 4 2 2" xfId="12406" xr:uid="{00000000-0005-0000-0000-000079300000}"/>
    <cellStyle name="Comma 4 3 4 2 2 2" xfId="12407" xr:uid="{00000000-0005-0000-0000-00007A300000}"/>
    <cellStyle name="Comma 4 3 4 2 2 2 2" xfId="12408" xr:uid="{00000000-0005-0000-0000-00007B300000}"/>
    <cellStyle name="Comma 4 3 4 2 2 2 2 2" xfId="12409" xr:uid="{00000000-0005-0000-0000-00007C300000}"/>
    <cellStyle name="Comma 4 3 4 2 2 2 2 2 2" xfId="12410" xr:uid="{00000000-0005-0000-0000-00007D300000}"/>
    <cellStyle name="Comma 4 3 4 2 2 2 2 3" xfId="12411" xr:uid="{00000000-0005-0000-0000-00007E300000}"/>
    <cellStyle name="Comma 4 3 4 2 2 2 3" xfId="12412" xr:uid="{00000000-0005-0000-0000-00007F300000}"/>
    <cellStyle name="Comma 4 3 4 2 2 2 3 2" xfId="12413" xr:uid="{00000000-0005-0000-0000-000080300000}"/>
    <cellStyle name="Comma 4 3 4 2 2 2 4" xfId="12414" xr:uid="{00000000-0005-0000-0000-000081300000}"/>
    <cellStyle name="Comma 4 3 4 2 2 2 4 2" xfId="12415" xr:uid="{00000000-0005-0000-0000-000082300000}"/>
    <cellStyle name="Comma 4 3 4 2 2 2 5" xfId="12416" xr:uid="{00000000-0005-0000-0000-000083300000}"/>
    <cellStyle name="Comma 4 3 4 2 2 3" xfId="12417" xr:uid="{00000000-0005-0000-0000-000084300000}"/>
    <cellStyle name="Comma 4 3 4 2 2 3 2" xfId="12418" xr:uid="{00000000-0005-0000-0000-000085300000}"/>
    <cellStyle name="Comma 4 3 4 2 2 3 2 2" xfId="12419" xr:uid="{00000000-0005-0000-0000-000086300000}"/>
    <cellStyle name="Comma 4 3 4 2 2 3 3" xfId="12420" xr:uid="{00000000-0005-0000-0000-000087300000}"/>
    <cellStyle name="Comma 4 3 4 2 2 4" xfId="12421" xr:uid="{00000000-0005-0000-0000-000088300000}"/>
    <cellStyle name="Comma 4 3 4 2 2 4 2" xfId="12422" xr:uid="{00000000-0005-0000-0000-000089300000}"/>
    <cellStyle name="Comma 4 3 4 2 2 5" xfId="12423" xr:uid="{00000000-0005-0000-0000-00008A300000}"/>
    <cellStyle name="Comma 4 3 4 2 2 5 2" xfId="12424" xr:uid="{00000000-0005-0000-0000-00008B300000}"/>
    <cellStyle name="Comma 4 3 4 2 2 6" xfId="12425" xr:uid="{00000000-0005-0000-0000-00008C300000}"/>
    <cellStyle name="Comma 4 3 4 2 3" xfId="12426" xr:uid="{00000000-0005-0000-0000-00008D300000}"/>
    <cellStyle name="Comma 4 3 4 2 3 2" xfId="12427" xr:uid="{00000000-0005-0000-0000-00008E300000}"/>
    <cellStyle name="Comma 4 3 4 2 3 2 2" xfId="12428" xr:uid="{00000000-0005-0000-0000-00008F300000}"/>
    <cellStyle name="Comma 4 3 4 2 3 2 2 2" xfId="12429" xr:uid="{00000000-0005-0000-0000-000090300000}"/>
    <cellStyle name="Comma 4 3 4 2 3 2 3" xfId="12430" xr:uid="{00000000-0005-0000-0000-000091300000}"/>
    <cellStyle name="Comma 4 3 4 2 3 3" xfId="12431" xr:uid="{00000000-0005-0000-0000-000092300000}"/>
    <cellStyle name="Comma 4 3 4 2 3 3 2" xfId="12432" xr:uid="{00000000-0005-0000-0000-000093300000}"/>
    <cellStyle name="Comma 4 3 4 2 3 4" xfId="12433" xr:uid="{00000000-0005-0000-0000-000094300000}"/>
    <cellStyle name="Comma 4 3 4 2 3 4 2" xfId="12434" xr:uid="{00000000-0005-0000-0000-000095300000}"/>
    <cellStyle name="Comma 4 3 4 2 3 5" xfId="12435" xr:uid="{00000000-0005-0000-0000-000096300000}"/>
    <cellStyle name="Comma 4 3 4 2 4" xfId="12436" xr:uid="{00000000-0005-0000-0000-000097300000}"/>
    <cellStyle name="Comma 4 3 4 2 4 2" xfId="12437" xr:uid="{00000000-0005-0000-0000-000098300000}"/>
    <cellStyle name="Comma 4 3 4 2 4 2 2" xfId="12438" xr:uid="{00000000-0005-0000-0000-000099300000}"/>
    <cellStyle name="Comma 4 3 4 2 4 3" xfId="12439" xr:uid="{00000000-0005-0000-0000-00009A300000}"/>
    <cellStyle name="Comma 4 3 4 2 5" xfId="12440" xr:uid="{00000000-0005-0000-0000-00009B300000}"/>
    <cellStyle name="Comma 4 3 4 2 5 2" xfId="12441" xr:uid="{00000000-0005-0000-0000-00009C300000}"/>
    <cellStyle name="Comma 4 3 4 2 6" xfId="12442" xr:uid="{00000000-0005-0000-0000-00009D300000}"/>
    <cellStyle name="Comma 4 3 4 2 6 2" xfId="12443" xr:uid="{00000000-0005-0000-0000-00009E300000}"/>
    <cellStyle name="Comma 4 3 4 2 7" xfId="12444" xr:uid="{00000000-0005-0000-0000-00009F300000}"/>
    <cellStyle name="Comma 4 3 4 3" xfId="12445" xr:uid="{00000000-0005-0000-0000-0000A0300000}"/>
    <cellStyle name="Comma 4 3 4 3 2" xfId="12446" xr:uid="{00000000-0005-0000-0000-0000A1300000}"/>
    <cellStyle name="Comma 4 3 4 3 2 2" xfId="12447" xr:uid="{00000000-0005-0000-0000-0000A2300000}"/>
    <cellStyle name="Comma 4 3 4 3 2 2 2" xfId="12448" xr:uid="{00000000-0005-0000-0000-0000A3300000}"/>
    <cellStyle name="Comma 4 3 4 3 2 2 2 2" xfId="12449" xr:uid="{00000000-0005-0000-0000-0000A4300000}"/>
    <cellStyle name="Comma 4 3 4 3 2 2 3" xfId="12450" xr:uid="{00000000-0005-0000-0000-0000A5300000}"/>
    <cellStyle name="Comma 4 3 4 3 2 3" xfId="12451" xr:uid="{00000000-0005-0000-0000-0000A6300000}"/>
    <cellStyle name="Comma 4 3 4 3 2 3 2" xfId="12452" xr:uid="{00000000-0005-0000-0000-0000A7300000}"/>
    <cellStyle name="Comma 4 3 4 3 2 4" xfId="12453" xr:uid="{00000000-0005-0000-0000-0000A8300000}"/>
    <cellStyle name="Comma 4 3 4 3 2 4 2" xfId="12454" xr:uid="{00000000-0005-0000-0000-0000A9300000}"/>
    <cellStyle name="Comma 4 3 4 3 2 5" xfId="12455" xr:uid="{00000000-0005-0000-0000-0000AA300000}"/>
    <cellStyle name="Comma 4 3 4 3 3" xfId="12456" xr:uid="{00000000-0005-0000-0000-0000AB300000}"/>
    <cellStyle name="Comma 4 3 4 3 3 2" xfId="12457" xr:uid="{00000000-0005-0000-0000-0000AC300000}"/>
    <cellStyle name="Comma 4 3 4 3 3 2 2" xfId="12458" xr:uid="{00000000-0005-0000-0000-0000AD300000}"/>
    <cellStyle name="Comma 4 3 4 3 3 3" xfId="12459" xr:uid="{00000000-0005-0000-0000-0000AE300000}"/>
    <cellStyle name="Comma 4 3 4 3 4" xfId="12460" xr:uid="{00000000-0005-0000-0000-0000AF300000}"/>
    <cellStyle name="Comma 4 3 4 3 4 2" xfId="12461" xr:uid="{00000000-0005-0000-0000-0000B0300000}"/>
    <cellStyle name="Comma 4 3 4 3 5" xfId="12462" xr:uid="{00000000-0005-0000-0000-0000B1300000}"/>
    <cellStyle name="Comma 4 3 4 3 5 2" xfId="12463" xr:uid="{00000000-0005-0000-0000-0000B2300000}"/>
    <cellStyle name="Comma 4 3 4 3 6" xfId="12464" xr:uid="{00000000-0005-0000-0000-0000B3300000}"/>
    <cellStyle name="Comma 4 3 4 4" xfId="12465" xr:uid="{00000000-0005-0000-0000-0000B4300000}"/>
    <cellStyle name="Comma 4 3 4 4 2" xfId="12466" xr:uid="{00000000-0005-0000-0000-0000B5300000}"/>
    <cellStyle name="Comma 4 3 4 4 2 2" xfId="12467" xr:uid="{00000000-0005-0000-0000-0000B6300000}"/>
    <cellStyle name="Comma 4 3 4 4 2 2 2" xfId="12468" xr:uid="{00000000-0005-0000-0000-0000B7300000}"/>
    <cellStyle name="Comma 4 3 4 4 2 3" xfId="12469" xr:uid="{00000000-0005-0000-0000-0000B8300000}"/>
    <cellStyle name="Comma 4 3 4 4 3" xfId="12470" xr:uid="{00000000-0005-0000-0000-0000B9300000}"/>
    <cellStyle name="Comma 4 3 4 4 3 2" xfId="12471" xr:uid="{00000000-0005-0000-0000-0000BA300000}"/>
    <cellStyle name="Comma 4 3 4 4 4" xfId="12472" xr:uid="{00000000-0005-0000-0000-0000BB300000}"/>
    <cellStyle name="Comma 4 3 4 4 4 2" xfId="12473" xr:uid="{00000000-0005-0000-0000-0000BC300000}"/>
    <cellStyle name="Comma 4 3 4 4 5" xfId="12474" xr:uid="{00000000-0005-0000-0000-0000BD300000}"/>
    <cellStyle name="Comma 4 3 4 5" xfId="12475" xr:uid="{00000000-0005-0000-0000-0000BE300000}"/>
    <cellStyle name="Comma 4 3 4 5 2" xfId="12476" xr:uid="{00000000-0005-0000-0000-0000BF300000}"/>
    <cellStyle name="Comma 4 3 4 5 2 2" xfId="12477" xr:uid="{00000000-0005-0000-0000-0000C0300000}"/>
    <cellStyle name="Comma 4 3 4 5 3" xfId="12478" xr:uid="{00000000-0005-0000-0000-0000C1300000}"/>
    <cellStyle name="Comma 4 3 4 6" xfId="12479" xr:uid="{00000000-0005-0000-0000-0000C2300000}"/>
    <cellStyle name="Comma 4 3 4 6 2" xfId="12480" xr:uid="{00000000-0005-0000-0000-0000C3300000}"/>
    <cellStyle name="Comma 4 3 4 7" xfId="12481" xr:uid="{00000000-0005-0000-0000-0000C4300000}"/>
    <cellStyle name="Comma 4 3 4 7 2" xfId="12482" xr:uid="{00000000-0005-0000-0000-0000C5300000}"/>
    <cellStyle name="Comma 4 3 4 8" xfId="12483" xr:uid="{00000000-0005-0000-0000-0000C6300000}"/>
    <cellStyle name="Comma 4 3 5" xfId="12484" xr:uid="{00000000-0005-0000-0000-0000C7300000}"/>
    <cellStyle name="Comma 4 3 5 2" xfId="12485" xr:uid="{00000000-0005-0000-0000-0000C8300000}"/>
    <cellStyle name="Comma 4 3 5 2 2" xfId="12486" xr:uid="{00000000-0005-0000-0000-0000C9300000}"/>
    <cellStyle name="Comma 4 3 5 2 2 2" xfId="12487" xr:uid="{00000000-0005-0000-0000-0000CA300000}"/>
    <cellStyle name="Comma 4 3 5 2 2 2 2" xfId="12488" xr:uid="{00000000-0005-0000-0000-0000CB300000}"/>
    <cellStyle name="Comma 4 3 5 2 2 2 2 2" xfId="12489" xr:uid="{00000000-0005-0000-0000-0000CC300000}"/>
    <cellStyle name="Comma 4 3 5 2 2 2 3" xfId="12490" xr:uid="{00000000-0005-0000-0000-0000CD300000}"/>
    <cellStyle name="Comma 4 3 5 2 2 3" xfId="12491" xr:uid="{00000000-0005-0000-0000-0000CE300000}"/>
    <cellStyle name="Comma 4 3 5 2 2 3 2" xfId="12492" xr:uid="{00000000-0005-0000-0000-0000CF300000}"/>
    <cellStyle name="Comma 4 3 5 2 2 4" xfId="12493" xr:uid="{00000000-0005-0000-0000-0000D0300000}"/>
    <cellStyle name="Comma 4 3 5 2 2 4 2" xfId="12494" xr:uid="{00000000-0005-0000-0000-0000D1300000}"/>
    <cellStyle name="Comma 4 3 5 2 2 5" xfId="12495" xr:uid="{00000000-0005-0000-0000-0000D2300000}"/>
    <cellStyle name="Comma 4 3 5 2 3" xfId="12496" xr:uid="{00000000-0005-0000-0000-0000D3300000}"/>
    <cellStyle name="Comma 4 3 5 2 3 2" xfId="12497" xr:uid="{00000000-0005-0000-0000-0000D4300000}"/>
    <cellStyle name="Comma 4 3 5 2 3 2 2" xfId="12498" xr:uid="{00000000-0005-0000-0000-0000D5300000}"/>
    <cellStyle name="Comma 4 3 5 2 3 3" xfId="12499" xr:uid="{00000000-0005-0000-0000-0000D6300000}"/>
    <cellStyle name="Comma 4 3 5 2 4" xfId="12500" xr:uid="{00000000-0005-0000-0000-0000D7300000}"/>
    <cellStyle name="Comma 4 3 5 2 4 2" xfId="12501" xr:uid="{00000000-0005-0000-0000-0000D8300000}"/>
    <cellStyle name="Comma 4 3 5 2 5" xfId="12502" xr:uid="{00000000-0005-0000-0000-0000D9300000}"/>
    <cellStyle name="Comma 4 3 5 2 5 2" xfId="12503" xr:uid="{00000000-0005-0000-0000-0000DA300000}"/>
    <cellStyle name="Comma 4 3 5 2 6" xfId="12504" xr:uid="{00000000-0005-0000-0000-0000DB300000}"/>
    <cellStyle name="Comma 4 3 5 3" xfId="12505" xr:uid="{00000000-0005-0000-0000-0000DC300000}"/>
    <cellStyle name="Comma 4 3 5 3 2" xfId="12506" xr:uid="{00000000-0005-0000-0000-0000DD300000}"/>
    <cellStyle name="Comma 4 3 5 3 2 2" xfId="12507" xr:uid="{00000000-0005-0000-0000-0000DE300000}"/>
    <cellStyle name="Comma 4 3 5 3 2 2 2" xfId="12508" xr:uid="{00000000-0005-0000-0000-0000DF300000}"/>
    <cellStyle name="Comma 4 3 5 3 2 3" xfId="12509" xr:uid="{00000000-0005-0000-0000-0000E0300000}"/>
    <cellStyle name="Comma 4 3 5 3 3" xfId="12510" xr:uid="{00000000-0005-0000-0000-0000E1300000}"/>
    <cellStyle name="Comma 4 3 5 3 3 2" xfId="12511" xr:uid="{00000000-0005-0000-0000-0000E2300000}"/>
    <cellStyle name="Comma 4 3 5 3 4" xfId="12512" xr:uid="{00000000-0005-0000-0000-0000E3300000}"/>
    <cellStyle name="Comma 4 3 5 3 4 2" xfId="12513" xr:uid="{00000000-0005-0000-0000-0000E4300000}"/>
    <cellStyle name="Comma 4 3 5 3 5" xfId="12514" xr:uid="{00000000-0005-0000-0000-0000E5300000}"/>
    <cellStyle name="Comma 4 3 5 4" xfId="12515" xr:uid="{00000000-0005-0000-0000-0000E6300000}"/>
    <cellStyle name="Comma 4 3 5 4 2" xfId="12516" xr:uid="{00000000-0005-0000-0000-0000E7300000}"/>
    <cellStyle name="Comma 4 3 5 4 2 2" xfId="12517" xr:uid="{00000000-0005-0000-0000-0000E8300000}"/>
    <cellStyle name="Comma 4 3 5 4 3" xfId="12518" xr:uid="{00000000-0005-0000-0000-0000E9300000}"/>
    <cellStyle name="Comma 4 3 5 5" xfId="12519" xr:uid="{00000000-0005-0000-0000-0000EA300000}"/>
    <cellStyle name="Comma 4 3 5 5 2" xfId="12520" xr:uid="{00000000-0005-0000-0000-0000EB300000}"/>
    <cellStyle name="Comma 4 3 5 6" xfId="12521" xr:uid="{00000000-0005-0000-0000-0000EC300000}"/>
    <cellStyle name="Comma 4 3 5 6 2" xfId="12522" xr:uid="{00000000-0005-0000-0000-0000ED300000}"/>
    <cellStyle name="Comma 4 3 5 7" xfId="12523" xr:uid="{00000000-0005-0000-0000-0000EE300000}"/>
    <cellStyle name="Comma 4 3 6" xfId="12524" xr:uid="{00000000-0005-0000-0000-0000EF300000}"/>
    <cellStyle name="Comma 4 3 6 2" xfId="12525" xr:uid="{00000000-0005-0000-0000-0000F0300000}"/>
    <cellStyle name="Comma 4 3 6 2 2" xfId="12526" xr:uid="{00000000-0005-0000-0000-0000F1300000}"/>
    <cellStyle name="Comma 4 3 6 2 2 2" xfId="12527" xr:uid="{00000000-0005-0000-0000-0000F2300000}"/>
    <cellStyle name="Comma 4 3 6 2 2 2 2" xfId="12528" xr:uid="{00000000-0005-0000-0000-0000F3300000}"/>
    <cellStyle name="Comma 4 3 6 2 2 2 2 2" xfId="12529" xr:uid="{00000000-0005-0000-0000-0000F4300000}"/>
    <cellStyle name="Comma 4 3 6 2 2 2 3" xfId="12530" xr:uid="{00000000-0005-0000-0000-0000F5300000}"/>
    <cellStyle name="Comma 4 3 6 2 2 3" xfId="12531" xr:uid="{00000000-0005-0000-0000-0000F6300000}"/>
    <cellStyle name="Comma 4 3 6 2 2 3 2" xfId="12532" xr:uid="{00000000-0005-0000-0000-0000F7300000}"/>
    <cellStyle name="Comma 4 3 6 2 2 4" xfId="12533" xr:uid="{00000000-0005-0000-0000-0000F8300000}"/>
    <cellStyle name="Comma 4 3 6 2 2 4 2" xfId="12534" xr:uid="{00000000-0005-0000-0000-0000F9300000}"/>
    <cellStyle name="Comma 4 3 6 2 2 5" xfId="12535" xr:uid="{00000000-0005-0000-0000-0000FA300000}"/>
    <cellStyle name="Comma 4 3 6 2 3" xfId="12536" xr:uid="{00000000-0005-0000-0000-0000FB300000}"/>
    <cellStyle name="Comma 4 3 6 2 3 2" xfId="12537" xr:uid="{00000000-0005-0000-0000-0000FC300000}"/>
    <cellStyle name="Comma 4 3 6 2 3 2 2" xfId="12538" xr:uid="{00000000-0005-0000-0000-0000FD300000}"/>
    <cellStyle name="Comma 4 3 6 2 3 3" xfId="12539" xr:uid="{00000000-0005-0000-0000-0000FE300000}"/>
    <cellStyle name="Comma 4 3 6 2 4" xfId="12540" xr:uid="{00000000-0005-0000-0000-0000FF300000}"/>
    <cellStyle name="Comma 4 3 6 2 4 2" xfId="12541" xr:uid="{00000000-0005-0000-0000-000000310000}"/>
    <cellStyle name="Comma 4 3 6 2 5" xfId="12542" xr:uid="{00000000-0005-0000-0000-000001310000}"/>
    <cellStyle name="Comma 4 3 6 2 5 2" xfId="12543" xr:uid="{00000000-0005-0000-0000-000002310000}"/>
    <cellStyle name="Comma 4 3 6 2 6" xfId="12544" xr:uid="{00000000-0005-0000-0000-000003310000}"/>
    <cellStyle name="Comma 4 3 6 3" xfId="12545" xr:uid="{00000000-0005-0000-0000-000004310000}"/>
    <cellStyle name="Comma 4 3 6 3 2" xfId="12546" xr:uid="{00000000-0005-0000-0000-000005310000}"/>
    <cellStyle name="Comma 4 3 6 3 2 2" xfId="12547" xr:uid="{00000000-0005-0000-0000-000006310000}"/>
    <cellStyle name="Comma 4 3 6 3 2 2 2" xfId="12548" xr:uid="{00000000-0005-0000-0000-000007310000}"/>
    <cellStyle name="Comma 4 3 6 3 2 3" xfId="12549" xr:uid="{00000000-0005-0000-0000-000008310000}"/>
    <cellStyle name="Comma 4 3 6 3 3" xfId="12550" xr:uid="{00000000-0005-0000-0000-000009310000}"/>
    <cellStyle name="Comma 4 3 6 3 3 2" xfId="12551" xr:uid="{00000000-0005-0000-0000-00000A310000}"/>
    <cellStyle name="Comma 4 3 6 3 4" xfId="12552" xr:uid="{00000000-0005-0000-0000-00000B310000}"/>
    <cellStyle name="Comma 4 3 6 3 4 2" xfId="12553" xr:uid="{00000000-0005-0000-0000-00000C310000}"/>
    <cellStyle name="Comma 4 3 6 3 5" xfId="12554" xr:uid="{00000000-0005-0000-0000-00000D310000}"/>
    <cellStyle name="Comma 4 3 6 4" xfId="12555" xr:uid="{00000000-0005-0000-0000-00000E310000}"/>
    <cellStyle name="Comma 4 3 6 4 2" xfId="12556" xr:uid="{00000000-0005-0000-0000-00000F310000}"/>
    <cellStyle name="Comma 4 3 6 4 2 2" xfId="12557" xr:uid="{00000000-0005-0000-0000-000010310000}"/>
    <cellStyle name="Comma 4 3 6 4 3" xfId="12558" xr:uid="{00000000-0005-0000-0000-000011310000}"/>
    <cellStyle name="Comma 4 3 6 5" xfId="12559" xr:uid="{00000000-0005-0000-0000-000012310000}"/>
    <cellStyle name="Comma 4 3 6 5 2" xfId="12560" xr:uid="{00000000-0005-0000-0000-000013310000}"/>
    <cellStyle name="Comma 4 3 6 6" xfId="12561" xr:uid="{00000000-0005-0000-0000-000014310000}"/>
    <cellStyle name="Comma 4 3 6 6 2" xfId="12562" xr:uid="{00000000-0005-0000-0000-000015310000}"/>
    <cellStyle name="Comma 4 3 6 7" xfId="12563" xr:uid="{00000000-0005-0000-0000-000016310000}"/>
    <cellStyle name="Comma 4 3 7" xfId="12564" xr:uid="{00000000-0005-0000-0000-000017310000}"/>
    <cellStyle name="Comma 4 3 7 2" xfId="12565" xr:uid="{00000000-0005-0000-0000-000018310000}"/>
    <cellStyle name="Comma 4 3 7 2 2" xfId="12566" xr:uid="{00000000-0005-0000-0000-000019310000}"/>
    <cellStyle name="Comma 4 3 7 2 2 2" xfId="12567" xr:uid="{00000000-0005-0000-0000-00001A310000}"/>
    <cellStyle name="Comma 4 3 7 2 2 2 2" xfId="12568" xr:uid="{00000000-0005-0000-0000-00001B310000}"/>
    <cellStyle name="Comma 4 3 7 2 2 3" xfId="12569" xr:uid="{00000000-0005-0000-0000-00001C310000}"/>
    <cellStyle name="Comma 4 3 7 2 3" xfId="12570" xr:uid="{00000000-0005-0000-0000-00001D310000}"/>
    <cellStyle name="Comma 4 3 7 2 3 2" xfId="12571" xr:uid="{00000000-0005-0000-0000-00001E310000}"/>
    <cellStyle name="Comma 4 3 7 2 4" xfId="12572" xr:uid="{00000000-0005-0000-0000-00001F310000}"/>
    <cellStyle name="Comma 4 3 7 2 4 2" xfId="12573" xr:uid="{00000000-0005-0000-0000-000020310000}"/>
    <cellStyle name="Comma 4 3 7 2 5" xfId="12574" xr:uid="{00000000-0005-0000-0000-000021310000}"/>
    <cellStyle name="Comma 4 3 7 3" xfId="12575" xr:uid="{00000000-0005-0000-0000-000022310000}"/>
    <cellStyle name="Comma 4 3 7 3 2" xfId="12576" xr:uid="{00000000-0005-0000-0000-000023310000}"/>
    <cellStyle name="Comma 4 3 7 3 2 2" xfId="12577" xr:uid="{00000000-0005-0000-0000-000024310000}"/>
    <cellStyle name="Comma 4 3 7 3 3" xfId="12578" xr:uid="{00000000-0005-0000-0000-000025310000}"/>
    <cellStyle name="Comma 4 3 7 4" xfId="12579" xr:uid="{00000000-0005-0000-0000-000026310000}"/>
    <cellStyle name="Comma 4 3 7 4 2" xfId="12580" xr:uid="{00000000-0005-0000-0000-000027310000}"/>
    <cellStyle name="Comma 4 3 7 5" xfId="12581" xr:uid="{00000000-0005-0000-0000-000028310000}"/>
    <cellStyle name="Comma 4 3 7 5 2" xfId="12582" xr:uid="{00000000-0005-0000-0000-000029310000}"/>
    <cellStyle name="Comma 4 3 7 6" xfId="12583" xr:uid="{00000000-0005-0000-0000-00002A310000}"/>
    <cellStyle name="Comma 4 3 8" xfId="12584" xr:uid="{00000000-0005-0000-0000-00002B310000}"/>
    <cellStyle name="Comma 4 3 8 2" xfId="12585" xr:uid="{00000000-0005-0000-0000-00002C310000}"/>
    <cellStyle name="Comma 4 3 8 2 2" xfId="12586" xr:uid="{00000000-0005-0000-0000-00002D310000}"/>
    <cellStyle name="Comma 4 3 8 2 2 2" xfId="12587" xr:uid="{00000000-0005-0000-0000-00002E310000}"/>
    <cellStyle name="Comma 4 3 8 2 3" xfId="12588" xr:uid="{00000000-0005-0000-0000-00002F310000}"/>
    <cellStyle name="Comma 4 3 8 3" xfId="12589" xr:uid="{00000000-0005-0000-0000-000030310000}"/>
    <cellStyle name="Comma 4 3 8 3 2" xfId="12590" xr:uid="{00000000-0005-0000-0000-000031310000}"/>
    <cellStyle name="Comma 4 3 8 4" xfId="12591" xr:uid="{00000000-0005-0000-0000-000032310000}"/>
    <cellStyle name="Comma 4 3 8 4 2" xfId="12592" xr:uid="{00000000-0005-0000-0000-000033310000}"/>
    <cellStyle name="Comma 4 3 8 5" xfId="12593" xr:uid="{00000000-0005-0000-0000-000034310000}"/>
    <cellStyle name="Comma 4 3 9" xfId="12594" xr:uid="{00000000-0005-0000-0000-000035310000}"/>
    <cellStyle name="Comma 4 3 9 2" xfId="12595" xr:uid="{00000000-0005-0000-0000-000036310000}"/>
    <cellStyle name="Comma 4 3 9 2 2" xfId="12596" xr:uid="{00000000-0005-0000-0000-000037310000}"/>
    <cellStyle name="Comma 4 3 9 3" xfId="12597" xr:uid="{00000000-0005-0000-0000-000038310000}"/>
    <cellStyle name="Comma 4 4" xfId="12598" xr:uid="{00000000-0005-0000-0000-000039310000}"/>
    <cellStyle name="Comma 4 4 10" xfId="12599" xr:uid="{00000000-0005-0000-0000-00003A310000}"/>
    <cellStyle name="Comma 4 4 10 2" xfId="12600" xr:uid="{00000000-0005-0000-0000-00003B310000}"/>
    <cellStyle name="Comma 4 4 11" xfId="12601" xr:uid="{00000000-0005-0000-0000-00003C310000}"/>
    <cellStyle name="Comma 4 4 2" xfId="12602" xr:uid="{00000000-0005-0000-0000-00003D310000}"/>
    <cellStyle name="Comma 4 4 2 2" xfId="12603" xr:uid="{00000000-0005-0000-0000-00003E310000}"/>
    <cellStyle name="Comma 4 4 2 2 2" xfId="12604" xr:uid="{00000000-0005-0000-0000-00003F310000}"/>
    <cellStyle name="Comma 4 4 2 2 2 2" xfId="12605" xr:uid="{00000000-0005-0000-0000-000040310000}"/>
    <cellStyle name="Comma 4 4 2 2 2 2 2" xfId="12606" xr:uid="{00000000-0005-0000-0000-000041310000}"/>
    <cellStyle name="Comma 4 4 2 2 2 2 2 2" xfId="12607" xr:uid="{00000000-0005-0000-0000-000042310000}"/>
    <cellStyle name="Comma 4 4 2 2 2 2 2 2 2" xfId="12608" xr:uid="{00000000-0005-0000-0000-000043310000}"/>
    <cellStyle name="Comma 4 4 2 2 2 2 2 3" xfId="12609" xr:uid="{00000000-0005-0000-0000-000044310000}"/>
    <cellStyle name="Comma 4 4 2 2 2 2 3" xfId="12610" xr:uid="{00000000-0005-0000-0000-000045310000}"/>
    <cellStyle name="Comma 4 4 2 2 2 2 3 2" xfId="12611" xr:uid="{00000000-0005-0000-0000-000046310000}"/>
    <cellStyle name="Comma 4 4 2 2 2 2 4" xfId="12612" xr:uid="{00000000-0005-0000-0000-000047310000}"/>
    <cellStyle name="Comma 4 4 2 2 2 2 4 2" xfId="12613" xr:uid="{00000000-0005-0000-0000-000048310000}"/>
    <cellStyle name="Comma 4 4 2 2 2 2 5" xfId="12614" xr:uid="{00000000-0005-0000-0000-000049310000}"/>
    <cellStyle name="Comma 4 4 2 2 2 3" xfId="12615" xr:uid="{00000000-0005-0000-0000-00004A310000}"/>
    <cellStyle name="Comma 4 4 2 2 2 3 2" xfId="12616" xr:uid="{00000000-0005-0000-0000-00004B310000}"/>
    <cellStyle name="Comma 4 4 2 2 2 3 2 2" xfId="12617" xr:uid="{00000000-0005-0000-0000-00004C310000}"/>
    <cellStyle name="Comma 4 4 2 2 2 3 3" xfId="12618" xr:uid="{00000000-0005-0000-0000-00004D310000}"/>
    <cellStyle name="Comma 4 4 2 2 2 4" xfId="12619" xr:uid="{00000000-0005-0000-0000-00004E310000}"/>
    <cellStyle name="Comma 4 4 2 2 2 4 2" xfId="12620" xr:uid="{00000000-0005-0000-0000-00004F310000}"/>
    <cellStyle name="Comma 4 4 2 2 2 5" xfId="12621" xr:uid="{00000000-0005-0000-0000-000050310000}"/>
    <cellStyle name="Comma 4 4 2 2 2 5 2" xfId="12622" xr:uid="{00000000-0005-0000-0000-000051310000}"/>
    <cellStyle name="Comma 4 4 2 2 2 6" xfId="12623" xr:uid="{00000000-0005-0000-0000-000052310000}"/>
    <cellStyle name="Comma 4 4 2 2 3" xfId="12624" xr:uid="{00000000-0005-0000-0000-000053310000}"/>
    <cellStyle name="Comma 4 4 2 2 3 2" xfId="12625" xr:uid="{00000000-0005-0000-0000-000054310000}"/>
    <cellStyle name="Comma 4 4 2 2 3 2 2" xfId="12626" xr:uid="{00000000-0005-0000-0000-000055310000}"/>
    <cellStyle name="Comma 4 4 2 2 3 2 2 2" xfId="12627" xr:uid="{00000000-0005-0000-0000-000056310000}"/>
    <cellStyle name="Comma 4 4 2 2 3 2 3" xfId="12628" xr:uid="{00000000-0005-0000-0000-000057310000}"/>
    <cellStyle name="Comma 4 4 2 2 3 3" xfId="12629" xr:uid="{00000000-0005-0000-0000-000058310000}"/>
    <cellStyle name="Comma 4 4 2 2 3 3 2" xfId="12630" xr:uid="{00000000-0005-0000-0000-000059310000}"/>
    <cellStyle name="Comma 4 4 2 2 3 4" xfId="12631" xr:uid="{00000000-0005-0000-0000-00005A310000}"/>
    <cellStyle name="Comma 4 4 2 2 3 4 2" xfId="12632" xr:uid="{00000000-0005-0000-0000-00005B310000}"/>
    <cellStyle name="Comma 4 4 2 2 3 5" xfId="12633" xr:uid="{00000000-0005-0000-0000-00005C310000}"/>
    <cellStyle name="Comma 4 4 2 2 4" xfId="12634" xr:uid="{00000000-0005-0000-0000-00005D310000}"/>
    <cellStyle name="Comma 4 4 2 2 4 2" xfId="12635" xr:uid="{00000000-0005-0000-0000-00005E310000}"/>
    <cellStyle name="Comma 4 4 2 2 4 2 2" xfId="12636" xr:uid="{00000000-0005-0000-0000-00005F310000}"/>
    <cellStyle name="Comma 4 4 2 2 4 3" xfId="12637" xr:uid="{00000000-0005-0000-0000-000060310000}"/>
    <cellStyle name="Comma 4 4 2 2 5" xfId="12638" xr:uid="{00000000-0005-0000-0000-000061310000}"/>
    <cellStyle name="Comma 4 4 2 2 5 2" xfId="12639" xr:uid="{00000000-0005-0000-0000-000062310000}"/>
    <cellStyle name="Comma 4 4 2 2 6" xfId="12640" xr:uid="{00000000-0005-0000-0000-000063310000}"/>
    <cellStyle name="Comma 4 4 2 2 6 2" xfId="12641" xr:uid="{00000000-0005-0000-0000-000064310000}"/>
    <cellStyle name="Comma 4 4 2 2 7" xfId="12642" xr:uid="{00000000-0005-0000-0000-000065310000}"/>
    <cellStyle name="Comma 4 4 2 3" xfId="12643" xr:uid="{00000000-0005-0000-0000-000066310000}"/>
    <cellStyle name="Comma 4 4 2 3 2" xfId="12644" xr:uid="{00000000-0005-0000-0000-000067310000}"/>
    <cellStyle name="Comma 4 4 2 3 2 2" xfId="12645" xr:uid="{00000000-0005-0000-0000-000068310000}"/>
    <cellStyle name="Comma 4 4 2 3 2 2 2" xfId="12646" xr:uid="{00000000-0005-0000-0000-000069310000}"/>
    <cellStyle name="Comma 4 4 2 3 2 2 2 2" xfId="12647" xr:uid="{00000000-0005-0000-0000-00006A310000}"/>
    <cellStyle name="Comma 4 4 2 3 2 2 2 2 2" xfId="12648" xr:uid="{00000000-0005-0000-0000-00006B310000}"/>
    <cellStyle name="Comma 4 4 2 3 2 2 2 3" xfId="12649" xr:uid="{00000000-0005-0000-0000-00006C310000}"/>
    <cellStyle name="Comma 4 4 2 3 2 2 3" xfId="12650" xr:uid="{00000000-0005-0000-0000-00006D310000}"/>
    <cellStyle name="Comma 4 4 2 3 2 2 3 2" xfId="12651" xr:uid="{00000000-0005-0000-0000-00006E310000}"/>
    <cellStyle name="Comma 4 4 2 3 2 2 4" xfId="12652" xr:uid="{00000000-0005-0000-0000-00006F310000}"/>
    <cellStyle name="Comma 4 4 2 3 2 2 4 2" xfId="12653" xr:uid="{00000000-0005-0000-0000-000070310000}"/>
    <cellStyle name="Comma 4 4 2 3 2 2 5" xfId="12654" xr:uid="{00000000-0005-0000-0000-000071310000}"/>
    <cellStyle name="Comma 4 4 2 3 2 3" xfId="12655" xr:uid="{00000000-0005-0000-0000-000072310000}"/>
    <cellStyle name="Comma 4 4 2 3 2 3 2" xfId="12656" xr:uid="{00000000-0005-0000-0000-000073310000}"/>
    <cellStyle name="Comma 4 4 2 3 2 3 2 2" xfId="12657" xr:uid="{00000000-0005-0000-0000-000074310000}"/>
    <cellStyle name="Comma 4 4 2 3 2 3 3" xfId="12658" xr:uid="{00000000-0005-0000-0000-000075310000}"/>
    <cellStyle name="Comma 4 4 2 3 2 4" xfId="12659" xr:uid="{00000000-0005-0000-0000-000076310000}"/>
    <cellStyle name="Comma 4 4 2 3 2 4 2" xfId="12660" xr:uid="{00000000-0005-0000-0000-000077310000}"/>
    <cellStyle name="Comma 4 4 2 3 2 5" xfId="12661" xr:uid="{00000000-0005-0000-0000-000078310000}"/>
    <cellStyle name="Comma 4 4 2 3 2 5 2" xfId="12662" xr:uid="{00000000-0005-0000-0000-000079310000}"/>
    <cellStyle name="Comma 4 4 2 3 2 6" xfId="12663" xr:uid="{00000000-0005-0000-0000-00007A310000}"/>
    <cellStyle name="Comma 4 4 2 3 3" xfId="12664" xr:uid="{00000000-0005-0000-0000-00007B310000}"/>
    <cellStyle name="Comma 4 4 2 3 3 2" xfId="12665" xr:uid="{00000000-0005-0000-0000-00007C310000}"/>
    <cellStyle name="Comma 4 4 2 3 3 2 2" xfId="12666" xr:uid="{00000000-0005-0000-0000-00007D310000}"/>
    <cellStyle name="Comma 4 4 2 3 3 2 2 2" xfId="12667" xr:uid="{00000000-0005-0000-0000-00007E310000}"/>
    <cellStyle name="Comma 4 4 2 3 3 2 3" xfId="12668" xr:uid="{00000000-0005-0000-0000-00007F310000}"/>
    <cellStyle name="Comma 4 4 2 3 3 3" xfId="12669" xr:uid="{00000000-0005-0000-0000-000080310000}"/>
    <cellStyle name="Comma 4 4 2 3 3 3 2" xfId="12670" xr:uid="{00000000-0005-0000-0000-000081310000}"/>
    <cellStyle name="Comma 4 4 2 3 3 4" xfId="12671" xr:uid="{00000000-0005-0000-0000-000082310000}"/>
    <cellStyle name="Comma 4 4 2 3 3 4 2" xfId="12672" xr:uid="{00000000-0005-0000-0000-000083310000}"/>
    <cellStyle name="Comma 4 4 2 3 3 5" xfId="12673" xr:uid="{00000000-0005-0000-0000-000084310000}"/>
    <cellStyle name="Comma 4 4 2 3 4" xfId="12674" xr:uid="{00000000-0005-0000-0000-000085310000}"/>
    <cellStyle name="Comma 4 4 2 3 4 2" xfId="12675" xr:uid="{00000000-0005-0000-0000-000086310000}"/>
    <cellStyle name="Comma 4 4 2 3 4 2 2" xfId="12676" xr:uid="{00000000-0005-0000-0000-000087310000}"/>
    <cellStyle name="Comma 4 4 2 3 4 3" xfId="12677" xr:uid="{00000000-0005-0000-0000-000088310000}"/>
    <cellStyle name="Comma 4 4 2 3 5" xfId="12678" xr:uid="{00000000-0005-0000-0000-000089310000}"/>
    <cellStyle name="Comma 4 4 2 3 5 2" xfId="12679" xr:uid="{00000000-0005-0000-0000-00008A310000}"/>
    <cellStyle name="Comma 4 4 2 3 6" xfId="12680" xr:uid="{00000000-0005-0000-0000-00008B310000}"/>
    <cellStyle name="Comma 4 4 2 3 6 2" xfId="12681" xr:uid="{00000000-0005-0000-0000-00008C310000}"/>
    <cellStyle name="Comma 4 4 2 3 7" xfId="12682" xr:uid="{00000000-0005-0000-0000-00008D310000}"/>
    <cellStyle name="Comma 4 4 2 4" xfId="12683" xr:uid="{00000000-0005-0000-0000-00008E310000}"/>
    <cellStyle name="Comma 4 4 2 4 2" xfId="12684" xr:uid="{00000000-0005-0000-0000-00008F310000}"/>
    <cellStyle name="Comma 4 4 2 4 2 2" xfId="12685" xr:uid="{00000000-0005-0000-0000-000090310000}"/>
    <cellStyle name="Comma 4 4 2 4 2 2 2" xfId="12686" xr:uid="{00000000-0005-0000-0000-000091310000}"/>
    <cellStyle name="Comma 4 4 2 4 2 2 2 2" xfId="12687" xr:uid="{00000000-0005-0000-0000-000092310000}"/>
    <cellStyle name="Comma 4 4 2 4 2 2 3" xfId="12688" xr:uid="{00000000-0005-0000-0000-000093310000}"/>
    <cellStyle name="Comma 4 4 2 4 2 3" xfId="12689" xr:uid="{00000000-0005-0000-0000-000094310000}"/>
    <cellStyle name="Comma 4 4 2 4 2 3 2" xfId="12690" xr:uid="{00000000-0005-0000-0000-000095310000}"/>
    <cellStyle name="Comma 4 4 2 4 2 4" xfId="12691" xr:uid="{00000000-0005-0000-0000-000096310000}"/>
    <cellStyle name="Comma 4 4 2 4 2 4 2" xfId="12692" xr:uid="{00000000-0005-0000-0000-000097310000}"/>
    <cellStyle name="Comma 4 4 2 4 2 5" xfId="12693" xr:uid="{00000000-0005-0000-0000-000098310000}"/>
    <cellStyle name="Comma 4 4 2 4 3" xfId="12694" xr:uid="{00000000-0005-0000-0000-000099310000}"/>
    <cellStyle name="Comma 4 4 2 4 3 2" xfId="12695" xr:uid="{00000000-0005-0000-0000-00009A310000}"/>
    <cellStyle name="Comma 4 4 2 4 3 2 2" xfId="12696" xr:uid="{00000000-0005-0000-0000-00009B310000}"/>
    <cellStyle name="Comma 4 4 2 4 3 3" xfId="12697" xr:uid="{00000000-0005-0000-0000-00009C310000}"/>
    <cellStyle name="Comma 4 4 2 4 4" xfId="12698" xr:uid="{00000000-0005-0000-0000-00009D310000}"/>
    <cellStyle name="Comma 4 4 2 4 4 2" xfId="12699" xr:uid="{00000000-0005-0000-0000-00009E310000}"/>
    <cellStyle name="Comma 4 4 2 4 5" xfId="12700" xr:uid="{00000000-0005-0000-0000-00009F310000}"/>
    <cellStyle name="Comma 4 4 2 4 5 2" xfId="12701" xr:uid="{00000000-0005-0000-0000-0000A0310000}"/>
    <cellStyle name="Comma 4 4 2 4 6" xfId="12702" xr:uid="{00000000-0005-0000-0000-0000A1310000}"/>
    <cellStyle name="Comma 4 4 2 5" xfId="12703" xr:uid="{00000000-0005-0000-0000-0000A2310000}"/>
    <cellStyle name="Comma 4 4 2 5 2" xfId="12704" xr:uid="{00000000-0005-0000-0000-0000A3310000}"/>
    <cellStyle name="Comma 4 4 2 5 2 2" xfId="12705" xr:uid="{00000000-0005-0000-0000-0000A4310000}"/>
    <cellStyle name="Comma 4 4 2 5 2 2 2" xfId="12706" xr:uid="{00000000-0005-0000-0000-0000A5310000}"/>
    <cellStyle name="Comma 4 4 2 5 2 3" xfId="12707" xr:uid="{00000000-0005-0000-0000-0000A6310000}"/>
    <cellStyle name="Comma 4 4 2 5 3" xfId="12708" xr:uid="{00000000-0005-0000-0000-0000A7310000}"/>
    <cellStyle name="Comma 4 4 2 5 3 2" xfId="12709" xr:uid="{00000000-0005-0000-0000-0000A8310000}"/>
    <cellStyle name="Comma 4 4 2 5 4" xfId="12710" xr:uid="{00000000-0005-0000-0000-0000A9310000}"/>
    <cellStyle name="Comma 4 4 2 5 4 2" xfId="12711" xr:uid="{00000000-0005-0000-0000-0000AA310000}"/>
    <cellStyle name="Comma 4 4 2 5 5" xfId="12712" xr:uid="{00000000-0005-0000-0000-0000AB310000}"/>
    <cellStyle name="Comma 4 4 2 6" xfId="12713" xr:uid="{00000000-0005-0000-0000-0000AC310000}"/>
    <cellStyle name="Comma 4 4 2 6 2" xfId="12714" xr:uid="{00000000-0005-0000-0000-0000AD310000}"/>
    <cellStyle name="Comma 4 4 2 6 2 2" xfId="12715" xr:uid="{00000000-0005-0000-0000-0000AE310000}"/>
    <cellStyle name="Comma 4 4 2 6 3" xfId="12716" xr:uid="{00000000-0005-0000-0000-0000AF310000}"/>
    <cellStyle name="Comma 4 4 2 7" xfId="12717" xr:uid="{00000000-0005-0000-0000-0000B0310000}"/>
    <cellStyle name="Comma 4 4 2 7 2" xfId="12718" xr:uid="{00000000-0005-0000-0000-0000B1310000}"/>
    <cellStyle name="Comma 4 4 2 8" xfId="12719" xr:uid="{00000000-0005-0000-0000-0000B2310000}"/>
    <cellStyle name="Comma 4 4 2 8 2" xfId="12720" xr:uid="{00000000-0005-0000-0000-0000B3310000}"/>
    <cellStyle name="Comma 4 4 2 9" xfId="12721" xr:uid="{00000000-0005-0000-0000-0000B4310000}"/>
    <cellStyle name="Comma 4 4 3" xfId="12722" xr:uid="{00000000-0005-0000-0000-0000B5310000}"/>
    <cellStyle name="Comma 4 4 3 2" xfId="12723" xr:uid="{00000000-0005-0000-0000-0000B6310000}"/>
    <cellStyle name="Comma 4 4 3 2 2" xfId="12724" xr:uid="{00000000-0005-0000-0000-0000B7310000}"/>
    <cellStyle name="Comma 4 4 3 2 2 2" xfId="12725" xr:uid="{00000000-0005-0000-0000-0000B8310000}"/>
    <cellStyle name="Comma 4 4 3 2 2 2 2" xfId="12726" xr:uid="{00000000-0005-0000-0000-0000B9310000}"/>
    <cellStyle name="Comma 4 4 3 2 2 2 2 2" xfId="12727" xr:uid="{00000000-0005-0000-0000-0000BA310000}"/>
    <cellStyle name="Comma 4 4 3 2 2 2 2 2 2" xfId="12728" xr:uid="{00000000-0005-0000-0000-0000BB310000}"/>
    <cellStyle name="Comma 4 4 3 2 2 2 2 3" xfId="12729" xr:uid="{00000000-0005-0000-0000-0000BC310000}"/>
    <cellStyle name="Comma 4 4 3 2 2 2 3" xfId="12730" xr:uid="{00000000-0005-0000-0000-0000BD310000}"/>
    <cellStyle name="Comma 4 4 3 2 2 2 3 2" xfId="12731" xr:uid="{00000000-0005-0000-0000-0000BE310000}"/>
    <cellStyle name="Comma 4 4 3 2 2 2 4" xfId="12732" xr:uid="{00000000-0005-0000-0000-0000BF310000}"/>
    <cellStyle name="Comma 4 4 3 2 2 2 4 2" xfId="12733" xr:uid="{00000000-0005-0000-0000-0000C0310000}"/>
    <cellStyle name="Comma 4 4 3 2 2 2 5" xfId="12734" xr:uid="{00000000-0005-0000-0000-0000C1310000}"/>
    <cellStyle name="Comma 4 4 3 2 2 3" xfId="12735" xr:uid="{00000000-0005-0000-0000-0000C2310000}"/>
    <cellStyle name="Comma 4 4 3 2 2 3 2" xfId="12736" xr:uid="{00000000-0005-0000-0000-0000C3310000}"/>
    <cellStyle name="Comma 4 4 3 2 2 3 2 2" xfId="12737" xr:uid="{00000000-0005-0000-0000-0000C4310000}"/>
    <cellStyle name="Comma 4 4 3 2 2 3 3" xfId="12738" xr:uid="{00000000-0005-0000-0000-0000C5310000}"/>
    <cellStyle name="Comma 4 4 3 2 2 4" xfId="12739" xr:uid="{00000000-0005-0000-0000-0000C6310000}"/>
    <cellStyle name="Comma 4 4 3 2 2 4 2" xfId="12740" xr:uid="{00000000-0005-0000-0000-0000C7310000}"/>
    <cellStyle name="Comma 4 4 3 2 2 5" xfId="12741" xr:uid="{00000000-0005-0000-0000-0000C8310000}"/>
    <cellStyle name="Comma 4 4 3 2 2 5 2" xfId="12742" xr:uid="{00000000-0005-0000-0000-0000C9310000}"/>
    <cellStyle name="Comma 4 4 3 2 2 6" xfId="12743" xr:uid="{00000000-0005-0000-0000-0000CA310000}"/>
    <cellStyle name="Comma 4 4 3 2 3" xfId="12744" xr:uid="{00000000-0005-0000-0000-0000CB310000}"/>
    <cellStyle name="Comma 4 4 3 2 3 2" xfId="12745" xr:uid="{00000000-0005-0000-0000-0000CC310000}"/>
    <cellStyle name="Comma 4 4 3 2 3 2 2" xfId="12746" xr:uid="{00000000-0005-0000-0000-0000CD310000}"/>
    <cellStyle name="Comma 4 4 3 2 3 2 2 2" xfId="12747" xr:uid="{00000000-0005-0000-0000-0000CE310000}"/>
    <cellStyle name="Comma 4 4 3 2 3 2 3" xfId="12748" xr:uid="{00000000-0005-0000-0000-0000CF310000}"/>
    <cellStyle name="Comma 4 4 3 2 3 3" xfId="12749" xr:uid="{00000000-0005-0000-0000-0000D0310000}"/>
    <cellStyle name="Comma 4 4 3 2 3 3 2" xfId="12750" xr:uid="{00000000-0005-0000-0000-0000D1310000}"/>
    <cellStyle name="Comma 4 4 3 2 3 4" xfId="12751" xr:uid="{00000000-0005-0000-0000-0000D2310000}"/>
    <cellStyle name="Comma 4 4 3 2 3 4 2" xfId="12752" xr:uid="{00000000-0005-0000-0000-0000D3310000}"/>
    <cellStyle name="Comma 4 4 3 2 3 5" xfId="12753" xr:uid="{00000000-0005-0000-0000-0000D4310000}"/>
    <cellStyle name="Comma 4 4 3 2 4" xfId="12754" xr:uid="{00000000-0005-0000-0000-0000D5310000}"/>
    <cellStyle name="Comma 4 4 3 2 4 2" xfId="12755" xr:uid="{00000000-0005-0000-0000-0000D6310000}"/>
    <cellStyle name="Comma 4 4 3 2 4 2 2" xfId="12756" xr:uid="{00000000-0005-0000-0000-0000D7310000}"/>
    <cellStyle name="Comma 4 4 3 2 4 3" xfId="12757" xr:uid="{00000000-0005-0000-0000-0000D8310000}"/>
    <cellStyle name="Comma 4 4 3 2 5" xfId="12758" xr:uid="{00000000-0005-0000-0000-0000D9310000}"/>
    <cellStyle name="Comma 4 4 3 2 5 2" xfId="12759" xr:uid="{00000000-0005-0000-0000-0000DA310000}"/>
    <cellStyle name="Comma 4 4 3 2 6" xfId="12760" xr:uid="{00000000-0005-0000-0000-0000DB310000}"/>
    <cellStyle name="Comma 4 4 3 2 6 2" xfId="12761" xr:uid="{00000000-0005-0000-0000-0000DC310000}"/>
    <cellStyle name="Comma 4 4 3 2 7" xfId="12762" xr:uid="{00000000-0005-0000-0000-0000DD310000}"/>
    <cellStyle name="Comma 4 4 3 3" xfId="12763" xr:uid="{00000000-0005-0000-0000-0000DE310000}"/>
    <cellStyle name="Comma 4 4 3 3 2" xfId="12764" xr:uid="{00000000-0005-0000-0000-0000DF310000}"/>
    <cellStyle name="Comma 4 4 3 3 2 2" xfId="12765" xr:uid="{00000000-0005-0000-0000-0000E0310000}"/>
    <cellStyle name="Comma 4 4 3 3 2 2 2" xfId="12766" xr:uid="{00000000-0005-0000-0000-0000E1310000}"/>
    <cellStyle name="Comma 4 4 3 3 2 2 2 2" xfId="12767" xr:uid="{00000000-0005-0000-0000-0000E2310000}"/>
    <cellStyle name="Comma 4 4 3 3 2 2 3" xfId="12768" xr:uid="{00000000-0005-0000-0000-0000E3310000}"/>
    <cellStyle name="Comma 4 4 3 3 2 3" xfId="12769" xr:uid="{00000000-0005-0000-0000-0000E4310000}"/>
    <cellStyle name="Comma 4 4 3 3 2 3 2" xfId="12770" xr:uid="{00000000-0005-0000-0000-0000E5310000}"/>
    <cellStyle name="Comma 4 4 3 3 2 4" xfId="12771" xr:uid="{00000000-0005-0000-0000-0000E6310000}"/>
    <cellStyle name="Comma 4 4 3 3 2 4 2" xfId="12772" xr:uid="{00000000-0005-0000-0000-0000E7310000}"/>
    <cellStyle name="Comma 4 4 3 3 2 5" xfId="12773" xr:uid="{00000000-0005-0000-0000-0000E8310000}"/>
    <cellStyle name="Comma 4 4 3 3 3" xfId="12774" xr:uid="{00000000-0005-0000-0000-0000E9310000}"/>
    <cellStyle name="Comma 4 4 3 3 3 2" xfId="12775" xr:uid="{00000000-0005-0000-0000-0000EA310000}"/>
    <cellStyle name="Comma 4 4 3 3 3 2 2" xfId="12776" xr:uid="{00000000-0005-0000-0000-0000EB310000}"/>
    <cellStyle name="Comma 4 4 3 3 3 3" xfId="12777" xr:uid="{00000000-0005-0000-0000-0000EC310000}"/>
    <cellStyle name="Comma 4 4 3 3 4" xfId="12778" xr:uid="{00000000-0005-0000-0000-0000ED310000}"/>
    <cellStyle name="Comma 4 4 3 3 4 2" xfId="12779" xr:uid="{00000000-0005-0000-0000-0000EE310000}"/>
    <cellStyle name="Comma 4 4 3 3 5" xfId="12780" xr:uid="{00000000-0005-0000-0000-0000EF310000}"/>
    <cellStyle name="Comma 4 4 3 3 5 2" xfId="12781" xr:uid="{00000000-0005-0000-0000-0000F0310000}"/>
    <cellStyle name="Comma 4 4 3 3 6" xfId="12782" xr:uid="{00000000-0005-0000-0000-0000F1310000}"/>
    <cellStyle name="Comma 4 4 3 4" xfId="12783" xr:uid="{00000000-0005-0000-0000-0000F2310000}"/>
    <cellStyle name="Comma 4 4 3 4 2" xfId="12784" xr:uid="{00000000-0005-0000-0000-0000F3310000}"/>
    <cellStyle name="Comma 4 4 3 4 2 2" xfId="12785" xr:uid="{00000000-0005-0000-0000-0000F4310000}"/>
    <cellStyle name="Comma 4 4 3 4 2 2 2" xfId="12786" xr:uid="{00000000-0005-0000-0000-0000F5310000}"/>
    <cellStyle name="Comma 4 4 3 4 2 3" xfId="12787" xr:uid="{00000000-0005-0000-0000-0000F6310000}"/>
    <cellStyle name="Comma 4 4 3 4 3" xfId="12788" xr:uid="{00000000-0005-0000-0000-0000F7310000}"/>
    <cellStyle name="Comma 4 4 3 4 3 2" xfId="12789" xr:uid="{00000000-0005-0000-0000-0000F8310000}"/>
    <cellStyle name="Comma 4 4 3 4 4" xfId="12790" xr:uid="{00000000-0005-0000-0000-0000F9310000}"/>
    <cellStyle name="Comma 4 4 3 4 4 2" xfId="12791" xr:uid="{00000000-0005-0000-0000-0000FA310000}"/>
    <cellStyle name="Comma 4 4 3 4 5" xfId="12792" xr:uid="{00000000-0005-0000-0000-0000FB310000}"/>
    <cellStyle name="Comma 4 4 3 5" xfId="12793" xr:uid="{00000000-0005-0000-0000-0000FC310000}"/>
    <cellStyle name="Comma 4 4 3 5 2" xfId="12794" xr:uid="{00000000-0005-0000-0000-0000FD310000}"/>
    <cellStyle name="Comma 4 4 3 5 2 2" xfId="12795" xr:uid="{00000000-0005-0000-0000-0000FE310000}"/>
    <cellStyle name="Comma 4 4 3 5 3" xfId="12796" xr:uid="{00000000-0005-0000-0000-0000FF310000}"/>
    <cellStyle name="Comma 4 4 3 6" xfId="12797" xr:uid="{00000000-0005-0000-0000-000000320000}"/>
    <cellStyle name="Comma 4 4 3 6 2" xfId="12798" xr:uid="{00000000-0005-0000-0000-000001320000}"/>
    <cellStyle name="Comma 4 4 3 7" xfId="12799" xr:uid="{00000000-0005-0000-0000-000002320000}"/>
    <cellStyle name="Comma 4 4 3 7 2" xfId="12800" xr:uid="{00000000-0005-0000-0000-000003320000}"/>
    <cellStyle name="Comma 4 4 3 8" xfId="12801" xr:uid="{00000000-0005-0000-0000-000004320000}"/>
    <cellStyle name="Comma 4 4 4" xfId="12802" xr:uid="{00000000-0005-0000-0000-000005320000}"/>
    <cellStyle name="Comma 4 4 4 2" xfId="12803" xr:uid="{00000000-0005-0000-0000-000006320000}"/>
    <cellStyle name="Comma 4 4 4 2 2" xfId="12804" xr:uid="{00000000-0005-0000-0000-000007320000}"/>
    <cellStyle name="Comma 4 4 4 2 2 2" xfId="12805" xr:uid="{00000000-0005-0000-0000-000008320000}"/>
    <cellStyle name="Comma 4 4 4 2 2 2 2" xfId="12806" xr:uid="{00000000-0005-0000-0000-000009320000}"/>
    <cellStyle name="Comma 4 4 4 2 2 2 2 2" xfId="12807" xr:uid="{00000000-0005-0000-0000-00000A320000}"/>
    <cellStyle name="Comma 4 4 4 2 2 2 3" xfId="12808" xr:uid="{00000000-0005-0000-0000-00000B320000}"/>
    <cellStyle name="Comma 4 4 4 2 2 3" xfId="12809" xr:uid="{00000000-0005-0000-0000-00000C320000}"/>
    <cellStyle name="Comma 4 4 4 2 2 3 2" xfId="12810" xr:uid="{00000000-0005-0000-0000-00000D320000}"/>
    <cellStyle name="Comma 4 4 4 2 2 4" xfId="12811" xr:uid="{00000000-0005-0000-0000-00000E320000}"/>
    <cellStyle name="Comma 4 4 4 2 2 4 2" xfId="12812" xr:uid="{00000000-0005-0000-0000-00000F320000}"/>
    <cellStyle name="Comma 4 4 4 2 2 5" xfId="12813" xr:uid="{00000000-0005-0000-0000-000010320000}"/>
    <cellStyle name="Comma 4 4 4 2 3" xfId="12814" xr:uid="{00000000-0005-0000-0000-000011320000}"/>
    <cellStyle name="Comma 4 4 4 2 3 2" xfId="12815" xr:uid="{00000000-0005-0000-0000-000012320000}"/>
    <cellStyle name="Comma 4 4 4 2 3 2 2" xfId="12816" xr:uid="{00000000-0005-0000-0000-000013320000}"/>
    <cellStyle name="Comma 4 4 4 2 3 3" xfId="12817" xr:uid="{00000000-0005-0000-0000-000014320000}"/>
    <cellStyle name="Comma 4 4 4 2 4" xfId="12818" xr:uid="{00000000-0005-0000-0000-000015320000}"/>
    <cellStyle name="Comma 4 4 4 2 4 2" xfId="12819" xr:uid="{00000000-0005-0000-0000-000016320000}"/>
    <cellStyle name="Comma 4 4 4 2 5" xfId="12820" xr:uid="{00000000-0005-0000-0000-000017320000}"/>
    <cellStyle name="Comma 4 4 4 2 5 2" xfId="12821" xr:uid="{00000000-0005-0000-0000-000018320000}"/>
    <cellStyle name="Comma 4 4 4 2 6" xfId="12822" xr:uid="{00000000-0005-0000-0000-000019320000}"/>
    <cellStyle name="Comma 4 4 4 3" xfId="12823" xr:uid="{00000000-0005-0000-0000-00001A320000}"/>
    <cellStyle name="Comma 4 4 4 3 2" xfId="12824" xr:uid="{00000000-0005-0000-0000-00001B320000}"/>
    <cellStyle name="Comma 4 4 4 3 2 2" xfId="12825" xr:uid="{00000000-0005-0000-0000-00001C320000}"/>
    <cellStyle name="Comma 4 4 4 3 2 2 2" xfId="12826" xr:uid="{00000000-0005-0000-0000-00001D320000}"/>
    <cellStyle name="Comma 4 4 4 3 2 3" xfId="12827" xr:uid="{00000000-0005-0000-0000-00001E320000}"/>
    <cellStyle name="Comma 4 4 4 3 3" xfId="12828" xr:uid="{00000000-0005-0000-0000-00001F320000}"/>
    <cellStyle name="Comma 4 4 4 3 3 2" xfId="12829" xr:uid="{00000000-0005-0000-0000-000020320000}"/>
    <cellStyle name="Comma 4 4 4 3 4" xfId="12830" xr:uid="{00000000-0005-0000-0000-000021320000}"/>
    <cellStyle name="Comma 4 4 4 3 4 2" xfId="12831" xr:uid="{00000000-0005-0000-0000-000022320000}"/>
    <cellStyle name="Comma 4 4 4 3 5" xfId="12832" xr:uid="{00000000-0005-0000-0000-000023320000}"/>
    <cellStyle name="Comma 4 4 4 4" xfId="12833" xr:uid="{00000000-0005-0000-0000-000024320000}"/>
    <cellStyle name="Comma 4 4 4 4 2" xfId="12834" xr:uid="{00000000-0005-0000-0000-000025320000}"/>
    <cellStyle name="Comma 4 4 4 4 2 2" xfId="12835" xr:uid="{00000000-0005-0000-0000-000026320000}"/>
    <cellStyle name="Comma 4 4 4 4 3" xfId="12836" xr:uid="{00000000-0005-0000-0000-000027320000}"/>
    <cellStyle name="Comma 4 4 4 5" xfId="12837" xr:uid="{00000000-0005-0000-0000-000028320000}"/>
    <cellStyle name="Comma 4 4 4 5 2" xfId="12838" xr:uid="{00000000-0005-0000-0000-000029320000}"/>
    <cellStyle name="Comma 4 4 4 6" xfId="12839" xr:uid="{00000000-0005-0000-0000-00002A320000}"/>
    <cellStyle name="Comma 4 4 4 6 2" xfId="12840" xr:uid="{00000000-0005-0000-0000-00002B320000}"/>
    <cellStyle name="Comma 4 4 4 7" xfId="12841" xr:uid="{00000000-0005-0000-0000-00002C320000}"/>
    <cellStyle name="Comma 4 4 5" xfId="12842" xr:uid="{00000000-0005-0000-0000-00002D320000}"/>
    <cellStyle name="Comma 4 4 5 2" xfId="12843" xr:uid="{00000000-0005-0000-0000-00002E320000}"/>
    <cellStyle name="Comma 4 4 5 2 2" xfId="12844" xr:uid="{00000000-0005-0000-0000-00002F320000}"/>
    <cellStyle name="Comma 4 4 5 2 2 2" xfId="12845" xr:uid="{00000000-0005-0000-0000-000030320000}"/>
    <cellStyle name="Comma 4 4 5 2 2 2 2" xfId="12846" xr:uid="{00000000-0005-0000-0000-000031320000}"/>
    <cellStyle name="Comma 4 4 5 2 2 2 2 2" xfId="12847" xr:uid="{00000000-0005-0000-0000-000032320000}"/>
    <cellStyle name="Comma 4 4 5 2 2 2 3" xfId="12848" xr:uid="{00000000-0005-0000-0000-000033320000}"/>
    <cellStyle name="Comma 4 4 5 2 2 3" xfId="12849" xr:uid="{00000000-0005-0000-0000-000034320000}"/>
    <cellStyle name="Comma 4 4 5 2 2 3 2" xfId="12850" xr:uid="{00000000-0005-0000-0000-000035320000}"/>
    <cellStyle name="Comma 4 4 5 2 2 4" xfId="12851" xr:uid="{00000000-0005-0000-0000-000036320000}"/>
    <cellStyle name="Comma 4 4 5 2 2 4 2" xfId="12852" xr:uid="{00000000-0005-0000-0000-000037320000}"/>
    <cellStyle name="Comma 4 4 5 2 2 5" xfId="12853" xr:uid="{00000000-0005-0000-0000-000038320000}"/>
    <cellStyle name="Comma 4 4 5 2 3" xfId="12854" xr:uid="{00000000-0005-0000-0000-000039320000}"/>
    <cellStyle name="Comma 4 4 5 2 3 2" xfId="12855" xr:uid="{00000000-0005-0000-0000-00003A320000}"/>
    <cellStyle name="Comma 4 4 5 2 3 2 2" xfId="12856" xr:uid="{00000000-0005-0000-0000-00003B320000}"/>
    <cellStyle name="Comma 4 4 5 2 3 3" xfId="12857" xr:uid="{00000000-0005-0000-0000-00003C320000}"/>
    <cellStyle name="Comma 4 4 5 2 4" xfId="12858" xr:uid="{00000000-0005-0000-0000-00003D320000}"/>
    <cellStyle name="Comma 4 4 5 2 4 2" xfId="12859" xr:uid="{00000000-0005-0000-0000-00003E320000}"/>
    <cellStyle name="Comma 4 4 5 2 5" xfId="12860" xr:uid="{00000000-0005-0000-0000-00003F320000}"/>
    <cellStyle name="Comma 4 4 5 2 5 2" xfId="12861" xr:uid="{00000000-0005-0000-0000-000040320000}"/>
    <cellStyle name="Comma 4 4 5 2 6" xfId="12862" xr:uid="{00000000-0005-0000-0000-000041320000}"/>
    <cellStyle name="Comma 4 4 5 3" xfId="12863" xr:uid="{00000000-0005-0000-0000-000042320000}"/>
    <cellStyle name="Comma 4 4 5 3 2" xfId="12864" xr:uid="{00000000-0005-0000-0000-000043320000}"/>
    <cellStyle name="Comma 4 4 5 3 2 2" xfId="12865" xr:uid="{00000000-0005-0000-0000-000044320000}"/>
    <cellStyle name="Comma 4 4 5 3 2 2 2" xfId="12866" xr:uid="{00000000-0005-0000-0000-000045320000}"/>
    <cellStyle name="Comma 4 4 5 3 2 3" xfId="12867" xr:uid="{00000000-0005-0000-0000-000046320000}"/>
    <cellStyle name="Comma 4 4 5 3 3" xfId="12868" xr:uid="{00000000-0005-0000-0000-000047320000}"/>
    <cellStyle name="Comma 4 4 5 3 3 2" xfId="12869" xr:uid="{00000000-0005-0000-0000-000048320000}"/>
    <cellStyle name="Comma 4 4 5 3 4" xfId="12870" xr:uid="{00000000-0005-0000-0000-000049320000}"/>
    <cellStyle name="Comma 4 4 5 3 4 2" xfId="12871" xr:uid="{00000000-0005-0000-0000-00004A320000}"/>
    <cellStyle name="Comma 4 4 5 3 5" xfId="12872" xr:uid="{00000000-0005-0000-0000-00004B320000}"/>
    <cellStyle name="Comma 4 4 5 4" xfId="12873" xr:uid="{00000000-0005-0000-0000-00004C320000}"/>
    <cellStyle name="Comma 4 4 5 4 2" xfId="12874" xr:uid="{00000000-0005-0000-0000-00004D320000}"/>
    <cellStyle name="Comma 4 4 5 4 2 2" xfId="12875" xr:uid="{00000000-0005-0000-0000-00004E320000}"/>
    <cellStyle name="Comma 4 4 5 4 3" xfId="12876" xr:uid="{00000000-0005-0000-0000-00004F320000}"/>
    <cellStyle name="Comma 4 4 5 5" xfId="12877" xr:uid="{00000000-0005-0000-0000-000050320000}"/>
    <cellStyle name="Comma 4 4 5 5 2" xfId="12878" xr:uid="{00000000-0005-0000-0000-000051320000}"/>
    <cellStyle name="Comma 4 4 5 6" xfId="12879" xr:uid="{00000000-0005-0000-0000-000052320000}"/>
    <cellStyle name="Comma 4 4 5 6 2" xfId="12880" xr:uid="{00000000-0005-0000-0000-000053320000}"/>
    <cellStyle name="Comma 4 4 5 7" xfId="12881" xr:uid="{00000000-0005-0000-0000-000054320000}"/>
    <cellStyle name="Comma 4 4 6" xfId="12882" xr:uid="{00000000-0005-0000-0000-000055320000}"/>
    <cellStyle name="Comma 4 4 6 2" xfId="12883" xr:uid="{00000000-0005-0000-0000-000056320000}"/>
    <cellStyle name="Comma 4 4 6 2 2" xfId="12884" xr:uid="{00000000-0005-0000-0000-000057320000}"/>
    <cellStyle name="Comma 4 4 6 2 2 2" xfId="12885" xr:uid="{00000000-0005-0000-0000-000058320000}"/>
    <cellStyle name="Comma 4 4 6 2 2 2 2" xfId="12886" xr:uid="{00000000-0005-0000-0000-000059320000}"/>
    <cellStyle name="Comma 4 4 6 2 2 3" xfId="12887" xr:uid="{00000000-0005-0000-0000-00005A320000}"/>
    <cellStyle name="Comma 4 4 6 2 3" xfId="12888" xr:uid="{00000000-0005-0000-0000-00005B320000}"/>
    <cellStyle name="Comma 4 4 6 2 3 2" xfId="12889" xr:uid="{00000000-0005-0000-0000-00005C320000}"/>
    <cellStyle name="Comma 4 4 6 2 4" xfId="12890" xr:uid="{00000000-0005-0000-0000-00005D320000}"/>
    <cellStyle name="Comma 4 4 6 2 4 2" xfId="12891" xr:uid="{00000000-0005-0000-0000-00005E320000}"/>
    <cellStyle name="Comma 4 4 6 2 5" xfId="12892" xr:uid="{00000000-0005-0000-0000-00005F320000}"/>
    <cellStyle name="Comma 4 4 6 3" xfId="12893" xr:uid="{00000000-0005-0000-0000-000060320000}"/>
    <cellStyle name="Comma 4 4 6 3 2" xfId="12894" xr:uid="{00000000-0005-0000-0000-000061320000}"/>
    <cellStyle name="Comma 4 4 6 3 2 2" xfId="12895" xr:uid="{00000000-0005-0000-0000-000062320000}"/>
    <cellStyle name="Comma 4 4 6 3 3" xfId="12896" xr:uid="{00000000-0005-0000-0000-000063320000}"/>
    <cellStyle name="Comma 4 4 6 4" xfId="12897" xr:uid="{00000000-0005-0000-0000-000064320000}"/>
    <cellStyle name="Comma 4 4 6 4 2" xfId="12898" xr:uid="{00000000-0005-0000-0000-000065320000}"/>
    <cellStyle name="Comma 4 4 6 5" xfId="12899" xr:uid="{00000000-0005-0000-0000-000066320000}"/>
    <cellStyle name="Comma 4 4 6 5 2" xfId="12900" xr:uid="{00000000-0005-0000-0000-000067320000}"/>
    <cellStyle name="Comma 4 4 6 6" xfId="12901" xr:uid="{00000000-0005-0000-0000-000068320000}"/>
    <cellStyle name="Comma 4 4 7" xfId="12902" xr:uid="{00000000-0005-0000-0000-000069320000}"/>
    <cellStyle name="Comma 4 4 7 2" xfId="12903" xr:uid="{00000000-0005-0000-0000-00006A320000}"/>
    <cellStyle name="Comma 4 4 7 2 2" xfId="12904" xr:uid="{00000000-0005-0000-0000-00006B320000}"/>
    <cellStyle name="Comma 4 4 7 2 2 2" xfId="12905" xr:uid="{00000000-0005-0000-0000-00006C320000}"/>
    <cellStyle name="Comma 4 4 7 2 3" xfId="12906" xr:uid="{00000000-0005-0000-0000-00006D320000}"/>
    <cellStyle name="Comma 4 4 7 3" xfId="12907" xr:uid="{00000000-0005-0000-0000-00006E320000}"/>
    <cellStyle name="Comma 4 4 7 3 2" xfId="12908" xr:uid="{00000000-0005-0000-0000-00006F320000}"/>
    <cellStyle name="Comma 4 4 7 4" xfId="12909" xr:uid="{00000000-0005-0000-0000-000070320000}"/>
    <cellStyle name="Comma 4 4 7 4 2" xfId="12910" xr:uid="{00000000-0005-0000-0000-000071320000}"/>
    <cellStyle name="Comma 4 4 7 5" xfId="12911" xr:uid="{00000000-0005-0000-0000-000072320000}"/>
    <cellStyle name="Comma 4 4 8" xfId="12912" xr:uid="{00000000-0005-0000-0000-000073320000}"/>
    <cellStyle name="Comma 4 4 8 2" xfId="12913" xr:uid="{00000000-0005-0000-0000-000074320000}"/>
    <cellStyle name="Comma 4 4 8 2 2" xfId="12914" xr:uid="{00000000-0005-0000-0000-000075320000}"/>
    <cellStyle name="Comma 4 4 8 3" xfId="12915" xr:uid="{00000000-0005-0000-0000-000076320000}"/>
    <cellStyle name="Comma 4 4 9" xfId="12916" xr:uid="{00000000-0005-0000-0000-000077320000}"/>
    <cellStyle name="Comma 4 4 9 2" xfId="12917" xr:uid="{00000000-0005-0000-0000-000078320000}"/>
    <cellStyle name="Comma 4 5" xfId="12918" xr:uid="{00000000-0005-0000-0000-000079320000}"/>
    <cellStyle name="Comma 4 5 2" xfId="12919" xr:uid="{00000000-0005-0000-0000-00007A320000}"/>
    <cellStyle name="Comma 4 5 2 2" xfId="12920" xr:uid="{00000000-0005-0000-0000-00007B320000}"/>
    <cellStyle name="Comma 4 5 2 2 2" xfId="12921" xr:uid="{00000000-0005-0000-0000-00007C320000}"/>
    <cellStyle name="Comma 4 5 2 2 2 2" xfId="12922" xr:uid="{00000000-0005-0000-0000-00007D320000}"/>
    <cellStyle name="Comma 4 5 2 2 2 2 2" xfId="12923" xr:uid="{00000000-0005-0000-0000-00007E320000}"/>
    <cellStyle name="Comma 4 5 2 2 2 2 2 2" xfId="12924" xr:uid="{00000000-0005-0000-0000-00007F320000}"/>
    <cellStyle name="Comma 4 5 2 2 2 2 3" xfId="12925" xr:uid="{00000000-0005-0000-0000-000080320000}"/>
    <cellStyle name="Comma 4 5 2 2 2 3" xfId="12926" xr:uid="{00000000-0005-0000-0000-000081320000}"/>
    <cellStyle name="Comma 4 5 2 2 2 3 2" xfId="12927" xr:uid="{00000000-0005-0000-0000-000082320000}"/>
    <cellStyle name="Comma 4 5 2 2 2 4" xfId="12928" xr:uid="{00000000-0005-0000-0000-000083320000}"/>
    <cellStyle name="Comma 4 5 2 2 2 4 2" xfId="12929" xr:uid="{00000000-0005-0000-0000-000084320000}"/>
    <cellStyle name="Comma 4 5 2 2 2 5" xfId="12930" xr:uid="{00000000-0005-0000-0000-000085320000}"/>
    <cellStyle name="Comma 4 5 2 2 3" xfId="12931" xr:uid="{00000000-0005-0000-0000-000086320000}"/>
    <cellStyle name="Comma 4 5 2 2 3 2" xfId="12932" xr:uid="{00000000-0005-0000-0000-000087320000}"/>
    <cellStyle name="Comma 4 5 2 2 3 2 2" xfId="12933" xr:uid="{00000000-0005-0000-0000-000088320000}"/>
    <cellStyle name="Comma 4 5 2 2 3 3" xfId="12934" xr:uid="{00000000-0005-0000-0000-000089320000}"/>
    <cellStyle name="Comma 4 5 2 2 4" xfId="12935" xr:uid="{00000000-0005-0000-0000-00008A320000}"/>
    <cellStyle name="Comma 4 5 2 2 4 2" xfId="12936" xr:uid="{00000000-0005-0000-0000-00008B320000}"/>
    <cellStyle name="Comma 4 5 2 2 5" xfId="12937" xr:uid="{00000000-0005-0000-0000-00008C320000}"/>
    <cellStyle name="Comma 4 5 2 2 5 2" xfId="12938" xr:uid="{00000000-0005-0000-0000-00008D320000}"/>
    <cellStyle name="Comma 4 5 2 2 6" xfId="12939" xr:uid="{00000000-0005-0000-0000-00008E320000}"/>
    <cellStyle name="Comma 4 5 2 3" xfId="12940" xr:uid="{00000000-0005-0000-0000-00008F320000}"/>
    <cellStyle name="Comma 4 5 2 3 2" xfId="12941" xr:uid="{00000000-0005-0000-0000-000090320000}"/>
    <cellStyle name="Comma 4 5 2 3 2 2" xfId="12942" xr:uid="{00000000-0005-0000-0000-000091320000}"/>
    <cellStyle name="Comma 4 5 2 3 2 2 2" xfId="12943" xr:uid="{00000000-0005-0000-0000-000092320000}"/>
    <cellStyle name="Comma 4 5 2 3 2 3" xfId="12944" xr:uid="{00000000-0005-0000-0000-000093320000}"/>
    <cellStyle name="Comma 4 5 2 3 3" xfId="12945" xr:uid="{00000000-0005-0000-0000-000094320000}"/>
    <cellStyle name="Comma 4 5 2 3 3 2" xfId="12946" xr:uid="{00000000-0005-0000-0000-000095320000}"/>
    <cellStyle name="Comma 4 5 2 3 4" xfId="12947" xr:uid="{00000000-0005-0000-0000-000096320000}"/>
    <cellStyle name="Comma 4 5 2 3 4 2" xfId="12948" xr:uid="{00000000-0005-0000-0000-000097320000}"/>
    <cellStyle name="Comma 4 5 2 3 5" xfId="12949" xr:uid="{00000000-0005-0000-0000-000098320000}"/>
    <cellStyle name="Comma 4 5 2 4" xfId="12950" xr:uid="{00000000-0005-0000-0000-000099320000}"/>
    <cellStyle name="Comma 4 5 2 4 2" xfId="12951" xr:uid="{00000000-0005-0000-0000-00009A320000}"/>
    <cellStyle name="Comma 4 5 2 4 2 2" xfId="12952" xr:uid="{00000000-0005-0000-0000-00009B320000}"/>
    <cellStyle name="Comma 4 5 2 4 3" xfId="12953" xr:uid="{00000000-0005-0000-0000-00009C320000}"/>
    <cellStyle name="Comma 4 5 2 5" xfId="12954" xr:uid="{00000000-0005-0000-0000-00009D320000}"/>
    <cellStyle name="Comma 4 5 2 5 2" xfId="12955" xr:uid="{00000000-0005-0000-0000-00009E320000}"/>
    <cellStyle name="Comma 4 5 2 6" xfId="12956" xr:uid="{00000000-0005-0000-0000-00009F320000}"/>
    <cellStyle name="Comma 4 5 2 6 2" xfId="12957" xr:uid="{00000000-0005-0000-0000-0000A0320000}"/>
    <cellStyle name="Comma 4 5 2 7" xfId="12958" xr:uid="{00000000-0005-0000-0000-0000A1320000}"/>
    <cellStyle name="Comma 4 5 3" xfId="12959" xr:uid="{00000000-0005-0000-0000-0000A2320000}"/>
    <cellStyle name="Comma 4 5 3 2" xfId="12960" xr:uid="{00000000-0005-0000-0000-0000A3320000}"/>
    <cellStyle name="Comma 4 5 3 2 2" xfId="12961" xr:uid="{00000000-0005-0000-0000-0000A4320000}"/>
    <cellStyle name="Comma 4 5 3 2 2 2" xfId="12962" xr:uid="{00000000-0005-0000-0000-0000A5320000}"/>
    <cellStyle name="Comma 4 5 3 2 2 2 2" xfId="12963" xr:uid="{00000000-0005-0000-0000-0000A6320000}"/>
    <cellStyle name="Comma 4 5 3 2 2 2 2 2" xfId="12964" xr:uid="{00000000-0005-0000-0000-0000A7320000}"/>
    <cellStyle name="Comma 4 5 3 2 2 2 3" xfId="12965" xr:uid="{00000000-0005-0000-0000-0000A8320000}"/>
    <cellStyle name="Comma 4 5 3 2 2 3" xfId="12966" xr:uid="{00000000-0005-0000-0000-0000A9320000}"/>
    <cellStyle name="Comma 4 5 3 2 2 3 2" xfId="12967" xr:uid="{00000000-0005-0000-0000-0000AA320000}"/>
    <cellStyle name="Comma 4 5 3 2 2 4" xfId="12968" xr:uid="{00000000-0005-0000-0000-0000AB320000}"/>
    <cellStyle name="Comma 4 5 3 2 2 4 2" xfId="12969" xr:uid="{00000000-0005-0000-0000-0000AC320000}"/>
    <cellStyle name="Comma 4 5 3 2 2 5" xfId="12970" xr:uid="{00000000-0005-0000-0000-0000AD320000}"/>
    <cellStyle name="Comma 4 5 3 2 3" xfId="12971" xr:uid="{00000000-0005-0000-0000-0000AE320000}"/>
    <cellStyle name="Comma 4 5 3 2 3 2" xfId="12972" xr:uid="{00000000-0005-0000-0000-0000AF320000}"/>
    <cellStyle name="Comma 4 5 3 2 3 2 2" xfId="12973" xr:uid="{00000000-0005-0000-0000-0000B0320000}"/>
    <cellStyle name="Comma 4 5 3 2 3 3" xfId="12974" xr:uid="{00000000-0005-0000-0000-0000B1320000}"/>
    <cellStyle name="Comma 4 5 3 2 4" xfId="12975" xr:uid="{00000000-0005-0000-0000-0000B2320000}"/>
    <cellStyle name="Comma 4 5 3 2 4 2" xfId="12976" xr:uid="{00000000-0005-0000-0000-0000B3320000}"/>
    <cellStyle name="Comma 4 5 3 2 5" xfId="12977" xr:uid="{00000000-0005-0000-0000-0000B4320000}"/>
    <cellStyle name="Comma 4 5 3 2 5 2" xfId="12978" xr:uid="{00000000-0005-0000-0000-0000B5320000}"/>
    <cellStyle name="Comma 4 5 3 2 6" xfId="12979" xr:uid="{00000000-0005-0000-0000-0000B6320000}"/>
    <cellStyle name="Comma 4 5 3 3" xfId="12980" xr:uid="{00000000-0005-0000-0000-0000B7320000}"/>
    <cellStyle name="Comma 4 5 3 3 2" xfId="12981" xr:uid="{00000000-0005-0000-0000-0000B8320000}"/>
    <cellStyle name="Comma 4 5 3 3 2 2" xfId="12982" xr:uid="{00000000-0005-0000-0000-0000B9320000}"/>
    <cellStyle name="Comma 4 5 3 3 2 2 2" xfId="12983" xr:uid="{00000000-0005-0000-0000-0000BA320000}"/>
    <cellStyle name="Comma 4 5 3 3 2 3" xfId="12984" xr:uid="{00000000-0005-0000-0000-0000BB320000}"/>
    <cellStyle name="Comma 4 5 3 3 3" xfId="12985" xr:uid="{00000000-0005-0000-0000-0000BC320000}"/>
    <cellStyle name="Comma 4 5 3 3 3 2" xfId="12986" xr:uid="{00000000-0005-0000-0000-0000BD320000}"/>
    <cellStyle name="Comma 4 5 3 3 4" xfId="12987" xr:uid="{00000000-0005-0000-0000-0000BE320000}"/>
    <cellStyle name="Comma 4 5 3 3 4 2" xfId="12988" xr:uid="{00000000-0005-0000-0000-0000BF320000}"/>
    <cellStyle name="Comma 4 5 3 3 5" xfId="12989" xr:uid="{00000000-0005-0000-0000-0000C0320000}"/>
    <cellStyle name="Comma 4 5 3 4" xfId="12990" xr:uid="{00000000-0005-0000-0000-0000C1320000}"/>
    <cellStyle name="Comma 4 5 3 4 2" xfId="12991" xr:uid="{00000000-0005-0000-0000-0000C2320000}"/>
    <cellStyle name="Comma 4 5 3 4 2 2" xfId="12992" xr:uid="{00000000-0005-0000-0000-0000C3320000}"/>
    <cellStyle name="Comma 4 5 3 4 3" xfId="12993" xr:uid="{00000000-0005-0000-0000-0000C4320000}"/>
    <cellStyle name="Comma 4 5 3 5" xfId="12994" xr:uid="{00000000-0005-0000-0000-0000C5320000}"/>
    <cellStyle name="Comma 4 5 3 5 2" xfId="12995" xr:uid="{00000000-0005-0000-0000-0000C6320000}"/>
    <cellStyle name="Comma 4 5 3 6" xfId="12996" xr:uid="{00000000-0005-0000-0000-0000C7320000}"/>
    <cellStyle name="Comma 4 5 3 6 2" xfId="12997" xr:uid="{00000000-0005-0000-0000-0000C8320000}"/>
    <cellStyle name="Comma 4 5 3 7" xfId="12998" xr:uid="{00000000-0005-0000-0000-0000C9320000}"/>
    <cellStyle name="Comma 4 5 4" xfId="12999" xr:uid="{00000000-0005-0000-0000-0000CA320000}"/>
    <cellStyle name="Comma 4 5 4 2" xfId="13000" xr:uid="{00000000-0005-0000-0000-0000CB320000}"/>
    <cellStyle name="Comma 4 5 4 2 2" xfId="13001" xr:uid="{00000000-0005-0000-0000-0000CC320000}"/>
    <cellStyle name="Comma 4 5 4 2 2 2" xfId="13002" xr:uid="{00000000-0005-0000-0000-0000CD320000}"/>
    <cellStyle name="Comma 4 5 4 2 2 2 2" xfId="13003" xr:uid="{00000000-0005-0000-0000-0000CE320000}"/>
    <cellStyle name="Comma 4 5 4 2 2 3" xfId="13004" xr:uid="{00000000-0005-0000-0000-0000CF320000}"/>
    <cellStyle name="Comma 4 5 4 2 3" xfId="13005" xr:uid="{00000000-0005-0000-0000-0000D0320000}"/>
    <cellStyle name="Comma 4 5 4 2 3 2" xfId="13006" xr:uid="{00000000-0005-0000-0000-0000D1320000}"/>
    <cellStyle name="Comma 4 5 4 2 4" xfId="13007" xr:uid="{00000000-0005-0000-0000-0000D2320000}"/>
    <cellStyle name="Comma 4 5 4 2 4 2" xfId="13008" xr:uid="{00000000-0005-0000-0000-0000D3320000}"/>
    <cellStyle name="Comma 4 5 4 2 5" xfId="13009" xr:uid="{00000000-0005-0000-0000-0000D4320000}"/>
    <cellStyle name="Comma 4 5 4 3" xfId="13010" xr:uid="{00000000-0005-0000-0000-0000D5320000}"/>
    <cellStyle name="Comma 4 5 4 3 2" xfId="13011" xr:uid="{00000000-0005-0000-0000-0000D6320000}"/>
    <cellStyle name="Comma 4 5 4 3 2 2" xfId="13012" xr:uid="{00000000-0005-0000-0000-0000D7320000}"/>
    <cellStyle name="Comma 4 5 4 3 3" xfId="13013" xr:uid="{00000000-0005-0000-0000-0000D8320000}"/>
    <cellStyle name="Comma 4 5 4 4" xfId="13014" xr:uid="{00000000-0005-0000-0000-0000D9320000}"/>
    <cellStyle name="Comma 4 5 4 4 2" xfId="13015" xr:uid="{00000000-0005-0000-0000-0000DA320000}"/>
    <cellStyle name="Comma 4 5 4 5" xfId="13016" xr:uid="{00000000-0005-0000-0000-0000DB320000}"/>
    <cellStyle name="Comma 4 5 4 5 2" xfId="13017" xr:uid="{00000000-0005-0000-0000-0000DC320000}"/>
    <cellStyle name="Comma 4 5 4 6" xfId="13018" xr:uid="{00000000-0005-0000-0000-0000DD320000}"/>
    <cellStyle name="Comma 4 5 5" xfId="13019" xr:uid="{00000000-0005-0000-0000-0000DE320000}"/>
    <cellStyle name="Comma 4 5 5 2" xfId="13020" xr:uid="{00000000-0005-0000-0000-0000DF320000}"/>
    <cellStyle name="Comma 4 5 5 2 2" xfId="13021" xr:uid="{00000000-0005-0000-0000-0000E0320000}"/>
    <cellStyle name="Comma 4 5 5 2 2 2" xfId="13022" xr:uid="{00000000-0005-0000-0000-0000E1320000}"/>
    <cellStyle name="Comma 4 5 5 2 3" xfId="13023" xr:uid="{00000000-0005-0000-0000-0000E2320000}"/>
    <cellStyle name="Comma 4 5 5 3" xfId="13024" xr:uid="{00000000-0005-0000-0000-0000E3320000}"/>
    <cellStyle name="Comma 4 5 5 3 2" xfId="13025" xr:uid="{00000000-0005-0000-0000-0000E4320000}"/>
    <cellStyle name="Comma 4 5 5 4" xfId="13026" xr:uid="{00000000-0005-0000-0000-0000E5320000}"/>
    <cellStyle name="Comma 4 5 5 4 2" xfId="13027" xr:uid="{00000000-0005-0000-0000-0000E6320000}"/>
    <cellStyle name="Comma 4 5 5 5" xfId="13028" xr:uid="{00000000-0005-0000-0000-0000E7320000}"/>
    <cellStyle name="Comma 4 5 6" xfId="13029" xr:uid="{00000000-0005-0000-0000-0000E8320000}"/>
    <cellStyle name="Comma 4 5 6 2" xfId="13030" xr:uid="{00000000-0005-0000-0000-0000E9320000}"/>
    <cellStyle name="Comma 4 5 6 2 2" xfId="13031" xr:uid="{00000000-0005-0000-0000-0000EA320000}"/>
    <cellStyle name="Comma 4 5 6 3" xfId="13032" xr:uid="{00000000-0005-0000-0000-0000EB320000}"/>
    <cellStyle name="Comma 4 5 7" xfId="13033" xr:uid="{00000000-0005-0000-0000-0000EC320000}"/>
    <cellStyle name="Comma 4 5 7 2" xfId="13034" xr:uid="{00000000-0005-0000-0000-0000ED320000}"/>
    <cellStyle name="Comma 4 5 8" xfId="13035" xr:uid="{00000000-0005-0000-0000-0000EE320000}"/>
    <cellStyle name="Comma 4 5 8 2" xfId="13036" xr:uid="{00000000-0005-0000-0000-0000EF320000}"/>
    <cellStyle name="Comma 4 5 9" xfId="13037" xr:uid="{00000000-0005-0000-0000-0000F0320000}"/>
    <cellStyle name="Comma 4 6" xfId="13038" xr:uid="{00000000-0005-0000-0000-0000F1320000}"/>
    <cellStyle name="Comma 4 6 2" xfId="13039" xr:uid="{00000000-0005-0000-0000-0000F2320000}"/>
    <cellStyle name="Comma 4 6 2 2" xfId="13040" xr:uid="{00000000-0005-0000-0000-0000F3320000}"/>
    <cellStyle name="Comma 4 6 2 2 2" xfId="13041" xr:uid="{00000000-0005-0000-0000-0000F4320000}"/>
    <cellStyle name="Comma 4 6 2 2 2 2" xfId="13042" xr:uid="{00000000-0005-0000-0000-0000F5320000}"/>
    <cellStyle name="Comma 4 6 2 2 2 2 2" xfId="13043" xr:uid="{00000000-0005-0000-0000-0000F6320000}"/>
    <cellStyle name="Comma 4 6 2 2 2 2 2 2" xfId="13044" xr:uid="{00000000-0005-0000-0000-0000F7320000}"/>
    <cellStyle name="Comma 4 6 2 2 2 2 3" xfId="13045" xr:uid="{00000000-0005-0000-0000-0000F8320000}"/>
    <cellStyle name="Comma 4 6 2 2 2 3" xfId="13046" xr:uid="{00000000-0005-0000-0000-0000F9320000}"/>
    <cellStyle name="Comma 4 6 2 2 2 3 2" xfId="13047" xr:uid="{00000000-0005-0000-0000-0000FA320000}"/>
    <cellStyle name="Comma 4 6 2 2 2 4" xfId="13048" xr:uid="{00000000-0005-0000-0000-0000FB320000}"/>
    <cellStyle name="Comma 4 6 2 2 2 4 2" xfId="13049" xr:uid="{00000000-0005-0000-0000-0000FC320000}"/>
    <cellStyle name="Comma 4 6 2 2 2 5" xfId="13050" xr:uid="{00000000-0005-0000-0000-0000FD320000}"/>
    <cellStyle name="Comma 4 6 2 2 3" xfId="13051" xr:uid="{00000000-0005-0000-0000-0000FE320000}"/>
    <cellStyle name="Comma 4 6 2 2 3 2" xfId="13052" xr:uid="{00000000-0005-0000-0000-0000FF320000}"/>
    <cellStyle name="Comma 4 6 2 2 3 2 2" xfId="13053" xr:uid="{00000000-0005-0000-0000-000000330000}"/>
    <cellStyle name="Comma 4 6 2 2 3 3" xfId="13054" xr:uid="{00000000-0005-0000-0000-000001330000}"/>
    <cellStyle name="Comma 4 6 2 2 4" xfId="13055" xr:uid="{00000000-0005-0000-0000-000002330000}"/>
    <cellStyle name="Comma 4 6 2 2 4 2" xfId="13056" xr:uid="{00000000-0005-0000-0000-000003330000}"/>
    <cellStyle name="Comma 4 6 2 2 5" xfId="13057" xr:uid="{00000000-0005-0000-0000-000004330000}"/>
    <cellStyle name="Comma 4 6 2 2 5 2" xfId="13058" xr:uid="{00000000-0005-0000-0000-000005330000}"/>
    <cellStyle name="Comma 4 6 2 2 6" xfId="13059" xr:uid="{00000000-0005-0000-0000-000006330000}"/>
    <cellStyle name="Comma 4 6 2 3" xfId="13060" xr:uid="{00000000-0005-0000-0000-000007330000}"/>
    <cellStyle name="Comma 4 6 2 3 2" xfId="13061" xr:uid="{00000000-0005-0000-0000-000008330000}"/>
    <cellStyle name="Comma 4 6 2 3 2 2" xfId="13062" xr:uid="{00000000-0005-0000-0000-000009330000}"/>
    <cellStyle name="Comma 4 6 2 3 2 2 2" xfId="13063" xr:uid="{00000000-0005-0000-0000-00000A330000}"/>
    <cellStyle name="Comma 4 6 2 3 2 3" xfId="13064" xr:uid="{00000000-0005-0000-0000-00000B330000}"/>
    <cellStyle name="Comma 4 6 2 3 3" xfId="13065" xr:uid="{00000000-0005-0000-0000-00000C330000}"/>
    <cellStyle name="Comma 4 6 2 3 3 2" xfId="13066" xr:uid="{00000000-0005-0000-0000-00000D330000}"/>
    <cellStyle name="Comma 4 6 2 3 4" xfId="13067" xr:uid="{00000000-0005-0000-0000-00000E330000}"/>
    <cellStyle name="Comma 4 6 2 3 4 2" xfId="13068" xr:uid="{00000000-0005-0000-0000-00000F330000}"/>
    <cellStyle name="Comma 4 6 2 3 5" xfId="13069" xr:uid="{00000000-0005-0000-0000-000010330000}"/>
    <cellStyle name="Comma 4 6 2 4" xfId="13070" xr:uid="{00000000-0005-0000-0000-000011330000}"/>
    <cellStyle name="Comma 4 6 2 4 2" xfId="13071" xr:uid="{00000000-0005-0000-0000-000012330000}"/>
    <cellStyle name="Comma 4 6 2 4 2 2" xfId="13072" xr:uid="{00000000-0005-0000-0000-000013330000}"/>
    <cellStyle name="Comma 4 6 2 4 3" xfId="13073" xr:uid="{00000000-0005-0000-0000-000014330000}"/>
    <cellStyle name="Comma 4 6 2 5" xfId="13074" xr:uid="{00000000-0005-0000-0000-000015330000}"/>
    <cellStyle name="Comma 4 6 2 5 2" xfId="13075" xr:uid="{00000000-0005-0000-0000-000016330000}"/>
    <cellStyle name="Comma 4 6 2 6" xfId="13076" xr:uid="{00000000-0005-0000-0000-000017330000}"/>
    <cellStyle name="Comma 4 6 2 6 2" xfId="13077" xr:uid="{00000000-0005-0000-0000-000018330000}"/>
    <cellStyle name="Comma 4 6 2 7" xfId="13078" xr:uid="{00000000-0005-0000-0000-000019330000}"/>
    <cellStyle name="Comma 4 6 3" xfId="13079" xr:uid="{00000000-0005-0000-0000-00001A330000}"/>
    <cellStyle name="Comma 4 6 3 2" xfId="13080" xr:uid="{00000000-0005-0000-0000-00001B330000}"/>
    <cellStyle name="Comma 4 6 3 2 2" xfId="13081" xr:uid="{00000000-0005-0000-0000-00001C330000}"/>
    <cellStyle name="Comma 4 6 3 2 2 2" xfId="13082" xr:uid="{00000000-0005-0000-0000-00001D330000}"/>
    <cellStyle name="Comma 4 6 3 2 2 2 2" xfId="13083" xr:uid="{00000000-0005-0000-0000-00001E330000}"/>
    <cellStyle name="Comma 4 6 3 2 2 2 2 2" xfId="13084" xr:uid="{00000000-0005-0000-0000-00001F330000}"/>
    <cellStyle name="Comma 4 6 3 2 2 2 3" xfId="13085" xr:uid="{00000000-0005-0000-0000-000020330000}"/>
    <cellStyle name="Comma 4 6 3 2 2 3" xfId="13086" xr:uid="{00000000-0005-0000-0000-000021330000}"/>
    <cellStyle name="Comma 4 6 3 2 2 3 2" xfId="13087" xr:uid="{00000000-0005-0000-0000-000022330000}"/>
    <cellStyle name="Comma 4 6 3 2 2 4" xfId="13088" xr:uid="{00000000-0005-0000-0000-000023330000}"/>
    <cellStyle name="Comma 4 6 3 2 2 4 2" xfId="13089" xr:uid="{00000000-0005-0000-0000-000024330000}"/>
    <cellStyle name="Comma 4 6 3 2 2 5" xfId="13090" xr:uid="{00000000-0005-0000-0000-000025330000}"/>
    <cellStyle name="Comma 4 6 3 2 3" xfId="13091" xr:uid="{00000000-0005-0000-0000-000026330000}"/>
    <cellStyle name="Comma 4 6 3 2 3 2" xfId="13092" xr:uid="{00000000-0005-0000-0000-000027330000}"/>
    <cellStyle name="Comma 4 6 3 2 3 2 2" xfId="13093" xr:uid="{00000000-0005-0000-0000-000028330000}"/>
    <cellStyle name="Comma 4 6 3 2 3 3" xfId="13094" xr:uid="{00000000-0005-0000-0000-000029330000}"/>
    <cellStyle name="Comma 4 6 3 2 4" xfId="13095" xr:uid="{00000000-0005-0000-0000-00002A330000}"/>
    <cellStyle name="Comma 4 6 3 2 4 2" xfId="13096" xr:uid="{00000000-0005-0000-0000-00002B330000}"/>
    <cellStyle name="Comma 4 6 3 2 5" xfId="13097" xr:uid="{00000000-0005-0000-0000-00002C330000}"/>
    <cellStyle name="Comma 4 6 3 2 5 2" xfId="13098" xr:uid="{00000000-0005-0000-0000-00002D330000}"/>
    <cellStyle name="Comma 4 6 3 2 6" xfId="13099" xr:uid="{00000000-0005-0000-0000-00002E330000}"/>
    <cellStyle name="Comma 4 6 3 3" xfId="13100" xr:uid="{00000000-0005-0000-0000-00002F330000}"/>
    <cellStyle name="Comma 4 6 3 3 2" xfId="13101" xr:uid="{00000000-0005-0000-0000-000030330000}"/>
    <cellStyle name="Comma 4 6 3 3 2 2" xfId="13102" xr:uid="{00000000-0005-0000-0000-000031330000}"/>
    <cellStyle name="Comma 4 6 3 3 2 2 2" xfId="13103" xr:uid="{00000000-0005-0000-0000-000032330000}"/>
    <cellStyle name="Comma 4 6 3 3 2 3" xfId="13104" xr:uid="{00000000-0005-0000-0000-000033330000}"/>
    <cellStyle name="Comma 4 6 3 3 3" xfId="13105" xr:uid="{00000000-0005-0000-0000-000034330000}"/>
    <cellStyle name="Comma 4 6 3 3 3 2" xfId="13106" xr:uid="{00000000-0005-0000-0000-000035330000}"/>
    <cellStyle name="Comma 4 6 3 3 4" xfId="13107" xr:uid="{00000000-0005-0000-0000-000036330000}"/>
    <cellStyle name="Comma 4 6 3 3 4 2" xfId="13108" xr:uid="{00000000-0005-0000-0000-000037330000}"/>
    <cellStyle name="Comma 4 6 3 3 5" xfId="13109" xr:uid="{00000000-0005-0000-0000-000038330000}"/>
    <cellStyle name="Comma 4 6 3 4" xfId="13110" xr:uid="{00000000-0005-0000-0000-000039330000}"/>
    <cellStyle name="Comma 4 6 3 4 2" xfId="13111" xr:uid="{00000000-0005-0000-0000-00003A330000}"/>
    <cellStyle name="Comma 4 6 3 4 2 2" xfId="13112" xr:uid="{00000000-0005-0000-0000-00003B330000}"/>
    <cellStyle name="Comma 4 6 3 4 3" xfId="13113" xr:uid="{00000000-0005-0000-0000-00003C330000}"/>
    <cellStyle name="Comma 4 6 3 5" xfId="13114" xr:uid="{00000000-0005-0000-0000-00003D330000}"/>
    <cellStyle name="Comma 4 6 3 5 2" xfId="13115" xr:uid="{00000000-0005-0000-0000-00003E330000}"/>
    <cellStyle name="Comma 4 6 3 6" xfId="13116" xr:uid="{00000000-0005-0000-0000-00003F330000}"/>
    <cellStyle name="Comma 4 6 3 6 2" xfId="13117" xr:uid="{00000000-0005-0000-0000-000040330000}"/>
    <cellStyle name="Comma 4 6 3 7" xfId="13118" xr:uid="{00000000-0005-0000-0000-000041330000}"/>
    <cellStyle name="Comma 4 6 4" xfId="13119" xr:uid="{00000000-0005-0000-0000-000042330000}"/>
    <cellStyle name="Comma 4 6 4 2" xfId="13120" xr:uid="{00000000-0005-0000-0000-000043330000}"/>
    <cellStyle name="Comma 4 6 4 2 2" xfId="13121" xr:uid="{00000000-0005-0000-0000-000044330000}"/>
    <cellStyle name="Comma 4 6 4 2 2 2" xfId="13122" xr:uid="{00000000-0005-0000-0000-000045330000}"/>
    <cellStyle name="Comma 4 6 4 2 2 2 2" xfId="13123" xr:uid="{00000000-0005-0000-0000-000046330000}"/>
    <cellStyle name="Comma 4 6 4 2 2 3" xfId="13124" xr:uid="{00000000-0005-0000-0000-000047330000}"/>
    <cellStyle name="Comma 4 6 4 2 3" xfId="13125" xr:uid="{00000000-0005-0000-0000-000048330000}"/>
    <cellStyle name="Comma 4 6 4 2 3 2" xfId="13126" xr:uid="{00000000-0005-0000-0000-000049330000}"/>
    <cellStyle name="Comma 4 6 4 2 4" xfId="13127" xr:uid="{00000000-0005-0000-0000-00004A330000}"/>
    <cellStyle name="Comma 4 6 4 2 4 2" xfId="13128" xr:uid="{00000000-0005-0000-0000-00004B330000}"/>
    <cellStyle name="Comma 4 6 4 2 5" xfId="13129" xr:uid="{00000000-0005-0000-0000-00004C330000}"/>
    <cellStyle name="Comma 4 6 4 3" xfId="13130" xr:uid="{00000000-0005-0000-0000-00004D330000}"/>
    <cellStyle name="Comma 4 6 4 3 2" xfId="13131" xr:uid="{00000000-0005-0000-0000-00004E330000}"/>
    <cellStyle name="Comma 4 6 4 3 2 2" xfId="13132" xr:uid="{00000000-0005-0000-0000-00004F330000}"/>
    <cellStyle name="Comma 4 6 4 3 3" xfId="13133" xr:uid="{00000000-0005-0000-0000-000050330000}"/>
    <cellStyle name="Comma 4 6 4 4" xfId="13134" xr:uid="{00000000-0005-0000-0000-000051330000}"/>
    <cellStyle name="Comma 4 6 4 4 2" xfId="13135" xr:uid="{00000000-0005-0000-0000-000052330000}"/>
    <cellStyle name="Comma 4 6 4 5" xfId="13136" xr:uid="{00000000-0005-0000-0000-000053330000}"/>
    <cellStyle name="Comma 4 6 4 5 2" xfId="13137" xr:uid="{00000000-0005-0000-0000-000054330000}"/>
    <cellStyle name="Comma 4 6 4 6" xfId="13138" xr:uid="{00000000-0005-0000-0000-000055330000}"/>
    <cellStyle name="Comma 4 6 5" xfId="13139" xr:uid="{00000000-0005-0000-0000-000056330000}"/>
    <cellStyle name="Comma 4 6 5 2" xfId="13140" xr:uid="{00000000-0005-0000-0000-000057330000}"/>
    <cellStyle name="Comma 4 6 5 2 2" xfId="13141" xr:uid="{00000000-0005-0000-0000-000058330000}"/>
    <cellStyle name="Comma 4 6 5 2 2 2" xfId="13142" xr:uid="{00000000-0005-0000-0000-000059330000}"/>
    <cellStyle name="Comma 4 6 5 2 3" xfId="13143" xr:uid="{00000000-0005-0000-0000-00005A330000}"/>
    <cellStyle name="Comma 4 6 5 3" xfId="13144" xr:uid="{00000000-0005-0000-0000-00005B330000}"/>
    <cellStyle name="Comma 4 6 5 3 2" xfId="13145" xr:uid="{00000000-0005-0000-0000-00005C330000}"/>
    <cellStyle name="Comma 4 6 5 4" xfId="13146" xr:uid="{00000000-0005-0000-0000-00005D330000}"/>
    <cellStyle name="Comma 4 6 5 4 2" xfId="13147" xr:uid="{00000000-0005-0000-0000-00005E330000}"/>
    <cellStyle name="Comma 4 6 5 5" xfId="13148" xr:uid="{00000000-0005-0000-0000-00005F330000}"/>
    <cellStyle name="Comma 4 6 6" xfId="13149" xr:uid="{00000000-0005-0000-0000-000060330000}"/>
    <cellStyle name="Comma 4 6 6 2" xfId="13150" xr:uid="{00000000-0005-0000-0000-000061330000}"/>
    <cellStyle name="Comma 4 6 6 2 2" xfId="13151" xr:uid="{00000000-0005-0000-0000-000062330000}"/>
    <cellStyle name="Comma 4 6 6 3" xfId="13152" xr:uid="{00000000-0005-0000-0000-000063330000}"/>
    <cellStyle name="Comma 4 6 7" xfId="13153" xr:uid="{00000000-0005-0000-0000-000064330000}"/>
    <cellStyle name="Comma 4 6 7 2" xfId="13154" xr:uid="{00000000-0005-0000-0000-000065330000}"/>
    <cellStyle name="Comma 4 6 8" xfId="13155" xr:uid="{00000000-0005-0000-0000-000066330000}"/>
    <cellStyle name="Comma 4 6 8 2" xfId="13156" xr:uid="{00000000-0005-0000-0000-000067330000}"/>
    <cellStyle name="Comma 4 6 9" xfId="13157" xr:uid="{00000000-0005-0000-0000-000068330000}"/>
    <cellStyle name="Comma 4 7" xfId="13158" xr:uid="{00000000-0005-0000-0000-000069330000}"/>
    <cellStyle name="Comma 4 7 2" xfId="13159" xr:uid="{00000000-0005-0000-0000-00006A330000}"/>
    <cellStyle name="Comma 4 7 2 2" xfId="13160" xr:uid="{00000000-0005-0000-0000-00006B330000}"/>
    <cellStyle name="Comma 4 7 2 2 2" xfId="13161" xr:uid="{00000000-0005-0000-0000-00006C330000}"/>
    <cellStyle name="Comma 4 7 2 2 2 2" xfId="13162" xr:uid="{00000000-0005-0000-0000-00006D330000}"/>
    <cellStyle name="Comma 4 7 2 2 2 2 2" xfId="13163" xr:uid="{00000000-0005-0000-0000-00006E330000}"/>
    <cellStyle name="Comma 4 7 2 2 2 2 2 2" xfId="13164" xr:uid="{00000000-0005-0000-0000-00006F330000}"/>
    <cellStyle name="Comma 4 7 2 2 2 2 3" xfId="13165" xr:uid="{00000000-0005-0000-0000-000070330000}"/>
    <cellStyle name="Comma 4 7 2 2 2 3" xfId="13166" xr:uid="{00000000-0005-0000-0000-000071330000}"/>
    <cellStyle name="Comma 4 7 2 2 2 3 2" xfId="13167" xr:uid="{00000000-0005-0000-0000-000072330000}"/>
    <cellStyle name="Comma 4 7 2 2 2 4" xfId="13168" xr:uid="{00000000-0005-0000-0000-000073330000}"/>
    <cellStyle name="Comma 4 7 2 2 2 4 2" xfId="13169" xr:uid="{00000000-0005-0000-0000-000074330000}"/>
    <cellStyle name="Comma 4 7 2 2 2 5" xfId="13170" xr:uid="{00000000-0005-0000-0000-000075330000}"/>
    <cellStyle name="Comma 4 7 2 2 3" xfId="13171" xr:uid="{00000000-0005-0000-0000-000076330000}"/>
    <cellStyle name="Comma 4 7 2 2 3 2" xfId="13172" xr:uid="{00000000-0005-0000-0000-000077330000}"/>
    <cellStyle name="Comma 4 7 2 2 3 2 2" xfId="13173" xr:uid="{00000000-0005-0000-0000-000078330000}"/>
    <cellStyle name="Comma 4 7 2 2 3 3" xfId="13174" xr:uid="{00000000-0005-0000-0000-000079330000}"/>
    <cellStyle name="Comma 4 7 2 2 4" xfId="13175" xr:uid="{00000000-0005-0000-0000-00007A330000}"/>
    <cellStyle name="Comma 4 7 2 2 4 2" xfId="13176" xr:uid="{00000000-0005-0000-0000-00007B330000}"/>
    <cellStyle name="Comma 4 7 2 2 5" xfId="13177" xr:uid="{00000000-0005-0000-0000-00007C330000}"/>
    <cellStyle name="Comma 4 7 2 2 5 2" xfId="13178" xr:uid="{00000000-0005-0000-0000-00007D330000}"/>
    <cellStyle name="Comma 4 7 2 2 6" xfId="13179" xr:uid="{00000000-0005-0000-0000-00007E330000}"/>
    <cellStyle name="Comma 4 7 2 3" xfId="13180" xr:uid="{00000000-0005-0000-0000-00007F330000}"/>
    <cellStyle name="Comma 4 7 2 3 2" xfId="13181" xr:uid="{00000000-0005-0000-0000-000080330000}"/>
    <cellStyle name="Comma 4 7 2 3 2 2" xfId="13182" xr:uid="{00000000-0005-0000-0000-000081330000}"/>
    <cellStyle name="Comma 4 7 2 3 2 2 2" xfId="13183" xr:uid="{00000000-0005-0000-0000-000082330000}"/>
    <cellStyle name="Comma 4 7 2 3 2 3" xfId="13184" xr:uid="{00000000-0005-0000-0000-000083330000}"/>
    <cellStyle name="Comma 4 7 2 3 3" xfId="13185" xr:uid="{00000000-0005-0000-0000-000084330000}"/>
    <cellStyle name="Comma 4 7 2 3 3 2" xfId="13186" xr:uid="{00000000-0005-0000-0000-000085330000}"/>
    <cellStyle name="Comma 4 7 2 3 4" xfId="13187" xr:uid="{00000000-0005-0000-0000-000086330000}"/>
    <cellStyle name="Comma 4 7 2 3 4 2" xfId="13188" xr:uid="{00000000-0005-0000-0000-000087330000}"/>
    <cellStyle name="Comma 4 7 2 3 5" xfId="13189" xr:uid="{00000000-0005-0000-0000-000088330000}"/>
    <cellStyle name="Comma 4 7 2 4" xfId="13190" xr:uid="{00000000-0005-0000-0000-000089330000}"/>
    <cellStyle name="Comma 4 7 2 4 2" xfId="13191" xr:uid="{00000000-0005-0000-0000-00008A330000}"/>
    <cellStyle name="Comma 4 7 2 4 2 2" xfId="13192" xr:uid="{00000000-0005-0000-0000-00008B330000}"/>
    <cellStyle name="Comma 4 7 2 4 3" xfId="13193" xr:uid="{00000000-0005-0000-0000-00008C330000}"/>
    <cellStyle name="Comma 4 7 2 5" xfId="13194" xr:uid="{00000000-0005-0000-0000-00008D330000}"/>
    <cellStyle name="Comma 4 7 2 5 2" xfId="13195" xr:uid="{00000000-0005-0000-0000-00008E330000}"/>
    <cellStyle name="Comma 4 7 2 6" xfId="13196" xr:uid="{00000000-0005-0000-0000-00008F330000}"/>
    <cellStyle name="Comma 4 7 2 6 2" xfId="13197" xr:uid="{00000000-0005-0000-0000-000090330000}"/>
    <cellStyle name="Comma 4 7 2 7" xfId="13198" xr:uid="{00000000-0005-0000-0000-000091330000}"/>
    <cellStyle name="Comma 4 7 3" xfId="13199" xr:uid="{00000000-0005-0000-0000-000092330000}"/>
    <cellStyle name="Comma 4 7 3 2" xfId="13200" xr:uid="{00000000-0005-0000-0000-000093330000}"/>
    <cellStyle name="Comma 4 7 3 2 2" xfId="13201" xr:uid="{00000000-0005-0000-0000-000094330000}"/>
    <cellStyle name="Comma 4 7 3 2 2 2" xfId="13202" xr:uid="{00000000-0005-0000-0000-000095330000}"/>
    <cellStyle name="Comma 4 7 3 2 2 2 2" xfId="13203" xr:uid="{00000000-0005-0000-0000-000096330000}"/>
    <cellStyle name="Comma 4 7 3 2 2 3" xfId="13204" xr:uid="{00000000-0005-0000-0000-000097330000}"/>
    <cellStyle name="Comma 4 7 3 2 3" xfId="13205" xr:uid="{00000000-0005-0000-0000-000098330000}"/>
    <cellStyle name="Comma 4 7 3 2 3 2" xfId="13206" xr:uid="{00000000-0005-0000-0000-000099330000}"/>
    <cellStyle name="Comma 4 7 3 2 4" xfId="13207" xr:uid="{00000000-0005-0000-0000-00009A330000}"/>
    <cellStyle name="Comma 4 7 3 2 4 2" xfId="13208" xr:uid="{00000000-0005-0000-0000-00009B330000}"/>
    <cellStyle name="Comma 4 7 3 2 5" xfId="13209" xr:uid="{00000000-0005-0000-0000-00009C330000}"/>
    <cellStyle name="Comma 4 7 3 3" xfId="13210" xr:uid="{00000000-0005-0000-0000-00009D330000}"/>
    <cellStyle name="Comma 4 7 3 3 2" xfId="13211" xr:uid="{00000000-0005-0000-0000-00009E330000}"/>
    <cellStyle name="Comma 4 7 3 3 2 2" xfId="13212" xr:uid="{00000000-0005-0000-0000-00009F330000}"/>
    <cellStyle name="Comma 4 7 3 3 3" xfId="13213" xr:uid="{00000000-0005-0000-0000-0000A0330000}"/>
    <cellStyle name="Comma 4 7 3 4" xfId="13214" xr:uid="{00000000-0005-0000-0000-0000A1330000}"/>
    <cellStyle name="Comma 4 7 3 4 2" xfId="13215" xr:uid="{00000000-0005-0000-0000-0000A2330000}"/>
    <cellStyle name="Comma 4 7 3 5" xfId="13216" xr:uid="{00000000-0005-0000-0000-0000A3330000}"/>
    <cellStyle name="Comma 4 7 3 5 2" xfId="13217" xr:uid="{00000000-0005-0000-0000-0000A4330000}"/>
    <cellStyle name="Comma 4 7 3 6" xfId="13218" xr:uid="{00000000-0005-0000-0000-0000A5330000}"/>
    <cellStyle name="Comma 4 7 4" xfId="13219" xr:uid="{00000000-0005-0000-0000-0000A6330000}"/>
    <cellStyle name="Comma 4 7 4 2" xfId="13220" xr:uid="{00000000-0005-0000-0000-0000A7330000}"/>
    <cellStyle name="Comma 4 7 4 2 2" xfId="13221" xr:uid="{00000000-0005-0000-0000-0000A8330000}"/>
    <cellStyle name="Comma 4 7 4 2 2 2" xfId="13222" xr:uid="{00000000-0005-0000-0000-0000A9330000}"/>
    <cellStyle name="Comma 4 7 4 2 3" xfId="13223" xr:uid="{00000000-0005-0000-0000-0000AA330000}"/>
    <cellStyle name="Comma 4 7 4 3" xfId="13224" xr:uid="{00000000-0005-0000-0000-0000AB330000}"/>
    <cellStyle name="Comma 4 7 4 3 2" xfId="13225" xr:uid="{00000000-0005-0000-0000-0000AC330000}"/>
    <cellStyle name="Comma 4 7 4 4" xfId="13226" xr:uid="{00000000-0005-0000-0000-0000AD330000}"/>
    <cellStyle name="Comma 4 7 4 4 2" xfId="13227" xr:uid="{00000000-0005-0000-0000-0000AE330000}"/>
    <cellStyle name="Comma 4 7 4 5" xfId="13228" xr:uid="{00000000-0005-0000-0000-0000AF330000}"/>
    <cellStyle name="Comma 4 7 5" xfId="13229" xr:uid="{00000000-0005-0000-0000-0000B0330000}"/>
    <cellStyle name="Comma 4 7 5 2" xfId="13230" xr:uid="{00000000-0005-0000-0000-0000B1330000}"/>
    <cellStyle name="Comma 4 7 5 2 2" xfId="13231" xr:uid="{00000000-0005-0000-0000-0000B2330000}"/>
    <cellStyle name="Comma 4 7 5 3" xfId="13232" xr:uid="{00000000-0005-0000-0000-0000B3330000}"/>
    <cellStyle name="Comma 4 7 6" xfId="13233" xr:uid="{00000000-0005-0000-0000-0000B4330000}"/>
    <cellStyle name="Comma 4 7 6 2" xfId="13234" xr:uid="{00000000-0005-0000-0000-0000B5330000}"/>
    <cellStyle name="Comma 4 7 7" xfId="13235" xr:uid="{00000000-0005-0000-0000-0000B6330000}"/>
    <cellStyle name="Comma 4 7 7 2" xfId="13236" xr:uid="{00000000-0005-0000-0000-0000B7330000}"/>
    <cellStyle name="Comma 4 7 8" xfId="13237" xr:uid="{00000000-0005-0000-0000-0000B8330000}"/>
    <cellStyle name="Comma 4 8" xfId="13238" xr:uid="{00000000-0005-0000-0000-0000B9330000}"/>
    <cellStyle name="Comma 4 8 2" xfId="13239" xr:uid="{00000000-0005-0000-0000-0000BA330000}"/>
    <cellStyle name="Comma 4 8 2 2" xfId="13240" xr:uid="{00000000-0005-0000-0000-0000BB330000}"/>
    <cellStyle name="Comma 4 8 2 2 2" xfId="13241" xr:uid="{00000000-0005-0000-0000-0000BC330000}"/>
    <cellStyle name="Comma 4 8 2 2 2 2" xfId="13242" xr:uid="{00000000-0005-0000-0000-0000BD330000}"/>
    <cellStyle name="Comma 4 8 2 2 2 2 2" xfId="13243" xr:uid="{00000000-0005-0000-0000-0000BE330000}"/>
    <cellStyle name="Comma 4 8 2 2 2 3" xfId="13244" xr:uid="{00000000-0005-0000-0000-0000BF330000}"/>
    <cellStyle name="Comma 4 8 2 2 3" xfId="13245" xr:uid="{00000000-0005-0000-0000-0000C0330000}"/>
    <cellStyle name="Comma 4 8 2 2 3 2" xfId="13246" xr:uid="{00000000-0005-0000-0000-0000C1330000}"/>
    <cellStyle name="Comma 4 8 2 2 4" xfId="13247" xr:uid="{00000000-0005-0000-0000-0000C2330000}"/>
    <cellStyle name="Comma 4 8 2 2 4 2" xfId="13248" xr:uid="{00000000-0005-0000-0000-0000C3330000}"/>
    <cellStyle name="Comma 4 8 2 2 5" xfId="13249" xr:uid="{00000000-0005-0000-0000-0000C4330000}"/>
    <cellStyle name="Comma 4 8 2 3" xfId="13250" xr:uid="{00000000-0005-0000-0000-0000C5330000}"/>
    <cellStyle name="Comma 4 8 2 3 2" xfId="13251" xr:uid="{00000000-0005-0000-0000-0000C6330000}"/>
    <cellStyle name="Comma 4 8 2 3 2 2" xfId="13252" xr:uid="{00000000-0005-0000-0000-0000C7330000}"/>
    <cellStyle name="Comma 4 8 2 3 3" xfId="13253" xr:uid="{00000000-0005-0000-0000-0000C8330000}"/>
    <cellStyle name="Comma 4 8 2 4" xfId="13254" xr:uid="{00000000-0005-0000-0000-0000C9330000}"/>
    <cellStyle name="Comma 4 8 2 4 2" xfId="13255" xr:uid="{00000000-0005-0000-0000-0000CA330000}"/>
    <cellStyle name="Comma 4 8 2 5" xfId="13256" xr:uid="{00000000-0005-0000-0000-0000CB330000}"/>
    <cellStyle name="Comma 4 8 2 5 2" xfId="13257" xr:uid="{00000000-0005-0000-0000-0000CC330000}"/>
    <cellStyle name="Comma 4 8 2 6" xfId="13258" xr:uid="{00000000-0005-0000-0000-0000CD330000}"/>
    <cellStyle name="Comma 4 8 3" xfId="13259" xr:uid="{00000000-0005-0000-0000-0000CE330000}"/>
    <cellStyle name="Comma 4 8 3 2" xfId="13260" xr:uid="{00000000-0005-0000-0000-0000CF330000}"/>
    <cellStyle name="Comma 4 8 3 2 2" xfId="13261" xr:uid="{00000000-0005-0000-0000-0000D0330000}"/>
    <cellStyle name="Comma 4 8 3 2 2 2" xfId="13262" xr:uid="{00000000-0005-0000-0000-0000D1330000}"/>
    <cellStyle name="Comma 4 8 3 2 3" xfId="13263" xr:uid="{00000000-0005-0000-0000-0000D2330000}"/>
    <cellStyle name="Comma 4 8 3 3" xfId="13264" xr:uid="{00000000-0005-0000-0000-0000D3330000}"/>
    <cellStyle name="Comma 4 8 3 3 2" xfId="13265" xr:uid="{00000000-0005-0000-0000-0000D4330000}"/>
    <cellStyle name="Comma 4 8 3 4" xfId="13266" xr:uid="{00000000-0005-0000-0000-0000D5330000}"/>
    <cellStyle name="Comma 4 8 3 4 2" xfId="13267" xr:uid="{00000000-0005-0000-0000-0000D6330000}"/>
    <cellStyle name="Comma 4 8 3 5" xfId="13268" xr:uid="{00000000-0005-0000-0000-0000D7330000}"/>
    <cellStyle name="Comma 4 8 4" xfId="13269" xr:uid="{00000000-0005-0000-0000-0000D8330000}"/>
    <cellStyle name="Comma 4 8 4 2" xfId="13270" xr:uid="{00000000-0005-0000-0000-0000D9330000}"/>
    <cellStyle name="Comma 4 8 4 2 2" xfId="13271" xr:uid="{00000000-0005-0000-0000-0000DA330000}"/>
    <cellStyle name="Comma 4 8 4 3" xfId="13272" xr:uid="{00000000-0005-0000-0000-0000DB330000}"/>
    <cellStyle name="Comma 4 8 5" xfId="13273" xr:uid="{00000000-0005-0000-0000-0000DC330000}"/>
    <cellStyle name="Comma 4 8 5 2" xfId="13274" xr:uid="{00000000-0005-0000-0000-0000DD330000}"/>
    <cellStyle name="Comma 4 8 6" xfId="13275" xr:uid="{00000000-0005-0000-0000-0000DE330000}"/>
    <cellStyle name="Comma 4 8 6 2" xfId="13276" xr:uid="{00000000-0005-0000-0000-0000DF330000}"/>
    <cellStyle name="Comma 4 8 7" xfId="13277" xr:uid="{00000000-0005-0000-0000-0000E0330000}"/>
    <cellStyle name="Comma 4 9" xfId="13278" xr:uid="{00000000-0005-0000-0000-0000E1330000}"/>
    <cellStyle name="Comma 4 9 2" xfId="13279" xr:uid="{00000000-0005-0000-0000-0000E2330000}"/>
    <cellStyle name="Comma 4 9 2 2" xfId="13280" xr:uid="{00000000-0005-0000-0000-0000E3330000}"/>
    <cellStyle name="Comma 4 9 2 2 2" xfId="13281" xr:uid="{00000000-0005-0000-0000-0000E4330000}"/>
    <cellStyle name="Comma 4 9 2 2 2 2" xfId="13282" xr:uid="{00000000-0005-0000-0000-0000E5330000}"/>
    <cellStyle name="Comma 4 9 2 2 2 2 2" xfId="13283" xr:uid="{00000000-0005-0000-0000-0000E6330000}"/>
    <cellStyle name="Comma 4 9 2 2 2 3" xfId="13284" xr:uid="{00000000-0005-0000-0000-0000E7330000}"/>
    <cellStyle name="Comma 4 9 2 2 3" xfId="13285" xr:uid="{00000000-0005-0000-0000-0000E8330000}"/>
    <cellStyle name="Comma 4 9 2 2 3 2" xfId="13286" xr:uid="{00000000-0005-0000-0000-0000E9330000}"/>
    <cellStyle name="Comma 4 9 2 2 4" xfId="13287" xr:uid="{00000000-0005-0000-0000-0000EA330000}"/>
    <cellStyle name="Comma 4 9 2 2 4 2" xfId="13288" xr:uid="{00000000-0005-0000-0000-0000EB330000}"/>
    <cellStyle name="Comma 4 9 2 2 5" xfId="13289" xr:uid="{00000000-0005-0000-0000-0000EC330000}"/>
    <cellStyle name="Comma 4 9 2 3" xfId="13290" xr:uid="{00000000-0005-0000-0000-0000ED330000}"/>
    <cellStyle name="Comma 4 9 2 3 2" xfId="13291" xr:uid="{00000000-0005-0000-0000-0000EE330000}"/>
    <cellStyle name="Comma 4 9 2 3 2 2" xfId="13292" xr:uid="{00000000-0005-0000-0000-0000EF330000}"/>
    <cellStyle name="Comma 4 9 2 3 3" xfId="13293" xr:uid="{00000000-0005-0000-0000-0000F0330000}"/>
    <cellStyle name="Comma 4 9 2 4" xfId="13294" xr:uid="{00000000-0005-0000-0000-0000F1330000}"/>
    <cellStyle name="Comma 4 9 2 4 2" xfId="13295" xr:uid="{00000000-0005-0000-0000-0000F2330000}"/>
    <cellStyle name="Comma 4 9 2 5" xfId="13296" xr:uid="{00000000-0005-0000-0000-0000F3330000}"/>
    <cellStyle name="Comma 4 9 2 5 2" xfId="13297" xr:uid="{00000000-0005-0000-0000-0000F4330000}"/>
    <cellStyle name="Comma 4 9 2 6" xfId="13298" xr:uid="{00000000-0005-0000-0000-0000F5330000}"/>
    <cellStyle name="Comma 4 9 3" xfId="13299" xr:uid="{00000000-0005-0000-0000-0000F6330000}"/>
    <cellStyle name="Comma 4 9 3 2" xfId="13300" xr:uid="{00000000-0005-0000-0000-0000F7330000}"/>
    <cellStyle name="Comma 4 9 3 2 2" xfId="13301" xr:uid="{00000000-0005-0000-0000-0000F8330000}"/>
    <cellStyle name="Comma 4 9 3 2 2 2" xfId="13302" xr:uid="{00000000-0005-0000-0000-0000F9330000}"/>
    <cellStyle name="Comma 4 9 3 2 3" xfId="13303" xr:uid="{00000000-0005-0000-0000-0000FA330000}"/>
    <cellStyle name="Comma 4 9 3 3" xfId="13304" xr:uid="{00000000-0005-0000-0000-0000FB330000}"/>
    <cellStyle name="Comma 4 9 3 3 2" xfId="13305" xr:uid="{00000000-0005-0000-0000-0000FC330000}"/>
    <cellStyle name="Comma 4 9 3 4" xfId="13306" xr:uid="{00000000-0005-0000-0000-0000FD330000}"/>
    <cellStyle name="Comma 4 9 3 4 2" xfId="13307" xr:uid="{00000000-0005-0000-0000-0000FE330000}"/>
    <cellStyle name="Comma 4 9 3 5" xfId="13308" xr:uid="{00000000-0005-0000-0000-0000FF330000}"/>
    <cellStyle name="Comma 4 9 4" xfId="13309" xr:uid="{00000000-0005-0000-0000-000000340000}"/>
    <cellStyle name="Comma 4 9 4 2" xfId="13310" xr:uid="{00000000-0005-0000-0000-000001340000}"/>
    <cellStyle name="Comma 4 9 4 2 2" xfId="13311" xr:uid="{00000000-0005-0000-0000-000002340000}"/>
    <cellStyle name="Comma 4 9 4 3" xfId="13312" xr:uid="{00000000-0005-0000-0000-000003340000}"/>
    <cellStyle name="Comma 4 9 5" xfId="13313" xr:uid="{00000000-0005-0000-0000-000004340000}"/>
    <cellStyle name="Comma 4 9 5 2" xfId="13314" xr:uid="{00000000-0005-0000-0000-000005340000}"/>
    <cellStyle name="Comma 4 9 6" xfId="13315" xr:uid="{00000000-0005-0000-0000-000006340000}"/>
    <cellStyle name="Comma 4 9 6 2" xfId="13316" xr:uid="{00000000-0005-0000-0000-000007340000}"/>
    <cellStyle name="Comma 4 9 7" xfId="13317" xr:uid="{00000000-0005-0000-0000-000008340000}"/>
    <cellStyle name="Comma 5" xfId="13318" xr:uid="{00000000-0005-0000-0000-000009340000}"/>
    <cellStyle name="Comma 5 10" xfId="13319" xr:uid="{00000000-0005-0000-0000-00000A340000}"/>
    <cellStyle name="Comma 5 10 2" xfId="13320" xr:uid="{00000000-0005-0000-0000-00000B340000}"/>
    <cellStyle name="Comma 5 10 2 2" xfId="13321" xr:uid="{00000000-0005-0000-0000-00000C340000}"/>
    <cellStyle name="Comma 5 10 3" xfId="13322" xr:uid="{00000000-0005-0000-0000-00000D340000}"/>
    <cellStyle name="Comma 5 10 3 2" xfId="13323" xr:uid="{00000000-0005-0000-0000-00000E340000}"/>
    <cellStyle name="Comma 5 10 4" xfId="13324" xr:uid="{00000000-0005-0000-0000-00000F340000}"/>
    <cellStyle name="Comma 5 11" xfId="13325" xr:uid="{00000000-0005-0000-0000-000010340000}"/>
    <cellStyle name="Comma 5 11 2" xfId="13326" xr:uid="{00000000-0005-0000-0000-000011340000}"/>
    <cellStyle name="Comma 5 12" xfId="13327" xr:uid="{00000000-0005-0000-0000-000012340000}"/>
    <cellStyle name="Comma 5 12 2" xfId="13328" xr:uid="{00000000-0005-0000-0000-000013340000}"/>
    <cellStyle name="Comma 5 13" xfId="13329" xr:uid="{00000000-0005-0000-0000-000014340000}"/>
    <cellStyle name="Comma 5 13 2" xfId="13330" xr:uid="{00000000-0005-0000-0000-000015340000}"/>
    <cellStyle name="Comma 5 14" xfId="13331" xr:uid="{00000000-0005-0000-0000-000016340000}"/>
    <cellStyle name="Comma 5 2" xfId="13332" xr:uid="{00000000-0005-0000-0000-000017340000}"/>
    <cellStyle name="Comma 5 2 10" xfId="13333" xr:uid="{00000000-0005-0000-0000-000018340000}"/>
    <cellStyle name="Comma 5 2 10 2" xfId="13334" xr:uid="{00000000-0005-0000-0000-000019340000}"/>
    <cellStyle name="Comma 5 2 11" xfId="13335" xr:uid="{00000000-0005-0000-0000-00001A340000}"/>
    <cellStyle name="Comma 5 2 11 2" xfId="13336" xr:uid="{00000000-0005-0000-0000-00001B340000}"/>
    <cellStyle name="Comma 5 2 12" xfId="13337" xr:uid="{00000000-0005-0000-0000-00001C340000}"/>
    <cellStyle name="Comma 5 2 2" xfId="13338" xr:uid="{00000000-0005-0000-0000-00001D340000}"/>
    <cellStyle name="Comma 5 2 2 2" xfId="13339" xr:uid="{00000000-0005-0000-0000-00001E340000}"/>
    <cellStyle name="Comma 5 2 2 2 2" xfId="13340" xr:uid="{00000000-0005-0000-0000-00001F340000}"/>
    <cellStyle name="Comma 5 2 2 2 2 2" xfId="13341" xr:uid="{00000000-0005-0000-0000-000020340000}"/>
    <cellStyle name="Comma 5 2 2 2 2 2 2" xfId="13342" xr:uid="{00000000-0005-0000-0000-000021340000}"/>
    <cellStyle name="Comma 5 2 2 2 2 2 2 2" xfId="13343" xr:uid="{00000000-0005-0000-0000-000022340000}"/>
    <cellStyle name="Comma 5 2 2 2 2 2 2 2 2" xfId="13344" xr:uid="{00000000-0005-0000-0000-000023340000}"/>
    <cellStyle name="Comma 5 2 2 2 2 2 2 3" xfId="13345" xr:uid="{00000000-0005-0000-0000-000024340000}"/>
    <cellStyle name="Comma 5 2 2 2 2 2 3" xfId="13346" xr:uid="{00000000-0005-0000-0000-000025340000}"/>
    <cellStyle name="Comma 5 2 2 2 2 2 3 2" xfId="13347" xr:uid="{00000000-0005-0000-0000-000026340000}"/>
    <cellStyle name="Comma 5 2 2 2 2 2 4" xfId="13348" xr:uid="{00000000-0005-0000-0000-000027340000}"/>
    <cellStyle name="Comma 5 2 2 2 2 2 4 2" xfId="13349" xr:uid="{00000000-0005-0000-0000-000028340000}"/>
    <cellStyle name="Comma 5 2 2 2 2 2 5" xfId="13350" xr:uid="{00000000-0005-0000-0000-000029340000}"/>
    <cellStyle name="Comma 5 2 2 2 2 3" xfId="13351" xr:uid="{00000000-0005-0000-0000-00002A340000}"/>
    <cellStyle name="Comma 5 2 2 2 2 3 2" xfId="13352" xr:uid="{00000000-0005-0000-0000-00002B340000}"/>
    <cellStyle name="Comma 5 2 2 2 2 3 2 2" xfId="13353" xr:uid="{00000000-0005-0000-0000-00002C340000}"/>
    <cellStyle name="Comma 5 2 2 2 2 3 3" xfId="13354" xr:uid="{00000000-0005-0000-0000-00002D340000}"/>
    <cellStyle name="Comma 5 2 2 2 2 4" xfId="13355" xr:uid="{00000000-0005-0000-0000-00002E340000}"/>
    <cellStyle name="Comma 5 2 2 2 2 4 2" xfId="13356" xr:uid="{00000000-0005-0000-0000-00002F340000}"/>
    <cellStyle name="Comma 5 2 2 2 2 5" xfId="13357" xr:uid="{00000000-0005-0000-0000-000030340000}"/>
    <cellStyle name="Comma 5 2 2 2 2 5 2" xfId="13358" xr:uid="{00000000-0005-0000-0000-000031340000}"/>
    <cellStyle name="Comma 5 2 2 2 2 6" xfId="13359" xr:uid="{00000000-0005-0000-0000-000032340000}"/>
    <cellStyle name="Comma 5 2 2 2 3" xfId="13360" xr:uid="{00000000-0005-0000-0000-000033340000}"/>
    <cellStyle name="Comma 5 2 2 2 3 2" xfId="13361" xr:uid="{00000000-0005-0000-0000-000034340000}"/>
    <cellStyle name="Comma 5 2 2 2 3 2 2" xfId="13362" xr:uid="{00000000-0005-0000-0000-000035340000}"/>
    <cellStyle name="Comma 5 2 2 2 3 2 2 2" xfId="13363" xr:uid="{00000000-0005-0000-0000-000036340000}"/>
    <cellStyle name="Comma 5 2 2 2 3 2 3" xfId="13364" xr:uid="{00000000-0005-0000-0000-000037340000}"/>
    <cellStyle name="Comma 5 2 2 2 3 3" xfId="13365" xr:uid="{00000000-0005-0000-0000-000038340000}"/>
    <cellStyle name="Comma 5 2 2 2 3 3 2" xfId="13366" xr:uid="{00000000-0005-0000-0000-000039340000}"/>
    <cellStyle name="Comma 5 2 2 2 3 4" xfId="13367" xr:uid="{00000000-0005-0000-0000-00003A340000}"/>
    <cellStyle name="Comma 5 2 2 2 3 4 2" xfId="13368" xr:uid="{00000000-0005-0000-0000-00003B340000}"/>
    <cellStyle name="Comma 5 2 2 2 3 5" xfId="13369" xr:uid="{00000000-0005-0000-0000-00003C340000}"/>
    <cellStyle name="Comma 5 2 2 2 4" xfId="13370" xr:uid="{00000000-0005-0000-0000-00003D340000}"/>
    <cellStyle name="Comma 5 2 2 2 4 2" xfId="13371" xr:uid="{00000000-0005-0000-0000-00003E340000}"/>
    <cellStyle name="Comma 5 2 2 2 4 2 2" xfId="13372" xr:uid="{00000000-0005-0000-0000-00003F340000}"/>
    <cellStyle name="Comma 5 2 2 2 4 3" xfId="13373" xr:uid="{00000000-0005-0000-0000-000040340000}"/>
    <cellStyle name="Comma 5 2 2 2 5" xfId="13374" xr:uid="{00000000-0005-0000-0000-000041340000}"/>
    <cellStyle name="Comma 5 2 2 2 5 2" xfId="13375" xr:uid="{00000000-0005-0000-0000-000042340000}"/>
    <cellStyle name="Comma 5 2 2 2 6" xfId="13376" xr:uid="{00000000-0005-0000-0000-000043340000}"/>
    <cellStyle name="Comma 5 2 2 2 6 2" xfId="13377" xr:uid="{00000000-0005-0000-0000-000044340000}"/>
    <cellStyle name="Comma 5 2 2 2 7" xfId="13378" xr:uid="{00000000-0005-0000-0000-000045340000}"/>
    <cellStyle name="Comma 5 2 2 3" xfId="13379" xr:uid="{00000000-0005-0000-0000-000046340000}"/>
    <cellStyle name="Comma 5 2 2 3 2" xfId="13380" xr:uid="{00000000-0005-0000-0000-000047340000}"/>
    <cellStyle name="Comma 5 2 2 3 2 2" xfId="13381" xr:uid="{00000000-0005-0000-0000-000048340000}"/>
    <cellStyle name="Comma 5 2 2 3 2 2 2" xfId="13382" xr:uid="{00000000-0005-0000-0000-000049340000}"/>
    <cellStyle name="Comma 5 2 2 3 2 2 2 2" xfId="13383" xr:uid="{00000000-0005-0000-0000-00004A340000}"/>
    <cellStyle name="Comma 5 2 2 3 2 2 2 2 2" xfId="13384" xr:uid="{00000000-0005-0000-0000-00004B340000}"/>
    <cellStyle name="Comma 5 2 2 3 2 2 2 3" xfId="13385" xr:uid="{00000000-0005-0000-0000-00004C340000}"/>
    <cellStyle name="Comma 5 2 2 3 2 2 3" xfId="13386" xr:uid="{00000000-0005-0000-0000-00004D340000}"/>
    <cellStyle name="Comma 5 2 2 3 2 2 3 2" xfId="13387" xr:uid="{00000000-0005-0000-0000-00004E340000}"/>
    <cellStyle name="Comma 5 2 2 3 2 2 4" xfId="13388" xr:uid="{00000000-0005-0000-0000-00004F340000}"/>
    <cellStyle name="Comma 5 2 2 3 2 2 4 2" xfId="13389" xr:uid="{00000000-0005-0000-0000-000050340000}"/>
    <cellStyle name="Comma 5 2 2 3 2 2 5" xfId="13390" xr:uid="{00000000-0005-0000-0000-000051340000}"/>
    <cellStyle name="Comma 5 2 2 3 2 3" xfId="13391" xr:uid="{00000000-0005-0000-0000-000052340000}"/>
    <cellStyle name="Comma 5 2 2 3 2 3 2" xfId="13392" xr:uid="{00000000-0005-0000-0000-000053340000}"/>
    <cellStyle name="Comma 5 2 2 3 2 3 2 2" xfId="13393" xr:uid="{00000000-0005-0000-0000-000054340000}"/>
    <cellStyle name="Comma 5 2 2 3 2 3 3" xfId="13394" xr:uid="{00000000-0005-0000-0000-000055340000}"/>
    <cellStyle name="Comma 5 2 2 3 2 4" xfId="13395" xr:uid="{00000000-0005-0000-0000-000056340000}"/>
    <cellStyle name="Comma 5 2 2 3 2 4 2" xfId="13396" xr:uid="{00000000-0005-0000-0000-000057340000}"/>
    <cellStyle name="Comma 5 2 2 3 2 5" xfId="13397" xr:uid="{00000000-0005-0000-0000-000058340000}"/>
    <cellStyle name="Comma 5 2 2 3 2 5 2" xfId="13398" xr:uid="{00000000-0005-0000-0000-000059340000}"/>
    <cellStyle name="Comma 5 2 2 3 2 6" xfId="13399" xr:uid="{00000000-0005-0000-0000-00005A340000}"/>
    <cellStyle name="Comma 5 2 2 3 3" xfId="13400" xr:uid="{00000000-0005-0000-0000-00005B340000}"/>
    <cellStyle name="Comma 5 2 2 3 3 2" xfId="13401" xr:uid="{00000000-0005-0000-0000-00005C340000}"/>
    <cellStyle name="Comma 5 2 2 3 3 2 2" xfId="13402" xr:uid="{00000000-0005-0000-0000-00005D340000}"/>
    <cellStyle name="Comma 5 2 2 3 3 2 2 2" xfId="13403" xr:uid="{00000000-0005-0000-0000-00005E340000}"/>
    <cellStyle name="Comma 5 2 2 3 3 2 3" xfId="13404" xr:uid="{00000000-0005-0000-0000-00005F340000}"/>
    <cellStyle name="Comma 5 2 2 3 3 3" xfId="13405" xr:uid="{00000000-0005-0000-0000-000060340000}"/>
    <cellStyle name="Comma 5 2 2 3 3 3 2" xfId="13406" xr:uid="{00000000-0005-0000-0000-000061340000}"/>
    <cellStyle name="Comma 5 2 2 3 3 4" xfId="13407" xr:uid="{00000000-0005-0000-0000-000062340000}"/>
    <cellStyle name="Comma 5 2 2 3 3 4 2" xfId="13408" xr:uid="{00000000-0005-0000-0000-000063340000}"/>
    <cellStyle name="Comma 5 2 2 3 3 5" xfId="13409" xr:uid="{00000000-0005-0000-0000-000064340000}"/>
    <cellStyle name="Comma 5 2 2 3 4" xfId="13410" xr:uid="{00000000-0005-0000-0000-000065340000}"/>
    <cellStyle name="Comma 5 2 2 3 4 2" xfId="13411" xr:uid="{00000000-0005-0000-0000-000066340000}"/>
    <cellStyle name="Comma 5 2 2 3 4 2 2" xfId="13412" xr:uid="{00000000-0005-0000-0000-000067340000}"/>
    <cellStyle name="Comma 5 2 2 3 4 3" xfId="13413" xr:uid="{00000000-0005-0000-0000-000068340000}"/>
    <cellStyle name="Comma 5 2 2 3 5" xfId="13414" xr:uid="{00000000-0005-0000-0000-000069340000}"/>
    <cellStyle name="Comma 5 2 2 3 5 2" xfId="13415" xr:uid="{00000000-0005-0000-0000-00006A340000}"/>
    <cellStyle name="Comma 5 2 2 3 6" xfId="13416" xr:uid="{00000000-0005-0000-0000-00006B340000}"/>
    <cellStyle name="Comma 5 2 2 3 6 2" xfId="13417" xr:uid="{00000000-0005-0000-0000-00006C340000}"/>
    <cellStyle name="Comma 5 2 2 3 7" xfId="13418" xr:uid="{00000000-0005-0000-0000-00006D340000}"/>
    <cellStyle name="Comma 5 2 2 4" xfId="13419" xr:uid="{00000000-0005-0000-0000-00006E340000}"/>
    <cellStyle name="Comma 5 2 2 4 2" xfId="13420" xr:uid="{00000000-0005-0000-0000-00006F340000}"/>
    <cellStyle name="Comma 5 2 2 4 2 2" xfId="13421" xr:uid="{00000000-0005-0000-0000-000070340000}"/>
    <cellStyle name="Comma 5 2 2 4 2 2 2" xfId="13422" xr:uid="{00000000-0005-0000-0000-000071340000}"/>
    <cellStyle name="Comma 5 2 2 4 2 2 2 2" xfId="13423" xr:uid="{00000000-0005-0000-0000-000072340000}"/>
    <cellStyle name="Comma 5 2 2 4 2 2 3" xfId="13424" xr:uid="{00000000-0005-0000-0000-000073340000}"/>
    <cellStyle name="Comma 5 2 2 4 2 3" xfId="13425" xr:uid="{00000000-0005-0000-0000-000074340000}"/>
    <cellStyle name="Comma 5 2 2 4 2 3 2" xfId="13426" xr:uid="{00000000-0005-0000-0000-000075340000}"/>
    <cellStyle name="Comma 5 2 2 4 2 4" xfId="13427" xr:uid="{00000000-0005-0000-0000-000076340000}"/>
    <cellStyle name="Comma 5 2 2 4 2 4 2" xfId="13428" xr:uid="{00000000-0005-0000-0000-000077340000}"/>
    <cellStyle name="Comma 5 2 2 4 2 5" xfId="13429" xr:uid="{00000000-0005-0000-0000-000078340000}"/>
    <cellStyle name="Comma 5 2 2 4 3" xfId="13430" xr:uid="{00000000-0005-0000-0000-000079340000}"/>
    <cellStyle name="Comma 5 2 2 4 3 2" xfId="13431" xr:uid="{00000000-0005-0000-0000-00007A340000}"/>
    <cellStyle name="Comma 5 2 2 4 3 2 2" xfId="13432" xr:uid="{00000000-0005-0000-0000-00007B340000}"/>
    <cellStyle name="Comma 5 2 2 4 3 3" xfId="13433" xr:uid="{00000000-0005-0000-0000-00007C340000}"/>
    <cellStyle name="Comma 5 2 2 4 4" xfId="13434" xr:uid="{00000000-0005-0000-0000-00007D340000}"/>
    <cellStyle name="Comma 5 2 2 4 4 2" xfId="13435" xr:uid="{00000000-0005-0000-0000-00007E340000}"/>
    <cellStyle name="Comma 5 2 2 4 5" xfId="13436" xr:uid="{00000000-0005-0000-0000-00007F340000}"/>
    <cellStyle name="Comma 5 2 2 4 5 2" xfId="13437" xr:uid="{00000000-0005-0000-0000-000080340000}"/>
    <cellStyle name="Comma 5 2 2 4 6" xfId="13438" xr:uid="{00000000-0005-0000-0000-000081340000}"/>
    <cellStyle name="Comma 5 2 2 5" xfId="13439" xr:uid="{00000000-0005-0000-0000-000082340000}"/>
    <cellStyle name="Comma 5 2 2 5 2" xfId="13440" xr:uid="{00000000-0005-0000-0000-000083340000}"/>
    <cellStyle name="Comma 5 2 2 5 2 2" xfId="13441" xr:uid="{00000000-0005-0000-0000-000084340000}"/>
    <cellStyle name="Comma 5 2 2 5 2 2 2" xfId="13442" xr:uid="{00000000-0005-0000-0000-000085340000}"/>
    <cellStyle name="Comma 5 2 2 5 2 3" xfId="13443" xr:uid="{00000000-0005-0000-0000-000086340000}"/>
    <cellStyle name="Comma 5 2 2 5 3" xfId="13444" xr:uid="{00000000-0005-0000-0000-000087340000}"/>
    <cellStyle name="Comma 5 2 2 5 3 2" xfId="13445" xr:uid="{00000000-0005-0000-0000-000088340000}"/>
    <cellStyle name="Comma 5 2 2 5 4" xfId="13446" xr:uid="{00000000-0005-0000-0000-000089340000}"/>
    <cellStyle name="Comma 5 2 2 5 4 2" xfId="13447" xr:uid="{00000000-0005-0000-0000-00008A340000}"/>
    <cellStyle name="Comma 5 2 2 5 5" xfId="13448" xr:uid="{00000000-0005-0000-0000-00008B340000}"/>
    <cellStyle name="Comma 5 2 2 6" xfId="13449" xr:uid="{00000000-0005-0000-0000-00008C340000}"/>
    <cellStyle name="Comma 5 2 2 6 2" xfId="13450" xr:uid="{00000000-0005-0000-0000-00008D340000}"/>
    <cellStyle name="Comma 5 2 2 6 2 2" xfId="13451" xr:uid="{00000000-0005-0000-0000-00008E340000}"/>
    <cellStyle name="Comma 5 2 2 6 3" xfId="13452" xr:uid="{00000000-0005-0000-0000-00008F340000}"/>
    <cellStyle name="Comma 5 2 2 7" xfId="13453" xr:uid="{00000000-0005-0000-0000-000090340000}"/>
    <cellStyle name="Comma 5 2 2 7 2" xfId="13454" xr:uid="{00000000-0005-0000-0000-000091340000}"/>
    <cellStyle name="Comma 5 2 2 8" xfId="13455" xr:uid="{00000000-0005-0000-0000-000092340000}"/>
    <cellStyle name="Comma 5 2 2 8 2" xfId="13456" xr:uid="{00000000-0005-0000-0000-000093340000}"/>
    <cellStyle name="Comma 5 2 2 9" xfId="13457" xr:uid="{00000000-0005-0000-0000-000094340000}"/>
    <cellStyle name="Comma 5 2 3" xfId="13458" xr:uid="{00000000-0005-0000-0000-000095340000}"/>
    <cellStyle name="Comma 5 2 3 2" xfId="13459" xr:uid="{00000000-0005-0000-0000-000096340000}"/>
    <cellStyle name="Comma 5 2 3 2 2" xfId="13460" xr:uid="{00000000-0005-0000-0000-000097340000}"/>
    <cellStyle name="Comma 5 2 3 2 2 2" xfId="13461" xr:uid="{00000000-0005-0000-0000-000098340000}"/>
    <cellStyle name="Comma 5 2 3 2 2 2 2" xfId="13462" xr:uid="{00000000-0005-0000-0000-000099340000}"/>
    <cellStyle name="Comma 5 2 3 2 2 2 2 2" xfId="13463" xr:uid="{00000000-0005-0000-0000-00009A340000}"/>
    <cellStyle name="Comma 5 2 3 2 2 2 2 2 2" xfId="13464" xr:uid="{00000000-0005-0000-0000-00009B340000}"/>
    <cellStyle name="Comma 5 2 3 2 2 2 2 3" xfId="13465" xr:uid="{00000000-0005-0000-0000-00009C340000}"/>
    <cellStyle name="Comma 5 2 3 2 2 2 3" xfId="13466" xr:uid="{00000000-0005-0000-0000-00009D340000}"/>
    <cellStyle name="Comma 5 2 3 2 2 2 3 2" xfId="13467" xr:uid="{00000000-0005-0000-0000-00009E340000}"/>
    <cellStyle name="Comma 5 2 3 2 2 2 4" xfId="13468" xr:uid="{00000000-0005-0000-0000-00009F340000}"/>
    <cellStyle name="Comma 5 2 3 2 2 2 4 2" xfId="13469" xr:uid="{00000000-0005-0000-0000-0000A0340000}"/>
    <cellStyle name="Comma 5 2 3 2 2 2 5" xfId="13470" xr:uid="{00000000-0005-0000-0000-0000A1340000}"/>
    <cellStyle name="Comma 5 2 3 2 2 3" xfId="13471" xr:uid="{00000000-0005-0000-0000-0000A2340000}"/>
    <cellStyle name="Comma 5 2 3 2 2 3 2" xfId="13472" xr:uid="{00000000-0005-0000-0000-0000A3340000}"/>
    <cellStyle name="Comma 5 2 3 2 2 3 2 2" xfId="13473" xr:uid="{00000000-0005-0000-0000-0000A4340000}"/>
    <cellStyle name="Comma 5 2 3 2 2 3 3" xfId="13474" xr:uid="{00000000-0005-0000-0000-0000A5340000}"/>
    <cellStyle name="Comma 5 2 3 2 2 4" xfId="13475" xr:uid="{00000000-0005-0000-0000-0000A6340000}"/>
    <cellStyle name="Comma 5 2 3 2 2 4 2" xfId="13476" xr:uid="{00000000-0005-0000-0000-0000A7340000}"/>
    <cellStyle name="Comma 5 2 3 2 2 5" xfId="13477" xr:uid="{00000000-0005-0000-0000-0000A8340000}"/>
    <cellStyle name="Comma 5 2 3 2 2 5 2" xfId="13478" xr:uid="{00000000-0005-0000-0000-0000A9340000}"/>
    <cellStyle name="Comma 5 2 3 2 2 6" xfId="13479" xr:uid="{00000000-0005-0000-0000-0000AA340000}"/>
    <cellStyle name="Comma 5 2 3 2 3" xfId="13480" xr:uid="{00000000-0005-0000-0000-0000AB340000}"/>
    <cellStyle name="Comma 5 2 3 2 3 2" xfId="13481" xr:uid="{00000000-0005-0000-0000-0000AC340000}"/>
    <cellStyle name="Comma 5 2 3 2 3 2 2" xfId="13482" xr:uid="{00000000-0005-0000-0000-0000AD340000}"/>
    <cellStyle name="Comma 5 2 3 2 3 2 2 2" xfId="13483" xr:uid="{00000000-0005-0000-0000-0000AE340000}"/>
    <cellStyle name="Comma 5 2 3 2 3 2 3" xfId="13484" xr:uid="{00000000-0005-0000-0000-0000AF340000}"/>
    <cellStyle name="Comma 5 2 3 2 3 3" xfId="13485" xr:uid="{00000000-0005-0000-0000-0000B0340000}"/>
    <cellStyle name="Comma 5 2 3 2 3 3 2" xfId="13486" xr:uid="{00000000-0005-0000-0000-0000B1340000}"/>
    <cellStyle name="Comma 5 2 3 2 3 4" xfId="13487" xr:uid="{00000000-0005-0000-0000-0000B2340000}"/>
    <cellStyle name="Comma 5 2 3 2 3 4 2" xfId="13488" xr:uid="{00000000-0005-0000-0000-0000B3340000}"/>
    <cellStyle name="Comma 5 2 3 2 3 5" xfId="13489" xr:uid="{00000000-0005-0000-0000-0000B4340000}"/>
    <cellStyle name="Comma 5 2 3 2 4" xfId="13490" xr:uid="{00000000-0005-0000-0000-0000B5340000}"/>
    <cellStyle name="Comma 5 2 3 2 4 2" xfId="13491" xr:uid="{00000000-0005-0000-0000-0000B6340000}"/>
    <cellStyle name="Comma 5 2 3 2 4 2 2" xfId="13492" xr:uid="{00000000-0005-0000-0000-0000B7340000}"/>
    <cellStyle name="Comma 5 2 3 2 4 3" xfId="13493" xr:uid="{00000000-0005-0000-0000-0000B8340000}"/>
    <cellStyle name="Comma 5 2 3 2 5" xfId="13494" xr:uid="{00000000-0005-0000-0000-0000B9340000}"/>
    <cellStyle name="Comma 5 2 3 2 5 2" xfId="13495" xr:uid="{00000000-0005-0000-0000-0000BA340000}"/>
    <cellStyle name="Comma 5 2 3 2 6" xfId="13496" xr:uid="{00000000-0005-0000-0000-0000BB340000}"/>
    <cellStyle name="Comma 5 2 3 2 6 2" xfId="13497" xr:uid="{00000000-0005-0000-0000-0000BC340000}"/>
    <cellStyle name="Comma 5 2 3 2 7" xfId="13498" xr:uid="{00000000-0005-0000-0000-0000BD340000}"/>
    <cellStyle name="Comma 5 2 3 3" xfId="13499" xr:uid="{00000000-0005-0000-0000-0000BE340000}"/>
    <cellStyle name="Comma 5 2 3 3 2" xfId="13500" xr:uid="{00000000-0005-0000-0000-0000BF340000}"/>
    <cellStyle name="Comma 5 2 3 3 2 2" xfId="13501" xr:uid="{00000000-0005-0000-0000-0000C0340000}"/>
    <cellStyle name="Comma 5 2 3 3 2 2 2" xfId="13502" xr:uid="{00000000-0005-0000-0000-0000C1340000}"/>
    <cellStyle name="Comma 5 2 3 3 2 2 2 2" xfId="13503" xr:uid="{00000000-0005-0000-0000-0000C2340000}"/>
    <cellStyle name="Comma 5 2 3 3 2 2 2 2 2" xfId="13504" xr:uid="{00000000-0005-0000-0000-0000C3340000}"/>
    <cellStyle name="Comma 5 2 3 3 2 2 2 3" xfId="13505" xr:uid="{00000000-0005-0000-0000-0000C4340000}"/>
    <cellStyle name="Comma 5 2 3 3 2 2 3" xfId="13506" xr:uid="{00000000-0005-0000-0000-0000C5340000}"/>
    <cellStyle name="Comma 5 2 3 3 2 2 3 2" xfId="13507" xr:uid="{00000000-0005-0000-0000-0000C6340000}"/>
    <cellStyle name="Comma 5 2 3 3 2 2 4" xfId="13508" xr:uid="{00000000-0005-0000-0000-0000C7340000}"/>
    <cellStyle name="Comma 5 2 3 3 2 2 4 2" xfId="13509" xr:uid="{00000000-0005-0000-0000-0000C8340000}"/>
    <cellStyle name="Comma 5 2 3 3 2 2 5" xfId="13510" xr:uid="{00000000-0005-0000-0000-0000C9340000}"/>
    <cellStyle name="Comma 5 2 3 3 2 3" xfId="13511" xr:uid="{00000000-0005-0000-0000-0000CA340000}"/>
    <cellStyle name="Comma 5 2 3 3 2 3 2" xfId="13512" xr:uid="{00000000-0005-0000-0000-0000CB340000}"/>
    <cellStyle name="Comma 5 2 3 3 2 3 2 2" xfId="13513" xr:uid="{00000000-0005-0000-0000-0000CC340000}"/>
    <cellStyle name="Comma 5 2 3 3 2 3 3" xfId="13514" xr:uid="{00000000-0005-0000-0000-0000CD340000}"/>
    <cellStyle name="Comma 5 2 3 3 2 4" xfId="13515" xr:uid="{00000000-0005-0000-0000-0000CE340000}"/>
    <cellStyle name="Comma 5 2 3 3 2 4 2" xfId="13516" xr:uid="{00000000-0005-0000-0000-0000CF340000}"/>
    <cellStyle name="Comma 5 2 3 3 2 5" xfId="13517" xr:uid="{00000000-0005-0000-0000-0000D0340000}"/>
    <cellStyle name="Comma 5 2 3 3 2 5 2" xfId="13518" xr:uid="{00000000-0005-0000-0000-0000D1340000}"/>
    <cellStyle name="Comma 5 2 3 3 2 6" xfId="13519" xr:uid="{00000000-0005-0000-0000-0000D2340000}"/>
    <cellStyle name="Comma 5 2 3 3 3" xfId="13520" xr:uid="{00000000-0005-0000-0000-0000D3340000}"/>
    <cellStyle name="Comma 5 2 3 3 3 2" xfId="13521" xr:uid="{00000000-0005-0000-0000-0000D4340000}"/>
    <cellStyle name="Comma 5 2 3 3 3 2 2" xfId="13522" xr:uid="{00000000-0005-0000-0000-0000D5340000}"/>
    <cellStyle name="Comma 5 2 3 3 3 2 2 2" xfId="13523" xr:uid="{00000000-0005-0000-0000-0000D6340000}"/>
    <cellStyle name="Comma 5 2 3 3 3 2 3" xfId="13524" xr:uid="{00000000-0005-0000-0000-0000D7340000}"/>
    <cellStyle name="Comma 5 2 3 3 3 3" xfId="13525" xr:uid="{00000000-0005-0000-0000-0000D8340000}"/>
    <cellStyle name="Comma 5 2 3 3 3 3 2" xfId="13526" xr:uid="{00000000-0005-0000-0000-0000D9340000}"/>
    <cellStyle name="Comma 5 2 3 3 3 4" xfId="13527" xr:uid="{00000000-0005-0000-0000-0000DA340000}"/>
    <cellStyle name="Comma 5 2 3 3 3 4 2" xfId="13528" xr:uid="{00000000-0005-0000-0000-0000DB340000}"/>
    <cellStyle name="Comma 5 2 3 3 3 5" xfId="13529" xr:uid="{00000000-0005-0000-0000-0000DC340000}"/>
    <cellStyle name="Comma 5 2 3 3 4" xfId="13530" xr:uid="{00000000-0005-0000-0000-0000DD340000}"/>
    <cellStyle name="Comma 5 2 3 3 4 2" xfId="13531" xr:uid="{00000000-0005-0000-0000-0000DE340000}"/>
    <cellStyle name="Comma 5 2 3 3 4 2 2" xfId="13532" xr:uid="{00000000-0005-0000-0000-0000DF340000}"/>
    <cellStyle name="Comma 5 2 3 3 4 3" xfId="13533" xr:uid="{00000000-0005-0000-0000-0000E0340000}"/>
    <cellStyle name="Comma 5 2 3 3 5" xfId="13534" xr:uid="{00000000-0005-0000-0000-0000E1340000}"/>
    <cellStyle name="Comma 5 2 3 3 5 2" xfId="13535" xr:uid="{00000000-0005-0000-0000-0000E2340000}"/>
    <cellStyle name="Comma 5 2 3 3 6" xfId="13536" xr:uid="{00000000-0005-0000-0000-0000E3340000}"/>
    <cellStyle name="Comma 5 2 3 3 6 2" xfId="13537" xr:uid="{00000000-0005-0000-0000-0000E4340000}"/>
    <cellStyle name="Comma 5 2 3 3 7" xfId="13538" xr:uid="{00000000-0005-0000-0000-0000E5340000}"/>
    <cellStyle name="Comma 5 2 3 4" xfId="13539" xr:uid="{00000000-0005-0000-0000-0000E6340000}"/>
    <cellStyle name="Comma 5 2 3 4 2" xfId="13540" xr:uid="{00000000-0005-0000-0000-0000E7340000}"/>
    <cellStyle name="Comma 5 2 3 4 2 2" xfId="13541" xr:uid="{00000000-0005-0000-0000-0000E8340000}"/>
    <cellStyle name="Comma 5 2 3 4 2 2 2" xfId="13542" xr:uid="{00000000-0005-0000-0000-0000E9340000}"/>
    <cellStyle name="Comma 5 2 3 4 2 2 2 2" xfId="13543" xr:uid="{00000000-0005-0000-0000-0000EA340000}"/>
    <cellStyle name="Comma 5 2 3 4 2 2 3" xfId="13544" xr:uid="{00000000-0005-0000-0000-0000EB340000}"/>
    <cellStyle name="Comma 5 2 3 4 2 3" xfId="13545" xr:uid="{00000000-0005-0000-0000-0000EC340000}"/>
    <cellStyle name="Comma 5 2 3 4 2 3 2" xfId="13546" xr:uid="{00000000-0005-0000-0000-0000ED340000}"/>
    <cellStyle name="Comma 5 2 3 4 2 4" xfId="13547" xr:uid="{00000000-0005-0000-0000-0000EE340000}"/>
    <cellStyle name="Comma 5 2 3 4 2 4 2" xfId="13548" xr:uid="{00000000-0005-0000-0000-0000EF340000}"/>
    <cellStyle name="Comma 5 2 3 4 2 5" xfId="13549" xr:uid="{00000000-0005-0000-0000-0000F0340000}"/>
    <cellStyle name="Comma 5 2 3 4 3" xfId="13550" xr:uid="{00000000-0005-0000-0000-0000F1340000}"/>
    <cellStyle name="Comma 5 2 3 4 3 2" xfId="13551" xr:uid="{00000000-0005-0000-0000-0000F2340000}"/>
    <cellStyle name="Comma 5 2 3 4 3 2 2" xfId="13552" xr:uid="{00000000-0005-0000-0000-0000F3340000}"/>
    <cellStyle name="Comma 5 2 3 4 3 3" xfId="13553" xr:uid="{00000000-0005-0000-0000-0000F4340000}"/>
    <cellStyle name="Comma 5 2 3 4 4" xfId="13554" xr:uid="{00000000-0005-0000-0000-0000F5340000}"/>
    <cellStyle name="Comma 5 2 3 4 4 2" xfId="13555" xr:uid="{00000000-0005-0000-0000-0000F6340000}"/>
    <cellStyle name="Comma 5 2 3 4 5" xfId="13556" xr:uid="{00000000-0005-0000-0000-0000F7340000}"/>
    <cellStyle name="Comma 5 2 3 4 5 2" xfId="13557" xr:uid="{00000000-0005-0000-0000-0000F8340000}"/>
    <cellStyle name="Comma 5 2 3 4 6" xfId="13558" xr:uid="{00000000-0005-0000-0000-0000F9340000}"/>
    <cellStyle name="Comma 5 2 3 5" xfId="13559" xr:uid="{00000000-0005-0000-0000-0000FA340000}"/>
    <cellStyle name="Comma 5 2 3 5 2" xfId="13560" xr:uid="{00000000-0005-0000-0000-0000FB340000}"/>
    <cellStyle name="Comma 5 2 3 5 2 2" xfId="13561" xr:uid="{00000000-0005-0000-0000-0000FC340000}"/>
    <cellStyle name="Comma 5 2 3 5 2 2 2" xfId="13562" xr:uid="{00000000-0005-0000-0000-0000FD340000}"/>
    <cellStyle name="Comma 5 2 3 5 2 3" xfId="13563" xr:uid="{00000000-0005-0000-0000-0000FE340000}"/>
    <cellStyle name="Comma 5 2 3 5 3" xfId="13564" xr:uid="{00000000-0005-0000-0000-0000FF340000}"/>
    <cellStyle name="Comma 5 2 3 5 3 2" xfId="13565" xr:uid="{00000000-0005-0000-0000-000000350000}"/>
    <cellStyle name="Comma 5 2 3 5 4" xfId="13566" xr:uid="{00000000-0005-0000-0000-000001350000}"/>
    <cellStyle name="Comma 5 2 3 5 4 2" xfId="13567" xr:uid="{00000000-0005-0000-0000-000002350000}"/>
    <cellStyle name="Comma 5 2 3 5 5" xfId="13568" xr:uid="{00000000-0005-0000-0000-000003350000}"/>
    <cellStyle name="Comma 5 2 3 6" xfId="13569" xr:uid="{00000000-0005-0000-0000-000004350000}"/>
    <cellStyle name="Comma 5 2 3 6 2" xfId="13570" xr:uid="{00000000-0005-0000-0000-000005350000}"/>
    <cellStyle name="Comma 5 2 3 6 2 2" xfId="13571" xr:uid="{00000000-0005-0000-0000-000006350000}"/>
    <cellStyle name="Comma 5 2 3 6 3" xfId="13572" xr:uid="{00000000-0005-0000-0000-000007350000}"/>
    <cellStyle name="Comma 5 2 3 7" xfId="13573" xr:uid="{00000000-0005-0000-0000-000008350000}"/>
    <cellStyle name="Comma 5 2 3 7 2" xfId="13574" xr:uid="{00000000-0005-0000-0000-000009350000}"/>
    <cellStyle name="Comma 5 2 3 8" xfId="13575" xr:uid="{00000000-0005-0000-0000-00000A350000}"/>
    <cellStyle name="Comma 5 2 3 8 2" xfId="13576" xr:uid="{00000000-0005-0000-0000-00000B350000}"/>
    <cellStyle name="Comma 5 2 3 9" xfId="13577" xr:uid="{00000000-0005-0000-0000-00000C350000}"/>
    <cellStyle name="Comma 5 2 4" xfId="13578" xr:uid="{00000000-0005-0000-0000-00000D350000}"/>
    <cellStyle name="Comma 5 2 4 2" xfId="13579" xr:uid="{00000000-0005-0000-0000-00000E350000}"/>
    <cellStyle name="Comma 5 2 4 2 2" xfId="13580" xr:uid="{00000000-0005-0000-0000-00000F350000}"/>
    <cellStyle name="Comma 5 2 4 2 2 2" xfId="13581" xr:uid="{00000000-0005-0000-0000-000010350000}"/>
    <cellStyle name="Comma 5 2 4 2 2 2 2" xfId="13582" xr:uid="{00000000-0005-0000-0000-000011350000}"/>
    <cellStyle name="Comma 5 2 4 2 2 2 2 2" xfId="13583" xr:uid="{00000000-0005-0000-0000-000012350000}"/>
    <cellStyle name="Comma 5 2 4 2 2 2 2 2 2" xfId="13584" xr:uid="{00000000-0005-0000-0000-000013350000}"/>
    <cellStyle name="Comma 5 2 4 2 2 2 2 3" xfId="13585" xr:uid="{00000000-0005-0000-0000-000014350000}"/>
    <cellStyle name="Comma 5 2 4 2 2 2 3" xfId="13586" xr:uid="{00000000-0005-0000-0000-000015350000}"/>
    <cellStyle name="Comma 5 2 4 2 2 2 3 2" xfId="13587" xr:uid="{00000000-0005-0000-0000-000016350000}"/>
    <cellStyle name="Comma 5 2 4 2 2 2 4" xfId="13588" xr:uid="{00000000-0005-0000-0000-000017350000}"/>
    <cellStyle name="Comma 5 2 4 2 2 2 4 2" xfId="13589" xr:uid="{00000000-0005-0000-0000-000018350000}"/>
    <cellStyle name="Comma 5 2 4 2 2 2 5" xfId="13590" xr:uid="{00000000-0005-0000-0000-000019350000}"/>
    <cellStyle name="Comma 5 2 4 2 2 3" xfId="13591" xr:uid="{00000000-0005-0000-0000-00001A350000}"/>
    <cellStyle name="Comma 5 2 4 2 2 3 2" xfId="13592" xr:uid="{00000000-0005-0000-0000-00001B350000}"/>
    <cellStyle name="Comma 5 2 4 2 2 3 2 2" xfId="13593" xr:uid="{00000000-0005-0000-0000-00001C350000}"/>
    <cellStyle name="Comma 5 2 4 2 2 3 3" xfId="13594" xr:uid="{00000000-0005-0000-0000-00001D350000}"/>
    <cellStyle name="Comma 5 2 4 2 2 4" xfId="13595" xr:uid="{00000000-0005-0000-0000-00001E350000}"/>
    <cellStyle name="Comma 5 2 4 2 2 4 2" xfId="13596" xr:uid="{00000000-0005-0000-0000-00001F350000}"/>
    <cellStyle name="Comma 5 2 4 2 2 5" xfId="13597" xr:uid="{00000000-0005-0000-0000-000020350000}"/>
    <cellStyle name="Comma 5 2 4 2 2 5 2" xfId="13598" xr:uid="{00000000-0005-0000-0000-000021350000}"/>
    <cellStyle name="Comma 5 2 4 2 2 6" xfId="13599" xr:uid="{00000000-0005-0000-0000-000022350000}"/>
    <cellStyle name="Comma 5 2 4 2 3" xfId="13600" xr:uid="{00000000-0005-0000-0000-000023350000}"/>
    <cellStyle name="Comma 5 2 4 2 3 2" xfId="13601" xr:uid="{00000000-0005-0000-0000-000024350000}"/>
    <cellStyle name="Comma 5 2 4 2 3 2 2" xfId="13602" xr:uid="{00000000-0005-0000-0000-000025350000}"/>
    <cellStyle name="Comma 5 2 4 2 3 2 2 2" xfId="13603" xr:uid="{00000000-0005-0000-0000-000026350000}"/>
    <cellStyle name="Comma 5 2 4 2 3 2 3" xfId="13604" xr:uid="{00000000-0005-0000-0000-000027350000}"/>
    <cellStyle name="Comma 5 2 4 2 3 3" xfId="13605" xr:uid="{00000000-0005-0000-0000-000028350000}"/>
    <cellStyle name="Comma 5 2 4 2 3 3 2" xfId="13606" xr:uid="{00000000-0005-0000-0000-000029350000}"/>
    <cellStyle name="Comma 5 2 4 2 3 4" xfId="13607" xr:uid="{00000000-0005-0000-0000-00002A350000}"/>
    <cellStyle name="Comma 5 2 4 2 3 4 2" xfId="13608" xr:uid="{00000000-0005-0000-0000-00002B350000}"/>
    <cellStyle name="Comma 5 2 4 2 3 5" xfId="13609" xr:uid="{00000000-0005-0000-0000-00002C350000}"/>
    <cellStyle name="Comma 5 2 4 2 4" xfId="13610" xr:uid="{00000000-0005-0000-0000-00002D350000}"/>
    <cellStyle name="Comma 5 2 4 2 4 2" xfId="13611" xr:uid="{00000000-0005-0000-0000-00002E350000}"/>
    <cellStyle name="Comma 5 2 4 2 4 2 2" xfId="13612" xr:uid="{00000000-0005-0000-0000-00002F350000}"/>
    <cellStyle name="Comma 5 2 4 2 4 3" xfId="13613" xr:uid="{00000000-0005-0000-0000-000030350000}"/>
    <cellStyle name="Comma 5 2 4 2 5" xfId="13614" xr:uid="{00000000-0005-0000-0000-000031350000}"/>
    <cellStyle name="Comma 5 2 4 2 5 2" xfId="13615" xr:uid="{00000000-0005-0000-0000-000032350000}"/>
    <cellStyle name="Comma 5 2 4 2 6" xfId="13616" xr:uid="{00000000-0005-0000-0000-000033350000}"/>
    <cellStyle name="Comma 5 2 4 2 6 2" xfId="13617" xr:uid="{00000000-0005-0000-0000-000034350000}"/>
    <cellStyle name="Comma 5 2 4 2 7" xfId="13618" xr:uid="{00000000-0005-0000-0000-000035350000}"/>
    <cellStyle name="Comma 5 2 4 3" xfId="13619" xr:uid="{00000000-0005-0000-0000-000036350000}"/>
    <cellStyle name="Comma 5 2 4 3 2" xfId="13620" xr:uid="{00000000-0005-0000-0000-000037350000}"/>
    <cellStyle name="Comma 5 2 4 3 2 2" xfId="13621" xr:uid="{00000000-0005-0000-0000-000038350000}"/>
    <cellStyle name="Comma 5 2 4 3 2 2 2" xfId="13622" xr:uid="{00000000-0005-0000-0000-000039350000}"/>
    <cellStyle name="Comma 5 2 4 3 2 2 2 2" xfId="13623" xr:uid="{00000000-0005-0000-0000-00003A350000}"/>
    <cellStyle name="Comma 5 2 4 3 2 2 3" xfId="13624" xr:uid="{00000000-0005-0000-0000-00003B350000}"/>
    <cellStyle name="Comma 5 2 4 3 2 3" xfId="13625" xr:uid="{00000000-0005-0000-0000-00003C350000}"/>
    <cellStyle name="Comma 5 2 4 3 2 3 2" xfId="13626" xr:uid="{00000000-0005-0000-0000-00003D350000}"/>
    <cellStyle name="Comma 5 2 4 3 2 4" xfId="13627" xr:uid="{00000000-0005-0000-0000-00003E350000}"/>
    <cellStyle name="Comma 5 2 4 3 2 4 2" xfId="13628" xr:uid="{00000000-0005-0000-0000-00003F350000}"/>
    <cellStyle name="Comma 5 2 4 3 2 5" xfId="13629" xr:uid="{00000000-0005-0000-0000-000040350000}"/>
    <cellStyle name="Comma 5 2 4 3 3" xfId="13630" xr:uid="{00000000-0005-0000-0000-000041350000}"/>
    <cellStyle name="Comma 5 2 4 3 3 2" xfId="13631" xr:uid="{00000000-0005-0000-0000-000042350000}"/>
    <cellStyle name="Comma 5 2 4 3 3 2 2" xfId="13632" xr:uid="{00000000-0005-0000-0000-000043350000}"/>
    <cellStyle name="Comma 5 2 4 3 3 3" xfId="13633" xr:uid="{00000000-0005-0000-0000-000044350000}"/>
    <cellStyle name="Comma 5 2 4 3 4" xfId="13634" xr:uid="{00000000-0005-0000-0000-000045350000}"/>
    <cellStyle name="Comma 5 2 4 3 4 2" xfId="13635" xr:uid="{00000000-0005-0000-0000-000046350000}"/>
    <cellStyle name="Comma 5 2 4 3 5" xfId="13636" xr:uid="{00000000-0005-0000-0000-000047350000}"/>
    <cellStyle name="Comma 5 2 4 3 5 2" xfId="13637" xr:uid="{00000000-0005-0000-0000-000048350000}"/>
    <cellStyle name="Comma 5 2 4 3 6" xfId="13638" xr:uid="{00000000-0005-0000-0000-000049350000}"/>
    <cellStyle name="Comma 5 2 4 4" xfId="13639" xr:uid="{00000000-0005-0000-0000-00004A350000}"/>
    <cellStyle name="Comma 5 2 4 4 2" xfId="13640" xr:uid="{00000000-0005-0000-0000-00004B350000}"/>
    <cellStyle name="Comma 5 2 4 4 2 2" xfId="13641" xr:uid="{00000000-0005-0000-0000-00004C350000}"/>
    <cellStyle name="Comma 5 2 4 4 2 2 2" xfId="13642" xr:uid="{00000000-0005-0000-0000-00004D350000}"/>
    <cellStyle name="Comma 5 2 4 4 2 3" xfId="13643" xr:uid="{00000000-0005-0000-0000-00004E350000}"/>
    <cellStyle name="Comma 5 2 4 4 3" xfId="13644" xr:uid="{00000000-0005-0000-0000-00004F350000}"/>
    <cellStyle name="Comma 5 2 4 4 3 2" xfId="13645" xr:uid="{00000000-0005-0000-0000-000050350000}"/>
    <cellStyle name="Comma 5 2 4 4 4" xfId="13646" xr:uid="{00000000-0005-0000-0000-000051350000}"/>
    <cellStyle name="Comma 5 2 4 4 4 2" xfId="13647" xr:uid="{00000000-0005-0000-0000-000052350000}"/>
    <cellStyle name="Comma 5 2 4 4 5" xfId="13648" xr:uid="{00000000-0005-0000-0000-000053350000}"/>
    <cellStyle name="Comma 5 2 4 5" xfId="13649" xr:uid="{00000000-0005-0000-0000-000054350000}"/>
    <cellStyle name="Comma 5 2 4 5 2" xfId="13650" xr:uid="{00000000-0005-0000-0000-000055350000}"/>
    <cellStyle name="Comma 5 2 4 5 2 2" xfId="13651" xr:uid="{00000000-0005-0000-0000-000056350000}"/>
    <cellStyle name="Comma 5 2 4 5 3" xfId="13652" xr:uid="{00000000-0005-0000-0000-000057350000}"/>
    <cellStyle name="Comma 5 2 4 6" xfId="13653" xr:uid="{00000000-0005-0000-0000-000058350000}"/>
    <cellStyle name="Comma 5 2 4 6 2" xfId="13654" xr:uid="{00000000-0005-0000-0000-000059350000}"/>
    <cellStyle name="Comma 5 2 4 7" xfId="13655" xr:uid="{00000000-0005-0000-0000-00005A350000}"/>
    <cellStyle name="Comma 5 2 4 7 2" xfId="13656" xr:uid="{00000000-0005-0000-0000-00005B350000}"/>
    <cellStyle name="Comma 5 2 4 8" xfId="13657" xr:uid="{00000000-0005-0000-0000-00005C350000}"/>
    <cellStyle name="Comma 5 2 5" xfId="13658" xr:uid="{00000000-0005-0000-0000-00005D350000}"/>
    <cellStyle name="Comma 5 2 5 2" xfId="13659" xr:uid="{00000000-0005-0000-0000-00005E350000}"/>
    <cellStyle name="Comma 5 2 5 2 2" xfId="13660" xr:uid="{00000000-0005-0000-0000-00005F350000}"/>
    <cellStyle name="Comma 5 2 5 2 2 2" xfId="13661" xr:uid="{00000000-0005-0000-0000-000060350000}"/>
    <cellStyle name="Comma 5 2 5 2 2 2 2" xfId="13662" xr:uid="{00000000-0005-0000-0000-000061350000}"/>
    <cellStyle name="Comma 5 2 5 2 2 2 2 2" xfId="13663" xr:uid="{00000000-0005-0000-0000-000062350000}"/>
    <cellStyle name="Comma 5 2 5 2 2 2 3" xfId="13664" xr:uid="{00000000-0005-0000-0000-000063350000}"/>
    <cellStyle name="Comma 5 2 5 2 2 3" xfId="13665" xr:uid="{00000000-0005-0000-0000-000064350000}"/>
    <cellStyle name="Comma 5 2 5 2 2 3 2" xfId="13666" xr:uid="{00000000-0005-0000-0000-000065350000}"/>
    <cellStyle name="Comma 5 2 5 2 2 4" xfId="13667" xr:uid="{00000000-0005-0000-0000-000066350000}"/>
    <cellStyle name="Comma 5 2 5 2 2 4 2" xfId="13668" xr:uid="{00000000-0005-0000-0000-000067350000}"/>
    <cellStyle name="Comma 5 2 5 2 2 5" xfId="13669" xr:uid="{00000000-0005-0000-0000-000068350000}"/>
    <cellStyle name="Comma 5 2 5 2 3" xfId="13670" xr:uid="{00000000-0005-0000-0000-000069350000}"/>
    <cellStyle name="Comma 5 2 5 2 3 2" xfId="13671" xr:uid="{00000000-0005-0000-0000-00006A350000}"/>
    <cellStyle name="Comma 5 2 5 2 3 2 2" xfId="13672" xr:uid="{00000000-0005-0000-0000-00006B350000}"/>
    <cellStyle name="Comma 5 2 5 2 3 3" xfId="13673" xr:uid="{00000000-0005-0000-0000-00006C350000}"/>
    <cellStyle name="Comma 5 2 5 2 4" xfId="13674" xr:uid="{00000000-0005-0000-0000-00006D350000}"/>
    <cellStyle name="Comma 5 2 5 2 4 2" xfId="13675" xr:uid="{00000000-0005-0000-0000-00006E350000}"/>
    <cellStyle name="Comma 5 2 5 2 5" xfId="13676" xr:uid="{00000000-0005-0000-0000-00006F350000}"/>
    <cellStyle name="Comma 5 2 5 2 5 2" xfId="13677" xr:uid="{00000000-0005-0000-0000-000070350000}"/>
    <cellStyle name="Comma 5 2 5 2 6" xfId="13678" xr:uid="{00000000-0005-0000-0000-000071350000}"/>
    <cellStyle name="Comma 5 2 5 3" xfId="13679" xr:uid="{00000000-0005-0000-0000-000072350000}"/>
    <cellStyle name="Comma 5 2 5 3 2" xfId="13680" xr:uid="{00000000-0005-0000-0000-000073350000}"/>
    <cellStyle name="Comma 5 2 5 3 2 2" xfId="13681" xr:uid="{00000000-0005-0000-0000-000074350000}"/>
    <cellStyle name="Comma 5 2 5 3 2 2 2" xfId="13682" xr:uid="{00000000-0005-0000-0000-000075350000}"/>
    <cellStyle name="Comma 5 2 5 3 2 3" xfId="13683" xr:uid="{00000000-0005-0000-0000-000076350000}"/>
    <cellStyle name="Comma 5 2 5 3 3" xfId="13684" xr:uid="{00000000-0005-0000-0000-000077350000}"/>
    <cellStyle name="Comma 5 2 5 3 3 2" xfId="13685" xr:uid="{00000000-0005-0000-0000-000078350000}"/>
    <cellStyle name="Comma 5 2 5 3 4" xfId="13686" xr:uid="{00000000-0005-0000-0000-000079350000}"/>
    <cellStyle name="Comma 5 2 5 3 4 2" xfId="13687" xr:uid="{00000000-0005-0000-0000-00007A350000}"/>
    <cellStyle name="Comma 5 2 5 3 5" xfId="13688" xr:uid="{00000000-0005-0000-0000-00007B350000}"/>
    <cellStyle name="Comma 5 2 5 4" xfId="13689" xr:uid="{00000000-0005-0000-0000-00007C350000}"/>
    <cellStyle name="Comma 5 2 5 4 2" xfId="13690" xr:uid="{00000000-0005-0000-0000-00007D350000}"/>
    <cellStyle name="Comma 5 2 5 4 2 2" xfId="13691" xr:uid="{00000000-0005-0000-0000-00007E350000}"/>
    <cellStyle name="Comma 5 2 5 4 3" xfId="13692" xr:uid="{00000000-0005-0000-0000-00007F350000}"/>
    <cellStyle name="Comma 5 2 5 5" xfId="13693" xr:uid="{00000000-0005-0000-0000-000080350000}"/>
    <cellStyle name="Comma 5 2 5 5 2" xfId="13694" xr:uid="{00000000-0005-0000-0000-000081350000}"/>
    <cellStyle name="Comma 5 2 5 6" xfId="13695" xr:uid="{00000000-0005-0000-0000-000082350000}"/>
    <cellStyle name="Comma 5 2 5 6 2" xfId="13696" xr:uid="{00000000-0005-0000-0000-000083350000}"/>
    <cellStyle name="Comma 5 2 5 7" xfId="13697" xr:uid="{00000000-0005-0000-0000-000084350000}"/>
    <cellStyle name="Comma 5 2 6" xfId="13698" xr:uid="{00000000-0005-0000-0000-000085350000}"/>
    <cellStyle name="Comma 5 2 6 2" xfId="13699" xr:uid="{00000000-0005-0000-0000-000086350000}"/>
    <cellStyle name="Comma 5 2 6 2 2" xfId="13700" xr:uid="{00000000-0005-0000-0000-000087350000}"/>
    <cellStyle name="Comma 5 2 6 2 2 2" xfId="13701" xr:uid="{00000000-0005-0000-0000-000088350000}"/>
    <cellStyle name="Comma 5 2 6 2 2 2 2" xfId="13702" xr:uid="{00000000-0005-0000-0000-000089350000}"/>
    <cellStyle name="Comma 5 2 6 2 2 2 2 2" xfId="13703" xr:uid="{00000000-0005-0000-0000-00008A350000}"/>
    <cellStyle name="Comma 5 2 6 2 2 2 3" xfId="13704" xr:uid="{00000000-0005-0000-0000-00008B350000}"/>
    <cellStyle name="Comma 5 2 6 2 2 3" xfId="13705" xr:uid="{00000000-0005-0000-0000-00008C350000}"/>
    <cellStyle name="Comma 5 2 6 2 2 3 2" xfId="13706" xr:uid="{00000000-0005-0000-0000-00008D350000}"/>
    <cellStyle name="Comma 5 2 6 2 2 4" xfId="13707" xr:uid="{00000000-0005-0000-0000-00008E350000}"/>
    <cellStyle name="Comma 5 2 6 2 2 4 2" xfId="13708" xr:uid="{00000000-0005-0000-0000-00008F350000}"/>
    <cellStyle name="Comma 5 2 6 2 2 5" xfId="13709" xr:uid="{00000000-0005-0000-0000-000090350000}"/>
    <cellStyle name="Comma 5 2 6 2 3" xfId="13710" xr:uid="{00000000-0005-0000-0000-000091350000}"/>
    <cellStyle name="Comma 5 2 6 2 3 2" xfId="13711" xr:uid="{00000000-0005-0000-0000-000092350000}"/>
    <cellStyle name="Comma 5 2 6 2 3 2 2" xfId="13712" xr:uid="{00000000-0005-0000-0000-000093350000}"/>
    <cellStyle name="Comma 5 2 6 2 3 3" xfId="13713" xr:uid="{00000000-0005-0000-0000-000094350000}"/>
    <cellStyle name="Comma 5 2 6 2 4" xfId="13714" xr:uid="{00000000-0005-0000-0000-000095350000}"/>
    <cellStyle name="Comma 5 2 6 2 4 2" xfId="13715" xr:uid="{00000000-0005-0000-0000-000096350000}"/>
    <cellStyle name="Comma 5 2 6 2 5" xfId="13716" xr:uid="{00000000-0005-0000-0000-000097350000}"/>
    <cellStyle name="Comma 5 2 6 2 5 2" xfId="13717" xr:uid="{00000000-0005-0000-0000-000098350000}"/>
    <cellStyle name="Comma 5 2 6 2 6" xfId="13718" xr:uid="{00000000-0005-0000-0000-000099350000}"/>
    <cellStyle name="Comma 5 2 6 3" xfId="13719" xr:uid="{00000000-0005-0000-0000-00009A350000}"/>
    <cellStyle name="Comma 5 2 6 3 2" xfId="13720" xr:uid="{00000000-0005-0000-0000-00009B350000}"/>
    <cellStyle name="Comma 5 2 6 3 2 2" xfId="13721" xr:uid="{00000000-0005-0000-0000-00009C350000}"/>
    <cellStyle name="Comma 5 2 6 3 2 2 2" xfId="13722" xr:uid="{00000000-0005-0000-0000-00009D350000}"/>
    <cellStyle name="Comma 5 2 6 3 2 3" xfId="13723" xr:uid="{00000000-0005-0000-0000-00009E350000}"/>
    <cellStyle name="Comma 5 2 6 3 3" xfId="13724" xr:uid="{00000000-0005-0000-0000-00009F350000}"/>
    <cellStyle name="Comma 5 2 6 3 3 2" xfId="13725" xr:uid="{00000000-0005-0000-0000-0000A0350000}"/>
    <cellStyle name="Comma 5 2 6 3 4" xfId="13726" xr:uid="{00000000-0005-0000-0000-0000A1350000}"/>
    <cellStyle name="Comma 5 2 6 3 4 2" xfId="13727" xr:uid="{00000000-0005-0000-0000-0000A2350000}"/>
    <cellStyle name="Comma 5 2 6 3 5" xfId="13728" xr:uid="{00000000-0005-0000-0000-0000A3350000}"/>
    <cellStyle name="Comma 5 2 6 4" xfId="13729" xr:uid="{00000000-0005-0000-0000-0000A4350000}"/>
    <cellStyle name="Comma 5 2 6 4 2" xfId="13730" xr:uid="{00000000-0005-0000-0000-0000A5350000}"/>
    <cellStyle name="Comma 5 2 6 4 2 2" xfId="13731" xr:uid="{00000000-0005-0000-0000-0000A6350000}"/>
    <cellStyle name="Comma 5 2 6 4 3" xfId="13732" xr:uid="{00000000-0005-0000-0000-0000A7350000}"/>
    <cellStyle name="Comma 5 2 6 5" xfId="13733" xr:uid="{00000000-0005-0000-0000-0000A8350000}"/>
    <cellStyle name="Comma 5 2 6 5 2" xfId="13734" xr:uid="{00000000-0005-0000-0000-0000A9350000}"/>
    <cellStyle name="Comma 5 2 6 6" xfId="13735" xr:uid="{00000000-0005-0000-0000-0000AA350000}"/>
    <cellStyle name="Comma 5 2 6 6 2" xfId="13736" xr:uid="{00000000-0005-0000-0000-0000AB350000}"/>
    <cellStyle name="Comma 5 2 6 7" xfId="13737" xr:uid="{00000000-0005-0000-0000-0000AC350000}"/>
    <cellStyle name="Comma 5 2 7" xfId="13738" xr:uid="{00000000-0005-0000-0000-0000AD350000}"/>
    <cellStyle name="Comma 5 2 7 2" xfId="13739" xr:uid="{00000000-0005-0000-0000-0000AE350000}"/>
    <cellStyle name="Comma 5 2 7 2 2" xfId="13740" xr:uid="{00000000-0005-0000-0000-0000AF350000}"/>
    <cellStyle name="Comma 5 2 7 2 2 2" xfId="13741" xr:uid="{00000000-0005-0000-0000-0000B0350000}"/>
    <cellStyle name="Comma 5 2 7 2 2 2 2" xfId="13742" xr:uid="{00000000-0005-0000-0000-0000B1350000}"/>
    <cellStyle name="Comma 5 2 7 2 2 3" xfId="13743" xr:uid="{00000000-0005-0000-0000-0000B2350000}"/>
    <cellStyle name="Comma 5 2 7 2 3" xfId="13744" xr:uid="{00000000-0005-0000-0000-0000B3350000}"/>
    <cellStyle name="Comma 5 2 7 2 3 2" xfId="13745" xr:uid="{00000000-0005-0000-0000-0000B4350000}"/>
    <cellStyle name="Comma 5 2 7 2 4" xfId="13746" xr:uid="{00000000-0005-0000-0000-0000B5350000}"/>
    <cellStyle name="Comma 5 2 7 2 4 2" xfId="13747" xr:uid="{00000000-0005-0000-0000-0000B6350000}"/>
    <cellStyle name="Comma 5 2 7 2 5" xfId="13748" xr:uid="{00000000-0005-0000-0000-0000B7350000}"/>
    <cellStyle name="Comma 5 2 7 3" xfId="13749" xr:uid="{00000000-0005-0000-0000-0000B8350000}"/>
    <cellStyle name="Comma 5 2 7 3 2" xfId="13750" xr:uid="{00000000-0005-0000-0000-0000B9350000}"/>
    <cellStyle name="Comma 5 2 7 3 2 2" xfId="13751" xr:uid="{00000000-0005-0000-0000-0000BA350000}"/>
    <cellStyle name="Comma 5 2 7 3 3" xfId="13752" xr:uid="{00000000-0005-0000-0000-0000BB350000}"/>
    <cellStyle name="Comma 5 2 7 4" xfId="13753" xr:uid="{00000000-0005-0000-0000-0000BC350000}"/>
    <cellStyle name="Comma 5 2 7 4 2" xfId="13754" xr:uid="{00000000-0005-0000-0000-0000BD350000}"/>
    <cellStyle name="Comma 5 2 7 5" xfId="13755" xr:uid="{00000000-0005-0000-0000-0000BE350000}"/>
    <cellStyle name="Comma 5 2 7 5 2" xfId="13756" xr:uid="{00000000-0005-0000-0000-0000BF350000}"/>
    <cellStyle name="Comma 5 2 7 6" xfId="13757" xr:uid="{00000000-0005-0000-0000-0000C0350000}"/>
    <cellStyle name="Comma 5 2 8" xfId="13758" xr:uid="{00000000-0005-0000-0000-0000C1350000}"/>
    <cellStyle name="Comma 5 2 8 2" xfId="13759" xr:uid="{00000000-0005-0000-0000-0000C2350000}"/>
    <cellStyle name="Comma 5 2 8 2 2" xfId="13760" xr:uid="{00000000-0005-0000-0000-0000C3350000}"/>
    <cellStyle name="Comma 5 2 8 2 2 2" xfId="13761" xr:uid="{00000000-0005-0000-0000-0000C4350000}"/>
    <cellStyle name="Comma 5 2 8 2 3" xfId="13762" xr:uid="{00000000-0005-0000-0000-0000C5350000}"/>
    <cellStyle name="Comma 5 2 8 3" xfId="13763" xr:uid="{00000000-0005-0000-0000-0000C6350000}"/>
    <cellStyle name="Comma 5 2 8 3 2" xfId="13764" xr:uid="{00000000-0005-0000-0000-0000C7350000}"/>
    <cellStyle name="Comma 5 2 8 4" xfId="13765" xr:uid="{00000000-0005-0000-0000-0000C8350000}"/>
    <cellStyle name="Comma 5 2 8 4 2" xfId="13766" xr:uid="{00000000-0005-0000-0000-0000C9350000}"/>
    <cellStyle name="Comma 5 2 8 5" xfId="13767" xr:uid="{00000000-0005-0000-0000-0000CA350000}"/>
    <cellStyle name="Comma 5 2 9" xfId="13768" xr:uid="{00000000-0005-0000-0000-0000CB350000}"/>
    <cellStyle name="Comma 5 2 9 2" xfId="13769" xr:uid="{00000000-0005-0000-0000-0000CC350000}"/>
    <cellStyle name="Comma 5 2 9 2 2" xfId="13770" xr:uid="{00000000-0005-0000-0000-0000CD350000}"/>
    <cellStyle name="Comma 5 2 9 3" xfId="13771" xr:uid="{00000000-0005-0000-0000-0000CE350000}"/>
    <cellStyle name="Comma 5 3" xfId="13772" xr:uid="{00000000-0005-0000-0000-0000CF350000}"/>
    <cellStyle name="Comma 5 3 2" xfId="13773" xr:uid="{00000000-0005-0000-0000-0000D0350000}"/>
    <cellStyle name="Comma 5 3 2 2" xfId="13774" xr:uid="{00000000-0005-0000-0000-0000D1350000}"/>
    <cellStyle name="Comma 5 3 2 2 2" xfId="13775" xr:uid="{00000000-0005-0000-0000-0000D2350000}"/>
    <cellStyle name="Comma 5 3 2 2 2 2" xfId="13776" xr:uid="{00000000-0005-0000-0000-0000D3350000}"/>
    <cellStyle name="Comma 5 3 2 2 2 2 2" xfId="13777" xr:uid="{00000000-0005-0000-0000-0000D4350000}"/>
    <cellStyle name="Comma 5 3 2 2 2 2 2 2" xfId="13778" xr:uid="{00000000-0005-0000-0000-0000D5350000}"/>
    <cellStyle name="Comma 5 3 2 2 2 2 3" xfId="13779" xr:uid="{00000000-0005-0000-0000-0000D6350000}"/>
    <cellStyle name="Comma 5 3 2 2 2 3" xfId="13780" xr:uid="{00000000-0005-0000-0000-0000D7350000}"/>
    <cellStyle name="Comma 5 3 2 2 2 3 2" xfId="13781" xr:uid="{00000000-0005-0000-0000-0000D8350000}"/>
    <cellStyle name="Comma 5 3 2 2 2 4" xfId="13782" xr:uid="{00000000-0005-0000-0000-0000D9350000}"/>
    <cellStyle name="Comma 5 3 2 2 2 4 2" xfId="13783" xr:uid="{00000000-0005-0000-0000-0000DA350000}"/>
    <cellStyle name="Comma 5 3 2 2 2 5" xfId="13784" xr:uid="{00000000-0005-0000-0000-0000DB350000}"/>
    <cellStyle name="Comma 5 3 2 2 3" xfId="13785" xr:uid="{00000000-0005-0000-0000-0000DC350000}"/>
    <cellStyle name="Comma 5 3 2 2 3 2" xfId="13786" xr:uid="{00000000-0005-0000-0000-0000DD350000}"/>
    <cellStyle name="Comma 5 3 2 2 3 2 2" xfId="13787" xr:uid="{00000000-0005-0000-0000-0000DE350000}"/>
    <cellStyle name="Comma 5 3 2 2 3 3" xfId="13788" xr:uid="{00000000-0005-0000-0000-0000DF350000}"/>
    <cellStyle name="Comma 5 3 2 2 4" xfId="13789" xr:uid="{00000000-0005-0000-0000-0000E0350000}"/>
    <cellStyle name="Comma 5 3 2 2 4 2" xfId="13790" xr:uid="{00000000-0005-0000-0000-0000E1350000}"/>
    <cellStyle name="Comma 5 3 2 2 5" xfId="13791" xr:uid="{00000000-0005-0000-0000-0000E2350000}"/>
    <cellStyle name="Comma 5 3 2 2 5 2" xfId="13792" xr:uid="{00000000-0005-0000-0000-0000E3350000}"/>
    <cellStyle name="Comma 5 3 2 2 6" xfId="13793" xr:uid="{00000000-0005-0000-0000-0000E4350000}"/>
    <cellStyle name="Comma 5 3 2 3" xfId="13794" xr:uid="{00000000-0005-0000-0000-0000E5350000}"/>
    <cellStyle name="Comma 5 3 2 3 2" xfId="13795" xr:uid="{00000000-0005-0000-0000-0000E6350000}"/>
    <cellStyle name="Comma 5 3 2 3 2 2" xfId="13796" xr:uid="{00000000-0005-0000-0000-0000E7350000}"/>
    <cellStyle name="Comma 5 3 2 3 2 2 2" xfId="13797" xr:uid="{00000000-0005-0000-0000-0000E8350000}"/>
    <cellStyle name="Comma 5 3 2 3 2 3" xfId="13798" xr:uid="{00000000-0005-0000-0000-0000E9350000}"/>
    <cellStyle name="Comma 5 3 2 3 3" xfId="13799" xr:uid="{00000000-0005-0000-0000-0000EA350000}"/>
    <cellStyle name="Comma 5 3 2 3 3 2" xfId="13800" xr:uid="{00000000-0005-0000-0000-0000EB350000}"/>
    <cellStyle name="Comma 5 3 2 3 4" xfId="13801" xr:uid="{00000000-0005-0000-0000-0000EC350000}"/>
    <cellStyle name="Comma 5 3 2 3 4 2" xfId="13802" xr:uid="{00000000-0005-0000-0000-0000ED350000}"/>
    <cellStyle name="Comma 5 3 2 3 5" xfId="13803" xr:uid="{00000000-0005-0000-0000-0000EE350000}"/>
    <cellStyle name="Comma 5 3 2 4" xfId="13804" xr:uid="{00000000-0005-0000-0000-0000EF350000}"/>
    <cellStyle name="Comma 5 3 2 4 2" xfId="13805" xr:uid="{00000000-0005-0000-0000-0000F0350000}"/>
    <cellStyle name="Comma 5 3 2 4 2 2" xfId="13806" xr:uid="{00000000-0005-0000-0000-0000F1350000}"/>
    <cellStyle name="Comma 5 3 2 4 3" xfId="13807" xr:uid="{00000000-0005-0000-0000-0000F2350000}"/>
    <cellStyle name="Comma 5 3 2 5" xfId="13808" xr:uid="{00000000-0005-0000-0000-0000F3350000}"/>
    <cellStyle name="Comma 5 3 2 5 2" xfId="13809" xr:uid="{00000000-0005-0000-0000-0000F4350000}"/>
    <cellStyle name="Comma 5 3 2 6" xfId="13810" xr:uid="{00000000-0005-0000-0000-0000F5350000}"/>
    <cellStyle name="Comma 5 3 2 6 2" xfId="13811" xr:uid="{00000000-0005-0000-0000-0000F6350000}"/>
    <cellStyle name="Comma 5 3 2 7" xfId="13812" xr:uid="{00000000-0005-0000-0000-0000F7350000}"/>
    <cellStyle name="Comma 5 3 3" xfId="13813" xr:uid="{00000000-0005-0000-0000-0000F8350000}"/>
    <cellStyle name="Comma 5 3 3 2" xfId="13814" xr:uid="{00000000-0005-0000-0000-0000F9350000}"/>
    <cellStyle name="Comma 5 3 3 2 2" xfId="13815" xr:uid="{00000000-0005-0000-0000-0000FA350000}"/>
    <cellStyle name="Comma 5 3 3 2 2 2" xfId="13816" xr:uid="{00000000-0005-0000-0000-0000FB350000}"/>
    <cellStyle name="Comma 5 3 3 2 2 2 2" xfId="13817" xr:uid="{00000000-0005-0000-0000-0000FC350000}"/>
    <cellStyle name="Comma 5 3 3 2 2 2 2 2" xfId="13818" xr:uid="{00000000-0005-0000-0000-0000FD350000}"/>
    <cellStyle name="Comma 5 3 3 2 2 2 3" xfId="13819" xr:uid="{00000000-0005-0000-0000-0000FE350000}"/>
    <cellStyle name="Comma 5 3 3 2 2 3" xfId="13820" xr:uid="{00000000-0005-0000-0000-0000FF350000}"/>
    <cellStyle name="Comma 5 3 3 2 2 3 2" xfId="13821" xr:uid="{00000000-0005-0000-0000-000000360000}"/>
    <cellStyle name="Comma 5 3 3 2 2 4" xfId="13822" xr:uid="{00000000-0005-0000-0000-000001360000}"/>
    <cellStyle name="Comma 5 3 3 2 2 4 2" xfId="13823" xr:uid="{00000000-0005-0000-0000-000002360000}"/>
    <cellStyle name="Comma 5 3 3 2 2 5" xfId="13824" xr:uid="{00000000-0005-0000-0000-000003360000}"/>
    <cellStyle name="Comma 5 3 3 2 3" xfId="13825" xr:uid="{00000000-0005-0000-0000-000004360000}"/>
    <cellStyle name="Comma 5 3 3 2 3 2" xfId="13826" xr:uid="{00000000-0005-0000-0000-000005360000}"/>
    <cellStyle name="Comma 5 3 3 2 3 2 2" xfId="13827" xr:uid="{00000000-0005-0000-0000-000006360000}"/>
    <cellStyle name="Comma 5 3 3 2 3 3" xfId="13828" xr:uid="{00000000-0005-0000-0000-000007360000}"/>
    <cellStyle name="Comma 5 3 3 2 4" xfId="13829" xr:uid="{00000000-0005-0000-0000-000008360000}"/>
    <cellStyle name="Comma 5 3 3 2 4 2" xfId="13830" xr:uid="{00000000-0005-0000-0000-000009360000}"/>
    <cellStyle name="Comma 5 3 3 2 5" xfId="13831" xr:uid="{00000000-0005-0000-0000-00000A360000}"/>
    <cellStyle name="Comma 5 3 3 2 5 2" xfId="13832" xr:uid="{00000000-0005-0000-0000-00000B360000}"/>
    <cellStyle name="Comma 5 3 3 2 6" xfId="13833" xr:uid="{00000000-0005-0000-0000-00000C360000}"/>
    <cellStyle name="Comma 5 3 3 3" xfId="13834" xr:uid="{00000000-0005-0000-0000-00000D360000}"/>
    <cellStyle name="Comma 5 3 3 3 2" xfId="13835" xr:uid="{00000000-0005-0000-0000-00000E360000}"/>
    <cellStyle name="Comma 5 3 3 3 2 2" xfId="13836" xr:uid="{00000000-0005-0000-0000-00000F360000}"/>
    <cellStyle name="Comma 5 3 3 3 2 2 2" xfId="13837" xr:uid="{00000000-0005-0000-0000-000010360000}"/>
    <cellStyle name="Comma 5 3 3 3 2 3" xfId="13838" xr:uid="{00000000-0005-0000-0000-000011360000}"/>
    <cellStyle name="Comma 5 3 3 3 3" xfId="13839" xr:uid="{00000000-0005-0000-0000-000012360000}"/>
    <cellStyle name="Comma 5 3 3 3 3 2" xfId="13840" xr:uid="{00000000-0005-0000-0000-000013360000}"/>
    <cellStyle name="Comma 5 3 3 3 4" xfId="13841" xr:uid="{00000000-0005-0000-0000-000014360000}"/>
    <cellStyle name="Comma 5 3 3 3 4 2" xfId="13842" xr:uid="{00000000-0005-0000-0000-000015360000}"/>
    <cellStyle name="Comma 5 3 3 3 5" xfId="13843" xr:uid="{00000000-0005-0000-0000-000016360000}"/>
    <cellStyle name="Comma 5 3 3 4" xfId="13844" xr:uid="{00000000-0005-0000-0000-000017360000}"/>
    <cellStyle name="Comma 5 3 3 4 2" xfId="13845" xr:uid="{00000000-0005-0000-0000-000018360000}"/>
    <cellStyle name="Comma 5 3 3 4 2 2" xfId="13846" xr:uid="{00000000-0005-0000-0000-000019360000}"/>
    <cellStyle name="Comma 5 3 3 4 3" xfId="13847" xr:uid="{00000000-0005-0000-0000-00001A360000}"/>
    <cellStyle name="Comma 5 3 3 5" xfId="13848" xr:uid="{00000000-0005-0000-0000-00001B360000}"/>
    <cellStyle name="Comma 5 3 3 5 2" xfId="13849" xr:uid="{00000000-0005-0000-0000-00001C360000}"/>
    <cellStyle name="Comma 5 3 3 6" xfId="13850" xr:uid="{00000000-0005-0000-0000-00001D360000}"/>
    <cellStyle name="Comma 5 3 3 6 2" xfId="13851" xr:uid="{00000000-0005-0000-0000-00001E360000}"/>
    <cellStyle name="Comma 5 3 3 7" xfId="13852" xr:uid="{00000000-0005-0000-0000-00001F360000}"/>
    <cellStyle name="Comma 5 3 4" xfId="13853" xr:uid="{00000000-0005-0000-0000-000020360000}"/>
    <cellStyle name="Comma 5 3 4 2" xfId="13854" xr:uid="{00000000-0005-0000-0000-000021360000}"/>
    <cellStyle name="Comma 5 3 4 2 2" xfId="13855" xr:uid="{00000000-0005-0000-0000-000022360000}"/>
    <cellStyle name="Comma 5 3 4 2 2 2" xfId="13856" xr:uid="{00000000-0005-0000-0000-000023360000}"/>
    <cellStyle name="Comma 5 3 4 2 2 2 2" xfId="13857" xr:uid="{00000000-0005-0000-0000-000024360000}"/>
    <cellStyle name="Comma 5 3 4 2 2 3" xfId="13858" xr:uid="{00000000-0005-0000-0000-000025360000}"/>
    <cellStyle name="Comma 5 3 4 2 3" xfId="13859" xr:uid="{00000000-0005-0000-0000-000026360000}"/>
    <cellStyle name="Comma 5 3 4 2 3 2" xfId="13860" xr:uid="{00000000-0005-0000-0000-000027360000}"/>
    <cellStyle name="Comma 5 3 4 2 4" xfId="13861" xr:uid="{00000000-0005-0000-0000-000028360000}"/>
    <cellStyle name="Comma 5 3 4 2 4 2" xfId="13862" xr:uid="{00000000-0005-0000-0000-000029360000}"/>
    <cellStyle name="Comma 5 3 4 2 5" xfId="13863" xr:uid="{00000000-0005-0000-0000-00002A360000}"/>
    <cellStyle name="Comma 5 3 4 3" xfId="13864" xr:uid="{00000000-0005-0000-0000-00002B360000}"/>
    <cellStyle name="Comma 5 3 4 3 2" xfId="13865" xr:uid="{00000000-0005-0000-0000-00002C360000}"/>
    <cellStyle name="Comma 5 3 4 3 2 2" xfId="13866" xr:uid="{00000000-0005-0000-0000-00002D360000}"/>
    <cellStyle name="Comma 5 3 4 3 3" xfId="13867" xr:uid="{00000000-0005-0000-0000-00002E360000}"/>
    <cellStyle name="Comma 5 3 4 4" xfId="13868" xr:uid="{00000000-0005-0000-0000-00002F360000}"/>
    <cellStyle name="Comma 5 3 4 4 2" xfId="13869" xr:uid="{00000000-0005-0000-0000-000030360000}"/>
    <cellStyle name="Comma 5 3 4 5" xfId="13870" xr:uid="{00000000-0005-0000-0000-000031360000}"/>
    <cellStyle name="Comma 5 3 4 5 2" xfId="13871" xr:uid="{00000000-0005-0000-0000-000032360000}"/>
    <cellStyle name="Comma 5 3 4 6" xfId="13872" xr:uid="{00000000-0005-0000-0000-000033360000}"/>
    <cellStyle name="Comma 5 3 5" xfId="13873" xr:uid="{00000000-0005-0000-0000-000034360000}"/>
    <cellStyle name="Comma 5 3 5 2" xfId="13874" xr:uid="{00000000-0005-0000-0000-000035360000}"/>
    <cellStyle name="Comma 5 3 5 2 2" xfId="13875" xr:uid="{00000000-0005-0000-0000-000036360000}"/>
    <cellStyle name="Comma 5 3 5 2 2 2" xfId="13876" xr:uid="{00000000-0005-0000-0000-000037360000}"/>
    <cellStyle name="Comma 5 3 5 2 3" xfId="13877" xr:uid="{00000000-0005-0000-0000-000038360000}"/>
    <cellStyle name="Comma 5 3 5 3" xfId="13878" xr:uid="{00000000-0005-0000-0000-000039360000}"/>
    <cellStyle name="Comma 5 3 5 3 2" xfId="13879" xr:uid="{00000000-0005-0000-0000-00003A360000}"/>
    <cellStyle name="Comma 5 3 5 4" xfId="13880" xr:uid="{00000000-0005-0000-0000-00003B360000}"/>
    <cellStyle name="Comma 5 3 5 4 2" xfId="13881" xr:uid="{00000000-0005-0000-0000-00003C360000}"/>
    <cellStyle name="Comma 5 3 5 5" xfId="13882" xr:uid="{00000000-0005-0000-0000-00003D360000}"/>
    <cellStyle name="Comma 5 3 6" xfId="13883" xr:uid="{00000000-0005-0000-0000-00003E360000}"/>
    <cellStyle name="Comma 5 3 6 2" xfId="13884" xr:uid="{00000000-0005-0000-0000-00003F360000}"/>
    <cellStyle name="Comma 5 3 6 2 2" xfId="13885" xr:uid="{00000000-0005-0000-0000-000040360000}"/>
    <cellStyle name="Comma 5 3 6 3" xfId="13886" xr:uid="{00000000-0005-0000-0000-000041360000}"/>
    <cellStyle name="Comma 5 3 7" xfId="13887" xr:uid="{00000000-0005-0000-0000-000042360000}"/>
    <cellStyle name="Comma 5 3 7 2" xfId="13888" xr:uid="{00000000-0005-0000-0000-000043360000}"/>
    <cellStyle name="Comma 5 3 8" xfId="13889" xr:uid="{00000000-0005-0000-0000-000044360000}"/>
    <cellStyle name="Comma 5 3 8 2" xfId="13890" xr:uid="{00000000-0005-0000-0000-000045360000}"/>
    <cellStyle name="Comma 5 3 9" xfId="13891" xr:uid="{00000000-0005-0000-0000-000046360000}"/>
    <cellStyle name="Comma 5 4" xfId="13892" xr:uid="{00000000-0005-0000-0000-000047360000}"/>
    <cellStyle name="Comma 5 4 2" xfId="13893" xr:uid="{00000000-0005-0000-0000-000048360000}"/>
    <cellStyle name="Comma 5 4 2 2" xfId="13894" xr:uid="{00000000-0005-0000-0000-000049360000}"/>
    <cellStyle name="Comma 5 4 2 2 2" xfId="13895" xr:uid="{00000000-0005-0000-0000-00004A360000}"/>
    <cellStyle name="Comma 5 4 2 2 2 2" xfId="13896" xr:uid="{00000000-0005-0000-0000-00004B360000}"/>
    <cellStyle name="Comma 5 4 2 2 2 2 2" xfId="13897" xr:uid="{00000000-0005-0000-0000-00004C360000}"/>
    <cellStyle name="Comma 5 4 2 2 2 2 2 2" xfId="13898" xr:uid="{00000000-0005-0000-0000-00004D360000}"/>
    <cellStyle name="Comma 5 4 2 2 2 2 3" xfId="13899" xr:uid="{00000000-0005-0000-0000-00004E360000}"/>
    <cellStyle name="Comma 5 4 2 2 2 3" xfId="13900" xr:uid="{00000000-0005-0000-0000-00004F360000}"/>
    <cellStyle name="Comma 5 4 2 2 2 3 2" xfId="13901" xr:uid="{00000000-0005-0000-0000-000050360000}"/>
    <cellStyle name="Comma 5 4 2 2 2 4" xfId="13902" xr:uid="{00000000-0005-0000-0000-000051360000}"/>
    <cellStyle name="Comma 5 4 2 2 2 4 2" xfId="13903" xr:uid="{00000000-0005-0000-0000-000052360000}"/>
    <cellStyle name="Comma 5 4 2 2 2 5" xfId="13904" xr:uid="{00000000-0005-0000-0000-000053360000}"/>
    <cellStyle name="Comma 5 4 2 2 3" xfId="13905" xr:uid="{00000000-0005-0000-0000-000054360000}"/>
    <cellStyle name="Comma 5 4 2 2 3 2" xfId="13906" xr:uid="{00000000-0005-0000-0000-000055360000}"/>
    <cellStyle name="Comma 5 4 2 2 3 2 2" xfId="13907" xr:uid="{00000000-0005-0000-0000-000056360000}"/>
    <cellStyle name="Comma 5 4 2 2 3 3" xfId="13908" xr:uid="{00000000-0005-0000-0000-000057360000}"/>
    <cellStyle name="Comma 5 4 2 2 4" xfId="13909" xr:uid="{00000000-0005-0000-0000-000058360000}"/>
    <cellStyle name="Comma 5 4 2 2 4 2" xfId="13910" xr:uid="{00000000-0005-0000-0000-000059360000}"/>
    <cellStyle name="Comma 5 4 2 2 5" xfId="13911" xr:uid="{00000000-0005-0000-0000-00005A360000}"/>
    <cellStyle name="Comma 5 4 2 2 5 2" xfId="13912" xr:uid="{00000000-0005-0000-0000-00005B360000}"/>
    <cellStyle name="Comma 5 4 2 2 6" xfId="13913" xr:uid="{00000000-0005-0000-0000-00005C360000}"/>
    <cellStyle name="Comma 5 4 2 3" xfId="13914" xr:uid="{00000000-0005-0000-0000-00005D360000}"/>
    <cellStyle name="Comma 5 4 2 3 2" xfId="13915" xr:uid="{00000000-0005-0000-0000-00005E360000}"/>
    <cellStyle name="Comma 5 4 2 3 2 2" xfId="13916" xr:uid="{00000000-0005-0000-0000-00005F360000}"/>
    <cellStyle name="Comma 5 4 2 3 2 2 2" xfId="13917" xr:uid="{00000000-0005-0000-0000-000060360000}"/>
    <cellStyle name="Comma 5 4 2 3 2 3" xfId="13918" xr:uid="{00000000-0005-0000-0000-000061360000}"/>
    <cellStyle name="Comma 5 4 2 3 3" xfId="13919" xr:uid="{00000000-0005-0000-0000-000062360000}"/>
    <cellStyle name="Comma 5 4 2 3 3 2" xfId="13920" xr:uid="{00000000-0005-0000-0000-000063360000}"/>
    <cellStyle name="Comma 5 4 2 3 4" xfId="13921" xr:uid="{00000000-0005-0000-0000-000064360000}"/>
    <cellStyle name="Comma 5 4 2 3 4 2" xfId="13922" xr:uid="{00000000-0005-0000-0000-000065360000}"/>
    <cellStyle name="Comma 5 4 2 3 5" xfId="13923" xr:uid="{00000000-0005-0000-0000-000066360000}"/>
    <cellStyle name="Comma 5 4 2 4" xfId="13924" xr:uid="{00000000-0005-0000-0000-000067360000}"/>
    <cellStyle name="Comma 5 4 2 4 2" xfId="13925" xr:uid="{00000000-0005-0000-0000-000068360000}"/>
    <cellStyle name="Comma 5 4 2 4 2 2" xfId="13926" xr:uid="{00000000-0005-0000-0000-000069360000}"/>
    <cellStyle name="Comma 5 4 2 4 3" xfId="13927" xr:uid="{00000000-0005-0000-0000-00006A360000}"/>
    <cellStyle name="Comma 5 4 2 5" xfId="13928" xr:uid="{00000000-0005-0000-0000-00006B360000}"/>
    <cellStyle name="Comma 5 4 2 5 2" xfId="13929" xr:uid="{00000000-0005-0000-0000-00006C360000}"/>
    <cellStyle name="Comma 5 4 2 6" xfId="13930" xr:uid="{00000000-0005-0000-0000-00006D360000}"/>
    <cellStyle name="Comma 5 4 2 6 2" xfId="13931" xr:uid="{00000000-0005-0000-0000-00006E360000}"/>
    <cellStyle name="Comma 5 4 2 7" xfId="13932" xr:uid="{00000000-0005-0000-0000-00006F360000}"/>
    <cellStyle name="Comma 5 4 3" xfId="13933" xr:uid="{00000000-0005-0000-0000-000070360000}"/>
    <cellStyle name="Comma 5 4 3 2" xfId="13934" xr:uid="{00000000-0005-0000-0000-000071360000}"/>
    <cellStyle name="Comma 5 4 3 2 2" xfId="13935" xr:uid="{00000000-0005-0000-0000-000072360000}"/>
    <cellStyle name="Comma 5 4 3 2 2 2" xfId="13936" xr:uid="{00000000-0005-0000-0000-000073360000}"/>
    <cellStyle name="Comma 5 4 3 2 2 2 2" xfId="13937" xr:uid="{00000000-0005-0000-0000-000074360000}"/>
    <cellStyle name="Comma 5 4 3 2 2 2 2 2" xfId="13938" xr:uid="{00000000-0005-0000-0000-000075360000}"/>
    <cellStyle name="Comma 5 4 3 2 2 2 3" xfId="13939" xr:uid="{00000000-0005-0000-0000-000076360000}"/>
    <cellStyle name="Comma 5 4 3 2 2 3" xfId="13940" xr:uid="{00000000-0005-0000-0000-000077360000}"/>
    <cellStyle name="Comma 5 4 3 2 2 3 2" xfId="13941" xr:uid="{00000000-0005-0000-0000-000078360000}"/>
    <cellStyle name="Comma 5 4 3 2 2 4" xfId="13942" xr:uid="{00000000-0005-0000-0000-000079360000}"/>
    <cellStyle name="Comma 5 4 3 2 2 4 2" xfId="13943" xr:uid="{00000000-0005-0000-0000-00007A360000}"/>
    <cellStyle name="Comma 5 4 3 2 2 5" xfId="13944" xr:uid="{00000000-0005-0000-0000-00007B360000}"/>
    <cellStyle name="Comma 5 4 3 2 3" xfId="13945" xr:uid="{00000000-0005-0000-0000-00007C360000}"/>
    <cellStyle name="Comma 5 4 3 2 3 2" xfId="13946" xr:uid="{00000000-0005-0000-0000-00007D360000}"/>
    <cellStyle name="Comma 5 4 3 2 3 2 2" xfId="13947" xr:uid="{00000000-0005-0000-0000-00007E360000}"/>
    <cellStyle name="Comma 5 4 3 2 3 3" xfId="13948" xr:uid="{00000000-0005-0000-0000-00007F360000}"/>
    <cellStyle name="Comma 5 4 3 2 4" xfId="13949" xr:uid="{00000000-0005-0000-0000-000080360000}"/>
    <cellStyle name="Comma 5 4 3 2 4 2" xfId="13950" xr:uid="{00000000-0005-0000-0000-000081360000}"/>
    <cellStyle name="Comma 5 4 3 2 5" xfId="13951" xr:uid="{00000000-0005-0000-0000-000082360000}"/>
    <cellStyle name="Comma 5 4 3 2 5 2" xfId="13952" xr:uid="{00000000-0005-0000-0000-000083360000}"/>
    <cellStyle name="Comma 5 4 3 2 6" xfId="13953" xr:uid="{00000000-0005-0000-0000-000084360000}"/>
    <cellStyle name="Comma 5 4 3 3" xfId="13954" xr:uid="{00000000-0005-0000-0000-000085360000}"/>
    <cellStyle name="Comma 5 4 3 3 2" xfId="13955" xr:uid="{00000000-0005-0000-0000-000086360000}"/>
    <cellStyle name="Comma 5 4 3 3 2 2" xfId="13956" xr:uid="{00000000-0005-0000-0000-000087360000}"/>
    <cellStyle name="Comma 5 4 3 3 2 2 2" xfId="13957" xr:uid="{00000000-0005-0000-0000-000088360000}"/>
    <cellStyle name="Comma 5 4 3 3 2 3" xfId="13958" xr:uid="{00000000-0005-0000-0000-000089360000}"/>
    <cellStyle name="Comma 5 4 3 3 3" xfId="13959" xr:uid="{00000000-0005-0000-0000-00008A360000}"/>
    <cellStyle name="Comma 5 4 3 3 3 2" xfId="13960" xr:uid="{00000000-0005-0000-0000-00008B360000}"/>
    <cellStyle name="Comma 5 4 3 3 4" xfId="13961" xr:uid="{00000000-0005-0000-0000-00008C360000}"/>
    <cellStyle name="Comma 5 4 3 3 4 2" xfId="13962" xr:uid="{00000000-0005-0000-0000-00008D360000}"/>
    <cellStyle name="Comma 5 4 3 3 5" xfId="13963" xr:uid="{00000000-0005-0000-0000-00008E360000}"/>
    <cellStyle name="Comma 5 4 3 4" xfId="13964" xr:uid="{00000000-0005-0000-0000-00008F360000}"/>
    <cellStyle name="Comma 5 4 3 4 2" xfId="13965" xr:uid="{00000000-0005-0000-0000-000090360000}"/>
    <cellStyle name="Comma 5 4 3 4 2 2" xfId="13966" xr:uid="{00000000-0005-0000-0000-000091360000}"/>
    <cellStyle name="Comma 5 4 3 4 3" xfId="13967" xr:uid="{00000000-0005-0000-0000-000092360000}"/>
    <cellStyle name="Comma 5 4 3 5" xfId="13968" xr:uid="{00000000-0005-0000-0000-000093360000}"/>
    <cellStyle name="Comma 5 4 3 5 2" xfId="13969" xr:uid="{00000000-0005-0000-0000-000094360000}"/>
    <cellStyle name="Comma 5 4 3 6" xfId="13970" xr:uid="{00000000-0005-0000-0000-000095360000}"/>
    <cellStyle name="Comma 5 4 3 6 2" xfId="13971" xr:uid="{00000000-0005-0000-0000-000096360000}"/>
    <cellStyle name="Comma 5 4 3 7" xfId="13972" xr:uid="{00000000-0005-0000-0000-000097360000}"/>
    <cellStyle name="Comma 5 4 4" xfId="13973" xr:uid="{00000000-0005-0000-0000-000098360000}"/>
    <cellStyle name="Comma 5 4 4 2" xfId="13974" xr:uid="{00000000-0005-0000-0000-000099360000}"/>
    <cellStyle name="Comma 5 4 4 2 2" xfId="13975" xr:uid="{00000000-0005-0000-0000-00009A360000}"/>
    <cellStyle name="Comma 5 4 4 2 2 2" xfId="13976" xr:uid="{00000000-0005-0000-0000-00009B360000}"/>
    <cellStyle name="Comma 5 4 4 2 2 2 2" xfId="13977" xr:uid="{00000000-0005-0000-0000-00009C360000}"/>
    <cellStyle name="Comma 5 4 4 2 2 3" xfId="13978" xr:uid="{00000000-0005-0000-0000-00009D360000}"/>
    <cellStyle name="Comma 5 4 4 2 3" xfId="13979" xr:uid="{00000000-0005-0000-0000-00009E360000}"/>
    <cellStyle name="Comma 5 4 4 2 3 2" xfId="13980" xr:uid="{00000000-0005-0000-0000-00009F360000}"/>
    <cellStyle name="Comma 5 4 4 2 4" xfId="13981" xr:uid="{00000000-0005-0000-0000-0000A0360000}"/>
    <cellStyle name="Comma 5 4 4 2 4 2" xfId="13982" xr:uid="{00000000-0005-0000-0000-0000A1360000}"/>
    <cellStyle name="Comma 5 4 4 2 5" xfId="13983" xr:uid="{00000000-0005-0000-0000-0000A2360000}"/>
    <cellStyle name="Comma 5 4 4 3" xfId="13984" xr:uid="{00000000-0005-0000-0000-0000A3360000}"/>
    <cellStyle name="Comma 5 4 4 3 2" xfId="13985" xr:uid="{00000000-0005-0000-0000-0000A4360000}"/>
    <cellStyle name="Comma 5 4 4 3 2 2" xfId="13986" xr:uid="{00000000-0005-0000-0000-0000A5360000}"/>
    <cellStyle name="Comma 5 4 4 3 3" xfId="13987" xr:uid="{00000000-0005-0000-0000-0000A6360000}"/>
    <cellStyle name="Comma 5 4 4 4" xfId="13988" xr:uid="{00000000-0005-0000-0000-0000A7360000}"/>
    <cellStyle name="Comma 5 4 4 4 2" xfId="13989" xr:uid="{00000000-0005-0000-0000-0000A8360000}"/>
    <cellStyle name="Comma 5 4 4 5" xfId="13990" xr:uid="{00000000-0005-0000-0000-0000A9360000}"/>
    <cellStyle name="Comma 5 4 4 5 2" xfId="13991" xr:uid="{00000000-0005-0000-0000-0000AA360000}"/>
    <cellStyle name="Comma 5 4 4 6" xfId="13992" xr:uid="{00000000-0005-0000-0000-0000AB360000}"/>
    <cellStyle name="Comma 5 4 5" xfId="13993" xr:uid="{00000000-0005-0000-0000-0000AC360000}"/>
    <cellStyle name="Comma 5 4 5 2" xfId="13994" xr:uid="{00000000-0005-0000-0000-0000AD360000}"/>
    <cellStyle name="Comma 5 4 5 2 2" xfId="13995" xr:uid="{00000000-0005-0000-0000-0000AE360000}"/>
    <cellStyle name="Comma 5 4 5 2 2 2" xfId="13996" xr:uid="{00000000-0005-0000-0000-0000AF360000}"/>
    <cellStyle name="Comma 5 4 5 2 3" xfId="13997" xr:uid="{00000000-0005-0000-0000-0000B0360000}"/>
    <cellStyle name="Comma 5 4 5 3" xfId="13998" xr:uid="{00000000-0005-0000-0000-0000B1360000}"/>
    <cellStyle name="Comma 5 4 5 3 2" xfId="13999" xr:uid="{00000000-0005-0000-0000-0000B2360000}"/>
    <cellStyle name="Comma 5 4 5 4" xfId="14000" xr:uid="{00000000-0005-0000-0000-0000B3360000}"/>
    <cellStyle name="Comma 5 4 5 4 2" xfId="14001" xr:uid="{00000000-0005-0000-0000-0000B4360000}"/>
    <cellStyle name="Comma 5 4 5 5" xfId="14002" xr:uid="{00000000-0005-0000-0000-0000B5360000}"/>
    <cellStyle name="Comma 5 4 6" xfId="14003" xr:uid="{00000000-0005-0000-0000-0000B6360000}"/>
    <cellStyle name="Comma 5 4 6 2" xfId="14004" xr:uid="{00000000-0005-0000-0000-0000B7360000}"/>
    <cellStyle name="Comma 5 4 6 2 2" xfId="14005" xr:uid="{00000000-0005-0000-0000-0000B8360000}"/>
    <cellStyle name="Comma 5 4 6 3" xfId="14006" xr:uid="{00000000-0005-0000-0000-0000B9360000}"/>
    <cellStyle name="Comma 5 4 7" xfId="14007" xr:uid="{00000000-0005-0000-0000-0000BA360000}"/>
    <cellStyle name="Comma 5 4 7 2" xfId="14008" xr:uid="{00000000-0005-0000-0000-0000BB360000}"/>
    <cellStyle name="Comma 5 4 8" xfId="14009" xr:uid="{00000000-0005-0000-0000-0000BC360000}"/>
    <cellStyle name="Comma 5 4 8 2" xfId="14010" xr:uid="{00000000-0005-0000-0000-0000BD360000}"/>
    <cellStyle name="Comma 5 4 9" xfId="14011" xr:uid="{00000000-0005-0000-0000-0000BE360000}"/>
    <cellStyle name="Comma 5 5" xfId="14012" xr:uid="{00000000-0005-0000-0000-0000BF360000}"/>
    <cellStyle name="Comma 5 5 2" xfId="14013" xr:uid="{00000000-0005-0000-0000-0000C0360000}"/>
    <cellStyle name="Comma 5 5 2 2" xfId="14014" xr:uid="{00000000-0005-0000-0000-0000C1360000}"/>
    <cellStyle name="Comma 5 5 2 2 2" xfId="14015" xr:uid="{00000000-0005-0000-0000-0000C2360000}"/>
    <cellStyle name="Comma 5 5 2 2 2 2" xfId="14016" xr:uid="{00000000-0005-0000-0000-0000C3360000}"/>
    <cellStyle name="Comma 5 5 2 2 2 2 2" xfId="14017" xr:uid="{00000000-0005-0000-0000-0000C4360000}"/>
    <cellStyle name="Comma 5 5 2 2 2 2 2 2" xfId="14018" xr:uid="{00000000-0005-0000-0000-0000C5360000}"/>
    <cellStyle name="Comma 5 5 2 2 2 2 3" xfId="14019" xr:uid="{00000000-0005-0000-0000-0000C6360000}"/>
    <cellStyle name="Comma 5 5 2 2 2 3" xfId="14020" xr:uid="{00000000-0005-0000-0000-0000C7360000}"/>
    <cellStyle name="Comma 5 5 2 2 2 3 2" xfId="14021" xr:uid="{00000000-0005-0000-0000-0000C8360000}"/>
    <cellStyle name="Comma 5 5 2 2 2 4" xfId="14022" xr:uid="{00000000-0005-0000-0000-0000C9360000}"/>
    <cellStyle name="Comma 5 5 2 2 2 4 2" xfId="14023" xr:uid="{00000000-0005-0000-0000-0000CA360000}"/>
    <cellStyle name="Comma 5 5 2 2 2 5" xfId="14024" xr:uid="{00000000-0005-0000-0000-0000CB360000}"/>
    <cellStyle name="Comma 5 5 2 2 3" xfId="14025" xr:uid="{00000000-0005-0000-0000-0000CC360000}"/>
    <cellStyle name="Comma 5 5 2 2 3 2" xfId="14026" xr:uid="{00000000-0005-0000-0000-0000CD360000}"/>
    <cellStyle name="Comma 5 5 2 2 3 2 2" xfId="14027" xr:uid="{00000000-0005-0000-0000-0000CE360000}"/>
    <cellStyle name="Comma 5 5 2 2 3 3" xfId="14028" xr:uid="{00000000-0005-0000-0000-0000CF360000}"/>
    <cellStyle name="Comma 5 5 2 2 4" xfId="14029" xr:uid="{00000000-0005-0000-0000-0000D0360000}"/>
    <cellStyle name="Comma 5 5 2 2 4 2" xfId="14030" xr:uid="{00000000-0005-0000-0000-0000D1360000}"/>
    <cellStyle name="Comma 5 5 2 2 5" xfId="14031" xr:uid="{00000000-0005-0000-0000-0000D2360000}"/>
    <cellStyle name="Comma 5 5 2 2 5 2" xfId="14032" xr:uid="{00000000-0005-0000-0000-0000D3360000}"/>
    <cellStyle name="Comma 5 5 2 2 6" xfId="14033" xr:uid="{00000000-0005-0000-0000-0000D4360000}"/>
    <cellStyle name="Comma 5 5 2 3" xfId="14034" xr:uid="{00000000-0005-0000-0000-0000D5360000}"/>
    <cellStyle name="Comma 5 5 2 3 2" xfId="14035" xr:uid="{00000000-0005-0000-0000-0000D6360000}"/>
    <cellStyle name="Comma 5 5 2 3 2 2" xfId="14036" xr:uid="{00000000-0005-0000-0000-0000D7360000}"/>
    <cellStyle name="Comma 5 5 2 3 2 2 2" xfId="14037" xr:uid="{00000000-0005-0000-0000-0000D8360000}"/>
    <cellStyle name="Comma 5 5 2 3 2 3" xfId="14038" xr:uid="{00000000-0005-0000-0000-0000D9360000}"/>
    <cellStyle name="Comma 5 5 2 3 3" xfId="14039" xr:uid="{00000000-0005-0000-0000-0000DA360000}"/>
    <cellStyle name="Comma 5 5 2 3 3 2" xfId="14040" xr:uid="{00000000-0005-0000-0000-0000DB360000}"/>
    <cellStyle name="Comma 5 5 2 3 4" xfId="14041" xr:uid="{00000000-0005-0000-0000-0000DC360000}"/>
    <cellStyle name="Comma 5 5 2 3 4 2" xfId="14042" xr:uid="{00000000-0005-0000-0000-0000DD360000}"/>
    <cellStyle name="Comma 5 5 2 3 5" xfId="14043" xr:uid="{00000000-0005-0000-0000-0000DE360000}"/>
    <cellStyle name="Comma 5 5 2 4" xfId="14044" xr:uid="{00000000-0005-0000-0000-0000DF360000}"/>
    <cellStyle name="Comma 5 5 2 4 2" xfId="14045" xr:uid="{00000000-0005-0000-0000-0000E0360000}"/>
    <cellStyle name="Comma 5 5 2 4 2 2" xfId="14046" xr:uid="{00000000-0005-0000-0000-0000E1360000}"/>
    <cellStyle name="Comma 5 5 2 4 3" xfId="14047" xr:uid="{00000000-0005-0000-0000-0000E2360000}"/>
    <cellStyle name="Comma 5 5 2 5" xfId="14048" xr:uid="{00000000-0005-0000-0000-0000E3360000}"/>
    <cellStyle name="Comma 5 5 2 5 2" xfId="14049" xr:uid="{00000000-0005-0000-0000-0000E4360000}"/>
    <cellStyle name="Comma 5 5 2 6" xfId="14050" xr:uid="{00000000-0005-0000-0000-0000E5360000}"/>
    <cellStyle name="Comma 5 5 2 6 2" xfId="14051" xr:uid="{00000000-0005-0000-0000-0000E6360000}"/>
    <cellStyle name="Comma 5 5 2 7" xfId="14052" xr:uid="{00000000-0005-0000-0000-0000E7360000}"/>
    <cellStyle name="Comma 5 5 3" xfId="14053" xr:uid="{00000000-0005-0000-0000-0000E8360000}"/>
    <cellStyle name="Comma 5 5 3 2" xfId="14054" xr:uid="{00000000-0005-0000-0000-0000E9360000}"/>
    <cellStyle name="Comma 5 5 3 2 2" xfId="14055" xr:uid="{00000000-0005-0000-0000-0000EA360000}"/>
    <cellStyle name="Comma 5 5 3 2 2 2" xfId="14056" xr:uid="{00000000-0005-0000-0000-0000EB360000}"/>
    <cellStyle name="Comma 5 5 3 2 2 2 2" xfId="14057" xr:uid="{00000000-0005-0000-0000-0000EC360000}"/>
    <cellStyle name="Comma 5 5 3 2 2 3" xfId="14058" xr:uid="{00000000-0005-0000-0000-0000ED360000}"/>
    <cellStyle name="Comma 5 5 3 2 3" xfId="14059" xr:uid="{00000000-0005-0000-0000-0000EE360000}"/>
    <cellStyle name="Comma 5 5 3 2 3 2" xfId="14060" xr:uid="{00000000-0005-0000-0000-0000EF360000}"/>
    <cellStyle name="Comma 5 5 3 2 4" xfId="14061" xr:uid="{00000000-0005-0000-0000-0000F0360000}"/>
    <cellStyle name="Comma 5 5 3 2 4 2" xfId="14062" xr:uid="{00000000-0005-0000-0000-0000F1360000}"/>
    <cellStyle name="Comma 5 5 3 2 5" xfId="14063" xr:uid="{00000000-0005-0000-0000-0000F2360000}"/>
    <cellStyle name="Comma 5 5 3 3" xfId="14064" xr:uid="{00000000-0005-0000-0000-0000F3360000}"/>
    <cellStyle name="Comma 5 5 3 3 2" xfId="14065" xr:uid="{00000000-0005-0000-0000-0000F4360000}"/>
    <cellStyle name="Comma 5 5 3 3 2 2" xfId="14066" xr:uid="{00000000-0005-0000-0000-0000F5360000}"/>
    <cellStyle name="Comma 5 5 3 3 3" xfId="14067" xr:uid="{00000000-0005-0000-0000-0000F6360000}"/>
    <cellStyle name="Comma 5 5 3 4" xfId="14068" xr:uid="{00000000-0005-0000-0000-0000F7360000}"/>
    <cellStyle name="Comma 5 5 3 4 2" xfId="14069" xr:uid="{00000000-0005-0000-0000-0000F8360000}"/>
    <cellStyle name="Comma 5 5 3 5" xfId="14070" xr:uid="{00000000-0005-0000-0000-0000F9360000}"/>
    <cellStyle name="Comma 5 5 3 5 2" xfId="14071" xr:uid="{00000000-0005-0000-0000-0000FA360000}"/>
    <cellStyle name="Comma 5 5 3 6" xfId="14072" xr:uid="{00000000-0005-0000-0000-0000FB360000}"/>
    <cellStyle name="Comma 5 5 4" xfId="14073" xr:uid="{00000000-0005-0000-0000-0000FC360000}"/>
    <cellStyle name="Comma 5 5 4 2" xfId="14074" xr:uid="{00000000-0005-0000-0000-0000FD360000}"/>
    <cellStyle name="Comma 5 5 4 2 2" xfId="14075" xr:uid="{00000000-0005-0000-0000-0000FE360000}"/>
    <cellStyle name="Comma 5 5 4 2 2 2" xfId="14076" xr:uid="{00000000-0005-0000-0000-0000FF360000}"/>
    <cellStyle name="Comma 5 5 4 2 3" xfId="14077" xr:uid="{00000000-0005-0000-0000-000000370000}"/>
    <cellStyle name="Comma 5 5 4 3" xfId="14078" xr:uid="{00000000-0005-0000-0000-000001370000}"/>
    <cellStyle name="Comma 5 5 4 3 2" xfId="14079" xr:uid="{00000000-0005-0000-0000-000002370000}"/>
    <cellStyle name="Comma 5 5 4 4" xfId="14080" xr:uid="{00000000-0005-0000-0000-000003370000}"/>
    <cellStyle name="Comma 5 5 4 4 2" xfId="14081" xr:uid="{00000000-0005-0000-0000-000004370000}"/>
    <cellStyle name="Comma 5 5 4 5" xfId="14082" xr:uid="{00000000-0005-0000-0000-000005370000}"/>
    <cellStyle name="Comma 5 5 5" xfId="14083" xr:uid="{00000000-0005-0000-0000-000006370000}"/>
    <cellStyle name="Comma 5 5 5 2" xfId="14084" xr:uid="{00000000-0005-0000-0000-000007370000}"/>
    <cellStyle name="Comma 5 5 5 2 2" xfId="14085" xr:uid="{00000000-0005-0000-0000-000008370000}"/>
    <cellStyle name="Comma 5 5 5 3" xfId="14086" xr:uid="{00000000-0005-0000-0000-000009370000}"/>
    <cellStyle name="Comma 5 5 6" xfId="14087" xr:uid="{00000000-0005-0000-0000-00000A370000}"/>
    <cellStyle name="Comma 5 5 6 2" xfId="14088" xr:uid="{00000000-0005-0000-0000-00000B370000}"/>
    <cellStyle name="Comma 5 5 7" xfId="14089" xr:uid="{00000000-0005-0000-0000-00000C370000}"/>
    <cellStyle name="Comma 5 5 7 2" xfId="14090" xr:uid="{00000000-0005-0000-0000-00000D370000}"/>
    <cellStyle name="Comma 5 5 8" xfId="14091" xr:uid="{00000000-0005-0000-0000-00000E370000}"/>
    <cellStyle name="Comma 5 6" xfId="14092" xr:uid="{00000000-0005-0000-0000-00000F370000}"/>
    <cellStyle name="Comma 5 6 2" xfId="14093" xr:uid="{00000000-0005-0000-0000-000010370000}"/>
    <cellStyle name="Comma 5 6 2 2" xfId="14094" xr:uid="{00000000-0005-0000-0000-000011370000}"/>
    <cellStyle name="Comma 5 6 2 2 2" xfId="14095" xr:uid="{00000000-0005-0000-0000-000012370000}"/>
    <cellStyle name="Comma 5 6 2 2 2 2" xfId="14096" xr:uid="{00000000-0005-0000-0000-000013370000}"/>
    <cellStyle name="Comma 5 6 2 2 2 2 2" xfId="14097" xr:uid="{00000000-0005-0000-0000-000014370000}"/>
    <cellStyle name="Comma 5 6 2 2 2 3" xfId="14098" xr:uid="{00000000-0005-0000-0000-000015370000}"/>
    <cellStyle name="Comma 5 6 2 2 3" xfId="14099" xr:uid="{00000000-0005-0000-0000-000016370000}"/>
    <cellStyle name="Comma 5 6 2 2 3 2" xfId="14100" xr:uid="{00000000-0005-0000-0000-000017370000}"/>
    <cellStyle name="Comma 5 6 2 2 4" xfId="14101" xr:uid="{00000000-0005-0000-0000-000018370000}"/>
    <cellStyle name="Comma 5 6 2 2 4 2" xfId="14102" xr:uid="{00000000-0005-0000-0000-000019370000}"/>
    <cellStyle name="Comma 5 6 2 2 5" xfId="14103" xr:uid="{00000000-0005-0000-0000-00001A370000}"/>
    <cellStyle name="Comma 5 6 2 3" xfId="14104" xr:uid="{00000000-0005-0000-0000-00001B370000}"/>
    <cellStyle name="Comma 5 6 2 3 2" xfId="14105" xr:uid="{00000000-0005-0000-0000-00001C370000}"/>
    <cellStyle name="Comma 5 6 2 3 2 2" xfId="14106" xr:uid="{00000000-0005-0000-0000-00001D370000}"/>
    <cellStyle name="Comma 5 6 2 3 3" xfId="14107" xr:uid="{00000000-0005-0000-0000-00001E370000}"/>
    <cellStyle name="Comma 5 6 2 4" xfId="14108" xr:uid="{00000000-0005-0000-0000-00001F370000}"/>
    <cellStyle name="Comma 5 6 2 4 2" xfId="14109" xr:uid="{00000000-0005-0000-0000-000020370000}"/>
    <cellStyle name="Comma 5 6 2 5" xfId="14110" xr:uid="{00000000-0005-0000-0000-000021370000}"/>
    <cellStyle name="Comma 5 6 2 5 2" xfId="14111" xr:uid="{00000000-0005-0000-0000-000022370000}"/>
    <cellStyle name="Comma 5 6 2 6" xfId="14112" xr:uid="{00000000-0005-0000-0000-000023370000}"/>
    <cellStyle name="Comma 5 6 3" xfId="14113" xr:uid="{00000000-0005-0000-0000-000024370000}"/>
    <cellStyle name="Comma 5 6 3 2" xfId="14114" xr:uid="{00000000-0005-0000-0000-000025370000}"/>
    <cellStyle name="Comma 5 6 3 2 2" xfId="14115" xr:uid="{00000000-0005-0000-0000-000026370000}"/>
    <cellStyle name="Comma 5 6 3 2 2 2" xfId="14116" xr:uid="{00000000-0005-0000-0000-000027370000}"/>
    <cellStyle name="Comma 5 6 3 2 3" xfId="14117" xr:uid="{00000000-0005-0000-0000-000028370000}"/>
    <cellStyle name="Comma 5 6 3 3" xfId="14118" xr:uid="{00000000-0005-0000-0000-000029370000}"/>
    <cellStyle name="Comma 5 6 3 3 2" xfId="14119" xr:uid="{00000000-0005-0000-0000-00002A370000}"/>
    <cellStyle name="Comma 5 6 3 4" xfId="14120" xr:uid="{00000000-0005-0000-0000-00002B370000}"/>
    <cellStyle name="Comma 5 6 3 4 2" xfId="14121" xr:uid="{00000000-0005-0000-0000-00002C370000}"/>
    <cellStyle name="Comma 5 6 3 5" xfId="14122" xr:uid="{00000000-0005-0000-0000-00002D370000}"/>
    <cellStyle name="Comma 5 6 4" xfId="14123" xr:uid="{00000000-0005-0000-0000-00002E370000}"/>
    <cellStyle name="Comma 5 6 4 2" xfId="14124" xr:uid="{00000000-0005-0000-0000-00002F370000}"/>
    <cellStyle name="Comma 5 6 4 2 2" xfId="14125" xr:uid="{00000000-0005-0000-0000-000030370000}"/>
    <cellStyle name="Comma 5 6 4 3" xfId="14126" xr:uid="{00000000-0005-0000-0000-000031370000}"/>
    <cellStyle name="Comma 5 6 5" xfId="14127" xr:uid="{00000000-0005-0000-0000-000032370000}"/>
    <cellStyle name="Comma 5 6 5 2" xfId="14128" xr:uid="{00000000-0005-0000-0000-000033370000}"/>
    <cellStyle name="Comma 5 6 6" xfId="14129" xr:uid="{00000000-0005-0000-0000-000034370000}"/>
    <cellStyle name="Comma 5 6 6 2" xfId="14130" xr:uid="{00000000-0005-0000-0000-000035370000}"/>
    <cellStyle name="Comma 5 6 7" xfId="14131" xr:uid="{00000000-0005-0000-0000-000036370000}"/>
    <cellStyle name="Comma 5 7" xfId="14132" xr:uid="{00000000-0005-0000-0000-000037370000}"/>
    <cellStyle name="Comma 5 7 2" xfId="14133" xr:uid="{00000000-0005-0000-0000-000038370000}"/>
    <cellStyle name="Comma 5 7 2 2" xfId="14134" xr:uid="{00000000-0005-0000-0000-000039370000}"/>
    <cellStyle name="Comma 5 7 2 2 2" xfId="14135" xr:uid="{00000000-0005-0000-0000-00003A370000}"/>
    <cellStyle name="Comma 5 7 2 2 2 2" xfId="14136" xr:uid="{00000000-0005-0000-0000-00003B370000}"/>
    <cellStyle name="Comma 5 7 2 2 2 2 2" xfId="14137" xr:uid="{00000000-0005-0000-0000-00003C370000}"/>
    <cellStyle name="Comma 5 7 2 2 2 3" xfId="14138" xr:uid="{00000000-0005-0000-0000-00003D370000}"/>
    <cellStyle name="Comma 5 7 2 2 3" xfId="14139" xr:uid="{00000000-0005-0000-0000-00003E370000}"/>
    <cellStyle name="Comma 5 7 2 2 3 2" xfId="14140" xr:uid="{00000000-0005-0000-0000-00003F370000}"/>
    <cellStyle name="Comma 5 7 2 2 4" xfId="14141" xr:uid="{00000000-0005-0000-0000-000040370000}"/>
    <cellStyle name="Comma 5 7 2 2 4 2" xfId="14142" xr:uid="{00000000-0005-0000-0000-000041370000}"/>
    <cellStyle name="Comma 5 7 2 2 5" xfId="14143" xr:uid="{00000000-0005-0000-0000-000042370000}"/>
    <cellStyle name="Comma 5 7 2 3" xfId="14144" xr:uid="{00000000-0005-0000-0000-000043370000}"/>
    <cellStyle name="Comma 5 7 2 3 2" xfId="14145" xr:uid="{00000000-0005-0000-0000-000044370000}"/>
    <cellStyle name="Comma 5 7 2 3 2 2" xfId="14146" xr:uid="{00000000-0005-0000-0000-000045370000}"/>
    <cellStyle name="Comma 5 7 2 3 3" xfId="14147" xr:uid="{00000000-0005-0000-0000-000046370000}"/>
    <cellStyle name="Comma 5 7 2 4" xfId="14148" xr:uid="{00000000-0005-0000-0000-000047370000}"/>
    <cellStyle name="Comma 5 7 2 4 2" xfId="14149" xr:uid="{00000000-0005-0000-0000-000048370000}"/>
    <cellStyle name="Comma 5 7 2 5" xfId="14150" xr:uid="{00000000-0005-0000-0000-000049370000}"/>
    <cellStyle name="Comma 5 7 2 5 2" xfId="14151" xr:uid="{00000000-0005-0000-0000-00004A370000}"/>
    <cellStyle name="Comma 5 7 2 6" xfId="14152" xr:uid="{00000000-0005-0000-0000-00004B370000}"/>
    <cellStyle name="Comma 5 7 3" xfId="14153" xr:uid="{00000000-0005-0000-0000-00004C370000}"/>
    <cellStyle name="Comma 5 7 3 2" xfId="14154" xr:uid="{00000000-0005-0000-0000-00004D370000}"/>
    <cellStyle name="Comma 5 7 3 2 2" xfId="14155" xr:uid="{00000000-0005-0000-0000-00004E370000}"/>
    <cellStyle name="Comma 5 7 3 2 2 2" xfId="14156" xr:uid="{00000000-0005-0000-0000-00004F370000}"/>
    <cellStyle name="Comma 5 7 3 2 3" xfId="14157" xr:uid="{00000000-0005-0000-0000-000050370000}"/>
    <cellStyle name="Comma 5 7 3 3" xfId="14158" xr:uid="{00000000-0005-0000-0000-000051370000}"/>
    <cellStyle name="Comma 5 7 3 3 2" xfId="14159" xr:uid="{00000000-0005-0000-0000-000052370000}"/>
    <cellStyle name="Comma 5 7 3 4" xfId="14160" xr:uid="{00000000-0005-0000-0000-000053370000}"/>
    <cellStyle name="Comma 5 7 3 4 2" xfId="14161" xr:uid="{00000000-0005-0000-0000-000054370000}"/>
    <cellStyle name="Comma 5 7 3 5" xfId="14162" xr:uid="{00000000-0005-0000-0000-000055370000}"/>
    <cellStyle name="Comma 5 7 4" xfId="14163" xr:uid="{00000000-0005-0000-0000-000056370000}"/>
    <cellStyle name="Comma 5 7 4 2" xfId="14164" xr:uid="{00000000-0005-0000-0000-000057370000}"/>
    <cellStyle name="Comma 5 7 4 2 2" xfId="14165" xr:uid="{00000000-0005-0000-0000-000058370000}"/>
    <cellStyle name="Comma 5 7 4 3" xfId="14166" xr:uid="{00000000-0005-0000-0000-000059370000}"/>
    <cellStyle name="Comma 5 7 5" xfId="14167" xr:uid="{00000000-0005-0000-0000-00005A370000}"/>
    <cellStyle name="Comma 5 7 5 2" xfId="14168" xr:uid="{00000000-0005-0000-0000-00005B370000}"/>
    <cellStyle name="Comma 5 7 6" xfId="14169" xr:uid="{00000000-0005-0000-0000-00005C370000}"/>
    <cellStyle name="Comma 5 7 6 2" xfId="14170" xr:uid="{00000000-0005-0000-0000-00005D370000}"/>
    <cellStyle name="Comma 5 7 7" xfId="14171" xr:uid="{00000000-0005-0000-0000-00005E370000}"/>
    <cellStyle name="Comma 5 8" xfId="14172" xr:uid="{00000000-0005-0000-0000-00005F370000}"/>
    <cellStyle name="Comma 5 8 2" xfId="14173" xr:uid="{00000000-0005-0000-0000-000060370000}"/>
    <cellStyle name="Comma 5 8 2 2" xfId="14174" xr:uid="{00000000-0005-0000-0000-000061370000}"/>
    <cellStyle name="Comma 5 8 2 2 2" xfId="14175" xr:uid="{00000000-0005-0000-0000-000062370000}"/>
    <cellStyle name="Comma 5 8 2 2 2 2" xfId="14176" xr:uid="{00000000-0005-0000-0000-000063370000}"/>
    <cellStyle name="Comma 5 8 2 2 3" xfId="14177" xr:uid="{00000000-0005-0000-0000-000064370000}"/>
    <cellStyle name="Comma 5 8 2 3" xfId="14178" xr:uid="{00000000-0005-0000-0000-000065370000}"/>
    <cellStyle name="Comma 5 8 2 3 2" xfId="14179" xr:uid="{00000000-0005-0000-0000-000066370000}"/>
    <cellStyle name="Comma 5 8 2 4" xfId="14180" xr:uid="{00000000-0005-0000-0000-000067370000}"/>
    <cellStyle name="Comma 5 8 2 4 2" xfId="14181" xr:uid="{00000000-0005-0000-0000-000068370000}"/>
    <cellStyle name="Comma 5 8 2 5" xfId="14182" xr:uid="{00000000-0005-0000-0000-000069370000}"/>
    <cellStyle name="Comma 5 8 3" xfId="14183" xr:uid="{00000000-0005-0000-0000-00006A370000}"/>
    <cellStyle name="Comma 5 8 3 2" xfId="14184" xr:uid="{00000000-0005-0000-0000-00006B370000}"/>
    <cellStyle name="Comma 5 8 3 2 2" xfId="14185" xr:uid="{00000000-0005-0000-0000-00006C370000}"/>
    <cellStyle name="Comma 5 8 3 3" xfId="14186" xr:uid="{00000000-0005-0000-0000-00006D370000}"/>
    <cellStyle name="Comma 5 8 4" xfId="14187" xr:uid="{00000000-0005-0000-0000-00006E370000}"/>
    <cellStyle name="Comma 5 8 4 2" xfId="14188" xr:uid="{00000000-0005-0000-0000-00006F370000}"/>
    <cellStyle name="Comma 5 8 5" xfId="14189" xr:uid="{00000000-0005-0000-0000-000070370000}"/>
    <cellStyle name="Comma 5 8 5 2" xfId="14190" xr:uid="{00000000-0005-0000-0000-000071370000}"/>
    <cellStyle name="Comma 5 8 6" xfId="14191" xr:uid="{00000000-0005-0000-0000-000072370000}"/>
    <cellStyle name="Comma 5 9" xfId="14192" xr:uid="{00000000-0005-0000-0000-000073370000}"/>
    <cellStyle name="Comma 5 9 2" xfId="14193" xr:uid="{00000000-0005-0000-0000-000074370000}"/>
    <cellStyle name="Comma 5 9 2 2" xfId="14194" xr:uid="{00000000-0005-0000-0000-000075370000}"/>
    <cellStyle name="Comma 5 9 2 2 2" xfId="14195" xr:uid="{00000000-0005-0000-0000-000076370000}"/>
    <cellStyle name="Comma 5 9 2 3" xfId="14196" xr:uid="{00000000-0005-0000-0000-000077370000}"/>
    <cellStyle name="Comma 5 9 3" xfId="14197" xr:uid="{00000000-0005-0000-0000-000078370000}"/>
    <cellStyle name="Comma 5 9 3 2" xfId="14198" xr:uid="{00000000-0005-0000-0000-000079370000}"/>
    <cellStyle name="Comma 5 9 4" xfId="14199" xr:uid="{00000000-0005-0000-0000-00007A370000}"/>
    <cellStyle name="Comma 5 9 4 2" xfId="14200" xr:uid="{00000000-0005-0000-0000-00007B370000}"/>
    <cellStyle name="Comma 5 9 5" xfId="14201" xr:uid="{00000000-0005-0000-0000-00007C370000}"/>
    <cellStyle name="Comma 6" xfId="14202" xr:uid="{00000000-0005-0000-0000-00007D370000}"/>
    <cellStyle name="Comma 6 2" xfId="14203" xr:uid="{00000000-0005-0000-0000-00007E370000}"/>
    <cellStyle name="Comma 6 2 2" xfId="14204" xr:uid="{00000000-0005-0000-0000-00007F370000}"/>
    <cellStyle name="Comma 6 2 2 2" xfId="14205" xr:uid="{00000000-0005-0000-0000-000080370000}"/>
    <cellStyle name="Comma 6 2 2 2 2" xfId="14206" xr:uid="{00000000-0005-0000-0000-000081370000}"/>
    <cellStyle name="Comma 6 2 2 3" xfId="14207" xr:uid="{00000000-0005-0000-0000-000082370000}"/>
    <cellStyle name="Comma 6 2 3" xfId="14208" xr:uid="{00000000-0005-0000-0000-000083370000}"/>
    <cellStyle name="Comma 6 2 3 2" xfId="14209" xr:uid="{00000000-0005-0000-0000-000084370000}"/>
    <cellStyle name="Comma 6 2 4" xfId="14210" xr:uid="{00000000-0005-0000-0000-000085370000}"/>
    <cellStyle name="Comma 6 2 4 2" xfId="14211" xr:uid="{00000000-0005-0000-0000-000086370000}"/>
    <cellStyle name="Comma 6 2 5" xfId="14212" xr:uid="{00000000-0005-0000-0000-000087370000}"/>
    <cellStyle name="Comma 6 3" xfId="14213" xr:uid="{00000000-0005-0000-0000-000088370000}"/>
    <cellStyle name="Comma 6 3 2" xfId="14214" xr:uid="{00000000-0005-0000-0000-000089370000}"/>
    <cellStyle name="Comma 6 3 2 2" xfId="14215" xr:uid="{00000000-0005-0000-0000-00008A370000}"/>
    <cellStyle name="Comma 6 3 3" xfId="14216" xr:uid="{00000000-0005-0000-0000-00008B370000}"/>
    <cellStyle name="Comma 6 4" xfId="14217" xr:uid="{00000000-0005-0000-0000-00008C370000}"/>
    <cellStyle name="Comma 6 4 2" xfId="14218" xr:uid="{00000000-0005-0000-0000-00008D370000}"/>
    <cellStyle name="Comma 6 5" xfId="14219" xr:uid="{00000000-0005-0000-0000-00008E370000}"/>
    <cellStyle name="Comma 6 5 2" xfId="14220" xr:uid="{00000000-0005-0000-0000-00008F370000}"/>
    <cellStyle name="Comma 6 6" xfId="14221" xr:uid="{00000000-0005-0000-0000-000090370000}"/>
    <cellStyle name="Comma 7" xfId="14222" xr:uid="{00000000-0005-0000-0000-000091370000}"/>
    <cellStyle name="Comma 7 2" xfId="14223" xr:uid="{00000000-0005-0000-0000-000092370000}"/>
    <cellStyle name="Comma 8" xfId="14224" xr:uid="{00000000-0005-0000-0000-000093370000}"/>
    <cellStyle name="Comma 8 2" xfId="14225" xr:uid="{00000000-0005-0000-0000-000094370000}"/>
    <cellStyle name="Comma 8 5" xfId="14226" xr:uid="{00000000-0005-0000-0000-000095370000}"/>
    <cellStyle name="Currency 2" xfId="14227" xr:uid="{00000000-0005-0000-0000-000096370000}"/>
    <cellStyle name="Currency 2 2" xfId="14228" xr:uid="{00000000-0005-0000-0000-000097370000}"/>
    <cellStyle name="Currency 3" xfId="14229" xr:uid="{00000000-0005-0000-0000-000098370000}"/>
    <cellStyle name="Error 1" xfId="14230" xr:uid="{00000000-0005-0000-0000-000099370000}"/>
    <cellStyle name="Footnote 1" xfId="14231" xr:uid="{00000000-0005-0000-0000-00009A370000}"/>
    <cellStyle name="Good 1" xfId="14232" xr:uid="{00000000-0005-0000-0000-00009B370000}"/>
    <cellStyle name="Good 2" xfId="14233" xr:uid="{00000000-0005-0000-0000-00009C370000}"/>
    <cellStyle name="Good 2 2" xfId="14234" xr:uid="{00000000-0005-0000-0000-00009D370000}"/>
    <cellStyle name="Heading 1 1" xfId="14235" xr:uid="{00000000-0005-0000-0000-00009E370000}"/>
    <cellStyle name="Heading 1 2" xfId="14236" xr:uid="{00000000-0005-0000-0000-00009F370000}"/>
    <cellStyle name="Heading 2 1" xfId="14237" xr:uid="{00000000-0005-0000-0000-0000A0370000}"/>
    <cellStyle name="Heading 2 2" xfId="14238" xr:uid="{00000000-0005-0000-0000-0000A1370000}"/>
    <cellStyle name="Heading 3 2" xfId="14239" xr:uid="{00000000-0005-0000-0000-0000A2370000}"/>
    <cellStyle name="Heading 4 2" xfId="14240" xr:uid="{00000000-0005-0000-0000-0000A3370000}"/>
    <cellStyle name="Hyperlink" xfId="2" builtinId="8"/>
    <cellStyle name="Hyperlink 2" xfId="14241" xr:uid="{00000000-0005-0000-0000-0000A4370000}"/>
    <cellStyle name="Hyperlink 3" xfId="14242" xr:uid="{00000000-0005-0000-0000-0000A5370000}"/>
    <cellStyle name="Input 2" xfId="14243" xr:uid="{00000000-0005-0000-0000-0000A6370000}"/>
    <cellStyle name="Input 2 2" xfId="14244" xr:uid="{00000000-0005-0000-0000-0000A7370000}"/>
    <cellStyle name="Input 2 2 2" xfId="14245" xr:uid="{00000000-0005-0000-0000-0000A8370000}"/>
    <cellStyle name="Linked Cell 2" xfId="14246" xr:uid="{00000000-0005-0000-0000-0000A9370000}"/>
    <cellStyle name="Neutral 1" xfId="14247" xr:uid="{00000000-0005-0000-0000-0000AA370000}"/>
    <cellStyle name="Neutral 2" xfId="14248" xr:uid="{00000000-0005-0000-0000-0000AB370000}"/>
    <cellStyle name="Normal" xfId="0" builtinId="0"/>
    <cellStyle name="Normal 10" xfId="14249" xr:uid="{00000000-0005-0000-0000-0000AC370000}"/>
    <cellStyle name="Normal 11" xfId="14250" xr:uid="{00000000-0005-0000-0000-0000AD370000}"/>
    <cellStyle name="Normal 11 2" xfId="14251" xr:uid="{00000000-0005-0000-0000-0000AE370000}"/>
    <cellStyle name="Normal 12" xfId="14252" xr:uid="{00000000-0005-0000-0000-0000AF370000}"/>
    <cellStyle name="Normal 13" xfId="14253" xr:uid="{00000000-0005-0000-0000-0000B0370000}"/>
    <cellStyle name="Normal 13 2" xfId="14254" xr:uid="{00000000-0005-0000-0000-0000B1370000}"/>
    <cellStyle name="Normal 14" xfId="14255" xr:uid="{00000000-0005-0000-0000-0000B2370000}"/>
    <cellStyle name="Normal 14 2" xfId="14256" xr:uid="{00000000-0005-0000-0000-0000B3370000}"/>
    <cellStyle name="Normal 14 3" xfId="14257" xr:uid="{00000000-0005-0000-0000-0000B4370000}"/>
    <cellStyle name="Normal 14 4" xfId="14258" xr:uid="{00000000-0005-0000-0000-0000B5370000}"/>
    <cellStyle name="Normal 15" xfId="14259" xr:uid="{00000000-0005-0000-0000-0000B6370000}"/>
    <cellStyle name="Normal 15 2" xfId="14260" xr:uid="{00000000-0005-0000-0000-0000B7370000}"/>
    <cellStyle name="Normal 16" xfId="14261" xr:uid="{00000000-0005-0000-0000-0000B8370000}"/>
    <cellStyle name="Normal 16 2" xfId="14262" xr:uid="{00000000-0005-0000-0000-0000B9370000}"/>
    <cellStyle name="Normal 2" xfId="14263" xr:uid="{00000000-0005-0000-0000-0000BA370000}"/>
    <cellStyle name="Normal 2 2" xfId="14264" xr:uid="{00000000-0005-0000-0000-0000BB370000}"/>
    <cellStyle name="Normal 2 2 2" xfId="14265" xr:uid="{00000000-0005-0000-0000-0000BC370000}"/>
    <cellStyle name="Normal 2 2 3" xfId="14266" xr:uid="{00000000-0005-0000-0000-0000BD370000}"/>
    <cellStyle name="Normal 2 2 4" xfId="14267" xr:uid="{00000000-0005-0000-0000-0000BE370000}"/>
    <cellStyle name="Normal 2 3" xfId="14268" xr:uid="{00000000-0005-0000-0000-0000BF370000}"/>
    <cellStyle name="Normal 2 4" xfId="14269" xr:uid="{00000000-0005-0000-0000-0000C0370000}"/>
    <cellStyle name="Normal 3" xfId="14270" xr:uid="{00000000-0005-0000-0000-0000C1370000}"/>
    <cellStyle name="Normal 3 2" xfId="14271" xr:uid="{00000000-0005-0000-0000-0000C2370000}"/>
    <cellStyle name="Normal 3 2 2" xfId="14272" xr:uid="{00000000-0005-0000-0000-0000C3370000}"/>
    <cellStyle name="Normal 3 3" xfId="14273" xr:uid="{00000000-0005-0000-0000-0000C4370000}"/>
    <cellStyle name="Normal 3 3 2" xfId="14274" xr:uid="{00000000-0005-0000-0000-0000C5370000}"/>
    <cellStyle name="Normal 3 4" xfId="14275" xr:uid="{00000000-0005-0000-0000-0000C6370000}"/>
    <cellStyle name="Normal 4" xfId="14276" xr:uid="{00000000-0005-0000-0000-0000C7370000}"/>
    <cellStyle name="Normal 4 2" xfId="14277" xr:uid="{00000000-0005-0000-0000-0000C8370000}"/>
    <cellStyle name="Normal 5" xfId="14278" xr:uid="{00000000-0005-0000-0000-0000C9370000}"/>
    <cellStyle name="Normal 5 2" xfId="14279" xr:uid="{00000000-0005-0000-0000-0000CA370000}"/>
    <cellStyle name="Normal 6" xfId="14280" xr:uid="{00000000-0005-0000-0000-0000CB370000}"/>
    <cellStyle name="Normal 7" xfId="14281" xr:uid="{00000000-0005-0000-0000-0000CC370000}"/>
    <cellStyle name="Normal 7 2" xfId="14282" xr:uid="{00000000-0005-0000-0000-0000CD370000}"/>
    <cellStyle name="Normal 7 3" xfId="14283" xr:uid="{00000000-0005-0000-0000-0000CE370000}"/>
    <cellStyle name="Normal 8" xfId="14284" xr:uid="{00000000-0005-0000-0000-0000CF370000}"/>
    <cellStyle name="Normal 9" xfId="14285" xr:uid="{00000000-0005-0000-0000-0000D0370000}"/>
    <cellStyle name="Note 1" xfId="14286" xr:uid="{00000000-0005-0000-0000-0000D1370000}"/>
    <cellStyle name="Note 1 2" xfId="14287" xr:uid="{00000000-0005-0000-0000-0000D2370000}"/>
    <cellStyle name="Note 1 2 2" xfId="14288" xr:uid="{00000000-0005-0000-0000-0000D3370000}"/>
    <cellStyle name="Note 2" xfId="14289" xr:uid="{00000000-0005-0000-0000-0000D4370000}"/>
    <cellStyle name="Note 2 2" xfId="14290" xr:uid="{00000000-0005-0000-0000-0000D5370000}"/>
    <cellStyle name="Note 2 2 2" xfId="14291" xr:uid="{00000000-0005-0000-0000-0000D6370000}"/>
    <cellStyle name="Output 2" xfId="14292" xr:uid="{00000000-0005-0000-0000-0000D7370000}"/>
    <cellStyle name="Output 2 2" xfId="14293" xr:uid="{00000000-0005-0000-0000-0000D8370000}"/>
    <cellStyle name="Output 2 2 2" xfId="14294" xr:uid="{00000000-0005-0000-0000-0000D9370000}"/>
    <cellStyle name="Status 1" xfId="14295" xr:uid="{00000000-0005-0000-0000-0000DA370000}"/>
    <cellStyle name="Text 1" xfId="14296" xr:uid="{00000000-0005-0000-0000-0000DB370000}"/>
    <cellStyle name="Title 2" xfId="14297" xr:uid="{00000000-0005-0000-0000-0000DC370000}"/>
    <cellStyle name="Total 2" xfId="14298" xr:uid="{00000000-0005-0000-0000-0000DD370000}"/>
    <cellStyle name="Total 2 2" xfId="14299" xr:uid="{00000000-0005-0000-0000-0000DE370000}"/>
    <cellStyle name="Total 2 2 2" xfId="14300" xr:uid="{00000000-0005-0000-0000-0000DF370000}"/>
    <cellStyle name="Warning 1" xfId="14301" xr:uid="{00000000-0005-0000-0000-0000E037000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563C1"/>
      <rgbColor rgb="FFC0C0C0"/>
      <rgbColor rgb="FF808080"/>
      <rgbColor rgb="FFAFABAB"/>
      <rgbColor rgb="FF843C0B"/>
      <rgbColor rgb="FFFFFFCC"/>
      <rgbColor rgb="FFCCFFFF"/>
      <rgbColor rgb="FF660066"/>
      <rgbColor rgb="FFFF8080"/>
      <rgbColor rgb="FF0066CC"/>
      <rgbColor rgb="FFCCCCFF"/>
      <rgbColor rgb="FF000080"/>
      <rgbColor rgb="FFFF00FF"/>
      <rgbColor rgb="FFF8CBAD"/>
      <rgbColor rgb="FF00FFFF"/>
      <rgbColor rgb="FF800080"/>
      <rgbColor rgb="FF9C0006"/>
      <rgbColor rgb="FF008080"/>
      <rgbColor rgb="FF0000FF"/>
      <rgbColor rgb="FFDAE3F3"/>
      <rgbColor rgb="FFE2F0D9"/>
      <rgbColor rgb="FFCCFFCC"/>
      <rgbColor rgb="FFFFFF99"/>
      <rgbColor rgb="FF99CCFF"/>
      <rgbColor rgb="FFFF99CC"/>
      <rgbColor rgb="FFCC99FF"/>
      <rgbColor rgb="FFFFCC99"/>
      <rgbColor rgb="FFFFC7CE"/>
      <rgbColor rgb="FF33CCCC"/>
      <rgbColor rgb="FFD0CECE"/>
      <rgbColor rgb="FFFFCC00"/>
      <rgbColor rgb="FFFF9900"/>
      <rgbColor rgb="FFFF6600"/>
      <rgbColor rgb="FF44546A"/>
      <rgbColor rgb="FFA6A6A6"/>
      <rgbColor rgb="FF003366"/>
      <rgbColor rgb="FF339966"/>
      <rgbColor rgb="FF003300"/>
      <rgbColor rgb="FF333300"/>
      <rgbColor rgb="FF993300"/>
      <rgbColor rgb="FFED7D31"/>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1" Type="http://schemas.openxmlformats.org/officeDocument/2006/relationships/image" Target="../media/image4.png"/></Relationships>
</file>

<file path=xl/drawings/_rels/drawing6.xml.rels><?xml version="1.0" encoding="UTF-8" standalone="yes"?>
<Relationships xmlns="http://schemas.openxmlformats.org/package/2006/relationships"><Relationship Id="rId1" Type="http://schemas.openxmlformats.org/officeDocument/2006/relationships/image" Target="../media/image5.png"/></Relationships>
</file>

<file path=xl/drawings/_rels/drawing7.x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xdr:from>
      <xdr:col>0</xdr:col>
      <xdr:colOff>72720</xdr:colOff>
      <xdr:row>0</xdr:row>
      <xdr:rowOff>26640</xdr:rowOff>
    </xdr:from>
    <xdr:to>
      <xdr:col>0</xdr:col>
      <xdr:colOff>803160</xdr:colOff>
      <xdr:row>2</xdr:row>
      <xdr:rowOff>139680</xdr:rowOff>
    </xdr:to>
    <xdr:pic>
      <xdr:nvPicPr>
        <xdr:cNvPr id="2" name="Picture 266">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a:stretch/>
      </xdr:blipFill>
      <xdr:spPr>
        <a:xfrm>
          <a:off x="72720" y="26640"/>
          <a:ext cx="730440" cy="456120"/>
        </a:xfrm>
        <a:prstGeom prst="rect">
          <a:avLst/>
        </a:prstGeom>
        <a:ln w="0">
          <a:noFill/>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19080</xdr:colOff>
      <xdr:row>1</xdr:row>
      <xdr:rowOff>0</xdr:rowOff>
    </xdr:from>
    <xdr:to>
      <xdr:col>2</xdr:col>
      <xdr:colOff>418680</xdr:colOff>
      <xdr:row>4</xdr:row>
      <xdr:rowOff>237600</xdr:rowOff>
    </xdr:to>
    <xdr:pic>
      <xdr:nvPicPr>
        <xdr:cNvPr id="2" name="Picture 5">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a:stretch/>
      </xdr:blipFill>
      <xdr:spPr>
        <a:xfrm>
          <a:off x="160200" y="142920"/>
          <a:ext cx="1002600" cy="771120"/>
        </a:xfrm>
        <a:prstGeom prst="rect">
          <a:avLst/>
        </a:prstGeom>
        <a:ln w="0">
          <a:noFill/>
        </a:ln>
      </xdr:spPr>
    </xdr:pic>
    <xdr:clientData/>
  </xdr:twoCellAnchor>
  <xdr:twoCellAnchor>
    <xdr:from>
      <xdr:col>1</xdr:col>
      <xdr:colOff>19080</xdr:colOff>
      <xdr:row>1</xdr:row>
      <xdr:rowOff>0</xdr:rowOff>
    </xdr:from>
    <xdr:to>
      <xdr:col>2</xdr:col>
      <xdr:colOff>418680</xdr:colOff>
      <xdr:row>4</xdr:row>
      <xdr:rowOff>237600</xdr:rowOff>
    </xdr:to>
    <xdr:pic>
      <xdr:nvPicPr>
        <xdr:cNvPr id="3" name="Picture 5">
          <a:extLst>
            <a:ext uri="{FF2B5EF4-FFF2-40B4-BE49-F238E27FC236}">
              <a16:creationId xmlns:a16="http://schemas.microsoft.com/office/drawing/2014/main" id="{00000000-0008-0000-0200-000003000000}"/>
            </a:ext>
          </a:extLst>
        </xdr:cNvPr>
        <xdr:cNvPicPr/>
      </xdr:nvPicPr>
      <xdr:blipFill>
        <a:blip xmlns:r="http://schemas.openxmlformats.org/officeDocument/2006/relationships" r:embed="rId1"/>
        <a:stretch/>
      </xdr:blipFill>
      <xdr:spPr>
        <a:xfrm>
          <a:off x="160200" y="142920"/>
          <a:ext cx="1002600" cy="771120"/>
        </a:xfrm>
        <a:prstGeom prst="rect">
          <a:avLst/>
        </a:prstGeom>
        <a:ln w="0">
          <a:noFill/>
        </a:ln>
      </xdr:spPr>
    </xdr:pic>
    <xdr:clientData/>
  </xdr:twoCellAnchor>
  <xdr:twoCellAnchor>
    <xdr:from>
      <xdr:col>1</xdr:col>
      <xdr:colOff>19080</xdr:colOff>
      <xdr:row>1</xdr:row>
      <xdr:rowOff>0</xdr:rowOff>
    </xdr:from>
    <xdr:to>
      <xdr:col>2</xdr:col>
      <xdr:colOff>418680</xdr:colOff>
      <xdr:row>4</xdr:row>
      <xdr:rowOff>237600</xdr:rowOff>
    </xdr:to>
    <xdr:pic>
      <xdr:nvPicPr>
        <xdr:cNvPr id="4" name="Picture 5">
          <a:extLst>
            <a:ext uri="{FF2B5EF4-FFF2-40B4-BE49-F238E27FC236}">
              <a16:creationId xmlns:a16="http://schemas.microsoft.com/office/drawing/2014/main" id="{00000000-0008-0000-0200-000004000000}"/>
            </a:ext>
          </a:extLst>
        </xdr:cNvPr>
        <xdr:cNvPicPr/>
      </xdr:nvPicPr>
      <xdr:blipFill>
        <a:blip xmlns:r="http://schemas.openxmlformats.org/officeDocument/2006/relationships" r:embed="rId1"/>
        <a:stretch/>
      </xdr:blipFill>
      <xdr:spPr>
        <a:xfrm>
          <a:off x="160200" y="142920"/>
          <a:ext cx="1002600" cy="771120"/>
        </a:xfrm>
        <a:prstGeom prst="rect">
          <a:avLst/>
        </a:prstGeom>
        <a:ln w="0">
          <a:noFill/>
        </a:ln>
      </xdr:spPr>
    </xdr:pic>
    <xdr:clientData/>
  </xdr:twoCellAnchor>
  <xdr:twoCellAnchor>
    <xdr:from>
      <xdr:col>1</xdr:col>
      <xdr:colOff>19080</xdr:colOff>
      <xdr:row>1</xdr:row>
      <xdr:rowOff>0</xdr:rowOff>
    </xdr:from>
    <xdr:to>
      <xdr:col>2</xdr:col>
      <xdr:colOff>418680</xdr:colOff>
      <xdr:row>4</xdr:row>
      <xdr:rowOff>237600</xdr:rowOff>
    </xdr:to>
    <xdr:pic>
      <xdr:nvPicPr>
        <xdr:cNvPr id="5" name="Picture 5">
          <a:extLst>
            <a:ext uri="{FF2B5EF4-FFF2-40B4-BE49-F238E27FC236}">
              <a16:creationId xmlns:a16="http://schemas.microsoft.com/office/drawing/2014/main" id="{00000000-0008-0000-0200-000005000000}"/>
            </a:ext>
          </a:extLst>
        </xdr:cNvPr>
        <xdr:cNvPicPr/>
      </xdr:nvPicPr>
      <xdr:blipFill>
        <a:blip xmlns:r="http://schemas.openxmlformats.org/officeDocument/2006/relationships" r:embed="rId1"/>
        <a:stretch/>
      </xdr:blipFill>
      <xdr:spPr>
        <a:xfrm>
          <a:off x="160200" y="142920"/>
          <a:ext cx="1002600" cy="771120"/>
        </a:xfrm>
        <a:prstGeom prst="rect">
          <a:avLst/>
        </a:prstGeom>
        <a:ln w="0">
          <a:noFill/>
        </a:ln>
      </xdr:spPr>
    </xdr:pic>
    <xdr:clientData/>
  </xdr:twoCellAnchor>
  <xdr:twoCellAnchor>
    <xdr:from>
      <xdr:col>1</xdr:col>
      <xdr:colOff>19080</xdr:colOff>
      <xdr:row>1</xdr:row>
      <xdr:rowOff>0</xdr:rowOff>
    </xdr:from>
    <xdr:to>
      <xdr:col>2</xdr:col>
      <xdr:colOff>418680</xdr:colOff>
      <xdr:row>4</xdr:row>
      <xdr:rowOff>237600</xdr:rowOff>
    </xdr:to>
    <xdr:pic>
      <xdr:nvPicPr>
        <xdr:cNvPr id="6" name="Picture 5">
          <a:extLst>
            <a:ext uri="{FF2B5EF4-FFF2-40B4-BE49-F238E27FC236}">
              <a16:creationId xmlns:a16="http://schemas.microsoft.com/office/drawing/2014/main" id="{00000000-0008-0000-0200-000006000000}"/>
            </a:ext>
          </a:extLst>
        </xdr:cNvPr>
        <xdr:cNvPicPr/>
      </xdr:nvPicPr>
      <xdr:blipFill>
        <a:blip xmlns:r="http://schemas.openxmlformats.org/officeDocument/2006/relationships" r:embed="rId1"/>
        <a:stretch/>
      </xdr:blipFill>
      <xdr:spPr>
        <a:xfrm>
          <a:off x="160200" y="142920"/>
          <a:ext cx="1002600" cy="771120"/>
        </a:xfrm>
        <a:prstGeom prst="rect">
          <a:avLst/>
        </a:prstGeom>
        <a:ln w="0">
          <a:noFill/>
        </a:ln>
      </xdr:spPr>
    </xdr:pic>
    <xdr:clientData/>
  </xdr:twoCellAnchor>
  <xdr:twoCellAnchor>
    <xdr:from>
      <xdr:col>1</xdr:col>
      <xdr:colOff>19080</xdr:colOff>
      <xdr:row>1</xdr:row>
      <xdr:rowOff>0</xdr:rowOff>
    </xdr:from>
    <xdr:to>
      <xdr:col>2</xdr:col>
      <xdr:colOff>418680</xdr:colOff>
      <xdr:row>4</xdr:row>
      <xdr:rowOff>237600</xdr:rowOff>
    </xdr:to>
    <xdr:pic>
      <xdr:nvPicPr>
        <xdr:cNvPr id="7" name="Picture 5">
          <a:extLst>
            <a:ext uri="{FF2B5EF4-FFF2-40B4-BE49-F238E27FC236}">
              <a16:creationId xmlns:a16="http://schemas.microsoft.com/office/drawing/2014/main" id="{00000000-0008-0000-0200-000007000000}"/>
            </a:ext>
          </a:extLst>
        </xdr:cNvPr>
        <xdr:cNvPicPr/>
      </xdr:nvPicPr>
      <xdr:blipFill>
        <a:blip xmlns:r="http://schemas.openxmlformats.org/officeDocument/2006/relationships" r:embed="rId1"/>
        <a:stretch/>
      </xdr:blipFill>
      <xdr:spPr>
        <a:xfrm>
          <a:off x="160200" y="142920"/>
          <a:ext cx="1002600" cy="771120"/>
        </a:xfrm>
        <a:prstGeom prst="rect">
          <a:avLst/>
        </a:prstGeom>
        <a:ln w="0">
          <a:noFill/>
        </a:ln>
      </xdr:spPr>
    </xdr:pic>
    <xdr:clientData/>
  </xdr:twoCellAnchor>
  <xdr:twoCellAnchor>
    <xdr:from>
      <xdr:col>1</xdr:col>
      <xdr:colOff>19080</xdr:colOff>
      <xdr:row>1</xdr:row>
      <xdr:rowOff>0</xdr:rowOff>
    </xdr:from>
    <xdr:to>
      <xdr:col>2</xdr:col>
      <xdr:colOff>418680</xdr:colOff>
      <xdr:row>4</xdr:row>
      <xdr:rowOff>237600</xdr:rowOff>
    </xdr:to>
    <xdr:pic>
      <xdr:nvPicPr>
        <xdr:cNvPr id="8" name="Picture 5">
          <a:extLst>
            <a:ext uri="{FF2B5EF4-FFF2-40B4-BE49-F238E27FC236}">
              <a16:creationId xmlns:a16="http://schemas.microsoft.com/office/drawing/2014/main" id="{00000000-0008-0000-0200-000008000000}"/>
            </a:ext>
          </a:extLst>
        </xdr:cNvPr>
        <xdr:cNvPicPr/>
      </xdr:nvPicPr>
      <xdr:blipFill>
        <a:blip xmlns:r="http://schemas.openxmlformats.org/officeDocument/2006/relationships" r:embed="rId1"/>
        <a:stretch/>
      </xdr:blipFill>
      <xdr:spPr>
        <a:xfrm>
          <a:off x="160200" y="142920"/>
          <a:ext cx="1002600" cy="771120"/>
        </a:xfrm>
        <a:prstGeom prst="rect">
          <a:avLst/>
        </a:prstGeom>
        <a:ln w="0">
          <a:noFill/>
        </a:ln>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983160</xdr:colOff>
      <xdr:row>4</xdr:row>
      <xdr:rowOff>24840</xdr:rowOff>
    </xdr:to>
    <xdr:pic>
      <xdr:nvPicPr>
        <xdr:cNvPr id="8" name="Picture 4429">
          <a:extLst>
            <a:ext uri="{FF2B5EF4-FFF2-40B4-BE49-F238E27FC236}">
              <a16:creationId xmlns:a16="http://schemas.microsoft.com/office/drawing/2014/main" id="{00000000-0008-0000-0300-000008000000}"/>
            </a:ext>
          </a:extLst>
        </xdr:cNvPr>
        <xdr:cNvPicPr/>
      </xdr:nvPicPr>
      <xdr:blipFill>
        <a:blip xmlns:r="http://schemas.openxmlformats.org/officeDocument/2006/relationships" r:embed="rId1"/>
        <a:stretch/>
      </xdr:blipFill>
      <xdr:spPr>
        <a:xfrm>
          <a:off x="0" y="0"/>
          <a:ext cx="1961640" cy="901080"/>
        </a:xfrm>
        <a:prstGeom prst="rect">
          <a:avLst/>
        </a:prstGeom>
        <a:ln w="0">
          <a:noFill/>
        </a:ln>
      </xdr:spPr>
    </xdr:pic>
    <xdr:clientData/>
  </xdr:twoCellAnchor>
  <xdr:twoCellAnchor>
    <xdr:from>
      <xdr:col>0</xdr:col>
      <xdr:colOff>0</xdr:colOff>
      <xdr:row>0</xdr:row>
      <xdr:rowOff>0</xdr:rowOff>
    </xdr:from>
    <xdr:to>
      <xdr:col>1</xdr:col>
      <xdr:colOff>983160</xdr:colOff>
      <xdr:row>4</xdr:row>
      <xdr:rowOff>24840</xdr:rowOff>
    </xdr:to>
    <xdr:pic>
      <xdr:nvPicPr>
        <xdr:cNvPr id="9" name="Picture 4429">
          <a:extLst>
            <a:ext uri="{FF2B5EF4-FFF2-40B4-BE49-F238E27FC236}">
              <a16:creationId xmlns:a16="http://schemas.microsoft.com/office/drawing/2014/main" id="{00000000-0008-0000-0300-000009000000}"/>
            </a:ext>
          </a:extLst>
        </xdr:cNvPr>
        <xdr:cNvPicPr/>
      </xdr:nvPicPr>
      <xdr:blipFill>
        <a:blip xmlns:r="http://schemas.openxmlformats.org/officeDocument/2006/relationships" r:embed="rId1"/>
        <a:stretch/>
      </xdr:blipFill>
      <xdr:spPr>
        <a:xfrm>
          <a:off x="0" y="0"/>
          <a:ext cx="1961640" cy="901080"/>
        </a:xfrm>
        <a:prstGeom prst="rect">
          <a:avLst/>
        </a:prstGeom>
        <a:ln w="0">
          <a:noFill/>
        </a:ln>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9360</xdr:colOff>
      <xdr:row>0</xdr:row>
      <xdr:rowOff>9360</xdr:rowOff>
    </xdr:from>
    <xdr:to>
      <xdr:col>1</xdr:col>
      <xdr:colOff>866160</xdr:colOff>
      <xdr:row>3</xdr:row>
      <xdr:rowOff>173880</xdr:rowOff>
    </xdr:to>
    <xdr:pic>
      <xdr:nvPicPr>
        <xdr:cNvPr id="10" name="Picture 4429">
          <a:extLst>
            <a:ext uri="{FF2B5EF4-FFF2-40B4-BE49-F238E27FC236}">
              <a16:creationId xmlns:a16="http://schemas.microsoft.com/office/drawing/2014/main" id="{00000000-0008-0000-0400-00000A000000}"/>
            </a:ext>
          </a:extLst>
        </xdr:cNvPr>
        <xdr:cNvPicPr/>
      </xdr:nvPicPr>
      <xdr:blipFill>
        <a:blip xmlns:r="http://schemas.openxmlformats.org/officeDocument/2006/relationships" r:embed="rId1"/>
        <a:stretch/>
      </xdr:blipFill>
      <xdr:spPr>
        <a:xfrm>
          <a:off x="9360" y="9360"/>
          <a:ext cx="1663200" cy="821880"/>
        </a:xfrm>
        <a:prstGeom prst="rect">
          <a:avLst/>
        </a:prstGeom>
        <a:ln w="0">
          <a:noFill/>
        </a:ln>
      </xdr:spPr>
    </xdr:pic>
    <xdr:clientData/>
  </xdr:twoCellAnchor>
  <xdr:twoCellAnchor>
    <xdr:from>
      <xdr:col>0</xdr:col>
      <xdr:colOff>9360</xdr:colOff>
      <xdr:row>0</xdr:row>
      <xdr:rowOff>9360</xdr:rowOff>
    </xdr:from>
    <xdr:to>
      <xdr:col>1</xdr:col>
      <xdr:colOff>866160</xdr:colOff>
      <xdr:row>3</xdr:row>
      <xdr:rowOff>173880</xdr:rowOff>
    </xdr:to>
    <xdr:pic>
      <xdr:nvPicPr>
        <xdr:cNvPr id="11" name="Picture 4429">
          <a:extLst>
            <a:ext uri="{FF2B5EF4-FFF2-40B4-BE49-F238E27FC236}">
              <a16:creationId xmlns:a16="http://schemas.microsoft.com/office/drawing/2014/main" id="{00000000-0008-0000-0400-00000B000000}"/>
            </a:ext>
          </a:extLst>
        </xdr:cNvPr>
        <xdr:cNvPicPr/>
      </xdr:nvPicPr>
      <xdr:blipFill>
        <a:blip xmlns:r="http://schemas.openxmlformats.org/officeDocument/2006/relationships" r:embed="rId1"/>
        <a:stretch/>
      </xdr:blipFill>
      <xdr:spPr>
        <a:xfrm>
          <a:off x="9360" y="9360"/>
          <a:ext cx="1663200" cy="821880"/>
        </a:xfrm>
        <a:prstGeom prst="rect">
          <a:avLst/>
        </a:prstGeom>
        <a:ln w="0">
          <a:noFill/>
        </a:ln>
      </xdr:spPr>
    </xdr:pic>
    <xdr:clientData/>
  </xdr:twoCellAnchor>
  <xdr:twoCellAnchor>
    <xdr:from>
      <xdr:col>0</xdr:col>
      <xdr:colOff>9360</xdr:colOff>
      <xdr:row>0</xdr:row>
      <xdr:rowOff>9360</xdr:rowOff>
    </xdr:from>
    <xdr:to>
      <xdr:col>1</xdr:col>
      <xdr:colOff>1062000</xdr:colOff>
      <xdr:row>4</xdr:row>
      <xdr:rowOff>12240</xdr:rowOff>
    </xdr:to>
    <xdr:pic>
      <xdr:nvPicPr>
        <xdr:cNvPr id="12" name="Picture 4429">
          <a:extLst>
            <a:ext uri="{FF2B5EF4-FFF2-40B4-BE49-F238E27FC236}">
              <a16:creationId xmlns:a16="http://schemas.microsoft.com/office/drawing/2014/main" id="{00000000-0008-0000-0400-00000C000000}"/>
            </a:ext>
          </a:extLst>
        </xdr:cNvPr>
        <xdr:cNvPicPr/>
      </xdr:nvPicPr>
      <xdr:blipFill>
        <a:blip xmlns:r="http://schemas.openxmlformats.org/officeDocument/2006/relationships" r:embed="rId1"/>
        <a:stretch/>
      </xdr:blipFill>
      <xdr:spPr>
        <a:xfrm>
          <a:off x="9360" y="9360"/>
          <a:ext cx="1859040" cy="879120"/>
        </a:xfrm>
        <a:prstGeom prst="rect">
          <a:avLst/>
        </a:prstGeom>
        <a:ln w="0">
          <a:noFill/>
        </a:ln>
      </xdr:spPr>
    </xdr:pic>
    <xdr:clientData/>
  </xdr:twoCellAnchor>
  <xdr:twoCellAnchor>
    <xdr:from>
      <xdr:col>0</xdr:col>
      <xdr:colOff>9360</xdr:colOff>
      <xdr:row>0</xdr:row>
      <xdr:rowOff>9360</xdr:rowOff>
    </xdr:from>
    <xdr:to>
      <xdr:col>1</xdr:col>
      <xdr:colOff>866160</xdr:colOff>
      <xdr:row>3</xdr:row>
      <xdr:rowOff>173880</xdr:rowOff>
    </xdr:to>
    <xdr:pic>
      <xdr:nvPicPr>
        <xdr:cNvPr id="13" name="Picture 4429">
          <a:extLst>
            <a:ext uri="{FF2B5EF4-FFF2-40B4-BE49-F238E27FC236}">
              <a16:creationId xmlns:a16="http://schemas.microsoft.com/office/drawing/2014/main" id="{00000000-0008-0000-0400-00000D000000}"/>
            </a:ext>
          </a:extLst>
        </xdr:cNvPr>
        <xdr:cNvPicPr/>
      </xdr:nvPicPr>
      <xdr:blipFill>
        <a:blip xmlns:r="http://schemas.openxmlformats.org/officeDocument/2006/relationships" r:embed="rId1"/>
        <a:stretch/>
      </xdr:blipFill>
      <xdr:spPr>
        <a:xfrm>
          <a:off x="9360" y="9360"/>
          <a:ext cx="1663200" cy="821880"/>
        </a:xfrm>
        <a:prstGeom prst="rect">
          <a:avLst/>
        </a:prstGeom>
        <a:ln w="0">
          <a:noFill/>
        </a:ln>
      </xdr:spPr>
    </xdr:pic>
    <xdr:clientData/>
  </xdr:twoCellAnchor>
  <xdr:twoCellAnchor>
    <xdr:from>
      <xdr:col>0</xdr:col>
      <xdr:colOff>9360</xdr:colOff>
      <xdr:row>0</xdr:row>
      <xdr:rowOff>9360</xdr:rowOff>
    </xdr:from>
    <xdr:to>
      <xdr:col>1</xdr:col>
      <xdr:colOff>866160</xdr:colOff>
      <xdr:row>3</xdr:row>
      <xdr:rowOff>173880</xdr:rowOff>
    </xdr:to>
    <xdr:pic>
      <xdr:nvPicPr>
        <xdr:cNvPr id="14" name="Picture 4429">
          <a:extLst>
            <a:ext uri="{FF2B5EF4-FFF2-40B4-BE49-F238E27FC236}">
              <a16:creationId xmlns:a16="http://schemas.microsoft.com/office/drawing/2014/main" id="{00000000-0008-0000-0400-00000E000000}"/>
            </a:ext>
          </a:extLst>
        </xdr:cNvPr>
        <xdr:cNvPicPr/>
      </xdr:nvPicPr>
      <xdr:blipFill>
        <a:blip xmlns:r="http://schemas.openxmlformats.org/officeDocument/2006/relationships" r:embed="rId1"/>
        <a:stretch/>
      </xdr:blipFill>
      <xdr:spPr>
        <a:xfrm>
          <a:off x="9360" y="9360"/>
          <a:ext cx="1663200" cy="821880"/>
        </a:xfrm>
        <a:prstGeom prst="rect">
          <a:avLst/>
        </a:prstGeom>
        <a:ln w="0">
          <a:noFill/>
        </a:ln>
      </xdr:spPr>
    </xdr:pic>
    <xdr:clientData/>
  </xdr:twoCellAnchor>
  <xdr:twoCellAnchor>
    <xdr:from>
      <xdr:col>0</xdr:col>
      <xdr:colOff>9360</xdr:colOff>
      <xdr:row>0</xdr:row>
      <xdr:rowOff>9360</xdr:rowOff>
    </xdr:from>
    <xdr:to>
      <xdr:col>1</xdr:col>
      <xdr:colOff>1062000</xdr:colOff>
      <xdr:row>4</xdr:row>
      <xdr:rowOff>12240</xdr:rowOff>
    </xdr:to>
    <xdr:pic>
      <xdr:nvPicPr>
        <xdr:cNvPr id="15" name="Picture 4429">
          <a:extLst>
            <a:ext uri="{FF2B5EF4-FFF2-40B4-BE49-F238E27FC236}">
              <a16:creationId xmlns:a16="http://schemas.microsoft.com/office/drawing/2014/main" id="{00000000-0008-0000-0400-00000F000000}"/>
            </a:ext>
          </a:extLst>
        </xdr:cNvPr>
        <xdr:cNvPicPr/>
      </xdr:nvPicPr>
      <xdr:blipFill>
        <a:blip xmlns:r="http://schemas.openxmlformats.org/officeDocument/2006/relationships" r:embed="rId1"/>
        <a:stretch/>
      </xdr:blipFill>
      <xdr:spPr>
        <a:xfrm>
          <a:off x="9360" y="9360"/>
          <a:ext cx="1859040" cy="879120"/>
        </a:xfrm>
        <a:prstGeom prst="rect">
          <a:avLst/>
        </a:prstGeom>
        <a:ln w="0">
          <a:noFill/>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0</xdr:colOff>
      <xdr:row>3</xdr:row>
      <xdr:rowOff>0</xdr:rowOff>
    </xdr:from>
    <xdr:to>
      <xdr:col>10</xdr:col>
      <xdr:colOff>528120</xdr:colOff>
      <xdr:row>40</xdr:row>
      <xdr:rowOff>9360</xdr:rowOff>
    </xdr:to>
    <xdr:pic>
      <xdr:nvPicPr>
        <xdr:cNvPr id="16" name="Image 1" descr="Picture">
          <a:extLst>
            <a:ext uri="{FF2B5EF4-FFF2-40B4-BE49-F238E27FC236}">
              <a16:creationId xmlns:a16="http://schemas.microsoft.com/office/drawing/2014/main" id="{00000000-0008-0000-0500-000010000000}"/>
            </a:ext>
          </a:extLst>
        </xdr:cNvPr>
        <xdr:cNvPicPr/>
      </xdr:nvPicPr>
      <xdr:blipFill>
        <a:blip xmlns:r="http://schemas.openxmlformats.org/officeDocument/2006/relationships" r:embed="rId1"/>
        <a:stretch/>
      </xdr:blipFill>
      <xdr:spPr>
        <a:xfrm>
          <a:off x="767160" y="542880"/>
          <a:ext cx="8429400" cy="6705360"/>
        </a:xfrm>
        <a:prstGeom prst="rect">
          <a:avLst/>
        </a:prstGeom>
        <a:ln w="0">
          <a:noFill/>
        </a:ln>
      </xdr:spPr>
    </xdr:pic>
    <xdr:clientData/>
  </xdr:twoCellAnchor>
</xdr:wsDr>
</file>

<file path=xl/drawings/drawing6.xml><?xml version="1.0" encoding="utf-8"?>
<xdr:wsDr xmlns:xdr="http://schemas.openxmlformats.org/drawingml/2006/spreadsheetDrawing" xmlns:a="http://schemas.openxmlformats.org/drawingml/2006/main">
  <xdr:twoCellAnchor>
    <xdr:from>
      <xdr:col>0</xdr:col>
      <xdr:colOff>49680</xdr:colOff>
      <xdr:row>0</xdr:row>
      <xdr:rowOff>106560</xdr:rowOff>
    </xdr:from>
    <xdr:to>
      <xdr:col>0</xdr:col>
      <xdr:colOff>582840</xdr:colOff>
      <xdr:row>3</xdr:row>
      <xdr:rowOff>68040</xdr:rowOff>
    </xdr:to>
    <xdr:pic>
      <xdr:nvPicPr>
        <xdr:cNvPr id="17" name="Picture 266">
          <a:extLst>
            <a:ext uri="{FF2B5EF4-FFF2-40B4-BE49-F238E27FC236}">
              <a16:creationId xmlns:a16="http://schemas.microsoft.com/office/drawing/2014/main" id="{00000000-0008-0000-0900-000011000000}"/>
            </a:ext>
          </a:extLst>
        </xdr:cNvPr>
        <xdr:cNvPicPr/>
      </xdr:nvPicPr>
      <xdr:blipFill>
        <a:blip xmlns:r="http://schemas.openxmlformats.org/officeDocument/2006/relationships" r:embed="rId1"/>
        <a:stretch/>
      </xdr:blipFill>
      <xdr:spPr>
        <a:xfrm>
          <a:off x="49680" y="106560"/>
          <a:ext cx="533160" cy="475920"/>
        </a:xfrm>
        <a:prstGeom prst="rect">
          <a:avLst/>
        </a:prstGeom>
        <a:ln w="0">
          <a:noFill/>
        </a:ln>
      </xdr:spPr>
    </xdr:pic>
    <xdr:clientData/>
  </xdr:twoCellAnchor>
</xdr:wsDr>
</file>

<file path=xl/drawings/drawing7.xml><?xml version="1.0" encoding="utf-8"?>
<xdr:wsDr xmlns:xdr="http://schemas.openxmlformats.org/drawingml/2006/spreadsheetDrawing" xmlns:a="http://schemas.openxmlformats.org/drawingml/2006/main">
  <xdr:twoCellAnchor>
    <xdr:from>
      <xdr:col>0</xdr:col>
      <xdr:colOff>325800</xdr:colOff>
      <xdr:row>1</xdr:row>
      <xdr:rowOff>64800</xdr:rowOff>
    </xdr:from>
    <xdr:to>
      <xdr:col>0</xdr:col>
      <xdr:colOff>919800</xdr:colOff>
      <xdr:row>4</xdr:row>
      <xdr:rowOff>7200</xdr:rowOff>
    </xdr:to>
    <xdr:pic>
      <xdr:nvPicPr>
        <xdr:cNvPr id="18" name="Picture 266">
          <a:extLst>
            <a:ext uri="{FF2B5EF4-FFF2-40B4-BE49-F238E27FC236}">
              <a16:creationId xmlns:a16="http://schemas.microsoft.com/office/drawing/2014/main" id="{00000000-0008-0000-0A00-000012000000}"/>
            </a:ext>
          </a:extLst>
        </xdr:cNvPr>
        <xdr:cNvPicPr/>
      </xdr:nvPicPr>
      <xdr:blipFill>
        <a:blip xmlns:r="http://schemas.openxmlformats.org/officeDocument/2006/relationships" r:embed="rId1"/>
        <a:stretch/>
      </xdr:blipFill>
      <xdr:spPr>
        <a:xfrm>
          <a:off x="325800" y="236160"/>
          <a:ext cx="594000" cy="456840"/>
        </a:xfrm>
        <a:prstGeom prst="rect">
          <a:avLst/>
        </a:prstGeom>
        <a:ln w="0">
          <a:noFill/>
        </a:ln>
      </xdr:spPr>
    </xdr:pic>
    <xdr:clientData/>
  </xdr:twoCellAnchor>
  <xdr:twoCellAnchor>
    <xdr:from>
      <xdr:col>0</xdr:col>
      <xdr:colOff>325800</xdr:colOff>
      <xdr:row>1</xdr:row>
      <xdr:rowOff>64800</xdr:rowOff>
    </xdr:from>
    <xdr:to>
      <xdr:col>0</xdr:col>
      <xdr:colOff>919800</xdr:colOff>
      <xdr:row>4</xdr:row>
      <xdr:rowOff>7200</xdr:rowOff>
    </xdr:to>
    <xdr:pic>
      <xdr:nvPicPr>
        <xdr:cNvPr id="19" name="Picture 266">
          <a:extLst>
            <a:ext uri="{FF2B5EF4-FFF2-40B4-BE49-F238E27FC236}">
              <a16:creationId xmlns:a16="http://schemas.microsoft.com/office/drawing/2014/main" id="{00000000-0008-0000-0A00-000013000000}"/>
            </a:ext>
          </a:extLst>
        </xdr:cNvPr>
        <xdr:cNvPicPr/>
      </xdr:nvPicPr>
      <xdr:blipFill>
        <a:blip xmlns:r="http://schemas.openxmlformats.org/officeDocument/2006/relationships" r:embed="rId1"/>
        <a:stretch/>
      </xdr:blipFill>
      <xdr:spPr>
        <a:xfrm>
          <a:off x="325800" y="236160"/>
          <a:ext cx="594000" cy="456840"/>
        </a:xfrm>
        <a:prstGeom prst="rect">
          <a:avLst/>
        </a:prstGeom>
        <a:ln w="0">
          <a:noFill/>
        </a:ln>
      </xdr:spPr>
    </xdr:pic>
    <xdr:clientData/>
  </xdr:twoCellAnchor>
</xdr:wsDr>
</file>

<file path=xl/theme/theme1.xml><?xml version="1.0" encoding="utf-8"?>
<a:theme xmlns:a="http://schemas.openxmlformats.org/drawingml/2006/main" name="Office 2013 - 2022 Theme">
  <a:themeElements>
    <a:clrScheme name="Office 2013 - 2022">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9.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4"/>
  <sheetViews>
    <sheetView tabSelected="1" zoomScaleNormal="100" workbookViewId="0">
      <selection activeCell="I26" sqref="I26"/>
    </sheetView>
  </sheetViews>
  <sheetFormatPr defaultColWidth="8.6328125" defaultRowHeight="14" x14ac:dyDescent="0.3"/>
  <cols>
    <col min="1" max="1" width="12.453125" style="14" customWidth="1"/>
    <col min="2" max="2" width="32.36328125" style="14" customWidth="1"/>
    <col min="3" max="3" width="26.90625" style="14" customWidth="1"/>
    <col min="4" max="16384" width="8.6328125" style="14"/>
  </cols>
  <sheetData>
    <row r="1" spans="1:3" x14ac:dyDescent="0.3">
      <c r="A1" s="13" t="s">
        <v>0</v>
      </c>
      <c r="B1" s="13"/>
      <c r="C1" s="13"/>
    </row>
    <row r="2" spans="1:3" x14ac:dyDescent="0.3">
      <c r="A2" s="15"/>
      <c r="B2" s="15"/>
      <c r="C2" s="15"/>
    </row>
    <row r="3" spans="1:3" x14ac:dyDescent="0.3">
      <c r="A3" s="15"/>
      <c r="B3" s="15"/>
      <c r="C3" s="15"/>
    </row>
    <row r="4" spans="1:3" x14ac:dyDescent="0.3">
      <c r="A4" s="15" t="s">
        <v>1</v>
      </c>
      <c r="B4" s="15" t="s">
        <v>2</v>
      </c>
    </row>
    <row r="5" spans="1:3" x14ac:dyDescent="0.3">
      <c r="A5" s="15" t="s">
        <v>3</v>
      </c>
      <c r="B5" s="16">
        <v>46113</v>
      </c>
      <c r="C5" s="15"/>
    </row>
    <row r="6" spans="1:3" x14ac:dyDescent="0.3">
      <c r="A6" s="15" t="s">
        <v>4</v>
      </c>
      <c r="B6" s="16">
        <v>46142</v>
      </c>
      <c r="C6" s="17" t="str">
        <f>UPPER(TEXT(B6,"MMM-YY"))</f>
        <v>APR-26</v>
      </c>
    </row>
    <row r="7" spans="1:3" x14ac:dyDescent="0.3">
      <c r="A7" s="18"/>
      <c r="B7" s="18"/>
      <c r="C7" s="18"/>
    </row>
    <row r="8" spans="1:3" x14ac:dyDescent="0.3">
      <c r="A8" s="19" t="s">
        <v>5</v>
      </c>
      <c r="B8" s="20" t="s">
        <v>6</v>
      </c>
      <c r="C8" s="19" t="s">
        <v>7</v>
      </c>
    </row>
    <row r="9" spans="1:3" x14ac:dyDescent="0.3">
      <c r="A9" s="21"/>
      <c r="B9" s="22"/>
      <c r="C9" s="23"/>
    </row>
    <row r="10" spans="1:3" x14ac:dyDescent="0.3">
      <c r="A10" s="24">
        <v>1</v>
      </c>
      <c r="B10" s="25" t="s">
        <v>8</v>
      </c>
      <c r="C10" s="26" t="s">
        <v>8</v>
      </c>
    </row>
    <row r="11" spans="1:3" x14ac:dyDescent="0.3">
      <c r="A11" s="24"/>
      <c r="B11" s="25"/>
      <c r="C11" s="26"/>
    </row>
    <row r="12" spans="1:3" x14ac:dyDescent="0.3">
      <c r="A12" s="24">
        <v>2</v>
      </c>
      <c r="B12" s="25" t="s">
        <v>9</v>
      </c>
      <c r="C12" s="26" t="s">
        <v>10</v>
      </c>
    </row>
    <row r="13" spans="1:3" x14ac:dyDescent="0.3">
      <c r="A13" s="24"/>
      <c r="B13" s="25"/>
      <c r="C13" s="26"/>
    </row>
    <row r="14" spans="1:3" x14ac:dyDescent="0.3">
      <c r="A14" s="24">
        <v>3</v>
      </c>
      <c r="B14" s="25" t="s">
        <v>11</v>
      </c>
      <c r="C14" s="26" t="s">
        <v>12</v>
      </c>
    </row>
    <row r="15" spans="1:3" x14ac:dyDescent="0.3">
      <c r="A15" s="24"/>
      <c r="B15" s="25"/>
      <c r="C15" s="26"/>
    </row>
    <row r="16" spans="1:3" x14ac:dyDescent="0.3">
      <c r="A16" s="24">
        <v>4</v>
      </c>
      <c r="B16" s="25" t="s">
        <v>13</v>
      </c>
      <c r="C16" s="26" t="s">
        <v>13</v>
      </c>
    </row>
    <row r="17" spans="1:3" x14ac:dyDescent="0.3">
      <c r="A17" s="24"/>
      <c r="B17" s="25"/>
      <c r="C17" s="26"/>
    </row>
    <row r="18" spans="1:3" x14ac:dyDescent="0.3">
      <c r="A18" s="24">
        <v>5</v>
      </c>
      <c r="B18" s="25" t="s">
        <v>14</v>
      </c>
      <c r="C18" s="26" t="s">
        <v>15</v>
      </c>
    </row>
    <row r="19" spans="1:3" x14ac:dyDescent="0.3">
      <c r="A19" s="24"/>
      <c r="B19" s="25"/>
      <c r="C19" s="26"/>
    </row>
    <row r="20" spans="1:3" x14ac:dyDescent="0.3">
      <c r="A20" s="24">
        <v>6</v>
      </c>
      <c r="B20" s="25" t="s">
        <v>16</v>
      </c>
      <c r="C20" s="26" t="s">
        <v>17</v>
      </c>
    </row>
    <row r="21" spans="1:3" x14ac:dyDescent="0.3">
      <c r="A21" s="24"/>
      <c r="B21" s="25"/>
      <c r="C21" s="26"/>
    </row>
    <row r="22" spans="1:3" x14ac:dyDescent="0.3">
      <c r="A22" s="24">
        <v>7</v>
      </c>
      <c r="B22" s="25" t="s">
        <v>18</v>
      </c>
      <c r="C22" s="26" t="s">
        <v>19</v>
      </c>
    </row>
    <row r="23" spans="1:3" x14ac:dyDescent="0.3">
      <c r="A23" s="24"/>
      <c r="B23" s="25"/>
      <c r="C23" s="26"/>
    </row>
    <row r="24" spans="1:3" x14ac:dyDescent="0.3">
      <c r="A24" s="24">
        <v>8</v>
      </c>
      <c r="B24" s="25" t="s">
        <v>20</v>
      </c>
      <c r="C24" s="26" t="s">
        <v>20</v>
      </c>
    </row>
    <row r="25" spans="1:3" x14ac:dyDescent="0.3">
      <c r="A25" s="24"/>
      <c r="B25" s="25"/>
      <c r="C25" s="26"/>
    </row>
    <row r="26" spans="1:3" x14ac:dyDescent="0.3">
      <c r="A26" s="24">
        <v>9</v>
      </c>
      <c r="B26" s="25" t="s">
        <v>21</v>
      </c>
      <c r="C26" s="26" t="s">
        <v>21</v>
      </c>
    </row>
    <row r="27" spans="1:3" x14ac:dyDescent="0.3">
      <c r="A27" s="24"/>
      <c r="B27" s="25"/>
      <c r="C27" s="26"/>
    </row>
    <row r="28" spans="1:3" x14ac:dyDescent="0.3">
      <c r="A28" s="24">
        <v>10</v>
      </c>
      <c r="B28" s="25" t="s">
        <v>22</v>
      </c>
      <c r="C28" s="26" t="s">
        <v>23</v>
      </c>
    </row>
    <row r="29" spans="1:3" x14ac:dyDescent="0.3">
      <c r="A29" s="24"/>
      <c r="B29" s="25"/>
      <c r="C29" s="26"/>
    </row>
    <row r="30" spans="1:3" x14ac:dyDescent="0.3">
      <c r="A30" s="24">
        <v>11</v>
      </c>
      <c r="B30" s="25" t="s">
        <v>24</v>
      </c>
      <c r="C30" s="26" t="s">
        <v>25</v>
      </c>
    </row>
    <row r="31" spans="1:3" x14ac:dyDescent="0.3">
      <c r="A31" s="24"/>
      <c r="B31" s="25"/>
      <c r="C31" s="26"/>
    </row>
    <row r="32" spans="1:3" x14ac:dyDescent="0.3">
      <c r="A32" s="24">
        <v>12</v>
      </c>
      <c r="B32" s="25" t="s">
        <v>26</v>
      </c>
      <c r="C32" s="26" t="s">
        <v>27</v>
      </c>
    </row>
    <row r="33" spans="1:3" x14ac:dyDescent="0.3">
      <c r="A33" s="24"/>
      <c r="B33" s="25"/>
      <c r="C33" s="26"/>
    </row>
    <row r="34" spans="1:3" x14ac:dyDescent="0.3">
      <c r="A34" s="19"/>
      <c r="B34" s="20"/>
      <c r="C34" s="19"/>
    </row>
  </sheetData>
  <mergeCells count="1">
    <mergeCell ref="A1:C1"/>
  </mergeCells>
  <hyperlinks>
    <hyperlink ref="C10" location="'Petty Cash'!A1" display="Petty Cash" xr:uid="{00000000-0004-0000-0000-000000000000}"/>
    <hyperlink ref="C12" location="'Cheque issued'!A1" display="Cheque issued" xr:uid="{00000000-0004-0000-0000-000001000000}"/>
    <hyperlink ref="C14" location="'Bank book '!A1" display="Bank book" xr:uid="{00000000-0004-0000-0000-000002000000}"/>
    <hyperlink ref="C16" location="'Bank Statement'!A1" display="Bank Statement" xr:uid="{00000000-0004-0000-0000-000003000000}"/>
    <hyperlink ref="C18" location="'DE-ICE'!A1" display="DE-ICE" xr:uid="{00000000-0004-0000-0000-000004000000}"/>
    <hyperlink ref="C20" location="'DE-XT '!A1" display="DE-XT " xr:uid="{00000000-0004-0000-0000-000005000000}"/>
    <hyperlink ref="C22" location="General!A1" display="General" xr:uid="{00000000-0004-0000-0000-000006000000}"/>
    <hyperlink ref="C24" location="'Employees Loan Repayment'!A1" display="Employees Loan Repayment" xr:uid="{00000000-0004-0000-0000-000007000000}"/>
    <hyperlink ref="C26" location="'Inter Company Transfer'!A1" display="Inter Company Transfer" xr:uid="{00000000-0004-0000-0000-000008000000}"/>
    <hyperlink ref="C28" location="CB!A1" display="CB" xr:uid="{00000000-0004-0000-0000-000009000000}"/>
    <hyperlink ref="C30" location="CR!A1" display="CR" xr:uid="{00000000-0004-0000-0000-00000A000000}"/>
    <hyperlink ref="C32" location="'Consolidated CR'!A1" display="Consolidated CR" xr:uid="{00000000-0004-0000-0000-00000B000000}"/>
  </hyperlinks>
  <pageMargins left="0.7" right="0.7" top="0.75" bottom="0.75" header="0.511811023622047" footer="0.511811023622047"/>
  <pageSetup paperSize="9" orientation="portrait" horizontalDpi="300" verticalDpi="30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16"/>
  <sheetViews>
    <sheetView zoomScale="90" zoomScaleNormal="90" workbookViewId="0">
      <selection activeCell="D22" sqref="D22"/>
    </sheetView>
  </sheetViews>
  <sheetFormatPr defaultColWidth="9.08984375" defaultRowHeight="14.5" x14ac:dyDescent="0.35"/>
  <cols>
    <col min="1" max="1" width="2.36328125" customWidth="1"/>
    <col min="2" max="2" width="13.6328125" style="27" customWidth="1"/>
    <col min="3" max="3" width="11.453125" style="27" customWidth="1"/>
    <col min="4" max="4" width="61.54296875" customWidth="1"/>
    <col min="5" max="5" width="13.453125" style="28" customWidth="1"/>
    <col min="6" max="6" width="17.36328125" customWidth="1"/>
    <col min="7" max="7" width="53.08984375" customWidth="1"/>
  </cols>
  <sheetData>
    <row r="1" spans="1:10" s="29" customFormat="1" ht="20.25" customHeight="1" x14ac:dyDescent="0.35">
      <c r="B1" s="30"/>
      <c r="C1" s="30"/>
      <c r="D1" s="31"/>
      <c r="E1" s="32"/>
    </row>
    <row r="2" spans="1:10" ht="15" customHeight="1" x14ac:dyDescent="0.35">
      <c r="A2" s="33" t="s">
        <v>0</v>
      </c>
      <c r="B2" s="34" t="s">
        <v>28</v>
      </c>
      <c r="C2" s="12" t="s">
        <v>29</v>
      </c>
      <c r="D2" s="12"/>
      <c r="E2" s="12"/>
      <c r="F2" s="12"/>
      <c r="G2" s="12"/>
      <c r="H2" s="29"/>
      <c r="I2" s="29"/>
    </row>
    <row r="3" spans="1:10" x14ac:dyDescent="0.35">
      <c r="B3" s="35"/>
      <c r="C3" s="35" t="s">
        <v>0</v>
      </c>
      <c r="D3" s="35"/>
      <c r="E3" s="36"/>
      <c r="F3" s="35"/>
      <c r="G3" s="35"/>
    </row>
    <row r="4" spans="1:10" x14ac:dyDescent="0.35">
      <c r="B4" s="35" t="s">
        <v>30</v>
      </c>
      <c r="C4" s="35" t="s">
        <v>31</v>
      </c>
      <c r="D4" s="35" t="s">
        <v>32</v>
      </c>
      <c r="E4" s="36" t="s">
        <v>33</v>
      </c>
      <c r="F4" s="35" t="s">
        <v>34</v>
      </c>
      <c r="G4" s="35" t="s">
        <v>35</v>
      </c>
    </row>
    <row r="5" spans="1:10" x14ac:dyDescent="0.35">
      <c r="B5" s="37">
        <v>46134</v>
      </c>
      <c r="C5" s="38" t="s">
        <v>36</v>
      </c>
      <c r="D5" t="s">
        <v>37</v>
      </c>
      <c r="E5" s="28">
        <v>113050</v>
      </c>
      <c r="F5" s="39" t="s">
        <v>38</v>
      </c>
      <c r="G5" s="40" t="s">
        <v>39</v>
      </c>
      <c r="J5" s="41"/>
    </row>
    <row r="6" spans="1:10" x14ac:dyDescent="0.35">
      <c r="B6" s="42"/>
      <c r="C6" s="39"/>
      <c r="D6" s="43"/>
      <c r="E6" s="44"/>
      <c r="F6" s="39"/>
      <c r="G6" s="40"/>
      <c r="J6" s="41"/>
    </row>
    <row r="7" spans="1:10" ht="15" customHeight="1" x14ac:dyDescent="0.35">
      <c r="B7" s="45"/>
      <c r="C7" s="45"/>
      <c r="D7" s="46" t="s">
        <v>40</v>
      </c>
      <c r="E7" s="47">
        <f>SUM(E5:E6)</f>
        <v>113050</v>
      </c>
      <c r="F7" s="43"/>
      <c r="G7" s="43"/>
    </row>
    <row r="8" spans="1:10" x14ac:dyDescent="0.35">
      <c r="B8" s="42"/>
      <c r="C8" s="42"/>
      <c r="D8" s="43"/>
      <c r="E8" s="44"/>
      <c r="F8" s="39"/>
      <c r="G8" s="40"/>
      <c r="J8" s="41"/>
    </row>
    <row r="9" spans="1:10" ht="15" customHeight="1" x14ac:dyDescent="0.35"/>
    <row r="10" spans="1:10" ht="15" customHeight="1" x14ac:dyDescent="0.35">
      <c r="B10" s="34" t="s">
        <v>41</v>
      </c>
      <c r="C10" s="12" t="s">
        <v>29</v>
      </c>
      <c r="D10" s="12"/>
      <c r="E10" s="12"/>
      <c r="F10" s="12"/>
      <c r="G10" s="12"/>
    </row>
    <row r="11" spans="1:10" x14ac:dyDescent="0.35">
      <c r="B11" s="35"/>
      <c r="C11" s="35" t="s">
        <v>0</v>
      </c>
      <c r="D11" s="35"/>
      <c r="E11" s="36"/>
      <c r="F11" s="35"/>
      <c r="G11" s="35"/>
    </row>
    <row r="12" spans="1:10" x14ac:dyDescent="0.35">
      <c r="B12" s="35" t="s">
        <v>30</v>
      </c>
      <c r="C12" s="35" t="s">
        <v>31</v>
      </c>
      <c r="D12" s="35" t="s">
        <v>32</v>
      </c>
      <c r="E12" s="36" t="s">
        <v>33</v>
      </c>
      <c r="F12" s="35" t="s">
        <v>34</v>
      </c>
      <c r="G12" s="35" t="s">
        <v>35</v>
      </c>
    </row>
    <row r="13" spans="1:10" x14ac:dyDescent="0.35">
      <c r="B13" s="37"/>
      <c r="C13" s="39"/>
      <c r="D13" s="48" t="s">
        <v>42</v>
      </c>
      <c r="E13" s="44">
        <v>0</v>
      </c>
      <c r="F13" s="39"/>
      <c r="G13" s="40"/>
    </row>
    <row r="14" spans="1:10" x14ac:dyDescent="0.35">
      <c r="B14" s="42"/>
      <c r="C14" s="39"/>
      <c r="D14" s="43"/>
      <c r="E14" s="44"/>
      <c r="F14" s="39"/>
      <c r="G14" s="40"/>
    </row>
    <row r="15" spans="1:10" ht="15" customHeight="1" x14ac:dyDescent="0.35">
      <c r="B15" s="45"/>
      <c r="C15" s="45"/>
      <c r="D15" s="46" t="s">
        <v>40</v>
      </c>
      <c r="E15" s="47">
        <f>SUM(E13:E14)</f>
        <v>0</v>
      </c>
      <c r="F15" s="43"/>
      <c r="G15" s="43"/>
    </row>
    <row r="16" spans="1:10" x14ac:dyDescent="0.35">
      <c r="B16" s="42"/>
      <c r="C16" s="42"/>
      <c r="D16" s="43"/>
      <c r="E16" s="44"/>
      <c r="F16" s="39"/>
      <c r="G16" s="40"/>
    </row>
  </sheetData>
  <mergeCells count="2">
    <mergeCell ref="C2:G2"/>
    <mergeCell ref="C10:G10"/>
  </mergeCells>
  <pageMargins left="0.7" right="0.7" top="0.75" bottom="0.75" header="0.511811023622047" footer="0.511811023622047"/>
  <pageSetup paperSize="9"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R31"/>
  <sheetViews>
    <sheetView zoomScale="80" zoomScaleNormal="80" workbookViewId="0">
      <pane ySplit="1" topLeftCell="A16" activePane="bottomLeft" state="frozen"/>
      <selection pane="bottomLeft" activeCell="D28" sqref="D28"/>
    </sheetView>
  </sheetViews>
  <sheetFormatPr defaultColWidth="8.90625" defaultRowHeight="14" x14ac:dyDescent="0.3"/>
  <cols>
    <col min="1" max="1" width="2" style="14" customWidth="1"/>
    <col min="2" max="2" width="8.54296875" style="14" customWidth="1"/>
    <col min="3" max="3" width="23" style="14" customWidth="1"/>
    <col min="4" max="4" width="63.08984375" style="14" customWidth="1"/>
    <col min="5" max="5" width="10.08984375" style="14" customWidth="1"/>
    <col min="6" max="6" width="10" style="49" customWidth="1"/>
    <col min="7" max="7" width="10.36328125" style="49" customWidth="1"/>
    <col min="8" max="8" width="20.36328125" style="49" customWidth="1"/>
    <col min="9" max="9" width="8.90625" style="14"/>
    <col min="10" max="10" width="11.08984375" style="14" customWidth="1"/>
    <col min="11" max="12" width="9.08984375" style="14" hidden="1" customWidth="1"/>
    <col min="13" max="13" width="3.54296875" style="14" customWidth="1"/>
    <col min="14" max="14" width="1.90625" style="14" customWidth="1"/>
    <col min="15" max="18" width="9.08984375" style="14" hidden="1" customWidth="1"/>
    <col min="19" max="19" width="4.6328125" style="14" customWidth="1"/>
    <col min="20" max="254" width="8.90625" style="14"/>
    <col min="255" max="255" width="2" style="14" customWidth="1"/>
    <col min="256" max="256" width="10.36328125" style="14" customWidth="1"/>
    <col min="257" max="257" width="22.08984375" style="14" customWidth="1"/>
    <col min="258" max="258" width="62.54296875" style="14" customWidth="1"/>
    <col min="259" max="259" width="8.36328125" style="14" customWidth="1"/>
    <col min="260" max="260" width="10" style="14" customWidth="1"/>
    <col min="261" max="261" width="10.36328125" style="14" customWidth="1"/>
    <col min="262" max="262" width="9.54296875" style="14" customWidth="1"/>
    <col min="263" max="510" width="8.90625" style="14"/>
    <col min="511" max="511" width="2" style="14" customWidth="1"/>
    <col min="512" max="512" width="10.36328125" style="14" customWidth="1"/>
    <col min="513" max="513" width="22.08984375" style="14" customWidth="1"/>
    <col min="514" max="514" width="62.54296875" style="14" customWidth="1"/>
    <col min="515" max="515" width="8.36328125" style="14" customWidth="1"/>
    <col min="516" max="516" width="10" style="14" customWidth="1"/>
    <col min="517" max="517" width="10.36328125" style="14" customWidth="1"/>
    <col min="518" max="518" width="9.54296875" style="14" customWidth="1"/>
    <col min="519" max="766" width="8.90625" style="14"/>
    <col min="767" max="767" width="2" style="14" customWidth="1"/>
    <col min="768" max="768" width="10.36328125" style="14" customWidth="1"/>
    <col min="769" max="769" width="22.08984375" style="14" customWidth="1"/>
    <col min="770" max="770" width="62.54296875" style="14" customWidth="1"/>
    <col min="771" max="771" width="8.36328125" style="14" customWidth="1"/>
    <col min="772" max="772" width="10" style="14" customWidth="1"/>
    <col min="773" max="773" width="10.36328125" style="14" customWidth="1"/>
    <col min="774" max="774" width="9.54296875" style="14" customWidth="1"/>
    <col min="775" max="1022" width="8.90625" style="14"/>
    <col min="1023" max="1023" width="2" style="14" customWidth="1"/>
    <col min="1024" max="1024" width="10.36328125" style="14" customWidth="1"/>
    <col min="1025" max="1025" width="22.08984375" style="14" customWidth="1"/>
    <col min="1026" max="1026" width="62.54296875" style="14" customWidth="1"/>
    <col min="1027" max="1027" width="8.36328125" style="14" customWidth="1"/>
    <col min="1028" max="1028" width="10" style="14" customWidth="1"/>
    <col min="1029" max="1029" width="10.36328125" style="14" customWidth="1"/>
    <col min="1030" max="1030" width="9.54296875" style="14" customWidth="1"/>
    <col min="1031" max="1278" width="8.90625" style="14"/>
    <col min="1279" max="1279" width="2" style="14" customWidth="1"/>
    <col min="1280" max="1280" width="10.36328125" style="14" customWidth="1"/>
    <col min="1281" max="1281" width="22.08984375" style="14" customWidth="1"/>
    <col min="1282" max="1282" width="62.54296875" style="14" customWidth="1"/>
    <col min="1283" max="1283" width="8.36328125" style="14" customWidth="1"/>
    <col min="1284" max="1284" width="10" style="14" customWidth="1"/>
    <col min="1285" max="1285" width="10.36328125" style="14" customWidth="1"/>
    <col min="1286" max="1286" width="9.54296875" style="14" customWidth="1"/>
    <col min="1287" max="1534" width="8.90625" style="14"/>
    <col min="1535" max="1535" width="2" style="14" customWidth="1"/>
    <col min="1536" max="1536" width="10.36328125" style="14" customWidth="1"/>
    <col min="1537" max="1537" width="22.08984375" style="14" customWidth="1"/>
    <col min="1538" max="1538" width="62.54296875" style="14" customWidth="1"/>
    <col min="1539" max="1539" width="8.36328125" style="14" customWidth="1"/>
    <col min="1540" max="1540" width="10" style="14" customWidth="1"/>
    <col min="1541" max="1541" width="10.36328125" style="14" customWidth="1"/>
    <col min="1542" max="1542" width="9.54296875" style="14" customWidth="1"/>
    <col min="1543" max="1790" width="8.90625" style="14"/>
    <col min="1791" max="1791" width="2" style="14" customWidth="1"/>
    <col min="1792" max="1792" width="10.36328125" style="14" customWidth="1"/>
    <col min="1793" max="1793" width="22.08984375" style="14" customWidth="1"/>
    <col min="1794" max="1794" width="62.54296875" style="14" customWidth="1"/>
    <col min="1795" max="1795" width="8.36328125" style="14" customWidth="1"/>
    <col min="1796" max="1796" width="10" style="14" customWidth="1"/>
    <col min="1797" max="1797" width="10.36328125" style="14" customWidth="1"/>
    <col min="1798" max="1798" width="9.54296875" style="14" customWidth="1"/>
    <col min="1799" max="2046" width="8.90625" style="14"/>
    <col min="2047" max="2047" width="2" style="14" customWidth="1"/>
    <col min="2048" max="2048" width="10.36328125" style="14" customWidth="1"/>
    <col min="2049" max="2049" width="22.08984375" style="14" customWidth="1"/>
    <col min="2050" max="2050" width="62.54296875" style="14" customWidth="1"/>
    <col min="2051" max="2051" width="8.36328125" style="14" customWidth="1"/>
    <col min="2052" max="2052" width="10" style="14" customWidth="1"/>
    <col min="2053" max="2053" width="10.36328125" style="14" customWidth="1"/>
    <col min="2054" max="2054" width="9.54296875" style="14" customWidth="1"/>
    <col min="2055" max="2302" width="8.90625" style="14"/>
    <col min="2303" max="2303" width="2" style="14" customWidth="1"/>
    <col min="2304" max="2304" width="10.36328125" style="14" customWidth="1"/>
    <col min="2305" max="2305" width="22.08984375" style="14" customWidth="1"/>
    <col min="2306" max="2306" width="62.54296875" style="14" customWidth="1"/>
    <col min="2307" max="2307" width="8.36328125" style="14" customWidth="1"/>
    <col min="2308" max="2308" width="10" style="14" customWidth="1"/>
    <col min="2309" max="2309" width="10.36328125" style="14" customWidth="1"/>
    <col min="2310" max="2310" width="9.54296875" style="14" customWidth="1"/>
    <col min="2311" max="2558" width="8.90625" style="14"/>
    <col min="2559" max="2559" width="2" style="14" customWidth="1"/>
    <col min="2560" max="2560" width="10.36328125" style="14" customWidth="1"/>
    <col min="2561" max="2561" width="22.08984375" style="14" customWidth="1"/>
    <col min="2562" max="2562" width="62.54296875" style="14" customWidth="1"/>
    <col min="2563" max="2563" width="8.36328125" style="14" customWidth="1"/>
    <col min="2564" max="2564" width="10" style="14" customWidth="1"/>
    <col min="2565" max="2565" width="10.36328125" style="14" customWidth="1"/>
    <col min="2566" max="2566" width="9.54296875" style="14" customWidth="1"/>
    <col min="2567" max="2814" width="8.90625" style="14"/>
    <col min="2815" max="2815" width="2" style="14" customWidth="1"/>
    <col min="2816" max="2816" width="10.36328125" style="14" customWidth="1"/>
    <col min="2817" max="2817" width="22.08984375" style="14" customWidth="1"/>
    <col min="2818" max="2818" width="62.54296875" style="14" customWidth="1"/>
    <col min="2819" max="2819" width="8.36328125" style="14" customWidth="1"/>
    <col min="2820" max="2820" width="10" style="14" customWidth="1"/>
    <col min="2821" max="2821" width="10.36328125" style="14" customWidth="1"/>
    <col min="2822" max="2822" width="9.54296875" style="14" customWidth="1"/>
    <col min="2823" max="3070" width="8.90625" style="14"/>
    <col min="3071" max="3071" width="2" style="14" customWidth="1"/>
    <col min="3072" max="3072" width="10.36328125" style="14" customWidth="1"/>
    <col min="3073" max="3073" width="22.08984375" style="14" customWidth="1"/>
    <col min="3074" max="3074" width="62.54296875" style="14" customWidth="1"/>
    <col min="3075" max="3075" width="8.36328125" style="14" customWidth="1"/>
    <col min="3076" max="3076" width="10" style="14" customWidth="1"/>
    <col min="3077" max="3077" width="10.36328125" style="14" customWidth="1"/>
    <col min="3078" max="3078" width="9.54296875" style="14" customWidth="1"/>
    <col min="3079" max="3326" width="8.90625" style="14"/>
    <col min="3327" max="3327" width="2" style="14" customWidth="1"/>
    <col min="3328" max="3328" width="10.36328125" style="14" customWidth="1"/>
    <col min="3329" max="3329" width="22.08984375" style="14" customWidth="1"/>
    <col min="3330" max="3330" width="62.54296875" style="14" customWidth="1"/>
    <col min="3331" max="3331" width="8.36328125" style="14" customWidth="1"/>
    <col min="3332" max="3332" width="10" style="14" customWidth="1"/>
    <col min="3333" max="3333" width="10.36328125" style="14" customWidth="1"/>
    <col min="3334" max="3334" width="9.54296875" style="14" customWidth="1"/>
    <col min="3335" max="3582" width="8.90625" style="14"/>
    <col min="3583" max="3583" width="2" style="14" customWidth="1"/>
    <col min="3584" max="3584" width="10.36328125" style="14" customWidth="1"/>
    <col min="3585" max="3585" width="22.08984375" style="14" customWidth="1"/>
    <col min="3586" max="3586" width="62.54296875" style="14" customWidth="1"/>
    <col min="3587" max="3587" width="8.36328125" style="14" customWidth="1"/>
    <col min="3588" max="3588" width="10" style="14" customWidth="1"/>
    <col min="3589" max="3589" width="10.36328125" style="14" customWidth="1"/>
    <col min="3590" max="3590" width="9.54296875" style="14" customWidth="1"/>
    <col min="3591" max="3838" width="8.90625" style="14"/>
    <col min="3839" max="3839" width="2" style="14" customWidth="1"/>
    <col min="3840" max="3840" width="10.36328125" style="14" customWidth="1"/>
    <col min="3841" max="3841" width="22.08984375" style="14" customWidth="1"/>
    <col min="3842" max="3842" width="62.54296875" style="14" customWidth="1"/>
    <col min="3843" max="3843" width="8.36328125" style="14" customWidth="1"/>
    <col min="3844" max="3844" width="10" style="14" customWidth="1"/>
    <col min="3845" max="3845" width="10.36328125" style="14" customWidth="1"/>
    <col min="3846" max="3846" width="9.54296875" style="14" customWidth="1"/>
    <col min="3847" max="4094" width="8.90625" style="14"/>
    <col min="4095" max="4095" width="2" style="14" customWidth="1"/>
    <col min="4096" max="4096" width="10.36328125" style="14" customWidth="1"/>
    <col min="4097" max="4097" width="22.08984375" style="14" customWidth="1"/>
    <col min="4098" max="4098" width="62.54296875" style="14" customWidth="1"/>
    <col min="4099" max="4099" width="8.36328125" style="14" customWidth="1"/>
    <col min="4100" max="4100" width="10" style="14" customWidth="1"/>
    <col min="4101" max="4101" width="10.36328125" style="14" customWidth="1"/>
    <col min="4102" max="4102" width="9.54296875" style="14" customWidth="1"/>
    <col min="4103" max="4350" width="8.90625" style="14"/>
    <col min="4351" max="4351" width="2" style="14" customWidth="1"/>
    <col min="4352" max="4352" width="10.36328125" style="14" customWidth="1"/>
    <col min="4353" max="4353" width="22.08984375" style="14" customWidth="1"/>
    <col min="4354" max="4354" width="62.54296875" style="14" customWidth="1"/>
    <col min="4355" max="4355" width="8.36328125" style="14" customWidth="1"/>
    <col min="4356" max="4356" width="10" style="14" customWidth="1"/>
    <col min="4357" max="4357" width="10.36328125" style="14" customWidth="1"/>
    <col min="4358" max="4358" width="9.54296875" style="14" customWidth="1"/>
    <col min="4359" max="4606" width="8.90625" style="14"/>
    <col min="4607" max="4607" width="2" style="14" customWidth="1"/>
    <col min="4608" max="4608" width="10.36328125" style="14" customWidth="1"/>
    <col min="4609" max="4609" width="22.08984375" style="14" customWidth="1"/>
    <col min="4610" max="4610" width="62.54296875" style="14" customWidth="1"/>
    <col min="4611" max="4611" width="8.36328125" style="14" customWidth="1"/>
    <col min="4612" max="4612" width="10" style="14" customWidth="1"/>
    <col min="4613" max="4613" width="10.36328125" style="14" customWidth="1"/>
    <col min="4614" max="4614" width="9.54296875" style="14" customWidth="1"/>
    <col min="4615" max="4862" width="8.90625" style="14"/>
    <col min="4863" max="4863" width="2" style="14" customWidth="1"/>
    <col min="4864" max="4864" width="10.36328125" style="14" customWidth="1"/>
    <col min="4865" max="4865" width="22.08984375" style="14" customWidth="1"/>
    <col min="4866" max="4866" width="62.54296875" style="14" customWidth="1"/>
    <col min="4867" max="4867" width="8.36328125" style="14" customWidth="1"/>
    <col min="4868" max="4868" width="10" style="14" customWidth="1"/>
    <col min="4869" max="4869" width="10.36328125" style="14" customWidth="1"/>
    <col min="4870" max="4870" width="9.54296875" style="14" customWidth="1"/>
    <col min="4871" max="5118" width="8.90625" style="14"/>
    <col min="5119" max="5119" width="2" style="14" customWidth="1"/>
    <col min="5120" max="5120" width="10.36328125" style="14" customWidth="1"/>
    <col min="5121" max="5121" width="22.08984375" style="14" customWidth="1"/>
    <col min="5122" max="5122" width="62.54296875" style="14" customWidth="1"/>
    <col min="5123" max="5123" width="8.36328125" style="14" customWidth="1"/>
    <col min="5124" max="5124" width="10" style="14" customWidth="1"/>
    <col min="5125" max="5125" width="10.36328125" style="14" customWidth="1"/>
    <col min="5126" max="5126" width="9.54296875" style="14" customWidth="1"/>
    <col min="5127" max="5374" width="8.90625" style="14"/>
    <col min="5375" max="5375" width="2" style="14" customWidth="1"/>
    <col min="5376" max="5376" width="10.36328125" style="14" customWidth="1"/>
    <col min="5377" max="5377" width="22.08984375" style="14" customWidth="1"/>
    <col min="5378" max="5378" width="62.54296875" style="14" customWidth="1"/>
    <col min="5379" max="5379" width="8.36328125" style="14" customWidth="1"/>
    <col min="5380" max="5380" width="10" style="14" customWidth="1"/>
    <col min="5381" max="5381" width="10.36328125" style="14" customWidth="1"/>
    <col min="5382" max="5382" width="9.54296875" style="14" customWidth="1"/>
    <col min="5383" max="5630" width="8.90625" style="14"/>
    <col min="5631" max="5631" width="2" style="14" customWidth="1"/>
    <col min="5632" max="5632" width="10.36328125" style="14" customWidth="1"/>
    <col min="5633" max="5633" width="22.08984375" style="14" customWidth="1"/>
    <col min="5634" max="5634" width="62.54296875" style="14" customWidth="1"/>
    <col min="5635" max="5635" width="8.36328125" style="14" customWidth="1"/>
    <col min="5636" max="5636" width="10" style="14" customWidth="1"/>
    <col min="5637" max="5637" width="10.36328125" style="14" customWidth="1"/>
    <col min="5638" max="5638" width="9.54296875" style="14" customWidth="1"/>
    <col min="5639" max="5886" width="8.90625" style="14"/>
    <col min="5887" max="5887" width="2" style="14" customWidth="1"/>
    <col min="5888" max="5888" width="10.36328125" style="14" customWidth="1"/>
    <col min="5889" max="5889" width="22.08984375" style="14" customWidth="1"/>
    <col min="5890" max="5890" width="62.54296875" style="14" customWidth="1"/>
    <col min="5891" max="5891" width="8.36328125" style="14" customWidth="1"/>
    <col min="5892" max="5892" width="10" style="14" customWidth="1"/>
    <col min="5893" max="5893" width="10.36328125" style="14" customWidth="1"/>
    <col min="5894" max="5894" width="9.54296875" style="14" customWidth="1"/>
    <col min="5895" max="6142" width="8.90625" style="14"/>
    <col min="6143" max="6143" width="2" style="14" customWidth="1"/>
    <col min="6144" max="6144" width="10.36328125" style="14" customWidth="1"/>
    <col min="6145" max="6145" width="22.08984375" style="14" customWidth="1"/>
    <col min="6146" max="6146" width="62.54296875" style="14" customWidth="1"/>
    <col min="6147" max="6147" width="8.36328125" style="14" customWidth="1"/>
    <col min="6148" max="6148" width="10" style="14" customWidth="1"/>
    <col min="6149" max="6149" width="10.36328125" style="14" customWidth="1"/>
    <col min="6150" max="6150" width="9.54296875" style="14" customWidth="1"/>
    <col min="6151" max="6398" width="8.90625" style="14"/>
    <col min="6399" max="6399" width="2" style="14" customWidth="1"/>
    <col min="6400" max="6400" width="10.36328125" style="14" customWidth="1"/>
    <col min="6401" max="6401" width="22.08984375" style="14" customWidth="1"/>
    <col min="6402" max="6402" width="62.54296875" style="14" customWidth="1"/>
    <col min="6403" max="6403" width="8.36328125" style="14" customWidth="1"/>
    <col min="6404" max="6404" width="10" style="14" customWidth="1"/>
    <col min="6405" max="6405" width="10.36328125" style="14" customWidth="1"/>
    <col min="6406" max="6406" width="9.54296875" style="14" customWidth="1"/>
    <col min="6407" max="6654" width="8.90625" style="14"/>
    <col min="6655" max="6655" width="2" style="14" customWidth="1"/>
    <col min="6656" max="6656" width="10.36328125" style="14" customWidth="1"/>
    <col min="6657" max="6657" width="22.08984375" style="14" customWidth="1"/>
    <col min="6658" max="6658" width="62.54296875" style="14" customWidth="1"/>
    <col min="6659" max="6659" width="8.36328125" style="14" customWidth="1"/>
    <col min="6660" max="6660" width="10" style="14" customWidth="1"/>
    <col min="6661" max="6661" width="10.36328125" style="14" customWidth="1"/>
    <col min="6662" max="6662" width="9.54296875" style="14" customWidth="1"/>
    <col min="6663" max="6910" width="8.90625" style="14"/>
    <col min="6911" max="6911" width="2" style="14" customWidth="1"/>
    <col min="6912" max="6912" width="10.36328125" style="14" customWidth="1"/>
    <col min="6913" max="6913" width="22.08984375" style="14" customWidth="1"/>
    <col min="6914" max="6914" width="62.54296875" style="14" customWidth="1"/>
    <col min="6915" max="6915" width="8.36328125" style="14" customWidth="1"/>
    <col min="6916" max="6916" width="10" style="14" customWidth="1"/>
    <col min="6917" max="6917" width="10.36328125" style="14" customWidth="1"/>
    <col min="6918" max="6918" width="9.54296875" style="14" customWidth="1"/>
    <col min="6919" max="7166" width="8.90625" style="14"/>
    <col min="7167" max="7167" width="2" style="14" customWidth="1"/>
    <col min="7168" max="7168" width="10.36328125" style="14" customWidth="1"/>
    <col min="7169" max="7169" width="22.08984375" style="14" customWidth="1"/>
    <col min="7170" max="7170" width="62.54296875" style="14" customWidth="1"/>
    <col min="7171" max="7171" width="8.36328125" style="14" customWidth="1"/>
    <col min="7172" max="7172" width="10" style="14" customWidth="1"/>
    <col min="7173" max="7173" width="10.36328125" style="14" customWidth="1"/>
    <col min="7174" max="7174" width="9.54296875" style="14" customWidth="1"/>
    <col min="7175" max="7422" width="8.90625" style="14"/>
    <col min="7423" max="7423" width="2" style="14" customWidth="1"/>
    <col min="7424" max="7424" width="10.36328125" style="14" customWidth="1"/>
    <col min="7425" max="7425" width="22.08984375" style="14" customWidth="1"/>
    <col min="7426" max="7426" width="62.54296875" style="14" customWidth="1"/>
    <col min="7427" max="7427" width="8.36328125" style="14" customWidth="1"/>
    <col min="7428" max="7428" width="10" style="14" customWidth="1"/>
    <col min="7429" max="7429" width="10.36328125" style="14" customWidth="1"/>
    <col min="7430" max="7430" width="9.54296875" style="14" customWidth="1"/>
    <col min="7431" max="7678" width="8.90625" style="14"/>
    <col min="7679" max="7679" width="2" style="14" customWidth="1"/>
    <col min="7680" max="7680" width="10.36328125" style="14" customWidth="1"/>
    <col min="7681" max="7681" width="22.08984375" style="14" customWidth="1"/>
    <col min="7682" max="7682" width="62.54296875" style="14" customWidth="1"/>
    <col min="7683" max="7683" width="8.36328125" style="14" customWidth="1"/>
    <col min="7684" max="7684" width="10" style="14" customWidth="1"/>
    <col min="7685" max="7685" width="10.36328125" style="14" customWidth="1"/>
    <col min="7686" max="7686" width="9.54296875" style="14" customWidth="1"/>
    <col min="7687" max="7934" width="8.90625" style="14"/>
    <col min="7935" max="7935" width="2" style="14" customWidth="1"/>
    <col min="7936" max="7936" width="10.36328125" style="14" customWidth="1"/>
    <col min="7937" max="7937" width="22.08984375" style="14" customWidth="1"/>
    <col min="7938" max="7938" width="62.54296875" style="14" customWidth="1"/>
    <col min="7939" max="7939" width="8.36328125" style="14" customWidth="1"/>
    <col min="7940" max="7940" width="10" style="14" customWidth="1"/>
    <col min="7941" max="7941" width="10.36328125" style="14" customWidth="1"/>
    <col min="7942" max="7942" width="9.54296875" style="14" customWidth="1"/>
    <col min="7943" max="8190" width="8.90625" style="14"/>
    <col min="8191" max="8191" width="2" style="14" customWidth="1"/>
    <col min="8192" max="8192" width="10.36328125" style="14" customWidth="1"/>
    <col min="8193" max="8193" width="22.08984375" style="14" customWidth="1"/>
    <col min="8194" max="8194" width="62.54296875" style="14" customWidth="1"/>
    <col min="8195" max="8195" width="8.36328125" style="14" customWidth="1"/>
    <col min="8196" max="8196" width="10" style="14" customWidth="1"/>
    <col min="8197" max="8197" width="10.36328125" style="14" customWidth="1"/>
    <col min="8198" max="8198" width="9.54296875" style="14" customWidth="1"/>
    <col min="8199" max="8446" width="8.90625" style="14"/>
    <col min="8447" max="8447" width="2" style="14" customWidth="1"/>
    <col min="8448" max="8448" width="10.36328125" style="14" customWidth="1"/>
    <col min="8449" max="8449" width="22.08984375" style="14" customWidth="1"/>
    <col min="8450" max="8450" width="62.54296875" style="14" customWidth="1"/>
    <col min="8451" max="8451" width="8.36328125" style="14" customWidth="1"/>
    <col min="8452" max="8452" width="10" style="14" customWidth="1"/>
    <col min="8453" max="8453" width="10.36328125" style="14" customWidth="1"/>
    <col min="8454" max="8454" width="9.54296875" style="14" customWidth="1"/>
    <col min="8455" max="8702" width="8.90625" style="14"/>
    <col min="8703" max="8703" width="2" style="14" customWidth="1"/>
    <col min="8704" max="8704" width="10.36328125" style="14" customWidth="1"/>
    <col min="8705" max="8705" width="22.08984375" style="14" customWidth="1"/>
    <col min="8706" max="8706" width="62.54296875" style="14" customWidth="1"/>
    <col min="8707" max="8707" width="8.36328125" style="14" customWidth="1"/>
    <col min="8708" max="8708" width="10" style="14" customWidth="1"/>
    <col min="8709" max="8709" width="10.36328125" style="14" customWidth="1"/>
    <col min="8710" max="8710" width="9.54296875" style="14" customWidth="1"/>
    <col min="8711" max="8958" width="8.90625" style="14"/>
    <col min="8959" max="8959" width="2" style="14" customWidth="1"/>
    <col min="8960" max="8960" width="10.36328125" style="14" customWidth="1"/>
    <col min="8961" max="8961" width="22.08984375" style="14" customWidth="1"/>
    <col min="8962" max="8962" width="62.54296875" style="14" customWidth="1"/>
    <col min="8963" max="8963" width="8.36328125" style="14" customWidth="1"/>
    <col min="8964" max="8964" width="10" style="14" customWidth="1"/>
    <col min="8965" max="8965" width="10.36328125" style="14" customWidth="1"/>
    <col min="8966" max="8966" width="9.54296875" style="14" customWidth="1"/>
    <col min="8967" max="9214" width="8.90625" style="14"/>
    <col min="9215" max="9215" width="2" style="14" customWidth="1"/>
    <col min="9216" max="9216" width="10.36328125" style="14" customWidth="1"/>
    <col min="9217" max="9217" width="22.08984375" style="14" customWidth="1"/>
    <col min="9218" max="9218" width="62.54296875" style="14" customWidth="1"/>
    <col min="9219" max="9219" width="8.36328125" style="14" customWidth="1"/>
    <col min="9220" max="9220" width="10" style="14" customWidth="1"/>
    <col min="9221" max="9221" width="10.36328125" style="14" customWidth="1"/>
    <col min="9222" max="9222" width="9.54296875" style="14" customWidth="1"/>
    <col min="9223" max="9470" width="8.90625" style="14"/>
    <col min="9471" max="9471" width="2" style="14" customWidth="1"/>
    <col min="9472" max="9472" width="10.36328125" style="14" customWidth="1"/>
    <col min="9473" max="9473" width="22.08984375" style="14" customWidth="1"/>
    <col min="9474" max="9474" width="62.54296875" style="14" customWidth="1"/>
    <col min="9475" max="9475" width="8.36328125" style="14" customWidth="1"/>
    <col min="9476" max="9476" width="10" style="14" customWidth="1"/>
    <col min="9477" max="9477" width="10.36328125" style="14" customWidth="1"/>
    <col min="9478" max="9478" width="9.54296875" style="14" customWidth="1"/>
    <col min="9479" max="9726" width="8.90625" style="14"/>
    <col min="9727" max="9727" width="2" style="14" customWidth="1"/>
    <col min="9728" max="9728" width="10.36328125" style="14" customWidth="1"/>
    <col min="9729" max="9729" width="22.08984375" style="14" customWidth="1"/>
    <col min="9730" max="9730" width="62.54296875" style="14" customWidth="1"/>
    <col min="9731" max="9731" width="8.36328125" style="14" customWidth="1"/>
    <col min="9732" max="9732" width="10" style="14" customWidth="1"/>
    <col min="9733" max="9733" width="10.36328125" style="14" customWidth="1"/>
    <col min="9734" max="9734" width="9.54296875" style="14" customWidth="1"/>
    <col min="9735" max="9982" width="8.90625" style="14"/>
    <col min="9983" max="9983" width="2" style="14" customWidth="1"/>
    <col min="9984" max="9984" width="10.36328125" style="14" customWidth="1"/>
    <col min="9985" max="9985" width="22.08984375" style="14" customWidth="1"/>
    <col min="9986" max="9986" width="62.54296875" style="14" customWidth="1"/>
    <col min="9987" max="9987" width="8.36328125" style="14" customWidth="1"/>
    <col min="9988" max="9988" width="10" style="14" customWidth="1"/>
    <col min="9989" max="9989" width="10.36328125" style="14" customWidth="1"/>
    <col min="9990" max="9990" width="9.54296875" style="14" customWidth="1"/>
    <col min="9991" max="10238" width="8.90625" style="14"/>
    <col min="10239" max="10239" width="2" style="14" customWidth="1"/>
    <col min="10240" max="10240" width="10.36328125" style="14" customWidth="1"/>
    <col min="10241" max="10241" width="22.08984375" style="14" customWidth="1"/>
    <col min="10242" max="10242" width="62.54296875" style="14" customWidth="1"/>
    <col min="10243" max="10243" width="8.36328125" style="14" customWidth="1"/>
    <col min="10244" max="10244" width="10" style="14" customWidth="1"/>
    <col min="10245" max="10245" width="10.36328125" style="14" customWidth="1"/>
    <col min="10246" max="10246" width="9.54296875" style="14" customWidth="1"/>
    <col min="10247" max="10494" width="8.90625" style="14"/>
    <col min="10495" max="10495" width="2" style="14" customWidth="1"/>
    <col min="10496" max="10496" width="10.36328125" style="14" customWidth="1"/>
    <col min="10497" max="10497" width="22.08984375" style="14" customWidth="1"/>
    <col min="10498" max="10498" width="62.54296875" style="14" customWidth="1"/>
    <col min="10499" max="10499" width="8.36328125" style="14" customWidth="1"/>
    <col min="10500" max="10500" width="10" style="14" customWidth="1"/>
    <col min="10501" max="10501" width="10.36328125" style="14" customWidth="1"/>
    <col min="10502" max="10502" width="9.54296875" style="14" customWidth="1"/>
    <col min="10503" max="10750" width="8.90625" style="14"/>
    <col min="10751" max="10751" width="2" style="14" customWidth="1"/>
    <col min="10752" max="10752" width="10.36328125" style="14" customWidth="1"/>
    <col min="10753" max="10753" width="22.08984375" style="14" customWidth="1"/>
    <col min="10754" max="10754" width="62.54296875" style="14" customWidth="1"/>
    <col min="10755" max="10755" width="8.36328125" style="14" customWidth="1"/>
    <col min="10756" max="10756" width="10" style="14" customWidth="1"/>
    <col min="10757" max="10757" width="10.36328125" style="14" customWidth="1"/>
    <col min="10758" max="10758" width="9.54296875" style="14" customWidth="1"/>
    <col min="10759" max="11006" width="8.90625" style="14"/>
    <col min="11007" max="11007" width="2" style="14" customWidth="1"/>
    <col min="11008" max="11008" width="10.36328125" style="14" customWidth="1"/>
    <col min="11009" max="11009" width="22.08984375" style="14" customWidth="1"/>
    <col min="11010" max="11010" width="62.54296875" style="14" customWidth="1"/>
    <col min="11011" max="11011" width="8.36328125" style="14" customWidth="1"/>
    <col min="11012" max="11012" width="10" style="14" customWidth="1"/>
    <col min="11013" max="11013" width="10.36328125" style="14" customWidth="1"/>
    <col min="11014" max="11014" width="9.54296875" style="14" customWidth="1"/>
    <col min="11015" max="11262" width="8.90625" style="14"/>
    <col min="11263" max="11263" width="2" style="14" customWidth="1"/>
    <col min="11264" max="11264" width="10.36328125" style="14" customWidth="1"/>
    <col min="11265" max="11265" width="22.08984375" style="14" customWidth="1"/>
    <col min="11266" max="11266" width="62.54296875" style="14" customWidth="1"/>
    <col min="11267" max="11267" width="8.36328125" style="14" customWidth="1"/>
    <col min="11268" max="11268" width="10" style="14" customWidth="1"/>
    <col min="11269" max="11269" width="10.36328125" style="14" customWidth="1"/>
    <col min="11270" max="11270" width="9.54296875" style="14" customWidth="1"/>
    <col min="11271" max="11518" width="8.90625" style="14"/>
    <col min="11519" max="11519" width="2" style="14" customWidth="1"/>
    <col min="11520" max="11520" width="10.36328125" style="14" customWidth="1"/>
    <col min="11521" max="11521" width="22.08984375" style="14" customWidth="1"/>
    <col min="11522" max="11522" width="62.54296875" style="14" customWidth="1"/>
    <col min="11523" max="11523" width="8.36328125" style="14" customWidth="1"/>
    <col min="11524" max="11524" width="10" style="14" customWidth="1"/>
    <col min="11525" max="11525" width="10.36328125" style="14" customWidth="1"/>
    <col min="11526" max="11526" width="9.54296875" style="14" customWidth="1"/>
    <col min="11527" max="11774" width="8.90625" style="14"/>
    <col min="11775" max="11775" width="2" style="14" customWidth="1"/>
    <col min="11776" max="11776" width="10.36328125" style="14" customWidth="1"/>
    <col min="11777" max="11777" width="22.08984375" style="14" customWidth="1"/>
    <col min="11778" max="11778" width="62.54296875" style="14" customWidth="1"/>
    <col min="11779" max="11779" width="8.36328125" style="14" customWidth="1"/>
    <col min="11780" max="11780" width="10" style="14" customWidth="1"/>
    <col min="11781" max="11781" width="10.36328125" style="14" customWidth="1"/>
    <col min="11782" max="11782" width="9.54296875" style="14" customWidth="1"/>
    <col min="11783" max="12030" width="8.90625" style="14"/>
    <col min="12031" max="12031" width="2" style="14" customWidth="1"/>
    <col min="12032" max="12032" width="10.36328125" style="14" customWidth="1"/>
    <col min="12033" max="12033" width="22.08984375" style="14" customWidth="1"/>
    <col min="12034" max="12034" width="62.54296875" style="14" customWidth="1"/>
    <col min="12035" max="12035" width="8.36328125" style="14" customWidth="1"/>
    <col min="12036" max="12036" width="10" style="14" customWidth="1"/>
    <col min="12037" max="12037" width="10.36328125" style="14" customWidth="1"/>
    <col min="12038" max="12038" width="9.54296875" style="14" customWidth="1"/>
    <col min="12039" max="12286" width="8.90625" style="14"/>
    <col min="12287" max="12287" width="2" style="14" customWidth="1"/>
    <col min="12288" max="12288" width="10.36328125" style="14" customWidth="1"/>
    <col min="12289" max="12289" width="22.08984375" style="14" customWidth="1"/>
    <col min="12290" max="12290" width="62.54296875" style="14" customWidth="1"/>
    <col min="12291" max="12291" width="8.36328125" style="14" customWidth="1"/>
    <col min="12292" max="12292" width="10" style="14" customWidth="1"/>
    <col min="12293" max="12293" width="10.36328125" style="14" customWidth="1"/>
    <col min="12294" max="12294" width="9.54296875" style="14" customWidth="1"/>
    <col min="12295" max="12542" width="8.90625" style="14"/>
    <col min="12543" max="12543" width="2" style="14" customWidth="1"/>
    <col min="12544" max="12544" width="10.36328125" style="14" customWidth="1"/>
    <col min="12545" max="12545" width="22.08984375" style="14" customWidth="1"/>
    <col min="12546" max="12546" width="62.54296875" style="14" customWidth="1"/>
    <col min="12547" max="12547" width="8.36328125" style="14" customWidth="1"/>
    <col min="12548" max="12548" width="10" style="14" customWidth="1"/>
    <col min="12549" max="12549" width="10.36328125" style="14" customWidth="1"/>
    <col min="12550" max="12550" width="9.54296875" style="14" customWidth="1"/>
    <col min="12551" max="12798" width="8.90625" style="14"/>
    <col min="12799" max="12799" width="2" style="14" customWidth="1"/>
    <col min="12800" max="12800" width="10.36328125" style="14" customWidth="1"/>
    <col min="12801" max="12801" width="22.08984375" style="14" customWidth="1"/>
    <col min="12802" max="12802" width="62.54296875" style="14" customWidth="1"/>
    <col min="12803" max="12803" width="8.36328125" style="14" customWidth="1"/>
    <col min="12804" max="12804" width="10" style="14" customWidth="1"/>
    <col min="12805" max="12805" width="10.36328125" style="14" customWidth="1"/>
    <col min="12806" max="12806" width="9.54296875" style="14" customWidth="1"/>
    <col min="12807" max="13054" width="8.90625" style="14"/>
    <col min="13055" max="13055" width="2" style="14" customWidth="1"/>
    <col min="13056" max="13056" width="10.36328125" style="14" customWidth="1"/>
    <col min="13057" max="13057" width="22.08984375" style="14" customWidth="1"/>
    <col min="13058" max="13058" width="62.54296875" style="14" customWidth="1"/>
    <col min="13059" max="13059" width="8.36328125" style="14" customWidth="1"/>
    <col min="13060" max="13060" width="10" style="14" customWidth="1"/>
    <col min="13061" max="13061" width="10.36328125" style="14" customWidth="1"/>
    <col min="13062" max="13062" width="9.54296875" style="14" customWidth="1"/>
    <col min="13063" max="13310" width="8.90625" style="14"/>
    <col min="13311" max="13311" width="2" style="14" customWidth="1"/>
    <col min="13312" max="13312" width="10.36328125" style="14" customWidth="1"/>
    <col min="13313" max="13313" width="22.08984375" style="14" customWidth="1"/>
    <col min="13314" max="13314" width="62.54296875" style="14" customWidth="1"/>
    <col min="13315" max="13315" width="8.36328125" style="14" customWidth="1"/>
    <col min="13316" max="13316" width="10" style="14" customWidth="1"/>
    <col min="13317" max="13317" width="10.36328125" style="14" customWidth="1"/>
    <col min="13318" max="13318" width="9.54296875" style="14" customWidth="1"/>
    <col min="13319" max="13566" width="8.90625" style="14"/>
    <col min="13567" max="13567" width="2" style="14" customWidth="1"/>
    <col min="13568" max="13568" width="10.36328125" style="14" customWidth="1"/>
    <col min="13569" max="13569" width="22.08984375" style="14" customWidth="1"/>
    <col min="13570" max="13570" width="62.54296875" style="14" customWidth="1"/>
    <col min="13571" max="13571" width="8.36328125" style="14" customWidth="1"/>
    <col min="13572" max="13572" width="10" style="14" customWidth="1"/>
    <col min="13573" max="13573" width="10.36328125" style="14" customWidth="1"/>
    <col min="13574" max="13574" width="9.54296875" style="14" customWidth="1"/>
    <col min="13575" max="13822" width="8.90625" style="14"/>
    <col min="13823" max="13823" width="2" style="14" customWidth="1"/>
    <col min="13824" max="13824" width="10.36328125" style="14" customWidth="1"/>
    <col min="13825" max="13825" width="22.08984375" style="14" customWidth="1"/>
    <col min="13826" max="13826" width="62.54296875" style="14" customWidth="1"/>
    <col min="13827" max="13827" width="8.36328125" style="14" customWidth="1"/>
    <col min="13828" max="13828" width="10" style="14" customWidth="1"/>
    <col min="13829" max="13829" width="10.36328125" style="14" customWidth="1"/>
    <col min="13830" max="13830" width="9.54296875" style="14" customWidth="1"/>
    <col min="13831" max="14078" width="8.90625" style="14"/>
    <col min="14079" max="14079" width="2" style="14" customWidth="1"/>
    <col min="14080" max="14080" width="10.36328125" style="14" customWidth="1"/>
    <col min="14081" max="14081" width="22.08984375" style="14" customWidth="1"/>
    <col min="14082" max="14082" width="62.54296875" style="14" customWidth="1"/>
    <col min="14083" max="14083" width="8.36328125" style="14" customWidth="1"/>
    <col min="14084" max="14084" width="10" style="14" customWidth="1"/>
    <col min="14085" max="14085" width="10.36328125" style="14" customWidth="1"/>
    <col min="14086" max="14086" width="9.54296875" style="14" customWidth="1"/>
    <col min="14087" max="14334" width="8.90625" style="14"/>
    <col min="14335" max="14335" width="2" style="14" customWidth="1"/>
    <col min="14336" max="14336" width="10.36328125" style="14" customWidth="1"/>
    <col min="14337" max="14337" width="22.08984375" style="14" customWidth="1"/>
    <col min="14338" max="14338" width="62.54296875" style="14" customWidth="1"/>
    <col min="14339" max="14339" width="8.36328125" style="14" customWidth="1"/>
    <col min="14340" max="14340" width="10" style="14" customWidth="1"/>
    <col min="14341" max="14341" width="10.36328125" style="14" customWidth="1"/>
    <col min="14342" max="14342" width="9.54296875" style="14" customWidth="1"/>
    <col min="14343" max="14590" width="8.90625" style="14"/>
    <col min="14591" max="14591" width="2" style="14" customWidth="1"/>
    <col min="14592" max="14592" width="10.36328125" style="14" customWidth="1"/>
    <col min="14593" max="14593" width="22.08984375" style="14" customWidth="1"/>
    <col min="14594" max="14594" width="62.54296875" style="14" customWidth="1"/>
    <col min="14595" max="14595" width="8.36328125" style="14" customWidth="1"/>
    <col min="14596" max="14596" width="10" style="14" customWidth="1"/>
    <col min="14597" max="14597" width="10.36328125" style="14" customWidth="1"/>
    <col min="14598" max="14598" width="9.54296875" style="14" customWidth="1"/>
    <col min="14599" max="14846" width="8.90625" style="14"/>
    <col min="14847" max="14847" width="2" style="14" customWidth="1"/>
    <col min="14848" max="14848" width="10.36328125" style="14" customWidth="1"/>
    <col min="14849" max="14849" width="22.08984375" style="14" customWidth="1"/>
    <col min="14850" max="14850" width="62.54296875" style="14" customWidth="1"/>
    <col min="14851" max="14851" width="8.36328125" style="14" customWidth="1"/>
    <col min="14852" max="14852" width="10" style="14" customWidth="1"/>
    <col min="14853" max="14853" width="10.36328125" style="14" customWidth="1"/>
    <col min="14854" max="14854" width="9.54296875" style="14" customWidth="1"/>
    <col min="14855" max="15102" width="8.90625" style="14"/>
    <col min="15103" max="15103" width="2" style="14" customWidth="1"/>
    <col min="15104" max="15104" width="10.36328125" style="14" customWidth="1"/>
    <col min="15105" max="15105" width="22.08984375" style="14" customWidth="1"/>
    <col min="15106" max="15106" width="62.54296875" style="14" customWidth="1"/>
    <col min="15107" max="15107" width="8.36328125" style="14" customWidth="1"/>
    <col min="15108" max="15108" width="10" style="14" customWidth="1"/>
    <col min="15109" max="15109" width="10.36328125" style="14" customWidth="1"/>
    <col min="15110" max="15110" width="9.54296875" style="14" customWidth="1"/>
    <col min="15111" max="15358" width="8.90625" style="14"/>
    <col min="15359" max="15359" width="2" style="14" customWidth="1"/>
    <col min="15360" max="15360" width="10.36328125" style="14" customWidth="1"/>
    <col min="15361" max="15361" width="22.08984375" style="14" customWidth="1"/>
    <col min="15362" max="15362" width="62.54296875" style="14" customWidth="1"/>
    <col min="15363" max="15363" width="8.36328125" style="14" customWidth="1"/>
    <col min="15364" max="15364" width="10" style="14" customWidth="1"/>
    <col min="15365" max="15365" width="10.36328125" style="14" customWidth="1"/>
    <col min="15366" max="15366" width="9.54296875" style="14" customWidth="1"/>
    <col min="15367" max="15614" width="8.90625" style="14"/>
    <col min="15615" max="15615" width="2" style="14" customWidth="1"/>
    <col min="15616" max="15616" width="10.36328125" style="14" customWidth="1"/>
    <col min="15617" max="15617" width="22.08984375" style="14" customWidth="1"/>
    <col min="15618" max="15618" width="62.54296875" style="14" customWidth="1"/>
    <col min="15619" max="15619" width="8.36328125" style="14" customWidth="1"/>
    <col min="15620" max="15620" width="10" style="14" customWidth="1"/>
    <col min="15621" max="15621" width="10.36328125" style="14" customWidth="1"/>
    <col min="15622" max="15622" width="9.54296875" style="14" customWidth="1"/>
    <col min="15623" max="15870" width="8.90625" style="14"/>
    <col min="15871" max="15871" width="2" style="14" customWidth="1"/>
    <col min="15872" max="15872" width="10.36328125" style="14" customWidth="1"/>
    <col min="15873" max="15873" width="22.08984375" style="14" customWidth="1"/>
    <col min="15874" max="15874" width="62.54296875" style="14" customWidth="1"/>
    <col min="15875" max="15875" width="8.36328125" style="14" customWidth="1"/>
    <col min="15876" max="15876" width="10" style="14" customWidth="1"/>
    <col min="15877" max="15877" width="10.36328125" style="14" customWidth="1"/>
    <col min="15878" max="15878" width="9.54296875" style="14" customWidth="1"/>
    <col min="15879" max="16126" width="8.90625" style="14"/>
    <col min="16127" max="16127" width="2" style="14" customWidth="1"/>
    <col min="16128" max="16128" width="10.36328125" style="14" customWidth="1"/>
    <col min="16129" max="16129" width="22.08984375" style="14" customWidth="1"/>
    <col min="16130" max="16130" width="62.54296875" style="14" customWidth="1"/>
    <col min="16131" max="16131" width="8.36328125" style="14" customWidth="1"/>
    <col min="16132" max="16132" width="10" style="14" customWidth="1"/>
    <col min="16133" max="16133" width="10.36328125" style="14" customWidth="1"/>
    <col min="16134" max="16134" width="9.54296875" style="14" customWidth="1"/>
    <col min="16135" max="16384" width="8.90625" style="14"/>
  </cols>
  <sheetData>
    <row r="1" spans="1:8" ht="11.25" customHeight="1" x14ac:dyDescent="0.3"/>
    <row r="2" spans="1:8" x14ac:dyDescent="0.3">
      <c r="B2" s="11" t="s">
        <v>43</v>
      </c>
      <c r="C2" s="11"/>
      <c r="D2" s="11"/>
      <c r="E2" s="11"/>
      <c r="F2" s="11"/>
      <c r="G2" s="11"/>
      <c r="H2" s="11"/>
    </row>
    <row r="3" spans="1:8" x14ac:dyDescent="0.3">
      <c r="B3" s="11"/>
      <c r="C3" s="11"/>
      <c r="D3" s="11"/>
      <c r="E3" s="11"/>
      <c r="F3" s="11"/>
      <c r="G3" s="11"/>
      <c r="H3" s="11"/>
    </row>
    <row r="4" spans="1:8" ht="15" customHeight="1" x14ac:dyDescent="0.3">
      <c r="A4" s="50"/>
      <c r="B4" s="11"/>
      <c r="C4" s="11"/>
      <c r="D4" s="11"/>
      <c r="E4" s="11"/>
      <c r="F4" s="11"/>
      <c r="G4" s="11"/>
      <c r="H4" s="11"/>
    </row>
    <row r="5" spans="1:8" ht="18.75" customHeight="1" x14ac:dyDescent="0.3">
      <c r="A5" s="50"/>
      <c r="B5" s="11"/>
      <c r="C5" s="11"/>
      <c r="D5" s="11"/>
      <c r="E5" s="11"/>
      <c r="F5" s="11"/>
      <c r="G5" s="11"/>
      <c r="H5" s="11"/>
    </row>
    <row r="6" spans="1:8" ht="20.25" customHeight="1" x14ac:dyDescent="0.4">
      <c r="A6" s="50"/>
      <c r="B6" s="51" t="s">
        <v>44</v>
      </c>
      <c r="C6" s="52"/>
      <c r="D6" s="53"/>
      <c r="E6" s="54"/>
      <c r="F6" s="55"/>
      <c r="G6" s="55"/>
      <c r="H6" s="56"/>
    </row>
    <row r="7" spans="1:8" ht="18" customHeight="1" x14ac:dyDescent="0.45">
      <c r="A7" s="50"/>
      <c r="B7" s="10" t="s">
        <v>45</v>
      </c>
      <c r="C7" s="10"/>
      <c r="D7" s="10"/>
      <c r="E7" s="10"/>
      <c r="F7" s="10"/>
      <c r="G7" s="10"/>
      <c r="H7" s="10"/>
    </row>
    <row r="8" spans="1:8" s="57" customFormat="1" ht="46.5" customHeight="1" x14ac:dyDescent="0.35">
      <c r="B8" s="58" t="s">
        <v>30</v>
      </c>
      <c r="C8" s="58" t="s">
        <v>46</v>
      </c>
      <c r="D8" s="59" t="s">
        <v>0</v>
      </c>
      <c r="E8" s="60" t="s">
        <v>47</v>
      </c>
      <c r="F8" s="61" t="s">
        <v>48</v>
      </c>
      <c r="G8" s="61" t="s">
        <v>49</v>
      </c>
      <c r="H8" s="62" t="s">
        <v>50</v>
      </c>
    </row>
    <row r="9" spans="1:8" ht="14.25" customHeight="1" x14ac:dyDescent="0.35">
      <c r="B9" s="63"/>
      <c r="C9" s="64"/>
      <c r="D9" s="65"/>
      <c r="E9" s="66"/>
      <c r="F9" s="67"/>
      <c r="G9" s="67"/>
      <c r="H9" s="67"/>
    </row>
    <row r="10" spans="1:8" s="68" customFormat="1" ht="26.25" customHeight="1" x14ac:dyDescent="0.35">
      <c r="B10" s="69"/>
      <c r="C10" s="70"/>
      <c r="D10" s="71" t="s">
        <v>51</v>
      </c>
      <c r="E10" s="72"/>
      <c r="F10" s="73"/>
      <c r="G10" s="71"/>
      <c r="H10" s="74">
        <v>5145</v>
      </c>
    </row>
    <row r="11" spans="1:8" s="68" customFormat="1" ht="26.25" customHeight="1" x14ac:dyDescent="0.35">
      <c r="B11" s="43" t="s">
        <v>52</v>
      </c>
      <c r="C11" s="43" t="s">
        <v>53</v>
      </c>
      <c r="D11" s="75" t="s">
        <v>54</v>
      </c>
      <c r="E11" s="72"/>
      <c r="F11" s="76">
        <v>3400</v>
      </c>
      <c r="G11" s="77">
        <v>0</v>
      </c>
      <c r="H11" s="74">
        <f>H10+F11</f>
        <v>8545</v>
      </c>
    </row>
    <row r="12" spans="1:8" s="68" customFormat="1" ht="26.25" customHeight="1" x14ac:dyDescent="0.35">
      <c r="B12" s="43" t="s">
        <v>55</v>
      </c>
      <c r="C12" s="43" t="s">
        <v>56</v>
      </c>
      <c r="D12" s="75" t="s">
        <v>57</v>
      </c>
      <c r="E12" s="72"/>
      <c r="F12" s="76"/>
      <c r="G12" s="77">
        <v>1151</v>
      </c>
      <c r="H12" s="74">
        <f t="shared" ref="H12:H22" si="0">H11-G12</f>
        <v>7394</v>
      </c>
    </row>
    <row r="13" spans="1:8" s="68" customFormat="1" ht="26.25" customHeight="1" x14ac:dyDescent="0.35">
      <c r="B13" s="43" t="s">
        <v>58</v>
      </c>
      <c r="C13" s="43" t="s">
        <v>59</v>
      </c>
      <c r="D13" s="75" t="s">
        <v>60</v>
      </c>
      <c r="E13" s="72"/>
      <c r="F13" s="76"/>
      <c r="G13" s="77">
        <v>1000</v>
      </c>
      <c r="H13" s="74">
        <f t="shared" si="0"/>
        <v>6394</v>
      </c>
    </row>
    <row r="14" spans="1:8" s="68" customFormat="1" ht="26.25" customHeight="1" x14ac:dyDescent="0.35">
      <c r="B14" s="43" t="s">
        <v>61</v>
      </c>
      <c r="C14" s="43" t="s">
        <v>62</v>
      </c>
      <c r="D14" s="75" t="s">
        <v>63</v>
      </c>
      <c r="E14" s="72"/>
      <c r="F14" s="76"/>
      <c r="G14" s="77">
        <v>565</v>
      </c>
      <c r="H14" s="74">
        <f t="shared" si="0"/>
        <v>5829</v>
      </c>
    </row>
    <row r="15" spans="1:8" s="68" customFormat="1" ht="26.25" customHeight="1" x14ac:dyDescent="0.35">
      <c r="B15" s="43" t="s">
        <v>61</v>
      </c>
      <c r="C15" s="43" t="s">
        <v>64</v>
      </c>
      <c r="D15" s="75" t="s">
        <v>65</v>
      </c>
      <c r="E15" s="72"/>
      <c r="F15" s="76"/>
      <c r="G15" s="77">
        <v>870</v>
      </c>
      <c r="H15" s="74">
        <f t="shared" si="0"/>
        <v>4959</v>
      </c>
    </row>
    <row r="16" spans="1:8" s="68" customFormat="1" ht="26.25" customHeight="1" x14ac:dyDescent="0.35">
      <c r="B16" s="43" t="s">
        <v>61</v>
      </c>
      <c r="C16" s="43" t="s">
        <v>56</v>
      </c>
      <c r="D16" s="75" t="s">
        <v>66</v>
      </c>
      <c r="E16" s="72"/>
      <c r="F16" s="76"/>
      <c r="G16" s="77">
        <v>1201</v>
      </c>
      <c r="H16" s="74">
        <f t="shared" si="0"/>
        <v>3758</v>
      </c>
    </row>
    <row r="17" spans="2:10" s="68" customFormat="1" ht="26.25" customHeight="1" x14ac:dyDescent="0.35">
      <c r="B17" s="43" t="s">
        <v>67</v>
      </c>
      <c r="C17" s="43" t="s">
        <v>56</v>
      </c>
      <c r="D17" s="75" t="s">
        <v>68</v>
      </c>
      <c r="E17" s="72"/>
      <c r="F17" s="76"/>
      <c r="G17" s="77">
        <v>340</v>
      </c>
      <c r="H17" s="74">
        <f t="shared" si="0"/>
        <v>3418</v>
      </c>
    </row>
    <row r="18" spans="2:10" s="68" customFormat="1" ht="26.25" customHeight="1" x14ac:dyDescent="0.35">
      <c r="B18" s="43" t="s">
        <v>69</v>
      </c>
      <c r="C18" s="43" t="s">
        <v>70</v>
      </c>
      <c r="D18" s="75" t="s">
        <v>71</v>
      </c>
      <c r="E18" s="72"/>
      <c r="F18" s="76"/>
      <c r="G18" s="77">
        <v>624</v>
      </c>
      <c r="H18" s="74">
        <f t="shared" si="0"/>
        <v>2794</v>
      </c>
    </row>
    <row r="19" spans="2:10" s="68" customFormat="1" ht="26.25" customHeight="1" x14ac:dyDescent="0.35">
      <c r="B19" s="43" t="s">
        <v>72</v>
      </c>
      <c r="C19" s="43" t="s">
        <v>70</v>
      </c>
      <c r="D19" s="75" t="s">
        <v>71</v>
      </c>
      <c r="E19" s="72"/>
      <c r="F19" s="76"/>
      <c r="G19" s="77">
        <v>624</v>
      </c>
      <c r="H19" s="74">
        <f t="shared" si="0"/>
        <v>2170</v>
      </c>
    </row>
    <row r="20" spans="2:10" s="68" customFormat="1" ht="26.25" customHeight="1" x14ac:dyDescent="0.35">
      <c r="B20" s="43" t="s">
        <v>73</v>
      </c>
      <c r="C20" s="43" t="s">
        <v>74</v>
      </c>
      <c r="D20" s="75" t="s">
        <v>75</v>
      </c>
      <c r="E20" s="72"/>
      <c r="F20" s="76"/>
      <c r="G20" s="77">
        <v>420</v>
      </c>
      <c r="H20" s="74">
        <f t="shared" si="0"/>
        <v>1750</v>
      </c>
    </row>
    <row r="21" spans="2:10" s="68" customFormat="1" ht="26.25" customHeight="1" x14ac:dyDescent="0.35">
      <c r="B21" s="43" t="s">
        <v>73</v>
      </c>
      <c r="C21" s="43" t="s">
        <v>70</v>
      </c>
      <c r="D21" s="75" t="s">
        <v>76</v>
      </c>
      <c r="E21" s="72"/>
      <c r="F21" s="76"/>
      <c r="G21" s="77">
        <v>851</v>
      </c>
      <c r="H21" s="74">
        <f t="shared" si="0"/>
        <v>899</v>
      </c>
    </row>
    <row r="22" spans="2:10" s="68" customFormat="1" ht="26.25" customHeight="1" x14ac:dyDescent="0.35">
      <c r="B22" s="43" t="s">
        <v>77</v>
      </c>
      <c r="C22" s="43" t="s">
        <v>70</v>
      </c>
      <c r="D22" s="75" t="s">
        <v>76</v>
      </c>
      <c r="E22" s="72"/>
      <c r="F22" s="76"/>
      <c r="G22" s="77">
        <v>926</v>
      </c>
      <c r="H22" s="74">
        <f t="shared" si="0"/>
        <v>-27</v>
      </c>
    </row>
    <row r="23" spans="2:10" s="68" customFormat="1" ht="26.25" customHeight="1" x14ac:dyDescent="0.35">
      <c r="B23" s="43" t="s">
        <v>77</v>
      </c>
      <c r="C23" s="43" t="s">
        <v>78</v>
      </c>
      <c r="D23" s="75" t="s">
        <v>79</v>
      </c>
      <c r="E23" s="72"/>
      <c r="F23" s="76">
        <v>20000</v>
      </c>
      <c r="G23" s="77">
        <v>0</v>
      </c>
      <c r="H23" s="74">
        <f>H22+F23</f>
        <v>19973</v>
      </c>
    </row>
    <row r="24" spans="2:10" ht="14.25" customHeight="1" x14ac:dyDescent="0.35">
      <c r="B24" s="43"/>
      <c r="C24" s="43"/>
      <c r="D24" s="75"/>
      <c r="E24" s="72"/>
      <c r="F24" s="76"/>
      <c r="G24" s="77"/>
      <c r="H24" s="74"/>
    </row>
    <row r="25" spans="2:10" ht="14.25" customHeight="1" x14ac:dyDescent="0.35">
      <c r="B25" s="43"/>
      <c r="C25" s="43"/>
      <c r="D25" s="75"/>
      <c r="E25" s="72"/>
      <c r="F25" s="76"/>
      <c r="G25" s="77"/>
      <c r="H25" s="74"/>
      <c r="J25" s="78"/>
    </row>
    <row r="26" spans="2:10" ht="14.25" customHeight="1" x14ac:dyDescent="0.35">
      <c r="B26" s="43"/>
      <c r="C26" s="43"/>
      <c r="D26" s="75"/>
      <c r="E26" s="72"/>
      <c r="F26" s="76"/>
      <c r="G26" s="77"/>
      <c r="H26" s="74"/>
    </row>
    <row r="27" spans="2:10" ht="14.25" customHeight="1" x14ac:dyDescent="0.35">
      <c r="B27" s="43"/>
      <c r="C27" s="43"/>
      <c r="D27" s="75"/>
      <c r="E27" s="72"/>
      <c r="F27" s="76"/>
      <c r="G27" s="77"/>
      <c r="H27" s="74"/>
    </row>
    <row r="28" spans="2:10" ht="14.25" customHeight="1" x14ac:dyDescent="0.35">
      <c r="B28" s="72"/>
      <c r="C28" s="72"/>
      <c r="D28" s="79"/>
      <c r="E28" s="72">
        <f>E10</f>
        <v>0</v>
      </c>
      <c r="F28" s="76"/>
      <c r="G28" s="77">
        <f>SUM(G11:G27)</f>
        <v>8572</v>
      </c>
      <c r="H28" s="74"/>
    </row>
    <row r="29" spans="2:10" ht="14.25" customHeight="1" x14ac:dyDescent="0.35">
      <c r="B29" s="72"/>
      <c r="C29" s="72"/>
      <c r="D29" s="71"/>
      <c r="E29" s="72"/>
      <c r="F29" s="73"/>
      <c r="G29" s="71"/>
      <c r="H29" s="74"/>
    </row>
    <row r="30" spans="2:10" ht="14.25" customHeight="1" x14ac:dyDescent="0.3"/>
    <row r="31" spans="2:10" ht="14.25" customHeight="1" x14ac:dyDescent="0.3"/>
  </sheetData>
  <mergeCells count="2">
    <mergeCell ref="B2:H5"/>
    <mergeCell ref="B7:H7"/>
  </mergeCells>
  <pageMargins left="0.25" right="0.25" top="0.75" bottom="0.75" header="0.511811023622047" footer="0.511811023622047"/>
  <pageSetup paperSize="9" fitToHeight="0" orientation="portrait" horizontalDpi="300" verticalDpi="30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U164"/>
  <sheetViews>
    <sheetView zoomScale="70" zoomScaleNormal="70" workbookViewId="0">
      <pane xSplit="9" ySplit="12" topLeftCell="K53" activePane="bottomRight" state="frozen"/>
      <selection pane="topRight" activeCell="K1" sqref="K1"/>
      <selection pane="bottomLeft" activeCell="A53" sqref="A53"/>
      <selection pane="bottomRight" activeCell="G28" sqref="G28"/>
    </sheetView>
  </sheetViews>
  <sheetFormatPr defaultColWidth="26.08984375" defaultRowHeight="17.5" x14ac:dyDescent="0.35"/>
  <cols>
    <col min="1" max="1" width="13.90625" style="80" customWidth="1"/>
    <col min="2" max="2" width="22" style="80" customWidth="1"/>
    <col min="3" max="3" width="15.54296875" style="80" customWidth="1"/>
    <col min="4" max="4" width="16.54296875" style="80" customWidth="1"/>
    <col min="5" max="5" width="72.08984375" style="80" customWidth="1"/>
    <col min="6" max="6" width="15.90625" style="80" customWidth="1"/>
    <col min="7" max="7" width="11" style="80" customWidth="1"/>
    <col min="8" max="8" width="31.36328125" style="80" customWidth="1"/>
    <col min="9" max="9" width="24.6328125" style="80" customWidth="1"/>
    <col min="10" max="10" width="18.453125" style="81" customWidth="1"/>
    <col min="11" max="11" width="11" style="80" customWidth="1"/>
    <col min="12" max="12" width="24" style="81" customWidth="1"/>
    <col min="13" max="13" width="14.453125" style="81" customWidth="1"/>
    <col min="14" max="14" width="20.54296875" style="81" customWidth="1"/>
    <col min="15" max="15" width="17.453125" style="80" customWidth="1"/>
    <col min="16" max="16" width="20.08984375" style="80" customWidth="1"/>
    <col min="17" max="16384" width="26.08984375" style="80"/>
  </cols>
  <sheetData>
    <row r="1" spans="1:21" ht="17.25" customHeight="1" x14ac:dyDescent="0.35">
      <c r="A1" s="9" t="s">
        <v>80</v>
      </c>
      <c r="B1" s="9"/>
      <c r="C1" s="9"/>
      <c r="D1" s="9"/>
      <c r="E1" s="9"/>
      <c r="F1" s="9"/>
      <c r="G1" s="9"/>
      <c r="H1" s="9"/>
      <c r="I1" s="9"/>
      <c r="J1" s="9"/>
      <c r="K1" s="9"/>
      <c r="L1" s="9"/>
      <c r="M1" s="9"/>
      <c r="N1" s="9"/>
      <c r="O1" s="9"/>
      <c r="P1" s="83" t="s">
        <v>81</v>
      </c>
    </row>
    <row r="2" spans="1:21" x14ac:dyDescent="0.35">
      <c r="A2" s="9"/>
      <c r="B2" s="9"/>
      <c r="C2" s="9"/>
      <c r="D2" s="9"/>
      <c r="E2" s="9"/>
      <c r="F2" s="9"/>
      <c r="G2" s="9"/>
      <c r="H2" s="9"/>
      <c r="I2" s="9"/>
      <c r="J2" s="9"/>
      <c r="K2" s="9"/>
      <c r="L2" s="9"/>
      <c r="M2" s="9"/>
      <c r="N2" s="9"/>
      <c r="O2" s="9"/>
      <c r="P2" s="84" t="s">
        <v>82</v>
      </c>
    </row>
    <row r="3" spans="1:21" x14ac:dyDescent="0.35">
      <c r="A3" s="9"/>
      <c r="B3" s="9"/>
      <c r="C3" s="9"/>
      <c r="D3" s="9"/>
      <c r="E3" s="9"/>
      <c r="F3" s="9"/>
      <c r="G3" s="9"/>
      <c r="H3" s="9"/>
      <c r="I3" s="9"/>
      <c r="J3" s="9"/>
      <c r="K3" s="9"/>
      <c r="L3" s="9"/>
      <c r="M3" s="9"/>
      <c r="N3" s="9"/>
      <c r="O3" s="9"/>
      <c r="P3" s="85"/>
    </row>
    <row r="4" spans="1:21" x14ac:dyDescent="0.35">
      <c r="A4" s="9"/>
      <c r="B4" s="9"/>
      <c r="C4" s="9"/>
      <c r="D4" s="9"/>
      <c r="E4" s="9"/>
      <c r="F4" s="9"/>
      <c r="G4" s="9"/>
      <c r="H4" s="9"/>
      <c r="I4" s="9"/>
      <c r="J4" s="9"/>
      <c r="K4" s="9"/>
      <c r="L4" s="9"/>
      <c r="M4" s="9"/>
      <c r="N4" s="9"/>
      <c r="O4" s="9"/>
      <c r="P4" s="85"/>
    </row>
    <row r="5" spans="1:21" ht="18" customHeight="1" x14ac:dyDescent="0.35">
      <c r="A5" s="8" t="str">
        <f>"XT MANAGEMENT INC - for the month of "&amp;Master!C6</f>
        <v>XT MANAGEMENT INC - for the month of APR-26</v>
      </c>
      <c r="B5" s="8"/>
      <c r="C5" s="8"/>
      <c r="D5" s="8"/>
      <c r="E5" s="8"/>
      <c r="F5" s="8"/>
      <c r="G5" s="8"/>
      <c r="H5" s="8"/>
      <c r="I5" s="8"/>
      <c r="J5" s="8"/>
      <c r="K5" s="8"/>
      <c r="L5" s="8"/>
      <c r="M5" s="8"/>
      <c r="N5" s="8"/>
      <c r="O5" s="8"/>
      <c r="P5" s="8"/>
    </row>
    <row r="6" spans="1:21" x14ac:dyDescent="0.35">
      <c r="A6" s="86"/>
      <c r="B6" s="86"/>
      <c r="C6" s="86"/>
      <c r="D6" s="86"/>
      <c r="E6" s="86"/>
      <c r="F6" s="86"/>
      <c r="G6" s="86"/>
      <c r="H6" s="86"/>
      <c r="I6" s="86"/>
      <c r="J6" s="87"/>
      <c r="K6" s="86"/>
      <c r="L6" s="87"/>
      <c r="M6" s="87"/>
      <c r="N6" s="87"/>
      <c r="O6" s="86"/>
      <c r="P6" s="86"/>
    </row>
    <row r="7" spans="1:21" ht="51.75" customHeight="1" x14ac:dyDescent="0.35">
      <c r="A7" s="86"/>
      <c r="B7" s="82" t="s">
        <v>83</v>
      </c>
      <c r="C7" s="82" t="s">
        <v>84</v>
      </c>
      <c r="D7" s="82" t="s">
        <v>85</v>
      </c>
      <c r="E7" s="88"/>
      <c r="F7" s="88"/>
      <c r="H7" s="86"/>
      <c r="I7" s="86"/>
      <c r="J7" s="87"/>
      <c r="K7" s="86"/>
      <c r="L7" s="87"/>
      <c r="M7" s="87"/>
      <c r="N7" s="87"/>
      <c r="O7" s="86"/>
      <c r="P7" s="86"/>
    </row>
    <row r="8" spans="1:21" x14ac:dyDescent="0.35">
      <c r="A8" s="86"/>
      <c r="B8" s="82" t="s">
        <v>82</v>
      </c>
      <c r="C8" s="89">
        <f>$J$156</f>
        <v>3036049.34</v>
      </c>
      <c r="D8" s="89">
        <f>$L$156</f>
        <v>31977.533304122881</v>
      </c>
      <c r="E8" s="90"/>
      <c r="F8" s="91"/>
      <c r="G8" s="92"/>
      <c r="H8" s="93"/>
      <c r="I8" s="86"/>
      <c r="J8" s="87"/>
      <c r="K8" s="86"/>
      <c r="L8" s="87"/>
      <c r="M8" s="87"/>
      <c r="N8" s="87"/>
      <c r="O8" s="86"/>
      <c r="P8" s="86"/>
    </row>
    <row r="9" spans="1:21" x14ac:dyDescent="0.35">
      <c r="A9" s="86"/>
      <c r="B9" s="82" t="s">
        <v>86</v>
      </c>
      <c r="C9" s="89">
        <f>'DE-ICE'!C9</f>
        <v>918550</v>
      </c>
      <c r="D9" s="89">
        <f>'DE-ICE'!D9</f>
        <v>9674.7318396683459</v>
      </c>
      <c r="E9" s="90"/>
      <c r="F9" s="94"/>
      <c r="G9" s="95"/>
      <c r="H9" s="96"/>
      <c r="I9" s="93"/>
      <c r="J9" s="87"/>
      <c r="K9" s="93"/>
      <c r="L9" s="87"/>
      <c r="M9" s="87"/>
      <c r="N9" s="87"/>
      <c r="O9" s="86"/>
      <c r="P9" s="86"/>
    </row>
    <row r="10" spans="1:21" x14ac:dyDescent="0.35">
      <c r="A10" s="86"/>
      <c r="B10" s="82" t="s">
        <v>87</v>
      </c>
      <c r="C10" s="97">
        <f>SUM(C8:C9)</f>
        <v>3954599.34</v>
      </c>
      <c r="D10" s="97">
        <f>SUM(D8:D9)</f>
        <v>41652.265143791228</v>
      </c>
      <c r="F10" s="98"/>
      <c r="H10" s="86"/>
      <c r="I10" s="86"/>
      <c r="J10" s="87"/>
      <c r="K10" s="99"/>
      <c r="L10" s="87"/>
      <c r="M10" s="87"/>
      <c r="N10" s="87"/>
      <c r="O10" s="86"/>
      <c r="P10" s="86"/>
    </row>
    <row r="11" spans="1:21" x14ac:dyDescent="0.35">
      <c r="A11" s="86"/>
      <c r="B11" s="86"/>
      <c r="C11" s="86"/>
      <c r="D11" s="86"/>
      <c r="E11" s="86"/>
      <c r="F11" s="86"/>
      <c r="G11" s="86"/>
      <c r="H11" s="86"/>
      <c r="I11" s="86"/>
      <c r="J11" s="87"/>
      <c r="K11" s="99"/>
      <c r="L11" s="87"/>
      <c r="M11" s="87"/>
      <c r="N11" s="87"/>
      <c r="O11" s="99"/>
      <c r="P11" s="86"/>
    </row>
    <row r="12" spans="1:21" s="102" customFormat="1" ht="30.75" customHeight="1" x14ac:dyDescent="0.35">
      <c r="A12" s="100" t="s">
        <v>88</v>
      </c>
      <c r="B12" s="100" t="s">
        <v>46</v>
      </c>
      <c r="C12" s="100" t="s">
        <v>89</v>
      </c>
      <c r="D12" s="100" t="s">
        <v>90</v>
      </c>
      <c r="E12" s="100" t="s">
        <v>91</v>
      </c>
      <c r="F12" s="100" t="s">
        <v>92</v>
      </c>
      <c r="G12" s="100" t="s">
        <v>93</v>
      </c>
      <c r="H12" s="100" t="s">
        <v>94</v>
      </c>
      <c r="I12" s="100" t="s">
        <v>95</v>
      </c>
      <c r="J12" s="101" t="s">
        <v>96</v>
      </c>
      <c r="K12" s="100" t="s">
        <v>97</v>
      </c>
      <c r="L12" s="101" t="s">
        <v>98</v>
      </c>
      <c r="M12" s="101" t="s">
        <v>99</v>
      </c>
      <c r="N12" s="101" t="s">
        <v>100</v>
      </c>
      <c r="O12" s="100" t="s">
        <v>101</v>
      </c>
      <c r="P12" s="100" t="s">
        <v>102</v>
      </c>
    </row>
    <row r="13" spans="1:21" s="114" customFormat="1" ht="30.75" customHeight="1" x14ac:dyDescent="0.3">
      <c r="A13" s="103">
        <v>1</v>
      </c>
      <c r="B13" s="104"/>
      <c r="C13" s="103"/>
      <c r="D13" s="103"/>
      <c r="E13" s="105" t="s">
        <v>103</v>
      </c>
      <c r="F13" s="106"/>
      <c r="G13" s="106">
        <v>46113</v>
      </c>
      <c r="H13" s="107" t="s">
        <v>104</v>
      </c>
      <c r="I13" s="103" t="s">
        <v>105</v>
      </c>
      <c r="J13" s="108">
        <v>102531</v>
      </c>
      <c r="K13" s="109">
        <f>Forex!$C$2</f>
        <v>94.943200000000004</v>
      </c>
      <c r="L13" s="110">
        <f t="shared" ref="L13:L44" si="0">J13/K13</f>
        <v>1079.9193623134674</v>
      </c>
      <c r="M13" s="111">
        <v>0</v>
      </c>
      <c r="N13" s="111">
        <f t="shared" ref="N13:N44" si="1">J13+M13</f>
        <v>102531</v>
      </c>
      <c r="O13" s="112" t="s">
        <v>106</v>
      </c>
      <c r="P13" s="113" t="s">
        <v>107</v>
      </c>
      <c r="R13" s="102"/>
      <c r="S13" s="115"/>
      <c r="T13" s="115"/>
      <c r="U13" s="115"/>
    </row>
    <row r="14" spans="1:21" s="114" customFormat="1" ht="30.75" customHeight="1" x14ac:dyDescent="0.3">
      <c r="A14" s="103">
        <v>2</v>
      </c>
      <c r="B14" s="104"/>
      <c r="C14" s="103"/>
      <c r="D14" s="103"/>
      <c r="E14" s="105" t="s">
        <v>108</v>
      </c>
      <c r="F14" s="106"/>
      <c r="G14" s="106">
        <v>46127</v>
      </c>
      <c r="H14" s="107" t="s">
        <v>109</v>
      </c>
      <c r="I14" s="103" t="s">
        <v>110</v>
      </c>
      <c r="J14" s="108">
        <v>372967</v>
      </c>
      <c r="K14" s="109">
        <f>Forex!$C$2</f>
        <v>94.943200000000004</v>
      </c>
      <c r="L14" s="110">
        <f t="shared" si="0"/>
        <v>3928.3171411959993</v>
      </c>
      <c r="M14" s="111">
        <v>0</v>
      </c>
      <c r="N14" s="111">
        <f t="shared" si="1"/>
        <v>372967</v>
      </c>
      <c r="O14" s="112" t="s">
        <v>106</v>
      </c>
      <c r="P14" s="113" t="s">
        <v>111</v>
      </c>
      <c r="R14" s="102"/>
      <c r="S14" s="115"/>
      <c r="T14" s="115"/>
      <c r="U14" s="115"/>
    </row>
    <row r="15" spans="1:21" s="114" customFormat="1" ht="30.75" customHeight="1" x14ac:dyDescent="0.3">
      <c r="A15" s="103">
        <v>3</v>
      </c>
      <c r="B15" s="104"/>
      <c r="C15" s="103"/>
      <c r="D15" s="103"/>
      <c r="E15" s="105" t="s">
        <v>112</v>
      </c>
      <c r="F15" s="106"/>
      <c r="G15" s="106">
        <v>46120</v>
      </c>
      <c r="H15" s="107" t="s">
        <v>113</v>
      </c>
      <c r="I15" s="103" t="s">
        <v>114</v>
      </c>
      <c r="J15" s="108">
        <v>367950</v>
      </c>
      <c r="K15" s="109">
        <f>Forex!$C$2</f>
        <v>94.943200000000004</v>
      </c>
      <c r="L15" s="110">
        <f t="shared" si="0"/>
        <v>3875.4750208545738</v>
      </c>
      <c r="M15" s="111">
        <v>66231</v>
      </c>
      <c r="N15" s="111">
        <f t="shared" si="1"/>
        <v>434181</v>
      </c>
      <c r="O15" s="112" t="s">
        <v>115</v>
      </c>
      <c r="P15" s="113" t="s">
        <v>116</v>
      </c>
      <c r="R15" s="116"/>
      <c r="S15" s="115"/>
      <c r="T15" s="115"/>
      <c r="U15" s="115"/>
    </row>
    <row r="16" spans="1:21" s="114" customFormat="1" ht="30.75" customHeight="1" x14ac:dyDescent="0.3">
      <c r="A16" s="103">
        <v>4</v>
      </c>
      <c r="B16" s="104"/>
      <c r="C16" s="103"/>
      <c r="D16" s="103"/>
      <c r="E16" s="105" t="s">
        <v>117</v>
      </c>
      <c r="F16" s="106"/>
      <c r="G16" s="106">
        <v>46120</v>
      </c>
      <c r="H16" s="107" t="s">
        <v>118</v>
      </c>
      <c r="I16" s="103" t="s">
        <v>119</v>
      </c>
      <c r="J16" s="108">
        <v>21049</v>
      </c>
      <c r="K16" s="109">
        <f>Forex!$C$2</f>
        <v>94.943200000000004</v>
      </c>
      <c r="L16" s="110">
        <f t="shared" si="0"/>
        <v>221.70097489867626</v>
      </c>
      <c r="M16" s="111">
        <v>0</v>
      </c>
      <c r="N16" s="111">
        <f t="shared" si="1"/>
        <v>21049</v>
      </c>
      <c r="O16" s="112" t="s">
        <v>106</v>
      </c>
      <c r="P16" s="113" t="s">
        <v>120</v>
      </c>
      <c r="R16" s="116"/>
      <c r="S16" s="115"/>
      <c r="T16" s="115"/>
      <c r="U16" s="115"/>
    </row>
    <row r="17" spans="1:21" s="114" customFormat="1" ht="30.75" customHeight="1" x14ac:dyDescent="0.3">
      <c r="A17" s="103">
        <v>5</v>
      </c>
      <c r="B17" s="104"/>
      <c r="C17" s="103"/>
      <c r="D17" s="103"/>
      <c r="E17" s="105" t="s">
        <v>121</v>
      </c>
      <c r="F17" s="106"/>
      <c r="G17" s="106">
        <v>46125</v>
      </c>
      <c r="H17" s="107" t="s">
        <v>122</v>
      </c>
      <c r="I17" s="103" t="s">
        <v>123</v>
      </c>
      <c r="J17" s="108">
        <v>16188</v>
      </c>
      <c r="K17" s="109">
        <f>Forex!$C$2</f>
        <v>94.943200000000004</v>
      </c>
      <c r="L17" s="110">
        <f t="shared" si="0"/>
        <v>170.50194221387102</v>
      </c>
      <c r="M17" s="111">
        <v>0</v>
      </c>
      <c r="N17" s="111">
        <f t="shared" si="1"/>
        <v>16188</v>
      </c>
      <c r="O17" s="112" t="s">
        <v>106</v>
      </c>
      <c r="P17" s="113" t="s">
        <v>124</v>
      </c>
      <c r="R17" s="116"/>
      <c r="S17" s="115"/>
      <c r="T17" s="115"/>
      <c r="U17" s="115"/>
    </row>
    <row r="18" spans="1:21" s="114" customFormat="1" ht="30.75" customHeight="1" x14ac:dyDescent="0.3">
      <c r="A18" s="103">
        <v>6</v>
      </c>
      <c r="B18" s="104"/>
      <c r="C18" s="103"/>
      <c r="D18" s="103"/>
      <c r="E18" s="105" t="s">
        <v>125</v>
      </c>
      <c r="F18" s="106"/>
      <c r="G18" s="106">
        <v>46132</v>
      </c>
      <c r="H18" s="107" t="s">
        <v>126</v>
      </c>
      <c r="I18" s="103" t="s">
        <v>127</v>
      </c>
      <c r="J18" s="108">
        <v>21000</v>
      </c>
      <c r="K18" s="109">
        <f>Forex!$C$2</f>
        <v>94.943200000000004</v>
      </c>
      <c r="L18" s="110">
        <f t="shared" si="0"/>
        <v>221.18487685268664</v>
      </c>
      <c r="M18" s="111">
        <v>3780</v>
      </c>
      <c r="N18" s="111">
        <f t="shared" si="1"/>
        <v>24780</v>
      </c>
      <c r="O18" s="112" t="s">
        <v>115</v>
      </c>
      <c r="P18" s="113" t="s">
        <v>128</v>
      </c>
      <c r="R18" s="116"/>
      <c r="S18" s="115"/>
      <c r="T18" s="115"/>
      <c r="U18" s="115"/>
    </row>
    <row r="19" spans="1:21" s="114" customFormat="1" ht="30.75" customHeight="1" x14ac:dyDescent="0.3">
      <c r="A19" s="103">
        <v>7</v>
      </c>
      <c r="B19" s="104"/>
      <c r="C19" s="103"/>
      <c r="D19" s="103"/>
      <c r="E19" s="105" t="s">
        <v>129</v>
      </c>
      <c r="F19" s="106"/>
      <c r="G19" s="106">
        <v>46129</v>
      </c>
      <c r="H19" s="107" t="s">
        <v>130</v>
      </c>
      <c r="I19" s="103" t="s">
        <v>131</v>
      </c>
      <c r="J19" s="108">
        <v>17307.759999999998</v>
      </c>
      <c r="K19" s="109">
        <f>Forex!$C$2</f>
        <v>94.943200000000004</v>
      </c>
      <c r="L19" s="110">
        <f t="shared" si="0"/>
        <v>182.29594115218359</v>
      </c>
      <c r="M19" s="111">
        <v>0</v>
      </c>
      <c r="N19" s="111">
        <f t="shared" si="1"/>
        <v>17307.759999999998</v>
      </c>
      <c r="O19" s="112" t="s">
        <v>106</v>
      </c>
      <c r="P19" s="113" t="s">
        <v>132</v>
      </c>
      <c r="R19" s="116"/>
      <c r="S19" s="115"/>
      <c r="T19" s="115"/>
      <c r="U19" s="115"/>
    </row>
    <row r="20" spans="1:21" s="114" customFormat="1" ht="30.75" customHeight="1" x14ac:dyDescent="0.3">
      <c r="A20" s="103">
        <v>8</v>
      </c>
      <c r="B20" s="104"/>
      <c r="C20" s="103"/>
      <c r="D20" s="103"/>
      <c r="E20" s="105" t="s">
        <v>133</v>
      </c>
      <c r="F20" s="106"/>
      <c r="G20" s="106">
        <v>46142</v>
      </c>
      <c r="H20" s="107" t="s">
        <v>134</v>
      </c>
      <c r="I20" s="103" t="s">
        <v>135</v>
      </c>
      <c r="J20" s="108">
        <v>98569.58</v>
      </c>
      <c r="K20" s="109">
        <f>Forex!$C$2</f>
        <v>94.943200000000004</v>
      </c>
      <c r="L20" s="110">
        <f t="shared" si="0"/>
        <v>1038.1952577962402</v>
      </c>
      <c r="M20" s="111">
        <v>0</v>
      </c>
      <c r="N20" s="111">
        <f t="shared" si="1"/>
        <v>98569.58</v>
      </c>
      <c r="O20" s="112" t="s">
        <v>106</v>
      </c>
      <c r="P20" s="113" t="s">
        <v>136</v>
      </c>
      <c r="R20" s="116"/>
      <c r="S20" s="115"/>
      <c r="T20" s="115"/>
      <c r="U20" s="115"/>
    </row>
    <row r="21" spans="1:21" s="114" customFormat="1" ht="30.75" customHeight="1" x14ac:dyDescent="0.3">
      <c r="A21" s="103">
        <v>9</v>
      </c>
      <c r="B21" s="104"/>
      <c r="C21" s="103"/>
      <c r="D21" s="103"/>
      <c r="E21" s="105" t="s">
        <v>137</v>
      </c>
      <c r="F21" s="106"/>
      <c r="G21" s="106">
        <v>46142</v>
      </c>
      <c r="H21" s="107" t="s">
        <v>138</v>
      </c>
      <c r="I21" s="103" t="s">
        <v>139</v>
      </c>
      <c r="J21" s="108">
        <v>3750</v>
      </c>
      <c r="K21" s="109">
        <f>Forex!$C$2</f>
        <v>94.943200000000004</v>
      </c>
      <c r="L21" s="110">
        <f t="shared" si="0"/>
        <v>39.497299437979756</v>
      </c>
      <c r="M21" s="111">
        <v>0</v>
      </c>
      <c r="N21" s="111">
        <f t="shared" si="1"/>
        <v>3750</v>
      </c>
      <c r="O21" s="112" t="s">
        <v>106</v>
      </c>
      <c r="P21" s="113" t="s">
        <v>140</v>
      </c>
      <c r="R21" s="116"/>
      <c r="S21" s="115"/>
      <c r="T21" s="115"/>
      <c r="U21" s="115"/>
    </row>
    <row r="22" spans="1:21" s="114" customFormat="1" ht="30.75" customHeight="1" x14ac:dyDescent="0.3">
      <c r="A22" s="103">
        <v>10</v>
      </c>
      <c r="B22" s="104"/>
      <c r="C22" s="103"/>
      <c r="D22" s="103"/>
      <c r="E22" s="105" t="s">
        <v>141</v>
      </c>
      <c r="F22" s="106"/>
      <c r="G22" s="106">
        <v>46122</v>
      </c>
      <c r="H22" s="107" t="s">
        <v>142</v>
      </c>
      <c r="I22" s="103" t="s">
        <v>143</v>
      </c>
      <c r="J22" s="108">
        <v>199100</v>
      </c>
      <c r="K22" s="109">
        <f>Forex!$C$2</f>
        <v>94.943200000000004</v>
      </c>
      <c r="L22" s="110">
        <f t="shared" si="0"/>
        <v>2097.0432848271385</v>
      </c>
      <c r="M22" s="111">
        <v>0</v>
      </c>
      <c r="N22" s="111">
        <f t="shared" si="1"/>
        <v>199100</v>
      </c>
      <c r="O22" s="112" t="s">
        <v>106</v>
      </c>
      <c r="P22" s="113" t="s">
        <v>144</v>
      </c>
      <c r="R22" s="116"/>
      <c r="S22" s="115"/>
      <c r="T22" s="115"/>
      <c r="U22" s="115"/>
    </row>
    <row r="23" spans="1:21" s="114" customFormat="1" ht="30.75" customHeight="1" x14ac:dyDescent="0.3">
      <c r="A23" s="103">
        <v>11</v>
      </c>
      <c r="B23" s="104"/>
      <c r="C23" s="103"/>
      <c r="D23" s="103"/>
      <c r="E23" s="105" t="s">
        <v>145</v>
      </c>
      <c r="F23" s="106"/>
      <c r="G23" s="106">
        <v>46140</v>
      </c>
      <c r="H23" s="107" t="s">
        <v>146</v>
      </c>
      <c r="I23" s="103" t="s">
        <v>147</v>
      </c>
      <c r="J23" s="108">
        <v>16011</v>
      </c>
      <c r="K23" s="109">
        <f>Forex!$C$2</f>
        <v>94.943200000000004</v>
      </c>
      <c r="L23" s="110">
        <f t="shared" si="0"/>
        <v>168.63766968039837</v>
      </c>
      <c r="M23" s="111">
        <v>0</v>
      </c>
      <c r="N23" s="111">
        <f t="shared" si="1"/>
        <v>16011</v>
      </c>
      <c r="O23" s="112" t="s">
        <v>106</v>
      </c>
      <c r="P23" s="113" t="s">
        <v>148</v>
      </c>
      <c r="R23" s="116"/>
      <c r="S23" s="115"/>
      <c r="T23" s="115"/>
      <c r="U23" s="115"/>
    </row>
    <row r="24" spans="1:21" s="114" customFormat="1" ht="30.75" customHeight="1" x14ac:dyDescent="0.3">
      <c r="A24" s="103">
        <v>12</v>
      </c>
      <c r="B24" s="104"/>
      <c r="C24" s="103"/>
      <c r="D24" s="103"/>
      <c r="E24" s="105" t="s">
        <v>149</v>
      </c>
      <c r="F24" s="106"/>
      <c r="G24" s="106">
        <v>46121</v>
      </c>
      <c r="H24" s="107" t="s">
        <v>150</v>
      </c>
      <c r="I24" s="103" t="s">
        <v>151</v>
      </c>
      <c r="J24" s="108">
        <v>970593</v>
      </c>
      <c r="K24" s="109">
        <f>Forex!$C$2</f>
        <v>94.943200000000004</v>
      </c>
      <c r="L24" s="110">
        <f t="shared" si="0"/>
        <v>10222.880627575223</v>
      </c>
      <c r="M24" s="111">
        <v>0</v>
      </c>
      <c r="N24" s="111">
        <f t="shared" si="1"/>
        <v>970593</v>
      </c>
      <c r="O24" s="112" t="s">
        <v>106</v>
      </c>
      <c r="P24" s="113" t="s">
        <v>152</v>
      </c>
      <c r="R24" s="116"/>
      <c r="S24" s="115"/>
      <c r="T24" s="115"/>
      <c r="U24" s="115"/>
    </row>
    <row r="25" spans="1:21" s="114" customFormat="1" ht="30.75" customHeight="1" x14ac:dyDescent="0.3">
      <c r="A25" s="103">
        <v>13</v>
      </c>
      <c r="B25" s="104"/>
      <c r="C25" s="103"/>
      <c r="D25" s="103"/>
      <c r="E25" s="105" t="s">
        <v>153</v>
      </c>
      <c r="F25" s="106"/>
      <c r="G25" s="106">
        <v>46121</v>
      </c>
      <c r="H25" s="107" t="s">
        <v>150</v>
      </c>
      <c r="I25" s="103" t="s">
        <v>154</v>
      </c>
      <c r="J25" s="108">
        <v>-50034</v>
      </c>
      <c r="K25" s="109">
        <f>Forex!$C$2</f>
        <v>94.943200000000004</v>
      </c>
      <c r="L25" s="110">
        <f t="shared" si="0"/>
        <v>-526.9887680213011</v>
      </c>
      <c r="M25" s="111">
        <v>0</v>
      </c>
      <c r="N25" s="111">
        <f t="shared" si="1"/>
        <v>-50034</v>
      </c>
      <c r="O25" s="112" t="s">
        <v>106</v>
      </c>
      <c r="P25" s="113" t="s">
        <v>155</v>
      </c>
      <c r="R25" s="116"/>
      <c r="S25" s="115"/>
      <c r="T25" s="115"/>
      <c r="U25" s="115"/>
    </row>
    <row r="26" spans="1:21" s="114" customFormat="1" ht="30.75" customHeight="1" x14ac:dyDescent="0.3">
      <c r="A26" s="103">
        <v>14</v>
      </c>
      <c r="B26" s="104"/>
      <c r="C26" s="103"/>
      <c r="D26" s="103"/>
      <c r="E26" s="105" t="s">
        <v>156</v>
      </c>
      <c r="F26" s="106"/>
      <c r="G26" s="106">
        <v>46142</v>
      </c>
      <c r="H26" s="107" t="s">
        <v>157</v>
      </c>
      <c r="I26" s="103" t="s">
        <v>158</v>
      </c>
      <c r="J26" s="108">
        <v>4095</v>
      </c>
      <c r="K26" s="109">
        <f>Forex!$C$2</f>
        <v>94.943200000000004</v>
      </c>
      <c r="L26" s="110">
        <f t="shared" si="0"/>
        <v>43.131050986273898</v>
      </c>
      <c r="M26" s="111">
        <v>0</v>
      </c>
      <c r="N26" s="111">
        <f t="shared" si="1"/>
        <v>4095</v>
      </c>
      <c r="O26" s="112" t="s">
        <v>106</v>
      </c>
      <c r="P26" s="113" t="s">
        <v>159</v>
      </c>
      <c r="R26" s="116"/>
      <c r="S26" s="115"/>
      <c r="T26" s="115"/>
      <c r="U26" s="115"/>
    </row>
    <row r="27" spans="1:21" s="114" customFormat="1" ht="30.75" customHeight="1" x14ac:dyDescent="0.3">
      <c r="A27" s="103">
        <v>15</v>
      </c>
      <c r="B27" s="104"/>
      <c r="C27" s="103"/>
      <c r="D27" s="103"/>
      <c r="E27" s="105" t="s">
        <v>160</v>
      </c>
      <c r="F27" s="106"/>
      <c r="G27" s="106">
        <v>46142</v>
      </c>
      <c r="H27" s="107" t="s">
        <v>161</v>
      </c>
      <c r="I27" s="103" t="s">
        <v>162</v>
      </c>
      <c r="J27" s="108">
        <v>18100</v>
      </c>
      <c r="K27" s="109">
        <f>Forex!$C$2</f>
        <v>94.943200000000004</v>
      </c>
      <c r="L27" s="110">
        <f t="shared" si="0"/>
        <v>190.64029862064896</v>
      </c>
      <c r="M27" s="111">
        <v>135</v>
      </c>
      <c r="N27" s="111">
        <f t="shared" si="1"/>
        <v>18235</v>
      </c>
      <c r="O27" s="112" t="s">
        <v>115</v>
      </c>
      <c r="P27" s="113" t="s">
        <v>163</v>
      </c>
      <c r="R27" s="116"/>
      <c r="S27" s="115"/>
      <c r="T27" s="115"/>
      <c r="U27" s="115"/>
    </row>
    <row r="28" spans="1:21" s="114" customFormat="1" ht="30.75" customHeight="1" x14ac:dyDescent="0.3">
      <c r="A28" s="103">
        <v>16</v>
      </c>
      <c r="B28" s="104"/>
      <c r="C28" s="103"/>
      <c r="D28" s="103"/>
      <c r="E28" s="105" t="s">
        <v>164</v>
      </c>
      <c r="F28" s="106"/>
      <c r="G28" s="106">
        <v>46142</v>
      </c>
      <c r="H28" s="107" t="s">
        <v>161</v>
      </c>
      <c r="I28" s="103" t="s">
        <v>165</v>
      </c>
      <c r="J28" s="108">
        <v>350</v>
      </c>
      <c r="K28" s="109">
        <f>Forex!$C$2</f>
        <v>94.943200000000004</v>
      </c>
      <c r="L28" s="110">
        <f t="shared" si="0"/>
        <v>3.686414614211444</v>
      </c>
      <c r="M28" s="111">
        <v>0</v>
      </c>
      <c r="N28" s="111">
        <f t="shared" si="1"/>
        <v>350</v>
      </c>
      <c r="O28" s="112" t="s">
        <v>106</v>
      </c>
      <c r="P28" s="113" t="s">
        <v>166</v>
      </c>
      <c r="R28" s="116"/>
      <c r="S28" s="115"/>
      <c r="T28" s="115"/>
      <c r="U28" s="115"/>
    </row>
    <row r="29" spans="1:21" s="114" customFormat="1" ht="30.75" customHeight="1" x14ac:dyDescent="0.3">
      <c r="A29" s="103">
        <v>17</v>
      </c>
      <c r="B29" s="104"/>
      <c r="C29" s="103"/>
      <c r="D29" s="103"/>
      <c r="E29" s="105" t="s">
        <v>167</v>
      </c>
      <c r="F29" s="106"/>
      <c r="G29" s="106">
        <v>46142</v>
      </c>
      <c r="H29" s="107" t="s">
        <v>161</v>
      </c>
      <c r="I29" s="103" t="s">
        <v>168</v>
      </c>
      <c r="J29" s="108">
        <v>13622</v>
      </c>
      <c r="K29" s="109">
        <f>Forex!$C$2</f>
        <v>94.943200000000004</v>
      </c>
      <c r="L29" s="110">
        <f t="shared" si="0"/>
        <v>143.47525678510939</v>
      </c>
      <c r="M29" s="111">
        <v>135</v>
      </c>
      <c r="N29" s="111">
        <f t="shared" si="1"/>
        <v>13757</v>
      </c>
      <c r="O29" s="112" t="s">
        <v>115</v>
      </c>
      <c r="P29" s="113" t="s">
        <v>169</v>
      </c>
      <c r="R29" s="116"/>
      <c r="S29" s="115"/>
      <c r="T29" s="115"/>
      <c r="U29" s="115"/>
    </row>
    <row r="30" spans="1:21" s="114" customFormat="1" ht="30.75" customHeight="1" x14ac:dyDescent="0.3">
      <c r="A30" s="103">
        <v>18</v>
      </c>
      <c r="B30" s="104"/>
      <c r="C30" s="103"/>
      <c r="D30" s="103"/>
      <c r="E30" s="105" t="s">
        <v>164</v>
      </c>
      <c r="F30" s="106"/>
      <c r="G30" s="106">
        <v>46142</v>
      </c>
      <c r="H30" s="107" t="s">
        <v>161</v>
      </c>
      <c r="I30" s="103" t="s">
        <v>170</v>
      </c>
      <c r="J30" s="108">
        <v>350</v>
      </c>
      <c r="K30" s="109">
        <f>Forex!$C$2</f>
        <v>94.943200000000004</v>
      </c>
      <c r="L30" s="110">
        <f t="shared" si="0"/>
        <v>3.686414614211444</v>
      </c>
      <c r="M30" s="111">
        <v>0</v>
      </c>
      <c r="N30" s="111">
        <f t="shared" si="1"/>
        <v>350</v>
      </c>
      <c r="O30" s="112" t="s">
        <v>106</v>
      </c>
      <c r="P30" s="113" t="s">
        <v>171</v>
      </c>
      <c r="R30" s="116"/>
      <c r="S30" s="115"/>
      <c r="T30" s="115"/>
      <c r="U30" s="115"/>
    </row>
    <row r="31" spans="1:21" s="114" customFormat="1" ht="30.75" customHeight="1" x14ac:dyDescent="0.3">
      <c r="A31" s="103">
        <v>19</v>
      </c>
      <c r="B31" s="104"/>
      <c r="C31" s="103"/>
      <c r="D31" s="103"/>
      <c r="E31" s="105" t="s">
        <v>172</v>
      </c>
      <c r="F31" s="106"/>
      <c r="G31" s="106">
        <v>46142</v>
      </c>
      <c r="H31" s="107" t="s">
        <v>173</v>
      </c>
      <c r="I31" s="103" t="s">
        <v>174</v>
      </c>
      <c r="J31" s="108">
        <v>9128</v>
      </c>
      <c r="K31" s="109">
        <f>Forex!$C$2</f>
        <v>94.943200000000004</v>
      </c>
      <c r="L31" s="110">
        <f t="shared" si="0"/>
        <v>96.141693138634466</v>
      </c>
      <c r="M31" s="111">
        <v>27</v>
      </c>
      <c r="N31" s="111">
        <f t="shared" si="1"/>
        <v>9155</v>
      </c>
      <c r="O31" s="112" t="s">
        <v>115</v>
      </c>
      <c r="P31" s="113" t="s">
        <v>175</v>
      </c>
      <c r="R31" s="116"/>
      <c r="S31" s="115"/>
      <c r="T31" s="115"/>
      <c r="U31" s="115"/>
    </row>
    <row r="32" spans="1:21" s="114" customFormat="1" ht="30.75" customHeight="1" x14ac:dyDescent="0.3">
      <c r="A32" s="103">
        <v>20</v>
      </c>
      <c r="B32" s="104"/>
      <c r="C32" s="103"/>
      <c r="D32" s="103"/>
      <c r="E32" s="105" t="s">
        <v>176</v>
      </c>
      <c r="F32" s="106"/>
      <c r="G32" s="106">
        <v>46142</v>
      </c>
      <c r="H32" s="107" t="s">
        <v>173</v>
      </c>
      <c r="I32" s="103" t="s">
        <v>177</v>
      </c>
      <c r="J32" s="108">
        <v>8689</v>
      </c>
      <c r="K32" s="109">
        <f>Forex!$C$2</f>
        <v>94.943200000000004</v>
      </c>
      <c r="L32" s="110">
        <f t="shared" si="0"/>
        <v>91.517875951094965</v>
      </c>
      <c r="M32" s="111">
        <v>27</v>
      </c>
      <c r="N32" s="111">
        <f t="shared" si="1"/>
        <v>8716</v>
      </c>
      <c r="O32" s="112" t="s">
        <v>115</v>
      </c>
      <c r="P32" s="113" t="s">
        <v>178</v>
      </c>
      <c r="R32" s="116"/>
      <c r="S32" s="115"/>
      <c r="T32" s="115"/>
      <c r="U32" s="115"/>
    </row>
    <row r="33" spans="1:21" s="114" customFormat="1" ht="30.75" customHeight="1" x14ac:dyDescent="0.3">
      <c r="A33" s="103">
        <v>21</v>
      </c>
      <c r="B33" s="104"/>
      <c r="C33" s="103"/>
      <c r="D33" s="103"/>
      <c r="E33" s="105" t="s">
        <v>179</v>
      </c>
      <c r="F33" s="106"/>
      <c r="G33" s="106">
        <v>46142</v>
      </c>
      <c r="H33" s="107" t="s">
        <v>173</v>
      </c>
      <c r="I33" s="103" t="s">
        <v>180</v>
      </c>
      <c r="J33" s="108">
        <v>-8189</v>
      </c>
      <c r="K33" s="109">
        <f>Forex!$C$2</f>
        <v>94.943200000000004</v>
      </c>
      <c r="L33" s="110">
        <f t="shared" si="0"/>
        <v>-86.251569359364325</v>
      </c>
      <c r="M33" s="111">
        <v>-27</v>
      </c>
      <c r="N33" s="111">
        <f t="shared" si="1"/>
        <v>-8216</v>
      </c>
      <c r="O33" s="112" t="s">
        <v>115</v>
      </c>
      <c r="P33" s="113" t="s">
        <v>181</v>
      </c>
      <c r="R33" s="116"/>
      <c r="S33" s="115"/>
      <c r="T33" s="115"/>
      <c r="U33" s="115"/>
    </row>
    <row r="34" spans="1:21" s="114" customFormat="1" ht="30.75" customHeight="1" x14ac:dyDescent="0.3">
      <c r="A34" s="103">
        <v>22</v>
      </c>
      <c r="B34" s="104"/>
      <c r="C34" s="103"/>
      <c r="D34" s="103"/>
      <c r="E34" s="105" t="s">
        <v>182</v>
      </c>
      <c r="F34" s="106"/>
      <c r="G34" s="106">
        <v>46142</v>
      </c>
      <c r="H34" s="107" t="s">
        <v>173</v>
      </c>
      <c r="I34" s="103" t="s">
        <v>183</v>
      </c>
      <c r="J34" s="108">
        <v>9339</v>
      </c>
      <c r="K34" s="109">
        <f>Forex!$C$2</f>
        <v>94.943200000000004</v>
      </c>
      <c r="L34" s="110">
        <f t="shared" si="0"/>
        <v>98.364074520344786</v>
      </c>
      <c r="M34" s="111">
        <v>27</v>
      </c>
      <c r="N34" s="111">
        <f t="shared" si="1"/>
        <v>9366</v>
      </c>
      <c r="O34" s="112" t="s">
        <v>115</v>
      </c>
      <c r="P34" s="113" t="s">
        <v>184</v>
      </c>
      <c r="R34" s="116"/>
      <c r="S34" s="115"/>
      <c r="T34" s="115"/>
      <c r="U34" s="115"/>
    </row>
    <row r="35" spans="1:21" s="114" customFormat="1" ht="30.75" customHeight="1" x14ac:dyDescent="0.3">
      <c r="A35" s="103">
        <v>23</v>
      </c>
      <c r="B35" s="104"/>
      <c r="C35" s="103"/>
      <c r="D35" s="103"/>
      <c r="E35" s="105" t="s">
        <v>185</v>
      </c>
      <c r="F35" s="106"/>
      <c r="G35" s="106">
        <v>46142</v>
      </c>
      <c r="H35" s="107" t="s">
        <v>173</v>
      </c>
      <c r="I35" s="103" t="s">
        <v>186</v>
      </c>
      <c r="J35" s="108">
        <v>11187</v>
      </c>
      <c r="K35" s="109">
        <f>Forex!$C$2</f>
        <v>94.943200000000004</v>
      </c>
      <c r="L35" s="110">
        <f t="shared" si="0"/>
        <v>117.82834368338122</v>
      </c>
      <c r="M35" s="111">
        <v>27</v>
      </c>
      <c r="N35" s="111">
        <f t="shared" si="1"/>
        <v>11214</v>
      </c>
      <c r="O35" s="112" t="s">
        <v>115</v>
      </c>
      <c r="P35" s="113" t="s">
        <v>187</v>
      </c>
      <c r="R35" s="116"/>
      <c r="S35" s="115"/>
      <c r="T35" s="115"/>
      <c r="U35" s="115"/>
    </row>
    <row r="36" spans="1:21" s="114" customFormat="1" ht="30.75" customHeight="1" x14ac:dyDescent="0.3">
      <c r="A36" s="103">
        <v>24</v>
      </c>
      <c r="B36" s="104"/>
      <c r="C36" s="103"/>
      <c r="D36" s="103"/>
      <c r="E36" s="105" t="s">
        <v>188</v>
      </c>
      <c r="F36" s="106"/>
      <c r="G36" s="106">
        <v>46142</v>
      </c>
      <c r="H36" s="107" t="s">
        <v>173</v>
      </c>
      <c r="I36" s="103" t="s">
        <v>189</v>
      </c>
      <c r="J36" s="108">
        <v>6628</v>
      </c>
      <c r="K36" s="109">
        <f>Forex!$C$2</f>
        <v>94.943200000000004</v>
      </c>
      <c r="L36" s="110">
        <f t="shared" si="0"/>
        <v>69.810160179981295</v>
      </c>
      <c r="M36" s="111">
        <v>27</v>
      </c>
      <c r="N36" s="111">
        <f t="shared" si="1"/>
        <v>6655</v>
      </c>
      <c r="O36" s="112" t="s">
        <v>115</v>
      </c>
      <c r="P36" s="113" t="s">
        <v>190</v>
      </c>
      <c r="R36" s="116"/>
      <c r="S36" s="115"/>
      <c r="T36" s="115"/>
      <c r="U36" s="115"/>
    </row>
    <row r="37" spans="1:21" s="114" customFormat="1" ht="30.75" customHeight="1" x14ac:dyDescent="0.3">
      <c r="A37" s="103">
        <v>25</v>
      </c>
      <c r="B37" s="104"/>
      <c r="C37" s="103"/>
      <c r="D37" s="103"/>
      <c r="E37" s="105" t="s">
        <v>191</v>
      </c>
      <c r="F37" s="106"/>
      <c r="G37" s="106">
        <v>46142</v>
      </c>
      <c r="H37" s="107" t="s">
        <v>173</v>
      </c>
      <c r="I37" s="103" t="s">
        <v>192</v>
      </c>
      <c r="J37" s="108">
        <v>7865</v>
      </c>
      <c r="K37" s="109">
        <f>Forex!$C$2</f>
        <v>94.943200000000004</v>
      </c>
      <c r="L37" s="110">
        <f t="shared" si="0"/>
        <v>82.839002687922886</v>
      </c>
      <c r="M37" s="111">
        <v>27</v>
      </c>
      <c r="N37" s="111">
        <f t="shared" si="1"/>
        <v>7892</v>
      </c>
      <c r="O37" s="112" t="s">
        <v>115</v>
      </c>
      <c r="P37" s="113" t="s">
        <v>193</v>
      </c>
      <c r="R37" s="116"/>
      <c r="S37" s="115"/>
      <c r="T37" s="115"/>
      <c r="U37" s="115"/>
    </row>
    <row r="38" spans="1:21" s="114" customFormat="1" ht="30.75" customHeight="1" x14ac:dyDescent="0.3">
      <c r="A38" s="103">
        <v>26</v>
      </c>
      <c r="B38" s="104"/>
      <c r="C38" s="103"/>
      <c r="D38" s="103"/>
      <c r="E38" s="105" t="s">
        <v>188</v>
      </c>
      <c r="F38" s="106"/>
      <c r="G38" s="106">
        <v>46142</v>
      </c>
      <c r="H38" s="107" t="s">
        <v>173</v>
      </c>
      <c r="I38" s="103" t="s">
        <v>194</v>
      </c>
      <c r="J38" s="108">
        <v>6628</v>
      </c>
      <c r="K38" s="109">
        <f>Forex!$C$2</f>
        <v>94.943200000000004</v>
      </c>
      <c r="L38" s="110">
        <f t="shared" si="0"/>
        <v>69.810160179981295</v>
      </c>
      <c r="M38" s="111">
        <v>27</v>
      </c>
      <c r="N38" s="111">
        <f t="shared" si="1"/>
        <v>6655</v>
      </c>
      <c r="O38" s="112" t="s">
        <v>115</v>
      </c>
      <c r="P38" s="113" t="s">
        <v>195</v>
      </c>
      <c r="R38" s="116"/>
      <c r="S38" s="115"/>
      <c r="T38" s="115"/>
      <c r="U38" s="115"/>
    </row>
    <row r="39" spans="1:21" s="114" customFormat="1" ht="30.75" customHeight="1" x14ac:dyDescent="0.3">
      <c r="A39" s="103">
        <v>27</v>
      </c>
      <c r="B39" s="104"/>
      <c r="C39" s="103"/>
      <c r="D39" s="103"/>
      <c r="E39" s="105" t="s">
        <v>191</v>
      </c>
      <c r="F39" s="106"/>
      <c r="G39" s="106">
        <v>46142</v>
      </c>
      <c r="H39" s="107" t="s">
        <v>173</v>
      </c>
      <c r="I39" s="103" t="s">
        <v>196</v>
      </c>
      <c r="J39" s="108">
        <v>7865</v>
      </c>
      <c r="K39" s="109">
        <f>Forex!$C$2</f>
        <v>94.943200000000004</v>
      </c>
      <c r="L39" s="110">
        <f t="shared" si="0"/>
        <v>82.839002687922886</v>
      </c>
      <c r="M39" s="111">
        <v>27</v>
      </c>
      <c r="N39" s="111">
        <f t="shared" si="1"/>
        <v>7892</v>
      </c>
      <c r="O39" s="112" t="s">
        <v>115</v>
      </c>
      <c r="P39" s="113" t="s">
        <v>197</v>
      </c>
      <c r="R39" s="116"/>
      <c r="S39" s="115"/>
      <c r="T39" s="115"/>
      <c r="U39" s="115"/>
    </row>
    <row r="40" spans="1:21" s="114" customFormat="1" ht="30.75" customHeight="1" x14ac:dyDescent="0.3">
      <c r="A40" s="103">
        <v>28</v>
      </c>
      <c r="B40" s="104"/>
      <c r="C40" s="103"/>
      <c r="D40" s="103"/>
      <c r="E40" s="105" t="s">
        <v>198</v>
      </c>
      <c r="F40" s="106"/>
      <c r="G40" s="106">
        <v>46142</v>
      </c>
      <c r="H40" s="107" t="s">
        <v>173</v>
      </c>
      <c r="I40" s="103" t="s">
        <v>199</v>
      </c>
      <c r="J40" s="108">
        <v>9898</v>
      </c>
      <c r="K40" s="109">
        <f>Forex!$C$2</f>
        <v>94.943200000000004</v>
      </c>
      <c r="L40" s="110">
        <f t="shared" si="0"/>
        <v>104.25180528989964</v>
      </c>
      <c r="M40" s="111">
        <v>27</v>
      </c>
      <c r="N40" s="111">
        <f t="shared" si="1"/>
        <v>9925</v>
      </c>
      <c r="O40" s="112" t="s">
        <v>115</v>
      </c>
      <c r="P40" s="113" t="s">
        <v>200</v>
      </c>
      <c r="R40" s="116"/>
      <c r="S40" s="115"/>
      <c r="T40" s="115"/>
      <c r="U40" s="115"/>
    </row>
    <row r="41" spans="1:21" s="114" customFormat="1" ht="30.75" customHeight="1" x14ac:dyDescent="0.3">
      <c r="A41" s="103">
        <v>29</v>
      </c>
      <c r="B41" s="104"/>
      <c r="C41" s="103"/>
      <c r="D41" s="103"/>
      <c r="E41" s="105" t="s">
        <v>201</v>
      </c>
      <c r="F41" s="106"/>
      <c r="G41" s="106">
        <v>46142</v>
      </c>
      <c r="H41" s="107" t="s">
        <v>173</v>
      </c>
      <c r="I41" s="103" t="s">
        <v>202</v>
      </c>
      <c r="J41" s="108">
        <v>11992</v>
      </c>
      <c r="K41" s="109">
        <f>Forex!$C$2</f>
        <v>94.943200000000004</v>
      </c>
      <c r="L41" s="110">
        <f t="shared" si="0"/>
        <v>126.30709729606754</v>
      </c>
      <c r="M41" s="111">
        <v>27</v>
      </c>
      <c r="N41" s="111">
        <f t="shared" si="1"/>
        <v>12019</v>
      </c>
      <c r="O41" s="112" t="s">
        <v>115</v>
      </c>
      <c r="P41" s="113" t="s">
        <v>203</v>
      </c>
      <c r="R41" s="116"/>
      <c r="S41" s="115"/>
      <c r="T41" s="115"/>
      <c r="U41" s="115"/>
    </row>
    <row r="42" spans="1:21" s="114" customFormat="1" ht="30.75" customHeight="1" x14ac:dyDescent="0.3">
      <c r="A42" s="103">
        <v>30</v>
      </c>
      <c r="B42" s="104"/>
      <c r="C42" s="103"/>
      <c r="D42" s="103"/>
      <c r="E42" s="105" t="s">
        <v>204</v>
      </c>
      <c r="F42" s="106"/>
      <c r="G42" s="106">
        <v>46142</v>
      </c>
      <c r="H42" s="107" t="s">
        <v>173</v>
      </c>
      <c r="I42" s="103" t="s">
        <v>205</v>
      </c>
      <c r="J42" s="108">
        <v>14899</v>
      </c>
      <c r="K42" s="109">
        <f>Forex!$C$2</f>
        <v>94.943200000000004</v>
      </c>
      <c r="L42" s="110">
        <f t="shared" si="0"/>
        <v>156.92540382038945</v>
      </c>
      <c r="M42" s="111">
        <v>27</v>
      </c>
      <c r="N42" s="111">
        <f t="shared" si="1"/>
        <v>14926</v>
      </c>
      <c r="O42" s="112" t="s">
        <v>115</v>
      </c>
      <c r="P42" s="113" t="s">
        <v>206</v>
      </c>
      <c r="R42" s="116"/>
      <c r="S42" s="115"/>
      <c r="T42" s="115"/>
      <c r="U42" s="115"/>
    </row>
    <row r="43" spans="1:21" s="114" customFormat="1" ht="30.75" customHeight="1" x14ac:dyDescent="0.3">
      <c r="A43" s="103">
        <v>31</v>
      </c>
      <c r="B43" s="104"/>
      <c r="C43" s="103"/>
      <c r="D43" s="103"/>
      <c r="E43" s="105" t="s">
        <v>207</v>
      </c>
      <c r="F43" s="106"/>
      <c r="G43" s="106">
        <v>46142</v>
      </c>
      <c r="H43" s="107" t="s">
        <v>173</v>
      </c>
      <c r="I43" s="103" t="s">
        <v>208</v>
      </c>
      <c r="J43" s="108">
        <v>-14399</v>
      </c>
      <c r="K43" s="109">
        <f>Forex!$C$2</f>
        <v>94.943200000000004</v>
      </c>
      <c r="L43" s="110">
        <f t="shared" si="0"/>
        <v>-151.65909722865882</v>
      </c>
      <c r="M43" s="111">
        <v>-27</v>
      </c>
      <c r="N43" s="111">
        <f t="shared" si="1"/>
        <v>-14426</v>
      </c>
      <c r="O43" s="112" t="s">
        <v>115</v>
      </c>
      <c r="P43" s="113" t="s">
        <v>209</v>
      </c>
      <c r="R43" s="116"/>
      <c r="S43" s="115"/>
      <c r="T43" s="115"/>
      <c r="U43" s="115"/>
    </row>
    <row r="44" spans="1:21" s="114" customFormat="1" ht="30.75" customHeight="1" x14ac:dyDescent="0.3">
      <c r="A44" s="103">
        <v>32</v>
      </c>
      <c r="B44" s="104"/>
      <c r="C44" s="103"/>
      <c r="D44" s="103"/>
      <c r="E44" s="105" t="s">
        <v>210</v>
      </c>
      <c r="F44" s="106"/>
      <c r="G44" s="106">
        <v>46142</v>
      </c>
      <c r="H44" s="107" t="s">
        <v>173</v>
      </c>
      <c r="I44" s="103" t="s">
        <v>211</v>
      </c>
      <c r="J44" s="108">
        <v>8674</v>
      </c>
      <c r="K44" s="109">
        <f>Forex!$C$2</f>
        <v>94.943200000000004</v>
      </c>
      <c r="L44" s="110">
        <f t="shared" si="0"/>
        <v>91.359886753343048</v>
      </c>
      <c r="M44" s="111">
        <v>27</v>
      </c>
      <c r="N44" s="111">
        <f t="shared" si="1"/>
        <v>8701</v>
      </c>
      <c r="O44" s="112" t="s">
        <v>115</v>
      </c>
      <c r="P44" s="113" t="s">
        <v>212</v>
      </c>
      <c r="R44" s="116"/>
      <c r="S44" s="115"/>
      <c r="T44" s="115"/>
      <c r="U44" s="115"/>
    </row>
    <row r="45" spans="1:21" s="114" customFormat="1" ht="30.75" customHeight="1" x14ac:dyDescent="0.3">
      <c r="A45" s="103">
        <v>33</v>
      </c>
      <c r="B45" s="104"/>
      <c r="C45" s="103"/>
      <c r="D45" s="103"/>
      <c r="E45" s="105" t="s">
        <v>213</v>
      </c>
      <c r="F45" s="106"/>
      <c r="G45" s="106">
        <v>46142</v>
      </c>
      <c r="H45" s="107" t="s">
        <v>173</v>
      </c>
      <c r="I45" s="103" t="s">
        <v>214</v>
      </c>
      <c r="J45" s="108">
        <v>16671</v>
      </c>
      <c r="K45" s="109">
        <f>Forex!$C$2</f>
        <v>94.943200000000004</v>
      </c>
      <c r="L45" s="110">
        <f t="shared" ref="L45:L76" si="2">J45/K45</f>
        <v>175.58919438148283</v>
      </c>
      <c r="M45" s="111">
        <v>27</v>
      </c>
      <c r="N45" s="111">
        <f t="shared" ref="N45:N76" si="3">J45+M45</f>
        <v>16698</v>
      </c>
      <c r="O45" s="112" t="s">
        <v>115</v>
      </c>
      <c r="P45" s="113" t="s">
        <v>215</v>
      </c>
      <c r="R45" s="116"/>
      <c r="S45" s="115"/>
      <c r="T45" s="115"/>
      <c r="U45" s="115"/>
    </row>
    <row r="46" spans="1:21" s="114" customFormat="1" ht="30.75" customHeight="1" x14ac:dyDescent="0.3">
      <c r="A46" s="103">
        <v>34</v>
      </c>
      <c r="B46" s="104"/>
      <c r="C46" s="103"/>
      <c r="D46" s="103"/>
      <c r="E46" s="105" t="s">
        <v>216</v>
      </c>
      <c r="F46" s="106"/>
      <c r="G46" s="106">
        <v>46142</v>
      </c>
      <c r="H46" s="107" t="s">
        <v>173</v>
      </c>
      <c r="I46" s="103" t="s">
        <v>217</v>
      </c>
      <c r="J46" s="108">
        <v>10104</v>
      </c>
      <c r="K46" s="109">
        <f>Forex!$C$2</f>
        <v>94.943200000000004</v>
      </c>
      <c r="L46" s="110">
        <f t="shared" si="2"/>
        <v>106.42152360569266</v>
      </c>
      <c r="M46" s="111">
        <v>27</v>
      </c>
      <c r="N46" s="111">
        <f t="shared" si="3"/>
        <v>10131</v>
      </c>
      <c r="O46" s="112" t="s">
        <v>115</v>
      </c>
      <c r="P46" s="113" t="s">
        <v>218</v>
      </c>
      <c r="R46" s="116"/>
      <c r="S46" s="115"/>
      <c r="T46" s="115"/>
      <c r="U46" s="115"/>
    </row>
    <row r="47" spans="1:21" s="114" customFormat="1" ht="30.75" customHeight="1" x14ac:dyDescent="0.3">
      <c r="A47" s="103">
        <v>35</v>
      </c>
      <c r="B47" s="104"/>
      <c r="C47" s="103"/>
      <c r="D47" s="103"/>
      <c r="E47" s="105" t="s">
        <v>219</v>
      </c>
      <c r="F47" s="106"/>
      <c r="G47" s="106">
        <v>46142</v>
      </c>
      <c r="H47" s="107" t="s">
        <v>173</v>
      </c>
      <c r="I47" s="103" t="s">
        <v>220</v>
      </c>
      <c r="J47" s="108">
        <v>10025</v>
      </c>
      <c r="K47" s="109">
        <f>Forex!$C$2</f>
        <v>94.943200000000004</v>
      </c>
      <c r="L47" s="110">
        <f t="shared" si="2"/>
        <v>105.58944716419923</v>
      </c>
      <c r="M47" s="111">
        <v>27</v>
      </c>
      <c r="N47" s="111">
        <f t="shared" si="3"/>
        <v>10052</v>
      </c>
      <c r="O47" s="112" t="s">
        <v>115</v>
      </c>
      <c r="P47" s="113" t="s">
        <v>221</v>
      </c>
      <c r="R47" s="116"/>
      <c r="S47" s="115"/>
      <c r="T47" s="115"/>
      <c r="U47" s="115"/>
    </row>
    <row r="48" spans="1:21" s="114" customFormat="1" ht="30.75" customHeight="1" x14ac:dyDescent="0.3">
      <c r="A48" s="103">
        <v>36</v>
      </c>
      <c r="B48" s="104"/>
      <c r="C48" s="103"/>
      <c r="D48" s="103"/>
      <c r="E48" s="105" t="s">
        <v>222</v>
      </c>
      <c r="F48" s="106"/>
      <c r="G48" s="106">
        <v>46142</v>
      </c>
      <c r="H48" s="107" t="s">
        <v>173</v>
      </c>
      <c r="I48" s="103" t="s">
        <v>223</v>
      </c>
      <c r="J48" s="108">
        <v>8438</v>
      </c>
      <c r="K48" s="109">
        <f>Forex!$C$2</f>
        <v>94.943200000000004</v>
      </c>
      <c r="L48" s="110">
        <f t="shared" si="2"/>
        <v>88.874190042046195</v>
      </c>
      <c r="M48" s="111">
        <v>27</v>
      </c>
      <c r="N48" s="111">
        <f t="shared" si="3"/>
        <v>8465</v>
      </c>
      <c r="O48" s="112" t="s">
        <v>115</v>
      </c>
      <c r="P48" s="113" t="s">
        <v>224</v>
      </c>
      <c r="R48" s="116"/>
      <c r="S48" s="115"/>
      <c r="T48" s="115"/>
      <c r="U48" s="115"/>
    </row>
    <row r="49" spans="1:21" s="114" customFormat="1" ht="30.75" customHeight="1" x14ac:dyDescent="0.3">
      <c r="A49" s="103">
        <v>37</v>
      </c>
      <c r="B49" s="104"/>
      <c r="C49" s="103"/>
      <c r="D49" s="103"/>
      <c r="E49" s="105" t="s">
        <v>225</v>
      </c>
      <c r="F49" s="106"/>
      <c r="G49" s="106">
        <v>46142</v>
      </c>
      <c r="H49" s="107" t="s">
        <v>173</v>
      </c>
      <c r="I49" s="103" t="s">
        <v>226</v>
      </c>
      <c r="J49" s="108">
        <v>7920</v>
      </c>
      <c r="K49" s="109">
        <f>Forex!$C$2</f>
        <v>94.943200000000004</v>
      </c>
      <c r="L49" s="110">
        <f t="shared" si="2"/>
        <v>83.418296413013252</v>
      </c>
      <c r="M49" s="111">
        <v>27</v>
      </c>
      <c r="N49" s="111">
        <f t="shared" si="3"/>
        <v>7947</v>
      </c>
      <c r="O49" s="112" t="s">
        <v>115</v>
      </c>
      <c r="P49" s="113" t="s">
        <v>227</v>
      </c>
      <c r="R49" s="116"/>
      <c r="S49" s="115"/>
      <c r="T49" s="115"/>
      <c r="U49" s="115"/>
    </row>
    <row r="50" spans="1:21" s="114" customFormat="1" ht="30.75" customHeight="1" x14ac:dyDescent="0.3">
      <c r="A50" s="103">
        <v>38</v>
      </c>
      <c r="B50" s="104"/>
      <c r="C50" s="103"/>
      <c r="D50" s="103"/>
      <c r="E50" s="105" t="s">
        <v>228</v>
      </c>
      <c r="F50" s="106"/>
      <c r="G50" s="106">
        <v>46142</v>
      </c>
      <c r="H50" s="107" t="s">
        <v>173</v>
      </c>
      <c r="I50" s="103" t="s">
        <v>229</v>
      </c>
      <c r="J50" s="108">
        <v>7737</v>
      </c>
      <c r="K50" s="109">
        <f>Forex!$C$2</f>
        <v>94.943200000000004</v>
      </c>
      <c r="L50" s="110">
        <f t="shared" si="2"/>
        <v>81.490828200439836</v>
      </c>
      <c r="M50" s="111">
        <v>27</v>
      </c>
      <c r="N50" s="111">
        <f t="shared" si="3"/>
        <v>7764</v>
      </c>
      <c r="O50" s="112" t="s">
        <v>115</v>
      </c>
      <c r="P50" s="113" t="s">
        <v>230</v>
      </c>
      <c r="R50" s="116"/>
      <c r="S50" s="115"/>
      <c r="T50" s="115"/>
      <c r="U50" s="115"/>
    </row>
    <row r="51" spans="1:21" s="114" customFormat="1" ht="30.75" customHeight="1" x14ac:dyDescent="0.3">
      <c r="A51" s="103">
        <v>39</v>
      </c>
      <c r="B51" s="104"/>
      <c r="C51" s="103"/>
      <c r="D51" s="103"/>
      <c r="E51" s="105" t="s">
        <v>231</v>
      </c>
      <c r="F51" s="106"/>
      <c r="G51" s="106">
        <v>46142</v>
      </c>
      <c r="H51" s="107" t="s">
        <v>173</v>
      </c>
      <c r="I51" s="103" t="s">
        <v>232</v>
      </c>
      <c r="J51" s="108">
        <v>6057</v>
      </c>
      <c r="K51" s="109">
        <f>Forex!$C$2</f>
        <v>94.943200000000004</v>
      </c>
      <c r="L51" s="110">
        <f t="shared" si="2"/>
        <v>63.796038052224908</v>
      </c>
      <c r="M51" s="111">
        <v>27</v>
      </c>
      <c r="N51" s="111">
        <f t="shared" si="3"/>
        <v>6084</v>
      </c>
      <c r="O51" s="112" t="s">
        <v>115</v>
      </c>
      <c r="P51" s="113" t="s">
        <v>233</v>
      </c>
      <c r="R51" s="116"/>
      <c r="S51" s="115"/>
      <c r="T51" s="115"/>
      <c r="U51" s="115"/>
    </row>
    <row r="52" spans="1:21" s="114" customFormat="1" ht="30.75" customHeight="1" x14ac:dyDescent="0.3">
      <c r="A52" s="103">
        <v>40</v>
      </c>
      <c r="B52" s="104"/>
      <c r="C52" s="103"/>
      <c r="D52" s="103"/>
      <c r="E52" s="105" t="s">
        <v>234</v>
      </c>
      <c r="F52" s="106"/>
      <c r="G52" s="106">
        <v>46142</v>
      </c>
      <c r="H52" s="107" t="s">
        <v>173</v>
      </c>
      <c r="I52" s="103" t="s">
        <v>235</v>
      </c>
      <c r="J52" s="108">
        <v>-5557</v>
      </c>
      <c r="K52" s="109">
        <f>Forex!$C$2</f>
        <v>94.943200000000004</v>
      </c>
      <c r="L52" s="110">
        <f t="shared" si="2"/>
        <v>-58.529731460494268</v>
      </c>
      <c r="M52" s="111">
        <v>-27</v>
      </c>
      <c r="N52" s="111">
        <f t="shared" si="3"/>
        <v>-5584</v>
      </c>
      <c r="O52" s="112" t="s">
        <v>115</v>
      </c>
      <c r="P52" s="113" t="s">
        <v>236</v>
      </c>
      <c r="R52" s="116"/>
      <c r="S52" s="115"/>
      <c r="T52" s="115"/>
      <c r="U52" s="115"/>
    </row>
    <row r="53" spans="1:21" s="114" customFormat="1" ht="30.75" customHeight="1" x14ac:dyDescent="0.3">
      <c r="A53" s="103">
        <v>41</v>
      </c>
      <c r="B53" s="104"/>
      <c r="C53" s="103"/>
      <c r="D53" s="103"/>
      <c r="E53" s="105" t="s">
        <v>237</v>
      </c>
      <c r="F53" s="106"/>
      <c r="G53" s="106">
        <v>46142</v>
      </c>
      <c r="H53" s="107" t="s">
        <v>173</v>
      </c>
      <c r="I53" s="103" t="s">
        <v>238</v>
      </c>
      <c r="J53" s="108">
        <v>8572</v>
      </c>
      <c r="K53" s="109">
        <f>Forex!$C$2</f>
        <v>94.943200000000004</v>
      </c>
      <c r="L53" s="110">
        <f t="shared" si="2"/>
        <v>90.285560208630002</v>
      </c>
      <c r="M53" s="111">
        <v>27</v>
      </c>
      <c r="N53" s="111">
        <f t="shared" si="3"/>
        <v>8599</v>
      </c>
      <c r="O53" s="112" t="s">
        <v>115</v>
      </c>
      <c r="P53" s="113" t="s">
        <v>239</v>
      </c>
      <c r="R53" s="116"/>
      <c r="S53" s="115"/>
      <c r="T53" s="115"/>
      <c r="U53" s="115"/>
    </row>
    <row r="54" spans="1:21" s="114" customFormat="1" ht="30.75" customHeight="1" x14ac:dyDescent="0.3">
      <c r="A54" s="103">
        <v>42</v>
      </c>
      <c r="B54" s="104"/>
      <c r="C54" s="103"/>
      <c r="D54" s="103"/>
      <c r="E54" s="105" t="s">
        <v>240</v>
      </c>
      <c r="F54" s="106"/>
      <c r="G54" s="106">
        <v>46142</v>
      </c>
      <c r="H54" s="107" t="s">
        <v>173</v>
      </c>
      <c r="I54" s="103" t="s">
        <v>241</v>
      </c>
      <c r="J54" s="108">
        <v>8648</v>
      </c>
      <c r="K54" s="109">
        <f>Forex!$C$2</f>
        <v>94.943200000000004</v>
      </c>
      <c r="L54" s="110">
        <f t="shared" si="2"/>
        <v>91.086038810573058</v>
      </c>
      <c r="M54" s="111">
        <v>27</v>
      </c>
      <c r="N54" s="111">
        <f t="shared" si="3"/>
        <v>8675</v>
      </c>
      <c r="O54" s="112" t="s">
        <v>115</v>
      </c>
      <c r="P54" s="113" t="s">
        <v>242</v>
      </c>
      <c r="R54" s="116"/>
      <c r="S54" s="115"/>
      <c r="T54" s="115"/>
      <c r="U54" s="115"/>
    </row>
    <row r="55" spans="1:21" s="114" customFormat="1" ht="30.75" customHeight="1" x14ac:dyDescent="0.3">
      <c r="A55" s="103">
        <v>43</v>
      </c>
      <c r="B55" s="104"/>
      <c r="C55" s="103"/>
      <c r="D55" s="103"/>
      <c r="E55" s="105" t="s">
        <v>243</v>
      </c>
      <c r="F55" s="106"/>
      <c r="G55" s="106">
        <v>46142</v>
      </c>
      <c r="H55" s="107" t="s">
        <v>173</v>
      </c>
      <c r="I55" s="103" t="s">
        <v>244</v>
      </c>
      <c r="J55" s="108">
        <v>9530</v>
      </c>
      <c r="K55" s="109">
        <f>Forex!$C$2</f>
        <v>94.943200000000004</v>
      </c>
      <c r="L55" s="110">
        <f t="shared" si="2"/>
        <v>100.37580363838589</v>
      </c>
      <c r="M55" s="111">
        <v>27</v>
      </c>
      <c r="N55" s="111">
        <f t="shared" si="3"/>
        <v>9557</v>
      </c>
      <c r="O55" s="112" t="s">
        <v>115</v>
      </c>
      <c r="P55" s="113" t="s">
        <v>245</v>
      </c>
      <c r="R55" s="116"/>
      <c r="S55" s="115"/>
      <c r="T55" s="115"/>
      <c r="U55" s="115"/>
    </row>
    <row r="56" spans="1:21" s="114" customFormat="1" ht="30.75" customHeight="1" x14ac:dyDescent="0.3">
      <c r="A56" s="103">
        <v>44</v>
      </c>
      <c r="B56" s="104"/>
      <c r="C56" s="103"/>
      <c r="D56" s="103"/>
      <c r="E56" s="105" t="s">
        <v>243</v>
      </c>
      <c r="F56" s="106"/>
      <c r="G56" s="106">
        <v>46142</v>
      </c>
      <c r="H56" s="107" t="s">
        <v>173</v>
      </c>
      <c r="I56" s="103" t="s">
        <v>246</v>
      </c>
      <c r="J56" s="108">
        <v>9530</v>
      </c>
      <c r="K56" s="109">
        <f>Forex!$C$2</f>
        <v>94.943200000000004</v>
      </c>
      <c r="L56" s="110">
        <f t="shared" si="2"/>
        <v>100.37580363838589</v>
      </c>
      <c r="M56" s="111">
        <v>27</v>
      </c>
      <c r="N56" s="111">
        <f t="shared" si="3"/>
        <v>9557</v>
      </c>
      <c r="O56" s="112" t="s">
        <v>115</v>
      </c>
      <c r="P56" s="113" t="s">
        <v>247</v>
      </c>
      <c r="R56" s="116"/>
      <c r="S56" s="115"/>
      <c r="T56" s="115"/>
      <c r="U56" s="115"/>
    </row>
    <row r="57" spans="1:21" s="114" customFormat="1" ht="30.75" customHeight="1" x14ac:dyDescent="0.3">
      <c r="A57" s="103">
        <v>45</v>
      </c>
      <c r="B57" s="104"/>
      <c r="C57" s="103"/>
      <c r="D57" s="103"/>
      <c r="E57" s="105" t="s">
        <v>248</v>
      </c>
      <c r="F57" s="106"/>
      <c r="G57" s="106">
        <v>46142</v>
      </c>
      <c r="H57" s="107" t="s">
        <v>173</v>
      </c>
      <c r="I57" s="103" t="s">
        <v>249</v>
      </c>
      <c r="J57" s="108">
        <v>13924</v>
      </c>
      <c r="K57" s="109">
        <f>Forex!$C$2</f>
        <v>94.943200000000004</v>
      </c>
      <c r="L57" s="110">
        <f t="shared" si="2"/>
        <v>146.6561059665147</v>
      </c>
      <c r="M57" s="111">
        <v>27</v>
      </c>
      <c r="N57" s="111">
        <f t="shared" si="3"/>
        <v>13951</v>
      </c>
      <c r="O57" s="112" t="s">
        <v>115</v>
      </c>
      <c r="P57" s="113" t="s">
        <v>250</v>
      </c>
      <c r="R57" s="116"/>
      <c r="S57" s="115"/>
      <c r="T57" s="115"/>
      <c r="U57" s="115"/>
    </row>
    <row r="58" spans="1:21" s="114" customFormat="1" ht="30.75" customHeight="1" x14ac:dyDescent="0.3">
      <c r="A58" s="103">
        <v>46</v>
      </c>
      <c r="B58" s="104"/>
      <c r="C58" s="103"/>
      <c r="D58" s="103"/>
      <c r="E58" s="105" t="s">
        <v>251</v>
      </c>
      <c r="F58" s="106"/>
      <c r="G58" s="106">
        <v>46142</v>
      </c>
      <c r="H58" s="107" t="s">
        <v>173</v>
      </c>
      <c r="I58" s="103" t="s">
        <v>252</v>
      </c>
      <c r="J58" s="108">
        <v>12363</v>
      </c>
      <c r="K58" s="109">
        <f>Forex!$C$2</f>
        <v>94.943200000000004</v>
      </c>
      <c r="L58" s="110">
        <f t="shared" si="2"/>
        <v>130.21469678713166</v>
      </c>
      <c r="M58" s="111">
        <v>27</v>
      </c>
      <c r="N58" s="111">
        <f t="shared" si="3"/>
        <v>12390</v>
      </c>
      <c r="O58" s="112" t="s">
        <v>115</v>
      </c>
      <c r="P58" s="113" t="s">
        <v>253</v>
      </c>
      <c r="R58" s="116"/>
      <c r="S58" s="115"/>
      <c r="T58" s="115"/>
      <c r="U58" s="115"/>
    </row>
    <row r="59" spans="1:21" s="114" customFormat="1" ht="30.75" customHeight="1" x14ac:dyDescent="0.3">
      <c r="A59" s="103">
        <v>47</v>
      </c>
      <c r="B59" s="104"/>
      <c r="C59" s="103"/>
      <c r="D59" s="103"/>
      <c r="E59" s="105" t="s">
        <v>254</v>
      </c>
      <c r="F59" s="106"/>
      <c r="G59" s="106">
        <v>46142</v>
      </c>
      <c r="H59" s="107" t="s">
        <v>173</v>
      </c>
      <c r="I59" s="103" t="s">
        <v>255</v>
      </c>
      <c r="J59" s="108">
        <v>8577</v>
      </c>
      <c r="K59" s="109">
        <f>Forex!$C$2</f>
        <v>94.943200000000004</v>
      </c>
      <c r="L59" s="110">
        <f t="shared" si="2"/>
        <v>90.338223274547303</v>
      </c>
      <c r="M59" s="111">
        <v>27</v>
      </c>
      <c r="N59" s="111">
        <f t="shared" si="3"/>
        <v>8604</v>
      </c>
      <c r="O59" s="112" t="s">
        <v>115</v>
      </c>
      <c r="P59" s="113" t="s">
        <v>256</v>
      </c>
      <c r="R59" s="116"/>
      <c r="S59" s="115"/>
      <c r="T59" s="115"/>
      <c r="U59" s="115"/>
    </row>
    <row r="60" spans="1:21" s="114" customFormat="1" ht="30.75" customHeight="1" x14ac:dyDescent="0.3">
      <c r="A60" s="103">
        <v>48</v>
      </c>
      <c r="B60" s="104"/>
      <c r="C60" s="103"/>
      <c r="D60" s="103"/>
      <c r="E60" s="105" t="s">
        <v>257</v>
      </c>
      <c r="F60" s="106"/>
      <c r="G60" s="106">
        <v>46142</v>
      </c>
      <c r="H60" s="107" t="s">
        <v>173</v>
      </c>
      <c r="I60" s="103" t="s">
        <v>258</v>
      </c>
      <c r="J60" s="108">
        <v>10773</v>
      </c>
      <c r="K60" s="109">
        <f>Forex!$C$2</f>
        <v>94.943200000000004</v>
      </c>
      <c r="L60" s="110">
        <f t="shared" si="2"/>
        <v>113.46784182542825</v>
      </c>
      <c r="M60" s="111">
        <v>27</v>
      </c>
      <c r="N60" s="111">
        <f t="shared" si="3"/>
        <v>10800</v>
      </c>
      <c r="O60" s="112" t="s">
        <v>115</v>
      </c>
      <c r="P60" s="113" t="s">
        <v>259</v>
      </c>
      <c r="R60" s="116"/>
      <c r="S60" s="115"/>
      <c r="T60" s="115"/>
      <c r="U60" s="115"/>
    </row>
    <row r="61" spans="1:21" s="114" customFormat="1" ht="30.75" customHeight="1" x14ac:dyDescent="0.3">
      <c r="A61" s="103">
        <v>49</v>
      </c>
      <c r="B61" s="104"/>
      <c r="C61" s="103"/>
      <c r="D61" s="103"/>
      <c r="E61" s="105" t="s">
        <v>260</v>
      </c>
      <c r="F61" s="106"/>
      <c r="G61" s="106">
        <v>46142</v>
      </c>
      <c r="H61" s="107" t="s">
        <v>173</v>
      </c>
      <c r="I61" s="103" t="s">
        <v>261</v>
      </c>
      <c r="J61" s="108">
        <v>10862</v>
      </c>
      <c r="K61" s="109">
        <f>Forex!$C$2</f>
        <v>94.943200000000004</v>
      </c>
      <c r="L61" s="110">
        <f t="shared" si="2"/>
        <v>114.40524439875631</v>
      </c>
      <c r="M61" s="111">
        <v>27</v>
      </c>
      <c r="N61" s="111">
        <f t="shared" si="3"/>
        <v>10889</v>
      </c>
      <c r="O61" s="112" t="s">
        <v>115</v>
      </c>
      <c r="P61" s="113" t="s">
        <v>262</v>
      </c>
      <c r="R61" s="116"/>
      <c r="S61" s="115"/>
      <c r="T61" s="115"/>
      <c r="U61" s="115"/>
    </row>
    <row r="62" spans="1:21" s="114" customFormat="1" ht="30.75" customHeight="1" x14ac:dyDescent="0.3">
      <c r="A62" s="103">
        <v>50</v>
      </c>
      <c r="B62" s="104"/>
      <c r="C62" s="103"/>
      <c r="D62" s="103"/>
      <c r="E62" s="105" t="s">
        <v>263</v>
      </c>
      <c r="F62" s="106"/>
      <c r="G62" s="106">
        <v>46142</v>
      </c>
      <c r="H62" s="107" t="s">
        <v>173</v>
      </c>
      <c r="I62" s="103" t="s">
        <v>264</v>
      </c>
      <c r="J62" s="108">
        <v>7409</v>
      </c>
      <c r="K62" s="109">
        <f>Forex!$C$2</f>
        <v>94.943200000000004</v>
      </c>
      <c r="L62" s="110">
        <f t="shared" si="2"/>
        <v>78.036131076264539</v>
      </c>
      <c r="M62" s="111">
        <v>27</v>
      </c>
      <c r="N62" s="111">
        <f t="shared" si="3"/>
        <v>7436</v>
      </c>
      <c r="O62" s="112" t="s">
        <v>115</v>
      </c>
      <c r="P62" s="113" t="s">
        <v>265</v>
      </c>
      <c r="R62" s="116"/>
      <c r="S62" s="115"/>
      <c r="T62" s="115"/>
      <c r="U62" s="115"/>
    </row>
    <row r="63" spans="1:21" s="114" customFormat="1" ht="30.75" customHeight="1" x14ac:dyDescent="0.3">
      <c r="A63" s="103">
        <v>51</v>
      </c>
      <c r="B63" s="104"/>
      <c r="C63" s="103"/>
      <c r="D63" s="103"/>
      <c r="E63" s="105" t="s">
        <v>266</v>
      </c>
      <c r="F63" s="106"/>
      <c r="G63" s="106">
        <v>46142</v>
      </c>
      <c r="H63" s="107" t="s">
        <v>173</v>
      </c>
      <c r="I63" s="103" t="s">
        <v>267</v>
      </c>
      <c r="J63" s="108">
        <v>17338</v>
      </c>
      <c r="K63" s="109">
        <f>Forex!$C$2</f>
        <v>94.943200000000004</v>
      </c>
      <c r="L63" s="110">
        <f t="shared" si="2"/>
        <v>182.61444737485149</v>
      </c>
      <c r="M63" s="111">
        <v>27</v>
      </c>
      <c r="N63" s="111">
        <f t="shared" si="3"/>
        <v>17365</v>
      </c>
      <c r="O63" s="112" t="s">
        <v>115</v>
      </c>
      <c r="P63" s="113" t="s">
        <v>268</v>
      </c>
      <c r="R63" s="116"/>
      <c r="S63" s="115"/>
      <c r="T63" s="115"/>
      <c r="U63" s="115"/>
    </row>
    <row r="64" spans="1:21" s="114" customFormat="1" ht="30.75" customHeight="1" x14ac:dyDescent="0.3">
      <c r="A64" s="103">
        <v>52</v>
      </c>
      <c r="B64" s="104"/>
      <c r="C64" s="103"/>
      <c r="D64" s="103"/>
      <c r="E64" s="105" t="s">
        <v>269</v>
      </c>
      <c r="F64" s="106"/>
      <c r="G64" s="106">
        <v>46142</v>
      </c>
      <c r="H64" s="107" t="s">
        <v>173</v>
      </c>
      <c r="I64" s="103" t="s">
        <v>270</v>
      </c>
      <c r="J64" s="108">
        <v>8778</v>
      </c>
      <c r="K64" s="109">
        <f>Forex!$C$2</f>
        <v>94.943200000000004</v>
      </c>
      <c r="L64" s="110">
        <f t="shared" si="2"/>
        <v>92.455278524423022</v>
      </c>
      <c r="M64" s="111">
        <v>27</v>
      </c>
      <c r="N64" s="111">
        <f t="shared" si="3"/>
        <v>8805</v>
      </c>
      <c r="O64" s="112" t="s">
        <v>115</v>
      </c>
      <c r="P64" s="113" t="s">
        <v>271</v>
      </c>
      <c r="R64" s="116"/>
      <c r="S64" s="115"/>
      <c r="T64" s="115"/>
      <c r="U64" s="115"/>
    </row>
    <row r="65" spans="1:21" s="114" customFormat="1" ht="30.75" customHeight="1" x14ac:dyDescent="0.3">
      <c r="A65" s="103">
        <v>53</v>
      </c>
      <c r="B65" s="104"/>
      <c r="C65" s="103"/>
      <c r="D65" s="103"/>
      <c r="E65" s="105" t="s">
        <v>257</v>
      </c>
      <c r="F65" s="106"/>
      <c r="G65" s="106">
        <v>46142</v>
      </c>
      <c r="H65" s="107" t="s">
        <v>173</v>
      </c>
      <c r="I65" s="103" t="s">
        <v>272</v>
      </c>
      <c r="J65" s="108">
        <v>9712</v>
      </c>
      <c r="K65" s="109">
        <f>Forex!$C$2</f>
        <v>94.943200000000004</v>
      </c>
      <c r="L65" s="110">
        <f t="shared" si="2"/>
        <v>102.29273923777585</v>
      </c>
      <c r="M65" s="111">
        <v>27</v>
      </c>
      <c r="N65" s="111">
        <f t="shared" si="3"/>
        <v>9739</v>
      </c>
      <c r="O65" s="112" t="s">
        <v>115</v>
      </c>
      <c r="P65" s="113" t="s">
        <v>273</v>
      </c>
      <c r="R65" s="116"/>
      <c r="S65" s="115"/>
      <c r="T65" s="115"/>
      <c r="U65" s="115"/>
    </row>
    <row r="66" spans="1:21" s="114" customFormat="1" ht="30.75" customHeight="1" x14ac:dyDescent="0.3">
      <c r="A66" s="103">
        <v>54</v>
      </c>
      <c r="B66" s="104"/>
      <c r="C66" s="103"/>
      <c r="D66" s="103"/>
      <c r="E66" s="105" t="s">
        <v>274</v>
      </c>
      <c r="F66" s="106"/>
      <c r="G66" s="106">
        <v>46142</v>
      </c>
      <c r="H66" s="107" t="s">
        <v>173</v>
      </c>
      <c r="I66" s="103" t="s">
        <v>275</v>
      </c>
      <c r="J66" s="108">
        <v>13580</v>
      </c>
      <c r="K66" s="109">
        <f>Forex!$C$2</f>
        <v>94.943200000000004</v>
      </c>
      <c r="L66" s="110">
        <f t="shared" si="2"/>
        <v>143.03288703140404</v>
      </c>
      <c r="M66" s="111">
        <v>27</v>
      </c>
      <c r="N66" s="111">
        <f t="shared" si="3"/>
        <v>13607</v>
      </c>
      <c r="O66" s="112" t="s">
        <v>115</v>
      </c>
      <c r="P66" s="113" t="s">
        <v>276</v>
      </c>
      <c r="R66" s="116"/>
      <c r="S66" s="115"/>
      <c r="T66" s="115"/>
      <c r="U66" s="115"/>
    </row>
    <row r="67" spans="1:21" s="114" customFormat="1" ht="30.75" customHeight="1" x14ac:dyDescent="0.3">
      <c r="A67" s="103">
        <v>55</v>
      </c>
      <c r="B67" s="104"/>
      <c r="C67" s="103"/>
      <c r="D67" s="103"/>
      <c r="E67" s="105" t="s">
        <v>277</v>
      </c>
      <c r="F67" s="106"/>
      <c r="G67" s="106">
        <v>46142</v>
      </c>
      <c r="H67" s="107" t="s">
        <v>173</v>
      </c>
      <c r="I67" s="103" t="s">
        <v>278</v>
      </c>
      <c r="J67" s="108">
        <v>10817</v>
      </c>
      <c r="K67" s="109">
        <f>Forex!$C$2</f>
        <v>94.943200000000004</v>
      </c>
      <c r="L67" s="110">
        <f t="shared" si="2"/>
        <v>113.93127680550054</v>
      </c>
      <c r="M67" s="111">
        <v>27</v>
      </c>
      <c r="N67" s="111">
        <f t="shared" si="3"/>
        <v>10844</v>
      </c>
      <c r="O67" s="112" t="s">
        <v>115</v>
      </c>
      <c r="P67" s="113" t="s">
        <v>279</v>
      </c>
      <c r="R67" s="116"/>
      <c r="S67" s="115"/>
      <c r="T67" s="115"/>
      <c r="U67" s="115"/>
    </row>
    <row r="68" spans="1:21" s="114" customFormat="1" ht="30.75" customHeight="1" x14ac:dyDescent="0.3">
      <c r="A68" s="103">
        <v>56</v>
      </c>
      <c r="B68" s="104"/>
      <c r="C68" s="103"/>
      <c r="D68" s="103"/>
      <c r="E68" s="105" t="s">
        <v>280</v>
      </c>
      <c r="F68" s="106"/>
      <c r="G68" s="106">
        <v>46142</v>
      </c>
      <c r="H68" s="107" t="s">
        <v>173</v>
      </c>
      <c r="I68" s="103" t="s">
        <v>281</v>
      </c>
      <c r="J68" s="108">
        <v>4910</v>
      </c>
      <c r="K68" s="109">
        <f>Forex!$C$2</f>
        <v>94.943200000000004</v>
      </c>
      <c r="L68" s="110">
        <f t="shared" si="2"/>
        <v>51.715130730794833</v>
      </c>
      <c r="M68" s="111">
        <v>27</v>
      </c>
      <c r="N68" s="111">
        <f t="shared" si="3"/>
        <v>4937</v>
      </c>
      <c r="O68" s="112" t="s">
        <v>115</v>
      </c>
      <c r="P68" s="113" t="s">
        <v>282</v>
      </c>
      <c r="R68" s="116"/>
      <c r="S68" s="115"/>
      <c r="T68" s="115"/>
      <c r="U68" s="115"/>
    </row>
    <row r="69" spans="1:21" s="114" customFormat="1" ht="30.75" customHeight="1" x14ac:dyDescent="0.3">
      <c r="A69" s="103">
        <v>57</v>
      </c>
      <c r="B69" s="104"/>
      <c r="C69" s="103"/>
      <c r="D69" s="103"/>
      <c r="E69" s="105" t="s">
        <v>283</v>
      </c>
      <c r="F69" s="106"/>
      <c r="G69" s="106">
        <v>46142</v>
      </c>
      <c r="H69" s="107" t="s">
        <v>173</v>
      </c>
      <c r="I69" s="103" t="s">
        <v>284</v>
      </c>
      <c r="J69" s="108">
        <v>9116</v>
      </c>
      <c r="K69" s="109">
        <f>Forex!$C$2</f>
        <v>94.943200000000004</v>
      </c>
      <c r="L69" s="110">
        <f t="shared" si="2"/>
        <v>96.015301780432921</v>
      </c>
      <c r="M69" s="111">
        <v>27</v>
      </c>
      <c r="N69" s="111">
        <f t="shared" si="3"/>
        <v>9143</v>
      </c>
      <c r="O69" s="112" t="s">
        <v>115</v>
      </c>
      <c r="P69" s="113" t="s">
        <v>285</v>
      </c>
      <c r="R69" s="116"/>
      <c r="S69" s="115"/>
      <c r="T69" s="115"/>
      <c r="U69" s="115"/>
    </row>
    <row r="70" spans="1:21" s="114" customFormat="1" ht="30.75" customHeight="1" x14ac:dyDescent="0.3">
      <c r="A70" s="103">
        <v>58</v>
      </c>
      <c r="B70" s="104"/>
      <c r="C70" s="103"/>
      <c r="D70" s="103"/>
      <c r="E70" s="105" t="s">
        <v>286</v>
      </c>
      <c r="F70" s="106"/>
      <c r="G70" s="106">
        <v>46142</v>
      </c>
      <c r="H70" s="107" t="s">
        <v>173</v>
      </c>
      <c r="I70" s="103" t="s">
        <v>287</v>
      </c>
      <c r="J70" s="108">
        <v>12167</v>
      </c>
      <c r="K70" s="109">
        <f>Forex!$C$2</f>
        <v>94.943200000000004</v>
      </c>
      <c r="L70" s="110">
        <f t="shared" si="2"/>
        <v>128.15030460317325</v>
      </c>
      <c r="M70" s="111">
        <v>27</v>
      </c>
      <c r="N70" s="111">
        <f t="shared" si="3"/>
        <v>12194</v>
      </c>
      <c r="O70" s="112" t="s">
        <v>115</v>
      </c>
      <c r="P70" s="113" t="s">
        <v>288</v>
      </c>
      <c r="R70" s="116"/>
      <c r="S70" s="115"/>
      <c r="T70" s="115"/>
      <c r="U70" s="115"/>
    </row>
    <row r="71" spans="1:21" s="114" customFormat="1" ht="30.75" customHeight="1" x14ac:dyDescent="0.3">
      <c r="A71" s="103">
        <v>59</v>
      </c>
      <c r="B71" s="104"/>
      <c r="C71" s="103"/>
      <c r="D71" s="103"/>
      <c r="E71" s="105" t="s">
        <v>289</v>
      </c>
      <c r="F71" s="106"/>
      <c r="G71" s="106">
        <v>46142</v>
      </c>
      <c r="H71" s="107" t="s">
        <v>173</v>
      </c>
      <c r="I71" s="103" t="s">
        <v>290</v>
      </c>
      <c r="J71" s="108">
        <v>6867</v>
      </c>
      <c r="K71" s="109">
        <f>Forex!$C$2</f>
        <v>94.943200000000004</v>
      </c>
      <c r="L71" s="110">
        <f t="shared" si="2"/>
        <v>72.327454730828535</v>
      </c>
      <c r="M71" s="111">
        <v>27</v>
      </c>
      <c r="N71" s="111">
        <f t="shared" si="3"/>
        <v>6894</v>
      </c>
      <c r="O71" s="112" t="s">
        <v>115</v>
      </c>
      <c r="P71" s="113" t="s">
        <v>291</v>
      </c>
      <c r="R71" s="116"/>
      <c r="S71" s="115"/>
      <c r="T71" s="115"/>
      <c r="U71" s="115"/>
    </row>
    <row r="72" spans="1:21" s="114" customFormat="1" ht="30.75" customHeight="1" x14ac:dyDescent="0.3">
      <c r="A72" s="103">
        <v>60</v>
      </c>
      <c r="B72" s="104"/>
      <c r="C72" s="103"/>
      <c r="D72" s="103"/>
      <c r="E72" s="105" t="s">
        <v>292</v>
      </c>
      <c r="F72" s="106"/>
      <c r="G72" s="106">
        <v>46142</v>
      </c>
      <c r="H72" s="107" t="s">
        <v>173</v>
      </c>
      <c r="I72" s="103" t="s">
        <v>293</v>
      </c>
      <c r="J72" s="108">
        <v>-6367</v>
      </c>
      <c r="K72" s="109">
        <f>Forex!$C$2</f>
        <v>94.943200000000004</v>
      </c>
      <c r="L72" s="110">
        <f t="shared" si="2"/>
        <v>-67.061148139097895</v>
      </c>
      <c r="M72" s="111">
        <v>-27</v>
      </c>
      <c r="N72" s="111">
        <f t="shared" si="3"/>
        <v>-6394</v>
      </c>
      <c r="O72" s="112" t="s">
        <v>115</v>
      </c>
      <c r="P72" s="113" t="s">
        <v>294</v>
      </c>
      <c r="R72" s="116"/>
      <c r="S72" s="115"/>
      <c r="T72" s="115"/>
      <c r="U72" s="115"/>
    </row>
    <row r="73" spans="1:21" s="114" customFormat="1" ht="30.75" customHeight="1" x14ac:dyDescent="0.3">
      <c r="A73" s="103">
        <v>61</v>
      </c>
      <c r="B73" s="104"/>
      <c r="C73" s="103"/>
      <c r="D73" s="103"/>
      <c r="E73" s="105" t="s">
        <v>295</v>
      </c>
      <c r="F73" s="106"/>
      <c r="G73" s="106">
        <v>46142</v>
      </c>
      <c r="H73" s="107" t="s">
        <v>173</v>
      </c>
      <c r="I73" s="103" t="s">
        <v>296</v>
      </c>
      <c r="J73" s="108">
        <v>10579</v>
      </c>
      <c r="K73" s="109">
        <f>Forex!$C$2</f>
        <v>94.943200000000004</v>
      </c>
      <c r="L73" s="110">
        <f t="shared" si="2"/>
        <v>111.42451486783676</v>
      </c>
      <c r="M73" s="111">
        <v>27</v>
      </c>
      <c r="N73" s="111">
        <f t="shared" si="3"/>
        <v>10606</v>
      </c>
      <c r="O73" s="112" t="s">
        <v>115</v>
      </c>
      <c r="P73" s="113" t="s">
        <v>297</v>
      </c>
      <c r="R73" s="116"/>
      <c r="S73" s="115"/>
      <c r="T73" s="115"/>
      <c r="U73" s="115"/>
    </row>
    <row r="74" spans="1:21" s="114" customFormat="1" ht="30.75" customHeight="1" x14ac:dyDescent="0.3">
      <c r="A74" s="103">
        <v>62</v>
      </c>
      <c r="B74" s="104"/>
      <c r="C74" s="103"/>
      <c r="D74" s="103"/>
      <c r="E74" s="105" t="s">
        <v>298</v>
      </c>
      <c r="F74" s="106"/>
      <c r="G74" s="106">
        <v>46142</v>
      </c>
      <c r="H74" s="107" t="s">
        <v>173</v>
      </c>
      <c r="I74" s="103" t="s">
        <v>299</v>
      </c>
      <c r="J74" s="108">
        <v>-10079</v>
      </c>
      <c r="K74" s="109">
        <f>Forex!$C$2</f>
        <v>94.943200000000004</v>
      </c>
      <c r="L74" s="110">
        <f t="shared" si="2"/>
        <v>-106.15820827610612</v>
      </c>
      <c r="M74" s="111">
        <v>-27</v>
      </c>
      <c r="N74" s="111">
        <f t="shared" si="3"/>
        <v>-10106</v>
      </c>
      <c r="O74" s="112" t="s">
        <v>115</v>
      </c>
      <c r="P74" s="113" t="s">
        <v>300</v>
      </c>
      <c r="R74" s="116"/>
      <c r="S74" s="115"/>
      <c r="T74" s="115"/>
      <c r="U74" s="115"/>
    </row>
    <row r="75" spans="1:21" s="114" customFormat="1" ht="30.75" customHeight="1" x14ac:dyDescent="0.3">
      <c r="A75" s="103">
        <v>63</v>
      </c>
      <c r="B75" s="104"/>
      <c r="C75" s="103"/>
      <c r="D75" s="103"/>
      <c r="E75" s="105" t="s">
        <v>301</v>
      </c>
      <c r="F75" s="106"/>
      <c r="G75" s="106">
        <v>46142</v>
      </c>
      <c r="H75" s="107" t="s">
        <v>173</v>
      </c>
      <c r="I75" s="103" t="s">
        <v>302</v>
      </c>
      <c r="J75" s="108">
        <v>14764</v>
      </c>
      <c r="K75" s="109">
        <f>Forex!$C$2</f>
        <v>94.943200000000004</v>
      </c>
      <c r="L75" s="110">
        <f t="shared" si="2"/>
        <v>155.50350104062218</v>
      </c>
      <c r="M75" s="111">
        <v>27</v>
      </c>
      <c r="N75" s="111">
        <f t="shared" si="3"/>
        <v>14791</v>
      </c>
      <c r="O75" s="112" t="s">
        <v>115</v>
      </c>
      <c r="P75" s="113" t="s">
        <v>303</v>
      </c>
      <c r="R75" s="116"/>
      <c r="S75" s="115"/>
      <c r="T75" s="115"/>
      <c r="U75" s="115"/>
    </row>
    <row r="76" spans="1:21" s="114" customFormat="1" ht="30.75" customHeight="1" x14ac:dyDescent="0.3">
      <c r="A76" s="103">
        <v>64</v>
      </c>
      <c r="B76" s="104"/>
      <c r="C76" s="103"/>
      <c r="D76" s="103"/>
      <c r="E76" s="105" t="s">
        <v>304</v>
      </c>
      <c r="F76" s="106"/>
      <c r="G76" s="106">
        <v>46142</v>
      </c>
      <c r="H76" s="107" t="s">
        <v>173</v>
      </c>
      <c r="I76" s="103" t="s">
        <v>305</v>
      </c>
      <c r="J76" s="108">
        <v>14596</v>
      </c>
      <c r="K76" s="109">
        <f>Forex!$C$2</f>
        <v>94.943200000000004</v>
      </c>
      <c r="L76" s="110">
        <f t="shared" si="2"/>
        <v>153.73402202580067</v>
      </c>
      <c r="M76" s="111">
        <v>27</v>
      </c>
      <c r="N76" s="111">
        <f t="shared" si="3"/>
        <v>14623</v>
      </c>
      <c r="O76" s="112" t="s">
        <v>115</v>
      </c>
      <c r="P76" s="113" t="s">
        <v>306</v>
      </c>
      <c r="R76" s="116"/>
      <c r="S76" s="115"/>
      <c r="T76" s="115"/>
      <c r="U76" s="115"/>
    </row>
    <row r="77" spans="1:21" s="114" customFormat="1" ht="30.75" customHeight="1" x14ac:dyDescent="0.3">
      <c r="A77" s="103">
        <v>65</v>
      </c>
      <c r="B77" s="104"/>
      <c r="C77" s="103"/>
      <c r="D77" s="103"/>
      <c r="E77" s="105" t="s">
        <v>307</v>
      </c>
      <c r="F77" s="106"/>
      <c r="G77" s="106">
        <v>46142</v>
      </c>
      <c r="H77" s="107" t="s">
        <v>173</v>
      </c>
      <c r="I77" s="103" t="s">
        <v>308</v>
      </c>
      <c r="J77" s="108">
        <v>12549</v>
      </c>
      <c r="K77" s="109">
        <f>Forex!$C$2</f>
        <v>94.943200000000004</v>
      </c>
      <c r="L77" s="110">
        <f t="shared" ref="L77:L108" si="4">J77/K77</f>
        <v>132.17376283925546</v>
      </c>
      <c r="M77" s="111">
        <v>27</v>
      </c>
      <c r="N77" s="111">
        <f t="shared" ref="N77:N108" si="5">J77+M77</f>
        <v>12576</v>
      </c>
      <c r="O77" s="112" t="s">
        <v>115</v>
      </c>
      <c r="P77" s="113" t="s">
        <v>309</v>
      </c>
      <c r="R77" s="116"/>
      <c r="S77" s="115"/>
      <c r="T77" s="115"/>
      <c r="U77" s="115"/>
    </row>
    <row r="78" spans="1:21" s="114" customFormat="1" ht="30.75" customHeight="1" x14ac:dyDescent="0.3">
      <c r="A78" s="103">
        <v>66</v>
      </c>
      <c r="B78" s="104"/>
      <c r="C78" s="103"/>
      <c r="D78" s="103"/>
      <c r="E78" s="105" t="s">
        <v>310</v>
      </c>
      <c r="F78" s="106"/>
      <c r="G78" s="106">
        <v>46142</v>
      </c>
      <c r="H78" s="107" t="s">
        <v>173</v>
      </c>
      <c r="I78" s="103" t="s">
        <v>311</v>
      </c>
      <c r="J78" s="108">
        <v>7273</v>
      </c>
      <c r="K78" s="109">
        <f>Forex!$C$2</f>
        <v>94.943200000000004</v>
      </c>
      <c r="L78" s="110">
        <f t="shared" si="4"/>
        <v>76.603695683313816</v>
      </c>
      <c r="M78" s="111">
        <v>27</v>
      </c>
      <c r="N78" s="111">
        <f t="shared" si="5"/>
        <v>7300</v>
      </c>
      <c r="O78" s="112" t="s">
        <v>115</v>
      </c>
      <c r="P78" s="113" t="s">
        <v>312</v>
      </c>
      <c r="R78" s="116"/>
      <c r="S78" s="115"/>
      <c r="T78" s="115"/>
      <c r="U78" s="115"/>
    </row>
    <row r="79" spans="1:21" s="114" customFormat="1" ht="30.75" customHeight="1" x14ac:dyDescent="0.3">
      <c r="A79" s="103">
        <v>67</v>
      </c>
      <c r="B79" s="104"/>
      <c r="C79" s="103"/>
      <c r="D79" s="103"/>
      <c r="E79" s="105" t="s">
        <v>313</v>
      </c>
      <c r="F79" s="106"/>
      <c r="G79" s="106">
        <v>46142</v>
      </c>
      <c r="H79" s="107" t="s">
        <v>173</v>
      </c>
      <c r="I79" s="103" t="s">
        <v>314</v>
      </c>
      <c r="J79" s="108">
        <v>8966</v>
      </c>
      <c r="K79" s="109">
        <f>Forex!$C$2</f>
        <v>94.943200000000004</v>
      </c>
      <c r="L79" s="110">
        <f t="shared" si="4"/>
        <v>94.435409802913739</v>
      </c>
      <c r="M79" s="111">
        <v>27</v>
      </c>
      <c r="N79" s="111">
        <f t="shared" si="5"/>
        <v>8993</v>
      </c>
      <c r="O79" s="112" t="s">
        <v>115</v>
      </c>
      <c r="P79" s="113" t="s">
        <v>315</v>
      </c>
      <c r="R79" s="116"/>
      <c r="S79" s="115"/>
      <c r="T79" s="115"/>
      <c r="U79" s="115"/>
    </row>
    <row r="80" spans="1:21" s="114" customFormat="1" ht="30.75" customHeight="1" x14ac:dyDescent="0.3">
      <c r="A80" s="103">
        <v>68</v>
      </c>
      <c r="B80" s="104"/>
      <c r="C80" s="103"/>
      <c r="D80" s="103"/>
      <c r="E80" s="105" t="s">
        <v>222</v>
      </c>
      <c r="F80" s="106"/>
      <c r="G80" s="106">
        <v>46142</v>
      </c>
      <c r="H80" s="107" t="s">
        <v>173</v>
      </c>
      <c r="I80" s="103" t="s">
        <v>316</v>
      </c>
      <c r="J80" s="108">
        <v>9455</v>
      </c>
      <c r="K80" s="109">
        <f>Forex!$C$2</f>
        <v>94.943200000000004</v>
      </c>
      <c r="L80" s="110">
        <f t="shared" si="4"/>
        <v>99.585857649626291</v>
      </c>
      <c r="M80" s="111">
        <v>27</v>
      </c>
      <c r="N80" s="111">
        <f t="shared" si="5"/>
        <v>9482</v>
      </c>
      <c r="O80" s="112" t="s">
        <v>115</v>
      </c>
      <c r="P80" s="113" t="s">
        <v>317</v>
      </c>
      <c r="R80" s="116"/>
      <c r="S80" s="115"/>
      <c r="T80" s="115"/>
      <c r="U80" s="115"/>
    </row>
    <row r="81" spans="1:21" s="114" customFormat="1" ht="30.75" customHeight="1" x14ac:dyDescent="0.3">
      <c r="A81" s="103">
        <v>69</v>
      </c>
      <c r="B81" s="104"/>
      <c r="C81" s="103"/>
      <c r="D81" s="103"/>
      <c r="E81" s="105" t="s">
        <v>318</v>
      </c>
      <c r="F81" s="106"/>
      <c r="G81" s="106">
        <v>46142</v>
      </c>
      <c r="H81" s="107" t="s">
        <v>173</v>
      </c>
      <c r="I81" s="103" t="s">
        <v>319</v>
      </c>
      <c r="J81" s="108">
        <v>5615</v>
      </c>
      <c r="K81" s="109">
        <f>Forex!$C$2</f>
        <v>94.943200000000004</v>
      </c>
      <c r="L81" s="110">
        <f t="shared" si="4"/>
        <v>59.140623025135028</v>
      </c>
      <c r="M81" s="111">
        <v>27</v>
      </c>
      <c r="N81" s="111">
        <f t="shared" si="5"/>
        <v>5642</v>
      </c>
      <c r="O81" s="112" t="s">
        <v>115</v>
      </c>
      <c r="P81" s="113" t="s">
        <v>320</v>
      </c>
      <c r="R81" s="116"/>
      <c r="S81" s="115"/>
      <c r="T81" s="115"/>
      <c r="U81" s="115"/>
    </row>
    <row r="82" spans="1:21" s="114" customFormat="1" ht="30.75" customHeight="1" x14ac:dyDescent="0.3">
      <c r="A82" s="103">
        <v>70</v>
      </c>
      <c r="B82" s="104"/>
      <c r="C82" s="103"/>
      <c r="D82" s="103"/>
      <c r="E82" s="105" t="s">
        <v>321</v>
      </c>
      <c r="F82" s="106"/>
      <c r="G82" s="106">
        <v>46142</v>
      </c>
      <c r="H82" s="107" t="s">
        <v>173</v>
      </c>
      <c r="I82" s="103" t="s">
        <v>322</v>
      </c>
      <c r="J82" s="108">
        <v>5682</v>
      </c>
      <c r="K82" s="109">
        <f>Forex!$C$2</f>
        <v>94.943200000000004</v>
      </c>
      <c r="L82" s="110">
        <f t="shared" si="4"/>
        <v>59.846308108426932</v>
      </c>
      <c r="M82" s="111">
        <v>27</v>
      </c>
      <c r="N82" s="111">
        <f t="shared" si="5"/>
        <v>5709</v>
      </c>
      <c r="O82" s="112" t="s">
        <v>115</v>
      </c>
      <c r="P82" s="113" t="s">
        <v>323</v>
      </c>
      <c r="R82" s="116"/>
      <c r="S82" s="115"/>
      <c r="T82" s="115"/>
      <c r="U82" s="115"/>
    </row>
    <row r="83" spans="1:21" s="114" customFormat="1" ht="30.75" customHeight="1" x14ac:dyDescent="0.3">
      <c r="A83" s="103">
        <v>71</v>
      </c>
      <c r="B83" s="104"/>
      <c r="C83" s="103"/>
      <c r="D83" s="103"/>
      <c r="E83" s="105" t="s">
        <v>324</v>
      </c>
      <c r="F83" s="106"/>
      <c r="G83" s="106">
        <v>46142</v>
      </c>
      <c r="H83" s="107" t="s">
        <v>173</v>
      </c>
      <c r="I83" s="103" t="s">
        <v>325</v>
      </c>
      <c r="J83" s="108">
        <v>7281</v>
      </c>
      <c r="K83" s="109">
        <f>Forex!$C$2</f>
        <v>94.943200000000004</v>
      </c>
      <c r="L83" s="110">
        <f t="shared" si="4"/>
        <v>76.687956588781503</v>
      </c>
      <c r="M83" s="111">
        <v>27</v>
      </c>
      <c r="N83" s="111">
        <f t="shared" si="5"/>
        <v>7308</v>
      </c>
      <c r="O83" s="112" t="s">
        <v>115</v>
      </c>
      <c r="P83" s="113" t="s">
        <v>326</v>
      </c>
      <c r="R83" s="116"/>
      <c r="S83" s="115"/>
      <c r="T83" s="115"/>
      <c r="U83" s="115"/>
    </row>
    <row r="84" spans="1:21" s="114" customFormat="1" ht="30.75" customHeight="1" x14ac:dyDescent="0.3">
      <c r="A84" s="103">
        <v>72</v>
      </c>
      <c r="B84" s="104"/>
      <c r="C84" s="103"/>
      <c r="D84" s="103"/>
      <c r="E84" s="105" t="s">
        <v>327</v>
      </c>
      <c r="F84" s="106"/>
      <c r="G84" s="106">
        <v>46142</v>
      </c>
      <c r="H84" s="107" t="s">
        <v>173</v>
      </c>
      <c r="I84" s="103" t="s">
        <v>328</v>
      </c>
      <c r="J84" s="108">
        <v>8577</v>
      </c>
      <c r="K84" s="109">
        <f>Forex!$C$2</f>
        <v>94.943200000000004</v>
      </c>
      <c r="L84" s="110">
        <f t="shared" si="4"/>
        <v>90.338223274547303</v>
      </c>
      <c r="M84" s="111">
        <v>27</v>
      </c>
      <c r="N84" s="111">
        <f t="shared" si="5"/>
        <v>8604</v>
      </c>
      <c r="O84" s="112" t="s">
        <v>115</v>
      </c>
      <c r="P84" s="113" t="s">
        <v>329</v>
      </c>
      <c r="R84" s="116"/>
      <c r="S84" s="115"/>
      <c r="T84" s="115"/>
      <c r="U84" s="115"/>
    </row>
    <row r="85" spans="1:21" s="114" customFormat="1" ht="30.75" customHeight="1" x14ac:dyDescent="0.3">
      <c r="A85" s="103">
        <v>73</v>
      </c>
      <c r="B85" s="104"/>
      <c r="C85" s="103"/>
      <c r="D85" s="103"/>
      <c r="E85" s="105" t="s">
        <v>330</v>
      </c>
      <c r="F85" s="106"/>
      <c r="G85" s="106">
        <v>46142</v>
      </c>
      <c r="H85" s="107" t="s">
        <v>173</v>
      </c>
      <c r="I85" s="103" t="s">
        <v>331</v>
      </c>
      <c r="J85" s="108">
        <v>3708</v>
      </c>
      <c r="K85" s="109">
        <f>Forex!$C$2</f>
        <v>94.943200000000004</v>
      </c>
      <c r="L85" s="110">
        <f t="shared" si="4"/>
        <v>39.054929684274384</v>
      </c>
      <c r="M85" s="111">
        <v>27</v>
      </c>
      <c r="N85" s="111">
        <f t="shared" si="5"/>
        <v>3735</v>
      </c>
      <c r="O85" s="112" t="s">
        <v>115</v>
      </c>
      <c r="P85" s="113" t="s">
        <v>332</v>
      </c>
      <c r="R85" s="116"/>
      <c r="S85" s="115"/>
      <c r="T85" s="115"/>
      <c r="U85" s="115"/>
    </row>
    <row r="86" spans="1:21" s="114" customFormat="1" ht="30.75" customHeight="1" x14ac:dyDescent="0.3">
      <c r="A86" s="103">
        <v>74</v>
      </c>
      <c r="B86" s="104"/>
      <c r="C86" s="103"/>
      <c r="D86" s="103"/>
      <c r="E86" s="105" t="s">
        <v>333</v>
      </c>
      <c r="F86" s="106"/>
      <c r="G86" s="106">
        <v>46142</v>
      </c>
      <c r="H86" s="107" t="s">
        <v>173</v>
      </c>
      <c r="I86" s="103" t="s">
        <v>334</v>
      </c>
      <c r="J86" s="108">
        <v>6738</v>
      </c>
      <c r="K86" s="109">
        <f>Forex!$C$2</f>
        <v>94.943200000000004</v>
      </c>
      <c r="L86" s="110">
        <f t="shared" si="4"/>
        <v>70.968747630162028</v>
      </c>
      <c r="M86" s="111">
        <v>27</v>
      </c>
      <c r="N86" s="111">
        <f t="shared" si="5"/>
        <v>6765</v>
      </c>
      <c r="O86" s="112" t="s">
        <v>115</v>
      </c>
      <c r="P86" s="113" t="s">
        <v>335</v>
      </c>
      <c r="R86" s="116"/>
      <c r="S86" s="115"/>
      <c r="T86" s="115"/>
      <c r="U86" s="115"/>
    </row>
    <row r="87" spans="1:21" s="114" customFormat="1" ht="30.75" customHeight="1" x14ac:dyDescent="0.3">
      <c r="A87" s="103">
        <v>75</v>
      </c>
      <c r="B87" s="104"/>
      <c r="C87" s="103"/>
      <c r="D87" s="103"/>
      <c r="E87" s="105" t="s">
        <v>336</v>
      </c>
      <c r="F87" s="106"/>
      <c r="G87" s="106">
        <v>46142</v>
      </c>
      <c r="H87" s="107" t="s">
        <v>173</v>
      </c>
      <c r="I87" s="103" t="s">
        <v>337</v>
      </c>
      <c r="J87" s="108">
        <v>9595</v>
      </c>
      <c r="K87" s="109">
        <f>Forex!$C$2</f>
        <v>94.943200000000004</v>
      </c>
      <c r="L87" s="110">
        <f t="shared" si="4"/>
        <v>101.06042349531087</v>
      </c>
      <c r="M87" s="111">
        <v>27</v>
      </c>
      <c r="N87" s="111">
        <f t="shared" si="5"/>
        <v>9622</v>
      </c>
      <c r="O87" s="112" t="s">
        <v>115</v>
      </c>
      <c r="P87" s="113" t="s">
        <v>338</v>
      </c>
      <c r="R87" s="116"/>
      <c r="S87" s="115"/>
      <c r="T87" s="115"/>
      <c r="U87" s="115"/>
    </row>
    <row r="88" spans="1:21" s="114" customFormat="1" ht="30.75" customHeight="1" x14ac:dyDescent="0.3">
      <c r="A88" s="103">
        <v>76</v>
      </c>
      <c r="B88" s="104"/>
      <c r="C88" s="103"/>
      <c r="D88" s="103"/>
      <c r="E88" s="105" t="s">
        <v>339</v>
      </c>
      <c r="F88" s="106"/>
      <c r="G88" s="106">
        <v>46142</v>
      </c>
      <c r="H88" s="107" t="s">
        <v>173</v>
      </c>
      <c r="I88" s="103" t="s">
        <v>340</v>
      </c>
      <c r="J88" s="108">
        <v>19432</v>
      </c>
      <c r="K88" s="109">
        <f>Forex!$C$2</f>
        <v>94.943200000000004</v>
      </c>
      <c r="L88" s="110">
        <f t="shared" si="4"/>
        <v>204.66973938101938</v>
      </c>
      <c r="M88" s="111">
        <v>27</v>
      </c>
      <c r="N88" s="111">
        <f t="shared" si="5"/>
        <v>19459</v>
      </c>
      <c r="O88" s="112" t="s">
        <v>115</v>
      </c>
      <c r="P88" s="113" t="s">
        <v>341</v>
      </c>
      <c r="R88" s="116"/>
      <c r="S88" s="115"/>
      <c r="T88" s="115"/>
      <c r="U88" s="115"/>
    </row>
    <row r="89" spans="1:21" s="114" customFormat="1" ht="30.75" customHeight="1" x14ac:dyDescent="0.3">
      <c r="A89" s="103">
        <v>77</v>
      </c>
      <c r="B89" s="104"/>
      <c r="C89" s="103"/>
      <c r="D89" s="103"/>
      <c r="E89" s="105" t="s">
        <v>342</v>
      </c>
      <c r="F89" s="106"/>
      <c r="G89" s="106">
        <v>46142</v>
      </c>
      <c r="H89" s="107" t="s">
        <v>173</v>
      </c>
      <c r="I89" s="103" t="s">
        <v>343</v>
      </c>
      <c r="J89" s="108">
        <v>16561</v>
      </c>
      <c r="K89" s="109">
        <f>Forex!$C$2</f>
        <v>94.943200000000004</v>
      </c>
      <c r="L89" s="110">
        <f t="shared" si="4"/>
        <v>174.43060693130207</v>
      </c>
      <c r="M89" s="111">
        <v>27</v>
      </c>
      <c r="N89" s="111">
        <f t="shared" si="5"/>
        <v>16588</v>
      </c>
      <c r="O89" s="112" t="s">
        <v>115</v>
      </c>
      <c r="P89" s="113" t="s">
        <v>344</v>
      </c>
      <c r="R89" s="116"/>
      <c r="S89" s="115"/>
      <c r="T89" s="115"/>
      <c r="U89" s="115"/>
    </row>
    <row r="90" spans="1:21" s="114" customFormat="1" ht="30.75" customHeight="1" x14ac:dyDescent="0.3">
      <c r="A90" s="103">
        <v>78</v>
      </c>
      <c r="B90" s="104"/>
      <c r="C90" s="103"/>
      <c r="D90" s="103"/>
      <c r="E90" s="105" t="s">
        <v>345</v>
      </c>
      <c r="F90" s="106"/>
      <c r="G90" s="106">
        <v>46142</v>
      </c>
      <c r="H90" s="107" t="s">
        <v>173</v>
      </c>
      <c r="I90" s="103" t="s">
        <v>346</v>
      </c>
      <c r="J90" s="108">
        <v>14546</v>
      </c>
      <c r="K90" s="109">
        <f>Forex!$C$2</f>
        <v>94.943200000000004</v>
      </c>
      <c r="L90" s="110">
        <f t="shared" si="4"/>
        <v>153.20739136662763</v>
      </c>
      <c r="M90" s="111">
        <v>27</v>
      </c>
      <c r="N90" s="111">
        <f t="shared" si="5"/>
        <v>14573</v>
      </c>
      <c r="O90" s="112" t="s">
        <v>115</v>
      </c>
      <c r="P90" s="113" t="s">
        <v>347</v>
      </c>
      <c r="R90" s="116"/>
      <c r="S90" s="115"/>
      <c r="T90" s="115"/>
      <c r="U90" s="115"/>
    </row>
    <row r="91" spans="1:21" s="114" customFormat="1" ht="30.75" customHeight="1" x14ac:dyDescent="0.3">
      <c r="A91" s="103">
        <v>79</v>
      </c>
      <c r="B91" s="104"/>
      <c r="C91" s="103"/>
      <c r="D91" s="103"/>
      <c r="E91" s="105" t="s">
        <v>348</v>
      </c>
      <c r="F91" s="106"/>
      <c r="G91" s="106">
        <v>46142</v>
      </c>
      <c r="H91" s="107" t="s">
        <v>173</v>
      </c>
      <c r="I91" s="103" t="s">
        <v>349</v>
      </c>
      <c r="J91" s="108">
        <v>7748</v>
      </c>
      <c r="K91" s="109">
        <f>Forex!$C$2</f>
        <v>94.943200000000004</v>
      </c>
      <c r="L91" s="110">
        <f t="shared" si="4"/>
        <v>81.606686945457909</v>
      </c>
      <c r="M91" s="111">
        <v>27</v>
      </c>
      <c r="N91" s="111">
        <f t="shared" si="5"/>
        <v>7775</v>
      </c>
      <c r="O91" s="112" t="s">
        <v>115</v>
      </c>
      <c r="P91" s="113" t="s">
        <v>350</v>
      </c>
      <c r="R91" s="116"/>
      <c r="S91" s="115"/>
      <c r="T91" s="115"/>
      <c r="U91" s="115"/>
    </row>
    <row r="92" spans="1:21" s="114" customFormat="1" ht="30.75" customHeight="1" x14ac:dyDescent="0.3">
      <c r="A92" s="103">
        <v>80</v>
      </c>
      <c r="B92" s="104"/>
      <c r="C92" s="103"/>
      <c r="D92" s="103"/>
      <c r="E92" s="105" t="s">
        <v>351</v>
      </c>
      <c r="F92" s="106"/>
      <c r="G92" s="106">
        <v>46142</v>
      </c>
      <c r="H92" s="107" t="s">
        <v>173</v>
      </c>
      <c r="I92" s="103" t="s">
        <v>352</v>
      </c>
      <c r="J92" s="108">
        <v>5818</v>
      </c>
      <c r="K92" s="109">
        <f>Forex!$C$2</f>
        <v>94.943200000000004</v>
      </c>
      <c r="L92" s="110">
        <f t="shared" si="4"/>
        <v>61.278743501377662</v>
      </c>
      <c r="M92" s="111">
        <v>27</v>
      </c>
      <c r="N92" s="111">
        <f t="shared" si="5"/>
        <v>5845</v>
      </c>
      <c r="O92" s="112" t="s">
        <v>115</v>
      </c>
      <c r="P92" s="113" t="s">
        <v>353</v>
      </c>
      <c r="R92" s="116"/>
      <c r="S92" s="115"/>
      <c r="T92" s="115"/>
      <c r="U92" s="115"/>
    </row>
    <row r="93" spans="1:21" s="114" customFormat="1" ht="30.75" customHeight="1" x14ac:dyDescent="0.3">
      <c r="A93" s="103">
        <v>81</v>
      </c>
      <c r="B93" s="104"/>
      <c r="C93" s="103"/>
      <c r="D93" s="103"/>
      <c r="E93" s="105" t="s">
        <v>354</v>
      </c>
      <c r="F93" s="106"/>
      <c r="G93" s="106">
        <v>46142</v>
      </c>
      <c r="H93" s="107" t="s">
        <v>173</v>
      </c>
      <c r="I93" s="103" t="s">
        <v>355</v>
      </c>
      <c r="J93" s="108">
        <v>12993</v>
      </c>
      <c r="K93" s="109">
        <f>Forex!$C$2</f>
        <v>94.943200000000004</v>
      </c>
      <c r="L93" s="110">
        <f t="shared" si="4"/>
        <v>136.85024309271228</v>
      </c>
      <c r="M93" s="111">
        <v>27</v>
      </c>
      <c r="N93" s="111">
        <f t="shared" si="5"/>
        <v>13020</v>
      </c>
      <c r="O93" s="112" t="s">
        <v>115</v>
      </c>
      <c r="P93" s="113" t="s">
        <v>356</v>
      </c>
      <c r="R93" s="116"/>
      <c r="S93" s="115"/>
      <c r="T93" s="115"/>
      <c r="U93" s="115"/>
    </row>
    <row r="94" spans="1:21" s="114" customFormat="1" ht="30.75" customHeight="1" x14ac:dyDescent="0.3">
      <c r="A94" s="103">
        <v>82</v>
      </c>
      <c r="B94" s="104"/>
      <c r="C94" s="103"/>
      <c r="D94" s="103"/>
      <c r="E94" s="105" t="s">
        <v>357</v>
      </c>
      <c r="F94" s="106"/>
      <c r="G94" s="106">
        <v>46142</v>
      </c>
      <c r="H94" s="107" t="s">
        <v>173</v>
      </c>
      <c r="I94" s="103" t="s">
        <v>358</v>
      </c>
      <c r="J94" s="108">
        <v>10465</v>
      </c>
      <c r="K94" s="109">
        <f>Forex!$C$2</f>
        <v>94.943200000000004</v>
      </c>
      <c r="L94" s="110">
        <f t="shared" si="4"/>
        <v>110.22379696492219</v>
      </c>
      <c r="M94" s="111">
        <v>27</v>
      </c>
      <c r="N94" s="111">
        <f t="shared" si="5"/>
        <v>10492</v>
      </c>
      <c r="O94" s="112" t="s">
        <v>115</v>
      </c>
      <c r="P94" s="113" t="s">
        <v>359</v>
      </c>
      <c r="R94" s="116"/>
      <c r="S94" s="115"/>
      <c r="T94" s="115"/>
      <c r="U94" s="115"/>
    </row>
    <row r="95" spans="1:21" s="114" customFormat="1" ht="30.75" customHeight="1" x14ac:dyDescent="0.3">
      <c r="A95" s="103">
        <v>83</v>
      </c>
      <c r="B95" s="104"/>
      <c r="C95" s="103"/>
      <c r="D95" s="103"/>
      <c r="E95" s="105" t="s">
        <v>360</v>
      </c>
      <c r="F95" s="106"/>
      <c r="G95" s="106">
        <v>46142</v>
      </c>
      <c r="H95" s="107" t="s">
        <v>173</v>
      </c>
      <c r="I95" s="103" t="s">
        <v>361</v>
      </c>
      <c r="J95" s="108">
        <v>-9965</v>
      </c>
      <c r="K95" s="109">
        <f>Forex!$C$2</f>
        <v>94.943200000000004</v>
      </c>
      <c r="L95" s="110">
        <f t="shared" si="4"/>
        <v>-104.95749037319155</v>
      </c>
      <c r="M95" s="111">
        <v>-27</v>
      </c>
      <c r="N95" s="111">
        <f t="shared" si="5"/>
        <v>-9992</v>
      </c>
      <c r="O95" s="112" t="s">
        <v>115</v>
      </c>
      <c r="P95" s="113" t="s">
        <v>362</v>
      </c>
      <c r="R95" s="116"/>
      <c r="S95" s="115"/>
      <c r="T95" s="115"/>
      <c r="U95" s="115"/>
    </row>
    <row r="96" spans="1:21" s="114" customFormat="1" ht="30.75" customHeight="1" x14ac:dyDescent="0.3">
      <c r="A96" s="103">
        <v>84</v>
      </c>
      <c r="B96" s="104"/>
      <c r="C96" s="103"/>
      <c r="D96" s="103"/>
      <c r="E96" s="105" t="s">
        <v>363</v>
      </c>
      <c r="F96" s="106"/>
      <c r="G96" s="106">
        <v>46142</v>
      </c>
      <c r="H96" s="107" t="s">
        <v>173</v>
      </c>
      <c r="I96" s="103" t="s">
        <v>364</v>
      </c>
      <c r="J96" s="108">
        <v>6765</v>
      </c>
      <c r="K96" s="109">
        <f>Forex!$C$2</f>
        <v>94.943200000000004</v>
      </c>
      <c r="L96" s="110">
        <f t="shared" si="4"/>
        <v>71.253128186115489</v>
      </c>
      <c r="M96" s="111">
        <v>27</v>
      </c>
      <c r="N96" s="111">
        <f t="shared" si="5"/>
        <v>6792</v>
      </c>
      <c r="O96" s="112" t="s">
        <v>115</v>
      </c>
      <c r="P96" s="113" t="s">
        <v>365</v>
      </c>
      <c r="R96" s="116"/>
      <c r="S96" s="115"/>
      <c r="T96" s="115"/>
      <c r="U96" s="115"/>
    </row>
    <row r="97" spans="1:21" s="114" customFormat="1" ht="30.75" customHeight="1" x14ac:dyDescent="0.3">
      <c r="A97" s="103">
        <v>85</v>
      </c>
      <c r="B97" s="104"/>
      <c r="C97" s="103"/>
      <c r="D97" s="103"/>
      <c r="E97" s="105" t="s">
        <v>366</v>
      </c>
      <c r="F97" s="106"/>
      <c r="G97" s="106">
        <v>46142</v>
      </c>
      <c r="H97" s="107" t="s">
        <v>173</v>
      </c>
      <c r="I97" s="103" t="s">
        <v>367</v>
      </c>
      <c r="J97" s="108">
        <v>7786</v>
      </c>
      <c r="K97" s="109">
        <f>Forex!$C$2</f>
        <v>94.943200000000004</v>
      </c>
      <c r="L97" s="110">
        <f t="shared" si="4"/>
        <v>82.006926246429444</v>
      </c>
      <c r="M97" s="111">
        <v>27</v>
      </c>
      <c r="N97" s="111">
        <f t="shared" si="5"/>
        <v>7813</v>
      </c>
      <c r="O97" s="112" t="s">
        <v>115</v>
      </c>
      <c r="P97" s="113" t="s">
        <v>368</v>
      </c>
      <c r="R97" s="116"/>
      <c r="S97" s="115"/>
      <c r="T97" s="115"/>
      <c r="U97" s="115"/>
    </row>
    <row r="98" spans="1:21" s="114" customFormat="1" ht="30.75" customHeight="1" x14ac:dyDescent="0.3">
      <c r="A98" s="103">
        <v>86</v>
      </c>
      <c r="B98" s="104"/>
      <c r="C98" s="103"/>
      <c r="D98" s="103"/>
      <c r="E98" s="105" t="s">
        <v>369</v>
      </c>
      <c r="F98" s="106"/>
      <c r="G98" s="106">
        <v>46142</v>
      </c>
      <c r="H98" s="107" t="s">
        <v>173</v>
      </c>
      <c r="I98" s="103" t="s">
        <v>370</v>
      </c>
      <c r="J98" s="108">
        <v>5846</v>
      </c>
      <c r="K98" s="109">
        <f>Forex!$C$2</f>
        <v>94.943200000000004</v>
      </c>
      <c r="L98" s="110">
        <f t="shared" si="4"/>
        <v>61.57365667051458</v>
      </c>
      <c r="M98" s="111">
        <v>27</v>
      </c>
      <c r="N98" s="111">
        <f t="shared" si="5"/>
        <v>5873</v>
      </c>
      <c r="O98" s="112" t="s">
        <v>115</v>
      </c>
      <c r="P98" s="113" t="s">
        <v>371</v>
      </c>
      <c r="R98" s="116"/>
      <c r="S98" s="115"/>
      <c r="T98" s="115"/>
      <c r="U98" s="115"/>
    </row>
    <row r="99" spans="1:21" s="114" customFormat="1" ht="30.75" customHeight="1" x14ac:dyDescent="0.3">
      <c r="A99" s="103">
        <v>87</v>
      </c>
      <c r="B99" s="104"/>
      <c r="C99" s="103"/>
      <c r="D99" s="103"/>
      <c r="E99" s="105" t="s">
        <v>372</v>
      </c>
      <c r="F99" s="106"/>
      <c r="G99" s="106">
        <v>46142</v>
      </c>
      <c r="H99" s="107" t="s">
        <v>173</v>
      </c>
      <c r="I99" s="103" t="s">
        <v>373</v>
      </c>
      <c r="J99" s="108">
        <v>8126</v>
      </c>
      <c r="K99" s="109">
        <f>Forex!$C$2</f>
        <v>94.943200000000004</v>
      </c>
      <c r="L99" s="110">
        <f t="shared" si="4"/>
        <v>85.588014728806272</v>
      </c>
      <c r="M99" s="111">
        <v>27</v>
      </c>
      <c r="N99" s="111">
        <f t="shared" si="5"/>
        <v>8153</v>
      </c>
      <c r="O99" s="112" t="s">
        <v>115</v>
      </c>
      <c r="P99" s="113" t="s">
        <v>374</v>
      </c>
      <c r="R99" s="116"/>
      <c r="S99" s="115"/>
      <c r="T99" s="115"/>
      <c r="U99" s="115"/>
    </row>
    <row r="100" spans="1:21" s="114" customFormat="1" ht="30.75" customHeight="1" x14ac:dyDescent="0.3">
      <c r="A100" s="103">
        <v>88</v>
      </c>
      <c r="B100" s="104"/>
      <c r="C100" s="103"/>
      <c r="D100" s="103"/>
      <c r="E100" s="105" t="s">
        <v>375</v>
      </c>
      <c r="F100" s="106"/>
      <c r="G100" s="106">
        <v>46142</v>
      </c>
      <c r="H100" s="107" t="s">
        <v>173</v>
      </c>
      <c r="I100" s="103" t="s">
        <v>376</v>
      </c>
      <c r="J100" s="108">
        <v>18113</v>
      </c>
      <c r="K100" s="109">
        <f>Forex!$C$2</f>
        <v>94.943200000000004</v>
      </c>
      <c r="L100" s="110">
        <f t="shared" si="4"/>
        <v>190.77722259203395</v>
      </c>
      <c r="M100" s="111">
        <v>27</v>
      </c>
      <c r="N100" s="111">
        <f t="shared" si="5"/>
        <v>18140</v>
      </c>
      <c r="O100" s="112" t="s">
        <v>115</v>
      </c>
      <c r="P100" s="113" t="s">
        <v>377</v>
      </c>
      <c r="R100" s="116"/>
      <c r="S100" s="115"/>
      <c r="T100" s="115"/>
      <c r="U100" s="115"/>
    </row>
    <row r="101" spans="1:21" s="114" customFormat="1" ht="30.75" customHeight="1" x14ac:dyDescent="0.3">
      <c r="A101" s="103">
        <v>89</v>
      </c>
      <c r="B101" s="104"/>
      <c r="C101" s="103"/>
      <c r="D101" s="103"/>
      <c r="E101" s="105" t="s">
        <v>378</v>
      </c>
      <c r="F101" s="106"/>
      <c r="G101" s="106">
        <v>46142</v>
      </c>
      <c r="H101" s="107" t="s">
        <v>173</v>
      </c>
      <c r="I101" s="103" t="s">
        <v>379</v>
      </c>
      <c r="J101" s="108">
        <v>10527</v>
      </c>
      <c r="K101" s="109">
        <f>Forex!$C$2</f>
        <v>94.943200000000004</v>
      </c>
      <c r="L101" s="110">
        <f t="shared" si="4"/>
        <v>110.87681898229678</v>
      </c>
      <c r="M101" s="111">
        <v>27</v>
      </c>
      <c r="N101" s="111">
        <f t="shared" si="5"/>
        <v>10554</v>
      </c>
      <c r="O101" s="112" t="s">
        <v>115</v>
      </c>
      <c r="P101" s="113" t="s">
        <v>380</v>
      </c>
      <c r="R101" s="116"/>
      <c r="S101" s="115"/>
      <c r="T101" s="115"/>
      <c r="U101" s="115"/>
    </row>
    <row r="102" spans="1:21" s="114" customFormat="1" ht="30.75" customHeight="1" x14ac:dyDescent="0.3">
      <c r="A102" s="103">
        <v>90</v>
      </c>
      <c r="B102" s="104"/>
      <c r="C102" s="103"/>
      <c r="D102" s="103"/>
      <c r="E102" s="105" t="s">
        <v>381</v>
      </c>
      <c r="F102" s="106"/>
      <c r="G102" s="106">
        <v>46142</v>
      </c>
      <c r="H102" s="107" t="s">
        <v>173</v>
      </c>
      <c r="I102" s="103" t="s">
        <v>382</v>
      </c>
      <c r="J102" s="108">
        <v>11314</v>
      </c>
      <c r="K102" s="109">
        <f>Forex!$C$2</f>
        <v>94.943200000000004</v>
      </c>
      <c r="L102" s="110">
        <f t="shared" si="4"/>
        <v>119.1659855576808</v>
      </c>
      <c r="M102" s="111">
        <v>27</v>
      </c>
      <c r="N102" s="111">
        <f t="shared" si="5"/>
        <v>11341</v>
      </c>
      <c r="O102" s="112" t="s">
        <v>115</v>
      </c>
      <c r="P102" s="113" t="s">
        <v>383</v>
      </c>
      <c r="R102" s="116"/>
      <c r="S102" s="115"/>
      <c r="T102" s="115"/>
      <c r="U102" s="115"/>
    </row>
    <row r="103" spans="1:21" s="114" customFormat="1" ht="30.75" customHeight="1" x14ac:dyDescent="0.3">
      <c r="A103" s="103">
        <v>91</v>
      </c>
      <c r="B103" s="104"/>
      <c r="C103" s="103"/>
      <c r="D103" s="103"/>
      <c r="E103" s="105" t="s">
        <v>384</v>
      </c>
      <c r="F103" s="106"/>
      <c r="G103" s="106">
        <v>46142</v>
      </c>
      <c r="H103" s="107" t="s">
        <v>173</v>
      </c>
      <c r="I103" s="103" t="s">
        <v>385</v>
      </c>
      <c r="J103" s="108">
        <v>13001</v>
      </c>
      <c r="K103" s="109">
        <f>Forex!$C$2</f>
        <v>94.943200000000004</v>
      </c>
      <c r="L103" s="110">
        <f t="shared" si="4"/>
        <v>136.93450399817996</v>
      </c>
      <c r="M103" s="111">
        <v>27</v>
      </c>
      <c r="N103" s="111">
        <f t="shared" si="5"/>
        <v>13028</v>
      </c>
      <c r="O103" s="112" t="s">
        <v>115</v>
      </c>
      <c r="P103" s="113" t="s">
        <v>386</v>
      </c>
      <c r="R103" s="116"/>
      <c r="S103" s="115"/>
      <c r="T103" s="115"/>
      <c r="U103" s="115"/>
    </row>
    <row r="104" spans="1:21" s="114" customFormat="1" ht="30.75" customHeight="1" x14ac:dyDescent="0.3">
      <c r="A104" s="103">
        <v>92</v>
      </c>
      <c r="B104" s="104"/>
      <c r="C104" s="103"/>
      <c r="D104" s="103"/>
      <c r="E104" s="105" t="s">
        <v>387</v>
      </c>
      <c r="F104" s="106"/>
      <c r="G104" s="106">
        <v>46142</v>
      </c>
      <c r="H104" s="107" t="s">
        <v>173</v>
      </c>
      <c r="I104" s="103" t="s">
        <v>388</v>
      </c>
      <c r="J104" s="108">
        <v>6443</v>
      </c>
      <c r="K104" s="109">
        <f>Forex!$C$2</f>
        <v>94.943200000000004</v>
      </c>
      <c r="L104" s="110">
        <f t="shared" si="4"/>
        <v>67.861626741040951</v>
      </c>
      <c r="M104" s="111">
        <v>27</v>
      </c>
      <c r="N104" s="111">
        <f t="shared" si="5"/>
        <v>6470</v>
      </c>
      <c r="O104" s="112" t="s">
        <v>115</v>
      </c>
      <c r="P104" s="113" t="s">
        <v>389</v>
      </c>
      <c r="R104" s="116"/>
      <c r="S104" s="115"/>
      <c r="T104" s="115"/>
      <c r="U104" s="115"/>
    </row>
    <row r="105" spans="1:21" s="114" customFormat="1" ht="30.75" customHeight="1" x14ac:dyDescent="0.3">
      <c r="A105" s="103">
        <v>93</v>
      </c>
      <c r="B105" s="104"/>
      <c r="C105" s="103"/>
      <c r="D105" s="103"/>
      <c r="E105" s="105" t="s">
        <v>390</v>
      </c>
      <c r="F105" s="106"/>
      <c r="G105" s="106">
        <v>46142</v>
      </c>
      <c r="H105" s="107" t="s">
        <v>173</v>
      </c>
      <c r="I105" s="103" t="s">
        <v>391</v>
      </c>
      <c r="J105" s="108">
        <v>9402</v>
      </c>
      <c r="K105" s="109">
        <f>Forex!$C$2</f>
        <v>94.943200000000004</v>
      </c>
      <c r="L105" s="110">
        <f t="shared" si="4"/>
        <v>99.027629150902854</v>
      </c>
      <c r="M105" s="111">
        <v>27</v>
      </c>
      <c r="N105" s="111">
        <f t="shared" si="5"/>
        <v>9429</v>
      </c>
      <c r="O105" s="112" t="s">
        <v>115</v>
      </c>
      <c r="P105" s="113" t="s">
        <v>392</v>
      </c>
      <c r="R105" s="116"/>
      <c r="S105" s="115"/>
      <c r="T105" s="115"/>
      <c r="U105" s="115"/>
    </row>
    <row r="106" spans="1:21" s="114" customFormat="1" ht="30.75" customHeight="1" x14ac:dyDescent="0.3">
      <c r="A106" s="103">
        <v>94</v>
      </c>
      <c r="B106" s="104"/>
      <c r="C106" s="103"/>
      <c r="D106" s="103"/>
      <c r="E106" s="105" t="s">
        <v>393</v>
      </c>
      <c r="F106" s="106"/>
      <c r="G106" s="106">
        <v>46142</v>
      </c>
      <c r="H106" s="107" t="s">
        <v>394</v>
      </c>
      <c r="I106" s="103" t="s">
        <v>395</v>
      </c>
      <c r="J106" s="108">
        <v>4030</v>
      </c>
      <c r="K106" s="109">
        <f>Forex!$C$2</f>
        <v>94.943200000000004</v>
      </c>
      <c r="L106" s="110">
        <f t="shared" si="4"/>
        <v>42.446431129348916</v>
      </c>
      <c r="M106" s="111">
        <v>170</v>
      </c>
      <c r="N106" s="111">
        <f t="shared" si="5"/>
        <v>4200</v>
      </c>
      <c r="O106" s="112" t="s">
        <v>115</v>
      </c>
      <c r="P106" s="113" t="s">
        <v>396</v>
      </c>
      <c r="R106" s="116"/>
      <c r="S106" s="115"/>
      <c r="T106" s="115"/>
      <c r="U106" s="115"/>
    </row>
    <row r="107" spans="1:21" s="114" customFormat="1" ht="30.75" customHeight="1" x14ac:dyDescent="0.3">
      <c r="A107" s="103">
        <v>95</v>
      </c>
      <c r="B107" s="104"/>
      <c r="C107" s="103"/>
      <c r="D107" s="103"/>
      <c r="E107" s="105" t="s">
        <v>397</v>
      </c>
      <c r="F107" s="106"/>
      <c r="G107" s="106">
        <v>46142</v>
      </c>
      <c r="H107" s="107" t="s">
        <v>394</v>
      </c>
      <c r="I107" s="103" t="s">
        <v>398</v>
      </c>
      <c r="J107" s="108">
        <v>4345</v>
      </c>
      <c r="K107" s="109">
        <f>Forex!$C$2</f>
        <v>94.943200000000004</v>
      </c>
      <c r="L107" s="110">
        <f t="shared" si="4"/>
        <v>45.764204282139211</v>
      </c>
      <c r="M107" s="111">
        <v>170</v>
      </c>
      <c r="N107" s="111">
        <f t="shared" si="5"/>
        <v>4515</v>
      </c>
      <c r="O107" s="112" t="s">
        <v>115</v>
      </c>
      <c r="P107" s="113" t="s">
        <v>399</v>
      </c>
      <c r="R107" s="116"/>
      <c r="S107" s="115"/>
      <c r="T107" s="115"/>
      <c r="U107" s="115"/>
    </row>
    <row r="108" spans="1:21" s="114" customFormat="1" ht="30.75" customHeight="1" x14ac:dyDescent="0.3">
      <c r="A108" s="103">
        <v>96</v>
      </c>
      <c r="B108" s="104"/>
      <c r="C108" s="103"/>
      <c r="D108" s="103"/>
      <c r="E108" s="105" t="s">
        <v>400</v>
      </c>
      <c r="F108" s="106"/>
      <c r="G108" s="106">
        <v>46142</v>
      </c>
      <c r="H108" s="107" t="s">
        <v>401</v>
      </c>
      <c r="I108" s="103" t="s">
        <v>402</v>
      </c>
      <c r="J108" s="108">
        <v>1833</v>
      </c>
      <c r="K108" s="109">
        <f>Forex!$C$2</f>
        <v>94.943200000000004</v>
      </c>
      <c r="L108" s="110">
        <f t="shared" si="4"/>
        <v>19.306279965284507</v>
      </c>
      <c r="M108" s="111">
        <v>91.66</v>
      </c>
      <c r="N108" s="111">
        <f t="shared" si="5"/>
        <v>1924.66</v>
      </c>
      <c r="O108" s="112" t="s">
        <v>115</v>
      </c>
      <c r="P108" s="113" t="s">
        <v>403</v>
      </c>
      <c r="R108" s="116"/>
      <c r="S108" s="115"/>
      <c r="T108" s="115"/>
      <c r="U108" s="115"/>
    </row>
    <row r="109" spans="1:21" s="114" customFormat="1" ht="30.75" customHeight="1" x14ac:dyDescent="0.3">
      <c r="A109" s="103">
        <v>97</v>
      </c>
      <c r="B109" s="104"/>
      <c r="C109" s="103"/>
      <c r="D109" s="103"/>
      <c r="E109" s="105" t="s">
        <v>404</v>
      </c>
      <c r="F109" s="106"/>
      <c r="G109" s="106">
        <v>46142</v>
      </c>
      <c r="H109" s="107" t="s">
        <v>401</v>
      </c>
      <c r="I109" s="103" t="s">
        <v>402</v>
      </c>
      <c r="J109" s="108">
        <v>1833</v>
      </c>
      <c r="K109" s="109">
        <f>Forex!$C$2</f>
        <v>94.943200000000004</v>
      </c>
      <c r="L109" s="110">
        <f t="shared" ref="L109:L140" si="6">J109/K109</f>
        <v>19.306279965284507</v>
      </c>
      <c r="M109" s="111">
        <v>91.66</v>
      </c>
      <c r="N109" s="111">
        <f t="shared" ref="N109:N140" si="7">J109+M109</f>
        <v>1924.66</v>
      </c>
      <c r="O109" s="112" t="s">
        <v>115</v>
      </c>
      <c r="P109" s="113" t="s">
        <v>405</v>
      </c>
      <c r="R109" s="116"/>
      <c r="S109" s="115"/>
      <c r="T109" s="115"/>
      <c r="U109" s="115"/>
    </row>
    <row r="110" spans="1:21" s="114" customFormat="1" ht="30.75" customHeight="1" x14ac:dyDescent="0.3">
      <c r="A110" s="103">
        <v>98</v>
      </c>
      <c r="B110" s="104"/>
      <c r="C110" s="103"/>
      <c r="D110" s="103"/>
      <c r="E110" s="105" t="s">
        <v>406</v>
      </c>
      <c r="F110" s="106"/>
      <c r="G110" s="106">
        <v>46142</v>
      </c>
      <c r="H110" s="107" t="s">
        <v>401</v>
      </c>
      <c r="I110" s="103" t="s">
        <v>402</v>
      </c>
      <c r="J110" s="108">
        <v>1833</v>
      </c>
      <c r="K110" s="109">
        <f>Forex!$C$2</f>
        <v>94.943200000000004</v>
      </c>
      <c r="L110" s="110">
        <f t="shared" si="6"/>
        <v>19.306279965284507</v>
      </c>
      <c r="M110" s="111">
        <v>91.66</v>
      </c>
      <c r="N110" s="111">
        <f t="shared" si="7"/>
        <v>1924.66</v>
      </c>
      <c r="O110" s="112" t="s">
        <v>115</v>
      </c>
      <c r="P110" s="113" t="s">
        <v>407</v>
      </c>
      <c r="R110" s="116"/>
      <c r="S110" s="115"/>
      <c r="T110" s="115"/>
      <c r="U110" s="115"/>
    </row>
    <row r="111" spans="1:21" s="114" customFormat="1" ht="30.75" customHeight="1" x14ac:dyDescent="0.3">
      <c r="A111" s="103">
        <v>99</v>
      </c>
      <c r="B111" s="104"/>
      <c r="C111" s="103"/>
      <c r="D111" s="103"/>
      <c r="E111" s="105" t="s">
        <v>408</v>
      </c>
      <c r="F111" s="106"/>
      <c r="G111" s="106">
        <v>46142</v>
      </c>
      <c r="H111" s="107" t="s">
        <v>401</v>
      </c>
      <c r="I111" s="103" t="s">
        <v>409</v>
      </c>
      <c r="J111" s="108">
        <v>3751</v>
      </c>
      <c r="K111" s="109">
        <f>Forex!$C$2</f>
        <v>94.943200000000004</v>
      </c>
      <c r="L111" s="110">
        <f t="shared" si="6"/>
        <v>39.50783205116322</v>
      </c>
      <c r="M111" s="111">
        <v>187.5</v>
      </c>
      <c r="N111" s="111">
        <f t="shared" si="7"/>
        <v>3938.5</v>
      </c>
      <c r="O111" s="112" t="s">
        <v>115</v>
      </c>
      <c r="P111" s="113" t="s">
        <v>410</v>
      </c>
      <c r="R111" s="116"/>
      <c r="S111" s="115"/>
      <c r="T111" s="115"/>
      <c r="U111" s="115"/>
    </row>
    <row r="112" spans="1:21" s="114" customFormat="1" ht="30.75" customHeight="1" x14ac:dyDescent="0.3">
      <c r="A112" s="103">
        <v>100</v>
      </c>
      <c r="B112" s="104"/>
      <c r="C112" s="103"/>
      <c r="D112" s="103"/>
      <c r="E112" s="105" t="s">
        <v>411</v>
      </c>
      <c r="F112" s="106"/>
      <c r="G112" s="106">
        <v>46142</v>
      </c>
      <c r="H112" s="107" t="s">
        <v>412</v>
      </c>
      <c r="I112" s="103" t="s">
        <v>413</v>
      </c>
      <c r="J112" s="108">
        <v>9000</v>
      </c>
      <c r="K112" s="109">
        <f>Forex!$C$2</f>
        <v>94.943200000000004</v>
      </c>
      <c r="L112" s="110">
        <f t="shared" si="6"/>
        <v>94.793518651151416</v>
      </c>
      <c r="M112" s="111">
        <v>0</v>
      </c>
      <c r="N112" s="111">
        <f t="shared" si="7"/>
        <v>9000</v>
      </c>
      <c r="O112" s="112" t="s">
        <v>106</v>
      </c>
      <c r="P112" s="113" t="s">
        <v>414</v>
      </c>
      <c r="R112" s="116"/>
      <c r="S112" s="115"/>
      <c r="T112" s="115"/>
      <c r="U112" s="115"/>
    </row>
    <row r="113" spans="1:21" s="114" customFormat="1" ht="30.75" customHeight="1" x14ac:dyDescent="0.3">
      <c r="A113" s="103">
        <v>101</v>
      </c>
      <c r="B113" s="104"/>
      <c r="C113" s="103"/>
      <c r="D113" s="103"/>
      <c r="E113" s="105" t="s">
        <v>415</v>
      </c>
      <c r="F113" s="106"/>
      <c r="G113" s="106">
        <v>46142</v>
      </c>
      <c r="H113" s="107" t="s">
        <v>412</v>
      </c>
      <c r="I113" s="103" t="s">
        <v>416</v>
      </c>
      <c r="J113" s="108">
        <v>8500</v>
      </c>
      <c r="K113" s="109">
        <f>Forex!$C$2</f>
        <v>94.943200000000004</v>
      </c>
      <c r="L113" s="110">
        <f t="shared" si="6"/>
        <v>89.527212059420791</v>
      </c>
      <c r="M113" s="111">
        <v>0</v>
      </c>
      <c r="N113" s="111">
        <f t="shared" si="7"/>
        <v>8500</v>
      </c>
      <c r="O113" s="112" t="s">
        <v>106</v>
      </c>
      <c r="P113" s="113" t="s">
        <v>417</v>
      </c>
      <c r="R113" s="116"/>
      <c r="S113" s="115"/>
      <c r="T113" s="115"/>
      <c r="U113" s="115"/>
    </row>
    <row r="114" spans="1:21" s="114" customFormat="1" ht="30.75" customHeight="1" x14ac:dyDescent="0.3">
      <c r="A114" s="103">
        <v>102</v>
      </c>
      <c r="B114" s="104"/>
      <c r="C114" s="103"/>
      <c r="D114" s="103"/>
      <c r="E114" s="105" t="s">
        <v>418</v>
      </c>
      <c r="F114" s="106"/>
      <c r="G114" s="106">
        <v>46142</v>
      </c>
      <c r="H114" s="107" t="s">
        <v>412</v>
      </c>
      <c r="I114" s="103" t="s">
        <v>419</v>
      </c>
      <c r="J114" s="108">
        <v>8500</v>
      </c>
      <c r="K114" s="109">
        <f>Forex!$C$2</f>
        <v>94.943200000000004</v>
      </c>
      <c r="L114" s="110">
        <f t="shared" si="6"/>
        <v>89.527212059420791</v>
      </c>
      <c r="M114" s="111">
        <v>0</v>
      </c>
      <c r="N114" s="111">
        <f t="shared" si="7"/>
        <v>8500</v>
      </c>
      <c r="O114" s="112" t="s">
        <v>106</v>
      </c>
      <c r="P114" s="113" t="s">
        <v>420</v>
      </c>
      <c r="R114" s="116"/>
      <c r="S114" s="115"/>
      <c r="T114" s="115"/>
      <c r="U114" s="115"/>
    </row>
    <row r="115" spans="1:21" s="114" customFormat="1" ht="30.75" customHeight="1" x14ac:dyDescent="0.3">
      <c r="A115" s="103">
        <v>103</v>
      </c>
      <c r="B115" s="104"/>
      <c r="C115" s="103"/>
      <c r="D115" s="103"/>
      <c r="E115" s="105" t="s">
        <v>421</v>
      </c>
      <c r="F115" s="106"/>
      <c r="G115" s="106">
        <v>46142</v>
      </c>
      <c r="H115" s="107" t="s">
        <v>422</v>
      </c>
      <c r="I115" s="103" t="s">
        <v>423</v>
      </c>
      <c r="J115" s="108">
        <v>2100</v>
      </c>
      <c r="K115" s="109">
        <f>Forex!$C$2</f>
        <v>94.943200000000004</v>
      </c>
      <c r="L115" s="110">
        <f t="shared" si="6"/>
        <v>22.118487685268665</v>
      </c>
      <c r="M115" s="111">
        <v>0</v>
      </c>
      <c r="N115" s="111">
        <f t="shared" si="7"/>
        <v>2100</v>
      </c>
      <c r="O115" s="112" t="s">
        <v>106</v>
      </c>
      <c r="P115" s="113" t="s">
        <v>424</v>
      </c>
      <c r="R115" s="116"/>
      <c r="S115" s="115"/>
      <c r="T115" s="115"/>
      <c r="U115" s="115"/>
    </row>
    <row r="116" spans="1:21" s="114" customFormat="1" ht="30.75" customHeight="1" x14ac:dyDescent="0.3">
      <c r="A116" s="103">
        <v>104</v>
      </c>
      <c r="B116" s="104"/>
      <c r="C116" s="103"/>
      <c r="D116" s="103"/>
      <c r="E116" s="105" t="s">
        <v>425</v>
      </c>
      <c r="F116" s="106"/>
      <c r="G116" s="106">
        <v>46142</v>
      </c>
      <c r="H116" s="107" t="s">
        <v>426</v>
      </c>
      <c r="I116" s="103" t="s">
        <v>427</v>
      </c>
      <c r="J116" s="108">
        <v>1000</v>
      </c>
      <c r="K116" s="109">
        <f>Forex!$C$2</f>
        <v>94.943200000000004</v>
      </c>
      <c r="L116" s="110">
        <f t="shared" si="6"/>
        <v>10.532613183461269</v>
      </c>
      <c r="M116" s="111">
        <v>0</v>
      </c>
      <c r="N116" s="111">
        <f t="shared" si="7"/>
        <v>1000</v>
      </c>
      <c r="O116" s="112" t="s">
        <v>106</v>
      </c>
      <c r="P116" s="113" t="s">
        <v>428</v>
      </c>
      <c r="R116" s="116"/>
      <c r="S116" s="115"/>
      <c r="T116" s="115"/>
      <c r="U116" s="115"/>
    </row>
    <row r="117" spans="1:21" s="114" customFormat="1" ht="30.75" customHeight="1" x14ac:dyDescent="0.3">
      <c r="A117" s="103">
        <v>105</v>
      </c>
      <c r="B117" s="104"/>
      <c r="C117" s="103"/>
      <c r="D117" s="103"/>
      <c r="E117" s="105" t="s">
        <v>429</v>
      </c>
      <c r="F117" s="106"/>
      <c r="G117" s="106">
        <v>46142</v>
      </c>
      <c r="H117" s="107" t="s">
        <v>426</v>
      </c>
      <c r="I117" s="103" t="s">
        <v>430</v>
      </c>
      <c r="J117" s="108">
        <v>2900</v>
      </c>
      <c r="K117" s="109">
        <f>Forex!$C$2</f>
        <v>94.943200000000004</v>
      </c>
      <c r="L117" s="110">
        <f t="shared" si="6"/>
        <v>30.544578232037679</v>
      </c>
      <c r="M117" s="111">
        <v>0</v>
      </c>
      <c r="N117" s="111">
        <f t="shared" si="7"/>
        <v>2900</v>
      </c>
      <c r="O117" s="112" t="s">
        <v>106</v>
      </c>
      <c r="P117" s="113" t="s">
        <v>431</v>
      </c>
      <c r="R117" s="116"/>
      <c r="S117" s="115"/>
      <c r="T117" s="115"/>
      <c r="U117" s="115"/>
    </row>
    <row r="118" spans="1:21" s="114" customFormat="1" ht="30.75" customHeight="1" x14ac:dyDescent="0.3">
      <c r="A118" s="103">
        <v>106</v>
      </c>
      <c r="B118" s="104"/>
      <c r="C118" s="103"/>
      <c r="D118" s="103"/>
      <c r="E118" s="105" t="s">
        <v>432</v>
      </c>
      <c r="F118" s="106"/>
      <c r="G118" s="106">
        <v>46142</v>
      </c>
      <c r="H118" s="107" t="s">
        <v>433</v>
      </c>
      <c r="I118" s="103" t="s">
        <v>434</v>
      </c>
      <c r="J118" s="108">
        <v>8400</v>
      </c>
      <c r="K118" s="109">
        <f>Forex!$C$2</f>
        <v>94.943200000000004</v>
      </c>
      <c r="L118" s="110">
        <f t="shared" si="6"/>
        <v>88.47395074107466</v>
      </c>
      <c r="M118" s="111">
        <v>0</v>
      </c>
      <c r="N118" s="111">
        <f t="shared" si="7"/>
        <v>8400</v>
      </c>
      <c r="O118" s="112" t="s">
        <v>106</v>
      </c>
      <c r="P118" s="113" t="s">
        <v>435</v>
      </c>
      <c r="R118" s="116"/>
      <c r="S118" s="115"/>
      <c r="T118" s="115"/>
      <c r="U118" s="115"/>
    </row>
    <row r="119" spans="1:21" s="114" customFormat="1" ht="30.75" customHeight="1" x14ac:dyDescent="0.3">
      <c r="A119" s="103">
        <v>107</v>
      </c>
      <c r="B119" s="104"/>
      <c r="C119" s="103"/>
      <c r="D119" s="103"/>
      <c r="E119" s="105" t="s">
        <v>436</v>
      </c>
      <c r="F119" s="106"/>
      <c r="G119" s="106">
        <v>46142</v>
      </c>
      <c r="H119" s="107" t="s">
        <v>433</v>
      </c>
      <c r="I119" s="103" t="s">
        <v>434</v>
      </c>
      <c r="J119" s="108">
        <v>1250</v>
      </c>
      <c r="K119" s="109">
        <f>Forex!$C$2</f>
        <v>94.943200000000004</v>
      </c>
      <c r="L119" s="110">
        <f t="shared" si="6"/>
        <v>13.165766479326587</v>
      </c>
      <c r="M119" s="111">
        <v>0</v>
      </c>
      <c r="N119" s="111">
        <f t="shared" si="7"/>
        <v>1250</v>
      </c>
      <c r="O119" s="112" t="s">
        <v>106</v>
      </c>
      <c r="P119" s="113" t="s">
        <v>437</v>
      </c>
      <c r="R119" s="116"/>
      <c r="S119" s="115"/>
      <c r="T119" s="115"/>
      <c r="U119" s="115"/>
    </row>
    <row r="120" spans="1:21" s="114" customFormat="1" ht="30.75" customHeight="1" x14ac:dyDescent="0.3">
      <c r="A120" s="103">
        <v>108</v>
      </c>
      <c r="B120" s="104"/>
      <c r="C120" s="103"/>
      <c r="D120" s="103"/>
      <c r="E120" s="105" t="s">
        <v>438</v>
      </c>
      <c r="F120" s="106"/>
      <c r="G120" s="106">
        <v>46142</v>
      </c>
      <c r="H120" s="107" t="s">
        <v>433</v>
      </c>
      <c r="I120" s="103" t="s">
        <v>434</v>
      </c>
      <c r="J120" s="108">
        <v>1250</v>
      </c>
      <c r="K120" s="109">
        <f>Forex!$C$2</f>
        <v>94.943200000000004</v>
      </c>
      <c r="L120" s="110">
        <f t="shared" si="6"/>
        <v>13.165766479326587</v>
      </c>
      <c r="M120" s="111">
        <v>0</v>
      </c>
      <c r="N120" s="111">
        <f t="shared" si="7"/>
        <v>1250</v>
      </c>
      <c r="O120" s="112" t="s">
        <v>106</v>
      </c>
      <c r="P120" s="113" t="s">
        <v>439</v>
      </c>
      <c r="R120" s="116"/>
      <c r="S120" s="115"/>
      <c r="T120" s="115"/>
      <c r="U120" s="115"/>
    </row>
    <row r="121" spans="1:21" s="114" customFormat="1" ht="30.75" customHeight="1" x14ac:dyDescent="0.3">
      <c r="A121" s="103">
        <v>109</v>
      </c>
      <c r="B121" s="104"/>
      <c r="C121" s="103"/>
      <c r="D121" s="103"/>
      <c r="E121" s="105" t="s">
        <v>440</v>
      </c>
      <c r="F121" s="106"/>
      <c r="G121" s="106">
        <v>46142</v>
      </c>
      <c r="H121" s="107" t="s">
        <v>441</v>
      </c>
      <c r="I121" s="103" t="s">
        <v>442</v>
      </c>
      <c r="J121" s="108">
        <v>8300</v>
      </c>
      <c r="K121" s="109">
        <f>Forex!$C$2</f>
        <v>94.943200000000004</v>
      </c>
      <c r="L121" s="110">
        <f t="shared" si="6"/>
        <v>87.420689422728529</v>
      </c>
      <c r="M121" s="111">
        <v>0</v>
      </c>
      <c r="N121" s="111">
        <f t="shared" si="7"/>
        <v>8300</v>
      </c>
      <c r="O121" s="112" t="s">
        <v>106</v>
      </c>
      <c r="P121" s="113" t="s">
        <v>443</v>
      </c>
      <c r="R121" s="116"/>
      <c r="S121" s="115"/>
      <c r="T121" s="115"/>
      <c r="U121" s="115"/>
    </row>
    <row r="122" spans="1:21" s="114" customFormat="1" ht="30.75" customHeight="1" x14ac:dyDescent="0.3">
      <c r="A122" s="103">
        <v>110</v>
      </c>
      <c r="B122" s="104"/>
      <c r="C122" s="103"/>
      <c r="D122" s="103"/>
      <c r="E122" s="105" t="s">
        <v>444</v>
      </c>
      <c r="F122" s="106"/>
      <c r="G122" s="106">
        <v>46142</v>
      </c>
      <c r="H122" s="107" t="s">
        <v>441</v>
      </c>
      <c r="I122" s="103" t="s">
        <v>442</v>
      </c>
      <c r="J122" s="108">
        <v>8300</v>
      </c>
      <c r="K122" s="109">
        <f>Forex!$C$2</f>
        <v>94.943200000000004</v>
      </c>
      <c r="L122" s="110">
        <f t="shared" si="6"/>
        <v>87.420689422728529</v>
      </c>
      <c r="M122" s="111">
        <v>0</v>
      </c>
      <c r="N122" s="111">
        <f t="shared" si="7"/>
        <v>8300</v>
      </c>
      <c r="O122" s="112" t="s">
        <v>106</v>
      </c>
      <c r="P122" s="113" t="s">
        <v>445</v>
      </c>
      <c r="R122" s="116"/>
      <c r="S122" s="115"/>
      <c r="T122" s="115"/>
      <c r="U122" s="115"/>
    </row>
    <row r="123" spans="1:21" s="114" customFormat="1" ht="30.75" customHeight="1" x14ac:dyDescent="0.3">
      <c r="A123" s="103">
        <v>111</v>
      </c>
      <c r="B123" s="104"/>
      <c r="C123" s="103"/>
      <c r="D123" s="103"/>
      <c r="E123" s="105" t="s">
        <v>446</v>
      </c>
      <c r="F123" s="106"/>
      <c r="G123" s="106">
        <v>46142</v>
      </c>
      <c r="H123" s="107" t="s">
        <v>138</v>
      </c>
      <c r="I123" s="103" t="s">
        <v>447</v>
      </c>
      <c r="J123" s="108">
        <v>8300</v>
      </c>
      <c r="K123" s="109">
        <f>Forex!$C$2</f>
        <v>94.943200000000004</v>
      </c>
      <c r="L123" s="110">
        <f t="shared" si="6"/>
        <v>87.420689422728529</v>
      </c>
      <c r="M123" s="111">
        <v>0</v>
      </c>
      <c r="N123" s="111">
        <f t="shared" si="7"/>
        <v>8300</v>
      </c>
      <c r="O123" s="112" t="s">
        <v>106</v>
      </c>
      <c r="P123" s="113" t="s">
        <v>448</v>
      </c>
      <c r="R123" s="116"/>
      <c r="S123" s="115"/>
      <c r="T123" s="115"/>
      <c r="U123" s="115"/>
    </row>
    <row r="124" spans="1:21" s="114" customFormat="1" ht="30.75" customHeight="1" x14ac:dyDescent="0.3">
      <c r="A124" s="103">
        <v>112</v>
      </c>
      <c r="B124" s="104"/>
      <c r="C124" s="103"/>
      <c r="D124" s="103"/>
      <c r="E124" s="105" t="s">
        <v>449</v>
      </c>
      <c r="F124" s="106"/>
      <c r="G124" s="106">
        <v>46142</v>
      </c>
      <c r="H124" s="107" t="s">
        <v>138</v>
      </c>
      <c r="I124" s="103" t="s">
        <v>447</v>
      </c>
      <c r="J124" s="108">
        <v>9200</v>
      </c>
      <c r="K124" s="109">
        <f>Forex!$C$2</f>
        <v>94.943200000000004</v>
      </c>
      <c r="L124" s="110">
        <f t="shared" si="6"/>
        <v>96.900041287843678</v>
      </c>
      <c r="M124" s="111">
        <v>0</v>
      </c>
      <c r="N124" s="111">
        <f t="shared" si="7"/>
        <v>9200</v>
      </c>
      <c r="O124" s="112" t="s">
        <v>106</v>
      </c>
      <c r="P124" s="113" t="s">
        <v>450</v>
      </c>
      <c r="R124" s="116"/>
      <c r="S124" s="115"/>
      <c r="T124" s="115"/>
      <c r="U124" s="115"/>
    </row>
    <row r="125" spans="1:21" s="114" customFormat="1" ht="30.75" customHeight="1" x14ac:dyDescent="0.3">
      <c r="A125" s="103">
        <v>113</v>
      </c>
      <c r="B125" s="104"/>
      <c r="C125" s="103"/>
      <c r="D125" s="103"/>
      <c r="E125" s="105" t="s">
        <v>451</v>
      </c>
      <c r="F125" s="106"/>
      <c r="G125" s="106">
        <v>46142</v>
      </c>
      <c r="H125" s="107" t="s">
        <v>138</v>
      </c>
      <c r="I125" s="103" t="s">
        <v>447</v>
      </c>
      <c r="J125" s="108">
        <v>8300</v>
      </c>
      <c r="K125" s="109">
        <f>Forex!$C$2</f>
        <v>94.943200000000004</v>
      </c>
      <c r="L125" s="110">
        <f t="shared" si="6"/>
        <v>87.420689422728529</v>
      </c>
      <c r="M125" s="111">
        <v>0</v>
      </c>
      <c r="N125" s="111">
        <f t="shared" si="7"/>
        <v>8300</v>
      </c>
      <c r="O125" s="112" t="s">
        <v>106</v>
      </c>
      <c r="P125" s="113" t="s">
        <v>452</v>
      </c>
      <c r="R125" s="116"/>
      <c r="S125" s="115"/>
      <c r="T125" s="115"/>
      <c r="U125" s="115"/>
    </row>
    <row r="126" spans="1:21" s="114" customFormat="1" ht="30.75" customHeight="1" x14ac:dyDescent="0.3">
      <c r="A126" s="103">
        <v>114</v>
      </c>
      <c r="B126" s="104"/>
      <c r="C126" s="103"/>
      <c r="D126" s="103"/>
      <c r="E126" s="105" t="s">
        <v>453</v>
      </c>
      <c r="F126" s="106"/>
      <c r="G126" s="106">
        <v>46142</v>
      </c>
      <c r="H126" s="107" t="s">
        <v>138</v>
      </c>
      <c r="I126" s="103" t="s">
        <v>454</v>
      </c>
      <c r="J126" s="108">
        <v>8300</v>
      </c>
      <c r="K126" s="109">
        <f>Forex!$C$2</f>
        <v>94.943200000000004</v>
      </c>
      <c r="L126" s="110">
        <f t="shared" si="6"/>
        <v>87.420689422728529</v>
      </c>
      <c r="M126" s="111">
        <v>0</v>
      </c>
      <c r="N126" s="111">
        <f t="shared" si="7"/>
        <v>8300</v>
      </c>
      <c r="O126" s="112" t="s">
        <v>106</v>
      </c>
      <c r="P126" s="113" t="s">
        <v>455</v>
      </c>
      <c r="R126" s="116"/>
      <c r="S126" s="115"/>
      <c r="T126" s="115"/>
      <c r="U126" s="115"/>
    </row>
    <row r="127" spans="1:21" s="114" customFormat="1" ht="30.75" customHeight="1" x14ac:dyDescent="0.3">
      <c r="A127" s="103">
        <v>115</v>
      </c>
      <c r="B127" s="104"/>
      <c r="C127" s="103"/>
      <c r="D127" s="103"/>
      <c r="E127" s="105" t="s">
        <v>456</v>
      </c>
      <c r="F127" s="106"/>
      <c r="G127" s="106">
        <v>46142</v>
      </c>
      <c r="H127" s="107" t="s">
        <v>138</v>
      </c>
      <c r="I127" s="103" t="s">
        <v>454</v>
      </c>
      <c r="J127" s="108">
        <v>8375</v>
      </c>
      <c r="K127" s="109">
        <f>Forex!$C$2</f>
        <v>94.943200000000004</v>
      </c>
      <c r="L127" s="110">
        <f t="shared" si="6"/>
        <v>88.210635411488127</v>
      </c>
      <c r="M127" s="111">
        <v>0</v>
      </c>
      <c r="N127" s="111">
        <f t="shared" si="7"/>
        <v>8375</v>
      </c>
      <c r="O127" s="112" t="s">
        <v>106</v>
      </c>
      <c r="P127" s="113" t="s">
        <v>457</v>
      </c>
      <c r="R127" s="116"/>
      <c r="S127" s="115"/>
      <c r="T127" s="115"/>
      <c r="U127" s="115"/>
    </row>
    <row r="128" spans="1:21" s="114" customFormat="1" ht="30.75" customHeight="1" x14ac:dyDescent="0.3">
      <c r="A128" s="103">
        <v>116</v>
      </c>
      <c r="B128" s="104"/>
      <c r="C128" s="103"/>
      <c r="D128" s="103"/>
      <c r="E128" s="105" t="s">
        <v>458</v>
      </c>
      <c r="F128" s="106"/>
      <c r="G128" s="106">
        <v>46142</v>
      </c>
      <c r="H128" s="107" t="s">
        <v>138</v>
      </c>
      <c r="I128" s="103" t="s">
        <v>454</v>
      </c>
      <c r="J128" s="108">
        <v>8300</v>
      </c>
      <c r="K128" s="109">
        <f>Forex!$C$2</f>
        <v>94.943200000000004</v>
      </c>
      <c r="L128" s="110">
        <f t="shared" si="6"/>
        <v>87.420689422728529</v>
      </c>
      <c r="M128" s="111">
        <v>0</v>
      </c>
      <c r="N128" s="111">
        <f t="shared" si="7"/>
        <v>8300</v>
      </c>
      <c r="O128" s="112" t="s">
        <v>106</v>
      </c>
      <c r="P128" s="113" t="s">
        <v>459</v>
      </c>
      <c r="R128" s="116"/>
      <c r="S128" s="115"/>
      <c r="T128" s="115"/>
      <c r="U128" s="115"/>
    </row>
    <row r="129" spans="1:21" s="114" customFormat="1" ht="30.75" customHeight="1" x14ac:dyDescent="0.3">
      <c r="A129" s="103">
        <v>117</v>
      </c>
      <c r="B129" s="104"/>
      <c r="C129" s="103"/>
      <c r="D129" s="103"/>
      <c r="E129" s="105" t="s">
        <v>458</v>
      </c>
      <c r="F129" s="106"/>
      <c r="G129" s="106">
        <v>46142</v>
      </c>
      <c r="H129" s="107" t="s">
        <v>138</v>
      </c>
      <c r="I129" s="103" t="s">
        <v>454</v>
      </c>
      <c r="J129" s="108">
        <v>8300</v>
      </c>
      <c r="K129" s="109">
        <f>Forex!$C$2</f>
        <v>94.943200000000004</v>
      </c>
      <c r="L129" s="110">
        <f t="shared" si="6"/>
        <v>87.420689422728529</v>
      </c>
      <c r="M129" s="111">
        <v>0</v>
      </c>
      <c r="N129" s="111">
        <f t="shared" si="7"/>
        <v>8300</v>
      </c>
      <c r="O129" s="112" t="s">
        <v>106</v>
      </c>
      <c r="P129" s="113" t="s">
        <v>460</v>
      </c>
      <c r="R129" s="116"/>
      <c r="S129" s="115"/>
      <c r="T129" s="115"/>
      <c r="U129" s="115"/>
    </row>
    <row r="130" spans="1:21" s="114" customFormat="1" ht="30.75" customHeight="1" x14ac:dyDescent="0.3">
      <c r="A130" s="103">
        <v>118</v>
      </c>
      <c r="B130" s="104"/>
      <c r="C130" s="103"/>
      <c r="D130" s="103"/>
      <c r="E130" s="105" t="s">
        <v>461</v>
      </c>
      <c r="F130" s="106"/>
      <c r="G130" s="106">
        <v>46142</v>
      </c>
      <c r="H130" s="107" t="s">
        <v>138</v>
      </c>
      <c r="I130" s="103" t="s">
        <v>454</v>
      </c>
      <c r="J130" s="108">
        <v>8375</v>
      </c>
      <c r="K130" s="109">
        <f>Forex!$C$2</f>
        <v>94.943200000000004</v>
      </c>
      <c r="L130" s="110">
        <f t="shared" si="6"/>
        <v>88.210635411488127</v>
      </c>
      <c r="M130" s="111">
        <v>0</v>
      </c>
      <c r="N130" s="111">
        <f t="shared" si="7"/>
        <v>8375</v>
      </c>
      <c r="O130" s="112" t="s">
        <v>106</v>
      </c>
      <c r="P130" s="113" t="s">
        <v>462</v>
      </c>
      <c r="R130" s="116"/>
      <c r="S130" s="115"/>
      <c r="T130" s="115"/>
      <c r="U130" s="115"/>
    </row>
    <row r="131" spans="1:21" s="114" customFormat="1" ht="30.75" customHeight="1" x14ac:dyDescent="0.3">
      <c r="A131" s="103">
        <v>119</v>
      </c>
      <c r="B131" s="104"/>
      <c r="C131" s="103"/>
      <c r="D131" s="103"/>
      <c r="E131" s="105" t="s">
        <v>463</v>
      </c>
      <c r="F131" s="106"/>
      <c r="G131" s="106">
        <v>46142</v>
      </c>
      <c r="H131" s="107" t="s">
        <v>138</v>
      </c>
      <c r="I131" s="103" t="s">
        <v>454</v>
      </c>
      <c r="J131" s="108">
        <v>8300</v>
      </c>
      <c r="K131" s="109">
        <f>Forex!$C$2</f>
        <v>94.943200000000004</v>
      </c>
      <c r="L131" s="110">
        <f t="shared" si="6"/>
        <v>87.420689422728529</v>
      </c>
      <c r="M131" s="111">
        <v>0</v>
      </c>
      <c r="N131" s="111">
        <f t="shared" si="7"/>
        <v>8300</v>
      </c>
      <c r="O131" s="112" t="s">
        <v>106</v>
      </c>
      <c r="P131" s="113" t="s">
        <v>464</v>
      </c>
      <c r="R131" s="116"/>
      <c r="S131" s="115"/>
      <c r="T131" s="115"/>
      <c r="U131" s="115"/>
    </row>
    <row r="132" spans="1:21" s="114" customFormat="1" ht="30.75" customHeight="1" x14ac:dyDescent="0.3">
      <c r="A132" s="103">
        <v>120</v>
      </c>
      <c r="B132" s="104"/>
      <c r="C132" s="103"/>
      <c r="D132" s="103"/>
      <c r="E132" s="105" t="s">
        <v>444</v>
      </c>
      <c r="F132" s="106"/>
      <c r="G132" s="106">
        <v>46142</v>
      </c>
      <c r="H132" s="107" t="s">
        <v>138</v>
      </c>
      <c r="I132" s="103" t="s">
        <v>454</v>
      </c>
      <c r="J132" s="108">
        <v>8300</v>
      </c>
      <c r="K132" s="109">
        <f>Forex!$C$2</f>
        <v>94.943200000000004</v>
      </c>
      <c r="L132" s="110">
        <f t="shared" si="6"/>
        <v>87.420689422728529</v>
      </c>
      <c r="M132" s="111">
        <v>0</v>
      </c>
      <c r="N132" s="111">
        <f t="shared" si="7"/>
        <v>8300</v>
      </c>
      <c r="O132" s="112" t="s">
        <v>106</v>
      </c>
      <c r="P132" s="113" t="s">
        <v>465</v>
      </c>
      <c r="R132" s="116"/>
      <c r="S132" s="115"/>
      <c r="T132" s="115"/>
      <c r="U132" s="115"/>
    </row>
    <row r="133" spans="1:21" s="114" customFormat="1" ht="30.75" customHeight="1" x14ac:dyDescent="0.3">
      <c r="A133" s="103">
        <v>121</v>
      </c>
      <c r="B133" s="104"/>
      <c r="C133" s="103"/>
      <c r="D133" s="103"/>
      <c r="E133" s="105" t="s">
        <v>444</v>
      </c>
      <c r="F133" s="106"/>
      <c r="G133" s="106">
        <v>46142</v>
      </c>
      <c r="H133" s="107" t="s">
        <v>138</v>
      </c>
      <c r="I133" s="103" t="s">
        <v>454</v>
      </c>
      <c r="J133" s="108">
        <v>8300</v>
      </c>
      <c r="K133" s="109">
        <f>Forex!$C$2</f>
        <v>94.943200000000004</v>
      </c>
      <c r="L133" s="110">
        <f t="shared" si="6"/>
        <v>87.420689422728529</v>
      </c>
      <c r="M133" s="111">
        <v>0</v>
      </c>
      <c r="N133" s="111">
        <f t="shared" si="7"/>
        <v>8300</v>
      </c>
      <c r="O133" s="112" t="s">
        <v>106</v>
      </c>
      <c r="P133" s="113" t="s">
        <v>466</v>
      </c>
      <c r="R133" s="116"/>
      <c r="S133" s="115"/>
      <c r="T133" s="115"/>
      <c r="U133" s="115"/>
    </row>
    <row r="134" spans="1:21" s="114" customFormat="1" ht="30.75" customHeight="1" x14ac:dyDescent="0.3">
      <c r="A134" s="103">
        <v>122</v>
      </c>
      <c r="B134" s="104"/>
      <c r="C134" s="103"/>
      <c r="D134" s="103"/>
      <c r="E134" s="105" t="s">
        <v>444</v>
      </c>
      <c r="F134" s="106"/>
      <c r="G134" s="106">
        <v>46142</v>
      </c>
      <c r="H134" s="107" t="s">
        <v>138</v>
      </c>
      <c r="I134" s="103" t="s">
        <v>454</v>
      </c>
      <c r="J134" s="108">
        <v>8300</v>
      </c>
      <c r="K134" s="109">
        <f>Forex!$C$2</f>
        <v>94.943200000000004</v>
      </c>
      <c r="L134" s="110">
        <f t="shared" si="6"/>
        <v>87.420689422728529</v>
      </c>
      <c r="M134" s="111">
        <v>0</v>
      </c>
      <c r="N134" s="111">
        <f t="shared" si="7"/>
        <v>8300</v>
      </c>
      <c r="O134" s="112" t="s">
        <v>106</v>
      </c>
      <c r="P134" s="113" t="s">
        <v>467</v>
      </c>
      <c r="R134" s="116"/>
      <c r="S134" s="115"/>
      <c r="T134" s="115"/>
      <c r="U134" s="115"/>
    </row>
    <row r="135" spans="1:21" s="114" customFormat="1" ht="30.75" customHeight="1" x14ac:dyDescent="0.3">
      <c r="A135" s="103">
        <v>123</v>
      </c>
      <c r="B135" s="104"/>
      <c r="C135" s="103"/>
      <c r="D135" s="103"/>
      <c r="E135" s="105" t="s">
        <v>468</v>
      </c>
      <c r="F135" s="106"/>
      <c r="G135" s="106">
        <v>46142</v>
      </c>
      <c r="H135" s="107" t="s">
        <v>138</v>
      </c>
      <c r="I135" s="103" t="s">
        <v>454</v>
      </c>
      <c r="J135" s="108">
        <v>8300</v>
      </c>
      <c r="K135" s="109">
        <f>Forex!$C$2</f>
        <v>94.943200000000004</v>
      </c>
      <c r="L135" s="110">
        <f t="shared" si="6"/>
        <v>87.420689422728529</v>
      </c>
      <c r="M135" s="111">
        <v>0</v>
      </c>
      <c r="N135" s="111">
        <f t="shared" si="7"/>
        <v>8300</v>
      </c>
      <c r="O135" s="112" t="s">
        <v>106</v>
      </c>
      <c r="P135" s="113" t="s">
        <v>469</v>
      </c>
      <c r="R135" s="116"/>
      <c r="S135" s="115"/>
      <c r="T135" s="115"/>
      <c r="U135" s="115"/>
    </row>
    <row r="136" spans="1:21" s="114" customFormat="1" ht="30.75" customHeight="1" x14ac:dyDescent="0.3">
      <c r="A136" s="103">
        <v>124</v>
      </c>
      <c r="B136" s="104"/>
      <c r="C136" s="103"/>
      <c r="D136" s="103"/>
      <c r="E136" s="105" t="s">
        <v>470</v>
      </c>
      <c r="F136" s="106"/>
      <c r="G136" s="106">
        <v>46142</v>
      </c>
      <c r="H136" s="107" t="s">
        <v>138</v>
      </c>
      <c r="I136" s="103" t="s">
        <v>454</v>
      </c>
      <c r="J136" s="108">
        <v>8375</v>
      </c>
      <c r="K136" s="109">
        <f>Forex!$C$2</f>
        <v>94.943200000000004</v>
      </c>
      <c r="L136" s="110">
        <f t="shared" si="6"/>
        <v>88.210635411488127</v>
      </c>
      <c r="M136" s="111">
        <v>0</v>
      </c>
      <c r="N136" s="111">
        <f t="shared" si="7"/>
        <v>8375</v>
      </c>
      <c r="O136" s="112" t="s">
        <v>106</v>
      </c>
      <c r="P136" s="113" t="s">
        <v>471</v>
      </c>
      <c r="R136" s="116"/>
      <c r="S136" s="115"/>
      <c r="T136" s="115"/>
      <c r="U136" s="115"/>
    </row>
    <row r="137" spans="1:21" s="114" customFormat="1" ht="30.75" customHeight="1" x14ac:dyDescent="0.3">
      <c r="A137" s="103">
        <v>125</v>
      </c>
      <c r="B137" s="104"/>
      <c r="C137" s="103"/>
      <c r="D137" s="103"/>
      <c r="E137" s="105" t="s">
        <v>472</v>
      </c>
      <c r="F137" s="106"/>
      <c r="G137" s="106">
        <v>46142</v>
      </c>
      <c r="H137" s="107" t="s">
        <v>138</v>
      </c>
      <c r="I137" s="103" t="s">
        <v>454</v>
      </c>
      <c r="J137" s="108">
        <v>8375</v>
      </c>
      <c r="K137" s="109">
        <f>Forex!$C$2</f>
        <v>94.943200000000004</v>
      </c>
      <c r="L137" s="110">
        <f t="shared" si="6"/>
        <v>88.210635411488127</v>
      </c>
      <c r="M137" s="111">
        <v>0</v>
      </c>
      <c r="N137" s="111">
        <f t="shared" si="7"/>
        <v>8375</v>
      </c>
      <c r="O137" s="112" t="s">
        <v>106</v>
      </c>
      <c r="P137" s="113" t="s">
        <v>473</v>
      </c>
      <c r="R137" s="116"/>
      <c r="S137" s="115"/>
      <c r="T137" s="115"/>
      <c r="U137" s="115"/>
    </row>
    <row r="138" spans="1:21" s="114" customFormat="1" ht="30.75" customHeight="1" x14ac:dyDescent="0.3">
      <c r="A138" s="103">
        <v>126</v>
      </c>
      <c r="B138" s="104"/>
      <c r="C138" s="103"/>
      <c r="D138" s="103"/>
      <c r="E138" s="105" t="s">
        <v>474</v>
      </c>
      <c r="F138" s="106"/>
      <c r="G138" s="106">
        <v>46114</v>
      </c>
      <c r="H138" s="107" t="s">
        <v>475</v>
      </c>
      <c r="I138" s="103" t="s">
        <v>476</v>
      </c>
      <c r="J138" s="108">
        <v>10800</v>
      </c>
      <c r="K138" s="109">
        <f>Forex!$C$2</f>
        <v>94.943200000000004</v>
      </c>
      <c r="L138" s="110">
        <f t="shared" si="6"/>
        <v>113.7522223813817</v>
      </c>
      <c r="M138" s="111">
        <v>0</v>
      </c>
      <c r="N138" s="111">
        <f t="shared" si="7"/>
        <v>10800</v>
      </c>
      <c r="O138" s="112" t="s">
        <v>106</v>
      </c>
      <c r="P138" s="113" t="s">
        <v>477</v>
      </c>
      <c r="R138" s="116"/>
      <c r="S138" s="115"/>
      <c r="T138" s="115"/>
      <c r="U138" s="115"/>
    </row>
    <row r="139" spans="1:21" s="114" customFormat="1" ht="30.75" hidden="1" customHeight="1" x14ac:dyDescent="0.3">
      <c r="A139" s="103"/>
      <c r="B139" s="104"/>
      <c r="C139" s="103"/>
      <c r="D139" s="103"/>
      <c r="E139" s="105"/>
      <c r="F139" s="106"/>
      <c r="G139" s="106"/>
      <c r="H139" s="107"/>
      <c r="I139" s="103"/>
      <c r="J139" s="108"/>
      <c r="K139" s="109"/>
      <c r="L139" s="110"/>
      <c r="M139" s="111"/>
      <c r="N139" s="111"/>
      <c r="O139" s="112"/>
      <c r="P139" s="113"/>
      <c r="R139" s="116"/>
      <c r="S139" s="115"/>
      <c r="T139" s="115"/>
      <c r="U139" s="115"/>
    </row>
    <row r="140" spans="1:21" s="114" customFormat="1" ht="30.75" hidden="1" customHeight="1" x14ac:dyDescent="0.3">
      <c r="A140" s="103"/>
      <c r="B140" s="104"/>
      <c r="C140" s="103"/>
      <c r="D140" s="103"/>
      <c r="E140" s="105"/>
      <c r="F140" s="106"/>
      <c r="G140" s="106"/>
      <c r="H140" s="107"/>
      <c r="I140" s="103"/>
      <c r="J140" s="108"/>
      <c r="K140" s="109"/>
      <c r="L140" s="110"/>
      <c r="M140" s="111"/>
      <c r="N140" s="111"/>
      <c r="O140" s="112"/>
      <c r="P140" s="113"/>
      <c r="R140" s="116"/>
      <c r="S140" s="115"/>
      <c r="T140" s="115"/>
      <c r="U140" s="115"/>
    </row>
    <row r="141" spans="1:21" s="114" customFormat="1" ht="30.75" hidden="1" customHeight="1" x14ac:dyDescent="0.3">
      <c r="A141" s="103"/>
      <c r="B141" s="104"/>
      <c r="C141" s="103"/>
      <c r="D141" s="103"/>
      <c r="E141" s="105"/>
      <c r="F141" s="106"/>
      <c r="G141" s="106"/>
      <c r="H141" s="107"/>
      <c r="I141" s="103"/>
      <c r="J141" s="108"/>
      <c r="K141" s="109"/>
      <c r="L141" s="110"/>
      <c r="M141" s="111"/>
      <c r="N141" s="111"/>
      <c r="O141" s="112"/>
      <c r="P141" s="113"/>
      <c r="R141" s="116"/>
      <c r="S141" s="115"/>
      <c r="T141" s="115"/>
      <c r="U141" s="115"/>
    </row>
    <row r="142" spans="1:21" s="114" customFormat="1" ht="30.75" hidden="1" customHeight="1" x14ac:dyDescent="0.3">
      <c r="A142" s="103"/>
      <c r="B142" s="104"/>
      <c r="C142" s="103"/>
      <c r="D142" s="103"/>
      <c r="E142" s="105"/>
      <c r="F142" s="106"/>
      <c r="G142" s="106"/>
      <c r="H142" s="107"/>
      <c r="I142" s="103"/>
      <c r="J142" s="108"/>
      <c r="K142" s="109"/>
      <c r="L142" s="110"/>
      <c r="M142" s="111"/>
      <c r="N142" s="111"/>
      <c r="O142" s="112"/>
      <c r="P142" s="113"/>
      <c r="R142" s="116"/>
      <c r="S142" s="115"/>
      <c r="T142" s="115"/>
      <c r="U142" s="115"/>
    </row>
    <row r="143" spans="1:21" s="114" customFormat="1" ht="30.75" hidden="1" customHeight="1" x14ac:dyDescent="0.3">
      <c r="A143" s="103"/>
      <c r="B143" s="104"/>
      <c r="C143" s="103"/>
      <c r="D143" s="103"/>
      <c r="E143" s="105"/>
      <c r="F143" s="106"/>
      <c r="G143" s="106"/>
      <c r="H143" s="107"/>
      <c r="I143" s="103"/>
      <c r="J143" s="108"/>
      <c r="K143" s="109"/>
      <c r="L143" s="110"/>
      <c r="M143" s="111"/>
      <c r="N143" s="111"/>
      <c r="O143" s="112"/>
      <c r="P143" s="113"/>
      <c r="R143" s="116"/>
      <c r="S143" s="115"/>
      <c r="T143" s="115"/>
      <c r="U143" s="115"/>
    </row>
    <row r="144" spans="1:21" s="114" customFormat="1" ht="30.75" hidden="1" customHeight="1" x14ac:dyDescent="0.3">
      <c r="A144" s="103"/>
      <c r="B144" s="104"/>
      <c r="C144" s="103"/>
      <c r="D144" s="103"/>
      <c r="E144" s="105"/>
      <c r="F144" s="106"/>
      <c r="G144" s="106"/>
      <c r="H144" s="107"/>
      <c r="I144" s="103"/>
      <c r="J144" s="108"/>
      <c r="K144" s="109"/>
      <c r="L144" s="110"/>
      <c r="M144" s="111"/>
      <c r="N144" s="111"/>
      <c r="O144" s="112"/>
      <c r="P144" s="113"/>
      <c r="R144" s="116"/>
      <c r="S144" s="115"/>
      <c r="T144" s="115"/>
      <c r="U144" s="115"/>
    </row>
    <row r="145" spans="1:21" s="114" customFormat="1" ht="30.75" hidden="1" customHeight="1" x14ac:dyDescent="0.3">
      <c r="A145" s="103"/>
      <c r="B145" s="104"/>
      <c r="C145" s="103"/>
      <c r="D145" s="103"/>
      <c r="E145" s="105"/>
      <c r="F145" s="106"/>
      <c r="G145" s="106"/>
      <c r="H145" s="107"/>
      <c r="I145" s="103"/>
      <c r="J145" s="108"/>
      <c r="K145" s="109"/>
      <c r="L145" s="110"/>
      <c r="M145" s="111"/>
      <c r="N145" s="111"/>
      <c r="O145" s="112"/>
      <c r="P145" s="113"/>
      <c r="R145" s="116"/>
      <c r="S145" s="115"/>
      <c r="T145" s="115"/>
      <c r="U145" s="115"/>
    </row>
    <row r="146" spans="1:21" s="114" customFormat="1" ht="30.75" hidden="1" customHeight="1" x14ac:dyDescent="0.3">
      <c r="A146" s="103"/>
      <c r="B146" s="104"/>
      <c r="C146" s="103"/>
      <c r="D146" s="103"/>
      <c r="E146" s="105"/>
      <c r="F146" s="106"/>
      <c r="G146" s="106"/>
      <c r="H146" s="107"/>
      <c r="I146" s="103"/>
      <c r="J146" s="108"/>
      <c r="K146" s="109"/>
      <c r="L146" s="110"/>
      <c r="M146" s="111"/>
      <c r="N146" s="111"/>
      <c r="O146" s="112"/>
      <c r="P146" s="113"/>
      <c r="R146" s="116"/>
      <c r="S146" s="115"/>
      <c r="T146" s="115"/>
      <c r="U146" s="115"/>
    </row>
    <row r="147" spans="1:21" s="114" customFormat="1" ht="30.75" hidden="1" customHeight="1" x14ac:dyDescent="0.3">
      <c r="A147" s="103"/>
      <c r="B147" s="104"/>
      <c r="C147" s="103"/>
      <c r="D147" s="103"/>
      <c r="E147" s="105"/>
      <c r="F147" s="106"/>
      <c r="G147" s="106"/>
      <c r="H147" s="107"/>
      <c r="I147" s="103"/>
      <c r="J147" s="108"/>
      <c r="K147" s="109"/>
      <c r="L147" s="110"/>
      <c r="M147" s="111"/>
      <c r="N147" s="111"/>
      <c r="O147" s="112"/>
      <c r="P147" s="113"/>
      <c r="R147" s="116"/>
      <c r="S147" s="115"/>
      <c r="T147" s="115"/>
      <c r="U147" s="115"/>
    </row>
    <row r="148" spans="1:21" s="114" customFormat="1" ht="30.75" hidden="1" customHeight="1" x14ac:dyDescent="0.3">
      <c r="A148" s="103"/>
      <c r="B148" s="104"/>
      <c r="C148" s="103"/>
      <c r="D148" s="103"/>
      <c r="E148" s="105"/>
      <c r="F148" s="106"/>
      <c r="G148" s="106"/>
      <c r="H148" s="107"/>
      <c r="I148" s="103"/>
      <c r="J148" s="108"/>
      <c r="K148" s="109"/>
      <c r="L148" s="110"/>
      <c r="M148" s="111"/>
      <c r="N148" s="111"/>
      <c r="O148" s="112"/>
      <c r="P148" s="113"/>
      <c r="R148" s="116"/>
      <c r="S148" s="115"/>
      <c r="T148" s="115"/>
      <c r="U148" s="115"/>
    </row>
    <row r="149" spans="1:21" s="114" customFormat="1" ht="30.75" hidden="1" customHeight="1" x14ac:dyDescent="0.3">
      <c r="A149" s="103"/>
      <c r="B149" s="104"/>
      <c r="C149" s="103"/>
      <c r="D149" s="103"/>
      <c r="E149" s="105"/>
      <c r="F149" s="106"/>
      <c r="G149" s="106"/>
      <c r="H149" s="107"/>
      <c r="I149" s="103"/>
      <c r="J149" s="108"/>
      <c r="K149" s="109"/>
      <c r="L149" s="110"/>
      <c r="M149" s="111"/>
      <c r="N149" s="111"/>
      <c r="O149" s="112"/>
      <c r="P149" s="113"/>
      <c r="R149" s="116"/>
      <c r="S149" s="115"/>
      <c r="T149" s="115"/>
      <c r="U149" s="115"/>
    </row>
    <row r="150" spans="1:21" s="114" customFormat="1" ht="30.75" hidden="1" customHeight="1" x14ac:dyDescent="0.3">
      <c r="A150" s="103"/>
      <c r="B150" s="104"/>
      <c r="C150" s="103"/>
      <c r="D150" s="103"/>
      <c r="E150" s="105"/>
      <c r="F150" s="106"/>
      <c r="G150" s="106"/>
      <c r="H150" s="107"/>
      <c r="I150" s="103"/>
      <c r="J150" s="108"/>
      <c r="K150" s="109"/>
      <c r="L150" s="110"/>
      <c r="M150" s="111"/>
      <c r="N150" s="111"/>
      <c r="O150" s="112"/>
      <c r="P150" s="113"/>
      <c r="R150" s="116"/>
      <c r="S150" s="115"/>
      <c r="T150" s="115"/>
      <c r="U150" s="115"/>
    </row>
    <row r="151" spans="1:21" s="114" customFormat="1" ht="30.75" hidden="1" customHeight="1" x14ac:dyDescent="0.3">
      <c r="A151" s="103"/>
      <c r="B151" s="104"/>
      <c r="C151" s="103"/>
      <c r="D151" s="103"/>
      <c r="E151" s="105"/>
      <c r="F151" s="106"/>
      <c r="G151" s="106"/>
      <c r="H151" s="107"/>
      <c r="I151" s="103"/>
      <c r="J151" s="108"/>
      <c r="K151" s="109"/>
      <c r="L151" s="110"/>
      <c r="M151" s="111"/>
      <c r="N151" s="111"/>
      <c r="O151" s="112"/>
      <c r="P151" s="113"/>
      <c r="R151" s="116"/>
      <c r="S151" s="115"/>
      <c r="T151" s="115"/>
      <c r="U151" s="115"/>
    </row>
    <row r="152" spans="1:21" s="114" customFormat="1" ht="30.75" hidden="1" customHeight="1" x14ac:dyDescent="0.3">
      <c r="A152" s="103"/>
      <c r="B152" s="104"/>
      <c r="C152" s="103"/>
      <c r="D152" s="103"/>
      <c r="E152" s="105"/>
      <c r="F152" s="106"/>
      <c r="G152" s="106"/>
      <c r="H152" s="107"/>
      <c r="I152" s="103"/>
      <c r="J152" s="108"/>
      <c r="K152" s="109"/>
      <c r="L152" s="110"/>
      <c r="M152" s="111"/>
      <c r="N152" s="111"/>
      <c r="O152" s="112"/>
      <c r="P152" s="113"/>
      <c r="R152" s="116"/>
      <c r="S152" s="115"/>
      <c r="T152" s="115"/>
      <c r="U152" s="115"/>
    </row>
    <row r="153" spans="1:21" s="114" customFormat="1" ht="30.75" hidden="1" customHeight="1" x14ac:dyDescent="0.35">
      <c r="A153" s="103"/>
      <c r="B153" s="117"/>
      <c r="C153" s="118"/>
      <c r="D153" s="118"/>
      <c r="E153" s="119"/>
      <c r="F153" s="118"/>
      <c r="G153" s="120"/>
      <c r="H153" s="117"/>
      <c r="I153" s="118"/>
      <c r="J153" s="121"/>
      <c r="K153" s="109"/>
      <c r="L153" s="110"/>
      <c r="M153" s="111"/>
      <c r="N153" s="122"/>
      <c r="O153" s="112"/>
      <c r="P153" s="113"/>
      <c r="R153" s="116"/>
      <c r="S153" s="115"/>
      <c r="T153" s="115"/>
      <c r="U153" s="115"/>
    </row>
    <row r="154" spans="1:21" s="114" customFormat="1" ht="30.75" hidden="1" customHeight="1" x14ac:dyDescent="0.35">
      <c r="A154" s="103"/>
      <c r="B154" s="117"/>
      <c r="C154" s="118"/>
      <c r="D154" s="118"/>
      <c r="E154" s="123"/>
      <c r="F154" s="118"/>
      <c r="G154" s="120"/>
      <c r="H154" s="117"/>
      <c r="I154" s="118"/>
      <c r="J154" s="121"/>
      <c r="K154" s="109"/>
      <c r="L154" s="110"/>
      <c r="M154" s="111"/>
      <c r="N154" s="122"/>
      <c r="O154" s="112"/>
      <c r="P154" s="113"/>
      <c r="R154" s="116"/>
      <c r="S154" s="115"/>
      <c r="T154" s="115"/>
      <c r="U154" s="115"/>
    </row>
    <row r="155" spans="1:21" s="114" customFormat="1" ht="30.75" hidden="1" customHeight="1" x14ac:dyDescent="0.35">
      <c r="A155" s="103"/>
      <c r="B155" s="117"/>
      <c r="C155" s="118"/>
      <c r="D155" s="118"/>
      <c r="E155" s="123"/>
      <c r="F155" s="118"/>
      <c r="G155" s="120"/>
      <c r="H155" s="117"/>
      <c r="I155" s="118"/>
      <c r="J155" s="121"/>
      <c r="K155" s="109"/>
      <c r="L155" s="110"/>
      <c r="M155" s="111"/>
      <c r="N155" s="122"/>
      <c r="O155" s="112"/>
      <c r="P155" s="113"/>
      <c r="R155" s="116"/>
      <c r="S155" s="115"/>
      <c r="T155" s="115"/>
      <c r="U155" s="115"/>
    </row>
    <row r="156" spans="1:21" ht="33.75" customHeight="1" x14ac:dyDescent="0.35">
      <c r="A156" s="124" t="s">
        <v>478</v>
      </c>
      <c r="B156" s="124"/>
      <c r="C156" s="124"/>
      <c r="D156" s="124"/>
      <c r="E156" s="124"/>
      <c r="F156" s="124"/>
      <c r="G156" s="124"/>
      <c r="H156" s="124"/>
      <c r="I156" s="124"/>
      <c r="J156" s="125">
        <f>SUM(J13:J155)</f>
        <v>3036049.34</v>
      </c>
      <c r="K156" s="125"/>
      <c r="L156" s="125">
        <f>SUM(L13:L155)</f>
        <v>31977.533304122881</v>
      </c>
      <c r="M156" s="125">
        <f>SUM(M13:M155)</f>
        <v>72784.48000000001</v>
      </c>
      <c r="N156" s="125">
        <f>SUM(N13:N155)</f>
        <v>3108833.8200000003</v>
      </c>
      <c r="O156" s="124"/>
      <c r="P156" s="124"/>
    </row>
    <row r="159" spans="1:21" x14ac:dyDescent="0.35">
      <c r="J159" s="126"/>
    </row>
    <row r="160" spans="1:21" x14ac:dyDescent="0.35">
      <c r="K160" s="95"/>
    </row>
    <row r="162" spans="11:11" x14ac:dyDescent="0.35">
      <c r="K162" s="81"/>
    </row>
    <row r="164" spans="11:11" x14ac:dyDescent="0.35">
      <c r="K164" s="98"/>
    </row>
  </sheetData>
  <autoFilter ref="A12:U152" xr:uid="{00000000-0009-0000-0000-000003000000}"/>
  <mergeCells count="2">
    <mergeCell ref="A1:O4"/>
    <mergeCell ref="A5:P5"/>
  </mergeCells>
  <pageMargins left="0.7" right="0.7" top="0.75" bottom="0.75" header="0.511811023622047" footer="0.511811023622047"/>
  <pageSetup paperSize="9" scale="25" orientation="portrait" horizontalDpi="300" verticalDpi="300"/>
  <colBreaks count="1" manualBreakCount="1">
    <brk id="17" max="1048575" man="1"/>
  </colBreaks>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X120"/>
  <sheetViews>
    <sheetView zoomScale="60" zoomScaleNormal="60" workbookViewId="0">
      <selection activeCell="D21" sqref="D21"/>
    </sheetView>
  </sheetViews>
  <sheetFormatPr defaultColWidth="9.08984375" defaultRowHeight="15" x14ac:dyDescent="0.35"/>
  <cols>
    <col min="1" max="1" width="11.453125" style="127" customWidth="1"/>
    <col min="2" max="2" width="35" style="127" customWidth="1"/>
    <col min="3" max="3" width="15.453125" style="127" customWidth="1"/>
    <col min="4" max="4" width="25.36328125" style="127" customWidth="1"/>
    <col min="5" max="5" width="98.08984375" style="128" customWidth="1"/>
    <col min="6" max="6" width="14.36328125" style="127" customWidth="1"/>
    <col min="7" max="7" width="14.54296875" style="127" customWidth="1"/>
    <col min="8" max="8" width="28.453125" style="127" customWidth="1"/>
    <col min="9" max="9" width="26.6328125" style="127" customWidth="1"/>
    <col min="10" max="10" width="17.36328125" style="129" customWidth="1"/>
    <col min="11" max="11" width="10.453125" style="127" customWidth="1"/>
    <col min="12" max="12" width="14.36328125" style="129" customWidth="1"/>
    <col min="13" max="13" width="12.08984375" style="129" customWidth="1"/>
    <col min="14" max="14" width="16.6328125" style="129" customWidth="1"/>
    <col min="15" max="15" width="14.54296875" style="127" customWidth="1"/>
    <col min="16" max="16" width="22.54296875" style="127" customWidth="1"/>
    <col min="17" max="17" width="5.90625" style="127" customWidth="1"/>
    <col min="18" max="18" width="11.54296875" style="127" customWidth="1"/>
    <col min="19" max="19" width="12.54296875" style="127" customWidth="1"/>
    <col min="20" max="23" width="11.54296875" style="127" customWidth="1"/>
    <col min="24" max="16384" width="9.08984375" style="127"/>
  </cols>
  <sheetData>
    <row r="1" spans="1:24" ht="17.25" customHeight="1" x14ac:dyDescent="0.35">
      <c r="A1" s="7" t="str">
        <f>UPPER("       XT Ships Management India Pvt.Ltd.")</f>
        <v xml:space="preserve">       XT SHIPS MANAGEMENT INDIA PVT.LTD.</v>
      </c>
      <c r="B1" s="7"/>
      <c r="C1" s="7"/>
      <c r="D1" s="7"/>
      <c r="E1" s="7"/>
      <c r="F1" s="7"/>
      <c r="G1" s="7"/>
      <c r="H1" s="7"/>
      <c r="I1" s="7"/>
      <c r="J1" s="7"/>
      <c r="K1" s="7"/>
      <c r="L1" s="7"/>
      <c r="M1" s="7"/>
      <c r="N1" s="7"/>
      <c r="O1" s="7"/>
      <c r="P1" s="131" t="s">
        <v>81</v>
      </c>
      <c r="Q1" s="132"/>
    </row>
    <row r="2" spans="1:24" ht="17.25" customHeight="1" x14ac:dyDescent="0.35">
      <c r="A2" s="7"/>
      <c r="B2" s="7"/>
      <c r="C2" s="7"/>
      <c r="D2" s="7"/>
      <c r="E2" s="7"/>
      <c r="F2" s="7"/>
      <c r="G2" s="7"/>
      <c r="H2" s="7"/>
      <c r="I2" s="7"/>
      <c r="J2" s="7"/>
      <c r="K2" s="7"/>
      <c r="L2" s="7"/>
      <c r="M2" s="7"/>
      <c r="N2" s="7"/>
      <c r="O2" s="7"/>
      <c r="P2" s="133" t="s">
        <v>86</v>
      </c>
      <c r="Q2" s="134"/>
    </row>
    <row r="3" spans="1:24" ht="17.25" customHeight="1" x14ac:dyDescent="0.35">
      <c r="A3" s="7"/>
      <c r="B3" s="7"/>
      <c r="C3" s="7"/>
      <c r="D3" s="7"/>
      <c r="E3" s="7"/>
      <c r="F3" s="7"/>
      <c r="G3" s="7"/>
      <c r="H3" s="7"/>
      <c r="I3" s="7"/>
      <c r="J3" s="7"/>
      <c r="K3" s="7"/>
      <c r="L3" s="7"/>
      <c r="M3" s="7"/>
      <c r="N3" s="7"/>
      <c r="O3" s="7"/>
      <c r="P3" s="130"/>
      <c r="Q3" s="134"/>
    </row>
    <row r="4" spans="1:24" ht="17.25" customHeight="1" x14ac:dyDescent="0.35">
      <c r="A4" s="7"/>
      <c r="B4" s="7"/>
      <c r="C4" s="7"/>
      <c r="D4" s="7"/>
      <c r="E4" s="7"/>
      <c r="F4" s="7"/>
      <c r="G4" s="7"/>
      <c r="H4" s="7"/>
      <c r="I4" s="7"/>
      <c r="J4" s="7"/>
      <c r="K4" s="7"/>
      <c r="L4" s="7"/>
      <c r="M4" s="7"/>
      <c r="N4" s="7"/>
      <c r="O4" s="7"/>
      <c r="P4" s="130"/>
      <c r="Q4" s="134"/>
      <c r="R4" s="129"/>
      <c r="S4" s="129"/>
      <c r="T4" s="129"/>
      <c r="U4" s="129"/>
      <c r="V4" s="129"/>
      <c r="W4" s="129"/>
      <c r="X4" s="129"/>
    </row>
    <row r="5" spans="1:24" ht="35.25" customHeight="1" x14ac:dyDescent="0.35">
      <c r="A5" s="6" t="str">
        <f>"International Crewing Experts Inc. - for the month of "&amp;Master!C6</f>
        <v>International Crewing Experts Inc. - for the month of APR-26</v>
      </c>
      <c r="B5" s="6"/>
      <c r="C5" s="6"/>
      <c r="D5" s="6"/>
      <c r="E5" s="6"/>
      <c r="F5" s="6"/>
      <c r="G5" s="6"/>
      <c r="H5" s="6"/>
      <c r="I5" s="6"/>
      <c r="J5" s="6"/>
      <c r="K5" s="6"/>
      <c r="L5" s="6"/>
      <c r="M5" s="6"/>
      <c r="N5" s="6"/>
      <c r="O5" s="6"/>
      <c r="P5" s="6"/>
      <c r="Q5" s="6"/>
      <c r="R5" s="129"/>
      <c r="S5" s="129"/>
      <c r="T5" s="129"/>
      <c r="U5" s="129"/>
      <c r="V5" s="129"/>
      <c r="W5" s="129"/>
      <c r="X5" s="129"/>
    </row>
    <row r="6" spans="1:24" x14ac:dyDescent="0.35">
      <c r="A6" s="135"/>
      <c r="B6" s="135"/>
      <c r="C6" s="135"/>
      <c r="D6" s="135"/>
      <c r="E6" s="136"/>
      <c r="F6" s="135"/>
      <c r="G6" s="135"/>
      <c r="H6" s="135"/>
      <c r="I6" s="135"/>
      <c r="J6" s="137"/>
      <c r="K6" s="135"/>
      <c r="L6" s="137"/>
      <c r="M6" s="137"/>
      <c r="N6" s="137"/>
      <c r="O6" s="135"/>
      <c r="P6" s="135"/>
      <c r="Q6" s="135"/>
      <c r="R6" s="129"/>
      <c r="S6" s="129"/>
      <c r="T6" s="129"/>
      <c r="U6" s="129"/>
      <c r="V6" s="129"/>
      <c r="W6" s="129"/>
      <c r="X6" s="129"/>
    </row>
    <row r="7" spans="1:24" s="128" customFormat="1" ht="51.75" customHeight="1" x14ac:dyDescent="0.35">
      <c r="A7" s="136"/>
      <c r="B7" s="82" t="s">
        <v>83</v>
      </c>
      <c r="C7" s="82" t="s">
        <v>84</v>
      </c>
      <c r="D7" s="138" t="s">
        <v>85</v>
      </c>
      <c r="F7" s="139"/>
      <c r="H7" s="136"/>
      <c r="I7" s="135"/>
      <c r="J7" s="140"/>
      <c r="K7" s="136"/>
      <c r="L7" s="140"/>
      <c r="M7" s="140"/>
      <c r="N7" s="140"/>
      <c r="O7" s="136"/>
      <c r="P7" s="136"/>
      <c r="Q7" s="136"/>
      <c r="R7" s="141"/>
      <c r="S7" s="141"/>
      <c r="T7" s="141"/>
      <c r="U7" s="141"/>
      <c r="V7" s="141"/>
      <c r="W7" s="141"/>
      <c r="X7" s="141"/>
    </row>
    <row r="8" spans="1:24" ht="17.25" customHeight="1" x14ac:dyDescent="0.35">
      <c r="A8" s="135"/>
      <c r="B8" s="82" t="s">
        <v>82</v>
      </c>
      <c r="C8" s="142">
        <f>'DE-XT'!C8</f>
        <v>3036049.34</v>
      </c>
      <c r="D8" s="142">
        <f>'DE-XT'!D8</f>
        <v>31977.533304122881</v>
      </c>
      <c r="F8" s="143"/>
      <c r="H8" s="135"/>
      <c r="I8" s="135"/>
      <c r="J8" s="137"/>
      <c r="K8" s="135"/>
      <c r="L8" s="137"/>
      <c r="M8" s="137"/>
      <c r="N8" s="137"/>
      <c r="O8" s="135"/>
      <c r="P8" s="135"/>
      <c r="Q8" s="135"/>
      <c r="R8" s="129"/>
      <c r="S8" s="129"/>
      <c r="T8" s="129"/>
      <c r="U8" s="129"/>
      <c r="V8" s="129"/>
      <c r="W8" s="129"/>
      <c r="X8" s="129"/>
    </row>
    <row r="9" spans="1:24" ht="17.25" customHeight="1" x14ac:dyDescent="0.35">
      <c r="A9" s="135"/>
      <c r="B9" s="82" t="s">
        <v>86</v>
      </c>
      <c r="C9" s="142">
        <f>$J$80</f>
        <v>918550</v>
      </c>
      <c r="D9" s="142">
        <f>$L$80</f>
        <v>9674.7318396683459</v>
      </c>
      <c r="E9" s="144"/>
      <c r="F9" s="143"/>
      <c r="H9" s="135"/>
      <c r="I9" s="135"/>
      <c r="J9" s="145"/>
      <c r="K9" s="146"/>
      <c r="L9" s="137"/>
      <c r="M9" s="137"/>
      <c r="N9" s="137"/>
      <c r="O9" s="135"/>
      <c r="P9" s="135"/>
      <c r="Q9" s="135"/>
      <c r="R9" s="129"/>
      <c r="S9" s="129"/>
      <c r="T9" s="129"/>
      <c r="U9" s="129"/>
      <c r="V9" s="129"/>
      <c r="W9" s="129"/>
      <c r="X9" s="129"/>
    </row>
    <row r="10" spans="1:24" ht="17.25" customHeight="1" x14ac:dyDescent="0.35">
      <c r="A10" s="135"/>
      <c r="B10" s="82" t="s">
        <v>87</v>
      </c>
      <c r="C10" s="147">
        <f>SUM(C8:C9)</f>
        <v>3954599.34</v>
      </c>
      <c r="D10" s="147">
        <f>SUM(D8:D9)</f>
        <v>41652.265143791228</v>
      </c>
      <c r="E10" s="148"/>
      <c r="F10" s="140"/>
      <c r="H10" s="135"/>
      <c r="I10" s="135"/>
      <c r="J10" s="137"/>
      <c r="K10" s="146"/>
      <c r="L10" s="137"/>
      <c r="M10" s="137"/>
      <c r="N10" s="137"/>
      <c r="O10" s="135"/>
      <c r="P10" s="135"/>
      <c r="Q10" s="135"/>
      <c r="R10" s="129"/>
      <c r="S10" s="129"/>
      <c r="T10" s="129"/>
      <c r="U10" s="129"/>
      <c r="V10" s="129"/>
      <c r="W10" s="129"/>
      <c r="X10" s="129"/>
    </row>
    <row r="11" spans="1:24" x14ac:dyDescent="0.35">
      <c r="A11" s="135"/>
      <c r="B11" s="135"/>
      <c r="C11" s="135"/>
      <c r="D11" s="135"/>
      <c r="E11" s="136"/>
      <c r="F11" s="135"/>
      <c r="G11" s="135"/>
      <c r="H11" s="135"/>
      <c r="I11" s="135"/>
      <c r="J11" s="137"/>
      <c r="K11" s="146"/>
      <c r="L11" s="137"/>
      <c r="M11" s="137"/>
      <c r="N11" s="137"/>
      <c r="O11" s="146"/>
      <c r="P11" s="146"/>
      <c r="Q11" s="135"/>
      <c r="R11" s="129"/>
      <c r="S11" s="129"/>
      <c r="T11" s="129"/>
      <c r="U11" s="129"/>
      <c r="V11" s="129"/>
      <c r="W11" s="129"/>
      <c r="X11" s="129"/>
    </row>
    <row r="12" spans="1:24" s="150" customFormat="1" ht="29.25" customHeight="1" x14ac:dyDescent="0.35">
      <c r="A12" s="100" t="s">
        <v>479</v>
      </c>
      <c r="B12" s="100" t="s">
        <v>46</v>
      </c>
      <c r="C12" s="100" t="s">
        <v>89</v>
      </c>
      <c r="D12" s="100" t="s">
        <v>90</v>
      </c>
      <c r="E12" s="100" t="s">
        <v>91</v>
      </c>
      <c r="F12" s="100" t="s">
        <v>92</v>
      </c>
      <c r="G12" s="100" t="s">
        <v>93</v>
      </c>
      <c r="H12" s="100" t="s">
        <v>94</v>
      </c>
      <c r="I12" s="100" t="s">
        <v>95</v>
      </c>
      <c r="J12" s="101" t="s">
        <v>96</v>
      </c>
      <c r="K12" s="100" t="s">
        <v>97</v>
      </c>
      <c r="L12" s="101" t="s">
        <v>98</v>
      </c>
      <c r="M12" s="101" t="s">
        <v>99</v>
      </c>
      <c r="N12" s="101" t="s">
        <v>100</v>
      </c>
      <c r="O12" s="149" t="s">
        <v>101</v>
      </c>
      <c r="P12" s="100" t="s">
        <v>480</v>
      </c>
      <c r="Q12" s="136"/>
    </row>
    <row r="13" spans="1:24" s="128" customFormat="1" ht="29.25" customHeight="1" x14ac:dyDescent="0.35">
      <c r="A13" s="151">
        <v>1</v>
      </c>
      <c r="B13" s="152"/>
      <c r="C13" s="153"/>
      <c r="D13" s="154"/>
      <c r="E13" s="154" t="s">
        <v>481</v>
      </c>
      <c r="F13" s="151"/>
      <c r="G13" s="155">
        <v>46142</v>
      </c>
      <c r="H13" s="107" t="s">
        <v>157</v>
      </c>
      <c r="I13" s="153" t="s">
        <v>482</v>
      </c>
      <c r="J13" s="156">
        <v>2000</v>
      </c>
      <c r="K13" s="109">
        <f>Forex!$C$2</f>
        <v>94.943200000000004</v>
      </c>
      <c r="L13" s="157">
        <f t="shared" ref="L13:L44" si="0">J13/K13</f>
        <v>21.065226366922538</v>
      </c>
      <c r="M13" s="158">
        <v>0</v>
      </c>
      <c r="N13" s="159">
        <f t="shared" ref="N13:N44" si="1">J13+M13</f>
        <v>2000</v>
      </c>
      <c r="O13" s="160" t="s">
        <v>106</v>
      </c>
      <c r="P13" s="158" t="str">
        <f t="shared" ref="P13:P44" si="2">+$P$1&amp;"/"&amp;$P$2&amp;"/"&amp;A13</f>
        <v>26 APR/ICE/1</v>
      </c>
      <c r="Q13" s="161"/>
      <c r="R13" s="148"/>
      <c r="S13" s="139"/>
      <c r="T13" s="148"/>
      <c r="U13" s="148"/>
    </row>
    <row r="14" spans="1:24" s="128" customFormat="1" ht="29.25" customHeight="1" x14ac:dyDescent="0.35">
      <c r="A14" s="151">
        <v>2</v>
      </c>
      <c r="B14" s="152"/>
      <c r="C14" s="153"/>
      <c r="D14" s="154"/>
      <c r="E14" s="154" t="s">
        <v>483</v>
      </c>
      <c r="F14" s="151"/>
      <c r="G14" s="155">
        <v>46142</v>
      </c>
      <c r="H14" s="107" t="s">
        <v>157</v>
      </c>
      <c r="I14" s="153" t="s">
        <v>482</v>
      </c>
      <c r="J14" s="156">
        <v>2000</v>
      </c>
      <c r="K14" s="109">
        <f>Forex!$C$2</f>
        <v>94.943200000000004</v>
      </c>
      <c r="L14" s="157">
        <f t="shared" si="0"/>
        <v>21.065226366922538</v>
      </c>
      <c r="M14" s="158">
        <v>0</v>
      </c>
      <c r="N14" s="159">
        <f t="shared" si="1"/>
        <v>2000</v>
      </c>
      <c r="O14" s="160" t="s">
        <v>106</v>
      </c>
      <c r="P14" s="158" t="str">
        <f t="shared" si="2"/>
        <v>26 APR/ICE/2</v>
      </c>
      <c r="Q14" s="161"/>
      <c r="R14" s="148"/>
      <c r="S14" s="139"/>
      <c r="T14" s="148"/>
      <c r="U14" s="148"/>
    </row>
    <row r="15" spans="1:24" s="128" customFormat="1" ht="29.25" customHeight="1" x14ac:dyDescent="0.35">
      <c r="A15" s="151">
        <v>3</v>
      </c>
      <c r="B15" s="152"/>
      <c r="C15" s="153"/>
      <c r="D15" s="154"/>
      <c r="E15" s="154" t="s">
        <v>108</v>
      </c>
      <c r="F15" s="151"/>
      <c r="G15" s="155">
        <v>46127</v>
      </c>
      <c r="H15" s="107" t="s">
        <v>109</v>
      </c>
      <c r="I15" s="153" t="s">
        <v>110</v>
      </c>
      <c r="J15" s="156">
        <v>372083</v>
      </c>
      <c r="K15" s="109">
        <f>Forex!$C$2</f>
        <v>94.943200000000004</v>
      </c>
      <c r="L15" s="157">
        <f t="shared" si="0"/>
        <v>3919.0063111418194</v>
      </c>
      <c r="M15" s="158">
        <v>0</v>
      </c>
      <c r="N15" s="159">
        <f t="shared" si="1"/>
        <v>372083</v>
      </c>
      <c r="O15" s="160" t="s">
        <v>106</v>
      </c>
      <c r="P15" s="158" t="str">
        <f t="shared" si="2"/>
        <v>26 APR/ICE/3</v>
      </c>
      <c r="Q15" s="161"/>
      <c r="R15" s="148"/>
      <c r="S15" s="139"/>
      <c r="T15" s="148"/>
      <c r="U15" s="148"/>
    </row>
    <row r="16" spans="1:24" s="128" customFormat="1" ht="29.25" customHeight="1" x14ac:dyDescent="0.35">
      <c r="A16" s="151">
        <v>4</v>
      </c>
      <c r="B16" s="152"/>
      <c r="C16" s="153"/>
      <c r="D16" s="154"/>
      <c r="E16" s="154" t="s">
        <v>484</v>
      </c>
      <c r="F16" s="151"/>
      <c r="G16" s="155">
        <v>46127</v>
      </c>
      <c r="H16" s="107" t="s">
        <v>53</v>
      </c>
      <c r="I16" s="153" t="s">
        <v>485</v>
      </c>
      <c r="J16" s="156">
        <v>-3400</v>
      </c>
      <c r="K16" s="109">
        <f>Forex!$C$2</f>
        <v>94.943200000000004</v>
      </c>
      <c r="L16" s="157">
        <f t="shared" si="0"/>
        <v>-35.810884823768312</v>
      </c>
      <c r="M16" s="158">
        <v>0</v>
      </c>
      <c r="N16" s="159">
        <f t="shared" si="1"/>
        <v>-3400</v>
      </c>
      <c r="O16" s="160" t="s">
        <v>106</v>
      </c>
      <c r="P16" s="158" t="str">
        <f t="shared" si="2"/>
        <v>26 APR/ICE/4</v>
      </c>
      <c r="Q16" s="161"/>
      <c r="R16" s="148"/>
      <c r="S16" s="139"/>
      <c r="T16" s="148"/>
      <c r="U16" s="148"/>
    </row>
    <row r="17" spans="1:21" s="128" customFormat="1" ht="29.25" customHeight="1" x14ac:dyDescent="0.35">
      <c r="A17" s="151">
        <v>5</v>
      </c>
      <c r="B17" s="152"/>
      <c r="C17" s="153"/>
      <c r="D17" s="154"/>
      <c r="E17" s="154" t="s">
        <v>486</v>
      </c>
      <c r="F17" s="151"/>
      <c r="G17" s="155">
        <v>46142</v>
      </c>
      <c r="H17" s="107" t="s">
        <v>487</v>
      </c>
      <c r="I17" s="153" t="s">
        <v>488</v>
      </c>
      <c r="J17" s="156">
        <v>14500</v>
      </c>
      <c r="K17" s="109">
        <f>Forex!$C$2</f>
        <v>94.943200000000004</v>
      </c>
      <c r="L17" s="157">
        <f t="shared" si="0"/>
        <v>152.7228911601884</v>
      </c>
      <c r="M17" s="158">
        <v>2610</v>
      </c>
      <c r="N17" s="159">
        <f t="shared" si="1"/>
        <v>17110</v>
      </c>
      <c r="O17" s="160" t="s">
        <v>115</v>
      </c>
      <c r="P17" s="158" t="str">
        <f t="shared" si="2"/>
        <v>26 APR/ICE/5</v>
      </c>
      <c r="Q17" s="161"/>
      <c r="R17" s="148"/>
      <c r="S17" s="139"/>
      <c r="T17" s="148"/>
      <c r="U17" s="148"/>
    </row>
    <row r="18" spans="1:21" s="128" customFormat="1" ht="29.25" customHeight="1" x14ac:dyDescent="0.35">
      <c r="A18" s="151">
        <v>6</v>
      </c>
      <c r="B18" s="152"/>
      <c r="C18" s="153"/>
      <c r="D18" s="154"/>
      <c r="E18" s="154" t="s">
        <v>489</v>
      </c>
      <c r="F18" s="151"/>
      <c r="G18" s="155">
        <v>46142</v>
      </c>
      <c r="H18" s="107" t="s">
        <v>161</v>
      </c>
      <c r="I18" s="153" t="s">
        <v>490</v>
      </c>
      <c r="J18" s="156">
        <v>15192</v>
      </c>
      <c r="K18" s="109">
        <f>Forex!$C$2</f>
        <v>94.943200000000004</v>
      </c>
      <c r="L18" s="157">
        <f t="shared" si="0"/>
        <v>160.0114594831436</v>
      </c>
      <c r="M18" s="158">
        <v>135</v>
      </c>
      <c r="N18" s="159">
        <f t="shared" si="1"/>
        <v>15327</v>
      </c>
      <c r="O18" s="160" t="s">
        <v>115</v>
      </c>
      <c r="P18" s="158" t="str">
        <f t="shared" si="2"/>
        <v>26 APR/ICE/6</v>
      </c>
      <c r="Q18" s="161"/>
      <c r="R18" s="148"/>
      <c r="S18" s="139"/>
      <c r="T18" s="148"/>
      <c r="U18" s="148"/>
    </row>
    <row r="19" spans="1:21" s="128" customFormat="1" ht="29.25" customHeight="1" x14ac:dyDescent="0.35">
      <c r="A19" s="151">
        <v>7</v>
      </c>
      <c r="B19" s="152"/>
      <c r="C19" s="153"/>
      <c r="D19" s="154"/>
      <c r="E19" s="154" t="s">
        <v>164</v>
      </c>
      <c r="F19" s="151"/>
      <c r="G19" s="155">
        <v>46142</v>
      </c>
      <c r="H19" s="107" t="s">
        <v>161</v>
      </c>
      <c r="I19" s="153" t="s">
        <v>491</v>
      </c>
      <c r="J19" s="156">
        <v>350</v>
      </c>
      <c r="K19" s="109">
        <f>Forex!$C$2</f>
        <v>94.943200000000004</v>
      </c>
      <c r="L19" s="157">
        <f t="shared" si="0"/>
        <v>3.686414614211444</v>
      </c>
      <c r="M19" s="158">
        <v>0</v>
      </c>
      <c r="N19" s="159">
        <f t="shared" si="1"/>
        <v>350</v>
      </c>
      <c r="O19" s="160" t="s">
        <v>106</v>
      </c>
      <c r="P19" s="158" t="str">
        <f t="shared" si="2"/>
        <v>26 APR/ICE/7</v>
      </c>
      <c r="Q19" s="161"/>
      <c r="R19" s="148"/>
      <c r="S19" s="139"/>
      <c r="T19" s="148"/>
      <c r="U19" s="148"/>
    </row>
    <row r="20" spans="1:21" s="128" customFormat="1" ht="29.25" customHeight="1" x14ac:dyDescent="0.35">
      <c r="A20" s="151">
        <v>8</v>
      </c>
      <c r="B20" s="152"/>
      <c r="C20" s="153"/>
      <c r="D20" s="154"/>
      <c r="E20" s="154" t="s">
        <v>492</v>
      </c>
      <c r="F20" s="151"/>
      <c r="G20" s="155">
        <v>46142</v>
      </c>
      <c r="H20" s="107" t="s">
        <v>161</v>
      </c>
      <c r="I20" s="153" t="s">
        <v>493</v>
      </c>
      <c r="J20" s="156">
        <v>13205</v>
      </c>
      <c r="K20" s="109">
        <f>Forex!$C$2</f>
        <v>94.943200000000004</v>
      </c>
      <c r="L20" s="157">
        <f t="shared" si="0"/>
        <v>139.08315708760605</v>
      </c>
      <c r="M20" s="158">
        <v>135</v>
      </c>
      <c r="N20" s="159">
        <f t="shared" si="1"/>
        <v>13340</v>
      </c>
      <c r="O20" s="160" t="s">
        <v>115</v>
      </c>
      <c r="P20" s="158" t="str">
        <f t="shared" si="2"/>
        <v>26 APR/ICE/8</v>
      </c>
      <c r="Q20" s="161"/>
      <c r="R20" s="148"/>
      <c r="S20" s="139"/>
      <c r="T20" s="148"/>
      <c r="U20" s="148"/>
    </row>
    <row r="21" spans="1:21" s="128" customFormat="1" ht="29.25" customHeight="1" x14ac:dyDescent="0.35">
      <c r="A21" s="151">
        <v>9</v>
      </c>
      <c r="B21" s="152"/>
      <c r="C21" s="153"/>
      <c r="D21" s="154"/>
      <c r="E21" s="154" t="s">
        <v>164</v>
      </c>
      <c r="F21" s="151"/>
      <c r="G21" s="155">
        <v>46142</v>
      </c>
      <c r="H21" s="107" t="s">
        <v>161</v>
      </c>
      <c r="I21" s="153" t="s">
        <v>494</v>
      </c>
      <c r="J21" s="156">
        <v>350</v>
      </c>
      <c r="K21" s="109">
        <f>Forex!$C$2</f>
        <v>94.943200000000004</v>
      </c>
      <c r="L21" s="157">
        <f t="shared" si="0"/>
        <v>3.686414614211444</v>
      </c>
      <c r="M21" s="158">
        <v>0</v>
      </c>
      <c r="N21" s="159">
        <f t="shared" si="1"/>
        <v>350</v>
      </c>
      <c r="O21" s="160" t="s">
        <v>106</v>
      </c>
      <c r="P21" s="158" t="str">
        <f t="shared" si="2"/>
        <v>26 APR/ICE/9</v>
      </c>
      <c r="Q21" s="161"/>
      <c r="R21" s="148"/>
      <c r="S21" s="139"/>
      <c r="T21" s="148"/>
      <c r="U21" s="148"/>
    </row>
    <row r="22" spans="1:21" s="128" customFormat="1" ht="29.25" customHeight="1" x14ac:dyDescent="0.35">
      <c r="A22" s="151">
        <v>10</v>
      </c>
      <c r="B22" s="152"/>
      <c r="C22" s="153"/>
      <c r="D22" s="154"/>
      <c r="E22" s="154" t="s">
        <v>495</v>
      </c>
      <c r="F22" s="151"/>
      <c r="G22" s="155">
        <v>46142</v>
      </c>
      <c r="H22" s="107" t="s">
        <v>161</v>
      </c>
      <c r="I22" s="153" t="s">
        <v>496</v>
      </c>
      <c r="J22" s="156">
        <v>14060</v>
      </c>
      <c r="K22" s="109">
        <f>Forex!$C$2</f>
        <v>94.943200000000004</v>
      </c>
      <c r="L22" s="157">
        <f t="shared" si="0"/>
        <v>148.08854135946544</v>
      </c>
      <c r="M22" s="158">
        <v>135</v>
      </c>
      <c r="N22" s="159">
        <f t="shared" si="1"/>
        <v>14195</v>
      </c>
      <c r="O22" s="160" t="s">
        <v>115</v>
      </c>
      <c r="P22" s="158" t="str">
        <f t="shared" si="2"/>
        <v>26 APR/ICE/10</v>
      </c>
      <c r="Q22" s="161"/>
      <c r="R22" s="148"/>
      <c r="S22" s="139"/>
      <c r="T22" s="148"/>
      <c r="U22" s="148"/>
    </row>
    <row r="23" spans="1:21" s="128" customFormat="1" ht="29.25" customHeight="1" x14ac:dyDescent="0.35">
      <c r="A23" s="151">
        <v>11</v>
      </c>
      <c r="B23" s="152"/>
      <c r="C23" s="153"/>
      <c r="D23" s="154"/>
      <c r="E23" s="154" t="s">
        <v>164</v>
      </c>
      <c r="F23" s="151"/>
      <c r="G23" s="155">
        <v>46142</v>
      </c>
      <c r="H23" s="107" t="s">
        <v>161</v>
      </c>
      <c r="I23" s="153" t="s">
        <v>497</v>
      </c>
      <c r="J23" s="156">
        <v>350</v>
      </c>
      <c r="K23" s="109">
        <f>Forex!$C$2</f>
        <v>94.943200000000004</v>
      </c>
      <c r="L23" s="157">
        <f t="shared" si="0"/>
        <v>3.686414614211444</v>
      </c>
      <c r="M23" s="158">
        <v>0</v>
      </c>
      <c r="N23" s="159">
        <f t="shared" si="1"/>
        <v>350</v>
      </c>
      <c r="O23" s="160" t="s">
        <v>106</v>
      </c>
      <c r="P23" s="158" t="str">
        <f t="shared" si="2"/>
        <v>26 APR/ICE/11</v>
      </c>
      <c r="Q23" s="161"/>
      <c r="R23" s="148"/>
      <c r="S23" s="139"/>
      <c r="T23" s="148"/>
      <c r="U23" s="148"/>
    </row>
    <row r="24" spans="1:21" s="128" customFormat="1" ht="29.25" customHeight="1" x14ac:dyDescent="0.35">
      <c r="A24" s="151">
        <v>12</v>
      </c>
      <c r="B24" s="152"/>
      <c r="C24" s="153"/>
      <c r="D24" s="154"/>
      <c r="E24" s="154" t="s">
        <v>495</v>
      </c>
      <c r="F24" s="151"/>
      <c r="G24" s="155">
        <v>46142</v>
      </c>
      <c r="H24" s="107" t="s">
        <v>161</v>
      </c>
      <c r="I24" s="153" t="s">
        <v>498</v>
      </c>
      <c r="J24" s="156">
        <v>14060</v>
      </c>
      <c r="K24" s="109">
        <f>Forex!$C$2</f>
        <v>94.943200000000004</v>
      </c>
      <c r="L24" s="157">
        <f t="shared" si="0"/>
        <v>148.08854135946544</v>
      </c>
      <c r="M24" s="158">
        <v>135</v>
      </c>
      <c r="N24" s="159">
        <f t="shared" si="1"/>
        <v>14195</v>
      </c>
      <c r="O24" s="160" t="s">
        <v>115</v>
      </c>
      <c r="P24" s="158" t="str">
        <f t="shared" si="2"/>
        <v>26 APR/ICE/12</v>
      </c>
      <c r="Q24" s="161"/>
      <c r="R24" s="148"/>
      <c r="S24" s="139"/>
      <c r="T24" s="148"/>
      <c r="U24" s="148"/>
    </row>
    <row r="25" spans="1:21" s="128" customFormat="1" ht="29.25" customHeight="1" x14ac:dyDescent="0.35">
      <c r="A25" s="151">
        <v>13</v>
      </c>
      <c r="B25" s="152"/>
      <c r="C25" s="153"/>
      <c r="D25" s="154"/>
      <c r="E25" s="154" t="s">
        <v>164</v>
      </c>
      <c r="F25" s="151"/>
      <c r="G25" s="155">
        <v>46142</v>
      </c>
      <c r="H25" s="107" t="s">
        <v>161</v>
      </c>
      <c r="I25" s="153" t="s">
        <v>499</v>
      </c>
      <c r="J25" s="156">
        <v>350</v>
      </c>
      <c r="K25" s="109">
        <f>Forex!$C$2</f>
        <v>94.943200000000004</v>
      </c>
      <c r="L25" s="157">
        <f t="shared" si="0"/>
        <v>3.686414614211444</v>
      </c>
      <c r="M25" s="158">
        <v>0</v>
      </c>
      <c r="N25" s="159">
        <f t="shared" si="1"/>
        <v>350</v>
      </c>
      <c r="O25" s="160" t="s">
        <v>106</v>
      </c>
      <c r="P25" s="158" t="str">
        <f t="shared" si="2"/>
        <v>26 APR/ICE/13</v>
      </c>
      <c r="Q25" s="161"/>
      <c r="R25" s="148"/>
      <c r="S25" s="139"/>
      <c r="T25" s="148"/>
      <c r="U25" s="148"/>
    </row>
    <row r="26" spans="1:21" s="128" customFormat="1" ht="29.25" customHeight="1" x14ac:dyDescent="0.35">
      <c r="A26" s="151">
        <v>14</v>
      </c>
      <c r="B26" s="152"/>
      <c r="C26" s="153"/>
      <c r="D26" s="154"/>
      <c r="E26" s="154" t="s">
        <v>500</v>
      </c>
      <c r="F26" s="151"/>
      <c r="G26" s="155">
        <v>46142</v>
      </c>
      <c r="H26" s="107" t="s">
        <v>161</v>
      </c>
      <c r="I26" s="153" t="s">
        <v>501</v>
      </c>
      <c r="J26" s="156">
        <v>14040</v>
      </c>
      <c r="K26" s="109">
        <f>Forex!$C$2</f>
        <v>94.943200000000004</v>
      </c>
      <c r="L26" s="157">
        <f t="shared" si="0"/>
        <v>147.87788909579621</v>
      </c>
      <c r="M26" s="158">
        <v>135</v>
      </c>
      <c r="N26" s="159">
        <f t="shared" si="1"/>
        <v>14175</v>
      </c>
      <c r="O26" s="160" t="s">
        <v>115</v>
      </c>
      <c r="P26" s="158" t="str">
        <f t="shared" si="2"/>
        <v>26 APR/ICE/14</v>
      </c>
      <c r="Q26" s="161"/>
      <c r="R26" s="148"/>
      <c r="S26" s="139"/>
      <c r="T26" s="148"/>
      <c r="U26" s="148"/>
    </row>
    <row r="27" spans="1:21" s="128" customFormat="1" ht="29.25" customHeight="1" x14ac:dyDescent="0.35">
      <c r="A27" s="151">
        <v>15</v>
      </c>
      <c r="B27" s="152"/>
      <c r="C27" s="153"/>
      <c r="D27" s="154"/>
      <c r="E27" s="154" t="s">
        <v>164</v>
      </c>
      <c r="F27" s="151"/>
      <c r="G27" s="155">
        <v>46142</v>
      </c>
      <c r="H27" s="107" t="s">
        <v>161</v>
      </c>
      <c r="I27" s="153" t="s">
        <v>502</v>
      </c>
      <c r="J27" s="156">
        <v>350</v>
      </c>
      <c r="K27" s="109">
        <f>Forex!$C$2</f>
        <v>94.943200000000004</v>
      </c>
      <c r="L27" s="157">
        <f t="shared" si="0"/>
        <v>3.686414614211444</v>
      </c>
      <c r="M27" s="158">
        <v>0</v>
      </c>
      <c r="N27" s="159">
        <f t="shared" si="1"/>
        <v>350</v>
      </c>
      <c r="O27" s="160" t="s">
        <v>106</v>
      </c>
      <c r="P27" s="158" t="str">
        <f t="shared" si="2"/>
        <v>26 APR/ICE/15</v>
      </c>
      <c r="Q27" s="161"/>
      <c r="R27" s="148"/>
      <c r="S27" s="139"/>
      <c r="T27" s="148"/>
      <c r="U27" s="148"/>
    </row>
    <row r="28" spans="1:21" s="128" customFormat="1" ht="29.25" customHeight="1" x14ac:dyDescent="0.35">
      <c r="A28" s="151">
        <v>16</v>
      </c>
      <c r="B28" s="152"/>
      <c r="C28" s="153"/>
      <c r="D28" s="154"/>
      <c r="E28" s="154" t="s">
        <v>503</v>
      </c>
      <c r="F28" s="151"/>
      <c r="G28" s="155">
        <v>46142</v>
      </c>
      <c r="H28" s="107" t="s">
        <v>161</v>
      </c>
      <c r="I28" s="153" t="s">
        <v>504</v>
      </c>
      <c r="J28" s="156">
        <v>13642</v>
      </c>
      <c r="K28" s="109">
        <f>Forex!$C$2</f>
        <v>94.943200000000004</v>
      </c>
      <c r="L28" s="157">
        <f t="shared" si="0"/>
        <v>143.68590904877863</v>
      </c>
      <c r="M28" s="158">
        <v>135</v>
      </c>
      <c r="N28" s="159">
        <f t="shared" si="1"/>
        <v>13777</v>
      </c>
      <c r="O28" s="160" t="s">
        <v>115</v>
      </c>
      <c r="P28" s="158" t="str">
        <f t="shared" si="2"/>
        <v>26 APR/ICE/16</v>
      </c>
      <c r="Q28" s="161"/>
      <c r="R28" s="148"/>
      <c r="S28" s="139"/>
      <c r="T28" s="148"/>
      <c r="U28" s="148"/>
    </row>
    <row r="29" spans="1:21" s="128" customFormat="1" ht="29.25" customHeight="1" x14ac:dyDescent="0.35">
      <c r="A29" s="151">
        <v>17</v>
      </c>
      <c r="B29" s="152"/>
      <c r="C29" s="153"/>
      <c r="D29" s="154"/>
      <c r="E29" s="154" t="s">
        <v>164</v>
      </c>
      <c r="F29" s="151"/>
      <c r="G29" s="155">
        <v>46142</v>
      </c>
      <c r="H29" s="107" t="s">
        <v>161</v>
      </c>
      <c r="I29" s="153" t="s">
        <v>505</v>
      </c>
      <c r="J29" s="156">
        <v>350</v>
      </c>
      <c r="K29" s="109">
        <f>Forex!$C$2</f>
        <v>94.943200000000004</v>
      </c>
      <c r="L29" s="157">
        <f t="shared" si="0"/>
        <v>3.686414614211444</v>
      </c>
      <c r="M29" s="158">
        <v>0</v>
      </c>
      <c r="N29" s="159">
        <f t="shared" si="1"/>
        <v>350</v>
      </c>
      <c r="O29" s="160" t="s">
        <v>106</v>
      </c>
      <c r="P29" s="158" t="str">
        <f t="shared" si="2"/>
        <v>26 APR/ICE/17</v>
      </c>
      <c r="Q29" s="161"/>
      <c r="R29" s="148"/>
      <c r="S29" s="139"/>
      <c r="T29" s="148"/>
      <c r="U29" s="148"/>
    </row>
    <row r="30" spans="1:21" s="128" customFormat="1" ht="29.25" customHeight="1" x14ac:dyDescent="0.35">
      <c r="A30" s="151">
        <v>18</v>
      </c>
      <c r="B30" s="152"/>
      <c r="C30" s="153"/>
      <c r="D30" s="154"/>
      <c r="E30" s="154" t="s">
        <v>506</v>
      </c>
      <c r="F30" s="151"/>
      <c r="G30" s="155">
        <v>46142</v>
      </c>
      <c r="H30" s="107" t="s">
        <v>161</v>
      </c>
      <c r="I30" s="153" t="s">
        <v>507</v>
      </c>
      <c r="J30" s="156">
        <v>3325</v>
      </c>
      <c r="K30" s="109">
        <f>Forex!$C$2</f>
        <v>94.943200000000004</v>
      </c>
      <c r="L30" s="157">
        <f t="shared" si="0"/>
        <v>35.020938835008721</v>
      </c>
      <c r="M30" s="158">
        <v>135</v>
      </c>
      <c r="N30" s="159">
        <f t="shared" si="1"/>
        <v>3460</v>
      </c>
      <c r="O30" s="160" t="s">
        <v>115</v>
      </c>
      <c r="P30" s="158" t="str">
        <f t="shared" si="2"/>
        <v>26 APR/ICE/18</v>
      </c>
      <c r="Q30" s="161"/>
      <c r="R30" s="148"/>
      <c r="S30" s="139"/>
      <c r="T30" s="148"/>
      <c r="U30" s="148"/>
    </row>
    <row r="31" spans="1:21" s="128" customFormat="1" ht="29.25" customHeight="1" x14ac:dyDescent="0.35">
      <c r="A31" s="151">
        <v>19</v>
      </c>
      <c r="B31" s="152"/>
      <c r="C31" s="153"/>
      <c r="D31" s="154"/>
      <c r="E31" s="154" t="s">
        <v>508</v>
      </c>
      <c r="F31" s="151"/>
      <c r="G31" s="155">
        <v>46142</v>
      </c>
      <c r="H31" s="107" t="s">
        <v>161</v>
      </c>
      <c r="I31" s="153" t="s">
        <v>509</v>
      </c>
      <c r="J31" s="156">
        <v>16411</v>
      </c>
      <c r="K31" s="109">
        <f>Forex!$C$2</f>
        <v>94.943200000000004</v>
      </c>
      <c r="L31" s="157">
        <f t="shared" si="0"/>
        <v>172.8507149537829</v>
      </c>
      <c r="M31" s="158">
        <v>135</v>
      </c>
      <c r="N31" s="159">
        <f t="shared" si="1"/>
        <v>16546</v>
      </c>
      <c r="O31" s="160" t="s">
        <v>115</v>
      </c>
      <c r="P31" s="158" t="str">
        <f t="shared" si="2"/>
        <v>26 APR/ICE/19</v>
      </c>
      <c r="Q31" s="161"/>
      <c r="R31" s="148"/>
      <c r="S31" s="139"/>
      <c r="T31" s="148"/>
      <c r="U31" s="148"/>
    </row>
    <row r="32" spans="1:21" s="128" customFormat="1" ht="29.25" customHeight="1" x14ac:dyDescent="0.35">
      <c r="A32" s="151">
        <v>20</v>
      </c>
      <c r="B32" s="152"/>
      <c r="C32" s="153"/>
      <c r="D32" s="154"/>
      <c r="E32" s="154" t="s">
        <v>164</v>
      </c>
      <c r="F32" s="151"/>
      <c r="G32" s="155">
        <v>46142</v>
      </c>
      <c r="H32" s="107" t="s">
        <v>161</v>
      </c>
      <c r="I32" s="153" t="s">
        <v>510</v>
      </c>
      <c r="J32" s="156">
        <v>350</v>
      </c>
      <c r="K32" s="109">
        <f>Forex!$C$2</f>
        <v>94.943200000000004</v>
      </c>
      <c r="L32" s="157">
        <f t="shared" si="0"/>
        <v>3.686414614211444</v>
      </c>
      <c r="M32" s="158">
        <v>0</v>
      </c>
      <c r="N32" s="159">
        <f t="shared" si="1"/>
        <v>350</v>
      </c>
      <c r="O32" s="160" t="s">
        <v>106</v>
      </c>
      <c r="P32" s="158" t="str">
        <f t="shared" si="2"/>
        <v>26 APR/ICE/20</v>
      </c>
      <c r="Q32" s="161"/>
      <c r="R32" s="148"/>
      <c r="S32" s="139"/>
      <c r="T32" s="148"/>
      <c r="U32" s="148"/>
    </row>
    <row r="33" spans="1:24" s="128" customFormat="1" ht="29.25" customHeight="1" x14ac:dyDescent="0.35">
      <c r="A33" s="151">
        <v>21</v>
      </c>
      <c r="B33" s="152"/>
      <c r="C33" s="153"/>
      <c r="D33" s="154"/>
      <c r="E33" s="154" t="s">
        <v>511</v>
      </c>
      <c r="F33" s="151"/>
      <c r="G33" s="155">
        <v>46142</v>
      </c>
      <c r="H33" s="107" t="s">
        <v>394</v>
      </c>
      <c r="I33" s="153" t="s">
        <v>512</v>
      </c>
      <c r="J33" s="156">
        <v>3715</v>
      </c>
      <c r="K33" s="109">
        <f>Forex!$C$2</f>
        <v>94.943200000000004</v>
      </c>
      <c r="L33" s="157">
        <f t="shared" si="0"/>
        <v>39.128657976558614</v>
      </c>
      <c r="M33" s="158">
        <v>170</v>
      </c>
      <c r="N33" s="159">
        <f t="shared" si="1"/>
        <v>3885</v>
      </c>
      <c r="O33" s="160" t="s">
        <v>115</v>
      </c>
      <c r="P33" s="158" t="str">
        <f t="shared" si="2"/>
        <v>26 APR/ICE/21</v>
      </c>
      <c r="Q33" s="161"/>
      <c r="R33" s="148"/>
      <c r="S33" s="139"/>
      <c r="T33" s="148"/>
      <c r="U33" s="148"/>
    </row>
    <row r="34" spans="1:24" s="128" customFormat="1" ht="29.25" customHeight="1" x14ac:dyDescent="0.35">
      <c r="A34" s="151">
        <v>22</v>
      </c>
      <c r="B34" s="152"/>
      <c r="C34" s="153"/>
      <c r="D34" s="154"/>
      <c r="E34" s="154" t="s">
        <v>513</v>
      </c>
      <c r="F34" s="151"/>
      <c r="G34" s="155">
        <v>46142</v>
      </c>
      <c r="H34" s="107" t="s">
        <v>394</v>
      </c>
      <c r="I34" s="153" t="s">
        <v>512</v>
      </c>
      <c r="J34" s="156">
        <v>4030</v>
      </c>
      <c r="K34" s="109">
        <f>Forex!$C$2</f>
        <v>94.943200000000004</v>
      </c>
      <c r="L34" s="157">
        <f t="shared" si="0"/>
        <v>42.446431129348916</v>
      </c>
      <c r="M34" s="158">
        <v>170</v>
      </c>
      <c r="N34" s="159">
        <f t="shared" si="1"/>
        <v>4200</v>
      </c>
      <c r="O34" s="160" t="s">
        <v>115</v>
      </c>
      <c r="P34" s="158" t="str">
        <f t="shared" si="2"/>
        <v>26 APR/ICE/22</v>
      </c>
      <c r="Q34" s="161"/>
      <c r="R34" s="148"/>
      <c r="S34" s="139"/>
      <c r="T34" s="148"/>
      <c r="U34" s="148"/>
    </row>
    <row r="35" spans="1:24" s="128" customFormat="1" ht="29.25" customHeight="1" x14ac:dyDescent="0.35">
      <c r="A35" s="151">
        <v>23</v>
      </c>
      <c r="B35" s="152"/>
      <c r="C35" s="153"/>
      <c r="D35" s="154"/>
      <c r="E35" s="154" t="s">
        <v>514</v>
      </c>
      <c r="F35" s="151"/>
      <c r="G35" s="155">
        <v>46142</v>
      </c>
      <c r="H35" s="107" t="s">
        <v>138</v>
      </c>
      <c r="I35" s="153" t="s">
        <v>515</v>
      </c>
      <c r="J35" s="156">
        <v>45982</v>
      </c>
      <c r="K35" s="109">
        <f>Forex!$C$2</f>
        <v>94.943200000000004</v>
      </c>
      <c r="L35" s="157">
        <f t="shared" si="0"/>
        <v>484.31061940191609</v>
      </c>
      <c r="M35" s="158">
        <v>0</v>
      </c>
      <c r="N35" s="159">
        <f t="shared" si="1"/>
        <v>45982</v>
      </c>
      <c r="O35" s="160" t="s">
        <v>106</v>
      </c>
      <c r="P35" s="158" t="str">
        <f t="shared" si="2"/>
        <v>26 APR/ICE/23</v>
      </c>
      <c r="Q35" s="161"/>
      <c r="R35" s="148"/>
      <c r="S35" s="139"/>
      <c r="T35" s="148"/>
      <c r="U35" s="148"/>
    </row>
    <row r="36" spans="1:24" s="128" customFormat="1" ht="29.25" customHeight="1" x14ac:dyDescent="0.35">
      <c r="A36" s="151">
        <v>24</v>
      </c>
      <c r="B36" s="152"/>
      <c r="C36" s="153"/>
      <c r="D36" s="154"/>
      <c r="E36" s="154" t="s">
        <v>516</v>
      </c>
      <c r="F36" s="151"/>
      <c r="G36" s="155">
        <v>46142</v>
      </c>
      <c r="H36" s="107" t="s">
        <v>138</v>
      </c>
      <c r="I36" s="153" t="s">
        <v>517</v>
      </c>
      <c r="J36" s="156">
        <v>14475</v>
      </c>
      <c r="K36" s="109">
        <f>Forex!$C$2</f>
        <v>94.943200000000004</v>
      </c>
      <c r="L36" s="157">
        <f t="shared" si="0"/>
        <v>152.45957583060186</v>
      </c>
      <c r="M36" s="158">
        <v>0</v>
      </c>
      <c r="N36" s="159">
        <f t="shared" si="1"/>
        <v>14475</v>
      </c>
      <c r="O36" s="160" t="s">
        <v>106</v>
      </c>
      <c r="P36" s="158" t="str">
        <f t="shared" si="2"/>
        <v>26 APR/ICE/24</v>
      </c>
      <c r="Q36" s="161"/>
      <c r="R36" s="148"/>
      <c r="S36" s="139"/>
      <c r="T36" s="148"/>
      <c r="U36" s="148"/>
    </row>
    <row r="37" spans="1:24" s="128" customFormat="1" ht="29.25" customHeight="1" x14ac:dyDescent="0.35">
      <c r="A37" s="151">
        <v>25</v>
      </c>
      <c r="B37" s="152"/>
      <c r="C37" s="153"/>
      <c r="D37" s="154"/>
      <c r="E37" s="154" t="s">
        <v>518</v>
      </c>
      <c r="F37" s="151"/>
      <c r="G37" s="155">
        <v>46142</v>
      </c>
      <c r="H37" s="107" t="s">
        <v>519</v>
      </c>
      <c r="I37" s="153" t="s">
        <v>520</v>
      </c>
      <c r="J37" s="156">
        <v>155880</v>
      </c>
      <c r="K37" s="109">
        <f>Forex!$C$2</f>
        <v>94.943200000000004</v>
      </c>
      <c r="L37" s="157">
        <f t="shared" si="0"/>
        <v>1641.8237430379427</v>
      </c>
      <c r="M37" s="158">
        <v>0</v>
      </c>
      <c r="N37" s="159">
        <f t="shared" si="1"/>
        <v>155880</v>
      </c>
      <c r="O37" s="160" t="s">
        <v>106</v>
      </c>
      <c r="P37" s="158" t="str">
        <f t="shared" si="2"/>
        <v>26 APR/ICE/25</v>
      </c>
      <c r="Q37" s="161"/>
      <c r="R37" s="148"/>
      <c r="S37" s="139"/>
      <c r="T37" s="148"/>
      <c r="U37" s="148"/>
    </row>
    <row r="38" spans="1:24" s="128" customFormat="1" ht="29.25" customHeight="1" x14ac:dyDescent="0.35">
      <c r="A38" s="151">
        <v>26</v>
      </c>
      <c r="B38" s="152"/>
      <c r="C38" s="153"/>
      <c r="D38" s="154"/>
      <c r="E38" s="154" t="s">
        <v>521</v>
      </c>
      <c r="F38" s="151"/>
      <c r="G38" s="155">
        <v>46142</v>
      </c>
      <c r="H38" s="107" t="s">
        <v>426</v>
      </c>
      <c r="I38" s="153" t="s">
        <v>522</v>
      </c>
      <c r="J38" s="156">
        <v>9200</v>
      </c>
      <c r="K38" s="109">
        <f>Forex!$C$2</f>
        <v>94.943200000000004</v>
      </c>
      <c r="L38" s="157">
        <f t="shared" si="0"/>
        <v>96.900041287843678</v>
      </c>
      <c r="M38" s="158">
        <v>0</v>
      </c>
      <c r="N38" s="159">
        <f t="shared" si="1"/>
        <v>9200</v>
      </c>
      <c r="O38" s="160" t="s">
        <v>106</v>
      </c>
      <c r="P38" s="158" t="str">
        <f t="shared" si="2"/>
        <v>26 APR/ICE/26</v>
      </c>
      <c r="Q38" s="161"/>
      <c r="R38" s="148"/>
      <c r="S38" s="139"/>
      <c r="T38" s="148"/>
      <c r="U38" s="148"/>
    </row>
    <row r="39" spans="1:24" s="128" customFormat="1" ht="29.25" customHeight="1" x14ac:dyDescent="0.35">
      <c r="A39" s="151">
        <v>27</v>
      </c>
      <c r="B39" s="152"/>
      <c r="C39" s="153"/>
      <c r="D39" s="154"/>
      <c r="E39" s="154" t="s">
        <v>523</v>
      </c>
      <c r="F39" s="151"/>
      <c r="G39" s="155">
        <v>46142</v>
      </c>
      <c r="H39" s="107" t="s">
        <v>426</v>
      </c>
      <c r="I39" s="153" t="s">
        <v>522</v>
      </c>
      <c r="J39" s="156">
        <v>9200</v>
      </c>
      <c r="K39" s="109">
        <f>Forex!$C$2</f>
        <v>94.943200000000004</v>
      </c>
      <c r="L39" s="157">
        <f t="shared" si="0"/>
        <v>96.900041287843678</v>
      </c>
      <c r="M39" s="158">
        <v>0</v>
      </c>
      <c r="N39" s="159">
        <f t="shared" si="1"/>
        <v>9200</v>
      </c>
      <c r="O39" s="160" t="s">
        <v>106</v>
      </c>
      <c r="P39" s="158" t="str">
        <f t="shared" si="2"/>
        <v>26 APR/ICE/27</v>
      </c>
      <c r="Q39" s="161"/>
      <c r="R39" s="148"/>
      <c r="S39" s="139"/>
      <c r="T39" s="148"/>
      <c r="U39" s="148"/>
    </row>
    <row r="40" spans="1:24" s="128" customFormat="1" ht="29.25" customHeight="1" x14ac:dyDescent="0.35">
      <c r="A40" s="151">
        <v>28</v>
      </c>
      <c r="B40" s="152"/>
      <c r="C40" s="153"/>
      <c r="D40" s="154"/>
      <c r="E40" s="154" t="s">
        <v>524</v>
      </c>
      <c r="F40" s="151"/>
      <c r="G40" s="155">
        <v>46142</v>
      </c>
      <c r="H40" s="107" t="s">
        <v>525</v>
      </c>
      <c r="I40" s="153" t="s">
        <v>526</v>
      </c>
      <c r="J40" s="156">
        <v>8100</v>
      </c>
      <c r="K40" s="109">
        <f>Forex!$C$2</f>
        <v>94.943200000000004</v>
      </c>
      <c r="L40" s="157">
        <f t="shared" si="0"/>
        <v>85.314166786036282</v>
      </c>
      <c r="M40" s="158">
        <v>0</v>
      </c>
      <c r="N40" s="159">
        <f t="shared" si="1"/>
        <v>8100</v>
      </c>
      <c r="O40" s="160" t="s">
        <v>106</v>
      </c>
      <c r="P40" s="158" t="str">
        <f t="shared" si="2"/>
        <v>26 APR/ICE/28</v>
      </c>
      <c r="Q40" s="161"/>
      <c r="R40" s="148"/>
      <c r="S40" s="139"/>
      <c r="T40" s="148"/>
      <c r="U40" s="148"/>
    </row>
    <row r="41" spans="1:24" s="128" customFormat="1" ht="29.25" customHeight="1" x14ac:dyDescent="0.35">
      <c r="A41" s="151">
        <v>29</v>
      </c>
      <c r="B41" s="152"/>
      <c r="C41" s="153"/>
      <c r="D41" s="154"/>
      <c r="E41" s="154" t="s">
        <v>527</v>
      </c>
      <c r="F41" s="151"/>
      <c r="G41" s="155">
        <v>46142</v>
      </c>
      <c r="H41" s="107" t="s">
        <v>525</v>
      </c>
      <c r="I41" s="153" t="s">
        <v>526</v>
      </c>
      <c r="J41" s="156">
        <v>9000</v>
      </c>
      <c r="K41" s="109">
        <f>Forex!$C$2</f>
        <v>94.943200000000004</v>
      </c>
      <c r="L41" s="157">
        <f t="shared" si="0"/>
        <v>94.793518651151416</v>
      </c>
      <c r="M41" s="158">
        <v>0</v>
      </c>
      <c r="N41" s="159">
        <f t="shared" si="1"/>
        <v>9000</v>
      </c>
      <c r="O41" s="160" t="s">
        <v>106</v>
      </c>
      <c r="P41" s="158" t="str">
        <f t="shared" si="2"/>
        <v>26 APR/ICE/29</v>
      </c>
      <c r="Q41" s="161"/>
      <c r="R41" s="148"/>
      <c r="S41" s="139"/>
      <c r="T41" s="148"/>
      <c r="U41" s="148"/>
    </row>
    <row r="42" spans="1:24" s="128" customFormat="1" ht="29.25" customHeight="1" x14ac:dyDescent="0.35">
      <c r="A42" s="151">
        <v>30</v>
      </c>
      <c r="B42" s="152"/>
      <c r="C42" s="153"/>
      <c r="D42" s="154"/>
      <c r="E42" s="154" t="s">
        <v>528</v>
      </c>
      <c r="F42" s="151"/>
      <c r="G42" s="155">
        <v>46142</v>
      </c>
      <c r="H42" s="107" t="s">
        <v>525</v>
      </c>
      <c r="I42" s="153" t="s">
        <v>526</v>
      </c>
      <c r="J42" s="156">
        <v>8100</v>
      </c>
      <c r="K42" s="109">
        <f>Forex!$C$2</f>
        <v>94.943200000000004</v>
      </c>
      <c r="L42" s="157">
        <f t="shared" si="0"/>
        <v>85.314166786036282</v>
      </c>
      <c r="M42" s="158">
        <v>0</v>
      </c>
      <c r="N42" s="159">
        <f t="shared" si="1"/>
        <v>8100</v>
      </c>
      <c r="O42" s="160" t="s">
        <v>106</v>
      </c>
      <c r="P42" s="158" t="str">
        <f t="shared" si="2"/>
        <v>26 APR/ICE/30</v>
      </c>
      <c r="Q42" s="161"/>
      <c r="R42" s="148"/>
      <c r="S42" s="139"/>
      <c r="T42" s="148"/>
      <c r="U42" s="162"/>
      <c r="V42" s="162"/>
      <c r="W42" s="162"/>
      <c r="X42" s="162"/>
    </row>
    <row r="43" spans="1:24" s="128" customFormat="1" ht="29.25" customHeight="1" x14ac:dyDescent="0.35">
      <c r="A43" s="151">
        <v>31</v>
      </c>
      <c r="B43" s="152"/>
      <c r="C43" s="153"/>
      <c r="D43" s="154"/>
      <c r="E43" s="154" t="s">
        <v>529</v>
      </c>
      <c r="F43" s="151"/>
      <c r="G43" s="155">
        <v>46142</v>
      </c>
      <c r="H43" s="107" t="s">
        <v>433</v>
      </c>
      <c r="I43" s="153" t="s">
        <v>434</v>
      </c>
      <c r="J43" s="156">
        <v>8600</v>
      </c>
      <c r="K43" s="109">
        <f>Forex!$C$2</f>
        <v>94.943200000000004</v>
      </c>
      <c r="L43" s="157">
        <f t="shared" si="0"/>
        <v>90.580473377766907</v>
      </c>
      <c r="M43" s="158">
        <v>0</v>
      </c>
      <c r="N43" s="159">
        <f t="shared" si="1"/>
        <v>8600</v>
      </c>
      <c r="O43" s="160" t="s">
        <v>106</v>
      </c>
      <c r="P43" s="158" t="str">
        <f t="shared" si="2"/>
        <v>26 APR/ICE/31</v>
      </c>
      <c r="Q43" s="161"/>
      <c r="R43" s="148"/>
      <c r="S43" s="139"/>
      <c r="T43" s="148"/>
      <c r="U43" s="162"/>
      <c r="V43" s="162"/>
      <c r="W43" s="162"/>
      <c r="X43" s="162"/>
    </row>
    <row r="44" spans="1:24" s="128" customFormat="1" ht="29.25" customHeight="1" x14ac:dyDescent="0.35">
      <c r="A44" s="151">
        <v>32</v>
      </c>
      <c r="B44" s="152"/>
      <c r="C44" s="153"/>
      <c r="D44" s="154"/>
      <c r="E44" s="154" t="s">
        <v>530</v>
      </c>
      <c r="F44" s="151"/>
      <c r="G44" s="155">
        <v>46142</v>
      </c>
      <c r="H44" s="107" t="s">
        <v>433</v>
      </c>
      <c r="I44" s="153" t="s">
        <v>434</v>
      </c>
      <c r="J44" s="156">
        <v>8600</v>
      </c>
      <c r="K44" s="109">
        <f>Forex!$C$2</f>
        <v>94.943200000000004</v>
      </c>
      <c r="L44" s="157">
        <f t="shared" si="0"/>
        <v>90.580473377766907</v>
      </c>
      <c r="M44" s="158">
        <v>0</v>
      </c>
      <c r="N44" s="159">
        <f t="shared" si="1"/>
        <v>8600</v>
      </c>
      <c r="O44" s="160" t="s">
        <v>106</v>
      </c>
      <c r="P44" s="158" t="str">
        <f t="shared" si="2"/>
        <v>26 APR/ICE/32</v>
      </c>
      <c r="Q44" s="161"/>
      <c r="R44" s="148"/>
      <c r="S44" s="139"/>
      <c r="T44" s="148"/>
      <c r="U44" s="162"/>
      <c r="V44" s="162"/>
      <c r="W44" s="162"/>
      <c r="X44" s="162"/>
    </row>
    <row r="45" spans="1:24" s="128" customFormat="1" ht="29.25" customHeight="1" x14ac:dyDescent="0.35">
      <c r="A45" s="151">
        <v>33</v>
      </c>
      <c r="B45" s="152"/>
      <c r="C45" s="153"/>
      <c r="D45" s="154"/>
      <c r="E45" s="154" t="s">
        <v>531</v>
      </c>
      <c r="F45" s="151"/>
      <c r="G45" s="155">
        <v>46142</v>
      </c>
      <c r="H45" s="107" t="s">
        <v>441</v>
      </c>
      <c r="I45" s="153" t="s">
        <v>442</v>
      </c>
      <c r="J45" s="156">
        <v>8300</v>
      </c>
      <c r="K45" s="109">
        <f>Forex!$C$2</f>
        <v>94.943200000000004</v>
      </c>
      <c r="L45" s="157">
        <f t="shared" ref="L45:L76" si="3">J45/K45</f>
        <v>87.420689422728529</v>
      </c>
      <c r="M45" s="158">
        <v>0</v>
      </c>
      <c r="N45" s="159">
        <f t="shared" ref="N45:N76" si="4">J45+M45</f>
        <v>8300</v>
      </c>
      <c r="O45" s="160" t="s">
        <v>106</v>
      </c>
      <c r="P45" s="158" t="str">
        <f t="shared" ref="P45:P61" si="5">+$P$1&amp;"/"&amp;$P$2&amp;"/"&amp;A45</f>
        <v>26 APR/ICE/33</v>
      </c>
      <c r="Q45" s="161"/>
      <c r="R45" s="148"/>
      <c r="S45" s="139"/>
      <c r="T45" s="148"/>
      <c r="U45" s="162"/>
      <c r="V45" s="162"/>
      <c r="W45" s="162"/>
      <c r="X45" s="162"/>
    </row>
    <row r="46" spans="1:24" s="128" customFormat="1" ht="29.25" customHeight="1" x14ac:dyDescent="0.35">
      <c r="A46" s="151">
        <v>34</v>
      </c>
      <c r="B46" s="152"/>
      <c r="C46" s="153"/>
      <c r="D46" s="154"/>
      <c r="E46" s="154" t="s">
        <v>532</v>
      </c>
      <c r="F46" s="151"/>
      <c r="G46" s="155">
        <v>46142</v>
      </c>
      <c r="H46" s="107" t="s">
        <v>138</v>
      </c>
      <c r="I46" s="153" t="s">
        <v>447</v>
      </c>
      <c r="J46" s="156">
        <v>8300</v>
      </c>
      <c r="K46" s="109">
        <f>Forex!$C$2</f>
        <v>94.943200000000004</v>
      </c>
      <c r="L46" s="157">
        <f t="shared" si="3"/>
        <v>87.420689422728529</v>
      </c>
      <c r="M46" s="158">
        <v>0</v>
      </c>
      <c r="N46" s="159">
        <f t="shared" si="4"/>
        <v>8300</v>
      </c>
      <c r="O46" s="160" t="s">
        <v>106</v>
      </c>
      <c r="P46" s="158" t="str">
        <f t="shared" si="5"/>
        <v>26 APR/ICE/34</v>
      </c>
      <c r="Q46" s="161"/>
      <c r="R46" s="148"/>
      <c r="S46" s="139"/>
      <c r="T46" s="148"/>
      <c r="U46" s="162"/>
      <c r="V46" s="162"/>
      <c r="W46" s="162"/>
      <c r="X46" s="162"/>
    </row>
    <row r="47" spans="1:24" s="128" customFormat="1" ht="29.25" customHeight="1" x14ac:dyDescent="0.35">
      <c r="A47" s="151">
        <v>35</v>
      </c>
      <c r="B47" s="152"/>
      <c r="C47" s="153"/>
      <c r="D47" s="154"/>
      <c r="E47" s="154" t="s">
        <v>533</v>
      </c>
      <c r="F47" s="151"/>
      <c r="G47" s="155">
        <v>46142</v>
      </c>
      <c r="H47" s="107" t="s">
        <v>138</v>
      </c>
      <c r="I47" s="153" t="s">
        <v>454</v>
      </c>
      <c r="J47" s="156">
        <v>8300</v>
      </c>
      <c r="K47" s="109">
        <f>Forex!$C$2</f>
        <v>94.943200000000004</v>
      </c>
      <c r="L47" s="157">
        <f t="shared" si="3"/>
        <v>87.420689422728529</v>
      </c>
      <c r="M47" s="158">
        <v>0</v>
      </c>
      <c r="N47" s="159">
        <f t="shared" si="4"/>
        <v>8300</v>
      </c>
      <c r="O47" s="160" t="s">
        <v>106</v>
      </c>
      <c r="P47" s="158" t="str">
        <f t="shared" si="5"/>
        <v>26 APR/ICE/35</v>
      </c>
      <c r="Q47" s="161"/>
      <c r="R47" s="148"/>
      <c r="S47" s="139"/>
      <c r="T47" s="148"/>
      <c r="U47" s="162"/>
      <c r="V47" s="162"/>
      <c r="W47" s="162"/>
      <c r="X47" s="162"/>
    </row>
    <row r="48" spans="1:24" s="128" customFormat="1" ht="29.25" customHeight="1" x14ac:dyDescent="0.35">
      <c r="A48" s="151">
        <v>36</v>
      </c>
      <c r="B48" s="152"/>
      <c r="C48" s="153"/>
      <c r="D48" s="154"/>
      <c r="E48" s="154" t="s">
        <v>532</v>
      </c>
      <c r="F48" s="151"/>
      <c r="G48" s="155">
        <v>46142</v>
      </c>
      <c r="H48" s="107" t="s">
        <v>138</v>
      </c>
      <c r="I48" s="153" t="s">
        <v>454</v>
      </c>
      <c r="J48" s="156">
        <v>8300</v>
      </c>
      <c r="K48" s="109">
        <f>Forex!$C$2</f>
        <v>94.943200000000004</v>
      </c>
      <c r="L48" s="157">
        <f t="shared" si="3"/>
        <v>87.420689422728529</v>
      </c>
      <c r="M48" s="158">
        <v>0</v>
      </c>
      <c r="N48" s="159">
        <f t="shared" si="4"/>
        <v>8300</v>
      </c>
      <c r="O48" s="160" t="s">
        <v>106</v>
      </c>
      <c r="P48" s="158" t="str">
        <f t="shared" si="5"/>
        <v>26 APR/ICE/36</v>
      </c>
      <c r="Q48" s="161"/>
      <c r="R48" s="148"/>
      <c r="S48" s="139"/>
      <c r="T48" s="148"/>
      <c r="U48" s="162"/>
      <c r="V48" s="162"/>
      <c r="W48" s="162"/>
      <c r="X48" s="162"/>
    </row>
    <row r="49" spans="1:24" s="128" customFormat="1" ht="29.25" customHeight="1" x14ac:dyDescent="0.35">
      <c r="A49" s="151">
        <v>37</v>
      </c>
      <c r="B49" s="152"/>
      <c r="C49" s="153"/>
      <c r="D49" s="154"/>
      <c r="E49" s="154" t="s">
        <v>534</v>
      </c>
      <c r="F49" s="151"/>
      <c r="G49" s="155">
        <v>46142</v>
      </c>
      <c r="H49" s="107" t="s">
        <v>138</v>
      </c>
      <c r="I49" s="153" t="s">
        <v>454</v>
      </c>
      <c r="J49" s="156">
        <v>9200</v>
      </c>
      <c r="K49" s="109">
        <f>Forex!$C$2</f>
        <v>94.943200000000004</v>
      </c>
      <c r="L49" s="157">
        <f t="shared" si="3"/>
        <v>96.900041287843678</v>
      </c>
      <c r="M49" s="158">
        <v>0</v>
      </c>
      <c r="N49" s="159">
        <f t="shared" si="4"/>
        <v>9200</v>
      </c>
      <c r="O49" s="160" t="s">
        <v>106</v>
      </c>
      <c r="P49" s="158" t="str">
        <f t="shared" si="5"/>
        <v>26 APR/ICE/37</v>
      </c>
      <c r="Q49" s="161"/>
      <c r="R49" s="148"/>
      <c r="S49" s="139"/>
      <c r="T49" s="148"/>
      <c r="U49" s="162"/>
      <c r="V49" s="162"/>
      <c r="W49" s="162"/>
      <c r="X49" s="162"/>
    </row>
    <row r="50" spans="1:24" s="128" customFormat="1" ht="29.25" customHeight="1" x14ac:dyDescent="0.35">
      <c r="A50" s="151">
        <v>38</v>
      </c>
      <c r="B50" s="152"/>
      <c r="C50" s="153"/>
      <c r="D50" s="154"/>
      <c r="E50" s="154" t="s">
        <v>535</v>
      </c>
      <c r="F50" s="151"/>
      <c r="G50" s="155">
        <v>46142</v>
      </c>
      <c r="H50" s="107" t="s">
        <v>138</v>
      </c>
      <c r="I50" s="153" t="s">
        <v>454</v>
      </c>
      <c r="J50" s="156">
        <v>8300</v>
      </c>
      <c r="K50" s="109">
        <f>Forex!$C$2</f>
        <v>94.943200000000004</v>
      </c>
      <c r="L50" s="157">
        <f t="shared" si="3"/>
        <v>87.420689422728529</v>
      </c>
      <c r="M50" s="158">
        <v>0</v>
      </c>
      <c r="N50" s="159">
        <f t="shared" si="4"/>
        <v>8300</v>
      </c>
      <c r="O50" s="160" t="s">
        <v>106</v>
      </c>
      <c r="P50" s="158" t="str">
        <f t="shared" si="5"/>
        <v>26 APR/ICE/38</v>
      </c>
      <c r="Q50" s="161"/>
      <c r="R50" s="148"/>
      <c r="S50" s="139"/>
      <c r="T50" s="148"/>
      <c r="U50" s="162"/>
      <c r="V50" s="162"/>
      <c r="W50" s="162"/>
      <c r="X50" s="162"/>
    </row>
    <row r="51" spans="1:24" s="128" customFormat="1" ht="29.25" customHeight="1" x14ac:dyDescent="0.35">
      <c r="A51" s="151">
        <v>39</v>
      </c>
      <c r="B51" s="152"/>
      <c r="C51" s="153"/>
      <c r="D51" s="154"/>
      <c r="E51" s="154" t="s">
        <v>535</v>
      </c>
      <c r="F51" s="151"/>
      <c r="G51" s="155">
        <v>46142</v>
      </c>
      <c r="H51" s="107" t="s">
        <v>138</v>
      </c>
      <c r="I51" s="153" t="s">
        <v>454</v>
      </c>
      <c r="J51" s="156">
        <v>8300</v>
      </c>
      <c r="K51" s="109">
        <f>Forex!$C$2</f>
        <v>94.943200000000004</v>
      </c>
      <c r="L51" s="157">
        <f t="shared" si="3"/>
        <v>87.420689422728529</v>
      </c>
      <c r="M51" s="158">
        <v>0</v>
      </c>
      <c r="N51" s="159">
        <f t="shared" si="4"/>
        <v>8300</v>
      </c>
      <c r="O51" s="160" t="s">
        <v>106</v>
      </c>
      <c r="P51" s="158" t="str">
        <f t="shared" si="5"/>
        <v>26 APR/ICE/39</v>
      </c>
      <c r="Q51" s="161"/>
      <c r="R51" s="148"/>
      <c r="S51" s="139"/>
      <c r="T51" s="148"/>
      <c r="U51" s="162"/>
      <c r="V51" s="162"/>
      <c r="W51" s="162"/>
      <c r="X51" s="162"/>
    </row>
    <row r="52" spans="1:24" s="128" customFormat="1" ht="29.25" customHeight="1" x14ac:dyDescent="0.35">
      <c r="A52" s="151">
        <v>40</v>
      </c>
      <c r="B52" s="152"/>
      <c r="C52" s="153"/>
      <c r="D52" s="154"/>
      <c r="E52" s="154" t="s">
        <v>536</v>
      </c>
      <c r="F52" s="151"/>
      <c r="G52" s="155">
        <v>46142</v>
      </c>
      <c r="H52" s="107" t="s">
        <v>138</v>
      </c>
      <c r="I52" s="153" t="s">
        <v>454</v>
      </c>
      <c r="J52" s="156">
        <v>3000</v>
      </c>
      <c r="K52" s="109">
        <f>Forex!$C$2</f>
        <v>94.943200000000004</v>
      </c>
      <c r="L52" s="157">
        <f t="shared" si="3"/>
        <v>31.597839550383807</v>
      </c>
      <c r="M52" s="158">
        <v>0</v>
      </c>
      <c r="N52" s="159">
        <f t="shared" si="4"/>
        <v>3000</v>
      </c>
      <c r="O52" s="160" t="s">
        <v>106</v>
      </c>
      <c r="P52" s="158" t="str">
        <f t="shared" si="5"/>
        <v>26 APR/ICE/40</v>
      </c>
      <c r="Q52" s="161"/>
      <c r="R52" s="148"/>
      <c r="S52" s="139"/>
      <c r="T52" s="148"/>
      <c r="U52" s="162"/>
      <c r="V52" s="162"/>
      <c r="W52" s="162"/>
      <c r="X52" s="162"/>
    </row>
    <row r="53" spans="1:24" s="128" customFormat="1" ht="29.25" customHeight="1" x14ac:dyDescent="0.35">
      <c r="A53" s="151">
        <v>41</v>
      </c>
      <c r="B53" s="152"/>
      <c r="C53" s="153"/>
      <c r="D53" s="154"/>
      <c r="E53" s="154" t="s">
        <v>537</v>
      </c>
      <c r="F53" s="151"/>
      <c r="G53" s="155">
        <v>46142</v>
      </c>
      <c r="H53" s="107" t="s">
        <v>138</v>
      </c>
      <c r="I53" s="153" t="s">
        <v>454</v>
      </c>
      <c r="J53" s="156">
        <v>8300</v>
      </c>
      <c r="K53" s="109">
        <f>Forex!$C$2</f>
        <v>94.943200000000004</v>
      </c>
      <c r="L53" s="157">
        <f t="shared" si="3"/>
        <v>87.420689422728529</v>
      </c>
      <c r="M53" s="158">
        <v>0</v>
      </c>
      <c r="N53" s="159">
        <f t="shared" si="4"/>
        <v>8300</v>
      </c>
      <c r="O53" s="160" t="s">
        <v>106</v>
      </c>
      <c r="P53" s="158" t="str">
        <f t="shared" si="5"/>
        <v>26 APR/ICE/41</v>
      </c>
      <c r="Q53" s="161"/>
      <c r="R53" s="148"/>
      <c r="S53" s="139"/>
      <c r="T53" s="148"/>
      <c r="U53" s="162"/>
      <c r="V53" s="162"/>
      <c r="W53" s="162"/>
      <c r="X53" s="162"/>
    </row>
    <row r="54" spans="1:24" s="128" customFormat="1" ht="29.25" customHeight="1" x14ac:dyDescent="0.35">
      <c r="A54" s="151">
        <v>42</v>
      </c>
      <c r="B54" s="152"/>
      <c r="C54" s="153"/>
      <c r="D54" s="154"/>
      <c r="E54" s="154" t="s">
        <v>538</v>
      </c>
      <c r="F54" s="151"/>
      <c r="G54" s="155">
        <v>46142</v>
      </c>
      <c r="H54" s="107" t="s">
        <v>138</v>
      </c>
      <c r="I54" s="153" t="s">
        <v>454</v>
      </c>
      <c r="J54" s="156">
        <v>8300</v>
      </c>
      <c r="K54" s="109">
        <f>Forex!$C$2</f>
        <v>94.943200000000004</v>
      </c>
      <c r="L54" s="157">
        <f t="shared" si="3"/>
        <v>87.420689422728529</v>
      </c>
      <c r="M54" s="158">
        <v>0</v>
      </c>
      <c r="N54" s="159">
        <f t="shared" si="4"/>
        <v>8300</v>
      </c>
      <c r="O54" s="160" t="s">
        <v>106</v>
      </c>
      <c r="P54" s="158" t="str">
        <f t="shared" si="5"/>
        <v>26 APR/ICE/42</v>
      </c>
      <c r="Q54" s="161"/>
      <c r="R54" s="148"/>
      <c r="S54" s="139"/>
      <c r="T54" s="148"/>
      <c r="U54" s="162"/>
      <c r="V54" s="162"/>
      <c r="W54" s="162"/>
      <c r="X54" s="162"/>
    </row>
    <row r="55" spans="1:24" s="128" customFormat="1" ht="29.25" customHeight="1" x14ac:dyDescent="0.35">
      <c r="A55" s="151">
        <v>43</v>
      </c>
      <c r="B55" s="152"/>
      <c r="C55" s="153"/>
      <c r="D55" s="154"/>
      <c r="E55" s="154" t="s">
        <v>539</v>
      </c>
      <c r="F55" s="151"/>
      <c r="G55" s="155">
        <v>46142</v>
      </c>
      <c r="H55" s="107" t="s">
        <v>138</v>
      </c>
      <c r="I55" s="153" t="s">
        <v>454</v>
      </c>
      <c r="J55" s="156">
        <v>8300</v>
      </c>
      <c r="K55" s="109">
        <f>Forex!$C$2</f>
        <v>94.943200000000004</v>
      </c>
      <c r="L55" s="157">
        <f t="shared" si="3"/>
        <v>87.420689422728529</v>
      </c>
      <c r="M55" s="158">
        <v>0</v>
      </c>
      <c r="N55" s="159">
        <f t="shared" si="4"/>
        <v>8300</v>
      </c>
      <c r="O55" s="160" t="s">
        <v>106</v>
      </c>
      <c r="P55" s="158" t="str">
        <f t="shared" si="5"/>
        <v>26 APR/ICE/43</v>
      </c>
      <c r="Q55" s="161"/>
      <c r="R55" s="148"/>
      <c r="S55" s="139"/>
      <c r="T55" s="148"/>
      <c r="U55" s="162"/>
      <c r="V55" s="162"/>
      <c r="W55" s="162"/>
      <c r="X55" s="162"/>
    </row>
    <row r="56" spans="1:24" s="128" customFormat="1" ht="29.25" customHeight="1" x14ac:dyDescent="0.35">
      <c r="A56" s="151">
        <v>44</v>
      </c>
      <c r="B56" s="152"/>
      <c r="C56" s="153"/>
      <c r="D56" s="154"/>
      <c r="E56" s="154" t="s">
        <v>540</v>
      </c>
      <c r="F56" s="151"/>
      <c r="G56" s="155">
        <v>46142</v>
      </c>
      <c r="H56" s="107" t="s">
        <v>138</v>
      </c>
      <c r="I56" s="153" t="s">
        <v>454</v>
      </c>
      <c r="J56" s="156">
        <v>9200</v>
      </c>
      <c r="K56" s="109">
        <f>Forex!$C$2</f>
        <v>94.943200000000004</v>
      </c>
      <c r="L56" s="157">
        <f t="shared" si="3"/>
        <v>96.900041287843678</v>
      </c>
      <c r="M56" s="158">
        <v>0</v>
      </c>
      <c r="N56" s="159">
        <f t="shared" si="4"/>
        <v>9200</v>
      </c>
      <c r="O56" s="160" t="s">
        <v>106</v>
      </c>
      <c r="P56" s="158" t="str">
        <f t="shared" si="5"/>
        <v>26 APR/ICE/44</v>
      </c>
      <c r="Q56" s="161"/>
      <c r="R56" s="148"/>
      <c r="S56" s="139"/>
      <c r="T56" s="148"/>
      <c r="U56" s="162"/>
      <c r="V56" s="162"/>
      <c r="W56" s="162"/>
      <c r="X56" s="162"/>
    </row>
    <row r="57" spans="1:24" s="128" customFormat="1" ht="29.25" customHeight="1" x14ac:dyDescent="0.35">
      <c r="A57" s="151">
        <v>45</v>
      </c>
      <c r="B57" s="152"/>
      <c r="C57" s="153"/>
      <c r="D57" s="154"/>
      <c r="E57" s="154" t="s">
        <v>541</v>
      </c>
      <c r="F57" s="151"/>
      <c r="G57" s="155">
        <v>46142</v>
      </c>
      <c r="H57" s="107" t="s">
        <v>138</v>
      </c>
      <c r="I57" s="153" t="s">
        <v>454</v>
      </c>
      <c r="J57" s="156">
        <v>8300</v>
      </c>
      <c r="K57" s="109">
        <f>Forex!$C$2</f>
        <v>94.943200000000004</v>
      </c>
      <c r="L57" s="157">
        <f t="shared" si="3"/>
        <v>87.420689422728529</v>
      </c>
      <c r="M57" s="158">
        <v>0</v>
      </c>
      <c r="N57" s="159">
        <f t="shared" si="4"/>
        <v>8300</v>
      </c>
      <c r="O57" s="160" t="s">
        <v>106</v>
      </c>
      <c r="P57" s="158" t="str">
        <f t="shared" si="5"/>
        <v>26 APR/ICE/45</v>
      </c>
      <c r="Q57" s="161"/>
      <c r="R57" s="148"/>
      <c r="S57" s="139"/>
      <c r="T57" s="148"/>
      <c r="U57" s="162"/>
      <c r="V57" s="162"/>
      <c r="W57" s="162"/>
      <c r="X57" s="162"/>
    </row>
    <row r="58" spans="1:24" s="128" customFormat="1" ht="29.25" customHeight="1" x14ac:dyDescent="0.35">
      <c r="A58" s="151">
        <v>46</v>
      </c>
      <c r="B58" s="152"/>
      <c r="C58" s="153"/>
      <c r="D58" s="154"/>
      <c r="E58" s="154" t="s">
        <v>542</v>
      </c>
      <c r="F58" s="151"/>
      <c r="G58" s="155">
        <v>46142</v>
      </c>
      <c r="H58" s="107" t="s">
        <v>138</v>
      </c>
      <c r="I58" s="153" t="s">
        <v>454</v>
      </c>
      <c r="J58" s="156">
        <v>8300</v>
      </c>
      <c r="K58" s="109">
        <f>Forex!$C$2</f>
        <v>94.943200000000004</v>
      </c>
      <c r="L58" s="157">
        <f t="shared" si="3"/>
        <v>87.420689422728529</v>
      </c>
      <c r="M58" s="158">
        <v>0</v>
      </c>
      <c r="N58" s="159">
        <f t="shared" si="4"/>
        <v>8300</v>
      </c>
      <c r="O58" s="160" t="s">
        <v>106</v>
      </c>
      <c r="P58" s="158" t="str">
        <f t="shared" si="5"/>
        <v>26 APR/ICE/46</v>
      </c>
      <c r="Q58" s="161"/>
      <c r="R58" s="148"/>
      <c r="S58" s="139"/>
      <c r="T58" s="148"/>
      <c r="U58" s="162"/>
      <c r="V58" s="162"/>
      <c r="W58" s="162"/>
      <c r="X58" s="162"/>
    </row>
    <row r="59" spans="1:24" s="128" customFormat="1" ht="29.25" customHeight="1" x14ac:dyDescent="0.35">
      <c r="A59" s="151">
        <v>47</v>
      </c>
      <c r="B59" s="152"/>
      <c r="C59" s="153"/>
      <c r="D59" s="154"/>
      <c r="E59" s="154" t="s">
        <v>543</v>
      </c>
      <c r="F59" s="151"/>
      <c r="G59" s="155">
        <v>46142</v>
      </c>
      <c r="H59" s="107" t="s">
        <v>138</v>
      </c>
      <c r="I59" s="153" t="s">
        <v>454</v>
      </c>
      <c r="J59" s="156">
        <v>5300</v>
      </c>
      <c r="K59" s="109">
        <f>Forex!$C$2</f>
        <v>94.943200000000004</v>
      </c>
      <c r="L59" s="157">
        <f t="shared" si="3"/>
        <v>55.822849872344726</v>
      </c>
      <c r="M59" s="158">
        <v>0</v>
      </c>
      <c r="N59" s="159">
        <f t="shared" si="4"/>
        <v>5300</v>
      </c>
      <c r="O59" s="160" t="s">
        <v>106</v>
      </c>
      <c r="P59" s="158" t="str">
        <f t="shared" si="5"/>
        <v>26 APR/ICE/47</v>
      </c>
      <c r="Q59" s="161"/>
      <c r="R59" s="148"/>
      <c r="S59" s="139"/>
      <c r="T59" s="148"/>
      <c r="U59" s="162"/>
      <c r="V59" s="162"/>
      <c r="W59" s="162"/>
      <c r="X59" s="162"/>
    </row>
    <row r="60" spans="1:24" s="128" customFormat="1" ht="29.25" customHeight="1" x14ac:dyDescent="0.35">
      <c r="A60" s="151">
        <v>48</v>
      </c>
      <c r="B60" s="152"/>
      <c r="C60" s="153"/>
      <c r="D60" s="154"/>
      <c r="E60" s="154" t="s">
        <v>544</v>
      </c>
      <c r="F60" s="151"/>
      <c r="G60" s="155">
        <v>46142</v>
      </c>
      <c r="H60" s="107" t="s">
        <v>138</v>
      </c>
      <c r="I60" s="153" t="s">
        <v>454</v>
      </c>
      <c r="J60" s="156">
        <v>8300</v>
      </c>
      <c r="K60" s="109">
        <f>Forex!$C$2</f>
        <v>94.943200000000004</v>
      </c>
      <c r="L60" s="157">
        <f t="shared" si="3"/>
        <v>87.420689422728529</v>
      </c>
      <c r="M60" s="158">
        <v>0</v>
      </c>
      <c r="N60" s="159">
        <f t="shared" si="4"/>
        <v>8300</v>
      </c>
      <c r="O60" s="160" t="s">
        <v>106</v>
      </c>
      <c r="P60" s="158" t="str">
        <f t="shared" si="5"/>
        <v>26 APR/ICE/48</v>
      </c>
      <c r="Q60" s="161"/>
      <c r="R60" s="148"/>
      <c r="S60" s="139"/>
      <c r="T60" s="148"/>
      <c r="U60" s="162"/>
      <c r="V60" s="162"/>
      <c r="W60" s="162"/>
      <c r="X60" s="162"/>
    </row>
    <row r="61" spans="1:24" s="128" customFormat="1" ht="29.25" customHeight="1" x14ac:dyDescent="0.35">
      <c r="A61" s="151">
        <v>49</v>
      </c>
      <c r="B61" s="152"/>
      <c r="C61" s="153"/>
      <c r="D61" s="154"/>
      <c r="E61" s="154" t="s">
        <v>545</v>
      </c>
      <c r="F61" s="151"/>
      <c r="G61" s="155">
        <v>46142</v>
      </c>
      <c r="H61" s="107" t="s">
        <v>138</v>
      </c>
      <c r="I61" s="153" t="s">
        <v>454</v>
      </c>
      <c r="J61" s="156">
        <v>3000</v>
      </c>
      <c r="K61" s="109">
        <f>Forex!$C$2</f>
        <v>94.943200000000004</v>
      </c>
      <c r="L61" s="157">
        <f t="shared" si="3"/>
        <v>31.597839550383807</v>
      </c>
      <c r="M61" s="158">
        <v>0</v>
      </c>
      <c r="N61" s="159">
        <f t="shared" si="4"/>
        <v>3000</v>
      </c>
      <c r="O61" s="160" t="s">
        <v>106</v>
      </c>
      <c r="P61" s="158" t="str">
        <f t="shared" si="5"/>
        <v>26 APR/ICE/49</v>
      </c>
      <c r="Q61" s="161"/>
      <c r="R61" s="148"/>
      <c r="S61" s="139"/>
      <c r="T61" s="148"/>
      <c r="U61" s="162"/>
      <c r="V61" s="162"/>
      <c r="W61" s="162"/>
      <c r="X61" s="162"/>
    </row>
    <row r="62" spans="1:24" s="128" customFormat="1" ht="29.25" customHeight="1" x14ac:dyDescent="0.35">
      <c r="A62" s="151">
        <v>50</v>
      </c>
      <c r="B62" s="152"/>
      <c r="C62" s="153"/>
      <c r="D62" s="154"/>
      <c r="E62" s="154" t="s">
        <v>546</v>
      </c>
      <c r="F62" s="151"/>
      <c r="G62" s="155">
        <v>46120</v>
      </c>
      <c r="H62" s="107" t="s">
        <v>475</v>
      </c>
      <c r="I62" s="153" t="s">
        <v>476</v>
      </c>
      <c r="J62" s="156">
        <v>10800</v>
      </c>
      <c r="K62" s="109">
        <f>Forex!$C$2</f>
        <v>94.943200000000004</v>
      </c>
      <c r="L62" s="157">
        <f t="shared" si="3"/>
        <v>113.7522223813817</v>
      </c>
      <c r="M62" s="158">
        <v>0</v>
      </c>
      <c r="N62" s="159">
        <f t="shared" si="4"/>
        <v>10800</v>
      </c>
      <c r="O62" s="160" t="s">
        <v>106</v>
      </c>
      <c r="P62" s="158" t="s">
        <v>547</v>
      </c>
      <c r="Q62" s="161"/>
      <c r="R62" s="148"/>
      <c r="S62" s="139"/>
      <c r="T62" s="148"/>
      <c r="U62" s="162"/>
      <c r="V62" s="162"/>
      <c r="W62" s="162"/>
      <c r="X62" s="162"/>
    </row>
    <row r="63" spans="1:24" s="128" customFormat="1" ht="29.25" hidden="1" customHeight="1" x14ac:dyDescent="0.35">
      <c r="A63" s="151"/>
      <c r="B63" s="152"/>
      <c r="C63" s="153"/>
      <c r="D63" s="154"/>
      <c r="E63" s="154"/>
      <c r="F63" s="151"/>
      <c r="G63" s="155"/>
      <c r="H63" s="107"/>
      <c r="I63" s="153"/>
      <c r="J63" s="156"/>
      <c r="K63" s="109"/>
      <c r="L63" s="157"/>
      <c r="M63" s="158"/>
      <c r="N63" s="159"/>
      <c r="O63" s="160"/>
      <c r="P63" s="158"/>
      <c r="Q63" s="161"/>
      <c r="R63" s="148"/>
      <c r="S63" s="139"/>
      <c r="T63" s="148"/>
      <c r="U63" s="162"/>
      <c r="V63" s="162"/>
      <c r="W63" s="162"/>
      <c r="X63" s="162"/>
    </row>
    <row r="64" spans="1:24" s="128" customFormat="1" ht="29.25" hidden="1" customHeight="1" x14ac:dyDescent="0.35">
      <c r="A64" s="151"/>
      <c r="B64" s="152"/>
      <c r="C64" s="153"/>
      <c r="D64" s="154"/>
      <c r="E64" s="154"/>
      <c r="F64" s="151"/>
      <c r="G64" s="155"/>
      <c r="H64" s="107"/>
      <c r="I64" s="153"/>
      <c r="J64" s="156"/>
      <c r="K64" s="109"/>
      <c r="L64" s="157"/>
      <c r="M64" s="158"/>
      <c r="N64" s="159"/>
      <c r="O64" s="160"/>
      <c r="P64" s="158"/>
      <c r="Q64" s="161"/>
      <c r="R64" s="148"/>
      <c r="S64" s="139"/>
      <c r="T64" s="148"/>
      <c r="U64" s="162"/>
      <c r="V64" s="162"/>
      <c r="W64" s="162"/>
      <c r="X64" s="162"/>
    </row>
    <row r="65" spans="1:24" s="128" customFormat="1" ht="29.25" hidden="1" customHeight="1" x14ac:dyDescent="0.35">
      <c r="A65" s="151"/>
      <c r="B65" s="152"/>
      <c r="C65" s="153"/>
      <c r="D65" s="154"/>
      <c r="E65" s="154"/>
      <c r="F65" s="151"/>
      <c r="G65" s="155"/>
      <c r="H65" s="107"/>
      <c r="I65" s="153"/>
      <c r="J65" s="156"/>
      <c r="K65" s="109"/>
      <c r="L65" s="157"/>
      <c r="M65" s="158"/>
      <c r="N65" s="159"/>
      <c r="O65" s="160"/>
      <c r="P65" s="158"/>
      <c r="Q65" s="161"/>
      <c r="R65" s="148"/>
      <c r="S65" s="139"/>
      <c r="T65" s="148"/>
      <c r="U65" s="162"/>
      <c r="V65" s="162"/>
      <c r="W65" s="162"/>
      <c r="X65" s="162"/>
    </row>
    <row r="66" spans="1:24" s="128" customFormat="1" ht="29.25" hidden="1" customHeight="1" x14ac:dyDescent="0.35">
      <c r="A66" s="151"/>
      <c r="B66" s="152"/>
      <c r="C66" s="153"/>
      <c r="D66" s="154"/>
      <c r="E66" s="154"/>
      <c r="F66" s="151"/>
      <c r="G66" s="155"/>
      <c r="H66" s="107"/>
      <c r="I66" s="153"/>
      <c r="J66" s="156"/>
      <c r="K66" s="109"/>
      <c r="L66" s="157"/>
      <c r="M66" s="158"/>
      <c r="N66" s="159"/>
      <c r="O66" s="160"/>
      <c r="P66" s="158"/>
      <c r="Q66" s="161"/>
      <c r="R66" s="148"/>
      <c r="S66" s="139"/>
      <c r="T66" s="148"/>
      <c r="U66" s="162"/>
      <c r="V66" s="162"/>
      <c r="W66" s="162"/>
      <c r="X66" s="162"/>
    </row>
    <row r="67" spans="1:24" s="128" customFormat="1" ht="29.25" hidden="1" customHeight="1" x14ac:dyDescent="0.35">
      <c r="A67" s="151"/>
      <c r="B67" s="152"/>
      <c r="C67" s="153"/>
      <c r="D67" s="154"/>
      <c r="E67" s="154"/>
      <c r="F67" s="151"/>
      <c r="G67" s="155"/>
      <c r="H67" s="107"/>
      <c r="I67" s="153"/>
      <c r="J67" s="156"/>
      <c r="K67" s="109"/>
      <c r="L67" s="157"/>
      <c r="M67" s="158"/>
      <c r="N67" s="159"/>
      <c r="O67" s="160"/>
      <c r="P67" s="158"/>
      <c r="Q67" s="161"/>
      <c r="R67" s="148"/>
      <c r="S67" s="139"/>
      <c r="T67" s="148"/>
      <c r="U67" s="162"/>
      <c r="V67" s="162"/>
      <c r="W67" s="162"/>
      <c r="X67" s="162"/>
    </row>
    <row r="68" spans="1:24" s="128" customFormat="1" ht="29.25" hidden="1" customHeight="1" x14ac:dyDescent="0.35">
      <c r="A68" s="151"/>
      <c r="B68" s="152"/>
      <c r="C68" s="153"/>
      <c r="D68" s="154"/>
      <c r="E68" s="154"/>
      <c r="F68" s="151"/>
      <c r="G68" s="155"/>
      <c r="H68" s="107"/>
      <c r="I68" s="153"/>
      <c r="J68" s="156"/>
      <c r="K68" s="109"/>
      <c r="L68" s="157"/>
      <c r="M68" s="158"/>
      <c r="N68" s="159"/>
      <c r="O68" s="160"/>
      <c r="P68" s="158"/>
      <c r="Q68" s="161"/>
      <c r="R68" s="148"/>
      <c r="S68" s="139"/>
      <c r="T68" s="148"/>
      <c r="U68" s="162"/>
      <c r="V68" s="162"/>
      <c r="W68" s="162"/>
      <c r="X68" s="162"/>
    </row>
    <row r="69" spans="1:24" s="128" customFormat="1" ht="29.25" hidden="1" customHeight="1" x14ac:dyDescent="0.35">
      <c r="A69" s="151"/>
      <c r="B69" s="152"/>
      <c r="C69" s="153"/>
      <c r="D69" s="154"/>
      <c r="E69" s="154"/>
      <c r="F69" s="151"/>
      <c r="G69" s="155"/>
      <c r="H69" s="107"/>
      <c r="I69" s="153"/>
      <c r="J69" s="156"/>
      <c r="K69" s="109"/>
      <c r="L69" s="157"/>
      <c r="M69" s="158"/>
      <c r="N69" s="159"/>
      <c r="O69" s="160"/>
      <c r="P69" s="158"/>
      <c r="Q69" s="161"/>
      <c r="R69" s="148"/>
      <c r="S69" s="139"/>
      <c r="T69" s="148"/>
      <c r="U69" s="162"/>
      <c r="V69" s="162"/>
      <c r="W69" s="162"/>
      <c r="X69" s="162"/>
    </row>
    <row r="70" spans="1:24" s="128" customFormat="1" ht="29.25" hidden="1" customHeight="1" x14ac:dyDescent="0.35">
      <c r="A70" s="151"/>
      <c r="B70" s="152"/>
      <c r="C70" s="153"/>
      <c r="D70" s="154"/>
      <c r="E70" s="154"/>
      <c r="F70" s="151"/>
      <c r="G70" s="155"/>
      <c r="H70" s="107"/>
      <c r="I70" s="153"/>
      <c r="J70" s="156"/>
      <c r="K70" s="109"/>
      <c r="L70" s="157"/>
      <c r="M70" s="158"/>
      <c r="N70" s="159"/>
      <c r="O70" s="160"/>
      <c r="P70" s="158"/>
      <c r="Q70" s="161"/>
      <c r="R70" s="148"/>
      <c r="S70" s="139"/>
      <c r="T70" s="148"/>
      <c r="U70" s="162"/>
      <c r="V70" s="162"/>
      <c r="W70" s="162"/>
      <c r="X70" s="162"/>
    </row>
    <row r="71" spans="1:24" s="128" customFormat="1" ht="29.25" hidden="1" customHeight="1" x14ac:dyDescent="0.35">
      <c r="A71" s="151"/>
      <c r="B71" s="152"/>
      <c r="C71" s="153"/>
      <c r="D71" s="154"/>
      <c r="E71" s="154"/>
      <c r="F71" s="151"/>
      <c r="G71" s="155"/>
      <c r="H71" s="107"/>
      <c r="I71" s="153"/>
      <c r="J71" s="156"/>
      <c r="K71" s="109"/>
      <c r="L71" s="157"/>
      <c r="M71" s="158"/>
      <c r="N71" s="159"/>
      <c r="O71" s="160"/>
      <c r="P71" s="158"/>
      <c r="Q71" s="161"/>
      <c r="R71" s="148"/>
      <c r="S71" s="139"/>
      <c r="T71" s="148"/>
      <c r="U71" s="162"/>
      <c r="V71" s="162"/>
      <c r="W71" s="162"/>
      <c r="X71" s="162"/>
    </row>
    <row r="72" spans="1:24" s="128" customFormat="1" ht="29.25" hidden="1" customHeight="1" x14ac:dyDescent="0.35">
      <c r="A72" s="151"/>
      <c r="B72" s="152"/>
      <c r="C72" s="153"/>
      <c r="D72" s="154"/>
      <c r="E72" s="123"/>
      <c r="F72" s="151"/>
      <c r="G72" s="155"/>
      <c r="H72" s="107"/>
      <c r="I72" s="153"/>
      <c r="J72" s="156"/>
      <c r="K72" s="109"/>
      <c r="L72" s="157"/>
      <c r="M72" s="158"/>
      <c r="N72" s="159"/>
      <c r="O72" s="160"/>
      <c r="P72" s="158"/>
      <c r="Q72" s="161"/>
      <c r="R72" s="148"/>
      <c r="S72" s="139"/>
      <c r="T72" s="148"/>
      <c r="U72" s="162"/>
      <c r="V72" s="162"/>
      <c r="W72" s="162"/>
      <c r="X72" s="162"/>
    </row>
    <row r="73" spans="1:24" s="128" customFormat="1" ht="29.25" hidden="1" customHeight="1" x14ac:dyDescent="0.35">
      <c r="A73" s="151"/>
      <c r="B73" s="152"/>
      <c r="C73" s="153"/>
      <c r="D73" s="154"/>
      <c r="E73" s="123"/>
      <c r="F73" s="151"/>
      <c r="G73" s="155"/>
      <c r="H73" s="107"/>
      <c r="I73" s="153"/>
      <c r="J73" s="156"/>
      <c r="K73" s="109"/>
      <c r="L73" s="157"/>
      <c r="M73" s="158"/>
      <c r="N73" s="159"/>
      <c r="O73" s="160"/>
      <c r="P73" s="158"/>
      <c r="Q73" s="161"/>
      <c r="R73" s="148"/>
      <c r="S73" s="139"/>
      <c r="T73" s="148"/>
      <c r="U73" s="162"/>
      <c r="V73" s="162"/>
      <c r="W73" s="162"/>
      <c r="X73" s="162"/>
    </row>
    <row r="74" spans="1:24" s="128" customFormat="1" ht="29.25" hidden="1" customHeight="1" x14ac:dyDescent="0.35">
      <c r="A74" s="151"/>
      <c r="B74" s="152"/>
      <c r="C74" s="153"/>
      <c r="D74" s="154"/>
      <c r="E74" s="123"/>
      <c r="F74" s="151"/>
      <c r="G74" s="155"/>
      <c r="H74" s="107"/>
      <c r="I74" s="153"/>
      <c r="J74" s="156"/>
      <c r="K74" s="109"/>
      <c r="L74" s="157"/>
      <c r="M74" s="158"/>
      <c r="N74" s="159"/>
      <c r="O74" s="160"/>
      <c r="P74" s="158"/>
      <c r="Q74" s="161"/>
      <c r="R74" s="148"/>
      <c r="S74" s="139"/>
      <c r="T74" s="148"/>
      <c r="U74" s="162"/>
      <c r="V74" s="162"/>
      <c r="W74" s="162"/>
      <c r="X74" s="162"/>
    </row>
    <row r="75" spans="1:24" s="128" customFormat="1" ht="29.25" hidden="1" customHeight="1" x14ac:dyDescent="0.35">
      <c r="A75" s="151"/>
      <c r="B75" s="152"/>
      <c r="C75" s="153"/>
      <c r="D75" s="154"/>
      <c r="E75" s="123"/>
      <c r="F75" s="151"/>
      <c r="G75" s="155"/>
      <c r="H75" s="107"/>
      <c r="I75" s="153"/>
      <c r="J75" s="156"/>
      <c r="K75" s="109"/>
      <c r="L75" s="157"/>
      <c r="M75" s="158"/>
      <c r="N75" s="159"/>
      <c r="O75" s="160"/>
      <c r="P75" s="158"/>
      <c r="Q75" s="161"/>
      <c r="R75" s="148"/>
      <c r="S75" s="139"/>
      <c r="T75" s="148"/>
      <c r="U75" s="162"/>
      <c r="V75" s="162"/>
      <c r="W75" s="162"/>
      <c r="X75" s="162"/>
    </row>
    <row r="76" spans="1:24" s="128" customFormat="1" ht="29.25" hidden="1" customHeight="1" x14ac:dyDescent="0.35">
      <c r="A76" s="151"/>
      <c r="B76" s="152"/>
      <c r="C76" s="153"/>
      <c r="D76" s="154"/>
      <c r="E76" s="154"/>
      <c r="F76" s="151"/>
      <c r="G76" s="155"/>
      <c r="H76" s="107"/>
      <c r="I76" s="153"/>
      <c r="J76" s="156"/>
      <c r="K76" s="109"/>
      <c r="L76" s="157"/>
      <c r="M76" s="158"/>
      <c r="N76" s="159"/>
      <c r="O76" s="160"/>
      <c r="P76" s="158"/>
      <c r="Q76" s="161"/>
      <c r="R76" s="148"/>
      <c r="S76" s="139"/>
      <c r="T76" s="148"/>
      <c r="U76" s="162"/>
      <c r="V76" s="162"/>
      <c r="W76" s="162"/>
      <c r="X76" s="162"/>
    </row>
    <row r="77" spans="1:24" s="128" customFormat="1" ht="29.25" hidden="1" customHeight="1" x14ac:dyDescent="0.35">
      <c r="A77" s="151"/>
      <c r="B77" s="152"/>
      <c r="C77" s="153"/>
      <c r="D77" s="154"/>
      <c r="E77" s="154"/>
      <c r="F77" s="151"/>
      <c r="G77" s="155"/>
      <c r="H77" s="107"/>
      <c r="I77" s="153"/>
      <c r="J77" s="156"/>
      <c r="K77" s="109"/>
      <c r="L77" s="157"/>
      <c r="M77" s="158"/>
      <c r="N77" s="159"/>
      <c r="O77" s="160"/>
      <c r="P77" s="158"/>
      <c r="Q77" s="161"/>
      <c r="R77" s="148"/>
      <c r="S77" s="139"/>
      <c r="T77" s="148"/>
      <c r="U77" s="162"/>
      <c r="V77" s="162"/>
      <c r="W77" s="162"/>
      <c r="X77" s="162"/>
    </row>
    <row r="78" spans="1:24" s="128" customFormat="1" ht="29.25" hidden="1" customHeight="1" x14ac:dyDescent="0.35">
      <c r="A78" s="151"/>
      <c r="B78" s="152"/>
      <c r="C78" s="153"/>
      <c r="D78" s="154"/>
      <c r="E78" s="154"/>
      <c r="F78" s="151"/>
      <c r="G78" s="155"/>
      <c r="H78" s="107"/>
      <c r="I78" s="153"/>
      <c r="J78" s="156"/>
      <c r="K78" s="109"/>
      <c r="L78" s="157"/>
      <c r="M78" s="158"/>
      <c r="N78" s="159"/>
      <c r="O78" s="160"/>
      <c r="P78" s="158"/>
      <c r="Q78" s="161"/>
      <c r="R78" s="148"/>
      <c r="S78" s="139"/>
      <c r="T78" s="148"/>
      <c r="U78" s="162"/>
      <c r="V78" s="162"/>
      <c r="W78" s="162"/>
      <c r="X78" s="162"/>
    </row>
    <row r="79" spans="1:24" s="128" customFormat="1" ht="29.25" hidden="1" customHeight="1" x14ac:dyDescent="0.35">
      <c r="A79" s="151"/>
      <c r="B79" s="152"/>
      <c r="C79" s="153"/>
      <c r="D79" s="154"/>
      <c r="E79" s="154"/>
      <c r="F79" s="151"/>
      <c r="G79" s="155"/>
      <c r="H79" s="107"/>
      <c r="I79" s="153"/>
      <c r="J79" s="156"/>
      <c r="K79" s="109"/>
      <c r="L79" s="157"/>
      <c r="M79" s="158"/>
      <c r="N79" s="159"/>
      <c r="O79" s="160"/>
      <c r="P79" s="158"/>
      <c r="Q79" s="161"/>
      <c r="R79" s="148"/>
      <c r="S79" s="139"/>
      <c r="T79" s="148"/>
      <c r="U79" s="162"/>
      <c r="V79" s="162"/>
      <c r="W79" s="162"/>
      <c r="X79" s="162"/>
    </row>
    <row r="80" spans="1:24" ht="29.25" customHeight="1" x14ac:dyDescent="0.35">
      <c r="A80" s="163" t="s">
        <v>478</v>
      </c>
      <c r="B80" s="163"/>
      <c r="C80" s="163"/>
      <c r="D80" s="163"/>
      <c r="E80" s="163"/>
      <c r="F80" s="163"/>
      <c r="G80" s="163"/>
      <c r="H80" s="163"/>
      <c r="I80" s="163"/>
      <c r="J80" s="164">
        <f>SUM(J13:J79)</f>
        <v>918550</v>
      </c>
      <c r="K80" s="163"/>
      <c r="L80" s="164">
        <f>SUM(L13:L79)</f>
        <v>9674.7318396683459</v>
      </c>
      <c r="M80" s="164">
        <f>SUM(M13:M79)</f>
        <v>4030</v>
      </c>
      <c r="N80" s="164">
        <f>SUM(N13:N79)</f>
        <v>922580</v>
      </c>
      <c r="O80" s="165"/>
      <c r="P80" s="165"/>
      <c r="R80" s="148"/>
    </row>
    <row r="81" spans="1:18" x14ac:dyDescent="0.35">
      <c r="A81" s="162"/>
      <c r="B81" s="162"/>
      <c r="C81" s="162"/>
      <c r="D81" s="162"/>
      <c r="E81" s="162"/>
      <c r="F81" s="162"/>
      <c r="G81" s="162"/>
      <c r="H81" s="162"/>
      <c r="I81" s="162"/>
      <c r="J81" s="166"/>
      <c r="K81" s="162"/>
      <c r="L81" s="166"/>
      <c r="M81" s="166"/>
      <c r="N81" s="166"/>
      <c r="R81" s="148"/>
    </row>
    <row r="82" spans="1:18" x14ac:dyDescent="0.35">
      <c r="A82" s="162"/>
      <c r="B82" s="162"/>
      <c r="C82" s="162"/>
      <c r="D82" s="162"/>
      <c r="E82" s="162"/>
      <c r="F82" s="162"/>
      <c r="G82" s="162"/>
      <c r="H82" s="162"/>
      <c r="I82" s="162"/>
      <c r="J82" s="166"/>
      <c r="K82" s="162"/>
      <c r="L82" s="166"/>
      <c r="M82" s="166"/>
      <c r="N82" s="166"/>
      <c r="R82" s="148"/>
    </row>
    <row r="83" spans="1:18" x14ac:dyDescent="0.35">
      <c r="A83" s="162"/>
      <c r="B83" s="162"/>
      <c r="C83" s="162"/>
      <c r="D83" s="162"/>
      <c r="E83" s="162"/>
      <c r="F83" s="162"/>
      <c r="G83" s="162"/>
      <c r="H83" s="162"/>
      <c r="I83" s="162"/>
      <c r="J83" s="166"/>
      <c r="K83" s="162"/>
      <c r="L83" s="166"/>
      <c r="M83" s="166"/>
      <c r="N83" s="166"/>
      <c r="R83" s="148"/>
    </row>
    <row r="84" spans="1:18" x14ac:dyDescent="0.35">
      <c r="A84" s="162"/>
      <c r="B84" s="162"/>
      <c r="C84" s="162"/>
      <c r="D84" s="162"/>
      <c r="E84" s="162"/>
      <c r="F84" s="162"/>
      <c r="G84" s="162"/>
      <c r="H84" s="162"/>
      <c r="I84" s="162"/>
      <c r="J84" s="166"/>
      <c r="K84" s="162"/>
      <c r="L84" s="166"/>
      <c r="M84" s="166"/>
      <c r="N84" s="166"/>
      <c r="R84" s="148"/>
    </row>
    <row r="85" spans="1:18" x14ac:dyDescent="0.35">
      <c r="A85" s="162"/>
      <c r="B85" s="162"/>
      <c r="C85" s="162"/>
      <c r="D85" s="162"/>
      <c r="E85" s="162"/>
      <c r="F85" s="162"/>
      <c r="G85" s="162"/>
      <c r="H85" s="162"/>
      <c r="I85" s="162"/>
      <c r="J85" s="166"/>
      <c r="K85" s="162"/>
      <c r="L85" s="166"/>
      <c r="M85" s="166"/>
      <c r="N85" s="166"/>
      <c r="R85" s="148"/>
    </row>
    <row r="86" spans="1:18" x14ac:dyDescent="0.35">
      <c r="A86" s="162"/>
      <c r="B86" s="162"/>
      <c r="C86" s="162"/>
      <c r="D86" s="162"/>
      <c r="E86" s="162"/>
      <c r="F86" s="162"/>
      <c r="G86" s="162"/>
      <c r="H86" s="162"/>
      <c r="I86" s="162"/>
      <c r="J86" s="166"/>
      <c r="K86" s="162"/>
      <c r="L86" s="166"/>
      <c r="M86" s="166"/>
      <c r="N86" s="166"/>
      <c r="R86" s="148"/>
    </row>
    <row r="87" spans="1:18" x14ac:dyDescent="0.35">
      <c r="A87" s="162"/>
      <c r="B87" s="162"/>
      <c r="C87" s="162"/>
      <c r="D87" s="162"/>
      <c r="E87" s="162"/>
      <c r="F87" s="162"/>
      <c r="G87" s="162"/>
      <c r="H87" s="162"/>
      <c r="I87" s="162"/>
      <c r="J87" s="166"/>
      <c r="K87" s="162"/>
      <c r="L87" s="166"/>
      <c r="M87" s="166"/>
      <c r="N87" s="166"/>
      <c r="R87" s="148"/>
    </row>
    <row r="88" spans="1:18" x14ac:dyDescent="0.35">
      <c r="A88" s="162"/>
      <c r="B88" s="162"/>
      <c r="C88" s="162"/>
      <c r="D88" s="162"/>
      <c r="E88" s="162"/>
      <c r="F88" s="162"/>
      <c r="G88" s="162"/>
      <c r="H88" s="162"/>
      <c r="I88" s="162"/>
      <c r="J88" s="166"/>
      <c r="K88" s="162"/>
      <c r="L88" s="166"/>
      <c r="M88" s="166"/>
      <c r="N88" s="166"/>
      <c r="R88" s="148"/>
    </row>
    <row r="89" spans="1:18" x14ac:dyDescent="0.35">
      <c r="A89" s="162"/>
      <c r="B89" s="162"/>
      <c r="C89" s="162"/>
      <c r="D89" s="162"/>
      <c r="E89" s="162"/>
      <c r="F89" s="162"/>
      <c r="G89" s="162"/>
      <c r="H89" s="162"/>
      <c r="I89" s="162"/>
      <c r="J89" s="166"/>
      <c r="K89" s="162"/>
      <c r="L89" s="166"/>
      <c r="M89" s="166"/>
      <c r="N89" s="166"/>
      <c r="R89" s="148"/>
    </row>
    <row r="90" spans="1:18" x14ac:dyDescent="0.35">
      <c r="A90" s="162"/>
      <c r="B90" s="162"/>
      <c r="C90" s="162"/>
      <c r="D90" s="162"/>
      <c r="E90" s="162"/>
      <c r="F90" s="162"/>
      <c r="G90" s="162"/>
      <c r="H90" s="162"/>
      <c r="I90" s="162"/>
      <c r="J90" s="166"/>
      <c r="K90" s="162"/>
      <c r="L90" s="166"/>
      <c r="M90" s="166"/>
      <c r="N90" s="166"/>
      <c r="R90" s="148"/>
    </row>
    <row r="91" spans="1:18" x14ac:dyDescent="0.35">
      <c r="A91" s="162"/>
      <c r="B91" s="162"/>
      <c r="C91" s="162"/>
      <c r="D91" s="162"/>
      <c r="E91" s="162"/>
      <c r="F91" s="162"/>
      <c r="G91" s="162"/>
      <c r="H91" s="162"/>
      <c r="I91" s="162"/>
      <c r="J91" s="166"/>
      <c r="K91" s="162"/>
      <c r="L91" s="166"/>
      <c r="M91" s="166"/>
      <c r="N91" s="166"/>
      <c r="R91" s="148"/>
    </row>
    <row r="92" spans="1:18" x14ac:dyDescent="0.35">
      <c r="A92" s="162"/>
      <c r="B92" s="162"/>
      <c r="C92" s="162"/>
      <c r="D92" s="162"/>
      <c r="E92" s="162"/>
      <c r="F92" s="162"/>
      <c r="G92" s="162"/>
      <c r="H92" s="162"/>
      <c r="I92" s="162"/>
      <c r="J92" s="166"/>
      <c r="K92" s="162"/>
      <c r="L92" s="166"/>
      <c r="M92" s="166"/>
      <c r="N92" s="166"/>
      <c r="R92" s="148"/>
    </row>
    <row r="93" spans="1:18" x14ac:dyDescent="0.35">
      <c r="A93" s="162"/>
      <c r="B93" s="162"/>
      <c r="C93" s="162"/>
      <c r="D93" s="162"/>
      <c r="E93" s="162"/>
      <c r="F93" s="162"/>
      <c r="G93" s="162"/>
      <c r="H93" s="162"/>
      <c r="I93" s="162"/>
      <c r="J93" s="166"/>
      <c r="K93" s="162"/>
      <c r="L93" s="166"/>
      <c r="M93" s="166"/>
      <c r="N93" s="166"/>
      <c r="R93" s="148"/>
    </row>
    <row r="94" spans="1:18" x14ac:dyDescent="0.35">
      <c r="A94" s="162"/>
      <c r="B94" s="162"/>
      <c r="C94" s="162"/>
      <c r="D94" s="162"/>
      <c r="E94" s="162"/>
      <c r="F94" s="162"/>
      <c r="G94" s="162"/>
      <c r="H94" s="162"/>
      <c r="I94" s="162"/>
      <c r="J94" s="166"/>
      <c r="K94" s="162"/>
      <c r="L94" s="166"/>
      <c r="M94" s="166"/>
      <c r="N94" s="166"/>
      <c r="R94" s="148"/>
    </row>
    <row r="95" spans="1:18" x14ac:dyDescent="0.35">
      <c r="A95" s="162"/>
      <c r="B95" s="162"/>
      <c r="C95" s="162"/>
      <c r="D95" s="162"/>
      <c r="E95" s="162"/>
      <c r="F95" s="162"/>
      <c r="G95" s="162"/>
      <c r="H95" s="162"/>
      <c r="I95" s="162"/>
      <c r="J95" s="166"/>
      <c r="K95" s="162"/>
      <c r="L95" s="166"/>
      <c r="M95" s="166"/>
      <c r="N95" s="166"/>
      <c r="R95" s="148"/>
    </row>
    <row r="96" spans="1:18" x14ac:dyDescent="0.35">
      <c r="A96" s="162"/>
      <c r="B96" s="162"/>
      <c r="C96" s="162"/>
      <c r="D96" s="162"/>
      <c r="E96" s="162"/>
      <c r="F96" s="162"/>
      <c r="G96" s="162"/>
      <c r="H96" s="162"/>
      <c r="I96" s="162"/>
      <c r="J96" s="166"/>
      <c r="K96" s="162"/>
      <c r="L96" s="166"/>
      <c r="M96" s="166"/>
      <c r="N96" s="166"/>
      <c r="R96" s="148"/>
    </row>
    <row r="97" spans="1:18" x14ac:dyDescent="0.35">
      <c r="A97" s="162"/>
      <c r="B97" s="162"/>
      <c r="C97" s="162"/>
      <c r="D97" s="162"/>
      <c r="E97" s="162"/>
      <c r="F97" s="162"/>
      <c r="G97" s="162"/>
      <c r="H97" s="162"/>
      <c r="I97" s="162"/>
      <c r="J97" s="166"/>
      <c r="K97" s="162"/>
      <c r="L97" s="166"/>
      <c r="M97" s="166"/>
      <c r="N97" s="166"/>
      <c r="R97" s="148"/>
    </row>
    <row r="98" spans="1:18" x14ac:dyDescent="0.35">
      <c r="A98" s="162"/>
      <c r="B98" s="162"/>
      <c r="C98" s="162"/>
      <c r="D98" s="162"/>
      <c r="E98" s="162"/>
      <c r="F98" s="162"/>
      <c r="G98" s="162"/>
      <c r="H98" s="162"/>
      <c r="I98" s="162"/>
      <c r="J98" s="166"/>
      <c r="K98" s="162"/>
      <c r="L98" s="166"/>
      <c r="M98" s="166"/>
      <c r="N98" s="166"/>
      <c r="R98" s="148"/>
    </row>
    <row r="99" spans="1:18" x14ac:dyDescent="0.35">
      <c r="A99" s="162"/>
      <c r="B99" s="162"/>
      <c r="C99" s="162"/>
      <c r="D99" s="162"/>
      <c r="E99" s="162"/>
      <c r="F99" s="162"/>
      <c r="G99" s="162"/>
      <c r="H99" s="162"/>
      <c r="I99" s="162"/>
      <c r="J99" s="166"/>
      <c r="K99" s="162"/>
      <c r="L99" s="166"/>
      <c r="M99" s="166"/>
      <c r="N99" s="166"/>
      <c r="R99" s="148"/>
    </row>
    <row r="100" spans="1:18" x14ac:dyDescent="0.35">
      <c r="A100" s="162"/>
      <c r="B100" s="162"/>
      <c r="C100" s="162"/>
      <c r="D100" s="162"/>
      <c r="E100" s="162"/>
      <c r="F100" s="162"/>
      <c r="G100" s="162"/>
      <c r="H100" s="162"/>
      <c r="I100" s="162"/>
      <c r="J100" s="166"/>
      <c r="K100" s="162"/>
      <c r="L100" s="166"/>
      <c r="M100" s="166"/>
      <c r="N100" s="166"/>
      <c r="R100" s="148"/>
    </row>
    <row r="101" spans="1:18" x14ac:dyDescent="0.35">
      <c r="A101" s="162"/>
      <c r="B101" s="162"/>
      <c r="C101" s="162"/>
      <c r="D101" s="162"/>
      <c r="E101" s="162"/>
      <c r="F101" s="162"/>
      <c r="G101" s="162"/>
      <c r="H101" s="162"/>
      <c r="I101" s="162"/>
      <c r="J101" s="166"/>
      <c r="K101" s="162"/>
      <c r="L101" s="166"/>
      <c r="M101" s="166"/>
      <c r="N101" s="166"/>
      <c r="R101" s="148"/>
    </row>
    <row r="102" spans="1:18" x14ac:dyDescent="0.35">
      <c r="A102" s="162"/>
      <c r="B102" s="162"/>
      <c r="C102" s="162"/>
      <c r="D102" s="162"/>
      <c r="E102" s="162"/>
      <c r="F102" s="162"/>
      <c r="G102" s="162"/>
      <c r="H102" s="162"/>
      <c r="I102" s="162"/>
      <c r="J102" s="166"/>
      <c r="K102" s="162"/>
      <c r="L102" s="166"/>
      <c r="M102" s="166"/>
      <c r="N102" s="166"/>
      <c r="R102" s="148"/>
    </row>
    <row r="103" spans="1:18" x14ac:dyDescent="0.35">
      <c r="A103" s="162"/>
      <c r="B103" s="162"/>
      <c r="C103" s="162"/>
      <c r="D103" s="162"/>
      <c r="E103" s="162"/>
      <c r="F103" s="162"/>
      <c r="G103" s="162"/>
      <c r="H103" s="162"/>
      <c r="I103" s="162"/>
      <c r="J103" s="166"/>
      <c r="K103" s="162"/>
      <c r="L103" s="166"/>
      <c r="M103" s="166"/>
      <c r="N103" s="166"/>
      <c r="R103" s="148"/>
    </row>
    <row r="104" spans="1:18" x14ac:dyDescent="0.35">
      <c r="A104" s="162"/>
      <c r="B104" s="162"/>
      <c r="C104" s="162"/>
      <c r="D104" s="162"/>
      <c r="E104" s="162"/>
      <c r="F104" s="162"/>
      <c r="G104" s="162"/>
      <c r="H104" s="162"/>
      <c r="I104" s="162"/>
      <c r="J104" s="166"/>
      <c r="K104" s="162"/>
      <c r="L104" s="166"/>
      <c r="M104" s="166"/>
      <c r="N104" s="166"/>
      <c r="R104" s="148"/>
    </row>
    <row r="105" spans="1:18" x14ac:dyDescent="0.35">
      <c r="A105" s="162"/>
      <c r="B105" s="162"/>
      <c r="C105" s="162"/>
      <c r="D105" s="162"/>
      <c r="E105" s="162"/>
      <c r="F105" s="162"/>
      <c r="G105" s="162"/>
      <c r="H105" s="162"/>
      <c r="I105" s="162"/>
      <c r="J105" s="166"/>
      <c r="K105" s="162"/>
      <c r="L105" s="166"/>
      <c r="M105" s="166"/>
      <c r="N105" s="166"/>
      <c r="R105" s="148"/>
    </row>
    <row r="106" spans="1:18" x14ac:dyDescent="0.35">
      <c r="A106" s="162"/>
      <c r="B106" s="162"/>
      <c r="C106" s="162"/>
      <c r="D106" s="162"/>
      <c r="E106" s="162"/>
      <c r="F106" s="162"/>
      <c r="G106" s="162"/>
      <c r="H106" s="162"/>
      <c r="I106" s="162"/>
      <c r="J106" s="166"/>
      <c r="K106" s="162"/>
      <c r="L106" s="166"/>
      <c r="M106" s="166"/>
      <c r="N106" s="166"/>
      <c r="R106" s="148"/>
    </row>
    <row r="107" spans="1:18" x14ac:dyDescent="0.35">
      <c r="A107" s="162"/>
      <c r="B107" s="162"/>
      <c r="C107" s="162"/>
      <c r="D107" s="162"/>
      <c r="E107" s="162"/>
      <c r="F107" s="162"/>
      <c r="G107" s="162"/>
      <c r="H107" s="162"/>
      <c r="I107" s="162"/>
      <c r="J107" s="166"/>
      <c r="K107" s="162"/>
      <c r="L107" s="166"/>
      <c r="M107" s="166"/>
      <c r="N107" s="166"/>
      <c r="R107" s="148"/>
    </row>
    <row r="108" spans="1:18" x14ac:dyDescent="0.35">
      <c r="A108" s="162"/>
      <c r="B108" s="162"/>
      <c r="C108" s="162"/>
      <c r="D108" s="162"/>
      <c r="E108" s="162"/>
      <c r="F108" s="162"/>
      <c r="G108" s="162"/>
      <c r="H108" s="162"/>
      <c r="I108" s="162"/>
      <c r="J108" s="166"/>
      <c r="K108" s="162"/>
      <c r="L108" s="166"/>
      <c r="M108" s="166"/>
      <c r="N108" s="166"/>
      <c r="R108" s="148"/>
    </row>
    <row r="109" spans="1:18" x14ac:dyDescent="0.35">
      <c r="A109" s="162"/>
      <c r="B109" s="162"/>
      <c r="C109" s="162"/>
      <c r="D109" s="162"/>
      <c r="E109" s="162"/>
      <c r="F109" s="162"/>
      <c r="G109" s="162"/>
      <c r="H109" s="162"/>
      <c r="I109" s="162"/>
      <c r="J109" s="166"/>
      <c r="K109" s="162"/>
      <c r="L109" s="166"/>
      <c r="M109" s="166"/>
      <c r="N109" s="166"/>
      <c r="R109" s="148"/>
    </row>
    <row r="110" spans="1:18" x14ac:dyDescent="0.35">
      <c r="A110" s="162"/>
      <c r="B110" s="162"/>
      <c r="C110" s="162"/>
      <c r="D110" s="162"/>
      <c r="E110" s="162"/>
      <c r="F110" s="162"/>
      <c r="G110" s="162"/>
      <c r="H110" s="162"/>
      <c r="I110" s="162"/>
      <c r="J110" s="166"/>
      <c r="K110" s="162"/>
      <c r="L110" s="166"/>
      <c r="M110" s="166"/>
      <c r="N110" s="166"/>
      <c r="R110" s="148"/>
    </row>
    <row r="111" spans="1:18" x14ac:dyDescent="0.35">
      <c r="A111" s="162"/>
      <c r="B111" s="162"/>
      <c r="C111" s="162"/>
      <c r="D111" s="162"/>
      <c r="E111" s="162"/>
      <c r="F111" s="162"/>
      <c r="G111" s="162"/>
      <c r="H111" s="162"/>
      <c r="I111" s="162"/>
      <c r="J111" s="166"/>
      <c r="K111" s="162"/>
      <c r="L111" s="166"/>
      <c r="M111" s="166"/>
      <c r="N111" s="166"/>
      <c r="R111" s="148"/>
    </row>
    <row r="112" spans="1:18" x14ac:dyDescent="0.35">
      <c r="A112" s="162"/>
      <c r="B112" s="162"/>
      <c r="C112" s="162"/>
      <c r="D112" s="162"/>
      <c r="E112" s="162"/>
      <c r="F112" s="162"/>
      <c r="G112" s="162"/>
      <c r="H112" s="162"/>
      <c r="I112" s="162"/>
      <c r="J112" s="166"/>
      <c r="K112" s="162"/>
      <c r="L112" s="166"/>
      <c r="M112" s="166"/>
      <c r="N112" s="166"/>
      <c r="R112" s="148"/>
    </row>
    <row r="113" spans="18:18" x14ac:dyDescent="0.35">
      <c r="R113" s="148"/>
    </row>
    <row r="114" spans="18:18" x14ac:dyDescent="0.35">
      <c r="R114" s="148"/>
    </row>
    <row r="115" spans="18:18" x14ac:dyDescent="0.35">
      <c r="R115" s="148"/>
    </row>
    <row r="116" spans="18:18" x14ac:dyDescent="0.35">
      <c r="R116" s="148"/>
    </row>
    <row r="117" spans="18:18" x14ac:dyDescent="0.35">
      <c r="R117" s="148"/>
    </row>
    <row r="118" spans="18:18" x14ac:dyDescent="0.35">
      <c r="R118" s="148"/>
    </row>
    <row r="119" spans="18:18" x14ac:dyDescent="0.35">
      <c r="R119" s="148"/>
    </row>
    <row r="120" spans="18:18" x14ac:dyDescent="0.35">
      <c r="R120" s="148"/>
    </row>
  </sheetData>
  <autoFilter ref="A12:P80" xr:uid="{00000000-0009-0000-0000-000004000000}"/>
  <mergeCells count="2">
    <mergeCell ref="A1:O4"/>
    <mergeCell ref="A5:Q5"/>
  </mergeCells>
  <pageMargins left="0.7" right="0.7" top="0.75" bottom="0.75" header="0.511811023622047" footer="0.511811023622047"/>
  <pageSetup paperSize="9" scale="29" orientation="portrait" horizontalDpi="300" verticalDpi="30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3"/>
  <sheetViews>
    <sheetView zoomScale="62" zoomScaleNormal="62" workbookViewId="0">
      <selection activeCell="O18" sqref="O18"/>
    </sheetView>
  </sheetViews>
  <sheetFormatPr defaultColWidth="9.08984375" defaultRowHeight="14.5" x14ac:dyDescent="0.35"/>
  <cols>
    <col min="1" max="2" width="10.90625" customWidth="1"/>
    <col min="3" max="3" width="33.08984375" customWidth="1"/>
    <col min="4" max="4" width="10.36328125" customWidth="1"/>
    <col min="5" max="5" width="12.54296875" customWidth="1"/>
    <col min="6" max="6" width="7.36328125" customWidth="1"/>
    <col min="7" max="7" width="9.90625" customWidth="1"/>
    <col min="8" max="8" width="16.54296875" customWidth="1"/>
    <col min="9" max="9" width="2.36328125" customWidth="1"/>
  </cols>
  <sheetData>
    <row r="3" spans="2:2" x14ac:dyDescent="0.35">
      <c r="B3" s="167" t="s">
        <v>548</v>
      </c>
    </row>
  </sheetData>
  <pageMargins left="0.25" right="0.25" top="0.75" bottom="0.75" header="0.511811023622047" footer="0.511811023622047"/>
  <pageSetup paperSize="9" scale="70" orientation="portrait" horizontalDpi="300" verticalDpi="30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337"/>
  <sheetViews>
    <sheetView topLeftCell="A191" zoomScale="80" zoomScaleNormal="80" workbookViewId="0">
      <selection activeCell="D212" sqref="D212"/>
    </sheetView>
  </sheetViews>
  <sheetFormatPr defaultColWidth="9.08984375" defaultRowHeight="14.5" x14ac:dyDescent="0.35"/>
  <cols>
    <col min="1" max="1" width="16.90625" style="43" customWidth="1"/>
    <col min="2" max="2" width="16.08984375" style="43" customWidth="1"/>
    <col min="3" max="3" width="16.453125" style="43" customWidth="1"/>
    <col min="4" max="4" width="151.08984375" style="43" customWidth="1"/>
    <col min="5" max="5" width="16.36328125" style="43" customWidth="1"/>
    <col min="6" max="6" width="15.08984375" style="43" customWidth="1"/>
    <col min="7" max="7" width="14.08984375" style="43" customWidth="1"/>
    <col min="8" max="8" width="17.6328125" style="43" customWidth="1"/>
    <col min="9" max="9" width="24" style="43" customWidth="1"/>
    <col min="10" max="256" width="9.08984375" style="43"/>
    <col min="257" max="257" width="16.90625" style="43" customWidth="1"/>
    <col min="258" max="258" width="16.08984375" style="43" customWidth="1"/>
    <col min="259" max="259" width="16.453125" style="43" customWidth="1"/>
    <col min="260" max="260" width="163.54296875" style="43" customWidth="1"/>
    <col min="261" max="261" width="11.453125" style="43" customWidth="1"/>
    <col min="262" max="262" width="15.08984375" style="43" customWidth="1"/>
    <col min="263" max="263" width="14.08984375" style="43" customWidth="1"/>
    <col min="264" max="512" width="9.08984375" style="43"/>
    <col min="513" max="513" width="16.90625" style="43" customWidth="1"/>
    <col min="514" max="514" width="16.08984375" style="43" customWidth="1"/>
    <col min="515" max="515" width="16.453125" style="43" customWidth="1"/>
    <col min="516" max="516" width="163.54296875" style="43" customWidth="1"/>
    <col min="517" max="517" width="11.453125" style="43" customWidth="1"/>
    <col min="518" max="518" width="15.08984375" style="43" customWidth="1"/>
    <col min="519" max="519" width="14.08984375" style="43" customWidth="1"/>
    <col min="520" max="768" width="9.08984375" style="43"/>
    <col min="769" max="769" width="16.90625" style="43" customWidth="1"/>
    <col min="770" max="770" width="16.08984375" style="43" customWidth="1"/>
    <col min="771" max="771" width="16.453125" style="43" customWidth="1"/>
    <col min="772" max="772" width="163.54296875" style="43" customWidth="1"/>
    <col min="773" max="773" width="11.453125" style="43" customWidth="1"/>
    <col min="774" max="774" width="15.08984375" style="43" customWidth="1"/>
    <col min="775" max="775" width="14.08984375" style="43" customWidth="1"/>
    <col min="776" max="1024" width="9.08984375" style="43"/>
    <col min="1025" max="1025" width="16.90625" style="43" customWidth="1"/>
    <col min="1026" max="1026" width="16.08984375" style="43" customWidth="1"/>
    <col min="1027" max="1027" width="16.453125" style="43" customWidth="1"/>
    <col min="1028" max="1028" width="163.54296875" style="43" customWidth="1"/>
    <col min="1029" max="1029" width="11.453125" style="43" customWidth="1"/>
    <col min="1030" max="1030" width="15.08984375" style="43" customWidth="1"/>
    <col min="1031" max="1031" width="14.08984375" style="43" customWidth="1"/>
    <col min="1032" max="1280" width="9.08984375" style="43"/>
    <col min="1281" max="1281" width="16.90625" style="43" customWidth="1"/>
    <col min="1282" max="1282" width="16.08984375" style="43" customWidth="1"/>
    <col min="1283" max="1283" width="16.453125" style="43" customWidth="1"/>
    <col min="1284" max="1284" width="163.54296875" style="43" customWidth="1"/>
    <col min="1285" max="1285" width="11.453125" style="43" customWidth="1"/>
    <col min="1286" max="1286" width="15.08984375" style="43" customWidth="1"/>
    <col min="1287" max="1287" width="14.08984375" style="43" customWidth="1"/>
    <col min="1288" max="1536" width="9.08984375" style="43"/>
    <col min="1537" max="1537" width="16.90625" style="43" customWidth="1"/>
    <col min="1538" max="1538" width="16.08984375" style="43" customWidth="1"/>
    <col min="1539" max="1539" width="16.453125" style="43" customWidth="1"/>
    <col min="1540" max="1540" width="163.54296875" style="43" customWidth="1"/>
    <col min="1541" max="1541" width="11.453125" style="43" customWidth="1"/>
    <col min="1542" max="1542" width="15.08984375" style="43" customWidth="1"/>
    <col min="1543" max="1543" width="14.08984375" style="43" customWidth="1"/>
    <col min="1544" max="1792" width="9.08984375" style="43"/>
    <col min="1793" max="1793" width="16.90625" style="43" customWidth="1"/>
    <col min="1794" max="1794" width="16.08984375" style="43" customWidth="1"/>
    <col min="1795" max="1795" width="16.453125" style="43" customWidth="1"/>
    <col min="1796" max="1796" width="163.54296875" style="43" customWidth="1"/>
    <col min="1797" max="1797" width="11.453125" style="43" customWidth="1"/>
    <col min="1798" max="1798" width="15.08984375" style="43" customWidth="1"/>
    <col min="1799" max="1799" width="14.08984375" style="43" customWidth="1"/>
    <col min="1800" max="2048" width="9.08984375" style="43"/>
    <col min="2049" max="2049" width="16.90625" style="43" customWidth="1"/>
    <col min="2050" max="2050" width="16.08984375" style="43" customWidth="1"/>
    <col min="2051" max="2051" width="16.453125" style="43" customWidth="1"/>
    <col min="2052" max="2052" width="163.54296875" style="43" customWidth="1"/>
    <col min="2053" max="2053" width="11.453125" style="43" customWidth="1"/>
    <col min="2054" max="2054" width="15.08984375" style="43" customWidth="1"/>
    <col min="2055" max="2055" width="14.08984375" style="43" customWidth="1"/>
    <col min="2056" max="2304" width="9.08984375" style="43"/>
    <col min="2305" max="2305" width="16.90625" style="43" customWidth="1"/>
    <col min="2306" max="2306" width="16.08984375" style="43" customWidth="1"/>
    <col min="2307" max="2307" width="16.453125" style="43" customWidth="1"/>
    <col min="2308" max="2308" width="163.54296875" style="43" customWidth="1"/>
    <col min="2309" max="2309" width="11.453125" style="43" customWidth="1"/>
    <col min="2310" max="2310" width="15.08984375" style="43" customWidth="1"/>
    <col min="2311" max="2311" width="14.08984375" style="43" customWidth="1"/>
    <col min="2312" max="2560" width="9.08984375" style="43"/>
    <col min="2561" max="2561" width="16.90625" style="43" customWidth="1"/>
    <col min="2562" max="2562" width="16.08984375" style="43" customWidth="1"/>
    <col min="2563" max="2563" width="16.453125" style="43" customWidth="1"/>
    <col min="2564" max="2564" width="163.54296875" style="43" customWidth="1"/>
    <col min="2565" max="2565" width="11.453125" style="43" customWidth="1"/>
    <col min="2566" max="2566" width="15.08984375" style="43" customWidth="1"/>
    <col min="2567" max="2567" width="14.08984375" style="43" customWidth="1"/>
    <col min="2568" max="2816" width="9.08984375" style="43"/>
    <col min="2817" max="2817" width="16.90625" style="43" customWidth="1"/>
    <col min="2818" max="2818" width="16.08984375" style="43" customWidth="1"/>
    <col min="2819" max="2819" width="16.453125" style="43" customWidth="1"/>
    <col min="2820" max="2820" width="163.54296875" style="43" customWidth="1"/>
    <col min="2821" max="2821" width="11.453125" style="43" customWidth="1"/>
    <col min="2822" max="2822" width="15.08984375" style="43" customWidth="1"/>
    <col min="2823" max="2823" width="14.08984375" style="43" customWidth="1"/>
    <col min="2824" max="3072" width="9.08984375" style="43"/>
    <col min="3073" max="3073" width="16.90625" style="43" customWidth="1"/>
    <col min="3074" max="3074" width="16.08984375" style="43" customWidth="1"/>
    <col min="3075" max="3075" width="16.453125" style="43" customWidth="1"/>
    <col min="3076" max="3076" width="163.54296875" style="43" customWidth="1"/>
    <col min="3077" max="3077" width="11.453125" style="43" customWidth="1"/>
    <col min="3078" max="3078" width="15.08984375" style="43" customWidth="1"/>
    <col min="3079" max="3079" width="14.08984375" style="43" customWidth="1"/>
    <col min="3080" max="3328" width="9.08984375" style="43"/>
    <col min="3329" max="3329" width="16.90625" style="43" customWidth="1"/>
    <col min="3330" max="3330" width="16.08984375" style="43" customWidth="1"/>
    <col min="3331" max="3331" width="16.453125" style="43" customWidth="1"/>
    <col min="3332" max="3332" width="163.54296875" style="43" customWidth="1"/>
    <col min="3333" max="3333" width="11.453125" style="43" customWidth="1"/>
    <col min="3334" max="3334" width="15.08984375" style="43" customWidth="1"/>
    <col min="3335" max="3335" width="14.08984375" style="43" customWidth="1"/>
    <col min="3336" max="3584" width="9.08984375" style="43"/>
    <col min="3585" max="3585" width="16.90625" style="43" customWidth="1"/>
    <col min="3586" max="3586" width="16.08984375" style="43" customWidth="1"/>
    <col min="3587" max="3587" width="16.453125" style="43" customWidth="1"/>
    <col min="3588" max="3588" width="163.54296875" style="43" customWidth="1"/>
    <col min="3589" max="3589" width="11.453125" style="43" customWidth="1"/>
    <col min="3590" max="3590" width="15.08984375" style="43" customWidth="1"/>
    <col min="3591" max="3591" width="14.08984375" style="43" customWidth="1"/>
    <col min="3592" max="3840" width="9.08984375" style="43"/>
    <col min="3841" max="3841" width="16.90625" style="43" customWidth="1"/>
    <col min="3842" max="3842" width="16.08984375" style="43" customWidth="1"/>
    <col min="3843" max="3843" width="16.453125" style="43" customWidth="1"/>
    <col min="3844" max="3844" width="163.54296875" style="43" customWidth="1"/>
    <col min="3845" max="3845" width="11.453125" style="43" customWidth="1"/>
    <col min="3846" max="3846" width="15.08984375" style="43" customWidth="1"/>
    <col min="3847" max="3847" width="14.08984375" style="43" customWidth="1"/>
    <col min="3848" max="4096" width="9.08984375" style="43"/>
    <col min="4097" max="4097" width="16.90625" style="43" customWidth="1"/>
    <col min="4098" max="4098" width="16.08984375" style="43" customWidth="1"/>
    <col min="4099" max="4099" width="16.453125" style="43" customWidth="1"/>
    <col min="4100" max="4100" width="163.54296875" style="43" customWidth="1"/>
    <col min="4101" max="4101" width="11.453125" style="43" customWidth="1"/>
    <col min="4102" max="4102" width="15.08984375" style="43" customWidth="1"/>
    <col min="4103" max="4103" width="14.08984375" style="43" customWidth="1"/>
    <col min="4104" max="4352" width="9.08984375" style="43"/>
    <col min="4353" max="4353" width="16.90625" style="43" customWidth="1"/>
    <col min="4354" max="4354" width="16.08984375" style="43" customWidth="1"/>
    <col min="4355" max="4355" width="16.453125" style="43" customWidth="1"/>
    <col min="4356" max="4356" width="163.54296875" style="43" customWidth="1"/>
    <col min="4357" max="4357" width="11.453125" style="43" customWidth="1"/>
    <col min="4358" max="4358" width="15.08984375" style="43" customWidth="1"/>
    <col min="4359" max="4359" width="14.08984375" style="43" customWidth="1"/>
    <col min="4360" max="4608" width="9.08984375" style="43"/>
    <col min="4609" max="4609" width="16.90625" style="43" customWidth="1"/>
    <col min="4610" max="4610" width="16.08984375" style="43" customWidth="1"/>
    <col min="4611" max="4611" width="16.453125" style="43" customWidth="1"/>
    <col min="4612" max="4612" width="163.54296875" style="43" customWidth="1"/>
    <col min="4613" max="4613" width="11.453125" style="43" customWidth="1"/>
    <col min="4614" max="4614" width="15.08984375" style="43" customWidth="1"/>
    <col min="4615" max="4615" width="14.08984375" style="43" customWidth="1"/>
    <col min="4616" max="4864" width="9.08984375" style="43"/>
    <col min="4865" max="4865" width="16.90625" style="43" customWidth="1"/>
    <col min="4866" max="4866" width="16.08984375" style="43" customWidth="1"/>
    <col min="4867" max="4867" width="16.453125" style="43" customWidth="1"/>
    <col min="4868" max="4868" width="163.54296875" style="43" customWidth="1"/>
    <col min="4869" max="4869" width="11.453125" style="43" customWidth="1"/>
    <col min="4870" max="4870" width="15.08984375" style="43" customWidth="1"/>
    <col min="4871" max="4871" width="14.08984375" style="43" customWidth="1"/>
    <col min="4872" max="5120" width="9.08984375" style="43"/>
    <col min="5121" max="5121" width="16.90625" style="43" customWidth="1"/>
    <col min="5122" max="5122" width="16.08984375" style="43" customWidth="1"/>
    <col min="5123" max="5123" width="16.453125" style="43" customWidth="1"/>
    <col min="5124" max="5124" width="163.54296875" style="43" customWidth="1"/>
    <col min="5125" max="5125" width="11.453125" style="43" customWidth="1"/>
    <col min="5126" max="5126" width="15.08984375" style="43" customWidth="1"/>
    <col min="5127" max="5127" width="14.08984375" style="43" customWidth="1"/>
    <col min="5128" max="5376" width="9.08984375" style="43"/>
    <col min="5377" max="5377" width="16.90625" style="43" customWidth="1"/>
    <col min="5378" max="5378" width="16.08984375" style="43" customWidth="1"/>
    <col min="5379" max="5379" width="16.453125" style="43" customWidth="1"/>
    <col min="5380" max="5380" width="163.54296875" style="43" customWidth="1"/>
    <col min="5381" max="5381" width="11.453125" style="43" customWidth="1"/>
    <col min="5382" max="5382" width="15.08984375" style="43" customWidth="1"/>
    <col min="5383" max="5383" width="14.08984375" style="43" customWidth="1"/>
    <col min="5384" max="5632" width="9.08984375" style="43"/>
    <col min="5633" max="5633" width="16.90625" style="43" customWidth="1"/>
    <col min="5634" max="5634" width="16.08984375" style="43" customWidth="1"/>
    <col min="5635" max="5635" width="16.453125" style="43" customWidth="1"/>
    <col min="5636" max="5636" width="163.54296875" style="43" customWidth="1"/>
    <col min="5637" max="5637" width="11.453125" style="43" customWidth="1"/>
    <col min="5638" max="5638" width="15.08984375" style="43" customWidth="1"/>
    <col min="5639" max="5639" width="14.08984375" style="43" customWidth="1"/>
    <col min="5640" max="5888" width="9.08984375" style="43"/>
    <col min="5889" max="5889" width="16.90625" style="43" customWidth="1"/>
    <col min="5890" max="5890" width="16.08984375" style="43" customWidth="1"/>
    <col min="5891" max="5891" width="16.453125" style="43" customWidth="1"/>
    <col min="5892" max="5892" width="163.54296875" style="43" customWidth="1"/>
    <col min="5893" max="5893" width="11.453125" style="43" customWidth="1"/>
    <col min="5894" max="5894" width="15.08984375" style="43" customWidth="1"/>
    <col min="5895" max="5895" width="14.08984375" style="43" customWidth="1"/>
    <col min="5896" max="6144" width="9.08984375" style="43"/>
    <col min="6145" max="6145" width="16.90625" style="43" customWidth="1"/>
    <col min="6146" max="6146" width="16.08984375" style="43" customWidth="1"/>
    <col min="6147" max="6147" width="16.453125" style="43" customWidth="1"/>
    <col min="6148" max="6148" width="163.54296875" style="43" customWidth="1"/>
    <col min="6149" max="6149" width="11.453125" style="43" customWidth="1"/>
    <col min="6150" max="6150" width="15.08984375" style="43" customWidth="1"/>
    <col min="6151" max="6151" width="14.08984375" style="43" customWidth="1"/>
    <col min="6152" max="6400" width="9.08984375" style="43"/>
    <col min="6401" max="6401" width="16.90625" style="43" customWidth="1"/>
    <col min="6402" max="6402" width="16.08984375" style="43" customWidth="1"/>
    <col min="6403" max="6403" width="16.453125" style="43" customWidth="1"/>
    <col min="6404" max="6404" width="163.54296875" style="43" customWidth="1"/>
    <col min="6405" max="6405" width="11.453125" style="43" customWidth="1"/>
    <col min="6406" max="6406" width="15.08984375" style="43" customWidth="1"/>
    <col min="6407" max="6407" width="14.08984375" style="43" customWidth="1"/>
    <col min="6408" max="6656" width="9.08984375" style="43"/>
    <col min="6657" max="6657" width="16.90625" style="43" customWidth="1"/>
    <col min="6658" max="6658" width="16.08984375" style="43" customWidth="1"/>
    <col min="6659" max="6659" width="16.453125" style="43" customWidth="1"/>
    <col min="6660" max="6660" width="163.54296875" style="43" customWidth="1"/>
    <col min="6661" max="6661" width="11.453125" style="43" customWidth="1"/>
    <col min="6662" max="6662" width="15.08984375" style="43" customWidth="1"/>
    <col min="6663" max="6663" width="14.08984375" style="43" customWidth="1"/>
    <col min="6664" max="6912" width="9.08984375" style="43"/>
    <col min="6913" max="6913" width="16.90625" style="43" customWidth="1"/>
    <col min="6914" max="6914" width="16.08984375" style="43" customWidth="1"/>
    <col min="6915" max="6915" width="16.453125" style="43" customWidth="1"/>
    <col min="6916" max="6916" width="163.54296875" style="43" customWidth="1"/>
    <col min="6917" max="6917" width="11.453125" style="43" customWidth="1"/>
    <col min="6918" max="6918" width="15.08984375" style="43" customWidth="1"/>
    <col min="6919" max="6919" width="14.08984375" style="43" customWidth="1"/>
    <col min="6920" max="7168" width="9.08984375" style="43"/>
    <col min="7169" max="7169" width="16.90625" style="43" customWidth="1"/>
    <col min="7170" max="7170" width="16.08984375" style="43" customWidth="1"/>
    <col min="7171" max="7171" width="16.453125" style="43" customWidth="1"/>
    <col min="7172" max="7172" width="163.54296875" style="43" customWidth="1"/>
    <col min="7173" max="7173" width="11.453125" style="43" customWidth="1"/>
    <col min="7174" max="7174" width="15.08984375" style="43" customWidth="1"/>
    <col min="7175" max="7175" width="14.08984375" style="43" customWidth="1"/>
    <col min="7176" max="7424" width="9.08984375" style="43"/>
    <col min="7425" max="7425" width="16.90625" style="43" customWidth="1"/>
    <col min="7426" max="7426" width="16.08984375" style="43" customWidth="1"/>
    <col min="7427" max="7427" width="16.453125" style="43" customWidth="1"/>
    <col min="7428" max="7428" width="163.54296875" style="43" customWidth="1"/>
    <col min="7429" max="7429" width="11.453125" style="43" customWidth="1"/>
    <col min="7430" max="7430" width="15.08984375" style="43" customWidth="1"/>
    <col min="7431" max="7431" width="14.08984375" style="43" customWidth="1"/>
    <col min="7432" max="7680" width="9.08984375" style="43"/>
    <col min="7681" max="7681" width="16.90625" style="43" customWidth="1"/>
    <col min="7682" max="7682" width="16.08984375" style="43" customWidth="1"/>
    <col min="7683" max="7683" width="16.453125" style="43" customWidth="1"/>
    <col min="7684" max="7684" width="163.54296875" style="43" customWidth="1"/>
    <col min="7685" max="7685" width="11.453125" style="43" customWidth="1"/>
    <col min="7686" max="7686" width="15.08984375" style="43" customWidth="1"/>
    <col min="7687" max="7687" width="14.08984375" style="43" customWidth="1"/>
    <col min="7688" max="7936" width="9.08984375" style="43"/>
    <col min="7937" max="7937" width="16.90625" style="43" customWidth="1"/>
    <col min="7938" max="7938" width="16.08984375" style="43" customWidth="1"/>
    <col min="7939" max="7939" width="16.453125" style="43" customWidth="1"/>
    <col min="7940" max="7940" width="163.54296875" style="43" customWidth="1"/>
    <col min="7941" max="7941" width="11.453125" style="43" customWidth="1"/>
    <col min="7942" max="7942" width="15.08984375" style="43" customWidth="1"/>
    <col min="7943" max="7943" width="14.08984375" style="43" customWidth="1"/>
    <col min="7944" max="8192" width="9.08984375" style="43"/>
    <col min="8193" max="8193" width="16.90625" style="43" customWidth="1"/>
    <col min="8194" max="8194" width="16.08984375" style="43" customWidth="1"/>
    <col min="8195" max="8195" width="16.453125" style="43" customWidth="1"/>
    <col min="8196" max="8196" width="163.54296875" style="43" customWidth="1"/>
    <col min="8197" max="8197" width="11.453125" style="43" customWidth="1"/>
    <col min="8198" max="8198" width="15.08984375" style="43" customWidth="1"/>
    <col min="8199" max="8199" width="14.08984375" style="43" customWidth="1"/>
    <col min="8200" max="8448" width="9.08984375" style="43"/>
    <col min="8449" max="8449" width="16.90625" style="43" customWidth="1"/>
    <col min="8450" max="8450" width="16.08984375" style="43" customWidth="1"/>
    <col min="8451" max="8451" width="16.453125" style="43" customWidth="1"/>
    <col min="8452" max="8452" width="163.54296875" style="43" customWidth="1"/>
    <col min="8453" max="8453" width="11.453125" style="43" customWidth="1"/>
    <col min="8454" max="8454" width="15.08984375" style="43" customWidth="1"/>
    <col min="8455" max="8455" width="14.08984375" style="43" customWidth="1"/>
    <col min="8456" max="8704" width="9.08984375" style="43"/>
    <col min="8705" max="8705" width="16.90625" style="43" customWidth="1"/>
    <col min="8706" max="8706" width="16.08984375" style="43" customWidth="1"/>
    <col min="8707" max="8707" width="16.453125" style="43" customWidth="1"/>
    <col min="8708" max="8708" width="163.54296875" style="43" customWidth="1"/>
    <col min="8709" max="8709" width="11.453125" style="43" customWidth="1"/>
    <col min="8710" max="8710" width="15.08984375" style="43" customWidth="1"/>
    <col min="8711" max="8711" width="14.08984375" style="43" customWidth="1"/>
    <col min="8712" max="8960" width="9.08984375" style="43"/>
    <col min="8961" max="8961" width="16.90625" style="43" customWidth="1"/>
    <col min="8962" max="8962" width="16.08984375" style="43" customWidth="1"/>
    <col min="8963" max="8963" width="16.453125" style="43" customWidth="1"/>
    <col min="8964" max="8964" width="163.54296875" style="43" customWidth="1"/>
    <col min="8965" max="8965" width="11.453125" style="43" customWidth="1"/>
    <col min="8966" max="8966" width="15.08984375" style="43" customWidth="1"/>
    <col min="8967" max="8967" width="14.08984375" style="43" customWidth="1"/>
    <col min="8968" max="9216" width="9.08984375" style="43"/>
    <col min="9217" max="9217" width="16.90625" style="43" customWidth="1"/>
    <col min="9218" max="9218" width="16.08984375" style="43" customWidth="1"/>
    <col min="9219" max="9219" width="16.453125" style="43" customWidth="1"/>
    <col min="9220" max="9220" width="163.54296875" style="43" customWidth="1"/>
    <col min="9221" max="9221" width="11.453125" style="43" customWidth="1"/>
    <col min="9222" max="9222" width="15.08984375" style="43" customWidth="1"/>
    <col min="9223" max="9223" width="14.08984375" style="43" customWidth="1"/>
    <col min="9224" max="9472" width="9.08984375" style="43"/>
    <col min="9473" max="9473" width="16.90625" style="43" customWidth="1"/>
    <col min="9474" max="9474" width="16.08984375" style="43" customWidth="1"/>
    <col min="9475" max="9475" width="16.453125" style="43" customWidth="1"/>
    <col min="9476" max="9476" width="163.54296875" style="43" customWidth="1"/>
    <col min="9477" max="9477" width="11.453125" style="43" customWidth="1"/>
    <col min="9478" max="9478" width="15.08984375" style="43" customWidth="1"/>
    <col min="9479" max="9479" width="14.08984375" style="43" customWidth="1"/>
    <col min="9480" max="9728" width="9.08984375" style="43"/>
    <col min="9729" max="9729" width="16.90625" style="43" customWidth="1"/>
    <col min="9730" max="9730" width="16.08984375" style="43" customWidth="1"/>
    <col min="9731" max="9731" width="16.453125" style="43" customWidth="1"/>
    <col min="9732" max="9732" width="163.54296875" style="43" customWidth="1"/>
    <col min="9733" max="9733" width="11.453125" style="43" customWidth="1"/>
    <col min="9734" max="9734" width="15.08984375" style="43" customWidth="1"/>
    <col min="9735" max="9735" width="14.08984375" style="43" customWidth="1"/>
    <col min="9736" max="9984" width="9.08984375" style="43"/>
    <col min="9985" max="9985" width="16.90625" style="43" customWidth="1"/>
    <col min="9986" max="9986" width="16.08984375" style="43" customWidth="1"/>
    <col min="9987" max="9987" width="16.453125" style="43" customWidth="1"/>
    <col min="9988" max="9988" width="163.54296875" style="43" customWidth="1"/>
    <col min="9989" max="9989" width="11.453125" style="43" customWidth="1"/>
    <col min="9990" max="9990" width="15.08984375" style="43" customWidth="1"/>
    <col min="9991" max="9991" width="14.08984375" style="43" customWidth="1"/>
    <col min="9992" max="10240" width="9.08984375" style="43"/>
    <col min="10241" max="10241" width="16.90625" style="43" customWidth="1"/>
    <col min="10242" max="10242" width="16.08984375" style="43" customWidth="1"/>
    <col min="10243" max="10243" width="16.453125" style="43" customWidth="1"/>
    <col min="10244" max="10244" width="163.54296875" style="43" customWidth="1"/>
    <col min="10245" max="10245" width="11.453125" style="43" customWidth="1"/>
    <col min="10246" max="10246" width="15.08984375" style="43" customWidth="1"/>
    <col min="10247" max="10247" width="14.08984375" style="43" customWidth="1"/>
    <col min="10248" max="10496" width="9.08984375" style="43"/>
    <col min="10497" max="10497" width="16.90625" style="43" customWidth="1"/>
    <col min="10498" max="10498" width="16.08984375" style="43" customWidth="1"/>
    <col min="10499" max="10499" width="16.453125" style="43" customWidth="1"/>
    <col min="10500" max="10500" width="163.54296875" style="43" customWidth="1"/>
    <col min="10501" max="10501" width="11.453125" style="43" customWidth="1"/>
    <col min="10502" max="10502" width="15.08984375" style="43" customWidth="1"/>
    <col min="10503" max="10503" width="14.08984375" style="43" customWidth="1"/>
    <col min="10504" max="10752" width="9.08984375" style="43"/>
    <col min="10753" max="10753" width="16.90625" style="43" customWidth="1"/>
    <col min="10754" max="10754" width="16.08984375" style="43" customWidth="1"/>
    <col min="10755" max="10755" width="16.453125" style="43" customWidth="1"/>
    <col min="10756" max="10756" width="163.54296875" style="43" customWidth="1"/>
    <col min="10757" max="10757" width="11.453125" style="43" customWidth="1"/>
    <col min="10758" max="10758" width="15.08984375" style="43" customWidth="1"/>
    <col min="10759" max="10759" width="14.08984375" style="43" customWidth="1"/>
    <col min="10760" max="11008" width="9.08984375" style="43"/>
    <col min="11009" max="11009" width="16.90625" style="43" customWidth="1"/>
    <col min="11010" max="11010" width="16.08984375" style="43" customWidth="1"/>
    <col min="11011" max="11011" width="16.453125" style="43" customWidth="1"/>
    <col min="11012" max="11012" width="163.54296875" style="43" customWidth="1"/>
    <col min="11013" max="11013" width="11.453125" style="43" customWidth="1"/>
    <col min="11014" max="11014" width="15.08984375" style="43" customWidth="1"/>
    <col min="11015" max="11015" width="14.08984375" style="43" customWidth="1"/>
    <col min="11016" max="11264" width="9.08984375" style="43"/>
    <col min="11265" max="11265" width="16.90625" style="43" customWidth="1"/>
    <col min="11266" max="11266" width="16.08984375" style="43" customWidth="1"/>
    <col min="11267" max="11267" width="16.453125" style="43" customWidth="1"/>
    <col min="11268" max="11268" width="163.54296875" style="43" customWidth="1"/>
    <col min="11269" max="11269" width="11.453125" style="43" customWidth="1"/>
    <col min="11270" max="11270" width="15.08984375" style="43" customWidth="1"/>
    <col min="11271" max="11271" width="14.08984375" style="43" customWidth="1"/>
    <col min="11272" max="11520" width="9.08984375" style="43"/>
    <col min="11521" max="11521" width="16.90625" style="43" customWidth="1"/>
    <col min="11522" max="11522" width="16.08984375" style="43" customWidth="1"/>
    <col min="11523" max="11523" width="16.453125" style="43" customWidth="1"/>
    <col min="11524" max="11524" width="163.54296875" style="43" customWidth="1"/>
    <col min="11525" max="11525" width="11.453125" style="43" customWidth="1"/>
    <col min="11526" max="11526" width="15.08984375" style="43" customWidth="1"/>
    <col min="11527" max="11527" width="14.08984375" style="43" customWidth="1"/>
    <col min="11528" max="11776" width="9.08984375" style="43"/>
    <col min="11777" max="11777" width="16.90625" style="43" customWidth="1"/>
    <col min="11778" max="11778" width="16.08984375" style="43" customWidth="1"/>
    <col min="11779" max="11779" width="16.453125" style="43" customWidth="1"/>
    <col min="11780" max="11780" width="163.54296875" style="43" customWidth="1"/>
    <col min="11781" max="11781" width="11.453125" style="43" customWidth="1"/>
    <col min="11782" max="11782" width="15.08984375" style="43" customWidth="1"/>
    <col min="11783" max="11783" width="14.08984375" style="43" customWidth="1"/>
    <col min="11784" max="12032" width="9.08984375" style="43"/>
    <col min="12033" max="12033" width="16.90625" style="43" customWidth="1"/>
    <col min="12034" max="12034" width="16.08984375" style="43" customWidth="1"/>
    <col min="12035" max="12035" width="16.453125" style="43" customWidth="1"/>
    <col min="12036" max="12036" width="163.54296875" style="43" customWidth="1"/>
    <col min="12037" max="12037" width="11.453125" style="43" customWidth="1"/>
    <col min="12038" max="12038" width="15.08984375" style="43" customWidth="1"/>
    <col min="12039" max="12039" width="14.08984375" style="43" customWidth="1"/>
    <col min="12040" max="12288" width="9.08984375" style="43"/>
    <col min="12289" max="12289" width="16.90625" style="43" customWidth="1"/>
    <col min="12290" max="12290" width="16.08984375" style="43" customWidth="1"/>
    <col min="12291" max="12291" width="16.453125" style="43" customWidth="1"/>
    <col min="12292" max="12292" width="163.54296875" style="43" customWidth="1"/>
    <col min="12293" max="12293" width="11.453125" style="43" customWidth="1"/>
    <col min="12294" max="12294" width="15.08984375" style="43" customWidth="1"/>
    <col min="12295" max="12295" width="14.08984375" style="43" customWidth="1"/>
    <col min="12296" max="12544" width="9.08984375" style="43"/>
    <col min="12545" max="12545" width="16.90625" style="43" customWidth="1"/>
    <col min="12546" max="12546" width="16.08984375" style="43" customWidth="1"/>
    <col min="12547" max="12547" width="16.453125" style="43" customWidth="1"/>
    <col min="12548" max="12548" width="163.54296875" style="43" customWidth="1"/>
    <col min="12549" max="12549" width="11.453125" style="43" customWidth="1"/>
    <col min="12550" max="12550" width="15.08984375" style="43" customWidth="1"/>
    <col min="12551" max="12551" width="14.08984375" style="43" customWidth="1"/>
    <col min="12552" max="12800" width="9.08984375" style="43"/>
    <col min="12801" max="12801" width="16.90625" style="43" customWidth="1"/>
    <col min="12802" max="12802" width="16.08984375" style="43" customWidth="1"/>
    <col min="12803" max="12803" width="16.453125" style="43" customWidth="1"/>
    <col min="12804" max="12804" width="163.54296875" style="43" customWidth="1"/>
    <col min="12805" max="12805" width="11.453125" style="43" customWidth="1"/>
    <col min="12806" max="12806" width="15.08984375" style="43" customWidth="1"/>
    <col min="12807" max="12807" width="14.08984375" style="43" customWidth="1"/>
    <col min="12808" max="13056" width="9.08984375" style="43"/>
    <col min="13057" max="13057" width="16.90625" style="43" customWidth="1"/>
    <col min="13058" max="13058" width="16.08984375" style="43" customWidth="1"/>
    <col min="13059" max="13059" width="16.453125" style="43" customWidth="1"/>
    <col min="13060" max="13060" width="163.54296875" style="43" customWidth="1"/>
    <col min="13061" max="13061" width="11.453125" style="43" customWidth="1"/>
    <col min="13062" max="13062" width="15.08984375" style="43" customWidth="1"/>
    <col min="13063" max="13063" width="14.08984375" style="43" customWidth="1"/>
    <col min="13064" max="13312" width="9.08984375" style="43"/>
    <col min="13313" max="13313" width="16.90625" style="43" customWidth="1"/>
    <col min="13314" max="13314" width="16.08984375" style="43" customWidth="1"/>
    <col min="13315" max="13315" width="16.453125" style="43" customWidth="1"/>
    <col min="13316" max="13316" width="163.54296875" style="43" customWidth="1"/>
    <col min="13317" max="13317" width="11.453125" style="43" customWidth="1"/>
    <col min="13318" max="13318" width="15.08984375" style="43" customWidth="1"/>
    <col min="13319" max="13319" width="14.08984375" style="43" customWidth="1"/>
    <col min="13320" max="13568" width="9.08984375" style="43"/>
    <col min="13569" max="13569" width="16.90625" style="43" customWidth="1"/>
    <col min="13570" max="13570" width="16.08984375" style="43" customWidth="1"/>
    <col min="13571" max="13571" width="16.453125" style="43" customWidth="1"/>
    <col min="13572" max="13572" width="163.54296875" style="43" customWidth="1"/>
    <col min="13573" max="13573" width="11.453125" style="43" customWidth="1"/>
    <col min="13574" max="13574" width="15.08984375" style="43" customWidth="1"/>
    <col min="13575" max="13575" width="14.08984375" style="43" customWidth="1"/>
    <col min="13576" max="13824" width="9.08984375" style="43"/>
    <col min="13825" max="13825" width="16.90625" style="43" customWidth="1"/>
    <col min="13826" max="13826" width="16.08984375" style="43" customWidth="1"/>
    <col min="13827" max="13827" width="16.453125" style="43" customWidth="1"/>
    <col min="13828" max="13828" width="163.54296875" style="43" customWidth="1"/>
    <col min="13829" max="13829" width="11.453125" style="43" customWidth="1"/>
    <col min="13830" max="13830" width="15.08984375" style="43" customWidth="1"/>
    <col min="13831" max="13831" width="14.08984375" style="43" customWidth="1"/>
    <col min="13832" max="14080" width="9.08984375" style="43"/>
    <col min="14081" max="14081" width="16.90625" style="43" customWidth="1"/>
    <col min="14082" max="14082" width="16.08984375" style="43" customWidth="1"/>
    <col min="14083" max="14083" width="16.453125" style="43" customWidth="1"/>
    <col min="14084" max="14084" width="163.54296875" style="43" customWidth="1"/>
    <col min="14085" max="14085" width="11.453125" style="43" customWidth="1"/>
    <col min="14086" max="14086" width="15.08984375" style="43" customWidth="1"/>
    <col min="14087" max="14087" width="14.08984375" style="43" customWidth="1"/>
    <col min="14088" max="14336" width="9.08984375" style="43"/>
    <col min="14337" max="14337" width="16.90625" style="43" customWidth="1"/>
    <col min="14338" max="14338" width="16.08984375" style="43" customWidth="1"/>
    <col min="14339" max="14339" width="16.453125" style="43" customWidth="1"/>
    <col min="14340" max="14340" width="163.54296875" style="43" customWidth="1"/>
    <col min="14341" max="14341" width="11.453125" style="43" customWidth="1"/>
    <col min="14342" max="14342" width="15.08984375" style="43" customWidth="1"/>
    <col min="14343" max="14343" width="14.08984375" style="43" customWidth="1"/>
    <col min="14344" max="14592" width="9.08984375" style="43"/>
    <col min="14593" max="14593" width="16.90625" style="43" customWidth="1"/>
    <col min="14594" max="14594" width="16.08984375" style="43" customWidth="1"/>
    <col min="14595" max="14595" width="16.453125" style="43" customWidth="1"/>
    <col min="14596" max="14596" width="163.54296875" style="43" customWidth="1"/>
    <col min="14597" max="14597" width="11.453125" style="43" customWidth="1"/>
    <col min="14598" max="14598" width="15.08984375" style="43" customWidth="1"/>
    <col min="14599" max="14599" width="14.08984375" style="43" customWidth="1"/>
    <col min="14600" max="14848" width="9.08984375" style="43"/>
    <col min="14849" max="14849" width="16.90625" style="43" customWidth="1"/>
    <col min="14850" max="14850" width="16.08984375" style="43" customWidth="1"/>
    <col min="14851" max="14851" width="16.453125" style="43" customWidth="1"/>
    <col min="14852" max="14852" width="163.54296875" style="43" customWidth="1"/>
    <col min="14853" max="14853" width="11.453125" style="43" customWidth="1"/>
    <col min="14854" max="14854" width="15.08984375" style="43" customWidth="1"/>
    <col min="14855" max="14855" width="14.08984375" style="43" customWidth="1"/>
    <col min="14856" max="15104" width="9.08984375" style="43"/>
    <col min="15105" max="15105" width="16.90625" style="43" customWidth="1"/>
    <col min="15106" max="15106" width="16.08984375" style="43" customWidth="1"/>
    <col min="15107" max="15107" width="16.453125" style="43" customWidth="1"/>
    <col min="15108" max="15108" width="163.54296875" style="43" customWidth="1"/>
    <col min="15109" max="15109" width="11.453125" style="43" customWidth="1"/>
    <col min="15110" max="15110" width="15.08984375" style="43" customWidth="1"/>
    <col min="15111" max="15111" width="14.08984375" style="43" customWidth="1"/>
    <col min="15112" max="15360" width="9.08984375" style="43"/>
    <col min="15361" max="15361" width="16.90625" style="43" customWidth="1"/>
    <col min="15362" max="15362" width="16.08984375" style="43" customWidth="1"/>
    <col min="15363" max="15363" width="16.453125" style="43" customWidth="1"/>
    <col min="15364" max="15364" width="163.54296875" style="43" customWidth="1"/>
    <col min="15365" max="15365" width="11.453125" style="43" customWidth="1"/>
    <col min="15366" max="15366" width="15.08984375" style="43" customWidth="1"/>
    <col min="15367" max="15367" width="14.08984375" style="43" customWidth="1"/>
    <col min="15368" max="15616" width="9.08984375" style="43"/>
    <col min="15617" max="15617" width="16.90625" style="43" customWidth="1"/>
    <col min="15618" max="15618" width="16.08984375" style="43" customWidth="1"/>
    <col min="15619" max="15619" width="16.453125" style="43" customWidth="1"/>
    <col min="15620" max="15620" width="163.54296875" style="43" customWidth="1"/>
    <col min="15621" max="15621" width="11.453125" style="43" customWidth="1"/>
    <col min="15622" max="15622" width="15.08984375" style="43" customWidth="1"/>
    <col min="15623" max="15623" width="14.08984375" style="43" customWidth="1"/>
    <col min="15624" max="15872" width="9.08984375" style="43"/>
    <col min="15873" max="15873" width="16.90625" style="43" customWidth="1"/>
    <col min="15874" max="15874" width="16.08984375" style="43" customWidth="1"/>
    <col min="15875" max="15875" width="16.453125" style="43" customWidth="1"/>
    <col min="15876" max="15876" width="163.54296875" style="43" customWidth="1"/>
    <col min="15877" max="15877" width="11.453125" style="43" customWidth="1"/>
    <col min="15878" max="15878" width="15.08984375" style="43" customWidth="1"/>
    <col min="15879" max="15879" width="14.08984375" style="43" customWidth="1"/>
    <col min="15880" max="16128" width="9.08984375" style="43"/>
    <col min="16129" max="16129" width="16.90625" style="43" customWidth="1"/>
    <col min="16130" max="16130" width="16.08984375" style="43" customWidth="1"/>
    <col min="16131" max="16131" width="16.453125" style="43" customWidth="1"/>
    <col min="16132" max="16132" width="163.54296875" style="43" customWidth="1"/>
    <col min="16133" max="16133" width="11.453125" style="43" customWidth="1"/>
    <col min="16134" max="16134" width="15.08984375" style="43" customWidth="1"/>
    <col min="16135" max="16135" width="14.08984375" style="43" customWidth="1"/>
    <col min="16136" max="16384" width="9.08984375" style="43"/>
  </cols>
  <sheetData>
    <row r="1" spans="1:7" x14ac:dyDescent="0.35">
      <c r="A1" s="168" t="s">
        <v>549</v>
      </c>
      <c r="B1" s="168" t="s">
        <v>550</v>
      </c>
    </row>
    <row r="2" spans="1:7" x14ac:dyDescent="0.35">
      <c r="A2" s="168" t="s">
        <v>551</v>
      </c>
      <c r="B2" s="168" t="s">
        <v>552</v>
      </c>
      <c r="C2" s="168" t="s">
        <v>553</v>
      </c>
      <c r="D2" s="168" t="s">
        <v>554</v>
      </c>
    </row>
    <row r="3" spans="1:7" x14ac:dyDescent="0.35">
      <c r="A3" s="168" t="s">
        <v>555</v>
      </c>
      <c r="B3" s="169">
        <v>5961993.0599999996</v>
      </c>
    </row>
    <row r="4" spans="1:7" x14ac:dyDescent="0.35">
      <c r="A4" s="168" t="s">
        <v>556</v>
      </c>
      <c r="B4" s="169">
        <v>7261701.2599999998</v>
      </c>
    </row>
    <row r="5" spans="1:7" x14ac:dyDescent="0.35">
      <c r="A5" s="168" t="s">
        <v>557</v>
      </c>
      <c r="B5" s="169">
        <v>7261701.2599999998</v>
      </c>
    </row>
    <row r="6" spans="1:7" x14ac:dyDescent="0.35">
      <c r="A6" s="43" t="s">
        <v>558</v>
      </c>
      <c r="B6" s="43" t="s">
        <v>559</v>
      </c>
      <c r="C6" s="43" t="s">
        <v>560</v>
      </c>
      <c r="D6" s="43" t="s">
        <v>561</v>
      </c>
      <c r="E6" s="43" t="s">
        <v>562</v>
      </c>
      <c r="F6" s="43" t="s">
        <v>563</v>
      </c>
      <c r="G6" s="43" t="s">
        <v>564</v>
      </c>
    </row>
    <row r="7" spans="1:7" x14ac:dyDescent="0.35">
      <c r="A7" s="168" t="s">
        <v>552</v>
      </c>
      <c r="B7" s="168" t="s">
        <v>552</v>
      </c>
      <c r="C7" s="168" t="s">
        <v>565</v>
      </c>
      <c r="D7" s="168" t="s">
        <v>566</v>
      </c>
      <c r="E7" s="169">
        <v>141128</v>
      </c>
      <c r="F7" s="169"/>
      <c r="G7" s="169">
        <v>5820865.0599999996</v>
      </c>
    </row>
    <row r="8" spans="1:7" x14ac:dyDescent="0.35">
      <c r="A8" s="168" t="s">
        <v>567</v>
      </c>
      <c r="B8" s="168" t="s">
        <v>567</v>
      </c>
      <c r="C8" s="168" t="s">
        <v>565</v>
      </c>
      <c r="D8" s="168" t="s">
        <v>474</v>
      </c>
      <c r="E8" s="169">
        <v>10800</v>
      </c>
      <c r="F8" s="169"/>
      <c r="G8" s="169">
        <v>5810065.0599999996</v>
      </c>
    </row>
    <row r="9" spans="1:7" x14ac:dyDescent="0.35">
      <c r="A9" s="168" t="s">
        <v>567</v>
      </c>
      <c r="B9" s="168" t="s">
        <v>567</v>
      </c>
      <c r="C9" s="168" t="s">
        <v>565</v>
      </c>
      <c r="D9" s="168" t="s">
        <v>568</v>
      </c>
      <c r="E9" s="169">
        <v>2650000</v>
      </c>
      <c r="F9" s="169"/>
      <c r="G9" s="169">
        <v>3160065.06</v>
      </c>
    </row>
    <row r="10" spans="1:7" x14ac:dyDescent="0.35">
      <c r="A10" s="168" t="s">
        <v>569</v>
      </c>
      <c r="B10" s="168" t="s">
        <v>569</v>
      </c>
      <c r="C10" s="168" t="s">
        <v>565</v>
      </c>
      <c r="D10" s="168" t="s">
        <v>570</v>
      </c>
      <c r="E10" s="169">
        <v>17020</v>
      </c>
      <c r="F10" s="169"/>
      <c r="G10" s="169">
        <v>3143045.06</v>
      </c>
    </row>
    <row r="11" spans="1:7" x14ac:dyDescent="0.35">
      <c r="A11" s="168" t="s">
        <v>569</v>
      </c>
      <c r="B11" s="168" t="s">
        <v>569</v>
      </c>
      <c r="C11" s="168" t="s">
        <v>565</v>
      </c>
      <c r="D11" s="168" t="s">
        <v>571</v>
      </c>
      <c r="E11" s="169">
        <v>3324</v>
      </c>
      <c r="F11" s="169"/>
      <c r="G11" s="169">
        <v>3139721.06</v>
      </c>
    </row>
    <row r="12" spans="1:7" x14ac:dyDescent="0.35">
      <c r="A12" s="168" t="s">
        <v>569</v>
      </c>
      <c r="B12" s="168" t="s">
        <v>569</v>
      </c>
      <c r="C12" s="168" t="s">
        <v>565</v>
      </c>
      <c r="D12" s="168" t="s">
        <v>572</v>
      </c>
      <c r="E12" s="169">
        <v>3983</v>
      </c>
      <c r="F12" s="169"/>
      <c r="G12" s="169">
        <v>3135738.06</v>
      </c>
    </row>
    <row r="13" spans="1:7" x14ac:dyDescent="0.35">
      <c r="A13" s="168" t="s">
        <v>569</v>
      </c>
      <c r="B13" s="168" t="s">
        <v>569</v>
      </c>
      <c r="C13" s="168" t="s">
        <v>565</v>
      </c>
      <c r="D13" s="168" t="s">
        <v>573</v>
      </c>
      <c r="E13" s="169">
        <v>3240</v>
      </c>
      <c r="F13" s="169"/>
      <c r="G13" s="169">
        <v>3132498.06</v>
      </c>
    </row>
    <row r="14" spans="1:7" x14ac:dyDescent="0.35">
      <c r="A14" s="168" t="s">
        <v>569</v>
      </c>
      <c r="B14" s="168" t="s">
        <v>569</v>
      </c>
      <c r="C14" s="168" t="s">
        <v>565</v>
      </c>
      <c r="D14" s="168" t="s">
        <v>574</v>
      </c>
      <c r="E14" s="169">
        <v>5404</v>
      </c>
      <c r="F14" s="169"/>
      <c r="G14" s="169">
        <v>3127094.06</v>
      </c>
    </row>
    <row r="15" spans="1:7" x14ac:dyDescent="0.35">
      <c r="A15" s="168" t="s">
        <v>569</v>
      </c>
      <c r="B15" s="168" t="s">
        <v>569</v>
      </c>
      <c r="C15" s="168" t="s">
        <v>565</v>
      </c>
      <c r="D15" s="168" t="s">
        <v>575</v>
      </c>
      <c r="E15" s="169">
        <v>4650</v>
      </c>
      <c r="F15" s="169"/>
      <c r="G15" s="169">
        <v>3122444.06</v>
      </c>
    </row>
    <row r="16" spans="1:7" x14ac:dyDescent="0.35">
      <c r="A16" s="168" t="s">
        <v>569</v>
      </c>
      <c r="B16" s="168" t="s">
        <v>569</v>
      </c>
      <c r="C16" s="168" t="s">
        <v>565</v>
      </c>
      <c r="D16" s="168" t="s">
        <v>576</v>
      </c>
      <c r="E16" s="169">
        <v>3500</v>
      </c>
      <c r="F16" s="169"/>
      <c r="G16" s="169">
        <v>3118944.06</v>
      </c>
    </row>
    <row r="17" spans="1:7" x14ac:dyDescent="0.35">
      <c r="A17" s="168" t="s">
        <v>569</v>
      </c>
      <c r="B17" s="168" t="s">
        <v>569</v>
      </c>
      <c r="C17" s="168" t="s">
        <v>565</v>
      </c>
      <c r="D17" s="168" t="s">
        <v>577</v>
      </c>
      <c r="E17" s="169">
        <v>6865</v>
      </c>
      <c r="F17" s="169"/>
      <c r="G17" s="169">
        <v>3112079.06</v>
      </c>
    </row>
    <row r="18" spans="1:7" x14ac:dyDescent="0.35">
      <c r="A18" s="168" t="s">
        <v>569</v>
      </c>
      <c r="B18" s="168" t="s">
        <v>569</v>
      </c>
      <c r="C18" s="168" t="s">
        <v>565</v>
      </c>
      <c r="D18" s="168" t="s">
        <v>578</v>
      </c>
      <c r="E18" s="169">
        <v>11778</v>
      </c>
      <c r="F18" s="169"/>
      <c r="G18" s="169">
        <v>3100301.06</v>
      </c>
    </row>
    <row r="19" spans="1:7" x14ac:dyDescent="0.35">
      <c r="A19" s="168" t="s">
        <v>569</v>
      </c>
      <c r="B19" s="168" t="s">
        <v>569</v>
      </c>
      <c r="C19" s="168" t="s">
        <v>565</v>
      </c>
      <c r="D19" s="168" t="s">
        <v>579</v>
      </c>
      <c r="E19" s="169">
        <v>2500</v>
      </c>
      <c r="F19" s="169"/>
      <c r="G19" s="169">
        <v>3097801.06</v>
      </c>
    </row>
    <row r="20" spans="1:7" x14ac:dyDescent="0.35">
      <c r="A20" s="168" t="s">
        <v>569</v>
      </c>
      <c r="B20" s="168" t="s">
        <v>569</v>
      </c>
      <c r="C20" s="168" t="s">
        <v>565</v>
      </c>
      <c r="D20" s="168" t="s">
        <v>580</v>
      </c>
      <c r="E20" s="169">
        <v>5500</v>
      </c>
      <c r="F20" s="169"/>
      <c r="G20" s="169">
        <v>3092301.06</v>
      </c>
    </row>
    <row r="21" spans="1:7" x14ac:dyDescent="0.35">
      <c r="A21" s="168" t="s">
        <v>569</v>
      </c>
      <c r="B21" s="168" t="s">
        <v>569</v>
      </c>
      <c r="C21" s="168" t="s">
        <v>565</v>
      </c>
      <c r="D21" s="168" t="s">
        <v>581</v>
      </c>
      <c r="E21" s="169">
        <v>15540</v>
      </c>
      <c r="F21" s="169"/>
      <c r="G21" s="169">
        <v>3076761.06</v>
      </c>
    </row>
    <row r="22" spans="1:7" x14ac:dyDescent="0.35">
      <c r="A22" s="168" t="s">
        <v>569</v>
      </c>
      <c r="B22" s="168" t="s">
        <v>569</v>
      </c>
      <c r="C22" s="168" t="s">
        <v>565</v>
      </c>
      <c r="D22" s="168" t="s">
        <v>582</v>
      </c>
      <c r="E22" s="169">
        <v>4600</v>
      </c>
      <c r="F22" s="169"/>
      <c r="G22" s="169">
        <v>3072161.06</v>
      </c>
    </row>
    <row r="23" spans="1:7" x14ac:dyDescent="0.35">
      <c r="A23" s="168" t="s">
        <v>569</v>
      </c>
      <c r="B23" s="168" t="s">
        <v>569</v>
      </c>
      <c r="C23" s="168" t="s">
        <v>565</v>
      </c>
      <c r="D23" s="168" t="s">
        <v>583</v>
      </c>
      <c r="E23" s="169">
        <v>3662</v>
      </c>
      <c r="F23" s="169"/>
      <c r="G23" s="169">
        <v>3068499.06</v>
      </c>
    </row>
    <row r="24" spans="1:7" x14ac:dyDescent="0.35">
      <c r="A24" s="168" t="s">
        <v>569</v>
      </c>
      <c r="B24" s="168" t="s">
        <v>569</v>
      </c>
      <c r="C24" s="168" t="s">
        <v>565</v>
      </c>
      <c r="D24" s="168" t="s">
        <v>584</v>
      </c>
      <c r="E24" s="169">
        <v>6895</v>
      </c>
      <c r="F24" s="169"/>
      <c r="G24" s="169">
        <v>3061604.06</v>
      </c>
    </row>
    <row r="25" spans="1:7" x14ac:dyDescent="0.35">
      <c r="A25" s="168" t="s">
        <v>569</v>
      </c>
      <c r="B25" s="168" t="s">
        <v>569</v>
      </c>
      <c r="C25" s="168" t="s">
        <v>565</v>
      </c>
      <c r="D25" s="168" t="s">
        <v>585</v>
      </c>
      <c r="E25" s="169">
        <v>420</v>
      </c>
      <c r="F25" s="169"/>
      <c r="G25" s="169">
        <v>3061184.06</v>
      </c>
    </row>
    <row r="26" spans="1:7" x14ac:dyDescent="0.35">
      <c r="A26" s="168" t="s">
        <v>569</v>
      </c>
      <c r="B26" s="168" t="s">
        <v>569</v>
      </c>
      <c r="C26" s="168" t="s">
        <v>565</v>
      </c>
      <c r="D26" s="168" t="s">
        <v>586</v>
      </c>
      <c r="E26" s="169">
        <v>4411</v>
      </c>
      <c r="F26" s="169"/>
      <c r="G26" s="169">
        <v>3056773.06</v>
      </c>
    </row>
    <row r="27" spans="1:7" x14ac:dyDescent="0.35">
      <c r="A27" s="168" t="s">
        <v>569</v>
      </c>
      <c r="B27" s="168" t="s">
        <v>569</v>
      </c>
      <c r="C27" s="168" t="s">
        <v>565</v>
      </c>
      <c r="D27" s="168" t="s">
        <v>587</v>
      </c>
      <c r="E27" s="169">
        <v>5436</v>
      </c>
      <c r="F27" s="169"/>
      <c r="G27" s="169">
        <v>3051337.06</v>
      </c>
    </row>
    <row r="28" spans="1:7" x14ac:dyDescent="0.35">
      <c r="A28" s="168" t="s">
        <v>569</v>
      </c>
      <c r="B28" s="168" t="s">
        <v>569</v>
      </c>
      <c r="C28" s="168" t="s">
        <v>565</v>
      </c>
      <c r="D28" s="168" t="s">
        <v>588</v>
      </c>
      <c r="E28" s="169">
        <v>1270</v>
      </c>
      <c r="F28" s="169"/>
      <c r="G28" s="169">
        <v>3050067.06</v>
      </c>
    </row>
    <row r="29" spans="1:7" x14ac:dyDescent="0.35">
      <c r="A29" s="168" t="s">
        <v>569</v>
      </c>
      <c r="B29" s="168" t="s">
        <v>569</v>
      </c>
      <c r="C29" s="168" t="s">
        <v>565</v>
      </c>
      <c r="D29" s="168" t="s">
        <v>589</v>
      </c>
      <c r="E29" s="169">
        <v>17020</v>
      </c>
      <c r="F29" s="169"/>
      <c r="G29" s="169">
        <v>3033047.06</v>
      </c>
    </row>
    <row r="30" spans="1:7" x14ac:dyDescent="0.35">
      <c r="A30" s="168" t="s">
        <v>569</v>
      </c>
      <c r="B30" s="168" t="s">
        <v>569</v>
      </c>
      <c r="C30" s="168" t="s">
        <v>565</v>
      </c>
      <c r="D30" s="168" t="s">
        <v>590</v>
      </c>
      <c r="E30" s="169">
        <v>3560</v>
      </c>
      <c r="F30" s="169"/>
      <c r="G30" s="169">
        <v>3029487.06</v>
      </c>
    </row>
    <row r="31" spans="1:7" x14ac:dyDescent="0.35">
      <c r="A31" s="168" t="s">
        <v>569</v>
      </c>
      <c r="B31" s="168" t="s">
        <v>569</v>
      </c>
      <c r="C31" s="168" t="s">
        <v>565</v>
      </c>
      <c r="D31" s="168" t="s">
        <v>591</v>
      </c>
      <c r="E31" s="169">
        <v>903</v>
      </c>
      <c r="F31" s="169"/>
      <c r="G31" s="169">
        <v>3028584.06</v>
      </c>
    </row>
    <row r="32" spans="1:7" x14ac:dyDescent="0.35">
      <c r="A32" s="168" t="s">
        <v>569</v>
      </c>
      <c r="B32" s="168" t="s">
        <v>569</v>
      </c>
      <c r="C32" s="168" t="s">
        <v>565</v>
      </c>
      <c r="D32" s="168" t="s">
        <v>592</v>
      </c>
      <c r="E32" s="169">
        <v>243</v>
      </c>
      <c r="F32" s="169"/>
      <c r="G32" s="169">
        <v>3028341.06</v>
      </c>
    </row>
    <row r="33" spans="1:7" x14ac:dyDescent="0.35">
      <c r="A33" s="168" t="s">
        <v>569</v>
      </c>
      <c r="B33" s="168" t="s">
        <v>569</v>
      </c>
      <c r="C33" s="168" t="s">
        <v>565</v>
      </c>
      <c r="D33" s="168" t="s">
        <v>593</v>
      </c>
      <c r="E33" s="169">
        <v>4000</v>
      </c>
      <c r="F33" s="169"/>
      <c r="G33" s="169">
        <v>3024341.06</v>
      </c>
    </row>
    <row r="34" spans="1:7" x14ac:dyDescent="0.35">
      <c r="A34" s="168" t="s">
        <v>569</v>
      </c>
      <c r="B34" s="168" t="s">
        <v>569</v>
      </c>
      <c r="C34" s="168" t="s">
        <v>565</v>
      </c>
      <c r="D34" s="168" t="s">
        <v>594</v>
      </c>
      <c r="E34" s="169">
        <v>17020</v>
      </c>
      <c r="F34" s="169"/>
      <c r="G34" s="169">
        <v>3007321.06</v>
      </c>
    </row>
    <row r="35" spans="1:7" x14ac:dyDescent="0.35">
      <c r="A35" s="168" t="s">
        <v>569</v>
      </c>
      <c r="B35" s="168" t="s">
        <v>569</v>
      </c>
      <c r="C35" s="168" t="s">
        <v>565</v>
      </c>
      <c r="D35" s="168" t="s">
        <v>595</v>
      </c>
      <c r="E35" s="169">
        <v>17649</v>
      </c>
      <c r="F35" s="169"/>
      <c r="G35" s="169">
        <v>2989672.06</v>
      </c>
    </row>
    <row r="36" spans="1:7" x14ac:dyDescent="0.35">
      <c r="A36" s="168" t="s">
        <v>569</v>
      </c>
      <c r="B36" s="168" t="s">
        <v>569</v>
      </c>
      <c r="C36" s="168" t="s">
        <v>565</v>
      </c>
      <c r="D36" s="168" t="s">
        <v>596</v>
      </c>
      <c r="E36" s="169">
        <v>6400</v>
      </c>
      <c r="F36" s="169"/>
      <c r="G36" s="169">
        <v>2983272.06</v>
      </c>
    </row>
    <row r="37" spans="1:7" x14ac:dyDescent="0.35">
      <c r="A37" s="168" t="s">
        <v>569</v>
      </c>
      <c r="B37" s="168" t="s">
        <v>569</v>
      </c>
      <c r="C37" s="168" t="s">
        <v>565</v>
      </c>
      <c r="D37" s="168" t="s">
        <v>597</v>
      </c>
      <c r="E37" s="169">
        <v>3200</v>
      </c>
      <c r="F37" s="169"/>
      <c r="G37" s="169">
        <v>2980072.06</v>
      </c>
    </row>
    <row r="38" spans="1:7" x14ac:dyDescent="0.35">
      <c r="A38" s="168" t="s">
        <v>569</v>
      </c>
      <c r="B38" s="168" t="s">
        <v>569</v>
      </c>
      <c r="C38" s="168" t="s">
        <v>565</v>
      </c>
      <c r="D38" s="168" t="s">
        <v>598</v>
      </c>
      <c r="E38" s="169">
        <v>3500</v>
      </c>
      <c r="F38" s="169"/>
      <c r="G38" s="169">
        <v>2976572.06</v>
      </c>
    </row>
    <row r="39" spans="1:7" x14ac:dyDescent="0.35">
      <c r="A39" s="168" t="s">
        <v>569</v>
      </c>
      <c r="B39" s="168" t="s">
        <v>569</v>
      </c>
      <c r="C39" s="168" t="s">
        <v>565</v>
      </c>
      <c r="D39" s="168" t="s">
        <v>599</v>
      </c>
      <c r="E39" s="169">
        <v>2000</v>
      </c>
      <c r="F39" s="169"/>
      <c r="G39" s="169">
        <v>2974572.06</v>
      </c>
    </row>
    <row r="40" spans="1:7" x14ac:dyDescent="0.35">
      <c r="A40" s="168" t="s">
        <v>569</v>
      </c>
      <c r="B40" s="168" t="s">
        <v>569</v>
      </c>
      <c r="C40" s="168" t="s">
        <v>565</v>
      </c>
      <c r="D40" s="168" t="s">
        <v>600</v>
      </c>
      <c r="E40" s="169">
        <v>4200</v>
      </c>
      <c r="F40" s="169"/>
      <c r="G40" s="169">
        <v>2970372.06</v>
      </c>
    </row>
    <row r="41" spans="1:7" x14ac:dyDescent="0.35">
      <c r="A41" s="168" t="s">
        <v>569</v>
      </c>
      <c r="B41" s="168" t="s">
        <v>569</v>
      </c>
      <c r="C41" s="168" t="s">
        <v>565</v>
      </c>
      <c r="D41" s="168" t="s">
        <v>601</v>
      </c>
      <c r="E41" s="169">
        <v>925</v>
      </c>
      <c r="F41" s="169"/>
      <c r="G41" s="169">
        <v>2969447.06</v>
      </c>
    </row>
    <row r="42" spans="1:7" x14ac:dyDescent="0.35">
      <c r="A42" s="168" t="s">
        <v>569</v>
      </c>
      <c r="B42" s="168" t="s">
        <v>569</v>
      </c>
      <c r="C42" s="168" t="s">
        <v>565</v>
      </c>
      <c r="D42" s="168" t="s">
        <v>602</v>
      </c>
      <c r="E42" s="169">
        <v>1350</v>
      </c>
      <c r="F42" s="169"/>
      <c r="G42" s="169">
        <v>2968097.06</v>
      </c>
    </row>
    <row r="43" spans="1:7" x14ac:dyDescent="0.35">
      <c r="A43" s="168" t="s">
        <v>569</v>
      </c>
      <c r="B43" s="168" t="s">
        <v>569</v>
      </c>
      <c r="C43" s="168" t="s">
        <v>565</v>
      </c>
      <c r="D43" s="168" t="s">
        <v>603</v>
      </c>
      <c r="E43" s="169">
        <v>4800</v>
      </c>
      <c r="F43" s="169"/>
      <c r="G43" s="169">
        <v>2963297.06</v>
      </c>
    </row>
    <row r="44" spans="1:7" x14ac:dyDescent="0.35">
      <c r="A44" s="168" t="s">
        <v>569</v>
      </c>
      <c r="B44" s="168" t="s">
        <v>569</v>
      </c>
      <c r="C44" s="168" t="s">
        <v>565</v>
      </c>
      <c r="D44" s="168" t="s">
        <v>604</v>
      </c>
      <c r="E44" s="169">
        <v>1030</v>
      </c>
      <c r="F44" s="169"/>
      <c r="G44" s="169">
        <v>2962267.06</v>
      </c>
    </row>
    <row r="45" spans="1:7" x14ac:dyDescent="0.35">
      <c r="A45" s="168" t="s">
        <v>569</v>
      </c>
      <c r="B45" s="168" t="s">
        <v>569</v>
      </c>
      <c r="C45" s="168" t="s">
        <v>565</v>
      </c>
      <c r="D45" s="168" t="s">
        <v>605</v>
      </c>
      <c r="E45" s="169">
        <v>4500</v>
      </c>
      <c r="F45" s="169"/>
      <c r="G45" s="169">
        <v>2957767.06</v>
      </c>
    </row>
    <row r="46" spans="1:7" x14ac:dyDescent="0.35">
      <c r="A46" s="168" t="s">
        <v>569</v>
      </c>
      <c r="B46" s="168" t="s">
        <v>569</v>
      </c>
      <c r="C46" s="168" t="s">
        <v>565</v>
      </c>
      <c r="D46" s="168" t="s">
        <v>606</v>
      </c>
      <c r="E46" s="169">
        <v>1000</v>
      </c>
      <c r="F46" s="169"/>
      <c r="G46" s="169">
        <v>2956767.06</v>
      </c>
    </row>
    <row r="47" spans="1:7" x14ac:dyDescent="0.35">
      <c r="A47" s="168" t="s">
        <v>569</v>
      </c>
      <c r="B47" s="168" t="s">
        <v>569</v>
      </c>
      <c r="C47" s="168" t="s">
        <v>565</v>
      </c>
      <c r="D47" s="168" t="s">
        <v>607</v>
      </c>
      <c r="E47" s="169">
        <v>7100</v>
      </c>
      <c r="F47" s="169"/>
      <c r="G47" s="169">
        <v>2949667.06</v>
      </c>
    </row>
    <row r="48" spans="1:7" x14ac:dyDescent="0.35">
      <c r="A48" s="168" t="s">
        <v>569</v>
      </c>
      <c r="B48" s="168" t="s">
        <v>569</v>
      </c>
      <c r="C48" s="168" t="s">
        <v>565</v>
      </c>
      <c r="D48" s="168" t="s">
        <v>608</v>
      </c>
      <c r="E48" s="169">
        <v>4598</v>
      </c>
      <c r="F48" s="169"/>
      <c r="G48" s="169">
        <v>2945069.06</v>
      </c>
    </row>
    <row r="49" spans="1:7" x14ac:dyDescent="0.35">
      <c r="A49" s="168" t="s">
        <v>569</v>
      </c>
      <c r="B49" s="168" t="s">
        <v>569</v>
      </c>
      <c r="C49" s="168" t="s">
        <v>565</v>
      </c>
      <c r="D49" s="168" t="s">
        <v>609</v>
      </c>
      <c r="E49" s="169">
        <v>800</v>
      </c>
      <c r="F49" s="169"/>
      <c r="G49" s="169">
        <v>2944269.06</v>
      </c>
    </row>
    <row r="50" spans="1:7" x14ac:dyDescent="0.35">
      <c r="A50" s="168" t="s">
        <v>569</v>
      </c>
      <c r="B50" s="168" t="s">
        <v>569</v>
      </c>
      <c r="C50" s="168" t="s">
        <v>565</v>
      </c>
      <c r="D50" s="168" t="s">
        <v>610</v>
      </c>
      <c r="E50" s="169">
        <v>800</v>
      </c>
      <c r="F50" s="169"/>
      <c r="G50" s="169">
        <v>2943469.06</v>
      </c>
    </row>
    <row r="51" spans="1:7" x14ac:dyDescent="0.35">
      <c r="A51" s="168" t="s">
        <v>569</v>
      </c>
      <c r="B51" s="168" t="s">
        <v>569</v>
      </c>
      <c r="C51" s="168" t="s">
        <v>565</v>
      </c>
      <c r="D51" s="168" t="s">
        <v>611</v>
      </c>
      <c r="E51" s="169">
        <v>1344</v>
      </c>
      <c r="F51" s="169"/>
      <c r="G51" s="169">
        <v>2942125.06</v>
      </c>
    </row>
    <row r="52" spans="1:7" x14ac:dyDescent="0.35">
      <c r="A52" s="168" t="s">
        <v>569</v>
      </c>
      <c r="B52" s="168" t="s">
        <v>569</v>
      </c>
      <c r="C52" s="168" t="s">
        <v>565</v>
      </c>
      <c r="D52" s="168" t="s">
        <v>612</v>
      </c>
      <c r="E52" s="169">
        <v>4703</v>
      </c>
      <c r="F52" s="169"/>
      <c r="G52" s="169">
        <v>2937422.06</v>
      </c>
    </row>
    <row r="53" spans="1:7" x14ac:dyDescent="0.35">
      <c r="A53" s="168" t="s">
        <v>569</v>
      </c>
      <c r="B53" s="168" t="s">
        <v>569</v>
      </c>
      <c r="C53" s="168" t="s">
        <v>565</v>
      </c>
      <c r="D53" s="168" t="s">
        <v>613</v>
      </c>
      <c r="E53" s="169">
        <v>2895</v>
      </c>
      <c r="F53" s="169"/>
      <c r="G53" s="169">
        <v>2934527.06</v>
      </c>
    </row>
    <row r="54" spans="1:7" x14ac:dyDescent="0.35">
      <c r="A54" s="168" t="s">
        <v>569</v>
      </c>
      <c r="B54" s="168" t="s">
        <v>569</v>
      </c>
      <c r="C54" s="168" t="s">
        <v>565</v>
      </c>
      <c r="D54" s="168" t="s">
        <v>614</v>
      </c>
      <c r="E54" s="169">
        <v>2139</v>
      </c>
      <c r="F54" s="169"/>
      <c r="G54" s="169">
        <v>2932388.06</v>
      </c>
    </row>
    <row r="55" spans="1:7" x14ac:dyDescent="0.35">
      <c r="A55" s="168" t="s">
        <v>569</v>
      </c>
      <c r="B55" s="168" t="s">
        <v>569</v>
      </c>
      <c r="C55" s="168" t="s">
        <v>565</v>
      </c>
      <c r="D55" s="168" t="s">
        <v>615</v>
      </c>
      <c r="E55" s="169">
        <v>283</v>
      </c>
      <c r="F55" s="169"/>
      <c r="G55" s="169">
        <v>2932105.06</v>
      </c>
    </row>
    <row r="56" spans="1:7" x14ac:dyDescent="0.35">
      <c r="A56" s="168" t="s">
        <v>569</v>
      </c>
      <c r="B56" s="168" t="s">
        <v>569</v>
      </c>
      <c r="C56" s="168" t="s">
        <v>565</v>
      </c>
      <c r="D56" s="168" t="s">
        <v>616</v>
      </c>
      <c r="E56" s="169">
        <v>6602</v>
      </c>
      <c r="F56" s="169"/>
      <c r="G56" s="169">
        <v>2925503.06</v>
      </c>
    </row>
    <row r="57" spans="1:7" x14ac:dyDescent="0.35">
      <c r="A57" s="168" t="s">
        <v>569</v>
      </c>
      <c r="B57" s="168" t="s">
        <v>569</v>
      </c>
      <c r="C57" s="168" t="s">
        <v>565</v>
      </c>
      <c r="D57" s="168" t="s">
        <v>617</v>
      </c>
      <c r="E57" s="169">
        <v>213</v>
      </c>
      <c r="F57" s="169"/>
      <c r="G57" s="169">
        <v>2925290.06</v>
      </c>
    </row>
    <row r="58" spans="1:7" x14ac:dyDescent="0.35">
      <c r="A58" s="168" t="s">
        <v>569</v>
      </c>
      <c r="B58" s="168" t="s">
        <v>569</v>
      </c>
      <c r="C58" s="168" t="s">
        <v>565</v>
      </c>
      <c r="D58" s="168" t="s">
        <v>618</v>
      </c>
      <c r="E58" s="169">
        <v>27755</v>
      </c>
      <c r="F58" s="169"/>
      <c r="G58" s="169">
        <v>2897535.06</v>
      </c>
    </row>
    <row r="59" spans="1:7" x14ac:dyDescent="0.35">
      <c r="A59" s="168" t="s">
        <v>569</v>
      </c>
      <c r="B59" s="168" t="s">
        <v>569</v>
      </c>
      <c r="C59" s="168" t="s">
        <v>565</v>
      </c>
      <c r="D59" s="168" t="s">
        <v>619</v>
      </c>
      <c r="E59" s="169">
        <v>3500</v>
      </c>
      <c r="F59" s="169"/>
      <c r="G59" s="169">
        <v>2894035.06</v>
      </c>
    </row>
    <row r="60" spans="1:7" x14ac:dyDescent="0.35">
      <c r="A60" s="168" t="s">
        <v>569</v>
      </c>
      <c r="B60" s="168" t="s">
        <v>569</v>
      </c>
      <c r="C60" s="168" t="s">
        <v>565</v>
      </c>
      <c r="D60" s="168" t="s">
        <v>620</v>
      </c>
      <c r="E60" s="169">
        <v>3480</v>
      </c>
      <c r="F60" s="169"/>
      <c r="G60" s="169">
        <v>2890555.06</v>
      </c>
    </row>
    <row r="61" spans="1:7" x14ac:dyDescent="0.35">
      <c r="A61" s="168" t="s">
        <v>569</v>
      </c>
      <c r="B61" s="168" t="s">
        <v>569</v>
      </c>
      <c r="C61" s="168" t="s">
        <v>565</v>
      </c>
      <c r="D61" s="168" t="s">
        <v>621</v>
      </c>
      <c r="E61" s="169">
        <v>588</v>
      </c>
      <c r="F61" s="169"/>
      <c r="G61" s="169">
        <v>2889967.06</v>
      </c>
    </row>
    <row r="62" spans="1:7" x14ac:dyDescent="0.35">
      <c r="A62" s="168" t="s">
        <v>569</v>
      </c>
      <c r="B62" s="168" t="s">
        <v>569</v>
      </c>
      <c r="C62" s="168" t="s">
        <v>565</v>
      </c>
      <c r="D62" s="168" t="s">
        <v>622</v>
      </c>
      <c r="E62" s="169">
        <v>4244</v>
      </c>
      <c r="F62" s="169"/>
      <c r="G62" s="169">
        <v>2885723.06</v>
      </c>
    </row>
    <row r="63" spans="1:7" x14ac:dyDescent="0.35">
      <c r="A63" s="168" t="s">
        <v>569</v>
      </c>
      <c r="B63" s="168" t="s">
        <v>569</v>
      </c>
      <c r="C63" s="168" t="s">
        <v>565</v>
      </c>
      <c r="D63" s="168" t="s">
        <v>623</v>
      </c>
      <c r="E63" s="169">
        <v>2500</v>
      </c>
      <c r="F63" s="169"/>
      <c r="G63" s="169">
        <v>2883223.06</v>
      </c>
    </row>
    <row r="64" spans="1:7" x14ac:dyDescent="0.35">
      <c r="A64" s="168" t="s">
        <v>569</v>
      </c>
      <c r="B64" s="168" t="s">
        <v>569</v>
      </c>
      <c r="C64" s="168" t="s">
        <v>565</v>
      </c>
      <c r="D64" s="168" t="s">
        <v>624</v>
      </c>
      <c r="E64" s="169">
        <v>1500</v>
      </c>
      <c r="F64" s="169"/>
      <c r="G64" s="169">
        <v>2881723.06</v>
      </c>
    </row>
    <row r="65" spans="1:7" x14ac:dyDescent="0.35">
      <c r="A65" s="168" t="s">
        <v>569</v>
      </c>
      <c r="B65" s="168" t="s">
        <v>569</v>
      </c>
      <c r="C65" s="168" t="s">
        <v>565</v>
      </c>
      <c r="D65" s="168" t="s">
        <v>625</v>
      </c>
      <c r="E65" s="169">
        <v>2160</v>
      </c>
      <c r="F65" s="169"/>
      <c r="G65" s="169">
        <v>2879563.06</v>
      </c>
    </row>
    <row r="66" spans="1:7" x14ac:dyDescent="0.35">
      <c r="A66" s="168" t="s">
        <v>569</v>
      </c>
      <c r="B66" s="168" t="s">
        <v>569</v>
      </c>
      <c r="C66" s="168" t="s">
        <v>565</v>
      </c>
      <c r="D66" s="168" t="s">
        <v>626</v>
      </c>
      <c r="E66" s="169">
        <v>4429</v>
      </c>
      <c r="F66" s="169"/>
      <c r="G66" s="169">
        <v>2875134.06</v>
      </c>
    </row>
    <row r="67" spans="1:7" x14ac:dyDescent="0.35">
      <c r="A67" s="168" t="s">
        <v>569</v>
      </c>
      <c r="B67" s="168" t="s">
        <v>569</v>
      </c>
      <c r="C67" s="168" t="s">
        <v>565</v>
      </c>
      <c r="D67" s="168" t="s">
        <v>627</v>
      </c>
      <c r="E67" s="169">
        <v>17020</v>
      </c>
      <c r="F67" s="169"/>
      <c r="G67" s="169">
        <v>2858114.06</v>
      </c>
    </row>
    <row r="68" spans="1:7" x14ac:dyDescent="0.35">
      <c r="A68" s="168" t="s">
        <v>569</v>
      </c>
      <c r="B68" s="168" t="s">
        <v>569</v>
      </c>
      <c r="C68" s="168" t="s">
        <v>565</v>
      </c>
      <c r="D68" s="168" t="s">
        <v>628</v>
      </c>
      <c r="E68" s="169">
        <v>616</v>
      </c>
      <c r="F68" s="169"/>
      <c r="G68" s="169">
        <v>2857498.06</v>
      </c>
    </row>
    <row r="69" spans="1:7" x14ac:dyDescent="0.35">
      <c r="A69" s="168" t="s">
        <v>569</v>
      </c>
      <c r="B69" s="168" t="s">
        <v>569</v>
      </c>
      <c r="C69" s="168" t="s">
        <v>565</v>
      </c>
      <c r="D69" s="168" t="s">
        <v>629</v>
      </c>
      <c r="E69" s="169">
        <v>21459</v>
      </c>
      <c r="F69" s="169"/>
      <c r="G69" s="169">
        <v>2836039.06</v>
      </c>
    </row>
    <row r="70" spans="1:7" x14ac:dyDescent="0.35">
      <c r="A70" s="168" t="s">
        <v>569</v>
      </c>
      <c r="B70" s="168" t="s">
        <v>569</v>
      </c>
      <c r="C70" s="168" t="s">
        <v>565</v>
      </c>
      <c r="D70" s="168" t="s">
        <v>630</v>
      </c>
      <c r="E70" s="169">
        <v>2130</v>
      </c>
      <c r="F70" s="169"/>
      <c r="G70" s="169">
        <v>2833909.06</v>
      </c>
    </row>
    <row r="71" spans="1:7" x14ac:dyDescent="0.35">
      <c r="A71" s="168" t="s">
        <v>569</v>
      </c>
      <c r="B71" s="168" t="s">
        <v>569</v>
      </c>
      <c r="C71" s="168" t="s">
        <v>565</v>
      </c>
      <c r="D71" s="168" t="s">
        <v>631</v>
      </c>
      <c r="E71" s="169">
        <v>1163</v>
      </c>
      <c r="F71" s="169"/>
      <c r="G71" s="169">
        <v>2832746.06</v>
      </c>
    </row>
    <row r="72" spans="1:7" x14ac:dyDescent="0.35">
      <c r="A72" s="168" t="s">
        <v>569</v>
      </c>
      <c r="B72" s="168" t="s">
        <v>569</v>
      </c>
      <c r="C72" s="168" t="s">
        <v>565</v>
      </c>
      <c r="D72" s="168" t="s">
        <v>632</v>
      </c>
      <c r="E72" s="169">
        <v>9000</v>
      </c>
      <c r="F72" s="169"/>
      <c r="G72" s="169">
        <v>2823746.06</v>
      </c>
    </row>
    <row r="73" spans="1:7" x14ac:dyDescent="0.35">
      <c r="A73" s="168" t="s">
        <v>569</v>
      </c>
      <c r="B73" s="168" t="s">
        <v>569</v>
      </c>
      <c r="C73" s="168" t="s">
        <v>565</v>
      </c>
      <c r="D73" s="168" t="s">
        <v>633</v>
      </c>
      <c r="E73" s="169">
        <v>19091</v>
      </c>
      <c r="F73" s="169"/>
      <c r="G73" s="169">
        <v>2804655.06</v>
      </c>
    </row>
    <row r="74" spans="1:7" x14ac:dyDescent="0.35">
      <c r="A74" s="168" t="s">
        <v>569</v>
      </c>
      <c r="B74" s="168" t="s">
        <v>569</v>
      </c>
      <c r="C74" s="168" t="s">
        <v>565</v>
      </c>
      <c r="D74" s="168" t="s">
        <v>634</v>
      </c>
      <c r="E74" s="169">
        <v>1183</v>
      </c>
      <c r="F74" s="169"/>
      <c r="G74" s="169">
        <v>2803472.06</v>
      </c>
    </row>
    <row r="75" spans="1:7" x14ac:dyDescent="0.35">
      <c r="A75" s="168" t="s">
        <v>569</v>
      </c>
      <c r="B75" s="168" t="s">
        <v>569</v>
      </c>
      <c r="C75" s="168" t="s">
        <v>565</v>
      </c>
      <c r="D75" s="168" t="s">
        <v>635</v>
      </c>
      <c r="E75" s="169">
        <v>600</v>
      </c>
      <c r="F75" s="169"/>
      <c r="G75" s="169">
        <v>2802872.06</v>
      </c>
    </row>
    <row r="76" spans="1:7" x14ac:dyDescent="0.35">
      <c r="A76" s="168" t="s">
        <v>569</v>
      </c>
      <c r="B76" s="168" t="s">
        <v>569</v>
      </c>
      <c r="C76" s="168" t="s">
        <v>565</v>
      </c>
      <c r="D76" s="168" t="s">
        <v>636</v>
      </c>
      <c r="E76" s="169">
        <v>6800</v>
      </c>
      <c r="F76" s="169"/>
      <c r="G76" s="169">
        <v>2796072.06</v>
      </c>
    </row>
    <row r="77" spans="1:7" x14ac:dyDescent="0.35">
      <c r="A77" s="168" t="s">
        <v>569</v>
      </c>
      <c r="B77" s="168" t="s">
        <v>569</v>
      </c>
      <c r="C77" s="168" t="s">
        <v>565</v>
      </c>
      <c r="D77" s="168" t="s">
        <v>637</v>
      </c>
      <c r="E77" s="169">
        <v>168</v>
      </c>
      <c r="F77" s="169"/>
      <c r="G77" s="169">
        <v>2795904.06</v>
      </c>
    </row>
    <row r="78" spans="1:7" x14ac:dyDescent="0.35">
      <c r="A78" s="168" t="s">
        <v>569</v>
      </c>
      <c r="B78" s="168" t="s">
        <v>569</v>
      </c>
      <c r="C78" s="168" t="s">
        <v>565</v>
      </c>
      <c r="D78" s="168" t="s">
        <v>638</v>
      </c>
      <c r="E78" s="169">
        <v>3600</v>
      </c>
      <c r="F78" s="169"/>
      <c r="G78" s="169">
        <v>2792304.06</v>
      </c>
    </row>
    <row r="79" spans="1:7" x14ac:dyDescent="0.35">
      <c r="A79" s="168" t="s">
        <v>569</v>
      </c>
      <c r="B79" s="168" t="s">
        <v>569</v>
      </c>
      <c r="C79" s="168" t="s">
        <v>565</v>
      </c>
      <c r="D79" s="168" t="s">
        <v>639</v>
      </c>
      <c r="E79" s="169">
        <v>1104</v>
      </c>
      <c r="F79" s="169"/>
      <c r="G79" s="169">
        <v>2791200.06</v>
      </c>
    </row>
    <row r="80" spans="1:7" x14ac:dyDescent="0.35">
      <c r="A80" s="168" t="s">
        <v>569</v>
      </c>
      <c r="B80" s="168" t="s">
        <v>569</v>
      </c>
      <c r="C80" s="168" t="s">
        <v>565</v>
      </c>
      <c r="D80" s="168" t="s">
        <v>640</v>
      </c>
      <c r="E80" s="169">
        <v>1800</v>
      </c>
      <c r="F80" s="169"/>
      <c r="G80" s="169">
        <v>2789400.06</v>
      </c>
    </row>
    <row r="81" spans="1:7" x14ac:dyDescent="0.35">
      <c r="A81" s="168" t="s">
        <v>569</v>
      </c>
      <c r="B81" s="168" t="s">
        <v>569</v>
      </c>
      <c r="C81" s="168" t="s">
        <v>565</v>
      </c>
      <c r="D81" s="168" t="s">
        <v>641</v>
      </c>
      <c r="E81" s="169">
        <v>4546</v>
      </c>
      <c r="F81" s="169"/>
      <c r="G81" s="169">
        <v>2784854.06</v>
      </c>
    </row>
    <row r="82" spans="1:7" x14ac:dyDescent="0.35">
      <c r="A82" s="168" t="s">
        <v>569</v>
      </c>
      <c r="B82" s="168" t="s">
        <v>569</v>
      </c>
      <c r="C82" s="168" t="s">
        <v>565</v>
      </c>
      <c r="D82" s="168" t="s">
        <v>642</v>
      </c>
      <c r="E82" s="169">
        <v>3045</v>
      </c>
      <c r="F82" s="169"/>
      <c r="G82" s="169">
        <v>2781809.06</v>
      </c>
    </row>
    <row r="83" spans="1:7" x14ac:dyDescent="0.35">
      <c r="A83" s="168" t="s">
        <v>569</v>
      </c>
      <c r="B83" s="168" t="s">
        <v>569</v>
      </c>
      <c r="C83" s="168" t="s">
        <v>565</v>
      </c>
      <c r="D83" s="168" t="s">
        <v>643</v>
      </c>
      <c r="E83" s="169">
        <v>500</v>
      </c>
      <c r="F83" s="169"/>
      <c r="G83" s="169">
        <v>2781309.06</v>
      </c>
    </row>
    <row r="84" spans="1:7" x14ac:dyDescent="0.35">
      <c r="A84" s="168" t="s">
        <v>569</v>
      </c>
      <c r="B84" s="168" t="s">
        <v>569</v>
      </c>
      <c r="C84" s="168" t="s">
        <v>565</v>
      </c>
      <c r="D84" s="168" t="s">
        <v>644</v>
      </c>
      <c r="E84" s="169">
        <v>1365</v>
      </c>
      <c r="F84" s="169"/>
      <c r="G84" s="169">
        <v>2779944.06</v>
      </c>
    </row>
    <row r="85" spans="1:7" x14ac:dyDescent="0.35">
      <c r="A85" s="168" t="s">
        <v>569</v>
      </c>
      <c r="B85" s="168" t="s">
        <v>569</v>
      </c>
      <c r="C85" s="168" t="s">
        <v>565</v>
      </c>
      <c r="D85" s="168" t="s">
        <v>645</v>
      </c>
      <c r="E85" s="169">
        <v>450</v>
      </c>
      <c r="F85" s="169"/>
      <c r="G85" s="169">
        <v>2779494.06</v>
      </c>
    </row>
    <row r="86" spans="1:7" x14ac:dyDescent="0.35">
      <c r="A86" s="168" t="s">
        <v>569</v>
      </c>
      <c r="B86" s="168" t="s">
        <v>569</v>
      </c>
      <c r="C86" s="168" t="s">
        <v>565</v>
      </c>
      <c r="D86" s="168" t="s">
        <v>646</v>
      </c>
      <c r="E86" s="169">
        <v>2539</v>
      </c>
      <c r="F86" s="169"/>
      <c r="G86" s="169">
        <v>2776955.06</v>
      </c>
    </row>
    <row r="87" spans="1:7" x14ac:dyDescent="0.35">
      <c r="A87" s="168" t="s">
        <v>569</v>
      </c>
      <c r="B87" s="168" t="s">
        <v>569</v>
      </c>
      <c r="C87" s="168" t="s">
        <v>565</v>
      </c>
      <c r="D87" s="168" t="s">
        <v>647</v>
      </c>
      <c r="E87" s="169">
        <v>1428</v>
      </c>
      <c r="F87" s="169"/>
      <c r="G87" s="169">
        <v>2775527.06</v>
      </c>
    </row>
    <row r="88" spans="1:7" x14ac:dyDescent="0.35">
      <c r="A88" s="168" t="s">
        <v>569</v>
      </c>
      <c r="B88" s="168" t="s">
        <v>569</v>
      </c>
      <c r="C88" s="168" t="s">
        <v>565</v>
      </c>
      <c r="D88" s="168" t="s">
        <v>648</v>
      </c>
      <c r="E88" s="169">
        <v>1216</v>
      </c>
      <c r="F88" s="169"/>
      <c r="G88" s="169">
        <v>2774311.06</v>
      </c>
    </row>
    <row r="89" spans="1:7" x14ac:dyDescent="0.35">
      <c r="A89" s="168" t="s">
        <v>569</v>
      </c>
      <c r="B89" s="168" t="s">
        <v>569</v>
      </c>
      <c r="C89" s="168" t="s">
        <v>565</v>
      </c>
      <c r="D89" s="168" t="s">
        <v>649</v>
      </c>
      <c r="E89" s="169">
        <v>1940</v>
      </c>
      <c r="F89" s="169"/>
      <c r="G89" s="169">
        <v>2772371.06</v>
      </c>
    </row>
    <row r="90" spans="1:7" x14ac:dyDescent="0.35">
      <c r="A90" s="168" t="s">
        <v>569</v>
      </c>
      <c r="B90" s="168" t="s">
        <v>569</v>
      </c>
      <c r="C90" s="168" t="s">
        <v>565</v>
      </c>
      <c r="D90" s="168" t="s">
        <v>650</v>
      </c>
      <c r="E90" s="169">
        <v>6500</v>
      </c>
      <c r="F90" s="169"/>
      <c r="G90" s="169">
        <v>2765871.06</v>
      </c>
    </row>
    <row r="91" spans="1:7" x14ac:dyDescent="0.35">
      <c r="A91" s="168" t="s">
        <v>569</v>
      </c>
      <c r="B91" s="168" t="s">
        <v>569</v>
      </c>
      <c r="C91" s="168" t="s">
        <v>565</v>
      </c>
      <c r="D91" s="168" t="s">
        <v>651</v>
      </c>
      <c r="E91" s="169">
        <v>102531</v>
      </c>
      <c r="F91" s="169"/>
      <c r="G91" s="169">
        <v>2663340.06</v>
      </c>
    </row>
    <row r="92" spans="1:7" x14ac:dyDescent="0.35">
      <c r="A92" s="168" t="s">
        <v>569</v>
      </c>
      <c r="B92" s="168" t="s">
        <v>569</v>
      </c>
      <c r="C92" s="168" t="s">
        <v>565</v>
      </c>
      <c r="D92" s="168" t="s">
        <v>652</v>
      </c>
      <c r="E92" s="169">
        <v>2528</v>
      </c>
      <c r="F92" s="169"/>
      <c r="G92" s="169">
        <v>2660812.06</v>
      </c>
    </row>
    <row r="93" spans="1:7" x14ac:dyDescent="0.35">
      <c r="A93" s="168" t="s">
        <v>569</v>
      </c>
      <c r="B93" s="168" t="s">
        <v>569</v>
      </c>
      <c r="C93" s="168" t="s">
        <v>565</v>
      </c>
      <c r="D93" s="168" t="s">
        <v>653</v>
      </c>
      <c r="E93" s="169">
        <v>4530</v>
      </c>
      <c r="F93" s="169"/>
      <c r="G93" s="169">
        <v>2656282.06</v>
      </c>
    </row>
    <row r="94" spans="1:7" x14ac:dyDescent="0.35">
      <c r="A94" s="168" t="s">
        <v>569</v>
      </c>
      <c r="B94" s="168" t="s">
        <v>569</v>
      </c>
      <c r="C94" s="168" t="s">
        <v>565</v>
      </c>
      <c r="D94" s="168" t="s">
        <v>654</v>
      </c>
      <c r="E94" s="169">
        <v>11500</v>
      </c>
      <c r="F94" s="169"/>
      <c r="G94" s="169">
        <v>2644782.06</v>
      </c>
    </row>
    <row r="95" spans="1:7" x14ac:dyDescent="0.35">
      <c r="A95" s="168" t="s">
        <v>569</v>
      </c>
      <c r="B95" s="168" t="s">
        <v>569</v>
      </c>
      <c r="C95" s="168" t="s">
        <v>565</v>
      </c>
      <c r="D95" s="168" t="s">
        <v>655</v>
      </c>
      <c r="E95" s="169">
        <v>17020</v>
      </c>
      <c r="F95" s="169"/>
      <c r="G95" s="169">
        <v>2627762.06</v>
      </c>
    </row>
    <row r="96" spans="1:7" x14ac:dyDescent="0.35">
      <c r="A96" s="168" t="s">
        <v>569</v>
      </c>
      <c r="B96" s="168" t="s">
        <v>569</v>
      </c>
      <c r="C96" s="168" t="s">
        <v>565</v>
      </c>
      <c r="D96" s="168" t="s">
        <v>656</v>
      </c>
      <c r="E96" s="169">
        <v>2924</v>
      </c>
      <c r="F96" s="169"/>
      <c r="G96" s="169">
        <v>2624838.06</v>
      </c>
    </row>
    <row r="97" spans="1:7" x14ac:dyDescent="0.35">
      <c r="A97" s="168" t="s">
        <v>569</v>
      </c>
      <c r="B97" s="168" t="s">
        <v>569</v>
      </c>
      <c r="C97" s="168" t="s">
        <v>565</v>
      </c>
      <c r="D97" s="168" t="s">
        <v>657</v>
      </c>
      <c r="E97" s="169">
        <v>4530</v>
      </c>
      <c r="F97" s="169"/>
      <c r="G97" s="169">
        <v>2620308.06</v>
      </c>
    </row>
    <row r="98" spans="1:7" x14ac:dyDescent="0.35">
      <c r="A98" s="168" t="s">
        <v>569</v>
      </c>
      <c r="B98" s="168" t="s">
        <v>569</v>
      </c>
      <c r="C98" s="168" t="s">
        <v>565</v>
      </c>
      <c r="D98" s="168" t="s">
        <v>658</v>
      </c>
      <c r="E98" s="169">
        <v>1885</v>
      </c>
      <c r="F98" s="169"/>
      <c r="G98" s="169">
        <v>2618423.06</v>
      </c>
    </row>
    <row r="99" spans="1:7" x14ac:dyDescent="0.35">
      <c r="A99" s="168" t="s">
        <v>569</v>
      </c>
      <c r="B99" s="168" t="s">
        <v>569</v>
      </c>
      <c r="C99" s="168" t="s">
        <v>565</v>
      </c>
      <c r="D99" s="168" t="s">
        <v>659</v>
      </c>
      <c r="E99" s="169">
        <v>1289</v>
      </c>
      <c r="F99" s="169"/>
      <c r="G99" s="169">
        <v>2617134.06</v>
      </c>
    </row>
    <row r="100" spans="1:7" x14ac:dyDescent="0.35">
      <c r="A100" s="168" t="s">
        <v>569</v>
      </c>
      <c r="B100" s="168" t="s">
        <v>569</v>
      </c>
      <c r="C100" s="168" t="s">
        <v>565</v>
      </c>
      <c r="D100" s="168" t="s">
        <v>660</v>
      </c>
      <c r="E100" s="169">
        <v>1083</v>
      </c>
      <c r="F100" s="169"/>
      <c r="G100" s="169">
        <v>2616051.06</v>
      </c>
    </row>
    <row r="101" spans="1:7" x14ac:dyDescent="0.35">
      <c r="A101" s="168" t="s">
        <v>569</v>
      </c>
      <c r="B101" s="168" t="s">
        <v>569</v>
      </c>
      <c r="C101" s="168" t="s">
        <v>565</v>
      </c>
      <c r="D101" s="168" t="s">
        <v>661</v>
      </c>
      <c r="E101" s="169">
        <v>4500</v>
      </c>
      <c r="F101" s="169"/>
      <c r="G101" s="169">
        <v>2611551.06</v>
      </c>
    </row>
    <row r="102" spans="1:7" x14ac:dyDescent="0.35">
      <c r="A102" s="168" t="s">
        <v>569</v>
      </c>
      <c r="B102" s="168" t="s">
        <v>569</v>
      </c>
      <c r="C102" s="168" t="s">
        <v>565</v>
      </c>
      <c r="D102" s="168" t="s">
        <v>662</v>
      </c>
      <c r="E102" s="169">
        <v>1290</v>
      </c>
      <c r="F102" s="169"/>
      <c r="G102" s="169">
        <v>2610261.06</v>
      </c>
    </row>
    <row r="103" spans="1:7" x14ac:dyDescent="0.35">
      <c r="A103" s="168" t="s">
        <v>569</v>
      </c>
      <c r="B103" s="168" t="s">
        <v>569</v>
      </c>
      <c r="C103" s="168" t="s">
        <v>565</v>
      </c>
      <c r="D103" s="168" t="s">
        <v>663</v>
      </c>
      <c r="E103" s="169">
        <v>6160</v>
      </c>
      <c r="F103" s="169"/>
      <c r="G103" s="169">
        <v>2604101.06</v>
      </c>
    </row>
    <row r="104" spans="1:7" x14ac:dyDescent="0.35">
      <c r="A104" s="168" t="s">
        <v>569</v>
      </c>
      <c r="B104" s="168" t="s">
        <v>569</v>
      </c>
      <c r="C104" s="168" t="s">
        <v>565</v>
      </c>
      <c r="D104" s="168" t="s">
        <v>664</v>
      </c>
      <c r="E104" s="169">
        <v>15540</v>
      </c>
      <c r="F104" s="169"/>
      <c r="G104" s="169">
        <v>2588561.06</v>
      </c>
    </row>
    <row r="105" spans="1:7" x14ac:dyDescent="0.35">
      <c r="A105" s="168" t="s">
        <v>569</v>
      </c>
      <c r="B105" s="168" t="s">
        <v>569</v>
      </c>
      <c r="C105" s="168" t="s">
        <v>565</v>
      </c>
      <c r="D105" s="168" t="s">
        <v>665</v>
      </c>
      <c r="E105" s="169">
        <v>4500</v>
      </c>
      <c r="F105" s="169"/>
      <c r="G105" s="169">
        <v>2584061.06</v>
      </c>
    </row>
    <row r="106" spans="1:7" x14ac:dyDescent="0.35">
      <c r="A106" s="168" t="s">
        <v>569</v>
      </c>
      <c r="B106" s="168" t="s">
        <v>569</v>
      </c>
      <c r="C106" s="168" t="s">
        <v>565</v>
      </c>
      <c r="D106" s="168" t="s">
        <v>666</v>
      </c>
      <c r="E106" s="169">
        <v>2561</v>
      </c>
      <c r="F106" s="169"/>
      <c r="G106" s="169">
        <v>2581500.06</v>
      </c>
    </row>
    <row r="107" spans="1:7" x14ac:dyDescent="0.35">
      <c r="A107" s="168" t="s">
        <v>569</v>
      </c>
      <c r="B107" s="168" t="s">
        <v>569</v>
      </c>
      <c r="C107" s="168" t="s">
        <v>565</v>
      </c>
      <c r="D107" s="168" t="s">
        <v>667</v>
      </c>
      <c r="E107" s="169">
        <v>4600</v>
      </c>
      <c r="F107" s="169"/>
      <c r="G107" s="169">
        <v>2576900.06</v>
      </c>
    </row>
    <row r="108" spans="1:7" x14ac:dyDescent="0.35">
      <c r="A108" s="168" t="s">
        <v>569</v>
      </c>
      <c r="B108" s="168" t="s">
        <v>569</v>
      </c>
      <c r="C108" s="168" t="s">
        <v>565</v>
      </c>
      <c r="D108" s="168" t="s">
        <v>668</v>
      </c>
      <c r="E108" s="169">
        <v>700</v>
      </c>
      <c r="F108" s="169"/>
      <c r="G108" s="169">
        <v>2576200.06</v>
      </c>
    </row>
    <row r="109" spans="1:7" x14ac:dyDescent="0.35">
      <c r="A109" s="168" t="s">
        <v>569</v>
      </c>
      <c r="B109" s="168" t="s">
        <v>569</v>
      </c>
      <c r="C109" s="168" t="s">
        <v>565</v>
      </c>
      <c r="D109" s="168" t="s">
        <v>669</v>
      </c>
      <c r="E109" s="169">
        <v>4600</v>
      </c>
      <c r="F109" s="169"/>
      <c r="G109" s="169">
        <v>2571600.06</v>
      </c>
    </row>
    <row r="110" spans="1:7" x14ac:dyDescent="0.35">
      <c r="A110" s="168" t="s">
        <v>569</v>
      </c>
      <c r="B110" s="168" t="s">
        <v>569</v>
      </c>
      <c r="C110" s="168" t="s">
        <v>565</v>
      </c>
      <c r="D110" s="168" t="s">
        <v>670</v>
      </c>
      <c r="E110" s="169">
        <v>17020</v>
      </c>
      <c r="F110" s="169"/>
      <c r="G110" s="169">
        <v>2554580.06</v>
      </c>
    </row>
    <row r="111" spans="1:7" x14ac:dyDescent="0.35">
      <c r="A111" s="168" t="s">
        <v>569</v>
      </c>
      <c r="B111" s="168" t="s">
        <v>569</v>
      </c>
      <c r="C111" s="168" t="s">
        <v>565</v>
      </c>
      <c r="D111" s="168" t="s">
        <v>671</v>
      </c>
      <c r="E111" s="169">
        <v>307</v>
      </c>
      <c r="F111" s="169"/>
      <c r="G111" s="169">
        <v>2554273.06</v>
      </c>
    </row>
    <row r="112" spans="1:7" x14ac:dyDescent="0.35">
      <c r="A112" s="168" t="s">
        <v>569</v>
      </c>
      <c r="B112" s="168" t="s">
        <v>569</v>
      </c>
      <c r="C112" s="168" t="s">
        <v>565</v>
      </c>
      <c r="D112" s="168" t="s">
        <v>672</v>
      </c>
      <c r="E112" s="169">
        <v>7373</v>
      </c>
      <c r="F112" s="169"/>
      <c r="G112" s="169">
        <v>2546900.06</v>
      </c>
    </row>
    <row r="113" spans="1:7" x14ac:dyDescent="0.35">
      <c r="A113" s="168" t="s">
        <v>569</v>
      </c>
      <c r="B113" s="168" t="s">
        <v>569</v>
      </c>
      <c r="C113" s="168" t="s">
        <v>565</v>
      </c>
      <c r="D113" s="168" t="s">
        <v>673</v>
      </c>
      <c r="E113" s="169">
        <v>8263</v>
      </c>
      <c r="F113" s="169"/>
      <c r="G113" s="169">
        <v>2538637.06</v>
      </c>
    </row>
    <row r="114" spans="1:7" x14ac:dyDescent="0.35">
      <c r="A114" s="168" t="s">
        <v>569</v>
      </c>
      <c r="B114" s="168" t="s">
        <v>569</v>
      </c>
      <c r="C114" s="168" t="s">
        <v>565</v>
      </c>
      <c r="D114" s="168" t="s">
        <v>674</v>
      </c>
      <c r="E114" s="169">
        <v>4600</v>
      </c>
      <c r="F114" s="169"/>
      <c r="G114" s="169">
        <v>2534037.06</v>
      </c>
    </row>
    <row r="115" spans="1:7" x14ac:dyDescent="0.35">
      <c r="A115" s="168" t="s">
        <v>569</v>
      </c>
      <c r="B115" s="168" t="s">
        <v>569</v>
      </c>
      <c r="C115" s="168" t="s">
        <v>565</v>
      </c>
      <c r="D115" s="168" t="s">
        <v>675</v>
      </c>
      <c r="E115" s="169">
        <v>4564</v>
      </c>
      <c r="F115" s="169"/>
      <c r="G115" s="169">
        <v>2529473.06</v>
      </c>
    </row>
    <row r="116" spans="1:7" x14ac:dyDescent="0.35">
      <c r="A116" s="168" t="s">
        <v>569</v>
      </c>
      <c r="B116" s="168" t="s">
        <v>569</v>
      </c>
      <c r="C116" s="168" t="s">
        <v>565</v>
      </c>
      <c r="D116" s="168" t="s">
        <v>676</v>
      </c>
      <c r="E116" s="169">
        <v>27000</v>
      </c>
      <c r="F116" s="169"/>
      <c r="G116" s="169">
        <v>2502473.06</v>
      </c>
    </row>
    <row r="117" spans="1:7" x14ac:dyDescent="0.35">
      <c r="A117" s="168" t="s">
        <v>569</v>
      </c>
      <c r="B117" s="168" t="s">
        <v>569</v>
      </c>
      <c r="C117" s="168" t="s">
        <v>565</v>
      </c>
      <c r="D117" s="168" t="s">
        <v>677</v>
      </c>
      <c r="E117" s="169">
        <v>7669</v>
      </c>
      <c r="F117" s="169"/>
      <c r="G117" s="169">
        <v>2494804.06</v>
      </c>
    </row>
    <row r="118" spans="1:7" x14ac:dyDescent="0.35">
      <c r="A118" s="168" t="s">
        <v>569</v>
      </c>
      <c r="B118" s="168" t="s">
        <v>569</v>
      </c>
      <c r="C118" s="168" t="s">
        <v>565</v>
      </c>
      <c r="D118" s="168" t="s">
        <v>678</v>
      </c>
      <c r="E118" s="169">
        <v>8000</v>
      </c>
      <c r="F118" s="169"/>
      <c r="G118" s="169">
        <v>2486804.06</v>
      </c>
    </row>
    <row r="119" spans="1:7" x14ac:dyDescent="0.35">
      <c r="A119" s="168" t="s">
        <v>569</v>
      </c>
      <c r="B119" s="168" t="s">
        <v>569</v>
      </c>
      <c r="C119" s="168" t="s">
        <v>565</v>
      </c>
      <c r="D119" s="168" t="s">
        <v>679</v>
      </c>
      <c r="E119" s="169">
        <v>4539</v>
      </c>
      <c r="F119" s="169"/>
      <c r="G119" s="169">
        <v>2482265.06</v>
      </c>
    </row>
    <row r="120" spans="1:7" x14ac:dyDescent="0.35">
      <c r="A120" s="168" t="s">
        <v>569</v>
      </c>
      <c r="B120" s="168" t="s">
        <v>569</v>
      </c>
      <c r="C120" s="168" t="s">
        <v>565</v>
      </c>
      <c r="D120" s="168" t="s">
        <v>680</v>
      </c>
      <c r="E120" s="169">
        <v>17020</v>
      </c>
      <c r="F120" s="169"/>
      <c r="G120" s="169">
        <v>2465245.06</v>
      </c>
    </row>
    <row r="121" spans="1:7" x14ac:dyDescent="0.35">
      <c r="A121" s="168" t="s">
        <v>569</v>
      </c>
      <c r="B121" s="168" t="s">
        <v>569</v>
      </c>
      <c r="C121" s="168" t="s">
        <v>565</v>
      </c>
      <c r="D121" s="168" t="s">
        <v>681</v>
      </c>
      <c r="E121" s="169">
        <v>7787</v>
      </c>
      <c r="F121" s="169"/>
      <c r="G121" s="169">
        <v>2457458.06</v>
      </c>
    </row>
    <row r="122" spans="1:7" x14ac:dyDescent="0.35">
      <c r="A122" s="168" t="s">
        <v>569</v>
      </c>
      <c r="B122" s="168" t="s">
        <v>569</v>
      </c>
      <c r="C122" s="168" t="s">
        <v>565</v>
      </c>
      <c r="D122" s="168" t="s">
        <v>682</v>
      </c>
      <c r="E122" s="169">
        <v>2346</v>
      </c>
      <c r="F122" s="169"/>
      <c r="G122" s="169">
        <v>2455112.06</v>
      </c>
    </row>
    <row r="123" spans="1:7" x14ac:dyDescent="0.35">
      <c r="A123" s="168" t="s">
        <v>569</v>
      </c>
      <c r="B123" s="168" t="s">
        <v>569</v>
      </c>
      <c r="C123" s="168" t="s">
        <v>565</v>
      </c>
      <c r="D123" s="168" t="s">
        <v>683</v>
      </c>
      <c r="E123" s="169">
        <v>4495</v>
      </c>
      <c r="F123" s="169"/>
      <c r="G123" s="169">
        <v>2450617.06</v>
      </c>
    </row>
    <row r="124" spans="1:7" x14ac:dyDescent="0.35">
      <c r="A124" s="168" t="s">
        <v>569</v>
      </c>
      <c r="B124" s="168" t="s">
        <v>569</v>
      </c>
      <c r="C124" s="168" t="s">
        <v>565</v>
      </c>
      <c r="D124" s="168" t="s">
        <v>684</v>
      </c>
      <c r="E124" s="169">
        <v>2050</v>
      </c>
      <c r="F124" s="169"/>
      <c r="G124" s="169">
        <v>2448567.06</v>
      </c>
    </row>
    <row r="125" spans="1:7" x14ac:dyDescent="0.35">
      <c r="A125" s="168" t="s">
        <v>569</v>
      </c>
      <c r="B125" s="168" t="s">
        <v>569</v>
      </c>
      <c r="C125" s="168" t="s">
        <v>565</v>
      </c>
      <c r="D125" s="168" t="s">
        <v>685</v>
      </c>
      <c r="E125" s="169">
        <v>17020</v>
      </c>
      <c r="F125" s="169"/>
      <c r="G125" s="169">
        <v>2431547.06</v>
      </c>
    </row>
    <row r="126" spans="1:7" x14ac:dyDescent="0.35">
      <c r="A126" s="168" t="s">
        <v>569</v>
      </c>
      <c r="B126" s="168" t="s">
        <v>569</v>
      </c>
      <c r="C126" s="168" t="s">
        <v>565</v>
      </c>
      <c r="D126" s="168" t="s">
        <v>686</v>
      </c>
      <c r="E126" s="169">
        <v>1800</v>
      </c>
      <c r="F126" s="169"/>
      <c r="G126" s="169">
        <v>2429747.06</v>
      </c>
    </row>
    <row r="127" spans="1:7" x14ac:dyDescent="0.35">
      <c r="A127" s="168" t="s">
        <v>569</v>
      </c>
      <c r="B127" s="168" t="s">
        <v>569</v>
      </c>
      <c r="C127" s="168" t="s">
        <v>565</v>
      </c>
      <c r="D127" s="168" t="s">
        <v>687</v>
      </c>
      <c r="E127" s="169">
        <v>3800</v>
      </c>
      <c r="F127" s="169"/>
      <c r="G127" s="169">
        <v>2425947.06</v>
      </c>
    </row>
    <row r="128" spans="1:7" x14ac:dyDescent="0.35">
      <c r="A128" s="168" t="s">
        <v>569</v>
      </c>
      <c r="B128" s="168" t="s">
        <v>569</v>
      </c>
      <c r="C128" s="168" t="s">
        <v>565</v>
      </c>
      <c r="D128" s="168" t="s">
        <v>688</v>
      </c>
      <c r="E128" s="169">
        <v>2300</v>
      </c>
      <c r="F128" s="169"/>
      <c r="G128" s="169">
        <v>2423647.06</v>
      </c>
    </row>
    <row r="129" spans="1:7" x14ac:dyDescent="0.35">
      <c r="A129" s="168" t="s">
        <v>569</v>
      </c>
      <c r="B129" s="168" t="s">
        <v>569</v>
      </c>
      <c r="C129" s="168" t="s">
        <v>565</v>
      </c>
      <c r="D129" s="168" t="s">
        <v>689</v>
      </c>
      <c r="E129" s="169">
        <v>4596</v>
      </c>
      <c r="F129" s="169"/>
      <c r="G129" s="169">
        <v>2419051.06</v>
      </c>
    </row>
    <row r="130" spans="1:7" x14ac:dyDescent="0.35">
      <c r="A130" s="168" t="s">
        <v>569</v>
      </c>
      <c r="B130" s="168" t="s">
        <v>569</v>
      </c>
      <c r="C130" s="168" t="s">
        <v>565</v>
      </c>
      <c r="D130" s="168" t="s">
        <v>690</v>
      </c>
      <c r="E130" s="169">
        <v>4533</v>
      </c>
      <c r="F130" s="169"/>
      <c r="G130" s="169">
        <v>2414518.06</v>
      </c>
    </row>
    <row r="131" spans="1:7" x14ac:dyDescent="0.35">
      <c r="A131" s="168" t="s">
        <v>569</v>
      </c>
      <c r="B131" s="168" t="s">
        <v>569</v>
      </c>
      <c r="C131" s="168" t="s">
        <v>565</v>
      </c>
      <c r="D131" s="168" t="s">
        <v>691</v>
      </c>
      <c r="E131" s="169">
        <v>1531</v>
      </c>
      <c r="F131" s="169"/>
      <c r="G131" s="169">
        <v>2412987.06</v>
      </c>
    </row>
    <row r="132" spans="1:7" x14ac:dyDescent="0.35">
      <c r="A132" s="168" t="s">
        <v>569</v>
      </c>
      <c r="B132" s="168" t="s">
        <v>569</v>
      </c>
      <c r="C132" s="168" t="s">
        <v>565</v>
      </c>
      <c r="D132" s="168" t="s">
        <v>692</v>
      </c>
      <c r="E132" s="169">
        <v>1350</v>
      </c>
      <c r="F132" s="169"/>
      <c r="G132" s="169">
        <v>2411637.06</v>
      </c>
    </row>
    <row r="133" spans="1:7" x14ac:dyDescent="0.35">
      <c r="A133" s="168" t="s">
        <v>569</v>
      </c>
      <c r="B133" s="168" t="s">
        <v>569</v>
      </c>
      <c r="C133" s="168" t="s">
        <v>565</v>
      </c>
      <c r="D133" s="168" t="s">
        <v>693</v>
      </c>
      <c r="E133" s="169">
        <v>1992</v>
      </c>
      <c r="F133" s="169"/>
      <c r="G133" s="169">
        <v>2409645.06</v>
      </c>
    </row>
    <row r="134" spans="1:7" x14ac:dyDescent="0.35">
      <c r="A134" s="168" t="s">
        <v>569</v>
      </c>
      <c r="B134" s="168" t="s">
        <v>569</v>
      </c>
      <c r="C134" s="168" t="s">
        <v>565</v>
      </c>
      <c r="D134" s="168" t="s">
        <v>694</v>
      </c>
      <c r="E134" s="169">
        <v>700</v>
      </c>
      <c r="F134" s="169"/>
      <c r="G134" s="169">
        <v>2408945.06</v>
      </c>
    </row>
    <row r="135" spans="1:7" x14ac:dyDescent="0.35">
      <c r="A135" s="168" t="s">
        <v>569</v>
      </c>
      <c r="B135" s="168" t="s">
        <v>569</v>
      </c>
      <c r="C135" s="168" t="s">
        <v>565</v>
      </c>
      <c r="D135" s="168" t="s">
        <v>695</v>
      </c>
      <c r="E135" s="169">
        <v>793</v>
      </c>
      <c r="F135" s="169"/>
      <c r="G135" s="169">
        <v>2408152.06</v>
      </c>
    </row>
    <row r="136" spans="1:7" x14ac:dyDescent="0.35">
      <c r="A136" s="168" t="s">
        <v>569</v>
      </c>
      <c r="B136" s="168" t="s">
        <v>569</v>
      </c>
      <c r="C136" s="168" t="s">
        <v>565</v>
      </c>
      <c r="D136" s="168" t="s">
        <v>696</v>
      </c>
      <c r="E136" s="169">
        <v>15540</v>
      </c>
      <c r="F136" s="169"/>
      <c r="G136" s="169">
        <v>2392612.06</v>
      </c>
    </row>
    <row r="137" spans="1:7" x14ac:dyDescent="0.35">
      <c r="A137" s="168" t="s">
        <v>569</v>
      </c>
      <c r="B137" s="168" t="s">
        <v>569</v>
      </c>
      <c r="C137" s="168" t="s">
        <v>565</v>
      </c>
      <c r="D137" s="168" t="s">
        <v>697</v>
      </c>
      <c r="E137" s="169">
        <v>2525</v>
      </c>
      <c r="F137" s="169"/>
      <c r="G137" s="169">
        <v>2390087.06</v>
      </c>
    </row>
    <row r="138" spans="1:7" x14ac:dyDescent="0.35">
      <c r="A138" s="168" t="s">
        <v>569</v>
      </c>
      <c r="B138" s="168" t="s">
        <v>569</v>
      </c>
      <c r="C138" s="168" t="s">
        <v>565</v>
      </c>
      <c r="D138" s="168" t="s">
        <v>698</v>
      </c>
      <c r="E138" s="169">
        <v>4200</v>
      </c>
      <c r="F138" s="169"/>
      <c r="G138" s="169">
        <v>2385887.06</v>
      </c>
    </row>
    <row r="139" spans="1:7" x14ac:dyDescent="0.35">
      <c r="A139" s="168" t="s">
        <v>569</v>
      </c>
      <c r="B139" s="168" t="s">
        <v>569</v>
      </c>
      <c r="C139" s="168" t="s">
        <v>565</v>
      </c>
      <c r="D139" s="168" t="s">
        <v>699</v>
      </c>
      <c r="E139" s="169">
        <v>710</v>
      </c>
      <c r="F139" s="169"/>
      <c r="G139" s="169">
        <v>2385177.06</v>
      </c>
    </row>
    <row r="140" spans="1:7" x14ac:dyDescent="0.35">
      <c r="A140" s="168" t="s">
        <v>569</v>
      </c>
      <c r="B140" s="168" t="s">
        <v>569</v>
      </c>
      <c r="C140" s="168" t="s">
        <v>565</v>
      </c>
      <c r="D140" s="168" t="s">
        <v>700</v>
      </c>
      <c r="E140" s="169">
        <v>2970</v>
      </c>
      <c r="F140" s="169"/>
      <c r="G140" s="169">
        <v>2382207.06</v>
      </c>
    </row>
    <row r="141" spans="1:7" x14ac:dyDescent="0.35">
      <c r="A141" s="168" t="s">
        <v>569</v>
      </c>
      <c r="B141" s="168" t="s">
        <v>569</v>
      </c>
      <c r="C141" s="168" t="s">
        <v>565</v>
      </c>
      <c r="D141" s="168" t="s">
        <v>701</v>
      </c>
      <c r="E141" s="169">
        <v>2200</v>
      </c>
      <c r="F141" s="169"/>
      <c r="G141" s="169">
        <v>2380007.06</v>
      </c>
    </row>
    <row r="142" spans="1:7" x14ac:dyDescent="0.35">
      <c r="A142" s="168" t="s">
        <v>569</v>
      </c>
      <c r="B142" s="168" t="s">
        <v>569</v>
      </c>
      <c r="C142" s="168" t="s">
        <v>565</v>
      </c>
      <c r="D142" s="168" t="s">
        <v>702</v>
      </c>
      <c r="E142" s="169">
        <v>881</v>
      </c>
      <c r="F142" s="169"/>
      <c r="G142" s="169">
        <v>2379126.06</v>
      </c>
    </row>
    <row r="143" spans="1:7" x14ac:dyDescent="0.35">
      <c r="A143" s="168" t="s">
        <v>569</v>
      </c>
      <c r="B143" s="168" t="s">
        <v>569</v>
      </c>
      <c r="C143" s="168" t="s">
        <v>565</v>
      </c>
      <c r="D143" s="168" t="s">
        <v>703</v>
      </c>
      <c r="E143" s="169">
        <v>2647</v>
      </c>
      <c r="F143" s="169"/>
      <c r="G143" s="169">
        <v>2376479.06</v>
      </c>
    </row>
    <row r="144" spans="1:7" x14ac:dyDescent="0.35">
      <c r="A144" s="168" t="s">
        <v>569</v>
      </c>
      <c r="B144" s="168" t="s">
        <v>569</v>
      </c>
      <c r="C144" s="168" t="s">
        <v>565</v>
      </c>
      <c r="D144" s="168" t="s">
        <v>704</v>
      </c>
      <c r="E144" s="169">
        <v>5850</v>
      </c>
      <c r="F144" s="169"/>
      <c r="G144" s="169">
        <v>2370629.06</v>
      </c>
    </row>
    <row r="145" spans="1:7" x14ac:dyDescent="0.35">
      <c r="A145" s="168" t="s">
        <v>569</v>
      </c>
      <c r="B145" s="168" t="s">
        <v>569</v>
      </c>
      <c r="C145" s="168" t="s">
        <v>565</v>
      </c>
      <c r="D145" s="168" t="s">
        <v>705</v>
      </c>
      <c r="E145" s="169">
        <v>2051</v>
      </c>
      <c r="F145" s="169"/>
      <c r="G145" s="169">
        <v>2368578.06</v>
      </c>
    </row>
    <row r="146" spans="1:7" x14ac:dyDescent="0.35">
      <c r="A146" s="168" t="s">
        <v>569</v>
      </c>
      <c r="B146" s="168" t="s">
        <v>569</v>
      </c>
      <c r="C146" s="168" t="s">
        <v>565</v>
      </c>
      <c r="D146" s="168" t="s">
        <v>706</v>
      </c>
      <c r="E146" s="169">
        <v>6717</v>
      </c>
      <c r="F146" s="169"/>
      <c r="G146" s="169">
        <v>2361861.06</v>
      </c>
    </row>
    <row r="147" spans="1:7" x14ac:dyDescent="0.35">
      <c r="A147" s="168" t="s">
        <v>569</v>
      </c>
      <c r="B147" s="168" t="s">
        <v>569</v>
      </c>
      <c r="C147" s="168" t="s">
        <v>565</v>
      </c>
      <c r="D147" s="168" t="s">
        <v>707</v>
      </c>
      <c r="E147" s="169">
        <v>2600</v>
      </c>
      <c r="F147" s="169"/>
      <c r="G147" s="169">
        <v>2359261.06</v>
      </c>
    </row>
    <row r="148" spans="1:7" x14ac:dyDescent="0.35">
      <c r="A148" s="168" t="s">
        <v>569</v>
      </c>
      <c r="B148" s="168" t="s">
        <v>569</v>
      </c>
      <c r="C148" s="168" t="s">
        <v>565</v>
      </c>
      <c r="D148" s="168" t="s">
        <v>708</v>
      </c>
      <c r="E148" s="169">
        <v>4330</v>
      </c>
      <c r="F148" s="169"/>
      <c r="G148" s="169">
        <v>2354931.06</v>
      </c>
    </row>
    <row r="149" spans="1:7" x14ac:dyDescent="0.35">
      <c r="A149" s="168" t="s">
        <v>569</v>
      </c>
      <c r="B149" s="168" t="s">
        <v>569</v>
      </c>
      <c r="C149" s="168" t="s">
        <v>565</v>
      </c>
      <c r="D149" s="168" t="s">
        <v>709</v>
      </c>
      <c r="E149" s="169">
        <v>1800</v>
      </c>
      <c r="F149" s="169"/>
      <c r="G149" s="169">
        <v>2353131.06</v>
      </c>
    </row>
    <row r="150" spans="1:7" x14ac:dyDescent="0.35">
      <c r="A150" s="168" t="s">
        <v>569</v>
      </c>
      <c r="B150" s="168" t="s">
        <v>569</v>
      </c>
      <c r="C150" s="168" t="s">
        <v>565</v>
      </c>
      <c r="D150" s="168" t="s">
        <v>710</v>
      </c>
      <c r="E150" s="169">
        <v>5834</v>
      </c>
      <c r="F150" s="169"/>
      <c r="G150" s="169">
        <v>2347297.06</v>
      </c>
    </row>
    <row r="151" spans="1:7" x14ac:dyDescent="0.35">
      <c r="A151" s="168" t="s">
        <v>569</v>
      </c>
      <c r="B151" s="168" t="s">
        <v>569</v>
      </c>
      <c r="C151" s="168" t="s">
        <v>565</v>
      </c>
      <c r="D151" s="168" t="s">
        <v>711</v>
      </c>
      <c r="E151" s="169">
        <v>1357</v>
      </c>
      <c r="F151" s="169"/>
      <c r="G151" s="169">
        <v>2345940.06</v>
      </c>
    </row>
    <row r="152" spans="1:7" x14ac:dyDescent="0.35">
      <c r="A152" s="168" t="s">
        <v>569</v>
      </c>
      <c r="B152" s="168" t="s">
        <v>569</v>
      </c>
      <c r="C152" s="168" t="s">
        <v>565</v>
      </c>
      <c r="D152" s="168" t="s">
        <v>712</v>
      </c>
      <c r="E152" s="169">
        <v>1267</v>
      </c>
      <c r="F152" s="169"/>
      <c r="G152" s="169">
        <v>2344673.06</v>
      </c>
    </row>
    <row r="153" spans="1:7" x14ac:dyDescent="0.35">
      <c r="A153" s="168" t="s">
        <v>569</v>
      </c>
      <c r="B153" s="168" t="s">
        <v>569</v>
      </c>
      <c r="C153" s="168" t="s">
        <v>565</v>
      </c>
      <c r="D153" s="168" t="s">
        <v>713</v>
      </c>
      <c r="E153" s="169">
        <v>17020</v>
      </c>
      <c r="F153" s="169"/>
      <c r="G153" s="169">
        <v>2327653.06</v>
      </c>
    </row>
    <row r="154" spans="1:7" x14ac:dyDescent="0.35">
      <c r="A154" s="168" t="s">
        <v>569</v>
      </c>
      <c r="B154" s="168" t="s">
        <v>569</v>
      </c>
      <c r="C154" s="168" t="s">
        <v>565</v>
      </c>
      <c r="D154" s="168" t="s">
        <v>714</v>
      </c>
      <c r="E154" s="169">
        <v>1950</v>
      </c>
      <c r="F154" s="169"/>
      <c r="G154" s="169">
        <v>2325703.06</v>
      </c>
    </row>
    <row r="155" spans="1:7" x14ac:dyDescent="0.35">
      <c r="A155" s="168" t="s">
        <v>569</v>
      </c>
      <c r="B155" s="168" t="s">
        <v>569</v>
      </c>
      <c r="C155" s="168" t="s">
        <v>565</v>
      </c>
      <c r="D155" s="168" t="s">
        <v>715</v>
      </c>
      <c r="E155" s="169">
        <v>4548</v>
      </c>
      <c r="F155" s="169"/>
      <c r="G155" s="169">
        <v>2321155.06</v>
      </c>
    </row>
    <row r="156" spans="1:7" x14ac:dyDescent="0.35">
      <c r="A156" s="168" t="s">
        <v>569</v>
      </c>
      <c r="B156" s="168" t="s">
        <v>569</v>
      </c>
      <c r="C156" s="168" t="s">
        <v>565</v>
      </c>
      <c r="D156" s="168" t="s">
        <v>716</v>
      </c>
      <c r="E156" s="169">
        <v>3600</v>
      </c>
      <c r="F156" s="169"/>
      <c r="G156" s="169">
        <v>2317555.06</v>
      </c>
    </row>
    <row r="157" spans="1:7" x14ac:dyDescent="0.35">
      <c r="A157" s="168" t="s">
        <v>569</v>
      </c>
      <c r="B157" s="168" t="s">
        <v>569</v>
      </c>
      <c r="C157" s="168" t="s">
        <v>565</v>
      </c>
      <c r="D157" s="168" t="s">
        <v>717</v>
      </c>
      <c r="E157" s="169">
        <v>4410</v>
      </c>
      <c r="F157" s="169"/>
      <c r="G157" s="169">
        <v>2313145.06</v>
      </c>
    </row>
    <row r="158" spans="1:7" x14ac:dyDescent="0.35">
      <c r="A158" s="168" t="s">
        <v>569</v>
      </c>
      <c r="B158" s="168" t="s">
        <v>569</v>
      </c>
      <c r="C158" s="168" t="s">
        <v>565</v>
      </c>
      <c r="D158" s="168" t="s">
        <v>718</v>
      </c>
      <c r="E158" s="169">
        <v>4598</v>
      </c>
      <c r="F158" s="169"/>
      <c r="G158" s="169">
        <v>2308547.06</v>
      </c>
    </row>
    <row r="159" spans="1:7" x14ac:dyDescent="0.35">
      <c r="A159" s="168" t="s">
        <v>569</v>
      </c>
      <c r="B159" s="168" t="s">
        <v>569</v>
      </c>
      <c r="C159" s="168" t="s">
        <v>565</v>
      </c>
      <c r="D159" s="168" t="s">
        <v>719</v>
      </c>
      <c r="E159" s="169">
        <v>4529</v>
      </c>
      <c r="F159" s="169"/>
      <c r="G159" s="169">
        <v>2304018.06</v>
      </c>
    </row>
    <row r="160" spans="1:7" x14ac:dyDescent="0.35">
      <c r="A160" s="168" t="s">
        <v>569</v>
      </c>
      <c r="B160" s="168" t="s">
        <v>569</v>
      </c>
      <c r="C160" s="168" t="s">
        <v>565</v>
      </c>
      <c r="D160" s="168" t="s">
        <v>720</v>
      </c>
      <c r="E160" s="169">
        <v>1262</v>
      </c>
      <c r="F160" s="169"/>
      <c r="G160" s="169">
        <v>2302756.06</v>
      </c>
    </row>
    <row r="161" spans="1:7" x14ac:dyDescent="0.35">
      <c r="A161" s="168" t="s">
        <v>569</v>
      </c>
      <c r="B161" s="168" t="s">
        <v>569</v>
      </c>
      <c r="C161" s="168" t="s">
        <v>565</v>
      </c>
      <c r="D161" s="168" t="s">
        <v>721</v>
      </c>
      <c r="E161" s="169">
        <v>3338</v>
      </c>
      <c r="F161" s="169"/>
      <c r="G161" s="169">
        <v>2299418.06</v>
      </c>
    </row>
    <row r="162" spans="1:7" x14ac:dyDescent="0.35">
      <c r="A162" s="168" t="s">
        <v>569</v>
      </c>
      <c r="B162" s="168" t="s">
        <v>569</v>
      </c>
      <c r="C162" s="168" t="s">
        <v>565</v>
      </c>
      <c r="D162" s="168" t="s">
        <v>722</v>
      </c>
      <c r="E162" s="169">
        <v>2072</v>
      </c>
      <c r="F162" s="169"/>
      <c r="G162" s="169">
        <v>2297346.06</v>
      </c>
    </row>
    <row r="163" spans="1:7" x14ac:dyDescent="0.35">
      <c r="A163" s="168" t="s">
        <v>569</v>
      </c>
      <c r="B163" s="168" t="s">
        <v>569</v>
      </c>
      <c r="C163" s="168" t="s">
        <v>565</v>
      </c>
      <c r="D163" s="168" t="s">
        <v>723</v>
      </c>
      <c r="E163" s="169">
        <v>17020</v>
      </c>
      <c r="F163" s="169"/>
      <c r="G163" s="169">
        <v>2280326.06</v>
      </c>
    </row>
    <row r="164" spans="1:7" x14ac:dyDescent="0.35">
      <c r="A164" s="168" t="s">
        <v>569</v>
      </c>
      <c r="B164" s="168" t="s">
        <v>569</v>
      </c>
      <c r="C164" s="168" t="s">
        <v>565</v>
      </c>
      <c r="D164" s="168" t="s">
        <v>724</v>
      </c>
      <c r="E164" s="169">
        <v>1965</v>
      </c>
      <c r="F164" s="169"/>
      <c r="G164" s="169">
        <v>2278361.06</v>
      </c>
    </row>
    <row r="165" spans="1:7" x14ac:dyDescent="0.35">
      <c r="A165" s="168" t="s">
        <v>569</v>
      </c>
      <c r="B165" s="168" t="s">
        <v>569</v>
      </c>
      <c r="C165" s="168" t="s">
        <v>565</v>
      </c>
      <c r="D165" s="168" t="s">
        <v>725</v>
      </c>
      <c r="E165" s="169">
        <v>1750</v>
      </c>
      <c r="F165" s="169"/>
      <c r="G165" s="169">
        <v>2276611.06</v>
      </c>
    </row>
    <row r="166" spans="1:7" x14ac:dyDescent="0.35">
      <c r="A166" s="168" t="s">
        <v>569</v>
      </c>
      <c r="B166" s="168" t="s">
        <v>569</v>
      </c>
      <c r="C166" s="168" t="s">
        <v>565</v>
      </c>
      <c r="D166" s="168" t="s">
        <v>726</v>
      </c>
      <c r="E166" s="169">
        <v>3000</v>
      </c>
      <c r="F166" s="169"/>
      <c r="G166" s="169">
        <v>2273611.06</v>
      </c>
    </row>
    <row r="167" spans="1:7" x14ac:dyDescent="0.35">
      <c r="A167" s="168" t="s">
        <v>569</v>
      </c>
      <c r="B167" s="168" t="s">
        <v>569</v>
      </c>
      <c r="C167" s="168" t="s">
        <v>565</v>
      </c>
      <c r="D167" s="168" t="s">
        <v>727</v>
      </c>
      <c r="E167" s="169">
        <v>2200</v>
      </c>
      <c r="F167" s="169"/>
      <c r="G167" s="169">
        <v>2271411.06</v>
      </c>
    </row>
    <row r="168" spans="1:7" x14ac:dyDescent="0.35">
      <c r="A168" s="168" t="s">
        <v>569</v>
      </c>
      <c r="B168" s="168" t="s">
        <v>569</v>
      </c>
      <c r="C168" s="168" t="s">
        <v>565</v>
      </c>
      <c r="D168" s="168" t="s">
        <v>728</v>
      </c>
      <c r="E168" s="169">
        <v>4500</v>
      </c>
      <c r="F168" s="169"/>
      <c r="G168" s="169">
        <v>2266911.06</v>
      </c>
    </row>
    <row r="169" spans="1:7" x14ac:dyDescent="0.35">
      <c r="A169" s="168" t="s">
        <v>569</v>
      </c>
      <c r="B169" s="168" t="s">
        <v>569</v>
      </c>
      <c r="C169" s="168" t="s">
        <v>565</v>
      </c>
      <c r="D169" s="168" t="s">
        <v>729</v>
      </c>
      <c r="E169" s="169">
        <v>35112</v>
      </c>
      <c r="F169" s="169"/>
      <c r="G169" s="169">
        <v>2231799.06</v>
      </c>
    </row>
    <row r="170" spans="1:7" x14ac:dyDescent="0.35">
      <c r="A170" s="168" t="s">
        <v>569</v>
      </c>
      <c r="B170" s="168" t="s">
        <v>569</v>
      </c>
      <c r="C170" s="168" t="s">
        <v>565</v>
      </c>
      <c r="D170" s="168" t="s">
        <v>730</v>
      </c>
      <c r="E170" s="169">
        <v>3200</v>
      </c>
      <c r="F170" s="169"/>
      <c r="G170" s="169">
        <v>2228599.06</v>
      </c>
    </row>
    <row r="171" spans="1:7" x14ac:dyDescent="0.35">
      <c r="A171" s="168" t="s">
        <v>569</v>
      </c>
      <c r="B171" s="168" t="s">
        <v>569</v>
      </c>
      <c r="C171" s="168" t="s">
        <v>565</v>
      </c>
      <c r="D171" s="168" t="s">
        <v>731</v>
      </c>
      <c r="E171" s="169">
        <v>1262</v>
      </c>
      <c r="F171" s="169"/>
      <c r="G171" s="169">
        <v>2227337.06</v>
      </c>
    </row>
    <row r="172" spans="1:7" x14ac:dyDescent="0.35">
      <c r="A172" s="168" t="s">
        <v>569</v>
      </c>
      <c r="B172" s="168" t="s">
        <v>569</v>
      </c>
      <c r="C172" s="168" t="s">
        <v>565</v>
      </c>
      <c r="D172" s="168" t="s">
        <v>732</v>
      </c>
      <c r="E172" s="169">
        <v>4400</v>
      </c>
      <c r="F172" s="169"/>
      <c r="G172" s="169">
        <v>2222937.06</v>
      </c>
    </row>
    <row r="173" spans="1:7" x14ac:dyDescent="0.35">
      <c r="A173" s="168" t="s">
        <v>569</v>
      </c>
      <c r="B173" s="168" t="s">
        <v>569</v>
      </c>
      <c r="C173" s="168" t="s">
        <v>565</v>
      </c>
      <c r="D173" s="168" t="s">
        <v>733</v>
      </c>
      <c r="E173" s="169">
        <v>15824</v>
      </c>
      <c r="F173" s="169"/>
      <c r="G173" s="169">
        <v>2207113.06</v>
      </c>
    </row>
    <row r="174" spans="1:7" x14ac:dyDescent="0.35">
      <c r="A174" s="168" t="s">
        <v>569</v>
      </c>
      <c r="B174" s="168" t="s">
        <v>569</v>
      </c>
      <c r="C174" s="168" t="s">
        <v>565</v>
      </c>
      <c r="D174" s="168" t="s">
        <v>734</v>
      </c>
      <c r="E174" s="169">
        <v>5670</v>
      </c>
      <c r="F174" s="169"/>
      <c r="G174" s="169">
        <v>2201443.06</v>
      </c>
    </row>
    <row r="175" spans="1:7" x14ac:dyDescent="0.35">
      <c r="A175" s="168" t="s">
        <v>569</v>
      </c>
      <c r="B175" s="168" t="s">
        <v>569</v>
      </c>
      <c r="C175" s="168" t="s">
        <v>565</v>
      </c>
      <c r="D175" s="168" t="s">
        <v>735</v>
      </c>
      <c r="E175" s="169">
        <v>2700</v>
      </c>
      <c r="F175" s="169"/>
      <c r="G175" s="169">
        <v>2198743.06</v>
      </c>
    </row>
    <row r="176" spans="1:7" x14ac:dyDescent="0.35">
      <c r="A176" s="168" t="s">
        <v>569</v>
      </c>
      <c r="B176" s="168" t="s">
        <v>569</v>
      </c>
      <c r="C176" s="168" t="s">
        <v>565</v>
      </c>
      <c r="D176" s="168" t="s">
        <v>736</v>
      </c>
      <c r="E176" s="169">
        <v>16095</v>
      </c>
      <c r="F176" s="169"/>
      <c r="G176" s="169">
        <v>2182648.06</v>
      </c>
    </row>
    <row r="177" spans="1:7" x14ac:dyDescent="0.35">
      <c r="A177" s="168" t="s">
        <v>569</v>
      </c>
      <c r="B177" s="168" t="s">
        <v>569</v>
      </c>
      <c r="C177" s="168" t="s">
        <v>565</v>
      </c>
      <c r="D177" s="168" t="s">
        <v>737</v>
      </c>
      <c r="E177" s="169">
        <v>5926</v>
      </c>
      <c r="F177" s="169"/>
      <c r="G177" s="169">
        <v>2176722.06</v>
      </c>
    </row>
    <row r="178" spans="1:7" x14ac:dyDescent="0.35">
      <c r="A178" s="168" t="s">
        <v>569</v>
      </c>
      <c r="B178" s="168" t="s">
        <v>569</v>
      </c>
      <c r="C178" s="168" t="s">
        <v>565</v>
      </c>
      <c r="D178" s="168" t="s">
        <v>738</v>
      </c>
      <c r="E178" s="169">
        <v>995</v>
      </c>
      <c r="F178" s="169"/>
      <c r="G178" s="169">
        <v>2175727.06</v>
      </c>
    </row>
    <row r="179" spans="1:7" x14ac:dyDescent="0.35">
      <c r="A179" s="168" t="s">
        <v>569</v>
      </c>
      <c r="B179" s="168" t="s">
        <v>569</v>
      </c>
      <c r="C179" s="168" t="s">
        <v>565</v>
      </c>
      <c r="D179" s="168" t="s">
        <v>739</v>
      </c>
      <c r="E179" s="169">
        <v>4998</v>
      </c>
      <c r="F179" s="169"/>
      <c r="G179" s="169">
        <v>2170729.06</v>
      </c>
    </row>
    <row r="180" spans="1:7" x14ac:dyDescent="0.35">
      <c r="A180" s="168" t="s">
        <v>569</v>
      </c>
      <c r="B180" s="168" t="s">
        <v>569</v>
      </c>
      <c r="C180" s="168" t="s">
        <v>565</v>
      </c>
      <c r="D180" s="168" t="s">
        <v>740</v>
      </c>
      <c r="E180" s="169">
        <v>496</v>
      </c>
      <c r="F180" s="169"/>
      <c r="G180" s="169">
        <v>2170233.06</v>
      </c>
    </row>
    <row r="181" spans="1:7" x14ac:dyDescent="0.35">
      <c r="A181" s="168" t="s">
        <v>569</v>
      </c>
      <c r="B181" s="168" t="s">
        <v>569</v>
      </c>
      <c r="C181" s="168" t="s">
        <v>565</v>
      </c>
      <c r="D181" s="168" t="s">
        <v>741</v>
      </c>
      <c r="E181" s="169">
        <v>4597</v>
      </c>
      <c r="F181" s="169"/>
      <c r="G181" s="169">
        <v>2165636.06</v>
      </c>
    </row>
    <row r="182" spans="1:7" x14ac:dyDescent="0.35">
      <c r="A182" s="168" t="s">
        <v>569</v>
      </c>
      <c r="B182" s="168" t="s">
        <v>569</v>
      </c>
      <c r="C182" s="168" t="s">
        <v>565</v>
      </c>
      <c r="D182" s="168" t="s">
        <v>742</v>
      </c>
      <c r="E182" s="169">
        <v>4599</v>
      </c>
      <c r="F182" s="169"/>
      <c r="G182" s="169">
        <v>2161037.06</v>
      </c>
    </row>
    <row r="183" spans="1:7" x14ac:dyDescent="0.35">
      <c r="A183" s="168" t="s">
        <v>569</v>
      </c>
      <c r="B183" s="168" t="s">
        <v>569</v>
      </c>
      <c r="C183" s="168" t="s">
        <v>565</v>
      </c>
      <c r="D183" s="168" t="s">
        <v>743</v>
      </c>
      <c r="E183" s="169">
        <v>2000</v>
      </c>
      <c r="F183" s="169"/>
      <c r="G183" s="169">
        <v>2159037.06</v>
      </c>
    </row>
    <row r="184" spans="1:7" x14ac:dyDescent="0.35">
      <c r="A184" s="168" t="s">
        <v>569</v>
      </c>
      <c r="B184" s="168" t="s">
        <v>569</v>
      </c>
      <c r="C184" s="168" t="s">
        <v>565</v>
      </c>
      <c r="D184" s="168" t="s">
        <v>744</v>
      </c>
      <c r="E184" s="169">
        <v>2700</v>
      </c>
      <c r="F184" s="169"/>
      <c r="G184" s="169">
        <v>2156337.06</v>
      </c>
    </row>
    <row r="185" spans="1:7" x14ac:dyDescent="0.35">
      <c r="A185" s="168" t="s">
        <v>569</v>
      </c>
      <c r="B185" s="168" t="s">
        <v>569</v>
      </c>
      <c r="C185" s="168" t="s">
        <v>565</v>
      </c>
      <c r="D185" s="168" t="s">
        <v>745</v>
      </c>
      <c r="E185" s="169">
        <v>300</v>
      </c>
      <c r="F185" s="169"/>
      <c r="G185" s="169">
        <v>2156037.06</v>
      </c>
    </row>
    <row r="186" spans="1:7" x14ac:dyDescent="0.35">
      <c r="A186" s="168" t="s">
        <v>569</v>
      </c>
      <c r="B186" s="168" t="s">
        <v>569</v>
      </c>
      <c r="C186" s="168" t="s">
        <v>565</v>
      </c>
      <c r="D186" s="168" t="s">
        <v>746</v>
      </c>
      <c r="E186" s="169">
        <v>4597</v>
      </c>
      <c r="F186" s="169"/>
      <c r="G186" s="169">
        <v>2151440.06</v>
      </c>
    </row>
    <row r="187" spans="1:7" x14ac:dyDescent="0.35">
      <c r="A187" s="168" t="s">
        <v>569</v>
      </c>
      <c r="B187" s="168" t="s">
        <v>569</v>
      </c>
      <c r="C187" s="168" t="s">
        <v>565</v>
      </c>
      <c r="D187" s="168" t="s">
        <v>747</v>
      </c>
      <c r="E187" s="169">
        <v>2000</v>
      </c>
      <c r="F187" s="169"/>
      <c r="G187" s="169">
        <v>2149440.06</v>
      </c>
    </row>
    <row r="188" spans="1:7" x14ac:dyDescent="0.35">
      <c r="A188" s="168" t="s">
        <v>569</v>
      </c>
      <c r="B188" s="168" t="s">
        <v>569</v>
      </c>
      <c r="C188" s="168" t="s">
        <v>565</v>
      </c>
      <c r="D188" s="168" t="s">
        <v>748</v>
      </c>
      <c r="E188" s="169">
        <v>3000</v>
      </c>
      <c r="F188" s="169"/>
      <c r="G188" s="169">
        <v>2146440.06</v>
      </c>
    </row>
    <row r="189" spans="1:7" x14ac:dyDescent="0.35">
      <c r="A189" s="168" t="s">
        <v>569</v>
      </c>
      <c r="B189" s="168" t="s">
        <v>569</v>
      </c>
      <c r="C189" s="168" t="s">
        <v>565</v>
      </c>
      <c r="D189" s="168" t="s">
        <v>749</v>
      </c>
      <c r="E189" s="169">
        <v>1750</v>
      </c>
      <c r="F189" s="169"/>
      <c r="G189" s="169">
        <v>2144690.06</v>
      </c>
    </row>
    <row r="190" spans="1:7" x14ac:dyDescent="0.35">
      <c r="A190" s="168" t="s">
        <v>569</v>
      </c>
      <c r="B190" s="168" t="s">
        <v>569</v>
      </c>
      <c r="C190" s="168" t="s">
        <v>565</v>
      </c>
      <c r="D190" s="168" t="s">
        <v>750</v>
      </c>
      <c r="E190" s="169">
        <v>1350</v>
      </c>
      <c r="F190" s="169"/>
      <c r="G190" s="169">
        <v>2143340.06</v>
      </c>
    </row>
    <row r="191" spans="1:7" x14ac:dyDescent="0.35">
      <c r="A191" s="168" t="s">
        <v>569</v>
      </c>
      <c r="B191" s="168" t="s">
        <v>569</v>
      </c>
      <c r="C191" s="168" t="s">
        <v>565</v>
      </c>
      <c r="D191" s="168" t="s">
        <v>751</v>
      </c>
      <c r="E191" s="169">
        <v>4350</v>
      </c>
      <c r="F191" s="169"/>
      <c r="G191" s="169">
        <v>2138990.06</v>
      </c>
    </row>
    <row r="192" spans="1:7" x14ac:dyDescent="0.35">
      <c r="A192" s="168" t="s">
        <v>569</v>
      </c>
      <c r="B192" s="168" t="s">
        <v>569</v>
      </c>
      <c r="C192" s="168" t="s">
        <v>565</v>
      </c>
      <c r="D192" s="168" t="s">
        <v>752</v>
      </c>
      <c r="E192" s="169">
        <v>4546</v>
      </c>
      <c r="F192" s="169"/>
      <c r="G192" s="169">
        <v>2134444.06</v>
      </c>
    </row>
    <row r="193" spans="1:7" x14ac:dyDescent="0.35">
      <c r="A193" s="168" t="s">
        <v>569</v>
      </c>
      <c r="B193" s="168" t="s">
        <v>569</v>
      </c>
      <c r="C193" s="168" t="s">
        <v>565</v>
      </c>
      <c r="D193" s="168" t="s">
        <v>753</v>
      </c>
      <c r="E193" s="169">
        <v>2730</v>
      </c>
      <c r="F193" s="169"/>
      <c r="G193" s="169">
        <v>2131714.06</v>
      </c>
    </row>
    <row r="194" spans="1:7" x14ac:dyDescent="0.35">
      <c r="A194" s="168" t="s">
        <v>569</v>
      </c>
      <c r="B194" s="168" t="s">
        <v>569</v>
      </c>
      <c r="C194" s="168" t="s">
        <v>565</v>
      </c>
      <c r="D194" s="168" t="s">
        <v>754</v>
      </c>
      <c r="E194" s="169">
        <v>2800</v>
      </c>
      <c r="F194" s="169"/>
      <c r="G194" s="169">
        <v>2128914.06</v>
      </c>
    </row>
    <row r="195" spans="1:7" x14ac:dyDescent="0.35">
      <c r="A195" s="168" t="s">
        <v>569</v>
      </c>
      <c r="B195" s="168" t="s">
        <v>569</v>
      </c>
      <c r="C195" s="168" t="s">
        <v>565</v>
      </c>
      <c r="D195" s="168" t="s">
        <v>755</v>
      </c>
      <c r="E195" s="169">
        <v>1297</v>
      </c>
      <c r="F195" s="169"/>
      <c r="G195" s="169">
        <v>2127617.06</v>
      </c>
    </row>
    <row r="196" spans="1:7" x14ac:dyDescent="0.35">
      <c r="A196" s="168" t="s">
        <v>569</v>
      </c>
      <c r="B196" s="168" t="s">
        <v>569</v>
      </c>
      <c r="C196" s="168" t="s">
        <v>565</v>
      </c>
      <c r="D196" s="168" t="s">
        <v>756</v>
      </c>
      <c r="E196" s="169">
        <v>2500</v>
      </c>
      <c r="F196" s="169"/>
      <c r="G196" s="169">
        <v>2125117.06</v>
      </c>
    </row>
    <row r="197" spans="1:7" x14ac:dyDescent="0.35">
      <c r="A197" s="168" t="s">
        <v>569</v>
      </c>
      <c r="B197" s="168" t="s">
        <v>569</v>
      </c>
      <c r="C197" s="168" t="s">
        <v>565</v>
      </c>
      <c r="D197" s="168" t="s">
        <v>757</v>
      </c>
      <c r="E197" s="169">
        <v>750</v>
      </c>
      <c r="F197" s="169"/>
      <c r="G197" s="169">
        <v>2124367.06</v>
      </c>
    </row>
    <row r="198" spans="1:7" x14ac:dyDescent="0.35">
      <c r="A198" s="168" t="s">
        <v>569</v>
      </c>
      <c r="B198" s="168" t="s">
        <v>569</v>
      </c>
      <c r="C198" s="168" t="s">
        <v>565</v>
      </c>
      <c r="D198" s="168" t="s">
        <v>758</v>
      </c>
      <c r="E198" s="169">
        <v>2768</v>
      </c>
      <c r="F198" s="169"/>
      <c r="G198" s="169">
        <v>2121599.06</v>
      </c>
    </row>
    <row r="199" spans="1:7" x14ac:dyDescent="0.35">
      <c r="A199" s="168" t="s">
        <v>569</v>
      </c>
      <c r="B199" s="168" t="s">
        <v>569</v>
      </c>
      <c r="C199" s="168" t="s">
        <v>565</v>
      </c>
      <c r="D199" s="168" t="s">
        <v>759</v>
      </c>
      <c r="E199" s="169">
        <v>3323</v>
      </c>
      <c r="F199" s="169"/>
      <c r="G199" s="169">
        <v>2118276.06</v>
      </c>
    </row>
    <row r="200" spans="1:7" x14ac:dyDescent="0.35">
      <c r="A200" s="168" t="s">
        <v>569</v>
      </c>
      <c r="B200" s="168" t="s">
        <v>569</v>
      </c>
      <c r="C200" s="168" t="s">
        <v>565</v>
      </c>
      <c r="D200" s="168" t="s">
        <v>760</v>
      </c>
      <c r="E200" s="169">
        <v>1392</v>
      </c>
      <c r="F200" s="169"/>
      <c r="G200" s="169">
        <v>2116884.06</v>
      </c>
    </row>
    <row r="201" spans="1:7" x14ac:dyDescent="0.35">
      <c r="A201" s="168" t="s">
        <v>569</v>
      </c>
      <c r="B201" s="168" t="s">
        <v>569</v>
      </c>
      <c r="C201" s="168" t="s">
        <v>565</v>
      </c>
      <c r="D201" s="168" t="s">
        <v>761</v>
      </c>
      <c r="E201" s="169">
        <v>650</v>
      </c>
      <c r="F201" s="169"/>
      <c r="G201" s="169">
        <v>2116234.06</v>
      </c>
    </row>
    <row r="202" spans="1:7" x14ac:dyDescent="0.35">
      <c r="A202" s="168" t="s">
        <v>569</v>
      </c>
      <c r="B202" s="168" t="s">
        <v>569</v>
      </c>
      <c r="C202" s="168" t="s">
        <v>565</v>
      </c>
      <c r="D202" s="168" t="s">
        <v>762</v>
      </c>
      <c r="E202" s="169">
        <v>4000</v>
      </c>
      <c r="F202" s="169"/>
      <c r="G202" s="169">
        <v>2112234.06</v>
      </c>
    </row>
    <row r="203" spans="1:7" x14ac:dyDescent="0.35">
      <c r="A203" s="168" t="s">
        <v>569</v>
      </c>
      <c r="B203" s="168" t="s">
        <v>569</v>
      </c>
      <c r="C203" s="168" t="s">
        <v>565</v>
      </c>
      <c r="D203" s="168" t="s">
        <v>763</v>
      </c>
      <c r="E203" s="169">
        <v>1210</v>
      </c>
      <c r="F203" s="169"/>
      <c r="G203" s="169">
        <v>2111024.06</v>
      </c>
    </row>
    <row r="204" spans="1:7" x14ac:dyDescent="0.35">
      <c r="A204" s="168" t="s">
        <v>569</v>
      </c>
      <c r="B204" s="168" t="s">
        <v>569</v>
      </c>
      <c r="C204" s="168" t="s">
        <v>565</v>
      </c>
      <c r="D204" s="168" t="s">
        <v>764</v>
      </c>
      <c r="E204" s="169">
        <v>3800</v>
      </c>
      <c r="F204" s="169"/>
      <c r="G204" s="169">
        <v>2107224.06</v>
      </c>
    </row>
    <row r="205" spans="1:7" x14ac:dyDescent="0.35">
      <c r="A205" s="168" t="s">
        <v>569</v>
      </c>
      <c r="B205" s="168" t="s">
        <v>569</v>
      </c>
      <c r="C205" s="168" t="s">
        <v>565</v>
      </c>
      <c r="D205" s="168" t="s">
        <v>765</v>
      </c>
      <c r="E205" s="169">
        <v>1300</v>
      </c>
      <c r="F205" s="169"/>
      <c r="G205" s="169">
        <v>2105924.06</v>
      </c>
    </row>
    <row r="206" spans="1:7" x14ac:dyDescent="0.35">
      <c r="A206" s="168" t="s">
        <v>569</v>
      </c>
      <c r="B206" s="168" t="s">
        <v>569</v>
      </c>
      <c r="C206" s="168" t="s">
        <v>565</v>
      </c>
      <c r="D206" s="168" t="s">
        <v>766</v>
      </c>
      <c r="E206" s="169"/>
      <c r="F206" s="169">
        <v>2500</v>
      </c>
      <c r="G206" s="169">
        <v>2108424.06</v>
      </c>
    </row>
    <row r="207" spans="1:7" x14ac:dyDescent="0.35">
      <c r="A207" s="168" t="s">
        <v>569</v>
      </c>
      <c r="B207" s="168" t="s">
        <v>569</v>
      </c>
      <c r="C207" s="168" t="s">
        <v>565</v>
      </c>
      <c r="D207" s="168" t="s">
        <v>767</v>
      </c>
      <c r="E207" s="169"/>
      <c r="F207" s="169">
        <v>4411</v>
      </c>
      <c r="G207" s="169">
        <v>2112835.06</v>
      </c>
    </row>
    <row r="208" spans="1:7" x14ac:dyDescent="0.35">
      <c r="A208" s="168" t="s">
        <v>569</v>
      </c>
      <c r="B208" s="168" t="s">
        <v>569</v>
      </c>
      <c r="C208" s="168" t="s">
        <v>565</v>
      </c>
      <c r="D208" s="168" t="s">
        <v>768</v>
      </c>
      <c r="E208" s="169"/>
      <c r="F208" s="169">
        <v>4410</v>
      </c>
      <c r="G208" s="169">
        <v>2117245.06</v>
      </c>
    </row>
    <row r="209" spans="1:7" x14ac:dyDescent="0.35">
      <c r="A209" s="168" t="s">
        <v>569</v>
      </c>
      <c r="B209" s="168" t="s">
        <v>569</v>
      </c>
      <c r="C209" s="168" t="s">
        <v>565</v>
      </c>
      <c r="D209" s="168" t="s">
        <v>769</v>
      </c>
      <c r="E209" s="169"/>
      <c r="F209" s="169">
        <v>15540</v>
      </c>
      <c r="G209" s="169">
        <v>2132785.06</v>
      </c>
    </row>
    <row r="210" spans="1:7" x14ac:dyDescent="0.35">
      <c r="A210" s="168" t="s">
        <v>569</v>
      </c>
      <c r="B210" s="168" t="s">
        <v>569</v>
      </c>
      <c r="C210" s="168" t="s">
        <v>565</v>
      </c>
      <c r="D210" s="168" t="s">
        <v>770</v>
      </c>
      <c r="E210" s="169"/>
      <c r="F210" s="169">
        <v>700</v>
      </c>
      <c r="G210" s="169">
        <v>2133485.06</v>
      </c>
    </row>
    <row r="211" spans="1:7" x14ac:dyDescent="0.35">
      <c r="A211" s="168" t="s">
        <v>569</v>
      </c>
      <c r="B211" s="168" t="s">
        <v>569</v>
      </c>
      <c r="C211" s="168" t="s">
        <v>565</v>
      </c>
      <c r="D211" s="168" t="s">
        <v>771</v>
      </c>
      <c r="E211" s="169"/>
      <c r="F211" s="169">
        <v>15540</v>
      </c>
      <c r="G211" s="169">
        <v>2149025.06</v>
      </c>
    </row>
    <row r="212" spans="1:7" x14ac:dyDescent="0.35">
      <c r="A212" s="168" t="s">
        <v>569</v>
      </c>
      <c r="B212" s="168" t="s">
        <v>569</v>
      </c>
      <c r="C212" s="168" t="s">
        <v>565</v>
      </c>
      <c r="D212" s="168" t="s">
        <v>772</v>
      </c>
      <c r="E212" s="169"/>
      <c r="F212" s="169">
        <v>4350</v>
      </c>
      <c r="G212" s="169">
        <v>2153375.06</v>
      </c>
    </row>
    <row r="213" spans="1:7" x14ac:dyDescent="0.35">
      <c r="A213" s="168" t="s">
        <v>569</v>
      </c>
      <c r="B213" s="168" t="s">
        <v>569</v>
      </c>
      <c r="C213" s="168" t="s">
        <v>565</v>
      </c>
      <c r="D213" s="168" t="s">
        <v>773</v>
      </c>
      <c r="E213" s="169">
        <v>3600</v>
      </c>
      <c r="F213" s="169"/>
      <c r="G213" s="169">
        <v>2149775.06</v>
      </c>
    </row>
    <row r="214" spans="1:7" x14ac:dyDescent="0.35">
      <c r="A214" s="168" t="s">
        <v>569</v>
      </c>
      <c r="B214" s="168" t="s">
        <v>569</v>
      </c>
      <c r="C214" s="168" t="s">
        <v>565</v>
      </c>
      <c r="D214" s="168" t="s">
        <v>774</v>
      </c>
      <c r="E214" s="169">
        <v>3600</v>
      </c>
      <c r="F214" s="169"/>
      <c r="G214" s="169">
        <v>2146175.06</v>
      </c>
    </row>
    <row r="215" spans="1:7" x14ac:dyDescent="0.35">
      <c r="A215" s="168" t="s">
        <v>569</v>
      </c>
      <c r="B215" s="168" t="s">
        <v>569</v>
      </c>
      <c r="C215" s="168" t="s">
        <v>565</v>
      </c>
      <c r="D215" s="168" t="s">
        <v>775</v>
      </c>
      <c r="E215" s="169">
        <v>4600</v>
      </c>
      <c r="F215" s="169"/>
      <c r="G215" s="169">
        <v>2141575.06</v>
      </c>
    </row>
    <row r="216" spans="1:7" x14ac:dyDescent="0.35">
      <c r="A216" s="168" t="s">
        <v>569</v>
      </c>
      <c r="B216" s="168" t="s">
        <v>569</v>
      </c>
      <c r="C216" s="168" t="s">
        <v>565</v>
      </c>
      <c r="D216" s="168" t="s">
        <v>776</v>
      </c>
      <c r="E216" s="169">
        <v>4600</v>
      </c>
      <c r="F216" s="169"/>
      <c r="G216" s="169">
        <v>2136975.06</v>
      </c>
    </row>
    <row r="217" spans="1:7" x14ac:dyDescent="0.35">
      <c r="A217" s="168" t="s">
        <v>777</v>
      </c>
      <c r="B217" s="168" t="s">
        <v>777</v>
      </c>
      <c r="C217" s="168" t="s">
        <v>565</v>
      </c>
      <c r="D217" s="168" t="s">
        <v>778</v>
      </c>
      <c r="E217" s="169">
        <v>5000</v>
      </c>
      <c r="F217" s="169"/>
      <c r="G217" s="169">
        <v>2131975.06</v>
      </c>
    </row>
    <row r="218" spans="1:7" x14ac:dyDescent="0.35">
      <c r="A218" s="168" t="s">
        <v>777</v>
      </c>
      <c r="B218" s="168" t="s">
        <v>777</v>
      </c>
      <c r="C218" s="168" t="s">
        <v>565</v>
      </c>
      <c r="D218" s="168" t="s">
        <v>779</v>
      </c>
      <c r="E218" s="169">
        <v>10000</v>
      </c>
      <c r="F218" s="169"/>
      <c r="G218" s="169">
        <v>2121975.06</v>
      </c>
    </row>
    <row r="219" spans="1:7" x14ac:dyDescent="0.35">
      <c r="A219" s="168" t="s">
        <v>777</v>
      </c>
      <c r="B219" s="168" t="s">
        <v>777</v>
      </c>
      <c r="C219" s="168" t="s">
        <v>565</v>
      </c>
      <c r="D219" s="168" t="s">
        <v>780</v>
      </c>
      <c r="E219" s="169">
        <v>5000</v>
      </c>
      <c r="F219" s="169"/>
      <c r="G219" s="169">
        <v>2116975.06</v>
      </c>
    </row>
    <row r="220" spans="1:7" x14ac:dyDescent="0.35">
      <c r="A220" s="168" t="s">
        <v>777</v>
      </c>
      <c r="B220" s="168" t="s">
        <v>777</v>
      </c>
      <c r="C220" s="168" t="s">
        <v>565</v>
      </c>
      <c r="D220" s="168" t="s">
        <v>781</v>
      </c>
      <c r="E220" s="169">
        <v>139200</v>
      </c>
      <c r="F220" s="169"/>
      <c r="G220" s="169">
        <v>1977775.06</v>
      </c>
    </row>
    <row r="221" spans="1:7" x14ac:dyDescent="0.35">
      <c r="A221" s="168" t="s">
        <v>777</v>
      </c>
      <c r="B221" s="168" t="s">
        <v>777</v>
      </c>
      <c r="C221" s="168" t="s">
        <v>565</v>
      </c>
      <c r="D221" s="168" t="s">
        <v>782</v>
      </c>
      <c r="E221" s="169">
        <v>26544</v>
      </c>
      <c r="F221" s="169"/>
      <c r="G221" s="169">
        <v>1951231.06</v>
      </c>
    </row>
    <row r="222" spans="1:7" x14ac:dyDescent="0.35">
      <c r="A222" s="168" t="s">
        <v>777</v>
      </c>
      <c r="B222" s="168" t="s">
        <v>777</v>
      </c>
      <c r="C222" s="168" t="s">
        <v>565</v>
      </c>
      <c r="D222" s="168" t="s">
        <v>783</v>
      </c>
      <c r="E222" s="169">
        <v>40477.64</v>
      </c>
      <c r="F222" s="169"/>
      <c r="G222" s="169">
        <v>1910753.42</v>
      </c>
    </row>
    <row r="223" spans="1:7" x14ac:dyDescent="0.35">
      <c r="A223" s="168" t="s">
        <v>777</v>
      </c>
      <c r="B223" s="168" t="s">
        <v>777</v>
      </c>
      <c r="C223" s="168" t="s">
        <v>565</v>
      </c>
      <c r="D223" s="168" t="s">
        <v>784</v>
      </c>
      <c r="E223" s="169">
        <v>524628</v>
      </c>
      <c r="F223" s="169"/>
      <c r="G223" s="169">
        <v>1386125.42</v>
      </c>
    </row>
    <row r="224" spans="1:7" x14ac:dyDescent="0.35">
      <c r="A224" s="168" t="s">
        <v>785</v>
      </c>
      <c r="B224" s="168" t="s">
        <v>785</v>
      </c>
      <c r="C224" s="168" t="s">
        <v>565</v>
      </c>
      <c r="D224" s="168" t="s">
        <v>546</v>
      </c>
      <c r="E224" s="169">
        <v>10800</v>
      </c>
      <c r="F224" s="169"/>
      <c r="G224" s="169">
        <v>1375325.42</v>
      </c>
    </row>
    <row r="225" spans="1:7" x14ac:dyDescent="0.35">
      <c r="A225" s="168" t="s">
        <v>786</v>
      </c>
      <c r="B225" s="168" t="s">
        <v>786</v>
      </c>
      <c r="C225" s="168" t="s">
        <v>565</v>
      </c>
      <c r="D225" s="168" t="s">
        <v>787</v>
      </c>
      <c r="E225" s="169">
        <v>43598</v>
      </c>
      <c r="F225" s="169"/>
      <c r="G225" s="169">
        <v>1331727.42</v>
      </c>
    </row>
    <row r="226" spans="1:7" x14ac:dyDescent="0.35">
      <c r="A226" s="168" t="s">
        <v>788</v>
      </c>
      <c r="B226" s="168" t="s">
        <v>788</v>
      </c>
      <c r="C226" s="168" t="s">
        <v>565</v>
      </c>
      <c r="D226" s="168" t="s">
        <v>789</v>
      </c>
      <c r="E226" s="169">
        <v>143100</v>
      </c>
      <c r="F226" s="169"/>
      <c r="G226" s="169">
        <v>1188627.42</v>
      </c>
    </row>
    <row r="227" spans="1:7" x14ac:dyDescent="0.35">
      <c r="A227" s="168" t="s">
        <v>788</v>
      </c>
      <c r="B227" s="168" t="s">
        <v>788</v>
      </c>
      <c r="C227" s="168" t="s">
        <v>565</v>
      </c>
      <c r="D227" s="168" t="s">
        <v>790</v>
      </c>
      <c r="E227" s="169">
        <v>40477.64</v>
      </c>
      <c r="F227" s="169"/>
      <c r="G227" s="169">
        <v>1148149.78</v>
      </c>
    </row>
    <row r="228" spans="1:7" x14ac:dyDescent="0.35">
      <c r="A228" s="168" t="s">
        <v>788</v>
      </c>
      <c r="B228" s="168" t="s">
        <v>788</v>
      </c>
      <c r="C228" s="168" t="s">
        <v>565</v>
      </c>
      <c r="D228" s="168" t="s">
        <v>791</v>
      </c>
      <c r="E228" s="169">
        <v>21049</v>
      </c>
      <c r="F228" s="169"/>
      <c r="G228" s="169">
        <v>1127100.78</v>
      </c>
    </row>
    <row r="229" spans="1:7" x14ac:dyDescent="0.35">
      <c r="A229" s="168" t="s">
        <v>788</v>
      </c>
      <c r="B229" s="168" t="s">
        <v>788</v>
      </c>
      <c r="C229" s="168" t="s">
        <v>565</v>
      </c>
      <c r="D229" s="168" t="s">
        <v>792</v>
      </c>
      <c r="E229" s="169">
        <v>184620</v>
      </c>
      <c r="F229" s="169"/>
      <c r="G229" s="169">
        <v>942480.78</v>
      </c>
    </row>
    <row r="230" spans="1:7" x14ac:dyDescent="0.35">
      <c r="A230" s="168" t="s">
        <v>788</v>
      </c>
      <c r="B230" s="168" t="s">
        <v>788</v>
      </c>
      <c r="C230" s="168" t="s">
        <v>565</v>
      </c>
      <c r="D230" s="168" t="s">
        <v>793</v>
      </c>
      <c r="E230" s="169">
        <v>135218.98000000001</v>
      </c>
      <c r="F230" s="169"/>
      <c r="G230" s="169">
        <v>807261.8</v>
      </c>
    </row>
    <row r="231" spans="1:7" x14ac:dyDescent="0.35">
      <c r="A231" s="168" t="s">
        <v>788</v>
      </c>
      <c r="B231" s="168" t="s">
        <v>788</v>
      </c>
      <c r="C231" s="168" t="s">
        <v>565</v>
      </c>
      <c r="D231" s="168" t="s">
        <v>794</v>
      </c>
      <c r="E231" s="169">
        <v>20965.060000000001</v>
      </c>
      <c r="F231" s="169"/>
      <c r="G231" s="169">
        <v>786296.74</v>
      </c>
    </row>
    <row r="232" spans="1:7" x14ac:dyDescent="0.35">
      <c r="A232" s="168" t="s">
        <v>788</v>
      </c>
      <c r="B232" s="168" t="s">
        <v>788</v>
      </c>
      <c r="C232" s="168" t="s">
        <v>565</v>
      </c>
      <c r="D232" s="168" t="s">
        <v>795</v>
      </c>
      <c r="E232" s="169">
        <v>24190</v>
      </c>
      <c r="F232" s="169"/>
      <c r="G232" s="169">
        <v>762106.74</v>
      </c>
    </row>
    <row r="233" spans="1:7" x14ac:dyDescent="0.35">
      <c r="A233" s="168" t="s">
        <v>788</v>
      </c>
      <c r="B233" s="168" t="s">
        <v>788</v>
      </c>
      <c r="C233" s="168" t="s">
        <v>565</v>
      </c>
      <c r="D233" s="168" t="s">
        <v>796</v>
      </c>
      <c r="E233" s="169"/>
      <c r="F233" s="169">
        <v>3281127.35</v>
      </c>
      <c r="G233" s="169">
        <v>4043234.09</v>
      </c>
    </row>
    <row r="234" spans="1:7" x14ac:dyDescent="0.35">
      <c r="A234" s="168" t="s">
        <v>788</v>
      </c>
      <c r="B234" s="168" t="s">
        <v>788</v>
      </c>
      <c r="C234" s="168" t="s">
        <v>565</v>
      </c>
      <c r="D234" s="168" t="s">
        <v>797</v>
      </c>
      <c r="E234" s="169">
        <v>1400.6</v>
      </c>
      <c r="F234" s="169"/>
      <c r="G234" s="169">
        <v>4041833.49</v>
      </c>
    </row>
    <row r="235" spans="1:7" x14ac:dyDescent="0.35">
      <c r="A235" s="168" t="s">
        <v>798</v>
      </c>
      <c r="B235" s="168" t="s">
        <v>798</v>
      </c>
      <c r="C235" s="168" t="s">
        <v>565</v>
      </c>
      <c r="D235" s="168" t="s">
        <v>799</v>
      </c>
      <c r="E235" s="169">
        <v>4116</v>
      </c>
      <c r="F235" s="169"/>
      <c r="G235" s="169">
        <v>4037717.49</v>
      </c>
    </row>
    <row r="236" spans="1:7" x14ac:dyDescent="0.35">
      <c r="A236" s="168" t="s">
        <v>800</v>
      </c>
      <c r="B236" s="168" t="s">
        <v>800</v>
      </c>
      <c r="C236" s="168" t="s">
        <v>565</v>
      </c>
      <c r="D236" s="168" t="s">
        <v>801</v>
      </c>
      <c r="E236" s="169">
        <v>2000000</v>
      </c>
      <c r="F236" s="169"/>
      <c r="G236" s="169">
        <v>2037717.49</v>
      </c>
    </row>
    <row r="237" spans="1:7" x14ac:dyDescent="0.35">
      <c r="A237" s="168" t="s">
        <v>802</v>
      </c>
      <c r="B237" s="168" t="s">
        <v>802</v>
      </c>
      <c r="C237" s="168" t="s">
        <v>565</v>
      </c>
      <c r="D237" s="168" t="s">
        <v>803</v>
      </c>
      <c r="E237" s="169">
        <v>745050</v>
      </c>
      <c r="F237" s="169"/>
      <c r="G237" s="169">
        <v>1292667.49</v>
      </c>
    </row>
    <row r="238" spans="1:7" x14ac:dyDescent="0.35">
      <c r="A238" s="168" t="s">
        <v>804</v>
      </c>
      <c r="B238" s="168" t="s">
        <v>804</v>
      </c>
      <c r="C238" s="168" t="s">
        <v>565</v>
      </c>
      <c r="D238" s="168" t="s">
        <v>805</v>
      </c>
      <c r="E238" s="169">
        <v>60050</v>
      </c>
      <c r="F238" s="169"/>
      <c r="G238" s="169">
        <v>1232617.49</v>
      </c>
    </row>
    <row r="239" spans="1:7" x14ac:dyDescent="0.35">
      <c r="A239" s="168" t="s">
        <v>806</v>
      </c>
      <c r="B239" s="168" t="s">
        <v>806</v>
      </c>
      <c r="C239" s="168" t="s">
        <v>565</v>
      </c>
      <c r="D239" s="168" t="s">
        <v>807</v>
      </c>
      <c r="E239" s="169">
        <v>500000</v>
      </c>
      <c r="F239" s="169"/>
      <c r="G239" s="169">
        <v>732617.49</v>
      </c>
    </row>
    <row r="240" spans="1:7" x14ac:dyDescent="0.35">
      <c r="A240" s="168" t="s">
        <v>808</v>
      </c>
      <c r="B240" s="168" t="s">
        <v>808</v>
      </c>
      <c r="C240" s="168" t="s">
        <v>565</v>
      </c>
      <c r="D240" s="168" t="s">
        <v>809</v>
      </c>
      <c r="E240" s="169">
        <v>51840</v>
      </c>
      <c r="F240" s="169"/>
      <c r="G240" s="169">
        <v>680777.49</v>
      </c>
    </row>
    <row r="241" spans="1:7" x14ac:dyDescent="0.35">
      <c r="A241" s="168" t="s">
        <v>808</v>
      </c>
      <c r="B241" s="168" t="s">
        <v>808</v>
      </c>
      <c r="C241" s="168" t="s">
        <v>565</v>
      </c>
      <c r="D241" s="168" t="s">
        <v>810</v>
      </c>
      <c r="E241" s="169">
        <v>24190</v>
      </c>
      <c r="F241" s="169"/>
      <c r="G241" s="169">
        <v>656587.49</v>
      </c>
    </row>
    <row r="242" spans="1:7" x14ac:dyDescent="0.35">
      <c r="A242" s="168" t="s">
        <v>808</v>
      </c>
      <c r="B242" s="168" t="s">
        <v>808</v>
      </c>
      <c r="C242" s="168" t="s">
        <v>565</v>
      </c>
      <c r="D242" s="168" t="s">
        <v>811</v>
      </c>
      <c r="E242" s="169">
        <v>17307.759999999998</v>
      </c>
      <c r="F242" s="169"/>
      <c r="G242" s="169">
        <v>639279.73</v>
      </c>
    </row>
    <row r="243" spans="1:7" x14ac:dyDescent="0.35">
      <c r="A243" s="168" t="s">
        <v>812</v>
      </c>
      <c r="B243" s="168" t="s">
        <v>812</v>
      </c>
      <c r="C243" s="168" t="s">
        <v>565</v>
      </c>
      <c r="D243" s="168" t="s">
        <v>813</v>
      </c>
      <c r="E243" s="169">
        <v>113050</v>
      </c>
      <c r="F243" s="169"/>
      <c r="G243" s="169">
        <v>526229.73</v>
      </c>
    </row>
    <row r="244" spans="1:7" x14ac:dyDescent="0.35">
      <c r="A244" s="168" t="s">
        <v>812</v>
      </c>
      <c r="B244" s="168" t="s">
        <v>812</v>
      </c>
      <c r="C244" s="168" t="s">
        <v>565</v>
      </c>
      <c r="D244" s="168" t="s">
        <v>814</v>
      </c>
      <c r="E244" s="169">
        <v>1622.27</v>
      </c>
      <c r="F244" s="169"/>
      <c r="G244" s="169">
        <v>524607.46</v>
      </c>
    </row>
    <row r="245" spans="1:7" x14ac:dyDescent="0.35">
      <c r="A245" s="168" t="s">
        <v>812</v>
      </c>
      <c r="B245" s="168" t="s">
        <v>812</v>
      </c>
      <c r="C245" s="168" t="s">
        <v>565</v>
      </c>
      <c r="D245" s="168" t="s">
        <v>815</v>
      </c>
      <c r="E245" s="169"/>
      <c r="F245" s="169">
        <v>4512602.57</v>
      </c>
      <c r="G245" s="169">
        <v>5037210.03</v>
      </c>
    </row>
    <row r="246" spans="1:7" x14ac:dyDescent="0.35">
      <c r="A246" s="168" t="s">
        <v>816</v>
      </c>
      <c r="B246" s="168" t="s">
        <v>816</v>
      </c>
      <c r="C246" s="168" t="s">
        <v>565</v>
      </c>
      <c r="D246" s="168" t="s">
        <v>817</v>
      </c>
      <c r="E246" s="169">
        <v>5000</v>
      </c>
      <c r="F246" s="169"/>
      <c r="G246" s="169">
        <v>5032210.03</v>
      </c>
    </row>
    <row r="247" spans="1:7" x14ac:dyDescent="0.35">
      <c r="A247" s="168" t="s">
        <v>816</v>
      </c>
      <c r="B247" s="168" t="s">
        <v>816</v>
      </c>
      <c r="C247" s="168" t="s">
        <v>565</v>
      </c>
      <c r="D247" s="168" t="s">
        <v>818</v>
      </c>
      <c r="E247" s="169">
        <v>397386</v>
      </c>
      <c r="F247" s="169"/>
      <c r="G247" s="169">
        <v>4634824.03</v>
      </c>
    </row>
    <row r="248" spans="1:7" x14ac:dyDescent="0.35">
      <c r="A248" s="168" t="s">
        <v>819</v>
      </c>
      <c r="B248" s="168" t="s">
        <v>819</v>
      </c>
      <c r="C248" s="168" t="s">
        <v>565</v>
      </c>
      <c r="D248" s="168" t="s">
        <v>820</v>
      </c>
      <c r="E248" s="169">
        <v>7400</v>
      </c>
      <c r="F248" s="169"/>
      <c r="G248" s="169">
        <v>4627424.03</v>
      </c>
    </row>
    <row r="249" spans="1:7" x14ac:dyDescent="0.35">
      <c r="A249" s="168" t="s">
        <v>821</v>
      </c>
      <c r="B249" s="168" t="s">
        <v>821</v>
      </c>
      <c r="C249" s="168" t="s">
        <v>565</v>
      </c>
      <c r="D249" s="168" t="s">
        <v>822</v>
      </c>
      <c r="E249" s="169">
        <v>13570</v>
      </c>
      <c r="F249" s="169"/>
      <c r="G249" s="169">
        <v>4613854.03</v>
      </c>
    </row>
    <row r="250" spans="1:7" x14ac:dyDescent="0.35">
      <c r="A250" s="168" t="s">
        <v>554</v>
      </c>
      <c r="B250" s="168" t="s">
        <v>554</v>
      </c>
      <c r="C250" s="168" t="s">
        <v>565</v>
      </c>
      <c r="D250" s="168" t="s">
        <v>823</v>
      </c>
      <c r="E250" s="169">
        <v>90000</v>
      </c>
      <c r="F250" s="169"/>
      <c r="G250" s="169">
        <v>4523854.03</v>
      </c>
    </row>
    <row r="251" spans="1:7" x14ac:dyDescent="0.35">
      <c r="A251" s="168" t="s">
        <v>554</v>
      </c>
      <c r="B251" s="168" t="s">
        <v>554</v>
      </c>
      <c r="C251" s="168" t="s">
        <v>565</v>
      </c>
      <c r="D251" s="168" t="s">
        <v>824</v>
      </c>
      <c r="E251" s="169">
        <v>2749.14</v>
      </c>
      <c r="F251" s="169"/>
      <c r="G251" s="169">
        <v>4521104.8899999997</v>
      </c>
    </row>
    <row r="252" spans="1:7" x14ac:dyDescent="0.35">
      <c r="A252" s="168" t="s">
        <v>554</v>
      </c>
      <c r="B252" s="168" t="s">
        <v>554</v>
      </c>
      <c r="C252" s="168" t="s">
        <v>565</v>
      </c>
      <c r="D252" s="168" t="s">
        <v>825</v>
      </c>
      <c r="E252" s="169"/>
      <c r="F252" s="169">
        <v>10773000.07</v>
      </c>
      <c r="G252" s="169">
        <v>15294104.960000001</v>
      </c>
    </row>
    <row r="253" spans="1:7" x14ac:dyDescent="0.35">
      <c r="A253" s="168" t="s">
        <v>554</v>
      </c>
      <c r="B253" s="168" t="s">
        <v>554</v>
      </c>
      <c r="C253" s="168" t="s">
        <v>565</v>
      </c>
      <c r="D253" s="168" t="s">
        <v>826</v>
      </c>
      <c r="E253" s="169">
        <v>138553</v>
      </c>
      <c r="F253" s="169"/>
      <c r="G253" s="169">
        <v>15155551.960000001</v>
      </c>
    </row>
    <row r="254" spans="1:7" x14ac:dyDescent="0.35">
      <c r="A254" s="168" t="s">
        <v>554</v>
      </c>
      <c r="B254" s="168" t="s">
        <v>554</v>
      </c>
      <c r="C254" s="168" t="s">
        <v>565</v>
      </c>
      <c r="D254" s="168" t="s">
        <v>827</v>
      </c>
      <c r="E254" s="169">
        <v>197454</v>
      </c>
      <c r="F254" s="169"/>
      <c r="G254" s="169">
        <v>14958097.960000001</v>
      </c>
    </row>
    <row r="255" spans="1:7" x14ac:dyDescent="0.35">
      <c r="A255" s="168" t="s">
        <v>554</v>
      </c>
      <c r="B255" s="168" t="s">
        <v>554</v>
      </c>
      <c r="C255" s="168" t="s">
        <v>565</v>
      </c>
      <c r="D255" s="168" t="s">
        <v>828</v>
      </c>
      <c r="E255" s="169">
        <v>88750</v>
      </c>
      <c r="F255" s="169"/>
      <c r="G255" s="169">
        <v>14869347.960000001</v>
      </c>
    </row>
    <row r="256" spans="1:7" x14ac:dyDescent="0.35">
      <c r="A256" s="168" t="s">
        <v>554</v>
      </c>
      <c r="B256" s="168" t="s">
        <v>554</v>
      </c>
      <c r="C256" s="168" t="s">
        <v>565</v>
      </c>
      <c r="D256" s="168" t="s">
        <v>829</v>
      </c>
      <c r="E256" s="169">
        <v>159729</v>
      </c>
      <c r="F256" s="169"/>
      <c r="G256" s="169">
        <v>14709618.960000001</v>
      </c>
    </row>
    <row r="257" spans="1:7" x14ac:dyDescent="0.35">
      <c r="A257" s="168" t="s">
        <v>554</v>
      </c>
      <c r="B257" s="168" t="s">
        <v>554</v>
      </c>
      <c r="C257" s="168" t="s">
        <v>565</v>
      </c>
      <c r="D257" s="168" t="s">
        <v>830</v>
      </c>
      <c r="E257" s="169">
        <v>72000</v>
      </c>
      <c r="F257" s="169"/>
      <c r="G257" s="169">
        <v>14637618.960000001</v>
      </c>
    </row>
    <row r="258" spans="1:7" x14ac:dyDescent="0.35">
      <c r="A258" s="168" t="s">
        <v>554</v>
      </c>
      <c r="B258" s="168" t="s">
        <v>554</v>
      </c>
      <c r="C258" s="168" t="s">
        <v>565</v>
      </c>
      <c r="D258" s="168" t="s">
        <v>831</v>
      </c>
      <c r="E258" s="169">
        <v>430666.44</v>
      </c>
      <c r="F258" s="169"/>
      <c r="G258" s="169">
        <v>14206952.52</v>
      </c>
    </row>
    <row r="259" spans="1:7" x14ac:dyDescent="0.35">
      <c r="A259" s="168" t="s">
        <v>554</v>
      </c>
      <c r="B259" s="168" t="s">
        <v>554</v>
      </c>
      <c r="C259" s="168" t="s">
        <v>565</v>
      </c>
      <c r="D259" s="168" t="s">
        <v>832</v>
      </c>
      <c r="E259" s="169">
        <v>106435</v>
      </c>
      <c r="F259" s="169"/>
      <c r="G259" s="169">
        <v>14100517.52</v>
      </c>
    </row>
    <row r="260" spans="1:7" x14ac:dyDescent="0.35">
      <c r="A260" s="168" t="s">
        <v>554</v>
      </c>
      <c r="B260" s="168" t="s">
        <v>554</v>
      </c>
      <c r="C260" s="168" t="s">
        <v>565</v>
      </c>
      <c r="D260" s="168" t="s">
        <v>833</v>
      </c>
      <c r="E260" s="169">
        <v>115760</v>
      </c>
      <c r="F260" s="169"/>
      <c r="G260" s="169">
        <v>13984757.52</v>
      </c>
    </row>
    <row r="261" spans="1:7" x14ac:dyDescent="0.35">
      <c r="A261" s="168" t="s">
        <v>554</v>
      </c>
      <c r="B261" s="168" t="s">
        <v>554</v>
      </c>
      <c r="C261" s="168" t="s">
        <v>565</v>
      </c>
      <c r="D261" s="168" t="s">
        <v>834</v>
      </c>
      <c r="E261" s="169">
        <v>78000</v>
      </c>
      <c r="F261" s="169"/>
      <c r="G261" s="169">
        <v>13906757.52</v>
      </c>
    </row>
    <row r="262" spans="1:7" x14ac:dyDescent="0.35">
      <c r="A262" s="168" t="s">
        <v>554</v>
      </c>
      <c r="B262" s="168" t="s">
        <v>554</v>
      </c>
      <c r="C262" s="168" t="s">
        <v>565</v>
      </c>
      <c r="D262" s="168" t="s">
        <v>835</v>
      </c>
      <c r="E262" s="169">
        <v>321341</v>
      </c>
      <c r="F262" s="169"/>
      <c r="G262" s="169">
        <v>13585416.52</v>
      </c>
    </row>
    <row r="263" spans="1:7" x14ac:dyDescent="0.35">
      <c r="A263" s="168" t="s">
        <v>554</v>
      </c>
      <c r="B263" s="168" t="s">
        <v>554</v>
      </c>
      <c r="C263" s="168" t="s">
        <v>565</v>
      </c>
      <c r="D263" s="168" t="s">
        <v>836</v>
      </c>
      <c r="E263" s="169">
        <v>104017.65</v>
      </c>
      <c r="F263" s="169"/>
      <c r="G263" s="169">
        <v>13481398.869999999</v>
      </c>
    </row>
    <row r="264" spans="1:7" x14ac:dyDescent="0.35">
      <c r="A264" s="168" t="s">
        <v>554</v>
      </c>
      <c r="B264" s="168" t="s">
        <v>554</v>
      </c>
      <c r="C264" s="168" t="s">
        <v>565</v>
      </c>
      <c r="D264" s="168" t="s">
        <v>837</v>
      </c>
      <c r="E264" s="169">
        <v>18600</v>
      </c>
      <c r="F264" s="169"/>
      <c r="G264" s="169">
        <v>13462798.869999999</v>
      </c>
    </row>
    <row r="265" spans="1:7" x14ac:dyDescent="0.35">
      <c r="A265" s="168" t="s">
        <v>554</v>
      </c>
      <c r="B265" s="168" t="s">
        <v>554</v>
      </c>
      <c r="C265" s="168" t="s">
        <v>565</v>
      </c>
      <c r="D265" s="168" t="s">
        <v>838</v>
      </c>
      <c r="E265" s="169">
        <v>119095</v>
      </c>
      <c r="F265" s="169"/>
      <c r="G265" s="169">
        <v>13343703.869999999</v>
      </c>
    </row>
    <row r="266" spans="1:7" x14ac:dyDescent="0.35">
      <c r="A266" s="168" t="s">
        <v>554</v>
      </c>
      <c r="B266" s="168" t="s">
        <v>554</v>
      </c>
      <c r="C266" s="168" t="s">
        <v>565</v>
      </c>
      <c r="D266" s="168" t="s">
        <v>839</v>
      </c>
      <c r="E266" s="169">
        <v>370611</v>
      </c>
      <c r="F266" s="169"/>
      <c r="G266" s="169">
        <v>12973092.869999999</v>
      </c>
    </row>
    <row r="267" spans="1:7" x14ac:dyDescent="0.35">
      <c r="A267" s="168" t="s">
        <v>554</v>
      </c>
      <c r="B267" s="168" t="s">
        <v>554</v>
      </c>
      <c r="C267" s="168" t="s">
        <v>565</v>
      </c>
      <c r="D267" s="168" t="s">
        <v>840</v>
      </c>
      <c r="E267" s="169">
        <v>88000</v>
      </c>
      <c r="F267" s="169"/>
      <c r="G267" s="169">
        <v>12885092.869999999</v>
      </c>
    </row>
    <row r="268" spans="1:7" x14ac:dyDescent="0.35">
      <c r="A268" s="168" t="s">
        <v>554</v>
      </c>
      <c r="B268" s="168" t="s">
        <v>554</v>
      </c>
      <c r="C268" s="168" t="s">
        <v>565</v>
      </c>
      <c r="D268" s="168" t="s">
        <v>841</v>
      </c>
      <c r="E268" s="169">
        <v>72000</v>
      </c>
      <c r="F268" s="169"/>
      <c r="G268" s="169">
        <v>12813092.869999999</v>
      </c>
    </row>
    <row r="269" spans="1:7" x14ac:dyDescent="0.35">
      <c r="A269" s="168" t="s">
        <v>554</v>
      </c>
      <c r="B269" s="168" t="s">
        <v>554</v>
      </c>
      <c r="C269" s="168" t="s">
        <v>565</v>
      </c>
      <c r="D269" s="168" t="s">
        <v>842</v>
      </c>
      <c r="E269" s="169">
        <v>82520</v>
      </c>
      <c r="F269" s="169"/>
      <c r="G269" s="169">
        <v>12730572.869999999</v>
      </c>
    </row>
    <row r="270" spans="1:7" x14ac:dyDescent="0.35">
      <c r="A270" s="168" t="s">
        <v>554</v>
      </c>
      <c r="B270" s="168" t="s">
        <v>554</v>
      </c>
      <c r="C270" s="168" t="s">
        <v>565</v>
      </c>
      <c r="D270" s="168" t="s">
        <v>843</v>
      </c>
      <c r="E270" s="169">
        <v>119095</v>
      </c>
      <c r="F270" s="169"/>
      <c r="G270" s="169">
        <v>12611477.869999999</v>
      </c>
    </row>
    <row r="271" spans="1:7" x14ac:dyDescent="0.35">
      <c r="A271" s="168" t="s">
        <v>554</v>
      </c>
      <c r="B271" s="168" t="s">
        <v>554</v>
      </c>
      <c r="C271" s="168" t="s">
        <v>565</v>
      </c>
      <c r="D271" s="168" t="s">
        <v>844</v>
      </c>
      <c r="E271" s="169">
        <v>83166</v>
      </c>
      <c r="F271" s="169"/>
      <c r="G271" s="169">
        <v>12528311.869999999</v>
      </c>
    </row>
    <row r="272" spans="1:7" x14ac:dyDescent="0.35">
      <c r="A272" s="168" t="s">
        <v>554</v>
      </c>
      <c r="B272" s="168" t="s">
        <v>554</v>
      </c>
      <c r="C272" s="168" t="s">
        <v>565</v>
      </c>
      <c r="D272" s="168" t="s">
        <v>845</v>
      </c>
      <c r="E272" s="169">
        <v>73000</v>
      </c>
      <c r="F272" s="169"/>
      <c r="G272" s="169">
        <v>12455311.869999999</v>
      </c>
    </row>
    <row r="273" spans="1:7" x14ac:dyDescent="0.35">
      <c r="A273" s="168" t="s">
        <v>554</v>
      </c>
      <c r="B273" s="168" t="s">
        <v>554</v>
      </c>
      <c r="C273" s="168" t="s">
        <v>565</v>
      </c>
      <c r="D273" s="168" t="s">
        <v>846</v>
      </c>
      <c r="E273" s="169">
        <v>132455.5</v>
      </c>
      <c r="F273" s="169"/>
      <c r="G273" s="169">
        <v>12322856.369999999</v>
      </c>
    </row>
    <row r="274" spans="1:7" x14ac:dyDescent="0.35">
      <c r="A274" s="168" t="s">
        <v>554</v>
      </c>
      <c r="B274" s="168" t="s">
        <v>554</v>
      </c>
      <c r="C274" s="168" t="s">
        <v>565</v>
      </c>
      <c r="D274" s="168" t="s">
        <v>847</v>
      </c>
      <c r="E274" s="169">
        <v>105843</v>
      </c>
      <c r="F274" s="169"/>
      <c r="G274" s="169">
        <v>12217013.369999999</v>
      </c>
    </row>
    <row r="275" spans="1:7" x14ac:dyDescent="0.35">
      <c r="A275" s="168" t="s">
        <v>554</v>
      </c>
      <c r="B275" s="168" t="s">
        <v>554</v>
      </c>
      <c r="C275" s="168" t="s">
        <v>565</v>
      </c>
      <c r="D275" s="168" t="s">
        <v>848</v>
      </c>
      <c r="E275" s="169">
        <v>81600</v>
      </c>
      <c r="F275" s="169"/>
      <c r="G275" s="169">
        <v>12135413.369999999</v>
      </c>
    </row>
    <row r="276" spans="1:7" x14ac:dyDescent="0.35">
      <c r="A276" s="168" t="s">
        <v>554</v>
      </c>
      <c r="B276" s="168" t="s">
        <v>554</v>
      </c>
      <c r="C276" s="168" t="s">
        <v>565</v>
      </c>
      <c r="D276" s="168" t="s">
        <v>849</v>
      </c>
      <c r="E276" s="169">
        <v>393794.52</v>
      </c>
      <c r="F276" s="169"/>
      <c r="G276" s="169">
        <v>11741618.85</v>
      </c>
    </row>
    <row r="277" spans="1:7" x14ac:dyDescent="0.35">
      <c r="A277" s="168" t="s">
        <v>554</v>
      </c>
      <c r="B277" s="168" t="s">
        <v>554</v>
      </c>
      <c r="C277" s="168" t="s">
        <v>565</v>
      </c>
      <c r="D277" s="168" t="s">
        <v>850</v>
      </c>
      <c r="E277" s="169">
        <v>300661</v>
      </c>
      <c r="F277" s="169"/>
      <c r="G277" s="169">
        <v>11440957.85</v>
      </c>
    </row>
    <row r="278" spans="1:7" x14ac:dyDescent="0.35">
      <c r="A278" s="168" t="s">
        <v>554</v>
      </c>
      <c r="B278" s="168" t="s">
        <v>554</v>
      </c>
      <c r="C278" s="168" t="s">
        <v>565</v>
      </c>
      <c r="D278" s="168" t="s">
        <v>851</v>
      </c>
      <c r="E278" s="169">
        <v>49620</v>
      </c>
      <c r="F278" s="169"/>
      <c r="G278" s="169">
        <v>11391337.85</v>
      </c>
    </row>
    <row r="279" spans="1:7" x14ac:dyDescent="0.35">
      <c r="A279" s="168" t="s">
        <v>554</v>
      </c>
      <c r="B279" s="168" t="s">
        <v>554</v>
      </c>
      <c r="C279" s="168" t="s">
        <v>565</v>
      </c>
      <c r="D279" s="168" t="s">
        <v>852</v>
      </c>
      <c r="E279" s="169">
        <v>59297</v>
      </c>
      <c r="F279" s="169"/>
      <c r="G279" s="169">
        <v>11332040.85</v>
      </c>
    </row>
    <row r="280" spans="1:7" x14ac:dyDescent="0.35">
      <c r="A280" s="168" t="s">
        <v>554</v>
      </c>
      <c r="B280" s="168" t="s">
        <v>554</v>
      </c>
      <c r="C280" s="168" t="s">
        <v>565</v>
      </c>
      <c r="D280" s="168" t="s">
        <v>853</v>
      </c>
      <c r="E280" s="169">
        <v>59211</v>
      </c>
      <c r="F280" s="169"/>
      <c r="G280" s="169">
        <v>11272829.85</v>
      </c>
    </row>
    <row r="281" spans="1:7" x14ac:dyDescent="0.35">
      <c r="A281" s="168" t="s">
        <v>554</v>
      </c>
      <c r="B281" s="168" t="s">
        <v>554</v>
      </c>
      <c r="C281" s="168" t="s">
        <v>565</v>
      </c>
      <c r="D281" s="168" t="s">
        <v>854</v>
      </c>
      <c r="E281" s="169">
        <v>83000</v>
      </c>
      <c r="F281" s="169"/>
      <c r="G281" s="169">
        <v>11189829.85</v>
      </c>
    </row>
    <row r="282" spans="1:7" x14ac:dyDescent="0.35">
      <c r="A282" s="168" t="s">
        <v>554</v>
      </c>
      <c r="B282" s="168" t="s">
        <v>554</v>
      </c>
      <c r="C282" s="168" t="s">
        <v>565</v>
      </c>
      <c r="D282" s="168" t="s">
        <v>855</v>
      </c>
      <c r="E282" s="169">
        <v>83020</v>
      </c>
      <c r="F282" s="169"/>
      <c r="G282" s="169">
        <v>11106809.85</v>
      </c>
    </row>
    <row r="283" spans="1:7" x14ac:dyDescent="0.35">
      <c r="A283" s="168" t="s">
        <v>554</v>
      </c>
      <c r="B283" s="168" t="s">
        <v>554</v>
      </c>
      <c r="C283" s="168" t="s">
        <v>565</v>
      </c>
      <c r="D283" s="168" t="s">
        <v>856</v>
      </c>
      <c r="E283" s="169">
        <v>92198</v>
      </c>
      <c r="F283" s="169"/>
      <c r="G283" s="169">
        <v>11014611.85</v>
      </c>
    </row>
    <row r="284" spans="1:7" x14ac:dyDescent="0.35">
      <c r="A284" s="168" t="s">
        <v>554</v>
      </c>
      <c r="B284" s="168" t="s">
        <v>554</v>
      </c>
      <c r="C284" s="168" t="s">
        <v>565</v>
      </c>
      <c r="D284" s="168" t="s">
        <v>857</v>
      </c>
      <c r="E284" s="169">
        <v>69877</v>
      </c>
      <c r="F284" s="169"/>
      <c r="G284" s="169">
        <v>10944734.85</v>
      </c>
    </row>
    <row r="285" spans="1:7" x14ac:dyDescent="0.35">
      <c r="A285" s="168" t="s">
        <v>554</v>
      </c>
      <c r="B285" s="168" t="s">
        <v>554</v>
      </c>
      <c r="C285" s="168" t="s">
        <v>565</v>
      </c>
      <c r="D285" s="168" t="s">
        <v>858</v>
      </c>
      <c r="E285" s="169">
        <v>117058.5</v>
      </c>
      <c r="F285" s="169"/>
      <c r="G285" s="169">
        <v>10827676.35</v>
      </c>
    </row>
    <row r="286" spans="1:7" x14ac:dyDescent="0.35">
      <c r="A286" s="168" t="s">
        <v>554</v>
      </c>
      <c r="B286" s="168" t="s">
        <v>554</v>
      </c>
      <c r="C286" s="168" t="s">
        <v>565</v>
      </c>
      <c r="D286" s="168" t="s">
        <v>859</v>
      </c>
      <c r="E286" s="169">
        <v>423138.24</v>
      </c>
      <c r="F286" s="169"/>
      <c r="G286" s="169">
        <v>10404538.109999999</v>
      </c>
    </row>
    <row r="287" spans="1:7" x14ac:dyDescent="0.35">
      <c r="A287" s="168" t="s">
        <v>554</v>
      </c>
      <c r="B287" s="168" t="s">
        <v>554</v>
      </c>
      <c r="C287" s="168" t="s">
        <v>565</v>
      </c>
      <c r="D287" s="168" t="s">
        <v>860</v>
      </c>
      <c r="E287" s="169">
        <v>74350</v>
      </c>
      <c r="F287" s="169"/>
      <c r="G287" s="169">
        <v>10330188.109999999</v>
      </c>
    </row>
    <row r="288" spans="1:7" x14ac:dyDescent="0.35">
      <c r="A288" s="168" t="s">
        <v>554</v>
      </c>
      <c r="B288" s="168" t="s">
        <v>554</v>
      </c>
      <c r="C288" s="168" t="s">
        <v>565</v>
      </c>
      <c r="D288" s="168" t="s">
        <v>861</v>
      </c>
      <c r="E288" s="169">
        <v>4050</v>
      </c>
      <c r="F288" s="169"/>
      <c r="G288" s="169">
        <v>10326138.109999999</v>
      </c>
    </row>
    <row r="289" spans="1:7" x14ac:dyDescent="0.35">
      <c r="A289" s="168" t="s">
        <v>554</v>
      </c>
      <c r="B289" s="168" t="s">
        <v>554</v>
      </c>
      <c r="C289" s="168" t="s">
        <v>565</v>
      </c>
      <c r="D289" s="168" t="s">
        <v>862</v>
      </c>
      <c r="E289" s="169">
        <v>26107</v>
      </c>
      <c r="F289" s="169"/>
      <c r="G289" s="169">
        <v>10300031.109999999</v>
      </c>
    </row>
    <row r="290" spans="1:7" x14ac:dyDescent="0.35">
      <c r="A290" s="168" t="s">
        <v>554</v>
      </c>
      <c r="B290" s="168" t="s">
        <v>554</v>
      </c>
      <c r="C290" s="168" t="s">
        <v>565</v>
      </c>
      <c r="D290" s="168" t="s">
        <v>863</v>
      </c>
      <c r="E290" s="169">
        <v>176044</v>
      </c>
      <c r="F290" s="169"/>
      <c r="G290" s="169">
        <v>10123987.109999999</v>
      </c>
    </row>
    <row r="291" spans="1:7" x14ac:dyDescent="0.35">
      <c r="A291" s="168" t="s">
        <v>554</v>
      </c>
      <c r="B291" s="168" t="s">
        <v>554</v>
      </c>
      <c r="C291" s="168" t="s">
        <v>565</v>
      </c>
      <c r="D291" s="168" t="s">
        <v>864</v>
      </c>
      <c r="E291" s="169">
        <v>24500</v>
      </c>
      <c r="F291" s="169"/>
      <c r="G291" s="169">
        <v>10099487.109999999</v>
      </c>
    </row>
    <row r="292" spans="1:7" x14ac:dyDescent="0.35">
      <c r="A292" s="168" t="s">
        <v>554</v>
      </c>
      <c r="B292" s="168" t="s">
        <v>554</v>
      </c>
      <c r="C292" s="168" t="s">
        <v>565</v>
      </c>
      <c r="D292" s="168" t="s">
        <v>865</v>
      </c>
      <c r="E292" s="169">
        <v>16740</v>
      </c>
      <c r="F292" s="169"/>
      <c r="G292" s="169">
        <v>10082747.109999999</v>
      </c>
    </row>
    <row r="293" spans="1:7" x14ac:dyDescent="0.35">
      <c r="A293" s="168" t="s">
        <v>554</v>
      </c>
      <c r="B293" s="168" t="s">
        <v>554</v>
      </c>
      <c r="C293" s="168" t="s">
        <v>565</v>
      </c>
      <c r="D293" s="168" t="s">
        <v>866</v>
      </c>
      <c r="E293" s="169">
        <v>7978</v>
      </c>
      <c r="F293" s="169"/>
      <c r="G293" s="169">
        <v>10074769.109999999</v>
      </c>
    </row>
    <row r="294" spans="1:7" x14ac:dyDescent="0.35">
      <c r="A294" s="168" t="s">
        <v>554</v>
      </c>
      <c r="B294" s="168" t="s">
        <v>554</v>
      </c>
      <c r="C294" s="168" t="s">
        <v>565</v>
      </c>
      <c r="D294" s="168" t="s">
        <v>867</v>
      </c>
      <c r="E294" s="169">
        <v>89100</v>
      </c>
      <c r="F294" s="169"/>
      <c r="G294" s="169">
        <v>9985669.1099999994</v>
      </c>
    </row>
    <row r="295" spans="1:7" x14ac:dyDescent="0.35">
      <c r="A295" s="168" t="s">
        <v>554</v>
      </c>
      <c r="B295" s="168" t="s">
        <v>554</v>
      </c>
      <c r="C295" s="168" t="s">
        <v>565</v>
      </c>
      <c r="D295" s="168" t="s">
        <v>868</v>
      </c>
      <c r="E295" s="169">
        <v>57600</v>
      </c>
      <c r="F295" s="169"/>
      <c r="G295" s="169">
        <v>9928069.1099999994</v>
      </c>
    </row>
    <row r="296" spans="1:7" x14ac:dyDescent="0.35">
      <c r="A296" s="168" t="s">
        <v>554</v>
      </c>
      <c r="B296" s="168" t="s">
        <v>554</v>
      </c>
      <c r="C296" s="168" t="s">
        <v>565</v>
      </c>
      <c r="D296" s="168" t="s">
        <v>869</v>
      </c>
      <c r="E296" s="169">
        <v>15660</v>
      </c>
      <c r="F296" s="169"/>
      <c r="G296" s="169">
        <v>9912409.1099999994</v>
      </c>
    </row>
    <row r="297" spans="1:7" x14ac:dyDescent="0.35">
      <c r="A297" s="168" t="s">
        <v>554</v>
      </c>
      <c r="B297" s="168" t="s">
        <v>554</v>
      </c>
      <c r="C297" s="168" t="s">
        <v>565</v>
      </c>
      <c r="D297" s="168" t="s">
        <v>870</v>
      </c>
      <c r="E297" s="169">
        <v>15450</v>
      </c>
      <c r="F297" s="169"/>
      <c r="G297" s="169">
        <v>9896959.1099999994</v>
      </c>
    </row>
    <row r="298" spans="1:7" x14ac:dyDescent="0.35">
      <c r="A298" s="168" t="s">
        <v>554</v>
      </c>
      <c r="B298" s="168" t="s">
        <v>554</v>
      </c>
      <c r="C298" s="168" t="s">
        <v>565</v>
      </c>
      <c r="D298" s="168" t="s">
        <v>871</v>
      </c>
      <c r="E298" s="169">
        <v>47578</v>
      </c>
      <c r="F298" s="169"/>
      <c r="G298" s="169">
        <v>9849381.1099999994</v>
      </c>
    </row>
    <row r="299" spans="1:7" x14ac:dyDescent="0.35">
      <c r="A299" s="168" t="s">
        <v>554</v>
      </c>
      <c r="B299" s="168" t="s">
        <v>554</v>
      </c>
      <c r="C299" s="168" t="s">
        <v>565</v>
      </c>
      <c r="D299" s="168" t="s">
        <v>872</v>
      </c>
      <c r="E299" s="169">
        <v>23760</v>
      </c>
      <c r="F299" s="169"/>
      <c r="G299" s="169">
        <v>9825621.1099999994</v>
      </c>
    </row>
    <row r="300" spans="1:7" x14ac:dyDescent="0.35">
      <c r="A300" s="168" t="s">
        <v>554</v>
      </c>
      <c r="B300" s="168" t="s">
        <v>554</v>
      </c>
      <c r="C300" s="168" t="s">
        <v>565</v>
      </c>
      <c r="D300" s="168" t="s">
        <v>873</v>
      </c>
      <c r="E300" s="169">
        <v>33930</v>
      </c>
      <c r="F300" s="169"/>
      <c r="G300" s="169">
        <v>9791691.1099999994</v>
      </c>
    </row>
    <row r="301" spans="1:7" x14ac:dyDescent="0.35">
      <c r="A301" s="168" t="s">
        <v>554</v>
      </c>
      <c r="B301" s="168" t="s">
        <v>554</v>
      </c>
      <c r="C301" s="168" t="s">
        <v>565</v>
      </c>
      <c r="D301" s="168" t="s">
        <v>874</v>
      </c>
      <c r="E301" s="169">
        <v>11988</v>
      </c>
      <c r="F301" s="169"/>
      <c r="G301" s="169">
        <v>9779703.1099999994</v>
      </c>
    </row>
    <row r="302" spans="1:7" x14ac:dyDescent="0.35">
      <c r="A302" s="168" t="s">
        <v>554</v>
      </c>
      <c r="B302" s="168" t="s">
        <v>554</v>
      </c>
      <c r="C302" s="168" t="s">
        <v>565</v>
      </c>
      <c r="D302" s="168" t="s">
        <v>875</v>
      </c>
      <c r="E302" s="169">
        <v>9108</v>
      </c>
      <c r="F302" s="169"/>
      <c r="G302" s="169">
        <v>9770595.1099999994</v>
      </c>
    </row>
    <row r="303" spans="1:7" x14ac:dyDescent="0.35">
      <c r="A303" s="168" t="s">
        <v>554</v>
      </c>
      <c r="B303" s="168" t="s">
        <v>554</v>
      </c>
      <c r="C303" s="168" t="s">
        <v>565</v>
      </c>
      <c r="D303" s="168" t="s">
        <v>876</v>
      </c>
      <c r="E303" s="169">
        <v>30063.8</v>
      </c>
      <c r="F303" s="169"/>
      <c r="G303" s="169">
        <v>9740531.3100000005</v>
      </c>
    </row>
    <row r="304" spans="1:7" x14ac:dyDescent="0.35">
      <c r="A304" s="168" t="s">
        <v>554</v>
      </c>
      <c r="B304" s="168" t="s">
        <v>554</v>
      </c>
      <c r="C304" s="168" t="s">
        <v>565</v>
      </c>
      <c r="D304" s="168" t="s">
        <v>877</v>
      </c>
      <c r="E304" s="169">
        <v>9135</v>
      </c>
      <c r="F304" s="169"/>
      <c r="G304" s="169">
        <v>9731396.3100000005</v>
      </c>
    </row>
    <row r="305" spans="1:7" x14ac:dyDescent="0.35">
      <c r="A305" s="168" t="s">
        <v>554</v>
      </c>
      <c r="B305" s="168" t="s">
        <v>554</v>
      </c>
      <c r="C305" s="168" t="s">
        <v>565</v>
      </c>
      <c r="D305" s="168" t="s">
        <v>878</v>
      </c>
      <c r="E305" s="169">
        <v>8918</v>
      </c>
      <c r="F305" s="169"/>
      <c r="G305" s="169">
        <v>9722478.3100000005</v>
      </c>
    </row>
    <row r="306" spans="1:7" x14ac:dyDescent="0.35">
      <c r="A306" s="168" t="s">
        <v>554</v>
      </c>
      <c r="B306" s="168" t="s">
        <v>554</v>
      </c>
      <c r="C306" s="168" t="s">
        <v>565</v>
      </c>
      <c r="D306" s="168" t="s">
        <v>879</v>
      </c>
      <c r="E306" s="169">
        <v>89100</v>
      </c>
      <c r="F306" s="169"/>
      <c r="G306" s="169">
        <v>9633378.3100000005</v>
      </c>
    </row>
    <row r="307" spans="1:7" x14ac:dyDescent="0.35">
      <c r="A307" s="168" t="s">
        <v>554</v>
      </c>
      <c r="B307" s="168" t="s">
        <v>554</v>
      </c>
      <c r="C307" s="168" t="s">
        <v>565</v>
      </c>
      <c r="D307" s="168" t="s">
        <v>880</v>
      </c>
      <c r="E307" s="169">
        <v>36980</v>
      </c>
      <c r="F307" s="169"/>
      <c r="G307" s="169">
        <v>9596398.3100000005</v>
      </c>
    </row>
    <row r="308" spans="1:7" x14ac:dyDescent="0.35">
      <c r="A308" s="168" t="s">
        <v>554</v>
      </c>
      <c r="B308" s="168" t="s">
        <v>554</v>
      </c>
      <c r="C308" s="168" t="s">
        <v>565</v>
      </c>
      <c r="D308" s="168" t="s">
        <v>881</v>
      </c>
      <c r="E308" s="169">
        <v>27850.36</v>
      </c>
      <c r="F308" s="169"/>
      <c r="G308" s="169">
        <v>9568547.9499999993</v>
      </c>
    </row>
    <row r="309" spans="1:7" x14ac:dyDescent="0.35">
      <c r="A309" s="168" t="s">
        <v>554</v>
      </c>
      <c r="B309" s="168" t="s">
        <v>554</v>
      </c>
      <c r="C309" s="168" t="s">
        <v>565</v>
      </c>
      <c r="D309" s="168" t="s">
        <v>882</v>
      </c>
      <c r="E309" s="169">
        <v>34650</v>
      </c>
      <c r="F309" s="169"/>
      <c r="G309" s="169">
        <v>9533897.9499999993</v>
      </c>
    </row>
    <row r="310" spans="1:7" x14ac:dyDescent="0.35">
      <c r="A310" s="168" t="s">
        <v>554</v>
      </c>
      <c r="B310" s="168" t="s">
        <v>554</v>
      </c>
      <c r="C310" s="168" t="s">
        <v>565</v>
      </c>
      <c r="D310" s="168" t="s">
        <v>883</v>
      </c>
      <c r="E310" s="169">
        <v>7320</v>
      </c>
      <c r="F310" s="169"/>
      <c r="G310" s="169">
        <v>9526577.9499999993</v>
      </c>
    </row>
    <row r="311" spans="1:7" x14ac:dyDescent="0.35">
      <c r="A311" s="168" t="s">
        <v>554</v>
      </c>
      <c r="B311" s="168" t="s">
        <v>554</v>
      </c>
      <c r="C311" s="168" t="s">
        <v>565</v>
      </c>
      <c r="D311" s="168" t="s">
        <v>884</v>
      </c>
      <c r="E311" s="169">
        <v>7151</v>
      </c>
      <c r="F311" s="169"/>
      <c r="G311" s="169">
        <v>9519426.9499999993</v>
      </c>
    </row>
    <row r="312" spans="1:7" x14ac:dyDescent="0.35">
      <c r="A312" s="168" t="s">
        <v>554</v>
      </c>
      <c r="B312" s="168" t="s">
        <v>554</v>
      </c>
      <c r="C312" s="168" t="s">
        <v>565</v>
      </c>
      <c r="D312" s="168" t="s">
        <v>885</v>
      </c>
      <c r="E312" s="169">
        <v>32400</v>
      </c>
      <c r="F312" s="169"/>
      <c r="G312" s="169">
        <v>9487026.9499999993</v>
      </c>
    </row>
    <row r="313" spans="1:7" x14ac:dyDescent="0.35">
      <c r="A313" s="168" t="s">
        <v>554</v>
      </c>
      <c r="B313" s="168" t="s">
        <v>554</v>
      </c>
      <c r="C313" s="168" t="s">
        <v>565</v>
      </c>
      <c r="D313" s="168" t="s">
        <v>886</v>
      </c>
      <c r="E313" s="169">
        <v>32625</v>
      </c>
      <c r="F313" s="169"/>
      <c r="G313" s="169">
        <v>9454401.9499999993</v>
      </c>
    </row>
    <row r="314" spans="1:7" x14ac:dyDescent="0.35">
      <c r="A314" s="168" t="s">
        <v>554</v>
      </c>
      <c r="B314" s="168" t="s">
        <v>554</v>
      </c>
      <c r="C314" s="168" t="s">
        <v>565</v>
      </c>
      <c r="D314" s="168" t="s">
        <v>887</v>
      </c>
      <c r="E314" s="169">
        <v>31125</v>
      </c>
      <c r="F314" s="169"/>
      <c r="G314" s="169">
        <v>9423276.9499999993</v>
      </c>
    </row>
    <row r="315" spans="1:7" x14ac:dyDescent="0.35">
      <c r="A315" s="168" t="s">
        <v>554</v>
      </c>
      <c r="B315" s="168" t="s">
        <v>554</v>
      </c>
      <c r="C315" s="168" t="s">
        <v>565</v>
      </c>
      <c r="D315" s="168" t="s">
        <v>888</v>
      </c>
      <c r="E315" s="169">
        <v>179302</v>
      </c>
      <c r="F315" s="169"/>
      <c r="G315" s="169">
        <v>9243974.9499999993</v>
      </c>
    </row>
    <row r="316" spans="1:7" x14ac:dyDescent="0.35">
      <c r="A316" s="168" t="s">
        <v>554</v>
      </c>
      <c r="B316" s="168" t="s">
        <v>554</v>
      </c>
      <c r="C316" s="168" t="s">
        <v>565</v>
      </c>
      <c r="D316" s="168" t="s">
        <v>889</v>
      </c>
      <c r="E316" s="169">
        <v>184702</v>
      </c>
      <c r="F316" s="169"/>
      <c r="G316" s="169">
        <v>9059272.9499999993</v>
      </c>
    </row>
    <row r="317" spans="1:7" x14ac:dyDescent="0.35">
      <c r="A317" s="168" t="s">
        <v>554</v>
      </c>
      <c r="B317" s="168" t="s">
        <v>554</v>
      </c>
      <c r="C317" s="168" t="s">
        <v>565</v>
      </c>
      <c r="D317" s="168" t="s">
        <v>890</v>
      </c>
      <c r="E317" s="169">
        <v>25358</v>
      </c>
      <c r="F317" s="169"/>
      <c r="G317" s="169">
        <v>9033914.9499999993</v>
      </c>
    </row>
    <row r="318" spans="1:7" x14ac:dyDescent="0.35">
      <c r="A318" s="168" t="s">
        <v>554</v>
      </c>
      <c r="B318" s="168" t="s">
        <v>554</v>
      </c>
      <c r="C318" s="168" t="s">
        <v>565</v>
      </c>
      <c r="D318" s="168" t="s">
        <v>891</v>
      </c>
      <c r="E318" s="169">
        <v>461472</v>
      </c>
      <c r="F318" s="169"/>
      <c r="G318" s="169">
        <v>8572442.9499999993</v>
      </c>
    </row>
    <row r="319" spans="1:7" x14ac:dyDescent="0.35">
      <c r="A319" s="168" t="s">
        <v>554</v>
      </c>
      <c r="B319" s="168" t="s">
        <v>554</v>
      </c>
      <c r="C319" s="168" t="s">
        <v>565</v>
      </c>
      <c r="D319" s="168" t="s">
        <v>892</v>
      </c>
      <c r="E319" s="169">
        <v>40680</v>
      </c>
      <c r="F319" s="169"/>
      <c r="G319" s="169">
        <v>8531762.9499999993</v>
      </c>
    </row>
    <row r="320" spans="1:7" x14ac:dyDescent="0.35">
      <c r="A320" s="168" t="s">
        <v>554</v>
      </c>
      <c r="B320" s="168" t="s">
        <v>554</v>
      </c>
      <c r="C320" s="168" t="s">
        <v>565</v>
      </c>
      <c r="D320" s="168" t="s">
        <v>893</v>
      </c>
      <c r="E320" s="169">
        <v>8910</v>
      </c>
      <c r="F320" s="169"/>
      <c r="G320" s="169">
        <v>8522852.9499999993</v>
      </c>
    </row>
    <row r="321" spans="1:7" x14ac:dyDescent="0.35">
      <c r="A321" s="168" t="s">
        <v>554</v>
      </c>
      <c r="B321" s="168" t="s">
        <v>554</v>
      </c>
      <c r="C321" s="168" t="s">
        <v>565</v>
      </c>
      <c r="D321" s="168" t="s">
        <v>894</v>
      </c>
      <c r="E321" s="169">
        <v>22365</v>
      </c>
      <c r="F321" s="169"/>
      <c r="G321" s="169">
        <v>8500487.9499999993</v>
      </c>
    </row>
    <row r="322" spans="1:7" x14ac:dyDescent="0.35">
      <c r="A322" s="168" t="s">
        <v>554</v>
      </c>
      <c r="B322" s="168" t="s">
        <v>554</v>
      </c>
      <c r="C322" s="168" t="s">
        <v>565</v>
      </c>
      <c r="D322" s="168" t="s">
        <v>895</v>
      </c>
      <c r="E322" s="169">
        <v>40784</v>
      </c>
      <c r="F322" s="169"/>
      <c r="G322" s="169">
        <v>8459703.9499999993</v>
      </c>
    </row>
    <row r="323" spans="1:7" x14ac:dyDescent="0.35">
      <c r="A323" s="168" t="s">
        <v>554</v>
      </c>
      <c r="B323" s="168" t="s">
        <v>554</v>
      </c>
      <c r="C323" s="168" t="s">
        <v>565</v>
      </c>
      <c r="D323" s="168" t="s">
        <v>896</v>
      </c>
      <c r="E323" s="169">
        <v>7380</v>
      </c>
      <c r="F323" s="169"/>
      <c r="G323" s="169">
        <v>8452323.9499999993</v>
      </c>
    </row>
    <row r="324" spans="1:7" x14ac:dyDescent="0.35">
      <c r="A324" s="168" t="s">
        <v>554</v>
      </c>
      <c r="B324" s="168" t="s">
        <v>554</v>
      </c>
      <c r="C324" s="168" t="s">
        <v>565</v>
      </c>
      <c r="D324" s="168" t="s">
        <v>897</v>
      </c>
      <c r="E324" s="169">
        <v>9728</v>
      </c>
      <c r="F324" s="169"/>
      <c r="G324" s="169">
        <v>8442595.9499999993</v>
      </c>
    </row>
    <row r="325" spans="1:7" x14ac:dyDescent="0.35">
      <c r="A325" s="168" t="s">
        <v>554</v>
      </c>
      <c r="B325" s="168" t="s">
        <v>554</v>
      </c>
      <c r="C325" s="168" t="s">
        <v>565</v>
      </c>
      <c r="D325" s="168" t="s">
        <v>898</v>
      </c>
      <c r="E325" s="169">
        <v>308364</v>
      </c>
      <c r="F325" s="169"/>
      <c r="G325" s="169">
        <v>8134231.9500000002</v>
      </c>
    </row>
    <row r="326" spans="1:7" x14ac:dyDescent="0.35">
      <c r="A326" s="168" t="s">
        <v>554</v>
      </c>
      <c r="B326" s="168" t="s">
        <v>554</v>
      </c>
      <c r="C326" s="168" t="s">
        <v>565</v>
      </c>
      <c r="D326" s="168" t="s">
        <v>899</v>
      </c>
      <c r="E326" s="169">
        <v>4018</v>
      </c>
      <c r="F326" s="169"/>
      <c r="G326" s="169">
        <v>8130213.9500000002</v>
      </c>
    </row>
    <row r="327" spans="1:7" x14ac:dyDescent="0.35">
      <c r="A327" s="168" t="s">
        <v>554</v>
      </c>
      <c r="B327" s="168" t="s">
        <v>554</v>
      </c>
      <c r="C327" s="168" t="s">
        <v>565</v>
      </c>
      <c r="D327" s="168" t="s">
        <v>900</v>
      </c>
      <c r="E327" s="169">
        <v>92507</v>
      </c>
      <c r="F327" s="169"/>
      <c r="G327" s="169">
        <v>8037706.9500000002</v>
      </c>
    </row>
    <row r="328" spans="1:7" x14ac:dyDescent="0.35">
      <c r="A328" s="168" t="s">
        <v>554</v>
      </c>
      <c r="B328" s="168" t="s">
        <v>554</v>
      </c>
      <c r="C328" s="168" t="s">
        <v>565</v>
      </c>
      <c r="D328" s="168" t="s">
        <v>901</v>
      </c>
      <c r="E328" s="169">
        <v>518323</v>
      </c>
      <c r="F328" s="169"/>
      <c r="G328" s="169">
        <v>7519383.9500000002</v>
      </c>
    </row>
    <row r="329" spans="1:7" x14ac:dyDescent="0.35">
      <c r="A329" s="168" t="s">
        <v>554</v>
      </c>
      <c r="B329" s="168" t="s">
        <v>554</v>
      </c>
      <c r="C329" s="168" t="s">
        <v>565</v>
      </c>
      <c r="D329" s="168" t="s">
        <v>902</v>
      </c>
      <c r="E329" s="169">
        <v>98569.58</v>
      </c>
      <c r="F329" s="169"/>
      <c r="G329" s="169">
        <v>7420814.3700000001</v>
      </c>
    </row>
    <row r="330" spans="1:7" x14ac:dyDescent="0.35">
      <c r="A330" s="168" t="s">
        <v>554</v>
      </c>
      <c r="B330" s="168" t="s">
        <v>554</v>
      </c>
      <c r="C330" s="168" t="s">
        <v>565</v>
      </c>
      <c r="D330" s="168" t="s">
        <v>903</v>
      </c>
      <c r="E330" s="169">
        <v>19011.11</v>
      </c>
      <c r="F330" s="169"/>
      <c r="G330" s="169">
        <v>7401803.2599999998</v>
      </c>
    </row>
    <row r="331" spans="1:7" x14ac:dyDescent="0.35">
      <c r="A331" s="168" t="s">
        <v>554</v>
      </c>
      <c r="B331" s="168" t="s">
        <v>554</v>
      </c>
      <c r="C331" s="168" t="s">
        <v>565</v>
      </c>
      <c r="D331" s="168" t="s">
        <v>904</v>
      </c>
      <c r="E331" s="169">
        <v>47200</v>
      </c>
      <c r="F331" s="169"/>
      <c r="G331" s="169">
        <v>7354603.2599999998</v>
      </c>
    </row>
    <row r="332" spans="1:7" x14ac:dyDescent="0.35">
      <c r="A332" s="168" t="s">
        <v>554</v>
      </c>
      <c r="B332" s="168" t="s">
        <v>554</v>
      </c>
      <c r="C332" s="168" t="s">
        <v>565</v>
      </c>
      <c r="D332" s="168" t="s">
        <v>905</v>
      </c>
      <c r="E332" s="169">
        <v>7978</v>
      </c>
      <c r="F332" s="169"/>
      <c r="G332" s="169">
        <v>7346625.2599999998</v>
      </c>
    </row>
    <row r="333" spans="1:7" x14ac:dyDescent="0.35">
      <c r="A333" s="168" t="s">
        <v>554</v>
      </c>
      <c r="B333" s="168" t="s">
        <v>554</v>
      </c>
      <c r="C333" s="168" t="s">
        <v>565</v>
      </c>
      <c r="D333" s="168" t="s">
        <v>906</v>
      </c>
      <c r="E333" s="169">
        <v>47578</v>
      </c>
      <c r="F333" s="169"/>
      <c r="G333" s="169">
        <v>7299047.2599999998</v>
      </c>
    </row>
    <row r="334" spans="1:7" x14ac:dyDescent="0.35">
      <c r="A334" s="168" t="s">
        <v>554</v>
      </c>
      <c r="B334" s="168" t="s">
        <v>554</v>
      </c>
      <c r="C334" s="168" t="s">
        <v>565</v>
      </c>
      <c r="D334" s="168" t="s">
        <v>907</v>
      </c>
      <c r="E334" s="169">
        <v>11988</v>
      </c>
      <c r="F334" s="169"/>
      <c r="G334" s="169">
        <v>7287059.2599999998</v>
      </c>
    </row>
    <row r="335" spans="1:7" x14ac:dyDescent="0.35">
      <c r="A335" s="168" t="s">
        <v>554</v>
      </c>
      <c r="B335" s="168" t="s">
        <v>554</v>
      </c>
      <c r="C335" s="168" t="s">
        <v>565</v>
      </c>
      <c r="D335" s="168" t="s">
        <v>908</v>
      </c>
      <c r="E335" s="169">
        <v>25358</v>
      </c>
      <c r="F335" s="169"/>
      <c r="G335" s="169">
        <v>7261701.2599999998</v>
      </c>
    </row>
    <row r="336" spans="1:7" x14ac:dyDescent="0.35">
      <c r="A336" s="168" t="s">
        <v>909</v>
      </c>
      <c r="B336" s="168" t="s">
        <v>910</v>
      </c>
      <c r="C336" s="168"/>
      <c r="D336" s="168"/>
      <c r="E336" s="169"/>
      <c r="F336" s="169"/>
      <c r="G336" s="169"/>
    </row>
    <row r="337" spans="1:7" x14ac:dyDescent="0.35">
      <c r="A337" s="168" t="s">
        <v>911</v>
      </c>
      <c r="B337" s="168" t="s">
        <v>912</v>
      </c>
      <c r="C337" s="168"/>
      <c r="D337" s="168"/>
      <c r="E337" s="169"/>
      <c r="F337" s="169"/>
      <c r="G337" s="169"/>
    </row>
  </sheetData>
  <pageMargins left="0.7" right="0.7" top="0.75" bottom="0.75" header="0.511811023622047" footer="0.511811023622047"/>
  <pageSetup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27"/>
  <sheetViews>
    <sheetView zoomScaleNormal="100" workbookViewId="0">
      <selection activeCell="E16" sqref="E16"/>
    </sheetView>
  </sheetViews>
  <sheetFormatPr defaultColWidth="8.6328125" defaultRowHeight="14" x14ac:dyDescent="0.35"/>
  <cols>
    <col min="1" max="1" width="28.453125" style="170" customWidth="1"/>
    <col min="2" max="2" width="35.36328125" style="170" customWidth="1"/>
    <col min="3" max="3" width="39.453125" style="170" customWidth="1"/>
    <col min="4" max="4" width="18.54296875" style="171" customWidth="1"/>
    <col min="5" max="5" width="73.36328125" style="172" customWidth="1"/>
    <col min="6" max="6" width="18.08984375" style="173" customWidth="1"/>
    <col min="7" max="7" width="22.6328125" style="170" customWidth="1"/>
    <col min="8" max="8" width="11.08984375" style="170" customWidth="1"/>
    <col min="9" max="9" width="9.6328125" style="170" customWidth="1"/>
    <col min="10" max="16384" width="8.6328125" style="170"/>
  </cols>
  <sheetData>
    <row r="1" spans="1:9" s="174" customFormat="1" ht="32.25" customHeight="1" x14ac:dyDescent="0.35">
      <c r="A1" s="5" t="str">
        <f>"Inter-Company Transfer for the month of "&amp;Master!C6</f>
        <v>Inter-Company Transfer for the month of APR-26</v>
      </c>
      <c r="B1" s="5"/>
      <c r="C1" s="5"/>
      <c r="D1" s="5"/>
      <c r="E1" s="5"/>
      <c r="F1" s="5"/>
    </row>
    <row r="2" spans="1:9" x14ac:dyDescent="0.35">
      <c r="A2" s="175" t="s">
        <v>913</v>
      </c>
      <c r="B2" s="176" t="s">
        <v>83</v>
      </c>
      <c r="C2" s="176" t="s">
        <v>914</v>
      </c>
      <c r="D2" s="177" t="s">
        <v>915</v>
      </c>
      <c r="E2" s="176" t="s">
        <v>916</v>
      </c>
      <c r="F2" s="178" t="s">
        <v>917</v>
      </c>
    </row>
    <row r="3" spans="1:9" ht="21" customHeight="1" x14ac:dyDescent="0.35">
      <c r="A3" s="4"/>
      <c r="B3" s="180" t="s">
        <v>918</v>
      </c>
      <c r="C3" s="181" t="s">
        <v>919</v>
      </c>
      <c r="D3" s="182">
        <v>27363.040000000001</v>
      </c>
      <c r="E3" s="183" t="s">
        <v>920</v>
      </c>
      <c r="F3" s="184">
        <v>46112</v>
      </c>
      <c r="G3" s="185"/>
      <c r="H3" s="185"/>
    </row>
    <row r="4" spans="1:9" ht="15" customHeight="1" x14ac:dyDescent="0.35">
      <c r="A4" s="4"/>
      <c r="B4" s="42"/>
      <c r="C4" s="186"/>
      <c r="D4" s="187"/>
      <c r="E4" s="188"/>
      <c r="F4" s="189"/>
      <c r="H4" s="185"/>
    </row>
    <row r="5" spans="1:9" ht="14.25" customHeight="1" x14ac:dyDescent="0.35">
      <c r="A5" s="4"/>
      <c r="B5" s="180" t="s">
        <v>921</v>
      </c>
      <c r="C5" s="190" t="s">
        <v>563</v>
      </c>
      <c r="D5" s="191">
        <v>-2574.87</v>
      </c>
      <c r="E5" s="192" t="s">
        <v>922</v>
      </c>
      <c r="F5" s="184">
        <v>46131</v>
      </c>
    </row>
    <row r="6" spans="1:9" ht="14.25" customHeight="1" x14ac:dyDescent="0.35">
      <c r="A6" s="4"/>
      <c r="B6" s="180" t="s">
        <v>923</v>
      </c>
      <c r="C6" s="190" t="s">
        <v>563</v>
      </c>
      <c r="D6" s="191">
        <v>-16011</v>
      </c>
      <c r="E6" s="192" t="s">
        <v>145</v>
      </c>
      <c r="F6" s="184">
        <v>46140</v>
      </c>
    </row>
    <row r="7" spans="1:9" ht="14.25" customHeight="1" x14ac:dyDescent="0.35">
      <c r="A7" s="4"/>
      <c r="B7" s="180" t="s">
        <v>924</v>
      </c>
      <c r="C7" s="190" t="s">
        <v>562</v>
      </c>
      <c r="D7" s="191">
        <v>3896</v>
      </c>
      <c r="E7" s="192" t="s">
        <v>925</v>
      </c>
      <c r="F7" s="184">
        <v>46142</v>
      </c>
    </row>
    <row r="8" spans="1:9" ht="14.25" customHeight="1" x14ac:dyDescent="0.35">
      <c r="A8" s="4"/>
      <c r="B8" s="180" t="s">
        <v>926</v>
      </c>
      <c r="C8" s="190" t="s">
        <v>563</v>
      </c>
      <c r="D8" s="191">
        <v>-4517.46</v>
      </c>
      <c r="E8" s="192" t="s">
        <v>927</v>
      </c>
      <c r="F8" s="184">
        <v>46142</v>
      </c>
    </row>
    <row r="9" spans="1:9" ht="14.25" customHeight="1" x14ac:dyDescent="0.35">
      <c r="A9" s="4"/>
      <c r="B9" s="180" t="s">
        <v>928</v>
      </c>
      <c r="C9" s="190" t="s">
        <v>563</v>
      </c>
      <c r="D9" s="191">
        <v>-14990</v>
      </c>
      <c r="E9" s="192" t="s">
        <v>929</v>
      </c>
      <c r="F9" s="184">
        <v>46142</v>
      </c>
    </row>
    <row r="10" spans="1:9" ht="14.25" customHeight="1" x14ac:dyDescent="0.35">
      <c r="A10" s="4"/>
      <c r="B10" s="193"/>
      <c r="C10" s="190"/>
      <c r="D10" s="194"/>
      <c r="E10" s="195"/>
      <c r="F10" s="196"/>
    </row>
    <row r="11" spans="1:9" ht="14.25" customHeight="1" x14ac:dyDescent="0.35">
      <c r="A11" s="4"/>
      <c r="B11" s="197"/>
      <c r="C11" s="190"/>
      <c r="D11" s="198"/>
      <c r="E11" s="192"/>
      <c r="F11" s="196"/>
    </row>
    <row r="12" spans="1:9" ht="14.25" customHeight="1" x14ac:dyDescent="0.35">
      <c r="A12" s="179"/>
      <c r="B12" s="197"/>
      <c r="C12" s="190"/>
      <c r="D12" s="198"/>
      <c r="E12" s="119"/>
      <c r="F12" s="196"/>
    </row>
    <row r="13" spans="1:9" ht="14.25" customHeight="1" x14ac:dyDescent="0.35">
      <c r="A13" s="179"/>
      <c r="B13" s="197"/>
      <c r="C13" s="190"/>
      <c r="D13" s="198"/>
      <c r="E13" s="117"/>
      <c r="F13" s="199"/>
    </row>
    <row r="14" spans="1:9" ht="14.25" customHeight="1" x14ac:dyDescent="0.35">
      <c r="A14" s="179"/>
      <c r="B14" s="197"/>
      <c r="C14" s="190"/>
      <c r="D14" s="198"/>
      <c r="E14" s="117"/>
      <c r="F14" s="199"/>
    </row>
    <row r="15" spans="1:9" x14ac:dyDescent="0.3">
      <c r="A15" s="200"/>
      <c r="B15" s="201"/>
      <c r="C15" s="176"/>
      <c r="D15" s="202"/>
      <c r="E15" s="203"/>
      <c r="F15" s="204"/>
    </row>
    <row r="16" spans="1:9" x14ac:dyDescent="0.35">
      <c r="A16" s="200"/>
      <c r="B16" s="190"/>
      <c r="C16" s="176" t="s">
        <v>930</v>
      </c>
      <c r="D16" s="205">
        <f>SUM(D3:D10)</f>
        <v>-6834.2899999999981</v>
      </c>
      <c r="E16" s="206"/>
      <c r="F16" s="190"/>
      <c r="I16" s="185"/>
    </row>
    <row r="17" spans="1:9" x14ac:dyDescent="0.35">
      <c r="B17" s="207"/>
      <c r="C17" s="208"/>
      <c r="D17" s="209"/>
      <c r="E17" s="210"/>
      <c r="F17" s="207"/>
      <c r="I17" s="185"/>
    </row>
    <row r="18" spans="1:9" x14ac:dyDescent="0.35">
      <c r="B18" s="207"/>
      <c r="C18" s="208"/>
      <c r="D18" s="209"/>
      <c r="E18" s="210"/>
      <c r="F18" s="207"/>
      <c r="I18" s="185"/>
    </row>
    <row r="26" spans="1:9" ht="14.25" customHeight="1" x14ac:dyDescent="0.35">
      <c r="A26" s="211"/>
      <c r="B26" s="212"/>
      <c r="C26" s="213"/>
    </row>
    <row r="27" spans="1:9" ht="14.25" customHeight="1" x14ac:dyDescent="0.35">
      <c r="A27" s="211"/>
      <c r="B27" s="212"/>
      <c r="C27" s="213"/>
    </row>
  </sheetData>
  <mergeCells count="2">
    <mergeCell ref="A1:F1"/>
    <mergeCell ref="A3:A11"/>
  </mergeCells>
  <pageMargins left="0.7" right="0.7" top="0.75" bottom="0.75" header="0.511811023622047" footer="0.511811023622047"/>
  <pageSetup orientation="portrait" horizontalDpi="300" verticalDpi="300"/>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O259"/>
  <sheetViews>
    <sheetView topLeftCell="A188" zoomScale="63" zoomScaleNormal="63" workbookViewId="0">
      <selection activeCell="H197" sqref="H197"/>
    </sheetView>
  </sheetViews>
  <sheetFormatPr defaultColWidth="9.08984375" defaultRowHeight="14" x14ac:dyDescent="0.35"/>
  <cols>
    <col min="1" max="1" width="1.90625" style="214" customWidth="1"/>
    <col min="2" max="2" width="36.1796875" style="215" customWidth="1"/>
    <col min="3" max="3" width="33.1796875" style="216" customWidth="1"/>
    <col min="4" max="4" width="19.36328125" style="217" customWidth="1"/>
    <col min="5" max="5" width="83.36328125" style="216" customWidth="1"/>
    <col min="6" max="6" width="10.453125" style="218" customWidth="1"/>
    <col min="7" max="7" width="28" style="219" customWidth="1"/>
    <col min="8" max="8" width="12" style="217" customWidth="1"/>
    <col min="9" max="9" width="12.36328125" style="217" customWidth="1"/>
    <col min="10" max="10" width="13.36328125" style="217" customWidth="1"/>
    <col min="11" max="11" width="15.6328125" style="220" customWidth="1"/>
    <col min="12" max="12" width="16.36328125" style="214" customWidth="1"/>
    <col min="13" max="13" width="13.6328125" style="214" customWidth="1"/>
    <col min="14" max="14" width="12" style="214" customWidth="1"/>
    <col min="15" max="15" width="17.36328125" style="214" customWidth="1"/>
    <col min="16" max="236" width="9.08984375" style="214"/>
    <col min="237" max="237" width="1.453125" style="214" customWidth="1"/>
    <col min="238" max="238" width="27.453125" style="214" customWidth="1"/>
    <col min="239" max="239" width="24.08984375" style="214" customWidth="1"/>
    <col min="240" max="240" width="15" style="214" customWidth="1"/>
    <col min="241" max="241" width="36" style="214" customWidth="1"/>
    <col min="242" max="242" width="9.453125" style="214" customWidth="1"/>
    <col min="243" max="243" width="55.6328125" style="214" customWidth="1"/>
    <col min="244" max="492" width="9.08984375" style="214"/>
    <col min="493" max="493" width="1.453125" style="214" customWidth="1"/>
    <col min="494" max="494" width="27.453125" style="214" customWidth="1"/>
    <col min="495" max="495" width="24.08984375" style="214" customWidth="1"/>
    <col min="496" max="496" width="15" style="214" customWidth="1"/>
    <col min="497" max="497" width="36" style="214" customWidth="1"/>
    <col min="498" max="498" width="9.453125" style="214" customWidth="1"/>
    <col min="499" max="499" width="55.6328125" style="214" customWidth="1"/>
    <col min="500" max="748" width="9.08984375" style="214"/>
    <col min="749" max="749" width="1.453125" style="214" customWidth="1"/>
    <col min="750" max="750" width="27.453125" style="214" customWidth="1"/>
    <col min="751" max="751" width="24.08984375" style="214" customWidth="1"/>
    <col min="752" max="752" width="15" style="214" customWidth="1"/>
    <col min="753" max="753" width="36" style="214" customWidth="1"/>
    <col min="754" max="754" width="9.453125" style="214" customWidth="1"/>
    <col min="755" max="755" width="55.6328125" style="214" customWidth="1"/>
    <col min="756" max="1004" width="9.08984375" style="214"/>
    <col min="1005" max="1005" width="1.453125" style="214" customWidth="1"/>
    <col min="1006" max="1006" width="27.453125" style="214" customWidth="1"/>
    <col min="1007" max="1007" width="24.08984375" style="214" customWidth="1"/>
    <col min="1008" max="1008" width="15" style="214" customWidth="1"/>
    <col min="1009" max="1009" width="36" style="214" customWidth="1"/>
    <col min="1010" max="1010" width="9.453125" style="214" customWidth="1"/>
    <col min="1011" max="1011" width="55.6328125" style="214" customWidth="1"/>
    <col min="1012" max="1260" width="9.08984375" style="214"/>
    <col min="1261" max="1261" width="1.453125" style="214" customWidth="1"/>
    <col min="1262" max="1262" width="27.453125" style="214" customWidth="1"/>
    <col min="1263" max="1263" width="24.08984375" style="214" customWidth="1"/>
    <col min="1264" max="1264" width="15" style="214" customWidth="1"/>
    <col min="1265" max="1265" width="36" style="214" customWidth="1"/>
    <col min="1266" max="1266" width="9.453125" style="214" customWidth="1"/>
    <col min="1267" max="1267" width="55.6328125" style="214" customWidth="1"/>
    <col min="1268" max="1516" width="9.08984375" style="214"/>
    <col min="1517" max="1517" width="1.453125" style="214" customWidth="1"/>
    <col min="1518" max="1518" width="27.453125" style="214" customWidth="1"/>
    <col min="1519" max="1519" width="24.08984375" style="214" customWidth="1"/>
    <col min="1520" max="1520" width="15" style="214" customWidth="1"/>
    <col min="1521" max="1521" width="36" style="214" customWidth="1"/>
    <col min="1522" max="1522" width="9.453125" style="214" customWidth="1"/>
    <col min="1523" max="1523" width="55.6328125" style="214" customWidth="1"/>
    <col min="1524" max="1772" width="9.08984375" style="214"/>
    <col min="1773" max="1773" width="1.453125" style="214" customWidth="1"/>
    <col min="1774" max="1774" width="27.453125" style="214" customWidth="1"/>
    <col min="1775" max="1775" width="24.08984375" style="214" customWidth="1"/>
    <col min="1776" max="1776" width="15" style="214" customWidth="1"/>
    <col min="1777" max="1777" width="36" style="214" customWidth="1"/>
    <col min="1778" max="1778" width="9.453125" style="214" customWidth="1"/>
    <col min="1779" max="1779" width="55.6328125" style="214" customWidth="1"/>
    <col min="1780" max="2028" width="9.08984375" style="214"/>
    <col min="2029" max="2029" width="1.453125" style="214" customWidth="1"/>
    <col min="2030" max="2030" width="27.453125" style="214" customWidth="1"/>
    <col min="2031" max="2031" width="24.08984375" style="214" customWidth="1"/>
    <col min="2032" max="2032" width="15" style="214" customWidth="1"/>
    <col min="2033" max="2033" width="36" style="214" customWidth="1"/>
    <col min="2034" max="2034" width="9.453125" style="214" customWidth="1"/>
    <col min="2035" max="2035" width="55.6328125" style="214" customWidth="1"/>
    <col min="2036" max="2284" width="9.08984375" style="214"/>
    <col min="2285" max="2285" width="1.453125" style="214" customWidth="1"/>
    <col min="2286" max="2286" width="27.453125" style="214" customWidth="1"/>
    <col min="2287" max="2287" width="24.08984375" style="214" customWidth="1"/>
    <col min="2288" max="2288" width="15" style="214" customWidth="1"/>
    <col min="2289" max="2289" width="36" style="214" customWidth="1"/>
    <col min="2290" max="2290" width="9.453125" style="214" customWidth="1"/>
    <col min="2291" max="2291" width="55.6328125" style="214" customWidth="1"/>
    <col min="2292" max="2540" width="9.08984375" style="214"/>
    <col min="2541" max="2541" width="1.453125" style="214" customWidth="1"/>
    <col min="2542" max="2542" width="27.453125" style="214" customWidth="1"/>
    <col min="2543" max="2543" width="24.08984375" style="214" customWidth="1"/>
    <col min="2544" max="2544" width="15" style="214" customWidth="1"/>
    <col min="2545" max="2545" width="36" style="214" customWidth="1"/>
    <col min="2546" max="2546" width="9.453125" style="214" customWidth="1"/>
    <col min="2547" max="2547" width="55.6328125" style="214" customWidth="1"/>
    <col min="2548" max="2796" width="9.08984375" style="214"/>
    <col min="2797" max="2797" width="1.453125" style="214" customWidth="1"/>
    <col min="2798" max="2798" width="27.453125" style="214" customWidth="1"/>
    <col min="2799" max="2799" width="24.08984375" style="214" customWidth="1"/>
    <col min="2800" max="2800" width="15" style="214" customWidth="1"/>
    <col min="2801" max="2801" width="36" style="214" customWidth="1"/>
    <col min="2802" max="2802" width="9.453125" style="214" customWidth="1"/>
    <col min="2803" max="2803" width="55.6328125" style="214" customWidth="1"/>
    <col min="2804" max="3052" width="9.08984375" style="214"/>
    <col min="3053" max="3053" width="1.453125" style="214" customWidth="1"/>
    <col min="3054" max="3054" width="27.453125" style="214" customWidth="1"/>
    <col min="3055" max="3055" width="24.08984375" style="214" customWidth="1"/>
    <col min="3056" max="3056" width="15" style="214" customWidth="1"/>
    <col min="3057" max="3057" width="36" style="214" customWidth="1"/>
    <col min="3058" max="3058" width="9.453125" style="214" customWidth="1"/>
    <col min="3059" max="3059" width="55.6328125" style="214" customWidth="1"/>
    <col min="3060" max="3308" width="9.08984375" style="214"/>
    <col min="3309" max="3309" width="1.453125" style="214" customWidth="1"/>
    <col min="3310" max="3310" width="27.453125" style="214" customWidth="1"/>
    <col min="3311" max="3311" width="24.08984375" style="214" customWidth="1"/>
    <col min="3312" max="3312" width="15" style="214" customWidth="1"/>
    <col min="3313" max="3313" width="36" style="214" customWidth="1"/>
    <col min="3314" max="3314" width="9.453125" style="214" customWidth="1"/>
    <col min="3315" max="3315" width="55.6328125" style="214" customWidth="1"/>
    <col min="3316" max="3564" width="9.08984375" style="214"/>
    <col min="3565" max="3565" width="1.453125" style="214" customWidth="1"/>
    <col min="3566" max="3566" width="27.453125" style="214" customWidth="1"/>
    <col min="3567" max="3567" width="24.08984375" style="214" customWidth="1"/>
    <col min="3568" max="3568" width="15" style="214" customWidth="1"/>
    <col min="3569" max="3569" width="36" style="214" customWidth="1"/>
    <col min="3570" max="3570" width="9.453125" style="214" customWidth="1"/>
    <col min="3571" max="3571" width="55.6328125" style="214" customWidth="1"/>
    <col min="3572" max="3820" width="9.08984375" style="214"/>
    <col min="3821" max="3821" width="1.453125" style="214" customWidth="1"/>
    <col min="3822" max="3822" width="27.453125" style="214" customWidth="1"/>
    <col min="3823" max="3823" width="24.08984375" style="214" customWidth="1"/>
    <col min="3824" max="3824" width="15" style="214" customWidth="1"/>
    <col min="3825" max="3825" width="36" style="214" customWidth="1"/>
    <col min="3826" max="3826" width="9.453125" style="214" customWidth="1"/>
    <col min="3827" max="3827" width="55.6328125" style="214" customWidth="1"/>
    <col min="3828" max="4076" width="9.08984375" style="214"/>
    <col min="4077" max="4077" width="1.453125" style="214" customWidth="1"/>
    <col min="4078" max="4078" width="27.453125" style="214" customWidth="1"/>
    <col min="4079" max="4079" width="24.08984375" style="214" customWidth="1"/>
    <col min="4080" max="4080" width="15" style="214" customWidth="1"/>
    <col min="4081" max="4081" width="36" style="214" customWidth="1"/>
    <col min="4082" max="4082" width="9.453125" style="214" customWidth="1"/>
    <col min="4083" max="4083" width="55.6328125" style="214" customWidth="1"/>
    <col min="4084" max="4332" width="9.08984375" style="214"/>
    <col min="4333" max="4333" width="1.453125" style="214" customWidth="1"/>
    <col min="4334" max="4334" width="27.453125" style="214" customWidth="1"/>
    <col min="4335" max="4335" width="24.08984375" style="214" customWidth="1"/>
    <col min="4336" max="4336" width="15" style="214" customWidth="1"/>
    <col min="4337" max="4337" width="36" style="214" customWidth="1"/>
    <col min="4338" max="4338" width="9.453125" style="214" customWidth="1"/>
    <col min="4339" max="4339" width="55.6328125" style="214" customWidth="1"/>
    <col min="4340" max="4588" width="9.08984375" style="214"/>
    <col min="4589" max="4589" width="1.453125" style="214" customWidth="1"/>
    <col min="4590" max="4590" width="27.453125" style="214" customWidth="1"/>
    <col min="4591" max="4591" width="24.08984375" style="214" customWidth="1"/>
    <col min="4592" max="4592" width="15" style="214" customWidth="1"/>
    <col min="4593" max="4593" width="36" style="214" customWidth="1"/>
    <col min="4594" max="4594" width="9.453125" style="214" customWidth="1"/>
    <col min="4595" max="4595" width="55.6328125" style="214" customWidth="1"/>
    <col min="4596" max="4844" width="9.08984375" style="214"/>
    <col min="4845" max="4845" width="1.453125" style="214" customWidth="1"/>
    <col min="4846" max="4846" width="27.453125" style="214" customWidth="1"/>
    <col min="4847" max="4847" width="24.08984375" style="214" customWidth="1"/>
    <col min="4848" max="4848" width="15" style="214" customWidth="1"/>
    <col min="4849" max="4849" width="36" style="214" customWidth="1"/>
    <col min="4850" max="4850" width="9.453125" style="214" customWidth="1"/>
    <col min="4851" max="4851" width="55.6328125" style="214" customWidth="1"/>
    <col min="4852" max="5100" width="9.08984375" style="214"/>
    <col min="5101" max="5101" width="1.453125" style="214" customWidth="1"/>
    <col min="5102" max="5102" width="27.453125" style="214" customWidth="1"/>
    <col min="5103" max="5103" width="24.08984375" style="214" customWidth="1"/>
    <col min="5104" max="5104" width="15" style="214" customWidth="1"/>
    <col min="5105" max="5105" width="36" style="214" customWidth="1"/>
    <col min="5106" max="5106" width="9.453125" style="214" customWidth="1"/>
    <col min="5107" max="5107" width="55.6328125" style="214" customWidth="1"/>
    <col min="5108" max="5356" width="9.08984375" style="214"/>
    <col min="5357" max="5357" width="1.453125" style="214" customWidth="1"/>
    <col min="5358" max="5358" width="27.453125" style="214" customWidth="1"/>
    <col min="5359" max="5359" width="24.08984375" style="214" customWidth="1"/>
    <col min="5360" max="5360" width="15" style="214" customWidth="1"/>
    <col min="5361" max="5361" width="36" style="214" customWidth="1"/>
    <col min="5362" max="5362" width="9.453125" style="214" customWidth="1"/>
    <col min="5363" max="5363" width="55.6328125" style="214" customWidth="1"/>
    <col min="5364" max="5612" width="9.08984375" style="214"/>
    <col min="5613" max="5613" width="1.453125" style="214" customWidth="1"/>
    <col min="5614" max="5614" width="27.453125" style="214" customWidth="1"/>
    <col min="5615" max="5615" width="24.08984375" style="214" customWidth="1"/>
    <col min="5616" max="5616" width="15" style="214" customWidth="1"/>
    <col min="5617" max="5617" width="36" style="214" customWidth="1"/>
    <col min="5618" max="5618" width="9.453125" style="214" customWidth="1"/>
    <col min="5619" max="5619" width="55.6328125" style="214" customWidth="1"/>
    <col min="5620" max="5868" width="9.08984375" style="214"/>
    <col min="5869" max="5869" width="1.453125" style="214" customWidth="1"/>
    <col min="5870" max="5870" width="27.453125" style="214" customWidth="1"/>
    <col min="5871" max="5871" width="24.08984375" style="214" customWidth="1"/>
    <col min="5872" max="5872" width="15" style="214" customWidth="1"/>
    <col min="5873" max="5873" width="36" style="214" customWidth="1"/>
    <col min="5874" max="5874" width="9.453125" style="214" customWidth="1"/>
    <col min="5875" max="5875" width="55.6328125" style="214" customWidth="1"/>
    <col min="5876" max="6124" width="9.08984375" style="214"/>
    <col min="6125" max="6125" width="1.453125" style="214" customWidth="1"/>
    <col min="6126" max="6126" width="27.453125" style="214" customWidth="1"/>
    <col min="6127" max="6127" width="24.08984375" style="214" customWidth="1"/>
    <col min="6128" max="6128" width="15" style="214" customWidth="1"/>
    <col min="6129" max="6129" width="36" style="214" customWidth="1"/>
    <col min="6130" max="6130" width="9.453125" style="214" customWidth="1"/>
    <col min="6131" max="6131" width="55.6328125" style="214" customWidth="1"/>
    <col min="6132" max="6380" width="9.08984375" style="214"/>
    <col min="6381" max="6381" width="1.453125" style="214" customWidth="1"/>
    <col min="6382" max="6382" width="27.453125" style="214" customWidth="1"/>
    <col min="6383" max="6383" width="24.08984375" style="214" customWidth="1"/>
    <col min="6384" max="6384" width="15" style="214" customWidth="1"/>
    <col min="6385" max="6385" width="36" style="214" customWidth="1"/>
    <col min="6386" max="6386" width="9.453125" style="214" customWidth="1"/>
    <col min="6387" max="6387" width="55.6328125" style="214" customWidth="1"/>
    <col min="6388" max="6636" width="9.08984375" style="214"/>
    <col min="6637" max="6637" width="1.453125" style="214" customWidth="1"/>
    <col min="6638" max="6638" width="27.453125" style="214" customWidth="1"/>
    <col min="6639" max="6639" width="24.08984375" style="214" customWidth="1"/>
    <col min="6640" max="6640" width="15" style="214" customWidth="1"/>
    <col min="6641" max="6641" width="36" style="214" customWidth="1"/>
    <col min="6642" max="6642" width="9.453125" style="214" customWidth="1"/>
    <col min="6643" max="6643" width="55.6328125" style="214" customWidth="1"/>
    <col min="6644" max="6892" width="9.08984375" style="214"/>
    <col min="6893" max="6893" width="1.453125" style="214" customWidth="1"/>
    <col min="6894" max="6894" width="27.453125" style="214" customWidth="1"/>
    <col min="6895" max="6895" width="24.08984375" style="214" customWidth="1"/>
    <col min="6896" max="6896" width="15" style="214" customWidth="1"/>
    <col min="6897" max="6897" width="36" style="214" customWidth="1"/>
    <col min="6898" max="6898" width="9.453125" style="214" customWidth="1"/>
    <col min="6899" max="6899" width="55.6328125" style="214" customWidth="1"/>
    <col min="6900" max="7148" width="9.08984375" style="214"/>
    <col min="7149" max="7149" width="1.453125" style="214" customWidth="1"/>
    <col min="7150" max="7150" width="27.453125" style="214" customWidth="1"/>
    <col min="7151" max="7151" width="24.08984375" style="214" customWidth="1"/>
    <col min="7152" max="7152" width="15" style="214" customWidth="1"/>
    <col min="7153" max="7153" width="36" style="214" customWidth="1"/>
    <col min="7154" max="7154" width="9.453125" style="214" customWidth="1"/>
    <col min="7155" max="7155" width="55.6328125" style="214" customWidth="1"/>
    <col min="7156" max="7404" width="9.08984375" style="214"/>
    <col min="7405" max="7405" width="1.453125" style="214" customWidth="1"/>
    <col min="7406" max="7406" width="27.453125" style="214" customWidth="1"/>
    <col min="7407" max="7407" width="24.08984375" style="214" customWidth="1"/>
    <col min="7408" max="7408" width="15" style="214" customWidth="1"/>
    <col min="7409" max="7409" width="36" style="214" customWidth="1"/>
    <col min="7410" max="7410" width="9.453125" style="214" customWidth="1"/>
    <col min="7411" max="7411" width="55.6328125" style="214" customWidth="1"/>
    <col min="7412" max="7660" width="9.08984375" style="214"/>
    <col min="7661" max="7661" width="1.453125" style="214" customWidth="1"/>
    <col min="7662" max="7662" width="27.453125" style="214" customWidth="1"/>
    <col min="7663" max="7663" width="24.08984375" style="214" customWidth="1"/>
    <col min="7664" max="7664" width="15" style="214" customWidth="1"/>
    <col min="7665" max="7665" width="36" style="214" customWidth="1"/>
    <col min="7666" max="7666" width="9.453125" style="214" customWidth="1"/>
    <col min="7667" max="7667" width="55.6328125" style="214" customWidth="1"/>
    <col min="7668" max="7916" width="9.08984375" style="214"/>
    <col min="7917" max="7917" width="1.453125" style="214" customWidth="1"/>
    <col min="7918" max="7918" width="27.453125" style="214" customWidth="1"/>
    <col min="7919" max="7919" width="24.08984375" style="214" customWidth="1"/>
    <col min="7920" max="7920" width="15" style="214" customWidth="1"/>
    <col min="7921" max="7921" width="36" style="214" customWidth="1"/>
    <col min="7922" max="7922" width="9.453125" style="214" customWidth="1"/>
    <col min="7923" max="7923" width="55.6328125" style="214" customWidth="1"/>
    <col min="7924" max="8172" width="9.08984375" style="214"/>
    <col min="8173" max="8173" width="1.453125" style="214" customWidth="1"/>
    <col min="8174" max="8174" width="27.453125" style="214" customWidth="1"/>
    <col min="8175" max="8175" width="24.08984375" style="214" customWidth="1"/>
    <col min="8176" max="8176" width="15" style="214" customWidth="1"/>
    <col min="8177" max="8177" width="36" style="214" customWidth="1"/>
    <col min="8178" max="8178" width="9.453125" style="214" customWidth="1"/>
    <col min="8179" max="8179" width="55.6328125" style="214" customWidth="1"/>
    <col min="8180" max="8428" width="9.08984375" style="214"/>
    <col min="8429" max="8429" width="1.453125" style="214" customWidth="1"/>
    <col min="8430" max="8430" width="27.453125" style="214" customWidth="1"/>
    <col min="8431" max="8431" width="24.08984375" style="214" customWidth="1"/>
    <col min="8432" max="8432" width="15" style="214" customWidth="1"/>
    <col min="8433" max="8433" width="36" style="214" customWidth="1"/>
    <col min="8434" max="8434" width="9.453125" style="214" customWidth="1"/>
    <col min="8435" max="8435" width="55.6328125" style="214" customWidth="1"/>
    <col min="8436" max="8684" width="9.08984375" style="214"/>
    <col min="8685" max="8685" width="1.453125" style="214" customWidth="1"/>
    <col min="8686" max="8686" width="27.453125" style="214" customWidth="1"/>
    <col min="8687" max="8687" width="24.08984375" style="214" customWidth="1"/>
    <col min="8688" max="8688" width="15" style="214" customWidth="1"/>
    <col min="8689" max="8689" width="36" style="214" customWidth="1"/>
    <col min="8690" max="8690" width="9.453125" style="214" customWidth="1"/>
    <col min="8691" max="8691" width="55.6328125" style="214" customWidth="1"/>
    <col min="8692" max="8940" width="9.08984375" style="214"/>
    <col min="8941" max="8941" width="1.453125" style="214" customWidth="1"/>
    <col min="8942" max="8942" width="27.453125" style="214" customWidth="1"/>
    <col min="8943" max="8943" width="24.08984375" style="214" customWidth="1"/>
    <col min="8944" max="8944" width="15" style="214" customWidth="1"/>
    <col min="8945" max="8945" width="36" style="214" customWidth="1"/>
    <col min="8946" max="8946" width="9.453125" style="214" customWidth="1"/>
    <col min="8947" max="8947" width="55.6328125" style="214" customWidth="1"/>
    <col min="8948" max="9196" width="9.08984375" style="214"/>
    <col min="9197" max="9197" width="1.453125" style="214" customWidth="1"/>
    <col min="9198" max="9198" width="27.453125" style="214" customWidth="1"/>
    <col min="9199" max="9199" width="24.08984375" style="214" customWidth="1"/>
    <col min="9200" max="9200" width="15" style="214" customWidth="1"/>
    <col min="9201" max="9201" width="36" style="214" customWidth="1"/>
    <col min="9202" max="9202" width="9.453125" style="214" customWidth="1"/>
    <col min="9203" max="9203" width="55.6328125" style="214" customWidth="1"/>
    <col min="9204" max="9452" width="9.08984375" style="214"/>
    <col min="9453" max="9453" width="1.453125" style="214" customWidth="1"/>
    <col min="9454" max="9454" width="27.453125" style="214" customWidth="1"/>
    <col min="9455" max="9455" width="24.08984375" style="214" customWidth="1"/>
    <col min="9456" max="9456" width="15" style="214" customWidth="1"/>
    <col min="9457" max="9457" width="36" style="214" customWidth="1"/>
    <col min="9458" max="9458" width="9.453125" style="214" customWidth="1"/>
    <col min="9459" max="9459" width="55.6328125" style="214" customWidth="1"/>
    <col min="9460" max="9708" width="9.08984375" style="214"/>
    <col min="9709" max="9709" width="1.453125" style="214" customWidth="1"/>
    <col min="9710" max="9710" width="27.453125" style="214" customWidth="1"/>
    <col min="9711" max="9711" width="24.08984375" style="214" customWidth="1"/>
    <col min="9712" max="9712" width="15" style="214" customWidth="1"/>
    <col min="9713" max="9713" width="36" style="214" customWidth="1"/>
    <col min="9714" max="9714" width="9.453125" style="214" customWidth="1"/>
    <col min="9715" max="9715" width="55.6328125" style="214" customWidth="1"/>
    <col min="9716" max="9964" width="9.08984375" style="214"/>
    <col min="9965" max="9965" width="1.453125" style="214" customWidth="1"/>
    <col min="9966" max="9966" width="27.453125" style="214" customWidth="1"/>
    <col min="9967" max="9967" width="24.08984375" style="214" customWidth="1"/>
    <col min="9968" max="9968" width="15" style="214" customWidth="1"/>
    <col min="9969" max="9969" width="36" style="214" customWidth="1"/>
    <col min="9970" max="9970" width="9.453125" style="214" customWidth="1"/>
    <col min="9971" max="9971" width="55.6328125" style="214" customWidth="1"/>
    <col min="9972" max="10220" width="9.08984375" style="214"/>
    <col min="10221" max="10221" width="1.453125" style="214" customWidth="1"/>
    <col min="10222" max="10222" width="27.453125" style="214" customWidth="1"/>
    <col min="10223" max="10223" width="24.08984375" style="214" customWidth="1"/>
    <col min="10224" max="10224" width="15" style="214" customWidth="1"/>
    <col min="10225" max="10225" width="36" style="214" customWidth="1"/>
    <col min="10226" max="10226" width="9.453125" style="214" customWidth="1"/>
    <col min="10227" max="10227" width="55.6328125" style="214" customWidth="1"/>
    <col min="10228" max="10476" width="9.08984375" style="214"/>
    <col min="10477" max="10477" width="1.453125" style="214" customWidth="1"/>
    <col min="10478" max="10478" width="27.453125" style="214" customWidth="1"/>
    <col min="10479" max="10479" width="24.08984375" style="214" customWidth="1"/>
    <col min="10480" max="10480" width="15" style="214" customWidth="1"/>
    <col min="10481" max="10481" width="36" style="214" customWidth="1"/>
    <col min="10482" max="10482" width="9.453125" style="214" customWidth="1"/>
    <col min="10483" max="10483" width="55.6328125" style="214" customWidth="1"/>
    <col min="10484" max="10732" width="9.08984375" style="214"/>
    <col min="10733" max="10733" width="1.453125" style="214" customWidth="1"/>
    <col min="10734" max="10734" width="27.453125" style="214" customWidth="1"/>
    <col min="10735" max="10735" width="24.08984375" style="214" customWidth="1"/>
    <col min="10736" max="10736" width="15" style="214" customWidth="1"/>
    <col min="10737" max="10737" width="36" style="214" customWidth="1"/>
    <col min="10738" max="10738" width="9.453125" style="214" customWidth="1"/>
    <col min="10739" max="10739" width="55.6328125" style="214" customWidth="1"/>
    <col min="10740" max="10988" width="9.08984375" style="214"/>
    <col min="10989" max="10989" width="1.453125" style="214" customWidth="1"/>
    <col min="10990" max="10990" width="27.453125" style="214" customWidth="1"/>
    <col min="10991" max="10991" width="24.08984375" style="214" customWidth="1"/>
    <col min="10992" max="10992" width="15" style="214" customWidth="1"/>
    <col min="10993" max="10993" width="36" style="214" customWidth="1"/>
    <col min="10994" max="10994" width="9.453125" style="214" customWidth="1"/>
    <col min="10995" max="10995" width="55.6328125" style="214" customWidth="1"/>
    <col min="10996" max="11244" width="9.08984375" style="214"/>
    <col min="11245" max="11245" width="1.453125" style="214" customWidth="1"/>
    <col min="11246" max="11246" width="27.453125" style="214" customWidth="1"/>
    <col min="11247" max="11247" width="24.08984375" style="214" customWidth="1"/>
    <col min="11248" max="11248" width="15" style="214" customWidth="1"/>
    <col min="11249" max="11249" width="36" style="214" customWidth="1"/>
    <col min="11250" max="11250" width="9.453125" style="214" customWidth="1"/>
    <col min="11251" max="11251" width="55.6328125" style="214" customWidth="1"/>
    <col min="11252" max="11500" width="9.08984375" style="214"/>
    <col min="11501" max="11501" width="1.453125" style="214" customWidth="1"/>
    <col min="11502" max="11502" width="27.453125" style="214" customWidth="1"/>
    <col min="11503" max="11503" width="24.08984375" style="214" customWidth="1"/>
    <col min="11504" max="11504" width="15" style="214" customWidth="1"/>
    <col min="11505" max="11505" width="36" style="214" customWidth="1"/>
    <col min="11506" max="11506" width="9.453125" style="214" customWidth="1"/>
    <col min="11507" max="11507" width="55.6328125" style="214" customWidth="1"/>
    <col min="11508" max="11756" width="9.08984375" style="214"/>
    <col min="11757" max="11757" width="1.453125" style="214" customWidth="1"/>
    <col min="11758" max="11758" width="27.453125" style="214" customWidth="1"/>
    <col min="11759" max="11759" width="24.08984375" style="214" customWidth="1"/>
    <col min="11760" max="11760" width="15" style="214" customWidth="1"/>
    <col min="11761" max="11761" width="36" style="214" customWidth="1"/>
    <col min="11762" max="11762" width="9.453125" style="214" customWidth="1"/>
    <col min="11763" max="11763" width="55.6328125" style="214" customWidth="1"/>
    <col min="11764" max="12012" width="9.08984375" style="214"/>
    <col min="12013" max="12013" width="1.453125" style="214" customWidth="1"/>
    <col min="12014" max="12014" width="27.453125" style="214" customWidth="1"/>
    <col min="12015" max="12015" width="24.08984375" style="214" customWidth="1"/>
    <col min="12016" max="12016" width="15" style="214" customWidth="1"/>
    <col min="12017" max="12017" width="36" style="214" customWidth="1"/>
    <col min="12018" max="12018" width="9.453125" style="214" customWidth="1"/>
    <col min="12019" max="12019" width="55.6328125" style="214" customWidth="1"/>
    <col min="12020" max="12268" width="9.08984375" style="214"/>
    <col min="12269" max="12269" width="1.453125" style="214" customWidth="1"/>
    <col min="12270" max="12270" width="27.453125" style="214" customWidth="1"/>
    <col min="12271" max="12271" width="24.08984375" style="214" customWidth="1"/>
    <col min="12272" max="12272" width="15" style="214" customWidth="1"/>
    <col min="12273" max="12273" width="36" style="214" customWidth="1"/>
    <col min="12274" max="12274" width="9.453125" style="214" customWidth="1"/>
    <col min="12275" max="12275" width="55.6328125" style="214" customWidth="1"/>
    <col min="12276" max="12524" width="9.08984375" style="214"/>
    <col min="12525" max="12525" width="1.453125" style="214" customWidth="1"/>
    <col min="12526" max="12526" width="27.453125" style="214" customWidth="1"/>
    <col min="12527" max="12527" width="24.08984375" style="214" customWidth="1"/>
    <col min="12528" max="12528" width="15" style="214" customWidth="1"/>
    <col min="12529" max="12529" width="36" style="214" customWidth="1"/>
    <col min="12530" max="12530" width="9.453125" style="214" customWidth="1"/>
    <col min="12531" max="12531" width="55.6328125" style="214" customWidth="1"/>
    <col min="12532" max="12780" width="9.08984375" style="214"/>
    <col min="12781" max="12781" width="1.453125" style="214" customWidth="1"/>
    <col min="12782" max="12782" width="27.453125" style="214" customWidth="1"/>
    <col min="12783" max="12783" width="24.08984375" style="214" customWidth="1"/>
    <col min="12784" max="12784" width="15" style="214" customWidth="1"/>
    <col min="12785" max="12785" width="36" style="214" customWidth="1"/>
    <col min="12786" max="12786" width="9.453125" style="214" customWidth="1"/>
    <col min="12787" max="12787" width="55.6328125" style="214" customWidth="1"/>
    <col min="12788" max="13036" width="9.08984375" style="214"/>
    <col min="13037" max="13037" width="1.453125" style="214" customWidth="1"/>
    <col min="13038" max="13038" width="27.453125" style="214" customWidth="1"/>
    <col min="13039" max="13039" width="24.08984375" style="214" customWidth="1"/>
    <col min="13040" max="13040" width="15" style="214" customWidth="1"/>
    <col min="13041" max="13041" width="36" style="214" customWidth="1"/>
    <col min="13042" max="13042" width="9.453125" style="214" customWidth="1"/>
    <col min="13043" max="13043" width="55.6328125" style="214" customWidth="1"/>
    <col min="13044" max="13292" width="9.08984375" style="214"/>
    <col min="13293" max="13293" width="1.453125" style="214" customWidth="1"/>
    <col min="13294" max="13294" width="27.453125" style="214" customWidth="1"/>
    <col min="13295" max="13295" width="24.08984375" style="214" customWidth="1"/>
    <col min="13296" max="13296" width="15" style="214" customWidth="1"/>
    <col min="13297" max="13297" width="36" style="214" customWidth="1"/>
    <col min="13298" max="13298" width="9.453125" style="214" customWidth="1"/>
    <col min="13299" max="13299" width="55.6328125" style="214" customWidth="1"/>
    <col min="13300" max="13548" width="9.08984375" style="214"/>
    <col min="13549" max="13549" width="1.453125" style="214" customWidth="1"/>
    <col min="13550" max="13550" width="27.453125" style="214" customWidth="1"/>
    <col min="13551" max="13551" width="24.08984375" style="214" customWidth="1"/>
    <col min="13552" max="13552" width="15" style="214" customWidth="1"/>
    <col min="13553" max="13553" width="36" style="214" customWidth="1"/>
    <col min="13554" max="13554" width="9.453125" style="214" customWidth="1"/>
    <col min="13555" max="13555" width="55.6328125" style="214" customWidth="1"/>
    <col min="13556" max="13804" width="9.08984375" style="214"/>
    <col min="13805" max="13805" width="1.453125" style="214" customWidth="1"/>
    <col min="13806" max="13806" width="27.453125" style="214" customWidth="1"/>
    <col min="13807" max="13807" width="24.08984375" style="214" customWidth="1"/>
    <col min="13808" max="13808" width="15" style="214" customWidth="1"/>
    <col min="13809" max="13809" width="36" style="214" customWidth="1"/>
    <col min="13810" max="13810" width="9.453125" style="214" customWidth="1"/>
    <col min="13811" max="13811" width="55.6328125" style="214" customWidth="1"/>
    <col min="13812" max="14060" width="9.08984375" style="214"/>
    <col min="14061" max="14061" width="1.453125" style="214" customWidth="1"/>
    <col min="14062" max="14062" width="27.453125" style="214" customWidth="1"/>
    <col min="14063" max="14063" width="24.08984375" style="214" customWidth="1"/>
    <col min="14064" max="14064" width="15" style="214" customWidth="1"/>
    <col min="14065" max="14065" width="36" style="214" customWidth="1"/>
    <col min="14066" max="14066" width="9.453125" style="214" customWidth="1"/>
    <col min="14067" max="14067" width="55.6328125" style="214" customWidth="1"/>
    <col min="14068" max="14316" width="9.08984375" style="214"/>
    <col min="14317" max="14317" width="1.453125" style="214" customWidth="1"/>
    <col min="14318" max="14318" width="27.453125" style="214" customWidth="1"/>
    <col min="14319" max="14319" width="24.08984375" style="214" customWidth="1"/>
    <col min="14320" max="14320" width="15" style="214" customWidth="1"/>
    <col min="14321" max="14321" width="36" style="214" customWidth="1"/>
    <col min="14322" max="14322" width="9.453125" style="214" customWidth="1"/>
    <col min="14323" max="14323" width="55.6328125" style="214" customWidth="1"/>
    <col min="14324" max="14572" width="9.08984375" style="214"/>
    <col min="14573" max="14573" width="1.453125" style="214" customWidth="1"/>
    <col min="14574" max="14574" width="27.453125" style="214" customWidth="1"/>
    <col min="14575" max="14575" width="24.08984375" style="214" customWidth="1"/>
    <col min="14576" max="14576" width="15" style="214" customWidth="1"/>
    <col min="14577" max="14577" width="36" style="214" customWidth="1"/>
    <col min="14578" max="14578" width="9.453125" style="214" customWidth="1"/>
    <col min="14579" max="14579" width="55.6328125" style="214" customWidth="1"/>
    <col min="14580" max="14828" width="9.08984375" style="214"/>
    <col min="14829" max="14829" width="1.453125" style="214" customWidth="1"/>
    <col min="14830" max="14830" width="27.453125" style="214" customWidth="1"/>
    <col min="14831" max="14831" width="24.08984375" style="214" customWidth="1"/>
    <col min="14832" max="14832" width="15" style="214" customWidth="1"/>
    <col min="14833" max="14833" width="36" style="214" customWidth="1"/>
    <col min="14834" max="14834" width="9.453125" style="214" customWidth="1"/>
    <col min="14835" max="14835" width="55.6328125" style="214" customWidth="1"/>
    <col min="14836" max="15084" width="9.08984375" style="214"/>
    <col min="15085" max="15085" width="1.453125" style="214" customWidth="1"/>
    <col min="15086" max="15086" width="27.453125" style="214" customWidth="1"/>
    <col min="15087" max="15087" width="24.08984375" style="214" customWidth="1"/>
    <col min="15088" max="15088" width="15" style="214" customWidth="1"/>
    <col min="15089" max="15089" width="36" style="214" customWidth="1"/>
    <col min="15090" max="15090" width="9.453125" style="214" customWidth="1"/>
    <col min="15091" max="15091" width="55.6328125" style="214" customWidth="1"/>
    <col min="15092" max="15340" width="9.08984375" style="214"/>
    <col min="15341" max="15341" width="1.453125" style="214" customWidth="1"/>
    <col min="15342" max="15342" width="27.453125" style="214" customWidth="1"/>
    <col min="15343" max="15343" width="24.08984375" style="214" customWidth="1"/>
    <col min="15344" max="15344" width="15" style="214" customWidth="1"/>
    <col min="15345" max="15345" width="36" style="214" customWidth="1"/>
    <col min="15346" max="15346" width="9.453125" style="214" customWidth="1"/>
    <col min="15347" max="15347" width="55.6328125" style="214" customWidth="1"/>
    <col min="15348" max="15596" width="9.08984375" style="214"/>
    <col min="15597" max="15597" width="1.453125" style="214" customWidth="1"/>
    <col min="15598" max="15598" width="27.453125" style="214" customWidth="1"/>
    <col min="15599" max="15599" width="24.08984375" style="214" customWidth="1"/>
    <col min="15600" max="15600" width="15" style="214" customWidth="1"/>
    <col min="15601" max="15601" width="36" style="214" customWidth="1"/>
    <col min="15602" max="15602" width="9.453125" style="214" customWidth="1"/>
    <col min="15603" max="15603" width="55.6328125" style="214" customWidth="1"/>
    <col min="15604" max="15852" width="9.08984375" style="214"/>
    <col min="15853" max="15853" width="1.453125" style="214" customWidth="1"/>
    <col min="15854" max="15854" width="27.453125" style="214" customWidth="1"/>
    <col min="15855" max="15855" width="24.08984375" style="214" customWidth="1"/>
    <col min="15856" max="15856" width="15" style="214" customWidth="1"/>
    <col min="15857" max="15857" width="36" style="214" customWidth="1"/>
    <col min="15858" max="15858" width="9.453125" style="214" customWidth="1"/>
    <col min="15859" max="15859" width="55.6328125" style="214" customWidth="1"/>
    <col min="15860" max="16108" width="9.08984375" style="214"/>
    <col min="16109" max="16109" width="1.453125" style="214" customWidth="1"/>
    <col min="16110" max="16110" width="27.453125" style="214" customWidth="1"/>
    <col min="16111" max="16111" width="24.08984375" style="214" customWidth="1"/>
    <col min="16112" max="16112" width="15" style="214" customWidth="1"/>
    <col min="16113" max="16113" width="36" style="214" customWidth="1"/>
    <col min="16114" max="16114" width="9.453125" style="214" customWidth="1"/>
    <col min="16115" max="16115" width="55.6328125" style="214" customWidth="1"/>
    <col min="16116" max="16384" width="9.08984375" style="214"/>
  </cols>
  <sheetData>
    <row r="1" spans="1:14" ht="29.25" customHeight="1" x14ac:dyDescent="0.35">
      <c r="A1" s="221"/>
      <c r="B1" s="3" t="s">
        <v>931</v>
      </c>
      <c r="C1" s="3"/>
      <c r="D1" s="3"/>
      <c r="E1" s="3"/>
      <c r="F1" s="3"/>
      <c r="G1" s="222"/>
      <c r="K1" s="217"/>
    </row>
    <row r="2" spans="1:14" s="223" customFormat="1" ht="55.5" customHeight="1" x14ac:dyDescent="0.35">
      <c r="B2" s="224" t="s">
        <v>932</v>
      </c>
      <c r="C2" s="224" t="s">
        <v>83</v>
      </c>
      <c r="D2" s="225" t="s">
        <v>933</v>
      </c>
      <c r="E2" s="224" t="s">
        <v>934</v>
      </c>
      <c r="F2" s="226" t="s">
        <v>93</v>
      </c>
      <c r="G2" s="224" t="s">
        <v>935</v>
      </c>
      <c r="H2" s="227" t="s">
        <v>936</v>
      </c>
      <c r="I2" s="227" t="s">
        <v>937</v>
      </c>
      <c r="J2" s="227" t="s">
        <v>938</v>
      </c>
      <c r="K2" s="227" t="s">
        <v>939</v>
      </c>
    </row>
    <row r="3" spans="1:14" ht="14.25" customHeight="1" x14ac:dyDescent="0.35">
      <c r="B3" s="228"/>
      <c r="C3" s="229"/>
      <c r="D3" s="230"/>
      <c r="E3" s="229"/>
      <c r="F3" s="231"/>
      <c r="G3" s="232"/>
      <c r="H3" s="233"/>
      <c r="I3" s="233"/>
      <c r="J3" s="43"/>
      <c r="K3" s="234"/>
      <c r="L3" s="235"/>
    </row>
    <row r="4" spans="1:14" ht="14.25" customHeight="1" x14ac:dyDescent="0.35">
      <c r="B4" s="236" t="s">
        <v>940</v>
      </c>
      <c r="C4" s="180" t="s">
        <v>941</v>
      </c>
      <c r="D4" s="237">
        <f t="shared" ref="D4:D9" si="0">K4+SUM(H4:J4)</f>
        <v>97350</v>
      </c>
      <c r="E4" s="238" t="s">
        <v>942</v>
      </c>
      <c r="F4" s="239">
        <v>46113</v>
      </c>
      <c r="G4" s="240" t="s">
        <v>943</v>
      </c>
      <c r="H4" s="233">
        <v>7425</v>
      </c>
      <c r="I4" s="233">
        <v>7425</v>
      </c>
      <c r="J4" s="43"/>
      <c r="K4" s="234">
        <v>82500</v>
      </c>
    </row>
    <row r="5" spans="1:14" ht="14.25" customHeight="1" x14ac:dyDescent="0.35">
      <c r="B5" s="236" t="s">
        <v>940</v>
      </c>
      <c r="C5" s="180" t="s">
        <v>941</v>
      </c>
      <c r="D5" s="237">
        <f t="shared" si="0"/>
        <v>20650</v>
      </c>
      <c r="E5" s="238" t="s">
        <v>944</v>
      </c>
      <c r="F5" s="239">
        <v>46113</v>
      </c>
      <c r="G5" s="240" t="s">
        <v>943</v>
      </c>
      <c r="H5" s="233">
        <v>1575</v>
      </c>
      <c r="I5" s="233">
        <v>1575</v>
      </c>
      <c r="J5" s="43"/>
      <c r="K5" s="234">
        <v>17500</v>
      </c>
    </row>
    <row r="6" spans="1:14" ht="14.25" customHeight="1" x14ac:dyDescent="0.35">
      <c r="B6" s="236" t="s">
        <v>940</v>
      </c>
      <c r="C6" s="180" t="s">
        <v>941</v>
      </c>
      <c r="D6" s="237">
        <f t="shared" si="0"/>
        <v>17700</v>
      </c>
      <c r="E6" s="238" t="s">
        <v>945</v>
      </c>
      <c r="F6" s="239">
        <v>46115</v>
      </c>
      <c r="G6" s="240" t="s">
        <v>943</v>
      </c>
      <c r="H6" s="233">
        <v>1350</v>
      </c>
      <c r="I6" s="233">
        <v>1350</v>
      </c>
      <c r="J6" s="43"/>
      <c r="K6" s="234">
        <v>15000</v>
      </c>
    </row>
    <row r="7" spans="1:14" ht="14.25" customHeight="1" x14ac:dyDescent="0.35">
      <c r="B7" s="236" t="s">
        <v>940</v>
      </c>
      <c r="C7" s="180" t="s">
        <v>946</v>
      </c>
      <c r="D7" s="237">
        <f t="shared" si="0"/>
        <v>141600</v>
      </c>
      <c r="E7" s="238" t="s">
        <v>947</v>
      </c>
      <c r="F7" s="239">
        <v>46113</v>
      </c>
      <c r="G7" s="240" t="s">
        <v>948</v>
      </c>
      <c r="H7" s="233">
        <v>10800</v>
      </c>
      <c r="I7" s="233">
        <v>10800</v>
      </c>
      <c r="J7" s="43"/>
      <c r="K7" s="234">
        <v>120000</v>
      </c>
    </row>
    <row r="8" spans="1:14" ht="14.25" customHeight="1" x14ac:dyDescent="0.35">
      <c r="B8" s="236" t="s">
        <v>940</v>
      </c>
      <c r="C8" s="180" t="s">
        <v>949</v>
      </c>
      <c r="D8" s="237">
        <f t="shared" si="0"/>
        <v>5900</v>
      </c>
      <c r="E8" s="238" t="s">
        <v>950</v>
      </c>
      <c r="F8" s="239">
        <v>46129</v>
      </c>
      <c r="G8" s="240" t="s">
        <v>951</v>
      </c>
      <c r="H8" s="233">
        <v>450</v>
      </c>
      <c r="I8" s="233">
        <v>450</v>
      </c>
      <c r="J8" s="43"/>
      <c r="K8" s="234">
        <v>5000</v>
      </c>
    </row>
    <row r="9" spans="1:14" ht="14.25" customHeight="1" x14ac:dyDescent="0.35">
      <c r="B9" s="236" t="s">
        <v>940</v>
      </c>
      <c r="C9" s="180" t="s">
        <v>949</v>
      </c>
      <c r="D9" s="237">
        <f t="shared" si="0"/>
        <v>983</v>
      </c>
      <c r="E9" s="238" t="s">
        <v>952</v>
      </c>
      <c r="F9" s="239">
        <v>46133</v>
      </c>
      <c r="G9" s="240" t="s">
        <v>951</v>
      </c>
      <c r="H9" s="233">
        <v>75</v>
      </c>
      <c r="I9" s="233">
        <v>75</v>
      </c>
      <c r="J9" s="43"/>
      <c r="K9" s="234">
        <v>833</v>
      </c>
    </row>
    <row r="10" spans="1:14" ht="14.25" customHeight="1" x14ac:dyDescent="0.35">
      <c r="B10" s="236"/>
      <c r="C10" s="241" t="s">
        <v>953</v>
      </c>
      <c r="D10" s="242">
        <f>SUM(D4:D9)</f>
        <v>284183</v>
      </c>
      <c r="E10" s="238"/>
      <c r="F10" s="239"/>
      <c r="G10" s="240"/>
      <c r="H10" s="233"/>
      <c r="I10" s="233"/>
      <c r="J10" s="43"/>
      <c r="K10" s="234"/>
      <c r="L10" s="235"/>
      <c r="N10" s="243"/>
    </row>
    <row r="11" spans="1:14" ht="28.5" customHeight="1" x14ac:dyDescent="0.35">
      <c r="B11" s="228"/>
      <c r="C11" s="229"/>
      <c r="D11" s="230"/>
      <c r="E11" s="229"/>
      <c r="F11" s="231"/>
      <c r="G11" s="232"/>
      <c r="H11" s="233"/>
      <c r="I11" s="233"/>
      <c r="J11" s="43"/>
      <c r="K11" s="234"/>
      <c r="L11" s="235"/>
    </row>
    <row r="12" spans="1:14" ht="28.5" customHeight="1" x14ac:dyDescent="0.35">
      <c r="B12" s="236" t="s">
        <v>954</v>
      </c>
      <c r="C12" s="180" t="s">
        <v>74</v>
      </c>
      <c r="D12" s="237">
        <f>K12+SUM(H12:J12)</f>
        <v>420</v>
      </c>
      <c r="E12" s="238" t="s">
        <v>955</v>
      </c>
      <c r="F12" s="239">
        <v>46140</v>
      </c>
      <c r="G12" s="240" t="s">
        <v>956</v>
      </c>
      <c r="H12" s="233"/>
      <c r="I12" s="233"/>
      <c r="J12" s="43"/>
      <c r="K12" s="234">
        <v>420</v>
      </c>
    </row>
    <row r="13" spans="1:14" ht="14.25" customHeight="1" x14ac:dyDescent="0.35">
      <c r="B13" s="228"/>
      <c r="C13" s="229"/>
      <c r="D13" s="230"/>
      <c r="E13" s="229"/>
      <c r="F13" s="231"/>
      <c r="G13" s="232"/>
      <c r="H13" s="233"/>
      <c r="I13" s="233"/>
      <c r="J13" s="43"/>
      <c r="K13" s="234"/>
      <c r="L13" s="235"/>
    </row>
    <row r="14" spans="1:14" ht="14.25" customHeight="1" x14ac:dyDescent="0.35">
      <c r="B14" s="236" t="s">
        <v>957</v>
      </c>
      <c r="C14" s="180" t="s">
        <v>958</v>
      </c>
      <c r="D14" s="237">
        <f>K14+SUM(H14:J14)</f>
        <v>47985.060000000005</v>
      </c>
      <c r="E14" s="238" t="s">
        <v>959</v>
      </c>
      <c r="F14" s="239">
        <v>46142</v>
      </c>
      <c r="G14" s="240" t="s">
        <v>960</v>
      </c>
      <c r="H14" s="233">
        <v>3659.88</v>
      </c>
      <c r="I14" s="233">
        <v>3659.88</v>
      </c>
      <c r="J14" s="43"/>
      <c r="K14" s="234">
        <v>40665.300000000003</v>
      </c>
    </row>
    <row r="15" spans="1:14" ht="28.5" customHeight="1" x14ac:dyDescent="0.35">
      <c r="B15" s="228"/>
      <c r="C15" s="229"/>
      <c r="D15" s="230"/>
      <c r="E15" s="229"/>
      <c r="F15" s="231"/>
      <c r="G15" s="232"/>
      <c r="H15" s="233"/>
      <c r="I15" s="233"/>
      <c r="J15" s="43"/>
      <c r="K15" s="234"/>
      <c r="L15" s="235"/>
    </row>
    <row r="16" spans="1:14" ht="14.25" customHeight="1" x14ac:dyDescent="0.35">
      <c r="B16" s="236" t="s">
        <v>961</v>
      </c>
      <c r="C16" s="180" t="s">
        <v>962</v>
      </c>
      <c r="D16" s="237">
        <f>K16+SUM(H16:J16)</f>
        <v>25575</v>
      </c>
      <c r="E16" s="238" t="s">
        <v>963</v>
      </c>
      <c r="F16" s="239">
        <v>46142</v>
      </c>
      <c r="G16" s="240" t="s">
        <v>964</v>
      </c>
      <c r="H16" s="233">
        <v>1950.6</v>
      </c>
      <c r="I16" s="233">
        <v>1950.6</v>
      </c>
      <c r="J16" s="43"/>
      <c r="K16" s="234">
        <v>21673.8</v>
      </c>
    </row>
    <row r="17" spans="2:12" ht="14.25" customHeight="1" x14ac:dyDescent="0.35">
      <c r="B17" s="228"/>
      <c r="C17" s="229"/>
      <c r="D17" s="230"/>
      <c r="E17" s="229"/>
      <c r="F17" s="231"/>
      <c r="G17" s="232"/>
      <c r="H17" s="233"/>
      <c r="I17" s="233"/>
      <c r="J17" s="43"/>
      <c r="K17" s="234"/>
      <c r="L17" s="235"/>
    </row>
    <row r="18" spans="2:12" ht="14.25" customHeight="1" x14ac:dyDescent="0.35">
      <c r="B18" s="236" t="s">
        <v>965</v>
      </c>
      <c r="C18" s="180" t="s">
        <v>966</v>
      </c>
      <c r="D18" s="237">
        <f>K18+SUM(H18:J18)</f>
        <v>8116</v>
      </c>
      <c r="E18" s="238" t="s">
        <v>967</v>
      </c>
      <c r="F18" s="239">
        <v>46140</v>
      </c>
      <c r="G18" s="240" t="s">
        <v>968</v>
      </c>
      <c r="H18" s="233">
        <v>619</v>
      </c>
      <c r="I18" s="233">
        <v>619</v>
      </c>
      <c r="J18" s="43"/>
      <c r="K18" s="234">
        <v>6878</v>
      </c>
    </row>
    <row r="19" spans="2:12" ht="14.25" customHeight="1" x14ac:dyDescent="0.35">
      <c r="B19" s="228"/>
      <c r="C19" s="229"/>
      <c r="D19" s="230"/>
      <c r="E19" s="229"/>
      <c r="F19" s="231"/>
      <c r="G19" s="232"/>
      <c r="H19" s="233"/>
      <c r="I19" s="233"/>
      <c r="J19" s="43"/>
      <c r="K19" s="234"/>
      <c r="L19" s="235"/>
    </row>
    <row r="20" spans="2:12" ht="14.25" customHeight="1" x14ac:dyDescent="0.35">
      <c r="B20" s="236" t="s">
        <v>969</v>
      </c>
      <c r="C20" s="180" t="s">
        <v>970</v>
      </c>
      <c r="D20" s="237">
        <f>K20+SUM(H20:J20)</f>
        <v>124090</v>
      </c>
      <c r="E20" s="238" t="s">
        <v>971</v>
      </c>
      <c r="F20" s="239">
        <v>46142</v>
      </c>
      <c r="G20" s="240" t="s">
        <v>972</v>
      </c>
      <c r="H20" s="233"/>
      <c r="I20" s="233"/>
      <c r="J20" s="43"/>
      <c r="K20" s="234">
        <v>124090</v>
      </c>
    </row>
    <row r="21" spans="2:12" ht="14.25" customHeight="1" x14ac:dyDescent="0.35">
      <c r="B21" s="228"/>
      <c r="C21" s="229"/>
      <c r="D21" s="230"/>
      <c r="E21" s="229"/>
      <c r="F21" s="231"/>
      <c r="G21" s="232"/>
      <c r="H21" s="233"/>
      <c r="I21" s="233"/>
      <c r="J21" s="43"/>
      <c r="K21" s="234"/>
      <c r="L21" s="235"/>
    </row>
    <row r="22" spans="2:12" ht="14.25" customHeight="1" x14ac:dyDescent="0.35">
      <c r="B22" s="236" t="s">
        <v>973</v>
      </c>
      <c r="C22" s="180" t="s">
        <v>970</v>
      </c>
      <c r="D22" s="237">
        <f>K22+SUM(H22:J22)</f>
        <v>10089</v>
      </c>
      <c r="E22" s="238" t="s">
        <v>974</v>
      </c>
      <c r="F22" s="239">
        <v>46142</v>
      </c>
      <c r="G22" s="240" t="s">
        <v>975</v>
      </c>
      <c r="H22" s="233">
        <v>769.5</v>
      </c>
      <c r="I22" s="233">
        <v>769.5</v>
      </c>
      <c r="J22" s="43"/>
      <c r="K22" s="234">
        <v>8550</v>
      </c>
    </row>
    <row r="23" spans="2:12" ht="14.25" customHeight="1" x14ac:dyDescent="0.35">
      <c r="B23" s="228"/>
      <c r="C23" s="229"/>
      <c r="D23" s="230"/>
      <c r="E23" s="229"/>
      <c r="F23" s="231"/>
      <c r="G23" s="232"/>
      <c r="H23" s="233"/>
      <c r="I23" s="233"/>
      <c r="J23" s="43"/>
      <c r="K23" s="234"/>
      <c r="L23" s="235"/>
    </row>
    <row r="24" spans="2:12" ht="14.25" customHeight="1" x14ac:dyDescent="0.35">
      <c r="B24" s="236" t="s">
        <v>976</v>
      </c>
      <c r="C24" s="180" t="s">
        <v>977</v>
      </c>
      <c r="D24" s="237">
        <f>K24+SUM(H24:J24)</f>
        <v>60050</v>
      </c>
      <c r="E24" s="238" t="s">
        <v>978</v>
      </c>
      <c r="F24" s="239">
        <v>46125</v>
      </c>
      <c r="G24" s="240" t="s">
        <v>979</v>
      </c>
      <c r="H24" s="233"/>
      <c r="I24" s="233"/>
      <c r="J24" s="43"/>
      <c r="K24" s="234">
        <v>60050</v>
      </c>
    </row>
    <row r="25" spans="2:12" ht="14.25" customHeight="1" x14ac:dyDescent="0.35">
      <c r="B25" s="228"/>
      <c r="C25" s="229"/>
      <c r="D25" s="230"/>
      <c r="E25" s="229"/>
      <c r="F25" s="231"/>
      <c r="G25" s="232"/>
      <c r="H25" s="233"/>
      <c r="I25" s="233"/>
      <c r="J25" s="43"/>
      <c r="K25" s="234"/>
      <c r="L25" s="235"/>
    </row>
    <row r="26" spans="2:12" ht="14.25" customHeight="1" x14ac:dyDescent="0.35">
      <c r="B26" s="236" t="s">
        <v>980</v>
      </c>
      <c r="C26" s="180" t="s">
        <v>981</v>
      </c>
      <c r="D26" s="237">
        <f>K26+SUM(H26:J26)</f>
        <v>7361</v>
      </c>
      <c r="E26" s="238" t="s">
        <v>982</v>
      </c>
      <c r="F26" s="239">
        <v>46129</v>
      </c>
      <c r="G26" s="240" t="s">
        <v>983</v>
      </c>
      <c r="H26" s="233"/>
      <c r="I26" s="233"/>
      <c r="J26" s="43"/>
      <c r="K26" s="234">
        <v>7361</v>
      </c>
    </row>
    <row r="27" spans="2:12" ht="14.25" customHeight="1" x14ac:dyDescent="0.35">
      <c r="B27" s="236" t="s">
        <v>980</v>
      </c>
      <c r="C27" s="180" t="s">
        <v>173</v>
      </c>
      <c r="D27" s="237">
        <f>K27+SUM(H27:J27)</f>
        <v>13240</v>
      </c>
      <c r="E27" s="238" t="s">
        <v>984</v>
      </c>
      <c r="F27" s="239">
        <v>46139</v>
      </c>
      <c r="G27" s="240" t="s">
        <v>985</v>
      </c>
      <c r="H27" s="233">
        <v>13.5</v>
      </c>
      <c r="I27" s="233">
        <v>13.5</v>
      </c>
      <c r="J27" s="43"/>
      <c r="K27" s="234">
        <v>13213</v>
      </c>
    </row>
    <row r="28" spans="2:12" ht="14.25" customHeight="1" x14ac:dyDescent="0.35">
      <c r="B28" s="236" t="s">
        <v>980</v>
      </c>
      <c r="C28" s="180" t="s">
        <v>173</v>
      </c>
      <c r="D28" s="237">
        <f>K28+SUM(H28:J28)</f>
        <v>6403</v>
      </c>
      <c r="E28" s="238" t="s">
        <v>986</v>
      </c>
      <c r="F28" s="239">
        <v>46139</v>
      </c>
      <c r="G28" s="240" t="s">
        <v>985</v>
      </c>
      <c r="H28" s="233">
        <v>13.5</v>
      </c>
      <c r="I28" s="233">
        <v>13.5</v>
      </c>
      <c r="J28" s="43"/>
      <c r="K28" s="234">
        <v>6376</v>
      </c>
    </row>
    <row r="29" spans="2:12" ht="14.25" customHeight="1" x14ac:dyDescent="0.35">
      <c r="B29" s="236" t="s">
        <v>980</v>
      </c>
      <c r="C29" s="180" t="s">
        <v>987</v>
      </c>
      <c r="D29" s="237">
        <f>K29+SUM(H29:J29)</f>
        <v>113050</v>
      </c>
      <c r="E29" s="238" t="s">
        <v>39</v>
      </c>
      <c r="F29" s="239">
        <v>46132</v>
      </c>
      <c r="G29" s="240" t="s">
        <v>38</v>
      </c>
      <c r="H29" s="233"/>
      <c r="I29" s="233"/>
      <c r="J29" s="43"/>
      <c r="K29" s="234">
        <v>113050</v>
      </c>
    </row>
    <row r="30" spans="2:12" ht="14.25" customHeight="1" x14ac:dyDescent="0.35">
      <c r="B30" s="236"/>
      <c r="C30" s="241" t="s">
        <v>953</v>
      </c>
      <c r="D30" s="242">
        <f>SUM(D26:D29)</f>
        <v>140054</v>
      </c>
      <c r="E30" s="238"/>
      <c r="F30" s="239"/>
      <c r="G30" s="240"/>
      <c r="H30" s="233"/>
      <c r="I30" s="233"/>
      <c r="J30" s="43"/>
      <c r="K30" s="234"/>
      <c r="L30" s="235"/>
    </row>
    <row r="31" spans="2:12" ht="14.25" customHeight="1" x14ac:dyDescent="0.35">
      <c r="B31" s="228"/>
      <c r="C31" s="229"/>
      <c r="D31" s="230"/>
      <c r="E31" s="229"/>
      <c r="F31" s="231"/>
      <c r="G31" s="232"/>
      <c r="H31" s="233"/>
      <c r="I31" s="233"/>
      <c r="J31" s="43"/>
      <c r="K31" s="234"/>
      <c r="L31" s="235"/>
    </row>
    <row r="32" spans="2:12" ht="14.25" customHeight="1" x14ac:dyDescent="0.35">
      <c r="B32" s="236" t="s">
        <v>988</v>
      </c>
      <c r="C32" s="180" t="s">
        <v>989</v>
      </c>
      <c r="D32" s="237">
        <f>K32+SUM(H32:J32)</f>
        <v>43598</v>
      </c>
      <c r="E32" s="238" t="s">
        <v>990</v>
      </c>
      <c r="F32" s="239">
        <v>46119</v>
      </c>
      <c r="G32" s="240" t="s">
        <v>991</v>
      </c>
      <c r="H32" s="233"/>
      <c r="I32" s="233"/>
      <c r="J32" s="43"/>
      <c r="K32" s="234">
        <v>43598</v>
      </c>
    </row>
    <row r="33" spans="2:12" ht="14.25" customHeight="1" x14ac:dyDescent="0.35">
      <c r="B33" s="236" t="s">
        <v>988</v>
      </c>
      <c r="C33" s="180" t="s">
        <v>992</v>
      </c>
      <c r="D33" s="237">
        <f>K33+SUM(H33:J33)</f>
        <v>-12658</v>
      </c>
      <c r="E33" s="238" t="s">
        <v>990</v>
      </c>
      <c r="F33" s="239">
        <v>46119</v>
      </c>
      <c r="G33" s="240" t="s">
        <v>991</v>
      </c>
      <c r="H33" s="233"/>
      <c r="I33" s="233"/>
      <c r="J33" s="43"/>
      <c r="K33" s="234">
        <v>-12658</v>
      </c>
    </row>
    <row r="34" spans="2:12" ht="14.25" customHeight="1" x14ac:dyDescent="0.35">
      <c r="B34" s="236"/>
      <c r="C34" s="241" t="s">
        <v>953</v>
      </c>
      <c r="D34" s="242">
        <f>SUM(D32:D33)</f>
        <v>30940</v>
      </c>
      <c r="E34" s="238"/>
      <c r="F34" s="239"/>
      <c r="G34" s="240"/>
      <c r="H34" s="233"/>
      <c r="I34" s="233"/>
      <c r="J34" s="43"/>
      <c r="K34" s="234"/>
      <c r="L34" s="235"/>
    </row>
    <row r="35" spans="2:12" ht="14.25" customHeight="1" x14ac:dyDescent="0.35">
      <c r="B35" s="228"/>
      <c r="C35" s="229"/>
      <c r="D35" s="230"/>
      <c r="E35" s="229"/>
      <c r="F35" s="231"/>
      <c r="G35" s="232"/>
      <c r="H35" s="233"/>
      <c r="I35" s="233"/>
      <c r="J35" s="43"/>
      <c r="K35" s="234"/>
      <c r="L35" s="235"/>
    </row>
    <row r="36" spans="2:12" ht="14.25" customHeight="1" x14ac:dyDescent="0.35">
      <c r="B36" s="236" t="s">
        <v>993</v>
      </c>
      <c r="C36" s="180" t="s">
        <v>994</v>
      </c>
      <c r="D36" s="237">
        <f>K36+SUM(H36:J36)</f>
        <v>120874</v>
      </c>
      <c r="E36" s="238" t="s">
        <v>995</v>
      </c>
      <c r="F36" s="239">
        <v>46113</v>
      </c>
      <c r="G36" s="240" t="s">
        <v>996</v>
      </c>
      <c r="H36" s="233">
        <v>9219</v>
      </c>
      <c r="I36" s="233">
        <v>9219</v>
      </c>
      <c r="J36" s="43"/>
      <c r="K36" s="234">
        <v>102436</v>
      </c>
    </row>
    <row r="37" spans="2:12" ht="14.25" customHeight="1" x14ac:dyDescent="0.35">
      <c r="B37" s="236" t="s">
        <v>993</v>
      </c>
      <c r="C37" s="180" t="s">
        <v>994</v>
      </c>
      <c r="D37" s="237">
        <f>K37+SUM(H37:J37)</f>
        <v>7000</v>
      </c>
      <c r="E37" s="238" t="s">
        <v>995</v>
      </c>
      <c r="F37" s="239">
        <v>46113</v>
      </c>
      <c r="G37" s="240" t="s">
        <v>997</v>
      </c>
      <c r="H37" s="233"/>
      <c r="I37" s="233"/>
      <c r="J37" s="43"/>
      <c r="K37" s="234">
        <v>7000</v>
      </c>
    </row>
    <row r="38" spans="2:12" ht="14.25" customHeight="1" x14ac:dyDescent="0.35">
      <c r="B38" s="236"/>
      <c r="C38" s="241" t="s">
        <v>953</v>
      </c>
      <c r="D38" s="242">
        <f>SUM(D36:D37)</f>
        <v>127874</v>
      </c>
      <c r="E38" s="238"/>
      <c r="F38" s="239"/>
      <c r="G38" s="240"/>
      <c r="H38" s="233"/>
      <c r="I38" s="233"/>
      <c r="J38" s="43"/>
      <c r="K38" s="234"/>
      <c r="L38" s="235"/>
    </row>
    <row r="39" spans="2:12" ht="14.25" customHeight="1" x14ac:dyDescent="0.35">
      <c r="B39" s="228"/>
      <c r="C39" s="229"/>
      <c r="D39" s="230"/>
      <c r="E39" s="229"/>
      <c r="F39" s="231"/>
      <c r="G39" s="232"/>
      <c r="H39" s="233"/>
      <c r="I39" s="233"/>
      <c r="J39" s="43"/>
      <c r="K39" s="234"/>
      <c r="L39" s="235"/>
    </row>
    <row r="40" spans="2:12" ht="14.25" customHeight="1" x14ac:dyDescent="0.35">
      <c r="B40" s="236" t="s">
        <v>998</v>
      </c>
      <c r="C40" s="180" t="s">
        <v>994</v>
      </c>
      <c r="D40" s="237">
        <f>K40+SUM(H40:J40)</f>
        <v>6000</v>
      </c>
      <c r="E40" s="238" t="s">
        <v>995</v>
      </c>
      <c r="F40" s="239">
        <v>46113</v>
      </c>
      <c r="G40" s="240" t="s">
        <v>999</v>
      </c>
      <c r="H40" s="233"/>
      <c r="I40" s="233"/>
      <c r="J40" s="43"/>
      <c r="K40" s="234">
        <v>6000</v>
      </c>
    </row>
    <row r="41" spans="2:12" ht="14.25" customHeight="1" x14ac:dyDescent="0.35">
      <c r="B41" s="228"/>
      <c r="C41" s="229"/>
      <c r="D41" s="230"/>
      <c r="E41" s="229"/>
      <c r="F41" s="231"/>
      <c r="G41" s="232"/>
      <c r="H41" s="233"/>
      <c r="I41" s="233"/>
      <c r="J41" s="43"/>
      <c r="K41" s="234"/>
      <c r="L41" s="235"/>
    </row>
    <row r="42" spans="2:12" ht="14.25" customHeight="1" x14ac:dyDescent="0.35">
      <c r="B42" s="236" t="s">
        <v>1000</v>
      </c>
      <c r="C42" s="180" t="s">
        <v>59</v>
      </c>
      <c r="D42" s="237">
        <f>K42+SUM(H42:J42)</f>
        <v>1000</v>
      </c>
      <c r="E42" s="238" t="s">
        <v>1001</v>
      </c>
      <c r="F42" s="239">
        <v>46124</v>
      </c>
      <c r="G42" s="240" t="s">
        <v>1002</v>
      </c>
      <c r="H42" s="233"/>
      <c r="I42" s="233"/>
      <c r="J42" s="43"/>
      <c r="K42" s="234">
        <v>1000</v>
      </c>
    </row>
    <row r="43" spans="2:12" ht="14.25" customHeight="1" x14ac:dyDescent="0.35">
      <c r="B43" s="236" t="s">
        <v>1000</v>
      </c>
      <c r="C43" s="180" t="s">
        <v>1003</v>
      </c>
      <c r="D43" s="237">
        <f>K43+SUM(H43:J43)</f>
        <v>2574.87</v>
      </c>
      <c r="E43" s="238" t="s">
        <v>922</v>
      </c>
      <c r="F43" s="239">
        <v>46131</v>
      </c>
      <c r="G43" s="240" t="s">
        <v>1002</v>
      </c>
      <c r="H43" s="233"/>
      <c r="I43" s="233"/>
      <c r="J43" s="43"/>
      <c r="K43" s="234">
        <v>2574.87</v>
      </c>
    </row>
    <row r="44" spans="2:12" ht="14.25" customHeight="1" x14ac:dyDescent="0.35">
      <c r="B44" s="236"/>
      <c r="C44" s="241" t="s">
        <v>953</v>
      </c>
      <c r="D44" s="242">
        <f>SUM(D42:D43)</f>
        <v>3574.87</v>
      </c>
      <c r="E44" s="238"/>
      <c r="F44" s="239"/>
      <c r="G44" s="240"/>
      <c r="H44" s="233"/>
      <c r="I44" s="233"/>
      <c r="J44" s="43"/>
      <c r="K44" s="234"/>
      <c r="L44" s="235"/>
    </row>
    <row r="45" spans="2:12" ht="14.25" customHeight="1" x14ac:dyDescent="0.35">
      <c r="B45" s="228"/>
      <c r="C45" s="229"/>
      <c r="D45" s="230"/>
      <c r="E45" s="229"/>
      <c r="F45" s="231"/>
      <c r="G45" s="232"/>
      <c r="H45" s="233"/>
      <c r="I45" s="233"/>
      <c r="J45" s="43"/>
      <c r="K45" s="234"/>
      <c r="L45" s="235"/>
    </row>
    <row r="46" spans="2:12" ht="14.25" customHeight="1" x14ac:dyDescent="0.35">
      <c r="B46" s="236" t="s">
        <v>1004</v>
      </c>
      <c r="C46" s="180" t="s">
        <v>1005</v>
      </c>
      <c r="D46" s="237">
        <f t="shared" ref="D46:D59" si="1">K46+SUM(H46:J46)</f>
        <v>5000</v>
      </c>
      <c r="E46" s="238" t="s">
        <v>1006</v>
      </c>
      <c r="F46" s="239">
        <v>46119</v>
      </c>
      <c r="G46" s="240" t="s">
        <v>1007</v>
      </c>
      <c r="H46" s="233"/>
      <c r="I46" s="233"/>
      <c r="J46" s="43"/>
      <c r="K46" s="234">
        <v>5000</v>
      </c>
    </row>
    <row r="47" spans="2:12" ht="14.25" customHeight="1" x14ac:dyDescent="0.35">
      <c r="B47" s="236" t="s">
        <v>1004</v>
      </c>
      <c r="C47" s="180" t="s">
        <v>1008</v>
      </c>
      <c r="D47" s="237">
        <f t="shared" si="1"/>
        <v>5000</v>
      </c>
      <c r="E47" s="238" t="s">
        <v>1006</v>
      </c>
      <c r="F47" s="239">
        <v>46119</v>
      </c>
      <c r="G47" s="240" t="s">
        <v>1007</v>
      </c>
      <c r="H47" s="233"/>
      <c r="I47" s="233"/>
      <c r="J47" s="43"/>
      <c r="K47" s="234">
        <v>5000</v>
      </c>
    </row>
    <row r="48" spans="2:12" ht="14.25" customHeight="1" x14ac:dyDescent="0.35">
      <c r="B48" s="236" t="s">
        <v>1004</v>
      </c>
      <c r="C48" s="180" t="s">
        <v>56</v>
      </c>
      <c r="D48" s="237">
        <f t="shared" si="1"/>
        <v>1151</v>
      </c>
      <c r="E48" s="238" t="s">
        <v>57</v>
      </c>
      <c r="F48" s="239">
        <v>46119</v>
      </c>
      <c r="G48" s="240" t="s">
        <v>1007</v>
      </c>
      <c r="H48" s="233"/>
      <c r="I48" s="233"/>
      <c r="J48" s="43"/>
      <c r="K48" s="234">
        <v>1151</v>
      </c>
    </row>
    <row r="49" spans="2:13" ht="14.25" customHeight="1" x14ac:dyDescent="0.35">
      <c r="B49" s="236" t="s">
        <v>1004</v>
      </c>
      <c r="C49" s="180" t="s">
        <v>1009</v>
      </c>
      <c r="D49" s="237">
        <f t="shared" si="1"/>
        <v>4116</v>
      </c>
      <c r="E49" s="238" t="s">
        <v>1010</v>
      </c>
      <c r="F49" s="239">
        <v>46125</v>
      </c>
      <c r="G49" s="240" t="s">
        <v>1007</v>
      </c>
      <c r="H49" s="233"/>
      <c r="I49" s="233"/>
      <c r="J49" s="43"/>
      <c r="K49" s="234">
        <v>4116</v>
      </c>
    </row>
    <row r="50" spans="2:13" ht="14.25" customHeight="1" x14ac:dyDescent="0.35">
      <c r="B50" s="236" t="s">
        <v>1004</v>
      </c>
      <c r="C50" s="180" t="s">
        <v>56</v>
      </c>
      <c r="D50" s="237">
        <f t="shared" si="1"/>
        <v>565</v>
      </c>
      <c r="E50" s="238" t="s">
        <v>63</v>
      </c>
      <c r="F50" s="239">
        <v>46126</v>
      </c>
      <c r="G50" s="240" t="s">
        <v>1007</v>
      </c>
      <c r="H50" s="233"/>
      <c r="I50" s="233"/>
      <c r="J50" s="43"/>
      <c r="K50" s="234">
        <v>565</v>
      </c>
    </row>
    <row r="51" spans="2:13" ht="14.25" customHeight="1" x14ac:dyDescent="0.35">
      <c r="B51" s="236" t="s">
        <v>1004</v>
      </c>
      <c r="C51" s="180" t="s">
        <v>56</v>
      </c>
      <c r="D51" s="237">
        <f t="shared" si="1"/>
        <v>870</v>
      </c>
      <c r="E51" s="238" t="s">
        <v>65</v>
      </c>
      <c r="F51" s="239">
        <v>46126</v>
      </c>
      <c r="G51" s="240" t="s">
        <v>1007</v>
      </c>
      <c r="H51" s="233"/>
      <c r="I51" s="233"/>
      <c r="J51" s="43"/>
      <c r="K51" s="234">
        <v>870</v>
      </c>
    </row>
    <row r="52" spans="2:13" ht="14.25" customHeight="1" x14ac:dyDescent="0.35">
      <c r="B52" s="236" t="s">
        <v>1004</v>
      </c>
      <c r="C52" s="180" t="s">
        <v>56</v>
      </c>
      <c r="D52" s="237">
        <f t="shared" si="1"/>
        <v>1201</v>
      </c>
      <c r="E52" s="238" t="s">
        <v>66</v>
      </c>
      <c r="F52" s="239">
        <v>46126</v>
      </c>
      <c r="G52" s="240" t="s">
        <v>1007</v>
      </c>
      <c r="H52" s="233"/>
      <c r="I52" s="233"/>
      <c r="J52" s="43"/>
      <c r="K52" s="234">
        <v>1201</v>
      </c>
    </row>
    <row r="53" spans="2:13" ht="14.25" customHeight="1" x14ac:dyDescent="0.35">
      <c r="B53" s="236" t="s">
        <v>1004</v>
      </c>
      <c r="C53" s="180" t="s">
        <v>56</v>
      </c>
      <c r="D53" s="237">
        <f t="shared" si="1"/>
        <v>340</v>
      </c>
      <c r="E53" s="238" t="s">
        <v>68</v>
      </c>
      <c r="F53" s="239">
        <v>46128</v>
      </c>
      <c r="G53" s="240" t="s">
        <v>1007</v>
      </c>
      <c r="H53" s="233"/>
      <c r="I53" s="233"/>
      <c r="J53" s="43"/>
      <c r="K53" s="234">
        <v>340</v>
      </c>
    </row>
    <row r="54" spans="2:13" ht="14.25" customHeight="1" x14ac:dyDescent="0.35">
      <c r="B54" s="236" t="s">
        <v>1004</v>
      </c>
      <c r="C54" s="180" t="s">
        <v>70</v>
      </c>
      <c r="D54" s="237">
        <f t="shared" si="1"/>
        <v>624</v>
      </c>
      <c r="E54" s="238" t="s">
        <v>1011</v>
      </c>
      <c r="F54" s="239">
        <v>46132</v>
      </c>
      <c r="G54" s="240" t="s">
        <v>1007</v>
      </c>
      <c r="H54" s="233"/>
      <c r="I54" s="233"/>
      <c r="J54" s="43"/>
      <c r="K54" s="234">
        <v>624</v>
      </c>
    </row>
    <row r="55" spans="2:13" ht="14.25" customHeight="1" x14ac:dyDescent="0.35">
      <c r="B55" s="236" t="s">
        <v>1004</v>
      </c>
      <c r="C55" s="180" t="s">
        <v>70</v>
      </c>
      <c r="D55" s="237">
        <f t="shared" si="1"/>
        <v>624</v>
      </c>
      <c r="E55" s="238" t="s">
        <v>1011</v>
      </c>
      <c r="F55" s="239">
        <v>46133</v>
      </c>
      <c r="G55" s="240" t="s">
        <v>1007</v>
      </c>
      <c r="H55" s="233"/>
      <c r="I55" s="233"/>
      <c r="J55" s="43"/>
      <c r="K55" s="234">
        <v>624</v>
      </c>
      <c r="M55" s="244"/>
    </row>
    <row r="56" spans="2:13" ht="14.25" customHeight="1" x14ac:dyDescent="0.35">
      <c r="B56" s="236" t="s">
        <v>1004</v>
      </c>
      <c r="C56" s="180" t="s">
        <v>70</v>
      </c>
      <c r="D56" s="237">
        <f t="shared" si="1"/>
        <v>851</v>
      </c>
      <c r="E56" s="238" t="s">
        <v>1012</v>
      </c>
      <c r="F56" s="239">
        <v>46141</v>
      </c>
      <c r="G56" s="240" t="s">
        <v>1007</v>
      </c>
      <c r="H56" s="233"/>
      <c r="I56" s="233"/>
      <c r="J56" s="43"/>
      <c r="K56" s="234">
        <v>851</v>
      </c>
    </row>
    <row r="57" spans="2:13" ht="14.25" customHeight="1" x14ac:dyDescent="0.35">
      <c r="B57" s="236" t="s">
        <v>1004</v>
      </c>
      <c r="C57" s="180" t="s">
        <v>70</v>
      </c>
      <c r="D57" s="237">
        <f t="shared" si="1"/>
        <v>926</v>
      </c>
      <c r="E57" s="238" t="s">
        <v>1013</v>
      </c>
      <c r="F57" s="239">
        <v>46142</v>
      </c>
      <c r="G57" s="240" t="s">
        <v>1007</v>
      </c>
      <c r="H57" s="233"/>
      <c r="I57" s="233"/>
      <c r="J57" s="43"/>
      <c r="K57" s="234">
        <v>926</v>
      </c>
    </row>
    <row r="58" spans="2:13" ht="14.25" customHeight="1" x14ac:dyDescent="0.35">
      <c r="B58" s="236" t="s">
        <v>1004</v>
      </c>
      <c r="C58" s="180" t="s">
        <v>157</v>
      </c>
      <c r="D58" s="237">
        <f t="shared" si="1"/>
        <v>21158</v>
      </c>
      <c r="E58" s="238" t="s">
        <v>1014</v>
      </c>
      <c r="F58" s="239">
        <v>46142</v>
      </c>
      <c r="G58" s="240" t="s">
        <v>1007</v>
      </c>
      <c r="H58" s="233"/>
      <c r="I58" s="233"/>
      <c r="J58" s="43"/>
      <c r="K58" s="234">
        <v>21158</v>
      </c>
      <c r="M58" s="245"/>
    </row>
    <row r="59" spans="2:13" ht="14.25" customHeight="1" x14ac:dyDescent="0.35">
      <c r="B59" s="236" t="s">
        <v>1004</v>
      </c>
      <c r="C59" s="180" t="s">
        <v>1015</v>
      </c>
      <c r="D59" s="237">
        <f t="shared" si="1"/>
        <v>7320</v>
      </c>
      <c r="E59" s="238" t="s">
        <v>1016</v>
      </c>
      <c r="F59" s="239">
        <v>46142</v>
      </c>
      <c r="G59" s="240" t="s">
        <v>1007</v>
      </c>
      <c r="H59" s="233"/>
      <c r="I59" s="233"/>
      <c r="J59" s="43"/>
      <c r="K59" s="234">
        <v>7320</v>
      </c>
      <c r="M59" s="245"/>
    </row>
    <row r="60" spans="2:13" ht="14.25" customHeight="1" x14ac:dyDescent="0.35">
      <c r="B60" s="236"/>
      <c r="C60" s="241" t="s">
        <v>953</v>
      </c>
      <c r="D60" s="242">
        <f>SUM(D46:D59)</f>
        <v>49746</v>
      </c>
      <c r="E60" s="238"/>
      <c r="F60" s="239"/>
      <c r="G60" s="240"/>
      <c r="H60" s="233"/>
      <c r="I60" s="233"/>
      <c r="J60" s="43"/>
      <c r="K60" s="234"/>
      <c r="L60" s="235"/>
      <c r="M60" s="245"/>
    </row>
    <row r="61" spans="2:13" ht="14.25" customHeight="1" x14ac:dyDescent="0.35">
      <c r="B61" s="228"/>
      <c r="C61" s="229"/>
      <c r="D61" s="230"/>
      <c r="E61" s="229"/>
      <c r="F61" s="231"/>
      <c r="G61" s="232"/>
      <c r="H61" s="233"/>
      <c r="I61" s="233"/>
      <c r="J61" s="43"/>
      <c r="K61" s="234"/>
      <c r="L61" s="235"/>
    </row>
    <row r="62" spans="2:13" ht="14.25" customHeight="1" x14ac:dyDescent="0.35">
      <c r="B62" s="236" t="s">
        <v>1017</v>
      </c>
      <c r="C62" s="180" t="s">
        <v>1018</v>
      </c>
      <c r="D62" s="237">
        <f t="shared" ref="D62:D74" si="2">K62+SUM(H62:J62)</f>
        <v>6136</v>
      </c>
      <c r="E62" s="238" t="s">
        <v>1019</v>
      </c>
      <c r="F62" s="239">
        <v>46113</v>
      </c>
      <c r="G62" s="240" t="s">
        <v>1020</v>
      </c>
      <c r="H62" s="233"/>
      <c r="I62" s="233"/>
      <c r="J62" s="43"/>
      <c r="K62" s="234">
        <v>6136</v>
      </c>
      <c r="M62" s="244"/>
    </row>
    <row r="63" spans="2:13" ht="14.25" customHeight="1" x14ac:dyDescent="0.35">
      <c r="B63" s="236" t="s">
        <v>1017</v>
      </c>
      <c r="C63" s="180" t="s">
        <v>1018</v>
      </c>
      <c r="D63" s="237">
        <f t="shared" si="2"/>
        <v>8231</v>
      </c>
      <c r="E63" s="238" t="s">
        <v>1021</v>
      </c>
      <c r="F63" s="239">
        <v>46118</v>
      </c>
      <c r="G63" s="240" t="s">
        <v>1020</v>
      </c>
      <c r="H63" s="233"/>
      <c r="I63" s="233"/>
      <c r="J63" s="43"/>
      <c r="K63" s="234">
        <v>8231</v>
      </c>
    </row>
    <row r="64" spans="2:13" ht="14.25" customHeight="1" x14ac:dyDescent="0.35">
      <c r="B64" s="236" t="s">
        <v>1017</v>
      </c>
      <c r="C64" s="180" t="s">
        <v>1018</v>
      </c>
      <c r="D64" s="237">
        <f t="shared" si="2"/>
        <v>8231</v>
      </c>
      <c r="E64" s="238" t="s">
        <v>1022</v>
      </c>
      <c r="F64" s="239">
        <v>46125</v>
      </c>
      <c r="G64" s="240" t="s">
        <v>1020</v>
      </c>
      <c r="H64" s="233"/>
      <c r="I64" s="233"/>
      <c r="J64" s="43"/>
      <c r="K64" s="234">
        <v>8231</v>
      </c>
    </row>
    <row r="65" spans="2:12" ht="14.25" customHeight="1" x14ac:dyDescent="0.35">
      <c r="B65" s="236" t="s">
        <v>1017</v>
      </c>
      <c r="C65" s="180" t="s">
        <v>1018</v>
      </c>
      <c r="D65" s="237">
        <f t="shared" si="2"/>
        <v>9146</v>
      </c>
      <c r="E65" s="238" t="s">
        <v>1023</v>
      </c>
      <c r="F65" s="239">
        <v>46132</v>
      </c>
      <c r="G65" s="240" t="s">
        <v>1020</v>
      </c>
      <c r="H65" s="233"/>
      <c r="I65" s="233"/>
      <c r="J65" s="43"/>
      <c r="K65" s="234">
        <v>9146</v>
      </c>
    </row>
    <row r="66" spans="2:12" ht="14.25" customHeight="1" x14ac:dyDescent="0.35">
      <c r="B66" s="236" t="s">
        <v>1017</v>
      </c>
      <c r="C66" s="180" t="s">
        <v>1018</v>
      </c>
      <c r="D66" s="237">
        <f t="shared" si="2"/>
        <v>7169</v>
      </c>
      <c r="E66" s="238" t="s">
        <v>1024</v>
      </c>
      <c r="F66" s="239">
        <v>46139</v>
      </c>
      <c r="G66" s="240" t="s">
        <v>1020</v>
      </c>
      <c r="H66" s="233"/>
      <c r="I66" s="233"/>
      <c r="J66" s="43"/>
      <c r="K66" s="234">
        <v>7169</v>
      </c>
    </row>
    <row r="67" spans="2:12" ht="14.25" customHeight="1" x14ac:dyDescent="0.35">
      <c r="B67" s="236" t="s">
        <v>1017</v>
      </c>
      <c r="C67" s="180" t="s">
        <v>1025</v>
      </c>
      <c r="D67" s="237">
        <f t="shared" si="2"/>
        <v>24447.5</v>
      </c>
      <c r="E67" s="238" t="s">
        <v>1026</v>
      </c>
      <c r="F67" s="239">
        <v>46141</v>
      </c>
      <c r="G67" s="240" t="s">
        <v>1020</v>
      </c>
      <c r="H67" s="233"/>
      <c r="I67" s="233"/>
      <c r="J67" s="43"/>
      <c r="K67" s="234">
        <v>24447.5</v>
      </c>
    </row>
    <row r="68" spans="2:12" ht="14.25" customHeight="1" x14ac:dyDescent="0.35">
      <c r="B68" s="236" t="s">
        <v>1017</v>
      </c>
      <c r="C68" s="180" t="s">
        <v>1027</v>
      </c>
      <c r="D68" s="237">
        <f t="shared" si="2"/>
        <v>9920</v>
      </c>
      <c r="E68" s="238" t="s">
        <v>1028</v>
      </c>
      <c r="F68" s="239">
        <v>46141</v>
      </c>
      <c r="G68" s="240" t="s">
        <v>1020</v>
      </c>
      <c r="H68" s="233"/>
      <c r="I68" s="233"/>
      <c r="J68" s="43"/>
      <c r="K68" s="234">
        <v>9920</v>
      </c>
    </row>
    <row r="69" spans="2:12" ht="14.25" customHeight="1" x14ac:dyDescent="0.35">
      <c r="B69" s="236" t="s">
        <v>1017</v>
      </c>
      <c r="C69" s="180" t="s">
        <v>1029</v>
      </c>
      <c r="D69" s="237">
        <f t="shared" si="2"/>
        <v>7400</v>
      </c>
      <c r="E69" s="238" t="s">
        <v>1030</v>
      </c>
      <c r="F69" s="239">
        <v>46141</v>
      </c>
      <c r="G69" s="240" t="s">
        <v>1020</v>
      </c>
      <c r="H69" s="233"/>
      <c r="I69" s="233"/>
      <c r="J69" s="43"/>
      <c r="K69" s="234">
        <v>7400</v>
      </c>
    </row>
    <row r="70" spans="2:12" ht="14.25" customHeight="1" x14ac:dyDescent="0.35">
      <c r="B70" s="236" t="s">
        <v>1017</v>
      </c>
      <c r="C70" s="180" t="s">
        <v>1027</v>
      </c>
      <c r="D70" s="237">
        <f t="shared" si="2"/>
        <v>11120</v>
      </c>
      <c r="E70" s="238" t="s">
        <v>1031</v>
      </c>
      <c r="F70" s="239">
        <v>46141</v>
      </c>
      <c r="G70" s="240" t="s">
        <v>1020</v>
      </c>
      <c r="H70" s="233"/>
      <c r="I70" s="233"/>
      <c r="J70" s="43"/>
      <c r="K70" s="234">
        <v>11120</v>
      </c>
    </row>
    <row r="71" spans="2:12" ht="14.25" customHeight="1" x14ac:dyDescent="0.35">
      <c r="B71" s="236" t="s">
        <v>1017</v>
      </c>
      <c r="C71" s="180" t="s">
        <v>1032</v>
      </c>
      <c r="D71" s="237">
        <f t="shared" si="2"/>
        <v>9440</v>
      </c>
      <c r="E71" s="238" t="s">
        <v>1033</v>
      </c>
      <c r="F71" s="239">
        <v>46141</v>
      </c>
      <c r="G71" s="240" t="s">
        <v>1020</v>
      </c>
      <c r="H71" s="233"/>
      <c r="I71" s="233"/>
      <c r="J71" s="43"/>
      <c r="K71" s="234">
        <v>9440</v>
      </c>
    </row>
    <row r="72" spans="2:12" ht="14.25" customHeight="1" x14ac:dyDescent="0.35">
      <c r="B72" s="236" t="s">
        <v>1017</v>
      </c>
      <c r="C72" s="180" t="s">
        <v>1034</v>
      </c>
      <c r="D72" s="237">
        <f t="shared" si="2"/>
        <v>2247</v>
      </c>
      <c r="E72" s="238" t="s">
        <v>1035</v>
      </c>
      <c r="F72" s="239">
        <v>46142</v>
      </c>
      <c r="G72" s="240" t="s">
        <v>1020</v>
      </c>
      <c r="H72" s="233"/>
      <c r="I72" s="233"/>
      <c r="J72" s="43"/>
      <c r="K72" s="234">
        <v>2247</v>
      </c>
    </row>
    <row r="73" spans="2:12" ht="14.25" customHeight="1" x14ac:dyDescent="0.35">
      <c r="B73" s="236" t="s">
        <v>1017</v>
      </c>
      <c r="C73" s="180" t="s">
        <v>1036</v>
      </c>
      <c r="D73" s="237">
        <f t="shared" si="2"/>
        <v>14990</v>
      </c>
      <c r="E73" s="238" t="s">
        <v>929</v>
      </c>
      <c r="F73" s="239">
        <v>46142</v>
      </c>
      <c r="G73" s="240" t="s">
        <v>1020</v>
      </c>
      <c r="H73" s="233"/>
      <c r="I73" s="233"/>
      <c r="J73" s="43"/>
      <c r="K73" s="234">
        <v>14990</v>
      </c>
    </row>
    <row r="74" spans="2:12" ht="14.25" customHeight="1" x14ac:dyDescent="0.35">
      <c r="B74" s="236" t="s">
        <v>1017</v>
      </c>
      <c r="C74" s="180" t="s">
        <v>1037</v>
      </c>
      <c r="D74" s="237">
        <f t="shared" si="2"/>
        <v>4660</v>
      </c>
      <c r="E74" s="238" t="s">
        <v>1038</v>
      </c>
      <c r="F74" s="239">
        <v>46142</v>
      </c>
      <c r="G74" s="240" t="s">
        <v>1039</v>
      </c>
      <c r="H74" s="233"/>
      <c r="I74" s="233"/>
      <c r="J74" s="43"/>
      <c r="K74" s="234">
        <v>4660</v>
      </c>
    </row>
    <row r="75" spans="2:12" ht="14.25" customHeight="1" x14ac:dyDescent="0.35">
      <c r="B75" s="236"/>
      <c r="C75" s="241" t="s">
        <v>953</v>
      </c>
      <c r="D75" s="242">
        <f>SUM(D62:D74)</f>
        <v>123137.5</v>
      </c>
      <c r="E75" s="238"/>
      <c r="F75" s="239"/>
      <c r="G75" s="240"/>
      <c r="H75" s="233"/>
      <c r="I75" s="233"/>
      <c r="J75" s="43"/>
      <c r="K75" s="234"/>
      <c r="L75" s="235"/>
    </row>
    <row r="76" spans="2:12" ht="14.25" customHeight="1" x14ac:dyDescent="0.35">
      <c r="B76" s="228"/>
      <c r="C76" s="229"/>
      <c r="D76" s="230"/>
      <c r="E76" s="229"/>
      <c r="F76" s="231"/>
      <c r="G76" s="232"/>
      <c r="H76" s="233"/>
      <c r="I76" s="233"/>
      <c r="J76" s="43"/>
      <c r="K76" s="234"/>
      <c r="L76" s="235"/>
    </row>
    <row r="77" spans="2:12" ht="14.25" customHeight="1" x14ac:dyDescent="0.35">
      <c r="B77" s="236" t="s">
        <v>1040</v>
      </c>
      <c r="C77" s="180" t="s">
        <v>1041</v>
      </c>
      <c r="D77" s="237">
        <f>K77+SUM(H77:J77)</f>
        <v>10000</v>
      </c>
      <c r="E77" s="238" t="s">
        <v>1042</v>
      </c>
      <c r="F77" s="239">
        <v>46119</v>
      </c>
      <c r="G77" s="240" t="s">
        <v>1043</v>
      </c>
      <c r="H77" s="233"/>
      <c r="I77" s="233"/>
      <c r="J77" s="43"/>
      <c r="K77" s="234">
        <v>10000</v>
      </c>
    </row>
    <row r="78" spans="2:12" ht="14.25" customHeight="1" x14ac:dyDescent="0.35">
      <c r="B78" s="228"/>
      <c r="C78" s="229"/>
      <c r="D78" s="230"/>
      <c r="E78" s="229"/>
      <c r="F78" s="231"/>
      <c r="G78" s="232"/>
      <c r="H78" s="233"/>
      <c r="I78" s="233"/>
      <c r="J78" s="43"/>
      <c r="K78" s="234"/>
      <c r="L78" s="235"/>
    </row>
    <row r="79" spans="2:12" ht="14.25" customHeight="1" x14ac:dyDescent="0.35">
      <c r="B79" s="236" t="s">
        <v>1044</v>
      </c>
      <c r="C79" s="180" t="s">
        <v>1045</v>
      </c>
      <c r="D79" s="237">
        <f>K79+SUM(H79:J79)</f>
        <v>110920</v>
      </c>
      <c r="E79" s="238" t="s">
        <v>1046</v>
      </c>
      <c r="F79" s="239">
        <v>46136</v>
      </c>
      <c r="G79" s="240" t="s">
        <v>1047</v>
      </c>
      <c r="H79" s="233">
        <v>8460</v>
      </c>
      <c r="I79" s="233">
        <v>8460</v>
      </c>
      <c r="J79" s="43"/>
      <c r="K79" s="234">
        <v>94000</v>
      </c>
    </row>
    <row r="80" spans="2:12" ht="14.25" customHeight="1" x14ac:dyDescent="0.35">
      <c r="B80" s="228"/>
      <c r="C80" s="229"/>
      <c r="D80" s="230"/>
      <c r="E80" s="229"/>
      <c r="F80" s="231"/>
      <c r="G80" s="232"/>
      <c r="H80" s="233"/>
      <c r="I80" s="233"/>
      <c r="J80" s="43"/>
      <c r="K80" s="234"/>
      <c r="L80" s="235"/>
    </row>
    <row r="81" spans="2:12" ht="14.25" customHeight="1" x14ac:dyDescent="0.35">
      <c r="B81" s="236" t="s">
        <v>1048</v>
      </c>
      <c r="C81" s="180" t="s">
        <v>1049</v>
      </c>
      <c r="D81" s="237">
        <f>K81+SUM(H81:J81)</f>
        <v>47200</v>
      </c>
      <c r="E81" s="238" t="s">
        <v>1050</v>
      </c>
      <c r="F81" s="239">
        <v>46142</v>
      </c>
      <c r="G81" s="240" t="s">
        <v>1051</v>
      </c>
      <c r="H81" s="233">
        <v>3600</v>
      </c>
      <c r="I81" s="233">
        <v>3600</v>
      </c>
      <c r="J81" s="43"/>
      <c r="K81" s="234">
        <v>40000</v>
      </c>
    </row>
    <row r="82" spans="2:12" ht="14.25" customHeight="1" x14ac:dyDescent="0.35">
      <c r="B82" s="236" t="s">
        <v>1048</v>
      </c>
      <c r="C82" s="180" t="s">
        <v>1049</v>
      </c>
      <c r="D82" s="237">
        <f>K82+SUM(H82:J82)</f>
        <v>19011</v>
      </c>
      <c r="E82" s="238" t="s">
        <v>1050</v>
      </c>
      <c r="F82" s="239">
        <v>46142</v>
      </c>
      <c r="G82" s="240" t="s">
        <v>1051</v>
      </c>
      <c r="H82" s="233">
        <v>1450</v>
      </c>
      <c r="I82" s="233">
        <v>1450</v>
      </c>
      <c r="J82" s="43"/>
      <c r="K82" s="234">
        <v>16111</v>
      </c>
    </row>
    <row r="83" spans="2:12" ht="14.25" customHeight="1" x14ac:dyDescent="0.35">
      <c r="B83" s="236"/>
      <c r="C83" s="241" t="s">
        <v>953</v>
      </c>
      <c r="D83" s="242">
        <f>SUM(D81:D82)</f>
        <v>66211</v>
      </c>
      <c r="E83" s="238"/>
      <c r="F83" s="239"/>
      <c r="G83" s="240"/>
      <c r="H83" s="233"/>
      <c r="I83" s="233"/>
      <c r="J83" s="43"/>
      <c r="K83" s="234"/>
      <c r="L83" s="235"/>
    </row>
    <row r="84" spans="2:12" ht="14.25" customHeight="1" x14ac:dyDescent="0.35">
      <c r="B84" s="228"/>
      <c r="C84" s="229"/>
      <c r="D84" s="230"/>
      <c r="E84" s="229"/>
      <c r="F84" s="231"/>
      <c r="G84" s="232"/>
      <c r="H84" s="233"/>
      <c r="I84" s="233"/>
      <c r="J84" s="43"/>
      <c r="K84" s="234"/>
      <c r="L84" s="235"/>
    </row>
    <row r="85" spans="2:12" ht="28.5" customHeight="1" x14ac:dyDescent="0.35">
      <c r="B85" s="236" t="s">
        <v>1052</v>
      </c>
      <c r="C85" s="180" t="s">
        <v>1053</v>
      </c>
      <c r="D85" s="237">
        <f>K85+SUM(H85:J85)</f>
        <v>24190</v>
      </c>
      <c r="E85" s="238" t="s">
        <v>1054</v>
      </c>
      <c r="F85" s="239">
        <v>46115</v>
      </c>
      <c r="G85" s="240" t="s">
        <v>1055</v>
      </c>
      <c r="H85" s="233"/>
      <c r="I85" s="233"/>
      <c r="J85" s="43"/>
      <c r="K85" s="234">
        <v>24190</v>
      </c>
    </row>
    <row r="86" spans="2:12" ht="14.25" customHeight="1" x14ac:dyDescent="0.35">
      <c r="B86" s="236" t="s">
        <v>1052</v>
      </c>
      <c r="C86" s="180" t="s">
        <v>1049</v>
      </c>
      <c r="D86" s="237">
        <f>K86+SUM(H86:J86)</f>
        <v>26360.02</v>
      </c>
      <c r="E86" s="238" t="s">
        <v>1056</v>
      </c>
      <c r="F86" s="239">
        <v>46136</v>
      </c>
      <c r="G86" s="240" t="s">
        <v>1057</v>
      </c>
      <c r="H86" s="233">
        <v>2010.51</v>
      </c>
      <c r="I86" s="233">
        <v>2010.51</v>
      </c>
      <c r="J86" s="43"/>
      <c r="K86" s="234">
        <v>22339</v>
      </c>
    </row>
    <row r="87" spans="2:12" ht="14.25" customHeight="1" x14ac:dyDescent="0.35">
      <c r="B87" s="236" t="s">
        <v>1052</v>
      </c>
      <c r="C87" s="180" t="s">
        <v>1058</v>
      </c>
      <c r="D87" s="237">
        <f>K87+SUM(H87:J87)</f>
        <v>-3896</v>
      </c>
      <c r="E87" s="238" t="s">
        <v>925</v>
      </c>
      <c r="F87" s="239">
        <v>46142</v>
      </c>
      <c r="G87" s="240" t="s">
        <v>1057</v>
      </c>
      <c r="H87" s="233"/>
      <c r="I87" s="233"/>
      <c r="J87" s="43"/>
      <c r="K87" s="234">
        <v>-3896</v>
      </c>
    </row>
    <row r="88" spans="2:12" ht="14.25" customHeight="1" x14ac:dyDescent="0.35">
      <c r="B88" s="236" t="s">
        <v>1052</v>
      </c>
      <c r="C88" s="180" t="s">
        <v>1058</v>
      </c>
      <c r="D88" s="237">
        <f>K88+SUM(H88:J88)</f>
        <v>4517.46</v>
      </c>
      <c r="E88" s="238" t="s">
        <v>927</v>
      </c>
      <c r="F88" s="239">
        <v>46142</v>
      </c>
      <c r="G88" s="240" t="s">
        <v>1055</v>
      </c>
      <c r="H88" s="233"/>
      <c r="I88" s="233"/>
      <c r="J88" s="43"/>
      <c r="K88" s="234">
        <v>4517.46</v>
      </c>
    </row>
    <row r="89" spans="2:12" ht="14.25" customHeight="1" x14ac:dyDescent="0.35">
      <c r="B89" s="236"/>
      <c r="C89" s="241" t="s">
        <v>953</v>
      </c>
      <c r="D89" s="242">
        <f>SUM(D85:D88)</f>
        <v>51171.48</v>
      </c>
      <c r="E89" s="238"/>
      <c r="F89" s="239"/>
      <c r="G89" s="240"/>
      <c r="H89" s="233"/>
      <c r="I89" s="233"/>
      <c r="J89" s="43"/>
      <c r="K89" s="234"/>
      <c r="L89" s="235"/>
    </row>
    <row r="90" spans="2:12" ht="14.25" customHeight="1" x14ac:dyDescent="0.35">
      <c r="B90" s="228"/>
      <c r="C90" s="229"/>
      <c r="D90" s="230"/>
      <c r="E90" s="229"/>
      <c r="F90" s="231"/>
      <c r="G90" s="232"/>
      <c r="H90" s="233"/>
      <c r="I90" s="233"/>
      <c r="J90" s="43"/>
      <c r="K90" s="234"/>
      <c r="L90" s="235"/>
    </row>
    <row r="91" spans="2:12" ht="14.25" customHeight="1" x14ac:dyDescent="0.35">
      <c r="B91" s="236" t="s">
        <v>1059</v>
      </c>
      <c r="C91" s="180" t="s">
        <v>1025</v>
      </c>
      <c r="D91" s="237">
        <f>K91+SUM(H91:J91)</f>
        <v>13570</v>
      </c>
      <c r="E91" s="238" t="s">
        <v>1060</v>
      </c>
      <c r="F91" s="239">
        <v>46140</v>
      </c>
      <c r="G91" s="240" t="s">
        <v>1061</v>
      </c>
      <c r="H91" s="233">
        <v>1035</v>
      </c>
      <c r="I91" s="233">
        <v>1035</v>
      </c>
      <c r="J91" s="43"/>
      <c r="K91" s="234">
        <v>11500</v>
      </c>
    </row>
    <row r="92" spans="2:12" ht="14.25" customHeight="1" x14ac:dyDescent="0.35">
      <c r="B92" s="228"/>
      <c r="C92" s="229"/>
      <c r="D92" s="230"/>
      <c r="E92" s="229"/>
      <c r="F92" s="231"/>
      <c r="G92" s="232"/>
      <c r="H92" s="233"/>
      <c r="I92" s="233"/>
      <c r="J92" s="43"/>
      <c r="K92" s="234"/>
      <c r="L92" s="235"/>
    </row>
    <row r="93" spans="2:12" ht="14.25" customHeight="1" x14ac:dyDescent="0.35">
      <c r="B93" s="236" t="s">
        <v>1062</v>
      </c>
      <c r="C93" s="180" t="s">
        <v>1063</v>
      </c>
      <c r="D93" s="237">
        <f>K93+SUM(H93:J93)</f>
        <v>56640</v>
      </c>
      <c r="E93" s="238" t="s">
        <v>1064</v>
      </c>
      <c r="F93" s="239">
        <v>46125</v>
      </c>
      <c r="G93" s="240" t="s">
        <v>1065</v>
      </c>
      <c r="H93" s="233">
        <v>4320</v>
      </c>
      <c r="I93" s="233">
        <v>4320</v>
      </c>
      <c r="J93" s="43"/>
      <c r="K93" s="234">
        <v>48000</v>
      </c>
    </row>
    <row r="94" spans="2:12" ht="14.25" customHeight="1" x14ac:dyDescent="0.35">
      <c r="B94" s="228"/>
      <c r="C94" s="229"/>
      <c r="D94" s="230"/>
      <c r="E94" s="229"/>
      <c r="F94" s="231"/>
      <c r="G94" s="232"/>
      <c r="H94" s="233"/>
      <c r="I94" s="233"/>
      <c r="J94" s="43"/>
      <c r="K94" s="234"/>
      <c r="L94" s="235"/>
    </row>
    <row r="95" spans="2:12" ht="14.25" customHeight="1" x14ac:dyDescent="0.35">
      <c r="B95" s="236" t="s">
        <v>1066</v>
      </c>
      <c r="C95" s="180" t="s">
        <v>1067</v>
      </c>
      <c r="D95" s="237">
        <f>K95+SUM(H95:J95)</f>
        <v>40477.64</v>
      </c>
      <c r="E95" s="238" t="s">
        <v>1068</v>
      </c>
      <c r="F95" s="239">
        <v>46119</v>
      </c>
      <c r="G95" s="240" t="s">
        <v>1069</v>
      </c>
      <c r="H95" s="233"/>
      <c r="I95" s="233"/>
      <c r="J95" s="43"/>
      <c r="K95" s="234">
        <v>40477.64</v>
      </c>
    </row>
    <row r="96" spans="2:12" ht="14.25" customHeight="1" x14ac:dyDescent="0.35">
      <c r="B96" s="236" t="s">
        <v>1066</v>
      </c>
      <c r="C96" s="180" t="s">
        <v>1067</v>
      </c>
      <c r="D96" s="237">
        <f>K96+SUM(H96:J96)</f>
        <v>40477.64</v>
      </c>
      <c r="E96" s="238" t="s">
        <v>1070</v>
      </c>
      <c r="F96" s="239">
        <v>46120</v>
      </c>
      <c r="G96" s="240" t="s">
        <v>1069</v>
      </c>
      <c r="H96" s="233"/>
      <c r="I96" s="233"/>
      <c r="J96" s="43"/>
      <c r="K96" s="234">
        <v>40477.64</v>
      </c>
    </row>
    <row r="97" spans="2:12" ht="28.5" customHeight="1" x14ac:dyDescent="0.35">
      <c r="B97" s="236"/>
      <c r="C97" s="241" t="s">
        <v>953</v>
      </c>
      <c r="D97" s="242">
        <f>SUM(D95:D96)</f>
        <v>80955.28</v>
      </c>
      <c r="E97" s="238"/>
      <c r="F97" s="239"/>
      <c r="G97" s="240"/>
      <c r="H97" s="233"/>
      <c r="I97" s="233"/>
      <c r="J97" s="43"/>
      <c r="K97" s="234"/>
      <c r="L97" s="235"/>
    </row>
    <row r="98" spans="2:12" ht="14.25" customHeight="1" x14ac:dyDescent="0.35">
      <c r="B98" s="228"/>
      <c r="C98" s="229"/>
      <c r="D98" s="230"/>
      <c r="E98" s="229"/>
      <c r="F98" s="231"/>
      <c r="G98" s="232"/>
      <c r="H98" s="233"/>
      <c r="I98" s="233"/>
      <c r="J98" s="43"/>
      <c r="K98" s="234"/>
      <c r="L98" s="235"/>
    </row>
    <row r="99" spans="2:12" ht="14.25" customHeight="1" x14ac:dyDescent="0.35">
      <c r="B99" s="236" t="s">
        <v>1071</v>
      </c>
      <c r="C99" s="180" t="s">
        <v>941</v>
      </c>
      <c r="D99" s="237">
        <f>K99+SUM(H99:J99)</f>
        <v>11700</v>
      </c>
      <c r="E99" s="238" t="s">
        <v>944</v>
      </c>
      <c r="F99" s="239">
        <v>46113</v>
      </c>
      <c r="G99" s="240" t="s">
        <v>1072</v>
      </c>
      <c r="H99" s="233"/>
      <c r="I99" s="233"/>
      <c r="J99" s="43"/>
      <c r="K99" s="234">
        <v>11700</v>
      </c>
    </row>
    <row r="100" spans="2:12" ht="14.25" customHeight="1" x14ac:dyDescent="0.35">
      <c r="B100" s="228"/>
      <c r="C100" s="229"/>
      <c r="D100" s="230"/>
      <c r="E100" s="229"/>
      <c r="F100" s="231"/>
      <c r="G100" s="232"/>
      <c r="H100" s="233"/>
      <c r="I100" s="233"/>
      <c r="J100" s="43"/>
      <c r="K100" s="234"/>
      <c r="L100" s="235"/>
    </row>
    <row r="101" spans="2:12" ht="14.25" customHeight="1" x14ac:dyDescent="0.35">
      <c r="B101" s="236" t="s">
        <v>1073</v>
      </c>
      <c r="C101" s="180" t="s">
        <v>1045</v>
      </c>
      <c r="D101" s="237">
        <f>K101+SUM(H101:J101)</f>
        <v>863966.5</v>
      </c>
      <c r="E101" s="238" t="s">
        <v>1074</v>
      </c>
      <c r="F101" s="239">
        <v>46136</v>
      </c>
      <c r="G101" s="240" t="s">
        <v>1075</v>
      </c>
      <c r="H101" s="233">
        <v>65895.75</v>
      </c>
      <c r="I101" s="233">
        <v>65895.75</v>
      </c>
      <c r="J101" s="43"/>
      <c r="K101" s="234">
        <v>732175</v>
      </c>
    </row>
    <row r="102" spans="2:12" ht="14.25" customHeight="1" x14ac:dyDescent="0.35">
      <c r="B102" s="228"/>
      <c r="C102" s="229"/>
      <c r="D102" s="230"/>
      <c r="E102" s="229"/>
      <c r="F102" s="231"/>
      <c r="G102" s="232"/>
      <c r="H102" s="233"/>
      <c r="I102" s="233"/>
      <c r="J102" s="43"/>
      <c r="K102" s="234"/>
      <c r="L102" s="235"/>
    </row>
    <row r="103" spans="2:12" ht="14.25" customHeight="1" x14ac:dyDescent="0.35">
      <c r="B103" s="236" t="s">
        <v>1076</v>
      </c>
      <c r="C103" s="180" t="s">
        <v>1077</v>
      </c>
      <c r="D103" s="237">
        <f>K103+SUM(H103:J103)</f>
        <v>11479</v>
      </c>
      <c r="E103" s="238" t="s">
        <v>1078</v>
      </c>
      <c r="F103" s="239">
        <v>46121</v>
      </c>
      <c r="G103" s="240" t="s">
        <v>1079</v>
      </c>
      <c r="H103" s="233"/>
      <c r="I103" s="233"/>
      <c r="J103" s="43"/>
      <c r="K103" s="234">
        <v>11479</v>
      </c>
    </row>
    <row r="104" spans="2:12" ht="28.5" customHeight="1" x14ac:dyDescent="0.35">
      <c r="B104" s="228"/>
      <c r="C104" s="229"/>
      <c r="D104" s="230"/>
      <c r="E104" s="229"/>
      <c r="F104" s="231"/>
      <c r="G104" s="232"/>
      <c r="H104" s="233"/>
      <c r="I104" s="233"/>
      <c r="J104" s="43"/>
      <c r="K104" s="234"/>
      <c r="L104" s="235"/>
    </row>
    <row r="105" spans="2:12" ht="14.25" customHeight="1" x14ac:dyDescent="0.35">
      <c r="B105" s="236" t="s">
        <v>1080</v>
      </c>
      <c r="C105" s="180" t="s">
        <v>1081</v>
      </c>
      <c r="D105" s="237">
        <f t="shared" ref="D105:D139" si="3">K105+SUM(H105:J105)</f>
        <v>585408</v>
      </c>
      <c r="E105" s="238" t="s">
        <v>1082</v>
      </c>
      <c r="F105" s="239">
        <v>46142</v>
      </c>
      <c r="G105" s="240" t="s">
        <v>1083</v>
      </c>
      <c r="H105" s="233"/>
      <c r="I105" s="233"/>
      <c r="J105" s="43"/>
      <c r="K105" s="234">
        <v>585408</v>
      </c>
    </row>
    <row r="106" spans="2:12" ht="14.25" customHeight="1" x14ac:dyDescent="0.35">
      <c r="B106" s="236" t="s">
        <v>1080</v>
      </c>
      <c r="C106" s="180" t="s">
        <v>1084</v>
      </c>
      <c r="D106" s="237">
        <f t="shared" si="3"/>
        <v>112350</v>
      </c>
      <c r="E106" s="238" t="s">
        <v>1082</v>
      </c>
      <c r="F106" s="239">
        <v>46142</v>
      </c>
      <c r="G106" s="240" t="s">
        <v>1083</v>
      </c>
      <c r="H106" s="233"/>
      <c r="I106" s="233"/>
      <c r="J106" s="43"/>
      <c r="K106" s="234">
        <v>112350</v>
      </c>
    </row>
    <row r="107" spans="2:12" ht="14.25" customHeight="1" x14ac:dyDescent="0.35">
      <c r="B107" s="236" t="s">
        <v>1080</v>
      </c>
      <c r="C107" s="180" t="s">
        <v>1085</v>
      </c>
      <c r="D107" s="237">
        <f t="shared" si="3"/>
        <v>384174</v>
      </c>
      <c r="E107" s="238" t="s">
        <v>1082</v>
      </c>
      <c r="F107" s="239">
        <v>46142</v>
      </c>
      <c r="G107" s="240" t="s">
        <v>1083</v>
      </c>
      <c r="H107" s="233"/>
      <c r="I107" s="233"/>
      <c r="J107" s="43"/>
      <c r="K107" s="234">
        <v>384174</v>
      </c>
    </row>
    <row r="108" spans="2:12" ht="14.25" customHeight="1" x14ac:dyDescent="0.35">
      <c r="B108" s="236" t="s">
        <v>1080</v>
      </c>
      <c r="C108" s="180" t="s">
        <v>1086</v>
      </c>
      <c r="D108" s="237">
        <f t="shared" si="3"/>
        <v>270500</v>
      </c>
      <c r="E108" s="238" t="s">
        <v>1082</v>
      </c>
      <c r="F108" s="239">
        <v>46142</v>
      </c>
      <c r="G108" s="240" t="s">
        <v>1083</v>
      </c>
      <c r="H108" s="233"/>
      <c r="I108" s="233"/>
      <c r="J108" s="43"/>
      <c r="K108" s="234">
        <v>270500</v>
      </c>
    </row>
    <row r="109" spans="2:12" ht="14.25" customHeight="1" x14ac:dyDescent="0.35">
      <c r="B109" s="236" t="s">
        <v>1080</v>
      </c>
      <c r="C109" s="180" t="s">
        <v>1087</v>
      </c>
      <c r="D109" s="237">
        <f t="shared" si="3"/>
        <v>411615</v>
      </c>
      <c r="E109" s="238" t="s">
        <v>1082</v>
      </c>
      <c r="F109" s="239">
        <v>46142</v>
      </c>
      <c r="G109" s="240" t="s">
        <v>1083</v>
      </c>
      <c r="H109" s="233"/>
      <c r="I109" s="233"/>
      <c r="J109" s="43"/>
      <c r="K109" s="234">
        <v>411615</v>
      </c>
    </row>
    <row r="110" spans="2:12" ht="28.5" customHeight="1" x14ac:dyDescent="0.35">
      <c r="B110" s="236" t="s">
        <v>1080</v>
      </c>
      <c r="C110" s="180" t="s">
        <v>1088</v>
      </c>
      <c r="D110" s="237">
        <f t="shared" si="3"/>
        <v>120750</v>
      </c>
      <c r="E110" s="238" t="s">
        <v>1082</v>
      </c>
      <c r="F110" s="239">
        <v>46142</v>
      </c>
      <c r="G110" s="240" t="s">
        <v>1083</v>
      </c>
      <c r="H110" s="233"/>
      <c r="I110" s="233"/>
      <c r="J110" s="43"/>
      <c r="K110" s="234">
        <v>120750</v>
      </c>
    </row>
    <row r="111" spans="2:12" ht="28.5" customHeight="1" x14ac:dyDescent="0.35">
      <c r="B111" s="236" t="s">
        <v>1080</v>
      </c>
      <c r="C111" s="180" t="s">
        <v>1089</v>
      </c>
      <c r="D111" s="237">
        <f t="shared" si="3"/>
        <v>68000</v>
      </c>
      <c r="E111" s="238" t="s">
        <v>1082</v>
      </c>
      <c r="F111" s="239">
        <v>46142</v>
      </c>
      <c r="G111" s="240" t="s">
        <v>1083</v>
      </c>
      <c r="H111" s="233"/>
      <c r="I111" s="233"/>
      <c r="J111" s="43"/>
      <c r="K111" s="234">
        <v>68000</v>
      </c>
    </row>
    <row r="112" spans="2:12" ht="14.25" customHeight="1" x14ac:dyDescent="0.35">
      <c r="B112" s="236" t="s">
        <v>1080</v>
      </c>
      <c r="C112" s="180" t="s">
        <v>1090</v>
      </c>
      <c r="D112" s="237">
        <f t="shared" si="3"/>
        <v>130000</v>
      </c>
      <c r="E112" s="238" t="s">
        <v>1082</v>
      </c>
      <c r="F112" s="239">
        <v>46142</v>
      </c>
      <c r="G112" s="240" t="s">
        <v>1083</v>
      </c>
      <c r="H112" s="233"/>
      <c r="I112" s="233"/>
      <c r="J112" s="43"/>
      <c r="K112" s="234">
        <v>130000</v>
      </c>
    </row>
    <row r="113" spans="2:11" ht="14.25" customHeight="1" x14ac:dyDescent="0.35">
      <c r="B113" s="236" t="s">
        <v>1080</v>
      </c>
      <c r="C113" s="180" t="s">
        <v>1091</v>
      </c>
      <c r="D113" s="237">
        <f t="shared" si="3"/>
        <v>181500</v>
      </c>
      <c r="E113" s="238" t="s">
        <v>1082</v>
      </c>
      <c r="F113" s="239">
        <v>46142</v>
      </c>
      <c r="G113" s="240" t="s">
        <v>1083</v>
      </c>
      <c r="H113" s="233"/>
      <c r="I113" s="233"/>
      <c r="J113" s="43"/>
      <c r="K113" s="234">
        <v>181500</v>
      </c>
    </row>
    <row r="114" spans="2:11" ht="14.25" customHeight="1" x14ac:dyDescent="0.35">
      <c r="B114" s="236" t="s">
        <v>1080</v>
      </c>
      <c r="C114" s="180" t="s">
        <v>1092</v>
      </c>
      <c r="D114" s="237">
        <f t="shared" si="3"/>
        <v>130000</v>
      </c>
      <c r="E114" s="238" t="s">
        <v>1082</v>
      </c>
      <c r="F114" s="239">
        <v>46142</v>
      </c>
      <c r="G114" s="240" t="s">
        <v>1083</v>
      </c>
      <c r="H114" s="233"/>
      <c r="I114" s="233"/>
      <c r="J114" s="43"/>
      <c r="K114" s="234">
        <v>130000</v>
      </c>
    </row>
    <row r="115" spans="2:11" ht="28.5" customHeight="1" x14ac:dyDescent="0.35">
      <c r="B115" s="236" t="s">
        <v>1080</v>
      </c>
      <c r="C115" s="180" t="s">
        <v>1093</v>
      </c>
      <c r="D115" s="237">
        <f t="shared" si="3"/>
        <v>80000</v>
      </c>
      <c r="E115" s="238" t="s">
        <v>1082</v>
      </c>
      <c r="F115" s="239">
        <v>46142</v>
      </c>
      <c r="G115" s="240" t="s">
        <v>1083</v>
      </c>
      <c r="H115" s="233"/>
      <c r="I115" s="233"/>
      <c r="J115" s="43"/>
      <c r="K115" s="234">
        <v>80000</v>
      </c>
    </row>
    <row r="116" spans="2:11" ht="14.25" customHeight="1" x14ac:dyDescent="0.35">
      <c r="B116" s="236" t="s">
        <v>1080</v>
      </c>
      <c r="C116" s="180" t="s">
        <v>1094</v>
      </c>
      <c r="D116" s="237">
        <f t="shared" si="3"/>
        <v>503085</v>
      </c>
      <c r="E116" s="238" t="s">
        <v>1082</v>
      </c>
      <c r="F116" s="239">
        <v>46142</v>
      </c>
      <c r="G116" s="240" t="s">
        <v>1083</v>
      </c>
      <c r="H116" s="233"/>
      <c r="I116" s="233"/>
      <c r="J116" s="43"/>
      <c r="K116" s="234">
        <v>503085</v>
      </c>
    </row>
    <row r="117" spans="2:11" ht="14.25" customHeight="1" x14ac:dyDescent="0.35">
      <c r="B117" s="236" t="s">
        <v>1080</v>
      </c>
      <c r="C117" s="180" t="s">
        <v>1095</v>
      </c>
      <c r="D117" s="237">
        <f t="shared" si="3"/>
        <v>69999</v>
      </c>
      <c r="E117" s="238" t="s">
        <v>1082</v>
      </c>
      <c r="F117" s="239">
        <v>46142</v>
      </c>
      <c r="G117" s="240" t="s">
        <v>1083</v>
      </c>
      <c r="H117" s="233"/>
      <c r="I117" s="233"/>
      <c r="J117" s="43"/>
      <c r="K117" s="234">
        <v>69999</v>
      </c>
    </row>
    <row r="118" spans="2:11" ht="14.25" customHeight="1" x14ac:dyDescent="0.35">
      <c r="B118" s="236" t="s">
        <v>1080</v>
      </c>
      <c r="C118" s="180" t="s">
        <v>1096</v>
      </c>
      <c r="D118" s="237">
        <f t="shared" si="3"/>
        <v>83500</v>
      </c>
      <c r="E118" s="238" t="s">
        <v>1082</v>
      </c>
      <c r="F118" s="239">
        <v>46142</v>
      </c>
      <c r="G118" s="240" t="s">
        <v>1083</v>
      </c>
      <c r="H118" s="233"/>
      <c r="I118" s="233"/>
      <c r="J118" s="43"/>
      <c r="K118" s="234">
        <v>83500</v>
      </c>
    </row>
    <row r="119" spans="2:11" ht="14.25" customHeight="1" x14ac:dyDescent="0.35">
      <c r="B119" s="236" t="s">
        <v>1080</v>
      </c>
      <c r="C119" s="180" t="s">
        <v>1097</v>
      </c>
      <c r="D119" s="237">
        <f t="shared" si="3"/>
        <v>68000</v>
      </c>
      <c r="E119" s="238" t="s">
        <v>1082</v>
      </c>
      <c r="F119" s="239">
        <v>46142</v>
      </c>
      <c r="G119" s="240" t="s">
        <v>1083</v>
      </c>
      <c r="H119" s="233"/>
      <c r="I119" s="233"/>
      <c r="J119" s="43"/>
      <c r="K119" s="234">
        <v>68000</v>
      </c>
    </row>
    <row r="120" spans="2:11" ht="14.25" customHeight="1" x14ac:dyDescent="0.35">
      <c r="B120" s="236" t="s">
        <v>1080</v>
      </c>
      <c r="C120" s="180" t="s">
        <v>1098</v>
      </c>
      <c r="D120" s="237">
        <f t="shared" si="3"/>
        <v>80000</v>
      </c>
      <c r="E120" s="238" t="s">
        <v>1082</v>
      </c>
      <c r="F120" s="239">
        <v>46142</v>
      </c>
      <c r="G120" s="240" t="s">
        <v>1083</v>
      </c>
      <c r="H120" s="233"/>
      <c r="I120" s="233"/>
      <c r="J120" s="43"/>
      <c r="K120" s="234">
        <v>80000</v>
      </c>
    </row>
    <row r="121" spans="2:11" ht="14.25" customHeight="1" x14ac:dyDescent="0.35">
      <c r="B121" s="236" t="s">
        <v>1080</v>
      </c>
      <c r="C121" s="180" t="s">
        <v>1099</v>
      </c>
      <c r="D121" s="237">
        <f t="shared" si="3"/>
        <v>90000</v>
      </c>
      <c r="E121" s="238" t="s">
        <v>1082</v>
      </c>
      <c r="F121" s="239">
        <v>46142</v>
      </c>
      <c r="G121" s="240" t="s">
        <v>1083</v>
      </c>
      <c r="H121" s="233"/>
      <c r="I121" s="233"/>
      <c r="J121" s="43"/>
      <c r="K121" s="234">
        <v>90000</v>
      </c>
    </row>
    <row r="122" spans="2:11" ht="14.25" customHeight="1" x14ac:dyDescent="0.35">
      <c r="B122" s="236" t="s">
        <v>1080</v>
      </c>
      <c r="C122" s="180" t="s">
        <v>1100</v>
      </c>
      <c r="D122" s="237">
        <f t="shared" si="3"/>
        <v>88000</v>
      </c>
      <c r="E122" s="238" t="s">
        <v>1082</v>
      </c>
      <c r="F122" s="239">
        <v>46142</v>
      </c>
      <c r="G122" s="240" t="s">
        <v>1083</v>
      </c>
      <c r="H122" s="233"/>
      <c r="I122" s="233"/>
      <c r="J122" s="43"/>
      <c r="K122" s="234">
        <v>88000</v>
      </c>
    </row>
    <row r="123" spans="2:11" ht="14.25" customHeight="1" x14ac:dyDescent="0.35">
      <c r="B123" s="236" t="s">
        <v>1080</v>
      </c>
      <c r="C123" s="180" t="s">
        <v>1101</v>
      </c>
      <c r="D123" s="237">
        <f t="shared" si="3"/>
        <v>180000</v>
      </c>
      <c r="E123" s="238" t="s">
        <v>1082</v>
      </c>
      <c r="F123" s="239">
        <v>46142</v>
      </c>
      <c r="G123" s="240" t="s">
        <v>1083</v>
      </c>
      <c r="H123" s="233"/>
      <c r="I123" s="233"/>
      <c r="J123" s="43"/>
      <c r="K123" s="234">
        <v>180000</v>
      </c>
    </row>
    <row r="124" spans="2:11" ht="14.25" customHeight="1" x14ac:dyDescent="0.35">
      <c r="B124" s="236" t="s">
        <v>1080</v>
      </c>
      <c r="C124" s="180" t="s">
        <v>1102</v>
      </c>
      <c r="D124" s="237">
        <f t="shared" si="3"/>
        <v>160000</v>
      </c>
      <c r="E124" s="238" t="s">
        <v>1082</v>
      </c>
      <c r="F124" s="239">
        <v>46142</v>
      </c>
      <c r="G124" s="240" t="s">
        <v>1083</v>
      </c>
      <c r="H124" s="233"/>
      <c r="I124" s="233"/>
      <c r="J124" s="43"/>
      <c r="K124" s="234">
        <v>160000</v>
      </c>
    </row>
    <row r="125" spans="2:11" ht="14.25" customHeight="1" x14ac:dyDescent="0.35">
      <c r="B125" s="236" t="s">
        <v>1080</v>
      </c>
      <c r="C125" s="180" t="s">
        <v>1103</v>
      </c>
      <c r="D125" s="237">
        <f t="shared" si="3"/>
        <v>125000</v>
      </c>
      <c r="E125" s="238" t="s">
        <v>1082</v>
      </c>
      <c r="F125" s="239">
        <v>46142</v>
      </c>
      <c r="G125" s="240" t="s">
        <v>1083</v>
      </c>
      <c r="H125" s="233"/>
      <c r="I125" s="233"/>
      <c r="J125" s="43"/>
      <c r="K125" s="234">
        <v>125000</v>
      </c>
    </row>
    <row r="126" spans="2:11" ht="14.25" customHeight="1" x14ac:dyDescent="0.35">
      <c r="B126" s="236" t="s">
        <v>1080</v>
      </c>
      <c r="C126" s="180" t="s">
        <v>1104</v>
      </c>
      <c r="D126" s="237">
        <f t="shared" si="3"/>
        <v>82000</v>
      </c>
      <c r="E126" s="238" t="s">
        <v>1082</v>
      </c>
      <c r="F126" s="239">
        <v>46142</v>
      </c>
      <c r="G126" s="240" t="s">
        <v>1083</v>
      </c>
      <c r="H126" s="233"/>
      <c r="I126" s="233"/>
      <c r="J126" s="43"/>
      <c r="K126" s="234">
        <v>82000</v>
      </c>
    </row>
    <row r="127" spans="2:11" ht="14.25" customHeight="1" x14ac:dyDescent="0.35">
      <c r="B127" s="236" t="s">
        <v>1080</v>
      </c>
      <c r="C127" s="180" t="s">
        <v>1105</v>
      </c>
      <c r="D127" s="237">
        <f t="shared" si="3"/>
        <v>20600</v>
      </c>
      <c r="E127" s="238" t="s">
        <v>1082</v>
      </c>
      <c r="F127" s="239">
        <v>46142</v>
      </c>
      <c r="G127" s="240" t="s">
        <v>1083</v>
      </c>
      <c r="H127" s="233"/>
      <c r="I127" s="233"/>
      <c r="J127" s="43"/>
      <c r="K127" s="234">
        <v>20600</v>
      </c>
    </row>
    <row r="128" spans="2:11" ht="14.25" customHeight="1" x14ac:dyDescent="0.35">
      <c r="B128" s="236" t="s">
        <v>1080</v>
      </c>
      <c r="C128" s="180" t="s">
        <v>1106</v>
      </c>
      <c r="D128" s="237">
        <f t="shared" si="3"/>
        <v>88000</v>
      </c>
      <c r="E128" s="238" t="s">
        <v>1082</v>
      </c>
      <c r="F128" s="239">
        <v>46142</v>
      </c>
      <c r="G128" s="240" t="s">
        <v>1083</v>
      </c>
      <c r="H128" s="233"/>
      <c r="I128" s="233"/>
      <c r="J128" s="43"/>
      <c r="K128" s="234">
        <v>88000</v>
      </c>
    </row>
    <row r="129" spans="2:12" ht="14.25" customHeight="1" x14ac:dyDescent="0.35">
      <c r="B129" s="236" t="s">
        <v>1080</v>
      </c>
      <c r="C129" s="180" t="s">
        <v>1107</v>
      </c>
      <c r="D129" s="237">
        <f t="shared" si="3"/>
        <v>64913</v>
      </c>
      <c r="E129" s="238" t="s">
        <v>1082</v>
      </c>
      <c r="F129" s="239">
        <v>46142</v>
      </c>
      <c r="G129" s="240" t="s">
        <v>1083</v>
      </c>
      <c r="H129" s="233"/>
      <c r="I129" s="233"/>
      <c r="J129" s="43"/>
      <c r="K129" s="234">
        <v>64913</v>
      </c>
    </row>
    <row r="130" spans="2:12" ht="14.25" customHeight="1" x14ac:dyDescent="0.35">
      <c r="B130" s="236" t="s">
        <v>1080</v>
      </c>
      <c r="C130" s="180" t="s">
        <v>1108</v>
      </c>
      <c r="D130" s="237">
        <f t="shared" si="3"/>
        <v>115000</v>
      </c>
      <c r="E130" s="238" t="s">
        <v>1082</v>
      </c>
      <c r="F130" s="239">
        <v>46142</v>
      </c>
      <c r="G130" s="240" t="s">
        <v>1083</v>
      </c>
      <c r="H130" s="233"/>
      <c r="I130" s="233"/>
      <c r="J130" s="43"/>
      <c r="K130" s="234">
        <v>115000</v>
      </c>
    </row>
    <row r="131" spans="2:12" ht="14.25" customHeight="1" x14ac:dyDescent="0.35">
      <c r="B131" s="236" t="s">
        <v>1080</v>
      </c>
      <c r="C131" s="180" t="s">
        <v>1109</v>
      </c>
      <c r="D131" s="237">
        <f t="shared" si="3"/>
        <v>621996</v>
      </c>
      <c r="E131" s="238" t="s">
        <v>1082</v>
      </c>
      <c r="F131" s="239">
        <v>46142</v>
      </c>
      <c r="G131" s="240" t="s">
        <v>1083</v>
      </c>
      <c r="H131" s="233"/>
      <c r="I131" s="233"/>
      <c r="J131" s="43"/>
      <c r="K131" s="234">
        <v>621996</v>
      </c>
    </row>
    <row r="132" spans="2:12" ht="22.5" customHeight="1" x14ac:dyDescent="0.35">
      <c r="B132" s="236" t="s">
        <v>1080</v>
      </c>
      <c r="C132" s="180" t="s">
        <v>1110</v>
      </c>
      <c r="D132" s="237">
        <f t="shared" si="3"/>
        <v>127588</v>
      </c>
      <c r="E132" s="238" t="s">
        <v>1082</v>
      </c>
      <c r="F132" s="239">
        <v>46142</v>
      </c>
      <c r="G132" s="240" t="s">
        <v>1083</v>
      </c>
      <c r="H132" s="233"/>
      <c r="I132" s="233"/>
      <c r="J132" s="43"/>
      <c r="K132" s="234">
        <v>127588</v>
      </c>
    </row>
    <row r="133" spans="2:12" ht="14.25" customHeight="1" x14ac:dyDescent="0.35">
      <c r="B133" s="236" t="s">
        <v>1080</v>
      </c>
      <c r="C133" s="180" t="s">
        <v>1111</v>
      </c>
      <c r="D133" s="237">
        <f t="shared" si="3"/>
        <v>686025</v>
      </c>
      <c r="E133" s="238" t="s">
        <v>1082</v>
      </c>
      <c r="F133" s="239">
        <v>46142</v>
      </c>
      <c r="G133" s="240" t="s">
        <v>1083</v>
      </c>
      <c r="H133" s="233"/>
      <c r="I133" s="233"/>
      <c r="J133" s="43"/>
      <c r="K133" s="234">
        <v>686025</v>
      </c>
    </row>
    <row r="134" spans="2:12" ht="14.25" customHeight="1" x14ac:dyDescent="0.35">
      <c r="B134" s="236" t="s">
        <v>1080</v>
      </c>
      <c r="C134" s="180" t="s">
        <v>1112</v>
      </c>
      <c r="D134" s="237">
        <f t="shared" si="3"/>
        <v>88000</v>
      </c>
      <c r="E134" s="238" t="s">
        <v>1082</v>
      </c>
      <c r="F134" s="239">
        <v>46142</v>
      </c>
      <c r="G134" s="240" t="s">
        <v>1083</v>
      </c>
      <c r="H134" s="233"/>
      <c r="I134" s="233"/>
      <c r="J134" s="43"/>
      <c r="K134" s="234">
        <v>88000</v>
      </c>
    </row>
    <row r="135" spans="2:12" ht="14.25" customHeight="1" x14ac:dyDescent="0.35">
      <c r="B135" s="236" t="s">
        <v>1080</v>
      </c>
      <c r="C135" s="180" t="s">
        <v>1113</v>
      </c>
      <c r="D135" s="237">
        <f t="shared" si="3"/>
        <v>74000</v>
      </c>
      <c r="E135" s="238" t="s">
        <v>1082</v>
      </c>
      <c r="F135" s="239">
        <v>46142</v>
      </c>
      <c r="G135" s="240" t="s">
        <v>1083</v>
      </c>
      <c r="H135" s="233"/>
      <c r="I135" s="233"/>
      <c r="J135" s="43"/>
      <c r="K135" s="234">
        <v>74000</v>
      </c>
    </row>
    <row r="136" spans="2:12" ht="14.25" customHeight="1" x14ac:dyDescent="0.35">
      <c r="B136" s="236" t="s">
        <v>1080</v>
      </c>
      <c r="C136" s="180" t="s">
        <v>1114</v>
      </c>
      <c r="D136" s="237">
        <f t="shared" si="3"/>
        <v>85000</v>
      </c>
      <c r="E136" s="238" t="s">
        <v>1082</v>
      </c>
      <c r="F136" s="239">
        <v>46142</v>
      </c>
      <c r="G136" s="240" t="s">
        <v>1083</v>
      </c>
      <c r="H136" s="233"/>
      <c r="I136" s="233"/>
      <c r="J136" s="43"/>
      <c r="K136" s="234">
        <v>85000</v>
      </c>
    </row>
    <row r="137" spans="2:12" ht="14.25" customHeight="1" x14ac:dyDescent="0.35">
      <c r="B137" s="236" t="s">
        <v>1080</v>
      </c>
      <c r="C137" s="180" t="s">
        <v>1115</v>
      </c>
      <c r="D137" s="237">
        <f t="shared" si="3"/>
        <v>80000</v>
      </c>
      <c r="E137" s="238" t="s">
        <v>1082</v>
      </c>
      <c r="F137" s="239">
        <v>46142</v>
      </c>
      <c r="G137" s="240" t="s">
        <v>1083</v>
      </c>
      <c r="H137" s="233"/>
      <c r="I137" s="233"/>
      <c r="J137" s="43"/>
      <c r="K137" s="234">
        <v>80000</v>
      </c>
    </row>
    <row r="138" spans="2:12" ht="14.25" customHeight="1" x14ac:dyDescent="0.35">
      <c r="B138" s="236" t="s">
        <v>1080</v>
      </c>
      <c r="C138" s="180" t="s">
        <v>1116</v>
      </c>
      <c r="D138" s="237">
        <f t="shared" si="3"/>
        <v>105000</v>
      </c>
      <c r="E138" s="238" t="s">
        <v>1082</v>
      </c>
      <c r="F138" s="239">
        <v>46142</v>
      </c>
      <c r="G138" s="240" t="s">
        <v>1083</v>
      </c>
      <c r="H138" s="233"/>
      <c r="I138" s="233"/>
      <c r="J138" s="43"/>
      <c r="K138" s="234">
        <v>105000</v>
      </c>
    </row>
    <row r="139" spans="2:12" ht="14.25" customHeight="1" x14ac:dyDescent="0.35">
      <c r="B139" s="236" t="s">
        <v>1080</v>
      </c>
      <c r="C139" s="180" t="s">
        <v>1117</v>
      </c>
      <c r="D139" s="237">
        <f t="shared" si="3"/>
        <v>99751</v>
      </c>
      <c r="E139" s="238" t="s">
        <v>1082</v>
      </c>
      <c r="F139" s="239">
        <v>46142</v>
      </c>
      <c r="G139" s="240" t="s">
        <v>1083</v>
      </c>
      <c r="H139" s="233"/>
      <c r="I139" s="233"/>
      <c r="J139" s="43"/>
      <c r="K139" s="234">
        <v>99751</v>
      </c>
    </row>
    <row r="140" spans="2:12" ht="14.25" customHeight="1" x14ac:dyDescent="0.35">
      <c r="B140" s="236"/>
      <c r="C140" s="241" t="s">
        <v>953</v>
      </c>
      <c r="D140" s="242">
        <f>SUM(D105:D139)</f>
        <v>6259754</v>
      </c>
      <c r="E140" s="238"/>
      <c r="F140" s="239"/>
      <c r="G140" s="240"/>
      <c r="H140" s="233"/>
      <c r="I140" s="233"/>
      <c r="J140" s="43"/>
      <c r="K140" s="234"/>
      <c r="L140" s="235"/>
    </row>
    <row r="141" spans="2:12" ht="14.25" customHeight="1" x14ac:dyDescent="0.35">
      <c r="B141" s="228"/>
      <c r="C141" s="229"/>
      <c r="D141" s="230"/>
      <c r="E141" s="229"/>
      <c r="F141" s="231"/>
      <c r="G141" s="232"/>
      <c r="H141" s="233"/>
      <c r="I141" s="233"/>
      <c r="J141" s="43"/>
      <c r="K141" s="234"/>
      <c r="L141" s="235"/>
    </row>
    <row r="142" spans="2:12" ht="14.25" customHeight="1" x14ac:dyDescent="0.35">
      <c r="B142" s="236" t="s">
        <v>1118</v>
      </c>
      <c r="C142" s="180" t="s">
        <v>1107</v>
      </c>
      <c r="D142" s="237">
        <f>K142+SUM(H142:J142)</f>
        <v>51003</v>
      </c>
      <c r="E142" s="238" t="s">
        <v>1119</v>
      </c>
      <c r="F142" s="239">
        <v>46142</v>
      </c>
      <c r="G142" s="240" t="s">
        <v>1120</v>
      </c>
      <c r="H142" s="233"/>
      <c r="I142" s="233"/>
      <c r="J142" s="43"/>
      <c r="K142" s="234">
        <v>51003</v>
      </c>
    </row>
    <row r="143" spans="2:12" ht="14.25" customHeight="1" x14ac:dyDescent="0.35">
      <c r="B143" s="228"/>
      <c r="C143" s="229"/>
      <c r="D143" s="230"/>
      <c r="E143" s="229"/>
      <c r="F143" s="231"/>
      <c r="G143" s="232"/>
      <c r="H143" s="233"/>
      <c r="I143" s="233"/>
      <c r="J143" s="43"/>
      <c r="K143" s="234"/>
      <c r="L143" s="235"/>
    </row>
    <row r="144" spans="2:12" ht="14.25" customHeight="1" x14ac:dyDescent="0.35">
      <c r="B144" s="236" t="s">
        <v>1121</v>
      </c>
      <c r="C144" s="180" t="s">
        <v>1096</v>
      </c>
      <c r="D144" s="237">
        <f t="shared" ref="D144:D158" si="4">K144+SUM(H144:J144)</f>
        <v>1666</v>
      </c>
      <c r="E144" s="238" t="s">
        <v>1082</v>
      </c>
      <c r="F144" s="239">
        <v>46142</v>
      </c>
      <c r="G144" s="240" t="s">
        <v>1122</v>
      </c>
      <c r="H144" s="233"/>
      <c r="I144" s="233"/>
      <c r="J144" s="43"/>
      <c r="K144" s="234">
        <v>1666</v>
      </c>
    </row>
    <row r="145" spans="2:14" ht="14.25" customHeight="1" x14ac:dyDescent="0.35">
      <c r="B145" s="236" t="s">
        <v>1121</v>
      </c>
      <c r="C145" s="180" t="s">
        <v>1102</v>
      </c>
      <c r="D145" s="237">
        <f t="shared" si="4"/>
        <v>3000</v>
      </c>
      <c r="E145" s="238" t="s">
        <v>1082</v>
      </c>
      <c r="F145" s="239">
        <v>46142</v>
      </c>
      <c r="G145" s="240" t="s">
        <v>1122</v>
      </c>
      <c r="H145" s="233"/>
      <c r="I145" s="233"/>
      <c r="J145" s="43"/>
      <c r="K145" s="234">
        <v>3000</v>
      </c>
    </row>
    <row r="146" spans="2:14" ht="14.25" customHeight="1" x14ac:dyDescent="0.35">
      <c r="B146" s="236" t="s">
        <v>1121</v>
      </c>
      <c r="C146" s="180" t="s">
        <v>1097</v>
      </c>
      <c r="D146" s="237">
        <f t="shared" si="4"/>
        <v>3297</v>
      </c>
      <c r="E146" s="238" t="s">
        <v>1082</v>
      </c>
      <c r="F146" s="239">
        <v>46142</v>
      </c>
      <c r="G146" s="240" t="s">
        <v>1122</v>
      </c>
      <c r="H146" s="233"/>
      <c r="I146" s="233"/>
      <c r="J146" s="43"/>
      <c r="K146" s="234">
        <v>3297</v>
      </c>
    </row>
    <row r="147" spans="2:14" ht="14.25" customHeight="1" x14ac:dyDescent="0.35">
      <c r="B147" s="236" t="s">
        <v>1121</v>
      </c>
      <c r="C147" s="180" t="s">
        <v>1093</v>
      </c>
      <c r="D147" s="237">
        <f t="shared" si="4"/>
        <v>4000</v>
      </c>
      <c r="E147" s="238" t="s">
        <v>1082</v>
      </c>
      <c r="F147" s="239">
        <v>46142</v>
      </c>
      <c r="G147" s="240" t="s">
        <v>1122</v>
      </c>
      <c r="H147" s="233"/>
      <c r="I147" s="233"/>
      <c r="J147" s="43"/>
      <c r="K147" s="234">
        <v>4000</v>
      </c>
    </row>
    <row r="148" spans="2:14" ht="14.25" customHeight="1" x14ac:dyDescent="0.35">
      <c r="B148" s="236" t="s">
        <v>1121</v>
      </c>
      <c r="C148" s="180" t="s">
        <v>1086</v>
      </c>
      <c r="D148" s="237">
        <f t="shared" si="4"/>
        <v>10000</v>
      </c>
      <c r="E148" s="238" t="s">
        <v>1082</v>
      </c>
      <c r="F148" s="239">
        <v>46142</v>
      </c>
      <c r="G148" s="240" t="s">
        <v>1122</v>
      </c>
      <c r="H148" s="233"/>
      <c r="I148" s="233"/>
      <c r="J148" s="43"/>
      <c r="K148" s="234">
        <v>10000</v>
      </c>
      <c r="N148" s="244"/>
    </row>
    <row r="149" spans="2:14" ht="14.25" customHeight="1" x14ac:dyDescent="0.35">
      <c r="B149" s="236" t="s">
        <v>1121</v>
      </c>
      <c r="C149" s="180" t="s">
        <v>1098</v>
      </c>
      <c r="D149" s="237">
        <f t="shared" si="4"/>
        <v>3600</v>
      </c>
      <c r="E149" s="238" t="s">
        <v>1082</v>
      </c>
      <c r="F149" s="239">
        <v>46142</v>
      </c>
      <c r="G149" s="240" t="s">
        <v>1122</v>
      </c>
      <c r="H149" s="233"/>
      <c r="I149" s="233"/>
      <c r="J149" s="43"/>
      <c r="K149" s="234">
        <v>3600</v>
      </c>
    </row>
    <row r="150" spans="2:14" ht="14.25" customHeight="1" x14ac:dyDescent="0.35">
      <c r="B150" s="236" t="s">
        <v>1121</v>
      </c>
      <c r="C150" s="180" t="s">
        <v>1089</v>
      </c>
      <c r="D150" s="237">
        <f t="shared" si="4"/>
        <v>900</v>
      </c>
      <c r="E150" s="238" t="s">
        <v>1082</v>
      </c>
      <c r="F150" s="239">
        <v>46142</v>
      </c>
      <c r="G150" s="240" t="s">
        <v>1122</v>
      </c>
      <c r="H150" s="233"/>
      <c r="I150" s="233"/>
      <c r="J150" s="43"/>
      <c r="K150" s="234">
        <v>900</v>
      </c>
    </row>
    <row r="151" spans="2:14" ht="14.25" customHeight="1" x14ac:dyDescent="0.35">
      <c r="B151" s="236" t="s">
        <v>1121</v>
      </c>
      <c r="C151" s="180" t="s">
        <v>1099</v>
      </c>
      <c r="D151" s="237">
        <f t="shared" si="4"/>
        <v>750</v>
      </c>
      <c r="E151" s="238" t="s">
        <v>1082</v>
      </c>
      <c r="F151" s="239">
        <v>46142</v>
      </c>
      <c r="G151" s="240" t="s">
        <v>1122</v>
      </c>
      <c r="H151" s="233"/>
      <c r="I151" s="233"/>
      <c r="J151" s="43"/>
      <c r="K151" s="234">
        <v>750</v>
      </c>
    </row>
    <row r="152" spans="2:14" ht="14.25" customHeight="1" x14ac:dyDescent="0.35">
      <c r="B152" s="236" t="s">
        <v>1121</v>
      </c>
      <c r="C152" s="180" t="s">
        <v>1095</v>
      </c>
      <c r="D152" s="237">
        <f t="shared" si="4"/>
        <v>1877</v>
      </c>
      <c r="E152" s="238" t="s">
        <v>1082</v>
      </c>
      <c r="F152" s="239">
        <v>46142</v>
      </c>
      <c r="G152" s="240" t="s">
        <v>1122</v>
      </c>
      <c r="H152" s="233"/>
      <c r="I152" s="233"/>
      <c r="J152" s="43"/>
      <c r="K152" s="234">
        <v>1877</v>
      </c>
    </row>
    <row r="153" spans="2:14" ht="14.25" customHeight="1" x14ac:dyDescent="0.35">
      <c r="B153" s="236" t="s">
        <v>1121</v>
      </c>
      <c r="C153" s="180" t="s">
        <v>1100</v>
      </c>
      <c r="D153" s="237">
        <f t="shared" si="4"/>
        <v>500</v>
      </c>
      <c r="E153" s="238" t="s">
        <v>1082</v>
      </c>
      <c r="F153" s="239">
        <v>46142</v>
      </c>
      <c r="G153" s="240" t="s">
        <v>1122</v>
      </c>
      <c r="H153" s="233"/>
      <c r="I153" s="233"/>
      <c r="J153" s="43"/>
      <c r="K153" s="234">
        <v>500</v>
      </c>
    </row>
    <row r="154" spans="2:14" ht="14.25" customHeight="1" x14ac:dyDescent="0.35">
      <c r="B154" s="236" t="s">
        <v>1121</v>
      </c>
      <c r="C154" s="180" t="s">
        <v>1101</v>
      </c>
      <c r="D154" s="237">
        <f t="shared" si="4"/>
        <v>904</v>
      </c>
      <c r="E154" s="238" t="s">
        <v>1082</v>
      </c>
      <c r="F154" s="239">
        <v>46142</v>
      </c>
      <c r="G154" s="240" t="s">
        <v>1122</v>
      </c>
      <c r="H154" s="233"/>
      <c r="I154" s="233"/>
      <c r="J154" s="43"/>
      <c r="K154" s="234">
        <v>904</v>
      </c>
    </row>
    <row r="155" spans="2:14" ht="14.25" customHeight="1" x14ac:dyDescent="0.35">
      <c r="B155" s="236" t="s">
        <v>1121</v>
      </c>
      <c r="C155" s="180" t="s">
        <v>1103</v>
      </c>
      <c r="D155" s="237">
        <f t="shared" si="4"/>
        <v>885</v>
      </c>
      <c r="E155" s="238" t="s">
        <v>1082</v>
      </c>
      <c r="F155" s="239">
        <v>46142</v>
      </c>
      <c r="G155" s="240" t="s">
        <v>1122</v>
      </c>
      <c r="H155" s="233"/>
      <c r="I155" s="233"/>
      <c r="J155" s="43"/>
      <c r="K155" s="234">
        <v>885</v>
      </c>
    </row>
    <row r="156" spans="2:14" ht="14.25" customHeight="1" x14ac:dyDescent="0.35">
      <c r="B156" s="236" t="s">
        <v>1121</v>
      </c>
      <c r="C156" s="180" t="s">
        <v>1106</v>
      </c>
      <c r="D156" s="237">
        <f t="shared" si="4"/>
        <v>2000</v>
      </c>
      <c r="E156" s="238" t="s">
        <v>1082</v>
      </c>
      <c r="F156" s="239">
        <v>46142</v>
      </c>
      <c r="G156" s="240" t="s">
        <v>1122</v>
      </c>
      <c r="H156" s="233"/>
      <c r="I156" s="233"/>
      <c r="J156" s="43"/>
      <c r="K156" s="234">
        <v>2000</v>
      </c>
    </row>
    <row r="157" spans="2:14" ht="14.25" customHeight="1" x14ac:dyDescent="0.35">
      <c r="B157" s="236" t="s">
        <v>1121</v>
      </c>
      <c r="C157" s="180" t="s">
        <v>1109</v>
      </c>
      <c r="D157" s="237">
        <f t="shared" si="4"/>
        <v>9947</v>
      </c>
      <c r="E157" s="238" t="s">
        <v>1082</v>
      </c>
      <c r="F157" s="239">
        <v>46142</v>
      </c>
      <c r="G157" s="240" t="s">
        <v>1122</v>
      </c>
      <c r="H157" s="233"/>
      <c r="I157" s="233"/>
      <c r="J157" s="43"/>
      <c r="K157" s="234">
        <v>9947</v>
      </c>
    </row>
    <row r="158" spans="2:14" ht="14.25" customHeight="1" x14ac:dyDescent="0.35">
      <c r="B158" s="236" t="s">
        <v>1121</v>
      </c>
      <c r="C158" s="180" t="s">
        <v>1111</v>
      </c>
      <c r="D158" s="237">
        <f t="shared" si="4"/>
        <v>19082</v>
      </c>
      <c r="E158" s="238" t="s">
        <v>1082</v>
      </c>
      <c r="F158" s="239">
        <v>46142</v>
      </c>
      <c r="G158" s="240" t="s">
        <v>1122</v>
      </c>
      <c r="H158" s="233"/>
      <c r="I158" s="233"/>
      <c r="J158" s="43"/>
      <c r="K158" s="234">
        <v>19082</v>
      </c>
    </row>
    <row r="159" spans="2:14" ht="14.25" customHeight="1" x14ac:dyDescent="0.35">
      <c r="B159" s="236"/>
      <c r="C159" s="241" t="s">
        <v>953</v>
      </c>
      <c r="D159" s="242">
        <f>SUM(D144:D158)</f>
        <v>62408</v>
      </c>
      <c r="E159" s="238"/>
      <c r="F159" s="239"/>
      <c r="G159" s="240"/>
      <c r="H159" s="233"/>
      <c r="I159" s="233"/>
      <c r="J159" s="43"/>
      <c r="K159" s="234"/>
      <c r="L159" s="235"/>
    </row>
    <row r="160" spans="2:14" ht="14.25" customHeight="1" x14ac:dyDescent="0.35">
      <c r="B160" s="228"/>
      <c r="C160" s="229"/>
      <c r="D160" s="230"/>
      <c r="E160" s="229"/>
      <c r="F160" s="231"/>
      <c r="G160" s="232"/>
      <c r="H160" s="233"/>
      <c r="I160" s="233"/>
      <c r="J160" s="43"/>
      <c r="K160" s="234"/>
      <c r="L160" s="235"/>
    </row>
    <row r="161" spans="2:15" ht="14.25" customHeight="1" x14ac:dyDescent="0.35">
      <c r="B161" s="236" t="s">
        <v>1123</v>
      </c>
      <c r="C161" s="180" t="s">
        <v>1124</v>
      </c>
      <c r="D161" s="237">
        <f t="shared" ref="D161:D166" si="5">K161+SUM(H161:J161)</f>
        <v>177</v>
      </c>
      <c r="E161" s="238" t="s">
        <v>1125</v>
      </c>
      <c r="F161" s="239">
        <v>46141</v>
      </c>
      <c r="G161" s="240" t="s">
        <v>1126</v>
      </c>
      <c r="H161" s="233">
        <v>13.5</v>
      </c>
      <c r="I161" s="233">
        <v>13.5</v>
      </c>
      <c r="J161" s="43"/>
      <c r="K161" s="234">
        <v>150</v>
      </c>
    </row>
    <row r="162" spans="2:15" ht="14.25" customHeight="1" x14ac:dyDescent="0.35">
      <c r="B162" s="236" t="s">
        <v>1123</v>
      </c>
      <c r="C162" s="180" t="s">
        <v>1127</v>
      </c>
      <c r="D162" s="237">
        <f t="shared" si="5"/>
        <v>1400.6</v>
      </c>
      <c r="E162" s="238" t="s">
        <v>797</v>
      </c>
      <c r="F162" s="239">
        <v>46122</v>
      </c>
      <c r="G162" s="240" t="s">
        <v>1128</v>
      </c>
      <c r="H162" s="233"/>
      <c r="I162" s="233"/>
      <c r="J162" s="43"/>
      <c r="K162" s="234">
        <v>1400.6</v>
      </c>
      <c r="M162" s="243"/>
      <c r="O162" s="243"/>
    </row>
    <row r="163" spans="2:15" ht="14.25" customHeight="1" x14ac:dyDescent="0.35">
      <c r="B163" s="236" t="s">
        <v>1123</v>
      </c>
      <c r="C163" s="180" t="s">
        <v>1127</v>
      </c>
      <c r="D163" s="237">
        <f t="shared" si="5"/>
        <v>1622.27</v>
      </c>
      <c r="E163" s="238" t="s">
        <v>814</v>
      </c>
      <c r="F163" s="239">
        <v>46134</v>
      </c>
      <c r="G163" s="240" t="s">
        <v>1128</v>
      </c>
      <c r="H163" s="233"/>
      <c r="I163" s="233"/>
      <c r="J163" s="43"/>
      <c r="K163" s="234">
        <v>1622.27</v>
      </c>
      <c r="M163" s="243"/>
      <c r="O163" s="243"/>
    </row>
    <row r="164" spans="2:15" ht="14.25" customHeight="1" x14ac:dyDescent="0.35">
      <c r="B164" s="236" t="s">
        <v>1123</v>
      </c>
      <c r="C164" s="180" t="s">
        <v>1127</v>
      </c>
      <c r="D164" s="237">
        <f t="shared" si="5"/>
        <v>2749.14</v>
      </c>
      <c r="E164" s="238" t="s">
        <v>824</v>
      </c>
      <c r="F164" s="239">
        <v>46142</v>
      </c>
      <c r="G164" s="240" t="s">
        <v>1128</v>
      </c>
      <c r="H164" s="233"/>
      <c r="I164" s="233"/>
      <c r="J164" s="43"/>
      <c r="K164" s="234">
        <v>2749.14</v>
      </c>
    </row>
    <row r="165" spans="2:15" ht="14.25" customHeight="1" x14ac:dyDescent="0.35">
      <c r="B165" s="236" t="s">
        <v>1123</v>
      </c>
      <c r="C165" s="180" t="s">
        <v>1129</v>
      </c>
      <c r="D165" s="237">
        <f t="shared" si="5"/>
        <v>118</v>
      </c>
      <c r="E165" s="238" t="s">
        <v>1130</v>
      </c>
      <c r="F165" s="239">
        <v>46141</v>
      </c>
      <c r="G165" s="240" t="s">
        <v>1128</v>
      </c>
      <c r="H165" s="233">
        <v>9</v>
      </c>
      <c r="I165" s="233">
        <v>9</v>
      </c>
      <c r="J165" s="43"/>
      <c r="K165" s="234">
        <v>100</v>
      </c>
      <c r="M165" s="243"/>
    </row>
    <row r="166" spans="2:15" ht="14.25" customHeight="1" x14ac:dyDescent="0.35">
      <c r="B166" s="236" t="s">
        <v>1123</v>
      </c>
      <c r="C166" s="180" t="s">
        <v>1129</v>
      </c>
      <c r="D166" s="237">
        <f t="shared" si="5"/>
        <v>295</v>
      </c>
      <c r="E166" s="238" t="s">
        <v>1131</v>
      </c>
      <c r="F166" s="239">
        <v>46142</v>
      </c>
      <c r="G166" s="240" t="s">
        <v>1128</v>
      </c>
      <c r="H166" s="233"/>
      <c r="I166" s="233"/>
      <c r="J166" s="43"/>
      <c r="K166" s="234">
        <v>295</v>
      </c>
      <c r="M166" s="243"/>
    </row>
    <row r="167" spans="2:15" ht="28.5" customHeight="1" x14ac:dyDescent="0.35">
      <c r="B167" s="236"/>
      <c r="C167" s="241" t="s">
        <v>953</v>
      </c>
      <c r="D167" s="242">
        <f>SUM(D161:D166)</f>
        <v>6362.01</v>
      </c>
      <c r="E167" s="238"/>
      <c r="F167" s="239"/>
      <c r="G167" s="240"/>
      <c r="H167" s="233"/>
      <c r="I167" s="233"/>
      <c r="J167" s="43"/>
      <c r="K167" s="234"/>
      <c r="L167" s="235"/>
    </row>
    <row r="168" spans="2:15" ht="15" customHeight="1" x14ac:dyDescent="0.35">
      <c r="B168" s="228"/>
      <c r="C168" s="229"/>
      <c r="D168" s="230"/>
      <c r="E168" s="229"/>
      <c r="F168" s="231"/>
      <c r="G168" s="232"/>
      <c r="H168" s="233"/>
      <c r="I168" s="233"/>
      <c r="J168" s="43"/>
      <c r="K168" s="234"/>
      <c r="L168" s="235"/>
    </row>
    <row r="169" spans="2:15" ht="28.5" customHeight="1" x14ac:dyDescent="0.35">
      <c r="B169" s="236" t="s">
        <v>1132</v>
      </c>
      <c r="C169" s="180" t="s">
        <v>1133</v>
      </c>
      <c r="D169" s="237">
        <f>K169+SUM(H169:J169)</f>
        <v>61200</v>
      </c>
      <c r="E169" s="238" t="s">
        <v>1082</v>
      </c>
      <c r="F169" s="239">
        <v>46142</v>
      </c>
      <c r="G169" s="240" t="s">
        <v>1134</v>
      </c>
      <c r="H169" s="233"/>
      <c r="I169" s="233"/>
      <c r="J169" s="43"/>
      <c r="K169" s="234">
        <v>61200</v>
      </c>
      <c r="N169" s="243"/>
    </row>
    <row r="170" spans="2:15" ht="28.5" customHeight="1" x14ac:dyDescent="0.35">
      <c r="B170" s="236" t="s">
        <v>1132</v>
      </c>
      <c r="C170" s="180" t="s">
        <v>1077</v>
      </c>
      <c r="D170" s="237">
        <f>K170+SUM(H170:J170)</f>
        <v>5099</v>
      </c>
      <c r="E170" s="238" t="s">
        <v>1135</v>
      </c>
      <c r="F170" s="239">
        <v>46121</v>
      </c>
      <c r="G170" s="240" t="s">
        <v>1136</v>
      </c>
      <c r="H170" s="233"/>
      <c r="I170" s="233"/>
      <c r="J170" s="43"/>
      <c r="K170" s="234">
        <v>5099</v>
      </c>
      <c r="N170" s="243"/>
    </row>
    <row r="171" spans="2:15" ht="14.25" customHeight="1" x14ac:dyDescent="0.35">
      <c r="B171" s="236"/>
      <c r="C171" s="241" t="s">
        <v>953</v>
      </c>
      <c r="D171" s="242">
        <f>SUM(D169:D170)</f>
        <v>66299</v>
      </c>
      <c r="E171" s="238"/>
      <c r="F171" s="239"/>
      <c r="G171" s="240"/>
      <c r="H171" s="233"/>
      <c r="I171" s="233"/>
      <c r="J171" s="43"/>
      <c r="K171" s="234"/>
      <c r="L171" s="235"/>
      <c r="N171" s="243"/>
    </row>
    <row r="172" spans="2:15" ht="14.25" customHeight="1" x14ac:dyDescent="0.35">
      <c r="B172" s="228"/>
      <c r="C172" s="229"/>
      <c r="D172" s="230"/>
      <c r="E172" s="229"/>
      <c r="F172" s="231"/>
      <c r="G172" s="232"/>
      <c r="H172" s="233"/>
      <c r="I172" s="233"/>
      <c r="J172" s="43"/>
      <c r="K172" s="234"/>
      <c r="L172" s="235"/>
      <c r="N172" s="243"/>
    </row>
    <row r="173" spans="2:15" ht="46.5" customHeight="1" x14ac:dyDescent="0.35">
      <c r="B173" s="228"/>
      <c r="C173" s="229"/>
      <c r="D173" s="230"/>
      <c r="E173" s="229"/>
      <c r="F173" s="231"/>
      <c r="G173" s="232"/>
      <c r="H173" s="233"/>
      <c r="I173" s="233"/>
      <c r="J173" s="43"/>
      <c r="K173" s="234"/>
      <c r="L173" s="235"/>
      <c r="N173" s="243"/>
    </row>
    <row r="174" spans="2:15" ht="14.25" customHeight="1" x14ac:dyDescent="0.35">
      <c r="B174" s="240"/>
      <c r="C174" s="42" t="s">
        <v>1137</v>
      </c>
      <c r="D174" s="246">
        <f>SUMIF($C$4:$C$172,"&lt;&gt;SUB TOTAL",D4:D172)</f>
        <v>8764273.6999999993</v>
      </c>
      <c r="E174" s="42"/>
      <c r="F174" s="247"/>
      <c r="G174" s="248"/>
      <c r="H174" s="249">
        <f>SUM(H4:H172)</f>
        <v>124713.73999999999</v>
      </c>
      <c r="I174" s="249">
        <f>SUM(I4:I172)</f>
        <v>124713.73999999999</v>
      </c>
      <c r="J174" s="249">
        <f>SUM(J4:J172)</f>
        <v>0</v>
      </c>
      <c r="K174" s="250">
        <f>SUM(K4:K172)</f>
        <v>8514846.2200000007</v>
      </c>
      <c r="L174" s="251">
        <f>ROUND(D174-SUM(H174:K174),2)</f>
        <v>0</v>
      </c>
      <c r="N174" s="243"/>
    </row>
    <row r="175" spans="2:15" ht="14.25" customHeight="1" x14ac:dyDescent="0.35">
      <c r="B175" s="228"/>
      <c r="C175" s="229" t="s">
        <v>1138</v>
      </c>
      <c r="D175" s="230"/>
      <c r="E175" s="229"/>
      <c r="F175" s="231"/>
      <c r="G175" s="232"/>
      <c r="H175" s="233"/>
      <c r="I175" s="233"/>
      <c r="J175" s="43"/>
      <c r="K175" s="234">
        <f>ROUND(K174-8514846.22,2)</f>
        <v>0</v>
      </c>
      <c r="L175" s="235"/>
      <c r="N175" s="243"/>
    </row>
    <row r="176" spans="2:15" ht="28.5" customHeight="1" x14ac:dyDescent="0.35">
      <c r="B176" s="228"/>
      <c r="C176" s="229"/>
      <c r="D176" s="230"/>
      <c r="E176" s="229"/>
      <c r="F176" s="231"/>
      <c r="G176" s="232"/>
      <c r="H176" s="233"/>
      <c r="I176" s="233"/>
      <c r="J176" s="43"/>
      <c r="K176" s="234"/>
      <c r="L176" s="235"/>
      <c r="N176" s="243"/>
    </row>
    <row r="177" spans="2:14" ht="28.5" customHeight="1" x14ac:dyDescent="0.35">
      <c r="B177" s="228"/>
      <c r="C177" s="229"/>
      <c r="D177" s="230"/>
      <c r="E177" s="229"/>
      <c r="F177" s="231"/>
      <c r="G177" s="232"/>
      <c r="H177" s="233"/>
      <c r="I177" s="233"/>
      <c r="J177" s="43"/>
      <c r="K177" s="234"/>
      <c r="L177" s="235"/>
      <c r="N177" s="243"/>
    </row>
    <row r="178" spans="2:14" ht="14.25" customHeight="1" x14ac:dyDescent="0.35">
      <c r="B178" s="228"/>
      <c r="C178" s="229"/>
      <c r="D178" s="230"/>
      <c r="E178" s="229"/>
      <c r="F178" s="231"/>
      <c r="G178" s="232"/>
      <c r="H178" s="233"/>
      <c r="I178" s="233"/>
      <c r="J178" s="43"/>
      <c r="K178" s="234"/>
      <c r="L178" s="235"/>
      <c r="N178" s="243"/>
    </row>
    <row r="179" spans="2:14" ht="100.5" customHeight="1" x14ac:dyDescent="0.35">
      <c r="B179" s="124" t="s">
        <v>1139</v>
      </c>
      <c r="C179" s="252"/>
      <c r="D179" s="252"/>
      <c r="E179" s="252"/>
      <c r="F179" s="252"/>
      <c r="G179" s="252"/>
      <c r="H179" s="252"/>
      <c r="I179" s="252"/>
      <c r="J179" s="252"/>
      <c r="K179" s="253"/>
      <c r="N179" s="243"/>
    </row>
    <row r="180" spans="2:14" ht="72" customHeight="1" x14ac:dyDescent="0.35">
      <c r="B180" s="254" t="s">
        <v>932</v>
      </c>
      <c r="C180" s="224" t="s">
        <v>83</v>
      </c>
      <c r="D180" s="225" t="s">
        <v>933</v>
      </c>
      <c r="E180" s="224" t="s">
        <v>934</v>
      </c>
      <c r="F180" s="226" t="s">
        <v>93</v>
      </c>
      <c r="G180" s="254" t="s">
        <v>935</v>
      </c>
      <c r="H180" s="250" t="s">
        <v>936</v>
      </c>
      <c r="I180" s="250" t="s">
        <v>937</v>
      </c>
      <c r="J180" s="250" t="s">
        <v>938</v>
      </c>
      <c r="K180" s="227" t="s">
        <v>939</v>
      </c>
      <c r="N180" s="243"/>
    </row>
    <row r="181" spans="2:14" ht="14.25" customHeight="1" x14ac:dyDescent="0.35">
      <c r="B181" s="236" t="s">
        <v>1140</v>
      </c>
      <c r="C181" s="180"/>
      <c r="D181" s="237">
        <f>K181+SUM(H181:J181)</f>
        <v>539519</v>
      </c>
      <c r="E181" s="238" t="s">
        <v>1141</v>
      </c>
      <c r="F181" s="239">
        <v>46142</v>
      </c>
      <c r="G181" s="240" t="s">
        <v>1142</v>
      </c>
      <c r="H181" s="233"/>
      <c r="I181" s="233"/>
      <c r="J181" s="43"/>
      <c r="K181" s="234">
        <v>539519</v>
      </c>
      <c r="N181" s="243"/>
    </row>
    <row r="182" spans="2:14" ht="28.5" customHeight="1" x14ac:dyDescent="0.35">
      <c r="B182" s="236" t="s">
        <v>1143</v>
      </c>
      <c r="C182" s="180" t="s">
        <v>1144</v>
      </c>
      <c r="D182" s="237">
        <f>K182+SUM(H182:J182)</f>
        <v>10502</v>
      </c>
      <c r="E182" s="238" t="s">
        <v>1145</v>
      </c>
      <c r="F182" s="239">
        <v>46118</v>
      </c>
      <c r="G182" s="240" t="s">
        <v>1146</v>
      </c>
      <c r="H182" s="233">
        <v>801</v>
      </c>
      <c r="I182" s="233">
        <v>801</v>
      </c>
      <c r="J182" s="43"/>
      <c r="K182" s="234">
        <v>8900</v>
      </c>
      <c r="N182" s="243"/>
    </row>
    <row r="183" spans="2:14" ht="42.75" customHeight="1" x14ac:dyDescent="0.35">
      <c r="B183" s="236" t="s">
        <v>1143</v>
      </c>
      <c r="C183" s="180" t="s">
        <v>1144</v>
      </c>
      <c r="D183" s="237">
        <f>K183+SUM(H183:J183)</f>
        <v>6903</v>
      </c>
      <c r="E183" s="238" t="s">
        <v>1147</v>
      </c>
      <c r="F183" s="239">
        <v>46118</v>
      </c>
      <c r="G183" s="240" t="s">
        <v>1146</v>
      </c>
      <c r="H183" s="233">
        <v>526.5</v>
      </c>
      <c r="I183" s="233">
        <v>526.5</v>
      </c>
      <c r="J183" s="43"/>
      <c r="K183" s="234">
        <v>5850</v>
      </c>
      <c r="N183" s="243"/>
    </row>
    <row r="184" spans="2:14" ht="42.75" customHeight="1" x14ac:dyDescent="0.35">
      <c r="B184" s="236" t="s">
        <v>1143</v>
      </c>
      <c r="C184" s="180" t="s">
        <v>1144</v>
      </c>
      <c r="D184" s="237">
        <f>K184+SUM(H184:J184)</f>
        <v>10596.4</v>
      </c>
      <c r="E184" s="238" t="s">
        <v>1148</v>
      </c>
      <c r="F184" s="239">
        <v>46118</v>
      </c>
      <c r="G184" s="240" t="s">
        <v>1149</v>
      </c>
      <c r="H184" s="233">
        <v>808.2</v>
      </c>
      <c r="I184" s="233">
        <v>808.2</v>
      </c>
      <c r="J184" s="43"/>
      <c r="K184" s="234">
        <v>8980</v>
      </c>
      <c r="N184" s="243"/>
    </row>
    <row r="185" spans="2:14" ht="14.25" customHeight="1" x14ac:dyDescent="0.35">
      <c r="B185" s="236" t="s">
        <v>1143</v>
      </c>
      <c r="C185" s="180" t="s">
        <v>1144</v>
      </c>
      <c r="D185" s="237">
        <f>K185+SUM(H185:J185)</f>
        <v>9027</v>
      </c>
      <c r="E185" s="238" t="s">
        <v>1150</v>
      </c>
      <c r="F185" s="239">
        <v>46134</v>
      </c>
      <c r="G185" s="240" t="s">
        <v>1146</v>
      </c>
      <c r="H185" s="233">
        <v>688.5</v>
      </c>
      <c r="I185" s="233">
        <v>688.5</v>
      </c>
      <c r="J185" s="43"/>
      <c r="K185" s="234">
        <v>7650</v>
      </c>
      <c r="N185" s="243"/>
    </row>
    <row r="186" spans="2:14" ht="14.25" customHeight="1" x14ac:dyDescent="0.35">
      <c r="B186" s="228"/>
      <c r="C186" s="229"/>
      <c r="D186" s="230"/>
      <c r="E186" s="229"/>
      <c r="F186" s="231"/>
      <c r="G186" s="232"/>
      <c r="H186" s="233"/>
      <c r="I186" s="233"/>
      <c r="J186" s="43"/>
      <c r="K186" s="234"/>
      <c r="L186" s="235"/>
      <c r="N186" s="243"/>
    </row>
    <row r="187" spans="2:14" ht="14.25" customHeight="1" x14ac:dyDescent="0.35">
      <c r="B187" s="240"/>
      <c r="C187" s="42" t="s">
        <v>87</v>
      </c>
      <c r="D187" s="246">
        <f>SUM(D181:D185)</f>
        <v>576547.4</v>
      </c>
      <c r="E187" s="42"/>
      <c r="F187" s="247"/>
      <c r="G187" s="248"/>
      <c r="H187" s="249">
        <f>SUM(H181:H185)</f>
        <v>2824.2</v>
      </c>
      <c r="I187" s="249">
        <f>SUM(I181:I185)</f>
        <v>2824.2</v>
      </c>
      <c r="J187" s="249">
        <f>SUM(J181:J185)</f>
        <v>0</v>
      </c>
      <c r="K187" s="250">
        <f>SUM(K181:K185)</f>
        <v>570899</v>
      </c>
      <c r="L187" s="251"/>
      <c r="N187" s="243"/>
    </row>
    <row r="188" spans="2:14" ht="14.25" customHeight="1" x14ac:dyDescent="0.35">
      <c r="B188" s="228"/>
      <c r="C188" s="229"/>
      <c r="D188" s="230"/>
      <c r="E188" s="229"/>
      <c r="F188" s="231"/>
      <c r="G188" s="232"/>
      <c r="H188" s="233"/>
      <c r="I188" s="233"/>
      <c r="J188" s="43"/>
      <c r="K188" s="234"/>
      <c r="L188" s="235"/>
      <c r="N188" s="243"/>
    </row>
    <row r="189" spans="2:14" ht="14.25" customHeight="1" x14ac:dyDescent="0.35">
      <c r="B189" s="228"/>
      <c r="C189" s="229"/>
      <c r="D189" s="230"/>
      <c r="E189" s="229"/>
      <c r="F189" s="231"/>
      <c r="G189" s="232"/>
      <c r="H189" s="233"/>
      <c r="I189" s="233"/>
      <c r="J189" s="43"/>
      <c r="K189" s="234"/>
      <c r="L189" s="235"/>
      <c r="N189" s="243"/>
    </row>
    <row r="190" spans="2:14" ht="14.25" customHeight="1" x14ac:dyDescent="0.35">
      <c r="B190" s="214" t="s">
        <v>1151</v>
      </c>
      <c r="C190" s="214" t="s">
        <v>1152</v>
      </c>
      <c r="E190" s="255"/>
      <c r="F190" s="256"/>
      <c r="G190" s="257"/>
      <c r="H190" s="220"/>
      <c r="I190" s="220"/>
      <c r="J190" s="220"/>
      <c r="K190" s="258"/>
      <c r="N190" s="243"/>
    </row>
    <row r="191" spans="2:14" ht="14.25" customHeight="1" x14ac:dyDescent="0.35">
      <c r="B191" s="259" t="s">
        <v>940</v>
      </c>
      <c r="C191" s="260">
        <f t="shared" ref="C191:C220" si="6">SUMIF($B$4:$B$172,B191,$K$4:$K$172)</f>
        <v>240833</v>
      </c>
      <c r="E191" s="261"/>
      <c r="F191" s="262"/>
      <c r="K191" s="217"/>
      <c r="N191" s="243"/>
    </row>
    <row r="192" spans="2:14" ht="14.25" customHeight="1" x14ac:dyDescent="0.35">
      <c r="B192" s="259" t="s">
        <v>954</v>
      </c>
      <c r="C192" s="260">
        <f t="shared" si="6"/>
        <v>420</v>
      </c>
      <c r="E192" s="261"/>
      <c r="F192" s="262"/>
      <c r="K192" s="217"/>
      <c r="N192" s="243"/>
    </row>
    <row r="193" spans="2:14" ht="14.25" customHeight="1" x14ac:dyDescent="0.35">
      <c r="B193" s="259" t="s">
        <v>957</v>
      </c>
      <c r="C193" s="260">
        <f t="shared" si="6"/>
        <v>40665.300000000003</v>
      </c>
      <c r="E193" s="261"/>
      <c r="F193" s="262"/>
      <c r="K193" s="217"/>
      <c r="N193" s="243"/>
    </row>
    <row r="194" spans="2:14" ht="14.25" customHeight="1" x14ac:dyDescent="0.35">
      <c r="B194" s="259" t="s">
        <v>961</v>
      </c>
      <c r="C194" s="260">
        <f t="shared" si="6"/>
        <v>21673.8</v>
      </c>
      <c r="E194" s="261"/>
      <c r="F194" s="262"/>
      <c r="K194" s="217"/>
      <c r="N194" s="243"/>
    </row>
    <row r="195" spans="2:14" ht="14.25" customHeight="1" x14ac:dyDescent="0.35">
      <c r="B195" s="259" t="s">
        <v>965</v>
      </c>
      <c r="C195" s="260">
        <f t="shared" si="6"/>
        <v>6878</v>
      </c>
      <c r="E195" s="261"/>
      <c r="F195" s="262"/>
      <c r="K195" s="217"/>
      <c r="N195" s="243"/>
    </row>
    <row r="196" spans="2:14" x14ac:dyDescent="0.35">
      <c r="B196" s="259" t="s">
        <v>969</v>
      </c>
      <c r="C196" s="260">
        <f t="shared" si="6"/>
        <v>124090</v>
      </c>
      <c r="E196" s="261"/>
      <c r="F196" s="262"/>
      <c r="K196" s="217"/>
      <c r="N196" s="243"/>
    </row>
    <row r="197" spans="2:14" x14ac:dyDescent="0.35">
      <c r="B197" s="259" t="s">
        <v>973</v>
      </c>
      <c r="C197" s="260">
        <f t="shared" si="6"/>
        <v>8550</v>
      </c>
      <c r="E197" s="261"/>
      <c r="F197" s="262"/>
      <c r="K197" s="217"/>
      <c r="N197" s="243"/>
    </row>
    <row r="198" spans="2:14" x14ac:dyDescent="0.35">
      <c r="B198" s="259" t="s">
        <v>976</v>
      </c>
      <c r="C198" s="260">
        <f t="shared" si="6"/>
        <v>60050</v>
      </c>
      <c r="E198" s="261"/>
      <c r="F198" s="262"/>
      <c r="K198" s="217"/>
      <c r="N198" s="243"/>
    </row>
    <row r="199" spans="2:14" x14ac:dyDescent="0.35">
      <c r="B199" s="259" t="s">
        <v>980</v>
      </c>
      <c r="C199" s="260">
        <f t="shared" si="6"/>
        <v>140000</v>
      </c>
      <c r="E199" s="261"/>
      <c r="F199" s="262"/>
      <c r="K199" s="217"/>
      <c r="N199" s="243"/>
    </row>
    <row r="200" spans="2:14" x14ac:dyDescent="0.35">
      <c r="B200" s="259" t="s">
        <v>988</v>
      </c>
      <c r="C200" s="260">
        <f t="shared" si="6"/>
        <v>30940</v>
      </c>
      <c r="E200" s="261"/>
      <c r="F200" s="262"/>
      <c r="K200" s="217"/>
      <c r="N200" s="243"/>
    </row>
    <row r="201" spans="2:14" x14ac:dyDescent="0.35">
      <c r="B201" s="259" t="s">
        <v>993</v>
      </c>
      <c r="C201" s="260">
        <f t="shared" si="6"/>
        <v>109436</v>
      </c>
      <c r="E201" s="261"/>
      <c r="F201" s="262"/>
      <c r="K201" s="217"/>
    </row>
    <row r="202" spans="2:14" ht="18" customHeight="1" x14ac:dyDescent="0.35">
      <c r="B202" s="259" t="s">
        <v>998</v>
      </c>
      <c r="C202" s="260">
        <f t="shared" si="6"/>
        <v>6000</v>
      </c>
      <c r="E202" s="261"/>
      <c r="F202" s="262"/>
      <c r="K202" s="217"/>
    </row>
    <row r="203" spans="2:14" ht="41.25" customHeight="1" x14ac:dyDescent="0.35">
      <c r="B203" s="259" t="s">
        <v>1000</v>
      </c>
      <c r="C203" s="260">
        <f t="shared" si="6"/>
        <v>3574.87</v>
      </c>
      <c r="E203" s="261"/>
      <c r="F203" s="262"/>
      <c r="K203" s="217"/>
    </row>
    <row r="204" spans="2:14" x14ac:dyDescent="0.35">
      <c r="B204" s="259" t="s">
        <v>1004</v>
      </c>
      <c r="C204" s="260">
        <f t="shared" si="6"/>
        <v>49746</v>
      </c>
      <c r="E204" s="261"/>
      <c r="F204" s="262"/>
      <c r="K204" s="217"/>
    </row>
    <row r="205" spans="2:14" ht="25.5" customHeight="1" x14ac:dyDescent="0.35">
      <c r="B205" s="259" t="s">
        <v>1017</v>
      </c>
      <c r="C205" s="260">
        <f t="shared" si="6"/>
        <v>123137.5</v>
      </c>
      <c r="E205" s="261"/>
      <c r="F205" s="262"/>
      <c r="K205" s="217"/>
    </row>
    <row r="206" spans="2:14" ht="27" customHeight="1" x14ac:dyDescent="0.35">
      <c r="B206" s="259" t="s">
        <v>1040</v>
      </c>
      <c r="C206" s="260">
        <f t="shared" si="6"/>
        <v>10000</v>
      </c>
      <c r="E206" s="261"/>
      <c r="F206" s="262"/>
      <c r="K206" s="217"/>
    </row>
    <row r="207" spans="2:14" ht="27" customHeight="1" x14ac:dyDescent="0.35">
      <c r="B207" s="259" t="s">
        <v>1044</v>
      </c>
      <c r="C207" s="260">
        <f t="shared" si="6"/>
        <v>94000</v>
      </c>
      <c r="E207" s="261"/>
      <c r="F207" s="262"/>
      <c r="K207" s="217"/>
    </row>
    <row r="208" spans="2:14" x14ac:dyDescent="0.35">
      <c r="B208" s="259" t="s">
        <v>1048</v>
      </c>
      <c r="C208" s="260">
        <f t="shared" si="6"/>
        <v>56111</v>
      </c>
      <c r="E208" s="261"/>
      <c r="F208" s="262"/>
      <c r="K208" s="217"/>
    </row>
    <row r="209" spans="2:12" ht="15" customHeight="1" x14ac:dyDescent="0.35">
      <c r="B209" s="259" t="s">
        <v>1052</v>
      </c>
      <c r="C209" s="260">
        <f t="shared" si="6"/>
        <v>47150.46</v>
      </c>
      <c r="E209" s="261"/>
      <c r="F209" s="262"/>
      <c r="K209" s="217"/>
    </row>
    <row r="210" spans="2:12" x14ac:dyDescent="0.35">
      <c r="B210" s="259" t="s">
        <v>1059</v>
      </c>
      <c r="C210" s="260">
        <f t="shared" si="6"/>
        <v>11500</v>
      </c>
      <c r="E210" s="261"/>
      <c r="F210" s="262"/>
      <c r="K210" s="217"/>
    </row>
    <row r="211" spans="2:12" x14ac:dyDescent="0.35">
      <c r="B211" s="259" t="s">
        <v>1062</v>
      </c>
      <c r="C211" s="260">
        <f t="shared" si="6"/>
        <v>48000</v>
      </c>
      <c r="E211" s="261"/>
      <c r="F211" s="262"/>
      <c r="K211" s="217"/>
    </row>
    <row r="212" spans="2:12" x14ac:dyDescent="0.35">
      <c r="B212" s="259" t="s">
        <v>1066</v>
      </c>
      <c r="C212" s="260">
        <f t="shared" si="6"/>
        <v>80955.28</v>
      </c>
      <c r="E212" s="261"/>
      <c r="F212" s="262"/>
      <c r="K212" s="217"/>
    </row>
    <row r="213" spans="2:12" x14ac:dyDescent="0.35">
      <c r="B213" s="259" t="s">
        <v>1071</v>
      </c>
      <c r="C213" s="260">
        <f t="shared" si="6"/>
        <v>11700</v>
      </c>
      <c r="E213" s="261"/>
      <c r="F213" s="262"/>
      <c r="K213" s="217"/>
    </row>
    <row r="214" spans="2:12" x14ac:dyDescent="0.35">
      <c r="B214" s="259" t="s">
        <v>1073</v>
      </c>
      <c r="C214" s="260">
        <f t="shared" si="6"/>
        <v>732175</v>
      </c>
      <c r="E214" s="261"/>
      <c r="F214" s="262"/>
      <c r="K214" s="217"/>
    </row>
    <row r="215" spans="2:12" x14ac:dyDescent="0.35">
      <c r="B215" s="259" t="s">
        <v>1076</v>
      </c>
      <c r="C215" s="260">
        <f t="shared" si="6"/>
        <v>11479</v>
      </c>
      <c r="E215" s="261"/>
      <c r="F215" s="262"/>
      <c r="K215" s="217"/>
    </row>
    <row r="216" spans="2:12" ht="14.25" customHeight="1" x14ac:dyDescent="0.35">
      <c r="B216" s="259" t="s">
        <v>1080</v>
      </c>
      <c r="C216" s="260">
        <f t="shared" si="6"/>
        <v>6259754</v>
      </c>
      <c r="E216" s="261"/>
      <c r="F216" s="262"/>
      <c r="K216" s="217"/>
    </row>
    <row r="217" spans="2:12" x14ac:dyDescent="0.35">
      <c r="B217" s="259" t="s">
        <v>1118</v>
      </c>
      <c r="C217" s="260">
        <f t="shared" si="6"/>
        <v>51003</v>
      </c>
      <c r="E217" s="261"/>
      <c r="F217" s="262"/>
      <c r="K217" s="217"/>
    </row>
    <row r="218" spans="2:12" x14ac:dyDescent="0.35">
      <c r="B218" s="259" t="s">
        <v>1121</v>
      </c>
      <c r="C218" s="260">
        <f t="shared" si="6"/>
        <v>62408</v>
      </c>
      <c r="E218" s="261"/>
      <c r="F218" s="262"/>
      <c r="K218" s="217"/>
    </row>
    <row r="219" spans="2:12" x14ac:dyDescent="0.35">
      <c r="B219" s="259" t="s">
        <v>1123</v>
      </c>
      <c r="C219" s="260">
        <f t="shared" si="6"/>
        <v>6317.01</v>
      </c>
      <c r="E219" s="261"/>
      <c r="F219" s="262"/>
      <c r="K219" s="217"/>
    </row>
    <row r="220" spans="2:12" x14ac:dyDescent="0.35">
      <c r="B220" s="259" t="s">
        <v>1132</v>
      </c>
      <c r="C220" s="260">
        <f t="shared" si="6"/>
        <v>66299</v>
      </c>
      <c r="E220" s="261"/>
      <c r="F220" s="262"/>
      <c r="K220" s="217"/>
    </row>
    <row r="221" spans="2:12" x14ac:dyDescent="0.35">
      <c r="B221" s="214" t="s">
        <v>87</v>
      </c>
      <c r="C221" s="214">
        <f>SUM(C191:C220)</f>
        <v>8514846.2200000007</v>
      </c>
      <c r="D221" s="217">
        <f>ROUND(C221-K174,2)</f>
        <v>0</v>
      </c>
      <c r="E221" s="255"/>
      <c r="F221" s="256"/>
      <c r="G221" s="257"/>
      <c r="H221" s="220"/>
      <c r="I221" s="220"/>
      <c r="J221" s="220"/>
      <c r="K221" s="258"/>
    </row>
    <row r="222" spans="2:12" ht="14.5" x14ac:dyDescent="0.35">
      <c r="B222" s="228"/>
      <c r="C222" s="229"/>
      <c r="D222" s="230"/>
      <c r="E222" s="229"/>
      <c r="F222" s="231"/>
      <c r="G222" s="232"/>
      <c r="H222" s="233"/>
      <c r="I222" s="233"/>
      <c r="J222" s="43"/>
      <c r="K222" s="234"/>
      <c r="L222" s="235"/>
    </row>
    <row r="223" spans="2:12" ht="30" x14ac:dyDescent="0.35">
      <c r="B223" s="124" t="s">
        <v>1153</v>
      </c>
      <c r="C223" s="252"/>
      <c r="D223" s="252"/>
      <c r="E223" s="252"/>
      <c r="F223" s="252"/>
      <c r="G223" s="252"/>
      <c r="H223" s="252"/>
      <c r="I223" s="252"/>
      <c r="J223" s="252"/>
      <c r="K223" s="253"/>
    </row>
    <row r="224" spans="2:12" x14ac:dyDescent="0.35">
      <c r="B224" s="214" t="s">
        <v>1151</v>
      </c>
      <c r="C224" s="214" t="s">
        <v>1152</v>
      </c>
      <c r="E224" s="255"/>
      <c r="F224" s="256"/>
      <c r="G224" s="257"/>
      <c r="H224" s="220"/>
      <c r="I224" s="220"/>
      <c r="J224" s="220"/>
      <c r="K224" s="258"/>
    </row>
    <row r="225" spans="2:12" x14ac:dyDescent="0.35">
      <c r="B225" s="259" t="s">
        <v>1140</v>
      </c>
      <c r="C225" s="260">
        <f>SUMIF($B$181:$B$185,B225,$K$181:$K$185)</f>
        <v>539519</v>
      </c>
      <c r="E225" s="261"/>
      <c r="F225" s="262"/>
      <c r="K225" s="217"/>
    </row>
    <row r="226" spans="2:12" x14ac:dyDescent="0.35">
      <c r="B226" s="259" t="s">
        <v>1143</v>
      </c>
      <c r="C226" s="260">
        <f>SUMIF($B$181:$B$185,B226,$K$181:$K$185)</f>
        <v>31380</v>
      </c>
      <c r="E226" s="261"/>
      <c r="F226" s="262"/>
      <c r="K226" s="217"/>
    </row>
    <row r="227" spans="2:12" x14ac:dyDescent="0.35">
      <c r="B227" s="214" t="s">
        <v>87</v>
      </c>
      <c r="C227" s="214">
        <f>SUM(C225:C226)</f>
        <v>570899</v>
      </c>
      <c r="E227" s="255"/>
      <c r="F227" s="256"/>
      <c r="G227" s="257"/>
      <c r="H227" s="220"/>
      <c r="I227" s="220"/>
      <c r="J227" s="220"/>
      <c r="K227" s="258"/>
    </row>
    <row r="228" spans="2:12" ht="14.5" x14ac:dyDescent="0.35">
      <c r="B228" s="228"/>
      <c r="C228" s="229"/>
      <c r="D228" s="230"/>
      <c r="E228" s="229"/>
      <c r="F228" s="231"/>
      <c r="G228" s="232"/>
      <c r="H228" s="233"/>
      <c r="I228" s="233"/>
      <c r="J228" s="43"/>
      <c r="K228" s="234"/>
      <c r="L228" s="235"/>
    </row>
    <row r="229" spans="2:12" ht="14.5" x14ac:dyDescent="0.35">
      <c r="B229" s="228"/>
      <c r="C229" s="229"/>
      <c r="D229" s="230"/>
      <c r="E229" s="229"/>
      <c r="F229" s="231"/>
      <c r="G229" s="232"/>
      <c r="H229" s="233"/>
      <c r="I229" s="233"/>
      <c r="J229" s="43"/>
      <c r="K229" s="234"/>
      <c r="L229" s="235"/>
    </row>
    <row r="230" spans="2:12" ht="14.5" x14ac:dyDescent="0.35">
      <c r="B230" s="228"/>
      <c r="C230" s="229"/>
      <c r="D230" s="230"/>
      <c r="E230" s="229"/>
      <c r="F230" s="231"/>
      <c r="G230" s="232"/>
      <c r="H230" s="233"/>
      <c r="I230" s="233"/>
      <c r="J230" s="43"/>
      <c r="K230" s="234"/>
      <c r="L230" s="235"/>
    </row>
    <row r="231" spans="2:12" ht="14.5" x14ac:dyDescent="0.35">
      <c r="B231" s="228"/>
      <c r="C231" s="229"/>
      <c r="D231" s="230"/>
      <c r="E231" s="229"/>
      <c r="F231" s="231"/>
      <c r="G231" s="232"/>
      <c r="H231" s="233"/>
      <c r="I231" s="233"/>
      <c r="J231" s="43"/>
      <c r="K231" s="234"/>
      <c r="L231" s="235"/>
    </row>
    <row r="232" spans="2:12" ht="14.5" x14ac:dyDescent="0.35">
      <c r="B232" s="228"/>
      <c r="C232" s="229"/>
      <c r="D232" s="230"/>
      <c r="E232" s="229"/>
      <c r="F232" s="231"/>
      <c r="G232" s="232"/>
      <c r="H232" s="233"/>
      <c r="I232" s="233"/>
      <c r="J232" s="43"/>
      <c r="K232" s="234"/>
      <c r="L232" s="235"/>
    </row>
    <row r="233" spans="2:12" ht="14.5" x14ac:dyDescent="0.35">
      <c r="B233" s="228"/>
      <c r="C233" s="229"/>
      <c r="D233" s="230"/>
      <c r="E233" s="229"/>
      <c r="F233" s="231"/>
      <c r="G233" s="232"/>
      <c r="H233" s="233"/>
      <c r="I233" s="233"/>
      <c r="J233" s="43"/>
      <c r="K233" s="234"/>
      <c r="L233" s="235"/>
    </row>
    <row r="234" spans="2:12" ht="14.5" x14ac:dyDescent="0.35">
      <c r="B234" s="228"/>
      <c r="C234" s="229"/>
      <c r="D234" s="230"/>
      <c r="E234" s="229"/>
      <c r="F234" s="231"/>
      <c r="G234" s="232"/>
      <c r="H234" s="233"/>
      <c r="I234" s="233"/>
      <c r="J234" s="43"/>
      <c r="K234" s="234"/>
      <c r="L234" s="235"/>
    </row>
    <row r="235" spans="2:12" ht="14.5" x14ac:dyDescent="0.35">
      <c r="B235" s="228"/>
      <c r="C235" s="229"/>
      <c r="D235" s="230"/>
      <c r="E235" s="229"/>
      <c r="F235" s="231"/>
      <c r="G235" s="232"/>
      <c r="H235" s="233"/>
      <c r="I235" s="233"/>
      <c r="J235" s="43"/>
      <c r="K235" s="234"/>
      <c r="L235" s="235"/>
    </row>
    <row r="236" spans="2:12" ht="14.5" x14ac:dyDescent="0.35">
      <c r="B236" s="228"/>
      <c r="C236" s="229"/>
      <c r="D236" s="230"/>
      <c r="E236" s="229"/>
      <c r="F236" s="231"/>
      <c r="G236" s="232"/>
      <c r="H236" s="233"/>
      <c r="I236" s="233"/>
      <c r="J236" s="43"/>
      <c r="K236" s="234"/>
      <c r="L236" s="235"/>
    </row>
    <row r="237" spans="2:12" ht="14.25" customHeight="1" x14ac:dyDescent="0.35">
      <c r="B237" s="228"/>
      <c r="C237" s="229"/>
      <c r="D237" s="230"/>
      <c r="E237" s="229"/>
      <c r="F237" s="231"/>
      <c r="G237" s="232"/>
      <c r="H237" s="233"/>
      <c r="I237" s="233"/>
      <c r="J237" s="43"/>
      <c r="K237" s="234"/>
      <c r="L237" s="235"/>
    </row>
    <row r="238" spans="2:12" ht="14.25" customHeight="1" x14ac:dyDescent="0.35">
      <c r="B238" s="228"/>
      <c r="C238" s="229"/>
      <c r="D238" s="230"/>
      <c r="E238" s="229"/>
      <c r="F238" s="231"/>
      <c r="G238" s="232"/>
      <c r="H238" s="233"/>
      <c r="I238" s="233"/>
      <c r="J238" s="43"/>
      <c r="K238" s="234"/>
      <c r="L238" s="235"/>
    </row>
    <row r="239" spans="2:12" ht="14.25" customHeight="1" x14ac:dyDescent="0.35">
      <c r="B239" s="228"/>
      <c r="C239" s="229"/>
      <c r="D239" s="230"/>
      <c r="E239" s="229"/>
      <c r="F239" s="231"/>
      <c r="G239" s="232"/>
      <c r="H239" s="233"/>
      <c r="I239" s="233"/>
      <c r="J239" s="43"/>
      <c r="K239" s="234"/>
      <c r="L239" s="235"/>
    </row>
    <row r="240" spans="2:12" ht="14.25" customHeight="1" x14ac:dyDescent="0.35">
      <c r="B240" s="228"/>
      <c r="C240" s="229"/>
      <c r="D240" s="230"/>
      <c r="E240" s="229"/>
      <c r="F240" s="231"/>
      <c r="G240" s="232"/>
      <c r="H240" s="233"/>
      <c r="I240" s="233"/>
      <c r="J240" s="43"/>
      <c r="K240" s="234"/>
      <c r="L240" s="235"/>
    </row>
    <row r="241" spans="2:12" ht="14.25" customHeight="1" x14ac:dyDescent="0.35">
      <c r="B241" s="228"/>
      <c r="C241" s="229"/>
      <c r="D241" s="230"/>
      <c r="E241" s="229"/>
      <c r="F241" s="231"/>
      <c r="G241" s="232"/>
      <c r="H241" s="233"/>
      <c r="I241" s="233"/>
      <c r="J241" s="43"/>
      <c r="K241" s="234"/>
      <c r="L241" s="235"/>
    </row>
    <row r="242" spans="2:12" ht="14.25" customHeight="1" x14ac:dyDescent="0.35">
      <c r="B242" s="228"/>
      <c r="C242" s="229"/>
      <c r="D242" s="230"/>
      <c r="E242" s="229"/>
      <c r="F242" s="231"/>
      <c r="G242" s="232"/>
      <c r="H242" s="233"/>
      <c r="I242" s="233"/>
      <c r="J242" s="43"/>
      <c r="K242" s="234"/>
      <c r="L242" s="235"/>
    </row>
    <row r="243" spans="2:12" ht="14.25" customHeight="1" x14ac:dyDescent="0.35">
      <c r="B243" s="228"/>
      <c r="C243" s="229"/>
      <c r="D243" s="230"/>
      <c r="E243" s="229"/>
      <c r="F243" s="231"/>
      <c r="G243" s="232"/>
      <c r="H243" s="233"/>
      <c r="I243" s="233"/>
      <c r="J243" s="43"/>
      <c r="K243" s="234"/>
      <c r="L243" s="235"/>
    </row>
    <row r="244" spans="2:12" ht="14.25" customHeight="1" x14ac:dyDescent="0.35">
      <c r="B244" s="228"/>
      <c r="C244" s="229"/>
      <c r="D244" s="230"/>
      <c r="E244" s="229"/>
      <c r="F244" s="231"/>
      <c r="G244" s="232"/>
      <c r="H244" s="233"/>
      <c r="I244" s="233"/>
      <c r="J244" s="43"/>
      <c r="K244" s="234"/>
      <c r="L244" s="235"/>
    </row>
    <row r="245" spans="2:12" ht="14.5" x14ac:dyDescent="0.35">
      <c r="B245" s="228"/>
      <c r="C245" s="229"/>
      <c r="D245" s="230"/>
      <c r="E245" s="229"/>
      <c r="F245" s="231"/>
      <c r="G245" s="232"/>
      <c r="H245" s="233"/>
      <c r="I245" s="233"/>
      <c r="J245" s="43"/>
      <c r="K245" s="234"/>
      <c r="L245" s="235"/>
    </row>
    <row r="246" spans="2:12" ht="14.5" x14ac:dyDescent="0.35">
      <c r="B246" s="228"/>
      <c r="C246" s="229"/>
      <c r="D246" s="230"/>
      <c r="E246" s="229"/>
      <c r="F246" s="231"/>
      <c r="G246" s="232"/>
      <c r="H246" s="233"/>
      <c r="I246" s="233"/>
      <c r="J246" s="43"/>
      <c r="K246" s="234"/>
      <c r="L246" s="235"/>
    </row>
    <row r="247" spans="2:12" ht="14.5" x14ac:dyDescent="0.35">
      <c r="B247" s="228"/>
      <c r="C247" s="229"/>
      <c r="D247" s="230"/>
      <c r="E247" s="229"/>
      <c r="F247" s="231"/>
      <c r="G247" s="232"/>
      <c r="H247" s="233"/>
      <c r="I247" s="233"/>
      <c r="J247" s="43"/>
      <c r="K247" s="234"/>
      <c r="L247" s="235"/>
    </row>
    <row r="248" spans="2:12" ht="32.25" customHeight="1" x14ac:dyDescent="0.35">
      <c r="B248" s="228"/>
      <c r="C248" s="229"/>
      <c r="D248" s="230"/>
      <c r="E248" s="229"/>
      <c r="F248" s="231"/>
      <c r="G248" s="232"/>
      <c r="H248" s="233"/>
      <c r="I248" s="233"/>
      <c r="J248" s="43"/>
      <c r="K248" s="234"/>
      <c r="L248" s="235"/>
    </row>
    <row r="249" spans="2:12" ht="14.5" x14ac:dyDescent="0.35">
      <c r="B249" s="228"/>
      <c r="C249" s="229"/>
      <c r="D249" s="230"/>
      <c r="E249" s="229"/>
      <c r="F249" s="231"/>
      <c r="G249" s="232"/>
      <c r="H249" s="233"/>
      <c r="I249" s="233"/>
      <c r="J249" s="43"/>
      <c r="K249" s="234"/>
      <c r="L249" s="235"/>
    </row>
    <row r="250" spans="2:12" ht="14.5" x14ac:dyDescent="0.35">
      <c r="B250" s="228"/>
      <c r="C250" s="229"/>
      <c r="D250" s="230"/>
      <c r="E250" s="229"/>
      <c r="F250" s="231"/>
      <c r="G250" s="232"/>
      <c r="H250" s="233"/>
      <c r="I250" s="233"/>
      <c r="J250" s="43"/>
      <c r="K250" s="234"/>
      <c r="L250" s="235"/>
    </row>
    <row r="251" spans="2:12" ht="14.5" x14ac:dyDescent="0.35">
      <c r="B251" s="228"/>
      <c r="C251" s="229"/>
      <c r="D251" s="230"/>
      <c r="E251" s="229"/>
      <c r="F251" s="231"/>
      <c r="G251" s="232"/>
      <c r="H251" s="233"/>
      <c r="I251" s="233"/>
      <c r="J251" s="43"/>
      <c r="K251" s="234"/>
      <c r="L251" s="235"/>
    </row>
    <row r="252" spans="2:12" ht="14.5" x14ac:dyDescent="0.35">
      <c r="B252" s="228"/>
      <c r="C252" s="229"/>
      <c r="D252" s="230"/>
      <c r="E252" s="229"/>
      <c r="F252" s="231"/>
      <c r="G252" s="232"/>
      <c r="H252" s="233"/>
      <c r="I252" s="233"/>
      <c r="J252" s="43"/>
      <c r="K252" s="234"/>
      <c r="L252" s="235"/>
    </row>
    <row r="253" spans="2:12" ht="14.5" x14ac:dyDescent="0.35">
      <c r="B253" s="228"/>
      <c r="C253" s="229"/>
      <c r="D253" s="230"/>
      <c r="E253" s="229"/>
      <c r="F253" s="231"/>
      <c r="G253" s="232"/>
      <c r="H253" s="233"/>
      <c r="I253" s="233"/>
      <c r="J253" s="43"/>
      <c r="K253" s="234"/>
      <c r="L253" s="235"/>
    </row>
    <row r="254" spans="2:12" ht="14.5" x14ac:dyDescent="0.35">
      <c r="B254" s="228"/>
      <c r="C254" s="229"/>
      <c r="D254" s="230"/>
      <c r="E254" s="229"/>
      <c r="F254" s="231"/>
      <c r="G254" s="232"/>
      <c r="H254" s="233"/>
      <c r="I254" s="233"/>
      <c r="J254" s="43"/>
      <c r="K254" s="234"/>
      <c r="L254" s="235"/>
    </row>
    <row r="255" spans="2:12" ht="14.5" x14ac:dyDescent="0.35">
      <c r="B255" s="228"/>
      <c r="C255" s="229"/>
      <c r="D255" s="230"/>
      <c r="E255" s="229"/>
      <c r="F255" s="231"/>
      <c r="G255" s="232"/>
      <c r="H255" s="233"/>
      <c r="I255" s="233"/>
      <c r="J255" s="43"/>
      <c r="K255" s="234"/>
      <c r="L255" s="235"/>
    </row>
    <row r="256" spans="2:12" ht="14.5" x14ac:dyDescent="0.35">
      <c r="B256" s="228"/>
      <c r="C256" s="229"/>
      <c r="D256" s="230"/>
      <c r="E256" s="229"/>
      <c r="F256" s="231"/>
      <c r="G256" s="232"/>
      <c r="H256" s="233"/>
      <c r="I256" s="233"/>
      <c r="J256" s="43"/>
      <c r="K256" s="234"/>
      <c r="L256" s="235"/>
    </row>
    <row r="257" spans="2:12" ht="14.5" x14ac:dyDescent="0.35">
      <c r="B257" s="228"/>
      <c r="C257" s="229"/>
      <c r="D257" s="230"/>
      <c r="E257" s="229"/>
      <c r="F257" s="231"/>
      <c r="G257" s="232"/>
      <c r="H257" s="233"/>
      <c r="I257" s="233"/>
      <c r="J257" s="43"/>
      <c r="K257" s="234"/>
      <c r="L257" s="235"/>
    </row>
    <row r="258" spans="2:12" ht="14.5" x14ac:dyDescent="0.35">
      <c r="B258" s="228"/>
      <c r="C258" s="229"/>
      <c r="D258" s="230"/>
      <c r="E258" s="229"/>
      <c r="F258" s="231"/>
      <c r="G258" s="232"/>
      <c r="H258" s="233"/>
      <c r="I258" s="233"/>
      <c r="J258" s="43"/>
      <c r="K258" s="234"/>
      <c r="L258" s="235"/>
    </row>
    <row r="259" spans="2:12" ht="14.5" x14ac:dyDescent="0.35">
      <c r="B259" s="228"/>
      <c r="C259" s="229"/>
      <c r="D259" s="230"/>
      <c r="E259" s="229"/>
      <c r="F259" s="231"/>
      <c r="G259" s="232"/>
      <c r="H259" s="233"/>
      <c r="I259" s="233"/>
      <c r="J259" s="43"/>
      <c r="K259" s="234"/>
      <c r="L259" s="235"/>
    </row>
  </sheetData>
  <mergeCells count="1">
    <mergeCell ref="B1:F1"/>
  </mergeCells>
  <pageMargins left="0.7" right="0.7" top="0.75" bottom="0.75" header="0.511811023622047" footer="0.511811023622047"/>
  <pageSetup orientation="portrait" horizontalDpi="300" verticalDpi="300"/>
  <legacy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M70"/>
  <sheetViews>
    <sheetView zoomScaleNormal="100" workbookViewId="0">
      <pane ySplit="6" topLeftCell="A7" activePane="bottomLeft" state="frozen"/>
      <selection pane="bottomLeft" activeCell="B26" sqref="B26"/>
    </sheetView>
  </sheetViews>
  <sheetFormatPr defaultColWidth="8.6328125" defaultRowHeight="14" x14ac:dyDescent="0.3"/>
  <cols>
    <col min="1" max="1" width="47" style="14" customWidth="1"/>
    <col min="2" max="2" width="18.6328125" style="49" customWidth="1"/>
    <col min="3" max="3" width="14.36328125" style="14" customWidth="1"/>
    <col min="4" max="4" width="31.90625" style="14" customWidth="1"/>
    <col min="5" max="5" width="28.453125" style="49" customWidth="1"/>
    <col min="6" max="6" width="10.6328125" style="14" customWidth="1"/>
    <col min="7" max="7" width="18.90625" style="14" customWidth="1"/>
    <col min="8" max="8" width="43.90625" style="14" customWidth="1"/>
    <col min="9" max="9" width="14.453125" style="14" customWidth="1"/>
    <col min="10" max="16384" width="8.6328125" style="14"/>
  </cols>
  <sheetData>
    <row r="1" spans="1:13" x14ac:dyDescent="0.3">
      <c r="A1" s="2" t="s">
        <v>1154</v>
      </c>
      <c r="B1" s="2"/>
    </row>
    <row r="2" spans="1:13" x14ac:dyDescent="0.3">
      <c r="A2" s="2"/>
      <c r="B2" s="2"/>
    </row>
    <row r="3" spans="1:13" x14ac:dyDescent="0.3">
      <c r="A3" s="2"/>
      <c r="B3" s="2"/>
    </row>
    <row r="4" spans="1:13" x14ac:dyDescent="0.3">
      <c r="A4" s="2"/>
      <c r="B4" s="2"/>
    </row>
    <row r="5" spans="1:13" x14ac:dyDescent="0.3">
      <c r="A5" s="1" t="s">
        <v>1155</v>
      </c>
      <c r="B5" s="1"/>
    </row>
    <row r="6" spans="1:13" ht="14.25" customHeight="1" x14ac:dyDescent="0.3">
      <c r="A6" s="263" t="s">
        <v>1156</v>
      </c>
      <c r="B6" s="264" t="str">
        <f>Master!C6</f>
        <v>APR-26</v>
      </c>
      <c r="D6" s="14" t="s">
        <v>1157</v>
      </c>
      <c r="G6" s="14" t="s">
        <v>1158</v>
      </c>
    </row>
    <row r="7" spans="1:13" ht="14.25" customHeight="1" x14ac:dyDescent="0.35">
      <c r="A7" s="265" t="s">
        <v>940</v>
      </c>
      <c r="B7" s="233">
        <f>SUMIF(General!$B$4:$B$172,A7,General!$K$4:$K$172)</f>
        <v>240833</v>
      </c>
      <c r="C7" s="49"/>
      <c r="D7" s="14" t="s">
        <v>1159</v>
      </c>
    </row>
    <row r="8" spans="1:13" ht="14.25" customHeight="1" x14ac:dyDescent="0.35">
      <c r="A8" s="265" t="s">
        <v>954</v>
      </c>
      <c r="B8" s="233">
        <f>SUMIF(General!$B$4:$B$172,A8,General!$K$4:$K$172)</f>
        <v>420</v>
      </c>
      <c r="C8" s="49"/>
      <c r="J8" s="266"/>
    </row>
    <row r="9" spans="1:13" ht="14.25" customHeight="1" x14ac:dyDescent="0.35">
      <c r="A9" s="265" t="s">
        <v>957</v>
      </c>
      <c r="B9" s="233">
        <f>SUMIF(General!$B$4:$B$172,A9,General!$K$4:$K$172)</f>
        <v>40665.300000000003</v>
      </c>
      <c r="C9" s="49"/>
      <c r="J9" s="266"/>
      <c r="M9" s="267"/>
    </row>
    <row r="10" spans="1:13" ht="14.25" customHeight="1" x14ac:dyDescent="0.35">
      <c r="A10" s="265" t="s">
        <v>961</v>
      </c>
      <c r="B10" s="233">
        <f>SUMIF(General!$B$4:$B$172,A10,General!$K$4:$K$172)</f>
        <v>21673.8</v>
      </c>
      <c r="C10" s="49"/>
      <c r="I10" s="266"/>
      <c r="J10" s="266"/>
      <c r="M10" s="267"/>
    </row>
    <row r="11" spans="1:13" ht="14.25" customHeight="1" x14ac:dyDescent="0.35">
      <c r="A11" s="265" t="s">
        <v>965</v>
      </c>
      <c r="B11" s="233">
        <f>SUMIF(General!$B$4:$B$172,A11,General!$K$4:$K$172)</f>
        <v>6878</v>
      </c>
      <c r="C11" s="49"/>
      <c r="J11" s="266"/>
      <c r="M11" s="267"/>
    </row>
    <row r="12" spans="1:13" ht="14.25" customHeight="1" x14ac:dyDescent="0.35">
      <c r="A12" s="265" t="s">
        <v>969</v>
      </c>
      <c r="B12" s="233">
        <f>SUMIF(General!$B$4:$B$172,A12,General!$K$4:$K$172)</f>
        <v>124090</v>
      </c>
      <c r="C12" s="49"/>
      <c r="J12" s="266"/>
      <c r="M12" s="267"/>
    </row>
    <row r="13" spans="1:13" ht="14.25" customHeight="1" x14ac:dyDescent="0.35">
      <c r="A13" s="265" t="s">
        <v>973</v>
      </c>
      <c r="B13" s="233">
        <f>SUMIF(General!$B$4:$B$172,A13,General!$K$4:$K$172)</f>
        <v>8550</v>
      </c>
      <c r="C13" s="49"/>
      <c r="J13" s="266"/>
      <c r="M13" s="267"/>
    </row>
    <row r="14" spans="1:13" ht="14.25" customHeight="1" x14ac:dyDescent="0.35">
      <c r="A14" s="265" t="s">
        <v>976</v>
      </c>
      <c r="B14" s="233">
        <f>SUMIF(General!$B$4:$B$172,A14,General!$K$4:$K$172)</f>
        <v>60050</v>
      </c>
      <c r="C14" s="49"/>
      <c r="J14" s="266"/>
      <c r="M14" s="267"/>
    </row>
    <row r="15" spans="1:13" ht="14.25" customHeight="1" x14ac:dyDescent="0.35">
      <c r="A15" s="265" t="s">
        <v>980</v>
      </c>
      <c r="B15" s="233">
        <f>SUMIF(General!$B$4:$B$172,A15,General!$K$4:$K$172)</f>
        <v>140000</v>
      </c>
      <c r="C15" s="49"/>
      <c r="J15" s="268"/>
      <c r="M15" s="267"/>
    </row>
    <row r="16" spans="1:13" ht="14.25" customHeight="1" x14ac:dyDescent="0.35">
      <c r="A16" s="265" t="s">
        <v>988</v>
      </c>
      <c r="B16" s="233">
        <f>SUMIF(General!$B$4:$B$172,A16,General!$K$4:$K$172)</f>
        <v>30940</v>
      </c>
      <c r="C16" s="49"/>
      <c r="J16" s="266"/>
      <c r="M16" s="267"/>
    </row>
    <row r="17" spans="1:13" ht="14.25" customHeight="1" x14ac:dyDescent="0.35">
      <c r="A17" s="265" t="s">
        <v>993</v>
      </c>
      <c r="B17" s="233">
        <f>SUMIF(General!$B$4:$B$172,A17,General!$K$4:$K$172)</f>
        <v>109436</v>
      </c>
      <c r="C17" s="49"/>
      <c r="J17" s="266"/>
      <c r="M17" s="267"/>
    </row>
    <row r="18" spans="1:13" ht="14.25" customHeight="1" x14ac:dyDescent="0.35">
      <c r="A18" s="265" t="s">
        <v>998</v>
      </c>
      <c r="B18" s="233">
        <f>SUMIF(General!$B$4:$B$172,A18,General!$K$4:$K$172)</f>
        <v>6000</v>
      </c>
      <c r="C18" s="49"/>
      <c r="J18" s="266"/>
      <c r="M18" s="267"/>
    </row>
    <row r="19" spans="1:13" ht="14.25" customHeight="1" x14ac:dyDescent="0.35">
      <c r="A19" s="265" t="s">
        <v>1000</v>
      </c>
      <c r="B19" s="233">
        <f>SUMIF(General!$B$4:$B$172,A19,General!$K$4:$K$172)</f>
        <v>3574.87</v>
      </c>
      <c r="C19" s="49"/>
      <c r="J19" s="266"/>
      <c r="M19" s="267"/>
    </row>
    <row r="20" spans="1:13" ht="14.25" customHeight="1" x14ac:dyDescent="0.35">
      <c r="A20" s="265" t="s">
        <v>1004</v>
      </c>
      <c r="B20" s="233">
        <f>SUMIF(General!$B$4:$B$172,A20,General!$K$4:$K$172)</f>
        <v>49746</v>
      </c>
      <c r="C20" s="49"/>
      <c r="J20" s="266"/>
      <c r="M20" s="267"/>
    </row>
    <row r="21" spans="1:13" ht="14.25" customHeight="1" x14ac:dyDescent="0.35">
      <c r="A21" s="265" t="s">
        <v>1017</v>
      </c>
      <c r="B21" s="233">
        <f>SUMIF(General!$B$4:$B$172,A21,General!$K$4:$K$172)</f>
        <v>123137.5</v>
      </c>
      <c r="C21" s="49"/>
      <c r="J21" s="266"/>
      <c r="M21" s="267"/>
    </row>
    <row r="22" spans="1:13" ht="14.25" customHeight="1" x14ac:dyDescent="0.35">
      <c r="A22" s="265" t="s">
        <v>1040</v>
      </c>
      <c r="B22" s="233">
        <f>SUMIF(General!$B$4:$B$172,A22,General!$K$4:$K$172)</f>
        <v>10000</v>
      </c>
      <c r="C22" s="49"/>
      <c r="J22" s="266"/>
      <c r="M22" s="267"/>
    </row>
    <row r="23" spans="1:13" ht="14.25" customHeight="1" x14ac:dyDescent="0.35">
      <c r="A23" s="265" t="s">
        <v>1044</v>
      </c>
      <c r="B23" s="233">
        <f>SUMIF(General!$B$4:$B$172,A23,General!$K$4:$K$172)</f>
        <v>94000</v>
      </c>
      <c r="C23" s="49"/>
      <c r="J23" s="266"/>
      <c r="M23" s="267"/>
    </row>
    <row r="24" spans="1:13" ht="14.25" customHeight="1" x14ac:dyDescent="0.35">
      <c r="A24" s="265" t="s">
        <v>1048</v>
      </c>
      <c r="B24" s="233">
        <f>SUMIF(General!$B$4:$B$172,A24,General!$K$4:$K$172)</f>
        <v>56111</v>
      </c>
      <c r="C24" s="49"/>
      <c r="J24" s="266"/>
      <c r="M24" s="267"/>
    </row>
    <row r="25" spans="1:13" ht="14.25" customHeight="1" x14ac:dyDescent="0.35">
      <c r="A25" s="265" t="s">
        <v>1052</v>
      </c>
      <c r="B25" s="233">
        <f>SUMIF(General!$B$4:$B$172,A25,General!$K$4:$K$172)</f>
        <v>47150.46</v>
      </c>
      <c r="C25" s="49"/>
      <c r="J25" s="266"/>
      <c r="M25" s="267"/>
    </row>
    <row r="26" spans="1:13" ht="14.25" customHeight="1" x14ac:dyDescent="0.35">
      <c r="A26" s="265" t="s">
        <v>1059</v>
      </c>
      <c r="B26" s="233">
        <f>SUMIF(General!$B$4:$B$172,A26,General!$K$4:$K$172)</f>
        <v>11500</v>
      </c>
      <c r="C26" s="49"/>
      <c r="J26" s="266"/>
      <c r="M26" s="267"/>
    </row>
    <row r="27" spans="1:13" ht="14.25" customHeight="1" x14ac:dyDescent="0.35">
      <c r="A27" s="265" t="s">
        <v>1062</v>
      </c>
      <c r="B27" s="233">
        <f>SUMIF(General!$B$4:$B$172,A27,General!$K$4:$K$172)</f>
        <v>48000</v>
      </c>
      <c r="C27" s="49"/>
      <c r="I27" s="266"/>
      <c r="J27" s="266"/>
      <c r="M27" s="267"/>
    </row>
    <row r="28" spans="1:13" ht="14.25" customHeight="1" x14ac:dyDescent="0.35">
      <c r="A28" s="265" t="s">
        <v>1066</v>
      </c>
      <c r="B28" s="233">
        <f>SUMIF(General!$B$4:$B$172,A28,General!$K$4:$K$172)</f>
        <v>80955.28</v>
      </c>
      <c r="C28" s="49"/>
      <c r="J28" s="266"/>
      <c r="M28" s="267"/>
    </row>
    <row r="29" spans="1:13" ht="14.25" customHeight="1" x14ac:dyDescent="0.35">
      <c r="A29" s="265" t="s">
        <v>1071</v>
      </c>
      <c r="B29" s="233">
        <f>SUMIF(General!$B$4:$B$172,A29,General!$K$4:$K$172)</f>
        <v>11700</v>
      </c>
      <c r="C29" s="49"/>
      <c r="J29" s="266"/>
      <c r="M29" s="267"/>
    </row>
    <row r="30" spans="1:13" ht="14.25" customHeight="1" x14ac:dyDescent="0.35">
      <c r="A30" s="265" t="s">
        <v>1073</v>
      </c>
      <c r="B30" s="233">
        <f>SUMIF(General!$B$4:$B$172,A30,General!$K$4:$K$172)</f>
        <v>732175</v>
      </c>
      <c r="C30" s="49"/>
      <c r="J30" s="266"/>
      <c r="M30" s="267"/>
    </row>
    <row r="31" spans="1:13" ht="14.25" customHeight="1" x14ac:dyDescent="0.35">
      <c r="A31" s="265" t="s">
        <v>1076</v>
      </c>
      <c r="B31" s="233">
        <f>SUMIF(General!$B$4:$B$172,A31,General!$K$4:$K$172)</f>
        <v>11479</v>
      </c>
      <c r="J31" s="266"/>
      <c r="M31" s="267"/>
    </row>
    <row r="32" spans="1:13" ht="14.25" customHeight="1" x14ac:dyDescent="0.35">
      <c r="A32" s="265" t="s">
        <v>1080</v>
      </c>
      <c r="B32" s="233">
        <f>SUMIF(General!$B$4:$B$172,A32,General!$K$4:$K$172)</f>
        <v>6259754</v>
      </c>
      <c r="C32" s="269"/>
      <c r="M32" s="267"/>
    </row>
    <row r="33" spans="1:13" ht="14.25" customHeight="1" x14ac:dyDescent="0.35">
      <c r="A33" s="265" t="s">
        <v>1118</v>
      </c>
      <c r="B33" s="233">
        <f>SUMIF(General!$B$4:$B$172,A33,General!$K$4:$K$172)</f>
        <v>51003</v>
      </c>
      <c r="M33" s="267"/>
    </row>
    <row r="34" spans="1:13" ht="14.25" customHeight="1" x14ac:dyDescent="0.35">
      <c r="A34" s="265" t="s">
        <v>1121</v>
      </c>
      <c r="B34" s="233">
        <f>SUMIF(General!$B$4:$B$172,A34,General!$K$4:$K$172)</f>
        <v>62408</v>
      </c>
      <c r="M34" s="267"/>
    </row>
    <row r="35" spans="1:13" ht="14.25" customHeight="1" x14ac:dyDescent="0.35">
      <c r="A35" s="265" t="s">
        <v>1123</v>
      </c>
      <c r="B35" s="233">
        <f>SUMIF(General!$B$4:$B$172,A35,General!$K$4:$K$172)</f>
        <v>6317.01</v>
      </c>
      <c r="M35" s="267"/>
    </row>
    <row r="36" spans="1:13" ht="14.25" customHeight="1" x14ac:dyDescent="0.35">
      <c r="A36" s="265" t="s">
        <v>1132</v>
      </c>
      <c r="B36" s="233">
        <f>SUMIF(General!$B$4:$B$172,A36,General!$K$4:$K$172)</f>
        <v>66299</v>
      </c>
      <c r="M36" s="267"/>
    </row>
    <row r="37" spans="1:13" ht="14.25" customHeight="1" x14ac:dyDescent="0.35">
      <c r="A37" s="270"/>
      <c r="B37" s="271"/>
      <c r="M37" s="267"/>
    </row>
    <row r="38" spans="1:13" ht="14.25" customHeight="1" x14ac:dyDescent="0.35">
      <c r="A38" s="272"/>
      <c r="B38" s="271"/>
      <c r="M38" s="267"/>
    </row>
    <row r="39" spans="1:13" ht="14.25" customHeight="1" x14ac:dyDescent="0.35">
      <c r="A39" s="270" t="s">
        <v>1160</v>
      </c>
      <c r="B39" s="271"/>
      <c r="M39" s="267"/>
    </row>
    <row r="40" spans="1:13" ht="14.25" customHeight="1" x14ac:dyDescent="0.3">
      <c r="A40" s="270" t="s">
        <v>1161</v>
      </c>
      <c r="B40" s="271">
        <v>0</v>
      </c>
    </row>
    <row r="41" spans="1:13" ht="14.25" customHeight="1" x14ac:dyDescent="0.3">
      <c r="A41" s="270" t="s">
        <v>1162</v>
      </c>
      <c r="B41" s="271"/>
    </row>
    <row r="42" spans="1:13" ht="14.25" customHeight="1" x14ac:dyDescent="0.3">
      <c r="A42" s="273" t="s">
        <v>1163</v>
      </c>
      <c r="B42" s="274">
        <f>SUM(B7:B41)</f>
        <v>8514846.2200000007</v>
      </c>
      <c r="C42" s="269"/>
      <c r="D42" s="266"/>
    </row>
    <row r="43" spans="1:13" ht="14.25" customHeight="1" x14ac:dyDescent="0.3">
      <c r="A43" s="275"/>
      <c r="B43" s="276"/>
      <c r="C43" s="269"/>
      <c r="D43" s="266"/>
    </row>
    <row r="44" spans="1:13" ht="14.25" customHeight="1" x14ac:dyDescent="0.3">
      <c r="A44" s="277"/>
      <c r="B44" s="278"/>
      <c r="C44" s="269"/>
      <c r="D44" s="266"/>
    </row>
    <row r="45" spans="1:13" ht="14.25" customHeight="1" x14ac:dyDescent="0.3">
      <c r="A45" s="273" t="s">
        <v>1164</v>
      </c>
      <c r="B45" s="271"/>
      <c r="C45" s="269"/>
      <c r="D45" s="266"/>
    </row>
    <row r="46" spans="1:13" ht="14.25" customHeight="1" x14ac:dyDescent="0.3">
      <c r="A46" s="279" t="s">
        <v>1165</v>
      </c>
      <c r="B46" s="271">
        <f>General!C226</f>
        <v>31380</v>
      </c>
      <c r="D46" s="266"/>
    </row>
    <row r="47" spans="1:13" x14ac:dyDescent="0.3">
      <c r="A47" s="279" t="s">
        <v>1166</v>
      </c>
      <c r="B47" s="271"/>
      <c r="C47" s="269"/>
      <c r="D47" s="266"/>
    </row>
    <row r="48" spans="1:13" x14ac:dyDescent="0.3">
      <c r="A48" s="272"/>
      <c r="B48" s="271"/>
      <c r="C48" s="68"/>
    </row>
    <row r="49" spans="1:4" x14ac:dyDescent="0.3">
      <c r="A49" s="272" t="s">
        <v>1167</v>
      </c>
      <c r="B49" s="271"/>
    </row>
    <row r="50" spans="1:4" x14ac:dyDescent="0.3">
      <c r="A50" s="272"/>
      <c r="B50" s="271"/>
      <c r="C50" s="280"/>
    </row>
    <row r="51" spans="1:4" x14ac:dyDescent="0.3">
      <c r="A51" s="272" t="s">
        <v>1168</v>
      </c>
      <c r="B51" s="281">
        <f>General!K181</f>
        <v>539519</v>
      </c>
      <c r="C51" s="269"/>
      <c r="D51" s="266"/>
    </row>
    <row r="52" spans="1:4" x14ac:dyDescent="0.3">
      <c r="A52" s="282"/>
      <c r="B52" s="283"/>
      <c r="C52" s="269"/>
    </row>
    <row r="53" spans="1:4" x14ac:dyDescent="0.3">
      <c r="A53" s="284" t="s">
        <v>1169</v>
      </c>
      <c r="B53" s="264" t="str">
        <f>Master!C6</f>
        <v>APR-26</v>
      </c>
    </row>
    <row r="54" spans="1:4" x14ac:dyDescent="0.3">
      <c r="A54" s="285" t="s">
        <v>1170</v>
      </c>
      <c r="B54" s="286" t="s">
        <v>478</v>
      </c>
    </row>
    <row r="55" spans="1:4" x14ac:dyDescent="0.3">
      <c r="A55" s="287" t="s">
        <v>86</v>
      </c>
      <c r="B55" s="288">
        <f>'DE-ICE'!C9</f>
        <v>918550</v>
      </c>
      <c r="C55" s="269"/>
    </row>
    <row r="56" spans="1:4" x14ac:dyDescent="0.3">
      <c r="A56" s="289" t="s">
        <v>82</v>
      </c>
      <c r="B56" s="290">
        <f>'DE-XT'!C8</f>
        <v>3036049.34</v>
      </c>
      <c r="C56" s="269"/>
    </row>
    <row r="57" spans="1:4" x14ac:dyDescent="0.3">
      <c r="A57" s="291" t="s">
        <v>87</v>
      </c>
      <c r="B57" s="292">
        <f>SUM(B55:B56)</f>
        <v>3954599.34</v>
      </c>
      <c r="C57" s="269"/>
    </row>
    <row r="58" spans="1:4" x14ac:dyDescent="0.3">
      <c r="A58" s="293" t="s">
        <v>1171</v>
      </c>
      <c r="B58" s="294">
        <f>$B$42</f>
        <v>8514846.2200000007</v>
      </c>
    </row>
    <row r="59" spans="1:4" x14ac:dyDescent="0.3">
      <c r="A59" s="291" t="s">
        <v>87</v>
      </c>
      <c r="B59" s="274">
        <f>B57+B58</f>
        <v>12469445.560000001</v>
      </c>
    </row>
    <row r="60" spans="1:4" x14ac:dyDescent="0.3">
      <c r="A60" s="280"/>
      <c r="B60" s="288"/>
    </row>
    <row r="61" spans="1:4" x14ac:dyDescent="0.3">
      <c r="A61" s="291" t="s">
        <v>1172</v>
      </c>
      <c r="B61" s="274" t="s">
        <v>1173</v>
      </c>
    </row>
    <row r="62" spans="1:4" x14ac:dyDescent="0.3">
      <c r="A62" s="293" t="s">
        <v>86</v>
      </c>
      <c r="B62" s="295" t="e">
        <f>+#REF!</f>
        <v>#REF!</v>
      </c>
    </row>
    <row r="63" spans="1:4" x14ac:dyDescent="0.3">
      <c r="A63" s="289" t="s">
        <v>82</v>
      </c>
      <c r="B63" s="295" t="e">
        <f>+#REF!</f>
        <v>#REF!</v>
      </c>
    </row>
    <row r="64" spans="1:4" x14ac:dyDescent="0.3">
      <c r="A64" s="291" t="s">
        <v>478</v>
      </c>
      <c r="B64" s="274" t="e">
        <f>SUM(B62:B63)</f>
        <v>#REF!</v>
      </c>
    </row>
    <row r="65" spans="1:2" x14ac:dyDescent="0.3">
      <c r="A65" s="280"/>
      <c r="B65" s="288"/>
    </row>
    <row r="66" spans="1:2" x14ac:dyDescent="0.3">
      <c r="A66" s="291" t="s">
        <v>1174</v>
      </c>
      <c r="B66" s="270" t="str">
        <f>IFERROR(B58/B64,"Pending CB")</f>
        <v>Pending CB</v>
      </c>
    </row>
    <row r="67" spans="1:2" x14ac:dyDescent="0.3">
      <c r="A67" s="280"/>
      <c r="B67" s="288"/>
    </row>
    <row r="68" spans="1:2" x14ac:dyDescent="0.3">
      <c r="A68" s="291" t="s">
        <v>1175</v>
      </c>
      <c r="B68" s="296">
        <f>Forex!C2</f>
        <v>94.943200000000004</v>
      </c>
    </row>
    <row r="69" spans="1:2" x14ac:dyDescent="0.3">
      <c r="A69" s="280"/>
      <c r="B69" s="288"/>
    </row>
    <row r="70" spans="1:2" x14ac:dyDescent="0.3">
      <c r="A70" s="291" t="s">
        <v>1176</v>
      </c>
      <c r="B70" s="270" t="str">
        <f>IFERROR(B66/B68,"Pending CB")</f>
        <v>Pending CB</v>
      </c>
    </row>
  </sheetData>
  <autoFilter ref="A1:B47" xr:uid="{00000000-0009-0000-0000-000009000000}">
    <filterColumn colId="0" hiddenButton="1"/>
  </autoFilter>
  <mergeCells count="2">
    <mergeCell ref="A1:B4"/>
    <mergeCell ref="A5:B5"/>
  </mergeCells>
  <pageMargins left="0.7" right="0.7" top="0.75" bottom="0.75" header="0.511811023622047" footer="0.511811023622047"/>
  <pageSetup orientation="portrait" horizontalDpi="300" verticalDpi="300"/>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S97"/>
  <sheetViews>
    <sheetView zoomScale="85" zoomScaleNormal="85" workbookViewId="0">
      <pane xSplit="1" ySplit="8" topLeftCell="B77" activePane="bottomRight" state="frozen"/>
      <selection pane="topRight" activeCell="B1" sqref="B1"/>
      <selection pane="bottomLeft" activeCell="A77" sqref="A77"/>
      <selection pane="bottomRight" activeCell="J100" sqref="J100"/>
    </sheetView>
  </sheetViews>
  <sheetFormatPr defaultColWidth="8.6328125" defaultRowHeight="14" x14ac:dyDescent="0.35"/>
  <cols>
    <col min="1" max="1" width="44.453125" style="214" customWidth="1"/>
    <col min="2" max="7" width="13.36328125" style="214" customWidth="1"/>
    <col min="8" max="8" width="14.90625" style="214" customWidth="1"/>
    <col min="9" max="10" width="13.36328125" style="214" customWidth="1"/>
    <col min="11" max="11" width="15.6328125" style="214" customWidth="1"/>
    <col min="12" max="12" width="15.54296875" style="214" customWidth="1"/>
    <col min="13" max="13" width="14.08984375" style="214" customWidth="1"/>
    <col min="14" max="14" width="20.90625" style="214" customWidth="1"/>
    <col min="15" max="15" width="15.54296875" style="214" customWidth="1"/>
    <col min="16" max="16" width="18" style="214" customWidth="1"/>
    <col min="17" max="17" width="35.6328125" style="214" customWidth="1"/>
    <col min="18" max="18" width="22" style="214" customWidth="1"/>
    <col min="19" max="19" width="13.453125" style="214" customWidth="1"/>
    <col min="20" max="16384" width="8.6328125" style="214"/>
  </cols>
  <sheetData>
    <row r="1" spans="1:17" x14ac:dyDescent="0.35">
      <c r="A1" s="350" t="s">
        <v>1154</v>
      </c>
      <c r="B1" s="350"/>
      <c r="C1" s="350"/>
      <c r="D1" s="350"/>
      <c r="E1" s="350"/>
      <c r="F1" s="350"/>
      <c r="G1" s="350"/>
      <c r="H1" s="350"/>
      <c r="I1" s="350"/>
      <c r="J1" s="350"/>
      <c r="K1" s="350"/>
      <c r="L1" s="350"/>
      <c r="M1" s="350"/>
      <c r="N1" s="350"/>
      <c r="O1" s="350"/>
    </row>
    <row r="2" spans="1:17" x14ac:dyDescent="0.35">
      <c r="A2" s="350"/>
      <c r="B2" s="350"/>
      <c r="C2" s="350"/>
      <c r="D2" s="350"/>
      <c r="E2" s="350"/>
      <c r="F2" s="350"/>
      <c r="G2" s="350"/>
      <c r="H2" s="350"/>
      <c r="I2" s="350"/>
      <c r="J2" s="350"/>
      <c r="K2" s="350"/>
      <c r="L2" s="350"/>
      <c r="M2" s="350"/>
      <c r="N2" s="350"/>
      <c r="O2" s="350"/>
    </row>
    <row r="3" spans="1:17" x14ac:dyDescent="0.35">
      <c r="A3" s="350"/>
      <c r="B3" s="350"/>
      <c r="C3" s="350"/>
      <c r="D3" s="350"/>
      <c r="E3" s="350"/>
      <c r="F3" s="350"/>
      <c r="G3" s="350"/>
      <c r="H3" s="350"/>
      <c r="I3" s="350"/>
      <c r="J3" s="350"/>
      <c r="K3" s="350"/>
      <c r="L3" s="350"/>
      <c r="M3" s="350"/>
      <c r="N3" s="350"/>
      <c r="O3" s="350"/>
    </row>
    <row r="4" spans="1:17" x14ac:dyDescent="0.35">
      <c r="A4" s="350"/>
      <c r="B4" s="350"/>
      <c r="C4" s="350"/>
      <c r="D4" s="350"/>
      <c r="E4" s="350"/>
      <c r="F4" s="350"/>
      <c r="G4" s="350"/>
      <c r="H4" s="350"/>
      <c r="I4" s="350"/>
      <c r="J4" s="350"/>
      <c r="K4" s="350"/>
      <c r="L4" s="350"/>
      <c r="M4" s="350"/>
      <c r="N4" s="350"/>
      <c r="O4" s="350"/>
    </row>
    <row r="5" spans="1:17" x14ac:dyDescent="0.35">
      <c r="A5" s="350"/>
      <c r="B5" s="350"/>
      <c r="C5" s="350"/>
      <c r="D5" s="350"/>
      <c r="E5" s="350"/>
      <c r="F5" s="350"/>
      <c r="G5" s="350"/>
      <c r="H5" s="350"/>
      <c r="I5" s="350"/>
      <c r="J5" s="350"/>
      <c r="K5" s="350"/>
      <c r="L5" s="350"/>
      <c r="M5" s="350"/>
      <c r="N5" s="350"/>
      <c r="O5" s="350"/>
    </row>
    <row r="6" spans="1:17" x14ac:dyDescent="0.35">
      <c r="A6" s="350"/>
      <c r="B6" s="350"/>
      <c r="C6" s="350"/>
      <c r="D6" s="350"/>
      <c r="E6" s="350"/>
      <c r="F6" s="350"/>
      <c r="G6" s="350"/>
      <c r="H6" s="350"/>
      <c r="I6" s="350"/>
      <c r="J6" s="350"/>
      <c r="K6" s="350"/>
      <c r="L6" s="350"/>
      <c r="M6" s="350"/>
      <c r="N6" s="350"/>
      <c r="O6" s="350"/>
    </row>
    <row r="7" spans="1:17" ht="24.75" customHeight="1" x14ac:dyDescent="0.35">
      <c r="A7" s="351" t="s">
        <v>1155</v>
      </c>
      <c r="B7" s="351"/>
      <c r="C7" s="351"/>
      <c r="D7" s="351"/>
      <c r="E7" s="351"/>
      <c r="F7" s="351"/>
      <c r="G7" s="351"/>
      <c r="H7" s="351"/>
      <c r="I7" s="351"/>
      <c r="J7" s="351"/>
      <c r="K7" s="351"/>
      <c r="L7" s="351"/>
      <c r="M7" s="351"/>
      <c r="N7" s="351"/>
      <c r="O7" s="351"/>
    </row>
    <row r="8" spans="1:17" x14ac:dyDescent="0.35">
      <c r="A8" s="297" t="s">
        <v>1177</v>
      </c>
      <c r="B8" s="298">
        <v>45748</v>
      </c>
      <c r="C8" s="298">
        <v>45778</v>
      </c>
      <c r="D8" s="298">
        <v>45809</v>
      </c>
      <c r="E8" s="298">
        <v>45839</v>
      </c>
      <c r="F8" s="298">
        <v>45870</v>
      </c>
      <c r="G8" s="298">
        <v>45901</v>
      </c>
      <c r="H8" s="298">
        <v>45931</v>
      </c>
      <c r="I8" s="298">
        <v>45962</v>
      </c>
      <c r="J8" s="298">
        <v>45992</v>
      </c>
      <c r="K8" s="298">
        <v>46023</v>
      </c>
      <c r="L8" s="298">
        <v>46054</v>
      </c>
      <c r="M8" s="298">
        <v>46082</v>
      </c>
      <c r="N8" s="299" t="s">
        <v>478</v>
      </c>
    </row>
    <row r="9" spans="1:17" ht="14.25" customHeight="1" x14ac:dyDescent="0.35">
      <c r="A9" s="300" t="s">
        <v>1178</v>
      </c>
      <c r="B9" s="301">
        <v>92183.5</v>
      </c>
      <c r="C9" s="301">
        <v>65878</v>
      </c>
      <c r="D9" s="301">
        <v>25628</v>
      </c>
      <c r="E9" s="301">
        <v>59378</v>
      </c>
      <c r="F9" s="301">
        <v>6878</v>
      </c>
      <c r="G9" s="301">
        <v>25628</v>
      </c>
      <c r="H9" s="301">
        <v>6878</v>
      </c>
      <c r="I9" s="301">
        <v>59378</v>
      </c>
      <c r="J9" s="301">
        <v>25628</v>
      </c>
      <c r="K9" s="301">
        <v>271878</v>
      </c>
      <c r="L9" s="301">
        <v>52978</v>
      </c>
      <c r="M9" s="301">
        <v>50628</v>
      </c>
      <c r="N9" s="302">
        <f t="shared" ref="N9:N41" si="0">SUM(B9:M9)</f>
        <v>742941.5</v>
      </c>
      <c r="Q9" s="267"/>
    </row>
    <row r="10" spans="1:17" ht="14.25" customHeight="1" x14ac:dyDescent="0.35">
      <c r="A10" s="300" t="s">
        <v>1179</v>
      </c>
      <c r="B10" s="301"/>
      <c r="C10" s="301"/>
      <c r="D10" s="301"/>
      <c r="E10" s="301"/>
      <c r="F10" s="301"/>
      <c r="G10" s="301"/>
      <c r="H10" s="301">
        <v>158363.06</v>
      </c>
      <c r="I10" s="301"/>
      <c r="J10" s="301"/>
      <c r="K10" s="301"/>
      <c r="L10" s="301"/>
      <c r="M10" s="301"/>
      <c r="N10" s="302">
        <f t="shared" si="0"/>
        <v>158363.06</v>
      </c>
      <c r="Q10" s="267"/>
    </row>
    <row r="11" spans="1:17" ht="14.25" customHeight="1" x14ac:dyDescent="0.35">
      <c r="A11" s="300" t="s">
        <v>1180</v>
      </c>
      <c r="B11" s="301">
        <v>4922</v>
      </c>
      <c r="C11" s="301">
        <v>37459.360000000001</v>
      </c>
      <c r="D11" s="301">
        <v>4184.4799999999996</v>
      </c>
      <c r="E11" s="301">
        <v>4663.24</v>
      </c>
      <c r="F11" s="301">
        <v>162711.33379999999</v>
      </c>
      <c r="G11" s="301">
        <v>3272.36</v>
      </c>
      <c r="H11" s="301">
        <v>4997.04</v>
      </c>
      <c r="I11" s="301">
        <v>3006.31</v>
      </c>
      <c r="J11" s="301">
        <v>13406.06</v>
      </c>
      <c r="K11" s="301">
        <v>5737.37</v>
      </c>
      <c r="L11" s="301">
        <v>3904.75</v>
      </c>
      <c r="M11" s="301">
        <v>6715.56</v>
      </c>
      <c r="N11" s="302">
        <f t="shared" si="0"/>
        <v>254979.86379999996</v>
      </c>
      <c r="Q11" s="267"/>
    </row>
    <row r="12" spans="1:17" ht="14.25" customHeight="1" x14ac:dyDescent="0.35">
      <c r="A12" s="300" t="s">
        <v>1181</v>
      </c>
      <c r="B12" s="301">
        <v>2550</v>
      </c>
      <c r="C12" s="301"/>
      <c r="D12" s="301"/>
      <c r="E12" s="301"/>
      <c r="F12" s="301">
        <v>3715.3</v>
      </c>
      <c r="G12" s="301"/>
      <c r="H12" s="301"/>
      <c r="I12" s="301"/>
      <c r="J12" s="301"/>
      <c r="K12" s="301"/>
      <c r="L12" s="301"/>
      <c r="M12" s="301"/>
      <c r="N12" s="302">
        <f t="shared" si="0"/>
        <v>6265.3</v>
      </c>
      <c r="Q12" s="267"/>
    </row>
    <row r="13" spans="1:17" ht="14.25" customHeight="1" x14ac:dyDescent="0.35">
      <c r="A13" s="300" t="s">
        <v>1182</v>
      </c>
      <c r="B13" s="301">
        <v>793</v>
      </c>
      <c r="C13" s="301">
        <v>14928.7</v>
      </c>
      <c r="D13" s="301">
        <v>1217</v>
      </c>
      <c r="E13" s="301">
        <v>47157.72</v>
      </c>
      <c r="F13" s="301">
        <v>669</v>
      </c>
      <c r="G13" s="301">
        <v>6425</v>
      </c>
      <c r="H13" s="301">
        <v>25814.762711864401</v>
      </c>
      <c r="I13" s="301">
        <v>9156</v>
      </c>
      <c r="J13" s="301">
        <v>13441.4408</v>
      </c>
      <c r="K13" s="301">
        <v>35231.389830508502</v>
      </c>
      <c r="L13" s="301">
        <v>380</v>
      </c>
      <c r="M13" s="301">
        <v>26514.6</v>
      </c>
      <c r="N13" s="302">
        <f t="shared" si="0"/>
        <v>181728.6133423729</v>
      </c>
      <c r="Q13" s="267"/>
    </row>
    <row r="14" spans="1:17" ht="14.25" customHeight="1" x14ac:dyDescent="0.35">
      <c r="A14" s="300" t="s">
        <v>1183</v>
      </c>
      <c r="B14" s="301"/>
      <c r="C14" s="301">
        <v>64940</v>
      </c>
      <c r="D14" s="301">
        <v>61970</v>
      </c>
      <c r="E14" s="301">
        <v>63232.639999999999</v>
      </c>
      <c r="F14" s="301">
        <v>56676.27</v>
      </c>
      <c r="G14" s="301">
        <v>49720</v>
      </c>
      <c r="H14" s="301">
        <v>55460</v>
      </c>
      <c r="I14" s="301">
        <v>55450</v>
      </c>
      <c r="J14" s="301">
        <v>52840</v>
      </c>
      <c r="K14" s="301">
        <v>65940</v>
      </c>
      <c r="L14" s="301">
        <v>46160</v>
      </c>
      <c r="M14" s="301">
        <v>212530</v>
      </c>
      <c r="N14" s="302">
        <f t="shared" si="0"/>
        <v>784918.91</v>
      </c>
      <c r="Q14" s="267"/>
    </row>
    <row r="15" spans="1:17" ht="14.25" customHeight="1" x14ac:dyDescent="0.35">
      <c r="A15" s="300" t="s">
        <v>1184</v>
      </c>
      <c r="B15" s="301">
        <v>40665.300000000003</v>
      </c>
      <c r="C15" s="301">
        <v>40665.300000000003</v>
      </c>
      <c r="D15" s="301">
        <v>40665.300000000003</v>
      </c>
      <c r="E15" s="301">
        <v>40665.300000000003</v>
      </c>
      <c r="F15" s="301">
        <v>40665.300000000003</v>
      </c>
      <c r="G15" s="301">
        <v>40665.32</v>
      </c>
      <c r="H15" s="301">
        <v>40665.300000000003</v>
      </c>
      <c r="I15" s="301">
        <v>40665.300000000003</v>
      </c>
      <c r="J15" s="301">
        <v>39353.440000000002</v>
      </c>
      <c r="K15" s="301">
        <v>40665.300000000003</v>
      </c>
      <c r="L15" s="301">
        <v>40665.300000000003</v>
      </c>
      <c r="M15" s="301">
        <v>40665.300000000003</v>
      </c>
      <c r="N15" s="302">
        <f t="shared" si="0"/>
        <v>486671.75999999995</v>
      </c>
      <c r="Q15" s="267"/>
    </row>
    <row r="16" spans="1:17" ht="14.25" customHeight="1" x14ac:dyDescent="0.35">
      <c r="A16" s="300" t="s">
        <v>1185</v>
      </c>
      <c r="B16" s="301"/>
      <c r="C16" s="301"/>
      <c r="D16" s="301"/>
      <c r="E16" s="301"/>
      <c r="F16" s="301"/>
      <c r="G16" s="301"/>
      <c r="H16" s="301"/>
      <c r="I16" s="301"/>
      <c r="J16" s="301"/>
      <c r="K16" s="301"/>
      <c r="L16" s="301"/>
      <c r="M16" s="301">
        <v>80136</v>
      </c>
      <c r="N16" s="302">
        <f t="shared" si="0"/>
        <v>80136</v>
      </c>
      <c r="Q16" s="267"/>
    </row>
    <row r="17" spans="1:17" ht="14.25" customHeight="1" x14ac:dyDescent="0.35">
      <c r="A17" s="300" t="s">
        <v>1186</v>
      </c>
      <c r="B17" s="301">
        <v>45008.34</v>
      </c>
      <c r="C17" s="301">
        <v>35309.040000000001</v>
      </c>
      <c r="D17" s="301">
        <v>44166.239999999998</v>
      </c>
      <c r="E17" s="301">
        <v>36764.550000000003</v>
      </c>
      <c r="F17" s="301">
        <v>36819.898305084796</v>
      </c>
      <c r="G17" s="301">
        <v>35338.49</v>
      </c>
      <c r="H17" s="301">
        <v>33827.2301694915</v>
      </c>
      <c r="I17" s="301">
        <v>48612</v>
      </c>
      <c r="J17" s="301">
        <v>37320.870000000003</v>
      </c>
      <c r="K17" s="301">
        <v>37049.42</v>
      </c>
      <c r="L17" s="301">
        <v>48298.79</v>
      </c>
      <c r="M17" s="301">
        <v>32772</v>
      </c>
      <c r="N17" s="302">
        <f t="shared" si="0"/>
        <v>471286.86847457621</v>
      </c>
      <c r="Q17" s="267"/>
    </row>
    <row r="18" spans="1:17" ht="14.25" customHeight="1" x14ac:dyDescent="0.35">
      <c r="A18" s="300" t="s">
        <v>1004</v>
      </c>
      <c r="B18" s="301">
        <v>89900</v>
      </c>
      <c r="C18" s="301">
        <v>40893</v>
      </c>
      <c r="D18" s="301">
        <v>49996</v>
      </c>
      <c r="E18" s="301">
        <v>52820.49</v>
      </c>
      <c r="F18" s="301">
        <v>53495</v>
      </c>
      <c r="G18" s="301">
        <v>39907.300000000003</v>
      </c>
      <c r="H18" s="301">
        <v>23149.5</v>
      </c>
      <c r="I18" s="301">
        <v>19727</v>
      </c>
      <c r="J18" s="301">
        <v>86911.9</v>
      </c>
      <c r="K18" s="301">
        <v>83850.09</v>
      </c>
      <c r="L18" s="301">
        <v>41416</v>
      </c>
      <c r="M18" s="301">
        <v>102591.92</v>
      </c>
      <c r="N18" s="302">
        <f t="shared" si="0"/>
        <v>684658.2</v>
      </c>
      <c r="Q18" s="267"/>
    </row>
    <row r="19" spans="1:17" ht="14.25" customHeight="1" x14ac:dyDescent="0.35">
      <c r="A19" s="300" t="s">
        <v>1187</v>
      </c>
      <c r="B19" s="301">
        <v>228625</v>
      </c>
      <c r="C19" s="301"/>
      <c r="D19" s="301"/>
      <c r="E19" s="301">
        <v>228625</v>
      </c>
      <c r="F19" s="301"/>
      <c r="G19" s="301"/>
      <c r="H19" s="301">
        <v>228625</v>
      </c>
      <c r="I19" s="301"/>
      <c r="J19" s="301"/>
      <c r="K19" s="301">
        <v>228625</v>
      </c>
      <c r="L19" s="301">
        <v>6801</v>
      </c>
      <c r="M19" s="301">
        <v>173942</v>
      </c>
      <c r="N19" s="302">
        <f t="shared" si="0"/>
        <v>1095243</v>
      </c>
      <c r="Q19" s="267"/>
    </row>
    <row r="20" spans="1:17" ht="14.25" customHeight="1" x14ac:dyDescent="0.35">
      <c r="A20" s="300" t="s">
        <v>1188</v>
      </c>
      <c r="B20" s="301">
        <v>85381</v>
      </c>
      <c r="C20" s="301">
        <v>82507</v>
      </c>
      <c r="D20" s="301">
        <v>62189</v>
      </c>
      <c r="E20" s="301">
        <v>83841</v>
      </c>
      <c r="F20" s="301">
        <v>49695</v>
      </c>
      <c r="G20" s="301">
        <v>48789</v>
      </c>
      <c r="H20" s="301">
        <f>2660449-8844</f>
        <v>2651605</v>
      </c>
      <c r="I20" s="301">
        <v>191625</v>
      </c>
      <c r="J20" s="301">
        <v>293956</v>
      </c>
      <c r="K20" s="301">
        <v>102528</v>
      </c>
      <c r="L20" s="301">
        <v>93799</v>
      </c>
      <c r="M20" s="301">
        <v>315883</v>
      </c>
      <c r="N20" s="302">
        <f t="shared" si="0"/>
        <v>4061798</v>
      </c>
      <c r="Q20" s="267"/>
    </row>
    <row r="21" spans="1:17" ht="14.25" customHeight="1" x14ac:dyDescent="0.35">
      <c r="A21" s="300" t="s">
        <v>1189</v>
      </c>
      <c r="B21" s="301">
        <v>101089</v>
      </c>
      <c r="C21" s="301">
        <v>86855</v>
      </c>
      <c r="D21" s="301">
        <v>115524</v>
      </c>
      <c r="E21" s="301">
        <v>126941</v>
      </c>
      <c r="F21" s="301">
        <v>127422</v>
      </c>
      <c r="G21" s="301">
        <v>107877</v>
      </c>
      <c r="H21" s="301">
        <v>108296</v>
      </c>
      <c r="I21" s="301">
        <v>102506</v>
      </c>
      <c r="J21" s="301">
        <v>110064</v>
      </c>
      <c r="K21" s="301">
        <v>108960</v>
      </c>
      <c r="L21" s="301">
        <v>106448</v>
      </c>
      <c r="M21" s="301">
        <v>99919</v>
      </c>
      <c r="N21" s="302">
        <f t="shared" si="0"/>
        <v>1301901</v>
      </c>
      <c r="Q21" s="267"/>
    </row>
    <row r="22" spans="1:17" ht="14.25" customHeight="1" x14ac:dyDescent="0.35">
      <c r="A22" s="300" t="s">
        <v>1000</v>
      </c>
      <c r="B22" s="301">
        <v>2827.67</v>
      </c>
      <c r="C22" s="301">
        <v>2455.9</v>
      </c>
      <c r="D22" s="301">
        <v>2797.65</v>
      </c>
      <c r="E22" s="301">
        <v>3682.73</v>
      </c>
      <c r="F22" s="301">
        <v>2960.74</v>
      </c>
      <c r="G22" s="301">
        <v>3164.54</v>
      </c>
      <c r="H22" s="301">
        <v>2928.67</v>
      </c>
      <c r="I22" s="301">
        <v>2864.19</v>
      </c>
      <c r="J22" s="301">
        <v>5266.04</v>
      </c>
      <c r="K22" s="301">
        <v>6360.96</v>
      </c>
      <c r="L22" s="301">
        <v>3329.84</v>
      </c>
      <c r="M22" s="301">
        <v>2812.14</v>
      </c>
      <c r="N22" s="302">
        <f t="shared" si="0"/>
        <v>41451.070000000007</v>
      </c>
      <c r="Q22" s="267"/>
    </row>
    <row r="23" spans="1:17" ht="14.25" customHeight="1" x14ac:dyDescent="0.35">
      <c r="A23" s="300" t="s">
        <v>1190</v>
      </c>
      <c r="B23" s="301">
        <v>6176.54</v>
      </c>
      <c r="C23" s="301">
        <v>41897.1</v>
      </c>
      <c r="D23" s="301">
        <v>5542.44</v>
      </c>
      <c r="E23" s="301">
        <v>10434.5</v>
      </c>
      <c r="F23" s="301">
        <v>3725.3</v>
      </c>
      <c r="G23" s="301">
        <v>8822.44</v>
      </c>
      <c r="H23" s="301">
        <v>8000</v>
      </c>
      <c r="I23" s="301">
        <v>8979.6</v>
      </c>
      <c r="J23" s="301">
        <v>3714.48</v>
      </c>
      <c r="K23" s="301">
        <v>4160.2</v>
      </c>
      <c r="L23" s="301">
        <v>23544</v>
      </c>
      <c r="M23" s="301">
        <v>63592</v>
      </c>
      <c r="N23" s="302">
        <f t="shared" si="0"/>
        <v>188588.6</v>
      </c>
      <c r="Q23" s="267"/>
    </row>
    <row r="24" spans="1:17" ht="14.25" customHeight="1" x14ac:dyDescent="0.35">
      <c r="A24" s="300" t="s">
        <v>940</v>
      </c>
      <c r="B24" s="301">
        <v>109860</v>
      </c>
      <c r="C24" s="301">
        <v>106690</v>
      </c>
      <c r="D24" s="301">
        <v>482955</v>
      </c>
      <c r="E24" s="301">
        <v>216626</v>
      </c>
      <c r="F24" s="301">
        <v>82500</v>
      </c>
      <c r="G24" s="301">
        <v>82500</v>
      </c>
      <c r="H24" s="301">
        <v>546287</v>
      </c>
      <c r="I24" s="301">
        <v>88500</v>
      </c>
      <c r="J24" s="301">
        <v>202500</v>
      </c>
      <c r="K24" s="301">
        <v>107500</v>
      </c>
      <c r="L24" s="301">
        <v>158751</v>
      </c>
      <c r="M24" s="301">
        <v>165000</v>
      </c>
      <c r="N24" s="302">
        <f t="shared" si="0"/>
        <v>2349669</v>
      </c>
      <c r="Q24" s="267"/>
    </row>
    <row r="25" spans="1:17" ht="14.25" customHeight="1" x14ac:dyDescent="0.35">
      <c r="A25" s="300" t="s">
        <v>998</v>
      </c>
      <c r="B25" s="301"/>
      <c r="C25" s="301"/>
      <c r="D25" s="301"/>
      <c r="E25" s="301"/>
      <c r="F25" s="301">
        <v>23887</v>
      </c>
      <c r="G25" s="301"/>
      <c r="H25" s="301"/>
      <c r="I25" s="301"/>
      <c r="J25" s="301"/>
      <c r="K25" s="301"/>
      <c r="L25" s="301">
        <v>371807</v>
      </c>
      <c r="M25" s="301"/>
      <c r="N25" s="302">
        <f t="shared" si="0"/>
        <v>395694</v>
      </c>
      <c r="Q25" s="267"/>
    </row>
    <row r="26" spans="1:17" ht="14.25" customHeight="1" x14ac:dyDescent="0.35">
      <c r="A26" s="300" t="s">
        <v>1191</v>
      </c>
      <c r="B26" s="301">
        <v>30754</v>
      </c>
      <c r="C26" s="301">
        <v>38931</v>
      </c>
      <c r="D26" s="301">
        <v>23995</v>
      </c>
      <c r="E26" s="301">
        <v>76480</v>
      </c>
      <c r="F26" s="301">
        <v>36415</v>
      </c>
      <c r="G26" s="301">
        <v>56371</v>
      </c>
      <c r="H26" s="301">
        <v>60499</v>
      </c>
      <c r="I26" s="301">
        <v>79086</v>
      </c>
      <c r="J26" s="301">
        <v>94859</v>
      </c>
      <c r="K26" s="301">
        <v>68510</v>
      </c>
      <c r="L26" s="301">
        <v>46159</v>
      </c>
      <c r="M26" s="301">
        <v>67736</v>
      </c>
      <c r="N26" s="302">
        <f t="shared" si="0"/>
        <v>679795</v>
      </c>
      <c r="Q26" s="267"/>
    </row>
    <row r="27" spans="1:17" ht="14.25" customHeight="1" x14ac:dyDescent="0.35">
      <c r="A27" s="300" t="s">
        <v>1192</v>
      </c>
      <c r="B27" s="301"/>
      <c r="C27" s="301"/>
      <c r="D27" s="301"/>
      <c r="E27" s="301"/>
      <c r="F27" s="301"/>
      <c r="G27" s="301"/>
      <c r="H27" s="301"/>
      <c r="I27" s="301"/>
      <c r="J27" s="301"/>
      <c r="K27" s="301"/>
      <c r="L27" s="301"/>
      <c r="M27" s="301"/>
      <c r="N27" s="302">
        <f t="shared" si="0"/>
        <v>0</v>
      </c>
      <c r="Q27" s="267"/>
    </row>
    <row r="28" spans="1:17" ht="14.25" customHeight="1" x14ac:dyDescent="0.35">
      <c r="A28" s="300" t="s">
        <v>1193</v>
      </c>
      <c r="B28" s="301">
        <v>21673.8</v>
      </c>
      <c r="C28" s="301">
        <v>21673.8</v>
      </c>
      <c r="D28" s="301">
        <v>21673.8</v>
      </c>
      <c r="E28" s="301">
        <v>21673.8</v>
      </c>
      <c r="F28" s="301">
        <v>21673.8</v>
      </c>
      <c r="G28" s="301">
        <v>21673.8</v>
      </c>
      <c r="H28" s="301">
        <v>21673.8</v>
      </c>
      <c r="I28" s="301">
        <v>21673.8</v>
      </c>
      <c r="J28" s="301">
        <v>21673.8</v>
      </c>
      <c r="K28" s="301">
        <v>21673.8</v>
      </c>
      <c r="L28" s="301">
        <v>21673.3</v>
      </c>
      <c r="M28" s="301">
        <v>21673.3</v>
      </c>
      <c r="N28" s="302">
        <f t="shared" si="0"/>
        <v>260084.59999999995</v>
      </c>
      <c r="Q28" s="267"/>
    </row>
    <row r="29" spans="1:17" ht="14.25" customHeight="1" x14ac:dyDescent="0.35">
      <c r="A29" s="300" t="s">
        <v>1194</v>
      </c>
      <c r="B29" s="301">
        <v>8373712.4448717898</v>
      </c>
      <c r="C29" s="301">
        <v>5831990</v>
      </c>
      <c r="D29" s="301">
        <v>6195778</v>
      </c>
      <c r="E29" s="301">
        <v>6127899.6666666698</v>
      </c>
      <c r="F29" s="301">
        <v>5865330</v>
      </c>
      <c r="G29" s="301">
        <v>5804141</v>
      </c>
      <c r="H29" s="301">
        <v>6267589</v>
      </c>
      <c r="I29" s="301">
        <v>6204827.3333333302</v>
      </c>
      <c r="J29" s="301">
        <v>6786960.3333333302</v>
      </c>
      <c r="K29" s="301">
        <v>7820976.5</v>
      </c>
      <c r="L29" s="301">
        <v>6948415</v>
      </c>
      <c r="M29" s="301">
        <v>6627749</v>
      </c>
      <c r="N29" s="302">
        <f t="shared" si="0"/>
        <v>78855368.278205127</v>
      </c>
      <c r="P29" s="303"/>
      <c r="Q29" s="267"/>
    </row>
    <row r="30" spans="1:17" ht="14.25" customHeight="1" x14ac:dyDescent="0.35">
      <c r="A30" s="300" t="s">
        <v>980</v>
      </c>
      <c r="B30" s="301">
        <v>21902</v>
      </c>
      <c r="C30" s="301">
        <v>188444</v>
      </c>
      <c r="D30" s="301">
        <v>32328</v>
      </c>
      <c r="E30" s="301">
        <v>34129</v>
      </c>
      <c r="F30" s="301">
        <v>5913</v>
      </c>
      <c r="G30" s="301">
        <v>15825</v>
      </c>
      <c r="H30" s="301">
        <v>89323.85</v>
      </c>
      <c r="I30" s="301">
        <v>161278</v>
      </c>
      <c r="J30" s="301">
        <v>35695</v>
      </c>
      <c r="K30" s="301">
        <v>8582</v>
      </c>
      <c r="L30" s="301">
        <v>10175</v>
      </c>
      <c r="M30" s="301">
        <v>125133</v>
      </c>
      <c r="N30" s="302">
        <f t="shared" si="0"/>
        <v>728727.85</v>
      </c>
      <c r="P30" s="304"/>
      <c r="Q30" s="267"/>
    </row>
    <row r="31" spans="1:17" ht="14.25" customHeight="1" x14ac:dyDescent="0.35">
      <c r="A31" s="300" t="s">
        <v>1132</v>
      </c>
      <c r="B31" s="301">
        <v>69841</v>
      </c>
      <c r="C31" s="301">
        <v>66342</v>
      </c>
      <c r="D31" s="301">
        <v>73441</v>
      </c>
      <c r="E31" s="301">
        <v>72123</v>
      </c>
      <c r="F31" s="301">
        <v>70263</v>
      </c>
      <c r="G31" s="301">
        <v>69649</v>
      </c>
      <c r="H31" s="301">
        <v>64351</v>
      </c>
      <c r="I31" s="301">
        <v>68743</v>
      </c>
      <c r="J31" s="301">
        <v>64915</v>
      </c>
      <c r="K31" s="301">
        <v>61260</v>
      </c>
      <c r="L31" s="301">
        <v>68099</v>
      </c>
      <c r="M31" s="301">
        <v>66449</v>
      </c>
      <c r="N31" s="302">
        <f t="shared" si="0"/>
        <v>815476</v>
      </c>
      <c r="P31" s="303"/>
      <c r="Q31" s="267"/>
    </row>
    <row r="32" spans="1:17" ht="14.25" customHeight="1" x14ac:dyDescent="0.35">
      <c r="A32" s="300" t="s">
        <v>1040</v>
      </c>
      <c r="C32" s="301"/>
      <c r="D32" s="301"/>
      <c r="E32" s="301"/>
      <c r="F32" s="301">
        <v>4250</v>
      </c>
      <c r="G32" s="301"/>
      <c r="H32" s="301"/>
      <c r="I32" s="301"/>
      <c r="J32" s="301"/>
      <c r="K32" s="301"/>
      <c r="L32" s="301">
        <v>29546</v>
      </c>
      <c r="M32" s="301"/>
      <c r="N32" s="302">
        <f t="shared" si="0"/>
        <v>33796</v>
      </c>
      <c r="Q32" s="267"/>
    </row>
    <row r="33" spans="1:18" ht="14.25" customHeight="1" x14ac:dyDescent="0.35">
      <c r="A33" s="300" t="s">
        <v>1062</v>
      </c>
      <c r="B33" s="301"/>
      <c r="C33" s="301">
        <v>33898</v>
      </c>
      <c r="D33" s="301"/>
      <c r="E33" s="301"/>
      <c r="F33" s="301">
        <v>11440.68</v>
      </c>
      <c r="G33" s="301"/>
      <c r="H33" s="301">
        <v>11278</v>
      </c>
      <c r="I33" s="301">
        <v>55000</v>
      </c>
      <c r="J33" s="301">
        <v>20788.98</v>
      </c>
      <c r="K33" s="301"/>
      <c r="L33" s="301">
        <v>55000</v>
      </c>
      <c r="M33" s="301">
        <v>91200</v>
      </c>
      <c r="N33" s="302">
        <f t="shared" si="0"/>
        <v>278605.66000000003</v>
      </c>
      <c r="Q33" s="267"/>
      <c r="R33" s="305"/>
    </row>
    <row r="34" spans="1:18" ht="14.25" customHeight="1" x14ac:dyDescent="0.35">
      <c r="A34" s="300" t="s">
        <v>1059</v>
      </c>
      <c r="B34" s="301">
        <v>60900</v>
      </c>
      <c r="C34" s="301"/>
      <c r="D34" s="301"/>
      <c r="E34" s="301">
        <v>38500</v>
      </c>
      <c r="F34" s="301"/>
      <c r="G34" s="301"/>
      <c r="H34" s="301">
        <v>42051</v>
      </c>
      <c r="I34" s="301">
        <v>15965</v>
      </c>
      <c r="J34" s="301"/>
      <c r="K34" s="301"/>
      <c r="L34" s="301"/>
      <c r="M34" s="301"/>
      <c r="N34" s="302">
        <f t="shared" si="0"/>
        <v>157416</v>
      </c>
      <c r="Q34" s="267"/>
    </row>
    <row r="35" spans="1:18" ht="14.25" customHeight="1" x14ac:dyDescent="0.35">
      <c r="A35" s="300" t="s">
        <v>988</v>
      </c>
      <c r="B35" s="301">
        <v>-3224</v>
      </c>
      <c r="C35" s="301">
        <v>56856</v>
      </c>
      <c r="D35" s="301">
        <v>-3224</v>
      </c>
      <c r="E35" s="301"/>
      <c r="F35" s="301"/>
      <c r="G35" s="301"/>
      <c r="H35" s="301"/>
      <c r="I35" s="301"/>
      <c r="J35" s="301"/>
      <c r="K35" s="301">
        <v>14229</v>
      </c>
      <c r="L35" s="301"/>
      <c r="M35" s="301"/>
      <c r="N35" s="302">
        <f t="shared" si="0"/>
        <v>64637</v>
      </c>
      <c r="P35" s="260"/>
      <c r="Q35" s="267"/>
    </row>
    <row r="36" spans="1:18" ht="14.25" customHeight="1" x14ac:dyDescent="0.35">
      <c r="A36" s="300" t="s">
        <v>1044</v>
      </c>
      <c r="B36" s="301"/>
      <c r="C36" s="301"/>
      <c r="D36" s="301"/>
      <c r="E36" s="301"/>
      <c r="F36" s="301"/>
      <c r="G36" s="301"/>
      <c r="H36" s="301">
        <v>9953</v>
      </c>
      <c r="I36" s="301"/>
      <c r="J36" s="301">
        <v>91698.36</v>
      </c>
      <c r="K36" s="301"/>
      <c r="L36" s="301"/>
      <c r="M36" s="301"/>
      <c r="N36" s="302">
        <f t="shared" si="0"/>
        <v>101651.36</v>
      </c>
      <c r="Q36" s="267"/>
      <c r="R36" s="305"/>
    </row>
    <row r="37" spans="1:18" ht="14.25" customHeight="1" x14ac:dyDescent="0.35">
      <c r="A37" s="300" t="s">
        <v>1195</v>
      </c>
      <c r="B37" s="301"/>
      <c r="C37" s="301">
        <v>351.64</v>
      </c>
      <c r="D37" s="301"/>
      <c r="E37" s="301">
        <v>3126.3</v>
      </c>
      <c r="F37" s="301"/>
      <c r="G37" s="301">
        <v>16143.22</v>
      </c>
      <c r="H37" s="301"/>
      <c r="I37" s="301">
        <v>1948.3</v>
      </c>
      <c r="J37" s="301">
        <v>37298.300000000003</v>
      </c>
      <c r="K37" s="214">
        <v>750</v>
      </c>
      <c r="L37" s="301">
        <v>25597.040000000001</v>
      </c>
      <c r="M37" s="301">
        <v>18786</v>
      </c>
      <c r="N37" s="302">
        <f t="shared" si="0"/>
        <v>104000.8</v>
      </c>
      <c r="Q37" s="267"/>
    </row>
    <row r="38" spans="1:18" ht="14.25" customHeight="1" x14ac:dyDescent="0.35">
      <c r="A38" s="300" t="s">
        <v>1196</v>
      </c>
      <c r="B38" s="301"/>
      <c r="C38" s="301"/>
      <c r="D38" s="301">
        <v>89954.5</v>
      </c>
      <c r="E38" s="301">
        <v>5342</v>
      </c>
      <c r="F38" s="301"/>
      <c r="G38" s="301"/>
      <c r="H38" s="301">
        <v>104184.27</v>
      </c>
      <c r="I38" s="301">
        <v>23584.02</v>
      </c>
      <c r="J38" s="301"/>
      <c r="K38" s="301">
        <v>42554</v>
      </c>
      <c r="L38" s="301">
        <v>74892.84</v>
      </c>
      <c r="M38" s="301">
        <v>15169</v>
      </c>
      <c r="N38" s="302">
        <f t="shared" si="0"/>
        <v>355680.63</v>
      </c>
      <c r="Q38" s="267"/>
    </row>
    <row r="39" spans="1:18" ht="14.25" customHeight="1" x14ac:dyDescent="0.35">
      <c r="A39" s="300" t="s">
        <v>1197</v>
      </c>
      <c r="B39" s="301"/>
      <c r="C39" s="301">
        <v>140000</v>
      </c>
      <c r="D39" s="301">
        <v>428500</v>
      </c>
      <c r="E39" s="301">
        <v>420000</v>
      </c>
      <c r="F39" s="301">
        <v>420000</v>
      </c>
      <c r="G39" s="301">
        <v>420000</v>
      </c>
      <c r="H39" s="301">
        <v>420000</v>
      </c>
      <c r="I39" s="301">
        <v>420000</v>
      </c>
      <c r="J39" s="301">
        <v>420000</v>
      </c>
      <c r="K39" s="301">
        <v>420000</v>
      </c>
      <c r="L39" s="301">
        <v>420000</v>
      </c>
      <c r="M39" s="301">
        <v>210000</v>
      </c>
      <c r="N39" s="302">
        <f t="shared" si="0"/>
        <v>4138500</v>
      </c>
      <c r="Q39" s="306"/>
      <c r="R39" s="306"/>
    </row>
    <row r="40" spans="1:18" ht="14.25" customHeight="1" x14ac:dyDescent="0.35">
      <c r="A40" s="300" t="s">
        <v>1198</v>
      </c>
      <c r="B40" s="301"/>
      <c r="C40" s="301"/>
      <c r="D40" s="301"/>
      <c r="E40" s="301"/>
      <c r="F40" s="301"/>
      <c r="G40" s="301">
        <v>22032</v>
      </c>
      <c r="H40" s="301"/>
      <c r="I40" s="301"/>
      <c r="J40" s="301"/>
      <c r="K40" s="301"/>
      <c r="L40" s="301"/>
      <c r="M40" s="301"/>
      <c r="N40" s="302">
        <f t="shared" si="0"/>
        <v>22032</v>
      </c>
      <c r="Q40" s="306"/>
      <c r="R40" s="306"/>
    </row>
    <row r="41" spans="1:18" ht="14.25" customHeight="1" x14ac:dyDescent="0.35">
      <c r="A41" s="300" t="s">
        <v>1199</v>
      </c>
      <c r="B41" s="301">
        <v>-29625</v>
      </c>
      <c r="C41" s="307"/>
      <c r="D41" s="301"/>
      <c r="E41" s="301">
        <v>23860</v>
      </c>
      <c r="F41" s="301">
        <v>-11474</v>
      </c>
      <c r="G41" s="301"/>
      <c r="H41" s="301">
        <v>1159867</v>
      </c>
      <c r="I41" s="301"/>
      <c r="J41" s="301"/>
      <c r="K41" s="301"/>
      <c r="L41" s="301">
        <v>27178</v>
      </c>
      <c r="M41" s="301"/>
      <c r="N41" s="302">
        <f t="shared" si="0"/>
        <v>1169806</v>
      </c>
      <c r="Q41" s="306"/>
      <c r="R41" s="306"/>
    </row>
    <row r="42" spans="1:18" ht="14.25" customHeight="1" x14ac:dyDescent="0.35">
      <c r="A42" s="300" t="s">
        <v>1200</v>
      </c>
      <c r="B42" s="301"/>
      <c r="C42" s="307"/>
      <c r="D42" s="301"/>
      <c r="E42" s="308"/>
      <c r="F42" s="301"/>
      <c r="G42" s="301"/>
      <c r="H42" s="301">
        <v>4604615.9000000004</v>
      </c>
      <c r="I42" s="301"/>
      <c r="J42" s="301"/>
      <c r="K42" s="301"/>
      <c r="L42" s="301"/>
      <c r="M42" s="301"/>
      <c r="N42" s="302"/>
      <c r="Q42" s="306"/>
      <c r="R42" s="306"/>
    </row>
    <row r="43" spans="1:18" ht="14.25" customHeight="1" x14ac:dyDescent="0.35">
      <c r="A43" s="300" t="s">
        <v>1201</v>
      </c>
      <c r="B43" s="301"/>
      <c r="C43" s="301">
        <v>3000</v>
      </c>
      <c r="D43" s="301"/>
      <c r="E43" s="308"/>
      <c r="F43" s="301"/>
      <c r="G43" s="301"/>
      <c r="H43" s="301"/>
      <c r="I43" s="301"/>
      <c r="J43" s="301"/>
      <c r="K43" s="301"/>
      <c r="L43" s="301"/>
      <c r="M43" s="301"/>
      <c r="N43" s="302">
        <f>SUM(B43:M43)</f>
        <v>3000</v>
      </c>
      <c r="Q43" s="306"/>
      <c r="R43" s="306"/>
    </row>
    <row r="44" spans="1:18" ht="14.25" customHeight="1" x14ac:dyDescent="0.35">
      <c r="A44" s="300" t="s">
        <v>1202</v>
      </c>
      <c r="B44" s="301"/>
      <c r="C44" s="301"/>
      <c r="D44" s="301"/>
      <c r="E44" s="308"/>
      <c r="F44" s="301"/>
      <c r="G44" s="301"/>
      <c r="H44" s="301">
        <v>5000</v>
      </c>
      <c r="I44" s="301"/>
      <c r="J44" s="301"/>
      <c r="K44" s="301"/>
      <c r="L44" s="301"/>
      <c r="M44" s="301"/>
      <c r="N44" s="302"/>
      <c r="Q44" s="306"/>
      <c r="R44" s="306"/>
    </row>
    <row r="45" spans="1:18" ht="14.25" customHeight="1" x14ac:dyDescent="0.35">
      <c r="A45" s="300" t="s">
        <v>1203</v>
      </c>
      <c r="B45" s="301"/>
      <c r="C45" s="301">
        <v>35188.269999999997</v>
      </c>
      <c r="D45" s="301"/>
      <c r="E45" s="308"/>
      <c r="F45" s="301"/>
      <c r="G45" s="301"/>
      <c r="H45" s="301"/>
      <c r="I45" s="301">
        <v>233752</v>
      </c>
      <c r="J45" s="301"/>
      <c r="K45" s="301">
        <v>117045.98</v>
      </c>
      <c r="L45" s="301"/>
      <c r="M45" s="301"/>
      <c r="N45" s="302">
        <f t="shared" ref="N45:N55" si="1">SUM(B45:M45)</f>
        <v>385986.25</v>
      </c>
      <c r="Q45" s="306"/>
      <c r="R45" s="306"/>
    </row>
    <row r="46" spans="1:18" ht="14.25" customHeight="1" x14ac:dyDescent="0.35">
      <c r="A46" s="300" t="s">
        <v>1204</v>
      </c>
      <c r="B46" s="301"/>
      <c r="C46" s="301">
        <v>6436</v>
      </c>
      <c r="D46" s="301"/>
      <c r="E46" s="308"/>
      <c r="F46" s="301"/>
      <c r="G46" s="301"/>
      <c r="H46" s="301"/>
      <c r="I46" s="301"/>
      <c r="J46" s="301"/>
      <c r="K46" s="301"/>
      <c r="L46" s="301"/>
      <c r="M46" s="301"/>
      <c r="N46" s="302">
        <f t="shared" si="1"/>
        <v>6436</v>
      </c>
      <c r="Q46" s="306"/>
      <c r="R46" s="306"/>
    </row>
    <row r="47" spans="1:18" x14ac:dyDescent="0.35">
      <c r="A47" s="300" t="s">
        <v>1205</v>
      </c>
      <c r="B47" s="301">
        <v>-75000</v>
      </c>
      <c r="C47" s="301">
        <v>-75000</v>
      </c>
      <c r="D47" s="301">
        <v>-1247312</v>
      </c>
      <c r="E47" s="301">
        <v>-1247312</v>
      </c>
      <c r="F47" s="301">
        <v>-1247312</v>
      </c>
      <c r="G47" s="301">
        <v>-1247312</v>
      </c>
      <c r="H47" s="301">
        <v>-1247312</v>
      </c>
      <c r="I47" s="301">
        <v>-1002850</v>
      </c>
      <c r="J47" s="301">
        <v>-25000</v>
      </c>
      <c r="K47" s="301">
        <v>-25000</v>
      </c>
      <c r="L47" s="301">
        <v>-25000</v>
      </c>
      <c r="M47" s="301">
        <v>-25000</v>
      </c>
      <c r="N47" s="302">
        <f t="shared" si="1"/>
        <v>-7489410</v>
      </c>
    </row>
    <row r="48" spans="1:18" x14ac:dyDescent="0.35">
      <c r="A48" s="300" t="s">
        <v>1206</v>
      </c>
      <c r="B48" s="301"/>
      <c r="C48" s="301"/>
      <c r="D48" s="308"/>
      <c r="E48" s="308"/>
      <c r="F48" s="301"/>
      <c r="G48" s="301"/>
      <c r="H48" s="301"/>
      <c r="I48" s="301">
        <v>71827</v>
      </c>
      <c r="J48" s="301"/>
      <c r="K48" s="301"/>
      <c r="L48" s="301"/>
      <c r="M48" s="301"/>
      <c r="N48" s="302">
        <f t="shared" si="1"/>
        <v>71827</v>
      </c>
    </row>
    <row r="49" spans="1:19" ht="14.25" customHeight="1" x14ac:dyDescent="0.35">
      <c r="A49" s="300" t="s">
        <v>1207</v>
      </c>
      <c r="B49" s="301"/>
      <c r="C49" s="301"/>
      <c r="D49" s="308"/>
      <c r="E49" s="308"/>
      <c r="F49" s="301"/>
      <c r="G49" s="309"/>
      <c r="H49" s="301"/>
      <c r="I49" s="301"/>
      <c r="J49" s="301"/>
      <c r="K49" s="301"/>
      <c r="L49" s="301"/>
      <c r="M49" s="301"/>
      <c r="N49" s="302">
        <f t="shared" si="1"/>
        <v>0</v>
      </c>
    </row>
    <row r="50" spans="1:19" x14ac:dyDescent="0.35">
      <c r="A50" s="300" t="s">
        <v>1208</v>
      </c>
      <c r="B50" s="301"/>
      <c r="C50" s="301"/>
      <c r="D50" s="301"/>
      <c r="E50" s="301"/>
      <c r="F50" s="301"/>
      <c r="G50" s="301"/>
      <c r="H50" s="301"/>
      <c r="I50" s="301"/>
      <c r="J50" s="301"/>
      <c r="K50" s="301"/>
      <c r="L50" s="301">
        <v>0.8</v>
      </c>
      <c r="M50" s="301">
        <v>2343.83</v>
      </c>
      <c r="N50" s="302">
        <f t="shared" si="1"/>
        <v>2344.63</v>
      </c>
    </row>
    <row r="51" spans="1:19" x14ac:dyDescent="0.35">
      <c r="A51" s="300" t="s">
        <v>1209</v>
      </c>
      <c r="B51" s="301">
        <v>10000</v>
      </c>
      <c r="C51" s="301"/>
      <c r="D51" s="301"/>
      <c r="E51" s="301"/>
      <c r="F51" s="301"/>
      <c r="G51" s="301">
        <v>10000</v>
      </c>
      <c r="H51" s="301">
        <v>5000</v>
      </c>
      <c r="I51" s="301"/>
      <c r="J51" s="301"/>
      <c r="K51" s="301"/>
      <c r="L51" s="301"/>
      <c r="M51" s="301"/>
      <c r="N51" s="302">
        <f t="shared" si="1"/>
        <v>25000</v>
      </c>
      <c r="Q51" s="260"/>
    </row>
    <row r="52" spans="1:19" x14ac:dyDescent="0.35">
      <c r="A52" s="300" t="s">
        <v>1210</v>
      </c>
      <c r="B52" s="301"/>
      <c r="C52" s="301"/>
      <c r="D52" s="301"/>
      <c r="E52" s="301"/>
      <c r="F52" s="301"/>
      <c r="G52" s="301"/>
      <c r="H52" s="301"/>
      <c r="I52" s="301"/>
      <c r="J52" s="301"/>
      <c r="K52" s="301"/>
      <c r="L52" s="301"/>
      <c r="M52" s="301"/>
      <c r="N52" s="302">
        <f t="shared" si="1"/>
        <v>0</v>
      </c>
      <c r="R52" s="260"/>
    </row>
    <row r="53" spans="1:19" x14ac:dyDescent="0.35">
      <c r="A53" s="300" t="s">
        <v>1211</v>
      </c>
      <c r="B53" s="301">
        <v>5000</v>
      </c>
      <c r="C53" s="301"/>
      <c r="D53" s="301"/>
      <c r="E53" s="301"/>
      <c r="F53" s="301"/>
      <c r="G53" s="301"/>
      <c r="H53" s="301"/>
      <c r="I53" s="301"/>
      <c r="J53" s="301"/>
      <c r="K53" s="301"/>
      <c r="L53" s="301"/>
      <c r="M53" s="301"/>
      <c r="N53" s="302">
        <f t="shared" si="1"/>
        <v>5000</v>
      </c>
      <c r="Q53" s="260"/>
    </row>
    <row r="54" spans="1:19" x14ac:dyDescent="0.35">
      <c r="A54" s="300" t="s">
        <v>1212</v>
      </c>
      <c r="B54" s="301"/>
      <c r="C54" s="301">
        <v>1000</v>
      </c>
      <c r="D54" s="301"/>
      <c r="E54" s="301"/>
      <c r="F54" s="301"/>
      <c r="G54" s="301"/>
      <c r="H54" s="301"/>
      <c r="I54" s="301"/>
      <c r="J54" s="301"/>
      <c r="K54" s="301"/>
      <c r="L54" s="301"/>
      <c r="M54" s="301"/>
      <c r="N54" s="302">
        <f t="shared" si="1"/>
        <v>1000</v>
      </c>
      <c r="Q54" s="171"/>
    </row>
    <row r="55" spans="1:19" ht="24.75" customHeight="1" x14ac:dyDescent="0.35">
      <c r="A55" s="310" t="s">
        <v>1213</v>
      </c>
      <c r="B55" s="311">
        <f t="shared" ref="B55:M55" si="2">SUM(B9:B54)</f>
        <v>9295915.5948717892</v>
      </c>
      <c r="C55" s="311">
        <f t="shared" si="2"/>
        <v>6969589.1099999994</v>
      </c>
      <c r="D55" s="311">
        <f t="shared" si="2"/>
        <v>6511969.4100000001</v>
      </c>
      <c r="E55" s="311">
        <f t="shared" si="2"/>
        <v>6550653.9366666693</v>
      </c>
      <c r="F55" s="311">
        <f t="shared" si="2"/>
        <v>5828319.6221050844</v>
      </c>
      <c r="G55" s="311">
        <f t="shared" si="2"/>
        <v>5640632.4699999997</v>
      </c>
      <c r="H55" s="311">
        <f t="shared" si="2"/>
        <v>15512970.382881355</v>
      </c>
      <c r="I55" s="311">
        <f t="shared" si="2"/>
        <v>6985303.8533333298</v>
      </c>
      <c r="J55" s="311">
        <f t="shared" si="2"/>
        <v>8433291.0041333307</v>
      </c>
      <c r="K55" s="311">
        <f t="shared" si="2"/>
        <v>9649067.0098305084</v>
      </c>
      <c r="L55" s="311">
        <f t="shared" si="2"/>
        <v>8700018.6600000001</v>
      </c>
      <c r="M55" s="311">
        <f t="shared" si="2"/>
        <v>8594940.6500000004</v>
      </c>
      <c r="N55" s="311">
        <f t="shared" si="1"/>
        <v>98672671.703822076</v>
      </c>
      <c r="P55" s="260"/>
      <c r="S55" s="235"/>
    </row>
    <row r="56" spans="1:19" x14ac:dyDescent="0.35">
      <c r="A56" s="312"/>
      <c r="B56" s="313"/>
      <c r="C56" s="313"/>
      <c r="D56" s="313"/>
      <c r="E56" s="313"/>
      <c r="F56" s="313"/>
      <c r="G56" s="313"/>
      <c r="H56" s="313"/>
      <c r="I56" s="313"/>
      <c r="J56" s="313"/>
      <c r="K56" s="313"/>
      <c r="L56" s="313"/>
      <c r="M56" s="313"/>
      <c r="N56" s="313"/>
    </row>
    <row r="57" spans="1:19" x14ac:dyDescent="0.35">
      <c r="A57" s="314" t="s">
        <v>1214</v>
      </c>
      <c r="B57" s="315"/>
      <c r="C57" s="315"/>
      <c r="D57" s="315"/>
      <c r="E57" s="315"/>
      <c r="F57" s="315"/>
      <c r="G57" s="315"/>
      <c r="H57" s="315"/>
      <c r="I57" s="315"/>
      <c r="J57" s="315"/>
      <c r="K57" s="315"/>
      <c r="L57" s="315"/>
      <c r="M57" s="315"/>
      <c r="N57" s="315"/>
      <c r="P57" s="235"/>
    </row>
    <row r="58" spans="1:19" ht="6.75" customHeight="1" x14ac:dyDescent="0.35">
      <c r="A58" s="316"/>
      <c r="B58" s="302"/>
      <c r="C58" s="302"/>
      <c r="D58" s="302"/>
      <c r="E58" s="302"/>
      <c r="F58" s="302"/>
      <c r="G58" s="302"/>
      <c r="H58" s="302"/>
      <c r="I58" s="302"/>
      <c r="J58" s="302"/>
      <c r="K58" s="302"/>
      <c r="L58" s="302"/>
      <c r="M58" s="302"/>
      <c r="N58" s="302"/>
    </row>
    <row r="59" spans="1:19" ht="31.5" customHeight="1" x14ac:dyDescent="0.35">
      <c r="A59" s="297" t="s">
        <v>1215</v>
      </c>
      <c r="B59" s="302"/>
      <c r="C59" s="302"/>
      <c r="D59" s="302"/>
      <c r="E59" s="302"/>
      <c r="F59" s="302"/>
      <c r="G59" s="302"/>
      <c r="H59" s="302"/>
      <c r="I59" s="302"/>
      <c r="J59" s="302"/>
      <c r="K59" s="302"/>
      <c r="L59" s="302"/>
      <c r="M59" s="302"/>
      <c r="N59" s="302"/>
    </row>
    <row r="60" spans="1:19" x14ac:dyDescent="0.35">
      <c r="A60" s="317" t="s">
        <v>1216</v>
      </c>
      <c r="B60" s="302"/>
      <c r="C60" s="301">
        <v>172585000</v>
      </c>
      <c r="D60" s="302"/>
      <c r="E60" s="302"/>
      <c r="F60" s="302"/>
      <c r="G60" s="302"/>
      <c r="H60" s="302"/>
      <c r="I60" s="302"/>
      <c r="J60" s="302"/>
      <c r="K60" s="302"/>
      <c r="L60" s="302"/>
      <c r="M60" s="302"/>
      <c r="N60" s="302">
        <f t="shared" ref="N60:N71" si="3">SUM(B60:M60)</f>
        <v>172585000</v>
      </c>
    </row>
    <row r="61" spans="1:19" x14ac:dyDescent="0.35">
      <c r="A61" s="317" t="s">
        <v>1217</v>
      </c>
      <c r="B61" s="302"/>
      <c r="C61" s="301">
        <v>448468</v>
      </c>
      <c r="D61" s="302"/>
      <c r="E61" s="302"/>
      <c r="F61" s="302"/>
      <c r="G61" s="302"/>
      <c r="H61" s="302"/>
      <c r="I61" s="302"/>
      <c r="J61" s="302"/>
      <c r="K61" s="302"/>
      <c r="L61" s="302"/>
      <c r="M61" s="302"/>
      <c r="N61" s="302">
        <f t="shared" si="3"/>
        <v>448468</v>
      </c>
    </row>
    <row r="62" spans="1:19" x14ac:dyDescent="0.35">
      <c r="A62" s="317" t="s">
        <v>1218</v>
      </c>
      <c r="B62" s="302"/>
      <c r="C62" s="301">
        <v>117756</v>
      </c>
      <c r="D62" s="301">
        <v>350000</v>
      </c>
      <c r="E62" s="302"/>
      <c r="F62" s="302"/>
      <c r="G62" s="302"/>
      <c r="H62" s="302"/>
      <c r="I62" s="302"/>
      <c r="J62" s="302"/>
      <c r="K62" s="302"/>
      <c r="L62" s="302"/>
      <c r="M62" s="302"/>
      <c r="N62" s="302">
        <f t="shared" si="3"/>
        <v>467756</v>
      </c>
    </row>
    <row r="63" spans="1:19" x14ac:dyDescent="0.35">
      <c r="A63" s="317" t="s">
        <v>1219</v>
      </c>
      <c r="B63" s="302"/>
      <c r="C63" s="301">
        <v>10670123</v>
      </c>
      <c r="D63" s="302"/>
      <c r="E63" s="302"/>
      <c r="F63" s="302"/>
      <c r="G63" s="302"/>
      <c r="H63" s="302"/>
      <c r="I63" s="302"/>
      <c r="J63" s="302"/>
      <c r="K63" s="302"/>
      <c r="L63" s="302"/>
      <c r="M63" s="302"/>
      <c r="N63" s="302">
        <f t="shared" si="3"/>
        <v>10670123</v>
      </c>
    </row>
    <row r="64" spans="1:19" ht="14.25" customHeight="1" x14ac:dyDescent="0.35">
      <c r="A64" s="317" t="s">
        <v>1220</v>
      </c>
      <c r="B64" s="302"/>
      <c r="C64" s="301"/>
      <c r="D64" s="301">
        <v>1950000</v>
      </c>
      <c r="E64" s="302"/>
      <c r="F64" s="302"/>
      <c r="G64" s="302"/>
      <c r="H64" s="302"/>
      <c r="I64" s="302"/>
      <c r="J64" s="302"/>
      <c r="K64" s="302"/>
      <c r="L64" s="302"/>
      <c r="M64" s="302"/>
      <c r="N64" s="302">
        <f t="shared" si="3"/>
        <v>1950000</v>
      </c>
      <c r="Q64" s="306"/>
    </row>
    <row r="65" spans="1:17" ht="14.25" customHeight="1" x14ac:dyDescent="0.35">
      <c r="A65" s="317" t="s">
        <v>1221</v>
      </c>
      <c r="B65" s="302"/>
      <c r="C65" s="301"/>
      <c r="D65" s="301">
        <v>400</v>
      </c>
      <c r="E65" s="302"/>
      <c r="F65" s="302"/>
      <c r="G65" s="302"/>
      <c r="H65" s="302"/>
      <c r="I65" s="302"/>
      <c r="J65" s="301"/>
      <c r="K65" s="302"/>
      <c r="L65" s="302"/>
      <c r="M65" s="302"/>
      <c r="N65" s="302">
        <f t="shared" si="3"/>
        <v>400</v>
      </c>
      <c r="Q65" s="306"/>
    </row>
    <row r="66" spans="1:17" ht="14.25" customHeight="1" x14ac:dyDescent="0.35">
      <c r="A66" s="300" t="s">
        <v>1222</v>
      </c>
      <c r="B66" s="302"/>
      <c r="C66" s="302"/>
      <c r="D66" s="302"/>
      <c r="E66" s="302"/>
      <c r="F66" s="302"/>
      <c r="G66" s="302"/>
      <c r="H66" s="302"/>
      <c r="I66" s="302"/>
      <c r="J66" s="301">
        <v>7434000</v>
      </c>
      <c r="K66" s="301">
        <v>8673000</v>
      </c>
      <c r="L66" s="302"/>
      <c r="M66" s="302"/>
      <c r="N66" s="302">
        <f t="shared" si="3"/>
        <v>16107000</v>
      </c>
      <c r="Q66" s="306"/>
    </row>
    <row r="67" spans="1:17" ht="14.25" customHeight="1" x14ac:dyDescent="0.35">
      <c r="A67" s="300" t="s">
        <v>1223</v>
      </c>
      <c r="B67" s="302"/>
      <c r="C67" s="302"/>
      <c r="D67" s="302"/>
      <c r="E67" s="302"/>
      <c r="F67" s="302"/>
      <c r="G67" s="302"/>
      <c r="H67" s="302"/>
      <c r="I67" s="302"/>
      <c r="J67" s="301"/>
      <c r="K67" s="302"/>
      <c r="L67" s="302"/>
      <c r="M67" s="302"/>
      <c r="N67" s="302">
        <f t="shared" si="3"/>
        <v>0</v>
      </c>
      <c r="Q67" s="306"/>
    </row>
    <row r="68" spans="1:17" ht="14.25" customHeight="1" x14ac:dyDescent="0.35">
      <c r="A68" s="318" t="s">
        <v>1224</v>
      </c>
      <c r="B68" s="302"/>
      <c r="C68" s="302"/>
      <c r="D68" s="302"/>
      <c r="E68" s="302"/>
      <c r="F68" s="302"/>
      <c r="G68" s="302"/>
      <c r="H68" s="302"/>
      <c r="I68" s="302"/>
      <c r="J68" s="302"/>
      <c r="K68" s="302"/>
      <c r="L68" s="302"/>
      <c r="M68" s="302"/>
      <c r="N68" s="302">
        <f t="shared" si="3"/>
        <v>0</v>
      </c>
    </row>
    <row r="69" spans="1:17" ht="14.25" customHeight="1" x14ac:dyDescent="0.35">
      <c r="A69" s="317" t="s">
        <v>1225</v>
      </c>
      <c r="B69" s="302"/>
      <c r="C69" s="301">
        <v>-55000000</v>
      </c>
      <c r="D69" s="302"/>
      <c r="E69" s="302"/>
      <c r="F69" s="302"/>
      <c r="G69" s="302"/>
      <c r="H69" s="302"/>
      <c r="I69" s="302"/>
      <c r="J69" s="302"/>
      <c r="K69" s="302"/>
      <c r="L69" s="302"/>
      <c r="M69" s="302"/>
      <c r="N69" s="302">
        <f t="shared" si="3"/>
        <v>-55000000</v>
      </c>
      <c r="P69" s="306"/>
    </row>
    <row r="70" spans="1:17" ht="14.25" customHeight="1" x14ac:dyDescent="0.35">
      <c r="A70" s="317" t="s">
        <v>1217</v>
      </c>
      <c r="B70" s="302"/>
      <c r="C70" s="301">
        <v>444445</v>
      </c>
      <c r="D70" s="302"/>
      <c r="E70" s="302"/>
      <c r="F70" s="302"/>
      <c r="G70" s="302"/>
      <c r="H70" s="302"/>
      <c r="I70" s="302"/>
      <c r="J70" s="302"/>
      <c r="K70" s="302"/>
      <c r="L70" s="302"/>
      <c r="M70" s="302"/>
      <c r="N70" s="302">
        <f t="shared" si="3"/>
        <v>444445</v>
      </c>
      <c r="P70" s="306"/>
    </row>
    <row r="71" spans="1:17" ht="14.25" customHeight="1" x14ac:dyDescent="0.35">
      <c r="A71" s="319" t="s">
        <v>1218</v>
      </c>
      <c r="B71" s="311"/>
      <c r="C71" s="320">
        <v>700000</v>
      </c>
      <c r="D71" s="311"/>
      <c r="E71" s="311"/>
      <c r="F71" s="311"/>
      <c r="G71" s="311"/>
      <c r="H71" s="311"/>
      <c r="I71" s="311"/>
      <c r="J71" s="311"/>
      <c r="K71" s="311"/>
      <c r="L71" s="311"/>
      <c r="M71" s="311"/>
      <c r="N71" s="302">
        <f t="shared" si="3"/>
        <v>700000</v>
      </c>
      <c r="P71" s="306"/>
    </row>
    <row r="72" spans="1:17" ht="14.25" customHeight="1" x14ac:dyDescent="0.35">
      <c r="A72" s="312"/>
      <c r="B72" s="313"/>
      <c r="C72" s="313"/>
      <c r="D72" s="313"/>
      <c r="E72" s="313"/>
      <c r="F72" s="313"/>
      <c r="G72" s="313"/>
      <c r="H72" s="313"/>
      <c r="I72" s="313"/>
      <c r="J72" s="313"/>
      <c r="K72" s="313"/>
      <c r="L72" s="313"/>
      <c r="M72" s="313"/>
      <c r="N72" s="313"/>
    </row>
    <row r="73" spans="1:17" ht="21.75" customHeight="1" x14ac:dyDescent="0.35">
      <c r="A73" s="314" t="s">
        <v>1226</v>
      </c>
      <c r="B73" s="321">
        <v>343731</v>
      </c>
      <c r="C73" s="321">
        <v>343731</v>
      </c>
      <c r="D73" s="308">
        <v>343731</v>
      </c>
      <c r="E73" s="308">
        <v>343731</v>
      </c>
      <c r="F73" s="308">
        <v>343731</v>
      </c>
      <c r="G73" s="308">
        <v>421953</v>
      </c>
      <c r="H73" s="308">
        <v>421953</v>
      </c>
      <c r="I73" s="308">
        <v>421953</v>
      </c>
      <c r="J73" s="308">
        <v>521953</v>
      </c>
      <c r="K73" s="308">
        <v>521953</v>
      </c>
      <c r="L73" s="308">
        <v>521953</v>
      </c>
      <c r="M73" s="322">
        <v>521953</v>
      </c>
      <c r="N73" s="315">
        <f>SUM(B73:M73)</f>
        <v>5072326</v>
      </c>
      <c r="O73" s="323"/>
      <c r="P73" s="306"/>
    </row>
    <row r="74" spans="1:17" ht="27" customHeight="1" x14ac:dyDescent="0.35">
      <c r="A74" s="324" t="s">
        <v>1227</v>
      </c>
      <c r="B74" s="302">
        <f t="shared" ref="B74:N74" si="4">B55+B73</f>
        <v>9639646.5948717892</v>
      </c>
      <c r="C74" s="302">
        <f t="shared" si="4"/>
        <v>7313320.1099999994</v>
      </c>
      <c r="D74" s="302">
        <f t="shared" si="4"/>
        <v>6855700.4100000001</v>
      </c>
      <c r="E74" s="302">
        <f t="shared" si="4"/>
        <v>6894384.9366666693</v>
      </c>
      <c r="F74" s="302">
        <f t="shared" si="4"/>
        <v>6172050.6221050844</v>
      </c>
      <c r="G74" s="302">
        <f t="shared" si="4"/>
        <v>6062585.4699999997</v>
      </c>
      <c r="H74" s="302">
        <f t="shared" si="4"/>
        <v>15934923.382881355</v>
      </c>
      <c r="I74" s="302">
        <f t="shared" si="4"/>
        <v>7407256.8533333298</v>
      </c>
      <c r="J74" s="302">
        <f t="shared" si="4"/>
        <v>8955244.0041333307</v>
      </c>
      <c r="K74" s="302">
        <f t="shared" si="4"/>
        <v>10171020.009830508</v>
      </c>
      <c r="L74" s="302">
        <f t="shared" si="4"/>
        <v>9221971.6600000001</v>
      </c>
      <c r="M74" s="302">
        <f t="shared" si="4"/>
        <v>9116893.6500000004</v>
      </c>
      <c r="N74" s="302">
        <f t="shared" si="4"/>
        <v>103744997.70382208</v>
      </c>
      <c r="O74" s="323"/>
      <c r="P74" s="235"/>
    </row>
    <row r="75" spans="1:17" x14ac:dyDescent="0.35">
      <c r="A75" s="300"/>
      <c r="B75" s="325"/>
      <c r="C75" s="325"/>
      <c r="D75" s="325"/>
      <c r="E75" s="325"/>
      <c r="F75" s="325"/>
      <c r="G75" s="325"/>
      <c r="H75" s="325"/>
      <c r="I75" s="325"/>
      <c r="J75" s="325"/>
      <c r="K75" s="325"/>
      <c r="L75" s="325"/>
      <c r="M75" s="325"/>
      <c r="N75" s="302"/>
    </row>
    <row r="76" spans="1:17" x14ac:dyDescent="0.35">
      <c r="A76" s="297" t="s">
        <v>1169</v>
      </c>
      <c r="B76" s="326"/>
      <c r="C76" s="326"/>
      <c r="D76" s="326"/>
      <c r="E76" s="326"/>
      <c r="F76" s="326"/>
      <c r="G76" s="326"/>
      <c r="H76" s="326"/>
      <c r="I76" s="326"/>
      <c r="J76" s="326"/>
      <c r="K76" s="326"/>
      <c r="L76" s="326"/>
      <c r="M76" s="326"/>
      <c r="N76" s="326"/>
    </row>
    <row r="77" spans="1:17" x14ac:dyDescent="0.35">
      <c r="A77" s="297" t="s">
        <v>1170</v>
      </c>
      <c r="B77" s="299"/>
      <c r="C77" s="299"/>
      <c r="D77" s="299"/>
      <c r="E77" s="299"/>
      <c r="F77" s="299"/>
      <c r="G77" s="299"/>
      <c r="H77" s="299"/>
      <c r="I77" s="299"/>
      <c r="J77" s="299"/>
      <c r="K77" s="299"/>
      <c r="L77" s="299"/>
      <c r="M77" s="299"/>
      <c r="N77" s="299"/>
    </row>
    <row r="78" spans="1:17" x14ac:dyDescent="0.35">
      <c r="A78" s="300" t="s">
        <v>86</v>
      </c>
      <c r="B78" s="301">
        <v>612315</v>
      </c>
      <c r="C78" s="301">
        <v>1843057.37</v>
      </c>
      <c r="D78" s="301">
        <v>3246907.42</v>
      </c>
      <c r="E78" s="301">
        <v>1597275.36</v>
      </c>
      <c r="F78" s="301">
        <v>600112.32999999996</v>
      </c>
      <c r="G78" s="301">
        <v>786142.26</v>
      </c>
      <c r="H78" s="301">
        <v>2497768.0499999998</v>
      </c>
      <c r="I78" s="301">
        <v>910296</v>
      </c>
      <c r="J78" s="301">
        <v>638029</v>
      </c>
      <c r="K78" s="301">
        <v>515039</v>
      </c>
      <c r="L78" s="301">
        <v>956215</v>
      </c>
      <c r="M78" s="301">
        <v>634864</v>
      </c>
      <c r="N78" s="302">
        <f>SUM(B78:M78)</f>
        <v>14838020.789999999</v>
      </c>
    </row>
    <row r="79" spans="1:17" x14ac:dyDescent="0.35">
      <c r="A79" s="300" t="s">
        <v>82</v>
      </c>
      <c r="B79" s="301">
        <v>2673237.4300000002</v>
      </c>
      <c r="C79" s="301">
        <v>2590323.89</v>
      </c>
      <c r="D79" s="301">
        <v>5879298.3300000001</v>
      </c>
      <c r="E79" s="301">
        <v>2672471.9032203401</v>
      </c>
      <c r="F79" s="301">
        <v>2000549.53</v>
      </c>
      <c r="G79" s="301">
        <v>1863175.63</v>
      </c>
      <c r="H79" s="301">
        <v>2145590.65</v>
      </c>
      <c r="I79" s="301">
        <v>4340811.6672881404</v>
      </c>
      <c r="J79" s="301">
        <v>2518088.22322034</v>
      </c>
      <c r="K79" s="301">
        <v>2640160.99084746</v>
      </c>
      <c r="L79" s="301">
        <v>1560586</v>
      </c>
      <c r="M79" s="301">
        <v>6144428.4500000002</v>
      </c>
      <c r="N79" s="302">
        <f>SUM(B79:M79)</f>
        <v>37028722.694576278</v>
      </c>
    </row>
    <row r="80" spans="1:17" x14ac:dyDescent="0.35">
      <c r="A80" s="316" t="s">
        <v>87</v>
      </c>
      <c r="B80" s="302">
        <f t="shared" ref="B80:M80" si="5">SUM(B78:B79)</f>
        <v>3285552.43</v>
      </c>
      <c r="C80" s="302">
        <f t="shared" si="5"/>
        <v>4433381.26</v>
      </c>
      <c r="D80" s="302">
        <f t="shared" si="5"/>
        <v>9126205.75</v>
      </c>
      <c r="E80" s="302">
        <f t="shared" si="5"/>
        <v>4269747.26322034</v>
      </c>
      <c r="F80" s="302">
        <f t="shared" si="5"/>
        <v>2600661.86</v>
      </c>
      <c r="G80" s="302">
        <f t="shared" si="5"/>
        <v>2649317.8899999997</v>
      </c>
      <c r="H80" s="302">
        <f t="shared" si="5"/>
        <v>4643358.6999999993</v>
      </c>
      <c r="I80" s="302">
        <f t="shared" si="5"/>
        <v>5251107.6672881404</v>
      </c>
      <c r="J80" s="302">
        <f t="shared" si="5"/>
        <v>3156117.22322034</v>
      </c>
      <c r="K80" s="302">
        <f t="shared" si="5"/>
        <v>3155199.99084746</v>
      </c>
      <c r="L80" s="302">
        <f t="shared" si="5"/>
        <v>2516801</v>
      </c>
      <c r="M80" s="302">
        <f t="shared" si="5"/>
        <v>6779292.4500000002</v>
      </c>
      <c r="N80" s="302">
        <f>SUM(B80:M80)</f>
        <v>51866743.484576285</v>
      </c>
    </row>
    <row r="81" spans="1:16" x14ac:dyDescent="0.35">
      <c r="A81" s="300" t="s">
        <v>1228</v>
      </c>
      <c r="B81" s="301">
        <f t="shared" ref="B81:M81" si="6">B55</f>
        <v>9295915.5948717892</v>
      </c>
      <c r="C81" s="301">
        <f t="shared" si="6"/>
        <v>6969589.1099999994</v>
      </c>
      <c r="D81" s="301">
        <f t="shared" si="6"/>
        <v>6511969.4100000001</v>
      </c>
      <c r="E81" s="301">
        <f t="shared" si="6"/>
        <v>6550653.9366666693</v>
      </c>
      <c r="F81" s="301">
        <f t="shared" si="6"/>
        <v>5828319.6221050844</v>
      </c>
      <c r="G81" s="301">
        <f t="shared" si="6"/>
        <v>5640632.4699999997</v>
      </c>
      <c r="H81" s="301">
        <f t="shared" si="6"/>
        <v>15512970.382881355</v>
      </c>
      <c r="I81" s="301">
        <f t="shared" si="6"/>
        <v>6985303.8533333298</v>
      </c>
      <c r="J81" s="301">
        <f t="shared" si="6"/>
        <v>8433291.0041333307</v>
      </c>
      <c r="K81" s="301">
        <f t="shared" si="6"/>
        <v>9649067.0098305084</v>
      </c>
      <c r="L81" s="301">
        <f t="shared" si="6"/>
        <v>8700018.6600000001</v>
      </c>
      <c r="M81" s="301">
        <f t="shared" si="6"/>
        <v>8594940.6500000004</v>
      </c>
      <c r="N81" s="302">
        <f>SUM(B81:M81)</f>
        <v>98672671.703822076</v>
      </c>
    </row>
    <row r="82" spans="1:16" x14ac:dyDescent="0.35">
      <c r="A82" s="316" t="s">
        <v>87</v>
      </c>
      <c r="B82" s="302">
        <f t="shared" ref="B82:M82" si="7">B80+B81</f>
        <v>12581468.024871789</v>
      </c>
      <c r="C82" s="302">
        <f t="shared" si="7"/>
        <v>11402970.369999999</v>
      </c>
      <c r="D82" s="302">
        <f t="shared" si="7"/>
        <v>15638175.16</v>
      </c>
      <c r="E82" s="302">
        <f t="shared" si="7"/>
        <v>10820401.199887009</v>
      </c>
      <c r="F82" s="302">
        <f t="shared" si="7"/>
        <v>8428981.4821050838</v>
      </c>
      <c r="G82" s="302">
        <f t="shared" si="7"/>
        <v>8289950.3599999994</v>
      </c>
      <c r="H82" s="302">
        <f t="shared" si="7"/>
        <v>20156329.082881354</v>
      </c>
      <c r="I82" s="302">
        <f t="shared" si="7"/>
        <v>12236411.520621471</v>
      </c>
      <c r="J82" s="302">
        <f t="shared" si="7"/>
        <v>11589408.22735367</v>
      </c>
      <c r="K82" s="302">
        <f t="shared" si="7"/>
        <v>12804267.000677969</v>
      </c>
      <c r="L82" s="302">
        <f t="shared" si="7"/>
        <v>11216819.66</v>
      </c>
      <c r="M82" s="302">
        <f t="shared" si="7"/>
        <v>15374233.100000001</v>
      </c>
      <c r="N82" s="302">
        <f>SUM(B82:M82)</f>
        <v>150539415.18839833</v>
      </c>
    </row>
    <row r="83" spans="1:16" x14ac:dyDescent="0.35">
      <c r="A83" s="300"/>
      <c r="B83" s="327"/>
      <c r="C83" s="327"/>
      <c r="D83" s="327"/>
      <c r="E83" s="327"/>
      <c r="F83" s="327"/>
      <c r="G83" s="327"/>
      <c r="H83" s="327"/>
      <c r="I83" s="327"/>
      <c r="J83" s="327"/>
      <c r="K83" s="327"/>
      <c r="L83" s="327"/>
      <c r="M83" s="327"/>
      <c r="N83" s="327"/>
    </row>
    <row r="84" spans="1:16" x14ac:dyDescent="0.35">
      <c r="A84" s="316" t="s">
        <v>1172</v>
      </c>
      <c r="B84" s="300"/>
      <c r="C84" s="300"/>
      <c r="D84" s="300"/>
      <c r="E84" s="300"/>
      <c r="F84" s="300"/>
      <c r="G84" s="300"/>
      <c r="H84" s="300"/>
      <c r="I84" s="300"/>
      <c r="J84" s="300"/>
      <c r="K84" s="300"/>
      <c r="L84" s="300"/>
      <c r="M84" s="300"/>
      <c r="N84" s="300"/>
    </row>
    <row r="85" spans="1:16" x14ac:dyDescent="0.35">
      <c r="A85" s="300" t="s">
        <v>86</v>
      </c>
      <c r="B85" s="307">
        <v>7110</v>
      </c>
      <c r="C85" s="307">
        <v>6689</v>
      </c>
      <c r="D85" s="307">
        <v>6613</v>
      </c>
      <c r="E85" s="307">
        <v>7168</v>
      </c>
      <c r="F85" s="307">
        <v>7411</v>
      </c>
      <c r="G85" s="307">
        <v>7703</v>
      </c>
      <c r="H85" s="307">
        <v>7390</v>
      </c>
      <c r="I85" s="307">
        <v>7179</v>
      </c>
      <c r="J85" s="307">
        <v>7302</v>
      </c>
      <c r="K85" s="307">
        <v>7385</v>
      </c>
      <c r="L85" s="307"/>
      <c r="M85" s="307"/>
      <c r="N85" s="302">
        <f>SUM(B85:M85)</f>
        <v>71950</v>
      </c>
      <c r="O85" s="260"/>
      <c r="P85" s="328"/>
    </row>
    <row r="86" spans="1:16" x14ac:dyDescent="0.35">
      <c r="A86" s="300" t="s">
        <v>82</v>
      </c>
      <c r="B86" s="307">
        <v>7498</v>
      </c>
      <c r="C86" s="307">
        <v>7436</v>
      </c>
      <c r="D86" s="307">
        <v>7742</v>
      </c>
      <c r="E86" s="307">
        <v>8008</v>
      </c>
      <c r="F86" s="307">
        <v>8274</v>
      </c>
      <c r="G86" s="307">
        <v>8079</v>
      </c>
      <c r="H86" s="307">
        <v>7656</v>
      </c>
      <c r="I86" s="307">
        <v>7724</v>
      </c>
      <c r="J86" s="307">
        <v>7326</v>
      </c>
      <c r="K86" s="307">
        <v>7343</v>
      </c>
      <c r="L86" s="307"/>
      <c r="M86" s="307"/>
      <c r="N86" s="302">
        <f>SUM(B86:M86)</f>
        <v>77086</v>
      </c>
      <c r="O86" s="260"/>
      <c r="P86" s="328"/>
    </row>
    <row r="87" spans="1:16" x14ac:dyDescent="0.35">
      <c r="A87" s="316" t="s">
        <v>478</v>
      </c>
      <c r="B87" s="302">
        <f t="shared" ref="B87:N87" si="8">SUM(B85:B86)</f>
        <v>14608</v>
      </c>
      <c r="C87" s="302">
        <f t="shared" si="8"/>
        <v>14125</v>
      </c>
      <c r="D87" s="302">
        <f t="shared" si="8"/>
        <v>14355</v>
      </c>
      <c r="E87" s="302">
        <f t="shared" si="8"/>
        <v>15176</v>
      </c>
      <c r="F87" s="302">
        <f t="shared" si="8"/>
        <v>15685</v>
      </c>
      <c r="G87" s="302">
        <f t="shared" si="8"/>
        <v>15782</v>
      </c>
      <c r="H87" s="302">
        <f t="shared" si="8"/>
        <v>15046</v>
      </c>
      <c r="I87" s="302">
        <f t="shared" si="8"/>
        <v>14903</v>
      </c>
      <c r="J87" s="302">
        <f t="shared" si="8"/>
        <v>14628</v>
      </c>
      <c r="K87" s="302">
        <f t="shared" si="8"/>
        <v>14728</v>
      </c>
      <c r="L87" s="302">
        <f t="shared" si="8"/>
        <v>0</v>
      </c>
      <c r="M87" s="302">
        <f t="shared" si="8"/>
        <v>0</v>
      </c>
      <c r="N87" s="302">
        <f t="shared" si="8"/>
        <v>149036</v>
      </c>
    </row>
    <row r="88" spans="1:16" x14ac:dyDescent="0.35">
      <c r="A88" s="300"/>
      <c r="B88" s="327"/>
      <c r="C88" s="327"/>
      <c r="D88" s="327"/>
      <c r="E88" s="327"/>
      <c r="F88" s="327"/>
      <c r="G88" s="327"/>
      <c r="H88" s="327"/>
      <c r="I88" s="327"/>
      <c r="J88" s="327"/>
      <c r="K88" s="327"/>
      <c r="L88" s="327"/>
      <c r="M88" s="327"/>
      <c r="N88" s="327"/>
    </row>
    <row r="89" spans="1:16" x14ac:dyDescent="0.35">
      <c r="A89" s="316" t="s">
        <v>1174</v>
      </c>
      <c r="B89" s="300">
        <f t="shared" ref="B89:N89" si="9">IFERROR(B81/B87,"")</f>
        <v>636.35785835650256</v>
      </c>
      <c r="C89" s="300">
        <f t="shared" si="9"/>
        <v>493.42223787610618</v>
      </c>
      <c r="D89" s="300">
        <f t="shared" si="9"/>
        <v>453.63771577847439</v>
      </c>
      <c r="E89" s="300">
        <f t="shared" si="9"/>
        <v>431.64562049727658</v>
      </c>
      <c r="F89" s="300">
        <f t="shared" si="9"/>
        <v>371.58556723653709</v>
      </c>
      <c r="G89" s="300">
        <f t="shared" si="9"/>
        <v>357.40923013559751</v>
      </c>
      <c r="H89" s="300">
        <f t="shared" si="9"/>
        <v>1031.0361812362989</v>
      </c>
      <c r="I89" s="300">
        <f t="shared" si="9"/>
        <v>468.71796640497416</v>
      </c>
      <c r="J89" s="300">
        <f t="shared" si="9"/>
        <v>576.5170224318656</v>
      </c>
      <c r="K89" s="300">
        <f t="shared" si="9"/>
        <v>655.15120924976293</v>
      </c>
      <c r="L89" s="300" t="str">
        <f t="shared" si="9"/>
        <v/>
      </c>
      <c r="M89" s="300" t="str">
        <f t="shared" si="9"/>
        <v/>
      </c>
      <c r="N89" s="300">
        <f t="shared" si="9"/>
        <v>662.07273211722054</v>
      </c>
    </row>
    <row r="90" spans="1:16" x14ac:dyDescent="0.35">
      <c r="A90" s="300"/>
      <c r="B90" s="327"/>
      <c r="C90" s="327"/>
      <c r="D90" s="327"/>
      <c r="E90" s="327"/>
      <c r="F90" s="327"/>
      <c r="G90" s="327"/>
      <c r="H90" s="327"/>
      <c r="I90" s="327"/>
      <c r="J90" s="327"/>
      <c r="K90" s="327"/>
      <c r="L90" s="327"/>
      <c r="M90" s="327"/>
      <c r="N90" s="327"/>
    </row>
    <row r="91" spans="1:16" x14ac:dyDescent="0.35">
      <c r="A91" s="316" t="s">
        <v>1229</v>
      </c>
      <c r="B91" s="329">
        <v>83.856800000000007</v>
      </c>
      <c r="C91" s="329">
        <v>85.435299999999998</v>
      </c>
      <c r="D91" s="329">
        <v>85.617900000000006</v>
      </c>
      <c r="E91" s="329">
        <v>87.351900000000001</v>
      </c>
      <c r="F91" s="329">
        <v>88.257599999999996</v>
      </c>
      <c r="G91" s="329">
        <v>88.677800000000005</v>
      </c>
      <c r="H91" s="329">
        <v>88.793199999999999</v>
      </c>
      <c r="I91" s="329">
        <v>89.743600000000001</v>
      </c>
      <c r="J91" s="329">
        <v>89.979200000000006</v>
      </c>
      <c r="K91" s="329">
        <v>91.644300000000001</v>
      </c>
      <c r="L91" s="329">
        <v>91.451400000000007</v>
      </c>
      <c r="M91" s="329">
        <v>93.208799999999997</v>
      </c>
      <c r="N91" s="329">
        <f>AVERAGE(B91:M91)</f>
        <v>88.668150000000011</v>
      </c>
    </row>
    <row r="92" spans="1:16" x14ac:dyDescent="0.35">
      <c r="A92" s="300"/>
      <c r="B92" s="327"/>
      <c r="C92" s="327"/>
      <c r="D92" s="327"/>
      <c r="E92" s="327"/>
      <c r="F92" s="327"/>
      <c r="G92" s="327"/>
      <c r="H92" s="327"/>
      <c r="I92" s="327"/>
      <c r="J92" s="327"/>
      <c r="K92" s="327"/>
      <c r="L92" s="327"/>
      <c r="M92" s="327"/>
      <c r="N92" s="327"/>
    </row>
    <row r="93" spans="1:16" x14ac:dyDescent="0.35">
      <c r="A93" s="316" t="s">
        <v>1176</v>
      </c>
      <c r="B93" s="300">
        <f t="shared" ref="B93:N93" si="10">IFERROR(B89/B91,"")</f>
        <v>7.5886255897733097</v>
      </c>
      <c r="C93" s="300">
        <f t="shared" si="10"/>
        <v>5.7753907094152677</v>
      </c>
      <c r="D93" s="300">
        <f t="shared" si="10"/>
        <v>5.2983980660407974</v>
      </c>
      <c r="E93" s="300">
        <f t="shared" si="10"/>
        <v>4.9414565738956631</v>
      </c>
      <c r="F93" s="300">
        <f t="shared" si="10"/>
        <v>4.2102387469921805</v>
      </c>
      <c r="G93" s="300">
        <f t="shared" si="10"/>
        <v>4.0304250910103487</v>
      </c>
      <c r="H93" s="300">
        <f t="shared" si="10"/>
        <v>11.611656987655575</v>
      </c>
      <c r="I93" s="300">
        <f t="shared" si="10"/>
        <v>5.2228567430432271</v>
      </c>
      <c r="J93" s="300">
        <f t="shared" si="10"/>
        <v>6.4072254746859896</v>
      </c>
      <c r="K93" s="300">
        <f t="shared" si="10"/>
        <v>7.1488484199209656</v>
      </c>
      <c r="L93" s="300" t="str">
        <f t="shared" si="10"/>
        <v/>
      </c>
      <c r="M93" s="300" t="str">
        <f t="shared" si="10"/>
        <v/>
      </c>
      <c r="N93" s="300">
        <f t="shared" si="10"/>
        <v>7.4668607850419848</v>
      </c>
    </row>
    <row r="94" spans="1:16" hidden="1" x14ac:dyDescent="0.35">
      <c r="O94" s="235">
        <f>N93*10%</f>
        <v>0.74668607850419855</v>
      </c>
    </row>
    <row r="95" spans="1:16" ht="14.25" hidden="1" customHeight="1" x14ac:dyDescent="0.35">
      <c r="O95" s="330">
        <f>N93+O94</f>
        <v>8.213546863546183</v>
      </c>
    </row>
    <row r="96" spans="1:16" x14ac:dyDescent="0.35">
      <c r="O96" s="235"/>
    </row>
    <row r="97" spans="15:15" x14ac:dyDescent="0.35">
      <c r="O97" s="235"/>
    </row>
  </sheetData>
  <autoFilter ref="A8:N74" xr:uid="{00000000-0009-0000-0000-00000A000000}"/>
  <mergeCells count="2">
    <mergeCell ref="A1:O6"/>
    <mergeCell ref="A7:O7"/>
  </mergeCells>
  <pageMargins left="0.7" right="0.7" top="0.75" bottom="0.75" header="0.511811023622047" footer="0.511811023622047"/>
  <pageSetup orientation="portrait" horizontalDpi="300" verticalDpi="300"/>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2:O20"/>
  <sheetViews>
    <sheetView topLeftCell="C1" zoomScale="90" zoomScaleNormal="90" workbookViewId="0">
      <selection activeCell="F13" sqref="F13"/>
    </sheetView>
  </sheetViews>
  <sheetFormatPr defaultColWidth="9.08984375" defaultRowHeight="14" x14ac:dyDescent="0.3"/>
  <cols>
    <col min="1" max="1" width="3.6328125" style="14" customWidth="1"/>
    <col min="2" max="2" width="19.453125" style="14" customWidth="1"/>
    <col min="3" max="3" width="16.08984375" style="14" customWidth="1"/>
    <col min="4" max="4" width="16.08984375" style="49" customWidth="1"/>
    <col min="5" max="5" width="19.6328125" style="14" customWidth="1"/>
    <col min="6" max="6" width="16.08984375" style="14" customWidth="1"/>
    <col min="7" max="7" width="24" style="14" customWidth="1"/>
    <col min="8" max="8" width="10.08984375" style="14" customWidth="1"/>
    <col min="9" max="9" width="20" style="14" customWidth="1"/>
    <col min="10" max="10" width="12.08984375" style="14" customWidth="1"/>
    <col min="11" max="11" width="16.453125" style="14" customWidth="1"/>
    <col min="12" max="12" width="20" style="14" customWidth="1"/>
    <col min="13" max="13" width="19" style="14" customWidth="1"/>
    <col min="14" max="14" width="15.08984375" style="14" customWidth="1"/>
    <col min="15" max="15" width="79" style="331" customWidth="1"/>
    <col min="16" max="16384" width="9.08984375" style="14"/>
  </cols>
  <sheetData>
    <row r="2" spans="2:15" ht="17.25" customHeight="1" x14ac:dyDescent="0.3">
      <c r="B2" s="352" t="s">
        <v>1230</v>
      </c>
      <c r="C2" s="352"/>
      <c r="D2" s="352"/>
      <c r="E2" s="352"/>
      <c r="F2" s="352"/>
      <c r="G2" s="352"/>
      <c r="H2" s="352"/>
      <c r="I2" s="352"/>
      <c r="J2" s="352"/>
      <c r="K2" s="352"/>
      <c r="L2" s="352"/>
      <c r="M2" s="352"/>
      <c r="N2" s="352"/>
    </row>
    <row r="3" spans="2:15" s="332" customFormat="1" x14ac:dyDescent="0.3">
      <c r="B3" s="333" t="s">
        <v>932</v>
      </c>
      <c r="C3" s="175" t="s">
        <v>1231</v>
      </c>
      <c r="D3" s="177" t="s">
        <v>1232</v>
      </c>
      <c r="E3" s="175" t="s">
        <v>934</v>
      </c>
      <c r="F3" s="175" t="s">
        <v>917</v>
      </c>
      <c r="G3" s="333" t="s">
        <v>1233</v>
      </c>
      <c r="H3" s="333" t="s">
        <v>916</v>
      </c>
      <c r="I3" s="333" t="s">
        <v>1234</v>
      </c>
      <c r="J3" s="333" t="s">
        <v>1235</v>
      </c>
      <c r="K3" s="333" t="s">
        <v>1236</v>
      </c>
      <c r="L3" s="333" t="s">
        <v>1237</v>
      </c>
      <c r="M3" s="333" t="s">
        <v>1238</v>
      </c>
      <c r="N3" s="333" t="s">
        <v>1239</v>
      </c>
      <c r="O3" s="334" t="s">
        <v>934</v>
      </c>
    </row>
    <row r="4" spans="2:15" x14ac:dyDescent="0.3">
      <c r="B4" s="335" t="s">
        <v>1240</v>
      </c>
      <c r="C4" s="336" t="s">
        <v>1104</v>
      </c>
      <c r="D4" s="337">
        <v>13700</v>
      </c>
      <c r="E4" s="197" t="s">
        <v>1241</v>
      </c>
      <c r="F4" s="338">
        <v>46142</v>
      </c>
      <c r="G4" s="197" t="s">
        <v>1242</v>
      </c>
      <c r="H4" s="339" t="s">
        <v>1243</v>
      </c>
      <c r="I4" s="340">
        <v>500000</v>
      </c>
      <c r="J4" s="341">
        <v>45536</v>
      </c>
      <c r="K4" s="341">
        <v>46113</v>
      </c>
      <c r="L4" s="342">
        <v>19</v>
      </c>
      <c r="M4" s="337">
        <f>6800+(D4*L4)</f>
        <v>267100</v>
      </c>
      <c r="N4" s="342">
        <f t="shared" ref="N4:N13" si="0">I4-M4</f>
        <v>232900</v>
      </c>
      <c r="O4" s="343"/>
    </row>
    <row r="5" spans="2:15" x14ac:dyDescent="0.3">
      <c r="B5" s="335" t="s">
        <v>1240</v>
      </c>
      <c r="C5" s="336" t="s">
        <v>1084</v>
      </c>
      <c r="D5" s="337">
        <v>12000</v>
      </c>
      <c r="E5" s="197" t="s">
        <v>1241</v>
      </c>
      <c r="F5" s="338">
        <v>46142</v>
      </c>
      <c r="G5" s="197" t="s">
        <v>1242</v>
      </c>
      <c r="H5" s="339" t="s">
        <v>1243</v>
      </c>
      <c r="I5" s="340">
        <v>432000</v>
      </c>
      <c r="J5" s="341">
        <v>45505</v>
      </c>
      <c r="K5" s="341">
        <v>46113</v>
      </c>
      <c r="L5" s="342">
        <v>21</v>
      </c>
      <c r="M5" s="337">
        <f t="shared" ref="M5:M11" si="1">L5*D5</f>
        <v>252000</v>
      </c>
      <c r="N5" s="342">
        <f t="shared" si="0"/>
        <v>180000</v>
      </c>
      <c r="O5" s="343"/>
    </row>
    <row r="6" spans="2:15" x14ac:dyDescent="0.3">
      <c r="B6" s="335" t="s">
        <v>1240</v>
      </c>
      <c r="C6" s="336" t="s">
        <v>1093</v>
      </c>
      <c r="D6" s="337">
        <v>10000</v>
      </c>
      <c r="E6" s="197" t="s">
        <v>1241</v>
      </c>
      <c r="F6" s="338">
        <v>46142</v>
      </c>
      <c r="G6" s="197" t="s">
        <v>1242</v>
      </c>
      <c r="H6" s="339" t="s">
        <v>1243</v>
      </c>
      <c r="I6" s="340">
        <v>400000</v>
      </c>
      <c r="J6" s="341">
        <v>45505</v>
      </c>
      <c r="K6" s="341">
        <v>46113</v>
      </c>
      <c r="L6" s="342">
        <v>21</v>
      </c>
      <c r="M6" s="337">
        <f t="shared" si="1"/>
        <v>210000</v>
      </c>
      <c r="N6" s="342">
        <f t="shared" si="0"/>
        <v>190000</v>
      </c>
      <c r="O6" s="343"/>
    </row>
    <row r="7" spans="2:15" x14ac:dyDescent="0.3">
      <c r="B7" s="335" t="s">
        <v>1240</v>
      </c>
      <c r="C7" s="336" t="s">
        <v>1117</v>
      </c>
      <c r="D7" s="337">
        <v>23400</v>
      </c>
      <c r="E7" s="197" t="s">
        <v>1241</v>
      </c>
      <c r="F7" s="338">
        <v>46142</v>
      </c>
      <c r="G7" s="197" t="s">
        <v>1242</v>
      </c>
      <c r="H7" s="339" t="s">
        <v>1243</v>
      </c>
      <c r="I7" s="340">
        <f>842400+342000</f>
        <v>1184400</v>
      </c>
      <c r="J7" s="341">
        <v>45627</v>
      </c>
      <c r="K7" s="341">
        <v>46113</v>
      </c>
      <c r="L7" s="342">
        <v>17</v>
      </c>
      <c r="M7" s="337">
        <f t="shared" si="1"/>
        <v>397800</v>
      </c>
      <c r="N7" s="342">
        <f t="shared" si="0"/>
        <v>786600</v>
      </c>
      <c r="O7" s="343" t="s">
        <v>1244</v>
      </c>
    </row>
    <row r="8" spans="2:15" ht="28" x14ac:dyDescent="0.3">
      <c r="B8" s="335" t="s">
        <v>1240</v>
      </c>
      <c r="C8" s="336" t="s">
        <v>1114</v>
      </c>
      <c r="D8" s="337">
        <v>10000</v>
      </c>
      <c r="E8" s="197" t="s">
        <v>1241</v>
      </c>
      <c r="F8" s="338">
        <v>46142</v>
      </c>
      <c r="G8" s="197" t="s">
        <v>1242</v>
      </c>
      <c r="H8" s="339" t="s">
        <v>1243</v>
      </c>
      <c r="I8" s="340">
        <v>200000</v>
      </c>
      <c r="J8" s="341">
        <v>45901</v>
      </c>
      <c r="K8" s="341">
        <v>46113</v>
      </c>
      <c r="L8" s="342">
        <v>8</v>
      </c>
      <c r="M8" s="337">
        <f t="shared" si="1"/>
        <v>80000</v>
      </c>
      <c r="N8" s="342">
        <f t="shared" si="0"/>
        <v>120000</v>
      </c>
      <c r="O8" s="343" t="s">
        <v>1245</v>
      </c>
    </row>
    <row r="9" spans="2:15" ht="27" customHeight="1" x14ac:dyDescent="0.3">
      <c r="B9" s="335" t="s">
        <v>1240</v>
      </c>
      <c r="C9" s="336" t="s">
        <v>1086</v>
      </c>
      <c r="D9" s="337">
        <v>35000</v>
      </c>
      <c r="E9" s="197" t="s">
        <v>1241</v>
      </c>
      <c r="F9" s="338">
        <v>46142</v>
      </c>
      <c r="G9" s="197" t="s">
        <v>1242</v>
      </c>
      <c r="H9" s="339" t="s">
        <v>1243</v>
      </c>
      <c r="I9" s="340">
        <v>700000</v>
      </c>
      <c r="J9" s="341">
        <v>45992</v>
      </c>
      <c r="K9" s="341">
        <v>46113</v>
      </c>
      <c r="L9" s="342">
        <v>5</v>
      </c>
      <c r="M9" s="337">
        <f t="shared" si="1"/>
        <v>175000</v>
      </c>
      <c r="N9" s="342">
        <f t="shared" si="0"/>
        <v>525000</v>
      </c>
      <c r="O9" s="343" t="s">
        <v>1246</v>
      </c>
    </row>
    <row r="10" spans="2:15" ht="27" customHeight="1" x14ac:dyDescent="0.3">
      <c r="B10" s="335" t="s">
        <v>1240</v>
      </c>
      <c r="C10" s="336" t="s">
        <v>1097</v>
      </c>
      <c r="D10" s="337">
        <v>10000</v>
      </c>
      <c r="E10" s="197" t="s">
        <v>1241</v>
      </c>
      <c r="F10" s="338">
        <v>46142</v>
      </c>
      <c r="G10" s="197" t="s">
        <v>1242</v>
      </c>
      <c r="H10" s="339" t="s">
        <v>1243</v>
      </c>
      <c r="I10" s="340">
        <v>300000</v>
      </c>
      <c r="J10" s="341">
        <v>45992</v>
      </c>
      <c r="K10" s="341">
        <v>46113</v>
      </c>
      <c r="L10" s="342">
        <v>5</v>
      </c>
      <c r="M10" s="337">
        <f t="shared" si="1"/>
        <v>50000</v>
      </c>
      <c r="N10" s="342">
        <f t="shared" si="0"/>
        <v>250000</v>
      </c>
      <c r="O10" s="343" t="s">
        <v>1247</v>
      </c>
    </row>
    <row r="11" spans="2:15" ht="27" customHeight="1" x14ac:dyDescent="0.3">
      <c r="B11" s="335" t="s">
        <v>1240</v>
      </c>
      <c r="C11" s="336" t="s">
        <v>1116</v>
      </c>
      <c r="D11" s="337">
        <v>20000</v>
      </c>
      <c r="E11" s="197" t="s">
        <v>1241</v>
      </c>
      <c r="F11" s="338">
        <v>46142</v>
      </c>
      <c r="G11" s="197" t="s">
        <v>1242</v>
      </c>
      <c r="H11" s="339" t="s">
        <v>1243</v>
      </c>
      <c r="I11" s="340">
        <v>400000</v>
      </c>
      <c r="J11" s="341">
        <v>46023</v>
      </c>
      <c r="K11" s="341">
        <v>46113</v>
      </c>
      <c r="L11" s="342">
        <v>3</v>
      </c>
      <c r="M11" s="337">
        <f t="shared" si="1"/>
        <v>60000</v>
      </c>
      <c r="N11" s="342">
        <f t="shared" si="0"/>
        <v>340000</v>
      </c>
      <c r="O11" s="343" t="s">
        <v>1248</v>
      </c>
    </row>
    <row r="12" spans="2:15" ht="27" customHeight="1" x14ac:dyDescent="0.3">
      <c r="B12" s="335" t="s">
        <v>1240</v>
      </c>
      <c r="C12" s="336" t="s">
        <v>1091</v>
      </c>
      <c r="D12" s="337">
        <v>16600</v>
      </c>
      <c r="E12" s="197" t="s">
        <v>1241</v>
      </c>
      <c r="F12" s="338">
        <v>46142</v>
      </c>
      <c r="G12" s="197" t="s">
        <v>1242</v>
      </c>
      <c r="H12" s="339" t="s">
        <v>1243</v>
      </c>
      <c r="I12" s="340">
        <v>400000</v>
      </c>
      <c r="J12" s="341">
        <v>46023</v>
      </c>
      <c r="K12" s="341">
        <v>46113</v>
      </c>
      <c r="L12" s="342">
        <v>3</v>
      </c>
      <c r="M12" s="337">
        <f>18200+D12*(L12-1)</f>
        <v>51400</v>
      </c>
      <c r="N12" s="342">
        <f t="shared" si="0"/>
        <v>348600</v>
      </c>
      <c r="O12" s="343" t="s">
        <v>1249</v>
      </c>
    </row>
    <row r="13" spans="2:15" ht="27" customHeight="1" x14ac:dyDescent="0.3">
      <c r="B13" s="335" t="s">
        <v>1240</v>
      </c>
      <c r="C13" s="336" t="s">
        <v>1089</v>
      </c>
      <c r="D13" s="337">
        <v>15000</v>
      </c>
      <c r="E13" s="197" t="s">
        <v>1241</v>
      </c>
      <c r="F13" s="338">
        <v>46142</v>
      </c>
      <c r="G13" s="197" t="s">
        <v>1242</v>
      </c>
      <c r="H13" s="339" t="s">
        <v>1243</v>
      </c>
      <c r="I13" s="340">
        <v>150000</v>
      </c>
      <c r="J13" s="341">
        <v>46080</v>
      </c>
      <c r="K13" s="341">
        <v>46113</v>
      </c>
      <c r="L13" s="342">
        <v>2</v>
      </c>
      <c r="M13" s="337">
        <f>L13*D13</f>
        <v>30000</v>
      </c>
      <c r="N13" s="342">
        <f t="shared" si="0"/>
        <v>120000</v>
      </c>
      <c r="O13" s="343" t="s">
        <v>1250</v>
      </c>
    </row>
    <row r="14" spans="2:15" ht="27" customHeight="1" x14ac:dyDescent="0.3">
      <c r="B14" s="19"/>
      <c r="C14" s="19" t="s">
        <v>953</v>
      </c>
      <c r="D14" s="344">
        <f>SUM(D4:D13)</f>
        <v>165700</v>
      </c>
      <c r="E14" s="19"/>
      <c r="F14" s="19"/>
      <c r="G14" s="19"/>
      <c r="H14" s="19"/>
      <c r="I14" s="344">
        <f>SUM(I4:I13)</f>
        <v>4666400</v>
      </c>
      <c r="J14" s="272"/>
      <c r="K14" s="272"/>
      <c r="L14" s="272"/>
      <c r="M14" s="344">
        <f>SUM(M4:M13)</f>
        <v>1573300</v>
      </c>
      <c r="N14" s="344">
        <f>SUM(N4:N13)</f>
        <v>3093100</v>
      </c>
      <c r="O14" s="345"/>
    </row>
    <row r="15" spans="2:15" x14ac:dyDescent="0.3">
      <c r="B15" s="19"/>
      <c r="C15" s="19"/>
      <c r="D15" s="344"/>
      <c r="E15" s="19"/>
      <c r="F15" s="19"/>
      <c r="G15" s="19"/>
      <c r="H15" s="19"/>
      <c r="I15" s="344"/>
      <c r="J15" s="272"/>
      <c r="K15" s="272"/>
      <c r="L15" s="272"/>
      <c r="M15" s="344"/>
      <c r="N15" s="344"/>
      <c r="O15" s="345"/>
    </row>
    <row r="16" spans="2:15" x14ac:dyDescent="0.3">
      <c r="C16" s="14" t="s">
        <v>1251</v>
      </c>
      <c r="L16" s="266"/>
    </row>
    <row r="17" spans="12:12" x14ac:dyDescent="0.3">
      <c r="L17" s="266"/>
    </row>
    <row r="18" spans="12:12" x14ac:dyDescent="0.3">
      <c r="L18" s="266"/>
    </row>
    <row r="19" spans="12:12" x14ac:dyDescent="0.3">
      <c r="L19" s="266"/>
    </row>
    <row r="20" spans="12:12" x14ac:dyDescent="0.3">
      <c r="L20" s="266"/>
    </row>
  </sheetData>
  <mergeCells count="1">
    <mergeCell ref="B2:N2"/>
  </mergeCells>
  <pageMargins left="0.7" right="0.7" top="0.75" bottom="0.75"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2:R28"/>
  <sheetViews>
    <sheetView topLeftCell="A22" zoomScaleNormal="100" workbookViewId="0">
      <selection activeCell="H41" sqref="H41"/>
    </sheetView>
  </sheetViews>
  <sheetFormatPr defaultColWidth="8.6328125" defaultRowHeight="14.5" x14ac:dyDescent="0.35"/>
  <cols>
    <col min="3" max="4" width="10" customWidth="1"/>
    <col min="12" max="12" width="9.90625" customWidth="1"/>
    <col min="13" max="13" width="12.36328125" customWidth="1"/>
    <col min="17" max="17" width="12" customWidth="1"/>
    <col min="18" max="18" width="12.54296875" customWidth="1"/>
    <col min="20" max="20" width="10" customWidth="1"/>
    <col min="21" max="21" width="12.54296875" customWidth="1"/>
  </cols>
  <sheetData>
    <row r="2" spans="2:4" x14ac:dyDescent="0.35">
      <c r="B2" s="346" t="s">
        <v>1252</v>
      </c>
      <c r="C2" s="347">
        <v>94.943200000000004</v>
      </c>
    </row>
    <row r="4" spans="2:4" x14ac:dyDescent="0.35">
      <c r="B4" t="s">
        <v>1253</v>
      </c>
    </row>
    <row r="5" spans="2:4" x14ac:dyDescent="0.35">
      <c r="C5" s="348" t="s">
        <v>1254</v>
      </c>
      <c r="D5" s="348" t="s">
        <v>1255</v>
      </c>
    </row>
    <row r="6" spans="2:4" x14ac:dyDescent="0.35">
      <c r="B6" s="346" t="s">
        <v>86</v>
      </c>
      <c r="C6" s="233"/>
      <c r="D6" s="233">
        <f>ROUND(C6*C2,0)</f>
        <v>0</v>
      </c>
    </row>
    <row r="7" spans="2:4" x14ac:dyDescent="0.35">
      <c r="B7" s="346" t="s">
        <v>82</v>
      </c>
      <c r="C7" s="233"/>
      <c r="D7" s="233">
        <f>ROUND(C7*C2,0)</f>
        <v>0</v>
      </c>
    </row>
    <row r="10" spans="2:4" x14ac:dyDescent="0.35">
      <c r="B10" t="s">
        <v>1256</v>
      </c>
    </row>
    <row r="28" spans="18:18" x14ac:dyDescent="0.35">
      <c r="R28" s="349">
        <f>C2</f>
        <v>94.943200000000004</v>
      </c>
    </row>
  </sheetData>
  <pageMargins left="0.7" right="0.7" top="0.75" bottom="0.75" header="0.511811023622047" footer="0.511811023622047"/>
  <pageSetup paperSize="9" orientation="portrait" horizontalDpi="300" verticalDpi="300"/>
  <legacyDrawing r:id="rId1"/>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Worksheets</vt:lpstr>
      </vt:variant>
      <vt:variant>
        <vt:i4>13</vt:i4>
      </vt:variant>
      <vt:variant>
        <vt:lpstr>Named Ranges</vt:lpstr>
      </vt:variant>
      <vt:variant>
        <vt:i4>1</vt:i4>
      </vt:variant>
    </vt:vector>
  </HeadingPairs>
  <TitlesOfParts>
    <vt:vector size="14" baseType="lpstr">
      <vt:lpstr>Master</vt:lpstr>
      <vt:lpstr>Cheque issued</vt:lpstr>
      <vt:lpstr>Petty Cash</vt:lpstr>
      <vt:lpstr>DE-XT</vt:lpstr>
      <vt:lpstr>DE-ICE</vt:lpstr>
      <vt:lpstr>Bank book-AXIS </vt:lpstr>
      <vt:lpstr>Bank Book- DBS</vt:lpstr>
      <vt:lpstr>Inter Company Transfer</vt:lpstr>
      <vt:lpstr>General</vt:lpstr>
      <vt:lpstr>CR</vt:lpstr>
      <vt:lpstr>Consolidated CR</vt:lpstr>
      <vt:lpstr>Employees Loan Repayment</vt:lpstr>
      <vt:lpstr>Forex</vt:lpstr>
      <vt:lpstr>'DE-XT'!Print_Area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Admin LLP</dc:creator>
  <dc:description/>
  <cp:lastModifiedBy>Prasanna</cp:lastModifiedBy>
  <cp:revision>0</cp:revision>
  <cp:lastPrinted>2026-01-13T19:11:50Z</cp:lastPrinted>
  <dcterms:created xsi:type="dcterms:W3CDTF">2024-02-17T04:51:38Z</dcterms:created>
  <dcterms:modified xsi:type="dcterms:W3CDTF">2026-09-28T13:17:40Z</dcterms:modified>
  <dc:language>en-US</dc:language>
</cp:coreProperties>
</file>