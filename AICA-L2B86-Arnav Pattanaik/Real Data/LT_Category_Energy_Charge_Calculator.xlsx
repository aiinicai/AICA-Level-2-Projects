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ICA Level 2\discom_audit_tool\Real Data\"/>
    </mc:Choice>
  </mc:AlternateContent>
  <xr:revisionPtr revIDLastSave="0" documentId="13_ncr:1_{46506BCC-5CA6-46CA-806D-76CFA2CA9B0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LT Energy Charge Cal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3" i="1" l="1"/>
  <c r="G22" i="1"/>
  <c r="G21" i="1"/>
  <c r="G20" i="1"/>
  <c r="G19" i="1"/>
  <c r="G18" i="1"/>
  <c r="D16" i="1"/>
  <c r="G16" i="1" s="1"/>
  <c r="D15" i="1"/>
  <c r="G15" i="1" s="1"/>
  <c r="D14" i="1"/>
  <c r="G14" i="1" s="1"/>
  <c r="G13" i="1" s="1"/>
  <c r="D11" i="1"/>
  <c r="G11" i="1" s="1"/>
  <c r="D10" i="1"/>
  <c r="G10" i="1" s="1"/>
  <c r="D9" i="1"/>
  <c r="G9" i="1" s="1"/>
  <c r="D8" i="1"/>
  <c r="G8" i="1" s="1"/>
  <c r="G7" i="1" l="1"/>
</calcChain>
</file>

<file path=xl/sharedStrings.xml><?xml version="1.0" encoding="utf-8"?>
<sst xmlns="http://schemas.openxmlformats.org/spreadsheetml/2006/main" count="71" uniqueCount="63">
  <si>
    <t>LT Category Energy Charge Calculator</t>
  </si>
  <si>
    <t>Source: OERC Retail Supply Tariff Order, Annexure-B, Effective from 1st April 2025 (LT Category, Sl. No. 1-10)</t>
  </si>
  <si>
    <t>Yellow cells = your input. For slab categories, enter your company's category name once and the TOTAL kWh consumed - the slab-wise split and charge are calculated automatically.</t>
  </si>
  <si>
    <t>Sl. No.</t>
  </si>
  <si>
    <t>Category of Consumers (Tariff Order)</t>
  </si>
  <si>
    <t>Energy Charge Rate (P/kWh)</t>
  </si>
  <si>
    <t>Slab Basis</t>
  </si>
  <si>
    <t>Notes</t>
  </si>
  <si>
    <t>1. Domestic</t>
  </si>
  <si>
    <t>1.b</t>
  </si>
  <si>
    <t>Domestic - Others (slab-wise; enter TOTAL monthly units below)</t>
  </si>
  <si>
    <t>Slab-wise</t>
  </si>
  <si>
    <t>See slab breakup below</t>
  </si>
  <si>
    <t>Total Energy Charge = sum of slab-wise charges below</t>
  </si>
  <si>
    <t xml:space="preserve">   -&gt; Slab: 0 - 50 units</t>
  </si>
  <si>
    <t>0 - 50 units</t>
  </si>
  <si>
    <t xml:space="preserve">   -&gt; Slab: 51 - 200 units</t>
  </si>
  <si>
    <t>51 - 200 units</t>
  </si>
  <si>
    <t xml:space="preserve">   -&gt; Slab: 201 - 400 units</t>
  </si>
  <si>
    <t>201 - 400 units</t>
  </si>
  <si>
    <t xml:space="preserve">   -&gt; Slab: &gt;400 units</t>
  </si>
  <si>
    <t>&gt;400 units</t>
  </si>
  <si>
    <t>2. General Purpose &lt; 110 KVA</t>
  </si>
  <si>
    <t>2</t>
  </si>
  <si>
    <t>General Purpose &lt;110 KVA (slab-wise; enter TOTAL monthly units below)</t>
  </si>
  <si>
    <t xml:space="preserve">   -&gt; Slab: 0 - 100 units</t>
  </si>
  <si>
    <t>0 - 100 units</t>
  </si>
  <si>
    <t xml:space="preserve">   -&gt; Slab: 101 - 300 units</t>
  </si>
  <si>
    <t>101 - 300 units</t>
  </si>
  <si>
    <t xml:space="preserve">   -&gt; Slab: &gt;300 units</t>
  </si>
  <si>
    <t>&gt;300 units</t>
  </si>
  <si>
    <t>3 - 10. Flat-Rate Categories</t>
  </si>
  <si>
    <t>3</t>
  </si>
  <si>
    <t>Irrigation Pumping and Agriculture</t>
  </si>
  <si>
    <t>Flat rate</t>
  </si>
  <si>
    <t>4</t>
  </si>
  <si>
    <t>Allied Agricultural Activities</t>
  </si>
  <si>
    <t>5</t>
  </si>
  <si>
    <t>Allied Agro-Industrial Activities</t>
  </si>
  <si>
    <t>6</t>
  </si>
  <si>
    <t>Public Lighting</t>
  </si>
  <si>
    <t>9</t>
  </si>
  <si>
    <t>Specified Public Purpose</t>
  </si>
  <si>
    <t>10</t>
  </si>
  <si>
    <t>Public Water Works and Sewerage Pumping &lt;110 KVA</t>
  </si>
  <si>
    <t>How to use this sheet</t>
  </si>
  <si>
    <t>1. Column C (yellow): enter your company's internal consumer category name/code for each row.</t>
  </si>
  <si>
    <t>2. Column D (yellow): enter units consumed in kWh. For slab categories (1.b, 2), enter the TOTAL monthly units on the main input row only - do not enter anything on the grey slab breakup rows below it, they calculate automatically.</t>
  </si>
  <si>
    <t>3. Grey rows show the automatic slab-wise split: units falling in each slab (based on your total kWh) x that slab's rate. The main input row's Energy Charge (Col G) sums these automatically.</t>
  </si>
  <si>
    <t>4. For flat-rate categories (Sl. 3-10), Column G = kWh entered x Energy Charge Rate (P/kWh) / 100, directly.</t>
  </si>
  <si>
    <t>5. Sl. 1.a (Kutir Jyoti, &lt;=30 units/month) has no per-unit Energy Charge in the tariff order - only a flat Rs. 70/month fixed charge - so it is marked N/A.</t>
  </si>
  <si>
    <t>6. This sheet covers Energy Charge only. Demand Charge, Customer Service Charge, Monthly Fixed Charge, and Rebate/DPS from the tariff order are NOT included.</t>
  </si>
  <si>
    <t>DOMESTIC</t>
  </si>
  <si>
    <t>CAT_CODE</t>
  </si>
  <si>
    <t>GENERAL PURPOSE &lt; 110 KVA</t>
  </si>
  <si>
    <t>IRRIGATION PUMPING AND AGRICULTURE</t>
  </si>
  <si>
    <t>KWH_UNITS</t>
  </si>
  <si>
    <t>ALLIED AGRICULTURE ACTIVITIES</t>
  </si>
  <si>
    <t>SPECIFIED PUBLIC PURPOSE</t>
  </si>
  <si>
    <t>PUBLIC LIGHT</t>
  </si>
  <si>
    <t>PUBLIC WATER WORKS AND SEWERAGE&lt; 110 KVA</t>
  </si>
  <si>
    <t>ALLIED AGRO-INDUSTRIAL ACTIVITIES</t>
  </si>
  <si>
    <t>ENERGY_CHG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</si>
</sst>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9"/>
      <color rgb="FF666666"/>
      <name val="Arial"/>
      <charset val="1"/>
    </font>
    <font>
      <b/>
      <sz val="11"/>
      <color rgb="FFFFFFFF"/>
      <name val="Arial"/>
      <charset val="1"/>
    </font>
    <font>
      <b/>
      <sz val="10.5"/>
      <color rgb="FF1F4E78"/>
      <name val="Arial"/>
      <charset val="1"/>
    </font>
    <font>
      <sz val="10"/>
      <name val="Arial"/>
      <charset val="1"/>
    </font>
    <font>
      <sz val="11"/>
      <color rgb="FF0000FF"/>
      <name val="Arial"/>
      <charset val="1"/>
    </font>
    <font>
      <b/>
      <sz val="11"/>
      <color rgb="FF000000"/>
      <name val="Arial"/>
      <charset val="1"/>
    </font>
    <font>
      <i/>
      <sz val="9.5"/>
      <color rgb="FF444444"/>
      <name val="Arial"/>
      <charset val="1"/>
    </font>
    <font>
      <sz val="9.5"/>
      <color rgb="FF555555"/>
      <name val="Arial"/>
      <charset val="1"/>
    </font>
    <font>
      <b/>
      <sz val="10"/>
      <name val="Arial"/>
      <charset val="1"/>
    </font>
    <font>
      <sz val="9"/>
      <color rgb="FF444444"/>
      <name val="Arial"/>
      <charset val="1"/>
    </font>
    <font>
      <sz val="11"/>
      <name val="Dialog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4" borderId="1" xfId="0" applyFont="1" applyFill="1" applyBorder="1"/>
    <xf numFmtId="0" fontId="5" fillId="0" borderId="1" xfId="0" applyFont="1" applyBorder="1" applyAlignment="1">
      <alignment horizontal="center" vertical="center" wrapText="1"/>
    </xf>
    <xf numFmtId="4" fontId="6" fillId="4" borderId="1" xfId="0" applyNumberFormat="1" applyFont="1" applyFill="1" applyBorder="1"/>
    <xf numFmtId="4" fontId="7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0" fillId="5" borderId="1" xfId="0" applyFill="1" applyBorder="1"/>
    <xf numFmtId="4" fontId="9" fillId="5" borderId="1" xfId="0" applyNumberFormat="1" applyFont="1" applyFill="1" applyBorder="1"/>
    <xf numFmtId="2" fontId="9" fillId="5" borderId="1" xfId="0" applyNumberFormat="1" applyFont="1" applyFill="1" applyBorder="1"/>
    <xf numFmtId="0" fontId="9" fillId="5" borderId="1" xfId="0" applyFont="1" applyFill="1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12" fillId="6" borderId="0" xfId="0" applyFont="1" applyFill="1" applyAlignment="1">
      <alignment horizontal="right"/>
    </xf>
    <xf numFmtId="0" fontId="11" fillId="0" borderId="0" xfId="0" applyFont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1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555555"/>
      <rgbColor rgb="FF993300"/>
      <rgbColor rgb="FF993366"/>
      <rgbColor rgb="FF1F4E78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zoomScaleNormal="100" workbookViewId="0">
      <pane ySplit="5" topLeftCell="A6" activePane="bottomLeft" state="frozen"/>
      <selection pane="bottomLeft" activeCell="G5" sqref="G5"/>
    </sheetView>
  </sheetViews>
  <sheetFormatPr defaultColWidth="8.6640625" defaultRowHeight="14.4"/>
  <cols>
    <col min="1" max="1" width="8" customWidth="1"/>
    <col min="2" max="2" width="44" customWidth="1"/>
    <col min="3" max="3" width="26" customWidth="1"/>
    <col min="4" max="4" width="20" customWidth="1"/>
    <col min="5" max="5" width="16" customWidth="1"/>
    <col min="6" max="6" width="24" customWidth="1"/>
    <col min="7" max="7" width="20" customWidth="1"/>
    <col min="8" max="8" width="34" customWidth="1"/>
  </cols>
  <sheetData>
    <row r="1" spans="1:8" ht="17.399999999999999">
      <c r="A1" s="18" t="s">
        <v>0</v>
      </c>
      <c r="B1" s="18"/>
      <c r="C1" s="18"/>
      <c r="D1" s="18"/>
      <c r="E1" s="18"/>
      <c r="F1" s="18"/>
      <c r="G1" s="18"/>
      <c r="H1" s="18"/>
    </row>
    <row r="2" spans="1:8">
      <c r="A2" s="19" t="s">
        <v>1</v>
      </c>
      <c r="B2" s="19"/>
      <c r="C2" s="19"/>
      <c r="D2" s="19"/>
      <c r="E2" s="19"/>
      <c r="F2" s="19"/>
      <c r="G2" s="19"/>
      <c r="H2" s="19"/>
    </row>
    <row r="3" spans="1:8">
      <c r="A3" s="19" t="s">
        <v>2</v>
      </c>
      <c r="B3" s="19"/>
      <c r="C3" s="19"/>
      <c r="D3" s="19"/>
      <c r="E3" s="19"/>
      <c r="F3" s="19"/>
      <c r="G3" s="19"/>
      <c r="H3" s="19"/>
    </row>
    <row r="5" spans="1:8" ht="42" customHeight="1">
      <c r="A5" s="1" t="s">
        <v>3</v>
      </c>
      <c r="B5" s="1" t="s">
        <v>4</v>
      </c>
      <c r="C5" s="1" t="s">
        <v>53</v>
      </c>
      <c r="D5" s="1" t="s">
        <v>56</v>
      </c>
      <c r="E5" s="1" t="s">
        <v>5</v>
      </c>
      <c r="F5" s="1" t="s">
        <v>6</v>
      </c>
      <c r="G5" s="1" t="s">
        <v>62</v>
      </c>
      <c r="H5" s="1" t="s">
        <v>7</v>
      </c>
    </row>
    <row r="6" spans="1:8" ht="18" customHeight="1">
      <c r="A6" s="16" t="s">
        <v>8</v>
      </c>
      <c r="B6" s="16"/>
      <c r="C6" s="16"/>
      <c r="D6" s="16"/>
      <c r="E6" s="16"/>
      <c r="F6" s="16"/>
      <c r="G6" s="16"/>
      <c r="H6" s="16"/>
    </row>
    <row r="7" spans="1:8" ht="27.75" customHeight="1">
      <c r="A7" s="4" t="s">
        <v>9</v>
      </c>
      <c r="B7" s="2" t="s">
        <v>10</v>
      </c>
      <c r="C7" s="3" t="s">
        <v>52</v>
      </c>
      <c r="D7" s="14"/>
      <c r="E7" s="4" t="s">
        <v>11</v>
      </c>
      <c r="F7" s="2" t="s">
        <v>12</v>
      </c>
      <c r="G7" s="6" t="str">
        <f>IF(D7="","",SUM(G8:G11))</f>
        <v/>
      </c>
      <c r="H7" s="7" t="s">
        <v>13</v>
      </c>
    </row>
    <row r="8" spans="1:8" ht="19.5" customHeight="1">
      <c r="A8" s="4"/>
      <c r="B8" s="8" t="s">
        <v>14</v>
      </c>
      <c r="C8" s="9"/>
      <c r="D8" s="10" t="str">
        <f>IF(D7="","",MAX(MIN(D7,50)-0,0))</f>
        <v/>
      </c>
      <c r="E8" s="11">
        <v>290</v>
      </c>
      <c r="F8" s="12" t="s">
        <v>15</v>
      </c>
      <c r="G8" s="10" t="str">
        <f>IF(D8="","",D8*E8/100)</f>
        <v/>
      </c>
      <c r="H8" s="9"/>
    </row>
    <row r="9" spans="1:8" ht="19.5" customHeight="1">
      <c r="A9" s="4"/>
      <c r="B9" s="8" t="s">
        <v>16</v>
      </c>
      <c r="C9" s="9"/>
      <c r="D9" s="10" t="str">
        <f>IF(D7="","",MAX(MIN(D7,200)-50,0))</f>
        <v/>
      </c>
      <c r="E9" s="11">
        <v>470</v>
      </c>
      <c r="F9" s="12" t="s">
        <v>17</v>
      </c>
      <c r="G9" s="10" t="str">
        <f>IF(D9="","",D9*E9/100)</f>
        <v/>
      </c>
      <c r="H9" s="9"/>
    </row>
    <row r="10" spans="1:8" ht="19.5" customHeight="1">
      <c r="A10" s="4"/>
      <c r="B10" s="8" t="s">
        <v>18</v>
      </c>
      <c r="C10" s="9"/>
      <c r="D10" s="10" t="str">
        <f>IF(D7="","",MAX(MIN(D7,400)-200,0))</f>
        <v/>
      </c>
      <c r="E10" s="11">
        <v>570</v>
      </c>
      <c r="F10" s="12" t="s">
        <v>19</v>
      </c>
      <c r="G10" s="10" t="str">
        <f>IF(D10="","",D10*E10/100)</f>
        <v/>
      </c>
      <c r="H10" s="9"/>
    </row>
    <row r="11" spans="1:8" ht="19.5" customHeight="1">
      <c r="A11" s="4"/>
      <c r="B11" s="8" t="s">
        <v>20</v>
      </c>
      <c r="C11" s="9"/>
      <c r="D11" s="10" t="str">
        <f>IF(D7="","",MAX(D7-400,0))</f>
        <v/>
      </c>
      <c r="E11" s="11">
        <v>610</v>
      </c>
      <c r="F11" s="12" t="s">
        <v>21</v>
      </c>
      <c r="G11" s="10" t="str">
        <f>IF(D11="","",D11*E11/100)</f>
        <v/>
      </c>
      <c r="H11" s="9"/>
    </row>
    <row r="12" spans="1:8" ht="18" customHeight="1">
      <c r="A12" s="16" t="s">
        <v>22</v>
      </c>
      <c r="B12" s="16"/>
      <c r="C12" s="16"/>
      <c r="D12" s="16"/>
      <c r="E12" s="16"/>
      <c r="F12" s="16"/>
      <c r="G12" s="16"/>
      <c r="H12" s="16"/>
    </row>
    <row r="13" spans="1:8" ht="27.75" customHeight="1">
      <c r="A13" s="4" t="s">
        <v>23</v>
      </c>
      <c r="B13" s="2" t="s">
        <v>24</v>
      </c>
      <c r="C13" s="3" t="s">
        <v>54</v>
      </c>
      <c r="D13" s="14"/>
      <c r="E13" s="4" t="s">
        <v>11</v>
      </c>
      <c r="F13" s="2" t="s">
        <v>12</v>
      </c>
      <c r="G13" s="6" t="str">
        <f>IF(D13="","",SUM(G14:G16))</f>
        <v/>
      </c>
      <c r="H13" s="7" t="s">
        <v>13</v>
      </c>
    </row>
    <row r="14" spans="1:8" ht="19.5" customHeight="1">
      <c r="A14" s="4"/>
      <c r="B14" s="8" t="s">
        <v>25</v>
      </c>
      <c r="C14" s="9"/>
      <c r="D14" s="10" t="str">
        <f>IF(D13="","",MAX(MIN(D13,100)-0,0))</f>
        <v/>
      </c>
      <c r="E14" s="11">
        <v>590</v>
      </c>
      <c r="F14" s="12" t="s">
        <v>26</v>
      </c>
      <c r="G14" s="10" t="str">
        <f>IF(D14="","",D14*E14/100)</f>
        <v/>
      </c>
      <c r="H14" s="9"/>
    </row>
    <row r="15" spans="1:8" ht="19.5" customHeight="1">
      <c r="A15" s="4"/>
      <c r="B15" s="8" t="s">
        <v>27</v>
      </c>
      <c r="C15" s="9"/>
      <c r="D15" s="10" t="str">
        <f>IF(D13="","",MAX(MIN(D13,300)-100,0))</f>
        <v/>
      </c>
      <c r="E15" s="11">
        <v>700</v>
      </c>
      <c r="F15" s="12" t="s">
        <v>28</v>
      </c>
      <c r="G15" s="10" t="str">
        <f>IF(D15="","",D15*E15/100)</f>
        <v/>
      </c>
      <c r="H15" s="9"/>
    </row>
    <row r="16" spans="1:8" ht="19.5" customHeight="1">
      <c r="A16" s="4"/>
      <c r="B16" s="8" t="s">
        <v>29</v>
      </c>
      <c r="C16" s="9"/>
      <c r="D16" s="10" t="str">
        <f>IF(D13="","",MAX(D13-300,0))</f>
        <v/>
      </c>
      <c r="E16" s="11">
        <v>760</v>
      </c>
      <c r="F16" s="12" t="s">
        <v>30</v>
      </c>
      <c r="G16" s="10" t="str">
        <f>IF(D16="","",D16*E16/100)</f>
        <v/>
      </c>
      <c r="H16" s="9"/>
    </row>
    <row r="17" spans="1:8" ht="18" customHeight="1">
      <c r="A17" s="16" t="s">
        <v>31</v>
      </c>
      <c r="B17" s="16"/>
      <c r="C17" s="16"/>
      <c r="D17" s="16"/>
      <c r="E17" s="16"/>
      <c r="F17" s="16"/>
      <c r="G17" s="16"/>
      <c r="H17" s="16"/>
    </row>
    <row r="18" spans="1:8" ht="25.5" customHeight="1">
      <c r="A18" s="4" t="s">
        <v>32</v>
      </c>
      <c r="B18" s="2" t="s">
        <v>33</v>
      </c>
      <c r="C18" s="3" t="s">
        <v>55</v>
      </c>
      <c r="D18" s="14"/>
      <c r="E18" s="13">
        <v>150</v>
      </c>
      <c r="F18" s="2" t="s">
        <v>34</v>
      </c>
      <c r="G18" s="6" t="str">
        <f t="shared" ref="G18:G23" si="0">IF(D18="","",D18*E18/100)</f>
        <v/>
      </c>
      <c r="H18" s="7"/>
    </row>
    <row r="19" spans="1:8" ht="25.5" customHeight="1">
      <c r="A19" s="4" t="s">
        <v>35</v>
      </c>
      <c r="B19" s="2" t="s">
        <v>36</v>
      </c>
      <c r="C19" s="3" t="s">
        <v>57</v>
      </c>
      <c r="D19" s="5"/>
      <c r="E19" s="13">
        <v>160</v>
      </c>
      <c r="F19" s="2" t="s">
        <v>34</v>
      </c>
      <c r="G19" s="6" t="str">
        <f t="shared" si="0"/>
        <v/>
      </c>
      <c r="H19" s="7"/>
    </row>
    <row r="20" spans="1:8" ht="25.5" customHeight="1">
      <c r="A20" s="4" t="s">
        <v>37</v>
      </c>
      <c r="B20" s="2" t="s">
        <v>38</v>
      </c>
      <c r="C20" s="3" t="s">
        <v>61</v>
      </c>
      <c r="D20" s="5"/>
      <c r="E20" s="13">
        <v>310</v>
      </c>
      <c r="F20" s="2" t="s">
        <v>34</v>
      </c>
      <c r="G20" s="6" t="str">
        <f t="shared" si="0"/>
        <v/>
      </c>
      <c r="H20" s="7"/>
    </row>
    <row r="21" spans="1:8" ht="25.5" customHeight="1">
      <c r="A21" s="4" t="s">
        <v>39</v>
      </c>
      <c r="B21" s="2" t="s">
        <v>40</v>
      </c>
      <c r="C21" s="3" t="s">
        <v>59</v>
      </c>
      <c r="D21" s="5"/>
      <c r="E21" s="13">
        <v>620</v>
      </c>
      <c r="F21" s="2" t="s">
        <v>34</v>
      </c>
      <c r="G21" s="6" t="str">
        <f t="shared" si="0"/>
        <v/>
      </c>
      <c r="H21" s="7"/>
    </row>
    <row r="22" spans="1:8" ht="25.5" customHeight="1">
      <c r="A22" s="4" t="s">
        <v>41</v>
      </c>
      <c r="B22" s="2" t="s">
        <v>42</v>
      </c>
      <c r="C22" s="3" t="s">
        <v>58</v>
      </c>
      <c r="D22" s="14"/>
      <c r="E22" s="13">
        <v>620</v>
      </c>
      <c r="F22" s="2" t="s">
        <v>34</v>
      </c>
      <c r="G22" s="6" t="str">
        <f t="shared" si="0"/>
        <v/>
      </c>
      <c r="H22" s="7"/>
    </row>
    <row r="23" spans="1:8" ht="25.5" customHeight="1">
      <c r="A23" s="4" t="s">
        <v>43</v>
      </c>
      <c r="B23" s="2" t="s">
        <v>44</v>
      </c>
      <c r="C23" s="3" t="s">
        <v>60</v>
      </c>
      <c r="D23" s="5"/>
      <c r="E23" s="13">
        <v>620</v>
      </c>
      <c r="F23" s="2" t="s">
        <v>34</v>
      </c>
      <c r="G23" s="6" t="str">
        <f t="shared" si="0"/>
        <v/>
      </c>
      <c r="H23" s="7"/>
    </row>
    <row r="25" spans="1:8">
      <c r="A25" s="17" t="s">
        <v>45</v>
      </c>
      <c r="B25" s="17"/>
      <c r="C25" s="17"/>
      <c r="D25" s="17"/>
      <c r="E25" s="17"/>
      <c r="F25" s="17"/>
      <c r="G25" s="17"/>
      <c r="H25" s="17"/>
    </row>
    <row r="26" spans="1:8" ht="15" customHeight="1">
      <c r="A26" s="15" t="s">
        <v>46</v>
      </c>
      <c r="B26" s="15"/>
      <c r="C26" s="15"/>
      <c r="D26" s="15"/>
      <c r="E26" s="15"/>
      <c r="F26" s="15"/>
      <c r="G26" s="15"/>
      <c r="H26" s="15"/>
    </row>
    <row r="27" spans="1:8" ht="15" customHeight="1">
      <c r="A27" s="15" t="s">
        <v>47</v>
      </c>
      <c r="B27" s="15"/>
      <c r="C27" s="15"/>
      <c r="D27" s="15"/>
      <c r="E27" s="15"/>
      <c r="F27" s="15"/>
      <c r="G27" s="15"/>
      <c r="H27" s="15"/>
    </row>
    <row r="28" spans="1:8" ht="15" customHeight="1">
      <c r="A28" s="15" t="s">
        <v>48</v>
      </c>
      <c r="B28" s="15"/>
      <c r="C28" s="15"/>
      <c r="D28" s="15"/>
      <c r="E28" s="15"/>
      <c r="F28" s="15"/>
      <c r="G28" s="15"/>
      <c r="H28" s="15"/>
    </row>
    <row r="29" spans="1:8" ht="15" customHeight="1">
      <c r="A29" s="15" t="s">
        <v>49</v>
      </c>
      <c r="B29" s="15"/>
      <c r="C29" s="15"/>
      <c r="D29" s="15"/>
      <c r="E29" s="15"/>
      <c r="F29" s="15"/>
      <c r="G29" s="15"/>
      <c r="H29" s="15"/>
    </row>
    <row r="30" spans="1:8" ht="15" customHeight="1">
      <c r="A30" s="15" t="s">
        <v>50</v>
      </c>
      <c r="B30" s="15"/>
      <c r="C30" s="15"/>
      <c r="D30" s="15"/>
      <c r="E30" s="15"/>
      <c r="F30" s="15"/>
      <c r="G30" s="15"/>
      <c r="H30" s="15"/>
    </row>
    <row r="31" spans="1:8" ht="15" customHeight="1">
      <c r="A31" s="15" t="s">
        <v>51</v>
      </c>
      <c r="B31" s="15"/>
      <c r="C31" s="15"/>
      <c r="D31" s="15"/>
      <c r="E31" s="15"/>
      <c r="F31" s="15"/>
      <c r="G31" s="15"/>
      <c r="H31" s="15"/>
    </row>
  </sheetData>
  <mergeCells count="13">
    <mergeCell ref="A1:H1"/>
    <mergeCell ref="A2:H2"/>
    <mergeCell ref="A3:H3"/>
    <mergeCell ref="A6:H6"/>
    <mergeCell ref="A12:H12"/>
    <mergeCell ref="A29:H29"/>
    <mergeCell ref="A30:H30"/>
    <mergeCell ref="A31:H31"/>
    <mergeCell ref="A17:H17"/>
    <mergeCell ref="A25:H25"/>
    <mergeCell ref="A26:H26"/>
    <mergeCell ref="A27:H27"/>
    <mergeCell ref="A28:H2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 Energy Charge 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ARNAV PATTANAIK</cp:lastModifiedBy>
  <cp:revision>0</cp:revision>
  <dcterms:created xsi:type="dcterms:W3CDTF">2026-09-03T16:25:36Z</dcterms:created>
  <dcterms:modified xsi:type="dcterms:W3CDTF">2026-09-03T17:07:00Z</dcterms:modified>
  <dc:language>en-US</dc:language>
</cp:coreProperties>
</file>