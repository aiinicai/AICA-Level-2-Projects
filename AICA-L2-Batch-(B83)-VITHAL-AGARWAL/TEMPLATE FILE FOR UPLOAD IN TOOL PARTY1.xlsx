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AICA_L2\AICA-L2-Batch-(B83)-VITHAL-AGARWAL\"/>
    </mc:Choice>
  </mc:AlternateContent>
  <bookViews>
    <workbookView xWindow="-120" yWindow="-120" windowWidth="24240" windowHeight="13020"/>
  </bookViews>
  <sheets>
    <sheet name="VREPORT" sheetId="1" r:id="rId1"/>
  </sheets>
  <definedNames>
    <definedName name="_xlnm._FilterDatabase" localSheetId="0" hidden="1">VREPORT!$A$2:$G$303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4" i="1" l="1"/>
  <c r="J124" i="1" s="1"/>
  <c r="F123" i="1"/>
  <c r="J123" i="1" s="1"/>
  <c r="F122" i="1"/>
  <c r="J122" i="1" s="1"/>
  <c r="F121" i="1"/>
  <c r="J121" i="1" s="1"/>
  <c r="F120" i="1"/>
  <c r="J120" i="1" s="1"/>
  <c r="F119" i="1"/>
  <c r="J119" i="1" s="1"/>
  <c r="F118" i="1"/>
  <c r="J118" i="1" s="1"/>
  <c r="F117" i="1"/>
  <c r="J117" i="1" s="1"/>
  <c r="F116" i="1"/>
  <c r="J116" i="1" s="1"/>
  <c r="F115" i="1"/>
  <c r="J115" i="1" s="1"/>
  <c r="F114" i="1"/>
  <c r="J114" i="1" s="1"/>
  <c r="F113" i="1"/>
  <c r="J113" i="1" s="1"/>
  <c r="F112" i="1"/>
  <c r="J112" i="1" s="1"/>
  <c r="F111" i="1"/>
  <c r="J111" i="1" s="1"/>
  <c r="F110" i="1"/>
  <c r="J110" i="1" s="1"/>
  <c r="F109" i="1"/>
  <c r="J109" i="1" s="1"/>
  <c r="F108" i="1"/>
  <c r="J108" i="1" s="1"/>
  <c r="F107" i="1"/>
  <c r="J107" i="1" s="1"/>
  <c r="F106" i="1"/>
  <c r="J106" i="1" s="1"/>
  <c r="F105" i="1"/>
  <c r="J105" i="1" s="1"/>
  <c r="F104" i="1"/>
  <c r="J104" i="1" s="1"/>
  <c r="F103" i="1"/>
  <c r="J103" i="1" s="1"/>
  <c r="F102" i="1"/>
  <c r="J102" i="1" s="1"/>
  <c r="F101" i="1"/>
  <c r="J101" i="1" s="1"/>
  <c r="F100" i="1"/>
  <c r="J100" i="1" s="1"/>
  <c r="F99" i="1"/>
  <c r="J99" i="1" s="1"/>
  <c r="F98" i="1"/>
  <c r="J98" i="1" s="1"/>
  <c r="F97" i="1"/>
  <c r="J97" i="1" s="1"/>
  <c r="F96" i="1"/>
  <c r="J96" i="1" s="1"/>
  <c r="F95" i="1"/>
  <c r="J95" i="1" s="1"/>
  <c r="F94" i="1"/>
  <c r="J94" i="1" s="1"/>
  <c r="F93" i="1"/>
  <c r="J93" i="1" s="1"/>
  <c r="F92" i="1"/>
  <c r="J92" i="1" s="1"/>
  <c r="F91" i="1"/>
  <c r="J91" i="1" s="1"/>
  <c r="F90" i="1"/>
  <c r="J90" i="1" s="1"/>
  <c r="F89" i="1"/>
  <c r="J89" i="1" s="1"/>
  <c r="F88" i="1"/>
  <c r="J88" i="1" s="1"/>
  <c r="F87" i="1"/>
  <c r="J87" i="1" s="1"/>
  <c r="F86" i="1"/>
  <c r="J86" i="1" s="1"/>
  <c r="F85" i="1"/>
  <c r="J85" i="1" s="1"/>
  <c r="F84" i="1"/>
  <c r="J84" i="1" s="1"/>
  <c r="F83" i="1"/>
  <c r="J83" i="1" s="1"/>
  <c r="F82" i="1"/>
  <c r="J82" i="1" s="1"/>
  <c r="F81" i="1"/>
  <c r="J81" i="1" s="1"/>
  <c r="F80" i="1"/>
  <c r="J80" i="1" s="1"/>
  <c r="F79" i="1"/>
  <c r="J79" i="1" s="1"/>
  <c r="F78" i="1"/>
  <c r="J78" i="1" s="1"/>
  <c r="F77" i="1"/>
  <c r="J77" i="1" s="1"/>
  <c r="F76" i="1"/>
  <c r="J76" i="1" s="1"/>
  <c r="F75" i="1"/>
  <c r="J75" i="1" s="1"/>
  <c r="F74" i="1"/>
  <c r="J74" i="1" s="1"/>
  <c r="F73" i="1"/>
  <c r="J73" i="1" s="1"/>
  <c r="F72" i="1"/>
  <c r="J72" i="1" s="1"/>
  <c r="F71" i="1"/>
  <c r="J71" i="1" s="1"/>
  <c r="F70" i="1"/>
  <c r="J70" i="1" s="1"/>
  <c r="F69" i="1"/>
  <c r="J69" i="1" s="1"/>
  <c r="F68" i="1"/>
  <c r="J68" i="1" s="1"/>
  <c r="F67" i="1"/>
  <c r="J67" i="1" s="1"/>
  <c r="F66" i="1"/>
  <c r="J66" i="1" s="1"/>
  <c r="F65" i="1"/>
  <c r="J65" i="1" s="1"/>
  <c r="F64" i="1"/>
  <c r="J64" i="1" s="1"/>
  <c r="F63" i="1"/>
  <c r="J63" i="1" s="1"/>
  <c r="F62" i="1"/>
  <c r="J62" i="1" s="1"/>
  <c r="F61" i="1"/>
  <c r="J61" i="1" s="1"/>
  <c r="F60" i="1"/>
  <c r="J60" i="1" s="1"/>
  <c r="F59" i="1"/>
  <c r="J59" i="1" s="1"/>
  <c r="F58" i="1"/>
  <c r="J58" i="1" s="1"/>
  <c r="F57" i="1"/>
  <c r="J57" i="1" s="1"/>
  <c r="F56" i="1"/>
  <c r="J56" i="1" s="1"/>
  <c r="F55" i="1"/>
  <c r="J55" i="1" s="1"/>
  <c r="F54" i="1"/>
  <c r="J54" i="1" s="1"/>
  <c r="F53" i="1"/>
  <c r="J53" i="1" s="1"/>
  <c r="F52" i="1"/>
  <c r="J52" i="1" s="1"/>
  <c r="F51" i="1"/>
  <c r="J51" i="1" s="1"/>
  <c r="F50" i="1"/>
  <c r="J50" i="1" s="1"/>
  <c r="F49" i="1"/>
  <c r="J49" i="1" s="1"/>
  <c r="F48" i="1"/>
  <c r="J48" i="1" s="1"/>
  <c r="F47" i="1"/>
  <c r="J47" i="1" s="1"/>
  <c r="F46" i="1"/>
  <c r="J46" i="1" s="1"/>
  <c r="F45" i="1"/>
  <c r="J45" i="1" s="1"/>
  <c r="F44" i="1"/>
  <c r="J44" i="1" s="1"/>
  <c r="F43" i="1"/>
  <c r="J43" i="1" s="1"/>
  <c r="F42" i="1"/>
  <c r="J42" i="1" s="1"/>
  <c r="F41" i="1"/>
  <c r="J41" i="1" s="1"/>
  <c r="F40" i="1"/>
  <c r="J40" i="1" s="1"/>
  <c r="F39" i="1"/>
  <c r="J39" i="1" s="1"/>
  <c r="F38" i="1"/>
  <c r="J38" i="1" s="1"/>
  <c r="F37" i="1"/>
  <c r="J37" i="1" s="1"/>
  <c r="F36" i="1"/>
  <c r="J36" i="1" s="1"/>
  <c r="F35" i="1"/>
  <c r="J35" i="1" s="1"/>
  <c r="F34" i="1"/>
  <c r="J34" i="1" s="1"/>
  <c r="F33" i="1"/>
  <c r="J33" i="1" s="1"/>
  <c r="F32" i="1"/>
  <c r="J32" i="1" s="1"/>
  <c r="F31" i="1"/>
  <c r="J31" i="1" s="1"/>
  <c r="F30" i="1"/>
  <c r="J30" i="1" s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F22" i="1"/>
  <c r="J22" i="1" s="1"/>
  <c r="F21" i="1"/>
  <c r="J21" i="1" s="1"/>
  <c r="F20" i="1"/>
  <c r="J20" i="1" s="1"/>
  <c r="F19" i="1"/>
  <c r="J19" i="1" s="1"/>
  <c r="F18" i="1"/>
  <c r="J18" i="1" s="1"/>
  <c r="F17" i="1"/>
  <c r="J17" i="1" s="1"/>
  <c r="F16" i="1"/>
  <c r="J16" i="1" s="1"/>
  <c r="F15" i="1"/>
  <c r="J15" i="1" s="1"/>
  <c r="F14" i="1"/>
  <c r="J14" i="1" s="1"/>
  <c r="F13" i="1"/>
  <c r="J13" i="1" s="1"/>
  <c r="F12" i="1"/>
  <c r="J12" i="1" s="1"/>
  <c r="F11" i="1"/>
  <c r="J11" i="1" s="1"/>
  <c r="F10" i="1"/>
  <c r="J10" i="1" s="1"/>
  <c r="F9" i="1"/>
  <c r="J9" i="1" s="1"/>
  <c r="F8" i="1"/>
  <c r="J8" i="1" s="1"/>
  <c r="F7" i="1"/>
  <c r="J7" i="1" s="1"/>
  <c r="F6" i="1"/>
  <c r="J6" i="1" s="1"/>
  <c r="F5" i="1"/>
  <c r="J5" i="1" s="1"/>
  <c r="F4" i="1"/>
  <c r="J4" i="1" s="1"/>
  <c r="F3" i="1"/>
  <c r="J3" i="1" s="1"/>
</calcChain>
</file>

<file path=xl/sharedStrings.xml><?xml version="1.0" encoding="utf-8"?>
<sst xmlns="http://schemas.openxmlformats.org/spreadsheetml/2006/main" count="252" uniqueCount="126">
  <si>
    <t>PAN NO.</t>
  </si>
  <si>
    <t>PARTY NAME</t>
  </si>
  <si>
    <t>CREDIT AMT.</t>
  </si>
  <si>
    <t>TOTAL TDS AMT.</t>
  </si>
  <si>
    <t>DEDUCTION DATE</t>
  </si>
  <si>
    <t>TDS %</t>
  </si>
  <si>
    <t>JGANDHI TEX PRIVATE LIMITED</t>
  </si>
  <si>
    <t>AAECJ2303C</t>
  </si>
  <si>
    <t>SEC</t>
  </si>
  <si>
    <t>ACLPP4816C</t>
  </si>
  <si>
    <t>ALXPV3781F</t>
  </si>
  <si>
    <t>HXNPK3883G</t>
  </si>
  <si>
    <t>AAICV1023H</t>
  </si>
  <si>
    <t>ABKFS6577P</t>
  </si>
  <si>
    <t>BHTPS2543D</t>
  </si>
  <si>
    <t>AAGHK5527E</t>
  </si>
  <si>
    <t>AWAPP0056F</t>
  </si>
  <si>
    <t>AGIPG3229R</t>
  </si>
  <si>
    <t>AFJPV8553P</t>
  </si>
  <si>
    <t>ABDPT6872F</t>
  </si>
  <si>
    <t>CHLPB7574E</t>
  </si>
  <si>
    <t>ABCPV0528M</t>
  </si>
  <si>
    <t>AFSPV2589J</t>
  </si>
  <si>
    <t>BKFPS2132F</t>
  </si>
  <si>
    <t>GFTPS0285D</t>
  </si>
  <si>
    <t>CWEPK0768F</t>
  </si>
  <si>
    <t>BZFPK2067J</t>
  </si>
  <si>
    <t>ACPPL5991C</t>
  </si>
  <si>
    <t>CFHPS8883P</t>
  </si>
  <si>
    <t>BLGPG3738K</t>
  </si>
  <si>
    <t>AFCFS0059N</t>
  </si>
  <si>
    <t>EDWPP8236G</t>
  </si>
  <si>
    <t>EIYPK0540K</t>
  </si>
  <si>
    <t>AEXPP4679M</t>
  </si>
  <si>
    <t>ACTPL4712B</t>
  </si>
  <si>
    <t>BKWPS9813E</t>
  </si>
  <si>
    <t>PAMPS0560L</t>
  </si>
  <si>
    <t>EUZPS6682B</t>
  </si>
  <si>
    <t>ILOPS0973K</t>
  </si>
  <si>
    <t>ACIPS3606C</t>
  </si>
  <si>
    <t>AFIPV3054N</t>
  </si>
  <si>
    <t>AEYPN7765D</t>
  </si>
  <si>
    <t>AQQPB0105P</t>
  </si>
  <si>
    <t>BGDPP4696R</t>
  </si>
  <si>
    <t>CNWPP3354F</t>
  </si>
  <si>
    <t>FKUPB0431F</t>
  </si>
  <si>
    <t>BIOPG1855J</t>
  </si>
  <si>
    <t>BFGPR4917D</t>
  </si>
  <si>
    <t>AAKFR5189D</t>
  </si>
  <si>
    <t>CPWPD9920D</t>
  </si>
  <si>
    <t>AHFPR4128J</t>
  </si>
  <si>
    <t>APWPK0821N</t>
  </si>
  <si>
    <t>AWNPD5937C</t>
  </si>
  <si>
    <t>AWDPV6170B</t>
  </si>
  <si>
    <t>ASTPV4138K</t>
  </si>
  <si>
    <t>AAKFR4104Q</t>
  </si>
  <si>
    <t>AABCK1458N</t>
  </si>
  <si>
    <t>AAACB9828J</t>
  </si>
  <si>
    <t>AZFPS9857H</t>
  </si>
  <si>
    <t>AADFR1473M</t>
  </si>
  <si>
    <t>AAMCS8331H</t>
  </si>
  <si>
    <t>AFAPD8544F</t>
  </si>
  <si>
    <t>RAJESH TEXTILE AGENCY</t>
  </si>
  <si>
    <t>RUSEBHAI VISHVAKARMA</t>
  </si>
  <si>
    <t>GANESHKUMAR RATANRAM KUMAWAT.</t>
  </si>
  <si>
    <t>VLP SERVICE &amp; WELFARE ASSOCIATION</t>
  </si>
  <si>
    <t>SHRI RAMANUJ FASHION</t>
  </si>
  <si>
    <t>POOJAN ART</t>
  </si>
  <si>
    <t>SHREE KISHAN DAYMA (HUF)</t>
  </si>
  <si>
    <t>SHIVAM PRINTS</t>
  </si>
  <si>
    <t>GOENKA SILK MILLS</t>
  </si>
  <si>
    <t>SHREE KHODAL CREATION</t>
  </si>
  <si>
    <t>KRISHNA PRINTS</t>
  </si>
  <si>
    <t>SHREE KRISHNA CREATION</t>
  </si>
  <si>
    <t>OM CREATION</t>
  </si>
  <si>
    <t>MISHITA CREATION</t>
  </si>
  <si>
    <t>HASTI CREATION</t>
  </si>
  <si>
    <t>S.G.P.TEXTILES</t>
  </si>
  <si>
    <t xml:space="preserve">SHREE SHIV SHAKTI CREATION </t>
  </si>
  <si>
    <t>SHYAM FASHION.</t>
  </si>
  <si>
    <t>SHREE HARI FASHION</t>
  </si>
  <si>
    <t>KRISHNA HAND PRINTS</t>
  </si>
  <si>
    <t>RAMDEV CREATION.</t>
  </si>
  <si>
    <t>SHRI BALAJI CREATION..</t>
  </si>
  <si>
    <t>JAY SHREENATHJI DIGITAL PRINT</t>
  </si>
  <si>
    <t>AARYA FASHION</t>
  </si>
  <si>
    <t>SARP CREATION</t>
  </si>
  <si>
    <t>DEVANSHI HANDWORK</t>
  </si>
  <si>
    <t>MEET TEXTILES</t>
  </si>
  <si>
    <t>PATHAN SAHIL</t>
  </si>
  <si>
    <t>DMD FASHION</t>
  </si>
  <si>
    <t>MISHREE HAND WORK</t>
  </si>
  <si>
    <t>SHREEJI CREATION</t>
  </si>
  <si>
    <t>GANESH CREATION</t>
  </si>
  <si>
    <t>VAIBHAV FASHION ART.</t>
  </si>
  <si>
    <t>MARUTI FASHION</t>
  </si>
  <si>
    <t>MANISH BHARATBHAI PATEL</t>
  </si>
  <si>
    <t>RADHE FASHION.</t>
  </si>
  <si>
    <t>BHAVI CREATION</t>
  </si>
  <si>
    <t>DURGA FASHION</t>
  </si>
  <si>
    <t>MARUTI HANDWORK</t>
  </si>
  <si>
    <t>RIDHAM ART</t>
  </si>
  <si>
    <t>VARSHA FASHION</t>
  </si>
  <si>
    <t>PURVA CREATION</t>
  </si>
  <si>
    <t>ASHOKBHAI SHAMBHUBHAI KANANI</t>
  </si>
  <si>
    <t>SHRIDHAR S DASARI</t>
  </si>
  <si>
    <t>JAY KHODAL CREATION</t>
  </si>
  <si>
    <t>SHIVAM CREATION.</t>
  </si>
  <si>
    <t>RIDDHI SIDDHI PROCESSORS</t>
  </si>
  <si>
    <t>KRISHNA ART SILK CLOTHS PVT. LTD.</t>
  </si>
  <si>
    <t>SHREE BALKISHAN DYG &amp; PTG MILLS PVT LTD.</t>
  </si>
  <si>
    <t>KRISHNA SILK MILLS.</t>
  </si>
  <si>
    <t>RAJNI PROCESSORS</t>
  </si>
  <si>
    <t>SHIVAM TERINE PVT.LTD.</t>
  </si>
  <si>
    <t xml:space="preserve">KRISHNA SYNTHETICS </t>
  </si>
  <si>
    <t>DEEPAK S.GOYAL</t>
  </si>
  <si>
    <t>CLIENT TDS</t>
  </si>
  <si>
    <t>D GOYAL.</t>
  </si>
  <si>
    <t>ABLPG2959X</t>
  </si>
  <si>
    <t>S GOYAL.</t>
  </si>
  <si>
    <t>AFIPG4662Z</t>
  </si>
  <si>
    <t>BYTPG2010R</t>
  </si>
  <si>
    <t>S D GOYAL</t>
  </si>
  <si>
    <t>A GOYAL</t>
  </si>
  <si>
    <t>AGZPG0564P</t>
  </si>
  <si>
    <t>AGXPG7520Y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</si>
</sst>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8.25"/>
      <color rgb="FF40404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right" vertical="center"/>
    </xf>
    <xf numFmtId="14" fontId="2" fillId="3" borderId="3" xfId="0" applyNumberFormat="1" applyFont="1" applyFill="1" applyBorder="1" applyAlignment="1">
      <alignment horizontal="left" vertical="center"/>
    </xf>
    <xf numFmtId="2" fontId="0" fillId="0" borderId="0" xfId="0" applyNumberFormat="1"/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4"/>
  <sheetViews>
    <sheetView tabSelected="1" workbookViewId="0">
      <selection activeCell="B2" sqref="B2"/>
    </sheetView>
  </sheetViews>
  <sheetFormatPr defaultRowHeight="14.25" x14ac:dyDescent="0.45"/>
  <cols>
    <col min="1" max="1" width="18.265625" customWidth="1"/>
    <col min="2" max="2" width="36.59765625" customWidth="1"/>
    <col min="3" max="3" width="14" customWidth="1"/>
    <col min="4" max="4" width="12.1328125" customWidth="1"/>
    <col min="5" max="5" width="19.3984375" customWidth="1"/>
    <col min="6" max="6" width="15.265625" customWidth="1"/>
    <col min="9" max="9" width="10.19921875" bestFit="1" customWidth="1"/>
  </cols>
  <sheetData>
    <row r="2" spans="1:10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8</v>
      </c>
      <c r="I2" s="7" t="s">
        <v>116</v>
      </c>
    </row>
    <row r="3" spans="1:10" x14ac:dyDescent="0.45">
      <c r="A3" s="3" t="s">
        <v>7</v>
      </c>
      <c r="B3" s="3" t="s">
        <v>6</v>
      </c>
      <c r="C3" s="4">
        <v>3952</v>
      </c>
      <c r="D3" s="4">
        <v>79</v>
      </c>
      <c r="E3" s="5">
        <v>46142</v>
      </c>
      <c r="F3" s="4">
        <f>ROUND(I3,0)</f>
        <v>2</v>
      </c>
      <c r="G3">
        <v>1006</v>
      </c>
      <c r="I3" s="4">
        <v>1.99898785425101</v>
      </c>
      <c r="J3" s="6">
        <f>I3-F3</f>
        <v>-1.012145748990001E-3</v>
      </c>
    </row>
    <row r="4" spans="1:10" x14ac:dyDescent="0.45">
      <c r="A4" s="3" t="s">
        <v>7</v>
      </c>
      <c r="B4" s="3" t="s">
        <v>6</v>
      </c>
      <c r="C4" s="4">
        <v>1783</v>
      </c>
      <c r="D4" s="4">
        <v>36</v>
      </c>
      <c r="E4" s="5">
        <v>46173</v>
      </c>
      <c r="F4" s="4">
        <f t="shared" ref="F4:F67" si="0">ROUND(I4,0)</f>
        <v>2</v>
      </c>
      <c r="G4">
        <v>1006</v>
      </c>
      <c r="I4" s="4">
        <v>2.0190689848569798</v>
      </c>
      <c r="J4" s="6">
        <f t="shared" ref="J4:J67" si="1">I4-F4</f>
        <v>1.9068984856979831E-2</v>
      </c>
    </row>
    <row r="5" spans="1:10" x14ac:dyDescent="0.45">
      <c r="A5" s="3" t="s">
        <v>7</v>
      </c>
      <c r="B5" s="3" t="s">
        <v>6</v>
      </c>
      <c r="C5" s="4">
        <v>3510</v>
      </c>
      <c r="D5" s="4">
        <v>70</v>
      </c>
      <c r="E5" s="5">
        <v>46203</v>
      </c>
      <c r="F5" s="4">
        <f t="shared" si="0"/>
        <v>2</v>
      </c>
      <c r="G5">
        <v>1006</v>
      </c>
      <c r="I5" s="4">
        <v>1.99430199430199</v>
      </c>
      <c r="J5" s="6">
        <f t="shared" si="1"/>
        <v>-5.6980056980100446E-3</v>
      </c>
    </row>
    <row r="6" spans="1:10" x14ac:dyDescent="0.45">
      <c r="A6" s="3" t="s">
        <v>7</v>
      </c>
      <c r="B6" s="3" t="s">
        <v>6</v>
      </c>
      <c r="C6" s="4">
        <v>1047</v>
      </c>
      <c r="D6" s="4">
        <v>21</v>
      </c>
      <c r="E6" s="5">
        <v>46203</v>
      </c>
      <c r="F6" s="4">
        <f t="shared" si="0"/>
        <v>2</v>
      </c>
      <c r="G6">
        <v>1006</v>
      </c>
      <c r="I6" s="4">
        <v>2.0057306590257902</v>
      </c>
      <c r="J6" s="6">
        <f t="shared" si="1"/>
        <v>5.7306590257901746E-3</v>
      </c>
    </row>
    <row r="7" spans="1:10" x14ac:dyDescent="0.45">
      <c r="A7" s="3" t="s">
        <v>9</v>
      </c>
      <c r="B7" s="3" t="s">
        <v>62</v>
      </c>
      <c r="C7" s="4">
        <v>8728</v>
      </c>
      <c r="D7" s="4">
        <v>175</v>
      </c>
      <c r="E7" s="5">
        <v>46203</v>
      </c>
      <c r="F7" s="4">
        <f t="shared" si="0"/>
        <v>2</v>
      </c>
      <c r="G7">
        <v>1006</v>
      </c>
      <c r="I7" s="4">
        <v>2.00504124656279</v>
      </c>
      <c r="J7" s="6">
        <f t="shared" si="1"/>
        <v>5.041246562790036E-3</v>
      </c>
    </row>
    <row r="8" spans="1:10" x14ac:dyDescent="0.45">
      <c r="A8" s="3" t="s">
        <v>118</v>
      </c>
      <c r="B8" s="3" t="s">
        <v>117</v>
      </c>
      <c r="C8" s="4">
        <v>25000</v>
      </c>
      <c r="D8" s="4">
        <v>2500</v>
      </c>
      <c r="E8" s="5">
        <v>46142</v>
      </c>
      <c r="F8" s="4">
        <f t="shared" si="0"/>
        <v>10</v>
      </c>
      <c r="G8">
        <v>1067</v>
      </c>
      <c r="I8" s="4">
        <v>10</v>
      </c>
      <c r="J8" s="6">
        <f t="shared" si="1"/>
        <v>0</v>
      </c>
    </row>
    <row r="9" spans="1:10" x14ac:dyDescent="0.45">
      <c r="A9" s="3" t="s">
        <v>120</v>
      </c>
      <c r="B9" s="3" t="s">
        <v>119</v>
      </c>
      <c r="C9" s="4">
        <v>25000</v>
      </c>
      <c r="D9" s="4">
        <v>2500</v>
      </c>
      <c r="E9" s="5">
        <v>46142</v>
      </c>
      <c r="F9" s="4">
        <f t="shared" si="0"/>
        <v>10</v>
      </c>
      <c r="G9">
        <v>1067</v>
      </c>
      <c r="I9" s="4">
        <v>10</v>
      </c>
      <c r="J9" s="6">
        <f t="shared" si="1"/>
        <v>0</v>
      </c>
    </row>
    <row r="10" spans="1:10" x14ac:dyDescent="0.45">
      <c r="A10" s="3" t="s">
        <v>120</v>
      </c>
      <c r="B10" s="3" t="s">
        <v>119</v>
      </c>
      <c r="C10" s="4">
        <v>90000</v>
      </c>
      <c r="D10" s="4">
        <v>9000</v>
      </c>
      <c r="E10" s="5">
        <v>46142</v>
      </c>
      <c r="F10" s="4">
        <f t="shared" si="0"/>
        <v>10</v>
      </c>
      <c r="G10">
        <v>1009</v>
      </c>
      <c r="I10" s="4">
        <v>10</v>
      </c>
      <c r="J10" s="6">
        <f t="shared" si="1"/>
        <v>0</v>
      </c>
    </row>
    <row r="11" spans="1:10" x14ac:dyDescent="0.45">
      <c r="A11" s="3" t="s">
        <v>10</v>
      </c>
      <c r="B11" s="3" t="s">
        <v>63</v>
      </c>
      <c r="C11" s="4">
        <v>24780</v>
      </c>
      <c r="D11" s="4">
        <v>248</v>
      </c>
      <c r="E11" s="5">
        <v>46142</v>
      </c>
      <c r="F11" s="4">
        <f t="shared" si="0"/>
        <v>1</v>
      </c>
      <c r="G11">
        <v>1023</v>
      </c>
      <c r="I11" s="4">
        <v>1.00080710250202</v>
      </c>
      <c r="J11" s="6">
        <f t="shared" si="1"/>
        <v>8.0710250201998512E-4</v>
      </c>
    </row>
    <row r="12" spans="1:10" x14ac:dyDescent="0.45">
      <c r="A12" s="3" t="s">
        <v>11</v>
      </c>
      <c r="B12" s="3" t="s">
        <v>64</v>
      </c>
      <c r="C12" s="4">
        <v>69577</v>
      </c>
      <c r="D12" s="4">
        <v>696</v>
      </c>
      <c r="E12" s="5">
        <v>46142</v>
      </c>
      <c r="F12" s="4">
        <f t="shared" si="0"/>
        <v>1</v>
      </c>
      <c r="G12">
        <v>1023</v>
      </c>
      <c r="I12" s="4">
        <v>1.0003305690098701</v>
      </c>
      <c r="J12" s="6">
        <f t="shared" si="1"/>
        <v>3.30569009870052E-4</v>
      </c>
    </row>
    <row r="13" spans="1:10" x14ac:dyDescent="0.45">
      <c r="A13" s="3" t="s">
        <v>118</v>
      </c>
      <c r="B13" s="3" t="s">
        <v>117</v>
      </c>
      <c r="C13" s="4">
        <v>25000</v>
      </c>
      <c r="D13" s="4">
        <v>2500</v>
      </c>
      <c r="E13" s="5">
        <v>46173</v>
      </c>
      <c r="F13" s="4">
        <f t="shared" si="0"/>
        <v>10</v>
      </c>
      <c r="G13">
        <v>1067</v>
      </c>
      <c r="I13" s="4">
        <v>10</v>
      </c>
      <c r="J13" s="6">
        <f t="shared" si="1"/>
        <v>0</v>
      </c>
    </row>
    <row r="14" spans="1:10" x14ac:dyDescent="0.45">
      <c r="A14" s="3" t="s">
        <v>12</v>
      </c>
      <c r="B14" s="3" t="s">
        <v>65</v>
      </c>
      <c r="C14" s="4">
        <v>275880</v>
      </c>
      <c r="D14" s="4">
        <v>5517</v>
      </c>
      <c r="E14" s="5">
        <v>46173</v>
      </c>
      <c r="F14" s="4">
        <f t="shared" si="0"/>
        <v>2</v>
      </c>
      <c r="G14">
        <v>1024</v>
      </c>
      <c r="I14" s="4">
        <v>1.9997825141365799</v>
      </c>
      <c r="J14" s="6">
        <f t="shared" si="1"/>
        <v>-2.1748586342007492E-4</v>
      </c>
    </row>
    <row r="15" spans="1:10" x14ac:dyDescent="0.45">
      <c r="A15" s="3" t="s">
        <v>120</v>
      </c>
      <c r="B15" s="3" t="s">
        <v>119</v>
      </c>
      <c r="C15" s="4">
        <v>25000</v>
      </c>
      <c r="D15" s="4">
        <v>2500</v>
      </c>
      <c r="E15" s="5">
        <v>46173</v>
      </c>
      <c r="F15" s="4">
        <f t="shared" si="0"/>
        <v>10</v>
      </c>
      <c r="G15">
        <v>1067</v>
      </c>
      <c r="I15" s="4">
        <v>10</v>
      </c>
      <c r="J15" s="6">
        <f t="shared" si="1"/>
        <v>0</v>
      </c>
    </row>
    <row r="16" spans="1:10" x14ac:dyDescent="0.45">
      <c r="A16" s="3" t="s">
        <v>120</v>
      </c>
      <c r="B16" s="3" t="s">
        <v>119</v>
      </c>
      <c r="C16" s="4">
        <v>90000</v>
      </c>
      <c r="D16" s="4">
        <v>9000</v>
      </c>
      <c r="E16" s="5">
        <v>46173</v>
      </c>
      <c r="F16" s="4">
        <f t="shared" si="0"/>
        <v>10</v>
      </c>
      <c r="G16">
        <v>1009</v>
      </c>
      <c r="I16" s="4">
        <v>10</v>
      </c>
      <c r="J16" s="6">
        <f t="shared" si="1"/>
        <v>0</v>
      </c>
    </row>
    <row r="17" spans="1:10" x14ac:dyDescent="0.45">
      <c r="A17" s="3" t="s">
        <v>10</v>
      </c>
      <c r="B17" s="3" t="s">
        <v>63</v>
      </c>
      <c r="C17" s="4">
        <v>38990</v>
      </c>
      <c r="D17" s="4">
        <v>390</v>
      </c>
      <c r="E17" s="5">
        <v>46173</v>
      </c>
      <c r="F17" s="4">
        <f t="shared" si="0"/>
        <v>1</v>
      </c>
      <c r="G17">
        <v>1023</v>
      </c>
      <c r="I17" s="4">
        <v>1.0002564760194901</v>
      </c>
      <c r="J17" s="6">
        <f t="shared" si="1"/>
        <v>2.564760194900817E-4</v>
      </c>
    </row>
    <row r="18" spans="1:10" x14ac:dyDescent="0.45">
      <c r="A18" s="3" t="s">
        <v>118</v>
      </c>
      <c r="B18" s="3" t="s">
        <v>117</v>
      </c>
      <c r="C18" s="4">
        <v>25000</v>
      </c>
      <c r="D18" s="4">
        <v>2500</v>
      </c>
      <c r="E18" s="5">
        <v>46203</v>
      </c>
      <c r="F18" s="4">
        <f t="shared" si="0"/>
        <v>10</v>
      </c>
      <c r="G18">
        <v>1067</v>
      </c>
      <c r="I18" s="4">
        <v>10</v>
      </c>
      <c r="J18" s="6">
        <f t="shared" si="1"/>
        <v>0</v>
      </c>
    </row>
    <row r="19" spans="1:10" x14ac:dyDescent="0.45">
      <c r="A19" s="3" t="s">
        <v>120</v>
      </c>
      <c r="B19" s="3" t="s">
        <v>119</v>
      </c>
      <c r="C19" s="4">
        <v>25000</v>
      </c>
      <c r="D19" s="4">
        <v>2500</v>
      </c>
      <c r="E19" s="5">
        <v>46203</v>
      </c>
      <c r="F19" s="4">
        <f t="shared" si="0"/>
        <v>10</v>
      </c>
      <c r="G19">
        <v>1067</v>
      </c>
      <c r="I19" s="4">
        <v>10</v>
      </c>
      <c r="J19" s="6">
        <f t="shared" si="1"/>
        <v>0</v>
      </c>
    </row>
    <row r="20" spans="1:10" x14ac:dyDescent="0.45">
      <c r="A20" s="3" t="s">
        <v>120</v>
      </c>
      <c r="B20" s="3" t="s">
        <v>119</v>
      </c>
      <c r="C20" s="4">
        <v>90000</v>
      </c>
      <c r="D20" s="4">
        <v>9000</v>
      </c>
      <c r="E20" s="5">
        <v>46203</v>
      </c>
      <c r="F20" s="4">
        <f t="shared" si="0"/>
        <v>10</v>
      </c>
      <c r="G20">
        <v>1009</v>
      </c>
      <c r="I20" s="4">
        <v>10</v>
      </c>
      <c r="J20" s="6">
        <f t="shared" si="1"/>
        <v>0</v>
      </c>
    </row>
    <row r="21" spans="1:10" x14ac:dyDescent="0.45">
      <c r="A21" s="3" t="s">
        <v>10</v>
      </c>
      <c r="B21" s="3" t="s">
        <v>63</v>
      </c>
      <c r="C21" s="4">
        <v>37450</v>
      </c>
      <c r="D21" s="4">
        <v>375</v>
      </c>
      <c r="E21" s="5">
        <v>46203</v>
      </c>
      <c r="F21" s="4">
        <f t="shared" si="0"/>
        <v>1</v>
      </c>
      <c r="G21">
        <v>1023</v>
      </c>
      <c r="I21" s="4">
        <v>1.00133511348465</v>
      </c>
      <c r="J21" s="6">
        <f t="shared" si="1"/>
        <v>1.3351134846499857E-3</v>
      </c>
    </row>
    <row r="22" spans="1:10" x14ac:dyDescent="0.45">
      <c r="A22" s="3" t="s">
        <v>11</v>
      </c>
      <c r="B22" s="3" t="s">
        <v>64</v>
      </c>
      <c r="C22" s="4">
        <v>160661</v>
      </c>
      <c r="D22" s="4">
        <v>1607</v>
      </c>
      <c r="E22" s="5">
        <v>46203</v>
      </c>
      <c r="F22" s="4">
        <f t="shared" si="0"/>
        <v>1</v>
      </c>
      <c r="G22">
        <v>1023</v>
      </c>
      <c r="I22" s="4">
        <v>1.0002427471508299</v>
      </c>
      <c r="J22" s="6">
        <f t="shared" si="1"/>
        <v>2.4274715082994724E-4</v>
      </c>
    </row>
    <row r="23" spans="1:10" x14ac:dyDescent="0.45">
      <c r="A23" s="3" t="s">
        <v>13</v>
      </c>
      <c r="B23" s="3" t="s">
        <v>66</v>
      </c>
      <c r="C23" s="4">
        <v>17280</v>
      </c>
      <c r="D23" s="4">
        <v>346</v>
      </c>
      <c r="E23" s="5">
        <v>46142</v>
      </c>
      <c r="F23" s="4">
        <f t="shared" si="0"/>
        <v>2</v>
      </c>
      <c r="G23">
        <v>1024</v>
      </c>
      <c r="I23" s="4">
        <v>2.00231481481481</v>
      </c>
      <c r="J23" s="6">
        <f t="shared" si="1"/>
        <v>2.3148148148099956E-3</v>
      </c>
    </row>
    <row r="24" spans="1:10" x14ac:dyDescent="0.45">
      <c r="A24" s="3" t="s">
        <v>14</v>
      </c>
      <c r="B24" s="3" t="s">
        <v>67</v>
      </c>
      <c r="C24" s="4">
        <v>37358</v>
      </c>
      <c r="D24" s="4">
        <v>374</v>
      </c>
      <c r="E24" s="5">
        <v>46142</v>
      </c>
      <c r="F24" s="4">
        <f t="shared" si="0"/>
        <v>1</v>
      </c>
      <c r="G24">
        <v>1023</v>
      </c>
      <c r="I24" s="4">
        <v>1.0011242571872201</v>
      </c>
      <c r="J24" s="6">
        <f t="shared" si="1"/>
        <v>1.1242571872200902E-3</v>
      </c>
    </row>
    <row r="25" spans="1:10" x14ac:dyDescent="0.45">
      <c r="A25" s="3" t="s">
        <v>15</v>
      </c>
      <c r="B25" s="3" t="s">
        <v>68</v>
      </c>
      <c r="C25" s="4">
        <v>9690</v>
      </c>
      <c r="D25" s="4">
        <v>97</v>
      </c>
      <c r="E25" s="5">
        <v>46142</v>
      </c>
      <c r="F25" s="4">
        <f t="shared" si="0"/>
        <v>1</v>
      </c>
      <c r="G25">
        <v>1023</v>
      </c>
      <c r="I25" s="4">
        <v>1.00103199174407</v>
      </c>
      <c r="J25" s="6">
        <f t="shared" si="1"/>
        <v>1.0319917440699822E-3</v>
      </c>
    </row>
    <row r="26" spans="1:10" x14ac:dyDescent="0.45">
      <c r="A26" s="3" t="s">
        <v>16</v>
      </c>
      <c r="B26" s="3" t="s">
        <v>69</v>
      </c>
      <c r="C26" s="4">
        <v>74097</v>
      </c>
      <c r="D26" s="4">
        <v>741</v>
      </c>
      <c r="E26" s="5">
        <v>46142</v>
      </c>
      <c r="F26" s="4">
        <f t="shared" si="0"/>
        <v>1</v>
      </c>
      <c r="G26">
        <v>1023</v>
      </c>
      <c r="I26" s="4">
        <v>1.00004048746913</v>
      </c>
      <c r="J26" s="6">
        <f t="shared" si="1"/>
        <v>4.0487469129990572E-5</v>
      </c>
    </row>
    <row r="27" spans="1:10" x14ac:dyDescent="0.45">
      <c r="A27" s="3" t="s">
        <v>17</v>
      </c>
      <c r="B27" s="3" t="s">
        <v>70</v>
      </c>
      <c r="C27" s="4">
        <v>41359.78</v>
      </c>
      <c r="D27" s="4">
        <v>414</v>
      </c>
      <c r="E27" s="5">
        <v>46142</v>
      </c>
      <c r="F27" s="4">
        <f t="shared" si="0"/>
        <v>1</v>
      </c>
      <c r="G27">
        <v>1023</v>
      </c>
      <c r="I27" s="4">
        <v>1.0009724423099</v>
      </c>
      <c r="J27" s="6">
        <f t="shared" si="1"/>
        <v>9.7244230990001235E-4</v>
      </c>
    </row>
    <row r="28" spans="1:10" x14ac:dyDescent="0.45">
      <c r="A28" s="3" t="s">
        <v>18</v>
      </c>
      <c r="B28" s="3" t="s">
        <v>71</v>
      </c>
      <c r="C28" s="4">
        <v>264985</v>
      </c>
      <c r="D28" s="4">
        <v>2650</v>
      </c>
      <c r="E28" s="5">
        <v>46142</v>
      </c>
      <c r="F28" s="4">
        <f t="shared" si="0"/>
        <v>1</v>
      </c>
      <c r="G28">
        <v>1023</v>
      </c>
      <c r="I28" s="4">
        <v>1.0000566069777499</v>
      </c>
      <c r="J28" s="6">
        <f t="shared" si="1"/>
        <v>5.6606977749895648E-5</v>
      </c>
    </row>
    <row r="29" spans="1:10" x14ac:dyDescent="0.45">
      <c r="A29" s="3" t="s">
        <v>19</v>
      </c>
      <c r="B29" s="3" t="s">
        <v>72</v>
      </c>
      <c r="C29" s="4">
        <v>93251.19</v>
      </c>
      <c r="D29" s="4">
        <v>933</v>
      </c>
      <c r="E29" s="5">
        <v>46142</v>
      </c>
      <c r="F29" s="4">
        <f t="shared" si="0"/>
        <v>1</v>
      </c>
      <c r="G29">
        <v>1023</v>
      </c>
      <c r="I29" s="4">
        <v>1.00052342495576</v>
      </c>
      <c r="J29" s="6">
        <f t="shared" si="1"/>
        <v>5.2342495575996573E-4</v>
      </c>
    </row>
    <row r="30" spans="1:10" x14ac:dyDescent="0.45">
      <c r="A30" s="3" t="s">
        <v>20</v>
      </c>
      <c r="B30" s="3" t="s">
        <v>73</v>
      </c>
      <c r="C30" s="4">
        <v>140305.5</v>
      </c>
      <c r="D30" s="4">
        <v>1403</v>
      </c>
      <c r="E30" s="5">
        <v>46142</v>
      </c>
      <c r="F30" s="4">
        <f t="shared" si="0"/>
        <v>1</v>
      </c>
      <c r="G30">
        <v>1023</v>
      </c>
      <c r="I30" s="4">
        <v>0.99996079982609398</v>
      </c>
      <c r="J30" s="6">
        <f t="shared" si="1"/>
        <v>-3.920017390601771E-5</v>
      </c>
    </row>
    <row r="31" spans="1:10" x14ac:dyDescent="0.45">
      <c r="A31" s="3" t="s">
        <v>21</v>
      </c>
      <c r="B31" s="3" t="s">
        <v>74</v>
      </c>
      <c r="C31" s="4">
        <v>34695.74</v>
      </c>
      <c r="D31" s="4">
        <v>347</v>
      </c>
      <c r="E31" s="5">
        <v>46142</v>
      </c>
      <c r="F31" s="4">
        <f t="shared" si="0"/>
        <v>1</v>
      </c>
      <c r="G31">
        <v>1023</v>
      </c>
      <c r="I31" s="4">
        <v>1.0001227816440901</v>
      </c>
      <c r="J31" s="6">
        <f t="shared" si="1"/>
        <v>1.227816440900753E-4</v>
      </c>
    </row>
    <row r="32" spans="1:10" x14ac:dyDescent="0.45">
      <c r="A32" s="3" t="s">
        <v>22</v>
      </c>
      <c r="B32" s="3" t="s">
        <v>75</v>
      </c>
      <c r="C32" s="4">
        <v>21053.34</v>
      </c>
      <c r="D32" s="4">
        <v>211</v>
      </c>
      <c r="E32" s="5">
        <v>46142</v>
      </c>
      <c r="F32" s="4">
        <f t="shared" si="0"/>
        <v>1</v>
      </c>
      <c r="G32">
        <v>1023</v>
      </c>
      <c r="I32" s="4">
        <v>1.00221627542233</v>
      </c>
      <c r="J32" s="6">
        <f t="shared" si="1"/>
        <v>2.2162754223300496E-3</v>
      </c>
    </row>
    <row r="33" spans="1:10" x14ac:dyDescent="0.45">
      <c r="A33" s="3" t="s">
        <v>23</v>
      </c>
      <c r="B33" s="3" t="s">
        <v>76</v>
      </c>
      <c r="C33" s="4">
        <v>134825</v>
      </c>
      <c r="D33" s="4">
        <v>1348</v>
      </c>
      <c r="E33" s="5">
        <v>46142</v>
      </c>
      <c r="F33" s="4">
        <f t="shared" si="0"/>
        <v>1</v>
      </c>
      <c r="G33">
        <v>1023</v>
      </c>
      <c r="I33" s="4">
        <v>0.99981457444835897</v>
      </c>
      <c r="J33" s="6">
        <f t="shared" si="1"/>
        <v>-1.8542555164102748E-4</v>
      </c>
    </row>
    <row r="34" spans="1:10" x14ac:dyDescent="0.45">
      <c r="A34" s="3" t="s">
        <v>24</v>
      </c>
      <c r="B34" s="3" t="s">
        <v>77</v>
      </c>
      <c r="C34" s="4">
        <v>27972.45</v>
      </c>
      <c r="D34" s="4">
        <v>280</v>
      </c>
      <c r="E34" s="5">
        <v>46142</v>
      </c>
      <c r="F34" s="4">
        <f t="shared" si="0"/>
        <v>1</v>
      </c>
      <c r="G34">
        <v>1023</v>
      </c>
      <c r="I34" s="4">
        <v>1.0009848976403599</v>
      </c>
      <c r="J34" s="6">
        <f t="shared" si="1"/>
        <v>9.8489764035991634E-4</v>
      </c>
    </row>
    <row r="35" spans="1:10" x14ac:dyDescent="0.45">
      <c r="A35" s="3" t="s">
        <v>25</v>
      </c>
      <c r="B35" s="3" t="s">
        <v>78</v>
      </c>
      <c r="C35" s="4">
        <v>108484.5</v>
      </c>
      <c r="D35" s="4">
        <v>1085</v>
      </c>
      <c r="E35" s="5">
        <v>46142</v>
      </c>
      <c r="F35" s="4">
        <f t="shared" si="0"/>
        <v>1</v>
      </c>
      <c r="G35">
        <v>1023</v>
      </c>
      <c r="I35" s="4">
        <v>1.00014287755394</v>
      </c>
      <c r="J35" s="6">
        <f t="shared" si="1"/>
        <v>1.428775539400462E-4</v>
      </c>
    </row>
    <row r="36" spans="1:10" x14ac:dyDescent="0.45">
      <c r="A36" s="3" t="s">
        <v>26</v>
      </c>
      <c r="B36" s="3" t="s">
        <v>79</v>
      </c>
      <c r="C36" s="4">
        <v>33437</v>
      </c>
      <c r="D36" s="4">
        <v>334</v>
      </c>
      <c r="E36" s="5">
        <v>46142</v>
      </c>
      <c r="F36" s="4">
        <f t="shared" si="0"/>
        <v>1</v>
      </c>
      <c r="G36">
        <v>1023</v>
      </c>
      <c r="I36" s="4">
        <v>0.998893441397255</v>
      </c>
      <c r="J36" s="6">
        <f t="shared" si="1"/>
        <v>-1.1065586027450003E-3</v>
      </c>
    </row>
    <row r="37" spans="1:10" x14ac:dyDescent="0.45">
      <c r="A37" s="3" t="s">
        <v>27</v>
      </c>
      <c r="B37" s="3" t="s">
        <v>80</v>
      </c>
      <c r="C37" s="4">
        <v>91223.7</v>
      </c>
      <c r="D37" s="4">
        <v>912</v>
      </c>
      <c r="E37" s="5">
        <v>46142</v>
      </c>
      <c r="F37" s="4">
        <f t="shared" si="0"/>
        <v>1</v>
      </c>
      <c r="G37">
        <v>1023</v>
      </c>
      <c r="I37" s="4">
        <v>0.99974019909299905</v>
      </c>
      <c r="J37" s="6">
        <f t="shared" si="1"/>
        <v>-2.5980090700095104E-4</v>
      </c>
    </row>
    <row r="38" spans="1:10" x14ac:dyDescent="0.45">
      <c r="A38" s="3" t="s">
        <v>28</v>
      </c>
      <c r="B38" s="3" t="s">
        <v>81</v>
      </c>
      <c r="C38" s="4">
        <v>105972</v>
      </c>
      <c r="D38" s="4">
        <v>1060</v>
      </c>
      <c r="E38" s="5">
        <v>46142</v>
      </c>
      <c r="F38" s="4">
        <f t="shared" si="0"/>
        <v>1</v>
      </c>
      <c r="G38">
        <v>1023</v>
      </c>
      <c r="I38" s="4">
        <v>1.0002642207375501</v>
      </c>
      <c r="J38" s="6">
        <f t="shared" si="1"/>
        <v>2.6422073755005826E-4</v>
      </c>
    </row>
    <row r="39" spans="1:10" x14ac:dyDescent="0.45">
      <c r="A39" s="3" t="s">
        <v>29</v>
      </c>
      <c r="B39" s="3" t="s">
        <v>82</v>
      </c>
      <c r="C39" s="4">
        <v>43096.75</v>
      </c>
      <c r="D39" s="4">
        <v>431</v>
      </c>
      <c r="E39" s="5">
        <v>46142</v>
      </c>
      <c r="F39" s="4">
        <f t="shared" si="0"/>
        <v>1</v>
      </c>
      <c r="G39">
        <v>1023</v>
      </c>
      <c r="I39" s="4">
        <v>1.0000754117189801</v>
      </c>
      <c r="J39" s="6">
        <f t="shared" si="1"/>
        <v>7.5411718980067377E-5</v>
      </c>
    </row>
    <row r="40" spans="1:10" x14ac:dyDescent="0.45">
      <c r="A40" s="3" t="s">
        <v>30</v>
      </c>
      <c r="B40" s="3" t="s">
        <v>83</v>
      </c>
      <c r="C40" s="4">
        <v>694190.25</v>
      </c>
      <c r="D40" s="4">
        <v>13885</v>
      </c>
      <c r="E40" s="5">
        <v>46142</v>
      </c>
      <c r="F40" s="4">
        <f t="shared" si="0"/>
        <v>2</v>
      </c>
      <c r="G40">
        <v>1024</v>
      </c>
      <c r="I40" s="4">
        <v>2.00017214301123</v>
      </c>
      <c r="J40" s="6">
        <f t="shared" si="1"/>
        <v>1.721430112300304E-4</v>
      </c>
    </row>
    <row r="41" spans="1:10" x14ac:dyDescent="0.45">
      <c r="A41" s="3" t="s">
        <v>31</v>
      </c>
      <c r="B41" s="3" t="s">
        <v>84</v>
      </c>
      <c r="C41" s="4">
        <v>55335.5</v>
      </c>
      <c r="D41" s="4">
        <v>553</v>
      </c>
      <c r="E41" s="5">
        <v>46142</v>
      </c>
      <c r="F41" s="4">
        <f t="shared" si="0"/>
        <v>1</v>
      </c>
      <c r="G41">
        <v>1023</v>
      </c>
      <c r="I41" s="4">
        <v>0.99935845885552699</v>
      </c>
      <c r="J41" s="6">
        <f t="shared" si="1"/>
        <v>-6.4154114447301236E-4</v>
      </c>
    </row>
    <row r="42" spans="1:10" x14ac:dyDescent="0.45">
      <c r="A42" s="3" t="s">
        <v>32</v>
      </c>
      <c r="B42" s="3" t="s">
        <v>85</v>
      </c>
      <c r="C42" s="4">
        <v>245351.67</v>
      </c>
      <c r="D42" s="4">
        <v>2454</v>
      </c>
      <c r="E42" s="5">
        <v>46142</v>
      </c>
      <c r="F42" s="4">
        <f t="shared" si="0"/>
        <v>1</v>
      </c>
      <c r="G42">
        <v>1023</v>
      </c>
      <c r="I42" s="4">
        <v>1.0001969825597701</v>
      </c>
      <c r="J42" s="6">
        <f t="shared" si="1"/>
        <v>1.9698255977007584E-4</v>
      </c>
    </row>
    <row r="43" spans="1:10" x14ac:dyDescent="0.45">
      <c r="A43" s="3" t="s">
        <v>121</v>
      </c>
      <c r="B43" s="3" t="s">
        <v>122</v>
      </c>
      <c r="C43" s="4">
        <v>70670.52</v>
      </c>
      <c r="D43" s="4">
        <v>707</v>
      </c>
      <c r="E43" s="5">
        <v>46142</v>
      </c>
      <c r="F43" s="4">
        <f t="shared" si="0"/>
        <v>1</v>
      </c>
      <c r="G43">
        <v>1023</v>
      </c>
      <c r="I43" s="4">
        <v>1.0004171470650001</v>
      </c>
      <c r="J43" s="6">
        <f t="shared" si="1"/>
        <v>4.1714706500006749E-4</v>
      </c>
    </row>
    <row r="44" spans="1:10" x14ac:dyDescent="0.45">
      <c r="A44" s="3" t="s">
        <v>33</v>
      </c>
      <c r="B44" s="3" t="s">
        <v>86</v>
      </c>
      <c r="C44" s="4">
        <v>115392.91</v>
      </c>
      <c r="D44" s="4">
        <v>1154</v>
      </c>
      <c r="E44" s="5">
        <v>46142</v>
      </c>
      <c r="F44" s="4">
        <f t="shared" si="0"/>
        <v>1</v>
      </c>
      <c r="G44">
        <v>1023</v>
      </c>
      <c r="I44" s="4">
        <v>1.00006144224979</v>
      </c>
      <c r="J44" s="6">
        <f t="shared" si="1"/>
        <v>6.1442249789989134E-5</v>
      </c>
    </row>
    <row r="45" spans="1:10" x14ac:dyDescent="0.45">
      <c r="A45" s="3" t="s">
        <v>34</v>
      </c>
      <c r="B45" s="3" t="s">
        <v>87</v>
      </c>
      <c r="C45" s="4">
        <v>10855.42</v>
      </c>
      <c r="D45" s="4">
        <v>109</v>
      </c>
      <c r="E45" s="5">
        <v>46142</v>
      </c>
      <c r="F45" s="4">
        <f t="shared" si="0"/>
        <v>1</v>
      </c>
      <c r="G45">
        <v>1023</v>
      </c>
      <c r="I45" s="4">
        <v>1.0041067043007099</v>
      </c>
      <c r="J45" s="6">
        <f t="shared" si="1"/>
        <v>4.106704300709918E-3</v>
      </c>
    </row>
    <row r="46" spans="1:10" x14ac:dyDescent="0.45">
      <c r="A46" s="3" t="s">
        <v>35</v>
      </c>
      <c r="B46" s="3" t="s">
        <v>88</v>
      </c>
      <c r="C46" s="4">
        <v>21716.66</v>
      </c>
      <c r="D46" s="4">
        <v>217</v>
      </c>
      <c r="E46" s="5">
        <v>46142</v>
      </c>
      <c r="F46" s="4">
        <f t="shared" si="0"/>
        <v>1</v>
      </c>
      <c r="G46">
        <v>1023</v>
      </c>
      <c r="I46" s="4">
        <v>0.99923284704001403</v>
      </c>
      <c r="J46" s="6">
        <f t="shared" si="1"/>
        <v>-7.6715295998597277E-4</v>
      </c>
    </row>
    <row r="47" spans="1:10" x14ac:dyDescent="0.45">
      <c r="A47" s="3" t="s">
        <v>36</v>
      </c>
      <c r="B47" s="3" t="s">
        <v>89</v>
      </c>
      <c r="C47" s="4">
        <v>52797</v>
      </c>
      <c r="D47" s="4">
        <v>528</v>
      </c>
      <c r="E47" s="5">
        <v>46142</v>
      </c>
      <c r="F47" s="4">
        <f t="shared" si="0"/>
        <v>1</v>
      </c>
      <c r="G47">
        <v>1023</v>
      </c>
      <c r="I47" s="4">
        <v>1.00005682141031</v>
      </c>
      <c r="J47" s="6">
        <f t="shared" si="1"/>
        <v>5.6821410310048392E-5</v>
      </c>
    </row>
    <row r="48" spans="1:10" x14ac:dyDescent="0.45">
      <c r="A48" s="3" t="s">
        <v>124</v>
      </c>
      <c r="B48" s="3" t="s">
        <v>123</v>
      </c>
      <c r="C48" s="4">
        <v>70694.95</v>
      </c>
      <c r="D48" s="4">
        <v>707</v>
      </c>
      <c r="E48" s="5">
        <v>46142</v>
      </c>
      <c r="F48" s="4">
        <f t="shared" si="0"/>
        <v>1</v>
      </c>
      <c r="G48">
        <v>1023</v>
      </c>
      <c r="I48" s="4">
        <v>1.0000714336738299</v>
      </c>
      <c r="J48" s="6">
        <f t="shared" si="1"/>
        <v>7.1433673829890409E-5</v>
      </c>
    </row>
    <row r="49" spans="1:10" x14ac:dyDescent="0.45">
      <c r="A49" s="3" t="s">
        <v>37</v>
      </c>
      <c r="B49" s="3" t="s">
        <v>90</v>
      </c>
      <c r="C49" s="4">
        <v>18391.68</v>
      </c>
      <c r="D49" s="4">
        <v>184</v>
      </c>
      <c r="E49" s="5">
        <v>46142</v>
      </c>
      <c r="F49" s="4">
        <f t="shared" si="0"/>
        <v>1</v>
      </c>
      <c r="G49">
        <v>1023</v>
      </c>
      <c r="I49" s="4">
        <v>1.00045237846678</v>
      </c>
      <c r="J49" s="6">
        <f t="shared" si="1"/>
        <v>4.5237846678003457E-4</v>
      </c>
    </row>
    <row r="50" spans="1:10" x14ac:dyDescent="0.45">
      <c r="A50" s="3" t="s">
        <v>38</v>
      </c>
      <c r="B50" s="3" t="s">
        <v>91</v>
      </c>
      <c r="C50" s="4">
        <v>73424</v>
      </c>
      <c r="D50" s="4">
        <v>734</v>
      </c>
      <c r="E50" s="5">
        <v>46142</v>
      </c>
      <c r="F50" s="4">
        <f t="shared" si="0"/>
        <v>1</v>
      </c>
      <c r="G50">
        <v>1023</v>
      </c>
      <c r="I50" s="4">
        <v>0.99967313140117697</v>
      </c>
      <c r="J50" s="6">
        <f t="shared" si="1"/>
        <v>-3.2686859882302688E-4</v>
      </c>
    </row>
    <row r="51" spans="1:10" x14ac:dyDescent="0.45">
      <c r="A51" s="3" t="s">
        <v>13</v>
      </c>
      <c r="B51" s="3" t="s">
        <v>66</v>
      </c>
      <c r="C51" s="4">
        <v>160732</v>
      </c>
      <c r="D51" s="4">
        <v>3215</v>
      </c>
      <c r="E51" s="5">
        <v>46173</v>
      </c>
      <c r="F51" s="4">
        <f t="shared" si="0"/>
        <v>2</v>
      </c>
      <c r="G51">
        <v>1024</v>
      </c>
      <c r="I51" s="4">
        <v>2.0002239753129398</v>
      </c>
      <c r="J51" s="6">
        <f t="shared" si="1"/>
        <v>2.2397531293982809E-4</v>
      </c>
    </row>
    <row r="52" spans="1:10" x14ac:dyDescent="0.45">
      <c r="A52" s="3" t="s">
        <v>14</v>
      </c>
      <c r="B52" s="3" t="s">
        <v>67</v>
      </c>
      <c r="C52" s="4">
        <v>27602.25</v>
      </c>
      <c r="D52" s="4">
        <v>276</v>
      </c>
      <c r="E52" s="5">
        <v>46173</v>
      </c>
      <c r="F52" s="4">
        <f t="shared" si="0"/>
        <v>1</v>
      </c>
      <c r="G52">
        <v>1023</v>
      </c>
      <c r="I52" s="4">
        <v>0.99991848490612201</v>
      </c>
      <c r="J52" s="6">
        <f t="shared" si="1"/>
        <v>-8.1515093877992939E-5</v>
      </c>
    </row>
    <row r="53" spans="1:10" x14ac:dyDescent="0.45">
      <c r="A53" s="3" t="s">
        <v>39</v>
      </c>
      <c r="B53" s="3" t="s">
        <v>92</v>
      </c>
      <c r="C53" s="4">
        <v>151080</v>
      </c>
      <c r="D53" s="4">
        <v>1511</v>
      </c>
      <c r="E53" s="5">
        <v>46173</v>
      </c>
      <c r="F53" s="4">
        <f t="shared" si="0"/>
        <v>1</v>
      </c>
      <c r="G53">
        <v>1023</v>
      </c>
      <c r="I53" s="4">
        <v>1.0001323801959201</v>
      </c>
      <c r="J53" s="6">
        <f t="shared" si="1"/>
        <v>1.3238019592010097E-4</v>
      </c>
    </row>
    <row r="54" spans="1:10" x14ac:dyDescent="0.45">
      <c r="A54" s="3" t="s">
        <v>16</v>
      </c>
      <c r="B54" s="3" t="s">
        <v>69</v>
      </c>
      <c r="C54" s="4">
        <v>56898</v>
      </c>
      <c r="D54" s="4">
        <v>569</v>
      </c>
      <c r="E54" s="5">
        <v>46173</v>
      </c>
      <c r="F54" s="4">
        <f t="shared" si="0"/>
        <v>1</v>
      </c>
      <c r="G54">
        <v>1023</v>
      </c>
      <c r="I54" s="4">
        <v>1.0000351506204099</v>
      </c>
      <c r="J54" s="6">
        <f t="shared" si="1"/>
        <v>3.5150620409929445E-5</v>
      </c>
    </row>
    <row r="55" spans="1:10" x14ac:dyDescent="0.45">
      <c r="A55" s="3" t="s">
        <v>19</v>
      </c>
      <c r="B55" s="3" t="s">
        <v>72</v>
      </c>
      <c r="C55" s="4">
        <v>105900</v>
      </c>
      <c r="D55" s="4">
        <v>1059</v>
      </c>
      <c r="E55" s="5">
        <v>46173</v>
      </c>
      <c r="F55" s="4">
        <f t="shared" si="0"/>
        <v>1</v>
      </c>
      <c r="G55">
        <v>1023</v>
      </c>
      <c r="I55" s="4">
        <v>1</v>
      </c>
      <c r="J55" s="6">
        <f t="shared" si="1"/>
        <v>0</v>
      </c>
    </row>
    <row r="56" spans="1:10" x14ac:dyDescent="0.45">
      <c r="A56" s="3" t="s">
        <v>40</v>
      </c>
      <c r="B56" s="3" t="s">
        <v>93</v>
      </c>
      <c r="C56" s="4">
        <v>42923.22</v>
      </c>
      <c r="D56" s="4">
        <v>429</v>
      </c>
      <c r="E56" s="5">
        <v>46173</v>
      </c>
      <c r="F56" s="4">
        <f t="shared" si="0"/>
        <v>1</v>
      </c>
      <c r="G56">
        <v>1023</v>
      </c>
      <c r="I56" s="4">
        <v>0.999459034061284</v>
      </c>
      <c r="J56" s="6">
        <f t="shared" si="1"/>
        <v>-5.4096593871599818E-4</v>
      </c>
    </row>
    <row r="57" spans="1:10" x14ac:dyDescent="0.45">
      <c r="A57" s="3" t="s">
        <v>41</v>
      </c>
      <c r="B57" s="3" t="s">
        <v>94</v>
      </c>
      <c r="C57" s="4">
        <v>52274.95</v>
      </c>
      <c r="D57" s="4">
        <v>523</v>
      </c>
      <c r="E57" s="5">
        <v>46173</v>
      </c>
      <c r="F57" s="4">
        <f t="shared" si="0"/>
        <v>1</v>
      </c>
      <c r="G57">
        <v>1023</v>
      </c>
      <c r="I57" s="4">
        <v>1.00047919701501</v>
      </c>
      <c r="J57" s="6">
        <f t="shared" si="1"/>
        <v>4.7919701500998002E-4</v>
      </c>
    </row>
    <row r="58" spans="1:10" x14ac:dyDescent="0.45">
      <c r="A58" s="3" t="s">
        <v>20</v>
      </c>
      <c r="B58" s="3" t="s">
        <v>73</v>
      </c>
      <c r="C58" s="4">
        <v>37843.25</v>
      </c>
      <c r="D58" s="4">
        <v>378</v>
      </c>
      <c r="E58" s="5">
        <v>46173</v>
      </c>
      <c r="F58" s="4">
        <f t="shared" si="0"/>
        <v>1</v>
      </c>
      <c r="G58">
        <v>1023</v>
      </c>
      <c r="I58" s="4">
        <v>0.99885712775726199</v>
      </c>
      <c r="J58" s="6">
        <f t="shared" si="1"/>
        <v>-1.1428722427380134E-3</v>
      </c>
    </row>
    <row r="59" spans="1:10" x14ac:dyDescent="0.45">
      <c r="A59" s="3" t="s">
        <v>42</v>
      </c>
      <c r="B59" s="3" t="s">
        <v>95</v>
      </c>
      <c r="C59" s="4">
        <v>36216.370000000003</v>
      </c>
      <c r="D59" s="4">
        <v>362</v>
      </c>
      <c r="E59" s="5">
        <v>46173</v>
      </c>
      <c r="F59" s="4">
        <f t="shared" si="0"/>
        <v>1</v>
      </c>
      <c r="G59">
        <v>1023</v>
      </c>
      <c r="I59" s="4">
        <v>0.99954799445664999</v>
      </c>
      <c r="J59" s="6">
        <f t="shared" si="1"/>
        <v>-4.520055433500092E-4</v>
      </c>
    </row>
    <row r="60" spans="1:10" x14ac:dyDescent="0.45">
      <c r="A60" s="3" t="s">
        <v>43</v>
      </c>
      <c r="B60" s="3" t="s">
        <v>96</v>
      </c>
      <c r="C60" s="4">
        <v>115590.39999999999</v>
      </c>
      <c r="D60" s="4">
        <v>1156</v>
      </c>
      <c r="E60" s="5">
        <v>46173</v>
      </c>
      <c r="F60" s="4">
        <f t="shared" si="0"/>
        <v>1</v>
      </c>
      <c r="G60">
        <v>1023</v>
      </c>
      <c r="I60" s="4">
        <v>1.0000830518797399</v>
      </c>
      <c r="J60" s="6">
        <f t="shared" si="1"/>
        <v>8.3051879739892698E-5</v>
      </c>
    </row>
    <row r="61" spans="1:10" x14ac:dyDescent="0.45">
      <c r="A61" s="3" t="s">
        <v>21</v>
      </c>
      <c r="B61" s="3" t="s">
        <v>74</v>
      </c>
      <c r="C61" s="4">
        <v>21565.54</v>
      </c>
      <c r="D61" s="4">
        <v>216</v>
      </c>
      <c r="E61" s="5">
        <v>46173</v>
      </c>
      <c r="F61" s="4">
        <f t="shared" si="0"/>
        <v>1</v>
      </c>
      <c r="G61">
        <v>1023</v>
      </c>
      <c r="I61" s="4">
        <v>1.0015979196440199</v>
      </c>
      <c r="J61" s="6">
        <f t="shared" si="1"/>
        <v>1.5979196440198962E-3</v>
      </c>
    </row>
    <row r="62" spans="1:10" x14ac:dyDescent="0.45">
      <c r="A62" s="3" t="s">
        <v>22</v>
      </c>
      <c r="B62" s="3" t="s">
        <v>75</v>
      </c>
      <c r="C62" s="4">
        <v>137502.13</v>
      </c>
      <c r="D62" s="4">
        <v>1375</v>
      </c>
      <c r="E62" s="5">
        <v>46173</v>
      </c>
      <c r="F62" s="4">
        <f t="shared" si="0"/>
        <v>1</v>
      </c>
      <c r="G62">
        <v>1023</v>
      </c>
      <c r="I62" s="4">
        <v>0.99998450933087402</v>
      </c>
      <c r="J62" s="6">
        <f t="shared" si="1"/>
        <v>-1.5490669125983736E-5</v>
      </c>
    </row>
    <row r="63" spans="1:10" x14ac:dyDescent="0.45">
      <c r="A63" s="3" t="s">
        <v>23</v>
      </c>
      <c r="B63" s="3" t="s">
        <v>76</v>
      </c>
      <c r="C63" s="4">
        <v>124997</v>
      </c>
      <c r="D63" s="4">
        <v>1250</v>
      </c>
      <c r="E63" s="5">
        <v>46173</v>
      </c>
      <c r="F63" s="4">
        <f t="shared" si="0"/>
        <v>1</v>
      </c>
      <c r="G63">
        <v>1023</v>
      </c>
      <c r="I63" s="4">
        <v>1.0000240005760099</v>
      </c>
      <c r="J63" s="6">
        <f t="shared" si="1"/>
        <v>2.4000576009930441E-5</v>
      </c>
    </row>
    <row r="64" spans="1:10" x14ac:dyDescent="0.45">
      <c r="A64" s="3" t="s">
        <v>25</v>
      </c>
      <c r="B64" s="3" t="s">
        <v>78</v>
      </c>
      <c r="C64" s="4">
        <v>18272.169999999998</v>
      </c>
      <c r="D64" s="4">
        <v>183</v>
      </c>
      <c r="E64" s="5">
        <v>46173</v>
      </c>
      <c r="F64" s="4">
        <f t="shared" si="0"/>
        <v>1</v>
      </c>
      <c r="G64">
        <v>1023</v>
      </c>
      <c r="I64" s="4">
        <v>1.00152308127606</v>
      </c>
      <c r="J64" s="6">
        <f t="shared" si="1"/>
        <v>1.5230812760600454E-3</v>
      </c>
    </row>
    <row r="65" spans="1:10" x14ac:dyDescent="0.45">
      <c r="A65" s="3" t="s">
        <v>44</v>
      </c>
      <c r="B65" s="3" t="s">
        <v>97</v>
      </c>
      <c r="C65" s="4">
        <v>35398.120000000003</v>
      </c>
      <c r="D65" s="4">
        <v>354</v>
      </c>
      <c r="E65" s="5">
        <v>46173</v>
      </c>
      <c r="F65" s="4">
        <f t="shared" si="0"/>
        <v>1</v>
      </c>
      <c r="G65">
        <v>1023</v>
      </c>
      <c r="I65" s="4">
        <v>1.00005311016517</v>
      </c>
      <c r="J65" s="6">
        <f t="shared" si="1"/>
        <v>5.3110165169956147E-5</v>
      </c>
    </row>
    <row r="66" spans="1:10" x14ac:dyDescent="0.45">
      <c r="A66" s="3" t="s">
        <v>29</v>
      </c>
      <c r="B66" s="3" t="s">
        <v>82</v>
      </c>
      <c r="C66" s="4">
        <v>107700.55</v>
      </c>
      <c r="D66" s="4">
        <v>1077</v>
      </c>
      <c r="E66" s="5">
        <v>46173</v>
      </c>
      <c r="F66" s="4">
        <f t="shared" si="0"/>
        <v>1</v>
      </c>
      <c r="G66">
        <v>1023</v>
      </c>
      <c r="I66" s="4">
        <v>0.99999489324799196</v>
      </c>
      <c r="J66" s="6">
        <f t="shared" si="1"/>
        <v>-5.1067520080438911E-6</v>
      </c>
    </row>
    <row r="67" spans="1:10" x14ac:dyDescent="0.45">
      <c r="A67" s="3" t="s">
        <v>30</v>
      </c>
      <c r="B67" s="3" t="s">
        <v>83</v>
      </c>
      <c r="C67" s="4">
        <v>1074805</v>
      </c>
      <c r="D67" s="4">
        <v>21496</v>
      </c>
      <c r="E67" s="5">
        <v>46173</v>
      </c>
      <c r="F67" s="4">
        <f t="shared" si="0"/>
        <v>2</v>
      </c>
      <c r="G67">
        <v>1024</v>
      </c>
      <c r="I67" s="4">
        <v>1.99999069598671</v>
      </c>
      <c r="J67" s="6">
        <f t="shared" si="1"/>
        <v>-9.3040132900235051E-6</v>
      </c>
    </row>
    <row r="68" spans="1:10" x14ac:dyDescent="0.45">
      <c r="A68" s="3" t="s">
        <v>45</v>
      </c>
      <c r="B68" s="3" t="s">
        <v>98</v>
      </c>
      <c r="C68" s="4">
        <v>4092</v>
      </c>
      <c r="D68" s="4">
        <v>41</v>
      </c>
      <c r="E68" s="5">
        <v>46173</v>
      </c>
      <c r="F68" s="4">
        <f t="shared" ref="F68:F124" si="2">ROUND(I68,0)</f>
        <v>1</v>
      </c>
      <c r="G68">
        <v>1023</v>
      </c>
      <c r="I68" s="4">
        <v>1.0019550342131001</v>
      </c>
      <c r="J68" s="6">
        <f t="shared" ref="J68:J124" si="3">I68-F68</f>
        <v>1.9550342131000598E-3</v>
      </c>
    </row>
    <row r="69" spans="1:10" x14ac:dyDescent="0.45">
      <c r="A69" s="3" t="s">
        <v>31</v>
      </c>
      <c r="B69" s="3" t="s">
        <v>84</v>
      </c>
      <c r="C69" s="4">
        <v>12596</v>
      </c>
      <c r="D69" s="4">
        <v>126</v>
      </c>
      <c r="E69" s="5">
        <v>46173</v>
      </c>
      <c r="F69" s="4">
        <f t="shared" si="2"/>
        <v>1</v>
      </c>
      <c r="G69">
        <v>1023</v>
      </c>
      <c r="I69" s="4">
        <v>1.0003175611305199</v>
      </c>
      <c r="J69" s="6">
        <f t="shared" si="3"/>
        <v>3.1756113051994994E-4</v>
      </c>
    </row>
    <row r="70" spans="1:10" x14ac:dyDescent="0.45">
      <c r="A70" s="3" t="s">
        <v>32</v>
      </c>
      <c r="B70" s="3" t="s">
        <v>85</v>
      </c>
      <c r="C70" s="4">
        <v>66382.47</v>
      </c>
      <c r="D70" s="4">
        <v>664</v>
      </c>
      <c r="E70" s="5">
        <v>46173</v>
      </c>
      <c r="F70" s="4">
        <f t="shared" si="2"/>
        <v>1</v>
      </c>
      <c r="G70">
        <v>1023</v>
      </c>
      <c r="I70" s="4">
        <v>1.0002640757416801</v>
      </c>
      <c r="J70" s="6">
        <f t="shared" si="3"/>
        <v>2.6407574168008097E-4</v>
      </c>
    </row>
    <row r="71" spans="1:10" x14ac:dyDescent="0.45">
      <c r="A71" s="3" t="s">
        <v>121</v>
      </c>
      <c r="B71" s="3" t="s">
        <v>122</v>
      </c>
      <c r="C71" s="4">
        <v>70707.649999999994</v>
      </c>
      <c r="D71" s="4">
        <v>707</v>
      </c>
      <c r="E71" s="5">
        <v>46173</v>
      </c>
      <c r="F71" s="4">
        <f t="shared" si="2"/>
        <v>1</v>
      </c>
      <c r="G71">
        <v>1023</v>
      </c>
      <c r="I71" s="4">
        <v>0.99989180802925903</v>
      </c>
      <c r="J71" s="6">
        <f t="shared" si="3"/>
        <v>-1.0819197074096731E-4</v>
      </c>
    </row>
    <row r="72" spans="1:10" x14ac:dyDescent="0.45">
      <c r="A72" s="3" t="s">
        <v>33</v>
      </c>
      <c r="B72" s="3" t="s">
        <v>86</v>
      </c>
      <c r="C72" s="4">
        <v>42433.11</v>
      </c>
      <c r="D72" s="4">
        <v>424</v>
      </c>
      <c r="E72" s="5">
        <v>46173</v>
      </c>
      <c r="F72" s="4">
        <f t="shared" si="2"/>
        <v>1</v>
      </c>
      <c r="G72">
        <v>1023</v>
      </c>
      <c r="I72" s="4">
        <v>0.999219713096683</v>
      </c>
      <c r="J72" s="6">
        <f t="shared" si="3"/>
        <v>-7.8028690331699568E-4</v>
      </c>
    </row>
    <row r="73" spans="1:10" x14ac:dyDescent="0.45">
      <c r="A73" s="3" t="s">
        <v>46</v>
      </c>
      <c r="B73" s="3" t="s">
        <v>99</v>
      </c>
      <c r="C73" s="4">
        <v>4310</v>
      </c>
      <c r="D73" s="4">
        <v>43</v>
      </c>
      <c r="E73" s="5">
        <v>46173</v>
      </c>
      <c r="F73" s="4">
        <f t="shared" si="2"/>
        <v>1</v>
      </c>
      <c r="G73">
        <v>1023</v>
      </c>
      <c r="I73" s="4">
        <v>0.99767981438515096</v>
      </c>
      <c r="J73" s="6">
        <f t="shared" si="3"/>
        <v>-2.3201856148490352E-3</v>
      </c>
    </row>
    <row r="74" spans="1:10" x14ac:dyDescent="0.45">
      <c r="A74" s="3" t="s">
        <v>47</v>
      </c>
      <c r="B74" s="3" t="s">
        <v>100</v>
      </c>
      <c r="C74" s="4">
        <v>79845.600000000006</v>
      </c>
      <c r="D74" s="4">
        <v>798</v>
      </c>
      <c r="E74" s="5">
        <v>46173</v>
      </c>
      <c r="F74" s="4">
        <f t="shared" si="2"/>
        <v>1</v>
      </c>
      <c r="G74">
        <v>1023</v>
      </c>
      <c r="I74" s="4">
        <v>0.99942889777270105</v>
      </c>
      <c r="J74" s="6">
        <f t="shared" si="3"/>
        <v>-5.7110222729894744E-4</v>
      </c>
    </row>
    <row r="75" spans="1:10" x14ac:dyDescent="0.45">
      <c r="A75" s="3" t="s">
        <v>48</v>
      </c>
      <c r="B75" s="3" t="s">
        <v>101</v>
      </c>
      <c r="C75" s="4">
        <v>35315.82</v>
      </c>
      <c r="D75" s="4">
        <v>706</v>
      </c>
      <c r="E75" s="5">
        <v>46173</v>
      </c>
      <c r="F75" s="4">
        <f t="shared" si="2"/>
        <v>2</v>
      </c>
      <c r="G75">
        <v>1024</v>
      </c>
      <c r="I75" s="4">
        <v>1.9991040842319401</v>
      </c>
      <c r="J75" s="6">
        <f t="shared" si="3"/>
        <v>-8.9591576805991835E-4</v>
      </c>
    </row>
    <row r="76" spans="1:10" x14ac:dyDescent="0.45">
      <c r="A76" s="3" t="s">
        <v>36</v>
      </c>
      <c r="B76" s="3" t="s">
        <v>89</v>
      </c>
      <c r="C76" s="4">
        <v>22636</v>
      </c>
      <c r="D76" s="4">
        <v>226</v>
      </c>
      <c r="E76" s="5">
        <v>46173</v>
      </c>
      <c r="F76" s="4">
        <f t="shared" si="2"/>
        <v>1</v>
      </c>
      <c r="G76">
        <v>1023</v>
      </c>
      <c r="I76" s="4">
        <v>0.99840961300583098</v>
      </c>
      <c r="J76" s="6">
        <f t="shared" si="3"/>
        <v>-1.5903869941690241E-3</v>
      </c>
    </row>
    <row r="77" spans="1:10" x14ac:dyDescent="0.45">
      <c r="A77" s="3" t="s">
        <v>124</v>
      </c>
      <c r="B77" s="3" t="s">
        <v>123</v>
      </c>
      <c r="C77" s="4">
        <v>70717.11</v>
      </c>
      <c r="D77" s="4">
        <v>707</v>
      </c>
      <c r="E77" s="5">
        <v>46173</v>
      </c>
      <c r="F77" s="4">
        <f t="shared" si="2"/>
        <v>1</v>
      </c>
      <c r="G77">
        <v>1023</v>
      </c>
      <c r="I77" s="4">
        <v>0.99975805006737395</v>
      </c>
      <c r="J77" s="6">
        <f t="shared" si="3"/>
        <v>-2.4194993262605102E-4</v>
      </c>
    </row>
    <row r="78" spans="1:10" x14ac:dyDescent="0.45">
      <c r="A78" s="3" t="s">
        <v>49</v>
      </c>
      <c r="B78" s="3" t="s">
        <v>102</v>
      </c>
      <c r="C78" s="4">
        <v>57190</v>
      </c>
      <c r="D78" s="4">
        <v>572</v>
      </c>
      <c r="E78" s="5">
        <v>46173</v>
      </c>
      <c r="F78" s="4">
        <f t="shared" si="2"/>
        <v>1</v>
      </c>
      <c r="G78">
        <v>1023</v>
      </c>
      <c r="I78" s="4">
        <v>1.00017485574401</v>
      </c>
      <c r="J78" s="6">
        <f t="shared" si="3"/>
        <v>1.7485574400999404E-4</v>
      </c>
    </row>
    <row r="79" spans="1:10" x14ac:dyDescent="0.45">
      <c r="A79" s="3" t="s">
        <v>50</v>
      </c>
      <c r="B79" s="3" t="s">
        <v>103</v>
      </c>
      <c r="C79" s="4">
        <v>232593</v>
      </c>
      <c r="D79" s="4">
        <v>2326</v>
      </c>
      <c r="E79" s="5">
        <v>46173</v>
      </c>
      <c r="F79" s="4">
        <f t="shared" si="2"/>
        <v>1</v>
      </c>
      <c r="G79">
        <v>1023</v>
      </c>
      <c r="I79" s="4">
        <v>1.00003009548869</v>
      </c>
      <c r="J79" s="6">
        <f t="shared" si="3"/>
        <v>3.0095488690040639E-5</v>
      </c>
    </row>
    <row r="80" spans="1:10" x14ac:dyDescent="0.45">
      <c r="A80" s="3" t="s">
        <v>13</v>
      </c>
      <c r="B80" s="3" t="s">
        <v>66</v>
      </c>
      <c r="C80" s="4">
        <v>206507.88</v>
      </c>
      <c r="D80" s="4">
        <v>4130</v>
      </c>
      <c r="E80" s="5">
        <v>46203</v>
      </c>
      <c r="F80" s="4">
        <f t="shared" si="2"/>
        <v>2</v>
      </c>
      <c r="G80">
        <v>1024</v>
      </c>
      <c r="I80" s="4">
        <v>1.9999236832996401</v>
      </c>
      <c r="J80" s="6">
        <f t="shared" si="3"/>
        <v>-7.6316700359901901E-5</v>
      </c>
    </row>
    <row r="81" spans="1:10" x14ac:dyDescent="0.45">
      <c r="A81" s="3" t="s">
        <v>14</v>
      </c>
      <c r="B81" s="3" t="s">
        <v>67</v>
      </c>
      <c r="C81" s="4">
        <v>69512.45</v>
      </c>
      <c r="D81" s="4">
        <v>695</v>
      </c>
      <c r="E81" s="5">
        <v>46203</v>
      </c>
      <c r="F81" s="4">
        <f t="shared" si="2"/>
        <v>1</v>
      </c>
      <c r="G81">
        <v>1023</v>
      </c>
      <c r="I81" s="4">
        <v>0.99982089539355901</v>
      </c>
      <c r="J81" s="6">
        <f t="shared" si="3"/>
        <v>-1.7910460644099402E-4</v>
      </c>
    </row>
    <row r="82" spans="1:10" x14ac:dyDescent="0.45">
      <c r="A82" s="3" t="s">
        <v>39</v>
      </c>
      <c r="B82" s="3" t="s">
        <v>92</v>
      </c>
      <c r="C82" s="4">
        <v>67575.39</v>
      </c>
      <c r="D82" s="4">
        <v>676</v>
      </c>
      <c r="E82" s="5">
        <v>46203</v>
      </c>
      <c r="F82" s="4">
        <f t="shared" si="2"/>
        <v>1</v>
      </c>
      <c r="G82">
        <v>1023</v>
      </c>
      <c r="I82" s="4">
        <v>1.0003641858374801</v>
      </c>
      <c r="J82" s="6">
        <f t="shared" si="3"/>
        <v>3.6418583748010214E-4</v>
      </c>
    </row>
    <row r="83" spans="1:10" x14ac:dyDescent="0.45">
      <c r="A83" s="3" t="s">
        <v>16</v>
      </c>
      <c r="B83" s="3" t="s">
        <v>69</v>
      </c>
      <c r="C83" s="4">
        <v>104765</v>
      </c>
      <c r="D83" s="4">
        <v>1048</v>
      </c>
      <c r="E83" s="5">
        <v>46203</v>
      </c>
      <c r="F83" s="4">
        <f t="shared" si="2"/>
        <v>1</v>
      </c>
      <c r="G83">
        <v>1023</v>
      </c>
      <c r="I83" s="4">
        <v>1.00033408103851</v>
      </c>
      <c r="J83" s="6">
        <f t="shared" si="3"/>
        <v>3.3408103850995907E-4</v>
      </c>
    </row>
    <row r="84" spans="1:10" x14ac:dyDescent="0.45">
      <c r="A84" s="3" t="s">
        <v>18</v>
      </c>
      <c r="B84" s="3" t="s">
        <v>71</v>
      </c>
      <c r="C84" s="4">
        <v>284943</v>
      </c>
      <c r="D84" s="4">
        <v>2901</v>
      </c>
      <c r="E84" s="5">
        <v>46203</v>
      </c>
      <c r="F84" s="4">
        <f t="shared" si="2"/>
        <v>1</v>
      </c>
      <c r="G84">
        <v>1023</v>
      </c>
      <c r="I84" s="4">
        <v>1.0180983565134101</v>
      </c>
      <c r="J84" s="6">
        <f t="shared" si="3"/>
        <v>1.8098356513410074E-2</v>
      </c>
    </row>
    <row r="85" spans="1:10" x14ac:dyDescent="0.45">
      <c r="A85" s="3" t="s">
        <v>19</v>
      </c>
      <c r="B85" s="3" t="s">
        <v>72</v>
      </c>
      <c r="C85" s="4">
        <v>235661.5</v>
      </c>
      <c r="D85" s="4">
        <v>2357</v>
      </c>
      <c r="E85" s="5">
        <v>46203</v>
      </c>
      <c r="F85" s="4">
        <f t="shared" si="2"/>
        <v>1</v>
      </c>
      <c r="G85">
        <v>1023</v>
      </c>
      <c r="I85" s="4">
        <v>1.0001633699182899</v>
      </c>
      <c r="J85" s="6">
        <f t="shared" si="3"/>
        <v>1.6336991828991287E-4</v>
      </c>
    </row>
    <row r="86" spans="1:10" x14ac:dyDescent="0.45">
      <c r="A86" s="3" t="s">
        <v>51</v>
      </c>
      <c r="B86" s="3" t="s">
        <v>104</v>
      </c>
      <c r="C86" s="4">
        <v>71554.28</v>
      </c>
      <c r="D86" s="4">
        <v>716</v>
      </c>
      <c r="E86" s="5">
        <v>46203</v>
      </c>
      <c r="F86" s="4">
        <f t="shared" si="2"/>
        <v>1</v>
      </c>
      <c r="G86">
        <v>1023</v>
      </c>
      <c r="I86" s="4">
        <v>1.0006389554894599</v>
      </c>
      <c r="J86" s="6">
        <f t="shared" si="3"/>
        <v>6.3895548945991365E-4</v>
      </c>
    </row>
    <row r="87" spans="1:10" x14ac:dyDescent="0.45">
      <c r="A87" s="3" t="s">
        <v>23</v>
      </c>
      <c r="B87" s="3" t="s">
        <v>76</v>
      </c>
      <c r="C87" s="4">
        <v>75469.5</v>
      </c>
      <c r="D87" s="4">
        <v>755</v>
      </c>
      <c r="E87" s="5">
        <v>46203</v>
      </c>
      <c r="F87" s="4">
        <f t="shared" si="2"/>
        <v>1</v>
      </c>
      <c r="G87">
        <v>1023</v>
      </c>
      <c r="I87" s="4">
        <v>1.0004041367704799</v>
      </c>
      <c r="J87" s="6">
        <f t="shared" si="3"/>
        <v>4.0413677047990149E-4</v>
      </c>
    </row>
    <row r="88" spans="1:10" x14ac:dyDescent="0.45">
      <c r="A88" s="3" t="s">
        <v>24</v>
      </c>
      <c r="B88" s="3" t="s">
        <v>77</v>
      </c>
      <c r="C88" s="4">
        <v>34185.5</v>
      </c>
      <c r="D88" s="4">
        <v>342</v>
      </c>
      <c r="E88" s="5">
        <v>46203</v>
      </c>
      <c r="F88" s="4">
        <f t="shared" si="2"/>
        <v>1</v>
      </c>
      <c r="G88">
        <v>1023</v>
      </c>
      <c r="I88" s="4">
        <v>1.0004241564406</v>
      </c>
      <c r="J88" s="6">
        <f t="shared" si="3"/>
        <v>4.2415644060000979E-4</v>
      </c>
    </row>
    <row r="89" spans="1:10" x14ac:dyDescent="0.45">
      <c r="A89" s="3" t="s">
        <v>52</v>
      </c>
      <c r="B89" s="3" t="s">
        <v>105</v>
      </c>
      <c r="C89" s="4">
        <v>69110.2</v>
      </c>
      <c r="D89" s="4">
        <v>691</v>
      </c>
      <c r="E89" s="5">
        <v>46203</v>
      </c>
      <c r="F89" s="4">
        <f t="shared" si="2"/>
        <v>1</v>
      </c>
      <c r="G89">
        <v>1023</v>
      </c>
      <c r="I89" s="4">
        <v>0.99985240962983801</v>
      </c>
      <c r="J89" s="6">
        <f t="shared" si="3"/>
        <v>-1.4759037016198739E-4</v>
      </c>
    </row>
    <row r="90" spans="1:10" x14ac:dyDescent="0.45">
      <c r="A90" s="3" t="s">
        <v>27</v>
      </c>
      <c r="B90" s="3" t="s">
        <v>80</v>
      </c>
      <c r="C90" s="4">
        <v>162259.42000000001</v>
      </c>
      <c r="D90" s="4">
        <v>1623</v>
      </c>
      <c r="E90" s="5">
        <v>46203</v>
      </c>
      <c r="F90" s="4">
        <f t="shared" si="2"/>
        <v>1</v>
      </c>
      <c r="G90">
        <v>1023</v>
      </c>
      <c r="I90" s="4">
        <v>1.0002500933381899</v>
      </c>
      <c r="J90" s="6">
        <f t="shared" si="3"/>
        <v>2.5009333818992729E-4</v>
      </c>
    </row>
    <row r="91" spans="1:10" x14ac:dyDescent="0.45">
      <c r="A91" s="3" t="s">
        <v>44</v>
      </c>
      <c r="B91" s="3" t="s">
        <v>97</v>
      </c>
      <c r="C91" s="4">
        <v>128863.12</v>
      </c>
      <c r="D91" s="4">
        <v>1289</v>
      </c>
      <c r="E91" s="5">
        <v>46203</v>
      </c>
      <c r="F91" s="4">
        <f t="shared" si="2"/>
        <v>1</v>
      </c>
      <c r="G91">
        <v>1023</v>
      </c>
      <c r="I91" s="4">
        <v>1.0002861951503299</v>
      </c>
      <c r="J91" s="6">
        <f t="shared" si="3"/>
        <v>2.8619515032990428E-4</v>
      </c>
    </row>
    <row r="92" spans="1:10" x14ac:dyDescent="0.45">
      <c r="A92" s="3" t="s">
        <v>28</v>
      </c>
      <c r="B92" s="3" t="s">
        <v>81</v>
      </c>
      <c r="C92" s="4">
        <v>95809</v>
      </c>
      <c r="D92" s="4">
        <v>958</v>
      </c>
      <c r="E92" s="5">
        <v>46203</v>
      </c>
      <c r="F92" s="4">
        <f t="shared" si="2"/>
        <v>1</v>
      </c>
      <c r="G92">
        <v>1023</v>
      </c>
      <c r="I92" s="4">
        <v>0.99990606310471897</v>
      </c>
      <c r="J92" s="6">
        <f t="shared" si="3"/>
        <v>-9.3936895281032662E-5</v>
      </c>
    </row>
    <row r="93" spans="1:10" x14ac:dyDescent="0.45">
      <c r="A93" s="3" t="s">
        <v>29</v>
      </c>
      <c r="B93" s="3" t="s">
        <v>82</v>
      </c>
      <c r="C93" s="4">
        <v>44508.35</v>
      </c>
      <c r="D93" s="4">
        <v>445</v>
      </c>
      <c r="E93" s="5">
        <v>46203</v>
      </c>
      <c r="F93" s="4">
        <f t="shared" si="2"/>
        <v>1</v>
      </c>
      <c r="G93">
        <v>1023</v>
      </c>
      <c r="I93" s="4">
        <v>0.99981239475289496</v>
      </c>
      <c r="J93" s="6">
        <f t="shared" si="3"/>
        <v>-1.8760524710503823E-4</v>
      </c>
    </row>
    <row r="94" spans="1:10" x14ac:dyDescent="0.45">
      <c r="A94" s="3" t="s">
        <v>30</v>
      </c>
      <c r="B94" s="3" t="s">
        <v>83</v>
      </c>
      <c r="C94" s="4">
        <v>1092996</v>
      </c>
      <c r="D94" s="4">
        <v>21861</v>
      </c>
      <c r="E94" s="5">
        <v>46203</v>
      </c>
      <c r="F94" s="4">
        <f t="shared" si="2"/>
        <v>2</v>
      </c>
      <c r="G94">
        <v>1024</v>
      </c>
      <c r="I94" s="4">
        <v>2.0000988109746101</v>
      </c>
      <c r="J94" s="6">
        <f t="shared" si="3"/>
        <v>9.8810974610064051E-5</v>
      </c>
    </row>
    <row r="95" spans="1:10" x14ac:dyDescent="0.45">
      <c r="A95" s="3" t="s">
        <v>31</v>
      </c>
      <c r="B95" s="3" t="s">
        <v>84</v>
      </c>
      <c r="C95" s="4">
        <v>17421</v>
      </c>
      <c r="D95" s="4">
        <v>173</v>
      </c>
      <c r="E95" s="5">
        <v>46203</v>
      </c>
      <c r="F95" s="4">
        <f t="shared" si="2"/>
        <v>1</v>
      </c>
      <c r="G95">
        <v>1023</v>
      </c>
      <c r="I95" s="4">
        <v>0.99305435968084499</v>
      </c>
      <c r="J95" s="6">
        <f t="shared" si="3"/>
        <v>-6.9456403191550109E-3</v>
      </c>
    </row>
    <row r="96" spans="1:10" x14ac:dyDescent="0.45">
      <c r="A96" s="3" t="s">
        <v>32</v>
      </c>
      <c r="B96" s="3" t="s">
        <v>85</v>
      </c>
      <c r="C96" s="4">
        <v>197826.81</v>
      </c>
      <c r="D96" s="4">
        <v>1978</v>
      </c>
      <c r="E96" s="5">
        <v>46203</v>
      </c>
      <c r="F96" s="4">
        <f t="shared" si="2"/>
        <v>1</v>
      </c>
      <c r="G96">
        <v>1023</v>
      </c>
      <c r="I96" s="4">
        <v>0.99986447741840501</v>
      </c>
      <c r="J96" s="6">
        <f t="shared" si="3"/>
        <v>-1.3552258159499342E-4</v>
      </c>
    </row>
    <row r="97" spans="1:10" x14ac:dyDescent="0.45">
      <c r="A97" s="3" t="s">
        <v>121</v>
      </c>
      <c r="B97" s="3" t="s">
        <v>122</v>
      </c>
      <c r="C97" s="4">
        <v>70135.13</v>
      </c>
      <c r="D97" s="4">
        <v>701</v>
      </c>
      <c r="E97" s="5">
        <v>46203</v>
      </c>
      <c r="F97" s="4">
        <f t="shared" si="2"/>
        <v>1</v>
      </c>
      <c r="G97">
        <v>1023</v>
      </c>
      <c r="I97" s="4">
        <v>0.99949910978991496</v>
      </c>
      <c r="J97" s="6">
        <f t="shared" si="3"/>
        <v>-5.0089021008503654E-4</v>
      </c>
    </row>
    <row r="98" spans="1:10" x14ac:dyDescent="0.45">
      <c r="A98" s="3" t="s">
        <v>53</v>
      </c>
      <c r="B98" s="3" t="s">
        <v>106</v>
      </c>
      <c r="C98" s="4">
        <v>31256.9</v>
      </c>
      <c r="D98" s="4">
        <v>313</v>
      </c>
      <c r="E98" s="5">
        <v>46203</v>
      </c>
      <c r="F98" s="4">
        <f t="shared" si="2"/>
        <v>1</v>
      </c>
      <c r="G98">
        <v>1023</v>
      </c>
      <c r="I98" s="4">
        <v>1.0013788955398599</v>
      </c>
      <c r="J98" s="6">
        <f t="shared" si="3"/>
        <v>1.3788955398599256E-3</v>
      </c>
    </row>
    <row r="99" spans="1:10" x14ac:dyDescent="0.45">
      <c r="A99" s="3" t="s">
        <v>33</v>
      </c>
      <c r="B99" s="3" t="s">
        <v>86</v>
      </c>
      <c r="C99" s="4">
        <v>116593.63</v>
      </c>
      <c r="D99" s="4">
        <v>1166</v>
      </c>
      <c r="E99" s="5">
        <v>46203</v>
      </c>
      <c r="F99" s="4">
        <f t="shared" si="2"/>
        <v>1</v>
      </c>
      <c r="G99">
        <v>1023</v>
      </c>
      <c r="I99" s="4">
        <v>1.00005463420257</v>
      </c>
      <c r="J99" s="6">
        <f t="shared" si="3"/>
        <v>5.4634202570014168E-5</v>
      </c>
    </row>
    <row r="100" spans="1:10" x14ac:dyDescent="0.45">
      <c r="A100" s="3" t="s">
        <v>46</v>
      </c>
      <c r="B100" s="3" t="s">
        <v>99</v>
      </c>
      <c r="C100" s="4">
        <v>62458.34</v>
      </c>
      <c r="D100" s="4">
        <v>625</v>
      </c>
      <c r="E100" s="5">
        <v>46203</v>
      </c>
      <c r="F100" s="4">
        <f t="shared" si="2"/>
        <v>1</v>
      </c>
      <c r="G100">
        <v>1023</v>
      </c>
      <c r="I100" s="4">
        <v>1.0006670045985899</v>
      </c>
      <c r="J100" s="6">
        <f t="shared" si="3"/>
        <v>6.6700459858992645E-4</v>
      </c>
    </row>
    <row r="101" spans="1:10" x14ac:dyDescent="0.45">
      <c r="A101" s="3" t="s">
        <v>35</v>
      </c>
      <c r="B101" s="3" t="s">
        <v>88</v>
      </c>
      <c r="C101" s="4">
        <v>34668.07</v>
      </c>
      <c r="D101" s="4">
        <v>347</v>
      </c>
      <c r="E101" s="5">
        <v>46203</v>
      </c>
      <c r="F101" s="4">
        <f t="shared" si="2"/>
        <v>1</v>
      </c>
      <c r="G101">
        <v>1023</v>
      </c>
      <c r="I101" s="4">
        <v>1.00092102040869</v>
      </c>
      <c r="J101" s="6">
        <f t="shared" si="3"/>
        <v>9.2102040869002089E-4</v>
      </c>
    </row>
    <row r="102" spans="1:10" x14ac:dyDescent="0.45">
      <c r="A102" s="3" t="s">
        <v>48</v>
      </c>
      <c r="B102" s="3" t="s">
        <v>101</v>
      </c>
      <c r="C102" s="4">
        <v>67629.600000000006</v>
      </c>
      <c r="D102" s="4">
        <v>1353</v>
      </c>
      <c r="E102" s="5">
        <v>46203</v>
      </c>
      <c r="F102" s="4">
        <f t="shared" si="2"/>
        <v>2</v>
      </c>
      <c r="G102">
        <v>1024</v>
      </c>
      <c r="I102" s="4">
        <v>2.00060328613506</v>
      </c>
      <c r="J102" s="6">
        <f t="shared" si="3"/>
        <v>6.032861350599994E-4</v>
      </c>
    </row>
    <row r="103" spans="1:10" x14ac:dyDescent="0.45">
      <c r="A103" s="3" t="s">
        <v>36</v>
      </c>
      <c r="B103" s="3" t="s">
        <v>89</v>
      </c>
      <c r="C103" s="4">
        <v>102124</v>
      </c>
      <c r="D103" s="4">
        <v>1021</v>
      </c>
      <c r="E103" s="5">
        <v>46203</v>
      </c>
      <c r="F103" s="4">
        <f t="shared" si="2"/>
        <v>1</v>
      </c>
      <c r="G103">
        <v>1023</v>
      </c>
      <c r="I103" s="4">
        <v>0.999764991578865</v>
      </c>
      <c r="J103" s="6">
        <f t="shared" si="3"/>
        <v>-2.3500842113499676E-4</v>
      </c>
    </row>
    <row r="104" spans="1:10" x14ac:dyDescent="0.45">
      <c r="A104" s="3" t="s">
        <v>124</v>
      </c>
      <c r="B104" s="3" t="s">
        <v>123</v>
      </c>
      <c r="C104" s="4">
        <v>70425.19</v>
      </c>
      <c r="D104" s="4">
        <v>704</v>
      </c>
      <c r="E104" s="5">
        <v>46203</v>
      </c>
      <c r="F104" s="4">
        <f t="shared" si="2"/>
        <v>1</v>
      </c>
      <c r="G104">
        <v>1023</v>
      </c>
      <c r="I104" s="4">
        <v>0.99964231548399096</v>
      </c>
      <c r="J104" s="6">
        <f t="shared" si="3"/>
        <v>-3.5768451600903806E-4</v>
      </c>
    </row>
    <row r="105" spans="1:10" x14ac:dyDescent="0.45">
      <c r="A105" s="3" t="s">
        <v>38</v>
      </c>
      <c r="B105" s="3" t="s">
        <v>91</v>
      </c>
      <c r="C105" s="4">
        <v>171880</v>
      </c>
      <c r="D105" s="4">
        <v>1719</v>
      </c>
      <c r="E105" s="5">
        <v>46203</v>
      </c>
      <c r="F105" s="4">
        <f t="shared" si="2"/>
        <v>1</v>
      </c>
      <c r="G105">
        <v>1023</v>
      </c>
      <c r="I105" s="4">
        <v>1.0001163602513401</v>
      </c>
      <c r="J105" s="6">
        <f t="shared" si="3"/>
        <v>1.1636025134009742E-4</v>
      </c>
    </row>
    <row r="106" spans="1:10" x14ac:dyDescent="0.45">
      <c r="A106" s="3" t="s">
        <v>49</v>
      </c>
      <c r="B106" s="3" t="s">
        <v>102</v>
      </c>
      <c r="C106" s="4">
        <v>42180</v>
      </c>
      <c r="D106" s="4">
        <v>422</v>
      </c>
      <c r="E106" s="5">
        <v>46203</v>
      </c>
      <c r="F106" s="4">
        <f t="shared" si="2"/>
        <v>1</v>
      </c>
      <c r="G106">
        <v>1023</v>
      </c>
      <c r="I106" s="4">
        <v>1.0004741583689001</v>
      </c>
      <c r="J106" s="6">
        <f t="shared" si="3"/>
        <v>4.7415836890007945E-4</v>
      </c>
    </row>
    <row r="107" spans="1:10" x14ac:dyDescent="0.45">
      <c r="A107" s="3" t="s">
        <v>54</v>
      </c>
      <c r="B107" s="3" t="s">
        <v>107</v>
      </c>
      <c r="C107" s="4">
        <v>128073</v>
      </c>
      <c r="D107" s="4">
        <v>1281</v>
      </c>
      <c r="E107" s="5">
        <v>46203</v>
      </c>
      <c r="F107" s="4">
        <f t="shared" si="2"/>
        <v>1</v>
      </c>
      <c r="G107">
        <v>1023</v>
      </c>
      <c r="I107" s="4">
        <v>1.00021081726828</v>
      </c>
      <c r="J107" s="6">
        <f t="shared" si="3"/>
        <v>2.1081726827998359E-4</v>
      </c>
    </row>
    <row r="108" spans="1:10" x14ac:dyDescent="0.45">
      <c r="A108" s="3" t="s">
        <v>55</v>
      </c>
      <c r="B108" s="3" t="s">
        <v>108</v>
      </c>
      <c r="C108" s="4">
        <v>124847</v>
      </c>
      <c r="D108" s="4">
        <v>2497</v>
      </c>
      <c r="E108" s="5">
        <v>46142</v>
      </c>
      <c r="F108" s="4">
        <f t="shared" si="2"/>
        <v>2</v>
      </c>
      <c r="G108">
        <v>1024</v>
      </c>
      <c r="I108" s="4">
        <v>2.0000480588239999</v>
      </c>
      <c r="J108" s="6">
        <f t="shared" si="3"/>
        <v>4.8058823999941325E-5</v>
      </c>
    </row>
    <row r="109" spans="1:10" x14ac:dyDescent="0.45">
      <c r="A109" s="3" t="s">
        <v>56</v>
      </c>
      <c r="B109" s="3" t="s">
        <v>109</v>
      </c>
      <c r="C109" s="4">
        <v>45913.01</v>
      </c>
      <c r="D109" s="4">
        <v>918</v>
      </c>
      <c r="E109" s="5">
        <v>46142</v>
      </c>
      <c r="F109" s="4">
        <f t="shared" si="2"/>
        <v>2</v>
      </c>
      <c r="G109">
        <v>1024</v>
      </c>
      <c r="I109" s="4">
        <v>1.99943327610192</v>
      </c>
      <c r="J109" s="6">
        <f t="shared" si="3"/>
        <v>-5.6672389807999046E-4</v>
      </c>
    </row>
    <row r="110" spans="1:10" x14ac:dyDescent="0.45">
      <c r="A110" s="3" t="s">
        <v>57</v>
      </c>
      <c r="B110" s="3" t="s">
        <v>110</v>
      </c>
      <c r="C110" s="4">
        <v>652123.71</v>
      </c>
      <c r="D110" s="4">
        <v>13044</v>
      </c>
      <c r="E110" s="5">
        <v>46142</v>
      </c>
      <c r="F110" s="4">
        <f t="shared" si="2"/>
        <v>2</v>
      </c>
      <c r="G110">
        <v>1024</v>
      </c>
      <c r="I110" s="4">
        <v>2.0002339740108499</v>
      </c>
      <c r="J110" s="6">
        <f t="shared" si="3"/>
        <v>2.3397401084990221E-4</v>
      </c>
    </row>
    <row r="111" spans="1:10" x14ac:dyDescent="0.45">
      <c r="A111" s="3" t="s">
        <v>58</v>
      </c>
      <c r="B111" s="3" t="s">
        <v>111</v>
      </c>
      <c r="C111" s="4">
        <v>109810</v>
      </c>
      <c r="D111" s="4">
        <v>1099</v>
      </c>
      <c r="E111" s="5">
        <v>46142</v>
      </c>
      <c r="F111" s="4">
        <f t="shared" si="2"/>
        <v>1</v>
      </c>
      <c r="G111">
        <v>1023</v>
      </c>
      <c r="I111" s="4">
        <v>1.0008195974865699</v>
      </c>
      <c r="J111" s="6">
        <f t="shared" si="3"/>
        <v>8.1959748656990072E-4</v>
      </c>
    </row>
    <row r="112" spans="1:10" x14ac:dyDescent="0.45">
      <c r="A112" s="3" t="s">
        <v>59</v>
      </c>
      <c r="B112" s="3" t="s">
        <v>112</v>
      </c>
      <c r="C112" s="4">
        <v>1458527.43</v>
      </c>
      <c r="D112" s="4">
        <v>29171</v>
      </c>
      <c r="E112" s="5">
        <v>46142</v>
      </c>
      <c r="F112" s="4">
        <f t="shared" si="2"/>
        <v>2</v>
      </c>
      <c r="G112">
        <v>1024</v>
      </c>
      <c r="I112" s="4">
        <v>2.0000309490236998</v>
      </c>
      <c r="J112" s="6">
        <f t="shared" si="3"/>
        <v>3.094902369982222E-5</v>
      </c>
    </row>
    <row r="113" spans="1:10" x14ac:dyDescent="0.45">
      <c r="A113" s="3" t="s">
        <v>60</v>
      </c>
      <c r="B113" s="3" t="s">
        <v>113</v>
      </c>
      <c r="C113" s="4">
        <v>484917.3</v>
      </c>
      <c r="D113" s="4">
        <v>9699</v>
      </c>
      <c r="E113" s="5">
        <v>46142</v>
      </c>
      <c r="F113" s="4">
        <f t="shared" si="2"/>
        <v>2</v>
      </c>
      <c r="G113">
        <v>1024</v>
      </c>
      <c r="I113" s="4">
        <v>2.0001348683579701</v>
      </c>
      <c r="J113" s="6">
        <f t="shared" si="3"/>
        <v>1.348683579700527E-4</v>
      </c>
    </row>
    <row r="114" spans="1:10" x14ac:dyDescent="0.45">
      <c r="A114" s="3" t="s">
        <v>55</v>
      </c>
      <c r="B114" s="3" t="s">
        <v>108</v>
      </c>
      <c r="C114" s="4">
        <v>126418</v>
      </c>
      <c r="D114" s="4">
        <v>2528</v>
      </c>
      <c r="E114" s="5">
        <v>46173</v>
      </c>
      <c r="F114" s="4">
        <f t="shared" si="2"/>
        <v>2</v>
      </c>
      <c r="G114">
        <v>1024</v>
      </c>
      <c r="I114" s="4">
        <v>1.9997152304260499</v>
      </c>
      <c r="J114" s="6">
        <f t="shared" si="3"/>
        <v>-2.8476957395007219E-4</v>
      </c>
    </row>
    <row r="115" spans="1:10" x14ac:dyDescent="0.45">
      <c r="A115" s="3" t="s">
        <v>57</v>
      </c>
      <c r="B115" s="3" t="s">
        <v>110</v>
      </c>
      <c r="C115" s="4">
        <v>107359.5</v>
      </c>
      <c r="D115" s="4">
        <v>2147</v>
      </c>
      <c r="E115" s="5">
        <v>46173</v>
      </c>
      <c r="F115" s="4">
        <f t="shared" si="2"/>
        <v>2</v>
      </c>
      <c r="G115">
        <v>1024</v>
      </c>
      <c r="I115" s="4">
        <v>1.9998230245111099</v>
      </c>
      <c r="J115" s="6">
        <f t="shared" si="3"/>
        <v>-1.769754888900632E-4</v>
      </c>
    </row>
    <row r="116" spans="1:10" x14ac:dyDescent="0.45">
      <c r="A116" s="3" t="s">
        <v>58</v>
      </c>
      <c r="B116" s="3" t="s">
        <v>111</v>
      </c>
      <c r="C116" s="4">
        <v>268034.90000000002</v>
      </c>
      <c r="D116" s="4">
        <v>2705</v>
      </c>
      <c r="E116" s="5">
        <v>46173</v>
      </c>
      <c r="F116" s="4">
        <f t="shared" si="2"/>
        <v>1</v>
      </c>
      <c r="G116">
        <v>1023</v>
      </c>
      <c r="I116" s="4">
        <v>1.0091969366675799</v>
      </c>
      <c r="J116" s="6">
        <f t="shared" si="3"/>
        <v>9.1969366675799247E-3</v>
      </c>
    </row>
    <row r="117" spans="1:10" x14ac:dyDescent="0.45">
      <c r="A117" s="3" t="s">
        <v>61</v>
      </c>
      <c r="B117" s="3" t="s">
        <v>114</v>
      </c>
      <c r="C117" s="4">
        <v>1995</v>
      </c>
      <c r="D117" s="4">
        <v>20</v>
      </c>
      <c r="E117" s="5">
        <v>46173</v>
      </c>
      <c r="F117" s="4">
        <f t="shared" si="2"/>
        <v>1</v>
      </c>
      <c r="G117">
        <v>1023</v>
      </c>
      <c r="I117" s="4">
        <v>1.0025062656641599</v>
      </c>
      <c r="J117" s="6">
        <f t="shared" si="3"/>
        <v>2.5062656641599013E-3</v>
      </c>
    </row>
    <row r="118" spans="1:10" x14ac:dyDescent="0.45">
      <c r="A118" s="3" t="s">
        <v>59</v>
      </c>
      <c r="B118" s="3" t="s">
        <v>112</v>
      </c>
      <c r="C118" s="4">
        <v>2156373.34</v>
      </c>
      <c r="D118" s="4">
        <v>43129</v>
      </c>
      <c r="E118" s="5">
        <v>46173</v>
      </c>
      <c r="F118" s="4">
        <f t="shared" si="2"/>
        <v>2</v>
      </c>
      <c r="G118">
        <v>1024</v>
      </c>
      <c r="I118" s="4">
        <v>2.0000711008604801</v>
      </c>
      <c r="J118" s="6">
        <f t="shared" si="3"/>
        <v>7.1100860480122208E-5</v>
      </c>
    </row>
    <row r="119" spans="1:10" x14ac:dyDescent="0.45">
      <c r="A119" s="3" t="s">
        <v>60</v>
      </c>
      <c r="B119" s="3" t="s">
        <v>113</v>
      </c>
      <c r="C119" s="4">
        <v>1000527.1</v>
      </c>
      <c r="D119" s="4">
        <v>20009</v>
      </c>
      <c r="E119" s="5">
        <v>46173</v>
      </c>
      <c r="F119" s="4">
        <f t="shared" si="2"/>
        <v>2</v>
      </c>
      <c r="G119">
        <v>1024</v>
      </c>
      <c r="I119" s="4">
        <v>1.999845881236</v>
      </c>
      <c r="J119" s="6">
        <f t="shared" si="3"/>
        <v>-1.5411876399995528E-4</v>
      </c>
    </row>
    <row r="120" spans="1:10" x14ac:dyDescent="0.45">
      <c r="A120" s="3" t="s">
        <v>55</v>
      </c>
      <c r="B120" s="3" t="s">
        <v>108</v>
      </c>
      <c r="C120" s="4">
        <v>304978</v>
      </c>
      <c r="D120" s="4">
        <v>6100</v>
      </c>
      <c r="E120" s="5">
        <v>46203</v>
      </c>
      <c r="F120" s="4">
        <f t="shared" si="2"/>
        <v>2</v>
      </c>
      <c r="G120">
        <v>1024</v>
      </c>
      <c r="I120" s="4">
        <v>2.0001442727016401</v>
      </c>
      <c r="J120" s="6">
        <f t="shared" si="3"/>
        <v>1.4427270164008021E-4</v>
      </c>
    </row>
    <row r="121" spans="1:10" x14ac:dyDescent="0.45">
      <c r="A121" s="3" t="s">
        <v>58</v>
      </c>
      <c r="B121" s="3" t="s">
        <v>111</v>
      </c>
      <c r="C121" s="4">
        <v>152288.79999999999</v>
      </c>
      <c r="D121" s="4">
        <v>1523</v>
      </c>
      <c r="E121" s="5">
        <v>46203</v>
      </c>
      <c r="F121" s="4">
        <f t="shared" si="2"/>
        <v>1</v>
      </c>
      <c r="G121">
        <v>1023</v>
      </c>
      <c r="I121" s="4">
        <v>1.00007354447602</v>
      </c>
      <c r="J121" s="6">
        <f t="shared" si="3"/>
        <v>7.3544476020037663E-5</v>
      </c>
    </row>
    <row r="122" spans="1:10" x14ac:dyDescent="0.45">
      <c r="A122" s="3" t="s">
        <v>59</v>
      </c>
      <c r="B122" s="3" t="s">
        <v>112</v>
      </c>
      <c r="C122" s="4">
        <v>1134065.46</v>
      </c>
      <c r="D122" s="4">
        <v>22682</v>
      </c>
      <c r="E122" s="5">
        <v>46203</v>
      </c>
      <c r="F122" s="4">
        <f t="shared" si="2"/>
        <v>2</v>
      </c>
      <c r="G122">
        <v>1024</v>
      </c>
      <c r="I122" s="4">
        <v>2.0000609135913501</v>
      </c>
      <c r="J122" s="6">
        <f t="shared" si="3"/>
        <v>6.0913591350075791E-5</v>
      </c>
    </row>
    <row r="123" spans="1:10" x14ac:dyDescent="0.45">
      <c r="A123" s="3" t="s">
        <v>60</v>
      </c>
      <c r="B123" s="3" t="s">
        <v>113</v>
      </c>
      <c r="C123" s="4">
        <v>966746.8</v>
      </c>
      <c r="D123" s="4">
        <v>19336</v>
      </c>
      <c r="E123" s="5">
        <v>46203</v>
      </c>
      <c r="F123" s="4">
        <f t="shared" si="2"/>
        <v>2</v>
      </c>
      <c r="G123">
        <v>1024</v>
      </c>
      <c r="I123" s="4">
        <v>2.0001100598419401</v>
      </c>
      <c r="J123" s="6">
        <f t="shared" si="3"/>
        <v>1.1005984194012441E-4</v>
      </c>
    </row>
    <row r="124" spans="1:10" x14ac:dyDescent="0.45">
      <c r="A124" s="3" t="s">
        <v>125</v>
      </c>
      <c r="B124" s="3" t="s">
        <v>115</v>
      </c>
      <c r="C124" s="4">
        <v>6539</v>
      </c>
      <c r="D124" s="4">
        <v>654</v>
      </c>
      <c r="E124" s="5">
        <v>46203</v>
      </c>
      <c r="F124" s="4">
        <f t="shared" si="2"/>
        <v>10</v>
      </c>
      <c r="G124">
        <v>1022</v>
      </c>
      <c r="I124" s="4">
        <v>10.0015292858235</v>
      </c>
      <c r="J124" s="6">
        <f t="shared" si="3"/>
        <v>1.5292858234996487E-3</v>
      </c>
    </row>
  </sheetData>
  <autoFilter ref="A2:G30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VREPORT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2026-07-22T11:00:12Z</dcterms:created>
  <dcterms:modified xsi:type="dcterms:W3CDTF">2026-09-05T08:13:32Z</dcterms:modified>
</cp:coreProperties>
</file>