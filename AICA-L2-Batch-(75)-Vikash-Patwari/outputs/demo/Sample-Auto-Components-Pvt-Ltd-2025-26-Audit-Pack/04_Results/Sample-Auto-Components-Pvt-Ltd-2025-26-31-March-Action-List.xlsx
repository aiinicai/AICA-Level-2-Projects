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 March Action List" sheetId="1" state="visible" r:id="rId1"/>
  </sheets>
  <definedNames>
    <definedName name="_xlnm._FilterDatabase" localSheetId="0" hidden="1">'31 March Action List'!$A$5:$I$30</definedName>
    <definedName name="_xlnm.Print_Titles" localSheetId="0">'31 March Action List'!$1:$5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s &quot;#,##,##0.00;[Red]-&quot;Rs &quot;#,##,##0.00"/>
    <numFmt numFmtId="166" formatCode="dd-mmm-yyyy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667085"/>
      <sz val="9"/>
    </font>
    <font>
      <name val="Aptos"/>
      <i val="1"/>
      <color rgb="00667085"/>
      <sz val="9"/>
    </font>
    <font>
      <name val="Aptos"/>
      <b val="1"/>
      <color rgb="00FFFFFF"/>
      <sz val="9"/>
    </font>
    <font>
      <name val="Aptos"/>
      <color rgb="0012233A"/>
      <sz val="9"/>
    </font>
  </fonts>
  <fills count="5">
    <fill>
      <patternFill/>
    </fill>
    <fill>
      <patternFill patternType="gray125"/>
    </fill>
    <fill>
      <patternFill patternType="solid">
        <fgColor rgb="0012233A"/>
      </patternFill>
    </fill>
    <fill>
      <patternFill patternType="solid">
        <fgColor rgb="000F766E"/>
      </patternFill>
    </fill>
    <fill>
      <patternFill patternType="solid">
        <fgColor rgb="00FAFBFC"/>
      </patternFill>
    </fill>
  </fills>
  <borders count="3">
    <border>
      <left/>
      <right/>
      <top/>
      <bottom/>
      <diagonal/>
    </border>
    <border>
      <bottom style="medium">
        <color rgb="000F766E"/>
      </bottom>
    </border>
    <border>
      <bottom style="thin">
        <color rgb="00D9DE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/>
    </xf>
    <xf numFmtId="166" fontId="5" fillId="4" borderId="2" applyAlignment="1" pivotButton="0" quotePrefix="0" xfId="0">
      <alignment horizontal="left" vertical="top"/>
    </xf>
    <xf numFmtId="165" fontId="5" fillId="4" borderId="2" applyAlignment="1" pivotButton="0" quotePrefix="0" xfId="0">
      <alignment horizontal="right" vertical="top"/>
    </xf>
    <xf numFmtId="0" fontId="5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/>
    </xf>
    <xf numFmtId="166" fontId="5" fillId="0" borderId="2" applyAlignment="1" pivotButton="0" quotePrefix="0" xfId="0">
      <alignment horizontal="left" vertical="top"/>
    </xf>
    <xf numFmtId="165" fontId="5" fillId="0" borderId="2" applyAlignment="1" pivotButton="0" quotePrefix="0" xfId="0">
      <alignment horizontal="right" vertical="top"/>
    </xf>
  </cellXfs>
  <cellStyles count="1">
    <cellStyle name="Normal" xfId="0" builtinId="0" hidden="0"/>
  </cellStyles>
  <dxfs count="1">
    <dxf>
      <fill>
        <patternFill patternType="solid">
          <fgColor rgb="00FFF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4" customWidth="1" min="3" max="3"/>
    <col width="15" customWidth="1" min="4" max="4"/>
    <col width="18" customWidth="1" min="5" max="5"/>
    <col width="21" customWidth="1" min="6" max="6"/>
    <col width="18" customWidth="1" min="7" max="7"/>
    <col width="24" customWidth="1" min="8" max="8"/>
    <col width="20" customWidth="1" min="9" max="9"/>
  </cols>
  <sheetData>
    <row r="1" ht="34" customHeight="1">
      <c r="A1" s="1" t="inlineStr">
        <is>
          <t>31 MARCH ACTION LIST</t>
        </is>
      </c>
    </row>
    <row r="2" ht="22" customHeight="1">
      <c r="A2" s="2" t="inlineStr">
        <is>
          <t>Sample Auto Components Pvt Ltd | Work down this list before year end  |  Run hash: 7730531e62591f0e</t>
        </is>
      </c>
    </row>
    <row r="3" ht="32" customHeight="1">
      <c r="A3" s="3" t="inlineStr">
        <is>
          <t>Priority is ranked by estimated tax saved at 25.17%. Basis recorded by the firm: Illustrative rate only: 22% base × 10% surcharge × 4% cess = approximately 25.17%. This is used only to rank Action List savings and must be replaced with the client-specific applicable tax rate before professional use. Because one tax rate applies throughout, this is the same descending order as disallowance avoided. Update contact details before circulation.</t>
        </is>
      </c>
    </row>
    <row r="5" ht="30" customHeight="1">
      <c r="A5" s="4" t="inlineStr">
        <is>
          <t>Vendor</t>
        </is>
      </c>
      <c r="B5" s="4" t="inlineStr">
        <is>
          <t>Contact</t>
        </is>
      </c>
      <c r="C5" s="4" t="inlineStr">
        <is>
          <t>No. of invoices</t>
        </is>
      </c>
      <c r="D5" s="4" t="inlineStr">
        <is>
          <t>Pay by date</t>
        </is>
      </c>
      <c r="E5" s="4" t="inlineStr">
        <is>
          <t>Amount to pay</t>
        </is>
      </c>
      <c r="F5" s="4" t="inlineStr">
        <is>
          <t>Disallowance avoided</t>
        </is>
      </c>
      <c r="G5" s="4" t="inlineStr">
        <is>
          <t>Interest avoided</t>
        </is>
      </c>
      <c r="H5" s="4" t="inlineStr">
        <is>
          <t>Running cumulative total</t>
        </is>
      </c>
      <c r="I5" s="4" t="inlineStr">
        <is>
          <t>Estimated tax saved</t>
        </is>
      </c>
    </row>
    <row r="6">
      <c r="A6" s="5" t="inlineStr">
        <is>
          <t>Deccan Rubber Products</t>
        </is>
      </c>
      <c r="B6" s="5" t="inlineStr"/>
      <c r="C6" s="6" t="n">
        <v>1</v>
      </c>
      <c r="D6" s="7" t="n">
        <v>46072</v>
      </c>
      <c r="E6" s="8" t="n">
        <v>285000</v>
      </c>
      <c r="F6" s="8" t="n">
        <v>285000</v>
      </c>
      <c r="G6" s="8" t="n">
        <v>5355.43</v>
      </c>
      <c r="H6" s="8">
        <f>SUM($E$6:E6)</f>
        <v/>
      </c>
      <c r="I6" s="8">
        <f>F6*0.2517</f>
        <v/>
      </c>
    </row>
    <row r="7">
      <c r="A7" s="9" t="inlineStr">
        <is>
          <t>Sinha Fabrication</t>
        </is>
      </c>
      <c r="B7" s="9" t="inlineStr"/>
      <c r="C7" s="10" t="n">
        <v>1</v>
      </c>
      <c r="D7" s="11" t="n">
        <v>46045</v>
      </c>
      <c r="E7" s="12" t="n">
        <v>143664</v>
      </c>
      <c r="F7" s="12" t="n">
        <v>143664</v>
      </c>
      <c r="G7" s="12" t="n">
        <v>4445.12</v>
      </c>
      <c r="H7" s="12">
        <f>SUM($E$6:E7)</f>
        <v/>
      </c>
      <c r="I7" s="12">
        <f>F7*0.2517</f>
        <v/>
      </c>
    </row>
    <row r="8">
      <c r="A8" s="5" t="inlineStr">
        <is>
          <t>Verma Logistics Services</t>
        </is>
      </c>
      <c r="B8" s="5" t="inlineStr"/>
      <c r="C8" s="6" t="n">
        <v>1</v>
      </c>
      <c r="D8" s="7" t="n">
        <v>45948</v>
      </c>
      <c r="E8" s="8" t="n">
        <v>138761</v>
      </c>
      <c r="F8" s="8" t="n">
        <v>138761</v>
      </c>
      <c r="G8" s="8" t="n">
        <v>10795.96</v>
      </c>
      <c r="H8" s="8">
        <f>SUM($E$6:E8)</f>
        <v/>
      </c>
      <c r="I8" s="8">
        <f>F8*0.2517</f>
        <v/>
      </c>
    </row>
    <row r="9">
      <c r="A9" s="9" t="inlineStr">
        <is>
          <t>Sharma Industries</t>
        </is>
      </c>
      <c r="B9" s="9" t="inlineStr"/>
      <c r="C9" s="10" t="n">
        <v>2</v>
      </c>
      <c r="D9" s="11" t="n">
        <v>45901</v>
      </c>
      <c r="E9" s="12" t="n">
        <v>138000</v>
      </c>
      <c r="F9" s="12" t="n">
        <v>138000</v>
      </c>
      <c r="G9" s="12" t="n">
        <v>10617.96</v>
      </c>
      <c r="H9" s="12">
        <f>SUM($E$6:E9)</f>
        <v/>
      </c>
      <c r="I9" s="12">
        <f>F9*0.2517</f>
        <v/>
      </c>
    </row>
    <row r="10">
      <c r="A10" s="5" t="inlineStr">
        <is>
          <t>Sharma Consultancy Services</t>
        </is>
      </c>
      <c r="B10" s="5" t="inlineStr"/>
      <c r="C10" s="6" t="n">
        <v>1</v>
      </c>
      <c r="D10" s="7" t="n">
        <v>45865</v>
      </c>
      <c r="E10" s="8" t="n">
        <v>105848</v>
      </c>
      <c r="F10" s="8" t="n">
        <v>105848</v>
      </c>
      <c r="G10" s="8" t="n">
        <v>12963.65</v>
      </c>
      <c r="H10" s="8">
        <f>SUM($E$6:E10)</f>
        <v/>
      </c>
      <c r="I10" s="8">
        <f>F10*0.2517</f>
        <v/>
      </c>
    </row>
    <row r="11">
      <c r="A11" s="9" t="inlineStr">
        <is>
          <t>Sharma Springs</t>
        </is>
      </c>
      <c r="B11" s="9" t="inlineStr"/>
      <c r="C11" s="10" t="n">
        <v>1</v>
      </c>
      <c r="D11" s="11" t="n">
        <v>45957</v>
      </c>
      <c r="E11" s="12" t="n">
        <v>97460</v>
      </c>
      <c r="F11" s="12" t="n">
        <v>97460</v>
      </c>
      <c r="G11" s="12" t="n">
        <v>7157.58</v>
      </c>
      <c r="H11" s="12">
        <f>SUM($E$6:E11)</f>
        <v/>
      </c>
      <c r="I11" s="12">
        <f>F11*0.2517</f>
        <v/>
      </c>
    </row>
    <row r="12">
      <c r="A12" s="5" t="inlineStr">
        <is>
          <t>Chauhan Auto Components</t>
        </is>
      </c>
      <c r="B12" s="5" t="inlineStr"/>
      <c r="C12" s="6" t="n">
        <v>1</v>
      </c>
      <c r="D12" s="7" t="n">
        <v>45993</v>
      </c>
      <c r="E12" s="8" t="n">
        <v>96931</v>
      </c>
      <c r="F12" s="8" t="n">
        <v>96931</v>
      </c>
      <c r="G12" s="8" t="n">
        <v>5394.9</v>
      </c>
      <c r="H12" s="8">
        <f>SUM($E$6:E12)</f>
        <v/>
      </c>
      <c r="I12" s="8">
        <f>F12*0.2517</f>
        <v/>
      </c>
    </row>
    <row r="13">
      <c r="A13" s="9" t="inlineStr">
        <is>
          <t>Bhatt Calibration Labs</t>
        </is>
      </c>
      <c r="B13" s="9" t="inlineStr"/>
      <c r="C13" s="10" t="n">
        <v>1</v>
      </c>
      <c r="D13" s="11" t="n">
        <v>45873</v>
      </c>
      <c r="E13" s="12" t="n">
        <v>95608</v>
      </c>
      <c r="F13" s="12" t="n">
        <v>95608</v>
      </c>
      <c r="G13" s="12" t="n">
        <v>11221.37</v>
      </c>
      <c r="H13" s="12">
        <f>SUM($E$6:E13)</f>
        <v/>
      </c>
      <c r="I13" s="12">
        <f>F13*0.2517</f>
        <v/>
      </c>
    </row>
    <row r="14">
      <c r="A14" s="5" t="inlineStr">
        <is>
          <t>Verma Engineering</t>
        </is>
      </c>
      <c r="B14" s="5" t="inlineStr"/>
      <c r="C14" s="6" t="n">
        <v>1</v>
      </c>
      <c r="D14" s="7" t="n">
        <v>45977</v>
      </c>
      <c r="E14" s="8" t="n">
        <v>93978</v>
      </c>
      <c r="F14" s="8" t="n">
        <v>93978</v>
      </c>
      <c r="G14" s="8" t="n">
        <v>5966.11</v>
      </c>
      <c r="H14" s="8">
        <f>SUM($E$6:E14)</f>
        <v/>
      </c>
      <c r="I14" s="8">
        <f>F14*0.2517</f>
        <v/>
      </c>
    </row>
    <row r="15">
      <c r="A15" s="9" t="inlineStr">
        <is>
          <t>Gupta Design Studio</t>
        </is>
      </c>
      <c r="B15" s="9" t="inlineStr"/>
      <c r="C15" s="10" t="n">
        <v>1</v>
      </c>
      <c r="D15" s="11" t="n">
        <v>45903</v>
      </c>
      <c r="E15" s="12" t="n">
        <v>91663</v>
      </c>
      <c r="F15" s="12" t="n">
        <v>91663</v>
      </c>
      <c r="G15" s="12" t="n">
        <v>9352.059999999999</v>
      </c>
      <c r="H15" s="12">
        <f>SUM($E$6:E15)</f>
        <v/>
      </c>
      <c r="I15" s="12">
        <f>F15*0.2517</f>
        <v/>
      </c>
    </row>
    <row r="16">
      <c r="A16" s="5" t="inlineStr">
        <is>
          <t>Patel Precision Works</t>
        </is>
      </c>
      <c r="B16" s="5" t="inlineStr"/>
      <c r="C16" s="6" t="n">
        <v>1</v>
      </c>
      <c r="D16" s="7" t="n">
        <v>45835</v>
      </c>
      <c r="E16" s="8" t="n">
        <v>91154</v>
      </c>
      <c r="F16" s="8" t="n">
        <v>91154</v>
      </c>
      <c r="G16" s="8" t="n">
        <v>12698.79</v>
      </c>
      <c r="H16" s="8">
        <f>SUM($E$6:E16)</f>
        <v/>
      </c>
      <c r="I16" s="8">
        <f>F16*0.2517</f>
        <v/>
      </c>
    </row>
    <row r="17">
      <c r="A17" s="9" t="inlineStr">
        <is>
          <t>Nair Fabrication</t>
        </is>
      </c>
      <c r="B17" s="9" t="inlineStr"/>
      <c r="C17" s="10" t="n">
        <v>1</v>
      </c>
      <c r="D17" s="11" t="n">
        <v>46084</v>
      </c>
      <c r="E17" s="12" t="n">
        <v>90527</v>
      </c>
      <c r="F17" s="12" t="n">
        <v>90527</v>
      </c>
      <c r="G17" s="12" t="n">
        <v>1104.93</v>
      </c>
      <c r="H17" s="12">
        <f>SUM($E$6:E17)</f>
        <v/>
      </c>
      <c r="I17" s="12">
        <f>F17*0.2517</f>
        <v/>
      </c>
    </row>
    <row r="18">
      <c r="A18" s="5" t="inlineStr">
        <is>
          <t>Kapoor Tooling</t>
        </is>
      </c>
      <c r="B18" s="5" t="inlineStr"/>
      <c r="C18" s="6" t="n">
        <v>1</v>
      </c>
      <c r="D18" s="7" t="n">
        <v>46105</v>
      </c>
      <c r="E18" s="8" t="n">
        <v>82924</v>
      </c>
      <c r="F18" s="8" t="n">
        <v>82924</v>
      </c>
      <c r="G18" s="8" t="n">
        <v>224.92</v>
      </c>
      <c r="H18" s="8">
        <f>SUM($E$6:E18)</f>
        <v/>
      </c>
      <c r="I18" s="8">
        <f>F18*0.2517</f>
        <v/>
      </c>
    </row>
    <row r="19">
      <c r="A19" s="9" t="inlineStr">
        <is>
          <t>Joshi Springs</t>
        </is>
      </c>
      <c r="B19" s="9" t="inlineStr"/>
      <c r="C19" s="10" t="n">
        <v>1</v>
      </c>
      <c r="D19" s="11" t="n">
        <v>45933</v>
      </c>
      <c r="E19" s="12" t="n">
        <v>81324</v>
      </c>
      <c r="F19" s="12" t="n">
        <v>81324</v>
      </c>
      <c r="G19" s="12" t="n">
        <v>6972.76</v>
      </c>
      <c r="H19" s="12">
        <f>SUM($E$6:E19)</f>
        <v/>
      </c>
      <c r="I19" s="12">
        <f>F19*0.2517</f>
        <v/>
      </c>
    </row>
    <row r="20">
      <c r="A20" s="5" t="inlineStr">
        <is>
          <t>Rao Electricals</t>
        </is>
      </c>
      <c r="B20" s="5" t="inlineStr"/>
      <c r="C20" s="6" t="n">
        <v>1</v>
      </c>
      <c r="D20" s="7" t="n">
        <v>45977</v>
      </c>
      <c r="E20" s="8" t="n">
        <v>76491</v>
      </c>
      <c r="F20" s="8" t="n">
        <v>76491</v>
      </c>
      <c r="G20" s="8" t="n">
        <v>4855.97</v>
      </c>
      <c r="H20" s="8">
        <f>SUM($E$6:E20)</f>
        <v/>
      </c>
      <c r="I20" s="8">
        <f>F20*0.2517</f>
        <v/>
      </c>
    </row>
    <row r="21">
      <c r="A21" s="9" t="inlineStr">
        <is>
          <t>Patel Rubber Products</t>
        </is>
      </c>
      <c r="B21" s="9" t="inlineStr"/>
      <c r="C21" s="10" t="n">
        <v>1</v>
      </c>
      <c r="D21" s="11" t="n">
        <v>46044</v>
      </c>
      <c r="E21" s="12" t="n">
        <v>66500</v>
      </c>
      <c r="F21" s="12" t="n">
        <v>66500</v>
      </c>
      <c r="G21" s="12" t="n">
        <v>2088.47</v>
      </c>
      <c r="H21" s="12">
        <f>SUM($E$6:E21)</f>
        <v/>
      </c>
      <c r="I21" s="12">
        <f>F21*0.2517</f>
        <v/>
      </c>
    </row>
    <row r="22">
      <c r="A22" s="5" t="inlineStr">
        <is>
          <t>Desai Engineering</t>
        </is>
      </c>
      <c r="B22" s="5" t="inlineStr"/>
      <c r="C22" s="6" t="n">
        <v>1</v>
      </c>
      <c r="D22" s="7" t="n">
        <v>46088</v>
      </c>
      <c r="E22" s="8" t="n">
        <v>65914</v>
      </c>
      <c r="F22" s="8" t="n">
        <v>65914</v>
      </c>
      <c r="G22" s="8" t="n">
        <v>685.33</v>
      </c>
      <c r="H22" s="8">
        <f>SUM($E$6:E22)</f>
        <v/>
      </c>
      <c r="I22" s="8">
        <f>F22*0.2517</f>
        <v/>
      </c>
    </row>
    <row r="23">
      <c r="A23" s="9" t="inlineStr">
        <is>
          <t>Bose Castings</t>
        </is>
      </c>
      <c r="B23" s="9" t="inlineStr"/>
      <c r="C23" s="10" t="n">
        <v>1</v>
      </c>
      <c r="D23" s="11" t="n">
        <v>46040</v>
      </c>
      <c r="E23" s="12" t="n">
        <v>64749</v>
      </c>
      <c r="F23" s="12" t="n">
        <v>64749</v>
      </c>
      <c r="G23" s="12" t="n">
        <v>2153.81</v>
      </c>
      <c r="H23" s="12">
        <f>SUM($E$6:E23)</f>
        <v/>
      </c>
      <c r="I23" s="12">
        <f>F23*0.2517</f>
        <v/>
      </c>
    </row>
    <row r="24">
      <c r="A24" s="5" t="inlineStr">
        <is>
          <t>Pillai Polymers</t>
        </is>
      </c>
      <c r="B24" s="5" t="inlineStr"/>
      <c r="C24" s="6" t="n">
        <v>1</v>
      </c>
      <c r="D24" s="7" t="n">
        <v>46061</v>
      </c>
      <c r="E24" s="8" t="n">
        <v>64119</v>
      </c>
      <c r="F24" s="8" t="n">
        <v>64119</v>
      </c>
      <c r="G24" s="8" t="n">
        <v>1528.08</v>
      </c>
      <c r="H24" s="8">
        <f>SUM($E$6:E24)</f>
        <v/>
      </c>
      <c r="I24" s="8">
        <f>F24*0.2517</f>
        <v/>
      </c>
    </row>
    <row r="25">
      <c r="A25" s="9" t="inlineStr">
        <is>
          <t>Iyer Polymers</t>
        </is>
      </c>
      <c r="B25" s="9" t="inlineStr"/>
      <c r="C25" s="10" t="n">
        <v>1</v>
      </c>
      <c r="D25" s="11" t="n">
        <v>45960</v>
      </c>
      <c r="E25" s="12" t="n">
        <v>54419</v>
      </c>
      <c r="F25" s="12" t="n">
        <v>54419</v>
      </c>
      <c r="G25" s="12" t="n">
        <v>3996.6</v>
      </c>
      <c r="H25" s="12">
        <f>SUM($E$6:E25)</f>
        <v/>
      </c>
      <c r="I25" s="12">
        <f>F25*0.2517</f>
        <v/>
      </c>
    </row>
    <row r="26">
      <c r="A26" s="5" t="inlineStr">
        <is>
          <t>Reddy Auto Components</t>
        </is>
      </c>
      <c r="B26" s="5" t="inlineStr"/>
      <c r="C26" s="6" t="n">
        <v>1</v>
      </c>
      <c r="D26" s="7" t="n">
        <v>45880</v>
      </c>
      <c r="E26" s="8" t="n">
        <v>53860</v>
      </c>
      <c r="F26" s="8" t="n">
        <v>53860</v>
      </c>
      <c r="G26" s="8" t="n">
        <v>6133.25</v>
      </c>
      <c r="H26" s="8">
        <f>SUM($E$6:E26)</f>
        <v/>
      </c>
      <c r="I26" s="8">
        <f>F26*0.2517</f>
        <v/>
      </c>
    </row>
    <row r="27">
      <c r="A27" s="9" t="inlineStr">
        <is>
          <t>Shah Industries</t>
        </is>
      </c>
      <c r="B27" s="9" t="inlineStr"/>
      <c r="C27" s="10" t="n">
        <v>1</v>
      </c>
      <c r="D27" s="11" t="n">
        <v>45873</v>
      </c>
      <c r="E27" s="12" t="n">
        <v>51861</v>
      </c>
      <c r="F27" s="12" t="n">
        <v>51861</v>
      </c>
      <c r="G27" s="12" t="n">
        <v>6086.85</v>
      </c>
      <c r="H27" s="12">
        <f>SUM($E$6:E27)</f>
        <v/>
      </c>
      <c r="I27" s="12">
        <f>F27*0.2517</f>
        <v/>
      </c>
    </row>
    <row r="28">
      <c r="A28" s="5" t="inlineStr">
        <is>
          <t>Malhotra Castings</t>
        </is>
      </c>
      <c r="B28" s="5" t="inlineStr"/>
      <c r="C28" s="6" t="n">
        <v>1</v>
      </c>
      <c r="D28" s="7" t="n">
        <v>45941</v>
      </c>
      <c r="E28" s="8" t="n">
        <v>45867</v>
      </c>
      <c r="F28" s="8" t="n">
        <v>45867</v>
      </c>
      <c r="G28" s="8" t="n">
        <v>3724.16</v>
      </c>
      <c r="H28" s="8">
        <f>SUM($E$6:E28)</f>
        <v/>
      </c>
      <c r="I28" s="8">
        <f>F28*0.2517</f>
        <v/>
      </c>
    </row>
    <row r="29">
      <c r="A29" s="9" t="inlineStr">
        <is>
          <t>Kulkarni Rubber Products</t>
        </is>
      </c>
      <c r="B29" s="9" t="inlineStr"/>
      <c r="C29" s="10" t="n">
        <v>1</v>
      </c>
      <c r="D29" s="11" t="n">
        <v>45917</v>
      </c>
      <c r="E29" s="12" t="n">
        <v>45609</v>
      </c>
      <c r="F29" s="12" t="n">
        <v>45609</v>
      </c>
      <c r="G29" s="12" t="n">
        <v>4308.29</v>
      </c>
      <c r="H29" s="12">
        <f>SUM($E$6:E29)</f>
        <v/>
      </c>
      <c r="I29" s="12">
        <f>F29*0.2517</f>
        <v/>
      </c>
    </row>
    <row r="30">
      <c r="A30" s="5" t="inlineStr">
        <is>
          <t>Mehta Fasteners</t>
        </is>
      </c>
      <c r="B30" s="5" t="inlineStr"/>
      <c r="C30" s="6" t="n">
        <v>1</v>
      </c>
      <c r="D30" s="7" t="n">
        <v>45955</v>
      </c>
      <c r="E30" s="8" t="n">
        <v>40769</v>
      </c>
      <c r="F30" s="8" t="n">
        <v>40769</v>
      </c>
      <c r="G30" s="8" t="n">
        <v>3033.64</v>
      </c>
      <c r="H30" s="8">
        <f>SUM($E$6:E30)</f>
        <v/>
      </c>
      <c r="I30" s="8">
        <f>F30*0.2517</f>
        <v/>
      </c>
    </row>
  </sheetData>
  <autoFilter ref="A5:I30"/>
  <mergeCells count="3">
    <mergeCell ref="A1:I1"/>
    <mergeCell ref="A3:I3"/>
    <mergeCell ref="A2:I2"/>
  </mergeCells>
  <conditionalFormatting sqref="B6:B30">
    <cfRule type="expression" priority="1" dxfId="0">
      <formula>LEN(B6)=0</formula>
    </cfRule>
  </conditionalFormatting>
  <pageMargins left="0.25" right="0.25" top="0.5" bottom="0.5" header="0.5" footer="0.5"/>
  <pageSetup orientation="landscape" paperSize="9" fitToHeight="0" fitToWidth="1"/>
  <headerFooter>
    <oddHeader>&amp;C&amp;B31 March Action List</oddHeader>
    <oddFooter>&amp;LRun hash: 7730531e62591f0e&amp;RPage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45-Day Clock</dc:creator>
  <dc:title xmlns:dc="http://purl.org/dc/elements/1.1/">31 March Action List</dc:title>
  <dc:description xmlns:dc="http://purl.org/dc/elements/1.1/">Reproducible output using rule pack 2026.08.1. Run hash 7730531e62591f0e.</dc:description>
  <dc:subject xmlns:dc="http://purl.org/dc/elements/1.1/">Sample Auto Components Pvt Ltd - FY 2025-26 - Run 7730531e62591f0e</dc:subject>
  <dcterms:created xmlns:dcterms="http://purl.org/dc/terms/" xmlns:xsi="http://www.w3.org/2001/XMLSchema-instance" xsi:type="dcterms:W3CDTF">2026-08-16T18:05:45Z</dcterms:created>
  <dcterms:modified xmlns:dcterms="http://purl.org/dc/terms/" xmlns:xsi="http://www.w3.org/2001/XMLSchema-instance" xsi:type="dcterms:W3CDTF">2026-08-16T18:05:45Z</dcterms:modified>
</cp:coreProperties>
</file>