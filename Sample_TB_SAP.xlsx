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B FY2025-26" sheetId="1" state="visible" r:id="rId3"/>
    <sheet name="TB Apr-Sep 2026" sheetId="2" state="visible" r:id="rId4"/>
    <sheet name="Not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<sst xmlns="http://schemas.openxmlformats.org/spreadsheetml/2006/main" count="105" uniqueCount="60">
  <si>
    <t xml:space="preserve">Trial Balance</t>
  </si>
  <si>
    <t xml:space="preserve">Company Code: 1000    Currency: INR    Ledger: 0L (Leading Ledger)</t>
  </si>
  <si>
    <t xml:space="preserve">Fiscal Year: 2025    Report Periods: 1 - 12  (01.04.2025 - 31.03.2026)</t>
  </si>
  <si>
    <t xml:space="preserve">G/L Account</t>
  </si>
  <si>
    <t xml:space="preserve">G/L Account Name</t>
  </si>
  <si>
    <t xml:space="preserve">Balance Carried Forward</t>
  </si>
  <si>
    <t xml:space="preserve">Debit (Report Period)</t>
  </si>
  <si>
    <t xml:space="preserve">Credit (Report Period)</t>
  </si>
  <si>
    <t xml:space="preserve">Balance (Report Period)</t>
  </si>
  <si>
    <t xml:space="preserve">Cumulative Balance</t>
  </si>
  <si>
    <t xml:space="preserve">100100</t>
  </si>
  <si>
    <t xml:space="preserve">Land and Building</t>
  </si>
  <si>
    <t xml:space="preserve">100200</t>
  </si>
  <si>
    <t xml:space="preserve">Plant and Machinery</t>
  </si>
  <si>
    <t xml:space="preserve">113001</t>
  </si>
  <si>
    <t xml:space="preserve">Cash in Hand</t>
  </si>
  <si>
    <t xml:space="preserve">113100</t>
  </si>
  <si>
    <t xml:space="preserve">HDFC Bank - Current A/c</t>
  </si>
  <si>
    <t xml:space="preserve">120000</t>
  </si>
  <si>
    <t xml:space="preserve">Inventory - Raw Material</t>
  </si>
  <si>
    <t xml:space="preserve">140000</t>
  </si>
  <si>
    <t xml:space="preserve">Trade Receivables</t>
  </si>
  <si>
    <t xml:space="preserve">154100</t>
  </si>
  <si>
    <t xml:space="preserve">Input GST Receivable</t>
  </si>
  <si>
    <t xml:space="preserve">160100</t>
  </si>
  <si>
    <t xml:space="preserve">Accumulated Depreciation</t>
  </si>
  <si>
    <t xml:space="preserve">210000</t>
  </si>
  <si>
    <t xml:space="preserve">Trade Payables</t>
  </si>
  <si>
    <t xml:space="preserve">215100</t>
  </si>
  <si>
    <t xml:space="preserve">Output GST Payable</t>
  </si>
  <si>
    <t xml:space="preserve">300000</t>
  </si>
  <si>
    <t xml:space="preserve">Retained Earnings</t>
  </si>
  <si>
    <t xml:space="preserve">300100</t>
  </si>
  <si>
    <t xml:space="preserve">Equity Share Capital</t>
  </si>
  <si>
    <t xml:space="preserve">400000</t>
  </si>
  <si>
    <t xml:space="preserve">Sales - Domestic</t>
  </si>
  <si>
    <t xml:space="preserve">500100</t>
  </si>
  <si>
    <t xml:space="preserve">Purchases - Raw Material</t>
  </si>
  <si>
    <t xml:space="preserve">630100</t>
  </si>
  <si>
    <t xml:space="preserve">Electricity Charges</t>
  </si>
  <si>
    <t xml:space="preserve">630200</t>
  </si>
  <si>
    <t xml:space="preserve">Telephone and Internet</t>
  </si>
  <si>
    <t xml:space="preserve">650100</t>
  </si>
  <si>
    <t xml:space="preserve">Travelling Expenses</t>
  </si>
  <si>
    <t xml:space="preserve">660100</t>
  </si>
  <si>
    <t xml:space="preserve">Professional Fees</t>
  </si>
  <si>
    <t xml:space="preserve">690100</t>
  </si>
  <si>
    <t xml:space="preserve">Depreciation Expense</t>
  </si>
  <si>
    <t xml:space="preserve">Total</t>
  </si>
  <si>
    <t xml:space="preserve">Sign convention: debit balances positive, credit balances shown with trailing minus (as in SAP). Opening balances of balance sheet accounts are assumed for illustration.</t>
  </si>
  <si>
    <t xml:space="preserve">Fiscal Year: 2026    Report Periods: 1 - 6  (01.04.2026 - 30.09.2026)</t>
  </si>
  <si>
    <t xml:space="preserve">620100</t>
  </si>
  <si>
    <t xml:space="preserve">Salaries and Wages</t>
  </si>
  <si>
    <t xml:space="preserve">Assumptions and basis of preparation</t>
  </si>
  <si>
    <t xml:space="preserve">1. Debit and credit columns are summed from Sample_Day_Book_SAP.xlsx (G/L account level, incl. reconciliation accounts 140000 and 210000).</t>
  </si>
  <si>
    <t xml:space="preserve">2. FY2025-26 opening balances of balance sheet accounts are ASSUMED (the day book has none). They are sized so that bank, cash, debtors and GST accounts do not go to an abnormal sign.</t>
  </si>
  <si>
    <t xml:space="preserve">3. Retained Earnings (300000) is the balancing figure of the assumed opening balances, so the opening trial balance nets to zero.</t>
  </si>
  <si>
    <t xml:space="preserve">4. FY2026-27 opening = FY2025-26 closing for balance sheet accounts. Profit and loss accounts (4xxxxx-6xxxxx) start at zero and their FY2025-26 net result is carried forward into Retained Earnings, as SAP's balance carry-forward does.</t>
  </si>
  <si>
    <t xml:space="preserve">5. Second sheet covers only periods 1-6 of FY2026-27 (April-September 2026).</t>
  </si>
  <si>
    <t xml:space="preserve">6. Sign convention: debit positive, credit negative (shown with trailing minus).</t>
  </si>
</sst>
</file>

<file path=xl/styles.xml><?xml version="1.0" encoding="utf-8"?>
<styleSheet xmlns="http://schemas.openxmlformats.org/spreadsheetml/2006/main">
  <numFmts count="2">
    <numFmt numFmtId="164" formatCode="General"/>
    <numFmt numFmtId="165" formatCode="#,##0.00;#,##0.00\-"/>
  </numFmts>
  <fonts count="8">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i val="true"/>
      <sz val="9"/>
      <name val="Arial"/>
      <family val="0"/>
      <charset val="1"/>
    </font>
  </fonts>
  <fills count="3">
    <fill>
      <patternFill patternType="none"/>
    </fill>
    <fill>
      <patternFill patternType="gray125"/>
    </fill>
    <fill>
      <patternFill patternType="solid">
        <fgColor rgb="FFD9E1F2"/>
        <bgColor rgb="FFCCFFFF"/>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medium"/>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2"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34"/>
    <col collapsed="false" customWidth="true" hidden="false" outlineLevel="0" max="7" min="3" style="0" width="2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31.5" hidden="false" customHeight="true" outlineLevel="0" collapsed="false">
      <c r="A5" s="3" t="s">
        <v>3</v>
      </c>
      <c r="B5" s="3" t="s">
        <v>4</v>
      </c>
      <c r="C5" s="3" t="s">
        <v>5</v>
      </c>
      <c r="D5" s="3" t="s">
        <v>6</v>
      </c>
      <c r="E5" s="3" t="s">
        <v>7</v>
      </c>
      <c r="F5" s="3" t="s">
        <v>8</v>
      </c>
      <c r="G5" s="3" t="s">
        <v>9</v>
      </c>
    </row>
    <row r="6" customFormat="false" ht="15" hidden="false" customHeight="false" outlineLevel="0" collapsed="false">
      <c r="A6" s="4" t="s">
        <v>10</v>
      </c>
      <c r="B6" s="5" t="s">
        <v>11</v>
      </c>
      <c r="C6" s="6" t="n">
        <v>25000000</v>
      </c>
      <c r="D6" s="6" t="n">
        <v>0</v>
      </c>
      <c r="E6" s="6" t="n">
        <v>0</v>
      </c>
      <c r="F6" s="6" t="n">
        <f aca="false">D6-E6</f>
        <v>0</v>
      </c>
      <c r="G6" s="6" t="n">
        <f aca="false">C6+F6</f>
        <v>25000000</v>
      </c>
    </row>
    <row r="7" customFormat="false" ht="15" hidden="false" customHeight="false" outlineLevel="0" collapsed="false">
      <c r="A7" s="4" t="s">
        <v>12</v>
      </c>
      <c r="B7" s="5" t="s">
        <v>13</v>
      </c>
      <c r="C7" s="6" t="n">
        <v>12000000</v>
      </c>
      <c r="D7" s="6" t="n">
        <v>0</v>
      </c>
      <c r="E7" s="6" t="n">
        <v>0</v>
      </c>
      <c r="F7" s="6" t="n">
        <f aca="false">D7-E7</f>
        <v>0</v>
      </c>
      <c r="G7" s="6" t="n">
        <f aca="false">C7+F7</f>
        <v>12000000</v>
      </c>
    </row>
    <row r="8" customFormat="false" ht="15" hidden="false" customHeight="false" outlineLevel="0" collapsed="false">
      <c r="A8" s="4" t="s">
        <v>14</v>
      </c>
      <c r="B8" s="5" t="s">
        <v>15</v>
      </c>
      <c r="C8" s="6" t="n">
        <v>300000</v>
      </c>
      <c r="D8" s="6" t="n">
        <v>330000</v>
      </c>
      <c r="E8" s="6" t="n">
        <v>344000</v>
      </c>
      <c r="F8" s="6" t="n">
        <f aca="false">D8-E8</f>
        <v>-14000</v>
      </c>
      <c r="G8" s="6" t="n">
        <f aca="false">C8+F8</f>
        <v>286000</v>
      </c>
    </row>
    <row r="9" customFormat="false" ht="15" hidden="false" customHeight="false" outlineLevel="0" collapsed="false">
      <c r="A9" s="4" t="s">
        <v>16</v>
      </c>
      <c r="B9" s="5" t="s">
        <v>17</v>
      </c>
      <c r="C9" s="6" t="n">
        <v>500000</v>
      </c>
      <c r="D9" s="6" t="n">
        <v>3894000</v>
      </c>
      <c r="E9" s="6" t="n">
        <v>1671000</v>
      </c>
      <c r="F9" s="6" t="n">
        <f aca="false">D9-E9</f>
        <v>2223000</v>
      </c>
      <c r="G9" s="6" t="n">
        <f aca="false">C9+F9</f>
        <v>2723000</v>
      </c>
    </row>
    <row r="10" customFormat="false" ht="15" hidden="false" customHeight="false" outlineLevel="0" collapsed="false">
      <c r="A10" s="4" t="s">
        <v>18</v>
      </c>
      <c r="B10" s="5" t="s">
        <v>19</v>
      </c>
      <c r="C10" s="6" t="n">
        <v>6000000</v>
      </c>
      <c r="D10" s="6" t="n">
        <v>0</v>
      </c>
      <c r="E10" s="6" t="n">
        <v>0</v>
      </c>
      <c r="F10" s="6" t="n">
        <f aca="false">D10-E10</f>
        <v>0</v>
      </c>
      <c r="G10" s="6" t="n">
        <f aca="false">C10+F10</f>
        <v>6000000</v>
      </c>
    </row>
    <row r="11" customFormat="false" ht="15" hidden="false" customHeight="false" outlineLevel="0" collapsed="false">
      <c r="A11" s="4" t="s">
        <v>20</v>
      </c>
      <c r="B11" s="5" t="s">
        <v>21</v>
      </c>
      <c r="C11" s="6" t="n">
        <v>1000000</v>
      </c>
      <c r="D11" s="6" t="n">
        <v>3896714</v>
      </c>
      <c r="E11" s="6" t="n">
        <v>3894000</v>
      </c>
      <c r="F11" s="6" t="n">
        <f aca="false">D11-E11</f>
        <v>2714</v>
      </c>
      <c r="G11" s="6" t="n">
        <f aca="false">C11+F11</f>
        <v>1002714</v>
      </c>
    </row>
    <row r="12" customFormat="false" ht="15" hidden="false" customHeight="false" outlineLevel="0" collapsed="false">
      <c r="A12" s="4" t="s">
        <v>22</v>
      </c>
      <c r="B12" s="5" t="s">
        <v>23</v>
      </c>
      <c r="C12" s="6" t="n">
        <v>100000</v>
      </c>
      <c r="D12" s="6" t="n">
        <v>336258</v>
      </c>
      <c r="E12" s="6" t="n">
        <v>0</v>
      </c>
      <c r="F12" s="6" t="n">
        <f aca="false">D12-E12</f>
        <v>336258</v>
      </c>
      <c r="G12" s="6" t="n">
        <f aca="false">C12+F12</f>
        <v>436258</v>
      </c>
    </row>
    <row r="13" customFormat="false" ht="15" hidden="false" customHeight="false" outlineLevel="0" collapsed="false">
      <c r="A13" s="4" t="s">
        <v>24</v>
      </c>
      <c r="B13" s="5" t="s">
        <v>25</v>
      </c>
      <c r="C13" s="6" t="n">
        <v>-4000000</v>
      </c>
      <c r="D13" s="6" t="n">
        <v>0</v>
      </c>
      <c r="E13" s="6" t="n">
        <v>242500</v>
      </c>
      <c r="F13" s="6" t="n">
        <f aca="false">D13-E13</f>
        <v>-242500</v>
      </c>
      <c r="G13" s="6" t="n">
        <f aca="false">C13+F13</f>
        <v>-4242500</v>
      </c>
    </row>
    <row r="14" customFormat="false" ht="15" hidden="false" customHeight="false" outlineLevel="0" collapsed="false">
      <c r="A14" s="4" t="s">
        <v>26</v>
      </c>
      <c r="B14" s="5" t="s">
        <v>27</v>
      </c>
      <c r="C14" s="6" t="n">
        <v>-1000000</v>
      </c>
      <c r="D14" s="6" t="n">
        <v>1108000</v>
      </c>
      <c r="E14" s="6" t="n">
        <v>2204358</v>
      </c>
      <c r="F14" s="6" t="n">
        <f aca="false">D14-E14</f>
        <v>-1096358</v>
      </c>
      <c r="G14" s="6" t="n">
        <f aca="false">C14+F14</f>
        <v>-2096358</v>
      </c>
    </row>
    <row r="15" customFormat="false" ht="15" hidden="false" customHeight="false" outlineLevel="0" collapsed="false">
      <c r="A15" s="4" t="s">
        <v>28</v>
      </c>
      <c r="B15" s="5" t="s">
        <v>29</v>
      </c>
      <c r="C15" s="6" t="n">
        <v>-100000</v>
      </c>
      <c r="D15" s="6" t="n">
        <v>0</v>
      </c>
      <c r="E15" s="6" t="n">
        <v>594414</v>
      </c>
      <c r="F15" s="6" t="n">
        <f aca="false">D15-E15</f>
        <v>-594414</v>
      </c>
      <c r="G15" s="6" t="n">
        <f aca="false">C15+F15</f>
        <v>-694414</v>
      </c>
    </row>
    <row r="16" customFormat="false" ht="15" hidden="false" customHeight="false" outlineLevel="0" collapsed="false">
      <c r="A16" s="4" t="s">
        <v>30</v>
      </c>
      <c r="B16" s="5" t="s">
        <v>31</v>
      </c>
      <c r="C16" s="6" t="n">
        <v>-29800000</v>
      </c>
      <c r="D16" s="6" t="n">
        <v>0</v>
      </c>
      <c r="E16" s="6" t="n">
        <v>0</v>
      </c>
      <c r="F16" s="6" t="n">
        <f aca="false">D16-E16</f>
        <v>0</v>
      </c>
      <c r="G16" s="6" t="n">
        <f aca="false">C16+F16</f>
        <v>-29800000</v>
      </c>
    </row>
    <row r="17" customFormat="false" ht="15" hidden="false" customHeight="false" outlineLevel="0" collapsed="false">
      <c r="A17" s="4" t="s">
        <v>32</v>
      </c>
      <c r="B17" s="5" t="s">
        <v>33</v>
      </c>
      <c r="C17" s="6" t="n">
        <v>-10000000</v>
      </c>
      <c r="D17" s="6" t="n">
        <v>0</v>
      </c>
      <c r="E17" s="6" t="n">
        <v>0</v>
      </c>
      <c r="F17" s="6" t="n">
        <f aca="false">D17-E17</f>
        <v>0</v>
      </c>
      <c r="G17" s="6" t="n">
        <f aca="false">C17+F17</f>
        <v>-10000000</v>
      </c>
    </row>
    <row r="18" customFormat="false" ht="15" hidden="false" customHeight="false" outlineLevel="0" collapsed="false">
      <c r="A18" s="4" t="s">
        <v>34</v>
      </c>
      <c r="B18" s="5" t="s">
        <v>35</v>
      </c>
      <c r="C18" s="6" t="n">
        <v>0</v>
      </c>
      <c r="D18" s="6" t="n">
        <v>0</v>
      </c>
      <c r="E18" s="6" t="n">
        <v>3302300</v>
      </c>
      <c r="F18" s="6" t="n">
        <f aca="false">D18-E18</f>
        <v>-3302300</v>
      </c>
      <c r="G18" s="6" t="n">
        <f aca="false">C18+F18</f>
        <v>-3302300</v>
      </c>
    </row>
    <row r="19" customFormat="false" ht="15" hidden="false" customHeight="false" outlineLevel="0" collapsed="false">
      <c r="A19" s="4" t="s">
        <v>36</v>
      </c>
      <c r="B19" s="5" t="s">
        <v>37</v>
      </c>
      <c r="C19" s="6" t="n">
        <v>0</v>
      </c>
      <c r="D19" s="6" t="n">
        <v>1868100</v>
      </c>
      <c r="E19" s="6" t="n">
        <v>0</v>
      </c>
      <c r="F19" s="6" t="n">
        <f aca="false">D19-E19</f>
        <v>1868100</v>
      </c>
      <c r="G19" s="6" t="n">
        <f aca="false">C19+F19</f>
        <v>1868100</v>
      </c>
    </row>
    <row r="20" customFormat="false" ht="15" hidden="false" customHeight="false" outlineLevel="0" collapsed="false">
      <c r="A20" s="4" t="s">
        <v>38</v>
      </c>
      <c r="B20" s="5" t="s">
        <v>39</v>
      </c>
      <c r="C20" s="6" t="n">
        <v>0</v>
      </c>
      <c r="D20" s="6" t="n">
        <v>25500</v>
      </c>
      <c r="E20" s="6" t="n">
        <v>0</v>
      </c>
      <c r="F20" s="6" t="n">
        <f aca="false">D20-E20</f>
        <v>25500</v>
      </c>
      <c r="G20" s="6" t="n">
        <f aca="false">C20+F20</f>
        <v>25500</v>
      </c>
    </row>
    <row r="21" customFormat="false" ht="15" hidden="false" customHeight="false" outlineLevel="0" collapsed="false">
      <c r="A21" s="4" t="s">
        <v>40</v>
      </c>
      <c r="B21" s="5" t="s">
        <v>41</v>
      </c>
      <c r="C21" s="6" t="n">
        <v>0</v>
      </c>
      <c r="D21" s="6" t="n">
        <v>215000</v>
      </c>
      <c r="E21" s="6" t="n">
        <v>0</v>
      </c>
      <c r="F21" s="6" t="n">
        <f aca="false">D21-E21</f>
        <v>215000</v>
      </c>
      <c r="G21" s="6" t="n">
        <f aca="false">C21+F21</f>
        <v>215000</v>
      </c>
    </row>
    <row r="22" customFormat="false" ht="15" hidden="false" customHeight="false" outlineLevel="0" collapsed="false">
      <c r="A22" s="4" t="s">
        <v>42</v>
      </c>
      <c r="B22" s="5" t="s">
        <v>43</v>
      </c>
      <c r="C22" s="6" t="n">
        <v>0</v>
      </c>
      <c r="D22" s="6" t="n">
        <v>233000</v>
      </c>
      <c r="E22" s="6" t="n">
        <v>0</v>
      </c>
      <c r="F22" s="6" t="n">
        <f aca="false">D22-E22</f>
        <v>233000</v>
      </c>
      <c r="G22" s="6" t="n">
        <f aca="false">C22+F22</f>
        <v>233000</v>
      </c>
    </row>
    <row r="23" customFormat="false" ht="15" hidden="false" customHeight="false" outlineLevel="0" collapsed="false">
      <c r="A23" s="4" t="s">
        <v>44</v>
      </c>
      <c r="B23" s="5" t="s">
        <v>45</v>
      </c>
      <c r="C23" s="6" t="n">
        <v>0</v>
      </c>
      <c r="D23" s="6" t="n">
        <v>103500</v>
      </c>
      <c r="E23" s="6" t="n">
        <v>0</v>
      </c>
      <c r="F23" s="6" t="n">
        <f aca="false">D23-E23</f>
        <v>103500</v>
      </c>
      <c r="G23" s="6" t="n">
        <f aca="false">C23+F23</f>
        <v>103500</v>
      </c>
    </row>
    <row r="24" customFormat="false" ht="15" hidden="false" customHeight="false" outlineLevel="0" collapsed="false">
      <c r="A24" s="4" t="s">
        <v>46</v>
      </c>
      <c r="B24" s="5" t="s">
        <v>47</v>
      </c>
      <c r="C24" s="6" t="n">
        <v>0</v>
      </c>
      <c r="D24" s="6" t="n">
        <v>242500</v>
      </c>
      <c r="E24" s="6" t="n">
        <v>0</v>
      </c>
      <c r="F24" s="6" t="n">
        <f aca="false">D24-E24</f>
        <v>242500</v>
      </c>
      <c r="G24" s="6" t="n">
        <f aca="false">C24+F24</f>
        <v>242500</v>
      </c>
    </row>
    <row r="25" customFormat="false" ht="15" hidden="false" customHeight="false" outlineLevel="0" collapsed="false">
      <c r="B25" s="7" t="s">
        <v>48</v>
      </c>
      <c r="C25" s="8" t="n">
        <f aca="false">SUM(C6:C24)</f>
        <v>0</v>
      </c>
      <c r="D25" s="8" t="n">
        <f aca="false">SUM(D6:D24)</f>
        <v>12252572</v>
      </c>
      <c r="E25" s="8" t="n">
        <f aca="false">SUM(E6:E24)</f>
        <v>12252572</v>
      </c>
      <c r="F25" s="8" t="n">
        <f aca="false">SUM(F6:F24)</f>
        <v>0</v>
      </c>
      <c r="G25" s="8" t="n">
        <f aca="false">SUM(G6:G24)</f>
        <v>0</v>
      </c>
    </row>
    <row r="27" customFormat="false" ht="15" hidden="false" customHeight="false" outlineLevel="0" collapsed="false">
      <c r="A27" s="9"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34"/>
    <col collapsed="false" customWidth="true" hidden="false" outlineLevel="0" max="7" min="3" style="0" width="2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50</v>
      </c>
    </row>
    <row r="5" customFormat="false" ht="31.5" hidden="false" customHeight="true" outlineLevel="0" collapsed="false">
      <c r="A5" s="3" t="s">
        <v>3</v>
      </c>
      <c r="B5" s="3" t="s">
        <v>4</v>
      </c>
      <c r="C5" s="3" t="s">
        <v>5</v>
      </c>
      <c r="D5" s="3" t="s">
        <v>6</v>
      </c>
      <c r="E5" s="3" t="s">
        <v>7</v>
      </c>
      <c r="F5" s="3" t="s">
        <v>8</v>
      </c>
      <c r="G5" s="3" t="s">
        <v>9</v>
      </c>
    </row>
    <row r="6" customFormat="false" ht="15" hidden="false" customHeight="false" outlineLevel="0" collapsed="false">
      <c r="A6" s="4" t="s">
        <v>10</v>
      </c>
      <c r="B6" s="5" t="s">
        <v>11</v>
      </c>
      <c r="C6" s="6" t="n">
        <v>25000000</v>
      </c>
      <c r="D6" s="6" t="n">
        <v>0</v>
      </c>
      <c r="E6" s="6" t="n">
        <v>0</v>
      </c>
      <c r="F6" s="6" t="n">
        <f aca="false">D6-E6</f>
        <v>0</v>
      </c>
      <c r="G6" s="6" t="n">
        <f aca="false">C6+F6</f>
        <v>25000000</v>
      </c>
    </row>
    <row r="7" customFormat="false" ht="15" hidden="false" customHeight="false" outlineLevel="0" collapsed="false">
      <c r="A7" s="4" t="s">
        <v>12</v>
      </c>
      <c r="B7" s="5" t="s">
        <v>13</v>
      </c>
      <c r="C7" s="6" t="n">
        <v>12000000</v>
      </c>
      <c r="D7" s="6" t="n">
        <v>0</v>
      </c>
      <c r="E7" s="6" t="n">
        <v>0</v>
      </c>
      <c r="F7" s="6" t="n">
        <f aca="false">D7-E7</f>
        <v>0</v>
      </c>
      <c r="G7" s="6" t="n">
        <f aca="false">C7+F7</f>
        <v>12000000</v>
      </c>
    </row>
    <row r="8" customFormat="false" ht="15" hidden="false" customHeight="false" outlineLevel="0" collapsed="false">
      <c r="A8" s="4" t="s">
        <v>14</v>
      </c>
      <c r="B8" s="5" t="s">
        <v>15</v>
      </c>
      <c r="C8" s="6" t="n">
        <v>286000</v>
      </c>
      <c r="D8" s="6" t="n">
        <v>0</v>
      </c>
      <c r="E8" s="6" t="n">
        <v>90000</v>
      </c>
      <c r="F8" s="6" t="n">
        <f aca="false">D8-E8</f>
        <v>-90000</v>
      </c>
      <c r="G8" s="6" t="n">
        <f aca="false">C8+F8</f>
        <v>196000</v>
      </c>
    </row>
    <row r="9" customFormat="false" ht="15" hidden="false" customHeight="false" outlineLevel="0" collapsed="false">
      <c r="A9" s="4" t="s">
        <v>16</v>
      </c>
      <c r="B9" s="5" t="s">
        <v>17</v>
      </c>
      <c r="C9" s="6" t="n">
        <v>2723000</v>
      </c>
      <c r="D9" s="6" t="n">
        <v>506000</v>
      </c>
      <c r="E9" s="6" t="n">
        <v>751000</v>
      </c>
      <c r="F9" s="6" t="n">
        <f aca="false">D9-E9</f>
        <v>-245000</v>
      </c>
      <c r="G9" s="6" t="n">
        <f aca="false">C9+F9</f>
        <v>2478000</v>
      </c>
    </row>
    <row r="10" customFormat="false" ht="15" hidden="false" customHeight="false" outlineLevel="0" collapsed="false">
      <c r="A10" s="4" t="s">
        <v>18</v>
      </c>
      <c r="B10" s="5" t="s">
        <v>19</v>
      </c>
      <c r="C10" s="6" t="n">
        <v>6000000</v>
      </c>
      <c r="D10" s="6" t="n">
        <v>0</v>
      </c>
      <c r="E10" s="6" t="n">
        <v>0</v>
      </c>
      <c r="F10" s="6" t="n">
        <f aca="false">D10-E10</f>
        <v>0</v>
      </c>
      <c r="G10" s="6" t="n">
        <f aca="false">C10+F10</f>
        <v>6000000</v>
      </c>
    </row>
    <row r="11" customFormat="false" ht="15" hidden="false" customHeight="false" outlineLevel="0" collapsed="false">
      <c r="A11" s="4" t="s">
        <v>20</v>
      </c>
      <c r="B11" s="5" t="s">
        <v>21</v>
      </c>
      <c r="C11" s="6" t="n">
        <v>1002714</v>
      </c>
      <c r="D11" s="6" t="n">
        <v>1774602</v>
      </c>
      <c r="E11" s="6" t="n">
        <v>506000</v>
      </c>
      <c r="F11" s="6" t="n">
        <f aca="false">D11-E11</f>
        <v>1268602</v>
      </c>
      <c r="G11" s="6" t="n">
        <f aca="false">C11+F11</f>
        <v>2271316</v>
      </c>
    </row>
    <row r="12" customFormat="false" ht="15" hidden="false" customHeight="false" outlineLevel="0" collapsed="false">
      <c r="A12" s="4" t="s">
        <v>22</v>
      </c>
      <c r="B12" s="5" t="s">
        <v>23</v>
      </c>
      <c r="C12" s="6" t="n">
        <v>436258</v>
      </c>
      <c r="D12" s="6" t="n">
        <v>48996</v>
      </c>
      <c r="E12" s="6" t="n">
        <v>0</v>
      </c>
      <c r="F12" s="6" t="n">
        <f aca="false">D12-E12</f>
        <v>48996</v>
      </c>
      <c r="G12" s="6" t="n">
        <f aca="false">C12+F12</f>
        <v>485254</v>
      </c>
    </row>
    <row r="13" customFormat="false" ht="15" hidden="false" customHeight="false" outlineLevel="0" collapsed="false">
      <c r="A13" s="4" t="s">
        <v>24</v>
      </c>
      <c r="B13" s="5" t="s">
        <v>25</v>
      </c>
      <c r="C13" s="6" t="n">
        <v>-4242500</v>
      </c>
      <c r="D13" s="6" t="n">
        <v>0</v>
      </c>
      <c r="E13" s="6" t="n">
        <v>142000</v>
      </c>
      <c r="F13" s="6" t="n">
        <f aca="false">D13-E13</f>
        <v>-142000</v>
      </c>
      <c r="G13" s="6" t="n">
        <f aca="false">C13+F13</f>
        <v>-4384500</v>
      </c>
    </row>
    <row r="14" customFormat="false" ht="15" hidden="false" customHeight="false" outlineLevel="0" collapsed="false">
      <c r="A14" s="4" t="s">
        <v>26</v>
      </c>
      <c r="B14" s="5" t="s">
        <v>27</v>
      </c>
      <c r="C14" s="6" t="n">
        <v>-2096358</v>
      </c>
      <c r="D14" s="6" t="n">
        <v>573000</v>
      </c>
      <c r="E14" s="6" t="n">
        <v>321196</v>
      </c>
      <c r="F14" s="6" t="n">
        <f aca="false">D14-E14</f>
        <v>251804</v>
      </c>
      <c r="G14" s="6" t="n">
        <f aca="false">C14+F14</f>
        <v>-1844554</v>
      </c>
    </row>
    <row r="15" customFormat="false" ht="15" hidden="false" customHeight="false" outlineLevel="0" collapsed="false">
      <c r="A15" s="4" t="s">
        <v>28</v>
      </c>
      <c r="B15" s="5" t="s">
        <v>29</v>
      </c>
      <c r="C15" s="6" t="n">
        <v>-694414</v>
      </c>
      <c r="D15" s="6" t="n">
        <v>0</v>
      </c>
      <c r="E15" s="6" t="n">
        <v>270702</v>
      </c>
      <c r="F15" s="6" t="n">
        <f aca="false">D15-E15</f>
        <v>-270702</v>
      </c>
      <c r="G15" s="6" t="n">
        <f aca="false">C15+F15</f>
        <v>-965116</v>
      </c>
    </row>
    <row r="16" customFormat="false" ht="15" hidden="false" customHeight="false" outlineLevel="0" collapsed="false">
      <c r="A16" s="4" t="s">
        <v>30</v>
      </c>
      <c r="B16" s="5" t="s">
        <v>31</v>
      </c>
      <c r="C16" s="6" t="n">
        <v>-30414700</v>
      </c>
      <c r="D16" s="6" t="n">
        <v>0</v>
      </c>
      <c r="E16" s="6" t="n">
        <v>0</v>
      </c>
      <c r="F16" s="6" t="n">
        <f aca="false">D16-E16</f>
        <v>0</v>
      </c>
      <c r="G16" s="6" t="n">
        <f aca="false">C16+F16</f>
        <v>-30414700</v>
      </c>
    </row>
    <row r="17" customFormat="false" ht="15" hidden="false" customHeight="false" outlineLevel="0" collapsed="false">
      <c r="A17" s="4" t="s">
        <v>32</v>
      </c>
      <c r="B17" s="5" t="s">
        <v>33</v>
      </c>
      <c r="C17" s="6" t="n">
        <v>-10000000</v>
      </c>
      <c r="D17" s="6" t="n">
        <v>0</v>
      </c>
      <c r="E17" s="6" t="n">
        <v>0</v>
      </c>
      <c r="F17" s="6" t="n">
        <f aca="false">D17-E17</f>
        <v>0</v>
      </c>
      <c r="G17" s="6" t="n">
        <f aca="false">C17+F17</f>
        <v>-10000000</v>
      </c>
    </row>
    <row r="18" customFormat="false" ht="15" hidden="false" customHeight="false" outlineLevel="0" collapsed="false">
      <c r="A18" s="4" t="s">
        <v>34</v>
      </c>
      <c r="B18" s="5" t="s">
        <v>35</v>
      </c>
      <c r="C18" s="6" t="n">
        <v>0</v>
      </c>
      <c r="D18" s="6" t="n">
        <v>0</v>
      </c>
      <c r="E18" s="6" t="n">
        <v>1503900</v>
      </c>
      <c r="F18" s="6" t="n">
        <f aca="false">D18-E18</f>
        <v>-1503900</v>
      </c>
      <c r="G18" s="6" t="n">
        <f aca="false">C18+F18</f>
        <v>-1503900</v>
      </c>
    </row>
    <row r="19" customFormat="false" ht="15" hidden="false" customHeight="false" outlineLevel="0" collapsed="false">
      <c r="A19" s="4" t="s">
        <v>36</v>
      </c>
      <c r="B19" s="5" t="s">
        <v>37</v>
      </c>
      <c r="C19" s="6" t="n">
        <v>0</v>
      </c>
      <c r="D19" s="6" t="n">
        <v>272200</v>
      </c>
      <c r="E19" s="6" t="n">
        <v>0</v>
      </c>
      <c r="F19" s="6" t="n">
        <f aca="false">D19-E19</f>
        <v>272200</v>
      </c>
      <c r="G19" s="6" t="n">
        <f aca="false">C19+F19</f>
        <v>272200</v>
      </c>
    </row>
    <row r="20" customFormat="false" ht="15" hidden="false" customHeight="false" outlineLevel="0" collapsed="false">
      <c r="A20" s="4" t="s">
        <v>51</v>
      </c>
      <c r="B20" s="5" t="s">
        <v>52</v>
      </c>
      <c r="C20" s="6" t="n">
        <v>0</v>
      </c>
      <c r="D20" s="6" t="n">
        <v>113000</v>
      </c>
      <c r="E20" s="6" t="n">
        <v>0</v>
      </c>
      <c r="F20" s="6" t="n">
        <f aca="false">D20-E20</f>
        <v>113000</v>
      </c>
      <c r="G20" s="6" t="n">
        <f aca="false">C20+F20</f>
        <v>113000</v>
      </c>
    </row>
    <row r="21" customFormat="false" ht="15" hidden="false" customHeight="false" outlineLevel="0" collapsed="false">
      <c r="A21" s="4" t="s">
        <v>38</v>
      </c>
      <c r="B21" s="5" t="s">
        <v>39</v>
      </c>
      <c r="C21" s="6" t="n">
        <v>0</v>
      </c>
      <c r="D21" s="6" t="n">
        <v>90000</v>
      </c>
      <c r="E21" s="6" t="n">
        <v>0</v>
      </c>
      <c r="F21" s="6" t="n">
        <f aca="false">D21-E21</f>
        <v>90000</v>
      </c>
      <c r="G21" s="6" t="n">
        <f aca="false">C21+F21</f>
        <v>90000</v>
      </c>
    </row>
    <row r="22" customFormat="false" ht="15" hidden="false" customHeight="false" outlineLevel="0" collapsed="false">
      <c r="A22" s="4" t="s">
        <v>42</v>
      </c>
      <c r="B22" s="5" t="s">
        <v>43</v>
      </c>
      <c r="C22" s="6" t="n">
        <v>0</v>
      </c>
      <c r="D22" s="6" t="n">
        <v>65000</v>
      </c>
      <c r="E22" s="6" t="n">
        <v>0</v>
      </c>
      <c r="F22" s="6" t="n">
        <f aca="false">D22-E22</f>
        <v>65000</v>
      </c>
      <c r="G22" s="6" t="n">
        <f aca="false">C22+F22</f>
        <v>65000</v>
      </c>
    </row>
    <row r="23" customFormat="false" ht="15" hidden="false" customHeight="false" outlineLevel="0" collapsed="false">
      <c r="A23" s="4" t="s">
        <v>46</v>
      </c>
      <c r="B23" s="5" t="s">
        <v>47</v>
      </c>
      <c r="C23" s="6" t="n">
        <v>0</v>
      </c>
      <c r="D23" s="6" t="n">
        <v>142000</v>
      </c>
      <c r="E23" s="6" t="n">
        <v>0</v>
      </c>
      <c r="F23" s="6" t="n">
        <f aca="false">D23-E23</f>
        <v>142000</v>
      </c>
      <c r="G23" s="6" t="n">
        <f aca="false">C23+F23</f>
        <v>142000</v>
      </c>
    </row>
    <row r="24" customFormat="false" ht="15" hidden="false" customHeight="false" outlineLevel="0" collapsed="false">
      <c r="B24" s="7" t="s">
        <v>48</v>
      </c>
      <c r="C24" s="8" t="n">
        <f aca="false">SUM(C6:C23)</f>
        <v>0</v>
      </c>
      <c r="D24" s="8" t="n">
        <f aca="false">SUM(D6:D23)</f>
        <v>3584798</v>
      </c>
      <c r="E24" s="8" t="n">
        <f aca="false">SUM(E6:E23)</f>
        <v>3584798</v>
      </c>
      <c r="F24" s="8" t="n">
        <f aca="false">SUM(F6:F23)</f>
        <v>0</v>
      </c>
      <c r="G24" s="8" t="n">
        <f aca="false">SUM(G6:G23)</f>
        <v>0</v>
      </c>
    </row>
    <row r="26" customFormat="false" ht="15" hidden="false" customHeight="false" outlineLevel="0" collapsed="false">
      <c r="A26" s="9"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7" t="s">
        <v>53</v>
      </c>
    </row>
    <row r="2" customFormat="false" ht="15" hidden="false" customHeight="false" outlineLevel="0" collapsed="false">
      <c r="A2" s="2" t="s">
        <v>54</v>
      </c>
    </row>
    <row r="3" customFormat="false" ht="15" hidden="false" customHeight="false" outlineLevel="0" collapsed="false">
      <c r="A3" s="2" t="s">
        <v>55</v>
      </c>
    </row>
    <row r="4" customFormat="false" ht="15" hidden="false" customHeight="false" outlineLevel="0" collapsed="false">
      <c r="A4" s="2" t="s">
        <v>56</v>
      </c>
    </row>
    <row r="5" customFormat="false" ht="15" hidden="false" customHeight="false" outlineLevel="0" collapsed="false">
      <c r="A5" s="2" t="s">
        <v>57</v>
      </c>
    </row>
    <row r="6" customFormat="false" ht="15" hidden="false" customHeight="false" outlineLevel="0" collapsed="false">
      <c r="A6" s="2" t="s">
        <v>58</v>
      </c>
    </row>
    <row r="7" customFormat="false" ht="15" hidden="false" customHeight="false" outlineLevel="0" collapsed="false">
      <c r="A7" s="2" t="s">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2026-10-19T02:47:32Z</dcterms:created>
  <dc:creator>openpyxl</dc:creator>
  <dc:description/>
  <dc:language>en-US</dc:language>
  <cp:lastModifiedBy/>
  <dcterms:modified xsi:type="dcterms:W3CDTF">2026-10-19T02:47:32Z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