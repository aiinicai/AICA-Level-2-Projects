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C:\Users\Rashi Bhatia\Downloads\"/>
    </mc:Choice>
  </mc:AlternateContent>
  <xr:revisionPtr revIDLastSave="0" documentId="13_ncr:1_{6E0D5A8D-9EB4-46F9-BE87-276A03E8678D}" xr6:coauthVersionLast="47" xr6:coauthVersionMax="47" xr10:uidLastSave="{00000000-0000-0000-0000-000000000000}"/>
  <bookViews>
    <workbookView xWindow="72" yWindow="24" windowWidth="22968" windowHeight="13656" xr2:uid="{00000000-000D-0000-FFFF-FFFF00000000}"/>
  </bookViews>
  <sheets>
    <sheet name="Profit and L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D64" i="1"/>
  <c r="C64" i="1"/>
  <c r="B64" i="1"/>
  <c r="D58" i="1"/>
  <c r="C58" i="1"/>
  <c r="B58" i="1"/>
  <c r="D17" i="1"/>
  <c r="C17" i="1"/>
  <c r="B17" i="1"/>
  <c r="D9" i="1"/>
  <c r="D19" i="1" s="1"/>
  <c r="B9" i="1"/>
  <c r="B19" i="1" l="1"/>
  <c r="C19" i="1"/>
  <c r="C60" i="1" s="1"/>
  <c r="C66" i="1" s="1"/>
  <c r="C68" i="1" s="1"/>
  <c r="B60" i="1"/>
  <c r="B66" i="1" s="1"/>
  <c r="B68" i="1" s="1"/>
  <c r="D60" i="1"/>
  <c r="D66" i="1" s="1"/>
  <c r="D68" i="1" s="1"/>
</calcChain>
</file>

<file path=xl/sharedStrings.xml><?xml version="1.0" encoding="utf-8"?>
<sst xmlns="http://schemas.openxmlformats.org/spreadsheetml/2006/main" count="62" uniqueCount="62">
  <si>
    <t>Profit and Loss</t>
  </si>
  <si>
    <t>For the month ended 31 July 2026</t>
  </si>
  <si>
    <t>Account</t>
  </si>
  <si>
    <t>Jul 2026</t>
  </si>
  <si>
    <t>Jun 2026</t>
  </si>
  <si>
    <t>May 2026</t>
  </si>
  <si>
    <t>Turnover</t>
  </si>
  <si>
    <t>Total Turnover</t>
  </si>
  <si>
    <t>Cost of Sales</t>
  </si>
  <si>
    <t>Agency Fees</t>
  </si>
  <si>
    <t>Employers NIC - Staff</t>
  </si>
  <si>
    <t>Employers Pension - Staff</t>
  </si>
  <si>
    <t>Holiday Pay</t>
  </si>
  <si>
    <t>Staff Wages</t>
  </si>
  <si>
    <t>Total Cost of Sales</t>
  </si>
  <si>
    <t>Gross Profit</t>
  </si>
  <si>
    <t>Administrative Costs</t>
  </si>
  <si>
    <t>Advertising &amp; Marketing</t>
  </si>
  <si>
    <t>Audit &amp; Accountancy fees</t>
  </si>
  <si>
    <t>Bank Fees</t>
  </si>
  <si>
    <t>Care Check</t>
  </si>
  <si>
    <t>Charitable and Political Donations</t>
  </si>
  <si>
    <t>Consulting</t>
  </si>
  <si>
    <t>Consumables</t>
  </si>
  <si>
    <t>DBS check</t>
  </si>
  <si>
    <t>Directors NIC</t>
  </si>
  <si>
    <t>Directors Pension</t>
  </si>
  <si>
    <t>Directors' Remuneration</t>
  </si>
  <si>
    <t>Employers National Insurance</t>
  </si>
  <si>
    <t>Entertainment - 0%</t>
  </si>
  <si>
    <t>Franchise Fees</t>
  </si>
  <si>
    <t>General Expenses</t>
  </si>
  <si>
    <t>Inspection</t>
  </si>
  <si>
    <t>Insurance</t>
  </si>
  <si>
    <t>Interest Paid</t>
  </si>
  <si>
    <t>IT Software and Consumables</t>
  </si>
  <si>
    <t>Legal and Professional fees</t>
  </si>
  <si>
    <t>Motor Vehicle Expenses</t>
  </si>
  <si>
    <t>Payroll Services</t>
  </si>
  <si>
    <t>Penalty</t>
  </si>
  <si>
    <t>Pensions Costs</t>
  </si>
  <si>
    <t>Postage, Freight &amp; Courier</t>
  </si>
  <si>
    <t>Printing &amp; Stationery</t>
  </si>
  <si>
    <t>Recruitment Costs</t>
  </si>
  <si>
    <t>Rent</t>
  </si>
  <si>
    <t>Repairs &amp; Maintenance</t>
  </si>
  <si>
    <t>Staff Salaries</t>
  </si>
  <si>
    <t>Staff Training</t>
  </si>
  <si>
    <t>Staff Welfare &amp; Refreshments</t>
  </si>
  <si>
    <t>Subcontractor &amp; Consultancy</t>
  </si>
  <si>
    <t>Subscription</t>
  </si>
  <si>
    <t>Telephone &amp; Internet</t>
  </si>
  <si>
    <t>Travel - National</t>
  </si>
  <si>
    <t>Total Administrative Costs</t>
  </si>
  <si>
    <t>Operating Profit</t>
  </si>
  <si>
    <t>Other Income</t>
  </si>
  <si>
    <t>Deposit forfeit</t>
  </si>
  <si>
    <t>Total Other Income</t>
  </si>
  <si>
    <t>Profit on Ordinary Activities Before Taxation</t>
  </si>
  <si>
    <t>Profit after Taxation</t>
  </si>
  <si>
    <t>ABC Limited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</si>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</sst>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7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2" xfId="0" applyBorder="1" applyAlignment="1">
      <alignment vertical="center"/>
    </xf>
    <xf numFmtId="164" fontId="0" fillId="0" borderId="2" xfId="0" applyNumberForma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3" xfId="0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showGridLines="0" tabSelected="1" zoomScaleNormal="100" workbookViewId="0">
      <selection activeCell="I6" sqref="I6"/>
    </sheetView>
  </sheetViews>
  <sheetFormatPr defaultRowHeight="11.4" x14ac:dyDescent="0.2"/>
  <cols>
    <col min="1" max="1" width="44.125" customWidth="1"/>
    <col min="2" max="2" width="10.125" customWidth="1"/>
    <col min="3" max="3" width="10.625" customWidth="1"/>
    <col min="4" max="4" width="11.5" customWidth="1"/>
  </cols>
  <sheetData>
    <row r="1" spans="1:4" s="1" customFormat="1" ht="16.649999999999999" customHeight="1" x14ac:dyDescent="0.3">
      <c r="A1" s="2" t="s">
        <v>0</v>
      </c>
      <c r="B1" s="2"/>
      <c r="C1" s="2"/>
      <c r="D1" s="2"/>
    </row>
    <row r="2" spans="1:4" s="3" customFormat="1" ht="14.4" customHeight="1" x14ac:dyDescent="0.25">
      <c r="A2" s="4" t="s">
        <v>60</v>
      </c>
      <c r="B2" s="4"/>
      <c r="C2" s="4"/>
      <c r="D2" s="4"/>
    </row>
    <row r="3" spans="1:4" s="3" customFormat="1" ht="14.4" customHeight="1" x14ac:dyDescent="0.25">
      <c r="A3" s="4" t="s">
        <v>1</v>
      </c>
      <c r="B3" s="4"/>
      <c r="C3" s="4"/>
      <c r="D3" s="4"/>
    </row>
    <row r="4" spans="1:4" ht="13.35" customHeight="1" x14ac:dyDescent="0.2"/>
    <row r="5" spans="1:4" s="5" customFormat="1" ht="12.15" customHeight="1" x14ac:dyDescent="0.25">
      <c r="A5" s="6" t="s">
        <v>2</v>
      </c>
      <c r="B5" s="7" t="s">
        <v>3</v>
      </c>
      <c r="C5" s="7" t="s">
        <v>4</v>
      </c>
      <c r="D5" s="7" t="s">
        <v>5</v>
      </c>
    </row>
    <row r="6" spans="1:4" ht="13.35" customHeight="1" x14ac:dyDescent="0.2"/>
    <row r="7" spans="1:4" s="5" customFormat="1" ht="12.15" customHeight="1" x14ac:dyDescent="0.25">
      <c r="A7" s="8" t="s">
        <v>6</v>
      </c>
      <c r="B7" s="8"/>
      <c r="C7" s="8"/>
      <c r="D7" s="8"/>
    </row>
    <row r="8" spans="1:4" ht="10.95" customHeight="1" x14ac:dyDescent="0.2">
      <c r="A8" s="9" t="s">
        <v>61</v>
      </c>
      <c r="B8" s="10">
        <v>98582.14</v>
      </c>
      <c r="C8" s="10">
        <v>74542.78</v>
      </c>
      <c r="D8" s="10">
        <v>71342.06</v>
      </c>
    </row>
    <row r="9" spans="1:4" ht="10.95" customHeight="1" x14ac:dyDescent="0.2">
      <c r="A9" s="13" t="s">
        <v>7</v>
      </c>
      <c r="B9" s="14">
        <f t="shared" ref="B9:D9" si="0">SUM(B8:B8)</f>
        <v>98582.14</v>
      </c>
      <c r="C9" s="14">
        <f t="shared" si="0"/>
        <v>74542.78</v>
      </c>
      <c r="D9" s="14">
        <f t="shared" si="0"/>
        <v>71342.06</v>
      </c>
    </row>
    <row r="10" spans="1:4" ht="13.35" customHeight="1" x14ac:dyDescent="0.2"/>
    <row r="11" spans="1:4" s="5" customFormat="1" ht="12.15" customHeight="1" x14ac:dyDescent="0.25">
      <c r="A11" s="8" t="s">
        <v>8</v>
      </c>
      <c r="B11" s="8"/>
      <c r="C11" s="8"/>
      <c r="D11" s="8"/>
    </row>
    <row r="12" spans="1:4" ht="10.95" customHeight="1" x14ac:dyDescent="0.2">
      <c r="A12" s="9" t="s">
        <v>9</v>
      </c>
      <c r="B12" s="10">
        <v>4375.71</v>
      </c>
      <c r="C12" s="10">
        <v>2591</v>
      </c>
      <c r="D12" s="10">
        <v>5770</v>
      </c>
    </row>
    <row r="13" spans="1:4" ht="10.95" customHeight="1" x14ac:dyDescent="0.2">
      <c r="A13" s="11" t="s">
        <v>10</v>
      </c>
      <c r="B13" s="12">
        <v>4039.57</v>
      </c>
      <c r="C13" s="12">
        <v>2941.58</v>
      </c>
      <c r="D13" s="12">
        <v>0</v>
      </c>
    </row>
    <row r="14" spans="1:4" ht="10.95" customHeight="1" x14ac:dyDescent="0.2">
      <c r="A14" s="11" t="s">
        <v>11</v>
      </c>
      <c r="B14" s="12">
        <v>205.75</v>
      </c>
      <c r="C14" s="12">
        <v>216.05</v>
      </c>
      <c r="D14" s="12">
        <v>129.03</v>
      </c>
    </row>
    <row r="15" spans="1:4" ht="10.95" customHeight="1" x14ac:dyDescent="0.2">
      <c r="A15" s="11" t="s">
        <v>12</v>
      </c>
      <c r="B15" s="12">
        <v>3241.17</v>
      </c>
      <c r="C15" s="12">
        <v>2391.1999999999998</v>
      </c>
      <c r="D15" s="12">
        <v>928</v>
      </c>
    </row>
    <row r="16" spans="1:4" ht="10.95" customHeight="1" x14ac:dyDescent="0.2">
      <c r="A16" s="11" t="s">
        <v>13</v>
      </c>
      <c r="B16" s="12">
        <v>38021.86</v>
      </c>
      <c r="C16" s="12">
        <v>29587.9</v>
      </c>
      <c r="D16" s="12">
        <v>28762.29</v>
      </c>
    </row>
    <row r="17" spans="1:4" ht="10.95" customHeight="1" x14ac:dyDescent="0.2">
      <c r="A17" s="13" t="s">
        <v>14</v>
      </c>
      <c r="B17" s="14">
        <f t="shared" ref="B17:D17" si="1">SUM(B12:B16)</f>
        <v>49884.06</v>
      </c>
      <c r="C17" s="14">
        <f t="shared" si="1"/>
        <v>37727.730000000003</v>
      </c>
      <c r="D17" s="14">
        <f t="shared" si="1"/>
        <v>35589.32</v>
      </c>
    </row>
    <row r="18" spans="1:4" ht="13.35" customHeight="1" x14ac:dyDescent="0.2"/>
    <row r="19" spans="1:4" ht="10.95" customHeight="1" x14ac:dyDescent="0.2">
      <c r="A19" s="15" t="s">
        <v>15</v>
      </c>
      <c r="B19" s="16">
        <f t="shared" ref="B19:D19" si="2">(B9 - B17)</f>
        <v>48698.080000000002</v>
      </c>
      <c r="C19" s="16">
        <f t="shared" si="2"/>
        <v>36815.049999999996</v>
      </c>
      <c r="D19" s="16">
        <f t="shared" si="2"/>
        <v>35752.74</v>
      </c>
    </row>
    <row r="20" spans="1:4" ht="13.35" customHeight="1" x14ac:dyDescent="0.2"/>
    <row r="21" spans="1:4" s="5" customFormat="1" ht="12.15" customHeight="1" x14ac:dyDescent="0.25">
      <c r="A21" s="8" t="s">
        <v>16</v>
      </c>
      <c r="B21" s="8"/>
      <c r="C21" s="8"/>
      <c r="D21" s="8"/>
    </row>
    <row r="22" spans="1:4" ht="10.95" customHeight="1" x14ac:dyDescent="0.2">
      <c r="A22" s="9" t="s">
        <v>17</v>
      </c>
      <c r="B22" s="10">
        <v>2494.81</v>
      </c>
      <c r="C22" s="10">
        <v>2480.17</v>
      </c>
      <c r="D22" s="10">
        <v>2905.44</v>
      </c>
    </row>
    <row r="23" spans="1:4" ht="10.95" customHeight="1" x14ac:dyDescent="0.2">
      <c r="A23" s="11" t="s">
        <v>18</v>
      </c>
      <c r="B23" s="12">
        <v>150</v>
      </c>
      <c r="C23" s="12">
        <v>150</v>
      </c>
      <c r="D23" s="12">
        <v>150</v>
      </c>
    </row>
    <row r="24" spans="1:4" ht="10.95" customHeight="1" x14ac:dyDescent="0.2">
      <c r="A24" s="11" t="s">
        <v>19</v>
      </c>
      <c r="B24" s="12">
        <v>210.38</v>
      </c>
      <c r="C24" s="12">
        <v>168.86</v>
      </c>
      <c r="D24" s="12">
        <v>52.07</v>
      </c>
    </row>
    <row r="25" spans="1:4" ht="10.95" customHeight="1" x14ac:dyDescent="0.2">
      <c r="A25" s="11" t="s">
        <v>20</v>
      </c>
      <c r="B25" s="12">
        <v>114.92</v>
      </c>
      <c r="C25" s="12">
        <v>117.91</v>
      </c>
      <c r="D25" s="12">
        <v>117.12</v>
      </c>
    </row>
    <row r="26" spans="1:4" ht="10.95" customHeight="1" x14ac:dyDescent="0.2">
      <c r="A26" s="11" t="s">
        <v>21</v>
      </c>
      <c r="B26" s="12">
        <v>0</v>
      </c>
      <c r="C26" s="12">
        <v>0</v>
      </c>
      <c r="D26" s="12">
        <v>50</v>
      </c>
    </row>
    <row r="27" spans="1:4" ht="10.95" customHeight="1" x14ac:dyDescent="0.2">
      <c r="A27" s="11" t="s">
        <v>22</v>
      </c>
      <c r="B27" s="12">
        <v>256</v>
      </c>
      <c r="C27" s="12">
        <v>256</v>
      </c>
      <c r="D27" s="12">
        <v>256</v>
      </c>
    </row>
    <row r="28" spans="1:4" ht="10.95" customHeight="1" x14ac:dyDescent="0.2">
      <c r="A28" s="11" t="s">
        <v>23</v>
      </c>
      <c r="B28" s="12">
        <v>215.39</v>
      </c>
      <c r="C28" s="12">
        <v>172.8</v>
      </c>
      <c r="D28" s="12">
        <v>131.4</v>
      </c>
    </row>
    <row r="29" spans="1:4" ht="10.95" customHeight="1" x14ac:dyDescent="0.2">
      <c r="A29" s="11" t="s">
        <v>24</v>
      </c>
      <c r="B29" s="12">
        <v>188.1</v>
      </c>
      <c r="C29" s="12">
        <v>198.9</v>
      </c>
      <c r="D29" s="12">
        <v>198.9</v>
      </c>
    </row>
    <row r="30" spans="1:4" ht="10.95" customHeight="1" x14ac:dyDescent="0.2">
      <c r="A30" s="11" t="s">
        <v>25</v>
      </c>
      <c r="B30" s="12">
        <v>339</v>
      </c>
      <c r="C30" s="12">
        <v>0</v>
      </c>
      <c r="D30" s="12">
        <v>0</v>
      </c>
    </row>
    <row r="31" spans="1:4" ht="10.95" customHeight="1" x14ac:dyDescent="0.2">
      <c r="A31" s="11" t="s">
        <v>26</v>
      </c>
      <c r="B31" s="12">
        <v>64.72</v>
      </c>
      <c r="C31" s="12">
        <v>64.72</v>
      </c>
      <c r="D31" s="12">
        <v>60.25</v>
      </c>
    </row>
    <row r="32" spans="1:4" ht="10.95" customHeight="1" x14ac:dyDescent="0.2">
      <c r="A32" s="11" t="s">
        <v>27</v>
      </c>
      <c r="B32" s="12">
        <v>2963.91</v>
      </c>
      <c r="C32" s="12">
        <v>2878.81</v>
      </c>
      <c r="D32" s="12">
        <v>2795.94</v>
      </c>
    </row>
    <row r="33" spans="1:4" ht="10.95" customHeight="1" x14ac:dyDescent="0.2">
      <c r="A33" s="11" t="s">
        <v>28</v>
      </c>
      <c r="B33" s="12">
        <v>1032.3499999999999</v>
      </c>
      <c r="C33" s="12">
        <v>0</v>
      </c>
      <c r="D33" s="12">
        <v>0</v>
      </c>
    </row>
    <row r="34" spans="1:4" ht="10.95" customHeight="1" x14ac:dyDescent="0.2">
      <c r="A34" s="11" t="s">
        <v>29</v>
      </c>
      <c r="B34" s="12">
        <v>212.44</v>
      </c>
      <c r="C34" s="12">
        <v>233.09</v>
      </c>
      <c r="D34" s="12">
        <v>28.95</v>
      </c>
    </row>
    <row r="35" spans="1:4" ht="10.95" customHeight="1" x14ac:dyDescent="0.2">
      <c r="A35" s="11" t="s">
        <v>30</v>
      </c>
      <c r="B35" s="12">
        <v>6114.47</v>
      </c>
      <c r="C35" s="12">
        <v>5207.8900000000003</v>
      </c>
      <c r="D35" s="12">
        <v>6877.34</v>
      </c>
    </row>
    <row r="36" spans="1:4" ht="10.95" customHeight="1" x14ac:dyDescent="0.2">
      <c r="A36" s="11" t="s">
        <v>31</v>
      </c>
      <c r="B36" s="12">
        <v>224.69</v>
      </c>
      <c r="C36" s="12">
        <v>299.42</v>
      </c>
      <c r="D36" s="12">
        <v>45.52</v>
      </c>
    </row>
    <row r="37" spans="1:4" ht="10.95" customHeight="1" x14ac:dyDescent="0.2">
      <c r="A37" s="11" t="s">
        <v>32</v>
      </c>
      <c r="B37" s="12">
        <v>1772</v>
      </c>
      <c r="C37" s="12">
        <v>0</v>
      </c>
      <c r="D37" s="12">
        <v>2520</v>
      </c>
    </row>
    <row r="38" spans="1:4" ht="10.95" customHeight="1" x14ac:dyDescent="0.2">
      <c r="A38" s="11" t="s">
        <v>33</v>
      </c>
      <c r="B38" s="12">
        <v>269.26</v>
      </c>
      <c r="C38" s="12">
        <v>269.26</v>
      </c>
      <c r="D38" s="12">
        <v>269.26</v>
      </c>
    </row>
    <row r="39" spans="1:4" ht="10.95" customHeight="1" x14ac:dyDescent="0.2">
      <c r="A39" s="11" t="s">
        <v>34</v>
      </c>
      <c r="B39" s="12">
        <v>0</v>
      </c>
      <c r="C39" s="12">
        <v>0</v>
      </c>
      <c r="D39" s="12">
        <v>142.26</v>
      </c>
    </row>
    <row r="40" spans="1:4" ht="10.95" customHeight="1" x14ac:dyDescent="0.2">
      <c r="A40" s="11" t="s">
        <v>35</v>
      </c>
      <c r="B40" s="12">
        <v>980.4</v>
      </c>
      <c r="C40" s="12">
        <v>854.64</v>
      </c>
      <c r="D40" s="12">
        <v>729.44</v>
      </c>
    </row>
    <row r="41" spans="1:4" ht="10.95" customHeight="1" x14ac:dyDescent="0.2">
      <c r="A41" s="11" t="s">
        <v>36</v>
      </c>
      <c r="B41" s="12">
        <v>462</v>
      </c>
      <c r="C41" s="12">
        <v>67</v>
      </c>
      <c r="D41" s="12">
        <v>73</v>
      </c>
    </row>
    <row r="42" spans="1:4" ht="10.95" customHeight="1" x14ac:dyDescent="0.2">
      <c r="A42" s="11" t="s">
        <v>37</v>
      </c>
      <c r="B42" s="12">
        <v>549.33000000000004</v>
      </c>
      <c r="C42" s="12">
        <v>381.5</v>
      </c>
      <c r="D42" s="12">
        <v>581.92999999999995</v>
      </c>
    </row>
    <row r="43" spans="1:4" ht="10.95" customHeight="1" x14ac:dyDescent="0.2">
      <c r="A43" s="11" t="s">
        <v>38</v>
      </c>
      <c r="B43" s="12">
        <v>69.48</v>
      </c>
      <c r="C43" s="12">
        <v>69.48</v>
      </c>
      <c r="D43" s="12">
        <v>69.48</v>
      </c>
    </row>
    <row r="44" spans="1:4" ht="10.95" customHeight="1" x14ac:dyDescent="0.2">
      <c r="A44" s="11" t="s">
        <v>39</v>
      </c>
      <c r="B44" s="12">
        <v>0</v>
      </c>
      <c r="C44" s="12">
        <v>0</v>
      </c>
      <c r="D44" s="12">
        <v>900</v>
      </c>
    </row>
    <row r="45" spans="1:4" ht="10.95" customHeight="1" x14ac:dyDescent="0.2">
      <c r="A45" s="11" t="s">
        <v>40</v>
      </c>
      <c r="B45" s="12">
        <v>158.80000000000001</v>
      </c>
      <c r="C45" s="12">
        <v>173.8</v>
      </c>
      <c r="D45" s="12">
        <v>170.8</v>
      </c>
    </row>
    <row r="46" spans="1:4" ht="10.95" customHeight="1" x14ac:dyDescent="0.2">
      <c r="A46" s="11" t="s">
        <v>41</v>
      </c>
      <c r="B46" s="12">
        <v>0</v>
      </c>
      <c r="C46" s="12">
        <v>0</v>
      </c>
      <c r="D46" s="12">
        <v>0</v>
      </c>
    </row>
    <row r="47" spans="1:4" ht="10.95" customHeight="1" x14ac:dyDescent="0.2">
      <c r="A47" s="11" t="s">
        <v>42</v>
      </c>
      <c r="B47" s="12">
        <v>122.11</v>
      </c>
      <c r="C47" s="12">
        <v>131.07</v>
      </c>
      <c r="D47" s="12">
        <v>203.9</v>
      </c>
    </row>
    <row r="48" spans="1:4" ht="10.95" customHeight="1" x14ac:dyDescent="0.2">
      <c r="A48" s="11" t="s">
        <v>43</v>
      </c>
      <c r="B48" s="12">
        <v>1300.47</v>
      </c>
      <c r="C48" s="12">
        <v>932.38</v>
      </c>
      <c r="D48" s="12">
        <v>1676.07</v>
      </c>
    </row>
    <row r="49" spans="1:4" ht="10.95" customHeight="1" x14ac:dyDescent="0.2">
      <c r="A49" s="11" t="s">
        <v>44</v>
      </c>
      <c r="B49" s="12">
        <v>1664.42</v>
      </c>
      <c r="C49" s="12">
        <v>1676.82</v>
      </c>
      <c r="D49" s="12">
        <v>1741.82</v>
      </c>
    </row>
    <row r="50" spans="1:4" ht="10.95" customHeight="1" x14ac:dyDescent="0.2">
      <c r="A50" s="11" t="s">
        <v>45</v>
      </c>
      <c r="B50" s="12">
        <v>0</v>
      </c>
      <c r="C50" s="12">
        <v>0</v>
      </c>
      <c r="D50" s="12">
        <v>0</v>
      </c>
    </row>
    <row r="51" spans="1:4" ht="10.95" customHeight="1" x14ac:dyDescent="0.2">
      <c r="A51" s="11" t="s">
        <v>46</v>
      </c>
      <c r="B51" s="12">
        <v>8877.83</v>
      </c>
      <c r="C51" s="12">
        <v>9684.06</v>
      </c>
      <c r="D51" s="12">
        <v>9686.27</v>
      </c>
    </row>
    <row r="52" spans="1:4" ht="10.95" customHeight="1" x14ac:dyDescent="0.2">
      <c r="A52" s="11" t="s">
        <v>47</v>
      </c>
      <c r="B52" s="12">
        <v>0</v>
      </c>
      <c r="C52" s="12">
        <v>0</v>
      </c>
      <c r="D52" s="12">
        <v>0</v>
      </c>
    </row>
    <row r="53" spans="1:4" ht="10.95" customHeight="1" x14ac:dyDescent="0.2">
      <c r="A53" s="11" t="s">
        <v>48</v>
      </c>
      <c r="B53" s="12">
        <v>467.73</v>
      </c>
      <c r="C53" s="12">
        <v>1129.19</v>
      </c>
      <c r="D53" s="12">
        <v>503.8</v>
      </c>
    </row>
    <row r="54" spans="1:4" ht="10.95" customHeight="1" x14ac:dyDescent="0.2">
      <c r="A54" s="11" t="s">
        <v>49</v>
      </c>
      <c r="B54" s="12">
        <v>0</v>
      </c>
      <c r="C54" s="12">
        <v>0</v>
      </c>
      <c r="D54" s="12">
        <v>0</v>
      </c>
    </row>
    <row r="55" spans="1:4" ht="10.95" customHeight="1" x14ac:dyDescent="0.2">
      <c r="A55" s="11" t="s">
        <v>50</v>
      </c>
      <c r="B55" s="12">
        <v>291.33999999999997</v>
      </c>
      <c r="C55" s="12">
        <v>243.07</v>
      </c>
      <c r="D55" s="12">
        <v>166.38</v>
      </c>
    </row>
    <row r="56" spans="1:4" ht="10.95" customHeight="1" x14ac:dyDescent="0.2">
      <c r="A56" s="11" t="s">
        <v>51</v>
      </c>
      <c r="B56" s="12">
        <v>237.71</v>
      </c>
      <c r="C56" s="12">
        <v>237.71</v>
      </c>
      <c r="D56" s="12">
        <v>237.71</v>
      </c>
    </row>
    <row r="57" spans="1:4" ht="10.95" customHeight="1" x14ac:dyDescent="0.2">
      <c r="A57" s="11" t="s">
        <v>52</v>
      </c>
      <c r="B57" s="12">
        <v>395.55</v>
      </c>
      <c r="C57" s="12">
        <v>90.59</v>
      </c>
      <c r="D57" s="12">
        <v>41.78</v>
      </c>
    </row>
    <row r="58" spans="1:4" ht="10.95" customHeight="1" x14ac:dyDescent="0.2">
      <c r="A58" s="13" t="s">
        <v>53</v>
      </c>
      <c r="B58" s="14">
        <f t="shared" ref="B58:D58" si="3">SUM(B22:B57)</f>
        <v>32199.610000000004</v>
      </c>
      <c r="C58" s="14">
        <f t="shared" si="3"/>
        <v>28169.14</v>
      </c>
      <c r="D58" s="14">
        <f t="shared" si="3"/>
        <v>33382.829999999994</v>
      </c>
    </row>
    <row r="59" spans="1:4" ht="13.35" customHeight="1" x14ac:dyDescent="0.2"/>
    <row r="60" spans="1:4" ht="10.95" customHeight="1" x14ac:dyDescent="0.2">
      <c r="A60" s="15" t="s">
        <v>54</v>
      </c>
      <c r="B60" s="16">
        <f t="shared" ref="B60:D60" si="4">((B19 + 0) - (0 + B58))</f>
        <v>16498.469999999998</v>
      </c>
      <c r="C60" s="16">
        <f t="shared" si="4"/>
        <v>8645.9099999999962</v>
      </c>
      <c r="D60" s="16">
        <f t="shared" si="4"/>
        <v>2369.9100000000035</v>
      </c>
    </row>
    <row r="61" spans="1:4" ht="13.35" customHeight="1" x14ac:dyDescent="0.2"/>
    <row r="62" spans="1:4" s="5" customFormat="1" ht="12.15" customHeight="1" x14ac:dyDescent="0.25">
      <c r="A62" s="8" t="s">
        <v>55</v>
      </c>
      <c r="B62" s="8"/>
      <c r="C62" s="8"/>
      <c r="D62" s="8"/>
    </row>
    <row r="63" spans="1:4" ht="10.95" customHeight="1" x14ac:dyDescent="0.2">
      <c r="A63" s="9" t="s">
        <v>56</v>
      </c>
      <c r="B63" s="10">
        <v>274</v>
      </c>
      <c r="C63" s="10">
        <v>1028</v>
      </c>
      <c r="D63" s="10">
        <v>0</v>
      </c>
    </row>
    <row r="64" spans="1:4" ht="10.95" customHeight="1" x14ac:dyDescent="0.2">
      <c r="A64" s="13" t="s">
        <v>57</v>
      </c>
      <c r="B64" s="14">
        <f t="shared" ref="B64:D64" si="5">B63</f>
        <v>274</v>
      </c>
      <c r="C64" s="14">
        <f t="shared" si="5"/>
        <v>1028</v>
      </c>
      <c r="D64" s="14">
        <f t="shared" si="5"/>
        <v>0</v>
      </c>
    </row>
    <row r="65" spans="1:4" ht="13.35" customHeight="1" x14ac:dyDescent="0.2"/>
    <row r="66" spans="1:4" ht="10.95" customHeight="1" x14ac:dyDescent="0.2">
      <c r="A66" s="15" t="s">
        <v>58</v>
      </c>
      <c r="B66" s="16">
        <f t="shared" ref="B66:D66" si="6">(B60 + B64)</f>
        <v>16772.469999999998</v>
      </c>
      <c r="C66" s="16">
        <f t="shared" si="6"/>
        <v>9673.9099999999962</v>
      </c>
      <c r="D66" s="16">
        <f t="shared" si="6"/>
        <v>2369.9100000000035</v>
      </c>
    </row>
    <row r="67" spans="1:4" ht="13.35" customHeight="1" x14ac:dyDescent="0.2"/>
    <row r="68" spans="1:4" ht="10.95" customHeight="1" x14ac:dyDescent="0.2">
      <c r="A68" s="15" t="s">
        <v>59</v>
      </c>
      <c r="B68" s="16">
        <f t="shared" ref="B68:D68" si="7">(B66 - 0)</f>
        <v>16772.469999999998</v>
      </c>
      <c r="C68" s="16">
        <f t="shared" si="7"/>
        <v>9673.9099999999962</v>
      </c>
      <c r="D68" s="16">
        <f t="shared" si="7"/>
        <v>2369.9100000000035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Rashi Bhatia</cp:lastModifiedBy>
  <dcterms:modified xsi:type="dcterms:W3CDTF">2026-09-03T20:49:26Z</dcterms:modified>
</cp:coreProperties>
</file>